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codeName="ThisWorkbook" defaultThemeVersion="124226"/>
  <mc:AlternateContent xmlns:mc="http://schemas.openxmlformats.org/markup-compatibility/2006">
    <mc:Choice Requires="x15">
      <x15ac:absPath xmlns:x15ac="http://schemas.microsoft.com/office/spreadsheetml/2010/11/ac" url="M:\Bellevue\Group\GISBEL_AIS_5117-FUM1000\PennantPark\Daily folders since 2021\2026\Daily Reports\04 - Jan 2026\01.30.26\Daily\"/>
    </mc:Choice>
  </mc:AlternateContent>
  <xr:revisionPtr revIDLastSave="45" documentId="13_ncr:1_{24FE11DE-A2E7-4B01-BAFD-890C4194CD1F}" xr6:coauthVersionLast="47" xr6:coauthVersionMax="47" xr10:uidLastSave="{570EF8A8-FC5F-4749-A045-2C948307D6FB}"/>
  <bookViews>
    <workbookView xWindow="28680" yWindow="-120" windowWidth="29040" windowHeight="15720" tabRatio="904" firstSheet="4" activeTab="4" xr2:uid="{00000000-000D-0000-FFFF-FFFF00000000}"/>
  </bookViews>
  <sheets>
    <sheet name="Balance Sheet" sheetId="8" r:id="rId1"/>
    <sheet name="Income Statement" sheetId="9" r:id="rId2"/>
    <sheet name="Summary" sheetId="7" r:id="rId3"/>
    <sheet name="BDC post TB" sheetId="1" r:id="rId4"/>
    <sheet name="BDC Long Short" sheetId="11" r:id="rId5"/>
    <sheet name="Rec-Pay-Month End" sheetId="12" r:id="rId6"/>
    <sheet name="SBICII post TB (closed)" sheetId="5" r:id="rId7"/>
    <sheet name="PNNT SPV post TB" sheetId="10" r:id="rId8"/>
    <sheet name="SBIC post TB(Closed)" sheetId="4" r:id="rId9"/>
  </sheets>
  <definedNames>
    <definedName name="_xlnm._FilterDatabase" localSheetId="4" hidden="1">'BDC Long Short'!$A$1:$U$1040</definedName>
    <definedName name="_xlnm._FilterDatabase" localSheetId="3" hidden="1">'BDC post TB'!$J$1:$J$108</definedName>
    <definedName name="_xlnm._FilterDatabase" localSheetId="2" hidden="1">Summary!$A$7:$Q$314</definedName>
    <definedName name="DDcommit">'Balance Sheet'!$H$76</definedName>
    <definedName name="_xlnm.Print_Area" localSheetId="0">'Balance Sheet'!$B$1:$G$87</definedName>
    <definedName name="_xlnm.Print_Area" localSheetId="1">'Income Statement'!$B$1:$G$50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9" i="12" l="1"/>
  <c r="M59" i="12"/>
  <c r="A272" i="7"/>
  <c r="A273" i="7"/>
  <c r="H273" i="7" l="1"/>
  <c r="A58" i="7"/>
  <c r="A59" i="7"/>
  <c r="H58" i="7" l="1"/>
  <c r="A244" i="7" l="1"/>
  <c r="A245" i="7"/>
  <c r="A246" i="7"/>
  <c r="A247" i="7"/>
  <c r="A248" i="7"/>
  <c r="H247" i="7" l="1"/>
  <c r="H246" i="7"/>
  <c r="H248" i="7"/>
  <c r="A79" i="7"/>
  <c r="A80" i="7"/>
  <c r="A81" i="7"/>
  <c r="J30" i="7"/>
  <c r="H81" i="7" l="1"/>
  <c r="I38" i="8"/>
  <c r="I37" i="8"/>
  <c r="A99" i="7" l="1"/>
  <c r="H99" i="7" s="1"/>
  <c r="A100" i="7"/>
  <c r="A101" i="7"/>
  <c r="A102" i="7"/>
  <c r="H102" i="7" s="1"/>
  <c r="A103" i="7"/>
  <c r="H103" i="7" s="1"/>
  <c r="A104" i="7"/>
  <c r="H104" i="7" s="1"/>
  <c r="A105" i="7"/>
  <c r="A106" i="7"/>
  <c r="A107" i="7"/>
  <c r="H101" i="7" l="1"/>
  <c r="H100" i="7"/>
  <c r="H105" i="7"/>
  <c r="A188" i="7"/>
  <c r="A189" i="7"/>
  <c r="H189" i="7" l="1"/>
  <c r="H188" i="7"/>
  <c r="A231" i="7" l="1"/>
  <c r="A232" i="7"/>
  <c r="A233" i="7"/>
  <c r="H232" i="7" l="1"/>
  <c r="H231" i="7"/>
  <c r="E35" i="9" l="1"/>
  <c r="E31" i="9"/>
  <c r="E21" i="9"/>
  <c r="E24" i="9" s="1"/>
  <c r="E12" i="9"/>
  <c r="E25" i="9" l="1"/>
  <c r="B147" i="1"/>
  <c r="B148" i="1"/>
  <c r="B143" i="1" l="1"/>
  <c r="B144" i="1"/>
  <c r="B145" i="1"/>
  <c r="B146" i="1"/>
  <c r="M69" i="12" l="1"/>
  <c r="A120" i="7" l="1"/>
  <c r="A122" i="7"/>
  <c r="A123" i="7"/>
  <c r="A124" i="7"/>
  <c r="A125" i="7"/>
  <c r="H120" i="7" l="1"/>
  <c r="H124" i="7"/>
  <c r="A251" i="7" l="1"/>
  <c r="A252" i="7"/>
  <c r="A253" i="7"/>
  <c r="A254" i="7"/>
  <c r="A255" i="7"/>
  <c r="H255" i="7" s="1"/>
  <c r="A256" i="7"/>
  <c r="A257" i="7"/>
  <c r="A258" i="7"/>
  <c r="A259" i="7"/>
  <c r="H259" i="7" s="1"/>
  <c r="A260" i="7"/>
  <c r="H260" i="7" s="1"/>
  <c r="A261" i="7"/>
  <c r="H261" i="7" s="1"/>
  <c r="A262" i="7"/>
  <c r="A263" i="7"/>
  <c r="A208" i="7"/>
  <c r="A209" i="7"/>
  <c r="A210" i="7"/>
  <c r="A211" i="7"/>
  <c r="A212" i="7"/>
  <c r="A213" i="7"/>
  <c r="A214" i="7"/>
  <c r="A215" i="7"/>
  <c r="A52" i="7"/>
  <c r="H52" i="7" s="1"/>
  <c r="A53" i="7"/>
  <c r="A54" i="7"/>
  <c r="A42" i="7"/>
  <c r="A43" i="7"/>
  <c r="A44" i="7"/>
  <c r="A45" i="7"/>
  <c r="A46" i="7"/>
  <c r="A47" i="7"/>
  <c r="A48" i="7"/>
  <c r="A49" i="7"/>
  <c r="A50" i="7"/>
  <c r="A51" i="7"/>
  <c r="A55" i="7"/>
  <c r="H258" i="7" l="1"/>
  <c r="H257" i="7"/>
  <c r="H209" i="7"/>
  <c r="H256" i="7"/>
  <c r="H210" i="7"/>
  <c r="H51" i="7"/>
  <c r="A93" i="7"/>
  <c r="H93" i="7" s="1"/>
  <c r="B142" i="1" l="1"/>
  <c r="A64" i="7" l="1"/>
  <c r="A65" i="7"/>
  <c r="A66" i="7"/>
  <c r="H66" i="7" s="1"/>
  <c r="A67" i="7"/>
  <c r="B140" i="1"/>
  <c r="B141" i="1"/>
  <c r="A249" i="7"/>
  <c r="H249" i="7" s="1"/>
  <c r="A250" i="7"/>
  <c r="H250" i="7" s="1"/>
  <c r="B139" i="1"/>
  <c r="A241" i="7"/>
  <c r="A242" i="7"/>
  <c r="A243" i="7"/>
  <c r="A82" i="7"/>
  <c r="A83" i="7"/>
  <c r="A84" i="7"/>
  <c r="A85" i="7"/>
  <c r="A86" i="7"/>
  <c r="A87" i="7"/>
  <c r="A88" i="7"/>
  <c r="A89" i="7"/>
  <c r="A90" i="7"/>
  <c r="A91" i="7"/>
  <c r="A92" i="7"/>
  <c r="A94" i="7"/>
  <c r="A95" i="7"/>
  <c r="A96" i="7"/>
  <c r="B130" i="1"/>
  <c r="B131" i="1"/>
  <c r="B132" i="1"/>
  <c r="B133" i="1"/>
  <c r="B134" i="1"/>
  <c r="B135" i="1"/>
  <c r="B136" i="1"/>
  <c r="B137" i="1"/>
  <c r="B138" i="1"/>
  <c r="H65" i="7" l="1"/>
  <c r="H123" i="7"/>
  <c r="H94" i="7"/>
  <c r="H253" i="7"/>
  <c r="H245" i="7"/>
  <c r="H243" i="7"/>
  <c r="H86" i="7"/>
  <c r="H90" i="7"/>
  <c r="H95" i="7"/>
  <c r="H87" i="7"/>
  <c r="M314" i="7" l="1"/>
  <c r="A224" i="7"/>
  <c r="B46" i="1" l="1"/>
  <c r="A35" i="7"/>
  <c r="H35" i="7" s="1"/>
  <c r="A309" i="7" l="1"/>
  <c r="A310" i="7"/>
  <c r="A311" i="7"/>
  <c r="A312" i="7"/>
  <c r="A313" i="7"/>
  <c r="H310" i="7" l="1"/>
  <c r="H311" i="7"/>
  <c r="H50" i="7" l="1"/>
  <c r="B128" i="1"/>
  <c r="B129" i="1"/>
  <c r="B125" i="1" l="1"/>
  <c r="B126" i="1"/>
  <c r="B127" i="1"/>
  <c r="A283" i="7"/>
  <c r="A284" i="7"/>
  <c r="A285" i="7"/>
  <c r="A286" i="7"/>
  <c r="A287" i="7"/>
  <c r="A288" i="7"/>
  <c r="B124" i="1" l="1"/>
  <c r="A225" i="7"/>
  <c r="H224" i="7" s="1"/>
  <c r="A226" i="7"/>
  <c r="A227" i="7"/>
  <c r="A228" i="7"/>
  <c r="A229" i="7"/>
  <c r="A230" i="7"/>
  <c r="H84" i="7"/>
  <c r="A97" i="7"/>
  <c r="H230" i="7" l="1"/>
  <c r="H228" i="7"/>
  <c r="H227" i="7"/>
  <c r="H226" i="7"/>
  <c r="H225" i="7"/>
  <c r="H83" i="7"/>
  <c r="H82" i="7"/>
  <c r="H229" i="7"/>
  <c r="A36" i="7" l="1"/>
  <c r="A37" i="7"/>
  <c r="H37" i="7" s="1"/>
  <c r="A38" i="7"/>
  <c r="A39" i="7"/>
  <c r="A40" i="7"/>
  <c r="H36" i="7" l="1"/>
  <c r="B123" i="1"/>
  <c r="B121" i="1"/>
  <c r="B122" i="1"/>
  <c r="A138" i="7"/>
  <c r="B119" i="1"/>
  <c r="B120" i="1"/>
  <c r="B116" i="1"/>
  <c r="B117" i="1"/>
  <c r="B118" i="1"/>
  <c r="H138" i="7" l="1"/>
  <c r="B108" i="1"/>
  <c r="B109" i="1"/>
  <c r="B110" i="1"/>
  <c r="B111" i="1"/>
  <c r="B112" i="1"/>
  <c r="B113" i="1"/>
  <c r="B114" i="1"/>
  <c r="B115" i="1"/>
  <c r="A218" i="7" l="1"/>
  <c r="A219" i="7"/>
  <c r="A220" i="7"/>
  <c r="A221" i="7"/>
  <c r="A222" i="7"/>
  <c r="A223" i="7"/>
  <c r="A182" i="7"/>
  <c r="A183" i="7"/>
  <c r="A184" i="7"/>
  <c r="A56" i="7"/>
  <c r="H223" i="7" l="1"/>
  <c r="H222" i="7"/>
  <c r="H221" i="7"/>
  <c r="H220" i="7"/>
  <c r="H183" i="7"/>
  <c r="H53" i="7"/>
  <c r="J38" i="7"/>
  <c r="M78" i="12" l="1"/>
  <c r="B107" i="1"/>
  <c r="A135" i="7"/>
  <c r="H135" i="7" s="1"/>
  <c r="A136" i="7"/>
  <c r="H136" i="7" s="1"/>
  <c r="A137" i="7"/>
  <c r="H137" i="7" s="1"/>
  <c r="A139" i="7"/>
  <c r="A140" i="7"/>
  <c r="H140" i="7" s="1"/>
  <c r="A33" i="7"/>
  <c r="A34" i="7"/>
  <c r="H38" i="7"/>
  <c r="A60" i="7"/>
  <c r="A61" i="7"/>
  <c r="H61" i="7" s="1"/>
  <c r="A62" i="7"/>
  <c r="A63" i="7"/>
  <c r="H139" i="7" l="1"/>
  <c r="H34" i="7"/>
  <c r="H60" i="7"/>
  <c r="H62" i="7"/>
  <c r="H59" i="7"/>
  <c r="B54" i="1" l="1"/>
  <c r="B55" i="1"/>
  <c r="B56" i="1"/>
  <c r="A132" i="7" l="1"/>
  <c r="A133" i="7"/>
  <c r="A134" i="7"/>
  <c r="A141" i="7"/>
  <c r="A142" i="7"/>
  <c r="A143" i="7"/>
  <c r="H142" i="7" l="1"/>
  <c r="H141" i="7"/>
  <c r="H134" i="7"/>
  <c r="H133" i="7"/>
  <c r="H143" i="7"/>
  <c r="H132" i="7"/>
  <c r="A240" i="7" l="1"/>
  <c r="A181" i="7"/>
  <c r="A185" i="7"/>
  <c r="A186" i="7"/>
  <c r="A187" i="7"/>
  <c r="A190" i="7"/>
  <c r="A289" i="7"/>
  <c r="A290" i="7"/>
  <c r="H187" i="7" l="1"/>
  <c r="H244" i="7"/>
  <c r="H49" i="7" l="1"/>
  <c r="A280" i="7"/>
  <c r="A281" i="7"/>
  <c r="A282" i="7"/>
  <c r="A113" i="7"/>
  <c r="F316" i="7" l="1"/>
  <c r="H287" i="7" l="1"/>
  <c r="H251" i="7" l="1"/>
  <c r="A131" i="7"/>
  <c r="H288" i="7"/>
  <c r="H131" i="7" l="1"/>
  <c r="A202" i="7"/>
  <c r="A57" i="7" l="1"/>
  <c r="A191" i="7" l="1"/>
  <c r="A204" i="7" l="1"/>
  <c r="A205" i="7"/>
  <c r="A206" i="7"/>
  <c r="B106" i="1" l="1"/>
  <c r="B105" i="1" l="1"/>
  <c r="A22" i="7" l="1"/>
  <c r="A176" i="7" l="1"/>
  <c r="A177" i="7"/>
  <c r="A121" i="7" l="1"/>
  <c r="H122" i="7" l="1"/>
  <c r="H121" i="7"/>
  <c r="B103" i="1"/>
  <c r="B104" i="1"/>
  <c r="B102" i="1" l="1"/>
  <c r="B99" i="1" l="1"/>
  <c r="B100" i="1"/>
  <c r="B101" i="1"/>
  <c r="A196" i="7" l="1"/>
  <c r="A271" i="7"/>
  <c r="A274" i="7" l="1"/>
  <c r="A314" i="7" l="1"/>
  <c r="A234" i="7" l="1"/>
  <c r="A32" i="7" l="1"/>
  <c r="B51" i="4" l="1"/>
  <c r="B52" i="4"/>
  <c r="H316" i="7" l="1"/>
  <c r="B98" i="1" l="1"/>
  <c r="B69" i="4" l="1"/>
  <c r="B70" i="4"/>
  <c r="A16" i="7" l="1"/>
  <c r="B65" i="4" l="1"/>
  <c r="B66" i="4"/>
  <c r="B67" i="4"/>
  <c r="B68" i="4"/>
  <c r="A198" i="7" l="1"/>
  <c r="A199" i="7"/>
  <c r="A207" i="7" l="1"/>
  <c r="A145" i="7" l="1"/>
  <c r="H145" i="7" l="1"/>
  <c r="A69" i="7"/>
  <c r="B61" i="4" l="1"/>
  <c r="B62" i="4"/>
  <c r="B63" i="4"/>
  <c r="B64" i="4"/>
  <c r="A159" i="7" l="1"/>
  <c r="B53" i="1" l="1"/>
  <c r="D74" i="8" l="1"/>
  <c r="F60" i="8"/>
  <c r="F74" i="8" s="1"/>
  <c r="B4" i="1" l="1"/>
  <c r="B4" i="4"/>
  <c r="A166" i="7" l="1"/>
  <c r="A165" i="7"/>
  <c r="A164" i="7"/>
  <c r="A163" i="7"/>
  <c r="A158" i="7"/>
  <c r="B60" i="4" l="1"/>
  <c r="B3" i="8" l="1"/>
  <c r="B59" i="4" l="1"/>
  <c r="G316" i="7" l="1"/>
  <c r="F48" i="8" l="1"/>
  <c r="D48" i="8"/>
  <c r="B58" i="4" l="1"/>
  <c r="B57" i="4" l="1"/>
  <c r="B56" i="4" l="1"/>
  <c r="A26" i="7" l="1"/>
  <c r="A126" i="7" l="1"/>
  <c r="A25" i="7"/>
  <c r="A27" i="7"/>
  <c r="A28" i="7"/>
  <c r="A29" i="7"/>
  <c r="A30" i="7"/>
  <c r="A31" i="7"/>
  <c r="H47" i="7" l="1"/>
  <c r="A11" i="7"/>
  <c r="A12" i="7"/>
  <c r="A13" i="7"/>
  <c r="A14" i="7"/>
  <c r="A200" i="7" l="1"/>
  <c r="A201" i="7"/>
  <c r="A203" i="7"/>
  <c r="A108" i="7" l="1"/>
  <c r="A267" i="7"/>
  <c r="A270" i="7" l="1"/>
  <c r="A275" i="7"/>
  <c r="A276" i="7"/>
  <c r="A277" i="7"/>
  <c r="A74" i="7" l="1"/>
  <c r="A17" i="7" l="1"/>
  <c r="A18" i="7"/>
  <c r="A19" i="7"/>
  <c r="A21" i="7"/>
  <c r="A295" i="7" l="1"/>
  <c r="A68" i="7" l="1"/>
  <c r="A294" i="7" l="1"/>
  <c r="H96" i="7" l="1"/>
  <c r="A299" i="7"/>
  <c r="A75" i="7"/>
  <c r="A73" i="7"/>
  <c r="B22" i="4"/>
  <c r="B31" i="1"/>
  <c r="B32" i="1"/>
  <c r="B92" i="1"/>
  <c r="B93" i="1"/>
  <c r="H254" i="7" l="1"/>
  <c r="B54" i="4"/>
  <c r="B55" i="4"/>
  <c r="B10" i="1"/>
  <c r="B11" i="1"/>
  <c r="B12" i="1"/>
  <c r="B13" i="1"/>
  <c r="B14" i="1"/>
  <c r="B15" i="1"/>
  <c r="B16" i="1"/>
  <c r="B17" i="1"/>
  <c r="B18" i="1"/>
  <c r="B19" i="1"/>
  <c r="B20" i="1"/>
  <c r="B21" i="1"/>
  <c r="B22" i="1"/>
  <c r="B23" i="1"/>
  <c r="B24" i="1"/>
  <c r="B25" i="1"/>
  <c r="B26" i="1"/>
  <c r="B27" i="1"/>
  <c r="B28" i="1"/>
  <c r="B29" i="1"/>
  <c r="B30" i="1"/>
  <c r="B33" i="1"/>
  <c r="B34" i="1"/>
  <c r="B35" i="1"/>
  <c r="B36" i="1"/>
  <c r="B37" i="1"/>
  <c r="B38" i="1"/>
  <c r="B39" i="1"/>
  <c r="B40" i="1"/>
  <c r="B41" i="1"/>
  <c r="B42" i="1"/>
  <c r="B43" i="1"/>
  <c r="B44" i="1"/>
  <c r="B45" i="1"/>
  <c r="B47" i="1"/>
  <c r="B48" i="1"/>
  <c r="B49" i="1"/>
  <c r="B50" i="1"/>
  <c r="B51" i="1"/>
  <c r="B52"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4" i="1"/>
  <c r="B95" i="1"/>
  <c r="B96" i="1"/>
  <c r="B97" i="1"/>
  <c r="F273" i="7" l="1"/>
  <c r="F58" i="7"/>
  <c r="F248" i="7"/>
  <c r="F247" i="7"/>
  <c r="F246" i="7"/>
  <c r="F81" i="7"/>
  <c r="F103" i="7"/>
  <c r="F105" i="7"/>
  <c r="F100" i="7"/>
  <c r="F99" i="7"/>
  <c r="F104" i="7"/>
  <c r="F102" i="7"/>
  <c r="F101" i="7"/>
  <c r="F187" i="7"/>
  <c r="F188" i="7"/>
  <c r="F189" i="7"/>
  <c r="F232" i="7"/>
  <c r="F231" i="7"/>
  <c r="F230" i="7"/>
  <c r="F120" i="7"/>
  <c r="F124" i="7"/>
  <c r="F256" i="7"/>
  <c r="F257" i="7"/>
  <c r="F258" i="7"/>
  <c r="F259" i="7"/>
  <c r="F260" i="7"/>
  <c r="F255" i="7"/>
  <c r="F52" i="7"/>
  <c r="F51" i="7"/>
  <c r="F210" i="7"/>
  <c r="F50" i="7"/>
  <c r="F49" i="7"/>
  <c r="F261" i="7"/>
  <c r="F209" i="7"/>
  <c r="F47" i="7"/>
  <c r="F93" i="7"/>
  <c r="F65" i="7"/>
  <c r="F66" i="7"/>
  <c r="F249" i="7"/>
  <c r="F254" i="7"/>
  <c r="F122" i="7"/>
  <c r="F123" i="7"/>
  <c r="F121" i="7"/>
  <c r="F244" i="7"/>
  <c r="F251" i="7"/>
  <c r="F253" i="7"/>
  <c r="F245" i="7"/>
  <c r="F243" i="7"/>
  <c r="F250" i="7"/>
  <c r="F94" i="7"/>
  <c r="F86" i="7"/>
  <c r="F95" i="7"/>
  <c r="F96" i="7"/>
  <c r="F87" i="7"/>
  <c r="F90" i="7"/>
  <c r="F224" i="7"/>
  <c r="F228" i="7"/>
  <c r="F223" i="7"/>
  <c r="F226" i="7"/>
  <c r="F222" i="7"/>
  <c r="F221" i="7"/>
  <c r="F227" i="7"/>
  <c r="F225" i="7"/>
  <c r="F35" i="7"/>
  <c r="F311" i="7"/>
  <c r="F310" i="7"/>
  <c r="F288" i="7"/>
  <c r="F287" i="7"/>
  <c r="F82" i="7"/>
  <c r="F83" i="7"/>
  <c r="F84" i="7"/>
  <c r="F229" i="7"/>
  <c r="F37" i="7"/>
  <c r="F36" i="7"/>
  <c r="F138" i="7"/>
  <c r="F220" i="7"/>
  <c r="F53" i="7"/>
  <c r="F183" i="7"/>
  <c r="F140" i="7"/>
  <c r="F134" i="7"/>
  <c r="F135" i="7"/>
  <c r="F142" i="7"/>
  <c r="F137" i="7"/>
  <c r="F136" i="7"/>
  <c r="F133" i="7"/>
  <c r="F34" i="7"/>
  <c r="F38" i="7"/>
  <c r="F141" i="7"/>
  <c r="F131" i="7"/>
  <c r="F139" i="7"/>
  <c r="F143" i="7"/>
  <c r="F132" i="7"/>
  <c r="F145" i="7"/>
  <c r="F62" i="7"/>
  <c r="F60" i="7"/>
  <c r="F59" i="7"/>
  <c r="F61" i="7"/>
  <c r="F281" i="7"/>
  <c r="F282" i="7"/>
  <c r="F283" i="7"/>
  <c r="F202" i="7"/>
  <c r="F57" i="7"/>
  <c r="F56" i="7"/>
  <c r="F186" i="7"/>
  <c r="F204" i="7"/>
  <c r="F285" i="7"/>
  <c r="F33" i="7"/>
  <c r="F22" i="7"/>
  <c r="F176" i="7"/>
  <c r="F274" i="7"/>
  <c r="F276" i="7"/>
  <c r="F271" i="7"/>
  <c r="F270" i="7"/>
  <c r="F275" i="7"/>
  <c r="F196" i="7"/>
  <c r="F55" i="7"/>
  <c r="F63" i="7"/>
  <c r="F32" i="7"/>
  <c r="F16" i="7"/>
  <c r="F198" i="7"/>
  <c r="F199" i="7"/>
  <c r="F206" i="7"/>
  <c r="F207" i="7"/>
  <c r="F69" i="7"/>
  <c r="F20" i="7"/>
  <c r="F312" i="7"/>
  <c r="F159" i="7"/>
  <c r="F97" i="7"/>
  <c r="F165" i="7"/>
  <c r="F158" i="7"/>
  <c r="F163" i="7"/>
  <c r="F164" i="7"/>
  <c r="F166" i="7"/>
  <c r="F64" i="7"/>
  <c r="F214" i="7"/>
  <c r="F213" i="7"/>
  <c r="F215" i="7"/>
  <c r="F27" i="7"/>
  <c r="F26" i="7"/>
  <c r="F125" i="7"/>
  <c r="F29" i="7"/>
  <c r="F28" i="7"/>
  <c r="F126" i="7"/>
  <c r="F30" i="7"/>
  <c r="F25" i="7"/>
  <c r="F46" i="7"/>
  <c r="F13" i="7"/>
  <c r="F12" i="7"/>
  <c r="F14" i="7"/>
  <c r="F17" i="7"/>
  <c r="F200" i="7"/>
  <c r="F201" i="7"/>
  <c r="F284" i="7"/>
  <c r="F267" i="7"/>
  <c r="F277" i="7"/>
  <c r="F74" i="7"/>
  <c r="F18" i="7"/>
  <c r="F19" i="7"/>
  <c r="F21" i="7"/>
  <c r="F212" i="7"/>
  <c r="F177" i="7"/>
  <c r="F31" i="7"/>
  <c r="F68" i="7"/>
  <c r="F79" i="7"/>
  <c r="F11" i="7"/>
  <c r="F299" i="7"/>
  <c r="F44" i="7"/>
  <c r="F75" i="7"/>
  <c r="F54" i="7"/>
  <c r="B53" i="4"/>
  <c r="I75" i="7" l="1"/>
  <c r="N75" i="7" s="1"/>
  <c r="B45" i="4"/>
  <c r="B46" i="4"/>
  <c r="B10" i="4"/>
  <c r="B11" i="4"/>
  <c r="B12" i="4"/>
  <c r="B13" i="4"/>
  <c r="B14" i="4"/>
  <c r="B15" i="4"/>
  <c r="B16" i="4"/>
  <c r="B17" i="4"/>
  <c r="B18" i="4"/>
  <c r="B19" i="4"/>
  <c r="B20" i="4"/>
  <c r="B21" i="4"/>
  <c r="B23" i="4"/>
  <c r="B24" i="4"/>
  <c r="B25" i="4"/>
  <c r="B26" i="4"/>
  <c r="B27" i="4"/>
  <c r="B28" i="4"/>
  <c r="B29" i="4"/>
  <c r="B30" i="4"/>
  <c r="B31" i="4"/>
  <c r="B32" i="4"/>
  <c r="B33" i="4"/>
  <c r="B34" i="4"/>
  <c r="B35" i="4"/>
  <c r="B36" i="4"/>
  <c r="B37" i="4"/>
  <c r="B38" i="4"/>
  <c r="B39" i="4"/>
  <c r="B40" i="4"/>
  <c r="B41" i="4"/>
  <c r="B42" i="4"/>
  <c r="B43" i="4"/>
  <c r="B44" i="4"/>
  <c r="B47" i="4"/>
  <c r="B48" i="4"/>
  <c r="B49" i="4"/>
  <c r="B50" i="4"/>
  <c r="G273" i="7" l="1"/>
  <c r="I273" i="7" s="1"/>
  <c r="N273" i="7" s="1"/>
  <c r="G58" i="7"/>
  <c r="I58" i="7" s="1"/>
  <c r="N58" i="7" s="1"/>
  <c r="D25" i="8" s="1"/>
  <c r="F25" i="8" s="1"/>
  <c r="G247" i="7"/>
  <c r="I247" i="7" s="1"/>
  <c r="N247" i="7" s="1"/>
  <c r="G248" i="7"/>
  <c r="I248" i="7" s="1"/>
  <c r="N248" i="7" s="1"/>
  <c r="G246" i="7"/>
  <c r="I246" i="7" s="1"/>
  <c r="N246" i="7" s="1"/>
  <c r="G81" i="7"/>
  <c r="I81" i="7" s="1"/>
  <c r="N81" i="7" s="1"/>
  <c r="G99" i="7"/>
  <c r="I99" i="7" s="1"/>
  <c r="N99" i="7" s="1"/>
  <c r="G100" i="7"/>
  <c r="I100" i="7" s="1"/>
  <c r="N100" i="7" s="1"/>
  <c r="G103" i="7"/>
  <c r="I103" i="7" s="1"/>
  <c r="N103" i="7" s="1"/>
  <c r="Q103" i="7" s="1"/>
  <c r="G102" i="7"/>
  <c r="I102" i="7" s="1"/>
  <c r="N102" i="7" s="1"/>
  <c r="G104" i="7"/>
  <c r="I104" i="7" s="1"/>
  <c r="N104" i="7" s="1"/>
  <c r="G105" i="7"/>
  <c r="I105" i="7" s="1"/>
  <c r="N105" i="7" s="1"/>
  <c r="G101" i="7"/>
  <c r="I101" i="7" s="1"/>
  <c r="N101" i="7" s="1"/>
  <c r="G189" i="7"/>
  <c r="I189" i="7" s="1"/>
  <c r="N189" i="7" s="1"/>
  <c r="G10" i="9" s="1"/>
  <c r="D10" i="9" s="1"/>
  <c r="G188" i="7"/>
  <c r="I188" i="7" s="1"/>
  <c r="N188" i="7" s="1"/>
  <c r="G187" i="7"/>
  <c r="I187" i="7" s="1"/>
  <c r="N187" i="7" s="1"/>
  <c r="G232" i="7"/>
  <c r="I232" i="7" s="1"/>
  <c r="N232" i="7" s="1"/>
  <c r="G231" i="7"/>
  <c r="I231" i="7" s="1"/>
  <c r="N231" i="7" s="1"/>
  <c r="G230" i="7"/>
  <c r="I230" i="7" s="1"/>
  <c r="N230" i="7" s="1"/>
  <c r="G120" i="7"/>
  <c r="I120" i="7" s="1"/>
  <c r="N120" i="7" s="1"/>
  <c r="Q120" i="7" s="1"/>
  <c r="G124" i="7"/>
  <c r="I124" i="7" s="1"/>
  <c r="N124" i="7" s="1"/>
  <c r="G261" i="7"/>
  <c r="I261" i="7" s="1"/>
  <c r="N261" i="7" s="1"/>
  <c r="G260" i="7"/>
  <c r="I260" i="7" s="1"/>
  <c r="N260" i="7" s="1"/>
  <c r="G259" i="7"/>
  <c r="I259" i="7" s="1"/>
  <c r="N259" i="7" s="1"/>
  <c r="G256" i="7"/>
  <c r="I256" i="7" s="1"/>
  <c r="N256" i="7" s="1"/>
  <c r="G210" i="7"/>
  <c r="I210" i="7" s="1"/>
  <c r="N210" i="7" s="1"/>
  <c r="G257" i="7"/>
  <c r="I257" i="7" s="1"/>
  <c r="N257" i="7" s="1"/>
  <c r="G255" i="7"/>
  <c r="I255" i="7" s="1"/>
  <c r="N255" i="7" s="1"/>
  <c r="G258" i="7"/>
  <c r="I258" i="7" s="1"/>
  <c r="N258" i="7" s="1"/>
  <c r="G51" i="7"/>
  <c r="I51" i="7" s="1"/>
  <c r="N51" i="7" s="1"/>
  <c r="G209" i="7"/>
  <c r="I209" i="7" s="1"/>
  <c r="N209" i="7" s="1"/>
  <c r="G50" i="7"/>
  <c r="I50" i="7" s="1"/>
  <c r="N50" i="7" s="1"/>
  <c r="G52" i="7"/>
  <c r="I52" i="7" s="1"/>
  <c r="N52" i="7" s="1"/>
  <c r="G49" i="7"/>
  <c r="I49" i="7" s="1"/>
  <c r="N49" i="7" s="1"/>
  <c r="G47" i="7"/>
  <c r="I47" i="7" s="1"/>
  <c r="N47" i="7" s="1"/>
  <c r="G93" i="7"/>
  <c r="I93" i="7" s="1"/>
  <c r="N93" i="7" s="1"/>
  <c r="G65" i="7"/>
  <c r="I65" i="7" s="1"/>
  <c r="N65" i="7" s="1"/>
  <c r="Q65" i="7" s="1"/>
  <c r="G66" i="7"/>
  <c r="I66" i="7" s="1"/>
  <c r="N66" i="7" s="1"/>
  <c r="Q66" i="7" s="1"/>
  <c r="G249" i="7"/>
  <c r="I249" i="7" s="1"/>
  <c r="N249" i="7" s="1"/>
  <c r="G123" i="7"/>
  <c r="I123" i="7" s="1"/>
  <c r="N123" i="7" s="1"/>
  <c r="G122" i="7"/>
  <c r="I122" i="7" s="1"/>
  <c r="N122" i="7" s="1"/>
  <c r="G121" i="7"/>
  <c r="I121" i="7" s="1"/>
  <c r="N121" i="7" s="1"/>
  <c r="G86" i="7"/>
  <c r="I86" i="7" s="1"/>
  <c r="N86" i="7" s="1"/>
  <c r="G243" i="7"/>
  <c r="I243" i="7" s="1"/>
  <c r="N243" i="7" s="1"/>
  <c r="G253" i="7"/>
  <c r="I253" i="7" s="1"/>
  <c r="N253" i="7" s="1"/>
  <c r="G87" i="7"/>
  <c r="I87" i="7" s="1"/>
  <c r="N87" i="7" s="1"/>
  <c r="G95" i="7"/>
  <c r="I95" i="7" s="1"/>
  <c r="N95" i="7" s="1"/>
  <c r="G245" i="7"/>
  <c r="I245" i="7" s="1"/>
  <c r="N245" i="7" s="1"/>
  <c r="G250" i="7"/>
  <c r="I250" i="7" s="1"/>
  <c r="N250" i="7" s="1"/>
  <c r="G90" i="7"/>
  <c r="I90" i="7" s="1"/>
  <c r="N90" i="7" s="1"/>
  <c r="G94" i="7"/>
  <c r="I94" i="7" s="1"/>
  <c r="N94" i="7" s="1"/>
  <c r="G244" i="7"/>
  <c r="I244" i="7" s="1"/>
  <c r="N244" i="7" s="1"/>
  <c r="G251" i="7"/>
  <c r="I251" i="7" s="1"/>
  <c r="N251" i="7" s="1"/>
  <c r="G96" i="7"/>
  <c r="I96" i="7" s="1"/>
  <c r="N96" i="7" s="1"/>
  <c r="G254" i="7"/>
  <c r="I254" i="7" s="1"/>
  <c r="N254" i="7" s="1"/>
  <c r="G224" i="7"/>
  <c r="I224" i="7" s="1"/>
  <c r="N224" i="7" s="1"/>
  <c r="G228" i="7"/>
  <c r="I228" i="7" s="1"/>
  <c r="G226" i="7"/>
  <c r="I226" i="7" s="1"/>
  <c r="N226" i="7" s="1"/>
  <c r="G227" i="7"/>
  <c r="I227" i="7" s="1"/>
  <c r="N227" i="7" s="1"/>
  <c r="G221" i="7"/>
  <c r="I221" i="7" s="1"/>
  <c r="G225" i="7"/>
  <c r="I225" i="7" s="1"/>
  <c r="G223" i="7"/>
  <c r="I223" i="7" s="1"/>
  <c r="G222" i="7"/>
  <c r="I222" i="7" s="1"/>
  <c r="G35" i="7"/>
  <c r="I35" i="7" s="1"/>
  <c r="N35" i="7" s="1"/>
  <c r="G310" i="7"/>
  <c r="I310" i="7" s="1"/>
  <c r="N310" i="7" s="1"/>
  <c r="G311" i="7"/>
  <c r="I311" i="7" s="1"/>
  <c r="N311" i="7" s="1"/>
  <c r="G288" i="7"/>
  <c r="I288" i="7" s="1"/>
  <c r="N288" i="7" s="1"/>
  <c r="G287" i="7"/>
  <c r="I287" i="7" s="1"/>
  <c r="N287" i="7" s="1"/>
  <c r="G83" i="7"/>
  <c r="I83" i="7" s="1"/>
  <c r="N83" i="7" s="1"/>
  <c r="G82" i="7"/>
  <c r="I82" i="7" s="1"/>
  <c r="N82" i="7" s="1"/>
  <c r="G229" i="7"/>
  <c r="I229" i="7" s="1"/>
  <c r="G84" i="7"/>
  <c r="I84" i="7" s="1"/>
  <c r="N84" i="7" s="1"/>
  <c r="G36" i="7"/>
  <c r="I36" i="7" s="1"/>
  <c r="N36" i="7" s="1"/>
  <c r="G37" i="7"/>
  <c r="I37" i="7" s="1"/>
  <c r="N37" i="7" s="1"/>
  <c r="G138" i="7"/>
  <c r="I138" i="7" s="1"/>
  <c r="N138" i="7" s="1"/>
  <c r="Q138" i="7" s="1"/>
  <c r="G53" i="7"/>
  <c r="I53" i="7" s="1"/>
  <c r="N53" i="7" s="1"/>
  <c r="G183" i="7"/>
  <c r="I183" i="7" s="1"/>
  <c r="N183" i="7" s="1"/>
  <c r="G220" i="7"/>
  <c r="I220" i="7" s="1"/>
  <c r="N220" i="7" s="1"/>
  <c r="G136" i="7"/>
  <c r="I136" i="7" s="1"/>
  <c r="N136" i="7" s="1"/>
  <c r="G132" i="7"/>
  <c r="I132" i="7" s="1"/>
  <c r="N132" i="7" s="1"/>
  <c r="G139" i="7"/>
  <c r="I139" i="7" s="1"/>
  <c r="N139" i="7" s="1"/>
  <c r="G142" i="7"/>
  <c r="I142" i="7" s="1"/>
  <c r="N142" i="7" s="1"/>
  <c r="G141" i="7"/>
  <c r="I141" i="7" s="1"/>
  <c r="N141" i="7" s="1"/>
  <c r="G131" i="7"/>
  <c r="I131" i="7" s="1"/>
  <c r="N131" i="7" s="1"/>
  <c r="G140" i="7"/>
  <c r="I140" i="7" s="1"/>
  <c r="N140" i="7" s="1"/>
  <c r="G134" i="7"/>
  <c r="I134" i="7" s="1"/>
  <c r="N134" i="7" s="1"/>
  <c r="G38" i="7"/>
  <c r="I38" i="7" s="1"/>
  <c r="N38" i="7" s="1"/>
  <c r="G133" i="7"/>
  <c r="I133" i="7" s="1"/>
  <c r="N133" i="7" s="1"/>
  <c r="G135" i="7"/>
  <c r="I135" i="7" s="1"/>
  <c r="N135" i="7" s="1"/>
  <c r="G137" i="7"/>
  <c r="I137" i="7" s="1"/>
  <c r="N137" i="7" s="1"/>
  <c r="Q137" i="7" s="1"/>
  <c r="G34" i="7"/>
  <c r="I34" i="7" s="1"/>
  <c r="N34" i="7" s="1"/>
  <c r="G143" i="7"/>
  <c r="I143" i="7" s="1"/>
  <c r="N143" i="7" s="1"/>
  <c r="G145" i="7"/>
  <c r="I145" i="7" s="1"/>
  <c r="N145" i="7" s="1"/>
  <c r="G62" i="7"/>
  <c r="I62" i="7" s="1"/>
  <c r="N62" i="7" s="1"/>
  <c r="G59" i="7"/>
  <c r="I59" i="7" s="1"/>
  <c r="N59" i="7" s="1"/>
  <c r="G60" i="7"/>
  <c r="I60" i="7" s="1"/>
  <c r="N60" i="7" s="1"/>
  <c r="G61" i="7"/>
  <c r="I61" i="7" s="1"/>
  <c r="N61" i="7" s="1"/>
  <c r="G282" i="7"/>
  <c r="G283" i="7"/>
  <c r="G281" i="7"/>
  <c r="H281" i="7"/>
  <c r="H283" i="7"/>
  <c r="H282" i="7"/>
  <c r="G202" i="7"/>
  <c r="H57" i="7"/>
  <c r="H202" i="7"/>
  <c r="G57" i="7"/>
  <c r="G56" i="7"/>
  <c r="G186" i="7"/>
  <c r="G176" i="7"/>
  <c r="G204" i="7"/>
  <c r="G271" i="7"/>
  <c r="G285" i="7"/>
  <c r="G274" i="7"/>
  <c r="G33" i="7"/>
  <c r="G22" i="7"/>
  <c r="G276" i="7"/>
  <c r="G275" i="7"/>
  <c r="G270" i="7"/>
  <c r="H56" i="7"/>
  <c r="H204" i="7"/>
  <c r="H186" i="7"/>
  <c r="H33" i="7"/>
  <c r="H285" i="7"/>
  <c r="H176" i="7"/>
  <c r="H22" i="7"/>
  <c r="H275" i="7"/>
  <c r="H276" i="7"/>
  <c r="H270" i="7"/>
  <c r="H271" i="7"/>
  <c r="H274" i="7"/>
  <c r="H196" i="7"/>
  <c r="G196" i="7"/>
  <c r="G55" i="7"/>
  <c r="H55" i="7"/>
  <c r="G63" i="7"/>
  <c r="H234" i="7"/>
  <c r="H63" i="7"/>
  <c r="H32" i="7"/>
  <c r="G32" i="7"/>
  <c r="H16" i="7"/>
  <c r="G16" i="7"/>
  <c r="G199" i="7"/>
  <c r="G198" i="7"/>
  <c r="H199" i="7"/>
  <c r="H198" i="7"/>
  <c r="G206" i="7"/>
  <c r="G207" i="7"/>
  <c r="H206" i="7"/>
  <c r="H207" i="7"/>
  <c r="G69" i="7"/>
  <c r="H69" i="7"/>
  <c r="H20" i="7"/>
  <c r="G20" i="7"/>
  <c r="G312" i="7"/>
  <c r="H312" i="7"/>
  <c r="G159" i="7"/>
  <c r="H159" i="7"/>
  <c r="G97" i="7"/>
  <c r="H97" i="7"/>
  <c r="G166" i="7"/>
  <c r="G165" i="7"/>
  <c r="G163" i="7"/>
  <c r="G164" i="7"/>
  <c r="G158" i="7"/>
  <c r="H164" i="7"/>
  <c r="H158" i="7"/>
  <c r="H166" i="7"/>
  <c r="H163" i="7"/>
  <c r="H165" i="7"/>
  <c r="H64" i="7"/>
  <c r="G64" i="7"/>
  <c r="H214" i="7"/>
  <c r="H215" i="7"/>
  <c r="G213" i="7"/>
  <c r="G215" i="7"/>
  <c r="G214" i="7"/>
  <c r="H26" i="7"/>
  <c r="H27" i="7"/>
  <c r="H125" i="7"/>
  <c r="H30" i="7"/>
  <c r="H31" i="7"/>
  <c r="H25" i="7"/>
  <c r="H28" i="7"/>
  <c r="H126" i="7"/>
  <c r="H29" i="7"/>
  <c r="G26" i="7"/>
  <c r="G125" i="7"/>
  <c r="G126" i="7"/>
  <c r="G29" i="7"/>
  <c r="G28" i="7"/>
  <c r="G25" i="7"/>
  <c r="G27" i="7"/>
  <c r="G30" i="7"/>
  <c r="G46" i="7"/>
  <c r="H46" i="7"/>
  <c r="G12" i="7"/>
  <c r="G14" i="7"/>
  <c r="G11" i="7"/>
  <c r="G13" i="7"/>
  <c r="H12" i="7"/>
  <c r="H14" i="7"/>
  <c r="H11" i="7"/>
  <c r="H13" i="7"/>
  <c r="G201" i="7"/>
  <c r="G200" i="7"/>
  <c r="H201" i="7"/>
  <c r="H200" i="7"/>
  <c r="H203" i="7"/>
  <c r="G289" i="7"/>
  <c r="H284" i="7"/>
  <c r="H289" i="7"/>
  <c r="G107" i="7"/>
  <c r="G267" i="7"/>
  <c r="H267" i="7"/>
  <c r="H213" i="7"/>
  <c r="G74" i="7"/>
  <c r="H74" i="7"/>
  <c r="G277" i="7"/>
  <c r="H277" i="7"/>
  <c r="G19" i="7"/>
  <c r="G17" i="7"/>
  <c r="G18" i="7"/>
  <c r="H21" i="7"/>
  <c r="H19" i="7"/>
  <c r="H18" i="7"/>
  <c r="H17" i="7"/>
  <c r="G294" i="7"/>
  <c r="G212" i="7"/>
  <c r="H212" i="7"/>
  <c r="G21" i="7"/>
  <c r="G177" i="7"/>
  <c r="G31" i="7"/>
  <c r="G68" i="7"/>
  <c r="H177" i="7"/>
  <c r="H68" i="7"/>
  <c r="H79" i="7"/>
  <c r="G79" i="7"/>
  <c r="G299" i="7"/>
  <c r="G44" i="7"/>
  <c r="H299" i="7"/>
  <c r="H44" i="7"/>
  <c r="H54" i="7"/>
  <c r="G54" i="7"/>
  <c r="A23" i="7"/>
  <c r="A24" i="7"/>
  <c r="A8" i="7"/>
  <c r="A10" i="7"/>
  <c r="F280" i="7"/>
  <c r="A279" i="7"/>
  <c r="F272" i="7" s="1"/>
  <c r="A291" i="7"/>
  <c r="G286" i="7" s="1"/>
  <c r="H70" i="7"/>
  <c r="A72" i="7"/>
  <c r="A76" i="7"/>
  <c r="A71" i="7"/>
  <c r="A78" i="7"/>
  <c r="A98" i="7"/>
  <c r="A296" i="7"/>
  <c r="A41" i="7"/>
  <c r="F43" i="7"/>
  <c r="A216" i="7"/>
  <c r="A147" i="7"/>
  <c r="A9" i="7"/>
  <c r="A308" i="7"/>
  <c r="F295" i="7" s="1"/>
  <c r="A307" i="7"/>
  <c r="F294" i="7" s="1"/>
  <c r="A306" i="7"/>
  <c r="F313" i="7" s="1"/>
  <c r="A305" i="7"/>
  <c r="A304" i="7"/>
  <c r="A303" i="7"/>
  <c r="A302" i="7"/>
  <c r="A301" i="7"/>
  <c r="A300" i="7"/>
  <c r="A298" i="7"/>
  <c r="A293" i="7"/>
  <c r="A292" i="7"/>
  <c r="F289" i="7" s="1"/>
  <c r="A278" i="7"/>
  <c r="A269" i="7"/>
  <c r="A268" i="7"/>
  <c r="A265" i="7"/>
  <c r="A264" i="7"/>
  <c r="F266" i="7" s="1"/>
  <c r="A239" i="7"/>
  <c r="A238" i="7"/>
  <c r="G240" i="7" s="1"/>
  <c r="A237" i="7"/>
  <c r="A236" i="7"/>
  <c r="A235" i="7"/>
  <c r="F234" i="7" s="1"/>
  <c r="A217" i="7"/>
  <c r="F203" i="7"/>
  <c r="A197" i="7"/>
  <c r="A195" i="7"/>
  <c r="A194" i="7"/>
  <c r="A193" i="7"/>
  <c r="A192" i="7"/>
  <c r="A180" i="7"/>
  <c r="A179" i="7"/>
  <c r="A178" i="7"/>
  <c r="A175" i="7"/>
  <c r="A174" i="7"/>
  <c r="A173" i="7"/>
  <c r="A172" i="7"/>
  <c r="A171" i="7"/>
  <c r="A170" i="7"/>
  <c r="A169" i="7"/>
  <c r="A168" i="7"/>
  <c r="A167" i="7"/>
  <c r="A162" i="7"/>
  <c r="A161" i="7"/>
  <c r="A160" i="7"/>
  <c r="A157" i="7"/>
  <c r="A156" i="7"/>
  <c r="A155" i="7"/>
  <c r="A154" i="7"/>
  <c r="A153" i="7"/>
  <c r="A152" i="7"/>
  <c r="A151" i="7"/>
  <c r="A150" i="7"/>
  <c r="A149" i="7"/>
  <c r="A148" i="7"/>
  <c r="A146" i="7"/>
  <c r="A144" i="7"/>
  <c r="A130" i="7"/>
  <c r="A129" i="7"/>
  <c r="A128" i="7"/>
  <c r="A127" i="7"/>
  <c r="A119" i="7"/>
  <c r="A118" i="7"/>
  <c r="A117" i="7"/>
  <c r="A116" i="7"/>
  <c r="A115" i="7"/>
  <c r="F113" i="7" s="1"/>
  <c r="A114" i="7"/>
  <c r="A112" i="7"/>
  <c r="F108" i="7" s="1"/>
  <c r="A111" i="7"/>
  <c r="F106" i="7" s="1"/>
  <c r="A110" i="7"/>
  <c r="F107" i="7" s="1"/>
  <c r="A109" i="7"/>
  <c r="A77" i="7"/>
  <c r="A15" i="7"/>
  <c r="F73" i="7"/>
  <c r="Q35" i="7" l="1"/>
  <c r="D11" i="8"/>
  <c r="I11" i="8" s="1"/>
  <c r="F48" i="7"/>
  <c r="G48" i="7"/>
  <c r="H48" i="7"/>
  <c r="G106" i="7"/>
  <c r="G85" i="7"/>
  <c r="H85" i="7"/>
  <c r="F85" i="7"/>
  <c r="H89" i="7"/>
  <c r="G89" i="7"/>
  <c r="F89" i="7"/>
  <c r="H91" i="7"/>
  <c r="G91" i="7"/>
  <c r="F91" i="7"/>
  <c r="H106" i="7"/>
  <c r="G113" i="7"/>
  <c r="G92" i="7"/>
  <c r="H92" i="7"/>
  <c r="F92" i="7"/>
  <c r="H107" i="7"/>
  <c r="I107" i="7" s="1"/>
  <c r="N107" i="7" s="1"/>
  <c r="H113" i="7"/>
  <c r="H88" i="7"/>
  <c r="G88" i="7"/>
  <c r="F88" i="7"/>
  <c r="H266" i="7"/>
  <c r="F252" i="7"/>
  <c r="H252" i="7"/>
  <c r="G252" i="7"/>
  <c r="H294" i="7"/>
  <c r="I294" i="7" s="1"/>
  <c r="H309" i="7"/>
  <c r="F309" i="7"/>
  <c r="H313" i="7"/>
  <c r="G295" i="7"/>
  <c r="G313" i="7"/>
  <c r="G309" i="7"/>
  <c r="H286" i="7"/>
  <c r="F286" i="7"/>
  <c r="G234" i="7"/>
  <c r="I234" i="7" s="1"/>
  <c r="G266" i="7"/>
  <c r="F240" i="7"/>
  <c r="H240" i="7"/>
  <c r="G272" i="7"/>
  <c r="H295" i="7"/>
  <c r="H272" i="7"/>
  <c r="G146" i="7"/>
  <c r="F146" i="7"/>
  <c r="H146" i="7"/>
  <c r="D13" i="8"/>
  <c r="F13" i="8"/>
  <c r="G144" i="7"/>
  <c r="H144" i="7"/>
  <c r="F144" i="7"/>
  <c r="G8" i="7"/>
  <c r="F40" i="7"/>
  <c r="G40" i="7"/>
  <c r="H40" i="7"/>
  <c r="H39" i="7"/>
  <c r="F39" i="7"/>
  <c r="G39" i="7"/>
  <c r="D30" i="8"/>
  <c r="F30" i="8"/>
  <c r="Q136" i="7"/>
  <c r="G9" i="9"/>
  <c r="D9" i="9" s="1"/>
  <c r="I281" i="7"/>
  <c r="I283" i="7"/>
  <c r="I282" i="7"/>
  <c r="I57" i="7"/>
  <c r="N57" i="7" s="1"/>
  <c r="I202" i="7"/>
  <c r="N202" i="7" s="1"/>
  <c r="I285" i="7"/>
  <c r="N285" i="7" s="1"/>
  <c r="I274" i="7"/>
  <c r="I271" i="7"/>
  <c r="I56" i="7"/>
  <c r="I22" i="7"/>
  <c r="I275" i="7"/>
  <c r="I176" i="7"/>
  <c r="N176" i="7" s="1"/>
  <c r="I276" i="7"/>
  <c r="N276" i="7" s="1"/>
  <c r="I33" i="7"/>
  <c r="N33" i="7" s="1"/>
  <c r="I270" i="7"/>
  <c r="I186" i="7"/>
  <c r="I204" i="7"/>
  <c r="N204" i="7" s="1"/>
  <c r="F154" i="7"/>
  <c r="H269" i="7"/>
  <c r="G174" i="7"/>
  <c r="K174" i="7" s="1"/>
  <c r="H174" i="7"/>
  <c r="J174" i="7" s="1"/>
  <c r="F174" i="7"/>
  <c r="G175" i="7"/>
  <c r="K175" i="7" s="1"/>
  <c r="H175" i="7"/>
  <c r="J175" i="7" s="1"/>
  <c r="F175" i="7"/>
  <c r="G269" i="7"/>
  <c r="F269" i="7"/>
  <c r="I196" i="7"/>
  <c r="I55" i="7"/>
  <c r="N55" i="7" s="1"/>
  <c r="I63" i="7"/>
  <c r="I32" i="7"/>
  <c r="N32" i="7" s="1"/>
  <c r="I213" i="7"/>
  <c r="F116" i="7"/>
  <c r="F263" i="7"/>
  <c r="F298" i="7"/>
  <c r="F307" i="7"/>
  <c r="F45" i="7"/>
  <c r="F67" i="7"/>
  <c r="F23" i="7"/>
  <c r="F149" i="7"/>
  <c r="F157" i="7"/>
  <c r="F171" i="7"/>
  <c r="F193" i="7"/>
  <c r="F211" i="7"/>
  <c r="F237" i="7"/>
  <c r="H303" i="7"/>
  <c r="F112" i="7"/>
  <c r="F117" i="7"/>
  <c r="F128" i="7"/>
  <c r="F150" i="7"/>
  <c r="H168" i="7"/>
  <c r="F172" i="7"/>
  <c r="F178" i="7"/>
  <c r="F182" i="7"/>
  <c r="F190" i="7"/>
  <c r="H194" i="7"/>
  <c r="F205" i="7"/>
  <c r="F217" i="7"/>
  <c r="F233" i="7"/>
  <c r="H238" i="7"/>
  <c r="F264" i="7"/>
  <c r="F300" i="7"/>
  <c r="F304" i="7"/>
  <c r="F308" i="7"/>
  <c r="F147" i="7"/>
  <c r="F42" i="7"/>
  <c r="F296" i="7"/>
  <c r="F80" i="7"/>
  <c r="H76" i="7"/>
  <c r="F291" i="7"/>
  <c r="G10" i="7"/>
  <c r="F15" i="7"/>
  <c r="F77" i="7"/>
  <c r="F127" i="7"/>
  <c r="F153" i="7"/>
  <c r="F167" i="7"/>
  <c r="H181" i="7"/>
  <c r="F109" i="7"/>
  <c r="F114" i="7"/>
  <c r="F118" i="7"/>
  <c r="F129" i="7"/>
  <c r="F151" i="7"/>
  <c r="F155" i="7"/>
  <c r="F161" i="7"/>
  <c r="F169" i="7"/>
  <c r="F173" i="7"/>
  <c r="H179" i="7"/>
  <c r="F184" i="7"/>
  <c r="F191" i="7"/>
  <c r="F195" i="7"/>
  <c r="F208" i="7"/>
  <c r="F218" i="7"/>
  <c r="F235" i="7"/>
  <c r="H239" i="7"/>
  <c r="F265" i="7"/>
  <c r="F292" i="7"/>
  <c r="H301" i="7"/>
  <c r="H305" i="7"/>
  <c r="F41" i="7"/>
  <c r="F78" i="7"/>
  <c r="F72" i="7"/>
  <c r="G290" i="7"/>
  <c r="H8" i="7"/>
  <c r="F111" i="7"/>
  <c r="F242" i="7"/>
  <c r="F110" i="7"/>
  <c r="F115" i="7"/>
  <c r="F119" i="7"/>
  <c r="F130" i="7"/>
  <c r="F148" i="7"/>
  <c r="F152" i="7"/>
  <c r="F156" i="7"/>
  <c r="F162" i="7"/>
  <c r="F170" i="7"/>
  <c r="F180" i="7"/>
  <c r="F185" i="7"/>
  <c r="F192" i="7"/>
  <c r="F197" i="7"/>
  <c r="F219" i="7"/>
  <c r="F236" i="7"/>
  <c r="F241" i="7"/>
  <c r="F262" i="7"/>
  <c r="F268" i="7"/>
  <c r="F293" i="7"/>
  <c r="F302" i="7"/>
  <c r="F306" i="7"/>
  <c r="F216" i="7"/>
  <c r="F98" i="7"/>
  <c r="F71" i="7"/>
  <c r="F24" i="7"/>
  <c r="H9" i="7"/>
  <c r="I13" i="7"/>
  <c r="I18" i="7"/>
  <c r="N18" i="7" s="1"/>
  <c r="I14" i="7"/>
  <c r="I166" i="7"/>
  <c r="I21" i="7"/>
  <c r="I79" i="7"/>
  <c r="I97" i="7"/>
  <c r="I165" i="7"/>
  <c r="I11" i="7"/>
  <c r="I44" i="7"/>
  <c r="N44" i="7" s="1"/>
  <c r="I212" i="7"/>
  <c r="I17" i="7"/>
  <c r="N17" i="7" s="1"/>
  <c r="I159" i="7"/>
  <c r="I163" i="7"/>
  <c r="I12" i="7"/>
  <c r="I54" i="7"/>
  <c r="N54" i="7" s="1"/>
  <c r="I164" i="7"/>
  <c r="I207" i="7"/>
  <c r="N207" i="7" s="1"/>
  <c r="I198" i="7"/>
  <c r="I74" i="7"/>
  <c r="N74" i="7" s="1"/>
  <c r="I19" i="7"/>
  <c r="I201" i="7"/>
  <c r="N201" i="7" s="1"/>
  <c r="I25" i="7"/>
  <c r="N25" i="7" s="1"/>
  <c r="I30" i="7"/>
  <c r="N30" i="7" s="1"/>
  <c r="I26" i="7"/>
  <c r="N26" i="7" s="1"/>
  <c r="I215" i="7"/>
  <c r="I29" i="7"/>
  <c r="I125" i="7"/>
  <c r="I214" i="7"/>
  <c r="I69" i="7"/>
  <c r="N69" i="7" s="1"/>
  <c r="I206" i="7"/>
  <c r="I199" i="7"/>
  <c r="I16" i="7"/>
  <c r="I68" i="7"/>
  <c r="N68" i="7" s="1"/>
  <c r="I126" i="7"/>
  <c r="N126" i="7" s="1"/>
  <c r="I31" i="7"/>
  <c r="N229" i="7"/>
  <c r="I299" i="7"/>
  <c r="N299" i="7" s="1"/>
  <c r="I177" i="7"/>
  <c r="I277" i="7"/>
  <c r="N277" i="7" s="1"/>
  <c r="I267" i="7"/>
  <c r="I289" i="7"/>
  <c r="N289" i="7" s="1"/>
  <c r="I200" i="7"/>
  <c r="N200" i="7" s="1"/>
  <c r="I46" i="7"/>
  <c r="N46" i="7" s="1"/>
  <c r="I28" i="7"/>
  <c r="I27" i="7"/>
  <c r="N27" i="7" s="1"/>
  <c r="I64" i="7"/>
  <c r="I158" i="7"/>
  <c r="I312" i="7"/>
  <c r="N312" i="7" s="1"/>
  <c r="I20" i="7"/>
  <c r="F70" i="7"/>
  <c r="H160" i="7"/>
  <c r="H219" i="7"/>
  <c r="H72" i="7"/>
  <c r="F290" i="7"/>
  <c r="H182" i="7"/>
  <c r="H237" i="7"/>
  <c r="F194" i="7"/>
  <c r="F160" i="7"/>
  <c r="F239" i="7"/>
  <c r="F305" i="7"/>
  <c r="F8" i="7"/>
  <c r="H119" i="7"/>
  <c r="G119" i="7"/>
  <c r="G15" i="7"/>
  <c r="H10" i="7"/>
  <c r="H197" i="7"/>
  <c r="G197" i="7"/>
  <c r="G130" i="7"/>
  <c r="F9" i="7"/>
  <c r="H130" i="7"/>
  <c r="G268" i="7"/>
  <c r="H300" i="7"/>
  <c r="H304" i="7"/>
  <c r="H265" i="7"/>
  <c r="F168" i="7"/>
  <c r="H117" i="7"/>
  <c r="H112" i="7"/>
  <c r="H268" i="7"/>
  <c r="H279" i="7"/>
  <c r="F279" i="7"/>
  <c r="H263" i="7"/>
  <c r="H216" i="7"/>
  <c r="F76" i="7"/>
  <c r="F238" i="7"/>
  <c r="H195" i="7"/>
  <c r="F179" i="7"/>
  <c r="F10" i="7"/>
  <c r="H67" i="7"/>
  <c r="F301" i="7"/>
  <c r="H155" i="7"/>
  <c r="H153" i="7"/>
  <c r="H147" i="7"/>
  <c r="F303" i="7"/>
  <c r="H233" i="7"/>
  <c r="F181" i="7"/>
  <c r="H118" i="7"/>
  <c r="G237" i="7"/>
  <c r="G265" i="7"/>
  <c r="G154" i="7"/>
  <c r="G156" i="7"/>
  <c r="G109" i="7"/>
  <c r="G72" i="7"/>
  <c r="G161" i="7"/>
  <c r="G262" i="7"/>
  <c r="G170" i="7"/>
  <c r="G43" i="7"/>
  <c r="G195" i="7"/>
  <c r="G308" i="7"/>
  <c r="G242" i="7"/>
  <c r="G182" i="7"/>
  <c r="G203" i="7"/>
  <c r="I203" i="7" s="1"/>
  <c r="G181" i="7"/>
  <c r="G298" i="7"/>
  <c r="G128" i="7"/>
  <c r="G45" i="7"/>
  <c r="G98" i="7"/>
  <c r="G172" i="7"/>
  <c r="G24" i="7"/>
  <c r="G111" i="7"/>
  <c r="G153" i="7"/>
  <c r="G167" i="7"/>
  <c r="G263" i="7"/>
  <c r="G306" i="7"/>
  <c r="G217" i="7"/>
  <c r="G70" i="7"/>
  <c r="G114" i="7"/>
  <c r="G157" i="7"/>
  <c r="G238" i="7"/>
  <c r="G235" i="7"/>
  <c r="G284" i="7"/>
  <c r="I284" i="7" s="1"/>
  <c r="N284" i="7" s="1"/>
  <c r="G307" i="7"/>
  <c r="G303" i="7"/>
  <c r="G233" i="7"/>
  <c r="G218" i="7"/>
  <c r="G293" i="7"/>
  <c r="G208" i="7"/>
  <c r="G185" i="7"/>
  <c r="G190" i="7"/>
  <c r="G171" i="7"/>
  <c r="G67" i="7"/>
  <c r="G108" i="7"/>
  <c r="G73" i="7"/>
  <c r="G41" i="7"/>
  <c r="G78" i="7"/>
  <c r="G149" i="7"/>
  <c r="G148" i="7"/>
  <c r="G42" i="7"/>
  <c r="G117" i="7"/>
  <c r="G129" i="7"/>
  <c r="G155" i="7"/>
  <c r="G236" i="7"/>
  <c r="G305" i="7"/>
  <c r="G211" i="7"/>
  <c r="G292" i="7"/>
  <c r="G216" i="7"/>
  <c r="G180" i="7"/>
  <c r="G112" i="7"/>
  <c r="G169" i="7"/>
  <c r="G23" i="7"/>
  <c r="G302" i="7"/>
  <c r="G205" i="7"/>
  <c r="G179" i="7"/>
  <c r="G300" i="7"/>
  <c r="G219" i="7"/>
  <c r="G184" i="7"/>
  <c r="G194" i="7"/>
  <c r="G296" i="7"/>
  <c r="G193" i="7"/>
  <c r="G241" i="7"/>
  <c r="G77" i="7"/>
  <c r="G162" i="7"/>
  <c r="G127" i="7"/>
  <c r="G151" i="7"/>
  <c r="G173" i="7"/>
  <c r="K173" i="7" s="1"/>
  <c r="G71" i="7"/>
  <c r="G80" i="7"/>
  <c r="G116" i="7"/>
  <c r="G9" i="7"/>
  <c r="G147" i="7"/>
  <c r="G191" i="7"/>
  <c r="G76" i="7"/>
  <c r="G152" i="7"/>
  <c r="H128" i="7"/>
  <c r="G110" i="7"/>
  <c r="G115" i="7"/>
  <c r="G150" i="7"/>
  <c r="G178" i="7"/>
  <c r="H173" i="7"/>
  <c r="G118" i="7"/>
  <c r="G168" i="7"/>
  <c r="G160" i="7"/>
  <c r="G192" i="7"/>
  <c r="G304" i="7"/>
  <c r="G280" i="7"/>
  <c r="H217" i="7"/>
  <c r="H211" i="7"/>
  <c r="H236" i="7"/>
  <c r="H218" i="7"/>
  <c r="H293" i="7"/>
  <c r="H23" i="7"/>
  <c r="H280" i="7"/>
  <c r="H169" i="7"/>
  <c r="H111" i="7"/>
  <c r="H170" i="7"/>
  <c r="H98" i="7"/>
  <c r="H149" i="7"/>
  <c r="H157" i="7"/>
  <c r="H156" i="7"/>
  <c r="H24" i="7"/>
  <c r="H241" i="7"/>
  <c r="H298" i="7"/>
  <c r="H302" i="7"/>
  <c r="H180" i="7"/>
  <c r="H115" i="7"/>
  <c r="H290" i="7"/>
  <c r="H291" i="7"/>
  <c r="H116" i="7"/>
  <c r="H71" i="7"/>
  <c r="H171" i="7"/>
  <c r="H109" i="7"/>
  <c r="H78" i="7"/>
  <c r="H41" i="7"/>
  <c r="H162" i="7"/>
  <c r="H77" i="7"/>
  <c r="H161" i="7"/>
  <c r="H172" i="7"/>
  <c r="H154" i="7"/>
  <c r="H307" i="7"/>
  <c r="H205" i="7"/>
  <c r="H184" i="7"/>
  <c r="H264" i="7"/>
  <c r="H178" i="7"/>
  <c r="H308" i="7"/>
  <c r="H296" i="7"/>
  <c r="H193" i="7"/>
  <c r="H306" i="7"/>
  <c r="H242" i="7"/>
  <c r="H208" i="7"/>
  <c r="H185" i="7"/>
  <c r="H15" i="7"/>
  <c r="H150" i="7"/>
  <c r="H42" i="7"/>
  <c r="H43" i="7"/>
  <c r="H45" i="7"/>
  <c r="H192" i="7"/>
  <c r="H108" i="7"/>
  <c r="H167" i="7"/>
  <c r="H148" i="7"/>
  <c r="H127" i="7"/>
  <c r="H152" i="7"/>
  <c r="H292" i="7"/>
  <c r="H73" i="7"/>
  <c r="G239" i="7"/>
  <c r="G264" i="7"/>
  <c r="G301" i="7"/>
  <c r="H114" i="7"/>
  <c r="H151" i="7"/>
  <c r="H190" i="7"/>
  <c r="H235" i="7"/>
  <c r="G291" i="7"/>
  <c r="G279" i="7"/>
  <c r="H110" i="7"/>
  <c r="H129" i="7"/>
  <c r="H191" i="7"/>
  <c r="H80" i="7"/>
  <c r="H262" i="7"/>
  <c r="F9" i="8" l="1"/>
  <c r="D9" i="8"/>
  <c r="I48" i="7"/>
  <c r="N48" i="7" s="1"/>
  <c r="I106" i="7"/>
  <c r="N106" i="7" s="1"/>
  <c r="Q106" i="7" s="1"/>
  <c r="I286" i="7"/>
  <c r="N286" i="7" s="1"/>
  <c r="I295" i="7"/>
  <c r="N295" i="7" s="1"/>
  <c r="Q295" i="7" s="1"/>
  <c r="I89" i="7"/>
  <c r="N89" i="7" s="1"/>
  <c r="I272" i="7"/>
  <c r="N272" i="7" s="1"/>
  <c r="Q272" i="7" s="1"/>
  <c r="I266" i="7"/>
  <c r="N266" i="7" s="1"/>
  <c r="Q266" i="7" s="1"/>
  <c r="I113" i="7"/>
  <c r="N113" i="7" s="1"/>
  <c r="Q113" i="7" s="1"/>
  <c r="I309" i="7"/>
  <c r="N309" i="7" s="1"/>
  <c r="G37" i="9"/>
  <c r="D37" i="9" s="1"/>
  <c r="I313" i="7"/>
  <c r="N313" i="7" s="1"/>
  <c r="I240" i="7"/>
  <c r="N240" i="7" s="1"/>
  <c r="I85" i="7"/>
  <c r="N85" i="7" s="1"/>
  <c r="G36" i="9"/>
  <c r="D36" i="9" s="1"/>
  <c r="I92" i="7"/>
  <c r="N92" i="7" s="1"/>
  <c r="I91" i="7"/>
  <c r="N91" i="7" s="1"/>
  <c r="I88" i="7"/>
  <c r="N88" i="7" s="1"/>
  <c r="I252" i="7"/>
  <c r="N252" i="7" s="1"/>
  <c r="F319" i="7"/>
  <c r="F318" i="7"/>
  <c r="N28" i="7"/>
  <c r="I146" i="7"/>
  <c r="N146" i="7" s="1"/>
  <c r="I144" i="7"/>
  <c r="N144" i="7" s="1"/>
  <c r="I40" i="7"/>
  <c r="N40" i="7" s="1"/>
  <c r="I39" i="7"/>
  <c r="N39" i="7" s="1"/>
  <c r="N64" i="7"/>
  <c r="Q64" i="7" s="1"/>
  <c r="N267" i="7"/>
  <c r="Q267" i="7" s="1"/>
  <c r="N31" i="7"/>
  <c r="Q31" i="7" s="1"/>
  <c r="N206" i="7"/>
  <c r="Q206" i="7" s="1"/>
  <c r="N164" i="7"/>
  <c r="Q164" i="7" s="1"/>
  <c r="Q62" i="7"/>
  <c r="N186" i="7"/>
  <c r="G8" i="9" s="1"/>
  <c r="D8" i="9" s="1"/>
  <c r="N56" i="7"/>
  <c r="D23" i="8" s="1"/>
  <c r="F23" i="8" s="1"/>
  <c r="Q121" i="7"/>
  <c r="N11" i="7"/>
  <c r="Q11" i="7" s="1"/>
  <c r="N166" i="7"/>
  <c r="Q166" i="7" s="1"/>
  <c r="N234" i="7"/>
  <c r="Q234" i="7" s="1"/>
  <c r="N270" i="7"/>
  <c r="Q270" i="7" s="1"/>
  <c r="N271" i="7"/>
  <c r="Q271" i="7" s="1"/>
  <c r="Q287" i="7"/>
  <c r="N214" i="7"/>
  <c r="Q214" i="7" s="1"/>
  <c r="N12" i="7"/>
  <c r="Q12" i="7" s="1"/>
  <c r="Q133" i="7"/>
  <c r="N14" i="7"/>
  <c r="Q14" i="7" s="1"/>
  <c r="L173" i="7"/>
  <c r="Q141" i="7"/>
  <c r="N125" i="7"/>
  <c r="Q125" i="7" s="1"/>
  <c r="N163" i="7"/>
  <c r="Q163" i="7" s="1"/>
  <c r="N165" i="7"/>
  <c r="Q165" i="7" s="1"/>
  <c r="Q134" i="7"/>
  <c r="N274" i="7"/>
  <c r="Q274" i="7" s="1"/>
  <c r="N294" i="7"/>
  <c r="Q294" i="7" s="1"/>
  <c r="N19" i="7"/>
  <c r="J177" i="7" s="1"/>
  <c r="N228" i="7"/>
  <c r="Q228" i="7" s="1"/>
  <c r="N97" i="7"/>
  <c r="Q97" i="7" s="1"/>
  <c r="N13" i="7"/>
  <c r="Q13" i="7" s="1"/>
  <c r="N213" i="7"/>
  <c r="Q213" i="7" s="1"/>
  <c r="N196" i="7"/>
  <c r="Q196" i="7" s="1"/>
  <c r="N282" i="7"/>
  <c r="Q282" i="7" s="1"/>
  <c r="N20" i="7"/>
  <c r="J178" i="7" s="1"/>
  <c r="N29" i="7"/>
  <c r="K178" i="7" s="1"/>
  <c r="N159" i="7"/>
  <c r="Q159" i="7" s="1"/>
  <c r="N283" i="7"/>
  <c r="Q283" i="7" s="1"/>
  <c r="Q132" i="7"/>
  <c r="N16" i="7"/>
  <c r="Q16" i="7" s="1"/>
  <c r="Q145" i="7"/>
  <c r="N198" i="7"/>
  <c r="Q198" i="7" s="1"/>
  <c r="N79" i="7"/>
  <c r="Q79" i="7" s="1"/>
  <c r="N275" i="7"/>
  <c r="Q275" i="7" s="1"/>
  <c r="N158" i="7"/>
  <c r="Q158" i="7" s="1"/>
  <c r="N199" i="7"/>
  <c r="Q199" i="7" s="1"/>
  <c r="N215" i="7"/>
  <c r="Q215" i="7" s="1"/>
  <c r="N212" i="7"/>
  <c r="Q212" i="7" s="1"/>
  <c r="N21" i="7"/>
  <c r="Q21" i="7" s="1"/>
  <c r="N63" i="7"/>
  <c r="Q63" i="7" s="1"/>
  <c r="N22" i="7"/>
  <c r="Q22" i="7" s="1"/>
  <c r="N281" i="7"/>
  <c r="Q281" i="7" s="1"/>
  <c r="D24" i="8"/>
  <c r="F24" i="8" s="1"/>
  <c r="Q131" i="7"/>
  <c r="D29" i="8"/>
  <c r="F29" i="8" s="1"/>
  <c r="Q202" i="7"/>
  <c r="G30" i="9"/>
  <c r="D30" i="9" s="1"/>
  <c r="I175" i="7"/>
  <c r="I174" i="7"/>
  <c r="Q32" i="7"/>
  <c r="F12" i="8"/>
  <c r="D12" i="8"/>
  <c r="I269" i="7"/>
  <c r="I108" i="7"/>
  <c r="I45" i="7"/>
  <c r="I42" i="7"/>
  <c r="I172" i="7"/>
  <c r="I80" i="7"/>
  <c r="N80" i="7" s="1"/>
  <c r="I150" i="7"/>
  <c r="I77" i="7"/>
  <c r="I217" i="7"/>
  <c r="I127" i="7"/>
  <c r="I161" i="7"/>
  <c r="I290" i="7"/>
  <c r="I218" i="7"/>
  <c r="I129" i="7"/>
  <c r="I114" i="7"/>
  <c r="I109" i="7"/>
  <c r="I180" i="7"/>
  <c r="I241" i="7"/>
  <c r="N241" i="7" s="1"/>
  <c r="I296" i="7"/>
  <c r="I98" i="7"/>
  <c r="I293" i="7"/>
  <c r="I211" i="7"/>
  <c r="I308" i="7"/>
  <c r="I41" i="7"/>
  <c r="N41" i="7" s="1"/>
  <c r="I235" i="7"/>
  <c r="I190" i="7"/>
  <c r="I302" i="7"/>
  <c r="I157" i="7"/>
  <c r="I185" i="7"/>
  <c r="N185" i="7" s="1"/>
  <c r="I262" i="7"/>
  <c r="I307" i="7"/>
  <c r="I149" i="7"/>
  <c r="I268" i="7"/>
  <c r="I292" i="7"/>
  <c r="I208" i="7"/>
  <c r="I193" i="7"/>
  <c r="I78" i="7"/>
  <c r="N78" i="7" s="1"/>
  <c r="I111" i="7"/>
  <c r="N111" i="7" s="1"/>
  <c r="I236" i="7"/>
  <c r="I110" i="7"/>
  <c r="I152" i="7"/>
  <c r="N152" i="7" s="1"/>
  <c r="I167" i="7"/>
  <c r="I242" i="7"/>
  <c r="I162" i="7"/>
  <c r="I156" i="7"/>
  <c r="I169" i="7"/>
  <c r="I128" i="7"/>
  <c r="I43" i="7"/>
  <c r="I205" i="7"/>
  <c r="I171" i="7"/>
  <c r="I71" i="7"/>
  <c r="I184" i="7"/>
  <c r="I23" i="7"/>
  <c r="N23" i="7" s="1"/>
  <c r="I73" i="7"/>
  <c r="I15" i="7"/>
  <c r="I280" i="7"/>
  <c r="I191" i="7"/>
  <c r="I306" i="7"/>
  <c r="I116" i="7"/>
  <c r="I170" i="7"/>
  <c r="I151" i="7"/>
  <c r="N151" i="7" s="1"/>
  <c r="I148" i="7"/>
  <c r="I298" i="7"/>
  <c r="I24" i="7"/>
  <c r="N24" i="7" s="1"/>
  <c r="I178" i="7"/>
  <c r="I192" i="7"/>
  <c r="I197" i="7"/>
  <c r="I130" i="7"/>
  <c r="I291" i="7"/>
  <c r="I118" i="7"/>
  <c r="I181" i="7"/>
  <c r="I147" i="7"/>
  <c r="I67" i="7"/>
  <c r="I179" i="7"/>
  <c r="N179" i="7" s="1"/>
  <c r="I238" i="7"/>
  <c r="I168" i="7"/>
  <c r="I300" i="7"/>
  <c r="I9" i="7"/>
  <c r="N9" i="7" s="1"/>
  <c r="I305" i="7"/>
  <c r="I194" i="7"/>
  <c r="I195" i="7"/>
  <c r="I76" i="7"/>
  <c r="I264" i="7"/>
  <c r="I115" i="7"/>
  <c r="I233" i="7"/>
  <c r="I153" i="7"/>
  <c r="N153" i="7" s="1"/>
  <c r="I263" i="7"/>
  <c r="I112" i="7"/>
  <c r="I265" i="7"/>
  <c r="N265" i="7" s="1"/>
  <c r="I239" i="7"/>
  <c r="I237" i="7"/>
  <c r="I72" i="7"/>
  <c r="I70" i="7"/>
  <c r="I303" i="7"/>
  <c r="I155" i="7"/>
  <c r="I301" i="7"/>
  <c r="I216" i="7"/>
  <c r="I117" i="7"/>
  <c r="I304" i="7"/>
  <c r="I119" i="7"/>
  <c r="I8" i="7"/>
  <c r="N8" i="7" s="1"/>
  <c r="I182" i="7"/>
  <c r="I219" i="7"/>
  <c r="I10" i="7"/>
  <c r="I279" i="7"/>
  <c r="I160" i="7"/>
  <c r="I173" i="7"/>
  <c r="I154" i="7"/>
  <c r="N154" i="7" s="1"/>
  <c r="F323" i="7"/>
  <c r="Q25" i="7"/>
  <c r="Q201" i="7"/>
  <c r="F324" i="7"/>
  <c r="Q289" i="7"/>
  <c r="Q122" i="7"/>
  <c r="Q284" i="7"/>
  <c r="Q126" i="7"/>
  <c r="Q30" i="7"/>
  <c r="G318" i="7"/>
  <c r="Q230" i="7"/>
  <c r="H324" i="7"/>
  <c r="G323" i="7"/>
  <c r="G324" i="7"/>
  <c r="H318" i="7"/>
  <c r="H323" i="7"/>
  <c r="G319" i="7"/>
  <c r="H319" i="7"/>
  <c r="H22" i="8" l="1"/>
  <c r="F320" i="7"/>
  <c r="D19" i="8"/>
  <c r="I19" i="8" s="1"/>
  <c r="N177" i="7"/>
  <c r="N173" i="7"/>
  <c r="Q173" i="7" s="1"/>
  <c r="G29" i="9"/>
  <c r="D29" i="9" s="1"/>
  <c r="N178" i="7"/>
  <c r="D43" i="8"/>
  <c r="F42" i="8"/>
  <c r="Q48" i="7"/>
  <c r="N303" i="7"/>
  <c r="Q303" i="7" s="1"/>
  <c r="Q231" i="7"/>
  <c r="N195" i="7"/>
  <c r="Q195" i="7" s="1"/>
  <c r="N300" i="7"/>
  <c r="Q300" i="7" s="1"/>
  <c r="N118" i="7"/>
  <c r="Q118" i="7" s="1"/>
  <c r="N223" i="7"/>
  <c r="Q223" i="7" s="1"/>
  <c r="Q38" i="7"/>
  <c r="N156" i="7"/>
  <c r="Q156" i="7" s="1"/>
  <c r="Q84" i="7"/>
  <c r="Q102" i="7"/>
  <c r="N296" i="7"/>
  <c r="Q296" i="7" s="1"/>
  <c r="N161" i="7"/>
  <c r="Q161" i="7" s="1"/>
  <c r="Q105" i="7"/>
  <c r="N119" i="7"/>
  <c r="Q119" i="7" s="1"/>
  <c r="N168" i="7"/>
  <c r="Q168" i="7" s="1"/>
  <c r="N162" i="7"/>
  <c r="Q162" i="7" s="1"/>
  <c r="Q142" i="7"/>
  <c r="N304" i="7"/>
  <c r="N72" i="7"/>
  <c r="Q72" i="7" s="1"/>
  <c r="N233" i="7"/>
  <c r="Q233" i="7" s="1"/>
  <c r="Q210" i="7"/>
  <c r="Q310" i="7"/>
  <c r="N130" i="7"/>
  <c r="Q130" i="7" s="1"/>
  <c r="N298" i="7"/>
  <c r="Q298" i="7" s="1"/>
  <c r="L191" i="7"/>
  <c r="N191" i="7" s="1"/>
  <c r="Q191" i="7" s="1"/>
  <c r="N71" i="7"/>
  <c r="Q71" i="7" s="1"/>
  <c r="N242" i="7"/>
  <c r="Q242" i="7" s="1"/>
  <c r="N208" i="7"/>
  <c r="Q208" i="7" s="1"/>
  <c r="N235" i="7"/>
  <c r="Q235" i="7" s="1"/>
  <c r="N180" i="7"/>
  <c r="Q180" i="7" s="1"/>
  <c r="Q39" i="7"/>
  <c r="N172" i="7"/>
  <c r="Q172" i="7" s="1"/>
  <c r="N291" i="7"/>
  <c r="Q291" i="7" s="1"/>
  <c r="N306" i="7"/>
  <c r="Q306" i="7" s="1"/>
  <c r="N193" i="7"/>
  <c r="Q193" i="7" s="1"/>
  <c r="N262" i="7"/>
  <c r="Q262" i="7" s="1"/>
  <c r="L190" i="7"/>
  <c r="N190" i="7" s="1"/>
  <c r="Q190" i="7" s="1"/>
  <c r="N10" i="7"/>
  <c r="Q10" i="7" s="1"/>
  <c r="N115" i="7"/>
  <c r="Q115" i="7" s="1"/>
  <c r="N238" i="7"/>
  <c r="Q238" i="7" s="1"/>
  <c r="N171" i="7"/>
  <c r="Q171" i="7" s="1"/>
  <c r="N167" i="7"/>
  <c r="Q167" i="7" s="1"/>
  <c r="N292" i="7"/>
  <c r="Q292" i="7" s="1"/>
  <c r="N109" i="7"/>
  <c r="Q109" i="7" s="1"/>
  <c r="N127" i="7"/>
  <c r="Q127" i="7" s="1"/>
  <c r="N42" i="7"/>
  <c r="Q42" i="7" s="1"/>
  <c r="N174" i="7"/>
  <c r="Q174" i="7" s="1"/>
  <c r="Q47" i="7"/>
  <c r="N117" i="7"/>
  <c r="Q117" i="7" s="1"/>
  <c r="N237" i="7"/>
  <c r="Q237" i="7" s="1"/>
  <c r="Q85" i="7"/>
  <c r="Q309" i="7"/>
  <c r="Q146" i="7"/>
  <c r="Q226" i="7"/>
  <c r="N216" i="7"/>
  <c r="Q216" i="7" s="1"/>
  <c r="N239" i="7"/>
  <c r="N264" i="7"/>
  <c r="Q264" i="7" s="1"/>
  <c r="Q144" i="7"/>
  <c r="N197" i="7"/>
  <c r="Q197" i="7" s="1"/>
  <c r="N148" i="7"/>
  <c r="Q148" i="7" s="1"/>
  <c r="N280" i="7"/>
  <c r="G15" i="9" s="1"/>
  <c r="D15" i="9" s="1"/>
  <c r="N205" i="7"/>
  <c r="Q205" i="7" s="1"/>
  <c r="N268" i="7"/>
  <c r="Q268" i="7" s="1"/>
  <c r="N157" i="7"/>
  <c r="Q157" i="7" s="1"/>
  <c r="N308" i="7"/>
  <c r="Q308" i="7" s="1"/>
  <c r="N114" i="7"/>
  <c r="Q114" i="7" s="1"/>
  <c r="N217" i="7"/>
  <c r="Q217" i="7" s="1"/>
  <c r="N45" i="7"/>
  <c r="Q45" i="7" s="1"/>
  <c r="N175" i="7"/>
  <c r="Q175" i="7" s="1"/>
  <c r="D42" i="8"/>
  <c r="Q40" i="7"/>
  <c r="Q101" i="7"/>
  <c r="Q143" i="7"/>
  <c r="N184" i="7"/>
  <c r="Q184" i="7" s="1"/>
  <c r="N219" i="7"/>
  <c r="Q219" i="7" s="1"/>
  <c r="N110" i="7"/>
  <c r="Q110" i="7" s="1"/>
  <c r="Q140" i="7"/>
  <c r="N129" i="7"/>
  <c r="Q129" i="7" s="1"/>
  <c r="N77" i="7"/>
  <c r="Q77" i="7" s="1"/>
  <c r="N108" i="7"/>
  <c r="Q108" i="7" s="1"/>
  <c r="N70" i="7"/>
  <c r="Q70" i="7" s="1"/>
  <c r="Q257" i="7"/>
  <c r="N225" i="7"/>
  <c r="Q225" i="7" s="1"/>
  <c r="N194" i="7"/>
  <c r="Q194" i="7" s="1"/>
  <c r="N67" i="7"/>
  <c r="Q67" i="7" s="1"/>
  <c r="L192" i="7"/>
  <c r="N192" i="7" s="1"/>
  <c r="N43" i="7"/>
  <c r="Q43" i="7" s="1"/>
  <c r="N149" i="7"/>
  <c r="Q149" i="7" s="1"/>
  <c r="N211" i="7"/>
  <c r="Q211" i="7" s="1"/>
  <c r="J203" i="7"/>
  <c r="N203" i="7" s="1"/>
  <c r="Q203" i="7" s="1"/>
  <c r="N160" i="7"/>
  <c r="Q160" i="7" s="1"/>
  <c r="N182" i="7"/>
  <c r="Q182" i="7" s="1"/>
  <c r="N301" i="7"/>
  <c r="Q301" i="7" s="1"/>
  <c r="N112" i="7"/>
  <c r="Q112" i="7" s="1"/>
  <c r="D51" i="8"/>
  <c r="N305" i="7"/>
  <c r="Q305" i="7" s="1"/>
  <c r="N147" i="7"/>
  <c r="Q147" i="7" s="1"/>
  <c r="N170" i="7"/>
  <c r="Q170" i="7" s="1"/>
  <c r="N15" i="7"/>
  <c r="Q15" i="7" s="1"/>
  <c r="N128" i="7"/>
  <c r="Q128" i="7" s="1"/>
  <c r="N236" i="7"/>
  <c r="Q236" i="7" s="1"/>
  <c r="Q100" i="7"/>
  <c r="N302" i="7"/>
  <c r="Q302" i="7" s="1"/>
  <c r="N293" i="7"/>
  <c r="Q293" i="7" s="1"/>
  <c r="N218" i="7"/>
  <c r="Q218" i="7" s="1"/>
  <c r="N150" i="7"/>
  <c r="N269" i="7"/>
  <c r="Q269" i="7" s="1"/>
  <c r="F43" i="8"/>
  <c r="N279" i="7"/>
  <c r="Q279" i="7" s="1"/>
  <c r="N155" i="7"/>
  <c r="Q155" i="7" s="1"/>
  <c r="N263" i="7"/>
  <c r="Q263" i="7" s="1"/>
  <c r="N76" i="7"/>
  <c r="Q76" i="7" s="1"/>
  <c r="N181" i="7"/>
  <c r="Q181" i="7" s="1"/>
  <c r="Q139" i="7"/>
  <c r="N116" i="7"/>
  <c r="Q116" i="7" s="1"/>
  <c r="N73" i="7"/>
  <c r="Q73" i="7" s="1"/>
  <c r="N169" i="7"/>
  <c r="Q169" i="7" s="1"/>
  <c r="N307" i="7"/>
  <c r="Q307" i="7" s="1"/>
  <c r="Q99" i="7"/>
  <c r="N98" i="7"/>
  <c r="Q98" i="7" s="1"/>
  <c r="N290" i="7"/>
  <c r="Q290" i="7" s="1"/>
  <c r="D40" i="8"/>
  <c r="F40" i="8"/>
  <c r="Q185" i="7"/>
  <c r="Q188" i="7"/>
  <c r="H320" i="7"/>
  <c r="H321" i="7" s="1"/>
  <c r="Q41" i="7"/>
  <c r="N221" i="7"/>
  <c r="Q179" i="7"/>
  <c r="Q135" i="7"/>
  <c r="Q265" i="7"/>
  <c r="G17" i="9"/>
  <c r="D17" i="9" s="1"/>
  <c r="Q24" i="7"/>
  <c r="F8" i="8"/>
  <c r="Q9" i="7"/>
  <c r="D8" i="8"/>
  <c r="I8" i="8" s="1"/>
  <c r="Q151" i="7"/>
  <c r="G320" i="7"/>
  <c r="G321" i="7" s="1"/>
  <c r="D320" i="7" s="1"/>
  <c r="Q241" i="7"/>
  <c r="Q111" i="7"/>
  <c r="Q80" i="7"/>
  <c r="G46" i="9" l="1"/>
  <c r="D46" i="9" s="1"/>
  <c r="D36" i="8"/>
  <c r="Q177" i="7"/>
  <c r="G33" i="9"/>
  <c r="D33" i="9" s="1"/>
  <c r="J222" i="7"/>
  <c r="N222" i="7" s="1"/>
  <c r="Q222" i="7" s="1"/>
  <c r="F19" i="8"/>
  <c r="D20" i="8"/>
  <c r="F20" i="8"/>
  <c r="G11" i="9"/>
  <c r="D11" i="9" s="1"/>
  <c r="F28" i="8"/>
  <c r="D28" i="8"/>
  <c r="G19" i="9"/>
  <c r="D19" i="9" s="1"/>
  <c r="G16" i="9"/>
  <c r="D16" i="9" s="1"/>
  <c r="D14" i="8"/>
  <c r="D26" i="8"/>
  <c r="F26" i="8" s="1"/>
  <c r="G23" i="9"/>
  <c r="D23" i="9" s="1"/>
  <c r="F27" i="8"/>
  <c r="D39" i="8"/>
  <c r="F39" i="8"/>
  <c r="D27" i="8"/>
  <c r="F14" i="8"/>
  <c r="D22" i="8"/>
  <c r="F22" i="8" s="1"/>
  <c r="F21" i="8"/>
  <c r="H21" i="8" s="1"/>
  <c r="F58" i="8" s="1"/>
  <c r="D58" i="8" s="1"/>
  <c r="G22" i="9"/>
  <c r="D22" i="9" s="1"/>
  <c r="D21" i="8"/>
  <c r="F51" i="8"/>
  <c r="Q239" i="7"/>
  <c r="G18" i="9"/>
  <c r="D18" i="9" s="1"/>
  <c r="G28" i="9"/>
  <c r="D28" i="9" s="1"/>
  <c r="D31" i="9" s="1"/>
  <c r="Q260" i="7"/>
  <c r="Q192" i="7"/>
  <c r="D31" i="8"/>
  <c r="F10" i="8"/>
  <c r="Q150" i="7"/>
  <c r="Q280" i="7"/>
  <c r="Q304" i="7"/>
  <c r="F31" i="8"/>
  <c r="F321" i="7"/>
  <c r="D319" i="7" s="1"/>
  <c r="F36" i="8"/>
  <c r="D35" i="8"/>
  <c r="F35" i="8"/>
  <c r="F11" i="8"/>
  <c r="D321" i="7"/>
  <c r="K314" i="7"/>
  <c r="D10" i="8"/>
  <c r="Q178" i="7"/>
  <c r="D18" i="8"/>
  <c r="F18" i="8"/>
  <c r="Q153" i="7"/>
  <c r="Q152" i="7"/>
  <c r="Q8" i="7"/>
  <c r="Q154" i="7"/>
  <c r="F31" i="9" l="1"/>
  <c r="D41" i="8"/>
  <c r="G34" i="9"/>
  <c r="D34" i="9" s="1"/>
  <c r="D35" i="9" s="1"/>
  <c r="D39" i="9" s="1"/>
  <c r="J314" i="7"/>
  <c r="F72" i="8"/>
  <c r="F38" i="8"/>
  <c r="D72" i="8"/>
  <c r="D38" i="8"/>
  <c r="G31" i="9"/>
  <c r="F41" i="8"/>
  <c r="Q23" i="7"/>
  <c r="L314" i="7"/>
  <c r="Q78" i="7"/>
  <c r="D32" i="8"/>
  <c r="Q36" i="7"/>
  <c r="Q221" i="7"/>
  <c r="F7" i="8"/>
  <c r="D7" i="8"/>
  <c r="F35" i="9" l="1"/>
  <c r="G35" i="9"/>
  <c r="G39" i="9" s="1"/>
  <c r="F44" i="8"/>
  <c r="D44" i="8"/>
  <c r="J316" i="7"/>
  <c r="D317" i="7" s="1"/>
  <c r="D15" i="8"/>
  <c r="A297" i="7" l="1"/>
  <c r="A48" i="1" s="1"/>
  <c r="A146" i="1" l="1"/>
  <c r="A148" i="1"/>
  <c r="A147" i="1"/>
  <c r="A145" i="1"/>
  <c r="A143" i="1"/>
  <c r="A144" i="1"/>
  <c r="A142" i="1"/>
  <c r="A141" i="1"/>
  <c r="A140" i="1"/>
  <c r="A138" i="1"/>
  <c r="A139" i="1"/>
  <c r="A51" i="1"/>
  <c r="F278" i="7"/>
  <c r="A130" i="1"/>
  <c r="A132" i="1"/>
  <c r="G278" i="7"/>
  <c r="H278" i="7"/>
  <c r="A131" i="1"/>
  <c r="A137" i="1"/>
  <c r="A133" i="1"/>
  <c r="A135" i="1"/>
  <c r="A136" i="1"/>
  <c r="A134" i="1"/>
  <c r="A46" i="1"/>
  <c r="A77" i="1"/>
  <c r="A86" i="1"/>
  <c r="A23" i="1"/>
  <c r="A16" i="1"/>
  <c r="A26" i="1"/>
  <c r="A20" i="1"/>
  <c r="A39" i="1"/>
  <c r="A28" i="1"/>
  <c r="A55" i="1"/>
  <c r="A41" i="1"/>
  <c r="A59" i="1"/>
  <c r="A49" i="1"/>
  <c r="A67" i="1"/>
  <c r="A57" i="1"/>
  <c r="A87" i="1"/>
  <c r="A65" i="1"/>
  <c r="A79" i="1"/>
  <c r="A81" i="1"/>
  <c r="A27" i="1"/>
  <c r="A17" i="1"/>
  <c r="A56" i="1"/>
  <c r="A21" i="1"/>
  <c r="A58" i="1"/>
  <c r="A15" i="1"/>
  <c r="A25" i="1"/>
  <c r="A19" i="1"/>
  <c r="A38" i="1"/>
  <c r="A52" i="1"/>
  <c r="A50" i="1"/>
  <c r="A31" i="1"/>
  <c r="A88" i="1"/>
  <c r="A61" i="1"/>
  <c r="A66" i="1"/>
  <c r="A129" i="1"/>
  <c r="A111" i="1"/>
  <c r="A110" i="1"/>
  <c r="A109" i="1"/>
  <c r="A108" i="1"/>
  <c r="A128" i="1"/>
  <c r="A127" i="1"/>
  <c r="A124" i="1"/>
  <c r="A126" i="1"/>
  <c r="A125" i="1"/>
  <c r="A123" i="1"/>
  <c r="A34" i="1"/>
  <c r="A122" i="1"/>
  <c r="A121" i="1"/>
  <c r="A120" i="1"/>
  <c r="A64" i="1"/>
  <c r="A119" i="1"/>
  <c r="A72" i="1"/>
  <c r="A118" i="1"/>
  <c r="A69" i="1"/>
  <c r="A71" i="1"/>
  <c r="A116" i="1"/>
  <c r="A117" i="1"/>
  <c r="A115" i="1"/>
  <c r="A70" i="1"/>
  <c r="A42" i="1"/>
  <c r="A114" i="1"/>
  <c r="A113" i="1"/>
  <c r="A68" i="1"/>
  <c r="A112" i="1"/>
  <c r="A107" i="1"/>
  <c r="A37" i="1"/>
  <c r="A11" i="1"/>
  <c r="A80" i="1"/>
  <c r="A54" i="1"/>
  <c r="A82" i="1"/>
  <c r="A105" i="1"/>
  <c r="A33" i="1"/>
  <c r="A76" i="1"/>
  <c r="A106" i="1"/>
  <c r="A89" i="1"/>
  <c r="A90" i="1"/>
  <c r="A85" i="1"/>
  <c r="A24" i="1"/>
  <c r="A63" i="1"/>
  <c r="A62" i="1"/>
  <c r="A84" i="1"/>
  <c r="A47" i="1"/>
  <c r="A102" i="1"/>
  <c r="A43" i="1"/>
  <c r="A103" i="1"/>
  <c r="A101" i="1"/>
  <c r="A104" i="1"/>
  <c r="A100" i="1"/>
  <c r="A99" i="1"/>
  <c r="A13" i="4"/>
  <c r="A40" i="4"/>
  <c r="A14" i="4"/>
  <c r="A38" i="4"/>
  <c r="A29" i="4"/>
  <c r="A30" i="4"/>
  <c r="A31" i="4"/>
  <c r="A45" i="4"/>
  <c r="A18" i="4"/>
  <c r="A26" i="4"/>
  <c r="A16" i="4"/>
  <c r="A24" i="4"/>
  <c r="A27" i="4"/>
  <c r="A20" i="4"/>
  <c r="A25" i="4"/>
  <c r="A35" i="4"/>
  <c r="A23" i="4"/>
  <c r="A28" i="4"/>
  <c r="A32" i="4"/>
  <c r="A19" i="4"/>
  <c r="A43" i="4"/>
  <c r="A37" i="4"/>
  <c r="A36" i="4"/>
  <c r="A41" i="4"/>
  <c r="A17" i="4"/>
  <c r="A22" i="4"/>
  <c r="A92" i="1"/>
  <c r="A33" i="4"/>
  <c r="A34" i="4"/>
  <c r="A15" i="4"/>
  <c r="A21" i="4"/>
  <c r="A12" i="4"/>
  <c r="A91" i="1"/>
  <c r="A93" i="1"/>
  <c r="A75" i="1"/>
  <c r="A30" i="1"/>
  <c r="A32" i="1"/>
  <c r="A29" i="1"/>
  <c r="A83" i="1"/>
  <c r="A14" i="1"/>
  <c r="A12" i="1"/>
  <c r="A13" i="1"/>
  <c r="A94" i="1"/>
  <c r="A46" i="4"/>
  <c r="A52" i="4"/>
  <c r="A51" i="4"/>
  <c r="A98" i="1"/>
  <c r="A95" i="1"/>
  <c r="A96" i="1"/>
  <c r="A70" i="4"/>
  <c r="A42" i="4"/>
  <c r="A69" i="4"/>
  <c r="A68" i="4"/>
  <c r="A65" i="4"/>
  <c r="A18" i="1"/>
  <c r="A66" i="4"/>
  <c r="A67" i="4"/>
  <c r="A78" i="1"/>
  <c r="A44" i="4"/>
  <c r="A74" i="1"/>
  <c r="A39" i="4"/>
  <c r="A47" i="4"/>
  <c r="A22" i="1"/>
  <c r="A73" i="1"/>
  <c r="A57" i="4"/>
  <c r="A61" i="4"/>
  <c r="A64" i="4"/>
  <c r="A63" i="4"/>
  <c r="A62" i="4"/>
  <c r="A36" i="1"/>
  <c r="A35" i="1"/>
  <c r="A60" i="1"/>
  <c r="A45" i="1"/>
  <c r="A53" i="1"/>
  <c r="A40" i="1"/>
  <c r="A44" i="1"/>
  <c r="A97" i="1"/>
  <c r="A54" i="4"/>
  <c r="A53" i="4"/>
  <c r="A56" i="4"/>
  <c r="A55" i="4"/>
  <c r="A48" i="4"/>
  <c r="A50" i="4"/>
  <c r="A49" i="4"/>
  <c r="F297" i="7"/>
  <c r="A59" i="4"/>
  <c r="A60" i="4"/>
  <c r="G297" i="7"/>
  <c r="H297" i="7"/>
  <c r="A58" i="4"/>
  <c r="F314" i="7" l="1"/>
  <c r="I278" i="7"/>
  <c r="N278" i="7" s="1"/>
  <c r="I297" i="7"/>
  <c r="N297" i="7" s="1"/>
  <c r="F325" i="7"/>
  <c r="F326" i="7" s="1"/>
  <c r="F327" i="7" s="1"/>
  <c r="D322" i="7" s="1"/>
  <c r="H314" i="7"/>
  <c r="H325" i="7"/>
  <c r="H326" i="7" s="1"/>
  <c r="H327" i="7" s="1"/>
  <c r="G314" i="7"/>
  <c r="G325" i="7"/>
  <c r="G326" i="7" s="1"/>
  <c r="G327" i="7" s="1"/>
  <c r="D323" i="7" s="1"/>
  <c r="Q278" i="7" l="1"/>
  <c r="G20" i="9"/>
  <c r="D20" i="9" s="1"/>
  <c r="D21" i="9" s="1"/>
  <c r="D24" i="9" s="1"/>
  <c r="I327" i="7"/>
  <c r="D324" i="7"/>
  <c r="I314" i="7"/>
  <c r="N314" i="7"/>
  <c r="F21" i="9" l="1"/>
  <c r="F24" i="9" s="1"/>
  <c r="G21" i="9"/>
  <c r="G24" i="9" s="1"/>
  <c r="G7" i="9"/>
  <c r="D7" i="9" s="1"/>
  <c r="D12" i="9" s="1"/>
  <c r="D25" i="9" s="1"/>
  <c r="Q297" i="7"/>
  <c r="D41" i="9" l="1"/>
  <c r="D42" i="9" s="1"/>
  <c r="D44" i="9"/>
  <c r="F12" i="9"/>
  <c r="F25" i="9" s="1"/>
  <c r="F15" i="8"/>
  <c r="F32" i="8"/>
  <c r="G12" i="9"/>
  <c r="F56" i="8" l="1"/>
  <c r="F70" i="8" s="1"/>
  <c r="G25" i="9"/>
  <c r="G44" i="9" l="1"/>
  <c r="G41" i="9"/>
  <c r="G42" i="9" s="1"/>
  <c r="F37" i="8"/>
  <c r="F45" i="8" s="1"/>
  <c r="D37" i="8"/>
  <c r="D45" i="8" s="1"/>
  <c r="D46" i="8" s="1"/>
  <c r="I46" i="8" s="1"/>
  <c r="F78" i="8"/>
  <c r="F64" i="8"/>
  <c r="D56" i="8"/>
  <c r="D64" i="8" s="1"/>
  <c r="I41" i="9" l="1"/>
  <c r="D49" i="8"/>
  <c r="I49" i="8" s="1"/>
  <c r="D70" i="8"/>
  <c r="D78" i="8" s="1"/>
  <c r="F62" i="8"/>
  <c r="F65" i="8" s="1"/>
  <c r="F46" i="8"/>
  <c r="F49" i="8"/>
  <c r="J46" i="8" l="1"/>
  <c r="D327" i="7" s="1"/>
  <c r="F76" i="8"/>
  <c r="F79" i="8" s="1"/>
  <c r="D62" i="8"/>
  <c r="D65" i="8" s="1"/>
  <c r="D328" i="7"/>
  <c r="J49" i="8"/>
  <c r="D329" i="7" s="1"/>
  <c r="D326" i="7" l="1"/>
  <c r="D76" i="8"/>
  <c r="D79"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Ashby, Steven</author>
  </authors>
  <commentList>
    <comment ref="J30" authorId="0" shapeId="0" xr:uid="{77DB57BB-4B66-40D2-8223-CB16F277D0DE}">
      <text>
        <r>
          <rPr>
            <b/>
            <sz val="9"/>
            <color indexed="81"/>
            <rFont val="Tahoma"/>
            <family val="2"/>
          </rPr>
          <t>Ashby, Steven:</t>
        </r>
        <r>
          <rPr>
            <sz val="9"/>
            <color indexed="81"/>
            <rFont val="Tahoma"/>
            <family val="2"/>
          </rPr>
          <t xml:space="preserve">
represents the CouponInterestReceivable account
</t>
        </r>
      </text>
    </comment>
    <comment ref="M44" authorId="0" shapeId="0" xr:uid="{87FCAC58-6653-4FD1-8CDA-24D954310966}">
      <text>
        <r>
          <rPr>
            <b/>
            <sz val="9"/>
            <color indexed="81"/>
            <rFont val="Tahoma"/>
            <family val="2"/>
          </rPr>
          <t>Ashby, Steven:</t>
        </r>
        <r>
          <rPr>
            <sz val="9"/>
            <color indexed="81"/>
            <rFont val="Tahoma"/>
            <family val="2"/>
          </rPr>
          <t xml:space="preserve">
topside with Current Tax Provision Payable to show 0 at 9/30/25
</t>
        </r>
      </text>
    </comment>
    <comment ref="M120" authorId="0" shapeId="0" xr:uid="{2E8CFE2D-8B32-4F5B-90BC-D2BB3CDE45C2}">
      <text>
        <r>
          <rPr>
            <b/>
            <sz val="9"/>
            <color indexed="81"/>
            <rFont val="Tahoma"/>
            <family val="2"/>
          </rPr>
          <t>Ashby, Steven:</t>
        </r>
        <r>
          <rPr>
            <sz val="9"/>
            <color indexed="81"/>
            <rFont val="Tahoma"/>
            <family val="2"/>
          </rPr>
          <t xml:space="preserve">
topside with Current Tax Provision Payable to show 0 at 9/30/25</t>
        </r>
      </text>
    </comment>
    <comment ref="M154" authorId="0" shapeId="0" xr:uid="{89C5D34D-CEC2-4631-931E-B295B5CD85FC}">
      <text>
        <r>
          <rPr>
            <b/>
            <sz val="9"/>
            <color indexed="81"/>
            <rFont val="Tahoma"/>
            <family val="2"/>
          </rPr>
          <t>Ashby, Steven:</t>
        </r>
        <r>
          <rPr>
            <sz val="9"/>
            <color indexed="81"/>
            <rFont val="Tahoma"/>
            <family val="2"/>
          </rPr>
          <t xml:space="preserve">
12/17/24 Topside entry as of 12/1/24 for Final 10K disclosure book-to-tax difference</t>
        </r>
      </text>
    </comment>
    <comment ref="M158" authorId="0" shapeId="0" xr:uid="{1EF49078-971F-4BB0-A30B-CE2066FCD381}">
      <text>
        <r>
          <rPr>
            <b/>
            <sz val="9"/>
            <color indexed="81"/>
            <rFont val="Tahoma"/>
            <family val="2"/>
          </rPr>
          <t>Ashby, Steven:</t>
        </r>
        <r>
          <rPr>
            <sz val="9"/>
            <color indexed="81"/>
            <rFont val="Tahoma"/>
            <family val="2"/>
          </rPr>
          <t xml:space="preserve">
12/17/24 Topside entry as of 12/1/24 for Final 10K disclosure book-to-tax difference</t>
        </r>
      </text>
    </comment>
    <comment ref="M163" authorId="0" shapeId="0" xr:uid="{F1F813BE-296D-4C5C-804B-08932FD59183}">
      <text>
        <r>
          <rPr>
            <b/>
            <sz val="9"/>
            <color indexed="81"/>
            <rFont val="Tahoma"/>
            <family val="2"/>
          </rPr>
          <t>Ashby, Steven:</t>
        </r>
        <r>
          <rPr>
            <sz val="9"/>
            <color indexed="81"/>
            <rFont val="Tahoma"/>
            <family val="2"/>
          </rPr>
          <t xml:space="preserve">
12/17/24 Topside entry as of 12/1/24 for Final 10K disclosure book-to-tax difference
</t>
        </r>
      </text>
    </comment>
    <comment ref="L173" authorId="0" shapeId="0" xr:uid="{3857BFF3-2559-4241-92A4-D3D6326D2E2D}">
      <text>
        <r>
          <rPr>
            <b/>
            <sz val="9"/>
            <color indexed="81"/>
            <rFont val="Tahoma"/>
            <family val="2"/>
          </rPr>
          <t>Ashby, Steven:</t>
        </r>
        <r>
          <rPr>
            <sz val="9"/>
            <color indexed="81"/>
            <rFont val="Tahoma"/>
            <family val="2"/>
          </rPr>
          <t xml:space="preserve">
offset for SBIC II pricing (avoids duplication due to equity pick up and pricing equity position)</t>
        </r>
      </text>
    </comment>
    <comment ref="M173" authorId="0" shapeId="0" xr:uid="{8D4AE3C3-8AB8-41C6-A5D7-1D6CA8F3DCBF}">
      <text>
        <r>
          <rPr>
            <b/>
            <sz val="9"/>
            <color indexed="81"/>
            <rFont val="Tahoma"/>
            <family val="2"/>
          </rPr>
          <t>Ashby, Steven:</t>
        </r>
        <r>
          <rPr>
            <sz val="9"/>
            <color indexed="81"/>
            <rFont val="Tahoma"/>
            <family val="2"/>
          </rPr>
          <t xml:space="preserve">
Topside entry for FY2022 issue that was adjusted on accounting systems in 2023</t>
        </r>
      </text>
    </comment>
    <comment ref="J174" authorId="0" shapeId="0" xr:uid="{485384CD-3E82-46F5-B245-B28EF5BEE80A}">
      <text>
        <r>
          <rPr>
            <b/>
            <sz val="9"/>
            <color indexed="81"/>
            <rFont val="Tahoma"/>
            <family val="2"/>
          </rPr>
          <t>Ashby, Steven:</t>
        </r>
        <r>
          <rPr>
            <sz val="9"/>
            <color indexed="81"/>
            <rFont val="Tahoma"/>
            <family val="2"/>
          </rPr>
          <t xml:space="preserve">
offset for SBIC II pricing (avoids duplication due to equity pick up and pricing equity position)</t>
        </r>
      </text>
    </comment>
    <comment ref="J175" authorId="0" shapeId="0" xr:uid="{B0FB1552-3617-415B-A57B-96DA250A82C6}">
      <text>
        <r>
          <rPr>
            <b/>
            <sz val="9"/>
            <color indexed="81"/>
            <rFont val="Tahoma"/>
            <family val="2"/>
          </rPr>
          <t>Ashby, Steven:</t>
        </r>
        <r>
          <rPr>
            <sz val="9"/>
            <color indexed="81"/>
            <rFont val="Tahoma"/>
            <family val="2"/>
          </rPr>
          <t xml:space="preserve">
offset for SBIC II pricing (avoids duplication due to equity pick up and pricing equity position)</t>
        </r>
      </text>
    </comment>
    <comment ref="J177" authorId="0" shapeId="0" xr:uid="{E531EBA6-A655-456E-99F2-2CC38241B040}">
      <text>
        <r>
          <rPr>
            <b/>
            <sz val="9"/>
            <color indexed="81"/>
            <rFont val="Tahoma"/>
            <family val="2"/>
          </rPr>
          <t>Ashby, Steven:</t>
        </r>
        <r>
          <rPr>
            <sz val="9"/>
            <color indexed="81"/>
            <rFont val="Tahoma"/>
            <family val="2"/>
          </rPr>
          <t xml:space="preserve">
Unreal FX from GBP Line of Credit; YTD Change</t>
        </r>
      </text>
    </comment>
    <comment ref="J178" authorId="0" shapeId="0" xr:uid="{173C5C45-8D4F-4ECE-9EAF-EAD264CE97E0}">
      <text>
        <r>
          <rPr>
            <b/>
            <sz val="9"/>
            <color indexed="81"/>
            <rFont val="Tahoma"/>
            <family val="2"/>
          </rPr>
          <t>Ashby, Steven:</t>
        </r>
        <r>
          <rPr>
            <sz val="9"/>
            <color indexed="81"/>
            <rFont val="Tahoma"/>
            <family val="2"/>
          </rPr>
          <t xml:space="preserve">
Unreal price gain/loss for GBP Line of Credit</t>
        </r>
      </text>
    </comment>
    <comment ref="M178" authorId="0" shapeId="0" xr:uid="{35C5013E-5013-4009-BB3C-505CD0CD219A}">
      <text>
        <r>
          <rPr>
            <b/>
            <sz val="9"/>
            <color indexed="81"/>
            <rFont val="Tahoma"/>
            <family val="2"/>
          </rPr>
          <t>Ashby, Steven:</t>
        </r>
        <r>
          <rPr>
            <sz val="9"/>
            <color indexed="81"/>
            <rFont val="Tahoma"/>
            <family val="2"/>
          </rPr>
          <t xml:space="preserve">
Topside Entry for the Research Now Price change communicated 1/21/25
</t>
        </r>
      </text>
    </comment>
    <comment ref="L190" authorId="0" shapeId="0" xr:uid="{7086047F-2FBB-45C8-A44D-178543C345DC}">
      <text>
        <r>
          <rPr>
            <b/>
            <sz val="9"/>
            <color indexed="81"/>
            <rFont val="Tahoma"/>
            <family val="2"/>
          </rPr>
          <t>Ashby, Steven:</t>
        </r>
        <r>
          <rPr>
            <sz val="9"/>
            <color indexed="81"/>
            <rFont val="Tahoma"/>
            <family val="2"/>
          </rPr>
          <t xml:space="preserve">
offset for SBIC II pricing (avoids duplication due to equity pick up and pricing equity position)</t>
        </r>
      </text>
    </comment>
    <comment ref="L192" authorId="0" shapeId="0" xr:uid="{CCC26410-E61B-427C-ACCD-1E1BE077B4D8}">
      <text>
        <r>
          <rPr>
            <b/>
            <sz val="9"/>
            <color indexed="81"/>
            <rFont val="Tahoma"/>
            <family val="2"/>
          </rPr>
          <t>Ashby, Steven:</t>
        </r>
        <r>
          <rPr>
            <sz val="9"/>
            <color indexed="81"/>
            <rFont val="Tahoma"/>
            <family val="2"/>
          </rPr>
          <t xml:space="preserve">
offset for SBIC II pricing (avoids duplication due to equity pick up and pricing equity position)</t>
        </r>
      </text>
    </comment>
    <comment ref="M197" authorId="0" shapeId="0" xr:uid="{DCECDDB0-20F4-4A07-84B5-54EBB951AF67}">
      <text>
        <r>
          <rPr>
            <b/>
            <sz val="9"/>
            <color indexed="81"/>
            <rFont val="Tahoma"/>
            <family val="2"/>
          </rPr>
          <t>Ashby, Steven:</t>
        </r>
        <r>
          <rPr>
            <sz val="9"/>
            <color indexed="81"/>
            <rFont val="Tahoma"/>
            <family val="2"/>
          </rPr>
          <t xml:space="preserve">
this is an adj topside to reclass the Inovex interest that for some reason is hitting Interest Expense; security was rechecked 9/25/25 no changes made and treatment similar to NN02-PP; offset with InterestExpense
</t>
        </r>
      </text>
    </comment>
    <comment ref="J203" authorId="0" shapeId="0" xr:uid="{415BC750-A739-4337-956A-73549CE1CE5C}">
      <text>
        <r>
          <rPr>
            <b/>
            <sz val="9"/>
            <color indexed="81"/>
            <rFont val="Tahoma"/>
            <family val="2"/>
          </rPr>
          <t>Ashby, Steven:</t>
        </r>
        <r>
          <rPr>
            <sz val="9"/>
            <color indexed="81"/>
            <rFont val="Tahoma"/>
            <family val="2"/>
          </rPr>
          <t xml:space="preserve">
Unreal price gain/loss for GBP Line of Credit</t>
        </r>
      </text>
    </comment>
    <comment ref="J222" authorId="0" shapeId="0" xr:uid="{C11CC43D-70D0-4255-8C5C-5112F3A39E75}">
      <text>
        <r>
          <rPr>
            <b/>
            <sz val="9"/>
            <color indexed="81"/>
            <rFont val="Tahoma"/>
            <family val="2"/>
          </rPr>
          <t>Ashby, Steven:</t>
        </r>
        <r>
          <rPr>
            <sz val="9"/>
            <color indexed="81"/>
            <rFont val="Tahoma"/>
            <family val="2"/>
          </rPr>
          <t xml:space="preserve">
Unreal FX from GBP Line of Credit; YTD Change</t>
        </r>
      </text>
    </comment>
    <comment ref="L262" authorId="0" shapeId="0" xr:uid="{B3FEBB1F-CE0E-4D8D-8BEC-2E97857E9F49}">
      <text>
        <r>
          <rPr>
            <b/>
            <sz val="9"/>
            <color indexed="81"/>
            <rFont val="Tahoma"/>
            <family val="2"/>
          </rPr>
          <t>Ashby, Steven:</t>
        </r>
        <r>
          <rPr>
            <sz val="9"/>
            <color indexed="81"/>
            <rFont val="Tahoma"/>
            <family val="2"/>
          </rPr>
          <t xml:space="preserve">
offset for SBIC II pricing (avoids duplication due to equity pick up and pricing equity position)</t>
        </r>
      </text>
    </comment>
  </commentList>
</comments>
</file>

<file path=xl/sharedStrings.xml><?xml version="1.0" encoding="utf-8"?>
<sst xmlns="http://schemas.openxmlformats.org/spreadsheetml/2006/main" count="8541" uniqueCount="2061">
  <si>
    <t>PennantPark Investment Corporation</t>
  </si>
  <si>
    <t>Trial Balance / Sub Chapter M Test</t>
  </si>
  <si>
    <t/>
  </si>
  <si>
    <t>With</t>
  </si>
  <si>
    <t>Without</t>
  </si>
  <si>
    <t>Assets</t>
  </si>
  <si>
    <t>Unfunded</t>
  </si>
  <si>
    <t>a</t>
  </si>
  <si>
    <t>Investments at fair value</t>
  </si>
  <si>
    <t>b1</t>
  </si>
  <si>
    <t>Cash   (See Note 8)</t>
  </si>
  <si>
    <t>Cash</t>
  </si>
  <si>
    <t>MoneyMarket</t>
  </si>
  <si>
    <t>b2</t>
  </si>
  <si>
    <t>Cash Equivalents</t>
  </si>
  <si>
    <t>c</t>
  </si>
  <si>
    <t>Interest receivable</t>
  </si>
  <si>
    <t>d1</t>
  </si>
  <si>
    <t>Receivable for investments sold</t>
  </si>
  <si>
    <t>d2</t>
  </si>
  <si>
    <t xml:space="preserve">DistributionsReceivable </t>
  </si>
  <si>
    <t>dd</t>
  </si>
  <si>
    <t>Due From Affiliates</t>
  </si>
  <si>
    <t>d</t>
  </si>
  <si>
    <t>Prepaid expenses and other assets</t>
  </si>
  <si>
    <t>Total assets</t>
  </si>
  <si>
    <t>Liabilities</t>
  </si>
  <si>
    <t>e</t>
  </si>
  <si>
    <t>Distributions payable</t>
  </si>
  <si>
    <t>f</t>
  </si>
  <si>
    <t>Payable for investments purchased</t>
  </si>
  <si>
    <t>g</t>
  </si>
  <si>
    <t>Unfunded investments</t>
  </si>
  <si>
    <t>h</t>
  </si>
  <si>
    <t>Credit Facility payable</t>
  </si>
  <si>
    <t>i2</t>
  </si>
  <si>
    <t xml:space="preserve">2024 Notes Payable </t>
  </si>
  <si>
    <t>DUMPNNTG2024</t>
  </si>
  <si>
    <t>i3</t>
  </si>
  <si>
    <t xml:space="preserve">2026 Notes Payable </t>
  </si>
  <si>
    <t>DUMPNNTG2026</t>
  </si>
  <si>
    <t>i4</t>
  </si>
  <si>
    <t xml:space="preserve">Nov 2026 Notes Payable </t>
  </si>
  <si>
    <t>DUMPNNT112026</t>
  </si>
  <si>
    <t>i5</t>
  </si>
  <si>
    <t>Feb 2029 Notes Payable</t>
  </si>
  <si>
    <t>DUMPNNT022029</t>
  </si>
  <si>
    <t>j</t>
  </si>
  <si>
    <t>Interest payable on Credit Facility, and Notes</t>
  </si>
  <si>
    <t>k</t>
  </si>
  <si>
    <t>Management fee payable</t>
  </si>
  <si>
    <t>l</t>
  </si>
  <si>
    <t>Performance-based incentive fee payable</t>
  </si>
  <si>
    <t>mm</t>
  </si>
  <si>
    <t xml:space="preserve">Deferred tax liability </t>
  </si>
  <si>
    <t>nn</t>
  </si>
  <si>
    <t>Due to Affiliates</t>
  </si>
  <si>
    <t>m</t>
  </si>
  <si>
    <t>Accrued other expenses</t>
  </si>
  <si>
    <t>Total liabilities</t>
  </si>
  <si>
    <t>Net assets</t>
  </si>
  <si>
    <t>n</t>
  </si>
  <si>
    <t xml:space="preserve">Common stock, </t>
  </si>
  <si>
    <t>PRIOR YEAR</t>
  </si>
  <si>
    <t>o</t>
  </si>
  <si>
    <t>Paid-in capital in excess of par value</t>
  </si>
  <si>
    <t>p</t>
  </si>
  <si>
    <t>Undistributed net investment income</t>
  </si>
  <si>
    <t>q</t>
  </si>
  <si>
    <t>Accumulated net realized loss on investments</t>
  </si>
  <si>
    <t>Accumulated net realized FX loss</t>
  </si>
  <si>
    <t>Accumulated net realized loss on debt</t>
  </si>
  <si>
    <t>r</t>
  </si>
  <si>
    <t>Net unrealized depreciation on investments</t>
  </si>
  <si>
    <t>Provision for taxes on unrealized appreciation (depreciation) on investments</t>
  </si>
  <si>
    <t>Provision for taxes on realized gain on investments</t>
  </si>
  <si>
    <t>s</t>
  </si>
  <si>
    <t>Net unrealized depreciation on Credit Facility</t>
  </si>
  <si>
    <t>Total net assets</t>
  </si>
  <si>
    <t>Total liabilities and net assets</t>
  </si>
  <si>
    <t>Total Outstanding shares</t>
  </si>
  <si>
    <t>Net asset value per share</t>
  </si>
  <si>
    <t>2026 Distributions Fiscal Year-to-date</t>
  </si>
  <si>
    <t>Calculation of Asset Coverage - Section 18 (H) of The Investment Company Act of 1940 - as summarized</t>
  </si>
  <si>
    <t>in the SEC No-Action Letter:</t>
  </si>
  <si>
    <t>Total Assets Less non Senior debt</t>
  </si>
  <si>
    <t>Total Senior Debt</t>
  </si>
  <si>
    <t>Unfunded commitments</t>
  </si>
  <si>
    <t>Total Net assets</t>
  </si>
  <si>
    <t>Asset Coverage Testing must be equal to or greater than 150%</t>
  </si>
  <si>
    <t>% of Leverage on NAV</t>
  </si>
  <si>
    <t>Calculation of Asset Coverage - Without Exemptive Relief:</t>
  </si>
  <si>
    <t xml:space="preserve">This report (“Report”) is being provided to the Fund(s) identified above as (i) an accommodation to and (ii) solely for informational purposes at the direction of and is solely for the benefit of the Fund(s) and is subject to the terms, conditions and limitations set forth in the Administration Agreement between the Fund(s) and The Bank of New York Mellon (or its affiliates) (collectively, “BNYM”).  Notwithstanding anything in this Report to the contrary, no other person, including but not limited to investors in the Fund(s), shall have any rights, interest or claims hereunder or be entitled to any benefits under or on account of the Administration Agreement as a third-party beneficiary or otherwise.  The recipient acknowledges that the Report is confidential and may not be disclosed to any third party without the prior written consent of BNYM.  </t>
  </si>
  <si>
    <t>While this Report was prepared using sources and data believed to be reliable, the information contained herein is preliminary, unaudited, subject to change or later reversal and is provided “AS IS.” Any and all data and information included in this Report (“Data”) was collected solely at the direction of the Fund(s) and in the format directed by the Fund(s); BNY Mellon has exercised no discretion or judgment as to how such Data was collected or organized.  BNYM makes no representations or warranties of any kind with respect to the Report or the information or Data contained herein, express or implied, in fact or in law, including but not limited to warranties as to accuracy, completeness, timeliness, suitability, merchantability, use or fitness for a particular purpose, and BNYM undertakes no duty to update any information contained in the Report.   UNDER NO CIRCUMSTANCES SHALL THE REPORT BE CONSIDERED ADVICE OR A RECOMMENDATION WITH RESPECT TO THE FUND(S), SOLICITATION OR OFFER TO SELL AND/OR PURCHASE ANY SECURITY OR OTHERWISE BE RELIED UPON AS A BASIS FOR ANY ANALYSIS OR INVESTMENT DECISIONS MADE WITH RESPECT TO THE FUND(S).  IF ANY OFFER OF INTERESTS IS MADE WITH RESPECT AN INVESTMENT IN THE FUND(S), IT SHALL BE PURSUANT TO A DEFINITIVE OFFERING MEMORANDUM PREPARED BY OR ON BEHALF OF THE FUND WHICH WOULD CONTAIN MATERIAL INFORMATION NOT CONTAINED HEREIN AND WHICH WOULD SUPERSEDE THIS INFORMATION IN ITS ENTIRETY.  Past Performance is not indicative of future results.  Neither BNYM nor its affiliates or their respective directors, officers or employees shall be responsible or liable for results from any use of the Report, any information or analysis contained therein, or any losses (whether direct, indirect, in contract, tort or otherwise) arising from any decision made or action taken by any party in reliance upon the Report.</t>
  </si>
  <si>
    <t>Income Statement</t>
  </si>
  <si>
    <t>FY 2026 Quarter to Date</t>
  </si>
  <si>
    <t>FY 2026</t>
  </si>
  <si>
    <t>Investment income:</t>
  </si>
  <si>
    <t>December - 2025</t>
  </si>
  <si>
    <t>March - 2026</t>
  </si>
  <si>
    <t>June - 2026</t>
  </si>
  <si>
    <t>September - 2026</t>
  </si>
  <si>
    <t>YEAR TO DATE</t>
  </si>
  <si>
    <t>Interest</t>
  </si>
  <si>
    <t>b1a</t>
  </si>
  <si>
    <t>PSLF Membership Dividend</t>
  </si>
  <si>
    <t>b1b</t>
  </si>
  <si>
    <t>PTSF II Membership Dividend</t>
  </si>
  <si>
    <t>b3</t>
  </si>
  <si>
    <t>Dividend Distribution Income</t>
  </si>
  <si>
    <t>Other income</t>
  </si>
  <si>
    <t>Total investment income</t>
  </si>
  <si>
    <t>  </t>
  </si>
  <si>
    <t>Expenses:</t>
  </si>
  <si>
    <t>Base management fee</t>
  </si>
  <si>
    <t>c1</t>
  </si>
  <si>
    <t>Base management fee - Waiver</t>
  </si>
  <si>
    <t>Performance-based incentive fee</t>
  </si>
  <si>
    <t>Interest and expenses on Credit Facility</t>
  </si>
  <si>
    <t>Administrative services expenses</t>
  </si>
  <si>
    <t>Other general and administrative expenses</t>
  </si>
  <si>
    <t>Expenses before excise taxes</t>
  </si>
  <si>
    <t>Excise tax</t>
  </si>
  <si>
    <t>h1</t>
  </si>
  <si>
    <t>Debt issuance costs - Credit Facility Amendment Fee</t>
  </si>
  <si>
    <t>Total expenses</t>
  </si>
  <si>
    <t>Net investment income</t>
  </si>
  <si>
    <t>Realized gain (loss) on investments and debt:</t>
  </si>
  <si>
    <t>i</t>
  </si>
  <si>
    <t>Net realized gain (loss) on non-controlled, non-affiliated investments</t>
  </si>
  <si>
    <t>Net realized FX gain (loss) on non-controlled, non-affiliated investments</t>
  </si>
  <si>
    <t>ii</t>
  </si>
  <si>
    <t>Net realized gain (loss) on debt</t>
  </si>
  <si>
    <t>Net change in Realized Gain (Loss)</t>
  </si>
  <si>
    <t>Net change in unrealized appreciation (depreciation) on:</t>
  </si>
  <si>
    <t>Investments</t>
  </si>
  <si>
    <t>Debt Appreciation</t>
  </si>
  <si>
    <t>Net change in unrealized appreciation</t>
  </si>
  <si>
    <t>jj</t>
  </si>
  <si>
    <t>kk</t>
  </si>
  <si>
    <t>Net Realized and unrealized gain (loss) on investments and debt:</t>
  </si>
  <si>
    <t>Net increase in net assets resulting from operations</t>
  </si>
  <si>
    <t>income check</t>
  </si>
  <si>
    <t>Net increase in net assets resulting from operations per share</t>
  </si>
  <si>
    <t>must be 0</t>
  </si>
  <si>
    <t>Net investment income per common share</t>
  </si>
  <si>
    <t xml:space="preserve">Distributions </t>
  </si>
  <si>
    <t>Legend</t>
  </si>
  <si>
    <t>A</t>
  </si>
  <si>
    <t>Eliminates Intercompany Investment in Subsidiary Accounts &amp; Balance Sheet Accounts.</t>
  </si>
  <si>
    <t>B</t>
  </si>
  <si>
    <t>Eliminates Intercompany Equity Accounts.</t>
  </si>
  <si>
    <t>C</t>
  </si>
  <si>
    <t>Eliminates Intercompany Income Accounts.</t>
  </si>
  <si>
    <t>Elimination Entries</t>
  </si>
  <si>
    <t>Consolidated Post-Elimination</t>
  </si>
  <si>
    <t>Section</t>
  </si>
  <si>
    <t>Group</t>
  </si>
  <si>
    <t>Financial Account</t>
  </si>
  <si>
    <t>Description</t>
  </si>
  <si>
    <t>BDC</t>
  </si>
  <si>
    <t>SBIC I</t>
  </si>
  <si>
    <t>SBIC II</t>
  </si>
  <si>
    <t>Total</t>
  </si>
  <si>
    <t>Topside</t>
  </si>
  <si>
    <t>Closing Balance</t>
  </si>
  <si>
    <t>Balance Sheet</t>
  </si>
  <si>
    <t>Contra Liabilities</t>
  </si>
  <si>
    <t xml:space="preserve"> Investments</t>
  </si>
  <si>
    <t>Debt Instruments</t>
  </si>
  <si>
    <t>Accrued Interest</t>
  </si>
  <si>
    <t>Amortization / Accretion</t>
  </si>
  <si>
    <t>Cost</t>
  </si>
  <si>
    <t>Unrealized FX GL</t>
  </si>
  <si>
    <t>Unrealized Price G/L</t>
  </si>
  <si>
    <t>Equity Instruments</t>
  </si>
  <si>
    <t>Financing</t>
  </si>
  <si>
    <t>FinancingUnrealized Price G/L</t>
  </si>
  <si>
    <t>Fund</t>
  </si>
  <si>
    <t>Other</t>
  </si>
  <si>
    <t>Receivables</t>
  </si>
  <si>
    <t xml:space="preserve">Dividend Receivable </t>
  </si>
  <si>
    <t xml:space="preserve">Due From PennantPark Admin </t>
  </si>
  <si>
    <t xml:space="preserve">Receivable </t>
  </si>
  <si>
    <t xml:space="preserve">CouponInterestReceivable </t>
  </si>
  <si>
    <t xml:space="preserve">Interest Receivable </t>
  </si>
  <si>
    <t xml:space="preserve">Interest Receivable Sweep </t>
  </si>
  <si>
    <t xml:space="preserve">PIK Interest Receivable </t>
  </si>
  <si>
    <t xml:space="preserve">Prepaid Admin Fee </t>
  </si>
  <si>
    <t xml:space="preserve">Prepaid Fidelity Bond </t>
  </si>
  <si>
    <t xml:space="preserve">Receivable from IM </t>
  </si>
  <si>
    <t xml:space="preserve">Other Receivable </t>
  </si>
  <si>
    <t xml:space="preserve">Prepaid Insurance Fee Asset Account </t>
  </si>
  <si>
    <t xml:space="preserve">Prepaid Investment </t>
  </si>
  <si>
    <t xml:space="preserve">Prepaid Legal Fee Asset Account </t>
  </si>
  <si>
    <t xml:space="preserve">Prepaid Insurance Fee </t>
  </si>
  <si>
    <t xml:space="preserve">Prepaid Organization Cost </t>
  </si>
  <si>
    <t xml:space="preserve">Prepaid – Dividend Receivable </t>
  </si>
  <si>
    <t xml:space="preserve">Receivable from Other Entities </t>
  </si>
  <si>
    <t xml:space="preserve">Reserve Accruals – Interest Income </t>
  </si>
  <si>
    <t xml:space="preserve">Unrealized FX Gain/Loss </t>
  </si>
  <si>
    <t xml:space="preserve">Prepaid Offering Cost </t>
  </si>
  <si>
    <t xml:space="preserve">Pre paid Offering Costs – 2024 Notes </t>
  </si>
  <si>
    <t xml:space="preserve">Pre paid Offering Costs – 2026 Notes </t>
  </si>
  <si>
    <t xml:space="preserve">Pre paid Offering Costs – Nov 2026 Notes </t>
  </si>
  <si>
    <t xml:space="preserve">Pre paid Offering Costs - Feb 2029 Notes </t>
  </si>
  <si>
    <t xml:space="preserve">Prepaid - Egan-Jones Rating Co </t>
  </si>
  <si>
    <t xml:space="preserve">Prepaid - NYSE Annual Fee </t>
  </si>
  <si>
    <t xml:space="preserve">Prepaid Other </t>
  </si>
  <si>
    <t xml:space="preserve">Prepaid Credit Facility </t>
  </si>
  <si>
    <t xml:space="preserve">Credit Facility Prepaid </t>
  </si>
  <si>
    <t xml:space="preserve">Prepaid Assets </t>
  </si>
  <si>
    <t xml:space="preserve">Due from PSLF </t>
  </si>
  <si>
    <t xml:space="preserve">Due from PTSF II </t>
  </si>
  <si>
    <t xml:space="preserve">Prepaid Distribution Fee </t>
  </si>
  <si>
    <t xml:space="preserve">Receivable from Feeder </t>
  </si>
  <si>
    <t>ReceivablesUnrealized FX GL</t>
  </si>
  <si>
    <t xml:space="preserve">Interest Receivable Pending </t>
  </si>
  <si>
    <t xml:space="preserve">Prepaid Management Fee </t>
  </si>
  <si>
    <t xml:space="preserve">Other Receivable Escrow </t>
  </si>
  <si>
    <t xml:space="preserve">PaydownReceivable </t>
  </si>
  <si>
    <t xml:space="preserve">Pre-paid SBIC Incentive Fee Cap Gain </t>
  </si>
  <si>
    <t xml:space="preserve">Prepaid SBA Fee </t>
  </si>
  <si>
    <t xml:space="preserve">Prepaid SBA Fee 2 </t>
  </si>
  <si>
    <t>Payables</t>
  </si>
  <si>
    <t xml:space="preserve">Accrued Admin Fee </t>
  </si>
  <si>
    <t xml:space="preserve">Accrued BNY Admin Fee </t>
  </si>
  <si>
    <t xml:space="preserve">Accrued PP Admin Exp Reimbursement </t>
  </si>
  <si>
    <t xml:space="preserve">Accrued PP Advisor Exp Reimbursement </t>
  </si>
  <si>
    <t xml:space="preserve">Accrued Admin OOPs </t>
  </si>
  <si>
    <t xml:space="preserve">Accrued Advisory Fees </t>
  </si>
  <si>
    <t xml:space="preserve">Accrued CITRIN Pricing Fees </t>
  </si>
  <si>
    <t xml:space="preserve">Accrued Centri Business Consulting Fees </t>
  </si>
  <si>
    <t xml:space="preserve">Accrued DLA SOX/Audit Related Fees </t>
  </si>
  <si>
    <t xml:space="preserve">Accrued Dechert Legal Fees </t>
  </si>
  <si>
    <t xml:space="preserve">Accrued Grant Thornton Tax Fees </t>
  </si>
  <si>
    <t xml:space="preserve">Accrued KROLL LLC Pricing Fees </t>
  </si>
  <si>
    <t xml:space="preserve">Accrued Kirkland &amp; Ellis LLP Legal Fees </t>
  </si>
  <si>
    <t xml:space="preserve">Accrued Foley Tax/Consulting Fees </t>
  </si>
  <si>
    <t xml:space="preserve">Accrued Lincoln Pricing Fees </t>
  </si>
  <si>
    <t xml:space="preserve">Accrued RSM US LLP Audit Related Fees </t>
  </si>
  <si>
    <t xml:space="preserve">Accrued VRC Pricing Fees </t>
  </si>
  <si>
    <t xml:space="preserve">Accrued Admin/Adviser Exp. Reimbursement </t>
  </si>
  <si>
    <t xml:space="preserve">Accrued Audit Fee </t>
  </si>
  <si>
    <t xml:space="preserve">Accrued Consulting Fees Payable </t>
  </si>
  <si>
    <t xml:space="preserve">Accrued Custodian Fees </t>
  </si>
  <si>
    <t xml:space="preserve">Accrued Director Fee </t>
  </si>
  <si>
    <t xml:space="preserve">Accrued Director's OOP Expense </t>
  </si>
  <si>
    <t xml:space="preserve">Accrued Excise Tax Fees </t>
  </si>
  <si>
    <t xml:space="preserve">Accrued Incentive </t>
  </si>
  <si>
    <t xml:space="preserve">Accrued Incentive Fee </t>
  </si>
  <si>
    <t xml:space="preserve">Accrued Incentive Fee Waiver </t>
  </si>
  <si>
    <t xml:space="preserve">Accrued Incentive Fee - Gains </t>
  </si>
  <si>
    <t xml:space="preserve">Accrued Interest Payable </t>
  </si>
  <si>
    <t xml:space="preserve">Accrued Legal Fee </t>
  </si>
  <si>
    <t xml:space="preserve">Accrued Management Fee Waiver </t>
  </si>
  <si>
    <t xml:space="preserve">Accrued Management Fee </t>
  </si>
  <si>
    <t xml:space="preserve">Accrued Misc Payable </t>
  </si>
  <si>
    <t xml:space="preserve">Accrued Other Expense </t>
  </si>
  <si>
    <t xml:space="preserve">Accrued Offering Costs </t>
  </si>
  <si>
    <t xml:space="preserve">Accrued Pricing Fees </t>
  </si>
  <si>
    <t xml:space="preserve">Accrued Printing Fees </t>
  </si>
  <si>
    <t xml:space="preserve">Accrued Proxy Fees </t>
  </si>
  <si>
    <t xml:space="preserve">Accrued S&amp;P Listing Fee </t>
  </si>
  <si>
    <t xml:space="preserve">Accrued Tax Fees </t>
  </si>
  <si>
    <t xml:space="preserve">Current Tax Provision Payable </t>
  </si>
  <si>
    <t xml:space="preserve">Accrued Tax Expense </t>
  </si>
  <si>
    <t xml:space="preserve">Accrued Tax Preperation </t>
  </si>
  <si>
    <t xml:space="preserve">Accrued Mayer Brown Legal Fees </t>
  </si>
  <si>
    <t xml:space="preserve">Accrued Venable LLP Legal Fees </t>
  </si>
  <si>
    <t>M</t>
  </si>
  <si>
    <t xml:space="preserve">Adviser Due Diligence Reimbursement </t>
  </si>
  <si>
    <t xml:space="preserve">Accrued Transfer Agent Fees </t>
  </si>
  <si>
    <t xml:space="preserve">Adviser Due Dilligence Reimbursement </t>
  </si>
  <si>
    <t xml:space="preserve">Commitment Fee Payable - Credit Facility </t>
  </si>
  <si>
    <t xml:space="preserve">Conversion Purchase payable </t>
  </si>
  <si>
    <t xml:space="preserve">Credit Facility Interest Payable </t>
  </si>
  <si>
    <t xml:space="preserve">Deferred Income Fee </t>
  </si>
  <si>
    <t xml:space="preserve">Interest Payable - Revolver </t>
  </si>
  <si>
    <t xml:space="preserve">Interest Payable </t>
  </si>
  <si>
    <t xml:space="preserve">Distributions Payable </t>
  </si>
  <si>
    <t xml:space="preserve">Due to PSLF </t>
  </si>
  <si>
    <t xml:space="preserve">Due to PTSF II </t>
  </si>
  <si>
    <t xml:space="preserve">Income tax payable </t>
  </si>
  <si>
    <t xml:space="preserve">Line of Credit - Liability </t>
  </si>
  <si>
    <t xml:space="preserve">Line of Credit Payable </t>
  </si>
  <si>
    <t xml:space="preserve">Loan Payable </t>
  </si>
  <si>
    <t xml:space="preserve">Credit Facility MTM </t>
  </si>
  <si>
    <t xml:space="preserve">Payable </t>
  </si>
  <si>
    <t xml:space="preserve">Payable for Unfunded Commitments </t>
  </si>
  <si>
    <t xml:space="preserve">Payable to Master </t>
  </si>
  <si>
    <t xml:space="preserve">Swingline Interest Payable </t>
  </si>
  <si>
    <t xml:space="preserve">Unrealized App/Depp 2025 Bond - liability </t>
  </si>
  <si>
    <t xml:space="preserve">Unrealized FX Gain/Loss payable </t>
  </si>
  <si>
    <t xml:space="preserve">Accrued SBA Examination Fee </t>
  </si>
  <si>
    <t xml:space="preserve">SBA Debenture Interest Payable </t>
  </si>
  <si>
    <t xml:space="preserve">SBA Debenture Principal Payable </t>
  </si>
  <si>
    <t>Capital</t>
  </si>
  <si>
    <t>Partners' Capital</t>
  </si>
  <si>
    <t>Capital Stock</t>
  </si>
  <si>
    <t>ContributedAccruedInterest</t>
  </si>
  <si>
    <t>ContributedCost</t>
  </si>
  <si>
    <t>ContributedPriceGain</t>
  </si>
  <si>
    <t>Cost of Issuance</t>
  </si>
  <si>
    <t>CustodianXfer</t>
  </si>
  <si>
    <t>Accumulated net realized gl on investments prior years</t>
  </si>
  <si>
    <t>Accumulated net realized gain loss on investments prior years</t>
  </si>
  <si>
    <t>Net unrealized app dep on debt prior years</t>
  </si>
  <si>
    <t>Net unrealized app dep on investments prior years</t>
  </si>
  <si>
    <t>Retained Earnings-Capital Prior Year</t>
  </si>
  <si>
    <t>Undistributed net investment income Prior Years</t>
  </si>
  <si>
    <t>Distributed Prior Year</t>
  </si>
  <si>
    <t>Distributed Prior Year 2</t>
  </si>
  <si>
    <t>Distributed Prior Year 2009</t>
  </si>
  <si>
    <t>Distributions in excess of income PY 2010</t>
  </si>
  <si>
    <t>ROCSOP Paid in capital</t>
  </si>
  <si>
    <t>ROCSOP Undistributed Income</t>
  </si>
  <si>
    <t>ROCSOP Undistributed Realized</t>
  </si>
  <si>
    <t>Return of Capital to Investors</t>
  </si>
  <si>
    <t>Undistributed Pre 2007</t>
  </si>
  <si>
    <t>Retained Earnings</t>
  </si>
  <si>
    <t>READ Distributed - GP</t>
  </si>
  <si>
    <t>READ Distributed - LP</t>
  </si>
  <si>
    <t>Accumulated net realized gain loss on PIF – Distribution</t>
  </si>
  <si>
    <t>Revenue</t>
  </si>
  <si>
    <t>Change in Unrealized FX Gain/Loss</t>
  </si>
  <si>
    <t>Change in Unrealized Price Gain/Loss</t>
  </si>
  <si>
    <t>ChangeInAccruedInterestLong</t>
  </si>
  <si>
    <t>ChangeInOIDBasisLong</t>
  </si>
  <si>
    <t>ChangeInRelativeDiscountBasisLong</t>
  </si>
  <si>
    <t>ChangeInTotalDiscountBasisLong</t>
  </si>
  <si>
    <t>ChangeInUnfundedLiabilityAccruedInterestLong</t>
  </si>
  <si>
    <t>DelayedSettlementInterestReceipt</t>
  </si>
  <si>
    <t>Dividend Income</t>
  </si>
  <si>
    <t>Dividend Income - PSLF Membership</t>
  </si>
  <si>
    <t>Dividend Income - PTSF II Membership</t>
  </si>
  <si>
    <t>DividendReceipt</t>
  </si>
  <si>
    <t>Equity Pick Up - Ordinary Income</t>
  </si>
  <si>
    <t>-</t>
  </si>
  <si>
    <t>Equity Pick Up - Realized Income</t>
  </si>
  <si>
    <t>Equity Pick Up - Unrealized Income</t>
  </si>
  <si>
    <t>Interest Domestic Paydown</t>
  </si>
  <si>
    <t>Interest Income</t>
  </si>
  <si>
    <t>Interest Income Sweep</t>
  </si>
  <si>
    <t>Sweep Interest Income</t>
  </si>
  <si>
    <t>InterestReceipt</t>
  </si>
  <si>
    <t>ChangeInPIKAccruedInterestLong</t>
  </si>
  <si>
    <t>PIKReceipt</t>
  </si>
  <si>
    <t>Long Term Capital Gain</t>
  </si>
  <si>
    <t>LongTermPriceGainLoss</t>
  </si>
  <si>
    <t>LongTermPriceGainLossonDebt</t>
  </si>
  <si>
    <t>MToMPriceGL</t>
  </si>
  <si>
    <t>Misc Income</t>
  </si>
  <si>
    <t>OIDAmortizationIncome</t>
  </si>
  <si>
    <t>PIK Other Income</t>
  </si>
  <si>
    <t>PIK Interest Income</t>
  </si>
  <si>
    <t>Other Income</t>
  </si>
  <si>
    <t>Reserve Income – Interest Income</t>
  </si>
  <si>
    <t>Prepayment Penalty Income</t>
  </si>
  <si>
    <t>RelativeDiscountAmortizationIncome</t>
  </si>
  <si>
    <t>Section988Income</t>
  </si>
  <si>
    <t>ShortTermCurrencyGainLoss</t>
  </si>
  <si>
    <t>LongTermCurrencyGainLoss</t>
  </si>
  <si>
    <t>RelativePremiumAmortizationIncome</t>
  </si>
  <si>
    <t>Reorg Amortization Income</t>
  </si>
  <si>
    <t>ShortTermPriceGainLoss</t>
  </si>
  <si>
    <t>SoldAccruedInterestReceipt</t>
  </si>
  <si>
    <t>TotalDiscountAmortizationIncome</t>
  </si>
  <si>
    <t>UnfundedLiabilityInterestReceipt</t>
  </si>
  <si>
    <t>Unrealized App/Depp 2025 Bond</t>
  </si>
  <si>
    <t>Unrealized gain/loss on Credit Facility</t>
  </si>
  <si>
    <t>Expense</t>
  </si>
  <si>
    <t>Administration Expense</t>
  </si>
  <si>
    <t>PP Administration Expense</t>
  </si>
  <si>
    <t>Advisor Fee Expense</t>
  </si>
  <si>
    <t>Audit Fee Expense</t>
  </si>
  <si>
    <t>BNY Administration Exp</t>
  </si>
  <si>
    <t>ChangeInAccruedInterestShort</t>
  </si>
  <si>
    <t>ChangeInOIDBasisShort</t>
  </si>
  <si>
    <t>CONSULTING FEES Expense</t>
  </si>
  <si>
    <t>ChangeInRelativePremiumBasisLong</t>
  </si>
  <si>
    <t>ChangeInTotalDiscountBasisShort</t>
  </si>
  <si>
    <t>ChangeInTotalPremiumBasisLong</t>
  </si>
  <si>
    <t>Credit Facility Fee</t>
  </si>
  <si>
    <t>Commitment Fee Expense</t>
  </si>
  <si>
    <t>Credit Facility -  Financing and Arrangement Expenses</t>
  </si>
  <si>
    <t>Credit Facility - Legal Expense</t>
  </si>
  <si>
    <t>Credit Facilty Interest Expense</t>
  </si>
  <si>
    <t>Custodian Fees</t>
  </si>
  <si>
    <t>DelayedSettlementInterestExpense</t>
  </si>
  <si>
    <t>Debt Issuance Cost _ Revolver (Exp)</t>
  </si>
  <si>
    <t>Director Fee Expense</t>
  </si>
  <si>
    <t>CITRIN Pricing Fee Expense</t>
  </si>
  <si>
    <t>Centri Consulting Fee Expense</t>
  </si>
  <si>
    <t>DLA SOX/Audit Fee Expense</t>
  </si>
  <si>
    <t>Dechert Legal Fee Expense</t>
  </si>
  <si>
    <t>Egan Jones Rating Co Expense</t>
  </si>
  <si>
    <t>Grant Thornton Tax Fee Expense</t>
  </si>
  <si>
    <t>NYSE Annual Expense</t>
  </si>
  <si>
    <t>KROLL LLC Pricing Fee Expense</t>
  </si>
  <si>
    <t>Kirkland &amp; Ellis LLP Legal Fee Expense</t>
  </si>
  <si>
    <t>Lincoln Pricing Fee Expense</t>
  </si>
  <si>
    <t>RSM US LLP Audit Fee Expense</t>
  </si>
  <si>
    <t>State and Local Tax</t>
  </si>
  <si>
    <t>VRC Pricing Fee Expense</t>
  </si>
  <si>
    <t>Mayer Brown Legal Fee Expense</t>
  </si>
  <si>
    <t>Director's OOP Expense</t>
  </si>
  <si>
    <t>Dividend Distribution</t>
  </si>
  <si>
    <t>Foley Tax/Consulting Fee Expense</t>
  </si>
  <si>
    <t>Equity Pick Up - Expenses</t>
  </si>
  <si>
    <t>Fidelity Bond Expense</t>
  </si>
  <si>
    <t>IT Expense</t>
  </si>
  <si>
    <t>Incentive Fee Expense</t>
  </si>
  <si>
    <t>Incentive Fee Waiver</t>
  </si>
  <si>
    <t>Incentive Fee Expense - Gains</t>
  </si>
  <si>
    <t>Insurance Fee Expense</t>
  </si>
  <si>
    <t>Interest Expense</t>
  </si>
  <si>
    <t>Interest Expense 2025 bond</t>
  </si>
  <si>
    <t>interest expense - 2024 Notes</t>
  </si>
  <si>
    <t>interest expense - 2026 Notes</t>
  </si>
  <si>
    <t>interest expense - 2029 Notes</t>
  </si>
  <si>
    <t>SoldShortAccruedInterestReceipt</t>
  </si>
  <si>
    <t>Interest Expense - Revolver</t>
  </si>
  <si>
    <t>CoverShortAccruedInterestExpense</t>
  </si>
  <si>
    <t>InterestExpense</t>
  </si>
  <si>
    <t>Legal Fee Expense</t>
  </si>
  <si>
    <t>MgmtFeeExpense Waiver</t>
  </si>
  <si>
    <t>MgmtFeeExpense</t>
  </si>
  <si>
    <t>Mgt Fee Reporting</t>
  </si>
  <si>
    <t>Origination Fee expense</t>
  </si>
  <si>
    <t>OutOfPocketExpenses</t>
  </si>
  <si>
    <t>Miscellaneous Expense</t>
  </si>
  <si>
    <t>Misc Expense</t>
  </si>
  <si>
    <t>Portfolio Investment Expense</t>
  </si>
  <si>
    <t>Offering Expense</t>
  </si>
  <si>
    <t>Partnership Fee Expense</t>
  </si>
  <si>
    <t>PP&amp;E Expense</t>
  </si>
  <si>
    <t>Pricing Expense</t>
  </si>
  <si>
    <t>Printing Fees</t>
  </si>
  <si>
    <t>Proxy Expense</t>
  </si>
  <si>
    <t>PurchasedAccruedInterestExpense</t>
  </si>
  <si>
    <t>SBIC Incentive Fee Cap Gain</t>
  </si>
  <si>
    <t>Section988Expense</t>
  </si>
  <si>
    <t>RelativePremiumAmortizationExpense</t>
  </si>
  <si>
    <t>OIDAmortizationExpense</t>
  </si>
  <si>
    <t>S&amp;P Listing Fee Expense</t>
  </si>
  <si>
    <t>Incentive Fee - Capital Gains</t>
  </si>
  <si>
    <t>Swingline Interest Expense</t>
  </si>
  <si>
    <t>Tax Estimates Expense</t>
  </si>
  <si>
    <t>Tax Expense</t>
  </si>
  <si>
    <t>Tax Preparation Expense</t>
  </si>
  <si>
    <t>Tax Refund Due</t>
  </si>
  <si>
    <t>Transfer Agent Service Fee</t>
  </si>
  <si>
    <t>WSO Fee Expense</t>
  </si>
  <si>
    <t>SBA Commitment Expense</t>
  </si>
  <si>
    <t>SBA Debenture Interest Expense</t>
  </si>
  <si>
    <t>SBA Drawdown Expense</t>
  </si>
  <si>
    <t>SBA Examination Fee</t>
  </si>
  <si>
    <t>UnfundedLiabilityInterestExpense</t>
  </si>
  <si>
    <t>TotalDiscountAmortizationExpense</t>
  </si>
  <si>
    <t>TotalPremiumAmortizationExpense</t>
  </si>
  <si>
    <t>NAV check</t>
  </si>
  <si>
    <t>Net Asset Value</t>
  </si>
  <si>
    <t>Check</t>
  </si>
  <si>
    <t>Balance sheet check</t>
  </si>
  <si>
    <t>Header</t>
  </si>
  <si>
    <t>Detail</t>
  </si>
  <si>
    <t>BNY</t>
  </si>
  <si>
    <t>Custom Trial Balance #304</t>
  </si>
  <si>
    <t>PennantPark Investment Corp</t>
  </si>
  <si>
    <t>Period Start Date</t>
  </si>
  <si>
    <t>01/30/2026:00:00:00</t>
  </si>
  <si>
    <t>Period End Date</t>
  </si>
  <si>
    <t>01/31/2026:23:59:59</t>
  </si>
  <si>
    <t>Prior Knowledge Date</t>
  </si>
  <si>
    <t>01/30/2026:15:18:07</t>
  </si>
  <si>
    <t>Knowledge Date</t>
  </si>
  <si>
    <t>02/09/2026:20:49:59</t>
  </si>
  <si>
    <t>U.S. Dollars</t>
  </si>
  <si>
    <t>FinancialAccount</t>
  </si>
  <si>
    <t>OpeningBalance</t>
  </si>
  <si>
    <t>Debits</t>
  </si>
  <si>
    <t>Credits</t>
  </si>
  <si>
    <t>ClosingBalance</t>
  </si>
  <si>
    <t>CouponInterestReceivable</t>
  </si>
  <si>
    <t>Value</t>
  </si>
  <si>
    <t>ParameterName</t>
  </si>
  <si>
    <t>ParameterValue</t>
  </si>
  <si>
    <t>EventNumber</t>
  </si>
  <si>
    <t>ErrorMessage</t>
  </si>
  <si>
    <t>LongOrShort</t>
  </si>
  <si>
    <t>Currency</t>
  </si>
  <si>
    <t>InvestmentType</t>
  </si>
  <si>
    <t>InvestmentID</t>
  </si>
  <si>
    <t>TaxLotDescription</t>
  </si>
  <si>
    <t>Quantity</t>
  </si>
  <si>
    <t>TaxLotID</t>
  </si>
  <si>
    <t>LotDay</t>
  </si>
  <si>
    <t>UnitCost</t>
  </si>
  <si>
    <t>MarketPrice</t>
  </si>
  <si>
    <t>CostBook</t>
  </si>
  <si>
    <t>MarketValueBook</t>
  </si>
  <si>
    <t>PriceGainOrLoss</t>
  </si>
  <si>
    <t>FXGainOrLoss</t>
  </si>
  <si>
    <t>ExtendedDescription</t>
  </si>
  <si>
    <t>Description3</t>
  </si>
  <si>
    <t>AccruedDescription</t>
  </si>
  <si>
    <t>Accrued</t>
  </si>
  <si>
    <t>Coupon</t>
  </si>
  <si>
    <t>MatDate</t>
  </si>
  <si>
    <t>LXID</t>
  </si>
  <si>
    <t>Long Positions</t>
  </si>
  <si>
    <t>Canadian dollar</t>
  </si>
  <si>
    <t>Cash and Equivalents</t>
  </si>
  <si>
    <t>CAD</t>
  </si>
  <si>
    <t>Canadian dollar-NN_7100PP002 OnHand</t>
  </si>
  <si>
    <t>Bank Debt</t>
  </si>
  <si>
    <t>LX219880.PP</t>
  </si>
  <si>
    <t>Infinity Home Services Holdco, Inc. - Amendment No. 1 DDTL</t>
  </si>
  <si>
    <t>11.00% of Global Commitment</t>
  </si>
  <si>
    <t>LX219880.PP3</t>
  </si>
  <si>
    <t>LX219880.PP6</t>
  </si>
  <si>
    <t>Euro</t>
  </si>
  <si>
    <t>EUR</t>
  </si>
  <si>
    <t>Euro-NN_7100PP002 OnHand</t>
  </si>
  <si>
    <t>U.K. pound</t>
  </si>
  <si>
    <t>GBP</t>
  </si>
  <si>
    <t>U.K. pound-NN_7100PP002 OnHand</t>
  </si>
  <si>
    <t>LX175551.PP</t>
  </si>
  <si>
    <t>AKW Holdings Limited - Term Loan</t>
  </si>
  <si>
    <t>0.70% of Global Commitment</t>
  </si>
  <si>
    <t>0.89% of Global Commitment</t>
  </si>
  <si>
    <t>1.21% of Global Commitment</t>
  </si>
  <si>
    <t>1.22% of Global Commitment</t>
  </si>
  <si>
    <t>1.30% of Global Commitment</t>
  </si>
  <si>
    <t>11.62% of Global Commitment</t>
  </si>
  <si>
    <t>2.30% of Global Commitment</t>
  </si>
  <si>
    <t>4.89% of Global Commitment</t>
  </si>
  <si>
    <t>68.52% of Global Commitment</t>
  </si>
  <si>
    <t>Common Stock</t>
  </si>
  <si>
    <t>AKW Holdings Limited</t>
  </si>
  <si>
    <t>1199211A</t>
  </si>
  <si>
    <t>AKW Holdings Limited - Class B Common share</t>
  </si>
  <si>
    <t>1199211B</t>
  </si>
  <si>
    <t>AKW Holdings Limited - Class C Common share</t>
  </si>
  <si>
    <t>1199211C</t>
  </si>
  <si>
    <t>AKW Holdings Limited - Class D Common share</t>
  </si>
  <si>
    <t>1199211D</t>
  </si>
  <si>
    <t>AKW Holdings Limited - Class E Common share</t>
  </si>
  <si>
    <t>USD</t>
  </si>
  <si>
    <t>U.S. Dollars-NN_7100PP002 CouponInterestReceivable</t>
  </si>
  <si>
    <t>U.S. Dollars-NN_7100PP002 OnHand</t>
  </si>
  <si>
    <t>U.S. Dollars-NN_7100PP002 Payable</t>
  </si>
  <si>
    <t>U.S. Dollars-NN_7100PP002 Receivable</t>
  </si>
  <si>
    <t>U.S. Dollars-NN_7100PP012 OnHand</t>
  </si>
  <si>
    <t>PCS MIDCO INC.  First Lien  DDTL  DDTL - CF</t>
  </si>
  <si>
    <t>8.85% of Global Commitment</t>
  </si>
  <si>
    <t>104739A</t>
  </si>
  <si>
    <t>104739B</t>
  </si>
  <si>
    <t>105214.PP</t>
  </si>
  <si>
    <t>GGG Midco, LLC - First Lien DDTL C Unfunded</t>
  </si>
  <si>
    <t>S + 5.00%; 1.00% Floor</t>
  </si>
  <si>
    <t>1328.PP</t>
  </si>
  <si>
    <t>Ad.net Acquisition, LLC - Revolver</t>
  </si>
  <si>
    <t>0.27% of Global Commitment</t>
  </si>
  <si>
    <t>1.51% of Global Commitment</t>
  </si>
  <si>
    <t>1.78% of Global Commitment</t>
  </si>
  <si>
    <t>4.44% of Global Commitment</t>
  </si>
  <si>
    <t>1360.PP</t>
  </si>
  <si>
    <t>Connatix Buyer, Inc. - Revolver</t>
  </si>
  <si>
    <t>0.83% of Global Commitment</t>
  </si>
  <si>
    <t>89.25% of Global Commitment</t>
  </si>
  <si>
    <t>9.92% of Global Commitment</t>
  </si>
  <si>
    <t>1400.PP</t>
  </si>
  <si>
    <t>Lash OpCo, LLC - Term Loan</t>
  </si>
  <si>
    <t>0.02% of Global Commitment</t>
  </si>
  <si>
    <t>1.42% of Global Commitment</t>
  </si>
  <si>
    <t>1407.PP</t>
  </si>
  <si>
    <t>Lash Opco, LLC - Revolver</t>
  </si>
  <si>
    <t>0.06% of Global Commitment</t>
  </si>
  <si>
    <t>0.10% of Global Commitment</t>
  </si>
  <si>
    <t>0.11% of Global Commitment</t>
  </si>
  <si>
    <t>0.15% of Global Commitment</t>
  </si>
  <si>
    <t>0.29% of Global Commitment</t>
  </si>
  <si>
    <t>0.58% of Global Commitment</t>
  </si>
  <si>
    <t>1.01% of Global Commitment</t>
  </si>
  <si>
    <t>1.06% of Global Commitment</t>
  </si>
  <si>
    <t>1.45% of Global Commitment</t>
  </si>
  <si>
    <t>1.65% of Global Commitment</t>
  </si>
  <si>
    <t>2.55% of Global Commitment</t>
  </si>
  <si>
    <t>1409.PP</t>
  </si>
  <si>
    <t>NBH Group, LLC -Revolver</t>
  </si>
  <si>
    <t>100.00% of Global Commitment</t>
  </si>
  <si>
    <t>1414.PP</t>
  </si>
  <si>
    <t>CF512, Inc. - Revolver</t>
  </si>
  <si>
    <t>18.18% of Global Commitment</t>
  </si>
  <si>
    <t>1434.PP</t>
  </si>
  <si>
    <t>ORL Acquisition, Inc. - Term Loan</t>
  </si>
  <si>
    <t>8.10% of Global Commitment</t>
  </si>
  <si>
    <t>1456.PP</t>
  </si>
  <si>
    <t>Systems Planning and Analysis, Inc. - Revolver</t>
  </si>
  <si>
    <t>0.96% of Global Commitment</t>
  </si>
  <si>
    <t>1.19% of Global Commitment</t>
  </si>
  <si>
    <t>1.43% of Global Commitment</t>
  </si>
  <si>
    <t>3.58% of Global Commitment</t>
  </si>
  <si>
    <t>1471.PP</t>
  </si>
  <si>
    <t>PL Acquisition co., LLC - Revolver</t>
  </si>
  <si>
    <t>1.44% of Global Commitment</t>
  </si>
  <si>
    <t>12.94% of Global Commitment</t>
  </si>
  <si>
    <t>2.16% of Global Commitment</t>
  </si>
  <si>
    <t>2.88% of Global Commitment</t>
  </si>
  <si>
    <t>1476.PP</t>
  </si>
  <si>
    <t>Kinetic Purchaser, LLC - Revolver</t>
  </si>
  <si>
    <t>22.79% of Global Commitment</t>
  </si>
  <si>
    <t>25.75% of Global Commitment</t>
  </si>
  <si>
    <t>1482.PP</t>
  </si>
  <si>
    <t>Imagine Acquisitionco, LLC - Revolver</t>
  </si>
  <si>
    <t>1552.PP</t>
  </si>
  <si>
    <t>Spendmend Holdings LLC - Revolver</t>
  </si>
  <si>
    <t>1.25% of Global Commitment</t>
  </si>
  <si>
    <t>2.49% of Global Commitment</t>
  </si>
  <si>
    <t>5.61% of Global Commitment</t>
  </si>
  <si>
    <t>1555.PP</t>
  </si>
  <si>
    <t>Exigo Intermediate II, LLC - Term Loan</t>
  </si>
  <si>
    <t>20.83% of Global Commitment</t>
  </si>
  <si>
    <t>1556.PP</t>
  </si>
  <si>
    <t>Exigo Intermediate II, LLC - Revolver</t>
  </si>
  <si>
    <t>29.70% of Global Commitment</t>
  </si>
  <si>
    <t>7.42% of Global Commitment</t>
  </si>
  <si>
    <t>1560A.PP</t>
  </si>
  <si>
    <t>Arcfield Acquisition Corp. - Revolver (10/28/24 AMENDMENT)</t>
  </si>
  <si>
    <t>4.82% of Global Commitment</t>
  </si>
  <si>
    <t>1560B.PP</t>
  </si>
  <si>
    <t>Arcfield Acquisition Corp. - refi_2025 Incremental Revolver</t>
  </si>
  <si>
    <t>18.90% of Global Commitment</t>
  </si>
  <si>
    <t>1563.PP</t>
  </si>
  <si>
    <t>BlackHawk Industrial Distribution, Inc. - DDTL</t>
  </si>
  <si>
    <t>1.14% of Global Commitment</t>
  </si>
  <si>
    <t>1602.PP1</t>
  </si>
  <si>
    <t>Flock Financial, LLC - Mezzanine Debt</t>
  </si>
  <si>
    <t>77.27% of Global Commitment</t>
  </si>
  <si>
    <t>1613.PP</t>
  </si>
  <si>
    <t>HV Watterson Holdings, LLC - DDTL</t>
  </si>
  <si>
    <t>12.50% of Global Commitment</t>
  </si>
  <si>
    <t>1617.PP</t>
  </si>
  <si>
    <t>HV Watterson Holdings, LLC - Revolver</t>
  </si>
  <si>
    <t>0.40% of Global Commitment</t>
  </si>
  <si>
    <t>0.80% of Global Commitment</t>
  </si>
  <si>
    <t>1.20% of Global Commitment</t>
  </si>
  <si>
    <t>1.60% of Global Commitment</t>
  </si>
  <si>
    <t>2.40% of Global Commitment</t>
  </si>
  <si>
    <t>2.80% of Global Commitment</t>
  </si>
  <si>
    <t>1619.PP</t>
  </si>
  <si>
    <t>Shiftkey, LLC Term Loan</t>
  </si>
  <si>
    <t>4.50% of Global Commitment</t>
  </si>
  <si>
    <t>1679.PP</t>
  </si>
  <si>
    <t>TMII (A1 Garage Merger Sub), LLC - Revolver</t>
  </si>
  <si>
    <t>12.66% of Global Commitment</t>
  </si>
  <si>
    <t>1684.PP</t>
  </si>
  <si>
    <t>EDS Buyer, LLC - Revolver</t>
  </si>
  <si>
    <t>22.50% of Global Commitment</t>
  </si>
  <si>
    <t>1702.PP</t>
  </si>
  <si>
    <t>BioDerm - Revolver</t>
  </si>
  <si>
    <t>10.00% of Global Commitment</t>
  </si>
  <si>
    <t>15.00% of Global Commitment</t>
  </si>
  <si>
    <t>60.00% of Global Commitment</t>
  </si>
  <si>
    <t>1722.PP</t>
  </si>
  <si>
    <t>Five Star Buyer, Inc. (Track Bronson) - DDTL B</t>
  </si>
  <si>
    <t>0.79% of Global Commitment</t>
  </si>
  <si>
    <t>3.39% of Global Commitment</t>
  </si>
  <si>
    <t>1723.PP</t>
  </si>
  <si>
    <t>Five Star Buyer, Inc. (Track Bronson) - Revolver</t>
  </si>
  <si>
    <t>1.40% of Global Commitment</t>
  </si>
  <si>
    <t>1761.PP</t>
  </si>
  <si>
    <t>Rural Sourcing (HPA SPQ Merger Sub, Inc.) - Revolver</t>
  </si>
  <si>
    <t>1771.PP</t>
  </si>
  <si>
    <t>Loving Tan Intermediate II, Inc. - Revolver</t>
  </si>
  <si>
    <t>1.89% of Global Commitment</t>
  </si>
  <si>
    <t>5.05% of Global Commitment</t>
  </si>
  <si>
    <t>5.68% of Global Commitment</t>
  </si>
  <si>
    <t>7.29% of Global Commitment</t>
  </si>
  <si>
    <t>1780.PP</t>
  </si>
  <si>
    <t>Inventus Power, Inc. - Revolver</t>
  </si>
  <si>
    <t>5.76% of Global Commitment</t>
  </si>
  <si>
    <t>1804.PP</t>
  </si>
  <si>
    <t>NORA Acquisition, LLC - Revolver</t>
  </si>
  <si>
    <t>27.07% of Global Commitment</t>
  </si>
  <si>
    <t>1812.PP</t>
  </si>
  <si>
    <t>ACP Avenu Buyer, LLC - Revolver</t>
  </si>
  <si>
    <t>4.06% of Global Commitment</t>
  </si>
  <si>
    <t>1824.PP</t>
  </si>
  <si>
    <t>Pacific Purchaser, LLC - Revolver</t>
  </si>
  <si>
    <t>27.47% of Global Commitment</t>
  </si>
  <si>
    <t>1848.PP</t>
  </si>
  <si>
    <t>Watchtower Intermediate, LLC. - Revolver</t>
  </si>
  <si>
    <t>33.60% of Global Commitment</t>
  </si>
  <si>
    <t>8.40% of Global Commitment</t>
  </si>
  <si>
    <t>1855.PP</t>
  </si>
  <si>
    <t>Carisk Buyer, Inc. - Revolver</t>
  </si>
  <si>
    <t>1926.PP</t>
  </si>
  <si>
    <t>Carnegie Dartlet, LLC - DDTL</t>
  </si>
  <si>
    <t>33.39% of Global Commitment</t>
  </si>
  <si>
    <t>2221.PP1</t>
  </si>
  <si>
    <t>Loving Tan Intermediate II, Inc. - DDTL</t>
  </si>
  <si>
    <t>6.14% of Global Commitment</t>
  </si>
  <si>
    <t>32106.PP</t>
  </si>
  <si>
    <t>LAV Gear Holdings Takeback T/L</t>
  </si>
  <si>
    <t>0.49% of Global Commitment</t>
  </si>
  <si>
    <t>32107.PP</t>
  </si>
  <si>
    <t>LAV Gear Holdings Rollup Priority HSBC T/L</t>
  </si>
  <si>
    <t>0.48% of Global Commitment</t>
  </si>
  <si>
    <t>3241.PP</t>
  </si>
  <si>
    <t>Research Now Group, LLC and Dynata, LLC - Last Out Term Loan</t>
  </si>
  <si>
    <t>0.01% of Global Commitment</t>
  </si>
  <si>
    <t>32743.PP</t>
  </si>
  <si>
    <t>First Medical Associates - DDTL</t>
  </si>
  <si>
    <t>30.00% of Global Commitment</t>
  </si>
  <si>
    <t>3333.PP</t>
  </si>
  <si>
    <t>WASH &amp; WAX SYSTEMS LLC -Opco (1L)</t>
  </si>
  <si>
    <t>0.50% of Global Commitment</t>
  </si>
  <si>
    <t>3334.PP</t>
  </si>
  <si>
    <t>WASH &amp; WAX SYSTEMS LLC -Holdco (Sub Debt)</t>
  </si>
  <si>
    <t>0.51% of Global Commitment</t>
  </si>
  <si>
    <t>3335.PP</t>
  </si>
  <si>
    <t>WASH &amp; WAX SYSTEMS LLC -Revolver</t>
  </si>
  <si>
    <t>4.19% of Global Commitment</t>
  </si>
  <si>
    <t>3484.PP</t>
  </si>
  <si>
    <t>ETE Intermediate II, LLC - Revolver</t>
  </si>
  <si>
    <t>11.04% of Global Commitment</t>
  </si>
  <si>
    <t>22.09% of Global Commitment</t>
  </si>
  <si>
    <t>3484.PP1</t>
  </si>
  <si>
    <t>3.51% of Global Commitment</t>
  </si>
  <si>
    <t>4375.PP</t>
  </si>
  <si>
    <t>OSP Embedded Purchaser, LLC (LYNX) -Term Loan</t>
  </si>
  <si>
    <t>25.59% of Global Commitment</t>
  </si>
  <si>
    <t>4380.PP</t>
  </si>
  <si>
    <t>OSP Embedded Purchaser, LLC (LYNX) Revolver</t>
  </si>
  <si>
    <t>29.55% of Global Commitment</t>
  </si>
  <si>
    <t>4479.PP</t>
  </si>
  <si>
    <t>TransGo, LLC - Revolver</t>
  </si>
  <si>
    <t>27.75% of Global Commitment</t>
  </si>
  <si>
    <t>4501.PP</t>
  </si>
  <si>
    <t>Omnia Exterior Solutions, LLC - Revolver</t>
  </si>
  <si>
    <t>14.00% of Global Commitment</t>
  </si>
  <si>
    <t>4536.PP</t>
  </si>
  <si>
    <t>Berwick Industrial Park - Term Loan</t>
  </si>
  <si>
    <t>4562.PP</t>
  </si>
  <si>
    <t>MOREGROUP Holdings (fka Huckabee Acquisition), LLC - Revolver</t>
  </si>
  <si>
    <t>12.25% of Global Commitment</t>
  </si>
  <si>
    <t>4631.PP</t>
  </si>
  <si>
    <t>TCG 3.0 Jogger Acquisitionco, Inc. - Term Loan</t>
  </si>
  <si>
    <t>14.83% of Global Commitment</t>
  </si>
  <si>
    <t>4636.PP</t>
  </si>
  <si>
    <t>TCG 3.0 Jogger Acquisitionco, Inc. - Revolver</t>
  </si>
  <si>
    <t>34.50% of Global Commitment</t>
  </si>
  <si>
    <t>4698.PP</t>
  </si>
  <si>
    <t>Carnegie Dartlet, LLC - Revolver</t>
  </si>
  <si>
    <t>26.71% of Global Commitment</t>
  </si>
  <si>
    <t>6.68% of Global Commitment</t>
  </si>
  <si>
    <t>4983.PP</t>
  </si>
  <si>
    <t>Megawatt Acquisitionco, Inc. -  Revolver</t>
  </si>
  <si>
    <t>9.29% of Global Commitment</t>
  </si>
  <si>
    <t>4994.PP</t>
  </si>
  <si>
    <t>Big Top Holdings, LLC - Revolver</t>
  </si>
  <si>
    <t>11.55% of Global Commitment</t>
  </si>
  <si>
    <t>5472.PP</t>
  </si>
  <si>
    <t>RTIC Subsidiary Holdings, LLC - Revolver</t>
  </si>
  <si>
    <t>27.11% of Global Commitment</t>
  </si>
  <si>
    <t>5543.PP</t>
  </si>
  <si>
    <t>Eval Home Health Solutions Intermediate, LLC - Revolver</t>
  </si>
  <si>
    <t>16.44% of Global Commitment</t>
  </si>
  <si>
    <t>5591.PP</t>
  </si>
  <si>
    <t>Safe Haven Defense US LLC - Term Loan</t>
  </si>
  <si>
    <t>8.36% of Global Commitment</t>
  </si>
  <si>
    <t>5598.PP</t>
  </si>
  <si>
    <t>Safe Haven Defense US LLC - Revolver</t>
  </si>
  <si>
    <t>22.27% of Global Commitment</t>
  </si>
  <si>
    <t>5665.PP</t>
  </si>
  <si>
    <t>NP Riverhead Industrial, LLC - Term Loan</t>
  </si>
  <si>
    <t>26.32% of Global Commitment</t>
  </si>
  <si>
    <t>5694.PP</t>
  </si>
  <si>
    <t>Adweek Purchaser, LLC - Term Loan</t>
  </si>
  <si>
    <t>20.00% of Global Commitment</t>
  </si>
  <si>
    <t>5696.PP</t>
  </si>
  <si>
    <t>Adweek Purchaser, LLC - DDTL</t>
  </si>
  <si>
    <t>5750.PP</t>
  </si>
  <si>
    <t>Mineola 212, LLC Term Loan</t>
  </si>
  <si>
    <t>25.00% of Global Commitment</t>
  </si>
  <si>
    <t>5763.PP</t>
  </si>
  <si>
    <t>Azureon, LLC - Term Loan</t>
  </si>
  <si>
    <t>2.76% of Global Commitment</t>
  </si>
  <si>
    <t>20.30% of Global Commitment</t>
  </si>
  <si>
    <t>5769.PP</t>
  </si>
  <si>
    <t>Azureon, LLC  - Revolver</t>
  </si>
  <si>
    <t>23.20% of Global Commitment</t>
  </si>
  <si>
    <t>5794.PP</t>
  </si>
  <si>
    <t>Beacon Behavioral Support Service, LLC. - Revolver</t>
  </si>
  <si>
    <t>20.84% of Global Commitment</t>
  </si>
  <si>
    <t>5800.PP10</t>
  </si>
  <si>
    <t>Beacon Behavioral Support Service, LLC.DDTL</t>
  </si>
  <si>
    <t>15.15% of Global Commitment</t>
  </si>
  <si>
    <t>5800.PP11</t>
  </si>
  <si>
    <t>5800.PP12</t>
  </si>
  <si>
    <t>5800.PP8</t>
  </si>
  <si>
    <t>5800.PP9</t>
  </si>
  <si>
    <t>5804.PP</t>
  </si>
  <si>
    <t>Beacon Behavioral Support Service, LLC. - HoldCo PIK</t>
  </si>
  <si>
    <t>18.78% of Global Commitment</t>
  </si>
  <si>
    <t>31.05% of Global Commitment</t>
  </si>
  <si>
    <t>5813.PP</t>
  </si>
  <si>
    <t>LJ Avalon Holdings, LLC - 3rd Amendment Delayed Draw Term Loan</t>
  </si>
  <si>
    <t>3.18% of Global Commitment</t>
  </si>
  <si>
    <t>5906.PP</t>
  </si>
  <si>
    <t>United Land Services Intermediate Parent Holdings, LLC - Term Loan A</t>
  </si>
  <si>
    <t>6097.PP</t>
  </si>
  <si>
    <t>C5MI Holdco, LLC. - Revolver</t>
  </si>
  <si>
    <t>27.55% of Global Commitment</t>
  </si>
  <si>
    <t>6135.PP</t>
  </si>
  <si>
    <t>Harris &amp; Co. LLC - Revolver</t>
  </si>
  <si>
    <t>20.79% of Global Commitment</t>
  </si>
  <si>
    <t>9.26% of Global Commitment</t>
  </si>
  <si>
    <t>6142.PP1</t>
  </si>
  <si>
    <t>Harris &amp; Co. LLC - DDTL B</t>
  </si>
  <si>
    <t>22.21% of Global Commitment</t>
  </si>
  <si>
    <t>6142.PP2</t>
  </si>
  <si>
    <t>6142.PP3</t>
  </si>
  <si>
    <t>1.26% of Global Commitment</t>
  </si>
  <si>
    <t>6142.PP4</t>
  </si>
  <si>
    <t>6142.PP5</t>
  </si>
  <si>
    <t>6142.PP6</t>
  </si>
  <si>
    <t>6142.PP7</t>
  </si>
  <si>
    <t>6142.PP8</t>
  </si>
  <si>
    <t>6142.PP9</t>
  </si>
  <si>
    <t>31.09% of Global Commitment</t>
  </si>
  <si>
    <t>6156.PP</t>
  </si>
  <si>
    <t>Aechelon Technology, Inc. - Revolver</t>
  </si>
  <si>
    <t>22.17% of Global Commitment</t>
  </si>
  <si>
    <t>32.31% of Global Commitment</t>
  </si>
  <si>
    <t>6174.PP</t>
  </si>
  <si>
    <t>RRA Corporate, LLC - Revolver</t>
  </si>
  <si>
    <t>31.48% of Global Commitment</t>
  </si>
  <si>
    <t>6223.PP</t>
  </si>
  <si>
    <t>Archer Lewis, LLC - Revolver</t>
  </si>
  <si>
    <t>26.07% of Global Commitment</t>
  </si>
  <si>
    <t>6231.PP</t>
  </si>
  <si>
    <t>Archer Lewis, LLC - DDTL B</t>
  </si>
  <si>
    <t>21.32% of Global Commitment</t>
  </si>
  <si>
    <t>6244.PP</t>
  </si>
  <si>
    <t>Northwinds Topco, Inc. - HoldCo PIK Term Loan</t>
  </si>
  <si>
    <t>23.33% of Global Commitment</t>
  </si>
  <si>
    <t>6245.PP</t>
  </si>
  <si>
    <t>Northwinds Topco, Inc. - HoldCo PIK DDTL B</t>
  </si>
  <si>
    <t>6273.PP</t>
  </si>
  <si>
    <t>PAR Excellence Holdings, Inc. - Revolver</t>
  </si>
  <si>
    <t>17.87% of Global Commitment</t>
  </si>
  <si>
    <t>6299.PP</t>
  </si>
  <si>
    <t>ARGANO, LLC.- Revolver</t>
  </si>
  <si>
    <t>7.94% of Global Commitment</t>
  </si>
  <si>
    <t>6392.PP</t>
  </si>
  <si>
    <t>NFS - CFP Holdings LLC - Revolver</t>
  </si>
  <si>
    <t>33.15% of Global Commitment</t>
  </si>
  <si>
    <t>6394.PP</t>
  </si>
  <si>
    <t>NFS - CFP Holdings LLC - DDTL</t>
  </si>
  <si>
    <t>6394.PP1</t>
  </si>
  <si>
    <t>6403.PP</t>
  </si>
  <si>
    <t>GGG MIDCO, LLC - Revolver</t>
  </si>
  <si>
    <t>29.04% of Global Commitment</t>
  </si>
  <si>
    <t>6497.PP</t>
  </si>
  <si>
    <t>DUGGAL ACQUISITION, LLC - Revolver</t>
  </si>
  <si>
    <t>10.24% of Global Commitment</t>
  </si>
  <si>
    <t>6515.PP</t>
  </si>
  <si>
    <t>Omnia Exterior Solutions, LLC - 2024-2 DDTL</t>
  </si>
  <si>
    <t>6517.PP</t>
  </si>
  <si>
    <t>6527.PP</t>
  </si>
  <si>
    <t>Case Works - Revolver</t>
  </si>
  <si>
    <t>18.87% of Global Commitment</t>
  </si>
  <si>
    <t>6531.PP1</t>
  </si>
  <si>
    <t>Case Works - DDTL</t>
  </si>
  <si>
    <t>18.93% of Global Commitment</t>
  </si>
  <si>
    <t>6552.PP</t>
  </si>
  <si>
    <t>Emergency Care Partners, LLC - Revolver</t>
  </si>
  <si>
    <t>4.27% of Global Commitment</t>
  </si>
  <si>
    <t>6556.PP</t>
  </si>
  <si>
    <t>Emergency Care Partners, LLC - Initial DDTL</t>
  </si>
  <si>
    <t>4.37% of Global Commitment</t>
  </si>
  <si>
    <t>6575.PP</t>
  </si>
  <si>
    <t>CJX Borrower, LLC - 2nd Amendment Term Loan</t>
  </si>
  <si>
    <t>0.13% of Global Commitment</t>
  </si>
  <si>
    <t>6578.PP</t>
  </si>
  <si>
    <t>CJX Borrower , LLC.  DDTL</t>
  </si>
  <si>
    <t>3.13% of Global Commitment</t>
  </si>
  <si>
    <t>3.14% of Global Commitment</t>
  </si>
  <si>
    <t>3.15% of Global Commitment</t>
  </si>
  <si>
    <t>3.16% of Global Commitment</t>
  </si>
  <si>
    <t>6912.PP</t>
  </si>
  <si>
    <t>Sabel Systems Technology Solutions, LLC- Revolver</t>
  </si>
  <si>
    <t>13.28% of Global Commitment</t>
  </si>
  <si>
    <t>6978.PP</t>
  </si>
  <si>
    <t>Best Practice Associates, LLC - Revolver</t>
  </si>
  <si>
    <t>7.72% of Global Commitment</t>
  </si>
  <si>
    <t>7043.PP</t>
  </si>
  <si>
    <t>BLC Holding Company, Inc. Revolver</t>
  </si>
  <si>
    <t>30.05% of Global Commitment</t>
  </si>
  <si>
    <t>7133.PP</t>
  </si>
  <si>
    <t>Marketplace Events Acquisition, LLC - Revolver</t>
  </si>
  <si>
    <t>21.77% of Global Commitment</t>
  </si>
  <si>
    <t>7151.PP</t>
  </si>
  <si>
    <t>Lightspeed Buyer, Inc. - Incremental DDTL</t>
  </si>
  <si>
    <t>7190.PP</t>
  </si>
  <si>
    <t>Project Granite Buyer,Inc. - Revolver</t>
  </si>
  <si>
    <t>1.85% of Global Commitment</t>
  </si>
  <si>
    <t>7267.PP</t>
  </si>
  <si>
    <t>Inovex Information Systems Incorporated - Revolver</t>
  </si>
  <si>
    <t>9.50% of Global Commitment</t>
  </si>
  <si>
    <t>7272.PP</t>
  </si>
  <si>
    <t>Inovex Information Systems Incorporated - DDTL</t>
  </si>
  <si>
    <t>7325.PP</t>
  </si>
  <si>
    <t>Seacoast Service Partners, LLC - Revolver</t>
  </si>
  <si>
    <t>27.10% of Global Commitment</t>
  </si>
  <si>
    <t>7389.PP</t>
  </si>
  <si>
    <t>Boss Industries, LLC - Revolver</t>
  </si>
  <si>
    <t>26.13% of Global Commitment</t>
  </si>
  <si>
    <t>7427.PP</t>
  </si>
  <si>
    <t>Sath Industries (fka Events buyer, LLC) - Revolver</t>
  </si>
  <si>
    <t>26.01% of Global Commitment</t>
  </si>
  <si>
    <t>7621.PP5</t>
  </si>
  <si>
    <t>ARGANO  LLC. - 2025 Delayed Draw Term Loan</t>
  </si>
  <si>
    <t>5.32% of Global Commitment</t>
  </si>
  <si>
    <t>7621.PP6</t>
  </si>
  <si>
    <t>7706.PP</t>
  </si>
  <si>
    <t>Ro Health, LLC - Revolver</t>
  </si>
  <si>
    <t>20.97% of Global Commitment</t>
  </si>
  <si>
    <t>7818.PP</t>
  </si>
  <si>
    <t>Halo Buyer, INC. - Refinanced Term Loan</t>
  </si>
  <si>
    <t>2.36% of Global Commitment</t>
  </si>
  <si>
    <t>7823.PP</t>
  </si>
  <si>
    <t>Halo Buyer, INC. - Refinanced Revolver</t>
  </si>
  <si>
    <t>7823.PPA</t>
  </si>
  <si>
    <t>Halo Buyer, INC. - Refinanced Revolver LOC</t>
  </si>
  <si>
    <t>0.00% of Global Commitment</t>
  </si>
  <si>
    <t>8081.PP</t>
  </si>
  <si>
    <t>PAR Excellence Holdings, Inc. - Incremental Term Loan</t>
  </si>
  <si>
    <t>12.00% of Global Commitment</t>
  </si>
  <si>
    <t>8194.PP</t>
  </si>
  <si>
    <t>Impact Advisors, LLC First Lien revolver</t>
  </si>
  <si>
    <t>3.75% of Global Commitment</t>
  </si>
  <si>
    <t>8211.PP</t>
  </si>
  <si>
    <t>GGG Midco, LLC - First Lien DDTL C</t>
  </si>
  <si>
    <t>21.63% of Global Commitment</t>
  </si>
  <si>
    <t>8221.PP</t>
  </si>
  <si>
    <t>MBS Holdings, Inc. - 2025 Incremental Term Loan</t>
  </si>
  <si>
    <t>0.90% of Global Commitment</t>
  </si>
  <si>
    <t>8261.PP</t>
  </si>
  <si>
    <t>Express Wash Intermediate, LLC - 2025 Refinancing Term Loan</t>
  </si>
  <si>
    <t>2.35% of Global Commitment</t>
  </si>
  <si>
    <t>8263.PP</t>
  </si>
  <si>
    <t>Express Wash Intermediate, LLC - 2025 Refinancing Revolver</t>
  </si>
  <si>
    <t>0.14% of Global Commitment</t>
  </si>
  <si>
    <t>8358.PP</t>
  </si>
  <si>
    <t>DX Electric Company, LLC Revolver</t>
  </si>
  <si>
    <t>31.44% of Global Commitment</t>
  </si>
  <si>
    <t>8381.PP</t>
  </si>
  <si>
    <t>Puget Collision, LLC - Revolver</t>
  </si>
  <si>
    <t>40.60% of Global Commitment</t>
  </si>
  <si>
    <t>8382.PP</t>
  </si>
  <si>
    <t>Puget Collision, LLC - Term Loan</t>
  </si>
  <si>
    <t>10.42% of Global Commitment</t>
  </si>
  <si>
    <t>8383.PP</t>
  </si>
  <si>
    <t>Puget Collision, LLC - DDTL</t>
  </si>
  <si>
    <t>8383.PP1</t>
  </si>
  <si>
    <t>8383.PP2</t>
  </si>
  <si>
    <t>8383.PP3</t>
  </si>
  <si>
    <t>8383.PP4</t>
  </si>
  <si>
    <t>8419.PP</t>
  </si>
  <si>
    <t>AFC Dell Holding Corp. - Revolver B</t>
  </si>
  <si>
    <t>3.55% of Global Commitment</t>
  </si>
  <si>
    <t>8424.PP</t>
  </si>
  <si>
    <t>7.65% of Global Commitment</t>
  </si>
  <si>
    <t>8448.PP</t>
  </si>
  <si>
    <t>PD Tri-State Holdco, LLC - Revolver</t>
  </si>
  <si>
    <t>13.80% of Global Commitment</t>
  </si>
  <si>
    <t>8530.PP</t>
  </si>
  <si>
    <t>ACP Avenu Midco, LLC - Revolver</t>
  </si>
  <si>
    <t>1.87% of Global Commitment</t>
  </si>
  <si>
    <t>8630.PP</t>
  </si>
  <si>
    <t>Cornerstone Advisors of Arizona, LLC First Lien - Term Loan - First Lien</t>
  </si>
  <si>
    <t>8636.PP</t>
  </si>
  <si>
    <t>Cornerstone Advisors of Arizona, LLC Revolver</t>
  </si>
  <si>
    <t>3.19% of Global Commitment</t>
  </si>
  <si>
    <t>8762.PP</t>
  </si>
  <si>
    <t>Municipal Emergency Services, Inc - 5th Amendment Revolver</t>
  </si>
  <si>
    <t>3.06% of Global Commitment</t>
  </si>
  <si>
    <t>8777.PP</t>
  </si>
  <si>
    <t>First Medical Associates - First Lien Term Loan</t>
  </si>
  <si>
    <t>8780.PP</t>
  </si>
  <si>
    <t>First Medical Associates - First Lien Revolver</t>
  </si>
  <si>
    <t>8789.PP</t>
  </si>
  <si>
    <t>SCP Clinical Research Intermediate Holdings. LLC - Term Loan</t>
  </si>
  <si>
    <t>12.85% of Global Commitment</t>
  </si>
  <si>
    <t>8790.PP</t>
  </si>
  <si>
    <t>SCP Clinical Research Intermediate Holdings. LLC - Revolver</t>
  </si>
  <si>
    <t>13.95% of Global Commitment</t>
  </si>
  <si>
    <t>8822.PP</t>
  </si>
  <si>
    <t>Paving Lessor Corp. - Revolver</t>
  </si>
  <si>
    <t>21.94% of Global Commitment</t>
  </si>
  <si>
    <t>8875.PP</t>
  </si>
  <si>
    <t>MARSHALL BUILDING ACQUISITION, LLC - Initial Term Loan</t>
  </si>
  <si>
    <t>6.10% of Global Commitment</t>
  </si>
  <si>
    <t>8880.PP</t>
  </si>
  <si>
    <t>MARSHALL BUILDING ACQUISITION, LLC - DDTL A</t>
  </si>
  <si>
    <t>10.26% of Global Commitment</t>
  </si>
  <si>
    <t>8952.PP</t>
  </si>
  <si>
    <t>By Light Professional IT Services LLC First Lien - Term Loan - 2025 Refi</t>
  </si>
  <si>
    <t>0.38% of Global Commitment</t>
  </si>
  <si>
    <t>8957.PP</t>
  </si>
  <si>
    <t>By Light Professional IT Services LLC First Lien - Revolver - 2025 Refi</t>
  </si>
  <si>
    <t>1.98% of Global Commitment</t>
  </si>
  <si>
    <t>8986.PP</t>
  </si>
  <si>
    <t>Aphix Buyer, Inc - Revolver A</t>
  </si>
  <si>
    <t>23.89% of Global Commitment</t>
  </si>
  <si>
    <t>9018.PP</t>
  </si>
  <si>
    <t>Highwire Public Relations, LLC Term Loan</t>
  </si>
  <si>
    <t>3.85% of Global Commitment</t>
  </si>
  <si>
    <t>9019.PP</t>
  </si>
  <si>
    <t>Highwire Public Relations, LLC Revolver</t>
  </si>
  <si>
    <t>8.75% of Global Commitment</t>
  </si>
  <si>
    <t>9022.PP</t>
  </si>
  <si>
    <t>Real Life Intermediate Holdings LLC Revolver</t>
  </si>
  <si>
    <t>7.41% of Global Commitment</t>
  </si>
  <si>
    <t>9023.PP</t>
  </si>
  <si>
    <t>Real Life Intermediate Holdings LLC Term Loan</t>
  </si>
  <si>
    <t>5.80% of Global Commitment</t>
  </si>
  <si>
    <t>9024.PP</t>
  </si>
  <si>
    <t>Podean Buyer, Inc - Revolver</t>
  </si>
  <si>
    <t>26.52% of Global Commitment</t>
  </si>
  <si>
    <t>9074.PP</t>
  </si>
  <si>
    <t>Blue Cloud Pediatric Surgery Centers LLC - Incremental Delayed Draw Term Loan</t>
  </si>
  <si>
    <t>5.52% of Global Commitment</t>
  </si>
  <si>
    <t>9074.PP1</t>
  </si>
  <si>
    <t>9074.PP2</t>
  </si>
  <si>
    <t>9074.PP3</t>
  </si>
  <si>
    <t>9092.PP</t>
  </si>
  <si>
    <t>Penta Group Holdings, Inc. - Revolver</t>
  </si>
  <si>
    <t>6.48% of Global Commitment</t>
  </si>
  <si>
    <t>9116.PP</t>
  </si>
  <si>
    <t>LAV Gear Holdings Inc. New Money Priority Term Loan</t>
  </si>
  <si>
    <t>0.46% of Global Commitment</t>
  </si>
  <si>
    <t>9123.PP</t>
  </si>
  <si>
    <t>Lav Gear Holdings, Inc - Incremental Revolver</t>
  </si>
  <si>
    <t>9176.PP</t>
  </si>
  <si>
    <t>LJ Avalon Holdings, LLC - 3rd Amendment Revolver</t>
  </si>
  <si>
    <t>9210.PP</t>
  </si>
  <si>
    <t>Peninsula Pacific Entertainment - Term B Facility Loan</t>
  </si>
  <si>
    <t>1.64% of Global Commitment</t>
  </si>
  <si>
    <t>9246.PP</t>
  </si>
  <si>
    <t>Walker Edison Furniture Company - New Money DIP</t>
  </si>
  <si>
    <t>8.33% of Global Commitment</t>
  </si>
  <si>
    <t>9251.PP</t>
  </si>
  <si>
    <t>Walker Edison Furniture Company - Litigation DIP</t>
  </si>
  <si>
    <t>9255.PP</t>
  </si>
  <si>
    <t>North American Rail Solutions, LLC - Term Loan</t>
  </si>
  <si>
    <t>2.60% of Global Commitment</t>
  </si>
  <si>
    <t>9257.PP</t>
  </si>
  <si>
    <t>North American Rail Solutions, LLC - Revolver</t>
  </si>
  <si>
    <t>6.03% of Global Commitment</t>
  </si>
  <si>
    <t>9263.PP</t>
  </si>
  <si>
    <t>Rosco Parent, LLC, First Lien Term Loan</t>
  </si>
  <si>
    <t>9268.PP</t>
  </si>
  <si>
    <t>Rosco Parent, LLC, - Revolver</t>
  </si>
  <si>
    <t>26.64% of Global Commitment</t>
  </si>
  <si>
    <t>9787.PP</t>
  </si>
  <si>
    <t>APT OPCO, LLC - Revolver</t>
  </si>
  <si>
    <t>8.19% of Global Commitment</t>
  </si>
  <si>
    <t>BDC 23513A</t>
  </si>
  <si>
    <t>RRA Corporate, LLC - DDTL 2 Unfunded</t>
  </si>
  <si>
    <t>1.00% Ticketing Fee</t>
  </si>
  <si>
    <t>BDC 3218</t>
  </si>
  <si>
    <t>Project Granite Buyer, Inc.- DDTL Unfunded</t>
  </si>
  <si>
    <t>S+5.75%;0.75%Floor</t>
  </si>
  <si>
    <t>BDC 32743</t>
  </si>
  <si>
    <t>First Medical Associates - First Lien DDTL Unfunded</t>
  </si>
  <si>
    <t>S + 5.75% (1.00% Floor)</t>
  </si>
  <si>
    <t>BDC 3276</t>
  </si>
  <si>
    <t>Archer Lewis, LLC - DDTL B Unfunded</t>
  </si>
  <si>
    <t>S + 5.75%, 1.00% Floor</t>
  </si>
  <si>
    <t>BDC 3287</t>
  </si>
  <si>
    <t>SV-Aero Holdings, LLC - DDTL Unfunded</t>
  </si>
  <si>
    <t>SOFR + 4.25%  (1% Floor)</t>
  </si>
  <si>
    <t>BDC 33435</t>
  </si>
  <si>
    <t>LJ Avalon Holdings, LLC - LOC Unfunded</t>
  </si>
  <si>
    <t>6.25% Ticketing Fee</t>
  </si>
  <si>
    <t>BDC 33435A</t>
  </si>
  <si>
    <t>5.25% Ticketing Fee</t>
  </si>
  <si>
    <t>BDC 3395AB</t>
  </si>
  <si>
    <t>MDI Buyer, Inc. - Revolver Unfunded (1/16/24 Lot)</t>
  </si>
  <si>
    <t>0.50% Ticketing Fee</t>
  </si>
  <si>
    <t>BDC 35750</t>
  </si>
  <si>
    <t>Carisk Buyer, Inc. - DDTL Unfunded</t>
  </si>
  <si>
    <t>BDC 3575A</t>
  </si>
  <si>
    <t>Carisk Buyer, Inc. - Amendment 1 DDTL Unfunded</t>
  </si>
  <si>
    <t>BDC 42098</t>
  </si>
  <si>
    <t>Peninsula Pacific Entertainment - Term B Facility Loan DDTL Unfunded</t>
  </si>
  <si>
    <t>BDC 42147</t>
  </si>
  <si>
    <t>PCS Midco, Inc. - DDTL Unfunded</t>
  </si>
  <si>
    <t>BDC 4332</t>
  </si>
  <si>
    <t>Carnegie Dartlet, LLC - DDTL Unfunded</t>
  </si>
  <si>
    <t>BDC 45835</t>
  </si>
  <si>
    <t>Spendmend Holdings LLC - Unfunded DDTL (99.50)</t>
  </si>
  <si>
    <t>BDC 4592</t>
  </si>
  <si>
    <t>Paving Lessor Corp - DDTL Unfunded</t>
  </si>
  <si>
    <t>S + 5.25% (1.00% Floor)</t>
  </si>
  <si>
    <t>BDC 4940B.PP1</t>
  </si>
  <si>
    <t>Systems Planning and Analysis, Inc. - DDTL B</t>
  </si>
  <si>
    <t>0.74% of Global Commitment</t>
  </si>
  <si>
    <t>BDC 4940B.PP2</t>
  </si>
  <si>
    <t>BDC 4940B.PP3</t>
  </si>
  <si>
    <t>BDC 4945</t>
  </si>
  <si>
    <t>Systems Planning and Analysis, Inc. - DDTL 2025 Unfunded</t>
  </si>
  <si>
    <t>S + 4.75%, 1.00% Floor</t>
  </si>
  <si>
    <t>BDC 5696</t>
  </si>
  <si>
    <t>Adweek Purchaser, LLC - DDTL Unfunded</t>
  </si>
  <si>
    <t>1.0% Ticketing Fee</t>
  </si>
  <si>
    <t>BDC 578742</t>
  </si>
  <si>
    <t>Beacon Behavioral Support Services, LLC - 3rd Amendment DDTL Unfunded</t>
  </si>
  <si>
    <t>S + 5.50%, 1.00% Floor</t>
  </si>
  <si>
    <t>BDC 5799A</t>
  </si>
  <si>
    <t>Beacon Behavioral Support Service, LLC.DDTL unfunded</t>
  </si>
  <si>
    <t>1.00% fee expire in 24 months</t>
  </si>
  <si>
    <t>BDC 5908.PP</t>
  </si>
  <si>
    <t>United Land Services Intermediate Parent Holdings, .DDTL</t>
  </si>
  <si>
    <t>BDC 5908.PP1</t>
  </si>
  <si>
    <t>BDC 5908.PP2</t>
  </si>
  <si>
    <t>BDC 5908.PP3</t>
  </si>
  <si>
    <t>BDC 5908.PP4</t>
  </si>
  <si>
    <t>BDC 6142A</t>
  </si>
  <si>
    <t>Harris &amp; Co. LLC. - Unfunded DDTL B</t>
  </si>
  <si>
    <t>S+5% , 1.00 Floor</t>
  </si>
  <si>
    <t>BDC 6219</t>
  </si>
  <si>
    <t>NFS - CFP Holdings LLC - DDTL Unfunded</t>
  </si>
  <si>
    <t>BDC 6577</t>
  </si>
  <si>
    <t>CJX Borrower , LLC.  DDTL Unfunded</t>
  </si>
  <si>
    <t>BDC 6901</t>
  </si>
  <si>
    <t>Infinity Home Services Holdco, Inc. - Amendment No. 3 CAD/USD Unfunded DDTL</t>
  </si>
  <si>
    <t>BDC 7268</t>
  </si>
  <si>
    <t>DUGGAL ACQUISITION, LLC - DDTL Unfunded</t>
  </si>
  <si>
    <t>S + 5.00%, 1.00% Floor</t>
  </si>
  <si>
    <t>BDC 7329</t>
  </si>
  <si>
    <t>Seacoast Service Partners, LLC - DDTL Unfunded</t>
  </si>
  <si>
    <t>Unfunded expires in 24mo</t>
  </si>
  <si>
    <t>BDC 7329.PP</t>
  </si>
  <si>
    <t>Seacoast Service Partners, LLC - DDTL</t>
  </si>
  <si>
    <t>27.34% of Global Commitment</t>
  </si>
  <si>
    <t>BDC 7329.PP1</t>
  </si>
  <si>
    <t>BDC 7329.PP2</t>
  </si>
  <si>
    <t>BDC 7329.PP3</t>
  </si>
  <si>
    <t>BDC 7329.PP4</t>
  </si>
  <si>
    <t>BDC 7342</t>
  </si>
  <si>
    <t>Loving Tan Intermediate II, Inc. - Unfunded DDTL</t>
  </si>
  <si>
    <t>S + 6.50, 1.00% Floor</t>
  </si>
  <si>
    <t>BDC 7342A</t>
  </si>
  <si>
    <t>Loving Tan Intermediate II, Inc. - Unfunded 2nd Amendment DDTL</t>
  </si>
  <si>
    <t>BDC 7623</t>
  </si>
  <si>
    <t>LJ Avalon Holdings, LLC - 3rd Amendment Delayed Draw Term Loan Unfunded</t>
  </si>
  <si>
    <t>S + 4.75% (1.00% Floor)</t>
  </si>
  <si>
    <t>BDC 7624</t>
  </si>
  <si>
    <t>Rancho Family Medical Group DDTL - 6th Amendment Unfunded</t>
  </si>
  <si>
    <t>S + 5.25%, 1.00% Floor</t>
  </si>
  <si>
    <t>BDC 7630</t>
  </si>
  <si>
    <t>Omnia Exterior Solutions, LLC - DDTL 2 Unfunded</t>
  </si>
  <si>
    <t>BDC 81021AA</t>
  </si>
  <si>
    <t>Painters Supply (fka Graffiti Buyer, Inc.) - Unfunded DDTL</t>
  </si>
  <si>
    <t>BDC 8349</t>
  </si>
  <si>
    <t>ACP Avenu Midco, LLC - Delayed Draw Term Loan Unfunded</t>
  </si>
  <si>
    <t>S + 4.75%; 1.00% Floor</t>
  </si>
  <si>
    <t>BDC 8365</t>
  </si>
  <si>
    <t>Sigma Defense Systems, LLC - DDTL Unfunded</t>
  </si>
  <si>
    <t>Hedge (US Business Day Bonds)</t>
  </si>
  <si>
    <t>BDC 8449</t>
  </si>
  <si>
    <t>PD Tri-State Holdco, LLC - DDTL Unfunded</t>
  </si>
  <si>
    <t>BDC 8589</t>
  </si>
  <si>
    <t>Hills Distribution, Inc. - DDTL Unfunded</t>
  </si>
  <si>
    <t>BDC 87321</t>
  </si>
  <si>
    <t>Harris &amp; Co. LLC - DDTL C Unfunded</t>
  </si>
  <si>
    <t>BDC 8777</t>
  </si>
  <si>
    <t>Azureon, LLC - DDTL B Unfunded</t>
  </si>
  <si>
    <t>BDC 8791</t>
  </si>
  <si>
    <t>SCP Clinical Research Intermediate Holdings. LLC - Unfunded DDTL</t>
  </si>
  <si>
    <t>Term SOFR, S+475, Floor 1.00%</t>
  </si>
  <si>
    <t>BDC 8993</t>
  </si>
  <si>
    <t>Aphix Buyer, Inc - DDTL A Unfunded</t>
  </si>
  <si>
    <t>BDC 9020</t>
  </si>
  <si>
    <t>Highwire Public Relations, LLC Unfunded DDTL</t>
  </si>
  <si>
    <t>BDC 9024</t>
  </si>
  <si>
    <t>Real Life Intermediate Holdings LLC Unfunded DDTL</t>
  </si>
  <si>
    <t>S+500, Floor 1.00%</t>
  </si>
  <si>
    <t>BDC 9074</t>
  </si>
  <si>
    <t>Blue Cloud Pediatric Surgery Centers LLC - Incremental Delayed Draw Term Loan UNFUNDED</t>
  </si>
  <si>
    <t>BDC 9088</t>
  </si>
  <si>
    <t>Penta Group Holdings, Inc. - Delayed Draw Term Loan Unfunded</t>
  </si>
  <si>
    <t>BDC 9259</t>
  </si>
  <si>
    <t>North American Rail Solutions, LLC - UNFUNDED DDTL</t>
  </si>
  <si>
    <t>BDC 9792</t>
  </si>
  <si>
    <t>APT OPCO, LLC - UNFUNDED DDTL</t>
  </si>
  <si>
    <t>BDC t8383</t>
  </si>
  <si>
    <t>Puget Collision, LLC - DDTL Unfunded</t>
  </si>
  <si>
    <t>SOFR + 4.75 (0.75% Floor)</t>
  </si>
  <si>
    <t>BDC4562B</t>
  </si>
  <si>
    <t>MOREGROUP Holdings  - Unfunded DDTL</t>
  </si>
  <si>
    <t>3 mo SOFR +5.75%, Floor 1.00%</t>
  </si>
  <si>
    <t>BDC7048</t>
  </si>
  <si>
    <t>BLC Holding Company, Inc. Unfunded DDTL</t>
  </si>
  <si>
    <t>SFOR+4.75% (1% Floor)</t>
  </si>
  <si>
    <t>BDC8198</t>
  </si>
  <si>
    <t>Impact Advisors, LLC First Lien Unfunded DDTL</t>
  </si>
  <si>
    <t>S+4.75%, 1.00% Floor</t>
  </si>
  <si>
    <t>BDC8777.PP</t>
  </si>
  <si>
    <t>Azureon, LLC - DDTL B</t>
  </si>
  <si>
    <t>26.85% of Global Commitment</t>
  </si>
  <si>
    <t>BL00199R.PP</t>
  </si>
  <si>
    <t>Schlesinger Global, Inc. - Term Loan B</t>
  </si>
  <si>
    <t>40.00% of Global Commitment</t>
  </si>
  <si>
    <t>BL0020.PP</t>
  </si>
  <si>
    <t>Schlesinger Global, Inc. - DDTL A</t>
  </si>
  <si>
    <t>0.53% of Global Commitment</t>
  </si>
  <si>
    <t>BL05232023.PP</t>
  </si>
  <si>
    <t>Anteriad Holdings Inc (fka MeritDirect) - Revolver</t>
  </si>
  <si>
    <t>1.28% of Global Commitment</t>
  </si>
  <si>
    <t>15.32% of Global Commitment</t>
  </si>
  <si>
    <t>2.06% of Global Commitment</t>
  </si>
  <si>
    <t>LX176035.PP</t>
  </si>
  <si>
    <t>BlackHawk Industrial Distribution, Inc. - Term Loan</t>
  </si>
  <si>
    <t>1.53% of Global Commitment</t>
  </si>
  <si>
    <t>LX176037.PP</t>
  </si>
  <si>
    <t>BlackHawk Industrial Distribution, Inc. - Revolver</t>
  </si>
  <si>
    <t>0.76% of Global Commitment</t>
  </si>
  <si>
    <t>1.91% of Global Commitment</t>
  </si>
  <si>
    <t>3.81% of Global Commitment</t>
  </si>
  <si>
    <t>LX179631.PP</t>
  </si>
  <si>
    <t>Radius Aerospace, Inc. -Revolver</t>
  </si>
  <si>
    <t>0.99% of Global Commitment</t>
  </si>
  <si>
    <t>1.24% of Global Commitment</t>
  </si>
  <si>
    <t>1.48% of Global Commitment</t>
  </si>
  <si>
    <t>2.47% of Global Commitment</t>
  </si>
  <si>
    <t>LX181273.PP</t>
  </si>
  <si>
    <t>Riverpoint Medical, LLC - Revolver</t>
  </si>
  <si>
    <t>0.05% of Global Commitment</t>
  </si>
  <si>
    <t>0.09% of Global Commitment</t>
  </si>
  <si>
    <t>0.18% of Global Commitment</t>
  </si>
  <si>
    <t>0.91% of Global Commitment</t>
  </si>
  <si>
    <t>LX183628.PP</t>
  </si>
  <si>
    <t>DRS Holdings III - Term Loan</t>
  </si>
  <si>
    <t>LX183629.PP</t>
  </si>
  <si>
    <t>DRS Holdings III - Revolver</t>
  </si>
  <si>
    <t>1.99% of Global Commitment</t>
  </si>
  <si>
    <t>5.09% of Global Commitment</t>
  </si>
  <si>
    <t>LX188109.PP</t>
  </si>
  <si>
    <t>HW Holdco, LLC. - Revolver</t>
  </si>
  <si>
    <t>1.52% of Global Commitment</t>
  </si>
  <si>
    <t>1.73% of Global Commitment</t>
  </si>
  <si>
    <t>2.17% of Global Commitment</t>
  </si>
  <si>
    <t>3.25% of Global Commitment</t>
  </si>
  <si>
    <t>4.34% of Global Commitment</t>
  </si>
  <si>
    <t>5.42% of Global Commitment</t>
  </si>
  <si>
    <t>LX188149.PP</t>
  </si>
  <si>
    <t>Lightspeed Buyer Inc. -  Revolver</t>
  </si>
  <si>
    <t>33.33% of Global Commitment</t>
  </si>
  <si>
    <t>43.33% of Global Commitment</t>
  </si>
  <si>
    <t>LX188173.PP</t>
  </si>
  <si>
    <t>Sales Benchmark Index LLC Revolver</t>
  </si>
  <si>
    <t>2.03% of Global Commitment</t>
  </si>
  <si>
    <t>4.07% of Global Commitment</t>
  </si>
  <si>
    <t>LX188191.PP</t>
  </si>
  <si>
    <t>Schlesinger Global, Inc. - Term Loan</t>
  </si>
  <si>
    <t>0.12% of Global Commitment</t>
  </si>
  <si>
    <t>0.17% of Global Commitment</t>
  </si>
  <si>
    <t>LX188193.PP</t>
  </si>
  <si>
    <t>Schlesinger Global, Inc - Revolver</t>
  </si>
  <si>
    <t>0.26% of Global Commitment</t>
  </si>
  <si>
    <t>LX188193.PP1</t>
  </si>
  <si>
    <t>Schlesinger Global, Inc -  LOC</t>
  </si>
  <si>
    <t>0.03% of Global Commitment</t>
  </si>
  <si>
    <t>0.35% of Global Commitment</t>
  </si>
  <si>
    <t>LX190277.PP</t>
  </si>
  <si>
    <t>Team Services Group, LLC Second lien</t>
  </si>
  <si>
    <t>LX191988.PP</t>
  </si>
  <si>
    <t>Rancho Health MSO, Inc. - Revolver</t>
  </si>
  <si>
    <t>4.20% of Global Commitment</t>
  </si>
  <si>
    <t>6.30% of Global Commitment</t>
  </si>
  <si>
    <t>LX191988.PP1</t>
  </si>
  <si>
    <t>28.67% of Global Commitment</t>
  </si>
  <si>
    <t>LX192286.PP</t>
  </si>
  <si>
    <t>Hancock Claims Consultants (fka Hancock Roofing and Construction) - Revolver</t>
  </si>
  <si>
    <t>0.33% of Global Commitment</t>
  </si>
  <si>
    <t>0.67% of Global Commitment</t>
  </si>
  <si>
    <t>1.13% of Global Commitment</t>
  </si>
  <si>
    <t>2.67% of Global Commitment</t>
  </si>
  <si>
    <t>3.33% of Global Commitment</t>
  </si>
  <si>
    <t>LX193132.PP</t>
  </si>
  <si>
    <t>Sigma Defense Systems, LLC - Term Loan</t>
  </si>
  <si>
    <t>2.22% of Global Commitment</t>
  </si>
  <si>
    <t>3.29% of Global Commitment</t>
  </si>
  <si>
    <t>LX193133.PP</t>
  </si>
  <si>
    <t>Sigma Defense Systems, LLC - Revolver</t>
  </si>
  <si>
    <t>17.86% of Global Commitment</t>
  </si>
  <si>
    <t>2.98% of Global Commitment</t>
  </si>
  <si>
    <t>4.46% of Global Commitment</t>
  </si>
  <si>
    <t>LX194355.PP3</t>
  </si>
  <si>
    <t>AFC Dell Holding Corp. - 6th Amendment DDTL</t>
  </si>
  <si>
    <t>LX194421.PP</t>
  </si>
  <si>
    <t>MBS Holdings Corp. - Revolver</t>
  </si>
  <si>
    <t>16.00% of Global Commitment</t>
  </si>
  <si>
    <t>24.00% of Global Commitment</t>
  </si>
  <si>
    <t>48.00% of Global Commitment</t>
  </si>
  <si>
    <t>LX196636.PP</t>
  </si>
  <si>
    <t>ENC Parent Corporation  - Initial Term Loan</t>
  </si>
  <si>
    <t>0.82% of Global Commitment</t>
  </si>
  <si>
    <t>LX196641.PP</t>
  </si>
  <si>
    <t>ENC Parent Corporation  - Second Lien Term Loan</t>
  </si>
  <si>
    <t>3.95% of Global Commitment</t>
  </si>
  <si>
    <t>LX197234.PP</t>
  </si>
  <si>
    <t>Painters Supply (fka Graffiti Buyer, Inc.) - Revolver</t>
  </si>
  <si>
    <t>0.04% of Global Commitment</t>
  </si>
  <si>
    <t>0.08% of Global Commitment</t>
  </si>
  <si>
    <t>0.21% of Global Commitment</t>
  </si>
  <si>
    <t>0.30% of Global Commitment</t>
  </si>
  <si>
    <t>0.34% of Global Commitment</t>
  </si>
  <si>
    <t>0.43% of Global Commitment</t>
  </si>
  <si>
    <t>LX197235.PP1</t>
  </si>
  <si>
    <t>Painters Supply (fka Graffiti Buyer, Inc.) - DDTL</t>
  </si>
  <si>
    <t>LX197394.PP</t>
  </si>
  <si>
    <t>Crane 1 Services, Inc. - Revolver</t>
  </si>
  <si>
    <t>4.35% of Global Commitment</t>
  </si>
  <si>
    <t>LX198692.PP</t>
  </si>
  <si>
    <t>IG Investment Holdings LLC, Term Loan</t>
  </si>
  <si>
    <t>LX198693.PP</t>
  </si>
  <si>
    <t>IG Investments Holdings, LLC - LOC</t>
  </si>
  <si>
    <t>0.07% of Global Commitment</t>
  </si>
  <si>
    <t>LX198693.PP1</t>
  </si>
  <si>
    <t>IG Investments Holdings, LLC - Revolver</t>
  </si>
  <si>
    <t>LX199429.PP</t>
  </si>
  <si>
    <t>Municipal Emergency Services, Inc - Revolver</t>
  </si>
  <si>
    <t>17.00% of Global Commitment</t>
  </si>
  <si>
    <t>2.50% of Global Commitment</t>
  </si>
  <si>
    <t>20.50% of Global Commitment</t>
  </si>
  <si>
    <t>LX200841.PP</t>
  </si>
  <si>
    <t>Ledge Lounger, Inc. - Revolver</t>
  </si>
  <si>
    <t>10.74% of Global Commitment</t>
  </si>
  <si>
    <t>2.68% of Global Commitment</t>
  </si>
  <si>
    <t>5.37% of Global Commitment</t>
  </si>
  <si>
    <t>8.05% of Global Commitment</t>
  </si>
  <si>
    <t>LX200842.PP</t>
  </si>
  <si>
    <t>Ledge Lounger, Inc. -  Term Loan</t>
  </si>
  <si>
    <t>22.28% of Global Commitment</t>
  </si>
  <si>
    <t>LX201281.PP</t>
  </si>
  <si>
    <t>Kinetic Purchaser, LLC - Term Loan</t>
  </si>
  <si>
    <t>4.57% of Global Commitment</t>
  </si>
  <si>
    <t>LX202046.PP</t>
  </si>
  <si>
    <t>Meadowlark Acquirer, LLC - Funded DDTL I</t>
  </si>
  <si>
    <t>0.16% of Global Commitment</t>
  </si>
  <si>
    <t>1.68% of Global Commitment</t>
  </si>
  <si>
    <t>LX202048.PP</t>
  </si>
  <si>
    <t>Meadowlark Acquirer, LLC - Revolver</t>
  </si>
  <si>
    <t>11.23% of Global Commitment</t>
  </si>
  <si>
    <t>LX202597.PP</t>
  </si>
  <si>
    <t>Ad.net Acquisition  - Term Loan</t>
  </si>
  <si>
    <t>LX203266.PP5</t>
  </si>
  <si>
    <t>SpendMend Holdings, LLC - DDTL</t>
  </si>
  <si>
    <t>6.40% of Global Commitment</t>
  </si>
  <si>
    <t>LX204613.PP</t>
  </si>
  <si>
    <t>ORL Acquisition, Inc. - Revolver</t>
  </si>
  <si>
    <t>11.94% of Global Commitment</t>
  </si>
  <si>
    <t>LX204668.PP</t>
  </si>
  <si>
    <t>The Vertex Companies, LLC - Revolver</t>
  </si>
  <si>
    <t>0.28% of Global Commitment</t>
  </si>
  <si>
    <t>0.44% of Global Commitment</t>
  </si>
  <si>
    <t>0.56% of Global Commitment</t>
  </si>
  <si>
    <t>32.28% of Global Commitment</t>
  </si>
  <si>
    <t>LX205820.PP</t>
  </si>
  <si>
    <t>Burgess Point Purchaser Corporation Second Lien</t>
  </si>
  <si>
    <t>2.25% of Global Commitment</t>
  </si>
  <si>
    <t>LX206028.PP</t>
  </si>
  <si>
    <t>Cartessa Aesthetics, LLC - Term Loan</t>
  </si>
  <si>
    <t>20.64% of Global Commitment</t>
  </si>
  <si>
    <t>LX206029.PP</t>
  </si>
  <si>
    <t>Cartessa Aesthetics, LLC - Revolver</t>
  </si>
  <si>
    <t>25.31% of Global Commitment</t>
  </si>
  <si>
    <t>45.94% of Global Commitment</t>
  </si>
  <si>
    <t>LX206101.PP</t>
  </si>
  <si>
    <t>Seaway Buyer, LLC - Term Loan</t>
  </si>
  <si>
    <t>8.04% of Global Commitment</t>
  </si>
  <si>
    <t>LX206102.PP</t>
  </si>
  <si>
    <t>Seaway Buyer, LLC - Revolver</t>
  </si>
  <si>
    <t>1.39% of Global Commitment</t>
  </si>
  <si>
    <t>2.78% of Global Commitment</t>
  </si>
  <si>
    <t>30.57% of Global Commitment</t>
  </si>
  <si>
    <t>LX206113.PP</t>
  </si>
  <si>
    <t>Beta Plus Technologies,Inc.- Term Loan</t>
  </si>
  <si>
    <t>0.69% of Global Commitment</t>
  </si>
  <si>
    <t>LX206271.PPA</t>
  </si>
  <si>
    <t>Pragmatic Institute, LLC - Term Loan (Post 3/28 Restructure)</t>
  </si>
  <si>
    <t>1.16% of Global Commitment</t>
  </si>
  <si>
    <t>47.95% of Global Commitment</t>
  </si>
  <si>
    <t>LX206516.PP</t>
  </si>
  <si>
    <t>MDI Buyer, Inc. - Revolver</t>
  </si>
  <si>
    <t>0.84% of Global Commitment</t>
  </si>
  <si>
    <t>6.72% of Global Commitment</t>
  </si>
  <si>
    <t>7.28% of Global Commitment</t>
  </si>
  <si>
    <t>LX206793.PP</t>
  </si>
  <si>
    <t>The Bluebird Group LLC - Revolver</t>
  </si>
  <si>
    <t>24.46% of Global Commitment</t>
  </si>
  <si>
    <t>LX208587.PP</t>
  </si>
  <si>
    <t>0.31% of Global Commitment</t>
  </si>
  <si>
    <t>LX210067.PP</t>
  </si>
  <si>
    <t>Infinity Home Services Holdco, Inc. - Revolver</t>
  </si>
  <si>
    <t>5.00% of Global Commitment</t>
  </si>
  <si>
    <t>7.50% of Global Commitment</t>
  </si>
  <si>
    <t>87.50% of Global Commitment</t>
  </si>
  <si>
    <t>LX210728.PP</t>
  </si>
  <si>
    <t>LJ Avalon Holdings, LLC - Revolver</t>
  </si>
  <si>
    <t>50.33% of Global Commitment</t>
  </si>
  <si>
    <t>LX212914.PP</t>
  </si>
  <si>
    <t>ETE Intermediate II,LLC - Term Loan</t>
  </si>
  <si>
    <t>5.55% of Global Commitment</t>
  </si>
  <si>
    <t>LX214996.PP</t>
  </si>
  <si>
    <t>Integrated Data Services (aka ACP Falcon) - Revolver</t>
  </si>
  <si>
    <t>12.67% of Global Commitment</t>
  </si>
  <si>
    <t>LX215614.PP</t>
  </si>
  <si>
    <t>11.66% of Global Commitment</t>
  </si>
  <si>
    <t>LX218965.PP</t>
  </si>
  <si>
    <t>Medina Health, LLC - Revolver</t>
  </si>
  <si>
    <t>23.58% of Global Commitment</t>
  </si>
  <si>
    <t>4.16% of Global Commitment</t>
  </si>
  <si>
    <t>LX219880.PP2</t>
  </si>
  <si>
    <t>3.82% of Global Commitment</t>
  </si>
  <si>
    <t>7.18% of Global Commitment</t>
  </si>
  <si>
    <t>LX219880.PP4</t>
  </si>
  <si>
    <t>LX219880.PP5</t>
  </si>
  <si>
    <t>LX219880.PP7</t>
  </si>
  <si>
    <t>LX219880.PP8</t>
  </si>
  <si>
    <t>LX222934.PP</t>
  </si>
  <si>
    <t>BlackHawk Industrial Distribution, Inc. - 2023 DDTL</t>
  </si>
  <si>
    <t>11.70% of Global Commitment</t>
  </si>
  <si>
    <t>LX225797.PP</t>
  </si>
  <si>
    <t>PCS MIDCO INC - Revolver</t>
  </si>
  <si>
    <t>8.81% of Global Commitment</t>
  </si>
  <si>
    <t>LX237963.PP</t>
  </si>
  <si>
    <t>Azureon, LLC - DDTL</t>
  </si>
  <si>
    <t>23.57% of Global Commitment</t>
  </si>
  <si>
    <t>LX237963.PP1</t>
  </si>
  <si>
    <t>LX237963.PP2</t>
  </si>
  <si>
    <t>LX237963.PP3</t>
  </si>
  <si>
    <t>LX237963.PP4</t>
  </si>
  <si>
    <t>LX239961.PP</t>
  </si>
  <si>
    <t>C5MI ACQUISITION, LLC Term Loan</t>
  </si>
  <si>
    <t>3.67% of Global Commitment</t>
  </si>
  <si>
    <t>LX243114.PP</t>
  </si>
  <si>
    <t>RRA Corporate, LLC - DDTL 2</t>
  </si>
  <si>
    <t>25.45% of Global Commitment</t>
  </si>
  <si>
    <t>LX243114.PP1</t>
  </si>
  <si>
    <t>LX246657.PP</t>
  </si>
  <si>
    <t>ARGANO  LLC. - DDTL</t>
  </si>
  <si>
    <t>8.30% of Global Commitment</t>
  </si>
  <si>
    <t>LX248860.PP</t>
  </si>
  <si>
    <t>Route 66 Development - Term B Loan</t>
  </si>
  <si>
    <t>9.00% of Global Commitment</t>
  </si>
  <si>
    <t>LX249176.PP</t>
  </si>
  <si>
    <t>Reception Purchaser, (STG) LLC - First Out New Money Term Loans</t>
  </si>
  <si>
    <t>1.56% of Global Commitment</t>
  </si>
  <si>
    <t>LX250179.PP</t>
  </si>
  <si>
    <t>Reception Purchaser, (STG) LLC - Second Out Term Loans</t>
  </si>
  <si>
    <t>LX251613.BeforeWSO</t>
  </si>
  <si>
    <t>Sabel Systems Technology Solutions LLC  Term Loa - CF</t>
  </si>
  <si>
    <t>16.73% of Global Commitment</t>
  </si>
  <si>
    <t>LX258942.PP</t>
  </si>
  <si>
    <t>LAV Gear Holdings Rollup Priority 12th Amendment T/L</t>
  </si>
  <si>
    <t>LX261419.PP1</t>
  </si>
  <si>
    <t>LAV Gear Holdings Rollup Priority 14th Amendment Rollup T/L</t>
  </si>
  <si>
    <t>X9X9USDBLAC2</t>
  </si>
  <si>
    <t>BlackRock TempCash</t>
  </si>
  <si>
    <t>01020304</t>
  </si>
  <si>
    <t>Infogroup Parent Holdings, Inc. (common)</t>
  </si>
  <si>
    <t>Anteriad Holdings, Inc. (fka MeritDirect Holdings, LP) - (Common Equity)</t>
  </si>
  <si>
    <t>5910.PP</t>
  </si>
  <si>
    <t>United Land Services Holdings LLC - Common Equity</t>
  </si>
  <si>
    <t>Cowboy Parent LLC</t>
  </si>
  <si>
    <t>6246.PP</t>
  </si>
  <si>
    <t>Northwinds Services Group, LLC - Common Equity</t>
  </si>
  <si>
    <t>7711.PP</t>
  </si>
  <si>
    <t>Ro Health Holdings, Inc.- Common Equity</t>
  </si>
  <si>
    <t>8359.PP</t>
  </si>
  <si>
    <t>SP DXE Holdings, LLC Common Equity</t>
  </si>
  <si>
    <t>Cascade Environmental LLC, Common</t>
  </si>
  <si>
    <t>9000.PP</t>
  </si>
  <si>
    <t>Gauge APHIX Blocker LLC - Common Equity</t>
  </si>
  <si>
    <t>9028.PP</t>
  </si>
  <si>
    <t>PODEAN INTERMEDIATE II, LLC - Common Equity</t>
  </si>
  <si>
    <t>9096.PP</t>
  </si>
  <si>
    <t>Penta Group Holdings, Inc. - Common Equity</t>
  </si>
  <si>
    <t>9106.PP</t>
  </si>
  <si>
    <t>Real Life Intermediate, LLC Common Equity</t>
  </si>
  <si>
    <t>9107.PP</t>
  </si>
  <si>
    <t>Knexus Holdco, LLC - Common Equity</t>
  </si>
  <si>
    <t>9108.PP</t>
  </si>
  <si>
    <t>Knexus Holdco, LLC - Preferred Equity</t>
  </si>
  <si>
    <t>BDC  5235</t>
  </si>
  <si>
    <t>New Medina Health, LLC - Common Equity</t>
  </si>
  <si>
    <t>BDC 02222023</t>
  </si>
  <si>
    <t>Five Star Parent Holdings,LLC (Common Equity)</t>
  </si>
  <si>
    <t>BDC 0521GCO</t>
  </si>
  <si>
    <t>GCOM InvestCo LP (Funded Common Equity)</t>
  </si>
  <si>
    <t>BDC 060823C</t>
  </si>
  <si>
    <t>HPA SPQ Aggregator LP- Common Equity</t>
  </si>
  <si>
    <t>BDC 07082021</t>
  </si>
  <si>
    <t>Connatix Parent, LLC - Common Equity</t>
  </si>
  <si>
    <t>BDC 07192022</t>
  </si>
  <si>
    <t>MDI Aggregator, LP</t>
  </si>
  <si>
    <t>BDC 07192022B</t>
  </si>
  <si>
    <t>MDI Aggregator, LP- New</t>
  </si>
  <si>
    <t>BDC 07192023</t>
  </si>
  <si>
    <t>Burgess Point Holdings, LP</t>
  </si>
  <si>
    <t>BDC 07192024</t>
  </si>
  <si>
    <t>AMCSI Crash Co-invest, LP</t>
  </si>
  <si>
    <t>BDC 08262021</t>
  </si>
  <si>
    <t>FedHC InvestCo LP - Common Equity</t>
  </si>
  <si>
    <t>BDC 08262021A</t>
  </si>
  <si>
    <t>FedHC InvestCo LP - Unfunded Common Equity</t>
  </si>
  <si>
    <t>BDC 100001100A</t>
  </si>
  <si>
    <t>NEPRT Parent Holdings, LLC (Common Equity)</t>
  </si>
  <si>
    <t>BDC 100101090</t>
  </si>
  <si>
    <t>NXOF Holdings, Inc. - Common Equity</t>
  </si>
  <si>
    <t>BDC 10022101A</t>
  </si>
  <si>
    <t>Municipal Emergency Services, Inc. - Common Equity</t>
  </si>
  <si>
    <t>BDC 100712400</t>
  </si>
  <si>
    <t>AG Investco LP (Common Equity)</t>
  </si>
  <si>
    <t>BDC 100712401</t>
  </si>
  <si>
    <t>AG Investco LP - Unfunded</t>
  </si>
  <si>
    <t>BDC 1110215A</t>
  </si>
  <si>
    <t>Kinetic Purchaser, LLC - Common Equity</t>
  </si>
  <si>
    <t>BDC 111601A</t>
  </si>
  <si>
    <t>Pink Lily Holdco, LLC - Common Equity</t>
  </si>
  <si>
    <t>BDC 111634</t>
  </si>
  <si>
    <t>EDS Topco, LP - Common Equity</t>
  </si>
  <si>
    <t>BDC 11222022</t>
  </si>
  <si>
    <t>Lorient Peregrine Investment, LP (Common Equity)</t>
  </si>
  <si>
    <t>BDC 1192134</t>
  </si>
  <si>
    <t>SP L2 Holdings LLC - Common Equity</t>
  </si>
  <si>
    <t>BDC 12021</t>
  </si>
  <si>
    <t>Tower Arch Infolinks Media, LP Equity</t>
  </si>
  <si>
    <t>BDC 12162020CEA</t>
  </si>
  <si>
    <t>Delta InvestCo LP - Unfunded Common Equity</t>
  </si>
  <si>
    <t>BDC 12162020CEFA</t>
  </si>
  <si>
    <t>Delta InvestCo LP - Common Equity</t>
  </si>
  <si>
    <t>BDC 1220A</t>
  </si>
  <si>
    <t>TMII (A1 Garage Equity, LLC) ( Common equity)</t>
  </si>
  <si>
    <t>BDC 122221A</t>
  </si>
  <si>
    <t>OHCP V BC COI, L.P. -  Common Equity</t>
  </si>
  <si>
    <t>BDC 123221</t>
  </si>
  <si>
    <t>HV Watterson Holdings, LLC - Common Equity</t>
  </si>
  <si>
    <t>BDC 125821</t>
  </si>
  <si>
    <t>IHS Parent Holdings, L.P. - Common Equity</t>
  </si>
  <si>
    <t>BDC 13456</t>
  </si>
  <si>
    <t>North Haven Saints Equity Holdings, LP (Common Equity)</t>
  </si>
  <si>
    <t>BDC 1604</t>
  </si>
  <si>
    <t>Magnolia Topco, LP - Class B Common Equity</t>
  </si>
  <si>
    <t>BDC 1605</t>
  </si>
  <si>
    <t>Magnolia Topco, LP - Class A Common Equity</t>
  </si>
  <si>
    <t>BDC 1609</t>
  </si>
  <si>
    <t>AMCSI Crash Co-invest, LP Unfunded</t>
  </si>
  <si>
    <t>BDC 202105</t>
  </si>
  <si>
    <t>Tower Arch Infolinks Media, LP Equity Unfunded</t>
  </si>
  <si>
    <t>BDC 20222202</t>
  </si>
  <si>
    <t>ITC Infusion Co-invest, LP (Common Equity)</t>
  </si>
  <si>
    <t>BDC 2042022</t>
  </si>
  <si>
    <t>Athletico Holdings LLC (Common Equity)</t>
  </si>
  <si>
    <t>BDC 220317</t>
  </si>
  <si>
    <t>Exigo, LLC</t>
  </si>
  <si>
    <t>BDC 222634</t>
  </si>
  <si>
    <t>LJ Avalon, LP - Common Equity</t>
  </si>
  <si>
    <t>BDC 22659</t>
  </si>
  <si>
    <t>BioDerm Holdings, LP - Common Equity</t>
  </si>
  <si>
    <t>BDC 32121</t>
  </si>
  <si>
    <t>White Tiger Newco, LLC Class A</t>
  </si>
  <si>
    <t>BDC 3241</t>
  </si>
  <si>
    <t>First Medical Holdings, LLC - Common Equity</t>
  </si>
  <si>
    <t>BDC 3257</t>
  </si>
  <si>
    <t>Carnegie HoldCo, LLC - Common Equity</t>
  </si>
  <si>
    <t>BDC 3335</t>
  </si>
  <si>
    <t>WASH &amp; WAX SYSTEMS LLC - Class A common Equity</t>
  </si>
  <si>
    <t>BDC 3467</t>
  </si>
  <si>
    <t>Cartessa Aesthetics, LLC - Common Equity</t>
  </si>
  <si>
    <t>BDC 356543</t>
  </si>
  <si>
    <t>WCP Ivyrehab QP CF Feeder, LP - Funded (Common Equity)</t>
  </si>
  <si>
    <t>BDC 356544</t>
  </si>
  <si>
    <t>WCP Ivyrehab QP CF Feeder, LP - Unfunded (Common Equity)</t>
  </si>
  <si>
    <t>BDC 356545</t>
  </si>
  <si>
    <t>WCP Ivyrehab Coinvestment, LP - Common Equity</t>
  </si>
  <si>
    <t>BDC 35749</t>
  </si>
  <si>
    <t>Carisk Parent, L.P. - Common Equity</t>
  </si>
  <si>
    <t>BDC 3579</t>
  </si>
  <si>
    <t>Aftermarket Drivetrain Products Holdings, LLC - Common Equity</t>
  </si>
  <si>
    <t>BDC 40501C</t>
  </si>
  <si>
    <t>Imagine Topco, L.P. - Series B</t>
  </si>
  <si>
    <t>BDC 40554</t>
  </si>
  <si>
    <t>Gauge Lash Coinvest, LLC - Common Equity (Lot from 3/29 Investment Action)</t>
  </si>
  <si>
    <t>BDC 423202001A</t>
  </si>
  <si>
    <t>Gauge Schlesinger Coinvest, LLC</t>
  </si>
  <si>
    <t>BDC 4305</t>
  </si>
  <si>
    <t>Watchtower Holdings, LLC - Common Equity</t>
  </si>
  <si>
    <t>BDC 4332A</t>
  </si>
  <si>
    <t>SP L2 Holdings LLC - Unfunded Guaranty Common Equity</t>
  </si>
  <si>
    <t>BDC 5005</t>
  </si>
  <si>
    <t>ACP Big Top Holdings, L.P. - Common Equity</t>
  </si>
  <si>
    <t>BDC 50330</t>
  </si>
  <si>
    <t>Anteriad Holdings, Inc. (fka MeritDirect Holdings, LP) â€“ Common Equity</t>
  </si>
  <si>
    <t>BDC 505202001</t>
  </si>
  <si>
    <t>QuantiTech InvestCo LP (Common Equity)</t>
  </si>
  <si>
    <t>BDC 505202001CE</t>
  </si>
  <si>
    <t>QuantiTech InvestCo II LP (Common Equity)</t>
  </si>
  <si>
    <t>BDC 505202002</t>
  </si>
  <si>
    <t>QuantiTech InvestCo LP - Unfunded (Common Equity)</t>
  </si>
  <si>
    <t>BDC 514232</t>
  </si>
  <si>
    <t>New Insight Holdings - Common Equity (fka Dynata Energy)</t>
  </si>
  <si>
    <t>BDC 54789</t>
  </si>
  <si>
    <t>KINETIC SUPER HOLDINGS, LLC - Class AA Interests</t>
  </si>
  <si>
    <t>BDC 5486</t>
  </si>
  <si>
    <t>NORA Parent Holdings, LLC - Common Equity</t>
  </si>
  <si>
    <t>BDC 5604</t>
  </si>
  <si>
    <t>Safe Haven Defense Holdco LLC - Common Equity</t>
  </si>
  <si>
    <t>BDC 56290</t>
  </si>
  <si>
    <t>Paving Parent, LLC - Common Equity</t>
  </si>
  <si>
    <t>BDC 5698</t>
  </si>
  <si>
    <t>OES Co-Invest, LP - Class A Common Equity</t>
  </si>
  <si>
    <t>BDC 6106</t>
  </si>
  <si>
    <t>C5MI Holdco, LLC. - Common Equity</t>
  </si>
  <si>
    <t>BDC 6182100A</t>
  </si>
  <si>
    <t>UniVista Insurance - Equity</t>
  </si>
  <si>
    <t>BDC 683021047</t>
  </si>
  <si>
    <t>Ad.net Holdings, Inc. (Common Equity)</t>
  </si>
  <si>
    <t>BDC 6902</t>
  </si>
  <si>
    <t>Tinicum Space Coast Co-Invest, LLC - Common Equity</t>
  </si>
  <si>
    <t>BDC 6917</t>
  </si>
  <si>
    <t>Sabel InvestCo, LP - Common Equity</t>
  </si>
  <si>
    <t>BDC 6917A</t>
  </si>
  <si>
    <t>Sabel InvestCo, LP - Common Equity Unfunded</t>
  </si>
  <si>
    <t>BDC 7143</t>
  </si>
  <si>
    <t>Marketplace Events Acquisition, LLC - Common Equity</t>
  </si>
  <si>
    <t>BDC 7212101A</t>
  </si>
  <si>
    <t>KL Stockton Co-Invest LP - Common Equity</t>
  </si>
  <si>
    <t>BDC 72145A</t>
  </si>
  <si>
    <t>Pragmatic Institute, LLC - Common Equity (3/28/25 Restructure Lot)</t>
  </si>
  <si>
    <t>BDC 800986200</t>
  </si>
  <si>
    <t>TAC LifePort Holdings LLC  (Common Equity)</t>
  </si>
  <si>
    <t>BDC 800987600</t>
  </si>
  <si>
    <t>Hancock Claims Consultants Investors, LLC  (Common Equity)</t>
  </si>
  <si>
    <t>BDC 82154</t>
  </si>
  <si>
    <t>Gauge ETE Blocker, LLC - Common Equity</t>
  </si>
  <si>
    <t>BDC 82187</t>
  </si>
  <si>
    <t>Gauge Loving Tan, LP - Common Equity</t>
  </si>
  <si>
    <t>BDC 82188A</t>
  </si>
  <si>
    <t>Megawatt Acquisition Partners, LLC - Common Equity A</t>
  </si>
  <si>
    <t>BDC 82343</t>
  </si>
  <si>
    <t>GMP Hills, LP - Common Equity</t>
  </si>
  <si>
    <t>BDC 82345</t>
  </si>
  <si>
    <t>Quad (U.S.) Co-Invest, L.P. Common Equity</t>
  </si>
  <si>
    <t>BDC 8242101</t>
  </si>
  <si>
    <t>StellPen Holdings, LLC - Equity (fka Gen3)</t>
  </si>
  <si>
    <t>BDC 8302101AB</t>
  </si>
  <si>
    <t>TWD Parent Holdings, LLC - Common Equity</t>
  </si>
  <si>
    <t>BDC 8741</t>
  </si>
  <si>
    <t>PCS Parent, LP - Common Equity</t>
  </si>
  <si>
    <t>BDC 923001006</t>
  </si>
  <si>
    <t>SSC Dominion Holdings, LLC - Class B</t>
  </si>
  <si>
    <t>BDC 9273</t>
  </si>
  <si>
    <t>Rosco Topco, LLC, - Common Equity</t>
  </si>
  <si>
    <t>BDC 9797</t>
  </si>
  <si>
    <t>APT INTERMEDIATE, LLC - Common Equity</t>
  </si>
  <si>
    <t>BDC0323211</t>
  </si>
  <si>
    <t>GCP Boss Holdco, LLC - Common Equity</t>
  </si>
  <si>
    <t>BDC041121</t>
  </si>
  <si>
    <t>SP L2 Holdings LLC (Common Equity)</t>
  </si>
  <si>
    <t>BDC06132022</t>
  </si>
  <si>
    <t>Seaway Topco, LLC (Common Equity)</t>
  </si>
  <si>
    <t>BDC08262021A</t>
  </si>
  <si>
    <t>FedHC InvestCo II LP - Common Equity</t>
  </si>
  <si>
    <t>BDC08262021B</t>
  </si>
  <si>
    <t>FedHC InvestCo II LP - Common Equity B</t>
  </si>
  <si>
    <t>BDC120921</t>
  </si>
  <si>
    <t>Meadowlark Title, LLC (Common Equity)</t>
  </si>
  <si>
    <t>BDC4231</t>
  </si>
  <si>
    <t>OSP Par Holdings, LP - Common Equity</t>
  </si>
  <si>
    <t>BDC4232</t>
  </si>
  <si>
    <t>OSP PAR Aggregator, LP - Common Equity</t>
  </si>
  <si>
    <t>BDC4234</t>
  </si>
  <si>
    <t>Aechelon InvestCo, LP - Common Equity</t>
  </si>
  <si>
    <t>BDC4234A</t>
  </si>
  <si>
    <t>Aechelon InvestCo, LP - Common Equity Unfunded</t>
  </si>
  <si>
    <t>BDC4321</t>
  </si>
  <si>
    <t>NFS - CFP Holdings LLC - Common Equity</t>
  </si>
  <si>
    <t>BDC4332</t>
  </si>
  <si>
    <t>TPCN Holdings, LLC - Common Equity</t>
  </si>
  <si>
    <t>BDC4348</t>
  </si>
  <si>
    <t>SV Aero Holdings, LLC Equity</t>
  </si>
  <si>
    <t>BDC4354</t>
  </si>
  <si>
    <t>TCG 3.0 Jogger Co-Invest, LP - Common Equity</t>
  </si>
  <si>
    <t>BDC4385</t>
  </si>
  <si>
    <t>OSP Embedded Aggregator, LP</t>
  </si>
  <si>
    <t>BDC5621</t>
  </si>
  <si>
    <t>Project Granite Holdings, LLC - Common Equity</t>
  </si>
  <si>
    <t>BDC5682</t>
  </si>
  <si>
    <t>GGG Topco, LLC - Common Equity</t>
  </si>
  <si>
    <t>BDC7255</t>
  </si>
  <si>
    <t>Events buyer, LLC- Common Equity</t>
  </si>
  <si>
    <t>BDC7333</t>
  </si>
  <si>
    <t>Seacoast Service Partners, LLC - Equity Co-Invest</t>
  </si>
  <si>
    <t>BDC8976</t>
  </si>
  <si>
    <t>DUGGAL EQUITY, LP - Common Equity</t>
  </si>
  <si>
    <t>BDCCE11021</t>
  </si>
  <si>
    <t>Lightspeed Investment Holdco. - Common Equity</t>
  </si>
  <si>
    <t>BDCCE11033</t>
  </si>
  <si>
    <t>Gauge Lash Coinvest, LLC Common Equity</t>
  </si>
  <si>
    <t>BDCCE11035</t>
  </si>
  <si>
    <t>TPC Holding Company, LP  Common Equity</t>
  </si>
  <si>
    <t>BDCCE33035</t>
  </si>
  <si>
    <t>OceanSound Discovery Equity, LP</t>
  </si>
  <si>
    <t>BL00201E</t>
  </si>
  <si>
    <t>Schlesinger Global, Inc - Common Equity</t>
  </si>
  <si>
    <t>CE406</t>
  </si>
  <si>
    <t>SBI Holdings Investments LLC</t>
  </si>
  <si>
    <t>RFMG 12162020CEA</t>
  </si>
  <si>
    <t>RFMG Parent, LP - Common Equity</t>
  </si>
  <si>
    <t>SPV 08132021</t>
  </si>
  <si>
    <t>Crane 1 Acquisition Parent Holdings, L.P.</t>
  </si>
  <si>
    <t>SPV 09012021CE</t>
  </si>
  <si>
    <t>ORL Holdco, Inc. - Common Equity</t>
  </si>
  <si>
    <t>SPV 12222021</t>
  </si>
  <si>
    <t>SPV 122221A</t>
  </si>
  <si>
    <t>OHCP V BC COI, L.P. -  Unfunded Common Equity</t>
  </si>
  <si>
    <t>SPV 122221B</t>
  </si>
  <si>
    <t>ICON Partners V, L.P. -   Common Equity</t>
  </si>
  <si>
    <t>SPV122221B</t>
  </si>
  <si>
    <t>ICON Partners V, L.P. -  Unfunded Common Equity</t>
  </si>
  <si>
    <t>Convertible Bond</t>
  </si>
  <si>
    <t>BDC 4431</t>
  </si>
  <si>
    <t>ORL Holdco, Inc. - Convertible Notes Funded</t>
  </si>
  <si>
    <t>18%PIK</t>
  </si>
  <si>
    <t>BDC 4431A</t>
  </si>
  <si>
    <t>ORL Holdco, Inc. - Convertible Notes Unfunded</t>
  </si>
  <si>
    <t>BDC 5421</t>
  </si>
  <si>
    <t>StoicLane, Inc. - Convertible Notes Funded</t>
  </si>
  <si>
    <t>12%PIK</t>
  </si>
  <si>
    <t>BDC 5421A1</t>
  </si>
  <si>
    <t>BDC 5421A2</t>
  </si>
  <si>
    <t>BDC 5479</t>
  </si>
  <si>
    <t>OSP Embedded Aggregator, LP - Convertible Note</t>
  </si>
  <si>
    <t>12% PIK; Convertable to Common at Cost Value</t>
  </si>
  <si>
    <t>PennantPark Senior Loan Fund LLC Equity</t>
  </si>
  <si>
    <t>PennantPark TSO Senior Loan Fund II LP Equity</t>
  </si>
  <si>
    <t>DUMPSLFN0219</t>
  </si>
  <si>
    <t>PennantPark Senior Loan Fund LLC Debt</t>
  </si>
  <si>
    <t>S + 800, 1% floor</t>
  </si>
  <si>
    <t>Preferred Stock</t>
  </si>
  <si>
    <t>Anteriad Holdings, Inc. (fka MeritDirect Holdings, LP)- (Preferred Equity)</t>
  </si>
  <si>
    <t>6146.PP</t>
  </si>
  <si>
    <t>Accounting Platform Blocker, Inc -. Series A Preferred Equity</t>
  </si>
  <si>
    <t>Cascade Environmental LLC, Preferred - Series D</t>
  </si>
  <si>
    <t>Cascade Environmental LLC, Preferred - Series B</t>
  </si>
  <si>
    <t>9029.PP</t>
  </si>
  <si>
    <t>PODEAN INTERMEDIATE II, LLC  Preferred Equity</t>
  </si>
  <si>
    <t>9129.PP</t>
  </si>
  <si>
    <t>NORA Parent Holdings, LLC -Series A Preferred Equity</t>
  </si>
  <si>
    <t>BDC 060823D</t>
  </si>
  <si>
    <t>HPA SPQ Aggregator LP- Convertible Preferred Equity</t>
  </si>
  <si>
    <t>BDC 100101089</t>
  </si>
  <si>
    <t>NXOF Holdings, Inc. - Preferred Equity</t>
  </si>
  <si>
    <t>BDC 111601B</t>
  </si>
  <si>
    <t>Pink Lily Holdco, LLC - Class A-1 Preferred Equity</t>
  </si>
  <si>
    <t>BDC 150123440</t>
  </si>
  <si>
    <t>Anteriad Holdings, Inc. (fka MeritDirect) - Preferred Equity</t>
  </si>
  <si>
    <t>BDC 1602</t>
  </si>
  <si>
    <t>Magnolia Topco, LP - Class A Preferred Equity</t>
  </si>
  <si>
    <t>BDC 1603</t>
  </si>
  <si>
    <t>Magnolia Topco, LP - Class B Preferred Equity</t>
  </si>
  <si>
    <t>BDC 22658</t>
  </si>
  <si>
    <t>BioDerm Holdings, LP - Preferred Equity</t>
  </si>
  <si>
    <t>BDC 40501A</t>
  </si>
  <si>
    <t>Imagine Topco, L.P. - Series A - Preferred Equity</t>
  </si>
  <si>
    <t>BDC 40502</t>
  </si>
  <si>
    <t>Gauge Schlesinger - Class A-2 Preferred Equity</t>
  </si>
  <si>
    <t>BDC 5375</t>
  </si>
  <si>
    <t>Flock Financial Class B Preferred Equity</t>
  </si>
  <si>
    <t>BDC 5376</t>
  </si>
  <si>
    <t>Flock Financial Class A Preferred Equity</t>
  </si>
  <si>
    <t>BDC 56321</t>
  </si>
  <si>
    <t>RTIC Parent Holdings, LLC - Class C Preferred Equity</t>
  </si>
  <si>
    <t>BDC 56322</t>
  </si>
  <si>
    <t>RTIC Parent Holdings, LLC - Class D Preferred Equity</t>
  </si>
  <si>
    <t>BDC 56324</t>
  </si>
  <si>
    <t>RTIC Parent Holdings, LLC - Class A Preferred Equity</t>
  </si>
  <si>
    <t>BDC 56802</t>
  </si>
  <si>
    <t>PL Acquisitionco, LLC - Preferred Equity</t>
  </si>
  <si>
    <t>BDC 5846</t>
  </si>
  <si>
    <t>Consello Pacific Aggregator, LLC - Preferred Equity</t>
  </si>
  <si>
    <t>BDC 6102</t>
  </si>
  <si>
    <t>C5MI Holdco, LLC. - Preferred Equity</t>
  </si>
  <si>
    <t>BDC 6572</t>
  </si>
  <si>
    <t>Connatix Parent, LLC - Preferred Equity</t>
  </si>
  <si>
    <t>BDC 683021048</t>
  </si>
  <si>
    <t>Ad.net Holdings, Inc. (Preferred Equity)</t>
  </si>
  <si>
    <t>BDC 8009</t>
  </si>
  <si>
    <t>Hancock Claims Consultants Investors, LLC - Class A Preferred Equity</t>
  </si>
  <si>
    <t>BDC 82189</t>
  </si>
  <si>
    <t>Megawatt Acquisition Partners, LLC - Preferred A</t>
  </si>
  <si>
    <t>BDC 8302101A</t>
  </si>
  <si>
    <t>TWD Parent Holdings, LLC - Preferred Equity</t>
  </si>
  <si>
    <t>BDC 8776</t>
  </si>
  <si>
    <t>EvAL Home Health Solutions, LLC - Preferred Equity</t>
  </si>
  <si>
    <t>BDC 8893</t>
  </si>
  <si>
    <t>Five Star Parent Holdings, LLC - Class P</t>
  </si>
  <si>
    <t>BDC041121A</t>
  </si>
  <si>
    <t>SP L2 Holdings LLC (Preferred Equity)- Class C</t>
  </si>
  <si>
    <t>BDC4347</t>
  </si>
  <si>
    <t>AFC Acquisitions, Inc. Series F-2 Preferred Stock</t>
  </si>
  <si>
    <t>BDC4347A</t>
  </si>
  <si>
    <t>AFC Acquisitions, Inc. Series G-2 Preferred Stock</t>
  </si>
  <si>
    <t>BDC4347B</t>
  </si>
  <si>
    <t>AFC Acquisitions, Inc. Series H-2 Preferred Stock</t>
  </si>
  <si>
    <t>BDC4347J</t>
  </si>
  <si>
    <t>AFC Acquisitions, Inc. Series J-2 Preferred Stock</t>
  </si>
  <si>
    <t>BDCCE11034</t>
  </si>
  <si>
    <t>TPC Holding Company, LP  Preferred Equity</t>
  </si>
  <si>
    <t>NN3B-PP 104648 OTCEQY</t>
  </si>
  <si>
    <t>MAGNOLIA TOPCO L.P.  Class A-1 Preferred Equity OTCEQY</t>
  </si>
  <si>
    <t>NN3B-PP 105077 OTCEQY</t>
  </si>
  <si>
    <t>AFC Acquisitions Inc.  Series I2 Preferred Stoc OTCEQY</t>
  </si>
  <si>
    <t>SPV 09012021PE</t>
  </si>
  <si>
    <t>ORL Holdco, Inc. - Preferred Equity</t>
  </si>
  <si>
    <t>Promissory Note</t>
  </si>
  <si>
    <t>BDC 4934</t>
  </si>
  <si>
    <t>Schlesinger Global, LLC - Promissory Note</t>
  </si>
  <si>
    <t>S + 7.00</t>
  </si>
  <si>
    <t>BDC 4934A</t>
  </si>
  <si>
    <t>Schlesinger Global, LLC - Promissory Note (New 9/9/24 lot)</t>
  </si>
  <si>
    <t>BDC 82154A</t>
  </si>
  <si>
    <t>Gauge ETE Blocker, LLC - Promissory Note</t>
  </si>
  <si>
    <t>12.56% Fixed Rate</t>
  </si>
  <si>
    <t>Warrants</t>
  </si>
  <si>
    <t>Kentucky Racing Holdco, LLC</t>
  </si>
  <si>
    <t>Short Positions</t>
  </si>
  <si>
    <t>Loan</t>
  </si>
  <si>
    <t>CADLOAN 111623</t>
  </si>
  <si>
    <t>CAD line of Credit</t>
  </si>
  <si>
    <t>GBPLOAN 031318</t>
  </si>
  <si>
    <t>GBP line of Credit</t>
  </si>
  <si>
    <t>DUBDC 3575A</t>
  </si>
  <si>
    <t>Carisk Buyer, Inc. - Amendment 1 DDTL Unfunded SHORT</t>
  </si>
  <si>
    <t>S+5.75%,1.00%Floor</t>
  </si>
  <si>
    <t>DUM BDC 3287</t>
  </si>
  <si>
    <t>SV-Aero Holdings, LLC - DDTL Unfunded SHORT</t>
  </si>
  <si>
    <t>DUM105214.PP</t>
  </si>
  <si>
    <t>GGG Midco, LLC - First Lien DDTL C Unfunded Short</t>
  </si>
  <si>
    <t>DUMBDC 23513</t>
  </si>
  <si>
    <t>RRA Corporate, LLC - DDTL 2 Unfunded SHORT</t>
  </si>
  <si>
    <t>S+5.00%,1.00%Floor</t>
  </si>
  <si>
    <t>DUMBDC 3218</t>
  </si>
  <si>
    <t>Project Granite Buyer, Inc.- DDTL Unfunded SHORT</t>
  </si>
  <si>
    <t>DUMBDC 3276</t>
  </si>
  <si>
    <t>Archer Lewis, LLC - DDTL B Unfunded SHORT</t>
  </si>
  <si>
    <t>DUMBDC 33435</t>
  </si>
  <si>
    <t>LJ Avalon Holdings, LLC - LOC Unfunded SHORT</t>
  </si>
  <si>
    <t>S + 6.50%, 1.00% Floor</t>
  </si>
  <si>
    <t>DUMBDC 3395AB</t>
  </si>
  <si>
    <t>MDI Buyer, Inc. - Revolver Unfunded (1/16/24 Lot) SHORT</t>
  </si>
  <si>
    <t>DUMBDC 35750</t>
  </si>
  <si>
    <t>Carisk Buyer, Inc. - DDTL Unfunded SHORT</t>
  </si>
  <si>
    <t>DUMBDC 42098</t>
  </si>
  <si>
    <t>Peninsula Pacific Entertainment - Term B Facility Loan DDTL Unfunded SHORT</t>
  </si>
  <si>
    <t>DUMBDC 42147</t>
  </si>
  <si>
    <t>PCS Midco, Inc. - DDTL Unfunded SHORT</t>
  </si>
  <si>
    <t>DUMBDC 4332</t>
  </si>
  <si>
    <t>Carnegie Dartlet, LLC - DDTL Unfunded SHORT</t>
  </si>
  <si>
    <t>DUMBDC 45835</t>
  </si>
  <si>
    <t>Spendmend Holdings LLC - Unfunded DDTL SHORT (99.50)</t>
  </si>
  <si>
    <t>SOFR + 5.25%</t>
  </si>
  <si>
    <t>DUMBDC 4592</t>
  </si>
  <si>
    <t>Paving Lessor Corp - DDTL Unfunded SHORT</t>
  </si>
  <si>
    <t>DUMBDC 4945</t>
  </si>
  <si>
    <t>Systems Planning and Analysis, Inc. - DDTL 2025 Unfunded SHORT</t>
  </si>
  <si>
    <t>DUMBDC 5696</t>
  </si>
  <si>
    <t>Adweek Purchaser, LLC - DDTL Unfunded Short</t>
  </si>
  <si>
    <t>DUMBDC 578742</t>
  </si>
  <si>
    <t>Beacon Behavioral Support Services, LLC - 3rd Amendment DDTL Unfunded SHORT</t>
  </si>
  <si>
    <t>DUMBDC 5799</t>
  </si>
  <si>
    <t>Beacon Behavioral Support Service, LLC.DDTL unfunded short</t>
  </si>
  <si>
    <t>expire in 18 months</t>
  </si>
  <si>
    <t>DUMBDC 6142</t>
  </si>
  <si>
    <t>Harris &amp; Co. LLC. - Unfunded DDTL B SHORT</t>
  </si>
  <si>
    <t>DUMBDC 6219</t>
  </si>
  <si>
    <t>NFS - CFP Holdings LLC - DDTL Unfunded SHORT</t>
  </si>
  <si>
    <t>DUMBDC 6577</t>
  </si>
  <si>
    <t>CJX Borrower , LLC.  DDTL Unfunded SHORT</t>
  </si>
  <si>
    <t>S + 5.50%, .75% Floor</t>
  </si>
  <si>
    <t>DUMBDC 6901</t>
  </si>
  <si>
    <t>Infinity Home Services Holdco, Inc. - Amendment No. 3 CAD/USD Unfunded DDTL SHORT</t>
  </si>
  <si>
    <t>DUMBDC 7268</t>
  </si>
  <si>
    <t>DUGGAL ACQUISITION, LLC - DDTL Unfunded SHORT</t>
  </si>
  <si>
    <t>DUMBDC 7329</t>
  </si>
  <si>
    <t>Seacoast Service Partners, LLC - DDTL Unfunded SHORT</t>
  </si>
  <si>
    <t>DUMBDC 7342</t>
  </si>
  <si>
    <t>Loving Tan Intermediate II, Inc. - Unfunded DDTL SHORT</t>
  </si>
  <si>
    <t>DUMBDC 7342A</t>
  </si>
  <si>
    <t>Loving Tan Intermediate II, Inc. - Unfunded 2nd Amendment DDTL SHORT</t>
  </si>
  <si>
    <t>DUMBDC 7623</t>
  </si>
  <si>
    <t>LJ Avalon Holdings, LLC - 3rd Amendment Delayed Draw Term Loan Unfunded SHORT</t>
  </si>
  <si>
    <t>DUMBDC 7624</t>
  </si>
  <si>
    <t>Rancho Family Medical Group DDTL - 6th Amendment Unfunded SHORT</t>
  </si>
  <si>
    <t>DUMBDC 7630</t>
  </si>
  <si>
    <t>Omnia Exterior Solutions, LLC - DDTL 2 Unfunded SHORT</t>
  </si>
  <si>
    <t>DUMBDC 81021AA</t>
  </si>
  <si>
    <t>Painters Supply (fka Graffiti Buyer, Inc.) - Unfunded DDTL SHORT</t>
  </si>
  <si>
    <t>SÂ +Â 5.50%,Â 1.00%Â Floor</t>
  </si>
  <si>
    <t>DUMBDC 8349</t>
  </si>
  <si>
    <t>ACP Avenu Midco, LLC - Delayed Draw Term Loan Unfunded SHORT</t>
  </si>
  <si>
    <t>DUMBDC 8365</t>
  </si>
  <si>
    <t>Sigma Defense Systems, LLC - DDTL Unfunded SHORT</t>
  </si>
  <si>
    <t>DUMBDC 8449</t>
  </si>
  <si>
    <t>PD Tri-State Holdco, LLC - DDTL Unfunded SHORT</t>
  </si>
  <si>
    <t>DUMBDC 8589</t>
  </si>
  <si>
    <t>Hills Distribution, Inc - DDTL Unfunded SHORT</t>
  </si>
  <si>
    <t>DUMBDC 87321</t>
  </si>
  <si>
    <t>Harris &amp; Co. LLC - DDTL C Unfunded SHORT</t>
  </si>
  <si>
    <t>DUMBDC 8777</t>
  </si>
  <si>
    <t>Azureon, LLC - DDTL B Unfunded SHORT</t>
  </si>
  <si>
    <t>DUMBDC 8791</t>
  </si>
  <si>
    <t>SCP Clinical Research Intermediate Holdings. LLC - Unfunded DDTL SHORT</t>
  </si>
  <si>
    <t>DUMBDC 8993</t>
  </si>
  <si>
    <t>Aphix Buyer, Inc - DDTL A Unfunded Short</t>
  </si>
  <si>
    <t>DUMBDC 9020</t>
  </si>
  <si>
    <t>Highwire Public Relations, LLC Unfunded DDTL SHORT</t>
  </si>
  <si>
    <t>DUMBDC 9024</t>
  </si>
  <si>
    <t>Real Life Intermediate Holdings LLC Unfunded DDTL SHORT</t>
  </si>
  <si>
    <t>DUMBDC 9074</t>
  </si>
  <si>
    <t>Blue Cloud Pediatric Surgery Centers LLC - Incremental Delayed Draw Term Loan UNFUNDED SHORT</t>
  </si>
  <si>
    <t>DUMBDC 9088</t>
  </si>
  <si>
    <t>Penta Group Holdings, Inc. - Delayed Draw Term Loan Unfunded Short</t>
  </si>
  <si>
    <t>DUMBDC 9259</t>
  </si>
  <si>
    <t>North American Rail Solutions, LLC - UNFUNDED DDTL SHORT</t>
  </si>
  <si>
    <t>DUMBDC 9792</t>
  </si>
  <si>
    <t>APT OPCO, LLC - UNFUNDED DDTL SHORT</t>
  </si>
  <si>
    <t>DUMBDC t8383</t>
  </si>
  <si>
    <t>Puget Collision, LLC - DDTL Unfunded SHORT</t>
  </si>
  <si>
    <t>DUMBDC4562B</t>
  </si>
  <si>
    <t>MOREGROUP Holdings  - Unfunded DDTL Short</t>
  </si>
  <si>
    <t>DUMBDC7048</t>
  </si>
  <si>
    <t>BLC Holding Company, Inc. Unfunded DDTL Short</t>
  </si>
  <si>
    <t>DUMBDC8198</t>
  </si>
  <si>
    <t>Impact Advisors, LLC First Lien Unfunded DDTL Short</t>
  </si>
  <si>
    <t>DUMDC 32743</t>
  </si>
  <si>
    <t>First Medical Associates - First Lien DDTL Unfunded SHORT</t>
  </si>
  <si>
    <t>DUMBDC 08262021A</t>
  </si>
  <si>
    <t>FedHC InvestCo LP - Unfunded Common Equity SHORT</t>
  </si>
  <si>
    <t>DUMBDC 100712401</t>
  </si>
  <si>
    <t>AG Investco LP - Unfunded Short</t>
  </si>
  <si>
    <t>DUMBDC 12162020CEA</t>
  </si>
  <si>
    <t>Delta InvestCo LP - Unfunded Common Equity Short</t>
  </si>
  <si>
    <t>DUMBDC 1609</t>
  </si>
  <si>
    <t>AMCSI Crash Co-invest, LP Unfunded Short</t>
  </si>
  <si>
    <t>DUMBDC 202105</t>
  </si>
  <si>
    <t>Tower Arch Infolinks Media, LP Equity Unfunded SHORT</t>
  </si>
  <si>
    <t>DUMBDC 356544</t>
  </si>
  <si>
    <t>WCP Ivyrehab QP CF Feeder, LP - Unfunded (Common Equity) SHORT</t>
  </si>
  <si>
    <t>DUMBDC 4332A</t>
  </si>
  <si>
    <t>SP L2 Holdings LLC - Unfunded Guaranty Common Equity SHORT</t>
  </si>
  <si>
    <t>DUMBDC 505202003</t>
  </si>
  <si>
    <t>QuantiTech InvestCo LP - Unfunded Short (Common Equity)</t>
  </si>
  <si>
    <t>DUMBDC 6917A</t>
  </si>
  <si>
    <t>Sabel InvestCo, LP - Common Equity Unfunded SHORT</t>
  </si>
  <si>
    <t>DUMBDC4234A</t>
  </si>
  <si>
    <t>Aechelon InvestCo, LP - Common Equity Unfunded SHORT</t>
  </si>
  <si>
    <t>DUSPV122221A</t>
  </si>
  <si>
    <t>OHCP V BC COI, L.P. -  Unfunded Common Equity SHORT</t>
  </si>
  <si>
    <t>DUSPV122221B</t>
  </si>
  <si>
    <t>ICON Partners V, L.P. -  Unfunded Common Equity SHORT</t>
  </si>
  <si>
    <t>DUMBDC 4431A</t>
  </si>
  <si>
    <t>ORL Holdco, Inc. - Convertible Notes Unfunded SHORT</t>
  </si>
  <si>
    <t>Corporate Bond</t>
  </si>
  <si>
    <t>PennantPark Investment Corp Notes 7.00 02/01/2029</t>
  </si>
  <si>
    <t>7.00% Fixed</t>
  </si>
  <si>
    <t>PennantPark Investment Corp Notes 4.00 11/01/2026</t>
  </si>
  <si>
    <t>4.00% Fixed</t>
  </si>
  <si>
    <t>PennantPark Investment Corp Notes 4.50 05/01/2026</t>
  </si>
  <si>
    <t>4.50% Fixed</t>
  </si>
  <si>
    <t>Run rec/pay</t>
  </si>
  <si>
    <t>Run pur/sale</t>
  </si>
  <si>
    <t>Add column K and formula</t>
  </si>
  <si>
    <t>Sort by K</t>
  </si>
  <si>
    <t>Add non-cash and transfer Broker</t>
  </si>
  <si>
    <t>Financial_Account</t>
  </si>
  <si>
    <t>Investment</t>
  </si>
  <si>
    <t>Investment_Desc</t>
  </si>
  <si>
    <t>Sec_ID</t>
  </si>
  <si>
    <t>Hold_ID</t>
  </si>
  <si>
    <t>Trade_Date</t>
  </si>
  <si>
    <t>Contractual_Settle_Date</t>
  </si>
  <si>
    <t>Actual_Settle_Date</t>
  </si>
  <si>
    <t>Tran_ID</t>
  </si>
  <si>
    <t>Tran_Description</t>
  </si>
  <si>
    <t>Local_Amount</t>
  </si>
  <si>
    <t>Book_Amount</t>
  </si>
  <si>
    <t>Fund_Legal_Entity</t>
  </si>
  <si>
    <t>Fund_Structure_Code</t>
  </si>
  <si>
    <t>Period_End_Date</t>
  </si>
  <si>
    <t>Custodian</t>
  </si>
  <si>
    <t>CustodianAcct</t>
  </si>
  <si>
    <t>Units</t>
  </si>
  <si>
    <t>Price</t>
  </si>
  <si>
    <t>Relieved_IDs</t>
  </si>
  <si>
    <t>Relieved_Prices</t>
  </si>
  <si>
    <t>Receivable</t>
  </si>
  <si>
    <t>Aphix Buyer, Inc - DDTL A</t>
  </si>
  <si>
    <t>8993.PP</t>
  </si>
  <si>
    <t>AccountingRelated</t>
  </si>
  <si>
    <t>NN00-PP</t>
  </si>
  <si>
    <t>BNYM</t>
  </si>
  <si>
    <t>NN_7100PP002</t>
  </si>
  <si>
    <t>Aphix Buyer, Inc - Term Loan A</t>
  </si>
  <si>
    <t>8979.PP</t>
  </si>
  <si>
    <t>BLC Holding Company, Inc. DDTL</t>
  </si>
  <si>
    <t>7048.PP</t>
  </si>
  <si>
    <t>Loving Tan Intermediate II, Inc. - Term Loan</t>
  </si>
  <si>
    <t>LX213391.PP</t>
  </si>
  <si>
    <t>2221.PP</t>
  </si>
  <si>
    <t>Marketplace Events Acquisition, LLC - DDTL</t>
  </si>
  <si>
    <t>7138.PP</t>
  </si>
  <si>
    <t>7138.PP1</t>
  </si>
  <si>
    <t>7138.PP2</t>
  </si>
  <si>
    <t>Municipal Emergency Services, Inc. - 4th Amendment DDTL</t>
  </si>
  <si>
    <t>BDC8237.PP</t>
  </si>
  <si>
    <t>BDC8237.PP1</t>
  </si>
  <si>
    <t>BDC8237.PP2</t>
  </si>
  <si>
    <t>BDC8237.PP3</t>
  </si>
  <si>
    <t>Municipal Emergency Services, Inc. - 5th Amendment TL</t>
  </si>
  <si>
    <t>8757.PP</t>
  </si>
  <si>
    <t>Municipal Emergency Services, Inc. - 3rd Amendment DDTL</t>
  </si>
  <si>
    <t>BDC 9865.PP</t>
  </si>
  <si>
    <t>BDC 9865.PP1</t>
  </si>
  <si>
    <t>BDC 9865.PP2</t>
  </si>
  <si>
    <t>BDC 9865.PP3</t>
  </si>
  <si>
    <t>Podean Buyer, Inc - First Lien Term Loan</t>
  </si>
  <si>
    <t>9020.PP</t>
  </si>
  <si>
    <t>Systems Planning and Analysis, Inc. - DDTL A</t>
  </si>
  <si>
    <t>BDC 4940A.PP</t>
  </si>
  <si>
    <t>Systems Planning and Analysis, Inc. - DDTL A 06.13.2025</t>
  </si>
  <si>
    <t>BDC 4940A.PP1</t>
  </si>
  <si>
    <t>BDC 4940B.PP</t>
  </si>
  <si>
    <t>The Vertex Companies, LLC - Incremental DDTL</t>
  </si>
  <si>
    <t>6798.PP</t>
  </si>
  <si>
    <t>The Vertex Companies, LLC - Term Loan B</t>
  </si>
  <si>
    <t>3584.PP</t>
  </si>
  <si>
    <t>Payable</t>
  </si>
  <si>
    <t>Buy</t>
  </si>
  <si>
    <t>SHOULD BE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</si>
</sst>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2" formatCode="_(&quot;$&quot;* #,##0_);_(&quot;$&quot;* \(#,##0\);_(&quot;$&quot;* &quot;-&quot;_);_(@_)"/>
    <numFmt numFmtId="44" formatCode="_(&quot;$&quot;* #,##0.00_);_(&quot;$&quot;* \(#,##0.00\);_(&quot;$&quot;* &quot;-&quot;??_);_(@_)"/>
    <numFmt numFmtId="43" formatCode="_(* #,##0.00_);_(* \(#,##0.00\);_(* &quot;-&quot;??_);_(@_)"/>
    <numFmt numFmtId="164" formatCode="_(* #,##0_);_(* \(#,##0\);_(* &quot;-&quot;??_);_(@_)"/>
    <numFmt numFmtId="165" formatCode="General_)"/>
    <numFmt numFmtId="166" formatCode="#,##0.0\x_);\(#,##0.0\x\);#,##0.0\x_);@_)"/>
    <numFmt numFmtId="167" formatCode="#,##0.0\%_);\(#,##0.0\%\);#,##0.0\%_);@_)"/>
    <numFmt numFmtId="168" formatCode="[$-F800]dddd\,\ mmmm\ dd\,\ yyyy"/>
    <numFmt numFmtId="169" formatCode="[$-409]mmmm\ d\,\ yyyy;@"/>
    <numFmt numFmtId="170" formatCode="0%_);\(0%\)"/>
  </numFmts>
  <fonts count="118">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family val="2"/>
    </font>
    <font>
      <b/>
      <sz val="10"/>
      <name val="Arial"/>
      <family val="2"/>
    </font>
    <font>
      <u/>
      <sz val="10"/>
      <name val="Arial"/>
      <family val="2"/>
    </font>
    <font>
      <sz val="10"/>
      <color indexed="8"/>
      <name val="MS Sans Serif"/>
      <family val="2"/>
    </font>
    <font>
      <sz val="10"/>
      <name val="MS Sans Serif"/>
      <family val="2"/>
    </font>
    <font>
      <sz val="6"/>
      <name val="Helv"/>
    </font>
    <font>
      <b/>
      <u val="singleAccounting"/>
      <sz val="10"/>
      <color indexed="8"/>
      <name val="Times New Roman"/>
      <family val="1"/>
    </font>
    <font>
      <sz val="10"/>
      <name val="Times New Roman"/>
      <family val="1"/>
    </font>
    <font>
      <sz val="7"/>
      <name val="Times New Roman"/>
      <family val="1"/>
    </font>
    <font>
      <sz val="8"/>
      <name val="Times New Roman"/>
      <family val="1"/>
    </font>
    <font>
      <b/>
      <sz val="10"/>
      <name val="MS Sans Serif"/>
      <family val="2"/>
    </font>
    <font>
      <sz val="8"/>
      <name val="Tms Rmn"/>
    </font>
    <font>
      <sz val="8"/>
      <name val="Palatino"/>
      <family val="1"/>
    </font>
    <font>
      <sz val="12"/>
      <name val="Arial"/>
      <family val="2"/>
    </font>
    <font>
      <b/>
      <sz val="26"/>
      <name val="Times New Roman"/>
      <family val="1"/>
    </font>
    <font>
      <b/>
      <sz val="18"/>
      <name val="Times New Roman"/>
      <family val="1"/>
    </font>
    <font>
      <b/>
      <sz val="9"/>
      <name val="Arial"/>
      <family val="2"/>
    </font>
    <font>
      <sz val="12"/>
      <name val="Garamond"/>
      <family val="1"/>
    </font>
    <font>
      <b/>
      <sz val="10"/>
      <color indexed="10"/>
      <name val="Arial"/>
      <family val="2"/>
    </font>
    <font>
      <b/>
      <sz val="12"/>
      <color indexed="8"/>
      <name val="Times New Roman"/>
      <family val="1"/>
    </font>
    <font>
      <b/>
      <sz val="10"/>
      <name val="Times New Roman"/>
      <family val="1"/>
    </font>
    <font>
      <sz val="11"/>
      <color indexed="8"/>
      <name val="Calibri"/>
      <family val="2"/>
    </font>
    <font>
      <b/>
      <sz val="11"/>
      <color indexed="10"/>
      <name val="Calibri"/>
      <family val="2"/>
    </font>
    <font>
      <b/>
      <i/>
      <sz val="11"/>
      <color indexed="8"/>
      <name val="Calibri"/>
      <family val="2"/>
    </font>
    <font>
      <sz val="10"/>
      <color indexed="10"/>
      <name val="Times New Roman"/>
      <family val="1"/>
    </font>
    <font>
      <sz val="8"/>
      <name val="Arial"/>
      <family val="2"/>
    </font>
    <font>
      <sz val="11"/>
      <color rgb="FF3F3F76"/>
      <name val="Calibri"/>
      <family val="2"/>
      <scheme val="minor"/>
    </font>
    <font>
      <sz val="11"/>
      <color theme="1"/>
      <name val="Calibri"/>
      <family val="2"/>
      <scheme val="minor"/>
    </font>
    <font>
      <sz val="10"/>
      <name val="Arial"/>
      <family val="2"/>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9"/>
      <color indexed="81"/>
      <name val="Tahoma"/>
      <family val="2"/>
    </font>
    <font>
      <b/>
      <sz val="9"/>
      <color indexed="81"/>
      <name val="Tahoma"/>
      <family val="2"/>
    </font>
    <font>
      <sz val="10"/>
      <color theme="0"/>
      <name val="Times New Roman"/>
      <family val="1"/>
    </font>
    <font>
      <sz val="10"/>
      <name val="Arial"/>
      <family val="2"/>
    </font>
    <font>
      <sz val="18"/>
      <color theme="3"/>
      <name val="Cambria"/>
      <family val="2"/>
      <scheme val="major"/>
    </font>
    <font>
      <sz val="11"/>
      <color rgb="FF9C5700"/>
      <name val="Calibri"/>
      <family val="2"/>
      <scheme val="minor"/>
    </font>
  </fonts>
  <fills count="6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7"/>
        <bgColor indexed="64"/>
      </patternFill>
    </fill>
    <fill>
      <patternFill patternType="solid">
        <fgColor indexed="43"/>
      </patternFill>
    </fill>
    <fill>
      <patternFill patternType="solid">
        <fgColor indexed="26"/>
      </patternFill>
    </fill>
    <fill>
      <patternFill patternType="mediumGray">
        <fgColor indexed="22"/>
      </patternFill>
    </fill>
    <fill>
      <patternFill patternType="solid">
        <fgColor indexed="63"/>
        <bgColor indexed="64"/>
      </patternFill>
    </fill>
    <fill>
      <patternFill patternType="solid">
        <fgColor rgb="FFFFCC99"/>
      </patternFill>
    </fill>
    <fill>
      <patternFill patternType="solid">
        <fgColor theme="8" tint="0.39994506668294322"/>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EB9C"/>
      </patternFill>
    </fill>
    <fill>
      <patternFill patternType="solid">
        <fgColor rgb="FFFFFFCC"/>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9" tint="0.59999389629810485"/>
        <bgColor indexed="64"/>
      </patternFill>
    </fill>
    <fill>
      <patternFill patternType="solid">
        <fgColor rgb="FF00B0F0"/>
        <bgColor indexed="64"/>
      </patternFill>
    </fill>
    <fill>
      <patternFill patternType="solid">
        <fgColor theme="1"/>
        <bgColor indexed="64"/>
      </patternFill>
    </fill>
    <fill>
      <patternFill patternType="solid">
        <fgColor theme="0"/>
        <bgColor indexed="64"/>
      </patternFill>
    </fill>
    <fill>
      <patternFill patternType="solid">
        <fgColor theme="4" tint="0.59999389629810485"/>
        <bgColor indexed="64"/>
      </patternFill>
    </fill>
    <fill>
      <patternFill patternType="solid">
        <fgColor theme="3" tint="0.59999389629810485"/>
        <bgColor indexed="64"/>
      </patternFill>
    </fill>
  </fills>
  <borders count="36">
    <border>
      <left/>
      <right/>
      <top/>
      <bottom/>
      <diagonal/>
    </border>
    <border>
      <left/>
      <right/>
      <top/>
      <bottom style="medium">
        <color indexed="64"/>
      </bottom>
      <diagonal/>
    </border>
    <border>
      <left/>
      <right/>
      <top/>
      <bottom style="thin">
        <color indexed="4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medium">
        <color indexed="8"/>
      </top>
      <bottom style="double">
        <color indexed="8"/>
      </bottom>
      <diagonal/>
    </border>
    <border>
      <left/>
      <right/>
      <top style="double">
        <color indexed="8"/>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medium">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657">
    <xf numFmtId="0" fontId="0" fillId="0" borderId="0"/>
    <xf numFmtId="168" fontId="78" fillId="0" borderId="0" applyNumberFormat="0" applyFill="0" applyBorder="0" applyAlignment="0" applyProtection="0"/>
    <xf numFmtId="0" fontId="51" fillId="2" borderId="0" applyNumberFormat="0" applyBorder="0" applyAlignment="0" applyProtection="0"/>
    <xf numFmtId="0" fontId="51" fillId="3" borderId="0" applyNumberFormat="0" applyBorder="0" applyAlignment="0" applyProtection="0"/>
    <xf numFmtId="0" fontId="51" fillId="4" borderId="0" applyNumberFormat="0" applyBorder="0" applyAlignment="0" applyProtection="0"/>
    <xf numFmtId="0" fontId="51" fillId="5" borderId="0" applyNumberFormat="0" applyBorder="0" applyAlignment="0" applyProtection="0"/>
    <xf numFmtId="0" fontId="51" fillId="6" borderId="0" applyNumberFormat="0" applyBorder="0" applyAlignment="0" applyProtection="0"/>
    <xf numFmtId="0" fontId="51" fillId="7" borderId="0" applyNumberFormat="0" applyBorder="0" applyAlignment="0" applyProtection="0"/>
    <xf numFmtId="0" fontId="51" fillId="8" borderId="0" applyNumberFormat="0" applyBorder="0" applyAlignment="0" applyProtection="0"/>
    <xf numFmtId="0" fontId="51" fillId="9" borderId="0" applyNumberFormat="0" applyBorder="0" applyAlignment="0" applyProtection="0"/>
    <xf numFmtId="0" fontId="51" fillId="10" borderId="0" applyNumberFormat="0" applyBorder="0" applyAlignment="0" applyProtection="0"/>
    <xf numFmtId="0" fontId="51" fillId="5" borderId="0" applyNumberFormat="0" applyBorder="0" applyAlignment="0" applyProtection="0"/>
    <xf numFmtId="0" fontId="51" fillId="8" borderId="0" applyNumberFormat="0" applyBorder="0" applyAlignment="0" applyProtection="0"/>
    <xf numFmtId="0" fontId="51" fillId="11" borderId="0" applyNumberFormat="0" applyBorder="0" applyAlignment="0" applyProtection="0"/>
    <xf numFmtId="0" fontId="52" fillId="12" borderId="0" applyNumberFormat="0" applyBorder="0" applyAlignment="0" applyProtection="0"/>
    <xf numFmtId="0" fontId="52" fillId="9" borderId="0" applyNumberFormat="0" applyBorder="0" applyAlignment="0" applyProtection="0"/>
    <xf numFmtId="0" fontId="52" fillId="10" borderId="0" applyNumberFormat="0" applyBorder="0" applyAlignment="0" applyProtection="0"/>
    <xf numFmtId="0" fontId="52" fillId="13" borderId="0" applyNumberFormat="0" applyBorder="0" applyAlignment="0" applyProtection="0"/>
    <xf numFmtId="0" fontId="52" fillId="14" borderId="0" applyNumberFormat="0" applyBorder="0" applyAlignment="0" applyProtection="0"/>
    <xf numFmtId="0" fontId="52" fillId="15" borderId="0" applyNumberFormat="0" applyBorder="0" applyAlignment="0" applyProtection="0"/>
    <xf numFmtId="0" fontId="52" fillId="16" borderId="0" applyNumberFormat="0" applyBorder="0" applyAlignment="0" applyProtection="0"/>
    <xf numFmtId="0" fontId="52" fillId="17" borderId="0" applyNumberFormat="0" applyBorder="0" applyAlignment="0" applyProtection="0"/>
    <xf numFmtId="0" fontId="52" fillId="18" borderId="0" applyNumberFormat="0" applyBorder="0" applyAlignment="0" applyProtection="0"/>
    <xf numFmtId="0" fontId="52" fillId="13" borderId="0" applyNumberFormat="0" applyBorder="0" applyAlignment="0" applyProtection="0"/>
    <xf numFmtId="0" fontId="52" fillId="14" borderId="0" applyNumberFormat="0" applyBorder="0" applyAlignment="0" applyProtection="0"/>
    <xf numFmtId="0" fontId="52" fillId="19" borderId="0" applyNumberFormat="0" applyBorder="0" applyAlignment="0" applyProtection="0"/>
    <xf numFmtId="168" fontId="79" fillId="0" borderId="0"/>
    <xf numFmtId="0" fontId="53" fillId="3" borderId="0" applyNumberFormat="0" applyBorder="0" applyAlignment="0" applyProtection="0"/>
    <xf numFmtId="168" fontId="77" fillId="0" borderId="1" applyNumberFormat="0" applyFont="0" applyFill="0" applyAlignment="0" applyProtection="0"/>
    <xf numFmtId="168" fontId="77" fillId="0" borderId="2" applyNumberFormat="0" applyFont="0" applyFill="0" applyAlignment="0" applyProtection="0"/>
    <xf numFmtId="0" fontId="54" fillId="20" borderId="3" applyNumberFormat="0" applyAlignment="0" applyProtection="0"/>
    <xf numFmtId="0" fontId="55" fillId="21" borderId="4" applyNumberFormat="0" applyAlignment="0" applyProtection="0"/>
    <xf numFmtId="43" fontId="50" fillId="0" borderId="0" applyFont="0" applyFill="0" applyBorder="0" applyAlignment="0" applyProtection="0"/>
    <xf numFmtId="43" fontId="89" fillId="0" borderId="0" applyFont="0" applyFill="0" applyBorder="0" applyAlignment="0" applyProtection="0"/>
    <xf numFmtId="43" fontId="87" fillId="0" borderId="0" applyFont="0" applyFill="0" applyBorder="0" applyAlignment="0" applyProtection="0"/>
    <xf numFmtId="43" fontId="68" fillId="0" borderId="0" applyFont="0" applyFill="0" applyBorder="0" applyAlignment="0" applyProtection="0"/>
    <xf numFmtId="43" fontId="89" fillId="0" borderId="0" applyFont="0" applyFill="0" applyBorder="0" applyAlignment="0" applyProtection="0"/>
    <xf numFmtId="43" fontId="68" fillId="0" borderId="0" applyFont="0" applyFill="0" applyBorder="0" applyAlignment="0" applyProtection="0"/>
    <xf numFmtId="40" fontId="72" fillId="0" borderId="0" applyFont="0" applyFill="0" applyBorder="0" applyAlignment="0" applyProtection="0"/>
    <xf numFmtId="40" fontId="72" fillId="0" borderId="0" applyFont="0" applyFill="0" applyBorder="0" applyAlignment="0" applyProtection="0"/>
    <xf numFmtId="43" fontId="68" fillId="0" borderId="0" applyFont="0" applyFill="0" applyBorder="0" applyAlignment="0" applyProtection="0"/>
    <xf numFmtId="43" fontId="89" fillId="0" borderId="0" applyFont="0" applyFill="0" applyBorder="0" applyAlignment="0" applyProtection="0"/>
    <xf numFmtId="43" fontId="89" fillId="0" borderId="0" applyFont="0" applyFill="0" applyBorder="0" applyAlignment="0" applyProtection="0"/>
    <xf numFmtId="43" fontId="51" fillId="0" borderId="0" applyFont="0" applyFill="0" applyBorder="0" applyAlignment="0" applyProtection="0"/>
    <xf numFmtId="43" fontId="68" fillId="0" borderId="0" applyFont="0" applyFill="0" applyBorder="0" applyAlignment="0" applyProtection="0"/>
    <xf numFmtId="43" fontId="68" fillId="0" borderId="0" applyFont="0" applyFill="0" applyBorder="0" applyAlignment="0" applyProtection="0"/>
    <xf numFmtId="43" fontId="68" fillId="0" borderId="0" applyFont="0" applyFill="0" applyBorder="0" applyAlignment="0" applyProtection="0"/>
    <xf numFmtId="44" fontId="68" fillId="0" borderId="0" applyFont="0" applyFill="0" applyBorder="0" applyAlignment="0" applyProtection="0"/>
    <xf numFmtId="44" fontId="68" fillId="0" borderId="0" applyFont="0" applyFill="0" applyBorder="0" applyAlignment="0" applyProtection="0"/>
    <xf numFmtId="44" fontId="89" fillId="0" borderId="0" applyFont="0" applyFill="0" applyBorder="0" applyAlignment="0" applyProtection="0"/>
    <xf numFmtId="44" fontId="89" fillId="0" borderId="0" applyFont="0" applyFill="0" applyBorder="0" applyAlignment="0" applyProtection="0"/>
    <xf numFmtId="44" fontId="87" fillId="0" borderId="0" applyFont="0" applyFill="0" applyBorder="0" applyAlignment="0" applyProtection="0"/>
    <xf numFmtId="44" fontId="89" fillId="0" borderId="0" applyFont="0" applyFill="0" applyBorder="0" applyAlignment="0" applyProtection="0"/>
    <xf numFmtId="165" fontId="77" fillId="0" borderId="0" applyFont="0" applyFill="0" applyBorder="0" applyProtection="0">
      <alignment horizontal="right"/>
    </xf>
    <xf numFmtId="0" fontId="56" fillId="0" borderId="0" applyNumberFormat="0" applyFill="0" applyBorder="0" applyAlignment="0" applyProtection="0"/>
    <xf numFmtId="0" fontId="57" fillId="4" borderId="0" applyNumberFormat="0" applyBorder="0" applyAlignment="0" applyProtection="0"/>
    <xf numFmtId="14" fontId="69" fillId="22" borderId="1">
      <alignment horizontal="center" vertical="center" wrapText="1"/>
    </xf>
    <xf numFmtId="0" fontId="58" fillId="0" borderId="5" applyNumberFormat="0" applyFill="0" applyAlignment="0" applyProtection="0"/>
    <xf numFmtId="0" fontId="59" fillId="0" borderId="6" applyNumberFormat="0" applyFill="0" applyAlignment="0" applyProtection="0"/>
    <xf numFmtId="0" fontId="60" fillId="0" borderId="7" applyNumberFormat="0" applyFill="0" applyAlignment="0" applyProtection="0"/>
    <xf numFmtId="0" fontId="60" fillId="0" borderId="0" applyNumberFormat="0" applyFill="0" applyBorder="0" applyAlignment="0" applyProtection="0"/>
    <xf numFmtId="0" fontId="61" fillId="7" borderId="3" applyNumberFormat="0" applyAlignment="0" applyProtection="0"/>
    <xf numFmtId="168" fontId="94" fillId="27" borderId="27" applyNumberFormat="0" applyAlignment="0" applyProtection="0"/>
    <xf numFmtId="168" fontId="94" fillId="27" borderId="27" applyNumberFormat="0" applyAlignment="0" applyProtection="0"/>
    <xf numFmtId="0" fontId="62" fillId="0" borderId="8" applyNumberFormat="0" applyFill="0" applyAlignment="0" applyProtection="0"/>
    <xf numFmtId="166" fontId="80" fillId="0" borderId="0" applyFont="0" applyFill="0" applyBorder="0" applyProtection="0">
      <alignment horizontal="right"/>
    </xf>
    <xf numFmtId="0" fontId="63" fillId="23" borderId="0" applyNumberFormat="0" applyBorder="0" applyAlignment="0" applyProtection="0"/>
    <xf numFmtId="168" fontId="81" fillId="0" borderId="0" applyNumberFormat="0" applyFill="0" applyBorder="0" applyAlignment="0" applyProtection="0"/>
    <xf numFmtId="168" fontId="68" fillId="0" borderId="0"/>
    <xf numFmtId="168" fontId="68" fillId="0" borderId="0"/>
    <xf numFmtId="0" fontId="68" fillId="0" borderId="0"/>
    <xf numFmtId="0" fontId="95" fillId="0" borderId="0"/>
    <xf numFmtId="0" fontId="95" fillId="0" borderId="0"/>
    <xf numFmtId="0" fontId="95" fillId="0" borderId="0"/>
    <xf numFmtId="0" fontId="68" fillId="0" borderId="0"/>
    <xf numFmtId="0" fontId="68" fillId="0" borderId="0"/>
    <xf numFmtId="168" fontId="95" fillId="0" borderId="0"/>
    <xf numFmtId="0" fontId="95" fillId="0" borderId="0"/>
    <xf numFmtId="164" fontId="71" fillId="0" borderId="0"/>
    <xf numFmtId="164" fontId="71" fillId="0" borderId="0"/>
    <xf numFmtId="168" fontId="85" fillId="0" borderId="0"/>
    <xf numFmtId="0" fontId="85" fillId="0" borderId="0"/>
    <xf numFmtId="0" fontId="68" fillId="0" borderId="0">
      <alignment horizontal="left" wrapText="1"/>
    </xf>
    <xf numFmtId="0" fontId="95" fillId="0" borderId="0"/>
    <xf numFmtId="0" fontId="68" fillId="0" borderId="0"/>
    <xf numFmtId="0" fontId="71" fillId="0" borderId="0"/>
    <xf numFmtId="0" fontId="95" fillId="0" borderId="0"/>
    <xf numFmtId="0" fontId="95" fillId="0" borderId="0"/>
    <xf numFmtId="0" fontId="68" fillId="0" borderId="0"/>
    <xf numFmtId="168" fontId="95" fillId="0" borderId="0"/>
    <xf numFmtId="168" fontId="71" fillId="0" borderId="0"/>
    <xf numFmtId="169" fontId="71" fillId="0" borderId="0"/>
    <xf numFmtId="0" fontId="68" fillId="0" borderId="0"/>
    <xf numFmtId="168" fontId="68" fillId="0" borderId="0"/>
    <xf numFmtId="168" fontId="73" fillId="0" borderId="0"/>
    <xf numFmtId="168" fontId="73" fillId="0" borderId="0"/>
    <xf numFmtId="168" fontId="95" fillId="0" borderId="0"/>
    <xf numFmtId="168" fontId="73" fillId="0" borderId="0"/>
    <xf numFmtId="168" fontId="73" fillId="0" borderId="0"/>
    <xf numFmtId="168" fontId="71" fillId="0" borderId="0"/>
    <xf numFmtId="0" fontId="95" fillId="0" borderId="0"/>
    <xf numFmtId="0" fontId="51" fillId="24" borderId="9" applyNumberFormat="0" applyFont="0" applyAlignment="0" applyProtection="0"/>
    <xf numFmtId="0" fontId="64" fillId="20" borderId="10" applyNumberFormat="0" applyAlignment="0" applyProtection="0"/>
    <xf numFmtId="168" fontId="82" fillId="0" borderId="0" applyFill="0" applyBorder="0" applyProtection="0">
      <alignment horizontal="left"/>
    </xf>
    <xf numFmtId="168" fontId="83" fillId="0" borderId="0" applyFill="0" applyBorder="0" applyProtection="0">
      <alignment horizontal="left"/>
    </xf>
    <xf numFmtId="9" fontId="50" fillId="0" borderId="0" applyFont="0" applyFill="0" applyBorder="0" applyAlignment="0" applyProtection="0"/>
    <xf numFmtId="170" fontId="68" fillId="0" borderId="0" applyFont="0" applyFill="0" applyBorder="0" applyAlignment="0" applyProtection="0"/>
    <xf numFmtId="9" fontId="87" fillId="0" borderId="0" applyFont="0" applyFill="0" applyBorder="0" applyAlignment="0" applyProtection="0"/>
    <xf numFmtId="9" fontId="87" fillId="0" borderId="0" applyFont="0" applyFill="0" applyBorder="0" applyAlignment="0" applyProtection="0"/>
    <xf numFmtId="9" fontId="87" fillId="0" borderId="0" applyFont="0" applyFill="0" applyBorder="0" applyAlignment="0" applyProtection="0"/>
    <xf numFmtId="9" fontId="87" fillId="0" borderId="0" applyFont="0" applyFill="0" applyBorder="0" applyAlignment="0" applyProtection="0"/>
    <xf numFmtId="9" fontId="89" fillId="0" borderId="0" applyFont="0" applyFill="0" applyBorder="0" applyAlignment="0" applyProtection="0"/>
    <xf numFmtId="9" fontId="89" fillId="0" borderId="0" applyFont="0" applyFill="0" applyBorder="0" applyAlignment="0" applyProtection="0"/>
    <xf numFmtId="9" fontId="89" fillId="0" borderId="0" applyFont="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89" fillId="0" borderId="0" applyFont="0" applyFill="0" applyBorder="0" applyAlignment="0" applyProtection="0"/>
    <xf numFmtId="9" fontId="89" fillId="0" borderId="0" applyFont="0" applyFill="0" applyBorder="0" applyAlignment="0" applyProtection="0"/>
    <xf numFmtId="9" fontId="72" fillId="0" borderId="0" applyFont="0" applyFill="0" applyBorder="0" applyAlignment="0" applyProtection="0"/>
    <xf numFmtId="9" fontId="89" fillId="0" borderId="0" applyFont="0" applyFill="0" applyBorder="0" applyAlignment="0" applyProtection="0"/>
    <xf numFmtId="9" fontId="89" fillId="0" borderId="0" applyFont="0" applyFill="0" applyBorder="0" applyAlignment="0" applyProtection="0"/>
    <xf numFmtId="9" fontId="51" fillId="0" borderId="0" applyFont="0" applyFill="0" applyBorder="0" applyAlignment="0" applyProtection="0"/>
    <xf numFmtId="9" fontId="89" fillId="0" borderId="0" applyFont="0" applyFill="0" applyBorder="0" applyAlignment="0" applyProtection="0"/>
    <xf numFmtId="9" fontId="89" fillId="0" borderId="0" applyFont="0" applyFill="0" applyBorder="0" applyAlignment="0" applyProtection="0"/>
    <xf numFmtId="167" fontId="77" fillId="0" borderId="0" applyFont="0" applyFill="0" applyBorder="0" applyProtection="0">
      <alignment horizontal="right"/>
    </xf>
    <xf numFmtId="0" fontId="72" fillId="0" borderId="0" applyNumberFormat="0" applyFont="0" applyFill="0" applyBorder="0" applyAlignment="0" applyProtection="0">
      <alignment horizontal="left"/>
    </xf>
    <xf numFmtId="15" fontId="72" fillId="0" borderId="0" applyFont="0" applyFill="0" applyBorder="0" applyAlignment="0" applyProtection="0"/>
    <xf numFmtId="4" fontId="72" fillId="0" borderId="0" applyFont="0" applyFill="0" applyBorder="0" applyAlignment="0" applyProtection="0"/>
    <xf numFmtId="0" fontId="78" fillId="0" borderId="1">
      <alignment horizontal="center"/>
    </xf>
    <xf numFmtId="0" fontId="72" fillId="25" borderId="0" applyNumberFormat="0" applyFont="0" applyBorder="0" applyAlignment="0" applyProtection="0"/>
    <xf numFmtId="168" fontId="75" fillId="26" borderId="0" applyNumberFormat="0" applyFont="0" applyBorder="0" applyAlignment="0" applyProtection="0"/>
    <xf numFmtId="168" fontId="74" fillId="28" borderId="0" applyFont="0" applyBorder="0" applyAlignment="0">
      <alignment horizontal="center" wrapText="1"/>
    </xf>
    <xf numFmtId="168" fontId="84" fillId="0" borderId="0" applyFill="0" applyBorder="0" applyProtection="0">
      <alignment horizontal="center" vertical="center"/>
    </xf>
    <xf numFmtId="168" fontId="84" fillId="0" borderId="0" applyFill="0" applyBorder="0" applyProtection="0"/>
    <xf numFmtId="168" fontId="69" fillId="0" borderId="0" applyFill="0" applyBorder="0" applyProtection="0">
      <alignment horizontal="left"/>
    </xf>
    <xf numFmtId="168" fontId="76" fillId="0" borderId="0" applyFill="0" applyBorder="0" applyProtection="0">
      <alignment horizontal="left" vertical="top"/>
    </xf>
    <xf numFmtId="0" fontId="86" fillId="0" borderId="0" applyFill="0" applyBorder="0" applyProtection="0">
      <alignment horizontal="left" vertical="top"/>
    </xf>
    <xf numFmtId="0" fontId="65" fillId="0" borderId="0" applyNumberFormat="0" applyFill="0" applyBorder="0" applyAlignment="0" applyProtection="0"/>
    <xf numFmtId="0" fontId="66" fillId="0" borderId="11" applyNumberFormat="0" applyFill="0" applyAlignment="0" applyProtection="0"/>
    <xf numFmtId="0" fontId="67" fillId="0" borderId="0" applyNumberFormat="0" applyFill="0" applyBorder="0" applyAlignment="0" applyProtection="0"/>
    <xf numFmtId="165" fontId="77" fillId="0" borderId="0" applyFont="0" applyFill="0" applyBorder="0" applyProtection="0">
      <alignment horizontal="right"/>
    </xf>
    <xf numFmtId="0" fontId="49" fillId="2" borderId="0" applyNumberFormat="0" applyBorder="0" applyAlignment="0" applyProtection="0"/>
    <xf numFmtId="0" fontId="48" fillId="29" borderId="0" applyNumberFormat="0" applyBorder="0" applyAlignment="0" applyProtection="0"/>
    <xf numFmtId="0" fontId="49" fillId="3" borderId="0" applyNumberFormat="0" applyBorder="0" applyAlignment="0" applyProtection="0"/>
    <xf numFmtId="0" fontId="48" fillId="30" borderId="0" applyNumberFormat="0" applyBorder="0" applyAlignment="0" applyProtection="0"/>
    <xf numFmtId="0" fontId="49" fillId="4" borderId="0" applyNumberFormat="0" applyBorder="0" applyAlignment="0" applyProtection="0"/>
    <xf numFmtId="0" fontId="48" fillId="31" borderId="0" applyNumberFormat="0" applyBorder="0" applyAlignment="0" applyProtection="0"/>
    <xf numFmtId="0" fontId="49" fillId="5" borderId="0" applyNumberFormat="0" applyBorder="0" applyAlignment="0" applyProtection="0"/>
    <xf numFmtId="0" fontId="48" fillId="32" borderId="0" applyNumberFormat="0" applyBorder="0" applyAlignment="0" applyProtection="0"/>
    <xf numFmtId="0" fontId="49" fillId="6" borderId="0" applyNumberFormat="0" applyBorder="0" applyAlignment="0" applyProtection="0"/>
    <xf numFmtId="0" fontId="48" fillId="33" borderId="0" applyNumberFormat="0" applyBorder="0" applyAlignment="0" applyProtection="0"/>
    <xf numFmtId="0" fontId="49" fillId="7" borderId="0" applyNumberFormat="0" applyBorder="0" applyAlignment="0" applyProtection="0"/>
    <xf numFmtId="0" fontId="48" fillId="34" borderId="0" applyNumberFormat="0" applyBorder="0" applyAlignment="0" applyProtection="0"/>
    <xf numFmtId="0" fontId="49" fillId="8" borderId="0" applyNumberFormat="0" applyBorder="0" applyAlignment="0" applyProtection="0"/>
    <xf numFmtId="0" fontId="48" fillId="35" borderId="0" applyNumberFormat="0" applyBorder="0" applyAlignment="0" applyProtection="0"/>
    <xf numFmtId="0" fontId="49" fillId="9" borderId="0" applyNumberFormat="0" applyBorder="0" applyAlignment="0" applyProtection="0"/>
    <xf numFmtId="0" fontId="48" fillId="36" borderId="0" applyNumberFormat="0" applyBorder="0" applyAlignment="0" applyProtection="0"/>
    <xf numFmtId="0" fontId="49" fillId="10" borderId="0" applyNumberFormat="0" applyBorder="0" applyAlignment="0" applyProtection="0"/>
    <xf numFmtId="0" fontId="48" fillId="37" borderId="0" applyNumberFormat="0" applyBorder="0" applyAlignment="0" applyProtection="0"/>
    <xf numFmtId="0" fontId="49" fillId="5" borderId="0" applyNumberFormat="0" applyBorder="0" applyAlignment="0" applyProtection="0"/>
    <xf numFmtId="0" fontId="48" fillId="38" borderId="0" applyNumberFormat="0" applyBorder="0" applyAlignment="0" applyProtection="0"/>
    <xf numFmtId="0" fontId="49" fillId="8" borderId="0" applyNumberFormat="0" applyBorder="0" applyAlignment="0" applyProtection="0"/>
    <xf numFmtId="0" fontId="48" fillId="39" borderId="0" applyNumberFormat="0" applyBorder="0" applyAlignment="0" applyProtection="0"/>
    <xf numFmtId="0" fontId="49" fillId="11" borderId="0" applyNumberFormat="0" applyBorder="0" applyAlignment="0" applyProtection="0"/>
    <xf numFmtId="0" fontId="48" fillId="40" borderId="0" applyNumberFormat="0" applyBorder="0" applyAlignment="0" applyProtection="0"/>
    <xf numFmtId="0" fontId="97" fillId="41" borderId="0" applyNumberFormat="0" applyBorder="0" applyAlignment="0" applyProtection="0"/>
    <xf numFmtId="0" fontId="97" fillId="42" borderId="0" applyNumberFormat="0" applyBorder="0" applyAlignment="0" applyProtection="0"/>
    <xf numFmtId="0" fontId="97" fillId="43" borderId="0" applyNumberFormat="0" applyBorder="0" applyAlignment="0" applyProtection="0"/>
    <xf numFmtId="0" fontId="97" fillId="44" borderId="0" applyNumberFormat="0" applyBorder="0" applyAlignment="0" applyProtection="0"/>
    <xf numFmtId="0" fontId="97" fillId="45" borderId="0" applyNumberFormat="0" applyBorder="0" applyAlignment="0" applyProtection="0"/>
    <xf numFmtId="0" fontId="97" fillId="46" borderId="0" applyNumberFormat="0" applyBorder="0" applyAlignment="0" applyProtection="0"/>
    <xf numFmtId="0" fontId="97" fillId="47" borderId="0" applyNumberFormat="0" applyBorder="0" applyAlignment="0" applyProtection="0"/>
    <xf numFmtId="0" fontId="97" fillId="48" borderId="0" applyNumberFormat="0" applyBorder="0" applyAlignment="0" applyProtection="0"/>
    <xf numFmtId="0" fontId="97" fillId="49" borderId="0" applyNumberFormat="0" applyBorder="0" applyAlignment="0" applyProtection="0"/>
    <xf numFmtId="0" fontId="97" fillId="50" borderId="0" applyNumberFormat="0" applyBorder="0" applyAlignment="0" applyProtection="0"/>
    <xf numFmtId="0" fontId="97" fillId="51" borderId="0" applyNumberFormat="0" applyBorder="0" applyAlignment="0" applyProtection="0"/>
    <xf numFmtId="0" fontId="97" fillId="52" borderId="0" applyNumberFormat="0" applyBorder="0" applyAlignment="0" applyProtection="0"/>
    <xf numFmtId="0" fontId="98" fillId="53" borderId="0" applyNumberFormat="0" applyBorder="0" applyAlignment="0" applyProtection="0"/>
    <xf numFmtId="0" fontId="99" fillId="54" borderId="27" applyNumberFormat="0" applyAlignment="0" applyProtection="0"/>
    <xf numFmtId="0" fontId="100" fillId="55" borderId="28" applyNumberFormat="0" applyAlignment="0" applyProtection="0"/>
    <xf numFmtId="43" fontId="96" fillId="0" borderId="0" applyFont="0" applyFill="0" applyBorder="0" applyAlignment="0" applyProtection="0"/>
    <xf numFmtId="43" fontId="49" fillId="0" borderId="0" applyFont="0" applyFill="0" applyBorder="0" applyAlignment="0" applyProtection="0"/>
    <xf numFmtId="0" fontId="101" fillId="0" borderId="0" applyNumberFormat="0" applyFill="0" applyBorder="0" applyAlignment="0" applyProtection="0"/>
    <xf numFmtId="0" fontId="102" fillId="56" borderId="0" applyNumberFormat="0" applyBorder="0" applyAlignment="0" applyProtection="0"/>
    <xf numFmtId="0" fontId="103" fillId="0" borderId="29" applyNumberFormat="0" applyFill="0" applyAlignment="0" applyProtection="0"/>
    <xf numFmtId="0" fontId="104" fillId="0" borderId="30" applyNumberFormat="0" applyFill="0" applyAlignment="0" applyProtection="0"/>
    <xf numFmtId="0" fontId="105" fillId="0" borderId="31" applyNumberFormat="0" applyFill="0" applyAlignment="0" applyProtection="0"/>
    <xf numFmtId="0" fontId="105" fillId="0" borderId="0" applyNumberFormat="0" applyFill="0" applyBorder="0" applyAlignment="0" applyProtection="0"/>
    <xf numFmtId="0" fontId="94" fillId="27" borderId="27" applyNumberFormat="0" applyAlignment="0" applyProtection="0"/>
    <xf numFmtId="0" fontId="106" fillId="0" borderId="32" applyNumberFormat="0" applyFill="0" applyAlignment="0" applyProtection="0"/>
    <xf numFmtId="0" fontId="107" fillId="57" borderId="0" applyNumberFormat="0" applyBorder="0" applyAlignment="0" applyProtection="0"/>
    <xf numFmtId="0" fontId="48" fillId="0" borderId="0"/>
    <xf numFmtId="0" fontId="49" fillId="24" borderId="9" applyNumberFormat="0" applyFont="0" applyAlignment="0" applyProtection="0"/>
    <xf numFmtId="0" fontId="49" fillId="58" borderId="33" applyNumberFormat="0" applyFont="0" applyAlignment="0" applyProtection="0"/>
    <xf numFmtId="0" fontId="108" fillId="54" borderId="34" applyNumberFormat="0" applyAlignment="0" applyProtection="0"/>
    <xf numFmtId="0" fontId="109" fillId="0" borderId="0" applyNumberFormat="0" applyFill="0" applyBorder="0" applyAlignment="0" applyProtection="0"/>
    <xf numFmtId="0" fontId="110" fillId="0" borderId="35" applyNumberFormat="0" applyFill="0" applyAlignment="0" applyProtection="0"/>
    <xf numFmtId="0" fontId="111" fillId="0" borderId="0" applyNumberFormat="0" applyFill="0" applyBorder="0" applyAlignment="0" applyProtection="0"/>
    <xf numFmtId="0" fontId="47" fillId="0" borderId="0"/>
    <xf numFmtId="43" fontId="47" fillId="0" borderId="0" applyFont="0" applyFill="0" applyBorder="0" applyAlignment="0" applyProtection="0"/>
    <xf numFmtId="0" fontId="46" fillId="0" borderId="0"/>
    <xf numFmtId="43" fontId="46" fillId="0" borderId="0" applyFont="0" applyFill="0" applyBorder="0" applyAlignment="0" applyProtection="0"/>
    <xf numFmtId="0" fontId="45" fillId="0" borderId="0"/>
    <xf numFmtId="0" fontId="44" fillId="0" borderId="0"/>
    <xf numFmtId="0" fontId="43" fillId="0" borderId="0"/>
    <xf numFmtId="0" fontId="42" fillId="0" borderId="0"/>
    <xf numFmtId="0" fontId="41" fillId="0" borderId="0"/>
    <xf numFmtId="0" fontId="40" fillId="2" borderId="0" applyNumberFormat="0" applyBorder="0" applyAlignment="0" applyProtection="0"/>
    <xf numFmtId="0" fontId="40" fillId="29" borderId="0" applyNumberFormat="0" applyBorder="0" applyAlignment="0" applyProtection="0"/>
    <xf numFmtId="0" fontId="40" fillId="3" borderId="0" applyNumberFormat="0" applyBorder="0" applyAlignment="0" applyProtection="0"/>
    <xf numFmtId="0" fontId="40" fillId="30" borderId="0" applyNumberFormat="0" applyBorder="0" applyAlignment="0" applyProtection="0"/>
    <xf numFmtId="0" fontId="40" fillId="4" borderId="0" applyNumberFormat="0" applyBorder="0" applyAlignment="0" applyProtection="0"/>
    <xf numFmtId="0" fontId="40" fillId="31" borderId="0" applyNumberFormat="0" applyBorder="0" applyAlignment="0" applyProtection="0"/>
    <xf numFmtId="0" fontId="40" fillId="5" borderId="0" applyNumberFormat="0" applyBorder="0" applyAlignment="0" applyProtection="0"/>
    <xf numFmtId="0" fontId="40" fillId="32" borderId="0" applyNumberFormat="0" applyBorder="0" applyAlignment="0" applyProtection="0"/>
    <xf numFmtId="0" fontId="40" fillId="33" borderId="0" applyNumberFormat="0" applyBorder="0" applyAlignment="0" applyProtection="0"/>
    <xf numFmtId="0" fontId="40" fillId="34"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40" fillId="10" borderId="0" applyNumberFormat="0" applyBorder="0" applyAlignment="0" applyProtection="0"/>
    <xf numFmtId="0" fontId="40" fillId="37"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97" fillId="10" borderId="0" applyNumberFormat="0" applyBorder="0" applyAlignment="0" applyProtection="0"/>
    <xf numFmtId="0" fontId="97" fillId="13" borderId="0" applyNumberFormat="0" applyBorder="0" applyAlignment="0" applyProtection="0"/>
    <xf numFmtId="0" fontId="97" fillId="15" borderId="0" applyNumberFormat="0" applyBorder="0" applyAlignment="0" applyProtection="0"/>
    <xf numFmtId="43" fontId="40" fillId="0" borderId="0" applyFont="0" applyFill="0" applyBorder="0" applyAlignment="0" applyProtection="0"/>
    <xf numFmtId="44" fontId="50" fillId="0" borderId="0" applyFont="0" applyFill="0" applyBorder="0" applyAlignment="0" applyProtection="0"/>
    <xf numFmtId="0" fontId="40" fillId="0" borderId="0"/>
    <xf numFmtId="0" fontId="40" fillId="58" borderId="33" applyNumberFormat="0" applyFont="0" applyAlignment="0" applyProtection="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50" fillId="0" borderId="0"/>
    <xf numFmtId="0" fontId="32" fillId="2" borderId="0" applyNumberFormat="0" applyBorder="0" applyAlignment="0" applyProtection="0"/>
    <xf numFmtId="0" fontId="32" fillId="29" borderId="0" applyNumberFormat="0" applyBorder="0" applyAlignment="0" applyProtection="0"/>
    <xf numFmtId="0" fontId="32" fillId="3" borderId="0" applyNumberFormat="0" applyBorder="0" applyAlignment="0" applyProtection="0"/>
    <xf numFmtId="0" fontId="32" fillId="30" borderId="0" applyNumberFormat="0" applyBorder="0" applyAlignment="0" applyProtection="0"/>
    <xf numFmtId="0" fontId="32" fillId="4" borderId="0" applyNumberFormat="0" applyBorder="0" applyAlignment="0" applyProtection="0"/>
    <xf numFmtId="0" fontId="32" fillId="31" borderId="0" applyNumberFormat="0" applyBorder="0" applyAlignment="0" applyProtection="0"/>
    <xf numFmtId="0" fontId="32" fillId="5" borderId="0" applyNumberFormat="0" applyBorder="0" applyAlignment="0" applyProtection="0"/>
    <xf numFmtId="0" fontId="32" fillId="32" borderId="0" applyNumberFormat="0" applyBorder="0" applyAlignment="0" applyProtection="0"/>
    <xf numFmtId="0" fontId="32" fillId="33" borderId="0" applyNumberFormat="0" applyBorder="0" applyAlignment="0" applyProtection="0"/>
    <xf numFmtId="0" fontId="32" fillId="34"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2" fillId="10" borderId="0" applyNumberFormat="0" applyBorder="0" applyAlignment="0" applyProtection="0"/>
    <xf numFmtId="0" fontId="32" fillId="37" borderId="0" applyNumberFormat="0" applyBorder="0" applyAlignment="0" applyProtection="0"/>
    <xf numFmtId="0" fontId="32" fillId="38" borderId="0" applyNumberFormat="0" applyBorder="0" applyAlignment="0" applyProtection="0"/>
    <xf numFmtId="0" fontId="32" fillId="39" borderId="0" applyNumberFormat="0" applyBorder="0" applyAlignment="0" applyProtection="0"/>
    <xf numFmtId="0" fontId="32" fillId="40" borderId="0" applyNumberFormat="0" applyBorder="0" applyAlignment="0" applyProtection="0"/>
    <xf numFmtId="43" fontId="32" fillId="0" borderId="0" applyFont="0" applyFill="0" applyBorder="0" applyAlignment="0" applyProtection="0"/>
    <xf numFmtId="0" fontId="32" fillId="0" borderId="0"/>
    <xf numFmtId="0" fontId="32" fillId="58" borderId="33" applyNumberFormat="0" applyFont="0" applyAlignment="0" applyProtection="0"/>
    <xf numFmtId="0" fontId="31" fillId="0" borderId="0"/>
    <xf numFmtId="0" fontId="30" fillId="0" borderId="0"/>
    <xf numFmtId="43" fontId="49" fillId="0" borderId="0" applyFont="0" applyFill="0" applyBorder="0" applyAlignment="0" applyProtection="0"/>
    <xf numFmtId="43" fontId="50" fillId="0" borderId="0" applyFont="0" applyFill="0" applyBorder="0" applyAlignment="0" applyProtection="0"/>
    <xf numFmtId="43" fontId="49"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168" fontId="50" fillId="0" borderId="0"/>
    <xf numFmtId="168" fontId="50" fillId="0" borderId="0"/>
    <xf numFmtId="0" fontId="50" fillId="0" borderId="0"/>
    <xf numFmtId="0" fontId="29" fillId="0" borderId="0"/>
    <xf numFmtId="0" fontId="29" fillId="0" borderId="0"/>
    <xf numFmtId="0" fontId="29" fillId="0" borderId="0"/>
    <xf numFmtId="0" fontId="50" fillId="0" borderId="0"/>
    <xf numFmtId="0" fontId="50" fillId="0" borderId="0"/>
    <xf numFmtId="168" fontId="29" fillId="0" borderId="0"/>
    <xf numFmtId="0" fontId="29" fillId="0" borderId="0"/>
    <xf numFmtId="0" fontId="50" fillId="0" borderId="0">
      <alignment horizontal="left" wrapText="1"/>
    </xf>
    <xf numFmtId="0" fontId="29" fillId="0" borderId="0"/>
    <xf numFmtId="0" fontId="50" fillId="0" borderId="0"/>
    <xf numFmtId="0" fontId="29" fillId="0" borderId="0"/>
    <xf numFmtId="0" fontId="29" fillId="0" borderId="0"/>
    <xf numFmtId="0" fontId="50" fillId="0" borderId="0"/>
    <xf numFmtId="168" fontId="29" fillId="0" borderId="0"/>
    <xf numFmtId="0" fontId="50" fillId="0" borderId="0"/>
    <xf numFmtId="168" fontId="50" fillId="0" borderId="0"/>
    <xf numFmtId="168" fontId="29" fillId="0" borderId="0"/>
    <xf numFmtId="170" fontId="50"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0" fontId="29" fillId="29" borderId="0" applyNumberFormat="0" applyBorder="0" applyAlignment="0" applyProtection="0"/>
    <xf numFmtId="0" fontId="29" fillId="30"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29" fillId="33"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37"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43" fontId="50"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0" fontId="29" fillId="0" borderId="0"/>
    <xf numFmtId="43" fontId="29"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0" fontId="29" fillId="2" borderId="0" applyNumberFormat="0" applyBorder="0" applyAlignment="0" applyProtection="0"/>
    <xf numFmtId="0" fontId="29" fillId="29" borderId="0" applyNumberFormat="0" applyBorder="0" applyAlignment="0" applyProtection="0"/>
    <xf numFmtId="0" fontId="29" fillId="3" borderId="0" applyNumberFormat="0" applyBorder="0" applyAlignment="0" applyProtection="0"/>
    <xf numFmtId="0" fontId="29" fillId="30" borderId="0" applyNumberFormat="0" applyBorder="0" applyAlignment="0" applyProtection="0"/>
    <xf numFmtId="0" fontId="29" fillId="4" borderId="0" applyNumberFormat="0" applyBorder="0" applyAlignment="0" applyProtection="0"/>
    <xf numFmtId="0" fontId="29" fillId="31" borderId="0" applyNumberFormat="0" applyBorder="0" applyAlignment="0" applyProtection="0"/>
    <xf numFmtId="0" fontId="29" fillId="5" borderId="0" applyNumberFormat="0" applyBorder="0" applyAlignment="0" applyProtection="0"/>
    <xf numFmtId="0" fontId="29" fillId="32" borderId="0" applyNumberFormat="0" applyBorder="0" applyAlignment="0" applyProtection="0"/>
    <xf numFmtId="0" fontId="29" fillId="33"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10" borderId="0" applyNumberFormat="0" applyBorder="0" applyAlignment="0" applyProtection="0"/>
    <xf numFmtId="0" fontId="29" fillId="37"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43" fontId="29" fillId="0" borderId="0" applyFont="0" applyFill="0" applyBorder="0" applyAlignment="0" applyProtection="0"/>
    <xf numFmtId="0" fontId="29" fillId="0" borderId="0"/>
    <xf numFmtId="0" fontId="29" fillId="58" borderId="33" applyNumberFormat="0" applyFont="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2" borderId="0" applyNumberFormat="0" applyBorder="0" applyAlignment="0" applyProtection="0"/>
    <xf numFmtId="0" fontId="29" fillId="29" borderId="0" applyNumberFormat="0" applyBorder="0" applyAlignment="0" applyProtection="0"/>
    <xf numFmtId="0" fontId="29" fillId="3" borderId="0" applyNumberFormat="0" applyBorder="0" applyAlignment="0" applyProtection="0"/>
    <xf numFmtId="0" fontId="29" fillId="30" borderId="0" applyNumberFormat="0" applyBorder="0" applyAlignment="0" applyProtection="0"/>
    <xf numFmtId="0" fontId="29" fillId="4" borderId="0" applyNumberFormat="0" applyBorder="0" applyAlignment="0" applyProtection="0"/>
    <xf numFmtId="0" fontId="29" fillId="31" borderId="0" applyNumberFormat="0" applyBorder="0" applyAlignment="0" applyProtection="0"/>
    <xf numFmtId="0" fontId="29" fillId="5" borderId="0" applyNumberFormat="0" applyBorder="0" applyAlignment="0" applyProtection="0"/>
    <xf numFmtId="0" fontId="29" fillId="32" borderId="0" applyNumberFormat="0" applyBorder="0" applyAlignment="0" applyProtection="0"/>
    <xf numFmtId="0" fontId="29" fillId="33"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10" borderId="0" applyNumberFormat="0" applyBorder="0" applyAlignment="0" applyProtection="0"/>
    <xf numFmtId="0" fontId="29" fillId="37"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43" fontId="29" fillId="0" borderId="0" applyFont="0" applyFill="0" applyBorder="0" applyAlignment="0" applyProtection="0"/>
    <xf numFmtId="0" fontId="29" fillId="0" borderId="0"/>
    <xf numFmtId="0" fontId="29" fillId="58" borderId="33" applyNumberFormat="0" applyFont="0" applyAlignment="0" applyProtection="0"/>
    <xf numFmtId="0" fontId="29" fillId="0" borderId="0"/>
    <xf numFmtId="0" fontId="29" fillId="0" borderId="0"/>
    <xf numFmtId="0" fontId="28" fillId="29" borderId="0" applyNumberFormat="0" applyBorder="0" applyAlignment="0" applyProtection="0"/>
    <xf numFmtId="0" fontId="28" fillId="29" borderId="0" applyNumberFormat="0" applyBorder="0" applyAlignment="0" applyProtection="0"/>
    <xf numFmtId="0" fontId="28" fillId="29" borderId="0" applyNumberFormat="0" applyBorder="0" applyAlignment="0" applyProtection="0"/>
    <xf numFmtId="0" fontId="28" fillId="2" borderId="0" applyNumberFormat="0" applyBorder="0" applyAlignment="0" applyProtection="0"/>
    <xf numFmtId="0" fontId="28" fillId="2" borderId="0" applyNumberFormat="0" applyBorder="0" applyAlignment="0" applyProtection="0"/>
    <xf numFmtId="0" fontId="28" fillId="30" borderId="0" applyNumberFormat="0" applyBorder="0" applyAlignment="0" applyProtection="0"/>
    <xf numFmtId="0" fontId="28" fillId="30" borderId="0" applyNumberFormat="0" applyBorder="0" applyAlignment="0" applyProtection="0"/>
    <xf numFmtId="0" fontId="28" fillId="30"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1" borderId="0" applyNumberFormat="0" applyBorder="0" applyAlignment="0" applyProtection="0"/>
    <xf numFmtId="0" fontId="28" fillId="31" borderId="0" applyNumberFormat="0" applyBorder="0" applyAlignment="0" applyProtection="0"/>
    <xf numFmtId="0" fontId="28" fillId="31" borderId="0" applyNumberFormat="0" applyBorder="0" applyAlignment="0" applyProtection="0"/>
    <xf numFmtId="0" fontId="28" fillId="4" borderId="0" applyNumberFormat="0" applyBorder="0" applyAlignment="0" applyProtection="0"/>
    <xf numFmtId="0" fontId="28" fillId="4" borderId="0" applyNumberFormat="0" applyBorder="0" applyAlignment="0" applyProtection="0"/>
    <xf numFmtId="0" fontId="28" fillId="32" borderId="0" applyNumberFormat="0" applyBorder="0" applyAlignment="0" applyProtection="0"/>
    <xf numFmtId="0" fontId="28" fillId="32" borderId="0" applyNumberFormat="0" applyBorder="0" applyAlignment="0" applyProtection="0"/>
    <xf numFmtId="0" fontId="28" fillId="32" borderId="0" applyNumberFormat="0" applyBorder="0" applyAlignment="0" applyProtection="0"/>
    <xf numFmtId="0" fontId="28" fillId="5" borderId="0" applyNumberFormat="0" applyBorder="0" applyAlignment="0" applyProtection="0"/>
    <xf numFmtId="0" fontId="28" fillId="5" borderId="0" applyNumberFormat="0" applyBorder="0" applyAlignment="0" applyProtection="0"/>
    <xf numFmtId="0" fontId="28" fillId="33" borderId="0" applyNumberFormat="0" applyBorder="0" applyAlignment="0" applyProtection="0"/>
    <xf numFmtId="0" fontId="28" fillId="33" borderId="0" applyNumberFormat="0" applyBorder="0" applyAlignment="0" applyProtection="0"/>
    <xf numFmtId="0" fontId="28" fillId="33" borderId="0" applyNumberFormat="0" applyBorder="0" applyAlignment="0" applyProtection="0"/>
    <xf numFmtId="0" fontId="28" fillId="34" borderId="0" applyNumberFormat="0" applyBorder="0" applyAlignment="0" applyProtection="0"/>
    <xf numFmtId="0" fontId="28" fillId="34" borderId="0" applyNumberFormat="0" applyBorder="0" applyAlignment="0" applyProtection="0"/>
    <xf numFmtId="0" fontId="28" fillId="34" borderId="0" applyNumberFormat="0" applyBorder="0" applyAlignment="0" applyProtection="0"/>
    <xf numFmtId="0" fontId="28" fillId="35" borderId="0" applyNumberFormat="0" applyBorder="0" applyAlignment="0" applyProtection="0"/>
    <xf numFmtId="0" fontId="28" fillId="35" borderId="0" applyNumberFormat="0" applyBorder="0" applyAlignment="0" applyProtection="0"/>
    <xf numFmtId="0" fontId="28" fillId="35" borderId="0" applyNumberFormat="0" applyBorder="0" applyAlignment="0" applyProtection="0"/>
    <xf numFmtId="0" fontId="28" fillId="36" borderId="0" applyNumberFormat="0" applyBorder="0" applyAlignment="0" applyProtection="0"/>
    <xf numFmtId="0" fontId="28" fillId="36" borderId="0" applyNumberFormat="0" applyBorder="0" applyAlignment="0" applyProtection="0"/>
    <xf numFmtId="0" fontId="28" fillId="36" borderId="0" applyNumberFormat="0" applyBorder="0" applyAlignment="0" applyProtection="0"/>
    <xf numFmtId="0" fontId="28" fillId="37" borderId="0" applyNumberFormat="0" applyBorder="0" applyAlignment="0" applyProtection="0"/>
    <xf numFmtId="0" fontId="28" fillId="37" borderId="0" applyNumberFormat="0" applyBorder="0" applyAlignment="0" applyProtection="0"/>
    <xf numFmtId="0" fontId="28" fillId="37" borderId="0" applyNumberFormat="0" applyBorder="0" applyAlignment="0" applyProtection="0"/>
    <xf numFmtId="0" fontId="28" fillId="10" borderId="0" applyNumberFormat="0" applyBorder="0" applyAlignment="0" applyProtection="0"/>
    <xf numFmtId="0" fontId="28" fillId="10" borderId="0" applyNumberFormat="0" applyBorder="0" applyAlignment="0" applyProtection="0"/>
    <xf numFmtId="0" fontId="28" fillId="38" borderId="0" applyNumberFormat="0" applyBorder="0" applyAlignment="0" applyProtection="0"/>
    <xf numFmtId="0" fontId="28" fillId="38"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39"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40" borderId="0" applyNumberFormat="0" applyBorder="0" applyAlignment="0" applyProtection="0"/>
    <xf numFmtId="0" fontId="28" fillId="40" borderId="0" applyNumberFormat="0" applyBorder="0" applyAlignment="0" applyProtection="0"/>
    <xf numFmtId="168" fontId="50" fillId="0" borderId="0"/>
    <xf numFmtId="168" fontId="50" fillId="0" borderId="0"/>
    <xf numFmtId="0" fontId="50" fillId="0" borderId="0"/>
    <xf numFmtId="0" fontId="28" fillId="0" borderId="0"/>
    <xf numFmtId="0" fontId="28" fillId="0" borderId="0"/>
    <xf numFmtId="0" fontId="28" fillId="0" borderId="0"/>
    <xf numFmtId="0" fontId="50" fillId="0" borderId="0"/>
    <xf numFmtId="0" fontId="50" fillId="0" borderId="0"/>
    <xf numFmtId="168" fontId="28" fillId="0" borderId="0"/>
    <xf numFmtId="0" fontId="28" fillId="0" borderId="0"/>
    <xf numFmtId="0" fontId="50" fillId="0" borderId="0">
      <alignment horizontal="left" wrapText="1"/>
    </xf>
    <xf numFmtId="0" fontId="28" fillId="0" borderId="0"/>
    <xf numFmtId="0" fontId="50" fillId="0" borderId="0"/>
    <xf numFmtId="0" fontId="28" fillId="0" borderId="0"/>
    <xf numFmtId="0" fontId="28" fillId="0" borderId="0"/>
    <xf numFmtId="0" fontId="28" fillId="0" borderId="0"/>
    <xf numFmtId="0" fontId="28" fillId="0" borderId="0"/>
    <xf numFmtId="0" fontId="28" fillId="0" borderId="0"/>
    <xf numFmtId="0" fontId="50" fillId="0" borderId="0"/>
    <xf numFmtId="168" fontId="28" fillId="0" borderId="0"/>
    <xf numFmtId="0" fontId="28" fillId="0" borderId="0"/>
    <xf numFmtId="0" fontId="28" fillId="0" borderId="0"/>
    <xf numFmtId="0" fontId="28" fillId="0" borderId="0"/>
    <xf numFmtId="0" fontId="28" fillId="0" borderId="0"/>
    <xf numFmtId="0" fontId="28" fillId="0" borderId="0"/>
    <xf numFmtId="0" fontId="50"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8" fontId="50" fillId="0" borderId="0"/>
    <xf numFmtId="0" fontId="28" fillId="0" borderId="0"/>
    <xf numFmtId="0" fontId="28" fillId="0" borderId="0"/>
    <xf numFmtId="168" fontId="28" fillId="0" borderId="0"/>
    <xf numFmtId="0" fontId="27" fillId="0" borderId="0"/>
    <xf numFmtId="43" fontId="27" fillId="0" borderId="0" applyFont="0" applyFill="0" applyBorder="0" applyAlignment="0" applyProtection="0"/>
    <xf numFmtId="0" fontId="26" fillId="0" borderId="0"/>
    <xf numFmtId="43" fontId="25" fillId="0" borderId="0" applyFont="0" applyFill="0" applyBorder="0" applyAlignment="0" applyProtection="0"/>
    <xf numFmtId="0" fontId="25" fillId="0" borderId="0"/>
    <xf numFmtId="0" fontId="25" fillId="58" borderId="33" applyNumberFormat="0" applyFont="0" applyAlignment="0" applyProtection="0"/>
    <xf numFmtId="0" fontId="24" fillId="0" borderId="0"/>
    <xf numFmtId="0" fontId="24" fillId="0" borderId="0"/>
    <xf numFmtId="0" fontId="23" fillId="0" borderId="0"/>
    <xf numFmtId="0" fontId="23" fillId="0" borderId="0"/>
    <xf numFmtId="0" fontId="22" fillId="0" borderId="0"/>
    <xf numFmtId="0" fontId="21" fillId="0" borderId="0"/>
    <xf numFmtId="0" fontId="20" fillId="2" borderId="0" applyNumberFormat="0" applyBorder="0" applyAlignment="0" applyProtection="0"/>
    <xf numFmtId="0" fontId="20" fillId="29" borderId="0" applyNumberFormat="0" applyBorder="0" applyAlignment="0" applyProtection="0"/>
    <xf numFmtId="0" fontId="20" fillId="3" borderId="0" applyNumberFormat="0" applyBorder="0" applyAlignment="0" applyProtection="0"/>
    <xf numFmtId="0" fontId="20" fillId="30" borderId="0" applyNumberFormat="0" applyBorder="0" applyAlignment="0" applyProtection="0"/>
    <xf numFmtId="0" fontId="20" fillId="4" borderId="0" applyNumberFormat="0" applyBorder="0" applyAlignment="0" applyProtection="0"/>
    <xf numFmtId="0" fontId="20" fillId="31" borderId="0" applyNumberFormat="0" applyBorder="0" applyAlignment="0" applyProtection="0"/>
    <xf numFmtId="0" fontId="20" fillId="5" borderId="0" applyNumberFormat="0" applyBorder="0" applyAlignment="0" applyProtection="0"/>
    <xf numFmtId="0" fontId="20" fillId="32" borderId="0" applyNumberFormat="0" applyBorder="0" applyAlignment="0" applyProtection="0"/>
    <xf numFmtId="0" fontId="20" fillId="33"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10" borderId="0" applyNumberFormat="0" applyBorder="0" applyAlignment="0" applyProtection="0"/>
    <xf numFmtId="0" fontId="20" fillId="37"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43" fontId="20" fillId="0" borderId="0" applyFont="0" applyFill="0" applyBorder="0" applyAlignment="0" applyProtection="0"/>
    <xf numFmtId="0" fontId="20" fillId="0" borderId="0"/>
    <xf numFmtId="0" fontId="20" fillId="58" borderId="33" applyNumberFormat="0" applyFont="0" applyAlignment="0" applyProtection="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29" borderId="0" applyNumberFormat="0" applyBorder="0" applyAlignment="0" applyProtection="0"/>
    <xf numFmtId="0" fontId="97" fillId="41" borderId="0" applyNumberFormat="0" applyBorder="0" applyAlignment="0" applyProtection="0"/>
    <xf numFmtId="0" fontId="97" fillId="42" borderId="0" applyNumberFormat="0" applyBorder="0" applyAlignment="0" applyProtection="0"/>
    <xf numFmtId="0" fontId="97" fillId="43" borderId="0" applyNumberFormat="0" applyBorder="0" applyAlignment="0" applyProtection="0"/>
    <xf numFmtId="0" fontId="97" fillId="44" borderId="0" applyNumberFormat="0" applyBorder="0" applyAlignment="0" applyProtection="0"/>
    <xf numFmtId="0" fontId="97" fillId="45" borderId="0" applyNumberFormat="0" applyBorder="0" applyAlignment="0" applyProtection="0"/>
    <xf numFmtId="0" fontId="97" fillId="46" borderId="0" applyNumberFormat="0" applyBorder="0" applyAlignment="0" applyProtection="0"/>
    <xf numFmtId="0" fontId="12" fillId="29" borderId="0" applyNumberFormat="0" applyBorder="0" applyAlignment="0" applyProtection="0"/>
    <xf numFmtId="0" fontId="12" fillId="30"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33" borderId="0" applyNumberFormat="0" applyBorder="0" applyAlignment="0" applyProtection="0"/>
    <xf numFmtId="0" fontId="12" fillId="34" borderId="0" applyNumberFormat="0" applyBorder="0" applyAlignment="0" applyProtection="0"/>
    <xf numFmtId="0" fontId="12" fillId="35" borderId="0" applyNumberFormat="0" applyBorder="0" applyAlignment="0" applyProtection="0"/>
    <xf numFmtId="0" fontId="12" fillId="36" borderId="0" applyNumberFormat="0" applyBorder="0" applyAlignment="0" applyProtection="0"/>
    <xf numFmtId="0" fontId="12" fillId="37" borderId="0" applyNumberFormat="0" applyBorder="0" applyAlignment="0" applyProtection="0"/>
    <xf numFmtId="0" fontId="12" fillId="38" borderId="0" applyNumberFormat="0" applyBorder="0" applyAlignment="0" applyProtection="0"/>
    <xf numFmtId="0" fontId="12" fillId="39" borderId="0" applyNumberFormat="0" applyBorder="0" applyAlignment="0" applyProtection="0"/>
    <xf numFmtId="0" fontId="12" fillId="40" borderId="0" applyNumberFormat="0" applyBorder="0" applyAlignment="0" applyProtection="0"/>
    <xf numFmtId="0" fontId="101" fillId="0" borderId="0" applyNumberFormat="0" applyFill="0" applyBorder="0" applyAlignment="0" applyProtection="0"/>
    <xf numFmtId="0" fontId="12" fillId="58" borderId="33" applyNumberFormat="0" applyFont="0" applyAlignment="0" applyProtection="0"/>
    <xf numFmtId="43" fontId="115" fillId="0" borderId="0" applyFont="0" applyFill="0" applyBorder="0" applyAlignment="0" applyProtection="0"/>
    <xf numFmtId="43" fontId="50" fillId="0" borderId="0" applyFont="0" applyFill="0" applyBorder="0" applyAlignment="0" applyProtection="0"/>
    <xf numFmtId="43" fontId="12" fillId="0" borderId="0" applyFont="0" applyFill="0" applyBorder="0" applyAlignment="0" applyProtection="0"/>
    <xf numFmtId="0" fontId="12" fillId="40" borderId="0" applyNumberFormat="0" applyBorder="0" applyAlignment="0" applyProtection="0"/>
    <xf numFmtId="0" fontId="12" fillId="39" borderId="0" applyNumberFormat="0" applyBorder="0" applyAlignment="0" applyProtection="0"/>
    <xf numFmtId="0" fontId="12" fillId="38" borderId="0" applyNumberFormat="0" applyBorder="0" applyAlignment="0" applyProtection="0"/>
    <xf numFmtId="42" fontId="50" fillId="0" borderId="0" applyFont="0" applyFill="0" applyBorder="0" applyAlignment="0" applyProtection="0"/>
    <xf numFmtId="0" fontId="12" fillId="37" borderId="0" applyNumberFormat="0" applyBorder="0" applyAlignment="0" applyProtection="0"/>
    <xf numFmtId="0" fontId="12" fillId="36" borderId="0" applyNumberFormat="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0" fontId="12" fillId="35" borderId="0" applyNumberFormat="0" applyBorder="0" applyAlignment="0" applyProtection="0"/>
    <xf numFmtId="0" fontId="98" fillId="53" borderId="0" applyNumberFormat="0" applyBorder="0" applyAlignment="0" applyProtection="0"/>
    <xf numFmtId="0" fontId="109" fillId="0" borderId="0" applyNumberFormat="0" applyFill="0" applyBorder="0" applyAlignment="0" applyProtection="0"/>
    <xf numFmtId="0" fontId="12" fillId="34" borderId="0" applyNumberFormat="0" applyBorder="0" applyAlignment="0" applyProtection="0"/>
    <xf numFmtId="0" fontId="12" fillId="33" borderId="0" applyNumberFormat="0" applyBorder="0" applyAlignment="0" applyProtection="0"/>
    <xf numFmtId="0" fontId="12" fillId="32" borderId="0" applyNumberFormat="0" applyBorder="0" applyAlignment="0" applyProtection="0"/>
    <xf numFmtId="0" fontId="12" fillId="31" borderId="0" applyNumberFormat="0" applyBorder="0" applyAlignment="0" applyProtection="0"/>
    <xf numFmtId="0" fontId="12" fillId="30" borderId="0" applyNumberFormat="0" applyBorder="0" applyAlignment="0" applyProtection="0"/>
    <xf numFmtId="0" fontId="12" fillId="29" borderId="0" applyNumberFormat="0" applyBorder="0" applyAlignment="0" applyProtection="0"/>
    <xf numFmtId="0" fontId="100" fillId="55" borderId="28" applyNumberFormat="0" applyAlignment="0" applyProtection="0"/>
    <xf numFmtId="0" fontId="107" fillId="57" borderId="0" applyNumberFormat="0" applyBorder="0" applyAlignment="0" applyProtection="0"/>
    <xf numFmtId="0" fontId="12" fillId="0" borderId="0"/>
    <xf numFmtId="0" fontId="12" fillId="58" borderId="33" applyNumberFormat="0" applyFont="0" applyAlignment="0" applyProtection="0"/>
    <xf numFmtId="0" fontId="94" fillId="27" borderId="27" applyNumberFormat="0" applyAlignment="0" applyProtection="0"/>
    <xf numFmtId="0" fontId="108" fillId="54" borderId="34" applyNumberFormat="0" applyAlignment="0" applyProtection="0"/>
    <xf numFmtId="0" fontId="110" fillId="0" borderId="35" applyNumberFormat="0" applyFill="0" applyAlignment="0" applyProtection="0"/>
    <xf numFmtId="0" fontId="102" fillId="56" borderId="0" applyNumberFormat="0" applyBorder="0" applyAlignment="0" applyProtection="0"/>
    <xf numFmtId="0" fontId="103" fillId="0" borderId="29" applyNumberFormat="0" applyFill="0" applyAlignment="0" applyProtection="0"/>
    <xf numFmtId="0" fontId="104" fillId="0" borderId="30" applyNumberFormat="0" applyFill="0" applyAlignment="0" applyProtection="0"/>
    <xf numFmtId="0" fontId="105" fillId="0" borderId="31" applyNumberFormat="0" applyFill="0" applyAlignment="0" applyProtection="0"/>
    <xf numFmtId="0" fontId="105" fillId="0" borderId="0" applyNumberFormat="0" applyFill="0" applyBorder="0" applyAlignment="0" applyProtection="0"/>
    <xf numFmtId="0" fontId="99" fillId="54" borderId="27" applyNumberFormat="0" applyAlignment="0" applyProtection="0"/>
    <xf numFmtId="0" fontId="106" fillId="0" borderId="32" applyNumberFormat="0" applyFill="0" applyAlignment="0" applyProtection="0"/>
    <xf numFmtId="0" fontId="97" fillId="47" borderId="0" applyNumberFormat="0" applyBorder="0" applyAlignment="0" applyProtection="0"/>
    <xf numFmtId="0" fontId="97" fillId="48" borderId="0" applyNumberFormat="0" applyBorder="0" applyAlignment="0" applyProtection="0"/>
    <xf numFmtId="0" fontId="97" fillId="49" borderId="0" applyNumberFormat="0" applyBorder="0" applyAlignment="0" applyProtection="0"/>
    <xf numFmtId="0" fontId="97" fillId="50" borderId="0" applyNumberFormat="0" applyBorder="0" applyAlignment="0" applyProtection="0"/>
    <xf numFmtId="0" fontId="97" fillId="51" borderId="0" applyNumberFormat="0" applyBorder="0" applyAlignment="0" applyProtection="0"/>
    <xf numFmtId="0" fontId="97" fillId="52" borderId="0" applyNumberFormat="0" applyBorder="0" applyAlignment="0" applyProtection="0"/>
    <xf numFmtId="0" fontId="111" fillId="0" borderId="0" applyNumberFormat="0" applyFill="0" applyBorder="0" applyAlignment="0" applyProtection="0"/>
    <xf numFmtId="0" fontId="12" fillId="40" borderId="0" applyNumberFormat="0" applyBorder="0" applyAlignment="0" applyProtection="0"/>
    <xf numFmtId="0" fontId="12" fillId="39" borderId="0" applyNumberFormat="0" applyBorder="0" applyAlignment="0" applyProtection="0"/>
    <xf numFmtId="0" fontId="12" fillId="38" borderId="0" applyNumberFormat="0" applyBorder="0" applyAlignment="0" applyProtection="0"/>
    <xf numFmtId="0" fontId="12" fillId="37" borderId="0" applyNumberFormat="0" applyBorder="0" applyAlignment="0" applyProtection="0"/>
    <xf numFmtId="0" fontId="12" fillId="36" borderId="0" applyNumberFormat="0" applyBorder="0" applyAlignment="0" applyProtection="0"/>
    <xf numFmtId="0" fontId="12" fillId="35" borderId="0" applyNumberFormat="0" applyBorder="0" applyAlignment="0" applyProtection="0"/>
    <xf numFmtId="0" fontId="12" fillId="34" borderId="0" applyNumberFormat="0" applyBorder="0" applyAlignment="0" applyProtection="0"/>
    <xf numFmtId="0" fontId="12" fillId="33" borderId="0" applyNumberFormat="0" applyBorder="0" applyAlignment="0" applyProtection="0"/>
    <xf numFmtId="0" fontId="12" fillId="32" borderId="0" applyNumberFormat="0" applyBorder="0" applyAlignment="0" applyProtection="0"/>
    <xf numFmtId="0" fontId="12" fillId="31" borderId="0" applyNumberFormat="0" applyBorder="0" applyAlignment="0" applyProtection="0"/>
    <xf numFmtId="0" fontId="12" fillId="30" borderId="0" applyNumberFormat="0" applyBorder="0" applyAlignment="0" applyProtection="0"/>
    <xf numFmtId="0" fontId="12" fillId="29" borderId="0" applyNumberFormat="0" applyBorder="0" applyAlignment="0" applyProtection="0"/>
    <xf numFmtId="0" fontId="11" fillId="0" borderId="0"/>
    <xf numFmtId="0" fontId="11" fillId="0" borderId="0"/>
    <xf numFmtId="0" fontId="10" fillId="0" borderId="0"/>
    <xf numFmtId="0" fontId="9" fillId="0" borderId="0"/>
    <xf numFmtId="0" fontId="8" fillId="29" borderId="0" applyNumberFormat="0" applyBorder="0" applyAlignment="0" applyProtection="0"/>
    <xf numFmtId="0" fontId="7" fillId="0" borderId="0"/>
    <xf numFmtId="0" fontId="116" fillId="0" borderId="0" applyNumberFormat="0" applyFill="0" applyBorder="0" applyAlignment="0" applyProtection="0"/>
    <xf numFmtId="0" fontId="117" fillId="57" borderId="0" applyNumberFormat="0" applyBorder="0" applyAlignment="0" applyProtection="0"/>
    <xf numFmtId="0" fontId="7" fillId="58" borderId="33" applyNumberFormat="0" applyFont="0" applyAlignment="0" applyProtection="0"/>
    <xf numFmtId="0" fontId="7" fillId="29" borderId="0" applyNumberFormat="0" applyBorder="0" applyAlignment="0" applyProtection="0"/>
    <xf numFmtId="0" fontId="7" fillId="35" borderId="0" applyNumberFormat="0" applyBorder="0" applyAlignment="0" applyProtection="0"/>
    <xf numFmtId="0" fontId="7" fillId="41" borderId="0" applyNumberFormat="0" applyBorder="0" applyAlignment="0" applyProtection="0"/>
    <xf numFmtId="0" fontId="7" fillId="30" borderId="0" applyNumberFormat="0" applyBorder="0" applyAlignment="0" applyProtection="0"/>
    <xf numFmtId="0" fontId="7" fillId="36" borderId="0" applyNumberFormat="0" applyBorder="0" applyAlignment="0" applyProtection="0"/>
    <xf numFmtId="0" fontId="7" fillId="42" borderId="0" applyNumberFormat="0" applyBorder="0" applyAlignment="0" applyProtection="0"/>
    <xf numFmtId="0" fontId="7" fillId="31" borderId="0" applyNumberFormat="0" applyBorder="0" applyAlignment="0" applyProtection="0"/>
    <xf numFmtId="0" fontId="7" fillId="37" borderId="0" applyNumberFormat="0" applyBorder="0" applyAlignment="0" applyProtection="0"/>
    <xf numFmtId="0" fontId="7" fillId="43" borderId="0" applyNumberFormat="0" applyBorder="0" applyAlignment="0" applyProtection="0"/>
    <xf numFmtId="0" fontId="7" fillId="32" borderId="0" applyNumberFormat="0" applyBorder="0" applyAlignment="0" applyProtection="0"/>
    <xf numFmtId="0" fontId="7" fillId="38" borderId="0" applyNumberFormat="0" applyBorder="0" applyAlignment="0" applyProtection="0"/>
    <xf numFmtId="0" fontId="7" fillId="44" borderId="0" applyNumberFormat="0" applyBorder="0" applyAlignment="0" applyProtection="0"/>
    <xf numFmtId="0" fontId="7" fillId="33" borderId="0" applyNumberFormat="0" applyBorder="0" applyAlignment="0" applyProtection="0"/>
    <xf numFmtId="0" fontId="7" fillId="39" borderId="0" applyNumberFormat="0" applyBorder="0" applyAlignment="0" applyProtection="0"/>
    <xf numFmtId="0" fontId="7" fillId="45" borderId="0" applyNumberFormat="0" applyBorder="0" applyAlignment="0" applyProtection="0"/>
    <xf numFmtId="0" fontId="7" fillId="34" borderId="0" applyNumberFormat="0" applyBorder="0" applyAlignment="0" applyProtection="0"/>
    <xf numFmtId="0" fontId="7" fillId="40" borderId="0" applyNumberFormat="0" applyBorder="0" applyAlignment="0" applyProtection="0"/>
    <xf numFmtId="0" fontId="7" fillId="46" borderId="0" applyNumberFormat="0" applyBorder="0" applyAlignment="0" applyProtection="0"/>
    <xf numFmtId="0" fontId="6" fillId="0" borderId="0"/>
    <xf numFmtId="0" fontId="6" fillId="58" borderId="33" applyNumberFormat="0" applyFont="0" applyAlignment="0" applyProtection="0"/>
    <xf numFmtId="0" fontId="6" fillId="0" borderId="0"/>
    <xf numFmtId="0" fontId="6" fillId="58" borderId="33" applyNumberFormat="0" applyFont="0" applyAlignment="0" applyProtection="0"/>
    <xf numFmtId="0" fontId="6" fillId="29" borderId="0" applyNumberFormat="0" applyBorder="0" applyAlignment="0" applyProtection="0"/>
    <xf numFmtId="0" fontId="6" fillId="35" borderId="0" applyNumberFormat="0" applyBorder="0" applyAlignment="0" applyProtection="0"/>
    <xf numFmtId="0" fontId="6" fillId="41" borderId="0" applyNumberFormat="0" applyBorder="0" applyAlignment="0" applyProtection="0"/>
    <xf numFmtId="0" fontId="6" fillId="30" borderId="0" applyNumberFormat="0" applyBorder="0" applyAlignment="0" applyProtection="0"/>
    <xf numFmtId="0" fontId="6" fillId="36" borderId="0" applyNumberFormat="0" applyBorder="0" applyAlignment="0" applyProtection="0"/>
    <xf numFmtId="0" fontId="6" fillId="42" borderId="0" applyNumberFormat="0" applyBorder="0" applyAlignment="0" applyProtection="0"/>
    <xf numFmtId="0" fontId="6" fillId="31" borderId="0" applyNumberFormat="0" applyBorder="0" applyAlignment="0" applyProtection="0"/>
    <xf numFmtId="0" fontId="6" fillId="37" borderId="0" applyNumberFormat="0" applyBorder="0" applyAlignment="0" applyProtection="0"/>
    <xf numFmtId="0" fontId="6" fillId="43" borderId="0" applyNumberFormat="0" applyBorder="0" applyAlignment="0" applyProtection="0"/>
    <xf numFmtId="0" fontId="6" fillId="32" borderId="0" applyNumberFormat="0" applyBorder="0" applyAlignment="0" applyProtection="0"/>
    <xf numFmtId="0" fontId="6" fillId="38" borderId="0" applyNumberFormat="0" applyBorder="0" applyAlignment="0" applyProtection="0"/>
    <xf numFmtId="0" fontId="6" fillId="44" borderId="0" applyNumberFormat="0" applyBorder="0" applyAlignment="0" applyProtection="0"/>
    <xf numFmtId="0" fontId="6" fillId="33" borderId="0" applyNumberFormat="0" applyBorder="0" applyAlignment="0" applyProtection="0"/>
    <xf numFmtId="0" fontId="6" fillId="39" borderId="0" applyNumberFormat="0" applyBorder="0" applyAlignment="0" applyProtection="0"/>
    <xf numFmtId="0" fontId="6" fillId="45" borderId="0" applyNumberFormat="0" applyBorder="0" applyAlignment="0" applyProtection="0"/>
    <xf numFmtId="0" fontId="6" fillId="34" borderId="0" applyNumberFormat="0" applyBorder="0" applyAlignment="0" applyProtection="0"/>
    <xf numFmtId="0" fontId="6" fillId="40" borderId="0" applyNumberFormat="0" applyBorder="0" applyAlignment="0" applyProtection="0"/>
    <xf numFmtId="0" fontId="6" fillId="46" borderId="0" applyNumberFormat="0" applyBorder="0" applyAlignment="0" applyProtection="0"/>
    <xf numFmtId="0" fontId="5" fillId="0" borderId="0"/>
    <xf numFmtId="0" fontId="5" fillId="58" borderId="33" applyNumberFormat="0" applyFont="0" applyAlignment="0" applyProtection="0"/>
    <xf numFmtId="0" fontId="5" fillId="29" borderId="0" applyNumberFormat="0" applyBorder="0" applyAlignment="0" applyProtection="0"/>
    <xf numFmtId="0" fontId="5" fillId="35" borderId="0" applyNumberFormat="0" applyBorder="0" applyAlignment="0" applyProtection="0"/>
    <xf numFmtId="0" fontId="5" fillId="41" borderId="0" applyNumberFormat="0" applyBorder="0" applyAlignment="0" applyProtection="0"/>
    <xf numFmtId="0" fontId="5" fillId="30" borderId="0" applyNumberFormat="0" applyBorder="0" applyAlignment="0" applyProtection="0"/>
    <xf numFmtId="0" fontId="5" fillId="36" borderId="0" applyNumberFormat="0" applyBorder="0" applyAlignment="0" applyProtection="0"/>
    <xf numFmtId="0" fontId="5" fillId="42" borderId="0" applyNumberFormat="0" applyBorder="0" applyAlignment="0" applyProtection="0"/>
    <xf numFmtId="0" fontId="5" fillId="31" borderId="0" applyNumberFormat="0" applyBorder="0" applyAlignment="0" applyProtection="0"/>
    <xf numFmtId="0" fontId="5" fillId="37" borderId="0" applyNumberFormat="0" applyBorder="0" applyAlignment="0" applyProtection="0"/>
    <xf numFmtId="0" fontId="5" fillId="43" borderId="0" applyNumberFormat="0" applyBorder="0" applyAlignment="0" applyProtection="0"/>
    <xf numFmtId="0" fontId="5" fillId="32" borderId="0" applyNumberFormat="0" applyBorder="0" applyAlignment="0" applyProtection="0"/>
    <xf numFmtId="0" fontId="5" fillId="38" borderId="0" applyNumberFormat="0" applyBorder="0" applyAlignment="0" applyProtection="0"/>
    <xf numFmtId="0" fontId="5" fillId="44" borderId="0" applyNumberFormat="0" applyBorder="0" applyAlignment="0" applyProtection="0"/>
    <xf numFmtId="0" fontId="5" fillId="33" borderId="0" applyNumberFormat="0" applyBorder="0" applyAlignment="0" applyProtection="0"/>
    <xf numFmtId="0" fontId="5" fillId="39" borderId="0" applyNumberFormat="0" applyBorder="0" applyAlignment="0" applyProtection="0"/>
    <xf numFmtId="0" fontId="5" fillId="45" borderId="0" applyNumberFormat="0" applyBorder="0" applyAlignment="0" applyProtection="0"/>
    <xf numFmtId="0" fontId="5" fillId="34" borderId="0" applyNumberFormat="0" applyBorder="0" applyAlignment="0" applyProtection="0"/>
    <xf numFmtId="0" fontId="5" fillId="40" borderId="0" applyNumberFormat="0" applyBorder="0" applyAlignment="0" applyProtection="0"/>
    <xf numFmtId="0" fontId="5" fillId="46" borderId="0" applyNumberFormat="0" applyBorder="0" applyAlignment="0" applyProtection="0"/>
    <xf numFmtId="0" fontId="4" fillId="0" borderId="0"/>
    <xf numFmtId="0" fontId="3" fillId="0" borderId="0"/>
    <xf numFmtId="0" fontId="2" fillId="0" borderId="0"/>
    <xf numFmtId="0" fontId="1" fillId="0" borderId="0"/>
  </cellStyleXfs>
  <cellXfs count="158">
    <xf numFmtId="0" fontId="0" fillId="0" borderId="0" xfId="0"/>
    <xf numFmtId="43" fontId="0" fillId="0" borderId="0" xfId="32" applyFont="1" applyFill="1"/>
    <xf numFmtId="43" fontId="0" fillId="0" borderId="0" xfId="32" applyFont="1" applyFill="1" applyBorder="1"/>
    <xf numFmtId="0" fontId="70" fillId="0" borderId="0" xfId="0" applyFont="1"/>
    <xf numFmtId="43" fontId="70" fillId="0" borderId="0" xfId="32" applyFont="1" applyFill="1" applyAlignment="1">
      <alignment horizontal="center"/>
    </xf>
    <xf numFmtId="0" fontId="88" fillId="0" borderId="0" xfId="0" applyFont="1" applyAlignment="1">
      <alignment horizontal="left" vertical="top"/>
    </xf>
    <xf numFmtId="0" fontId="75" fillId="0" borderId="0" xfId="0" applyFont="1" applyAlignment="1">
      <alignment horizontal="left" vertical="top"/>
    </xf>
    <xf numFmtId="164" fontId="75" fillId="0" borderId="0" xfId="32" applyNumberFormat="1" applyFont="1" applyFill="1" applyAlignment="1"/>
    <xf numFmtId="164" fontId="75" fillId="0" borderId="12" xfId="32" applyNumberFormat="1" applyFont="1" applyFill="1" applyBorder="1" applyAlignment="1"/>
    <xf numFmtId="0" fontId="70" fillId="0" borderId="0" xfId="0" applyFont="1" applyAlignment="1">
      <alignment horizontal="center"/>
    </xf>
    <xf numFmtId="0" fontId="75" fillId="0" borderId="0" xfId="0" applyFont="1"/>
    <xf numFmtId="164" fontId="75" fillId="0" borderId="0" xfId="0" applyNumberFormat="1" applyFont="1"/>
    <xf numFmtId="164" fontId="75" fillId="0" borderId="0" xfId="32" applyNumberFormat="1" applyFont="1"/>
    <xf numFmtId="164" fontId="75" fillId="0" borderId="13" xfId="32" applyNumberFormat="1" applyFont="1" applyFill="1" applyBorder="1" applyAlignment="1"/>
    <xf numFmtId="43" fontId="75" fillId="0" borderId="0" xfId="32" applyFont="1" applyFill="1" applyAlignment="1"/>
    <xf numFmtId="43" fontId="75" fillId="0" borderId="0" xfId="32" applyFont="1"/>
    <xf numFmtId="0" fontId="88" fillId="0" borderId="0" xfId="0" applyFont="1" applyAlignment="1">
      <alignment horizontal="left" vertical="top" wrapText="1" indent="1"/>
    </xf>
    <xf numFmtId="0" fontId="75" fillId="0" borderId="0" xfId="0" applyFont="1" applyAlignment="1">
      <alignment horizontal="left" vertical="top" wrapText="1" indent="3"/>
    </xf>
    <xf numFmtId="0" fontId="75" fillId="0" borderId="0" xfId="0" applyFont="1" applyAlignment="1">
      <alignment wrapText="1"/>
    </xf>
    <xf numFmtId="0" fontId="75" fillId="0" borderId="0" xfId="0" applyFont="1" applyAlignment="1">
      <alignment horizontal="left" vertical="top" wrapText="1" indent="1"/>
    </xf>
    <xf numFmtId="0" fontId="88" fillId="0" borderId="0" xfId="0" applyFont="1" applyAlignment="1">
      <alignment horizontal="left" vertical="top" wrapText="1" indent="5"/>
    </xf>
    <xf numFmtId="0" fontId="88" fillId="0" borderId="0" xfId="0" applyFont="1" applyAlignment="1">
      <alignment horizontal="left" vertical="top" wrapText="1" indent="3"/>
    </xf>
    <xf numFmtId="0" fontId="75" fillId="0" borderId="0" xfId="0" applyFont="1" applyAlignment="1">
      <alignment horizontal="center"/>
    </xf>
    <xf numFmtId="164" fontId="75" fillId="0" borderId="0" xfId="32" applyNumberFormat="1" applyFont="1" applyFill="1"/>
    <xf numFmtId="0" fontId="88" fillId="0" borderId="0" xfId="0" applyFont="1" applyAlignment="1">
      <alignment horizontal="center"/>
    </xf>
    <xf numFmtId="0" fontId="92" fillId="0" borderId="15" xfId="0" applyFont="1" applyBorder="1" applyAlignment="1">
      <alignment horizontal="center"/>
    </xf>
    <xf numFmtId="164" fontId="92" fillId="0" borderId="16" xfId="0" applyNumberFormat="1" applyFont="1" applyBorder="1"/>
    <xf numFmtId="164" fontId="75" fillId="0" borderId="14" xfId="32" applyNumberFormat="1" applyFont="1" applyFill="1" applyBorder="1" applyAlignment="1">
      <alignment horizontal="center"/>
    </xf>
    <xf numFmtId="164" fontId="75" fillId="0" borderId="0" xfId="32" applyNumberFormat="1" applyFont="1" applyAlignment="1">
      <alignment horizontal="center"/>
    </xf>
    <xf numFmtId="0" fontId="88" fillId="0" borderId="0" xfId="70" applyFont="1"/>
    <xf numFmtId="0" fontId="75" fillId="0" borderId="0" xfId="70" applyFont="1"/>
    <xf numFmtId="0" fontId="75" fillId="0" borderId="0" xfId="70" applyFont="1" applyAlignment="1">
      <alignment horizontal="left"/>
    </xf>
    <xf numFmtId="10" fontId="75" fillId="0" borderId="0" xfId="105" applyNumberFormat="1" applyFont="1"/>
    <xf numFmtId="0" fontId="88" fillId="0" borderId="0" xfId="0" applyFont="1" applyAlignment="1">
      <alignment horizontal="left" vertical="top" indent="1"/>
    </xf>
    <xf numFmtId="164" fontId="75" fillId="0" borderId="0" xfId="32" quotePrefix="1" applyNumberFormat="1" applyFont="1" applyFill="1" applyAlignment="1"/>
    <xf numFmtId="0" fontId="88" fillId="0" borderId="0" xfId="0" applyFont="1"/>
    <xf numFmtId="0" fontId="75" fillId="0" borderId="18" xfId="70" applyFont="1" applyBorder="1"/>
    <xf numFmtId="0" fontId="75" fillId="0" borderId="18" xfId="0" applyFont="1" applyBorder="1"/>
    <xf numFmtId="164" fontId="75" fillId="0" borderId="18" xfId="32" applyNumberFormat="1" applyFont="1" applyBorder="1"/>
    <xf numFmtId="0" fontId="50" fillId="0" borderId="0" xfId="0" applyFont="1" applyAlignment="1">
      <alignment horizontal="center"/>
    </xf>
    <xf numFmtId="164" fontId="75" fillId="0" borderId="0" xfId="32" applyNumberFormat="1" applyFont="1" applyFill="1" applyAlignment="1">
      <alignment horizontal="left" vertical="top"/>
    </xf>
    <xf numFmtId="164" fontId="88" fillId="0" borderId="19" xfId="32" applyNumberFormat="1" applyFont="1" applyFill="1" applyBorder="1" applyAlignment="1"/>
    <xf numFmtId="164" fontId="88" fillId="0" borderId="0" xfId="32" applyNumberFormat="1" applyFont="1" applyFill="1" applyAlignment="1">
      <alignment horizontal="left" vertical="top"/>
    </xf>
    <xf numFmtId="164" fontId="88" fillId="0" borderId="20" xfId="32" applyNumberFormat="1" applyFont="1" applyFill="1" applyBorder="1" applyAlignment="1"/>
    <xf numFmtId="164" fontId="88" fillId="0" borderId="0" xfId="32" applyNumberFormat="1" applyFont="1" applyFill="1" applyBorder="1" applyAlignment="1"/>
    <xf numFmtId="164" fontId="88" fillId="0" borderId="0" xfId="32" applyNumberFormat="1" applyFont="1" applyFill="1" applyAlignment="1"/>
    <xf numFmtId="43" fontId="88" fillId="0" borderId="0" xfId="32" applyFont="1" applyFill="1" applyAlignment="1"/>
    <xf numFmtId="168" fontId="91" fillId="0" borderId="14" xfId="76" applyFont="1" applyBorder="1" applyAlignment="1">
      <alignment horizontal="center"/>
    </xf>
    <xf numFmtId="168" fontId="95" fillId="0" borderId="14" xfId="76" applyBorder="1"/>
    <xf numFmtId="0" fontId="0" fillId="0" borderId="0" xfId="0" applyAlignment="1">
      <alignment horizontal="center"/>
    </xf>
    <xf numFmtId="43" fontId="0" fillId="0" borderId="0" xfId="32" applyFont="1" applyFill="1" applyAlignment="1">
      <alignment horizontal="center"/>
    </xf>
    <xf numFmtId="168" fontId="90" fillId="0" borderId="0" xfId="76" applyFont="1" applyAlignment="1">
      <alignment horizontal="center"/>
    </xf>
    <xf numFmtId="168" fontId="95" fillId="0" borderId="0" xfId="76"/>
    <xf numFmtId="168" fontId="95" fillId="0" borderId="0" xfId="76" applyAlignment="1">
      <alignment horizontal="center" wrapText="1"/>
    </xf>
    <xf numFmtId="168" fontId="90" fillId="0" borderId="14" xfId="76" applyFont="1" applyBorder="1" applyAlignment="1">
      <alignment horizontal="center"/>
    </xf>
    <xf numFmtId="168" fontId="95" fillId="0" borderId="14" xfId="76" applyBorder="1" applyAlignment="1">
      <alignment horizontal="center"/>
    </xf>
    <xf numFmtId="43" fontId="0" fillId="0" borderId="18" xfId="32" applyFont="1" applyFill="1" applyBorder="1"/>
    <xf numFmtId="0" fontId="0" fillId="0" borderId="21" xfId="0" applyBorder="1"/>
    <xf numFmtId="43" fontId="0" fillId="0" borderId="22" xfId="32" applyFont="1" applyFill="1" applyBorder="1"/>
    <xf numFmtId="0" fontId="0" fillId="0" borderId="23" xfId="0" applyBorder="1"/>
    <xf numFmtId="43" fontId="0" fillId="0" borderId="24" xfId="32" applyFont="1" applyFill="1" applyBorder="1"/>
    <xf numFmtId="0" fontId="0" fillId="0" borderId="25" xfId="0" applyBorder="1"/>
    <xf numFmtId="43" fontId="0" fillId="0" borderId="14" xfId="32" applyFont="1" applyFill="1" applyBorder="1"/>
    <xf numFmtId="43" fontId="0" fillId="0" borderId="26" xfId="32" applyFont="1" applyFill="1" applyBorder="1"/>
    <xf numFmtId="0" fontId="49" fillId="0" borderId="0" xfId="100" applyFont="1"/>
    <xf numFmtId="0" fontId="75" fillId="0" borderId="0" xfId="0" quotePrefix="1" applyFont="1"/>
    <xf numFmtId="43" fontId="0" fillId="0" borderId="0" xfId="32" applyFont="1"/>
    <xf numFmtId="0" fontId="50" fillId="0" borderId="0" xfId="0" applyFont="1"/>
    <xf numFmtId="43" fontId="50" fillId="60" borderId="0" xfId="0" applyNumberFormat="1" applyFont="1" applyFill="1"/>
    <xf numFmtId="164" fontId="92" fillId="0" borderId="16" xfId="32" applyNumberFormat="1" applyFont="1" applyBorder="1"/>
    <xf numFmtId="164" fontId="92" fillId="0" borderId="17" xfId="32" applyNumberFormat="1" applyFont="1" applyBorder="1"/>
    <xf numFmtId="43" fontId="75" fillId="0" borderId="0" xfId="0" applyNumberFormat="1" applyFont="1"/>
    <xf numFmtId="0" fontId="69" fillId="0" borderId="0" xfId="0" applyFont="1" applyAlignment="1">
      <alignment horizontal="right"/>
    </xf>
    <xf numFmtId="164" fontId="75" fillId="59" borderId="0" xfId="32" applyNumberFormat="1" applyFont="1" applyFill="1"/>
    <xf numFmtId="43" fontId="0" fillId="62" borderId="0" xfId="32" applyFont="1" applyFill="1" applyBorder="1"/>
    <xf numFmtId="43" fontId="0" fillId="62" borderId="24" xfId="32" applyFont="1" applyFill="1" applyBorder="1"/>
    <xf numFmtId="164" fontId="0" fillId="62" borderId="0" xfId="32" applyNumberFormat="1" applyFont="1" applyFill="1" applyBorder="1"/>
    <xf numFmtId="164" fontId="0" fillId="62" borderId="24" xfId="32" applyNumberFormat="1" applyFont="1" applyFill="1" applyBorder="1"/>
    <xf numFmtId="43" fontId="75" fillId="0" borderId="12" xfId="32" applyFont="1" applyFill="1" applyBorder="1" applyAlignment="1"/>
    <xf numFmtId="43" fontId="0" fillId="62" borderId="0" xfId="0" applyNumberFormat="1" applyFill="1"/>
    <xf numFmtId="0" fontId="0" fillId="62" borderId="0" xfId="0" applyFill="1"/>
    <xf numFmtId="164" fontId="0" fillId="62" borderId="0" xfId="0" applyNumberFormat="1" applyFill="1"/>
    <xf numFmtId="43" fontId="75" fillId="62" borderId="0" xfId="0" quotePrefix="1" applyNumberFormat="1" applyFont="1" applyFill="1"/>
    <xf numFmtId="40" fontId="0" fillId="0" borderId="0" xfId="38" applyFont="1"/>
    <xf numFmtId="4" fontId="0" fillId="0" borderId="0" xfId="0" applyNumberFormat="1"/>
    <xf numFmtId="0" fontId="24" fillId="0" borderId="0" xfId="475"/>
    <xf numFmtId="4" fontId="24" fillId="0" borderId="0" xfId="475" applyNumberFormat="1"/>
    <xf numFmtId="0" fontId="24" fillId="0" borderId="0" xfId="476"/>
    <xf numFmtId="4" fontId="24" fillId="0" borderId="0" xfId="476" applyNumberFormat="1"/>
    <xf numFmtId="0" fontId="23" fillId="0" borderId="0" xfId="477"/>
    <xf numFmtId="0" fontId="23" fillId="0" borderId="0" xfId="478"/>
    <xf numFmtId="4" fontId="23" fillId="0" borderId="0" xfId="477" applyNumberFormat="1"/>
    <xf numFmtId="4" fontId="23" fillId="0" borderId="0" xfId="478" applyNumberFormat="1"/>
    <xf numFmtId="4" fontId="0" fillId="0" borderId="0" xfId="0" applyNumberFormat="1" applyProtection="1">
      <protection locked="0"/>
    </xf>
    <xf numFmtId="164" fontId="75" fillId="59" borderId="0" xfId="0" applyNumberFormat="1" applyFont="1" applyFill="1"/>
    <xf numFmtId="0" fontId="22" fillId="0" borderId="0" xfId="479" applyProtection="1">
      <protection locked="0"/>
    </xf>
    <xf numFmtId="0" fontId="0" fillId="0" borderId="0" xfId="0" applyProtection="1">
      <protection locked="0"/>
    </xf>
    <xf numFmtId="0" fontId="21" fillId="0" borderId="0" xfId="480"/>
    <xf numFmtId="4" fontId="21" fillId="0" borderId="0" xfId="480" applyNumberFormat="1"/>
    <xf numFmtId="0" fontId="75" fillId="64" borderId="0" xfId="0" applyFont="1" applyFill="1"/>
    <xf numFmtId="0" fontId="75" fillId="0" borderId="0" xfId="32" applyNumberFormat="1" applyFont="1" applyFill="1" applyAlignment="1"/>
    <xf numFmtId="0" fontId="114" fillId="65" borderId="0" xfId="0" applyFont="1" applyFill="1"/>
    <xf numFmtId="43" fontId="75" fillId="59" borderId="0" xfId="0" applyNumberFormat="1" applyFont="1" applyFill="1"/>
    <xf numFmtId="0" fontId="19" fillId="0" borderId="0" xfId="501"/>
    <xf numFmtId="168" fontId="91" fillId="0" borderId="0" xfId="76" applyFont="1" applyAlignment="1">
      <alignment horizontal="center"/>
    </xf>
    <xf numFmtId="0" fontId="18" fillId="0" borderId="0" xfId="502"/>
    <xf numFmtId="0" fontId="17" fillId="0" borderId="0" xfId="503"/>
    <xf numFmtId="0" fontId="16" fillId="0" borderId="0" xfId="504"/>
    <xf numFmtId="0" fontId="15" fillId="0" borderId="0" xfId="505"/>
    <xf numFmtId="0" fontId="14" fillId="0" borderId="0" xfId="506"/>
    <xf numFmtId="0" fontId="13" fillId="0" borderId="0" xfId="507"/>
    <xf numFmtId="4" fontId="13" fillId="0" borderId="0" xfId="507" applyNumberFormat="1"/>
    <xf numFmtId="43" fontId="50" fillId="0" borderId="0" xfId="32" applyFont="1" applyFill="1"/>
    <xf numFmtId="0" fontId="11" fillId="0" borderId="0" xfId="584"/>
    <xf numFmtId="0" fontId="11" fillId="0" borderId="0" xfId="585"/>
    <xf numFmtId="14" fontId="11" fillId="0" borderId="0" xfId="585" applyNumberFormat="1"/>
    <xf numFmtId="0" fontId="11" fillId="59" borderId="0" xfId="584" applyFill="1"/>
    <xf numFmtId="0" fontId="0" fillId="59" borderId="0" xfId="0" applyFill="1"/>
    <xf numFmtId="14" fontId="0" fillId="0" borderId="0" xfId="0" applyNumberFormat="1"/>
    <xf numFmtId="0" fontId="10" fillId="0" borderId="0" xfId="586"/>
    <xf numFmtId="0" fontId="9" fillId="0" borderId="0" xfId="587"/>
    <xf numFmtId="164" fontId="88" fillId="0" borderId="0" xfId="32" quotePrefix="1" applyNumberFormat="1" applyFont="1" applyFill="1" applyBorder="1" applyAlignment="1">
      <alignment horizontal="center"/>
    </xf>
    <xf numFmtId="164" fontId="88" fillId="0" borderId="14" xfId="32" applyNumberFormat="1" applyFont="1" applyFill="1" applyBorder="1" applyAlignment="1">
      <alignment horizontal="center" wrapText="1"/>
    </xf>
    <xf numFmtId="0" fontId="50" fillId="59" borderId="0" xfId="0" applyFont="1" applyFill="1" applyAlignment="1">
      <alignment horizontal="center"/>
    </xf>
    <xf numFmtId="0" fontId="50" fillId="59" borderId="0" xfId="0" applyFont="1" applyFill="1"/>
    <xf numFmtId="0" fontId="4" fillId="0" borderId="0" xfId="653"/>
    <xf numFmtId="14" fontId="4" fillId="0" borderId="0" xfId="653" applyNumberFormat="1"/>
    <xf numFmtId="4" fontId="4" fillId="0" borderId="0" xfId="653" applyNumberFormat="1"/>
    <xf numFmtId="49" fontId="88" fillId="0" borderId="20" xfId="32" applyNumberFormat="1" applyFont="1" applyFill="1" applyBorder="1" applyAlignment="1">
      <alignment horizontal="center" wrapText="1"/>
    </xf>
    <xf numFmtId="0" fontId="0" fillId="0" borderId="0" xfId="0" quotePrefix="1"/>
    <xf numFmtId="0" fontId="3" fillId="0" borderId="0" xfId="654"/>
    <xf numFmtId="14" fontId="3" fillId="0" borderId="0" xfId="654" applyNumberFormat="1"/>
    <xf numFmtId="4" fontId="3" fillId="0" borderId="0" xfId="654" applyNumberFormat="1"/>
    <xf numFmtId="0" fontId="2" fillId="0" borderId="0" xfId="655"/>
    <xf numFmtId="43" fontId="2" fillId="0" borderId="0" xfId="32" applyFont="1"/>
    <xf numFmtId="0" fontId="1" fillId="0" borderId="0" xfId="656"/>
    <xf numFmtId="4" fontId="1" fillId="0" borderId="0" xfId="656" applyNumberFormat="1"/>
    <xf numFmtId="43" fontId="50" fillId="0" borderId="0" xfId="32" applyFont="1" applyFill="1" applyAlignment="1">
      <alignment horizontal="center"/>
    </xf>
    <xf numFmtId="43" fontId="50" fillId="0" borderId="0" xfId="0" applyNumberFormat="1" applyFont="1"/>
    <xf numFmtId="4" fontId="50" fillId="0" borderId="0" xfId="0" applyNumberFormat="1" applyFont="1"/>
    <xf numFmtId="4" fontId="50" fillId="59" borderId="0" xfId="0" applyNumberFormat="1" applyFont="1" applyFill="1"/>
    <xf numFmtId="43" fontId="50" fillId="59" borderId="0" xfId="0" applyNumberFormat="1" applyFont="1" applyFill="1"/>
    <xf numFmtId="0" fontId="1" fillId="0" borderId="0" xfId="586" applyFont="1"/>
    <xf numFmtId="43" fontId="50" fillId="59" borderId="0" xfId="32" applyFont="1" applyFill="1" applyAlignment="1">
      <alignment horizontal="center"/>
    </xf>
    <xf numFmtId="43" fontId="50" fillId="67" borderId="0" xfId="0" applyNumberFormat="1" applyFont="1" applyFill="1"/>
    <xf numFmtId="43" fontId="50" fillId="66" borderId="0" xfId="0" applyNumberFormat="1" applyFont="1" applyFill="1"/>
    <xf numFmtId="43" fontId="50" fillId="61" borderId="0" xfId="0" applyNumberFormat="1" applyFont="1" applyFill="1"/>
    <xf numFmtId="43" fontId="50" fillId="63" borderId="0" xfId="0" applyNumberFormat="1" applyFont="1" applyFill="1"/>
    <xf numFmtId="43" fontId="50" fillId="61" borderId="0" xfId="32" applyFont="1" applyFill="1"/>
    <xf numFmtId="43" fontId="50" fillId="62" borderId="0" xfId="32" applyFont="1" applyFill="1"/>
    <xf numFmtId="0" fontId="50" fillId="0" borderId="23" xfId="0" applyFont="1" applyBorder="1"/>
    <xf numFmtId="0" fontId="50" fillId="62" borderId="23" xfId="0" applyFont="1" applyFill="1" applyBorder="1"/>
    <xf numFmtId="43" fontId="1" fillId="0" borderId="0" xfId="32" applyFont="1"/>
    <xf numFmtId="0" fontId="75" fillId="0" borderId="0" xfId="70" applyFont="1" applyAlignment="1">
      <alignment horizontal="left" vertical="top" wrapText="1"/>
    </xf>
    <xf numFmtId="0" fontId="88" fillId="0" borderId="0" xfId="0" applyFont="1" applyAlignment="1">
      <alignment horizontal="center"/>
    </xf>
    <xf numFmtId="169" fontId="88" fillId="0" borderId="0" xfId="0" applyNumberFormat="1" applyFont="1" applyAlignment="1">
      <alignment horizontal="center"/>
    </xf>
    <xf numFmtId="0" fontId="88" fillId="0" borderId="14" xfId="0" applyFont="1" applyBorder="1" applyAlignment="1">
      <alignment horizontal="center"/>
    </xf>
    <xf numFmtId="168" fontId="91" fillId="0" borderId="14" xfId="76" applyFont="1" applyBorder="1" applyAlignment="1">
      <alignment horizontal="center"/>
    </xf>
  </cellXfs>
  <cellStyles count="657">
    <cellStyle name="_x000a_386grabber=M" xfId="1" xr:uid="{00000000-0005-0000-0000-000000000000}"/>
    <cellStyle name="% - Accent1" xfId="508" xr:uid="{47248A67-5A6F-4729-9275-1F2EE5B1EEA1}"/>
    <cellStyle name="% - Accent1_x000d_" xfId="509" xr:uid="{71535157-B2AD-48E3-B843-8E58BA189F28}"/>
    <cellStyle name="% - Accent1_BDC post TB" xfId="588" xr:uid="{9F84CBBC-1D12-4A24-9039-7BBD85DE1F48}"/>
    <cellStyle name="% - Accent2_x000d_" xfId="510" xr:uid="{4541E438-529C-4036-A54F-5A9DFDA9D9F8}"/>
    <cellStyle name="% - Accent3_x000d_" xfId="511" xr:uid="{4DDFC139-3CE1-4119-A46E-8333FC1B5E97}"/>
    <cellStyle name="% - Accent4_x000d_" xfId="512" xr:uid="{452C49E9-F7B9-49AD-80C4-68DEA4DFDF8F}"/>
    <cellStyle name="% - Accent5_x000d_" xfId="513" xr:uid="{AE35A24E-6E8A-42D7-AEDD-82AF8120C44C}"/>
    <cellStyle name="% - Accent6_x000d_" xfId="514" xr:uid="{ED8AFC0F-3B66-49DA-95E6-B3FA9D8802D1}"/>
    <cellStyle name="20% - Accent1" xfId="2" builtinId="30" customBuiltin="1"/>
    <cellStyle name="20% - Accent1 10" xfId="593" xr:uid="{3D48D14E-F8B1-410E-8172-6E7F8FAA483D}"/>
    <cellStyle name="20% - Accent1 11" xfId="615" xr:uid="{8D1514BF-9936-4530-BEEF-2081DB4744F8}"/>
    <cellStyle name="20% - Accent1 12" xfId="635" xr:uid="{8588DD91-2782-4296-8CE5-98951439E65E}"/>
    <cellStyle name="20% - Accent1 2" xfId="143" xr:uid="{00000000-0005-0000-0000-000002000000}"/>
    <cellStyle name="20% - Accent1 2 2" xfId="209" xr:uid="{00000000-0005-0000-0000-000003000000}"/>
    <cellStyle name="20% - Accent1 2 2 2" xfId="336" xr:uid="{00000000-0005-0000-0000-000004000000}"/>
    <cellStyle name="20% - Accent1 2 2_BDC post TB" xfId="385" xr:uid="{00000000-0005-0000-0000-000005000000}"/>
    <cellStyle name="20% - Accent1 2 3" xfId="241" xr:uid="{00000000-0005-0000-0000-000006000000}"/>
    <cellStyle name="20% - Accent1 2 3 2" xfId="363" xr:uid="{00000000-0005-0000-0000-000007000000}"/>
    <cellStyle name="20% - Accent1 2 3_BDC post TB" xfId="386" xr:uid="{00000000-0005-0000-0000-000008000000}"/>
    <cellStyle name="20% - Accent1 2 4" xfId="312" xr:uid="{00000000-0005-0000-0000-000009000000}"/>
    <cellStyle name="20% - Accent1 2 5" xfId="482" xr:uid="{00000000-0005-0000-0000-00000A000000}"/>
    <cellStyle name="20% - Accent1 2_BDC post TB" xfId="384" xr:uid="{00000000-0005-0000-0000-00000B000000}"/>
    <cellStyle name="20% - Accent1 3" xfId="142" xr:uid="{00000000-0005-0000-0000-00000C000000}"/>
    <cellStyle name="20% - Accent1 4" xfId="208" xr:uid="{00000000-0005-0000-0000-00000D000000}"/>
    <cellStyle name="20% - Accent1 4 2" xfId="335" xr:uid="{00000000-0005-0000-0000-00000E000000}"/>
    <cellStyle name="20% - Accent1 4_BDC post TB" xfId="387" xr:uid="{00000000-0005-0000-0000-00000F000000}"/>
    <cellStyle name="20% - Accent1 5" xfId="240" xr:uid="{00000000-0005-0000-0000-000010000000}"/>
    <cellStyle name="20% - Accent1 5 2" xfId="362" xr:uid="{00000000-0005-0000-0000-000011000000}"/>
    <cellStyle name="20% - Accent1 5_BDC post TB" xfId="388" xr:uid="{00000000-0005-0000-0000-000012000000}"/>
    <cellStyle name="20% - Accent1 6" xfId="481" xr:uid="{00000000-0005-0000-0000-000013000000}"/>
    <cellStyle name="20% - Accent1 7" xfId="515" xr:uid="{929AD764-F516-4A75-B1DC-71655E2534B4}"/>
    <cellStyle name="20% - Accent1 8" xfId="550" xr:uid="{6008B449-B261-4994-8702-C89F3B306FB1}"/>
    <cellStyle name="20% - Accent1 9" xfId="583" xr:uid="{688DF12D-A9EE-4B6D-87A3-7A1438BECD11}"/>
    <cellStyle name="20% - Accent2" xfId="3" builtinId="34" customBuiltin="1"/>
    <cellStyle name="20% - Accent2 10" xfId="596" xr:uid="{4F663ACE-EB84-4E86-8DC0-4208C09035C9}"/>
    <cellStyle name="20% - Accent2 11" xfId="618" xr:uid="{542AB604-79A9-442E-8341-2359E506350D}"/>
    <cellStyle name="20% - Accent2 12" xfId="638" xr:uid="{5FEB60A8-D2EE-4F65-9EB9-43D1DAEFA869}"/>
    <cellStyle name="20% - Accent2 2" xfId="145" xr:uid="{00000000-0005-0000-0000-000015000000}"/>
    <cellStyle name="20% - Accent2 2 2" xfId="211" xr:uid="{00000000-0005-0000-0000-000016000000}"/>
    <cellStyle name="20% - Accent2 2 2 2" xfId="338" xr:uid="{00000000-0005-0000-0000-000017000000}"/>
    <cellStyle name="20% - Accent2 2 2_BDC post TB" xfId="390" xr:uid="{00000000-0005-0000-0000-000018000000}"/>
    <cellStyle name="20% - Accent2 2 3" xfId="243" xr:uid="{00000000-0005-0000-0000-000019000000}"/>
    <cellStyle name="20% - Accent2 2 3 2" xfId="365" xr:uid="{00000000-0005-0000-0000-00001A000000}"/>
    <cellStyle name="20% - Accent2 2 3_BDC post TB" xfId="391" xr:uid="{00000000-0005-0000-0000-00001B000000}"/>
    <cellStyle name="20% - Accent2 2 4" xfId="313" xr:uid="{00000000-0005-0000-0000-00001C000000}"/>
    <cellStyle name="20% - Accent2 2 5" xfId="484" xr:uid="{00000000-0005-0000-0000-00001D000000}"/>
    <cellStyle name="20% - Accent2 2_BDC post TB" xfId="389" xr:uid="{00000000-0005-0000-0000-00001E000000}"/>
    <cellStyle name="20% - Accent2 3" xfId="144" xr:uid="{00000000-0005-0000-0000-00001F000000}"/>
    <cellStyle name="20% - Accent2 4" xfId="210" xr:uid="{00000000-0005-0000-0000-000020000000}"/>
    <cellStyle name="20% - Accent2 4 2" xfId="337" xr:uid="{00000000-0005-0000-0000-000021000000}"/>
    <cellStyle name="20% - Accent2 4_BDC post TB" xfId="392" xr:uid="{00000000-0005-0000-0000-000022000000}"/>
    <cellStyle name="20% - Accent2 5" xfId="242" xr:uid="{00000000-0005-0000-0000-000023000000}"/>
    <cellStyle name="20% - Accent2 5 2" xfId="364" xr:uid="{00000000-0005-0000-0000-000024000000}"/>
    <cellStyle name="20% - Accent2 5_BDC post TB" xfId="393" xr:uid="{00000000-0005-0000-0000-000025000000}"/>
    <cellStyle name="20% - Accent2 6" xfId="483" xr:uid="{00000000-0005-0000-0000-000026000000}"/>
    <cellStyle name="20% - Accent2 7" xfId="516" xr:uid="{93835AC0-2690-4C09-95DA-4E87C667C0A3}"/>
    <cellStyle name="20% - Accent2 8" xfId="549" xr:uid="{B403DC49-3FA6-4B14-9B34-5038A27D74E3}"/>
    <cellStyle name="20% - Accent2 9" xfId="582" xr:uid="{682D1D93-E5DC-4696-AB11-A9D6CE31F78F}"/>
    <cellStyle name="20% - Accent3" xfId="4" builtinId="38" customBuiltin="1"/>
    <cellStyle name="20% - Accent3 10" xfId="599" xr:uid="{035AFC42-A119-4CE9-A471-7C3B9AA77DCA}"/>
    <cellStyle name="20% - Accent3 11" xfId="621" xr:uid="{DF835E08-99CD-43F8-A149-B6350C0EE507}"/>
    <cellStyle name="20% - Accent3 12" xfId="641" xr:uid="{62A04884-984A-49E8-8C14-5EF5A63585A8}"/>
    <cellStyle name="20% - Accent3 2" xfId="147" xr:uid="{00000000-0005-0000-0000-000028000000}"/>
    <cellStyle name="20% - Accent3 2 2" xfId="213" xr:uid="{00000000-0005-0000-0000-000029000000}"/>
    <cellStyle name="20% - Accent3 2 2 2" xfId="340" xr:uid="{00000000-0005-0000-0000-00002A000000}"/>
    <cellStyle name="20% - Accent3 2 2_BDC post TB" xfId="395" xr:uid="{00000000-0005-0000-0000-00002B000000}"/>
    <cellStyle name="20% - Accent3 2 3" xfId="245" xr:uid="{00000000-0005-0000-0000-00002C000000}"/>
    <cellStyle name="20% - Accent3 2 3 2" xfId="367" xr:uid="{00000000-0005-0000-0000-00002D000000}"/>
    <cellStyle name="20% - Accent3 2 3_BDC post TB" xfId="396" xr:uid="{00000000-0005-0000-0000-00002E000000}"/>
    <cellStyle name="20% - Accent3 2 4" xfId="314" xr:uid="{00000000-0005-0000-0000-00002F000000}"/>
    <cellStyle name="20% - Accent3 2 5" xfId="486" xr:uid="{00000000-0005-0000-0000-000030000000}"/>
    <cellStyle name="20% - Accent3 2_BDC post TB" xfId="394" xr:uid="{00000000-0005-0000-0000-000031000000}"/>
    <cellStyle name="20% - Accent3 3" xfId="146" xr:uid="{00000000-0005-0000-0000-000032000000}"/>
    <cellStyle name="20% - Accent3 4" xfId="212" xr:uid="{00000000-0005-0000-0000-000033000000}"/>
    <cellStyle name="20% - Accent3 4 2" xfId="339" xr:uid="{00000000-0005-0000-0000-000034000000}"/>
    <cellStyle name="20% - Accent3 4_BDC post TB" xfId="397" xr:uid="{00000000-0005-0000-0000-000035000000}"/>
    <cellStyle name="20% - Accent3 5" xfId="244" xr:uid="{00000000-0005-0000-0000-000036000000}"/>
    <cellStyle name="20% - Accent3 5 2" xfId="366" xr:uid="{00000000-0005-0000-0000-000037000000}"/>
    <cellStyle name="20% - Accent3 5_BDC post TB" xfId="398" xr:uid="{00000000-0005-0000-0000-000038000000}"/>
    <cellStyle name="20% - Accent3 6" xfId="485" xr:uid="{00000000-0005-0000-0000-000039000000}"/>
    <cellStyle name="20% - Accent3 7" xfId="517" xr:uid="{E2DDD4F8-6C51-408E-9551-546E6ED15754}"/>
    <cellStyle name="20% - Accent3 8" xfId="548" xr:uid="{4C97A631-E2BC-46DD-ABF1-BFBE51598A30}"/>
    <cellStyle name="20% - Accent3 9" xfId="581" xr:uid="{D3C6A9D9-DE09-465B-8CD6-24328A3412FE}"/>
    <cellStyle name="20% - Accent4" xfId="5" builtinId="42" customBuiltin="1"/>
    <cellStyle name="20% - Accent4 10" xfId="602" xr:uid="{076A8C65-CFFE-42DD-AD55-DF26E47C987A}"/>
    <cellStyle name="20% - Accent4 11" xfId="624" xr:uid="{F0C006C6-81FA-4A06-B9B8-45B8546AC5F4}"/>
    <cellStyle name="20% - Accent4 12" xfId="644" xr:uid="{4C65E637-60DE-458A-90B3-22451E373F29}"/>
    <cellStyle name="20% - Accent4 2" xfId="149" xr:uid="{00000000-0005-0000-0000-00003B000000}"/>
    <cellStyle name="20% - Accent4 2 2" xfId="215" xr:uid="{00000000-0005-0000-0000-00003C000000}"/>
    <cellStyle name="20% - Accent4 2 2 2" xfId="342" xr:uid="{00000000-0005-0000-0000-00003D000000}"/>
    <cellStyle name="20% - Accent4 2 2_BDC post TB" xfId="400" xr:uid="{00000000-0005-0000-0000-00003E000000}"/>
    <cellStyle name="20% - Accent4 2 3" xfId="247" xr:uid="{00000000-0005-0000-0000-00003F000000}"/>
    <cellStyle name="20% - Accent4 2 3 2" xfId="369" xr:uid="{00000000-0005-0000-0000-000040000000}"/>
    <cellStyle name="20% - Accent4 2 3_BDC post TB" xfId="401" xr:uid="{00000000-0005-0000-0000-000041000000}"/>
    <cellStyle name="20% - Accent4 2 4" xfId="315" xr:uid="{00000000-0005-0000-0000-000042000000}"/>
    <cellStyle name="20% - Accent4 2 5" xfId="488" xr:uid="{00000000-0005-0000-0000-000043000000}"/>
    <cellStyle name="20% - Accent4 2_BDC post TB" xfId="399" xr:uid="{00000000-0005-0000-0000-000044000000}"/>
    <cellStyle name="20% - Accent4 3" xfId="148" xr:uid="{00000000-0005-0000-0000-000045000000}"/>
    <cellStyle name="20% - Accent4 4" xfId="214" xr:uid="{00000000-0005-0000-0000-000046000000}"/>
    <cellStyle name="20% - Accent4 4 2" xfId="341" xr:uid="{00000000-0005-0000-0000-000047000000}"/>
    <cellStyle name="20% - Accent4 4_BDC post TB" xfId="402" xr:uid="{00000000-0005-0000-0000-000048000000}"/>
    <cellStyle name="20% - Accent4 5" xfId="246" xr:uid="{00000000-0005-0000-0000-000049000000}"/>
    <cellStyle name="20% - Accent4 5 2" xfId="368" xr:uid="{00000000-0005-0000-0000-00004A000000}"/>
    <cellStyle name="20% - Accent4 5_BDC post TB" xfId="403" xr:uid="{00000000-0005-0000-0000-00004B000000}"/>
    <cellStyle name="20% - Accent4 6" xfId="487" xr:uid="{00000000-0005-0000-0000-00004C000000}"/>
    <cellStyle name="20% - Accent4 7" xfId="518" xr:uid="{BF38E7A4-4E90-4A60-969D-FA440482D441}"/>
    <cellStyle name="20% - Accent4 8" xfId="547" xr:uid="{1F4638C1-9032-4187-8D54-F392033BC959}"/>
    <cellStyle name="20% - Accent4 9" xfId="580" xr:uid="{AFF79171-BA74-4C29-86C7-35A67E0AD2D1}"/>
    <cellStyle name="20% - Accent5" xfId="6" builtinId="46" customBuiltin="1"/>
    <cellStyle name="20% - Accent5 10" xfId="605" xr:uid="{A2856DD1-9690-4B3A-8BD5-49768E22F52B}"/>
    <cellStyle name="20% - Accent5 11" xfId="627" xr:uid="{1BA1CB49-EA99-4961-9D94-E049A700B107}"/>
    <cellStyle name="20% - Accent5 12" xfId="647" xr:uid="{1BA24700-D536-4B85-A3EF-4FD19EBE25E8}"/>
    <cellStyle name="20% - Accent5 2" xfId="151" xr:uid="{00000000-0005-0000-0000-00004E000000}"/>
    <cellStyle name="20% - Accent5 2 2" xfId="316" xr:uid="{00000000-0005-0000-0000-00004F000000}"/>
    <cellStyle name="20% - Accent5 2_BDC post TB" xfId="404" xr:uid="{00000000-0005-0000-0000-000050000000}"/>
    <cellStyle name="20% - Accent5 3" xfId="150" xr:uid="{00000000-0005-0000-0000-000051000000}"/>
    <cellStyle name="20% - Accent5 4" xfId="216" xr:uid="{00000000-0005-0000-0000-000052000000}"/>
    <cellStyle name="20% - Accent5 4 2" xfId="343" xr:uid="{00000000-0005-0000-0000-000053000000}"/>
    <cellStyle name="20% - Accent5 4_BDC post TB" xfId="405" xr:uid="{00000000-0005-0000-0000-000054000000}"/>
    <cellStyle name="20% - Accent5 5" xfId="248" xr:uid="{00000000-0005-0000-0000-000055000000}"/>
    <cellStyle name="20% - Accent5 5 2" xfId="370" xr:uid="{00000000-0005-0000-0000-000056000000}"/>
    <cellStyle name="20% - Accent5 5_BDC post TB" xfId="406" xr:uid="{00000000-0005-0000-0000-000057000000}"/>
    <cellStyle name="20% - Accent5 6" xfId="489" xr:uid="{00000000-0005-0000-0000-000058000000}"/>
    <cellStyle name="20% - Accent5 7" xfId="519" xr:uid="{3A594324-521F-48B3-86DF-24217F3970A5}"/>
    <cellStyle name="20% - Accent5 8" xfId="546" xr:uid="{1C38D914-C51C-4311-98C1-C11557545755}"/>
    <cellStyle name="20% - Accent5 9" xfId="579" xr:uid="{FFB97BD5-8F3B-4E0F-A812-3AD43F15A0C8}"/>
    <cellStyle name="20% - Accent6" xfId="7" builtinId="50" customBuiltin="1"/>
    <cellStyle name="20% - Accent6 10" xfId="608" xr:uid="{B9DCA284-E5CF-4828-AD2C-6A816F240DFD}"/>
    <cellStyle name="20% - Accent6 11" xfId="630" xr:uid="{1F4D74A2-553C-4111-A390-7F31B6F8599D}"/>
    <cellStyle name="20% - Accent6 12" xfId="650" xr:uid="{BDABADC2-02D2-42B6-9822-8FD7432FEB3B}"/>
    <cellStyle name="20% - Accent6 2" xfId="153" xr:uid="{00000000-0005-0000-0000-00005A000000}"/>
    <cellStyle name="20% - Accent6 2 2" xfId="317" xr:uid="{00000000-0005-0000-0000-00005B000000}"/>
    <cellStyle name="20% - Accent6 2_BDC post TB" xfId="407" xr:uid="{00000000-0005-0000-0000-00005C000000}"/>
    <cellStyle name="20% - Accent6 3" xfId="152" xr:uid="{00000000-0005-0000-0000-00005D000000}"/>
    <cellStyle name="20% - Accent6 4" xfId="217" xr:uid="{00000000-0005-0000-0000-00005E000000}"/>
    <cellStyle name="20% - Accent6 4 2" xfId="344" xr:uid="{00000000-0005-0000-0000-00005F000000}"/>
    <cellStyle name="20% - Accent6 4_BDC post TB" xfId="408" xr:uid="{00000000-0005-0000-0000-000060000000}"/>
    <cellStyle name="20% - Accent6 5" xfId="249" xr:uid="{00000000-0005-0000-0000-000061000000}"/>
    <cellStyle name="20% - Accent6 5 2" xfId="371" xr:uid="{00000000-0005-0000-0000-000062000000}"/>
    <cellStyle name="20% - Accent6 5_BDC post TB" xfId="409" xr:uid="{00000000-0005-0000-0000-000063000000}"/>
    <cellStyle name="20% - Accent6 6" xfId="490" xr:uid="{00000000-0005-0000-0000-000064000000}"/>
    <cellStyle name="20% - Accent6 7" xfId="520" xr:uid="{88E5AB5E-B7C8-42BB-8C5A-9E0D5DA037C2}"/>
    <cellStyle name="20% - Accent6 8" xfId="545" xr:uid="{8933F40D-F9D4-462B-844C-52A7DE2A572A}"/>
    <cellStyle name="20% - Accent6 9" xfId="578" xr:uid="{CE9F2F0A-B6C0-4F3B-B580-A5812CFEE556}"/>
    <cellStyle name="40% - Accent1" xfId="8" builtinId="31" customBuiltin="1"/>
    <cellStyle name="40% - Accent1 10" xfId="594" xr:uid="{BE2B09D4-043E-4AB8-9ABF-BCCF5256D658}"/>
    <cellStyle name="40% - Accent1 11" xfId="616" xr:uid="{17311D11-5ED3-40C3-98CC-F9E972708921}"/>
    <cellStyle name="40% - Accent1 12" xfId="636" xr:uid="{826D3423-AF85-4A04-8F64-ED7238C1F085}"/>
    <cellStyle name="40% - Accent1 2" xfId="155" xr:uid="{00000000-0005-0000-0000-000066000000}"/>
    <cellStyle name="40% - Accent1 2 2" xfId="318" xr:uid="{00000000-0005-0000-0000-000067000000}"/>
    <cellStyle name="40% - Accent1 2_BDC post TB" xfId="410" xr:uid="{00000000-0005-0000-0000-000068000000}"/>
    <cellStyle name="40% - Accent1 3" xfId="154" xr:uid="{00000000-0005-0000-0000-000069000000}"/>
    <cellStyle name="40% - Accent1 4" xfId="218" xr:uid="{00000000-0005-0000-0000-00006A000000}"/>
    <cellStyle name="40% - Accent1 4 2" xfId="345" xr:uid="{00000000-0005-0000-0000-00006B000000}"/>
    <cellStyle name="40% - Accent1 4_BDC post TB" xfId="411" xr:uid="{00000000-0005-0000-0000-00006C000000}"/>
    <cellStyle name="40% - Accent1 5" xfId="250" xr:uid="{00000000-0005-0000-0000-00006D000000}"/>
    <cellStyle name="40% - Accent1 5 2" xfId="372" xr:uid="{00000000-0005-0000-0000-00006E000000}"/>
    <cellStyle name="40% - Accent1 5_BDC post TB" xfId="412" xr:uid="{00000000-0005-0000-0000-00006F000000}"/>
    <cellStyle name="40% - Accent1 6" xfId="491" xr:uid="{00000000-0005-0000-0000-000070000000}"/>
    <cellStyle name="40% - Accent1 7" xfId="521" xr:uid="{E5D745E1-B5C0-43A9-A85E-755BDA71168B}"/>
    <cellStyle name="40% - Accent1 8" xfId="542" xr:uid="{681109C5-BE7A-4CA9-BD71-3727508ABE15}"/>
    <cellStyle name="40% - Accent1 9" xfId="577" xr:uid="{88C1B059-96E0-4319-87FD-416EA0E1EC68}"/>
    <cellStyle name="40% - Accent2" xfId="9" builtinId="35" customBuiltin="1"/>
    <cellStyle name="40% - Accent2 10" xfId="597" xr:uid="{FCD92FFE-BC6F-4DA4-9D81-DEF29B4CB0AC}"/>
    <cellStyle name="40% - Accent2 11" xfId="619" xr:uid="{3AD1B11F-C3E0-4BB7-9EAD-0EA3C1EF59A6}"/>
    <cellStyle name="40% - Accent2 12" xfId="639" xr:uid="{CE6ECE4F-2860-4F39-9E2A-C0C0C0E8FEE5}"/>
    <cellStyle name="40% - Accent2 2" xfId="157" xr:uid="{00000000-0005-0000-0000-000072000000}"/>
    <cellStyle name="40% - Accent2 2 2" xfId="319" xr:uid="{00000000-0005-0000-0000-000073000000}"/>
    <cellStyle name="40% - Accent2 2_BDC post TB" xfId="413" xr:uid="{00000000-0005-0000-0000-000074000000}"/>
    <cellStyle name="40% - Accent2 3" xfId="156" xr:uid="{00000000-0005-0000-0000-000075000000}"/>
    <cellStyle name="40% - Accent2 4" xfId="219" xr:uid="{00000000-0005-0000-0000-000076000000}"/>
    <cellStyle name="40% - Accent2 4 2" xfId="346" xr:uid="{00000000-0005-0000-0000-000077000000}"/>
    <cellStyle name="40% - Accent2 4_BDC post TB" xfId="414" xr:uid="{00000000-0005-0000-0000-000078000000}"/>
    <cellStyle name="40% - Accent2 5" xfId="251" xr:uid="{00000000-0005-0000-0000-000079000000}"/>
    <cellStyle name="40% - Accent2 5 2" xfId="373" xr:uid="{00000000-0005-0000-0000-00007A000000}"/>
    <cellStyle name="40% - Accent2 5_BDC post TB" xfId="415" xr:uid="{00000000-0005-0000-0000-00007B000000}"/>
    <cellStyle name="40% - Accent2 6" xfId="492" xr:uid="{00000000-0005-0000-0000-00007C000000}"/>
    <cellStyle name="40% - Accent2 7" xfId="522" xr:uid="{20C68EB4-B308-489E-98E4-CC8378CCEF8B}"/>
    <cellStyle name="40% - Accent2 8" xfId="537" xr:uid="{FB038298-923D-4501-B92A-9504A1F327C5}"/>
    <cellStyle name="40% - Accent2 9" xfId="576" xr:uid="{6EE72D2A-6091-42CC-B6EC-1A90376D6CEE}"/>
    <cellStyle name="40% - Accent3" xfId="10" builtinId="39" customBuiltin="1"/>
    <cellStyle name="40% - Accent3 10" xfId="600" xr:uid="{0CE4E23C-32DE-4167-BDDC-B0A5F17BBE4C}"/>
    <cellStyle name="40% - Accent3 11" xfId="622" xr:uid="{0B1108C3-1035-41B5-AE47-73DA6C352EBC}"/>
    <cellStyle name="40% - Accent3 12" xfId="642" xr:uid="{4E98FC47-3BE9-4112-8B70-0DCDF01A9190}"/>
    <cellStyle name="40% - Accent3 2" xfId="159" xr:uid="{00000000-0005-0000-0000-00007E000000}"/>
    <cellStyle name="40% - Accent3 2 2" xfId="221" xr:uid="{00000000-0005-0000-0000-00007F000000}"/>
    <cellStyle name="40% - Accent3 2 2 2" xfId="348" xr:uid="{00000000-0005-0000-0000-000080000000}"/>
    <cellStyle name="40% - Accent3 2 2_BDC post TB" xfId="417" xr:uid="{00000000-0005-0000-0000-000081000000}"/>
    <cellStyle name="40% - Accent3 2 3" xfId="253" xr:uid="{00000000-0005-0000-0000-000082000000}"/>
    <cellStyle name="40% - Accent3 2 3 2" xfId="375" xr:uid="{00000000-0005-0000-0000-000083000000}"/>
    <cellStyle name="40% - Accent3 2 3_BDC post TB" xfId="418" xr:uid="{00000000-0005-0000-0000-000084000000}"/>
    <cellStyle name="40% - Accent3 2 4" xfId="320" xr:uid="{00000000-0005-0000-0000-000085000000}"/>
    <cellStyle name="40% - Accent3 2 5" xfId="494" xr:uid="{00000000-0005-0000-0000-000086000000}"/>
    <cellStyle name="40% - Accent3 2_BDC post TB" xfId="416" xr:uid="{00000000-0005-0000-0000-000087000000}"/>
    <cellStyle name="40% - Accent3 3" xfId="158" xr:uid="{00000000-0005-0000-0000-000088000000}"/>
    <cellStyle name="40% - Accent3 4" xfId="220" xr:uid="{00000000-0005-0000-0000-000089000000}"/>
    <cellStyle name="40% - Accent3 4 2" xfId="347" xr:uid="{00000000-0005-0000-0000-00008A000000}"/>
    <cellStyle name="40% - Accent3 4_BDC post TB" xfId="419" xr:uid="{00000000-0005-0000-0000-00008B000000}"/>
    <cellStyle name="40% - Accent3 5" xfId="252" xr:uid="{00000000-0005-0000-0000-00008C000000}"/>
    <cellStyle name="40% - Accent3 5 2" xfId="374" xr:uid="{00000000-0005-0000-0000-00008D000000}"/>
    <cellStyle name="40% - Accent3 5_BDC post TB" xfId="420" xr:uid="{00000000-0005-0000-0000-00008E000000}"/>
    <cellStyle name="40% - Accent3 6" xfId="493" xr:uid="{00000000-0005-0000-0000-00008F000000}"/>
    <cellStyle name="40% - Accent3 7" xfId="523" xr:uid="{D1F17E8D-C0E0-4DF3-918A-6FF56B59C327}"/>
    <cellStyle name="40% - Accent3 8" xfId="536" xr:uid="{14ADF5E1-7F03-4A23-A11E-A2972CF7E302}"/>
    <cellStyle name="40% - Accent3 9" xfId="575" xr:uid="{499F0CD5-07F5-4517-9730-EDD821E2F798}"/>
    <cellStyle name="40% - Accent4" xfId="11" builtinId="43" customBuiltin="1"/>
    <cellStyle name="40% - Accent4 10" xfId="603" xr:uid="{27BABD02-5F5B-4BF9-AA86-CA3EF35C669A}"/>
    <cellStyle name="40% - Accent4 11" xfId="625" xr:uid="{BC0F9F1D-5E41-453C-9D7A-B07703355719}"/>
    <cellStyle name="40% - Accent4 12" xfId="645" xr:uid="{433F9477-08D4-4B6B-A58D-6675391EF60A}"/>
    <cellStyle name="40% - Accent4 2" xfId="161" xr:uid="{00000000-0005-0000-0000-000091000000}"/>
    <cellStyle name="40% - Accent4 2 2" xfId="321" xr:uid="{00000000-0005-0000-0000-000092000000}"/>
    <cellStyle name="40% - Accent4 2_BDC post TB" xfId="421" xr:uid="{00000000-0005-0000-0000-000093000000}"/>
    <cellStyle name="40% - Accent4 3" xfId="160" xr:uid="{00000000-0005-0000-0000-000094000000}"/>
    <cellStyle name="40% - Accent4 4" xfId="222" xr:uid="{00000000-0005-0000-0000-000095000000}"/>
    <cellStyle name="40% - Accent4 4 2" xfId="349" xr:uid="{00000000-0005-0000-0000-000096000000}"/>
    <cellStyle name="40% - Accent4 4_BDC post TB" xfId="422" xr:uid="{00000000-0005-0000-0000-000097000000}"/>
    <cellStyle name="40% - Accent4 5" xfId="254" xr:uid="{00000000-0005-0000-0000-000098000000}"/>
    <cellStyle name="40% - Accent4 5 2" xfId="376" xr:uid="{00000000-0005-0000-0000-000099000000}"/>
    <cellStyle name="40% - Accent4 5_BDC post TB" xfId="423" xr:uid="{00000000-0005-0000-0000-00009A000000}"/>
    <cellStyle name="40% - Accent4 6" xfId="495" xr:uid="{00000000-0005-0000-0000-00009B000000}"/>
    <cellStyle name="40% - Accent4 7" xfId="524" xr:uid="{6FA86C1F-C571-41AB-8873-D38008C861D8}"/>
    <cellStyle name="40% - Accent4 8" xfId="534" xr:uid="{F2BBF83A-A45F-4DD9-A0ED-1B9DE9AF97AD}"/>
    <cellStyle name="40% - Accent4 9" xfId="574" xr:uid="{4F63B721-3765-45D3-BCB2-06966F9418DB}"/>
    <cellStyle name="40% - Accent5" xfId="12" builtinId="47" customBuiltin="1"/>
    <cellStyle name="40% - Accent5 10" xfId="606" xr:uid="{2171045B-319F-4313-BB9F-39B31192CF83}"/>
    <cellStyle name="40% - Accent5 11" xfId="628" xr:uid="{6DCA9931-2C92-4BD1-9912-675B84444432}"/>
    <cellStyle name="40% - Accent5 12" xfId="648" xr:uid="{90EF0545-4487-4BC3-8C74-CEA6A918A0FD}"/>
    <cellStyle name="40% - Accent5 2" xfId="163" xr:uid="{00000000-0005-0000-0000-00009D000000}"/>
    <cellStyle name="40% - Accent5 2 2" xfId="322" xr:uid="{00000000-0005-0000-0000-00009E000000}"/>
    <cellStyle name="40% - Accent5 2_BDC post TB" xfId="424" xr:uid="{00000000-0005-0000-0000-00009F000000}"/>
    <cellStyle name="40% - Accent5 3" xfId="162" xr:uid="{00000000-0005-0000-0000-0000A0000000}"/>
    <cellStyle name="40% - Accent5 4" xfId="223" xr:uid="{00000000-0005-0000-0000-0000A1000000}"/>
    <cellStyle name="40% - Accent5 4 2" xfId="350" xr:uid="{00000000-0005-0000-0000-0000A2000000}"/>
    <cellStyle name="40% - Accent5 4_BDC post TB" xfId="425" xr:uid="{00000000-0005-0000-0000-0000A3000000}"/>
    <cellStyle name="40% - Accent5 5" xfId="255" xr:uid="{00000000-0005-0000-0000-0000A4000000}"/>
    <cellStyle name="40% - Accent5 5 2" xfId="377" xr:uid="{00000000-0005-0000-0000-0000A5000000}"/>
    <cellStyle name="40% - Accent5 5_BDC post TB" xfId="426" xr:uid="{00000000-0005-0000-0000-0000A6000000}"/>
    <cellStyle name="40% - Accent5 6" xfId="496" xr:uid="{00000000-0005-0000-0000-0000A7000000}"/>
    <cellStyle name="40% - Accent5 7" xfId="525" xr:uid="{4ED13DED-C4C1-47ED-9CE1-B80C50B4B8F0}"/>
    <cellStyle name="40% - Accent5 8" xfId="533" xr:uid="{C57A677B-4210-47A4-A66A-F0B81AAF32A5}"/>
    <cellStyle name="40% - Accent5 9" xfId="573" xr:uid="{BDC54084-8764-4C3D-8307-9638BA4040C5}"/>
    <cellStyle name="40% - Accent6" xfId="13" builtinId="51" customBuiltin="1"/>
    <cellStyle name="40% - Accent6 10" xfId="609" xr:uid="{3B46A3CC-B6D7-496F-B500-6AF410731695}"/>
    <cellStyle name="40% - Accent6 11" xfId="631" xr:uid="{B0225B61-21E8-4B48-BC18-DEC77EAE6DAE}"/>
    <cellStyle name="40% - Accent6 12" xfId="651" xr:uid="{340AAEC2-C6E5-4571-89BA-2A8364BF9E9B}"/>
    <cellStyle name="40% - Accent6 2" xfId="165" xr:uid="{00000000-0005-0000-0000-0000A9000000}"/>
    <cellStyle name="40% - Accent6 2 2" xfId="323" xr:uid="{00000000-0005-0000-0000-0000AA000000}"/>
    <cellStyle name="40% - Accent6 2_BDC post TB" xfId="427" xr:uid="{00000000-0005-0000-0000-0000AB000000}"/>
    <cellStyle name="40% - Accent6 3" xfId="164" xr:uid="{00000000-0005-0000-0000-0000AC000000}"/>
    <cellStyle name="40% - Accent6 4" xfId="224" xr:uid="{00000000-0005-0000-0000-0000AD000000}"/>
    <cellStyle name="40% - Accent6 4 2" xfId="351" xr:uid="{00000000-0005-0000-0000-0000AE000000}"/>
    <cellStyle name="40% - Accent6 4_BDC post TB" xfId="428" xr:uid="{00000000-0005-0000-0000-0000AF000000}"/>
    <cellStyle name="40% - Accent6 5" xfId="256" xr:uid="{00000000-0005-0000-0000-0000B0000000}"/>
    <cellStyle name="40% - Accent6 5 2" xfId="378" xr:uid="{00000000-0005-0000-0000-0000B1000000}"/>
    <cellStyle name="40% - Accent6 5_BDC post TB" xfId="429" xr:uid="{00000000-0005-0000-0000-0000B2000000}"/>
    <cellStyle name="40% - Accent6 6" xfId="497" xr:uid="{00000000-0005-0000-0000-0000B3000000}"/>
    <cellStyle name="40% - Accent6 7" xfId="526" xr:uid="{6D03299F-F952-44F2-B45C-C8E9209967BB}"/>
    <cellStyle name="40% - Accent6 8" xfId="532" xr:uid="{E2A27667-17E4-491A-8516-07F888D38186}"/>
    <cellStyle name="40% - Accent6 9" xfId="572" xr:uid="{C195869C-B3A9-4BB7-8C38-FCA759365FF7}"/>
    <cellStyle name="60% - Accent1" xfId="14" builtinId="32" customBuiltin="1"/>
    <cellStyle name="60% - Accent1 2" xfId="166" xr:uid="{00000000-0005-0000-0000-0000B5000000}"/>
    <cellStyle name="60% - Accent1 3" xfId="595" xr:uid="{0E73469F-B10C-4A8B-851D-7B7EA9E17788}"/>
    <cellStyle name="60% - Accent1 4" xfId="617" xr:uid="{F2DCB644-62D5-4C8B-B411-41697FF41A84}"/>
    <cellStyle name="60% - Accent1 5" xfId="637" xr:uid="{6E50B145-7A21-4C63-8B11-8D39767476AD}"/>
    <cellStyle name="60% - Accent2" xfId="15" builtinId="36" customBuiltin="1"/>
    <cellStyle name="60% - Accent2 2" xfId="167" xr:uid="{00000000-0005-0000-0000-0000B7000000}"/>
    <cellStyle name="60% - Accent2 3" xfId="598" xr:uid="{6D0C8D9F-D1A4-4733-9FC2-BCB0F6C70681}"/>
    <cellStyle name="60% - Accent2 4" xfId="620" xr:uid="{1F605A44-631B-414F-81E5-AA1C2DD149F3}"/>
    <cellStyle name="60% - Accent2 5" xfId="640" xr:uid="{C2C6DFD7-E7B0-42C8-802B-795F6DB3EEBC}"/>
    <cellStyle name="60% - Accent3" xfId="16" builtinId="40" customBuiltin="1"/>
    <cellStyle name="60% - Accent3 2" xfId="168" xr:uid="{00000000-0005-0000-0000-0000B9000000}"/>
    <cellStyle name="60% - Accent3 3" xfId="225" xr:uid="{00000000-0005-0000-0000-0000BA000000}"/>
    <cellStyle name="60% - Accent3 4" xfId="601" xr:uid="{2A17C705-026A-469C-8CA6-2E16BDE1038C}"/>
    <cellStyle name="60% - Accent3 5" xfId="623" xr:uid="{C4ABEBFB-DF7A-4928-AE25-85AA5E23BF5B}"/>
    <cellStyle name="60% - Accent3 6" xfId="643" xr:uid="{7CA3E750-940E-41AC-8C05-8F52EE77AC0B}"/>
    <cellStyle name="60% - Accent4" xfId="17" builtinId="44" customBuiltin="1"/>
    <cellStyle name="60% - Accent4 2" xfId="169" xr:uid="{00000000-0005-0000-0000-0000BC000000}"/>
    <cellStyle name="60% - Accent4 3" xfId="226" xr:uid="{00000000-0005-0000-0000-0000BD000000}"/>
    <cellStyle name="60% - Accent4 4" xfId="604" xr:uid="{E509B6B8-6921-4E18-9228-8F0D9159B8E8}"/>
    <cellStyle name="60% - Accent4 5" xfId="626" xr:uid="{8DFD7E60-0EBB-48CB-B780-AE565107A0DA}"/>
    <cellStyle name="60% - Accent4 6" xfId="646" xr:uid="{622DB0E3-F6ED-4206-B822-253C1A40FE52}"/>
    <cellStyle name="60% - Accent5" xfId="18" builtinId="48" customBuiltin="1"/>
    <cellStyle name="60% - Accent5 2" xfId="170" xr:uid="{00000000-0005-0000-0000-0000BF000000}"/>
    <cellStyle name="60% - Accent5 3" xfId="607" xr:uid="{CDB27B0A-26D0-4AD6-A409-E33064109456}"/>
    <cellStyle name="60% - Accent5 4" xfId="629" xr:uid="{43205D26-5976-42B3-9676-D7D946F9ECD6}"/>
    <cellStyle name="60% - Accent5 5" xfId="649" xr:uid="{438FA491-E91E-4A57-A688-2089695071D5}"/>
    <cellStyle name="60% - Accent6" xfId="19" builtinId="52" customBuiltin="1"/>
    <cellStyle name="60% - Accent6 2" xfId="171" xr:uid="{00000000-0005-0000-0000-0000C1000000}"/>
    <cellStyle name="60% - Accent6 3" xfId="227" xr:uid="{00000000-0005-0000-0000-0000C2000000}"/>
    <cellStyle name="60% - Accent6 4" xfId="610" xr:uid="{BBADB542-7228-4DB0-8E94-40BE32FAF540}"/>
    <cellStyle name="60% - Accent6 5" xfId="632" xr:uid="{DD4015BA-D4EA-429F-BC8F-FB69C30042EF}"/>
    <cellStyle name="60% - Accent6 6" xfId="652" xr:uid="{8FCAA9CA-258E-44CC-96E3-35ECD39A7AEE}"/>
    <cellStyle name="Accent1" xfId="20" builtinId="29" customBuiltin="1"/>
    <cellStyle name="Accent1 2" xfId="172" xr:uid="{00000000-0005-0000-0000-0000C4000000}"/>
    <cellStyle name="Accent2" xfId="21" builtinId="33" customBuiltin="1"/>
    <cellStyle name="Accent2 2" xfId="173" xr:uid="{00000000-0005-0000-0000-0000C6000000}"/>
    <cellStyle name="Accent3" xfId="22" builtinId="37" customBuiltin="1"/>
    <cellStyle name="Accent3 2" xfId="174" xr:uid="{00000000-0005-0000-0000-0000C8000000}"/>
    <cellStyle name="Accent4" xfId="23" builtinId="41" customBuiltin="1"/>
    <cellStyle name="Accent4 2" xfId="175" xr:uid="{00000000-0005-0000-0000-0000CA000000}"/>
    <cellStyle name="Accent5" xfId="24" builtinId="45" customBuiltin="1"/>
    <cellStyle name="Accent5 2" xfId="176" xr:uid="{00000000-0005-0000-0000-0000CC000000}"/>
    <cellStyle name="Accent6" xfId="25" builtinId="49" customBuiltin="1"/>
    <cellStyle name="Accent6 2" xfId="177" xr:uid="{00000000-0005-0000-0000-0000CE000000}"/>
    <cellStyle name="anatory Text" xfId="527" xr:uid="{314A898D-3988-49A1-A275-06F8AD6A81A2}"/>
    <cellStyle name="AutoFormat Options" xfId="26" xr:uid="{00000000-0005-0000-0000-0000CF000000}"/>
    <cellStyle name="Ā_x0001_ۿ一" xfId="528" xr:uid="{EA9B7451-9AB8-4D1E-8878-44614012C13A}"/>
    <cellStyle name="Bad" xfId="27" builtinId="27" customBuiltin="1"/>
    <cellStyle name="Bad 2" xfId="178" xr:uid="{00000000-0005-0000-0000-0000D1000000}"/>
    <cellStyle name="Border Heavy" xfId="28" xr:uid="{00000000-0005-0000-0000-0000D2000000}"/>
    <cellStyle name="Border Thin" xfId="29" xr:uid="{00000000-0005-0000-0000-0000D3000000}"/>
    <cellStyle name="Calculation" xfId="30" builtinId="22" customBuiltin="1"/>
    <cellStyle name="Calculation 2" xfId="179" xr:uid="{00000000-0005-0000-0000-0000D5000000}"/>
    <cellStyle name="Check Cell" xfId="31" builtinId="23" customBuiltin="1"/>
    <cellStyle name="Check Cell 2" xfId="180" xr:uid="{00000000-0005-0000-0000-0000D7000000}"/>
    <cellStyle name="Comma" xfId="32" builtinId="3"/>
    <cellStyle name="Comma 10" xfId="33" xr:uid="{00000000-0005-0000-0000-0000D9000000}"/>
    <cellStyle name="Comma 10 2" xfId="262" xr:uid="{00000000-0005-0000-0000-0000DA000000}"/>
    <cellStyle name="Comma 11" xfId="34" xr:uid="{00000000-0005-0000-0000-0000DB000000}"/>
    <cellStyle name="Comma 12" xfId="35" xr:uid="{00000000-0005-0000-0000-0000DC000000}"/>
    <cellStyle name="Comma 12 2" xfId="263" xr:uid="{00000000-0005-0000-0000-0000DD000000}"/>
    <cellStyle name="Comma 13" xfId="36" xr:uid="{00000000-0005-0000-0000-0000DE000000}"/>
    <cellStyle name="Comma 13 2" xfId="264" xr:uid="{00000000-0005-0000-0000-0000DF000000}"/>
    <cellStyle name="Comma 14" xfId="181" xr:uid="{00000000-0005-0000-0000-0000E0000000}"/>
    <cellStyle name="Comma 14 2" xfId="324" xr:uid="{00000000-0005-0000-0000-0000E1000000}"/>
    <cellStyle name="Comma 15" xfId="200" xr:uid="{00000000-0005-0000-0000-0000E2000000}"/>
    <cellStyle name="Comma 15 2" xfId="327" xr:uid="{00000000-0005-0000-0000-0000E3000000}"/>
    <cellStyle name="Comma 16" xfId="202" xr:uid="{00000000-0005-0000-0000-0000E4000000}"/>
    <cellStyle name="Comma 16 2" xfId="329" xr:uid="{00000000-0005-0000-0000-0000E5000000}"/>
    <cellStyle name="Comma 17" xfId="470" xr:uid="{00000000-0005-0000-0000-0000E6000000}"/>
    <cellStyle name="Comma 18" xfId="529" xr:uid="{F1639D81-1303-4127-9857-41F96A298BC6}"/>
    <cellStyle name="Comma 2" xfId="37" xr:uid="{00000000-0005-0000-0000-0000E7000000}"/>
    <cellStyle name="Comma 2 2" xfId="182" xr:uid="{00000000-0005-0000-0000-0000E8000000}"/>
    <cellStyle name="Comma 2 2 2" xfId="530" xr:uid="{FD154AFF-AE64-4B21-821C-F10EE90AC397}"/>
    <cellStyle name="Comma 2 3" xfId="265" xr:uid="{00000000-0005-0000-0000-0000E9000000}"/>
    <cellStyle name="Comma 3" xfId="38" xr:uid="{00000000-0005-0000-0000-0000EA000000}"/>
    <cellStyle name="Comma 3 2" xfId="39" xr:uid="{00000000-0005-0000-0000-0000EB000000}"/>
    <cellStyle name="Comma 3 3" xfId="228" xr:uid="{00000000-0005-0000-0000-0000EC000000}"/>
    <cellStyle name="Comma 3 3 2" xfId="352" xr:uid="{00000000-0005-0000-0000-0000ED000000}"/>
    <cellStyle name="Comma 3 4" xfId="257" xr:uid="{00000000-0005-0000-0000-0000EE000000}"/>
    <cellStyle name="Comma 3 4 2" xfId="379" xr:uid="{00000000-0005-0000-0000-0000EF000000}"/>
    <cellStyle name="Comma 3 5" xfId="498" xr:uid="{00000000-0005-0000-0000-0000F0000000}"/>
    <cellStyle name="Comma 3 6" xfId="531" xr:uid="{B134009B-1F85-4C7C-A6D3-FF640E3F4184}"/>
    <cellStyle name="Comma 3_PNNT SPV post TB" xfId="472" xr:uid="{00000000-0005-0000-0000-0000F1000000}"/>
    <cellStyle name="Comma 4" xfId="40" xr:uid="{00000000-0005-0000-0000-0000F2000000}"/>
    <cellStyle name="Comma 4 2" xfId="266" xr:uid="{00000000-0005-0000-0000-0000F3000000}"/>
    <cellStyle name="Comma 5" xfId="41" xr:uid="{00000000-0005-0000-0000-0000F4000000}"/>
    <cellStyle name="Comma 5 2" xfId="267" xr:uid="{00000000-0005-0000-0000-0000F5000000}"/>
    <cellStyle name="Comma 6" xfId="42" xr:uid="{00000000-0005-0000-0000-0000F6000000}"/>
    <cellStyle name="Comma 6 2" xfId="268" xr:uid="{00000000-0005-0000-0000-0000F7000000}"/>
    <cellStyle name="Comma 7" xfId="43" xr:uid="{00000000-0005-0000-0000-0000F8000000}"/>
    <cellStyle name="Comma 7 2" xfId="269" xr:uid="{00000000-0005-0000-0000-0000F9000000}"/>
    <cellStyle name="Comma 8" xfId="44" xr:uid="{00000000-0005-0000-0000-0000FA000000}"/>
    <cellStyle name="Comma 8 2" xfId="270" xr:uid="{00000000-0005-0000-0000-0000FB000000}"/>
    <cellStyle name="Comma 9" xfId="45" xr:uid="{00000000-0005-0000-0000-0000FC000000}"/>
    <cellStyle name="Comma 9 2" xfId="46" xr:uid="{00000000-0005-0000-0000-0000FD000000}"/>
    <cellStyle name="Comma 9 2 2" xfId="272" xr:uid="{00000000-0005-0000-0000-0000FE000000}"/>
    <cellStyle name="Comma 9 3" xfId="271" xr:uid="{00000000-0005-0000-0000-0000FF000000}"/>
    <cellStyle name="Currency [0] 2" xfId="535" xr:uid="{CD34AA8D-AB38-4157-BB41-955BDE9DB4E4}"/>
    <cellStyle name="Currency 2" xfId="47" xr:uid="{00000000-0005-0000-0000-000000010000}"/>
    <cellStyle name="Currency 2 2" xfId="48" xr:uid="{00000000-0005-0000-0000-000001010000}"/>
    <cellStyle name="Currency 2 2 2" xfId="274" xr:uid="{00000000-0005-0000-0000-000002010000}"/>
    <cellStyle name="Currency 2 3" xfId="273" xr:uid="{00000000-0005-0000-0000-000003010000}"/>
    <cellStyle name="Currency 3" xfId="49" xr:uid="{00000000-0005-0000-0000-000004010000}"/>
    <cellStyle name="Currency 3 2" xfId="275" xr:uid="{00000000-0005-0000-0000-000005010000}"/>
    <cellStyle name="Currency 3 3" xfId="538" xr:uid="{8930B67A-DC28-4FB4-B71C-19238DE6464F}"/>
    <cellStyle name="Currency 4" xfId="50" xr:uid="{00000000-0005-0000-0000-000006010000}"/>
    <cellStyle name="Currency 4 2" xfId="276" xr:uid="{00000000-0005-0000-0000-000007010000}"/>
    <cellStyle name="Currency 4 3" xfId="539" xr:uid="{3B83ED0D-042B-4A22-8292-321706ED7005}"/>
    <cellStyle name="Currency 5" xfId="51" xr:uid="{00000000-0005-0000-0000-000008010000}"/>
    <cellStyle name="Currency 5 2" xfId="540" xr:uid="{75801221-A5DD-4789-9FA9-229CEDC73958}"/>
    <cellStyle name="Currency 6" xfId="52" xr:uid="{00000000-0005-0000-0000-000009010000}"/>
    <cellStyle name="Currency 6 2" xfId="277" xr:uid="{00000000-0005-0000-0000-00000A010000}"/>
    <cellStyle name="Currency 6 3" xfId="541" xr:uid="{8BBD703A-C49C-4458-8326-421BF77143CA}"/>
    <cellStyle name="Currency 7" xfId="229" xr:uid="{00000000-0005-0000-0000-00000B010000}"/>
    <cellStyle name="d" xfId="543" xr:uid="{A96DB503-9D08-4D21-894F-334A9DD3F9AB}"/>
    <cellStyle name="Date" xfId="53" xr:uid="{00000000-0005-0000-0000-00000C010000}"/>
    <cellStyle name="e" xfId="544" xr:uid="{64A75EA3-0CF2-4F6B-8F2F-2B3007FFC950}"/>
    <cellStyle name="Explanatory Text" xfId="54" builtinId="53" customBuiltin="1"/>
    <cellStyle name="Explanatory Text 2" xfId="183" xr:uid="{00000000-0005-0000-0000-00000E010000}"/>
    <cellStyle name="Good" xfId="55" builtinId="26" customBuiltin="1"/>
    <cellStyle name="Good 2" xfId="184" xr:uid="{00000000-0005-0000-0000-000010010000}"/>
    <cellStyle name="Heading" xfId="56" xr:uid="{00000000-0005-0000-0000-000011010000}"/>
    <cellStyle name="Heading 1" xfId="57" builtinId="16" customBuiltin="1"/>
    <cellStyle name="Heading 1 2" xfId="185" xr:uid="{00000000-0005-0000-0000-000013010000}"/>
    <cellStyle name="Heading 2" xfId="58" builtinId="17" customBuiltin="1"/>
    <cellStyle name="Heading 2 2" xfId="186" xr:uid="{00000000-0005-0000-0000-000015010000}"/>
    <cellStyle name="Heading 3" xfId="59" builtinId="18" customBuiltin="1"/>
    <cellStyle name="Heading 3 2" xfId="187" xr:uid="{00000000-0005-0000-0000-000017010000}"/>
    <cellStyle name="Heading 4" xfId="60" builtinId="19" customBuiltin="1"/>
    <cellStyle name="Heading 4 2" xfId="188" xr:uid="{00000000-0005-0000-0000-000019010000}"/>
    <cellStyle name="Input" xfId="61" builtinId="20" customBuiltin="1"/>
    <cellStyle name="Input 2" xfId="62" xr:uid="{00000000-0005-0000-0000-00001B010000}"/>
    <cellStyle name="Input 2 2" xfId="189" xr:uid="{00000000-0005-0000-0000-00001C010000}"/>
    <cellStyle name="Input 3" xfId="63" xr:uid="{00000000-0005-0000-0000-00001D010000}"/>
    <cellStyle name="k Cell_x0002__x0016_ÿ_x000b_" xfId="551" xr:uid="{83C532AE-1A2A-4E39-A6E5-20DEF1FBD700}"/>
    <cellStyle name="Linked Cell" xfId="64" builtinId="24" customBuiltin="1"/>
    <cellStyle name="Linked Cell 2" xfId="190" xr:uid="{00000000-0005-0000-0000-00001F010000}"/>
    <cellStyle name="lԀ᠂௿䰀椀渀" xfId="552" xr:uid="{13982059-CB0E-4060-B2F8-081E697EE503}"/>
    <cellStyle name="Multiple" xfId="65" xr:uid="{00000000-0005-0000-0000-000020010000}"/>
    <cellStyle name="Neutral" xfId="66" builtinId="28" customBuiltin="1"/>
    <cellStyle name="Neutral 2" xfId="191" xr:uid="{00000000-0005-0000-0000-000022010000}"/>
    <cellStyle name="Neutral 3" xfId="591" xr:uid="{E579FFBC-4984-4217-BFF6-D349B6F10A41}"/>
    <cellStyle name="Normal" xfId="0" builtinId="0"/>
    <cellStyle name="Normal 10" xfId="67" xr:uid="{00000000-0005-0000-0000-000024010000}"/>
    <cellStyle name="Normal 11" xfId="68" xr:uid="{00000000-0005-0000-0000-000025010000}"/>
    <cellStyle name="Normal 11 2" xfId="278" xr:uid="{00000000-0005-0000-0000-000026010000}"/>
    <cellStyle name="Normal 11_BDC post TB" xfId="430" xr:uid="{00000000-0005-0000-0000-000027010000}"/>
    <cellStyle name="Normal 12" xfId="69" xr:uid="{00000000-0005-0000-0000-000028010000}"/>
    <cellStyle name="Normal 12 2" xfId="279" xr:uid="{00000000-0005-0000-0000-000029010000}"/>
    <cellStyle name="Normal 12_BDC post TB" xfId="431" xr:uid="{00000000-0005-0000-0000-00002A010000}"/>
    <cellStyle name="Normal 13" xfId="70" xr:uid="{00000000-0005-0000-0000-00002B010000}"/>
    <cellStyle name="Normal 13 2" xfId="280" xr:uid="{00000000-0005-0000-0000-00002C010000}"/>
    <cellStyle name="Normal 13_BDC post TB" xfId="432" xr:uid="{00000000-0005-0000-0000-00002D010000}"/>
    <cellStyle name="Normal 14" xfId="71" xr:uid="{00000000-0005-0000-0000-00002E010000}"/>
    <cellStyle name="Normal 14 2" xfId="281" xr:uid="{00000000-0005-0000-0000-00002F010000}"/>
    <cellStyle name="Normal 14_BDC post TB" xfId="433" xr:uid="{00000000-0005-0000-0000-000030010000}"/>
    <cellStyle name="Normal 15" xfId="72" xr:uid="{00000000-0005-0000-0000-000031010000}"/>
    <cellStyle name="Normal 15 2" xfId="282" xr:uid="{00000000-0005-0000-0000-000032010000}"/>
    <cellStyle name="Normal 15_BDC post TB" xfId="434" xr:uid="{00000000-0005-0000-0000-000033010000}"/>
    <cellStyle name="Normal 16" xfId="73" xr:uid="{00000000-0005-0000-0000-000034010000}"/>
    <cellStyle name="Normal 16 2" xfId="283" xr:uid="{00000000-0005-0000-0000-000035010000}"/>
    <cellStyle name="Normal 16_BDC post TB" xfId="435" xr:uid="{00000000-0005-0000-0000-000036010000}"/>
    <cellStyle name="Normal 17" xfId="74" xr:uid="{00000000-0005-0000-0000-000037010000}"/>
    <cellStyle name="Normal 17 2" xfId="75" xr:uid="{00000000-0005-0000-0000-000038010000}"/>
    <cellStyle name="Normal 17 2 2" xfId="285" xr:uid="{00000000-0005-0000-0000-000039010000}"/>
    <cellStyle name="Normal 17 2_BDC post TB" xfId="437" xr:uid="{00000000-0005-0000-0000-00003A010000}"/>
    <cellStyle name="Normal 17 3" xfId="284" xr:uid="{00000000-0005-0000-0000-00003B010000}"/>
    <cellStyle name="Normal 17_BDC post TB" xfId="436" xr:uid="{00000000-0005-0000-0000-00003C010000}"/>
    <cellStyle name="Normal 18" xfId="76" xr:uid="{00000000-0005-0000-0000-00003D010000}"/>
    <cellStyle name="Normal 18 2" xfId="286" xr:uid="{00000000-0005-0000-0000-00003E010000}"/>
    <cellStyle name="Normal 18_BDC post TB" xfId="438" xr:uid="{00000000-0005-0000-0000-00003F010000}"/>
    <cellStyle name="Normal 19" xfId="77" xr:uid="{00000000-0005-0000-0000-000040010000}"/>
    <cellStyle name="Normal 19 2" xfId="287" xr:uid="{00000000-0005-0000-0000-000041010000}"/>
    <cellStyle name="Normal 19_BDC post TB" xfId="439" xr:uid="{00000000-0005-0000-0000-000042010000}"/>
    <cellStyle name="Normal 2" xfId="78" xr:uid="{00000000-0005-0000-0000-000043010000}"/>
    <cellStyle name="Normal 2 10" xfId="553" xr:uid="{9A8DE933-E64D-49D8-BF57-3C0FE7A2588D}"/>
    <cellStyle name="Normal 2 2" xfId="79" xr:uid="{00000000-0005-0000-0000-000044010000}"/>
    <cellStyle name="Normal 2 2 2" xfId="80" xr:uid="{00000000-0005-0000-0000-000045010000}"/>
    <cellStyle name="Normal 2 2 2 2" xfId="81" xr:uid="{00000000-0005-0000-0000-000046010000}"/>
    <cellStyle name="Normal 2 3" xfId="82" xr:uid="{00000000-0005-0000-0000-000047010000}"/>
    <cellStyle name="Normal 2 3 2" xfId="288" xr:uid="{00000000-0005-0000-0000-000048010000}"/>
    <cellStyle name="Normal 2 3_BDC post TB" xfId="440" xr:uid="{00000000-0005-0000-0000-000049010000}"/>
    <cellStyle name="Normal 2 4" xfId="83" xr:uid="{00000000-0005-0000-0000-00004A010000}"/>
    <cellStyle name="Normal 2 4 2" xfId="289" xr:uid="{00000000-0005-0000-0000-00004B010000}"/>
    <cellStyle name="Normal 2 4_BDC post TB" xfId="441" xr:uid="{00000000-0005-0000-0000-00004C010000}"/>
    <cellStyle name="Normal 2 5" xfId="84" xr:uid="{00000000-0005-0000-0000-00004D010000}"/>
    <cellStyle name="Normal 2 5 2" xfId="290" xr:uid="{00000000-0005-0000-0000-00004E010000}"/>
    <cellStyle name="Normal 2 5_BDC post TB" xfId="442" xr:uid="{00000000-0005-0000-0000-00004F010000}"/>
    <cellStyle name="Normal 2 6" xfId="192" xr:uid="{00000000-0005-0000-0000-000050010000}"/>
    <cellStyle name="Normal 2 6 2" xfId="325" xr:uid="{00000000-0005-0000-0000-000051010000}"/>
    <cellStyle name="Normal 2 6_BDC post TB" xfId="443" xr:uid="{00000000-0005-0000-0000-000052010000}"/>
    <cellStyle name="Normal 2 7" xfId="230" xr:uid="{00000000-0005-0000-0000-000053010000}"/>
    <cellStyle name="Normal 2 7 2" xfId="353" xr:uid="{00000000-0005-0000-0000-000054010000}"/>
    <cellStyle name="Normal 2 7_BDC post TB" xfId="444" xr:uid="{00000000-0005-0000-0000-000055010000}"/>
    <cellStyle name="Normal 2 8" xfId="258" xr:uid="{00000000-0005-0000-0000-000056010000}"/>
    <cellStyle name="Normal 2 8 2" xfId="380" xr:uid="{00000000-0005-0000-0000-000057010000}"/>
    <cellStyle name="Normal 2 8_BDC post TB" xfId="445" xr:uid="{00000000-0005-0000-0000-000058010000}"/>
    <cellStyle name="Normal 2 9" xfId="499" xr:uid="{00000000-0005-0000-0000-000059010000}"/>
    <cellStyle name="Normal 2_PNNT SPV post TB" xfId="473" xr:uid="{00000000-0005-0000-0000-00005A010000}"/>
    <cellStyle name="Normal 20" xfId="85" xr:uid="{00000000-0005-0000-0000-00005B010000}"/>
    <cellStyle name="Normal 21" xfId="86" xr:uid="{00000000-0005-0000-0000-00005C010000}"/>
    <cellStyle name="Normal 21 2" xfId="291" xr:uid="{00000000-0005-0000-0000-00005D010000}"/>
    <cellStyle name="Normal 21_BDC post TB" xfId="446" xr:uid="{00000000-0005-0000-0000-00005E010000}"/>
    <cellStyle name="Normal 22" xfId="87" xr:uid="{00000000-0005-0000-0000-00005F010000}"/>
    <cellStyle name="Normal 22 2" xfId="292" xr:uid="{00000000-0005-0000-0000-000060010000}"/>
    <cellStyle name="Normal 22_BDC post TB" xfId="447" xr:uid="{00000000-0005-0000-0000-000061010000}"/>
    <cellStyle name="Normal 23" xfId="88" xr:uid="{00000000-0005-0000-0000-000062010000}"/>
    <cellStyle name="Normal 23 2" xfId="293" xr:uid="{00000000-0005-0000-0000-000063010000}"/>
    <cellStyle name="Normal 23_BDC post TB" xfId="448" xr:uid="{00000000-0005-0000-0000-000064010000}"/>
    <cellStyle name="Normal 24" xfId="89" xr:uid="{00000000-0005-0000-0000-000065010000}"/>
    <cellStyle name="Normal 24 2" xfId="294" xr:uid="{00000000-0005-0000-0000-000066010000}"/>
    <cellStyle name="Normal 24_BDC post TB" xfId="449" xr:uid="{00000000-0005-0000-0000-000067010000}"/>
    <cellStyle name="Normal 25" xfId="199" xr:uid="{00000000-0005-0000-0000-000068010000}"/>
    <cellStyle name="Normal 25 2" xfId="326" xr:uid="{00000000-0005-0000-0000-000069010000}"/>
    <cellStyle name="Normal 25_BDC post TB" xfId="450" xr:uid="{00000000-0005-0000-0000-00006A010000}"/>
    <cellStyle name="Normal 26" xfId="201" xr:uid="{00000000-0005-0000-0000-00006B010000}"/>
    <cellStyle name="Normal 26 2" xfId="328" xr:uid="{00000000-0005-0000-0000-00006C010000}"/>
    <cellStyle name="Normal 26_BDC post TB" xfId="451" xr:uid="{00000000-0005-0000-0000-00006D010000}"/>
    <cellStyle name="Normal 27" xfId="203" xr:uid="{00000000-0005-0000-0000-00006E010000}"/>
    <cellStyle name="Normal 27 2" xfId="330" xr:uid="{00000000-0005-0000-0000-00006F010000}"/>
    <cellStyle name="Normal 27_BDC post TB" xfId="452" xr:uid="{00000000-0005-0000-0000-000070010000}"/>
    <cellStyle name="Normal 28" xfId="204" xr:uid="{00000000-0005-0000-0000-000071010000}"/>
    <cellStyle name="Normal 28 2" xfId="331" xr:uid="{00000000-0005-0000-0000-000072010000}"/>
    <cellStyle name="Normal 28_BDC post TB" xfId="453" xr:uid="{00000000-0005-0000-0000-000073010000}"/>
    <cellStyle name="Normal 29" xfId="205" xr:uid="{00000000-0005-0000-0000-000074010000}"/>
    <cellStyle name="Normal 29 2" xfId="332" xr:uid="{00000000-0005-0000-0000-000075010000}"/>
    <cellStyle name="Normal 29_BDC post TB" xfId="454" xr:uid="{00000000-0005-0000-0000-000076010000}"/>
    <cellStyle name="Normal 3" xfId="90" xr:uid="{00000000-0005-0000-0000-000077010000}"/>
    <cellStyle name="Normal 3 2" xfId="91" xr:uid="{00000000-0005-0000-0000-000078010000}"/>
    <cellStyle name="Normal 3 3" xfId="92" xr:uid="{00000000-0005-0000-0000-000079010000}"/>
    <cellStyle name="Normal 3 3 2" xfId="295" xr:uid="{00000000-0005-0000-0000-00007A010000}"/>
    <cellStyle name="Normal 3 3_BDC post TB" xfId="455" xr:uid="{00000000-0005-0000-0000-00007B010000}"/>
    <cellStyle name="Normal 30" xfId="206" xr:uid="{00000000-0005-0000-0000-00007C010000}"/>
    <cellStyle name="Normal 30 2" xfId="333" xr:uid="{00000000-0005-0000-0000-00007D010000}"/>
    <cellStyle name="Normal 30_BDC post TB" xfId="456" xr:uid="{00000000-0005-0000-0000-00007E010000}"/>
    <cellStyle name="Normal 31" xfId="207" xr:uid="{00000000-0005-0000-0000-00007F010000}"/>
    <cellStyle name="Normal 31 2" xfId="334" xr:uid="{00000000-0005-0000-0000-000080010000}"/>
    <cellStyle name="Normal 31_BDC post TB" xfId="457" xr:uid="{00000000-0005-0000-0000-000081010000}"/>
    <cellStyle name="Normal 32" xfId="232" xr:uid="{00000000-0005-0000-0000-000082010000}"/>
    <cellStyle name="Normal 32 2" xfId="355" xr:uid="{00000000-0005-0000-0000-000083010000}"/>
    <cellStyle name="Normal 32_BDC post TB" xfId="458" xr:uid="{00000000-0005-0000-0000-000084010000}"/>
    <cellStyle name="Normal 33" xfId="233" xr:uid="{00000000-0005-0000-0000-000085010000}"/>
    <cellStyle name="Normal 33 2" xfId="356" xr:uid="{00000000-0005-0000-0000-000086010000}"/>
    <cellStyle name="Normal 33_BDC post TB" xfId="459" xr:uid="{00000000-0005-0000-0000-000087010000}"/>
    <cellStyle name="Normal 34" xfId="234" xr:uid="{00000000-0005-0000-0000-000088010000}"/>
    <cellStyle name="Normal 34 2" xfId="357" xr:uid="{00000000-0005-0000-0000-000089010000}"/>
    <cellStyle name="Normal 34_BDC post TB" xfId="460" xr:uid="{00000000-0005-0000-0000-00008A010000}"/>
    <cellStyle name="Normal 35" xfId="235" xr:uid="{00000000-0005-0000-0000-00008B010000}"/>
    <cellStyle name="Normal 35 2" xfId="358" xr:uid="{00000000-0005-0000-0000-00008C010000}"/>
    <cellStyle name="Normal 35_BDC post TB" xfId="461" xr:uid="{00000000-0005-0000-0000-00008D010000}"/>
    <cellStyle name="Normal 36" xfId="236" xr:uid="{00000000-0005-0000-0000-00008E010000}"/>
    <cellStyle name="Normal 36 2" xfId="359" xr:uid="{00000000-0005-0000-0000-00008F010000}"/>
    <cellStyle name="Normal 36_BDC post TB" xfId="462" xr:uid="{00000000-0005-0000-0000-000090010000}"/>
    <cellStyle name="Normal 37" xfId="237" xr:uid="{00000000-0005-0000-0000-000091010000}"/>
    <cellStyle name="Normal 37 2" xfId="360" xr:uid="{00000000-0005-0000-0000-000092010000}"/>
    <cellStyle name="Normal 37_BDC post TB" xfId="463" xr:uid="{00000000-0005-0000-0000-000093010000}"/>
    <cellStyle name="Normal 38" xfId="238" xr:uid="{00000000-0005-0000-0000-000094010000}"/>
    <cellStyle name="Normal 38 2" xfId="361" xr:uid="{00000000-0005-0000-0000-000095010000}"/>
    <cellStyle name="Normal 38_BDC post TB" xfId="464" xr:uid="{00000000-0005-0000-0000-000096010000}"/>
    <cellStyle name="Normal 39" xfId="239" xr:uid="{00000000-0005-0000-0000-000097010000}"/>
    <cellStyle name="Normal 4" xfId="93" xr:uid="{00000000-0005-0000-0000-000098010000}"/>
    <cellStyle name="Normal 4 2" xfId="296" xr:uid="{00000000-0005-0000-0000-000099010000}"/>
    <cellStyle name="Normal 4_BDC post TB" xfId="465" xr:uid="{00000000-0005-0000-0000-00009A010000}"/>
    <cellStyle name="Normal 40" xfId="260" xr:uid="{00000000-0005-0000-0000-00009B010000}"/>
    <cellStyle name="Normal 40 2" xfId="382" xr:uid="{00000000-0005-0000-0000-00009C010000}"/>
    <cellStyle name="Normal 40_BDC post TB" xfId="466" xr:uid="{00000000-0005-0000-0000-00009D010000}"/>
    <cellStyle name="Normal 41" xfId="261" xr:uid="{00000000-0005-0000-0000-00009E010000}"/>
    <cellStyle name="Normal 41 2" xfId="383" xr:uid="{00000000-0005-0000-0000-00009F010000}"/>
    <cellStyle name="Normal 41_BDC post TB" xfId="467" xr:uid="{00000000-0005-0000-0000-0000A0010000}"/>
    <cellStyle name="Normal 42" xfId="469" xr:uid="{00000000-0005-0000-0000-0000A1010000}"/>
    <cellStyle name="Normal 43" xfId="471" xr:uid="{00000000-0005-0000-0000-0000A2010000}"/>
    <cellStyle name="Normal 44" xfId="589" xr:uid="{249C3D42-ECA5-4908-B159-1F21F20A644A}"/>
    <cellStyle name="Normal 45" xfId="611" xr:uid="{7DE4AB61-9D78-4CF1-852B-243E96BF4A47}"/>
    <cellStyle name="Normal 46" xfId="613" xr:uid="{C34AC97C-7382-4981-A5D6-60372456E5DF}"/>
    <cellStyle name="Normal 47" xfId="633" xr:uid="{1377DE54-E213-4696-8AFC-EE2C526CA810}"/>
    <cellStyle name="Normal 5" xfId="94" xr:uid="{00000000-0005-0000-0000-0000A3010000}"/>
    <cellStyle name="Normal 6" xfId="95" xr:uid="{00000000-0005-0000-0000-0000A4010000}"/>
    <cellStyle name="Normal 6 2 3" xfId="96" xr:uid="{00000000-0005-0000-0000-0000A5010000}"/>
    <cellStyle name="Normal 6 2 3 2" xfId="297" xr:uid="{00000000-0005-0000-0000-0000A6010000}"/>
    <cellStyle name="Normal 6 2 3_BDC post TB" xfId="468" xr:uid="{00000000-0005-0000-0000-0000A7010000}"/>
    <cellStyle name="Normal 7" xfId="97" xr:uid="{00000000-0005-0000-0000-0000A8010000}"/>
    <cellStyle name="Normal 8" xfId="98" xr:uid="{00000000-0005-0000-0000-0000A9010000}"/>
    <cellStyle name="Normal 9" xfId="99" xr:uid="{00000000-0005-0000-0000-0000AA010000}"/>
    <cellStyle name="Normal_BDC" xfId="100" xr:uid="{00000000-0005-0000-0000-0000AB010000}"/>
    <cellStyle name="Normal_BDC post TB" xfId="477" xr:uid="{00000000-0005-0000-0000-0000AC010000}"/>
    <cellStyle name="Normal_BDC post TB_1" xfId="476" xr:uid="{00000000-0005-0000-0000-0000AD010000}"/>
    <cellStyle name="Normal_BDC post TB_1_BDC post TB" xfId="478" xr:uid="{00000000-0005-0000-0000-0000AE010000}"/>
    <cellStyle name="Normal_BDC post TB_2" xfId="586" xr:uid="{FFEB5BF5-8CCF-495B-89F0-FFBBC9686D16}"/>
    <cellStyle name="Normal_BDC post TB_4" xfId="656" xr:uid="{44AAF79A-C49A-4906-89C5-3459585BC6CB}"/>
    <cellStyle name="Normal_BDC post TB_5" xfId="587" xr:uid="{B59F481F-F559-4E87-9A75-AA6E862941ED}"/>
    <cellStyle name="Normal_Month End" xfId="584" xr:uid="{D691C149-40B4-4F32-A1F6-D4E290BC71B7}"/>
    <cellStyle name="Normal_Month End_2" xfId="585" xr:uid="{F3D32012-6A4A-4345-83B9-329F78FEBB9D}"/>
    <cellStyle name="Normal_PNNT SPV" xfId="479" xr:uid="{00000000-0005-0000-0000-0000B1010000}"/>
    <cellStyle name="Normal_PNNT SPV post TB" xfId="475" xr:uid="{00000000-0005-0000-0000-0000B2010000}"/>
    <cellStyle name="Normal_PNNT SPV post TB_1" xfId="480" xr:uid="{00000000-0005-0000-0000-0000B3010000}"/>
    <cellStyle name="Normal_Rec-Pay-Month End" xfId="653" xr:uid="{824E07EF-DA6B-4F54-B55B-2CF7B10E7BB1}"/>
    <cellStyle name="Normal_Rec-Pay-Month End_2" xfId="654" xr:uid="{E4964347-13D7-47C9-98B6-BA7219B2A0C4}"/>
    <cellStyle name="Normal_SBICII post TB" xfId="503" xr:uid="{69316537-97E6-4B43-AAAC-4CAA8878D814}"/>
    <cellStyle name="Normal_SBICII post TB_1" xfId="501" xr:uid="{D3A6157C-A647-4926-BB15-24C8C9753ABD}"/>
    <cellStyle name="Normal_SBICII post TB_2" xfId="502" xr:uid="{EFCF6F53-C639-4BC2-B205-B9FD503F938E}"/>
    <cellStyle name="Normal_SBICII post TB_3" xfId="505" xr:uid="{567B5909-6B61-49EB-AD96-10CC3BB704E0}"/>
    <cellStyle name="Normal_SBICII post TB_4" xfId="504" xr:uid="{B7122983-9953-4B5B-A535-37875D051476}"/>
    <cellStyle name="Normal_SBICII post TB_5" xfId="507" xr:uid="{7B8FB6C2-2872-4C2B-8CE7-34614C3986A8}"/>
    <cellStyle name="Normal_SBICII post TB_6" xfId="506" xr:uid="{A186BE3D-DAD2-4314-9155-25AD13FAD0D8}"/>
    <cellStyle name="Normal_TB_3" xfId="655" xr:uid="{7B54A2F1-19D2-4DDE-8E92-C2F0C0CB772D}"/>
    <cellStyle name="Note" xfId="101" builtinId="10" customBuiltin="1"/>
    <cellStyle name="Note 2" xfId="194" xr:uid="{00000000-0005-0000-0000-0000B6010000}"/>
    <cellStyle name="Note 2 2" xfId="554" xr:uid="{F26D62EB-4739-4A51-834A-E7D72497454B}"/>
    <cellStyle name="Note 3" xfId="193" xr:uid="{00000000-0005-0000-0000-0000B7010000}"/>
    <cellStyle name="Note 3 2" xfId="231" xr:uid="{00000000-0005-0000-0000-0000B8010000}"/>
    <cellStyle name="Note 3 2 2" xfId="354" xr:uid="{00000000-0005-0000-0000-0000B9010000}"/>
    <cellStyle name="Note 3 3" xfId="259" xr:uid="{00000000-0005-0000-0000-0000BA010000}"/>
    <cellStyle name="Note 3 3 2" xfId="381" xr:uid="{00000000-0005-0000-0000-0000BB010000}"/>
    <cellStyle name="Note 3 4" xfId="500" xr:uid="{00000000-0005-0000-0000-0000BC010000}"/>
    <cellStyle name="Note 3_PNNT SPV post TB" xfId="474" xr:uid="{00000000-0005-0000-0000-0000BD010000}"/>
    <cellStyle name="Note 4" xfId="592" xr:uid="{5323F942-37B4-4DE9-8FD2-80D0801F546D}"/>
    <cellStyle name="Note 5" xfId="614" xr:uid="{10C0F9F8-A3A1-421D-AF0E-C07AD01B7B94}"/>
    <cellStyle name="Note 6" xfId="612" xr:uid="{62E49333-4964-4BB2-9A50-858A3203363E}"/>
    <cellStyle name="Note 7" xfId="634" xr:uid="{7E823116-5DE6-46F0-8F6C-D3C5E8367F28}"/>
    <cellStyle name="Output" xfId="102" builtinId="21" customBuiltin="1"/>
    <cellStyle name="Output 2" xfId="195" xr:uid="{00000000-0005-0000-0000-0000BF010000}"/>
    <cellStyle name="Page Heading Large" xfId="103" xr:uid="{00000000-0005-0000-0000-0000C0010000}"/>
    <cellStyle name="Page Heading Small" xfId="104" xr:uid="{00000000-0005-0000-0000-0000C1010000}"/>
    <cellStyle name="Per cent" xfId="105" builtinId="5"/>
    <cellStyle name="Percent (0)" xfId="106" xr:uid="{00000000-0005-0000-0000-0000C3010000}"/>
    <cellStyle name="Percent (0) 2" xfId="298" xr:uid="{00000000-0005-0000-0000-0000C4010000}"/>
    <cellStyle name="Percent 10" xfId="107" xr:uid="{00000000-0005-0000-0000-0000C5010000}"/>
    <cellStyle name="Percent 11" xfId="108" xr:uid="{00000000-0005-0000-0000-0000C6010000}"/>
    <cellStyle name="Percent 12" xfId="109" xr:uid="{00000000-0005-0000-0000-0000C7010000}"/>
    <cellStyle name="Percent 13" xfId="110" xr:uid="{00000000-0005-0000-0000-0000C8010000}"/>
    <cellStyle name="Percent 14" xfId="111" xr:uid="{00000000-0005-0000-0000-0000C9010000}"/>
    <cellStyle name="Percent 14 2" xfId="299" xr:uid="{00000000-0005-0000-0000-0000CA010000}"/>
    <cellStyle name="Percent 15" xfId="112" xr:uid="{00000000-0005-0000-0000-0000CB010000}"/>
    <cellStyle name="Percent 15 2" xfId="300" xr:uid="{00000000-0005-0000-0000-0000CC010000}"/>
    <cellStyle name="Percent 16" xfId="113" xr:uid="{00000000-0005-0000-0000-0000CD010000}"/>
    <cellStyle name="Percent 16 2" xfId="301" xr:uid="{00000000-0005-0000-0000-0000CE010000}"/>
    <cellStyle name="Percent 17" xfId="114" xr:uid="{00000000-0005-0000-0000-0000CF010000}"/>
    <cellStyle name="Percent 17 2" xfId="302" xr:uid="{00000000-0005-0000-0000-0000D0010000}"/>
    <cellStyle name="Percent 2" xfId="115" xr:uid="{00000000-0005-0000-0000-0000D1010000}"/>
    <cellStyle name="Percent 2 2" xfId="116" xr:uid="{00000000-0005-0000-0000-0000D2010000}"/>
    <cellStyle name="Percent 2 2 2" xfId="304" xr:uid="{00000000-0005-0000-0000-0000D3010000}"/>
    <cellStyle name="Percent 2 3" xfId="303" xr:uid="{00000000-0005-0000-0000-0000D4010000}"/>
    <cellStyle name="Percent 3" xfId="117" xr:uid="{00000000-0005-0000-0000-0000D5010000}"/>
    <cellStyle name="Percent 3 2" xfId="118" xr:uid="{00000000-0005-0000-0000-0000D6010000}"/>
    <cellStyle name="Percent 3 2 2" xfId="306" xr:uid="{00000000-0005-0000-0000-0000D7010000}"/>
    <cellStyle name="Percent 3 3" xfId="305" xr:uid="{00000000-0005-0000-0000-0000D8010000}"/>
    <cellStyle name="Percent 4" xfId="119" xr:uid="{00000000-0005-0000-0000-0000D9010000}"/>
    <cellStyle name="Percent 5" xfId="120" xr:uid="{00000000-0005-0000-0000-0000DA010000}"/>
    <cellStyle name="Percent 5 2" xfId="307" xr:uid="{00000000-0005-0000-0000-0000DB010000}"/>
    <cellStyle name="Percent 6" xfId="121" xr:uid="{00000000-0005-0000-0000-0000DC010000}"/>
    <cellStyle name="Percent 6 2" xfId="308" xr:uid="{00000000-0005-0000-0000-0000DD010000}"/>
    <cellStyle name="Percent 7" xfId="122" xr:uid="{00000000-0005-0000-0000-0000DE010000}"/>
    <cellStyle name="Percent 7 2" xfId="309" xr:uid="{00000000-0005-0000-0000-0000DF010000}"/>
    <cellStyle name="Percent 8" xfId="123" xr:uid="{00000000-0005-0000-0000-0000E0010000}"/>
    <cellStyle name="Percent 8 2" xfId="310" xr:uid="{00000000-0005-0000-0000-0000E1010000}"/>
    <cellStyle name="Percent 9" xfId="124" xr:uid="{00000000-0005-0000-0000-0000E2010000}"/>
    <cellStyle name="Percent 9 2" xfId="311" xr:uid="{00000000-0005-0000-0000-0000E3010000}"/>
    <cellStyle name="Percent Hard" xfId="125" xr:uid="{00000000-0005-0000-0000-0000E4010000}"/>
    <cellStyle name="PSChar" xfId="126" xr:uid="{00000000-0005-0000-0000-0000E5010000}"/>
    <cellStyle name="PSDate" xfId="127" xr:uid="{00000000-0005-0000-0000-0000E6010000}"/>
    <cellStyle name="PSDec" xfId="128" xr:uid="{00000000-0005-0000-0000-0000E7010000}"/>
    <cellStyle name="PSHeading" xfId="129" xr:uid="{00000000-0005-0000-0000-0000E8010000}"/>
    <cellStyle name="PSSpacer" xfId="130" xr:uid="{00000000-0005-0000-0000-0000E9010000}"/>
    <cellStyle name="Shaded" xfId="131" xr:uid="{00000000-0005-0000-0000-0000EA010000}"/>
    <cellStyle name="Style 1" xfId="132" xr:uid="{00000000-0005-0000-0000-0000EB010000}"/>
    <cellStyle name="Style 1 2" xfId="555" xr:uid="{9AB5F3FE-1985-48B6-94A0-66050377E98C}"/>
    <cellStyle name="Style 2" xfId="556" xr:uid="{0E831714-D720-47C6-A4E6-E705BC93F989}"/>
    <cellStyle name="Table Col Head" xfId="133" xr:uid="{00000000-0005-0000-0000-0000EC010000}"/>
    <cellStyle name="Table Sub Head" xfId="134" xr:uid="{00000000-0005-0000-0000-0000ED010000}"/>
    <cellStyle name="Table Title" xfId="135" xr:uid="{00000000-0005-0000-0000-0000EE010000}"/>
    <cellStyle name="Table Units" xfId="136" xr:uid="{00000000-0005-0000-0000-0000EF010000}"/>
    <cellStyle name="Tickmark" xfId="137" xr:uid="{00000000-0005-0000-0000-0000F0010000}"/>
    <cellStyle name="Title" xfId="138" builtinId="15" customBuiltin="1"/>
    <cellStyle name="Title 2" xfId="196" xr:uid="{00000000-0005-0000-0000-0000F2010000}"/>
    <cellStyle name="Title 3" xfId="590" xr:uid="{07285657-088D-401E-B56C-A505BA35C572}"/>
    <cellStyle name="Total" xfId="139" builtinId="25" customBuiltin="1"/>
    <cellStyle name="Total 2" xfId="197" xr:uid="{00000000-0005-0000-0000-0000F4010000}"/>
    <cellStyle name="Warning Text" xfId="140" builtinId="11" customBuiltin="1"/>
    <cellStyle name="Warning Text 2" xfId="198" xr:uid="{00000000-0005-0000-0000-0000F6010000}"/>
    <cellStyle name="Year" xfId="141" xr:uid="{00000000-0005-0000-0000-0000F7010000}"/>
    <cellStyle name="Ԁ༃׿吀椀" xfId="557" xr:uid="{4EB6B8DC-208B-487D-801E-EDAD749326F9}"/>
    <cellStyle name="Ԁ㔂ჿ䔀" xfId="558" xr:uid="{AC502C2F-FD26-41BB-8E95-8C9C7678B97B}"/>
    <cellStyle name="⁧Աᨁӿ䜀漀漀搀" xfId="559" xr:uid="{6126A4A9-B5C2-4368-82CE-4D3C4DF0BCCA}"/>
    <cellStyle name="⁧Բဃ৿䠀攀愀搀椀" xfId="560" xr:uid="{1972630B-E6B7-4558-A080-74FAB4F31108}"/>
    <cellStyle name="⁧Գᄃ৿䠀攀愀搀椀" xfId="561" xr:uid="{B348DE36-E10D-485A-987F-07FE73B7BA7B}"/>
    <cellStyle name="⁧Դሃ৿䠀攀愀搀椀" xfId="562" xr:uid="{CDBBA24F-F764-4BB8-BA21-6189481F4E02}"/>
    <cellStyle name="捬汵瑡潩᭮Ͽ䈀愀搀" xfId="563" xr:uid="{6F0732B1-E338-48B4-9F95-AFFCD59908F3}"/>
    <cellStyle name="摥䌠汥ᑬ׿䤀渀瀀甀琀" xfId="564" xr:uid="{BCC3CE3D-847B-443F-BAAF-F12DB2FDC996}"/>
    <cellStyle name="散瑮1Ԁ㐄෿㘀" xfId="565" xr:uid="{64C29729-6EDE-4ACE-B90A-6E9E1661D136}"/>
    <cellStyle name="散瑮2Ԁᴄ߿䄀" xfId="566" xr:uid="{652372DF-7F9D-4A20-A1DB-B9E338D6E830}"/>
    <cellStyle name="散瑮3Ԁ℄߿䄀" xfId="567" xr:uid="{ED15B1AE-7785-4B10-BD70-21D6C2C93F69}"/>
    <cellStyle name="散瑮4Ԁ┄߿䄀" xfId="568" xr:uid="{1BFBF9C6-02AC-4802-8048-ECDE908B43EE}"/>
    <cellStyle name="散瑮5Ԁ⤄߿䄀" xfId="569" xr:uid="{15E3F605-1CF1-4F4C-AB2A-16A8431DCBEC}"/>
    <cellStyle name="散瑮6Ԁⴄ߿䄀" xfId="570" xr:uid="{02248B14-0C27-4C8C-A7CC-52634B41FE8F}"/>
    <cellStyle name="湲湩⁧敔瑸׿吀漀琀愀氀" xfId="571" xr:uid="{BC1A7124-ABC3-494D-AB33-0FD7303011CD}"/>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M85"/>
  <sheetViews>
    <sheetView zoomScaleNormal="100" workbookViewId="0">
      <selection activeCell="D60" sqref="D60"/>
    </sheetView>
  </sheetViews>
  <sheetFormatPr defaultColWidth="9.28515625" defaultRowHeight="12.75"/>
  <cols>
    <col min="1" max="1" width="9.28515625" style="24"/>
    <col min="2" max="2" width="44.28515625" style="10" bestFit="1" customWidth="1"/>
    <col min="3" max="3" width="2.140625" style="10" customWidth="1"/>
    <col min="4" max="4" width="16.7109375" style="12" bestFit="1" customWidth="1"/>
    <col min="5" max="5" width="3" style="10" customWidth="1"/>
    <col min="6" max="6" width="16.7109375" style="12" bestFit="1" customWidth="1"/>
    <col min="7" max="7" width="3" style="10" customWidth="1"/>
    <col min="8" max="8" width="14.7109375" style="10" bestFit="1" customWidth="1"/>
    <col min="9" max="9" width="16.5703125" style="10" bestFit="1" customWidth="1"/>
    <col min="10" max="10" width="13.5703125" style="10" bestFit="1" customWidth="1"/>
    <col min="11" max="11" width="11.28515625" style="10" bestFit="1" customWidth="1"/>
    <col min="12" max="12" width="14.28515625" style="10" bestFit="1" customWidth="1"/>
    <col min="13" max="13" width="12.5703125" style="10" bestFit="1" customWidth="1"/>
    <col min="14" max="16384" width="9.28515625" style="10"/>
  </cols>
  <sheetData>
    <row r="1" spans="1:13">
      <c r="B1" s="154" t="s">
        <v>0</v>
      </c>
      <c r="C1" s="154"/>
      <c r="D1" s="154"/>
      <c r="E1" s="154"/>
      <c r="F1" s="154"/>
      <c r="G1" s="154"/>
    </row>
    <row r="2" spans="1:13">
      <c r="B2" s="154" t="s">
        <v>1</v>
      </c>
      <c r="C2" s="154"/>
      <c r="D2" s="154"/>
      <c r="E2" s="154"/>
      <c r="F2" s="154"/>
      <c r="G2" s="154"/>
    </row>
    <row r="3" spans="1:13">
      <c r="B3" s="155" t="str">
        <f>'BDC post TB'!D6</f>
        <v>01/31/2026:23:59:59</v>
      </c>
      <c r="C3" s="155"/>
      <c r="D3" s="155"/>
      <c r="E3" s="155"/>
      <c r="F3" s="155"/>
      <c r="G3" s="155"/>
    </row>
    <row r="4" spans="1:13">
      <c r="B4" s="65" t="s">
        <v>2</v>
      </c>
    </row>
    <row r="5" spans="1:13">
      <c r="D5" s="28" t="s">
        <v>3</v>
      </c>
      <c r="F5" s="28" t="s">
        <v>4</v>
      </c>
    </row>
    <row r="6" spans="1:13">
      <c r="B6" s="5" t="s">
        <v>5</v>
      </c>
      <c r="D6" s="27" t="s">
        <v>6</v>
      </c>
      <c r="F6" s="27" t="s">
        <v>6</v>
      </c>
      <c r="M6" s="11"/>
    </row>
    <row r="7" spans="1:13">
      <c r="A7" s="24" t="s">
        <v>7</v>
      </c>
      <c r="B7" s="6" t="s">
        <v>8</v>
      </c>
      <c r="D7" s="7">
        <f>SUMIF(Summary!O:O,'Balance Sheet'!A7,Summary!N:N)</f>
        <v>960557429.15999997</v>
      </c>
      <c r="F7" s="7">
        <f>SUMIF(Summary!O:O,'Balance Sheet'!A7,Summary!N:N)</f>
        <v>960557429.15999997</v>
      </c>
      <c r="M7" s="11"/>
    </row>
    <row r="8" spans="1:13">
      <c r="A8" s="24" t="s">
        <v>9</v>
      </c>
      <c r="B8" s="6" t="s">
        <v>10</v>
      </c>
      <c r="D8" s="7">
        <f>SUMIF(Summary!O:O,'Balance Sheet'!A8,Summary!N:N)</f>
        <v>17258028.41</v>
      </c>
      <c r="F8" s="7">
        <f>SUMIF(Summary!O:O,'Balance Sheet'!A8,Summary!N:N)</f>
        <v>17258028.41</v>
      </c>
      <c r="I8" s="102">
        <f>D8+D9-(SUMIF('BDC post TB'!D:D,J8,'BDC post TB'!J:J)+SUMIF('SBICII post TB (closed)'!D:D,J8,'SBICII post TB (closed)'!J:J)+SUMIF('BDC post TB'!E:E,K8,'BDC post TB'!J:J)+SUMIF('SBICII post TB (closed)'!E:E,K8,'SBICII post TB (closed)'!J:J))</f>
        <v>0</v>
      </c>
      <c r="J8" s="101" t="s">
        <v>11</v>
      </c>
      <c r="K8" s="101" t="s">
        <v>12</v>
      </c>
      <c r="M8" s="11"/>
    </row>
    <row r="9" spans="1:13">
      <c r="A9" s="24" t="s">
        <v>13</v>
      </c>
      <c r="B9" s="6" t="s">
        <v>14</v>
      </c>
      <c r="D9" s="7">
        <f>SUMIF(Summary!O:O,'Balance Sheet'!A9,Summary!N:N)</f>
        <v>30530529.359999999</v>
      </c>
      <c r="F9" s="7">
        <f>SUMIF(Summary!O:O,'Balance Sheet'!A9,Summary!N:N)</f>
        <v>30530529.359999999</v>
      </c>
      <c r="I9" s="102"/>
      <c r="J9" s="101"/>
      <c r="K9" s="101"/>
      <c r="M9" s="11"/>
    </row>
    <row r="10" spans="1:13">
      <c r="A10" s="24" t="s">
        <v>15</v>
      </c>
      <c r="B10" s="6" t="s">
        <v>16</v>
      </c>
      <c r="D10" s="7">
        <f>SUMIF(Summary!O:O,'Balance Sheet'!A10,Summary!N:N)</f>
        <v>9324098.6199999992</v>
      </c>
      <c r="E10" s="11"/>
      <c r="F10" s="7">
        <f>SUMIF(Summary!O:O,'Balance Sheet'!A10,Summary!N:N)</f>
        <v>9324098.6199999992</v>
      </c>
      <c r="G10" s="11"/>
      <c r="H10" s="11"/>
      <c r="I10" s="11"/>
      <c r="M10" s="11"/>
    </row>
    <row r="11" spans="1:13">
      <c r="A11" s="24" t="s">
        <v>17</v>
      </c>
      <c r="B11" s="6" t="s">
        <v>18</v>
      </c>
      <c r="D11" s="7">
        <f>SUMIF(Summary!O:O,'Balance Sheet'!A11,Summary!N:N)</f>
        <v>73832135.959999993</v>
      </c>
      <c r="E11" s="11"/>
      <c r="F11" s="7">
        <f>D11</f>
        <v>73832135.959999993</v>
      </c>
      <c r="G11" s="11"/>
      <c r="H11" s="11"/>
      <c r="I11" s="71">
        <f>D11-'Rec-Pay-Month End'!M49</f>
        <v>0</v>
      </c>
      <c r="M11" s="11"/>
    </row>
    <row r="12" spans="1:13">
      <c r="A12" s="24" t="s">
        <v>19</v>
      </c>
      <c r="B12" s="6" t="s">
        <v>20</v>
      </c>
      <c r="D12" s="7">
        <f>SUMIF(Summary!O:O,'Balance Sheet'!A12,Summary!N:N)</f>
        <v>230769</v>
      </c>
      <c r="E12" s="11"/>
      <c r="F12" s="7">
        <f>SUMIF(Summary!O:O,'Balance Sheet'!A12,Summary!N:N)</f>
        <v>230769</v>
      </c>
      <c r="G12" s="11"/>
      <c r="H12" s="11"/>
      <c r="M12" s="11"/>
    </row>
    <row r="13" spans="1:13">
      <c r="A13" s="24" t="s">
        <v>21</v>
      </c>
      <c r="B13" s="6" t="s">
        <v>22</v>
      </c>
      <c r="D13" s="7">
        <f>SUMIF(Summary!O:O,'Balance Sheet'!A13,Summary!N:N)</f>
        <v>81285.149999999994</v>
      </c>
      <c r="E13" s="11"/>
      <c r="F13" s="7">
        <f>SUMIF(Summary!O:O,'Balance Sheet'!A13,Summary!N:N)</f>
        <v>81285.149999999994</v>
      </c>
      <c r="G13" s="11"/>
      <c r="H13" s="11"/>
      <c r="M13" s="11"/>
    </row>
    <row r="14" spans="1:13" ht="13.5" thickBot="1">
      <c r="A14" s="24" t="s">
        <v>23</v>
      </c>
      <c r="B14" s="6" t="s">
        <v>24</v>
      </c>
      <c r="D14" s="7">
        <f>SUMIF(Summary!O:O,'Balance Sheet'!A14,Summary!N:N)</f>
        <v>322349.90000000002</v>
      </c>
      <c r="F14" s="7">
        <f>SUMIF(Summary!O:O,'Balance Sheet'!A14,Summary!N:N)</f>
        <v>322349.90000000002</v>
      </c>
      <c r="M14" s="11"/>
    </row>
    <row r="15" spans="1:13" ht="13.5" thickBot="1">
      <c r="B15" s="33" t="s">
        <v>25</v>
      </c>
      <c r="D15" s="78">
        <f>SUM(D6:D14)</f>
        <v>1092136625.5600002</v>
      </c>
      <c r="E15" s="11"/>
      <c r="F15" s="8">
        <f>SUM(F6:F14)</f>
        <v>1092136625.5600002</v>
      </c>
      <c r="G15" s="11"/>
      <c r="H15" s="11"/>
      <c r="M15" s="11"/>
    </row>
    <row r="16" spans="1:13" ht="13.5" thickTop="1">
      <c r="D16" s="13"/>
      <c r="F16" s="13"/>
      <c r="M16" s="11"/>
    </row>
    <row r="17" spans="1:13">
      <c r="B17" s="5" t="s">
        <v>26</v>
      </c>
      <c r="D17" s="7"/>
      <c r="F17" s="7"/>
      <c r="H17" s="71"/>
      <c r="M17" s="11"/>
    </row>
    <row r="18" spans="1:13">
      <c r="A18" s="24" t="s">
        <v>27</v>
      </c>
      <c r="B18" s="6" t="s">
        <v>28</v>
      </c>
      <c r="D18" s="7">
        <f>-SUMIF(Summary!O:O,'Balance Sheet'!A18,Summary!N:N)</f>
        <v>5223687.5199999996</v>
      </c>
      <c r="F18" s="7">
        <f>-SUMIF(Summary!O:O,'Balance Sheet'!A18,Summary!N:N)</f>
        <v>5223687.5199999996</v>
      </c>
      <c r="M18" s="11"/>
    </row>
    <row r="19" spans="1:13">
      <c r="A19" s="24" t="s">
        <v>29</v>
      </c>
      <c r="B19" s="6" t="s">
        <v>30</v>
      </c>
      <c r="D19" s="7">
        <f>-SUMIF(Summary!O:O,'Balance Sheet'!A19,Summary!N:N)+'Rec-Pay-Month End'!M69</f>
        <v>4900000</v>
      </c>
      <c r="F19" s="7">
        <f>D19</f>
        <v>4900000</v>
      </c>
      <c r="H19" s="11"/>
      <c r="I19" s="71">
        <f>D19+'Rec-Pay-Month End'!M59</f>
        <v>0</v>
      </c>
      <c r="M19" s="11"/>
    </row>
    <row r="20" spans="1:13">
      <c r="A20" s="24" t="s">
        <v>31</v>
      </c>
      <c r="B20" s="6" t="s">
        <v>32</v>
      </c>
      <c r="D20" s="7">
        <f>-SUMIF(Summary!O:O,'Balance Sheet'!A20,Summary!N:N)</f>
        <v>0</v>
      </c>
      <c r="F20" s="7">
        <f>-SUMIF(Summary!O:O,'Balance Sheet'!A20,Summary!N:N)</f>
        <v>0</v>
      </c>
      <c r="M20" s="11"/>
    </row>
    <row r="21" spans="1:13">
      <c r="A21" s="24" t="s">
        <v>33</v>
      </c>
      <c r="B21" s="6" t="s">
        <v>34</v>
      </c>
      <c r="D21" s="7">
        <f>-SUMIF(Summary!O:O,'Balance Sheet'!A21,Summary!N:N)</f>
        <v>221468717.75999999</v>
      </c>
      <c r="F21" s="7">
        <f>-SUMIF(Summary!O:O,'Balance Sheet'!A21,Summary!N:N)</f>
        <v>221468717.75999999</v>
      </c>
      <c r="H21" s="71">
        <f>F21+Summary!N20+Summary!N142</f>
        <v>221468717.75999999</v>
      </c>
      <c r="M21" s="11"/>
    </row>
    <row r="22" spans="1:13">
      <c r="A22" s="24" t="s">
        <v>35</v>
      </c>
      <c r="B22" s="6" t="s">
        <v>36</v>
      </c>
      <c r="C22" s="99" t="s">
        <v>37</v>
      </c>
      <c r="D22" s="7">
        <f>-SUMIF(Summary!O:O,'Balance Sheet'!A22,Summary!N:N)+-SUMIF('BDC Long Short'!D:D,'Balance Sheet'!C22,'BDC Long Short'!L:L)</f>
        <v>0</v>
      </c>
      <c r="F22" s="7">
        <f>D22</f>
        <v>0</v>
      </c>
      <c r="H22" s="94">
        <f>-Summary!I28-Summary!I55-Summary!I56-Summary!I57+Summary!N20</f>
        <v>388990830.82999998</v>
      </c>
      <c r="I22" s="11"/>
      <c r="M22" s="11"/>
    </row>
    <row r="23" spans="1:13">
      <c r="A23" s="24" t="s">
        <v>38</v>
      </c>
      <c r="B23" s="6" t="s">
        <v>39</v>
      </c>
      <c r="C23" s="99" t="s">
        <v>40</v>
      </c>
      <c r="D23" s="7">
        <f>-SUMIF(Summary!O:O,'Balance Sheet'!A23,Summary!N:N)+-SUMIF('BDC Long Short'!D:D,'Balance Sheet'!C23,'BDC Long Short'!L:L)</f>
        <v>149773157.94</v>
      </c>
      <c r="F23" s="7">
        <f>D23</f>
        <v>149773157.94</v>
      </c>
      <c r="I23" s="11"/>
      <c r="M23" s="11"/>
    </row>
    <row r="24" spans="1:13">
      <c r="A24" s="24" t="s">
        <v>41</v>
      </c>
      <c r="B24" s="6" t="s">
        <v>42</v>
      </c>
      <c r="C24" s="99" t="s">
        <v>43</v>
      </c>
      <c r="D24" s="7">
        <f>-SUMIF(Summary!O:O,'Balance Sheet'!A24,Summary!N:N)+-SUMIF('BDC Long Short'!D:D,'Balance Sheet'!C24,'BDC Long Short'!L:L)</f>
        <v>164217672.88999999</v>
      </c>
      <c r="F24" s="7">
        <f>D24</f>
        <v>164217672.88999999</v>
      </c>
      <c r="I24" s="11"/>
      <c r="M24" s="11"/>
    </row>
    <row r="25" spans="1:13">
      <c r="A25" s="24" t="s">
        <v>44</v>
      </c>
      <c r="B25" s="6" t="s">
        <v>45</v>
      </c>
      <c r="C25" s="99" t="s">
        <v>46</v>
      </c>
      <c r="D25" s="7">
        <f>-SUMIF(Summary!O:O,'Balance Sheet'!A25,Summary!N:N)+-SUMIF('BDC Long Short'!D:D,'Balance Sheet'!C25,'BDC Long Short'!L:L)</f>
        <v>73607190</v>
      </c>
      <c r="F25" s="7">
        <f>D25</f>
        <v>73607190</v>
      </c>
      <c r="I25" s="11"/>
      <c r="M25" s="11"/>
    </row>
    <row r="26" spans="1:13">
      <c r="A26" s="24" t="s">
        <v>47</v>
      </c>
      <c r="B26" s="6" t="s">
        <v>48</v>
      </c>
      <c r="D26" s="7">
        <f>-SUMIF(Summary!O:O,'Balance Sheet'!A26,Summary!N:N)</f>
        <v>4211755.6000000006</v>
      </c>
      <c r="F26" s="7">
        <f>D26</f>
        <v>4211755.6000000006</v>
      </c>
      <c r="I26" s="11"/>
      <c r="M26" s="11"/>
    </row>
    <row r="27" spans="1:13">
      <c r="A27" s="24" t="s">
        <v>49</v>
      </c>
      <c r="B27" s="6" t="s">
        <v>50</v>
      </c>
      <c r="D27" s="7">
        <f>-SUMIF(Summary!O:O,'Balance Sheet'!A27,Summary!N:N)</f>
        <v>3915499</v>
      </c>
      <c r="F27" s="7">
        <f>-SUMIF(Summary!O:O,'Balance Sheet'!A27,Summary!N:N)</f>
        <v>3915499</v>
      </c>
      <c r="M27" s="11"/>
    </row>
    <row r="28" spans="1:13">
      <c r="A28" s="24" t="s">
        <v>51</v>
      </c>
      <c r="B28" s="6" t="s">
        <v>52</v>
      </c>
      <c r="D28" s="7">
        <f>-SUMIF(Summary!O:O,'Balance Sheet'!A28,Summary!N:N)</f>
        <v>0</v>
      </c>
      <c r="F28" s="7">
        <f>-SUMIF(Summary!O:O,'Balance Sheet'!A28,Summary!N:N)</f>
        <v>0</v>
      </c>
      <c r="M28" s="11"/>
    </row>
    <row r="29" spans="1:13">
      <c r="A29" s="24" t="s">
        <v>53</v>
      </c>
      <c r="B29" s="6" t="s">
        <v>54</v>
      </c>
      <c r="D29" s="7">
        <f>-SUMIF(Summary!O:O,'Balance Sheet'!A29,Summary!N:N)</f>
        <v>0</v>
      </c>
      <c r="F29" s="7">
        <f>D29</f>
        <v>0</v>
      </c>
      <c r="I29" s="11"/>
      <c r="M29" s="11"/>
    </row>
    <row r="30" spans="1:13">
      <c r="A30" s="24" t="s">
        <v>55</v>
      </c>
      <c r="B30" s="6" t="s">
        <v>56</v>
      </c>
      <c r="D30" s="7">
        <f>-SUMIF(Summary!O:O,'Balance Sheet'!A30,Summary!N:N)</f>
        <v>0</v>
      </c>
      <c r="F30" s="7">
        <f>-SUMIF(Summary!O:O,'Balance Sheet'!A30,Summary!N:N)</f>
        <v>0</v>
      </c>
      <c r="I30" s="11"/>
      <c r="M30" s="11"/>
    </row>
    <row r="31" spans="1:13" ht="13.5" thickBot="1">
      <c r="A31" s="24" t="s">
        <v>57</v>
      </c>
      <c r="B31" s="6" t="s">
        <v>58</v>
      </c>
      <c r="D31" s="7">
        <f>-SUMIF(Summary!O:O,'Balance Sheet'!A31,Summary!N:N)</f>
        <v>5559686.3599999994</v>
      </c>
      <c r="F31" s="7">
        <f>-SUMIF(Summary!O:O,'Balance Sheet'!A31,Summary!N:N)</f>
        <v>5559686.3599999994</v>
      </c>
      <c r="M31" s="11"/>
    </row>
    <row r="32" spans="1:13" ht="13.5" thickBot="1">
      <c r="B32" s="33" t="s">
        <v>59</v>
      </c>
      <c r="D32" s="8">
        <f>SUM(D17:D31)</f>
        <v>632877367.07000005</v>
      </c>
      <c r="F32" s="8">
        <f>SUM(F17:F31)</f>
        <v>632877367.07000005</v>
      </c>
      <c r="M32" s="11"/>
    </row>
    <row r="33" spans="1:13" ht="13.5" thickTop="1">
      <c r="D33" s="13"/>
      <c r="F33" s="13"/>
      <c r="I33" s="71"/>
      <c r="J33" s="11"/>
      <c r="M33" s="11"/>
    </row>
    <row r="34" spans="1:13">
      <c r="B34" s="5" t="s">
        <v>60</v>
      </c>
      <c r="D34" s="7"/>
      <c r="F34" s="7"/>
      <c r="M34" s="11"/>
    </row>
    <row r="35" spans="1:13">
      <c r="A35" s="24" t="s">
        <v>61</v>
      </c>
      <c r="B35" s="6" t="s">
        <v>62</v>
      </c>
      <c r="D35" s="7">
        <f>-SUMIF(Summary!O:O,'Balance Sheet'!A35,Summary!N:N)</f>
        <v>65296.14</v>
      </c>
      <c r="F35" s="7">
        <f>-SUMIF(Summary!O:O,'Balance Sheet'!A35,Summary!N:N)</f>
        <v>65296.14</v>
      </c>
      <c r="I35" s="25" t="s">
        <v>63</v>
      </c>
      <c r="M35" s="11"/>
    </row>
    <row r="36" spans="1:13">
      <c r="A36" s="24" t="s">
        <v>64</v>
      </c>
      <c r="B36" s="6" t="s">
        <v>65</v>
      </c>
      <c r="D36" s="7">
        <f>-SUMIF(Summary!O:O,'Balance Sheet'!A36,Summary!N:N)-I36</f>
        <v>740506297.98000002</v>
      </c>
      <c r="E36" s="11"/>
      <c r="F36" s="7">
        <f>-SUMIF(Summary!O:O,'Balance Sheet'!A36,Summary!N:N)-I36</f>
        <v>740506297.98000002</v>
      </c>
      <c r="I36" s="26"/>
      <c r="M36" s="11"/>
    </row>
    <row r="37" spans="1:13">
      <c r="A37" s="24" t="s">
        <v>66</v>
      </c>
      <c r="B37" s="6" t="s">
        <v>67</v>
      </c>
      <c r="D37" s="7">
        <f>-SUMIF(Summary!O:O,'Balance Sheet'!A37,Summary!N:N)+'Income Statement'!G25+'Balance Sheet'!I37</f>
        <v>40800451.000000104</v>
      </c>
      <c r="E37" s="11"/>
      <c r="F37" s="7">
        <f>-SUMIF(Summary!O:O,'Balance Sheet'!A37,Summary!N:N)+'Income Statement'!G25+'Balance Sheet'!I37</f>
        <v>40800451.000000104</v>
      </c>
      <c r="G37" s="11"/>
      <c r="H37" s="11"/>
      <c r="I37" s="26">
        <f>47474252.5600001+3394442</f>
        <v>50868694.560000099</v>
      </c>
      <c r="M37" s="11"/>
    </row>
    <row r="38" spans="1:13">
      <c r="A38" s="24" t="s">
        <v>68</v>
      </c>
      <c r="B38" s="6" t="s">
        <v>69</v>
      </c>
      <c r="D38" s="7">
        <f>+I38+'Income Statement'!G28</f>
        <v>-304491036.25</v>
      </c>
      <c r="F38" s="7">
        <f>+I38+'Income Statement'!G28</f>
        <v>-304491036.25</v>
      </c>
      <c r="G38" s="11"/>
      <c r="H38" s="11"/>
      <c r="I38" s="69">
        <f>-365072732.94+67497</f>
        <v>-365005235.94</v>
      </c>
      <c r="M38" s="11"/>
    </row>
    <row r="39" spans="1:13">
      <c r="B39" s="6" t="s">
        <v>70</v>
      </c>
      <c r="D39" s="7">
        <f>+I39+'Income Statement'!G29</f>
        <v>-8839.890000000014</v>
      </c>
      <c r="F39" s="7">
        <f>+I39+'Income Statement'!G29</f>
        <v>-8839.890000000014</v>
      </c>
      <c r="I39" s="69">
        <v>258362.51</v>
      </c>
      <c r="K39" s="7"/>
      <c r="M39" s="11"/>
    </row>
    <row r="40" spans="1:13">
      <c r="B40" s="6" t="s">
        <v>71</v>
      </c>
      <c r="D40" s="7">
        <f>+I40+'Income Statement'!G30</f>
        <v>-3211181.85</v>
      </c>
      <c r="F40" s="7">
        <f>+I40+'Income Statement'!G30</f>
        <v>-3211181.85</v>
      </c>
      <c r="I40" s="69">
        <v>-3211181.85</v>
      </c>
      <c r="K40" s="7"/>
      <c r="M40" s="11"/>
    </row>
    <row r="41" spans="1:13">
      <c r="A41" s="24" t="s">
        <v>72</v>
      </c>
      <c r="B41" s="6" t="s">
        <v>73</v>
      </c>
      <c r="D41" s="7">
        <f>+I41+'Income Statement'!G33</f>
        <v>-3449916.1700000018</v>
      </c>
      <c r="F41" s="7">
        <f>+I41+'Income Statement'!G33</f>
        <v>-3449916.1700000018</v>
      </c>
      <c r="I41" s="69">
        <v>50415555.159999996</v>
      </c>
      <c r="K41" s="7"/>
      <c r="M41" s="11"/>
    </row>
    <row r="42" spans="1:13">
      <c r="B42" s="6" t="s">
        <v>74</v>
      </c>
      <c r="D42" s="7">
        <f>+I42+'Income Statement'!G36</f>
        <v>0</v>
      </c>
      <c r="F42" s="7">
        <f>+I42+'Income Statement'!G36</f>
        <v>0</v>
      </c>
      <c r="I42" s="69">
        <v>0</v>
      </c>
      <c r="K42" s="7"/>
      <c r="M42" s="11"/>
    </row>
    <row r="43" spans="1:13">
      <c r="B43" s="6" t="s">
        <v>75</v>
      </c>
      <c r="D43" s="7">
        <f>+I43+'Income Statement'!G37</f>
        <v>-10939359</v>
      </c>
      <c r="F43" s="7">
        <f>+I43+'Income Statement'!G37</f>
        <v>-10939359</v>
      </c>
      <c r="I43" s="69">
        <v>-10926504</v>
      </c>
      <c r="K43" s="7"/>
      <c r="M43" s="11"/>
    </row>
    <row r="44" spans="1:13" ht="13.5" thickBot="1">
      <c r="A44" s="24" t="s">
        <v>76</v>
      </c>
      <c r="B44" s="6" t="s">
        <v>77</v>
      </c>
      <c r="D44" s="7">
        <f>+I44+'Income Statement'!G34</f>
        <v>-12453.80999999831</v>
      </c>
      <c r="F44" s="7">
        <f>+I44+'Income Statement'!G34</f>
        <v>-12453.80999999831</v>
      </c>
      <c r="I44" s="70">
        <v>978902.30000000168</v>
      </c>
      <c r="K44" s="7"/>
      <c r="M44" s="11"/>
    </row>
    <row r="45" spans="1:13" ht="13.5" thickBot="1">
      <c r="B45" s="33" t="s">
        <v>78</v>
      </c>
      <c r="D45" s="8">
        <f>SUM(D35:D44)</f>
        <v>459259258.1500001</v>
      </c>
      <c r="F45" s="8">
        <f>SUM(F35:F44)</f>
        <v>459259258.1500001</v>
      </c>
      <c r="I45" s="15"/>
      <c r="K45" s="7"/>
      <c r="M45" s="11"/>
    </row>
    <row r="46" spans="1:13" ht="14.25" thickTop="1" thickBot="1">
      <c r="B46" s="33" t="s">
        <v>79</v>
      </c>
      <c r="D46" s="14">
        <f>+D32+D45</f>
        <v>1092136625.2200003</v>
      </c>
      <c r="F46" s="7">
        <f>+F32+F45</f>
        <v>1092136625.2200003</v>
      </c>
      <c r="I46" s="82">
        <f>+D46-D15</f>
        <v>-0.33999991416931152</v>
      </c>
      <c r="J46" s="82">
        <f>+F15-F46</f>
        <v>0.33999991416931152</v>
      </c>
      <c r="L46" s="11"/>
      <c r="M46" s="11"/>
    </row>
    <row r="47" spans="1:13" ht="13.5" thickTop="1">
      <c r="D47" s="13"/>
      <c r="F47" s="13"/>
      <c r="H47" s="11"/>
      <c r="I47" s="11"/>
      <c r="M47" s="11"/>
    </row>
    <row r="48" spans="1:13">
      <c r="B48" s="5" t="s">
        <v>80</v>
      </c>
      <c r="D48" s="12">
        <f>SUMIF('BDC post TB'!C:C,'Balance Sheet'!B48,'BDC post TB'!D:D)</f>
        <v>65296094</v>
      </c>
      <c r="F48" s="12">
        <f>SUMIF('BDC post TB'!C:C,'Balance Sheet'!B48,'BDC post TB'!D:D)</f>
        <v>65296094</v>
      </c>
      <c r="L48" s="15"/>
      <c r="M48" s="11"/>
    </row>
    <row r="49" spans="1:13">
      <c r="B49" s="5" t="s">
        <v>81</v>
      </c>
      <c r="D49" s="100">
        <f>+D45/D48</f>
        <v>7.0334874571517263</v>
      </c>
      <c r="F49" s="14">
        <f>+F45/F48</f>
        <v>7.0334874571517263</v>
      </c>
      <c r="I49" s="82">
        <f>VLOOKUP(B49,'BDC post TB'!C:D,2,FALSE)-D49</f>
        <v>-3.4874571517260478E-3</v>
      </c>
      <c r="J49" s="82">
        <f>VLOOKUP(B49,'BDC post TB'!C:D,2,FALSE)-D49</f>
        <v>-3.4874571517260478E-3</v>
      </c>
      <c r="M49" s="11"/>
    </row>
    <row r="50" spans="1:13">
      <c r="B50" s="5"/>
      <c r="D50" s="14"/>
      <c r="F50" s="14"/>
    </row>
    <row r="51" spans="1:13">
      <c r="A51" s="24" t="s">
        <v>66</v>
      </c>
      <c r="B51" s="35" t="s">
        <v>82</v>
      </c>
      <c r="D51" s="34">
        <f>+SUMIF(Summary!O:O,'Balance Sheet'!A51,Summary!N:N)</f>
        <v>20894750.079999998</v>
      </c>
      <c r="F51" s="34">
        <f>+SUMIF(Summary!O:O,'Balance Sheet'!A51,Summary!N:N)</f>
        <v>20894750.079999998</v>
      </c>
    </row>
    <row r="53" spans="1:13">
      <c r="B53" s="29" t="s">
        <v>83</v>
      </c>
    </row>
    <row r="54" spans="1:13">
      <c r="B54" s="29" t="s">
        <v>84</v>
      </c>
      <c r="I54" s="15"/>
    </row>
    <row r="56" spans="1:13">
      <c r="B56" s="29" t="s">
        <v>85</v>
      </c>
      <c r="D56" s="12">
        <f>F56</f>
        <v>1069718807.0800002</v>
      </c>
      <c r="F56" s="12">
        <f>+F15-F32+H21+H22</f>
        <v>1069718807.0800002</v>
      </c>
    </row>
    <row r="57" spans="1:13">
      <c r="B57" s="30"/>
    </row>
    <row r="58" spans="1:13">
      <c r="B58" s="29" t="s">
        <v>86</v>
      </c>
      <c r="D58" s="12">
        <f>F58</f>
        <v>610459548.58999991</v>
      </c>
      <c r="F58" s="12">
        <f>+H21+H22</f>
        <v>610459548.58999991</v>
      </c>
    </row>
    <row r="59" spans="1:13">
      <c r="A59" s="10"/>
      <c r="B59" s="29"/>
    </row>
    <row r="60" spans="1:13">
      <c r="A60" s="10"/>
      <c r="B60" s="29" t="s">
        <v>87</v>
      </c>
      <c r="D60" s="73">
        <v>372106996.49000001</v>
      </c>
      <c r="F60" s="12">
        <f>D60</f>
        <v>372106996.49000001</v>
      </c>
      <c r="I60" s="11"/>
    </row>
    <row r="61" spans="1:13">
      <c r="A61" s="10"/>
      <c r="B61" s="30"/>
      <c r="I61" s="71"/>
    </row>
    <row r="62" spans="1:13">
      <c r="A62" s="10"/>
      <c r="B62" s="29" t="s">
        <v>88</v>
      </c>
      <c r="D62" s="12">
        <f>F62</f>
        <v>459259258.1500001</v>
      </c>
      <c r="F62" s="12">
        <f>+F45-Summary!I142-Summary!I20</f>
        <v>459259258.1500001</v>
      </c>
    </row>
    <row r="63" spans="1:13">
      <c r="A63" s="10"/>
      <c r="B63" s="30"/>
    </row>
    <row r="64" spans="1:13">
      <c r="A64" s="10"/>
      <c r="B64" s="29" t="s">
        <v>89</v>
      </c>
      <c r="D64" s="32">
        <f>(D56+D60)/(D58+D60)</f>
        <v>1.4674077911462045</v>
      </c>
      <c r="E64" s="32"/>
      <c r="F64" s="32">
        <f>F56/F58</f>
        <v>1.7523172658217365</v>
      </c>
    </row>
    <row r="65" spans="1:8">
      <c r="A65" s="10"/>
      <c r="B65" s="29" t="s">
        <v>90</v>
      </c>
      <c r="D65" s="32">
        <f>(+D58+D60)/D62</f>
        <v>2.1394594178416777</v>
      </c>
      <c r="E65" s="32"/>
      <c r="F65" s="32">
        <f>F58/F62</f>
        <v>1.3292264396564779</v>
      </c>
    </row>
    <row r="66" spans="1:8">
      <c r="A66" s="10"/>
      <c r="B66" s="30"/>
    </row>
    <row r="67" spans="1:8">
      <c r="A67" s="10"/>
      <c r="B67" s="36"/>
      <c r="C67" s="37"/>
      <c r="D67" s="38"/>
      <c r="E67" s="37"/>
      <c r="F67" s="38"/>
    </row>
    <row r="68" spans="1:8">
      <c r="A68" s="10"/>
      <c r="B68" s="29" t="s">
        <v>91</v>
      </c>
    </row>
    <row r="69" spans="1:8">
      <c r="A69" s="10"/>
      <c r="B69" s="29"/>
    </row>
    <row r="70" spans="1:8">
      <c r="A70" s="10"/>
      <c r="B70" s="29" t="s">
        <v>85</v>
      </c>
      <c r="D70" s="12">
        <f>F70</f>
        <v>1069718807.0800002</v>
      </c>
      <c r="F70" s="12">
        <f>F56</f>
        <v>1069718807.0800002</v>
      </c>
    </row>
    <row r="71" spans="1:8">
      <c r="A71" s="10"/>
      <c r="B71" s="30"/>
      <c r="H71" s="11"/>
    </row>
    <row r="72" spans="1:8">
      <c r="A72" s="10"/>
      <c r="B72" s="29" t="s">
        <v>86</v>
      </c>
      <c r="D72" s="12">
        <f>SUM(H21:H22)</f>
        <v>610459548.58999991</v>
      </c>
      <c r="F72" s="12">
        <f>SUM(H21:H22)</f>
        <v>610459548.58999991</v>
      </c>
    </row>
    <row r="73" spans="1:8">
      <c r="A73" s="10"/>
      <c r="B73" s="30"/>
    </row>
    <row r="74" spans="1:8">
      <c r="A74" s="10"/>
      <c r="B74" s="29" t="s">
        <v>87</v>
      </c>
      <c r="D74" s="12">
        <f>D60</f>
        <v>372106996.49000001</v>
      </c>
      <c r="F74" s="12">
        <f>F60</f>
        <v>372106996.49000001</v>
      </c>
    </row>
    <row r="75" spans="1:8">
      <c r="A75" s="10"/>
      <c r="B75" s="30"/>
    </row>
    <row r="76" spans="1:8">
      <c r="A76" s="10"/>
      <c r="B76" s="29" t="s">
        <v>88</v>
      </c>
      <c r="D76" s="12">
        <f>D62</f>
        <v>459259258.1500001</v>
      </c>
      <c r="F76" s="12">
        <f>F62</f>
        <v>459259258.1500001</v>
      </c>
    </row>
    <row r="77" spans="1:8">
      <c r="A77" s="10"/>
      <c r="B77" s="30"/>
    </row>
    <row r="78" spans="1:8">
      <c r="A78" s="10"/>
      <c r="B78" s="29" t="s">
        <v>89</v>
      </c>
      <c r="D78" s="32">
        <f>(D70+D74)/(+D72+D74)</f>
        <v>1.4674077911462045</v>
      </c>
      <c r="E78" s="32"/>
      <c r="F78" s="32">
        <f>F70/F72</f>
        <v>1.7523172658217365</v>
      </c>
    </row>
    <row r="79" spans="1:8">
      <c r="A79" s="10"/>
      <c r="B79" s="29" t="s">
        <v>90</v>
      </c>
      <c r="D79" s="32">
        <f>+(D72+D74)/D76</f>
        <v>2.1394594178416777</v>
      </c>
      <c r="E79" s="32"/>
      <c r="F79" s="32">
        <f>F72/F76</f>
        <v>1.3292264396564779</v>
      </c>
    </row>
    <row r="80" spans="1:8">
      <c r="A80" s="10"/>
      <c r="B80" s="29"/>
    </row>
    <row r="81" spans="1:6">
      <c r="A81" s="10"/>
      <c r="B81" s="31"/>
    </row>
    <row r="82" spans="1:6">
      <c r="A82" s="10"/>
    </row>
    <row r="83" spans="1:6">
      <c r="A83" s="10"/>
    </row>
    <row r="84" spans="1:6" ht="113.25" customHeight="1">
      <c r="A84" s="10"/>
      <c r="B84" s="153" t="s">
        <v>92</v>
      </c>
      <c r="C84" s="153"/>
      <c r="D84" s="153"/>
      <c r="E84" s="153"/>
      <c r="F84" s="153"/>
    </row>
    <row r="85" spans="1:6" ht="265.5" customHeight="1">
      <c r="A85" s="10"/>
      <c r="B85" s="153" t="s">
        <v>93</v>
      </c>
      <c r="C85" s="153"/>
      <c r="D85" s="153"/>
      <c r="E85" s="153"/>
      <c r="F85" s="153"/>
    </row>
  </sheetData>
  <mergeCells count="5">
    <mergeCell ref="B85:F85"/>
    <mergeCell ref="B1:G1"/>
    <mergeCell ref="B2:G2"/>
    <mergeCell ref="B3:G3"/>
    <mergeCell ref="B84:F84"/>
  </mergeCells>
  <phoneticPr fontId="93" type="noConversion"/>
  <printOptions horizontalCentered="1" verticalCentered="1"/>
  <pageMargins left="0.7" right="0.7" top="0.32" bottom="0.34" header="0.17" footer="0.17"/>
  <pageSetup scale="56"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J50"/>
  <sheetViews>
    <sheetView zoomScaleNormal="100" workbookViewId="0">
      <selection activeCell="F38" sqref="F38"/>
    </sheetView>
  </sheetViews>
  <sheetFormatPr defaultColWidth="9.28515625" defaultRowHeight="12.75"/>
  <cols>
    <col min="1" max="1" width="6.42578125" style="22" customWidth="1"/>
    <col min="2" max="2" width="62" style="10" customWidth="1"/>
    <col min="3" max="3" width="17.28515625" style="10" customWidth="1"/>
    <col min="4" max="4" width="16.7109375" style="10" bestFit="1" customWidth="1"/>
    <col min="5" max="5" width="16.5703125" style="10" bestFit="1" customWidth="1"/>
    <col min="6" max="6" width="16.5703125" style="10" customWidth="1"/>
    <col min="7" max="7" width="20.28515625" style="23" bestFit="1" customWidth="1"/>
    <col min="8" max="8" width="9.28515625" style="10"/>
    <col min="9" max="9" width="12.5703125" style="10" bestFit="1" customWidth="1"/>
    <col min="10" max="16384" width="9.28515625" style="10"/>
  </cols>
  <sheetData>
    <row r="1" spans="1:9">
      <c r="B1" s="154" t="s">
        <v>0</v>
      </c>
      <c r="C1" s="154"/>
      <c r="D1" s="154"/>
      <c r="E1" s="154"/>
      <c r="F1" s="154"/>
      <c r="G1" s="154"/>
    </row>
    <row r="2" spans="1:9">
      <c r="B2" s="154" t="s">
        <v>94</v>
      </c>
      <c r="C2" s="154"/>
      <c r="D2" s="154"/>
      <c r="E2" s="154"/>
      <c r="F2" s="154"/>
      <c r="G2" s="154"/>
    </row>
    <row r="3" spans="1:9">
      <c r="B3" s="22"/>
      <c r="C3" s="22"/>
      <c r="D3" s="22"/>
      <c r="E3" s="22"/>
      <c r="F3" s="22"/>
      <c r="G3" s="22"/>
    </row>
    <row r="5" spans="1:9">
      <c r="C5" s="156" t="s">
        <v>95</v>
      </c>
      <c r="D5" s="156"/>
      <c r="E5" s="156"/>
      <c r="F5" s="156"/>
      <c r="G5" s="121" t="s">
        <v>96</v>
      </c>
    </row>
    <row r="6" spans="1:9">
      <c r="B6" s="16" t="s">
        <v>97</v>
      </c>
      <c r="C6" s="128" t="s">
        <v>98</v>
      </c>
      <c r="D6" s="128" t="s">
        <v>99</v>
      </c>
      <c r="E6" s="128" t="s">
        <v>100</v>
      </c>
      <c r="F6" s="128" t="s">
        <v>101</v>
      </c>
      <c r="G6" s="122" t="s">
        <v>102</v>
      </c>
    </row>
    <row r="7" spans="1:9">
      <c r="A7" s="22" t="s">
        <v>7</v>
      </c>
      <c r="B7" s="17" t="s">
        <v>103</v>
      </c>
      <c r="C7" s="40">
        <v>22534986.859999996</v>
      </c>
      <c r="D7" s="40">
        <f>G7-C7</f>
        <v>7130703.8500000089</v>
      </c>
      <c r="E7" s="40"/>
      <c r="F7" s="40"/>
      <c r="G7" s="7">
        <f>-SUMIF(Summary!P:P,'Income Statement'!A7,Summary!N:N)</f>
        <v>29665690.710000005</v>
      </c>
    </row>
    <row r="8" spans="1:9">
      <c r="A8" s="22" t="s">
        <v>104</v>
      </c>
      <c r="B8" s="17" t="s">
        <v>105</v>
      </c>
      <c r="C8" s="40">
        <v>4183813</v>
      </c>
      <c r="D8" s="40">
        <f t="shared" ref="D8:D11" si="0">G8-C8</f>
        <v>0</v>
      </c>
      <c r="E8" s="40"/>
      <c r="F8" s="40"/>
      <c r="G8" s="7">
        <f>-SUMIF(Summary!P:P,'Income Statement'!A8,Summary!N:N)</f>
        <v>4183813</v>
      </c>
    </row>
    <row r="9" spans="1:9">
      <c r="A9" s="22" t="s">
        <v>106</v>
      </c>
      <c r="B9" s="17" t="s">
        <v>107</v>
      </c>
      <c r="C9" s="40">
        <v>230769</v>
      </c>
      <c r="D9" s="40">
        <f t="shared" si="0"/>
        <v>0</v>
      </c>
      <c r="E9" s="40"/>
      <c r="F9" s="40"/>
      <c r="G9" s="7">
        <f>-SUMIF(Summary!P:P,'Income Statement'!A9,Summary!N:N)</f>
        <v>230769</v>
      </c>
    </row>
    <row r="10" spans="1:9">
      <c r="A10" s="22" t="s">
        <v>108</v>
      </c>
      <c r="B10" s="17" t="s">
        <v>109</v>
      </c>
      <c r="C10" s="40">
        <v>3720.89</v>
      </c>
      <c r="D10" s="40">
        <f t="shared" si="0"/>
        <v>8383.08</v>
      </c>
      <c r="E10" s="40"/>
      <c r="F10" s="40"/>
      <c r="G10" s="7">
        <f>-SUMIF(Summary!P:P,'Income Statement'!A10,Summary!N:N)</f>
        <v>12103.97</v>
      </c>
    </row>
    <row r="11" spans="1:9">
      <c r="A11" s="22" t="s">
        <v>13</v>
      </c>
      <c r="B11" s="17" t="s">
        <v>110</v>
      </c>
      <c r="C11" s="40">
        <v>300732.15999999997</v>
      </c>
      <c r="D11" s="40">
        <f t="shared" si="0"/>
        <v>21157.910000000033</v>
      </c>
      <c r="E11" s="40"/>
      <c r="F11" s="40"/>
      <c r="G11" s="7">
        <f>-SUMIF(Summary!P:P,'Income Statement'!A11,Summary!N:N)</f>
        <v>321890.07</v>
      </c>
    </row>
    <row r="12" spans="1:9" ht="13.5" thickBot="1">
      <c r="B12" s="20" t="s">
        <v>111</v>
      </c>
      <c r="C12" s="41">
        <v>27254021.909999996</v>
      </c>
      <c r="D12" s="41">
        <f>SUM(D7:D11)</f>
        <v>7160244.8400000092</v>
      </c>
      <c r="E12" s="41">
        <f t="shared" ref="E12:F12" si="1">SUM(E7:E11)</f>
        <v>0</v>
      </c>
      <c r="F12" s="41">
        <f t="shared" si="1"/>
        <v>0</v>
      </c>
      <c r="G12" s="41">
        <f>SUM(G7:G11)</f>
        <v>34414266.750000007</v>
      </c>
      <c r="I12" s="11"/>
    </row>
    <row r="13" spans="1:9">
      <c r="B13" s="18"/>
      <c r="C13" s="7"/>
      <c r="D13" s="7"/>
      <c r="E13" s="7"/>
      <c r="F13" s="7"/>
      <c r="G13" s="7" t="s">
        <v>112</v>
      </c>
    </row>
    <row r="14" spans="1:9">
      <c r="B14" s="16" t="s">
        <v>113</v>
      </c>
      <c r="C14" s="42"/>
      <c r="D14" s="42"/>
      <c r="E14" s="42"/>
      <c r="F14" s="42"/>
      <c r="G14" s="7" t="s">
        <v>112</v>
      </c>
    </row>
    <row r="15" spans="1:9">
      <c r="A15" s="22" t="s">
        <v>15</v>
      </c>
      <c r="B15" s="17" t="s">
        <v>114</v>
      </c>
      <c r="C15" s="40">
        <v>3915499</v>
      </c>
      <c r="D15" s="40">
        <f>G15-C15</f>
        <v>0</v>
      </c>
      <c r="E15" s="40"/>
      <c r="F15" s="40"/>
      <c r="G15" s="7">
        <f>SUMIF(Summary!P:P,'Income Statement'!A15,Summary!N:N)</f>
        <v>3915499</v>
      </c>
    </row>
    <row r="16" spans="1:9">
      <c r="A16" s="22" t="s">
        <v>115</v>
      </c>
      <c r="B16" s="17" t="s">
        <v>116</v>
      </c>
      <c r="C16" s="40">
        <v>0</v>
      </c>
      <c r="D16" s="40">
        <f t="shared" ref="D16:D20" si="2">G16-C16</f>
        <v>0</v>
      </c>
      <c r="E16" s="40"/>
      <c r="F16" s="40"/>
      <c r="G16" s="7">
        <f>SUMIF(Summary!P:P,'Income Statement'!A16,Summary!N:N)</f>
        <v>0</v>
      </c>
    </row>
    <row r="17" spans="1:9">
      <c r="A17" s="22" t="s">
        <v>23</v>
      </c>
      <c r="B17" s="17" t="s">
        <v>117</v>
      </c>
      <c r="C17" s="40">
        <v>0</v>
      </c>
      <c r="D17" s="40">
        <f t="shared" si="2"/>
        <v>0</v>
      </c>
      <c r="E17" s="40"/>
      <c r="F17" s="40"/>
      <c r="G17" s="7">
        <f>SUMIF(Summary!P:P,'Income Statement'!A17,Summary!N:N)</f>
        <v>0</v>
      </c>
    </row>
    <row r="18" spans="1:9">
      <c r="A18" s="22" t="s">
        <v>27</v>
      </c>
      <c r="B18" s="17" t="s">
        <v>118</v>
      </c>
      <c r="C18" s="40">
        <v>10500807.140000001</v>
      </c>
      <c r="D18" s="40">
        <f t="shared" si="2"/>
        <v>2835768.74</v>
      </c>
      <c r="E18" s="40"/>
      <c r="F18" s="40"/>
      <c r="G18" s="7">
        <f>SUMIF(Summary!P:P,'Income Statement'!A18,Summary!N:N)</f>
        <v>13336575.880000001</v>
      </c>
      <c r="I18" s="11"/>
    </row>
    <row r="19" spans="1:9">
      <c r="A19" s="22" t="s">
        <v>29</v>
      </c>
      <c r="B19" s="17" t="s">
        <v>119</v>
      </c>
      <c r="C19" s="40">
        <v>450000</v>
      </c>
      <c r="D19" s="40">
        <f t="shared" si="2"/>
        <v>150000</v>
      </c>
      <c r="E19" s="40"/>
      <c r="F19" s="40"/>
      <c r="G19" s="7">
        <f>SUMIF(Summary!P:P,'Income Statement'!A19,Summary!N:N)</f>
        <v>600000</v>
      </c>
      <c r="I19" s="11"/>
    </row>
    <row r="20" spans="1:9">
      <c r="A20" s="22" t="s">
        <v>31</v>
      </c>
      <c r="B20" s="17" t="s">
        <v>120</v>
      </c>
      <c r="C20" s="40">
        <v>849999.99</v>
      </c>
      <c r="D20" s="40">
        <f t="shared" si="2"/>
        <v>320821.74000000022</v>
      </c>
      <c r="E20" s="40"/>
      <c r="F20" s="40"/>
      <c r="G20" s="7">
        <f>SUMIF(Summary!P:P,'Income Statement'!A20,Summary!N:N)</f>
        <v>1170821.7300000002</v>
      </c>
      <c r="I20" s="11"/>
    </row>
    <row r="21" spans="1:9">
      <c r="B21" s="21" t="s">
        <v>121</v>
      </c>
      <c r="C21" s="43">
        <v>15716306.130000001</v>
      </c>
      <c r="D21" s="43">
        <f>SUM(D14:D20)</f>
        <v>3306590.4800000004</v>
      </c>
      <c r="E21" s="43">
        <f t="shared" ref="E21:F21" si="3">SUM(E14:E20)</f>
        <v>0</v>
      </c>
      <c r="F21" s="43">
        <f t="shared" si="3"/>
        <v>0</v>
      </c>
      <c r="G21" s="43">
        <f>SUM(G14:G20)</f>
        <v>19022896.610000003</v>
      </c>
    </row>
    <row r="22" spans="1:9">
      <c r="A22" s="22" t="s">
        <v>33</v>
      </c>
      <c r="B22" s="17" t="s">
        <v>122</v>
      </c>
      <c r="C22" s="40">
        <v>660000</v>
      </c>
      <c r="D22" s="40">
        <f>G22-C22</f>
        <v>0</v>
      </c>
      <c r="E22" s="40"/>
      <c r="F22" s="40"/>
      <c r="G22" s="7">
        <f>SUMIF(Summary!P:P,'Income Statement'!A22,Summary!N:N)</f>
        <v>660000</v>
      </c>
    </row>
    <row r="23" spans="1:9">
      <c r="A23" s="22" t="s">
        <v>123</v>
      </c>
      <c r="B23" s="17" t="s">
        <v>124</v>
      </c>
      <c r="C23" s="40">
        <v>3885199.87</v>
      </c>
      <c r="D23" s="40">
        <f>G23-C23</f>
        <v>19663.75</v>
      </c>
      <c r="E23" s="40"/>
      <c r="F23" s="40"/>
      <c r="G23" s="7">
        <f>SUMIF(Summary!P:P,'Income Statement'!A23,Summary!N:N)</f>
        <v>3904863.62</v>
      </c>
    </row>
    <row r="24" spans="1:9">
      <c r="B24" s="21" t="s">
        <v>125</v>
      </c>
      <c r="C24" s="43">
        <v>20261506</v>
      </c>
      <c r="D24" s="43">
        <f>SUM(D21:D23)</f>
        <v>3326254.2300000004</v>
      </c>
      <c r="E24" s="43">
        <f>SUM(E21:E23)</f>
        <v>0</v>
      </c>
      <c r="F24" s="43">
        <f t="shared" ref="F24" si="4">SUM(F21:F23)</f>
        <v>0</v>
      </c>
      <c r="G24" s="43">
        <f>SUM(G21:G23)</f>
        <v>23587760.230000004</v>
      </c>
      <c r="I24" s="11"/>
    </row>
    <row r="25" spans="1:9">
      <c r="B25" s="21" t="s">
        <v>126</v>
      </c>
      <c r="C25" s="43">
        <v>6992515.9099999964</v>
      </c>
      <c r="D25" s="43">
        <f>D12-D24</f>
        <v>3833990.6100000087</v>
      </c>
      <c r="E25" s="43">
        <f t="shared" ref="E25" si="5">E12-E24</f>
        <v>0</v>
      </c>
      <c r="F25" s="43">
        <f t="shared" ref="F25" si="6">F12-F24</f>
        <v>0</v>
      </c>
      <c r="G25" s="43">
        <f>G12-G24</f>
        <v>10826506.520000003</v>
      </c>
      <c r="I25" s="11"/>
    </row>
    <row r="26" spans="1:9">
      <c r="B26" s="18"/>
      <c r="C26" s="7"/>
      <c r="D26" s="7"/>
      <c r="E26" s="7"/>
      <c r="F26" s="7"/>
      <c r="G26" s="7" t="s">
        <v>112</v>
      </c>
      <c r="I26" s="71"/>
    </row>
    <row r="27" spans="1:9">
      <c r="B27" s="16" t="s">
        <v>127</v>
      </c>
      <c r="C27" s="42"/>
      <c r="D27" s="42"/>
      <c r="E27" s="42"/>
      <c r="F27" s="42"/>
      <c r="G27" s="7" t="s">
        <v>112</v>
      </c>
    </row>
    <row r="28" spans="1:9">
      <c r="A28" s="22" t="s">
        <v>128</v>
      </c>
      <c r="B28" s="19" t="s">
        <v>129</v>
      </c>
      <c r="C28" s="40">
        <v>59282325.539999999</v>
      </c>
      <c r="D28" s="40">
        <f>G28-C28</f>
        <v>1231874.1499999985</v>
      </c>
      <c r="E28" s="40"/>
      <c r="F28" s="40"/>
      <c r="G28" s="7">
        <f>-SUMIF(Summary!P:P,'Income Statement'!A28,Summary!N:N)</f>
        <v>60514199.689999998</v>
      </c>
    </row>
    <row r="29" spans="1:9">
      <c r="A29" s="22" t="s">
        <v>51</v>
      </c>
      <c r="B29" s="19" t="s">
        <v>130</v>
      </c>
      <c r="C29" s="40">
        <v>-267390.28000000003</v>
      </c>
      <c r="D29" s="40">
        <f t="shared" ref="D29:D30" si="7">G29-C29</f>
        <v>187.88000000000466</v>
      </c>
      <c r="E29" s="40"/>
      <c r="F29" s="40"/>
      <c r="G29" s="7">
        <f>-SUMIF(Summary!P:P,'Income Statement'!A29,Summary!N:N)</f>
        <v>-267202.40000000002</v>
      </c>
    </row>
    <row r="30" spans="1:9">
      <c r="A30" s="22" t="s">
        <v>131</v>
      </c>
      <c r="B30" s="19" t="s">
        <v>132</v>
      </c>
      <c r="C30" s="40">
        <v>0</v>
      </c>
      <c r="D30" s="40">
        <f t="shared" si="7"/>
        <v>0</v>
      </c>
      <c r="E30" s="40"/>
      <c r="F30" s="40"/>
      <c r="G30" s="7">
        <f>-SUMIF(Summary!P:P,'Income Statement'!A30,Summary!N:N)</f>
        <v>0</v>
      </c>
    </row>
    <row r="31" spans="1:9">
      <c r="B31" s="16" t="s">
        <v>133</v>
      </c>
      <c r="C31" s="43">
        <v>59014935.259999998</v>
      </c>
      <c r="D31" s="43">
        <f>SUM(D28:D30)</f>
        <v>1232062.0299999984</v>
      </c>
      <c r="E31" s="43">
        <f t="shared" ref="E31:F31" si="8">SUM(E28:E30)</f>
        <v>0</v>
      </c>
      <c r="F31" s="43">
        <f t="shared" si="8"/>
        <v>0</v>
      </c>
      <c r="G31" s="43">
        <f>SUM(G28:G30)</f>
        <v>60246997.289999999</v>
      </c>
    </row>
    <row r="32" spans="1:9">
      <c r="B32" s="16" t="s">
        <v>134</v>
      </c>
      <c r="C32" s="40"/>
      <c r="D32" s="40"/>
      <c r="E32" s="40"/>
      <c r="F32" s="40"/>
      <c r="G32" s="7"/>
    </row>
    <row r="33" spans="1:10">
      <c r="A33" s="22" t="s">
        <v>47</v>
      </c>
      <c r="B33" s="17" t="s">
        <v>135</v>
      </c>
      <c r="C33" s="40">
        <v>-57051550.410000004</v>
      </c>
      <c r="D33" s="40">
        <f>G33-C33</f>
        <v>3186079.0800000057</v>
      </c>
      <c r="E33" s="40"/>
      <c r="F33" s="40"/>
      <c r="G33" s="7">
        <f>-SUMIF(Summary!P:P,'Income Statement'!A33,Summary!N:N)</f>
        <v>-53865471.329999998</v>
      </c>
      <c r="J33" s="11"/>
    </row>
    <row r="34" spans="1:10">
      <c r="A34" s="22" t="s">
        <v>49</v>
      </c>
      <c r="B34" s="17" t="s">
        <v>136</v>
      </c>
      <c r="C34" s="40">
        <v>12884.280000000028</v>
      </c>
      <c r="D34" s="40">
        <f>G34-C34</f>
        <v>-1004240.39</v>
      </c>
      <c r="E34" s="40"/>
      <c r="F34" s="40"/>
      <c r="G34" s="7">
        <f>-SUMIF(Summary!P:P,'Income Statement'!A34,Summary!N:N)</f>
        <v>-991356.11</v>
      </c>
      <c r="I34" s="11"/>
    </row>
    <row r="35" spans="1:10">
      <c r="B35" s="21" t="s">
        <v>137</v>
      </c>
      <c r="C35" s="43">
        <v>-57038666.130000003</v>
      </c>
      <c r="D35" s="43">
        <f>SUM(D33:D34)</f>
        <v>2181838.6900000055</v>
      </c>
      <c r="E35" s="43">
        <f t="shared" ref="E35" si="9">SUM(E33:E34)</f>
        <v>0</v>
      </c>
      <c r="F35" s="43">
        <f>SUM(F33:F34)</f>
        <v>0</v>
      </c>
      <c r="G35" s="43">
        <f>SUM(G33:G34)</f>
        <v>-54856827.439999998</v>
      </c>
    </row>
    <row r="36" spans="1:10" ht="25.5">
      <c r="A36" s="22" t="s">
        <v>138</v>
      </c>
      <c r="B36" s="17" t="s">
        <v>74</v>
      </c>
      <c r="C36" s="40">
        <v>0</v>
      </c>
      <c r="D36" s="40">
        <f>G36-C36</f>
        <v>0</v>
      </c>
      <c r="E36" s="40"/>
      <c r="F36" s="40"/>
      <c r="G36" s="7">
        <f>-SUMIF(Summary!P:P,'Income Statement'!A36,Summary!N:N)</f>
        <v>0</v>
      </c>
      <c r="J36" s="11"/>
    </row>
    <row r="37" spans="1:10">
      <c r="A37" s="22" t="s">
        <v>139</v>
      </c>
      <c r="B37" s="17" t="s">
        <v>75</v>
      </c>
      <c r="C37" s="40">
        <v>-12855</v>
      </c>
      <c r="D37" s="40">
        <f>G37-C37</f>
        <v>0</v>
      </c>
      <c r="E37" s="40"/>
      <c r="F37" s="40"/>
      <c r="G37" s="7">
        <f>-SUMIF(Summary!P:P,'Income Statement'!A37,Summary!N:N)</f>
        <v>-12855</v>
      </c>
      <c r="J37" s="11"/>
    </row>
    <row r="38" spans="1:10">
      <c r="B38" s="17"/>
      <c r="C38" s="40"/>
      <c r="D38" s="40"/>
      <c r="E38" s="40"/>
      <c r="F38" s="40"/>
      <c r="G38" s="7"/>
      <c r="J38" s="11"/>
    </row>
    <row r="39" spans="1:10">
      <c r="B39" s="16" t="s">
        <v>140</v>
      </c>
      <c r="C39" s="44">
        <v>1963414.1299999952</v>
      </c>
      <c r="D39" s="44">
        <f>D31+D35+SUM(D36:D37)</f>
        <v>3413900.7200000039</v>
      </c>
      <c r="E39" s="44"/>
      <c r="F39" s="44"/>
      <c r="G39" s="44">
        <f>G31+G35+G36+G37</f>
        <v>5377314.8500000015</v>
      </c>
    </row>
    <row r="40" spans="1:10">
      <c r="B40" s="18"/>
      <c r="C40" s="45"/>
      <c r="D40" s="45"/>
      <c r="E40" s="45"/>
      <c r="F40" s="45"/>
      <c r="G40" s="45" t="s">
        <v>112</v>
      </c>
    </row>
    <row r="41" spans="1:10">
      <c r="B41" s="16" t="s">
        <v>141</v>
      </c>
      <c r="C41" s="45">
        <v>8955930.0399999917</v>
      </c>
      <c r="D41" s="45">
        <f>D25+D39</f>
        <v>7247891.3300000131</v>
      </c>
      <c r="E41" s="45"/>
      <c r="F41" s="45"/>
      <c r="G41" s="45">
        <f>+G25+G39</f>
        <v>16203821.370000005</v>
      </c>
      <c r="I41" s="102">
        <f>SUMIF('BDC post TB'!C:C,"=Revenue",'BDC post TB'!J:J)+SUMIF('BDC post TB'!C:C,"=Expense",'BDC post TB'!J:J)+G41-G46</f>
        <v>0</v>
      </c>
      <c r="J41" s="10" t="s">
        <v>142</v>
      </c>
    </row>
    <row r="42" spans="1:10">
      <c r="B42" s="16" t="s">
        <v>143</v>
      </c>
      <c r="C42" s="46">
        <v>0.13715874091947969</v>
      </c>
      <c r="D42" s="46">
        <f>D41/'Balance Sheet'!D48</f>
        <v>0.11100038127854957</v>
      </c>
      <c r="E42" s="46"/>
      <c r="F42" s="46"/>
      <c r="G42" s="46">
        <f>+G41/'Balance Sheet'!D48</f>
        <v>0.24815912219802924</v>
      </c>
      <c r="J42" s="10" t="s">
        <v>144</v>
      </c>
    </row>
    <row r="43" spans="1:10">
      <c r="B43" s="19"/>
      <c r="C43" s="46"/>
      <c r="D43" s="46"/>
      <c r="E43" s="46"/>
      <c r="F43" s="46"/>
      <c r="G43" s="46"/>
    </row>
    <row r="44" spans="1:10">
      <c r="B44" s="16" t="s">
        <v>145</v>
      </c>
      <c r="C44" s="46">
        <v>0.10708934457855927</v>
      </c>
      <c r="D44" s="46">
        <f>D25/'Balance Sheet'!D48</f>
        <v>5.8716997834510724E-2</v>
      </c>
      <c r="E44" s="46"/>
      <c r="F44" s="46"/>
      <c r="G44" s="46">
        <f>+G25/'Balance Sheet'!D48</f>
        <v>0.16580634241306996</v>
      </c>
    </row>
    <row r="45" spans="1:10">
      <c r="C45" s="7"/>
      <c r="D45" s="45"/>
      <c r="E45" s="45"/>
      <c r="F45" s="45"/>
      <c r="G45" s="45"/>
    </row>
    <row r="46" spans="1:10">
      <c r="A46" s="22" t="s">
        <v>66</v>
      </c>
      <c r="B46" s="16" t="s">
        <v>146</v>
      </c>
      <c r="C46" s="45">
        <v>15671062.560000001</v>
      </c>
      <c r="D46" s="45">
        <f>G46-C46</f>
        <v>5223687.5199999977</v>
      </c>
      <c r="E46" s="45"/>
      <c r="F46" s="45"/>
      <c r="G46" s="45">
        <f>+'Balance Sheet'!D51</f>
        <v>20894750.079999998</v>
      </c>
    </row>
    <row r="47" spans="1:10">
      <c r="G47" s="7"/>
    </row>
    <row r="49" spans="1:6" s="10" customFormat="1" ht="78" customHeight="1">
      <c r="A49" s="24"/>
      <c r="B49" s="153" t="s">
        <v>92</v>
      </c>
      <c r="C49" s="153"/>
      <c r="D49" s="153"/>
      <c r="E49" s="153"/>
      <c r="F49" s="153"/>
    </row>
    <row r="50" spans="1:6" s="10" customFormat="1" ht="183" customHeight="1">
      <c r="A50" s="24"/>
      <c r="B50" s="153" t="s">
        <v>93</v>
      </c>
      <c r="C50" s="153"/>
      <c r="D50" s="153"/>
      <c r="E50" s="153"/>
      <c r="F50" s="153"/>
    </row>
  </sheetData>
  <mergeCells count="5">
    <mergeCell ref="B50:F50"/>
    <mergeCell ref="C5:F5"/>
    <mergeCell ref="B1:G1"/>
    <mergeCell ref="B2:G2"/>
    <mergeCell ref="B49:F49"/>
  </mergeCells>
  <phoneticPr fontId="93" type="noConversion"/>
  <pageMargins left="0.7" right="0.7" top="0.75" bottom="0.75" header="0.3" footer="0.3"/>
  <pageSetup scale="65"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Q446"/>
  <sheetViews>
    <sheetView zoomScale="80" zoomScaleNormal="80" workbookViewId="0">
      <selection activeCell="D326" sqref="D326"/>
    </sheetView>
  </sheetViews>
  <sheetFormatPr defaultColWidth="9.28515625" defaultRowHeight="12.75"/>
  <cols>
    <col min="1" max="1" width="47.5703125" bestFit="1" customWidth="1"/>
    <col min="2" max="2" width="9.28515625" style="1"/>
    <col min="3" max="3" width="15.28515625" style="1" customWidth="1"/>
    <col min="4" max="4" width="38" style="1" customWidth="1"/>
    <col min="5" max="5" width="22.7109375" style="1" bestFit="1" customWidth="1"/>
    <col min="6" max="6" width="17.7109375" style="1" bestFit="1" customWidth="1"/>
    <col min="7" max="7" width="16.28515625" style="1" bestFit="1" customWidth="1"/>
    <col min="8" max="8" width="16.42578125" style="1" customWidth="1"/>
    <col min="9" max="9" width="17.140625" style="1" bestFit="1" customWidth="1"/>
    <col min="10" max="10" width="42.28515625" customWidth="1"/>
    <col min="11" max="13" width="16.42578125" customWidth="1"/>
    <col min="14" max="14" width="25" customWidth="1"/>
    <col min="15" max="15" width="18.28515625" style="49" bestFit="1" customWidth="1"/>
    <col min="16" max="16" width="21" style="49" bestFit="1" customWidth="1"/>
    <col min="17" max="17" width="16" style="50" bestFit="1" customWidth="1"/>
  </cols>
  <sheetData>
    <row r="1" spans="1:17" ht="15">
      <c r="I1" s="47" t="s">
        <v>147</v>
      </c>
      <c r="J1" s="48"/>
      <c r="K1" s="48"/>
    </row>
    <row r="2" spans="1:17" ht="15">
      <c r="I2" s="51" t="s">
        <v>148</v>
      </c>
      <c r="J2" s="52" t="s">
        <v>149</v>
      </c>
      <c r="K2" s="52"/>
    </row>
    <row r="3" spans="1:17" ht="15">
      <c r="I3" s="51" t="s">
        <v>150</v>
      </c>
      <c r="J3" s="52" t="s">
        <v>151</v>
      </c>
      <c r="K3" s="52"/>
    </row>
    <row r="4" spans="1:17" ht="15">
      <c r="I4" s="51" t="s">
        <v>152</v>
      </c>
      <c r="J4" s="52" t="s">
        <v>153</v>
      </c>
      <c r="K4" s="52"/>
    </row>
    <row r="6" spans="1:17" ht="30">
      <c r="J6" s="157" t="s">
        <v>154</v>
      </c>
      <c r="K6" s="157"/>
      <c r="L6" s="157"/>
      <c r="M6" s="104"/>
      <c r="N6" s="53" t="s">
        <v>155</v>
      </c>
    </row>
    <row r="7" spans="1:17" s="3" customFormat="1" ht="15">
      <c r="B7" s="3" t="s">
        <v>156</v>
      </c>
      <c r="C7" s="3" t="s">
        <v>157</v>
      </c>
      <c r="D7" s="3" t="s">
        <v>158</v>
      </c>
      <c r="E7" s="3" t="s">
        <v>159</v>
      </c>
      <c r="F7" s="4" t="s">
        <v>160</v>
      </c>
      <c r="G7" s="4" t="s">
        <v>161</v>
      </c>
      <c r="H7" s="4" t="s">
        <v>162</v>
      </c>
      <c r="I7" s="4" t="s">
        <v>163</v>
      </c>
      <c r="J7" s="54" t="s">
        <v>148</v>
      </c>
      <c r="K7" s="54" t="s">
        <v>150</v>
      </c>
      <c r="L7" s="54" t="s">
        <v>152</v>
      </c>
      <c r="M7" s="54" t="s">
        <v>164</v>
      </c>
      <c r="N7" s="55" t="s">
        <v>165</v>
      </c>
      <c r="O7" s="9" t="s">
        <v>166</v>
      </c>
      <c r="P7" s="9" t="s">
        <v>94</v>
      </c>
      <c r="Q7" s="4" t="s">
        <v>167</v>
      </c>
    </row>
    <row r="8" spans="1:17" s="3" customFormat="1">
      <c r="A8" t="str">
        <f>CONCATENATE(D8,E8)</f>
        <v>Debt InstrumentsAccrued Interest</v>
      </c>
      <c r="B8" t="s">
        <v>5</v>
      </c>
      <c r="C8" t="s">
        <v>168</v>
      </c>
      <c r="D8" t="s">
        <v>169</v>
      </c>
      <c r="E8" t="s">
        <v>170</v>
      </c>
      <c r="F8" s="137">
        <f>SUMIF('BDC post TB'!B:B,Summary!A8,'BDC post TB'!J:J)</f>
        <v>4549181.8499999996</v>
      </c>
      <c r="G8" s="137">
        <f>SUMIF('SBIC post TB(Closed)'!B:B,Summary!A8,'SBIC post TB(Closed)'!J:J)</f>
        <v>0</v>
      </c>
      <c r="H8" s="137">
        <f>SUMIF('SBICII post TB (closed)'!B:B,Summary!A8,'SBICII post TB (closed)'!J:J)</f>
        <v>0</v>
      </c>
      <c r="I8" s="137">
        <f t="shared" ref="I8:I79" si="0">SUM(F8:H8)</f>
        <v>4549181.8499999996</v>
      </c>
      <c r="J8" s="67"/>
      <c r="K8" s="67"/>
      <c r="L8" s="138"/>
      <c r="M8" s="138"/>
      <c r="N8" s="138">
        <f>SUM(I8:M8)</f>
        <v>4549181.8499999996</v>
      </c>
      <c r="O8" s="39" t="s">
        <v>15</v>
      </c>
      <c r="P8" s="39"/>
      <c r="Q8" s="137">
        <f t="shared" ref="Q8:Q16" si="1">IF(AND(B8="Liabilities",N8&gt;0),N8,0)</f>
        <v>0</v>
      </c>
    </row>
    <row r="9" spans="1:17" s="3" customFormat="1">
      <c r="A9" t="str">
        <f t="shared" ref="A9:A152" si="2">CONCATENATE(D9,E9)</f>
        <v>Debt InstrumentsAmortization / Accretion</v>
      </c>
      <c r="B9" t="s">
        <v>5</v>
      </c>
      <c r="C9" s="67" t="s">
        <v>168</v>
      </c>
      <c r="D9" t="s">
        <v>169</v>
      </c>
      <c r="E9" t="s">
        <v>171</v>
      </c>
      <c r="F9" s="137">
        <f>SUMIF('BDC post TB'!B:B,Summary!A9,'BDC post TB'!J:J)</f>
        <v>1909350.98</v>
      </c>
      <c r="G9" s="137">
        <f>SUMIF('SBIC post TB(Closed)'!B:B,Summary!A9,'SBIC post TB(Closed)'!J:J)</f>
        <v>0</v>
      </c>
      <c r="H9" s="137">
        <f>SUMIF('SBICII post TB (closed)'!B:B,Summary!A9,'SBICII post TB (closed)'!J:J)</f>
        <v>0</v>
      </c>
      <c r="I9" s="137">
        <f t="shared" si="0"/>
        <v>1909350.98</v>
      </c>
      <c r="J9" s="67"/>
      <c r="K9" s="67"/>
      <c r="L9" s="138"/>
      <c r="M9" s="138"/>
      <c r="N9" s="138">
        <f t="shared" ref="N9:N79" si="3">SUM(I9:M9)</f>
        <v>1909350.98</v>
      </c>
      <c r="O9" s="39" t="s">
        <v>7</v>
      </c>
      <c r="P9" s="39"/>
      <c r="Q9" s="137">
        <f t="shared" si="1"/>
        <v>0</v>
      </c>
    </row>
    <row r="10" spans="1:17" s="3" customFormat="1">
      <c r="A10" t="str">
        <f t="shared" si="2"/>
        <v>Debt InstrumentsCost</v>
      </c>
      <c r="B10" t="s">
        <v>5</v>
      </c>
      <c r="C10" t="s">
        <v>168</v>
      </c>
      <c r="D10" t="s">
        <v>169</v>
      </c>
      <c r="E10" t="s">
        <v>172</v>
      </c>
      <c r="F10" s="137">
        <f>SUMIF('BDC post TB'!B:B,Summary!A10,'BDC post TB'!J:J)</f>
        <v>539310322.28999996</v>
      </c>
      <c r="G10" s="137">
        <f>SUMIF('SBIC post TB(Closed)'!B:B,Summary!A10,'SBIC post TB(Closed)'!J:J)</f>
        <v>0</v>
      </c>
      <c r="H10" s="137">
        <f>SUMIF('SBICII post TB (closed)'!B:B,Summary!A10,'SBICII post TB (closed)'!J:J)</f>
        <v>0</v>
      </c>
      <c r="I10" s="137">
        <f t="shared" si="0"/>
        <v>539310322.28999996</v>
      </c>
      <c r="J10" s="67"/>
      <c r="K10" s="67"/>
      <c r="L10" s="138"/>
      <c r="M10" s="138"/>
      <c r="N10" s="138">
        <f t="shared" si="3"/>
        <v>539310322.28999996</v>
      </c>
      <c r="O10" s="39" t="s">
        <v>7</v>
      </c>
      <c r="P10" s="39"/>
      <c r="Q10" s="137">
        <f t="shared" si="1"/>
        <v>0</v>
      </c>
    </row>
    <row r="11" spans="1:17" s="3" customFormat="1">
      <c r="A11" t="str">
        <f t="shared" si="2"/>
        <v>Debt InstrumentsUnrealized FX GL</v>
      </c>
      <c r="B11" t="s">
        <v>5</v>
      </c>
      <c r="C11" t="s">
        <v>168</v>
      </c>
      <c r="D11" t="s">
        <v>169</v>
      </c>
      <c r="E11" t="s">
        <v>173</v>
      </c>
      <c r="F11" s="137">
        <f>SUMIF('BDC post TB'!B:B,Summary!A11,'BDC post TB'!J:J)</f>
        <v>184929.38</v>
      </c>
      <c r="G11" s="137">
        <f>SUMIF('SBIC post TB(Closed)'!B:B,Summary!A11,'SBIC post TB(Closed)'!J:J)</f>
        <v>0</v>
      </c>
      <c r="H11" s="137">
        <f>SUMIF('SBICII post TB (closed)'!B:B,Summary!A11,'SBICII post TB (closed)'!J:J)</f>
        <v>0</v>
      </c>
      <c r="I11" s="137">
        <f t="shared" si="0"/>
        <v>184929.38</v>
      </c>
      <c r="J11" s="67"/>
      <c r="K11" s="67"/>
      <c r="L11" s="138"/>
      <c r="M11" s="138"/>
      <c r="N11" s="138">
        <f t="shared" si="3"/>
        <v>184929.38</v>
      </c>
      <c r="O11" s="39" t="s">
        <v>7</v>
      </c>
      <c r="P11" s="39"/>
      <c r="Q11" s="137">
        <f t="shared" si="1"/>
        <v>0</v>
      </c>
    </row>
    <row r="12" spans="1:17" s="3" customFormat="1">
      <c r="A12" t="str">
        <f t="shared" si="2"/>
        <v>Debt InstrumentsUnrealized Price G/L</v>
      </c>
      <c r="B12" t="s">
        <v>5</v>
      </c>
      <c r="C12" t="s">
        <v>168</v>
      </c>
      <c r="D12" t="s">
        <v>169</v>
      </c>
      <c r="E12" t="s">
        <v>174</v>
      </c>
      <c r="F12" s="137">
        <f>SUMIF('BDC post TB'!B:B,Summary!A12,'BDC post TB'!J:J)</f>
        <v>-20463819.140000001</v>
      </c>
      <c r="G12" s="137">
        <f>SUMIF('SBIC post TB(Closed)'!B:B,Summary!A12,'SBIC post TB(Closed)'!J:J)</f>
        <v>0</v>
      </c>
      <c r="H12" s="137">
        <f>SUMIF('SBICII post TB (closed)'!B:B,Summary!A12,'SBICII post TB (closed)'!J:J)</f>
        <v>0</v>
      </c>
      <c r="I12" s="137">
        <f t="shared" si="0"/>
        <v>-20463819.140000001</v>
      </c>
      <c r="J12" s="67"/>
      <c r="K12" s="67"/>
      <c r="L12" s="138"/>
      <c r="M12" s="138"/>
      <c r="N12" s="138">
        <f t="shared" si="3"/>
        <v>-20463819.140000001</v>
      </c>
      <c r="O12" s="39" t="s">
        <v>7</v>
      </c>
      <c r="P12" s="39"/>
      <c r="Q12" s="137">
        <f t="shared" si="1"/>
        <v>0</v>
      </c>
    </row>
    <row r="13" spans="1:17" s="3" customFormat="1">
      <c r="A13" t="str">
        <f t="shared" si="2"/>
        <v>Equity InstrumentsAccrued Interest</v>
      </c>
      <c r="B13" t="s">
        <v>5</v>
      </c>
      <c r="C13" t="s">
        <v>168</v>
      </c>
      <c r="D13" t="s">
        <v>175</v>
      </c>
      <c r="E13" t="s">
        <v>170</v>
      </c>
      <c r="F13" s="137">
        <f>SUMIF('BDC post TB'!B:B,Summary!A13,'BDC post TB'!J:J)</f>
        <v>0</v>
      </c>
      <c r="G13" s="137">
        <f>SUMIF('SBIC post TB(Closed)'!B:B,Summary!A13,'SBIC post TB(Closed)'!J:J)</f>
        <v>0</v>
      </c>
      <c r="H13" s="137">
        <f>SUMIF('SBICII post TB (closed)'!B:B,Summary!A13,'SBICII post TB (closed)'!J:J)</f>
        <v>0</v>
      </c>
      <c r="I13" s="137">
        <f t="shared" si="0"/>
        <v>0</v>
      </c>
      <c r="J13" s="67"/>
      <c r="K13" s="67"/>
      <c r="L13" s="138"/>
      <c r="M13" s="138"/>
      <c r="N13" s="138">
        <f t="shared" si="3"/>
        <v>0</v>
      </c>
      <c r="O13" s="39" t="s">
        <v>47</v>
      </c>
      <c r="P13" s="39"/>
      <c r="Q13" s="137">
        <f t="shared" si="1"/>
        <v>0</v>
      </c>
    </row>
    <row r="14" spans="1:17" s="3" customFormat="1">
      <c r="A14" t="str">
        <f t="shared" si="2"/>
        <v>Equity InstrumentsCost</v>
      </c>
      <c r="B14" t="s">
        <v>5</v>
      </c>
      <c r="C14" t="s">
        <v>168</v>
      </c>
      <c r="D14" t="s">
        <v>175</v>
      </c>
      <c r="E14" t="s">
        <v>172</v>
      </c>
      <c r="F14" s="137">
        <f>SUMIF('BDC post TB'!B:B,Summary!A14,'BDC post TB'!J:J)</f>
        <v>192288670.62</v>
      </c>
      <c r="G14" s="137">
        <f>SUMIF('SBIC post TB(Closed)'!B:B,Summary!A14,'SBIC post TB(Closed)'!J:J)</f>
        <v>0</v>
      </c>
      <c r="H14" s="137">
        <f>SUMIF('SBICII post TB (closed)'!B:B,Summary!A14,'SBICII post TB (closed)'!J:J)</f>
        <v>0</v>
      </c>
      <c r="I14" s="137">
        <f t="shared" si="0"/>
        <v>192288670.62</v>
      </c>
      <c r="J14" s="67"/>
      <c r="K14" s="67"/>
      <c r="L14" s="138"/>
      <c r="M14" s="138"/>
      <c r="N14" s="138">
        <f t="shared" si="3"/>
        <v>192288670.62</v>
      </c>
      <c r="O14" s="39" t="s">
        <v>7</v>
      </c>
      <c r="P14" s="39"/>
      <c r="Q14" s="137">
        <f t="shared" si="1"/>
        <v>0</v>
      </c>
    </row>
    <row r="15" spans="1:17" s="3" customFormat="1">
      <c r="A15" t="str">
        <f t="shared" si="2"/>
        <v>Equity InstrumentsUnrealized Price G/L</v>
      </c>
      <c r="B15" t="s">
        <v>5</v>
      </c>
      <c r="C15" t="s">
        <v>168</v>
      </c>
      <c r="D15" t="s">
        <v>175</v>
      </c>
      <c r="E15" t="s">
        <v>174</v>
      </c>
      <c r="F15" s="137">
        <f>SUMIF('BDC post TB'!B:B,Summary!A15,'BDC post TB'!J:J)</f>
        <v>38819783.75</v>
      </c>
      <c r="G15" s="137">
        <f>SUMIF('SBIC post TB(Closed)'!B:B,Summary!A15,'SBIC post TB(Closed)'!J:J)</f>
        <v>0</v>
      </c>
      <c r="H15" s="137">
        <f>SUMIF('SBICII post TB (closed)'!B:B,Summary!A15,'SBICII post TB (closed)'!J:J)</f>
        <v>0</v>
      </c>
      <c r="I15" s="137">
        <f t="shared" si="0"/>
        <v>38819783.75</v>
      </c>
      <c r="J15" s="139"/>
      <c r="K15" s="67"/>
      <c r="L15" s="138"/>
      <c r="M15" s="138"/>
      <c r="N15" s="138">
        <f t="shared" si="3"/>
        <v>38819783.75</v>
      </c>
      <c r="O15" s="39" t="s">
        <v>7</v>
      </c>
      <c r="P15" s="39"/>
      <c r="Q15" s="137">
        <f t="shared" si="1"/>
        <v>0</v>
      </c>
    </row>
    <row r="16" spans="1:17" s="3" customFormat="1">
      <c r="A16" t="str">
        <f>CONCATENATE(D16,E16)</f>
        <v>Equity InstrumentsUnrealized FX GL</v>
      </c>
      <c r="B16" t="s">
        <v>5</v>
      </c>
      <c r="C16" t="s">
        <v>168</v>
      </c>
      <c r="D16" t="s">
        <v>175</v>
      </c>
      <c r="E16" t="s">
        <v>173</v>
      </c>
      <c r="F16" s="137">
        <f>SUMIF('BDC post TB'!B:B,Summary!A16,'BDC post TB'!J:J)</f>
        <v>217624.93</v>
      </c>
      <c r="G16" s="137">
        <f>SUMIF('SBIC post TB(Closed)'!B:B,Summary!A16,'SBIC post TB(Closed)'!J:J)</f>
        <v>0</v>
      </c>
      <c r="H16" s="137">
        <f>SUMIF('SBICII post TB (closed)'!B:B,Summary!A16,'SBICII post TB (closed)'!J:J)</f>
        <v>0</v>
      </c>
      <c r="I16" s="137">
        <f t="shared" si="0"/>
        <v>217624.93</v>
      </c>
      <c r="J16" s="67"/>
      <c r="K16" s="67"/>
      <c r="L16" s="138"/>
      <c r="M16" s="138"/>
      <c r="N16" s="138">
        <f t="shared" si="3"/>
        <v>217624.93</v>
      </c>
      <c r="O16" s="39" t="s">
        <v>7</v>
      </c>
      <c r="P16" s="39"/>
      <c r="Q16" s="137">
        <f t="shared" si="1"/>
        <v>0</v>
      </c>
    </row>
    <row r="17" spans="1:17" s="3" customFormat="1">
      <c r="A17" t="str">
        <f t="shared" si="2"/>
        <v>FinancingAccrued Interest</v>
      </c>
      <c r="B17" t="s">
        <v>5</v>
      </c>
      <c r="C17" t="s">
        <v>168</v>
      </c>
      <c r="D17" t="s">
        <v>176</v>
      </c>
      <c r="E17" t="s">
        <v>170</v>
      </c>
      <c r="F17" s="137">
        <f>SUMIF('BDC post TB'!B:B,Summary!A17,'BDC post TB'!J:J)</f>
        <v>-274954.52</v>
      </c>
      <c r="G17" s="137">
        <f>SUMIF('SBIC post TB(Closed)'!B:B,Summary!A17,'SBIC post TB(Closed)'!J:J)</f>
        <v>0</v>
      </c>
      <c r="H17" s="137">
        <f>SUMIF('SBICII post TB (closed)'!B:B,Summary!A17,'SBICII post TB (closed)'!J:J)</f>
        <v>0</v>
      </c>
      <c r="I17" s="137">
        <f t="shared" si="0"/>
        <v>-274954.52</v>
      </c>
      <c r="J17" s="67"/>
      <c r="K17" s="67"/>
      <c r="L17" s="138"/>
      <c r="M17" s="138"/>
      <c r="N17" s="138">
        <f t="shared" si="3"/>
        <v>-274954.52</v>
      </c>
      <c r="O17" s="39" t="s">
        <v>47</v>
      </c>
      <c r="P17" s="39"/>
      <c r="Q17" s="137"/>
    </row>
    <row r="18" spans="1:17" s="3" customFormat="1">
      <c r="A18" t="str">
        <f t="shared" si="2"/>
        <v>FinancingCost</v>
      </c>
      <c r="B18" t="s">
        <v>5</v>
      </c>
      <c r="C18" t="s">
        <v>168</v>
      </c>
      <c r="D18" t="s">
        <v>176</v>
      </c>
      <c r="E18" t="s">
        <v>172</v>
      </c>
      <c r="F18" s="137">
        <f>SUMIF('BDC post TB'!B:B,Summary!A18,'BDC post TB'!J:J)</f>
        <v>-51456263.619999997</v>
      </c>
      <c r="G18" s="137">
        <f>SUMIF('SBIC post TB(Closed)'!B:B,Summary!A18,'SBIC post TB(Closed)'!J:J)</f>
        <v>0</v>
      </c>
      <c r="H18" s="137">
        <f>SUMIF('SBICII post TB (closed)'!B:B,Summary!A18,'SBICII post TB (closed)'!J:J)</f>
        <v>0</v>
      </c>
      <c r="I18" s="137">
        <f t="shared" si="0"/>
        <v>-51456263.619999997</v>
      </c>
      <c r="J18" s="67"/>
      <c r="K18" s="67"/>
      <c r="L18" s="138"/>
      <c r="M18" s="138"/>
      <c r="N18" s="138">
        <f t="shared" si="3"/>
        <v>-51456263.619999997</v>
      </c>
      <c r="O18" s="39" t="s">
        <v>33</v>
      </c>
      <c r="P18" s="39"/>
      <c r="Q18" s="137"/>
    </row>
    <row r="19" spans="1:17" s="3" customFormat="1">
      <c r="A19" t="str">
        <f t="shared" si="2"/>
        <v>FinancingUnrealized FX GL</v>
      </c>
      <c r="B19" t="s">
        <v>5</v>
      </c>
      <c r="C19" t="s">
        <v>168</v>
      </c>
      <c r="D19" t="s">
        <v>176</v>
      </c>
      <c r="E19" t="s">
        <v>173</v>
      </c>
      <c r="F19" s="137">
        <f>SUMIF('BDC post TB'!B:B,Summary!A19,'BDC post TB'!J:J)</f>
        <v>-12454.14</v>
      </c>
      <c r="G19" s="137">
        <f>SUMIF('SBIC post TB(Closed)'!B:B,Summary!A19,'SBIC post TB(Closed)'!J:J)</f>
        <v>0</v>
      </c>
      <c r="H19" s="137">
        <f>SUMIF('SBICII post TB (closed)'!B:B,Summary!A19,'SBICII post TB (closed)'!J:J)</f>
        <v>0</v>
      </c>
      <c r="I19" s="137">
        <f t="shared" si="0"/>
        <v>-12454.14</v>
      </c>
      <c r="J19" s="67"/>
      <c r="K19" s="67"/>
      <c r="L19" s="138"/>
      <c r="M19" s="138"/>
      <c r="N19" s="138">
        <f t="shared" si="3"/>
        <v>-12454.14</v>
      </c>
      <c r="O19" s="39" t="s">
        <v>33</v>
      </c>
      <c r="P19" s="39"/>
      <c r="Q19" s="137"/>
    </row>
    <row r="20" spans="1:17" s="3" customFormat="1">
      <c r="A20" t="s">
        <v>177</v>
      </c>
      <c r="B20" t="s">
        <v>5</v>
      </c>
      <c r="C20" t="s">
        <v>168</v>
      </c>
      <c r="D20" t="s">
        <v>176</v>
      </c>
      <c r="E20" t="s">
        <v>174</v>
      </c>
      <c r="F20" s="137">
        <f>SUMIF('BDC post TB'!B:B,Summary!A20,'BDC post TB'!J:J)</f>
        <v>0</v>
      </c>
      <c r="G20" s="137">
        <f>SUMIF('SBIC post TB(Closed)'!B:B,Summary!A20,'SBIC post TB(Closed)'!J:J)</f>
        <v>0</v>
      </c>
      <c r="H20" s="137">
        <f>SUMIF('SBICII post TB (closed)'!B:B,Summary!A20,'SBICII post TB (closed)'!J:J)</f>
        <v>0</v>
      </c>
      <c r="I20" s="137">
        <f t="shared" si="0"/>
        <v>0</v>
      </c>
      <c r="J20" s="67"/>
      <c r="K20" s="67"/>
      <c r="L20" s="138"/>
      <c r="M20" s="138"/>
      <c r="N20" s="138">
        <f t="shared" si="3"/>
        <v>0</v>
      </c>
      <c r="O20" s="39" t="s">
        <v>33</v>
      </c>
      <c r="P20" s="39"/>
      <c r="Q20" s="137"/>
    </row>
    <row r="21" spans="1:17" s="3" customFormat="1">
      <c r="A21" t="str">
        <f t="shared" si="2"/>
        <v>MoneyMarketAccrued Interest</v>
      </c>
      <c r="B21" t="s">
        <v>5</v>
      </c>
      <c r="C21" t="s">
        <v>168</v>
      </c>
      <c r="D21" t="s">
        <v>12</v>
      </c>
      <c r="E21" t="s">
        <v>170</v>
      </c>
      <c r="F21" s="137">
        <f>SUMIF('BDC post TB'!B:B,Summary!A21,'BDC post TB'!J:J)</f>
        <v>0</v>
      </c>
      <c r="G21" s="137">
        <f>SUMIF('SBIC post TB(Closed)'!B:B,Summary!A21,'SBIC post TB(Closed)'!J:J)</f>
        <v>0</v>
      </c>
      <c r="H21" s="137">
        <f>SUMIF('SBICII post TB (closed)'!B:B,Summary!A21,'SBICII post TB (closed)'!J:J)</f>
        <v>0</v>
      </c>
      <c r="I21" s="137">
        <f t="shared" si="0"/>
        <v>0</v>
      </c>
      <c r="J21" s="67"/>
      <c r="K21" s="67"/>
      <c r="L21" s="138"/>
      <c r="M21" s="138"/>
      <c r="N21" s="138">
        <f t="shared" si="3"/>
        <v>0</v>
      </c>
      <c r="O21" s="39" t="s">
        <v>7</v>
      </c>
      <c r="P21" s="39"/>
      <c r="Q21" s="137">
        <f>IF(AND(B21="Liabilities",N21&gt;0),N21,0)</f>
        <v>0</v>
      </c>
    </row>
    <row r="22" spans="1:17" s="3" customFormat="1">
      <c r="A22" t="str">
        <f>CONCATENATE(D22,E22)</f>
        <v>FundAccrued Interest</v>
      </c>
      <c r="B22" t="s">
        <v>5</v>
      </c>
      <c r="C22" t="s">
        <v>168</v>
      </c>
      <c r="D22" t="s">
        <v>178</v>
      </c>
      <c r="E22" t="s">
        <v>170</v>
      </c>
      <c r="F22" s="137">
        <f>SUMIF('BDC post TB'!B:B,Summary!A22,'BDC post TB'!J:J)</f>
        <v>4291063.6399999997</v>
      </c>
      <c r="G22" s="137">
        <f>SUMIF('SBIC post TB(Closed)'!B:B,Summary!A22,'SBIC post TB(Closed)'!J:J)</f>
        <v>0</v>
      </c>
      <c r="H22" s="137">
        <f>SUMIF('SBICII post TB (closed)'!B:B,Summary!A22,'SBICII post TB (closed)'!J:J)</f>
        <v>0</v>
      </c>
      <c r="I22" s="137">
        <f t="shared" si="0"/>
        <v>4291063.6399999997</v>
      </c>
      <c r="J22" s="67"/>
      <c r="K22" s="67"/>
      <c r="L22" s="138"/>
      <c r="M22" s="138"/>
      <c r="N22" s="138">
        <f t="shared" si="3"/>
        <v>4291063.6399999997</v>
      </c>
      <c r="O22" s="39" t="s">
        <v>15</v>
      </c>
      <c r="P22" s="39"/>
      <c r="Q22" s="137">
        <f>IF(AND(B22="Liabilities",N22&gt;0),N22,0)</f>
        <v>0</v>
      </c>
    </row>
    <row r="23" spans="1:17" s="3" customFormat="1">
      <c r="A23" t="str">
        <f t="shared" si="2"/>
        <v>FundCost</v>
      </c>
      <c r="B23" t="s">
        <v>5</v>
      </c>
      <c r="C23" t="s">
        <v>168</v>
      </c>
      <c r="D23" t="s">
        <v>178</v>
      </c>
      <c r="E23" t="s">
        <v>172</v>
      </c>
      <c r="F23" s="137">
        <f>SUMIF('BDC post TB'!B:B,Summary!A23,'BDC post TB'!J:J)</f>
        <v>230761084.28999999</v>
      </c>
      <c r="G23" s="137">
        <f>SUMIF('SBIC post TB(Closed)'!B:B,Summary!A23,'SBIC post TB(Closed)'!J:J)</f>
        <v>0</v>
      </c>
      <c r="H23" s="137">
        <f>SUMIF('SBICII post TB (closed)'!B:B,Summary!A23,'SBICII post TB (closed)'!J:J)</f>
        <v>0</v>
      </c>
      <c r="I23" s="137">
        <f t="shared" si="0"/>
        <v>230761084.28999999</v>
      </c>
      <c r="J23" s="67"/>
      <c r="K23" s="67"/>
      <c r="L23" s="138"/>
      <c r="M23" s="138"/>
      <c r="N23" s="138">
        <f t="shared" si="3"/>
        <v>230761084.28999999</v>
      </c>
      <c r="O23" s="39" t="s">
        <v>7</v>
      </c>
      <c r="P23" s="39"/>
      <c r="Q23" s="137">
        <f>IF(AND(B23="Liabilities",N23&gt;0),N23,0)</f>
        <v>0</v>
      </c>
    </row>
    <row r="24" spans="1:17" s="3" customFormat="1">
      <c r="A24" t="str">
        <f t="shared" si="2"/>
        <v>FundUnrealized Price G/L</v>
      </c>
      <c r="B24" t="s">
        <v>5</v>
      </c>
      <c r="C24" t="s">
        <v>168</v>
      </c>
      <c r="D24" t="s">
        <v>178</v>
      </c>
      <c r="E24" t="s">
        <v>174</v>
      </c>
      <c r="F24" s="137">
        <f>SUMIF('BDC post TB'!B:B,Summary!A24,'BDC post TB'!J:J)</f>
        <v>-22470517.93</v>
      </c>
      <c r="G24" s="137">
        <f>SUMIF('SBIC post TB(Closed)'!B:B,Summary!A24,'SBIC post TB(Closed)'!J:J)</f>
        <v>0</v>
      </c>
      <c r="H24" s="137">
        <f>SUMIF('SBICII post TB (closed)'!B:B,Summary!A24,'SBICII post TB (closed)'!J:J)</f>
        <v>0</v>
      </c>
      <c r="I24" s="137">
        <f t="shared" si="0"/>
        <v>-22470517.93</v>
      </c>
      <c r="J24" s="67"/>
      <c r="K24" s="67"/>
      <c r="L24" s="138"/>
      <c r="M24" s="138"/>
      <c r="N24" s="138">
        <f t="shared" si="3"/>
        <v>-22470517.93</v>
      </c>
      <c r="O24" s="39" t="s">
        <v>7</v>
      </c>
      <c r="P24" s="39"/>
      <c r="Q24" s="137">
        <f>IF(AND(B24="Liabilities",N24&gt;0),N24,0)</f>
        <v>0</v>
      </c>
    </row>
    <row r="25" spans="1:17" s="3" customFormat="1">
      <c r="A25" t="str">
        <f t="shared" si="2"/>
        <v>MoneyMarketCost</v>
      </c>
      <c r="B25" t="s">
        <v>5</v>
      </c>
      <c r="C25" t="s">
        <v>168</v>
      </c>
      <c r="D25" t="s">
        <v>12</v>
      </c>
      <c r="E25" t="s">
        <v>172</v>
      </c>
      <c r="F25" s="137">
        <f>SUMIF('BDC post TB'!B:B,Summary!A25,'BDC post TB'!J:J)</f>
        <v>30530529.359999999</v>
      </c>
      <c r="G25" s="137">
        <f>SUMIF('SBIC post TB(Closed)'!B:B,Summary!A25,'SBIC post TB(Closed)'!J:J)</f>
        <v>0</v>
      </c>
      <c r="H25" s="137">
        <f>SUMIF('SBICII post TB (closed)'!B:B,Summary!A25,'SBICII post TB (closed)'!J:J)</f>
        <v>0</v>
      </c>
      <c r="I25" s="137">
        <f t="shared" si="0"/>
        <v>30530529.359999999</v>
      </c>
      <c r="J25" s="67"/>
      <c r="K25" s="67"/>
      <c r="L25" s="138"/>
      <c r="M25" s="138"/>
      <c r="N25" s="138">
        <f t="shared" si="3"/>
        <v>30530529.359999999</v>
      </c>
      <c r="O25" s="39" t="s">
        <v>13</v>
      </c>
      <c r="P25" s="39"/>
      <c r="Q25" s="137">
        <f>IF(AND(B25="Liabilities",N25&gt;0),N25,0)</f>
        <v>0</v>
      </c>
    </row>
    <row r="26" spans="1:17" s="3" customFormat="1">
      <c r="A26" t="str">
        <f t="shared" si="2"/>
        <v>OtherAccrued Interest</v>
      </c>
      <c r="B26" t="s">
        <v>5</v>
      </c>
      <c r="C26" t="s">
        <v>168</v>
      </c>
      <c r="D26" t="s">
        <v>179</v>
      </c>
      <c r="E26" t="s">
        <v>170</v>
      </c>
      <c r="F26" s="137">
        <f>SUMIF('BDC post TB'!B:B,Summary!A26,'BDC post TB'!J:J)</f>
        <v>-3352083.33</v>
      </c>
      <c r="G26" s="137">
        <f>SUMIF('SBIC post TB(Closed)'!B:B,Summary!A26,'SBIC post TB(Closed)'!J:J)</f>
        <v>0</v>
      </c>
      <c r="H26" s="137">
        <f>SUMIF('SBICII post TB (closed)'!B:B,Summary!A26,'SBICII post TB (closed)'!J:J)</f>
        <v>0</v>
      </c>
      <c r="I26" s="137">
        <f t="shared" si="0"/>
        <v>-3352083.33</v>
      </c>
      <c r="J26" s="67"/>
      <c r="K26" s="67"/>
      <c r="L26" s="138"/>
      <c r="M26" s="138"/>
      <c r="N26" s="138">
        <f t="shared" si="3"/>
        <v>-3352083.33</v>
      </c>
      <c r="O26" s="39" t="s">
        <v>47</v>
      </c>
      <c r="P26" s="39"/>
      <c r="Q26" s="137"/>
    </row>
    <row r="27" spans="1:17" s="3" customFormat="1">
      <c r="A27" t="str">
        <f t="shared" si="2"/>
        <v>OtherAmortization / Accretion</v>
      </c>
      <c r="B27" t="s">
        <v>5</v>
      </c>
      <c r="C27" t="s">
        <v>168</v>
      </c>
      <c r="D27" t="s">
        <v>179</v>
      </c>
      <c r="E27" t="s">
        <v>171</v>
      </c>
      <c r="F27" s="137">
        <f>SUMIF('BDC post TB'!B:B,Summary!A27,'BDC post TB'!J:J)</f>
        <v>0</v>
      </c>
      <c r="G27" s="137">
        <f>SUMIF('SBIC post TB(Closed)'!B:B,Summary!A27,'SBIC post TB(Closed)'!J:J)</f>
        <v>0</v>
      </c>
      <c r="H27" s="137">
        <f>SUMIF('SBICII post TB (closed)'!B:B,Summary!A27,'SBICII post TB (closed)'!J:J)</f>
        <v>0</v>
      </c>
      <c r="I27" s="137">
        <f t="shared" si="0"/>
        <v>0</v>
      </c>
      <c r="J27" s="67"/>
      <c r="K27" s="67"/>
      <c r="L27" s="138"/>
      <c r="M27" s="138"/>
      <c r="N27" s="138">
        <f t="shared" si="3"/>
        <v>0</v>
      </c>
      <c r="O27" s="39"/>
      <c r="P27" s="39"/>
      <c r="Q27" s="137"/>
    </row>
    <row r="28" spans="1:17" s="3" customFormat="1">
      <c r="A28" t="str">
        <f t="shared" si="2"/>
        <v>OtherCost</v>
      </c>
      <c r="B28" t="s">
        <v>5</v>
      </c>
      <c r="C28" t="s">
        <v>168</v>
      </c>
      <c r="D28" t="s">
        <v>179</v>
      </c>
      <c r="E28" t="s">
        <v>172</v>
      </c>
      <c r="F28" s="137">
        <f>SUMIF('BDC post TB'!B:B,Summary!A28,'BDC post TB'!J:J)</f>
        <v>-390000000</v>
      </c>
      <c r="G28" s="137">
        <f>SUMIF('SBIC post TB(Closed)'!B:B,Summary!A28,'SBIC post TB(Closed)'!J:J)</f>
        <v>0</v>
      </c>
      <c r="H28" s="137">
        <f>SUMIF('SBICII post TB (closed)'!B:B,Summary!A28,'SBICII post TB (closed)'!J:J)</f>
        <v>0</v>
      </c>
      <c r="I28" s="137">
        <f t="shared" si="0"/>
        <v>-390000000</v>
      </c>
      <c r="J28" s="67"/>
      <c r="K28" s="67"/>
      <c r="L28" s="138"/>
      <c r="M28" s="138"/>
      <c r="N28" s="138">
        <f t="shared" si="3"/>
        <v>-390000000</v>
      </c>
      <c r="O28" s="39"/>
      <c r="P28" s="39"/>
      <c r="Q28" s="137"/>
    </row>
    <row r="29" spans="1:17" s="3" customFormat="1">
      <c r="A29" t="str">
        <f t="shared" si="2"/>
        <v>OtherUnrealized Price G/L</v>
      </c>
      <c r="B29" t="s">
        <v>5</v>
      </c>
      <c r="C29" t="s">
        <v>168</v>
      </c>
      <c r="D29" t="s">
        <v>179</v>
      </c>
      <c r="E29" t="s">
        <v>174</v>
      </c>
      <c r="F29" s="137">
        <f>SUMIF('BDC post TB'!B:B,Summary!A29,'BDC post TB'!J:J)</f>
        <v>0</v>
      </c>
      <c r="G29" s="137">
        <f>SUMIF('SBIC post TB(Closed)'!B:B,Summary!A29,'SBIC post TB(Closed)'!J:J)</f>
        <v>0</v>
      </c>
      <c r="H29" s="137">
        <f>SUMIF('SBICII post TB (closed)'!B:B,Summary!A29,'SBICII post TB (closed)'!J:J)</f>
        <v>0</v>
      </c>
      <c r="I29" s="137">
        <f t="shared" si="0"/>
        <v>0</v>
      </c>
      <c r="J29" s="67"/>
      <c r="K29" s="67"/>
      <c r="L29" s="138"/>
      <c r="M29" s="138"/>
      <c r="N29" s="138">
        <f t="shared" si="3"/>
        <v>0</v>
      </c>
      <c r="O29" s="39"/>
      <c r="P29" s="39"/>
      <c r="Q29" s="137"/>
    </row>
    <row r="30" spans="1:17" s="3" customFormat="1">
      <c r="A30" t="str">
        <f t="shared" si="2"/>
        <v>CashCost</v>
      </c>
      <c r="B30" t="s">
        <v>5</v>
      </c>
      <c r="C30" t="s">
        <v>168</v>
      </c>
      <c r="D30" t="s">
        <v>11</v>
      </c>
      <c r="E30" t="s">
        <v>172</v>
      </c>
      <c r="F30" s="137">
        <f>SUMIF('BDC post TB'!B:B,Summary!A30,'BDC post TB'!J:J)</f>
        <v>17446867.52</v>
      </c>
      <c r="G30" s="137">
        <f>SUMIF('SBIC post TB(Closed)'!B:B,Summary!A30,'SBIC post TB(Closed)'!J:J)</f>
        <v>0</v>
      </c>
      <c r="H30" s="137">
        <f>SUMIF('SBICII post TB (closed)'!B:B,Summary!A30,'SBICII post TB (closed)'!J:J)</f>
        <v>0</v>
      </c>
      <c r="I30" s="137">
        <f t="shared" si="0"/>
        <v>17446867.52</v>
      </c>
      <c r="J30" s="140">
        <f>-'BDC post TB'!J31</f>
        <v>-465074.15</v>
      </c>
      <c r="K30" s="67"/>
      <c r="L30" s="138"/>
      <c r="M30" s="138"/>
      <c r="N30" s="138">
        <f t="shared" si="3"/>
        <v>16981793.370000001</v>
      </c>
      <c r="O30" s="39" t="s">
        <v>9</v>
      </c>
      <c r="P30" s="39"/>
      <c r="Q30" s="137">
        <f t="shared" ref="Q30:Q43" si="4">IF(AND(B30="Liabilities",N30&gt;0),N30,0)</f>
        <v>0</v>
      </c>
    </row>
    <row r="31" spans="1:17" s="3" customFormat="1">
      <c r="A31" t="str">
        <f t="shared" si="2"/>
        <v>CashUnrealized FX GL</v>
      </c>
      <c r="B31" t="s">
        <v>5</v>
      </c>
      <c r="C31" t="s">
        <v>168</v>
      </c>
      <c r="D31" t="s">
        <v>11</v>
      </c>
      <c r="E31" t="s">
        <v>173</v>
      </c>
      <c r="F31" s="137">
        <f>SUMIF('BDC post TB'!B:B,Summary!A31,'BDC post TB'!J:J)</f>
        <v>276235.03999999998</v>
      </c>
      <c r="G31" s="137">
        <f>SUMIF('SBIC post TB(Closed)'!B:B,Summary!A31,'SBIC post TB(Closed)'!J:J)</f>
        <v>0</v>
      </c>
      <c r="H31" s="137">
        <f>SUMIF('SBICII post TB (closed)'!B:B,Summary!A31,'SBICII post TB (closed)'!J:J)</f>
        <v>0</v>
      </c>
      <c r="I31" s="137">
        <f t="shared" si="0"/>
        <v>276235.03999999998</v>
      </c>
      <c r="J31"/>
      <c r="K31" s="67"/>
      <c r="L31" s="138"/>
      <c r="M31" s="138"/>
      <c r="N31" s="138">
        <f t="shared" si="3"/>
        <v>276235.03999999998</v>
      </c>
      <c r="O31" s="39" t="s">
        <v>9</v>
      </c>
      <c r="P31" s="39"/>
      <c r="Q31" s="137">
        <f t="shared" si="4"/>
        <v>0</v>
      </c>
    </row>
    <row r="32" spans="1:17" s="3" customFormat="1">
      <c r="A32" t="str">
        <f>CONCATENATE(D32,E32)</f>
        <v>DistributionsReceivable Cost</v>
      </c>
      <c r="B32" t="s">
        <v>5</v>
      </c>
      <c r="C32" t="s">
        <v>180</v>
      </c>
      <c r="D32" t="s">
        <v>20</v>
      </c>
      <c r="E32" t="s">
        <v>172</v>
      </c>
      <c r="F32" s="137">
        <f>SUMIF('BDC post TB'!B:B,Summary!A32,'BDC post TB'!J:J)</f>
        <v>0</v>
      </c>
      <c r="G32" s="137">
        <f>SUMIF('SBIC post TB(Closed)'!B:B,Summary!A32,'SBIC post TB(Closed)'!J:J)</f>
        <v>0</v>
      </c>
      <c r="H32" s="137">
        <f>SUMIF('SBICII post TB (closed)'!B:B,Summary!A32,'SBICII post TB (closed)'!J:J)</f>
        <v>0</v>
      </c>
      <c r="I32" s="137">
        <f t="shared" si="0"/>
        <v>0</v>
      </c>
      <c r="J32" s="67"/>
      <c r="K32" s="67"/>
      <c r="L32" s="138"/>
      <c r="M32" s="138"/>
      <c r="N32" s="138">
        <f t="shared" si="3"/>
        <v>0</v>
      </c>
      <c r="O32" s="39" t="s">
        <v>19</v>
      </c>
      <c r="P32" s="39"/>
      <c r="Q32" s="137">
        <f t="shared" si="4"/>
        <v>0</v>
      </c>
    </row>
    <row r="33" spans="1:17" s="3" customFormat="1">
      <c r="A33" t="str">
        <f t="shared" ref="A33:A40" si="5">CONCATENATE(D33,E33)</f>
        <v>Dividend Receivable Cost</v>
      </c>
      <c r="B33" t="s">
        <v>5</v>
      </c>
      <c r="C33" t="s">
        <v>180</v>
      </c>
      <c r="D33" t="s">
        <v>181</v>
      </c>
      <c r="E33" t="s">
        <v>172</v>
      </c>
      <c r="F33" s="137">
        <f>SUMIF('BDC post TB'!B:B,Summary!A33,'BDC post TB'!J:J)</f>
        <v>230769</v>
      </c>
      <c r="G33" s="137">
        <f>SUMIF('SBIC post TB(Closed)'!B:B,Summary!A33,'SBIC post TB(Closed)'!J:J)</f>
        <v>0</v>
      </c>
      <c r="H33" s="137">
        <f>SUMIF('SBICII post TB (closed)'!B:B,Summary!A33,'SBICII post TB (closed)'!J:J)</f>
        <v>0</v>
      </c>
      <c r="I33" s="137">
        <f>SUM(F33:H33)</f>
        <v>230769</v>
      </c>
      <c r="J33" s="67"/>
      <c r="K33" s="67"/>
      <c r="L33" s="138"/>
      <c r="M33" s="138"/>
      <c r="N33" s="138">
        <f t="shared" si="3"/>
        <v>230769</v>
      </c>
      <c r="O33" s="39" t="s">
        <v>19</v>
      </c>
      <c r="P33" s="39"/>
      <c r="Q33" s="137"/>
    </row>
    <row r="34" spans="1:17" s="3" customFormat="1">
      <c r="A34" t="str">
        <f t="shared" si="5"/>
        <v>Due From PennantPark Admin Cost</v>
      </c>
      <c r="B34" t="s">
        <v>5</v>
      </c>
      <c r="C34" t="s">
        <v>180</v>
      </c>
      <c r="D34" t="s">
        <v>182</v>
      </c>
      <c r="E34" t="s">
        <v>172</v>
      </c>
      <c r="F34" s="137">
        <f>SUMIF('BDC post TB'!B:B,Summary!A34,'BDC post TB'!J:J)</f>
        <v>81285.149999999994</v>
      </c>
      <c r="G34" s="137">
        <f>SUMIF('SBIC post TB(Closed)'!B:B,Summary!A34,'SBIC post TB(Closed)'!J:J)</f>
        <v>0</v>
      </c>
      <c r="H34" s="137">
        <f>SUMIF('SBICII post TB (closed)'!B:B,Summary!A34,'SBICII post TB (closed)'!J:J)</f>
        <v>0</v>
      </c>
      <c r="I34" s="137">
        <f t="shared" ref="I34:I40" si="6">SUM(F34:H34)</f>
        <v>81285.149999999994</v>
      </c>
      <c r="J34" s="67"/>
      <c r="K34" s="67"/>
      <c r="L34" s="138"/>
      <c r="M34" s="138"/>
      <c r="N34" s="138">
        <f t="shared" ref="N34:N40" si="7">SUM(I34:M34)</f>
        <v>81285.149999999994</v>
      </c>
      <c r="O34" s="39" t="s">
        <v>21</v>
      </c>
      <c r="P34" s="39"/>
      <c r="Q34" s="137"/>
    </row>
    <row r="35" spans="1:17" s="3" customFormat="1">
      <c r="A35" t="str">
        <f t="shared" ref="A35" si="8">CONCATENATE(D35,E35)</f>
        <v>Receivable Cost</v>
      </c>
      <c r="B35" t="s">
        <v>5</v>
      </c>
      <c r="C35" t="s">
        <v>180</v>
      </c>
      <c r="D35" t="s">
        <v>183</v>
      </c>
      <c r="E35" t="s">
        <v>172</v>
      </c>
      <c r="F35" s="137">
        <f>SUMIF('BDC post TB'!B:B,Summary!A35,'BDC post TB'!J:J)</f>
        <v>73832135.959999993</v>
      </c>
      <c r="G35" s="137">
        <f>SUMIF('SBIC post TB(Closed)'!B:B,Summary!A35,'SBIC post TB(Closed)'!J:J)</f>
        <v>0</v>
      </c>
      <c r="H35" s="137">
        <f>SUMIF('SBICII post TB (closed)'!B:B,Summary!A35,'SBICII post TB (closed)'!J:J)</f>
        <v>0</v>
      </c>
      <c r="I35" s="137">
        <f t="shared" ref="I35" si="9">SUM(F35:H35)</f>
        <v>73832135.959999993</v>
      </c>
      <c r="J35" s="67"/>
      <c r="K35" s="67"/>
      <c r="L35" s="138"/>
      <c r="M35" s="138"/>
      <c r="N35" s="138">
        <f t="shared" ref="N35" si="10">SUM(I35:M35)</f>
        <v>73832135.959999993</v>
      </c>
      <c r="O35" s="39" t="s">
        <v>17</v>
      </c>
      <c r="P35" s="39"/>
      <c r="Q35" s="137">
        <f t="shared" ref="Q35" si="11">IF(AND(B35="Liabilities",N35&gt;0),N35,0)</f>
        <v>0</v>
      </c>
    </row>
    <row r="36" spans="1:17" s="3" customFormat="1">
      <c r="A36" t="str">
        <f t="shared" si="5"/>
        <v>ReceivablesCost</v>
      </c>
      <c r="B36" t="s">
        <v>5</v>
      </c>
      <c r="C36" t="s">
        <v>180</v>
      </c>
      <c r="D36" t="s">
        <v>180</v>
      </c>
      <c r="E36" t="s">
        <v>172</v>
      </c>
      <c r="F36" s="137">
        <f>SUMIF('BDC post TB'!B:B,Summary!A36,'BDC post TB'!J:J)</f>
        <v>0</v>
      </c>
      <c r="G36" s="137">
        <f>SUMIF('SBIC post TB(Closed)'!B:B,Summary!A36,'SBIC post TB(Closed)'!J:J)</f>
        <v>0</v>
      </c>
      <c r="H36" s="137">
        <f>SUMIF('SBICII post TB (closed)'!B:B,Summary!A36,'SBICII post TB (closed)'!J:J)</f>
        <v>0</v>
      </c>
      <c r="I36" s="137">
        <f t="shared" si="6"/>
        <v>0</v>
      </c>
      <c r="J36" s="67"/>
      <c r="K36" s="67"/>
      <c r="L36" s="138"/>
      <c r="M36" s="138"/>
      <c r="N36" s="138">
        <f t="shared" ref="N36:N37" si="12">SUM(I36:M36)</f>
        <v>0</v>
      </c>
      <c r="O36" s="39" t="s">
        <v>17</v>
      </c>
      <c r="P36" s="39"/>
      <c r="Q36" s="137">
        <f t="shared" si="4"/>
        <v>0</v>
      </c>
    </row>
    <row r="37" spans="1:17" s="3" customFormat="1">
      <c r="A37" t="str">
        <f t="shared" si="5"/>
        <v>CouponInterestReceivable Cost</v>
      </c>
      <c r="B37" t="s">
        <v>5</v>
      </c>
      <c r="C37" t="s">
        <v>180</v>
      </c>
      <c r="D37" t="s">
        <v>184</v>
      </c>
      <c r="E37" t="s">
        <v>172</v>
      </c>
      <c r="F37" s="137">
        <f>SUMIF('BDC post TB'!B:B,Summary!A37,'BDC post TB'!J:J)</f>
        <v>0</v>
      </c>
      <c r="G37" s="137">
        <f>SUMIF('SBIC post TB(Closed)'!B:B,Summary!A37,'SBIC post TB(Closed)'!J:J)</f>
        <v>0</v>
      </c>
      <c r="H37" s="137">
        <f>SUMIF('SBICII post TB (closed)'!B:B,Summary!A37,'SBICII post TB (closed)'!J:J)</f>
        <v>0</v>
      </c>
      <c r="I37" s="137">
        <f>SUM(F37:H37)</f>
        <v>0</v>
      </c>
      <c r="J37" s="67"/>
      <c r="K37" s="67"/>
      <c r="L37" s="138"/>
      <c r="M37" s="138"/>
      <c r="N37" s="138">
        <f t="shared" si="12"/>
        <v>0</v>
      </c>
      <c r="O37" s="39" t="s">
        <v>15</v>
      </c>
      <c r="P37" s="39"/>
      <c r="Q37" s="137"/>
    </row>
    <row r="38" spans="1:17">
      <c r="A38" t="str">
        <f t="shared" si="5"/>
        <v>Interest Receivable Cost</v>
      </c>
      <c r="B38" t="s">
        <v>5</v>
      </c>
      <c r="C38" t="s">
        <v>180</v>
      </c>
      <c r="D38" t="s">
        <v>185</v>
      </c>
      <c r="E38" t="s">
        <v>172</v>
      </c>
      <c r="F38" s="137">
        <f>SUMIF('BDC post TB'!B:B,Summary!A38,'BDC post TB'!J:J)</f>
        <v>78891.41</v>
      </c>
      <c r="G38" s="137">
        <f>SUMIF('SBIC post TB(Closed)'!B:B,Summary!A38,'SBIC post TB(Closed)'!J:J)</f>
        <v>0</v>
      </c>
      <c r="H38" s="137">
        <f>SUMIF('SBICII post TB (closed)'!B:B,Summary!A38,'SBICII post TB (closed)'!J:J)</f>
        <v>0</v>
      </c>
      <c r="I38" s="137">
        <f t="shared" si="6"/>
        <v>78891.41</v>
      </c>
      <c r="J38" s="139">
        <f>-J30</f>
        <v>465074.15</v>
      </c>
      <c r="K38" s="67"/>
      <c r="L38" s="138"/>
      <c r="M38" s="138"/>
      <c r="N38" s="138">
        <f t="shared" si="7"/>
        <v>543965.56000000006</v>
      </c>
      <c r="O38" s="39" t="s">
        <v>15</v>
      </c>
      <c r="P38" s="39"/>
      <c r="Q38" s="137">
        <f t="shared" si="4"/>
        <v>0</v>
      </c>
    </row>
    <row r="39" spans="1:17">
      <c r="A39" t="str">
        <f t="shared" si="5"/>
        <v>Interest Receivable Sweep Cost</v>
      </c>
      <c r="B39" t="s">
        <v>5</v>
      </c>
      <c r="C39" t="s">
        <v>180</v>
      </c>
      <c r="D39" t="s">
        <v>186</v>
      </c>
      <c r="E39" t="s">
        <v>172</v>
      </c>
      <c r="F39" s="137">
        <f>SUMIF('BDC post TB'!B:B,Summary!A39,'BDC post TB'!J:J)</f>
        <v>0</v>
      </c>
      <c r="G39" s="137">
        <f>SUMIF('SBIC post TB(Closed)'!B:B,Summary!A39,'SBIC post TB(Closed)'!J:J)</f>
        <v>0</v>
      </c>
      <c r="H39" s="137">
        <f>SUMIF('SBICII post TB (closed)'!B:B,Summary!A39,'SBICII post TB (closed)'!J:J)</f>
        <v>0</v>
      </c>
      <c r="I39" s="137">
        <f t="shared" si="6"/>
        <v>0</v>
      </c>
      <c r="J39" s="67"/>
      <c r="K39" s="67"/>
      <c r="L39" s="138"/>
      <c r="M39" s="138"/>
      <c r="N39" s="138">
        <f t="shared" si="7"/>
        <v>0</v>
      </c>
      <c r="O39" s="39" t="s">
        <v>15</v>
      </c>
      <c r="P39" s="39"/>
      <c r="Q39" s="137">
        <f t="shared" si="4"/>
        <v>0</v>
      </c>
    </row>
    <row r="40" spans="1:17">
      <c r="A40" t="str">
        <f t="shared" si="5"/>
        <v>PIK Interest Receivable Cost</v>
      </c>
      <c r="B40" t="s">
        <v>5</v>
      </c>
      <c r="C40" t="s">
        <v>180</v>
      </c>
      <c r="D40" t="s">
        <v>187</v>
      </c>
      <c r="E40" t="s">
        <v>172</v>
      </c>
      <c r="F40" s="137">
        <f>SUMIF('BDC post TB'!B:B,Summary!A40,'BDC post TB'!J:J)</f>
        <v>0</v>
      </c>
      <c r="G40" s="137">
        <f>SUMIF('SBIC post TB(Closed)'!B:B,Summary!A40,'SBIC post TB(Closed)'!J:J)</f>
        <v>0</v>
      </c>
      <c r="H40" s="137">
        <f>SUMIF('SBICII post TB (closed)'!B:B,Summary!A40,'SBICII post TB (closed)'!J:J)</f>
        <v>0</v>
      </c>
      <c r="I40" s="137">
        <f t="shared" si="6"/>
        <v>0</v>
      </c>
      <c r="J40" s="67"/>
      <c r="K40" s="67"/>
      <c r="L40" s="138"/>
      <c r="M40" s="138"/>
      <c r="N40" s="138">
        <f t="shared" si="7"/>
        <v>0</v>
      </c>
      <c r="O40" s="39" t="s">
        <v>15</v>
      </c>
      <c r="P40" s="39"/>
      <c r="Q40" s="137">
        <f t="shared" si="4"/>
        <v>0</v>
      </c>
    </row>
    <row r="41" spans="1:17">
      <c r="A41" t="str">
        <f t="shared" si="2"/>
        <v>Prepaid Admin Fee Cost</v>
      </c>
      <c r="B41" t="s">
        <v>5</v>
      </c>
      <c r="C41" t="s">
        <v>180</v>
      </c>
      <c r="D41" t="s">
        <v>188</v>
      </c>
      <c r="E41" t="s">
        <v>172</v>
      </c>
      <c r="F41" s="137">
        <f>SUMIF('BDC post TB'!B:B,Summary!A41,'BDC post TB'!J:J)</f>
        <v>0</v>
      </c>
      <c r="G41" s="137">
        <f>SUMIF('SBIC post TB(Closed)'!B:B,Summary!A41,'SBIC post TB(Closed)'!J:J)</f>
        <v>0</v>
      </c>
      <c r="H41" s="137">
        <f>SUMIF('SBICII post TB (closed)'!B:B,Summary!A41,'SBICII post TB (closed)'!J:J)</f>
        <v>0</v>
      </c>
      <c r="I41" s="137">
        <f t="shared" si="0"/>
        <v>0</v>
      </c>
      <c r="J41" s="67"/>
      <c r="K41" s="67"/>
      <c r="L41" s="138"/>
      <c r="M41" s="138"/>
      <c r="N41" s="138">
        <f t="shared" si="3"/>
        <v>0</v>
      </c>
      <c r="O41" s="39" t="s">
        <v>23</v>
      </c>
      <c r="P41" s="39"/>
      <c r="Q41" s="137">
        <f t="shared" si="4"/>
        <v>0</v>
      </c>
    </row>
    <row r="42" spans="1:17">
      <c r="A42" t="str">
        <f t="shared" si="2"/>
        <v>Prepaid Fidelity Bond Cost</v>
      </c>
      <c r="B42" t="s">
        <v>5</v>
      </c>
      <c r="C42" t="s">
        <v>180</v>
      </c>
      <c r="D42" t="s">
        <v>189</v>
      </c>
      <c r="E42" t="s">
        <v>172</v>
      </c>
      <c r="F42" s="137">
        <f>SUMIF('BDC post TB'!B:B,Summary!A42,'BDC post TB'!J:J)</f>
        <v>51349.65</v>
      </c>
      <c r="G42" s="137">
        <f>SUMIF('SBIC post TB(Closed)'!B:B,Summary!A42,'SBIC post TB(Closed)'!J:J)</f>
        <v>0</v>
      </c>
      <c r="H42" s="137">
        <f>SUMIF('SBICII post TB (closed)'!B:B,Summary!A42,'SBICII post TB (closed)'!J:J)</f>
        <v>0</v>
      </c>
      <c r="I42" s="137">
        <f t="shared" si="0"/>
        <v>51349.65</v>
      </c>
      <c r="J42" s="67"/>
      <c r="K42" s="67"/>
      <c r="L42" s="138"/>
      <c r="M42" s="138"/>
      <c r="N42" s="138">
        <f t="shared" si="3"/>
        <v>51349.65</v>
      </c>
      <c r="O42" s="39" t="s">
        <v>23</v>
      </c>
      <c r="P42" s="39"/>
      <c r="Q42" s="137">
        <f t="shared" si="4"/>
        <v>0</v>
      </c>
    </row>
    <row r="43" spans="1:17">
      <c r="A43" t="str">
        <f t="shared" si="2"/>
        <v>Receivable from IM Cost</v>
      </c>
      <c r="B43" t="s">
        <v>5</v>
      </c>
      <c r="C43" t="s">
        <v>180</v>
      </c>
      <c r="D43" t="s">
        <v>190</v>
      </c>
      <c r="E43" t="s">
        <v>172</v>
      </c>
      <c r="F43" s="137">
        <f>SUMIF('BDC post TB'!B:B,Summary!A43,'BDC post TB'!J:J)</f>
        <v>0</v>
      </c>
      <c r="G43" s="137">
        <f>SUMIF('SBIC post TB(Closed)'!B:B,Summary!A43,'SBIC post TB(Closed)'!J:J)</f>
        <v>0</v>
      </c>
      <c r="H43" s="137">
        <f>SUMIF('SBICII post TB (closed)'!B:B,Summary!A43,'SBICII post TB (closed)'!J:J)</f>
        <v>0</v>
      </c>
      <c r="I43" s="137">
        <f t="shared" si="0"/>
        <v>0</v>
      </c>
      <c r="J43" s="67"/>
      <c r="K43" s="67"/>
      <c r="L43" s="138"/>
      <c r="M43" s="138"/>
      <c r="N43" s="138">
        <f t="shared" si="3"/>
        <v>0</v>
      </c>
      <c r="O43" s="39" t="s">
        <v>23</v>
      </c>
      <c r="P43" s="39"/>
      <c r="Q43" s="137">
        <f t="shared" si="4"/>
        <v>0</v>
      </c>
    </row>
    <row r="44" spans="1:17">
      <c r="A44" t="str">
        <f t="shared" si="2"/>
        <v>Other Receivable Cost</v>
      </c>
      <c r="B44" t="s">
        <v>5</v>
      </c>
      <c r="C44" t="s">
        <v>180</v>
      </c>
      <c r="D44" t="s">
        <v>191</v>
      </c>
      <c r="E44" t="s">
        <v>172</v>
      </c>
      <c r="F44" s="137">
        <f>SUMIF('BDC post TB'!B:B,Summary!A44,'BDC post TB'!J:J)</f>
        <v>-12855</v>
      </c>
      <c r="G44" s="137">
        <f>SUMIF('SBIC post TB(Closed)'!B:B,Summary!A44,'SBIC post TB(Closed)'!J:J)</f>
        <v>0</v>
      </c>
      <c r="H44" s="137">
        <f>SUMIF('SBICII post TB (closed)'!B:B,Summary!A44,'SBICII post TB (closed)'!J:J)</f>
        <v>0</v>
      </c>
      <c r="I44" s="137">
        <f t="shared" si="0"/>
        <v>-12855</v>
      </c>
      <c r="J44" s="67"/>
      <c r="K44" s="67"/>
      <c r="L44" s="138"/>
      <c r="M44" s="141">
        <v>23656</v>
      </c>
      <c r="N44" s="138">
        <f t="shared" si="3"/>
        <v>10801</v>
      </c>
      <c r="O44" s="39" t="s">
        <v>23</v>
      </c>
      <c r="P44" s="39"/>
      <c r="Q44" s="137"/>
    </row>
    <row r="45" spans="1:17">
      <c r="A45" t="str">
        <f t="shared" si="2"/>
        <v>Prepaid Insurance Fee Asset Account Cost</v>
      </c>
      <c r="B45" t="s">
        <v>5</v>
      </c>
      <c r="C45" t="s">
        <v>180</v>
      </c>
      <c r="D45" t="s">
        <v>192</v>
      </c>
      <c r="E45" t="s">
        <v>172</v>
      </c>
      <c r="F45" s="137">
        <f>SUMIF('BDC post TB'!B:B,Summary!A45,'BDC post TB'!J:J)</f>
        <v>0</v>
      </c>
      <c r="G45" s="137">
        <f>SUMIF('SBIC post TB(Closed)'!B:B,Summary!A45,'SBIC post TB(Closed)'!J:J)</f>
        <v>0</v>
      </c>
      <c r="H45" s="137">
        <f>SUMIF('SBICII post TB (closed)'!B:B,Summary!A45,'SBICII post TB (closed)'!J:J)</f>
        <v>0</v>
      </c>
      <c r="I45" s="137">
        <f t="shared" si="0"/>
        <v>0</v>
      </c>
      <c r="J45" s="67"/>
      <c r="K45" s="67"/>
      <c r="L45" s="138"/>
      <c r="M45" s="138"/>
      <c r="N45" s="138">
        <f t="shared" si="3"/>
        <v>0</v>
      </c>
      <c r="O45" s="39" t="s">
        <v>23</v>
      </c>
      <c r="P45" s="39"/>
      <c r="Q45" s="137">
        <f>IF(AND(B45="Liabilities",N45&gt;0),N45,0)</f>
        <v>0</v>
      </c>
    </row>
    <row r="46" spans="1:17">
      <c r="A46" t="str">
        <f t="shared" si="2"/>
        <v>Prepaid Investment Cost</v>
      </c>
      <c r="B46" t="s">
        <v>5</v>
      </c>
      <c r="C46" t="s">
        <v>180</v>
      </c>
      <c r="D46" t="s">
        <v>193</v>
      </c>
      <c r="E46" t="s">
        <v>172</v>
      </c>
      <c r="F46" s="137">
        <f>SUMIF('BDC post TB'!B:B,Summary!A46,'BDC post TB'!J:J)</f>
        <v>0</v>
      </c>
      <c r="G46" s="137">
        <f>SUMIF('SBIC post TB(Closed)'!B:B,Summary!A46,'SBIC post TB(Closed)'!J:J)</f>
        <v>0</v>
      </c>
      <c r="H46" s="137">
        <f>SUMIF('SBICII post TB (closed)'!B:B,Summary!A46,'SBICII post TB (closed)'!J:J)</f>
        <v>0</v>
      </c>
      <c r="I46" s="137">
        <f t="shared" si="0"/>
        <v>0</v>
      </c>
      <c r="J46" s="67"/>
      <c r="K46" s="67"/>
      <c r="L46" s="138"/>
      <c r="M46" s="138"/>
      <c r="N46" s="138">
        <f t="shared" si="3"/>
        <v>0</v>
      </c>
      <c r="O46" s="39" t="s">
        <v>23</v>
      </c>
      <c r="P46" s="39"/>
      <c r="Q46" s="137"/>
    </row>
    <row r="47" spans="1:17">
      <c r="A47" t="str">
        <f t="shared" si="2"/>
        <v>Prepaid Legal Fee Asset Account Cost</v>
      </c>
      <c r="B47" t="s">
        <v>5</v>
      </c>
      <c r="C47" t="s">
        <v>180</v>
      </c>
      <c r="D47" t="s">
        <v>194</v>
      </c>
      <c r="E47" t="s">
        <v>172</v>
      </c>
      <c r="F47" s="137">
        <f>SUMIF('BDC post TB'!B:B,Summary!A47,'BDC post TB'!J:J)</f>
        <v>0</v>
      </c>
      <c r="G47" s="137">
        <f>SUMIF('SBIC post TB(Closed)'!B:B,Summary!A47,'SBIC post TB(Closed)'!J:J)</f>
        <v>0</v>
      </c>
      <c r="H47" s="137">
        <f>SUMIF('SBICII post TB (closed)'!B:B,Summary!A47,'SBICII post TB (closed)'!J:J)</f>
        <v>0</v>
      </c>
      <c r="I47" s="137">
        <f t="shared" ref="I47:I52" si="13">SUM(F47:H47)</f>
        <v>0</v>
      </c>
      <c r="J47" s="67"/>
      <c r="K47" s="67"/>
      <c r="L47" s="138"/>
      <c r="M47" s="138"/>
      <c r="N47" s="138">
        <f t="shared" ref="N47:N52" si="14">SUM(I47:M47)</f>
        <v>0</v>
      </c>
      <c r="O47" s="39" t="s">
        <v>23</v>
      </c>
      <c r="P47" s="39"/>
      <c r="Q47" s="137">
        <f>IF(AND(B47="Liabilities",N47&gt;0),N47,0)</f>
        <v>0</v>
      </c>
    </row>
    <row r="48" spans="1:17">
      <c r="A48" t="str">
        <f t="shared" si="2"/>
        <v>Prepaid Insurance Fee Cost</v>
      </c>
      <c r="B48" t="s">
        <v>5</v>
      </c>
      <c r="C48" t="s">
        <v>180</v>
      </c>
      <c r="D48" t="s">
        <v>195</v>
      </c>
      <c r="E48" t="s">
        <v>172</v>
      </c>
      <c r="F48" s="137">
        <f>SUMIF('BDC post TB'!B:B,Summary!A48,'BDC post TB'!J:J)</f>
        <v>52569.97</v>
      </c>
      <c r="G48" s="137">
        <f>SUMIF('SBIC post TB(Closed)'!B:B,Summary!A48,'SBIC post TB(Closed)'!J:J)</f>
        <v>0</v>
      </c>
      <c r="H48" s="137">
        <f>SUMIF('SBICII post TB (closed)'!B:B,Summary!A48,'SBICII post TB (closed)'!J:J)</f>
        <v>0</v>
      </c>
      <c r="I48" s="137">
        <f t="shared" si="13"/>
        <v>52569.97</v>
      </c>
      <c r="J48" s="67"/>
      <c r="K48" s="67"/>
      <c r="L48" s="138"/>
      <c r="M48" s="138"/>
      <c r="N48" s="138">
        <f t="shared" si="14"/>
        <v>52569.97</v>
      </c>
      <c r="O48" s="39" t="s">
        <v>23</v>
      </c>
      <c r="P48" s="39"/>
      <c r="Q48" s="137">
        <f>IF(AND(B48="Liabilities",N48&gt;0),N48,0)</f>
        <v>0</v>
      </c>
    </row>
    <row r="49" spans="1:17">
      <c r="A49" t="str">
        <f t="shared" si="2"/>
        <v>Prepaid Organization Cost Cost</v>
      </c>
      <c r="B49" t="s">
        <v>5</v>
      </c>
      <c r="C49" t="s">
        <v>180</v>
      </c>
      <c r="D49" t="s">
        <v>196</v>
      </c>
      <c r="E49" t="s">
        <v>172</v>
      </c>
      <c r="F49" s="137">
        <f>SUMIF('BDC post TB'!B:B,Summary!A49,'BDC post TB'!J:J)</f>
        <v>8845</v>
      </c>
      <c r="G49" s="137">
        <f>SUMIF('SBIC post TB(Closed)'!B:B,Summary!A49,'SBIC post TB(Closed)'!J:J)</f>
        <v>0</v>
      </c>
      <c r="H49" s="137">
        <f>SUMIF('SBICII post TB (closed)'!B:B,Summary!A49,'SBICII post TB (closed)'!J:J)</f>
        <v>0</v>
      </c>
      <c r="I49" s="137">
        <f t="shared" si="13"/>
        <v>8845</v>
      </c>
      <c r="J49" s="67"/>
      <c r="K49" s="67"/>
      <c r="L49" s="138"/>
      <c r="M49" s="138"/>
      <c r="N49" s="138">
        <f t="shared" si="14"/>
        <v>8845</v>
      </c>
      <c r="O49" s="39" t="s">
        <v>23</v>
      </c>
      <c r="P49" s="39"/>
      <c r="Q49" s="137"/>
    </row>
    <row r="50" spans="1:17">
      <c r="A50" t="str">
        <f t="shared" si="2"/>
        <v>Prepaid – Dividend Receivable Cost</v>
      </c>
      <c r="B50" t="s">
        <v>5</v>
      </c>
      <c r="C50" t="s">
        <v>180</v>
      </c>
      <c r="D50" t="s">
        <v>197</v>
      </c>
      <c r="E50" t="s">
        <v>172</v>
      </c>
      <c r="F50" s="137">
        <f>SUMIF('BDC post TB'!B:B,Summary!A50,'BDC post TB'!J:J)</f>
        <v>0</v>
      </c>
      <c r="G50" s="137">
        <f>SUMIF('SBIC post TB(Closed)'!B:B,Summary!A50,'SBIC post TB(Closed)'!J:J)</f>
        <v>0</v>
      </c>
      <c r="H50" s="137">
        <f>SUMIF('SBICII post TB (closed)'!B:B,Summary!A50,'SBICII post TB (closed)'!J:J)</f>
        <v>0</v>
      </c>
      <c r="I50" s="137">
        <f t="shared" si="13"/>
        <v>0</v>
      </c>
      <c r="J50" s="67"/>
      <c r="K50" s="67"/>
      <c r="L50" s="138"/>
      <c r="M50" s="138"/>
      <c r="N50" s="138">
        <f t="shared" si="14"/>
        <v>0</v>
      </c>
      <c r="O50" s="39" t="s">
        <v>23</v>
      </c>
      <c r="P50" s="39"/>
      <c r="Q50" s="137"/>
    </row>
    <row r="51" spans="1:17">
      <c r="A51" t="str">
        <f t="shared" si="2"/>
        <v>Receivable from Other Entities Cost</v>
      </c>
      <c r="B51" t="s">
        <v>5</v>
      </c>
      <c r="C51" t="s">
        <v>180</v>
      </c>
      <c r="D51" t="s">
        <v>198</v>
      </c>
      <c r="E51" t="s">
        <v>172</v>
      </c>
      <c r="F51" s="137">
        <f>SUMIF('BDC post TB'!B:B,Summary!A51,'BDC post TB'!J:J)</f>
        <v>-193154.05</v>
      </c>
      <c r="G51" s="137">
        <f>SUMIF('SBIC post TB(Closed)'!B:B,Summary!A51,'SBIC post TB(Closed)'!J:J)</f>
        <v>0</v>
      </c>
      <c r="H51" s="137">
        <f>SUMIF('SBICII post TB (closed)'!B:B,Summary!A51,'SBICII post TB (closed)'!J:J)</f>
        <v>0</v>
      </c>
      <c r="I51" s="137">
        <f t="shared" si="13"/>
        <v>-193154.05</v>
      </c>
      <c r="J51" s="67"/>
      <c r="K51" s="67"/>
      <c r="L51" s="138"/>
      <c r="M51" s="138"/>
      <c r="N51" s="138">
        <f t="shared" si="14"/>
        <v>-193154.05</v>
      </c>
      <c r="O51" s="39" t="s">
        <v>23</v>
      </c>
      <c r="P51" s="39"/>
      <c r="Q51" s="137"/>
    </row>
    <row r="52" spans="1:17">
      <c r="A52" t="str">
        <f t="shared" si="2"/>
        <v>Reserve Accruals – Interest Income Cost</v>
      </c>
      <c r="B52" t="s">
        <v>5</v>
      </c>
      <c r="C52" t="s">
        <v>180</v>
      </c>
      <c r="D52" t="s">
        <v>199</v>
      </c>
      <c r="E52" t="s">
        <v>172</v>
      </c>
      <c r="F52" s="137">
        <f>SUMIF('BDC post TB'!B:B,Summary!A52,'BDC post TB'!J:J)</f>
        <v>-60112.43</v>
      </c>
      <c r="G52" s="137">
        <f>SUMIF('SBIC post TB(Closed)'!B:B,Summary!A52,'SBIC post TB(Closed)'!J:J)</f>
        <v>0</v>
      </c>
      <c r="H52" s="137">
        <f>SUMIF('SBICII post TB (closed)'!B:B,Summary!A52,'SBICII post TB (closed)'!J:J)</f>
        <v>0</v>
      </c>
      <c r="I52" s="137">
        <f t="shared" si="13"/>
        <v>-60112.43</v>
      </c>
      <c r="J52" s="67"/>
      <c r="K52" s="67"/>
      <c r="L52" s="138"/>
      <c r="M52" s="138"/>
      <c r="N52" s="138">
        <f t="shared" si="14"/>
        <v>-60112.43</v>
      </c>
      <c r="O52" s="39" t="s">
        <v>15</v>
      </c>
      <c r="P52" s="39"/>
      <c r="Q52" s="137"/>
    </row>
    <row r="53" spans="1:17">
      <c r="A53" t="str">
        <f t="shared" si="2"/>
        <v>Unrealized FX Gain/Loss Cost</v>
      </c>
      <c r="B53" t="s">
        <v>5</v>
      </c>
      <c r="C53" t="s">
        <v>180</v>
      </c>
      <c r="D53" t="s">
        <v>200</v>
      </c>
      <c r="E53" t="s">
        <v>172</v>
      </c>
      <c r="F53" s="137">
        <f>SUMIF('BDC post TB'!B:B,Summary!A53,'BDC post TB'!J:J)</f>
        <v>-0.01</v>
      </c>
      <c r="G53" s="137">
        <f>SUMIF('SBIC post TB(Closed)'!B:B,Summary!A53,'SBIC post TB(Closed)'!J:J)</f>
        <v>0</v>
      </c>
      <c r="H53" s="137">
        <f>SUMIF('SBICII post TB (closed)'!B:B,Summary!A53,'SBICII post TB (closed)'!J:J)</f>
        <v>0</v>
      </c>
      <c r="I53" s="137">
        <f t="shared" ref="I53" si="15">SUM(F53:H53)</f>
        <v>-0.01</v>
      </c>
      <c r="J53" s="67"/>
      <c r="K53" s="67"/>
      <c r="L53" s="138"/>
      <c r="M53" s="138"/>
      <c r="N53" s="138">
        <f t="shared" ref="N53" si="16">SUM(I53:M53)</f>
        <v>-0.01</v>
      </c>
      <c r="O53" s="39" t="s">
        <v>7</v>
      </c>
      <c r="P53" s="39"/>
      <c r="Q53" s="137"/>
    </row>
    <row r="54" spans="1:17">
      <c r="A54" t="str">
        <f t="shared" si="2"/>
        <v>Prepaid Offering Cost Cost</v>
      </c>
      <c r="B54" t="s">
        <v>5</v>
      </c>
      <c r="C54" t="s">
        <v>180</v>
      </c>
      <c r="D54" t="s">
        <v>201</v>
      </c>
      <c r="E54" t="s">
        <v>172</v>
      </c>
      <c r="F54" s="137">
        <f>SUMIF('BDC post TB'!B:B,Summary!A54,'BDC post TB'!J:J)</f>
        <v>134632.79</v>
      </c>
      <c r="G54" s="137">
        <f>SUMIF('SBIC post TB(Closed)'!B:B,Summary!A54,'SBIC post TB(Closed)'!J:J)</f>
        <v>0</v>
      </c>
      <c r="H54" s="137">
        <f>SUMIF('SBICII post TB (closed)'!B:B,Summary!A54,'SBICII post TB (closed)'!J:J)</f>
        <v>0</v>
      </c>
      <c r="I54" s="137">
        <f t="shared" si="0"/>
        <v>134632.79</v>
      </c>
      <c r="J54" s="67"/>
      <c r="K54" s="67"/>
      <c r="L54" s="138"/>
      <c r="M54" s="138"/>
      <c r="N54" s="138">
        <f t="shared" si="3"/>
        <v>134632.79</v>
      </c>
      <c r="O54" s="39" t="s">
        <v>23</v>
      </c>
      <c r="P54" s="39"/>
      <c r="Q54" s="137"/>
    </row>
    <row r="55" spans="1:17">
      <c r="A55" t="str">
        <f t="shared" si="2"/>
        <v>Pre paid Offering Costs – 2024 Notes Cost</v>
      </c>
      <c r="B55" t="s">
        <v>5</v>
      </c>
      <c r="C55" t="s">
        <v>180</v>
      </c>
      <c r="D55" t="s">
        <v>202</v>
      </c>
      <c r="E55" t="s">
        <v>172</v>
      </c>
      <c r="F55" s="137">
        <f>SUMIF('BDC post TB'!B:B,Summary!A55,'BDC post TB'!J:J)</f>
        <v>0</v>
      </c>
      <c r="G55" s="137">
        <f>SUMIF('SBIC post TB(Closed)'!B:B,Summary!A55,'SBIC post TB(Closed)'!J:J)</f>
        <v>0</v>
      </c>
      <c r="H55" s="137">
        <f>SUMIF('SBICII post TB (closed)'!B:B,Summary!A55,'SBICII post TB (closed)'!J:J)</f>
        <v>0</v>
      </c>
      <c r="I55" s="137">
        <f t="shared" si="0"/>
        <v>0</v>
      </c>
      <c r="J55" s="67"/>
      <c r="K55" s="67"/>
      <c r="L55" s="138"/>
      <c r="M55" s="138"/>
      <c r="N55" s="138">
        <f t="shared" si="3"/>
        <v>0</v>
      </c>
      <c r="O55" s="39" t="s">
        <v>35</v>
      </c>
      <c r="P55" s="39"/>
      <c r="Q55" s="137"/>
    </row>
    <row r="56" spans="1:17">
      <c r="A56" t="str">
        <f t="shared" si="2"/>
        <v>Pre paid Offering Costs – 2026 Notes Cost</v>
      </c>
      <c r="B56" t="s">
        <v>5</v>
      </c>
      <c r="C56" t="s">
        <v>180</v>
      </c>
      <c r="D56" s="67" t="s">
        <v>203</v>
      </c>
      <c r="E56" t="s">
        <v>172</v>
      </c>
      <c r="F56" s="137">
        <f>SUMIF('BDC post TB'!B:B,Summary!A56,'BDC post TB'!J:J)</f>
        <v>226842.06</v>
      </c>
      <c r="G56" s="137">
        <f>SUMIF('SBIC post TB(Closed)'!B:B,Summary!A56,'SBIC post TB(Closed)'!J:J)</f>
        <v>0</v>
      </c>
      <c r="H56" s="137">
        <f>SUMIF('SBICII post TB (closed)'!B:B,Summary!A56,'SBICII post TB (closed)'!J:J)</f>
        <v>0</v>
      </c>
      <c r="I56" s="137">
        <f>SUM(F56:H56)</f>
        <v>226842.06</v>
      </c>
      <c r="J56" s="67"/>
      <c r="K56" s="67"/>
      <c r="L56" s="138"/>
      <c r="M56" s="138"/>
      <c r="N56" s="138">
        <f t="shared" si="3"/>
        <v>226842.06</v>
      </c>
      <c r="O56" s="39" t="s">
        <v>38</v>
      </c>
      <c r="P56" s="39"/>
      <c r="Q56" s="137"/>
    </row>
    <row r="57" spans="1:17">
      <c r="A57" t="str">
        <f>CONCATENATE(D57,E57)</f>
        <v>Pre paid Offering Costs – Nov 2026 Notes Cost</v>
      </c>
      <c r="B57" t="s">
        <v>5</v>
      </c>
      <c r="C57" t="s">
        <v>180</v>
      </c>
      <c r="D57" s="67" t="s">
        <v>204</v>
      </c>
      <c r="E57" t="s">
        <v>172</v>
      </c>
      <c r="F57" s="137">
        <f>SUMIF('BDC post TB'!B:B,Summary!A57,'BDC post TB'!J:J)</f>
        <v>782327.11</v>
      </c>
      <c r="G57" s="137">
        <f>SUMIF('SBIC post TB(Closed)'!B:B,Summary!A57,'SBIC post TB(Closed)'!J:J)</f>
        <v>0</v>
      </c>
      <c r="H57" s="137">
        <f>SUMIF('SBICII post TB (closed)'!B:B,Summary!A57,'SBICII post TB (closed)'!J:J)</f>
        <v>0</v>
      </c>
      <c r="I57" s="137">
        <f>SUM(F57:H57)</f>
        <v>782327.11</v>
      </c>
      <c r="J57" s="67"/>
      <c r="K57" s="67"/>
      <c r="L57" s="138"/>
      <c r="M57" s="138"/>
      <c r="N57" s="138">
        <f t="shared" si="3"/>
        <v>782327.11</v>
      </c>
      <c r="O57" s="39" t="s">
        <v>41</v>
      </c>
      <c r="P57" s="39"/>
      <c r="Q57" s="137"/>
    </row>
    <row r="58" spans="1:17">
      <c r="A58" t="str">
        <f>CONCATENATE(D58,E58)</f>
        <v>Pre paid Offering Costs - Feb 2029 Notes Cost</v>
      </c>
      <c r="B58" t="s">
        <v>5</v>
      </c>
      <c r="C58" t="s">
        <v>180</v>
      </c>
      <c r="D58" s="67" t="s">
        <v>205</v>
      </c>
      <c r="E58" t="s">
        <v>172</v>
      </c>
      <c r="F58" s="137">
        <f>SUMIF('BDC post TB'!B:B,Summary!A58,'BDC post TB'!J:J)</f>
        <v>1392810</v>
      </c>
      <c r="G58" s="137">
        <f>SUMIF('SBIC post TB(Closed)'!B:B,Summary!A58,'SBIC post TB(Closed)'!J:J)</f>
        <v>0</v>
      </c>
      <c r="H58" s="137">
        <f>SUMIF('SBICII post TB (closed)'!B:B,Summary!A58,'SBICII post TB (closed)'!J:J)</f>
        <v>0</v>
      </c>
      <c r="I58" s="137">
        <f>SUM(F58:H58)</f>
        <v>1392810</v>
      </c>
      <c r="J58" s="67"/>
      <c r="K58" s="67"/>
      <c r="L58" s="138"/>
      <c r="M58" s="138"/>
      <c r="N58" s="138">
        <f t="shared" ref="N58" si="17">SUM(I58:M58)</f>
        <v>1392810</v>
      </c>
      <c r="O58" s="39" t="s">
        <v>44</v>
      </c>
      <c r="P58" s="39"/>
      <c r="Q58" s="137"/>
    </row>
    <row r="59" spans="1:17">
      <c r="A59" t="str">
        <f>CONCATENATE(D59,E59)</f>
        <v>Prepaid - Egan-Jones Rating Co Cost</v>
      </c>
      <c r="B59" t="s">
        <v>5</v>
      </c>
      <c r="C59" t="s">
        <v>180</v>
      </c>
      <c r="D59" s="67" t="s">
        <v>206</v>
      </c>
      <c r="E59" t="s">
        <v>172</v>
      </c>
      <c r="F59" s="137">
        <f>SUMIF('BDC post TB'!B:B,Summary!A59,'BDC post TB'!J:J)</f>
        <v>57159.38</v>
      </c>
      <c r="G59" s="137">
        <f>SUMIF('SBIC post TB(Closed)'!B:B,Summary!A59,'SBIC post TB(Closed)'!J:J)</f>
        <v>0</v>
      </c>
      <c r="H59" s="137">
        <f>SUMIF('SBICII post TB (closed)'!B:B,Summary!A59,'SBICII post TB (closed)'!J:J)</f>
        <v>0</v>
      </c>
      <c r="I59" s="137">
        <f t="shared" ref="I59:I62" si="18">SUM(F59:H59)</f>
        <v>57159.38</v>
      </c>
      <c r="J59" s="67"/>
      <c r="K59" s="67"/>
      <c r="L59" s="138"/>
      <c r="M59" s="138"/>
      <c r="N59" s="138">
        <f t="shared" ref="N59:N62" si="19">SUM(I59:M59)</f>
        <v>57159.38</v>
      </c>
      <c r="O59" s="39" t="s">
        <v>23</v>
      </c>
      <c r="P59" s="39"/>
      <c r="Q59" s="137"/>
    </row>
    <row r="60" spans="1:17">
      <c r="A60" t="str">
        <f t="shared" ref="A60:A67" si="20">CONCATENATE(D60,E60)</f>
        <v>Prepaid - NYSE Annual Fee Cost</v>
      </c>
      <c r="B60" t="s">
        <v>5</v>
      </c>
      <c r="C60" t="s">
        <v>180</v>
      </c>
      <c r="D60" s="67" t="s">
        <v>207</v>
      </c>
      <c r="E60" t="s">
        <v>172</v>
      </c>
      <c r="F60" s="137">
        <f>SUMIF('BDC post TB'!B:B,Summary!A60,'BDC post TB'!J:J)</f>
        <v>6992.11</v>
      </c>
      <c r="G60" s="137">
        <f>SUMIF('SBIC post TB(Closed)'!B:B,Summary!A60,'SBIC post TB(Closed)'!J:J)</f>
        <v>0</v>
      </c>
      <c r="H60" s="137">
        <f>SUMIF('SBICII post TB (closed)'!B:B,Summary!A60,'SBICII post TB (closed)'!J:J)</f>
        <v>0</v>
      </c>
      <c r="I60" s="137">
        <f t="shared" si="18"/>
        <v>6992.11</v>
      </c>
      <c r="J60" s="67"/>
      <c r="K60" s="67"/>
      <c r="L60" s="138"/>
      <c r="M60" s="138"/>
      <c r="N60" s="138">
        <f t="shared" si="19"/>
        <v>6992.11</v>
      </c>
      <c r="O60" s="39" t="s">
        <v>23</v>
      </c>
      <c r="P60" s="39"/>
      <c r="Q60" s="137"/>
    </row>
    <row r="61" spans="1:17">
      <c r="A61" t="str">
        <f t="shared" si="20"/>
        <v>Prepaid Other Cost</v>
      </c>
      <c r="B61" t="s">
        <v>5</v>
      </c>
      <c r="C61" t="s">
        <v>180</v>
      </c>
      <c r="D61" t="s">
        <v>208</v>
      </c>
      <c r="E61" t="s">
        <v>172</v>
      </c>
      <c r="F61" s="137">
        <f>SUMIF('BDC post TB'!B:B,Summary!A61,'BDC post TB'!J:J)</f>
        <v>0</v>
      </c>
      <c r="G61" s="137">
        <f>SUMIF('SBIC post TB(Closed)'!B:B,Summary!A61,'SBIC post TB(Closed)'!J:J)</f>
        <v>0</v>
      </c>
      <c r="H61" s="137">
        <f>SUMIF('SBICII post TB (closed)'!B:B,Summary!A61,'SBICII post TB (closed)'!J:J)</f>
        <v>0</v>
      </c>
      <c r="I61" s="137">
        <f t="shared" si="18"/>
        <v>0</v>
      </c>
      <c r="J61" s="67"/>
      <c r="K61" s="67"/>
      <c r="L61" s="138"/>
      <c r="M61" s="138"/>
      <c r="N61" s="138">
        <f t="shared" si="19"/>
        <v>0</v>
      </c>
      <c r="O61" s="39" t="s">
        <v>23</v>
      </c>
      <c r="P61" s="39"/>
      <c r="Q61" s="137"/>
    </row>
    <row r="62" spans="1:17">
      <c r="A62" t="str">
        <f t="shared" si="20"/>
        <v>Prepaid Credit Facility Cost</v>
      </c>
      <c r="B62" t="s">
        <v>5</v>
      </c>
      <c r="C62" t="s">
        <v>180</v>
      </c>
      <c r="D62" t="s">
        <v>209</v>
      </c>
      <c r="E62" t="s">
        <v>172</v>
      </c>
      <c r="F62" s="137">
        <f>SUMIF('BDC post TB'!B:B,Summary!A62,'BDC post TB'!J:J)</f>
        <v>0</v>
      </c>
      <c r="G62" s="137">
        <f>SUMIF('SBIC post TB(Closed)'!B:B,Summary!A62,'SBIC post TB(Closed)'!J:J)</f>
        <v>0</v>
      </c>
      <c r="H62" s="137">
        <f>SUMIF('SBICII post TB (closed)'!B:B,Summary!A62,'SBICII post TB (closed)'!J:J)</f>
        <v>0</v>
      </c>
      <c r="I62" s="137">
        <f t="shared" si="18"/>
        <v>0</v>
      </c>
      <c r="J62" s="67"/>
      <c r="K62" s="67"/>
      <c r="L62" s="138"/>
      <c r="M62" s="138"/>
      <c r="N62" s="138">
        <f t="shared" si="19"/>
        <v>0</v>
      </c>
      <c r="O62" s="39" t="s">
        <v>23</v>
      </c>
      <c r="P62" s="39"/>
      <c r="Q62" s="137">
        <f>IF(AND(B62="Liabilities",N62&gt;0),N62,0)</f>
        <v>0</v>
      </c>
    </row>
    <row r="63" spans="1:17">
      <c r="A63" t="str">
        <f t="shared" si="20"/>
        <v>Credit Facility Prepaid Cost</v>
      </c>
      <c r="B63" t="s">
        <v>5</v>
      </c>
      <c r="C63" t="s">
        <v>180</v>
      </c>
      <c r="D63" t="s">
        <v>210</v>
      </c>
      <c r="E63" t="s">
        <v>172</v>
      </c>
      <c r="F63" s="137">
        <f>SUMIF('BDC post TB'!B:B,Summary!A63,'BDC post TB'!J:J)</f>
        <v>0</v>
      </c>
      <c r="G63" s="137">
        <f>SUMIF('SBIC post TB(Closed)'!B:B,Summary!A63,'SBIC post TB(Closed)'!J:J)</f>
        <v>0</v>
      </c>
      <c r="H63" s="137">
        <f>SUMIF('SBICII post TB (closed)'!B:B,Summary!A63,'SBICII post TB (closed)'!J:J)</f>
        <v>0</v>
      </c>
      <c r="I63" s="137">
        <f t="shared" si="0"/>
        <v>0</v>
      </c>
      <c r="J63" s="67"/>
      <c r="K63" s="67"/>
      <c r="L63" s="138"/>
      <c r="M63" s="138"/>
      <c r="N63" s="138">
        <f t="shared" si="3"/>
        <v>0</v>
      </c>
      <c r="O63" s="39" t="s">
        <v>33</v>
      </c>
      <c r="P63" s="39"/>
      <c r="Q63" s="137">
        <f>IF(AND(B63="Liabilities",N63&gt;0),N63,0)</f>
        <v>0</v>
      </c>
    </row>
    <row r="64" spans="1:17">
      <c r="A64" t="str">
        <f t="shared" si="20"/>
        <v>Prepaid Assets Cost</v>
      </c>
      <c r="B64" t="s">
        <v>5</v>
      </c>
      <c r="C64" t="s">
        <v>180</v>
      </c>
      <c r="D64" t="s">
        <v>211</v>
      </c>
      <c r="E64" t="s">
        <v>172</v>
      </c>
      <c r="F64" s="137">
        <f>SUMIF('BDC post TB'!B:B,Summary!A64,'BDC post TB'!J:J)</f>
        <v>0</v>
      </c>
      <c r="G64" s="137">
        <f>SUMIF('SBIC post TB(Closed)'!B:B,Summary!A64,'SBIC post TB(Closed)'!J:J)</f>
        <v>0</v>
      </c>
      <c r="H64" s="137">
        <f>SUMIF('SBICII post TB (closed)'!B:B,Summary!A64,'SBICII post TB (closed)'!J:J)</f>
        <v>0</v>
      </c>
      <c r="I64" s="137">
        <f t="shared" si="0"/>
        <v>0</v>
      </c>
      <c r="J64" s="67"/>
      <c r="K64" s="67"/>
      <c r="L64" s="138"/>
      <c r="M64" s="138"/>
      <c r="N64" s="138">
        <f t="shared" si="3"/>
        <v>0</v>
      </c>
      <c r="O64" s="39" t="s">
        <v>23</v>
      </c>
      <c r="P64" s="39"/>
      <c r="Q64" s="137">
        <f>IF(AND(B64="Liabilities",N64&gt;0),N64,0)</f>
        <v>0</v>
      </c>
    </row>
    <row r="65" spans="1:17" ht="15">
      <c r="A65" t="str">
        <f t="shared" si="20"/>
        <v>Due from PSLF Cost</v>
      </c>
      <c r="B65" t="s">
        <v>5</v>
      </c>
      <c r="C65" t="s">
        <v>180</v>
      </c>
      <c r="D65" s="142" t="s">
        <v>212</v>
      </c>
      <c r="E65" s="119" t="s">
        <v>172</v>
      </c>
      <c r="F65" s="137">
        <f>SUMIF('BDC post TB'!B:B,Summary!A65,'BDC post TB'!J:J)</f>
        <v>0</v>
      </c>
      <c r="G65" s="137">
        <f>SUMIF('SBIC post TB(Closed)'!B:B,Summary!A65,'SBIC post TB(Closed)'!J:J)</f>
        <v>0</v>
      </c>
      <c r="H65" s="137">
        <f>SUMIF('SBICII post TB (closed)'!B:B,Summary!A65,'SBICII post TB (closed)'!J:J)</f>
        <v>0</v>
      </c>
      <c r="I65" s="137">
        <f t="shared" si="0"/>
        <v>0</v>
      </c>
      <c r="J65" s="67"/>
      <c r="K65" s="67"/>
      <c r="L65" s="138"/>
      <c r="M65" s="138"/>
      <c r="N65" s="138">
        <f t="shared" ref="N65:N66" si="21">SUM(I65:M65)</f>
        <v>0</v>
      </c>
      <c r="O65" s="39" t="s">
        <v>21</v>
      </c>
      <c r="P65" s="39"/>
      <c r="Q65" s="137">
        <f t="shared" ref="Q65:Q66" si="22">IF(AND(O65="m",N65&gt;0),N65,0)</f>
        <v>0</v>
      </c>
    </row>
    <row r="66" spans="1:17" ht="15">
      <c r="A66" t="str">
        <f t="shared" si="20"/>
        <v>Due from PTSF II Cost</v>
      </c>
      <c r="B66" t="s">
        <v>5</v>
      </c>
      <c r="C66" t="s">
        <v>180</v>
      </c>
      <c r="D66" s="142" t="s">
        <v>213</v>
      </c>
      <c r="E66" s="119" t="s">
        <v>172</v>
      </c>
      <c r="F66" s="137">
        <f>SUMIF('BDC post TB'!B:B,Summary!A66,'BDC post TB'!J:J)</f>
        <v>0</v>
      </c>
      <c r="G66" s="137">
        <f>SUMIF('SBIC post TB(Closed)'!B:B,Summary!A66,'SBIC post TB(Closed)'!J:J)</f>
        <v>0</v>
      </c>
      <c r="H66" s="137">
        <f>SUMIF('SBICII post TB (closed)'!B:B,Summary!A66,'SBICII post TB (closed)'!J:J)</f>
        <v>0</v>
      </c>
      <c r="I66" s="137">
        <f t="shared" si="0"/>
        <v>0</v>
      </c>
      <c r="J66" s="67"/>
      <c r="K66" s="67"/>
      <c r="L66" s="138"/>
      <c r="M66" s="138"/>
      <c r="N66" s="138">
        <f t="shared" si="21"/>
        <v>0</v>
      </c>
      <c r="O66" s="39" t="s">
        <v>21</v>
      </c>
      <c r="P66" s="39"/>
      <c r="Q66" s="137">
        <f t="shared" si="22"/>
        <v>0</v>
      </c>
    </row>
    <row r="67" spans="1:17">
      <c r="A67" t="str">
        <f t="shared" si="20"/>
        <v>Prepaid Distribution Fee Cost</v>
      </c>
      <c r="B67" t="s">
        <v>5</v>
      </c>
      <c r="C67" t="s">
        <v>180</v>
      </c>
      <c r="D67" t="s">
        <v>214</v>
      </c>
      <c r="E67" t="s">
        <v>172</v>
      </c>
      <c r="F67" s="137">
        <f>SUMIF('BDC post TB'!B:B,Summary!A67,'BDC post TB'!J:J)</f>
        <v>0</v>
      </c>
      <c r="G67" s="137">
        <f>SUMIF('SBIC post TB(Closed)'!B:B,Summary!A67,'SBIC post TB(Closed)'!J:J)</f>
        <v>0</v>
      </c>
      <c r="H67" s="137">
        <f>SUMIF('SBICII post TB (closed)'!B:B,Summary!A67,'SBICII post TB (closed)'!J:J)</f>
        <v>0</v>
      </c>
      <c r="I67" s="137">
        <f t="shared" si="0"/>
        <v>0</v>
      </c>
      <c r="J67" s="67"/>
      <c r="K67" s="67"/>
      <c r="L67" s="138"/>
      <c r="M67" s="138"/>
      <c r="N67" s="138">
        <f t="shared" si="3"/>
        <v>0</v>
      </c>
      <c r="O67" s="39" t="s">
        <v>23</v>
      </c>
      <c r="P67" s="39"/>
      <c r="Q67" s="137">
        <f>IF(AND(B67="Liabilities",N67&gt;0),N67,0)</f>
        <v>0</v>
      </c>
    </row>
    <row r="68" spans="1:17">
      <c r="A68" t="str">
        <f t="shared" si="2"/>
        <v>Unrealized FX Gain/Loss Unrealized FX GL</v>
      </c>
      <c r="B68" t="s">
        <v>5</v>
      </c>
      <c r="C68" t="s">
        <v>180</v>
      </c>
      <c r="D68" t="s">
        <v>200</v>
      </c>
      <c r="E68" t="s">
        <v>173</v>
      </c>
      <c r="F68" s="137">
        <f>SUMIF('BDC post TB'!B:B,Summary!A68,'BDC post TB'!J:J)</f>
        <v>0</v>
      </c>
      <c r="G68" s="137">
        <f>SUMIF('SBIC post TB(Closed)'!B:B,Summary!A68,'SBIC post TB(Closed)'!J:J)</f>
        <v>0</v>
      </c>
      <c r="H68" s="137">
        <f>SUMIF('SBICII post TB (closed)'!B:B,Summary!A68,'SBICII post TB (closed)'!J:J)</f>
        <v>0</v>
      </c>
      <c r="I68" s="137">
        <f t="shared" si="0"/>
        <v>0</v>
      </c>
      <c r="J68" s="67"/>
      <c r="K68" s="67"/>
      <c r="L68" s="138"/>
      <c r="M68" s="138"/>
      <c r="N68" s="138">
        <f t="shared" si="3"/>
        <v>0</v>
      </c>
      <c r="O68" s="39" t="s">
        <v>15</v>
      </c>
      <c r="P68" s="39"/>
      <c r="Q68" s="137"/>
    </row>
    <row r="69" spans="1:17">
      <c r="A69" t="str">
        <f t="shared" si="2"/>
        <v>Receivable from Feeder Cost</v>
      </c>
      <c r="B69" t="s">
        <v>5</v>
      </c>
      <c r="C69" t="s">
        <v>180</v>
      </c>
      <c r="D69" t="s">
        <v>215</v>
      </c>
      <c r="E69" t="s">
        <v>172</v>
      </c>
      <c r="F69" s="137">
        <f>SUMIF('BDC post TB'!B:B,Summary!A69,'BDC post TB'!J:J)</f>
        <v>0</v>
      </c>
      <c r="G69" s="137">
        <f>SUMIF('SBIC post TB(Closed)'!B:B,Summary!A69,'SBIC post TB(Closed)'!J:J)</f>
        <v>0</v>
      </c>
      <c r="H69" s="137">
        <f>SUMIF('SBICII post TB (closed)'!B:B,Summary!A69,'SBICII post TB (closed)'!J:J)</f>
        <v>0</v>
      </c>
      <c r="I69" s="137">
        <f t="shared" si="0"/>
        <v>0</v>
      </c>
      <c r="J69" s="67"/>
      <c r="K69" s="67"/>
      <c r="L69" s="138"/>
      <c r="M69" s="138"/>
      <c r="N69" s="138">
        <f t="shared" si="3"/>
        <v>0</v>
      </c>
      <c r="O69" s="39" t="s">
        <v>23</v>
      </c>
      <c r="P69" s="39"/>
      <c r="Q69" s="137"/>
    </row>
    <row r="70" spans="1:17">
      <c r="A70" t="s">
        <v>216</v>
      </c>
      <c r="B70" t="s">
        <v>5</v>
      </c>
      <c r="C70" t="s">
        <v>180</v>
      </c>
      <c r="D70" t="s">
        <v>180</v>
      </c>
      <c r="E70" t="s">
        <v>172</v>
      </c>
      <c r="F70" s="137">
        <f>SUMIF('BDC post TB'!B:B,Summary!A70,'BDC post TB'!J:J)</f>
        <v>0</v>
      </c>
      <c r="G70" s="137">
        <f>SUMIF('SBIC post TB(Closed)'!B:B,Summary!A70,'SBIC post TB(Closed)'!J:J)</f>
        <v>0</v>
      </c>
      <c r="H70" s="137">
        <f>SUMIF('SBICII post TB (closed)'!B:B,Summary!A70,'SBICII post TB (closed)'!J:J)</f>
        <v>0</v>
      </c>
      <c r="I70" s="137">
        <f t="shared" si="0"/>
        <v>0</v>
      </c>
      <c r="J70" s="67"/>
      <c r="K70" s="67"/>
      <c r="L70" s="138"/>
      <c r="M70" s="138"/>
      <c r="N70" s="138">
        <f t="shared" si="3"/>
        <v>0</v>
      </c>
      <c r="O70" s="39" t="s">
        <v>23</v>
      </c>
      <c r="P70" s="39"/>
      <c r="Q70" s="137">
        <f>IF(AND(B70="Liabilities",N70&gt;0),N70,0)</f>
        <v>0</v>
      </c>
    </row>
    <row r="71" spans="1:17">
      <c r="A71" t="str">
        <f t="shared" si="2"/>
        <v>Interest Receivable Pending Cost</v>
      </c>
      <c r="B71" t="s">
        <v>5</v>
      </c>
      <c r="C71" t="s">
        <v>180</v>
      </c>
      <c r="D71" t="s">
        <v>217</v>
      </c>
      <c r="E71" t="s">
        <v>172</v>
      </c>
      <c r="F71" s="137">
        <f>SUMIF('BDC post TB'!B:B,Summary!A71,'BDC post TB'!J:J)</f>
        <v>0</v>
      </c>
      <c r="G71" s="137">
        <f>SUMIF('SBIC post TB(Closed)'!B:B,Summary!A71,'SBIC post TB(Closed)'!J:J)</f>
        <v>0</v>
      </c>
      <c r="H71" s="137">
        <f>SUMIF('SBICII post TB (closed)'!B:B,Summary!A71,'SBICII post TB (closed)'!J:J)</f>
        <v>0</v>
      </c>
      <c r="I71" s="137">
        <f t="shared" si="0"/>
        <v>0</v>
      </c>
      <c r="J71" s="67"/>
      <c r="K71" s="67"/>
      <c r="L71" s="138"/>
      <c r="M71" s="138"/>
      <c r="N71" s="138">
        <f t="shared" si="3"/>
        <v>0</v>
      </c>
      <c r="O71" s="39" t="s">
        <v>15</v>
      </c>
      <c r="P71" s="39"/>
      <c r="Q71" s="137">
        <f>IF(AND(B71="Liabilities",N71&gt;0),N71,0)</f>
        <v>0</v>
      </c>
    </row>
    <row r="72" spans="1:17">
      <c r="A72" t="str">
        <f t="shared" si="2"/>
        <v>Prepaid Management Fee Cost</v>
      </c>
      <c r="B72" t="s">
        <v>5</v>
      </c>
      <c r="C72" t="s">
        <v>180</v>
      </c>
      <c r="D72" t="s">
        <v>218</v>
      </c>
      <c r="E72" t="s">
        <v>172</v>
      </c>
      <c r="F72" s="137">
        <f>SUMIF('BDC post TB'!B:B,Summary!A72,'BDC post TB'!J:J)</f>
        <v>0</v>
      </c>
      <c r="G72" s="137">
        <f>SUMIF('SBIC post TB(Closed)'!B:B,Summary!A72,'SBIC post TB(Closed)'!J:J)</f>
        <v>0</v>
      </c>
      <c r="H72" s="137">
        <f>SUMIF('SBICII post TB (closed)'!B:B,Summary!A72,'SBICII post TB (closed)'!J:J)</f>
        <v>0</v>
      </c>
      <c r="I72" s="137">
        <f t="shared" si="0"/>
        <v>0</v>
      </c>
      <c r="J72" s="67"/>
      <c r="K72" s="67"/>
      <c r="L72" s="138"/>
      <c r="M72" s="138"/>
      <c r="N72" s="138">
        <f t="shared" si="3"/>
        <v>0</v>
      </c>
      <c r="O72" s="39" t="s">
        <v>23</v>
      </c>
      <c r="P72" s="39"/>
      <c r="Q72" s="137">
        <f>IF(AND(B72="Liabilities",N72&gt;0),N72,0)</f>
        <v>0</v>
      </c>
    </row>
    <row r="73" spans="1:17">
      <c r="A73" t="str">
        <f>CONCATENATE(D73,E73)</f>
        <v>Other Receivable Escrow Cost</v>
      </c>
      <c r="B73" t="s">
        <v>5</v>
      </c>
      <c r="C73" t="s">
        <v>180</v>
      </c>
      <c r="D73" t="s">
        <v>219</v>
      </c>
      <c r="E73" t="s">
        <v>172</v>
      </c>
      <c r="F73" s="137">
        <f>SUMIF('BDC post TB'!B:B,Summary!A73,'BDC post TB'!J:J)</f>
        <v>193154.05</v>
      </c>
      <c r="G73" s="137">
        <f>SUMIF('SBIC post TB(Closed)'!B:B,Summary!A73,'SBIC post TB(Closed)'!J:J)</f>
        <v>0</v>
      </c>
      <c r="H73" s="137">
        <f>SUMIF('SBICII post TB (closed)'!B:B,Summary!A73,'SBICII post TB (closed)'!J:J)</f>
        <v>0</v>
      </c>
      <c r="I73" s="137">
        <f t="shared" si="0"/>
        <v>193154.05</v>
      </c>
      <c r="J73" s="67"/>
      <c r="K73" s="67"/>
      <c r="L73" s="138"/>
      <c r="M73" s="138"/>
      <c r="N73" s="138">
        <f t="shared" si="3"/>
        <v>193154.05</v>
      </c>
      <c r="O73" s="39" t="s">
        <v>23</v>
      </c>
      <c r="P73" s="39"/>
      <c r="Q73" s="137">
        <f>IF(AND(B73="Liabilities",N73&gt;0),N73,0)</f>
        <v>0</v>
      </c>
    </row>
    <row r="74" spans="1:17">
      <c r="A74" t="str">
        <f>CONCATENATE(D74,E74)</f>
        <v>PaydownReceivable Cost</v>
      </c>
      <c r="B74" t="s">
        <v>5</v>
      </c>
      <c r="C74" t="s">
        <v>180</v>
      </c>
      <c r="D74" t="s">
        <v>220</v>
      </c>
      <c r="E74" t="s">
        <v>172</v>
      </c>
      <c r="F74" s="137">
        <f>SUMIF('BDC post TB'!B:B,Summary!A74,'BDC post TB'!J:J)</f>
        <v>0</v>
      </c>
      <c r="G74" s="137">
        <f>SUMIF('SBIC post TB(Closed)'!B:B,Summary!A74,'SBIC post TB(Closed)'!J:J)</f>
        <v>0</v>
      </c>
      <c r="H74" s="137">
        <f>SUMIF('SBICII post TB (closed)'!B:B,Summary!A74,'SBICII post TB (closed)'!J:J)</f>
        <v>0</v>
      </c>
      <c r="I74" s="137">
        <f t="shared" si="0"/>
        <v>0</v>
      </c>
      <c r="J74" s="67"/>
      <c r="K74" s="67"/>
      <c r="L74" s="138"/>
      <c r="M74" s="138"/>
      <c r="N74" s="138">
        <f t="shared" si="3"/>
        <v>0</v>
      </c>
      <c r="O74" s="39" t="s">
        <v>23</v>
      </c>
      <c r="P74" s="39"/>
      <c r="Q74" s="137"/>
    </row>
    <row r="75" spans="1:17">
      <c r="A75" t="str">
        <f>CONCATENATE(D75,E75)</f>
        <v>Pre-paid SBIC Incentive Fee Cap Gain Cost</v>
      </c>
      <c r="B75" t="s">
        <v>5</v>
      </c>
      <c r="C75" t="s">
        <v>180</v>
      </c>
      <c r="D75" t="s">
        <v>221</v>
      </c>
      <c r="E75" t="s">
        <v>172</v>
      </c>
      <c r="F75" s="137">
        <f>SUMIF('BDC post TB'!B:B,Summary!A75,'BDC post TB'!J:J)</f>
        <v>0</v>
      </c>
      <c r="G75" s="137"/>
      <c r="H75" s="137"/>
      <c r="I75" s="137">
        <f t="shared" si="0"/>
        <v>0</v>
      </c>
      <c r="J75" s="67"/>
      <c r="K75" s="67"/>
      <c r="L75" s="138"/>
      <c r="M75" s="138"/>
      <c r="N75" s="138">
        <f t="shared" si="3"/>
        <v>0</v>
      </c>
      <c r="O75" s="39" t="s">
        <v>23</v>
      </c>
      <c r="P75" s="39"/>
      <c r="Q75" s="137"/>
    </row>
    <row r="76" spans="1:17">
      <c r="A76" t="str">
        <f t="shared" si="2"/>
        <v>Prepaid SBA Fee Cost</v>
      </c>
      <c r="B76" t="s">
        <v>5</v>
      </c>
      <c r="C76" t="s">
        <v>180</v>
      </c>
      <c r="D76" t="s">
        <v>222</v>
      </c>
      <c r="E76" t="s">
        <v>172</v>
      </c>
      <c r="F76" s="137">
        <f>SUMIF('BDC post TB'!B:B,Summary!A76,'BDC post TB'!J:J)</f>
        <v>0</v>
      </c>
      <c r="G76" s="137">
        <f>SUMIF('SBIC post TB(Closed)'!B:B,Summary!A76,'SBIC post TB(Closed)'!J:J)</f>
        <v>0</v>
      </c>
      <c r="H76" s="137">
        <f>SUMIF('SBICII post TB (closed)'!B:B,Summary!A76,'SBICII post TB (closed)'!J:J)</f>
        <v>0</v>
      </c>
      <c r="I76" s="137">
        <f t="shared" si="0"/>
        <v>0</v>
      </c>
      <c r="J76" s="67"/>
      <c r="K76" s="67"/>
      <c r="L76" s="138"/>
      <c r="M76" s="138"/>
      <c r="N76" s="138">
        <f t="shared" si="3"/>
        <v>0</v>
      </c>
      <c r="O76" s="39" t="s">
        <v>128</v>
      </c>
      <c r="P76" s="39"/>
      <c r="Q76" s="137">
        <f>IF(AND(B76="Liabilities",N76&gt;0),N76,0)</f>
        <v>0</v>
      </c>
    </row>
    <row r="77" spans="1:17">
      <c r="A77" t="str">
        <f t="shared" si="2"/>
        <v>Prepaid SBA Fee 2 Cost</v>
      </c>
      <c r="B77" t="s">
        <v>5</v>
      </c>
      <c r="C77" t="s">
        <v>180</v>
      </c>
      <c r="D77" t="s">
        <v>223</v>
      </c>
      <c r="E77" t="s">
        <v>172</v>
      </c>
      <c r="F77" s="137">
        <f>SUMIF('BDC post TB'!B:B,Summary!A77,'BDC post TB'!J:J)</f>
        <v>0</v>
      </c>
      <c r="G77" s="137">
        <f>SUMIF('SBIC post TB(Closed)'!B:B,Summary!A77,'SBIC post TB(Closed)'!J:J)</f>
        <v>0</v>
      </c>
      <c r="H77" s="137">
        <f>SUMIF('SBICII post TB (closed)'!B:B,Summary!A77,'SBICII post TB (closed)'!J:J)</f>
        <v>0</v>
      </c>
      <c r="I77" s="137">
        <f t="shared" si="0"/>
        <v>0</v>
      </c>
      <c r="J77" s="67"/>
      <c r="K77" s="67"/>
      <c r="L77" s="138"/>
      <c r="M77" s="138"/>
      <c r="N77" s="138">
        <f t="shared" si="3"/>
        <v>0</v>
      </c>
      <c r="O77" s="39" t="s">
        <v>128</v>
      </c>
      <c r="P77" s="39"/>
      <c r="Q77" s="137">
        <f>IF(AND(B77="Liabilities",N77&gt;0),N77,0)</f>
        <v>0</v>
      </c>
    </row>
    <row r="78" spans="1:17">
      <c r="A78" t="str">
        <f t="shared" si="2"/>
        <v>PayablesCost</v>
      </c>
      <c r="B78" t="s">
        <v>26</v>
      </c>
      <c r="C78" t="s">
        <v>224</v>
      </c>
      <c r="D78" t="s">
        <v>224</v>
      </c>
      <c r="E78" t="s">
        <v>172</v>
      </c>
      <c r="F78" s="137">
        <f>SUMIF('BDC post TB'!B:B,Summary!A78,'BDC post TB'!J:J)</f>
        <v>-4900000</v>
      </c>
      <c r="G78" s="137">
        <f>SUMIF('SBIC post TB(Closed)'!B:B,Summary!A78,'SBIC post TB(Closed)'!J:J)</f>
        <v>0</v>
      </c>
      <c r="H78" s="137">
        <f>SUMIF('SBICII post TB (closed)'!B:B,Summary!A78,'SBICII post TB (closed)'!J:J)</f>
        <v>0</v>
      </c>
      <c r="I78" s="137">
        <f t="shared" si="0"/>
        <v>-4900000</v>
      </c>
      <c r="J78" s="67"/>
      <c r="K78" s="67"/>
      <c r="L78" s="138"/>
      <c r="M78" s="138"/>
      <c r="N78" s="138">
        <f t="shared" si="3"/>
        <v>-4900000</v>
      </c>
      <c r="O78" s="39" t="s">
        <v>29</v>
      </c>
      <c r="P78" s="39"/>
      <c r="Q78" s="137">
        <f t="shared" ref="Q78:Q79" si="23">IF(AND(O78="m",N78&gt;0),N78,0)</f>
        <v>0</v>
      </c>
    </row>
    <row r="79" spans="1:17">
      <c r="A79" t="str">
        <f>CONCATENATE(D79,E79)</f>
        <v>PayablesUnrealized FX GL</v>
      </c>
      <c r="B79" t="s">
        <v>26</v>
      </c>
      <c r="C79" t="s">
        <v>224</v>
      </c>
      <c r="D79" t="s">
        <v>224</v>
      </c>
      <c r="E79" t="s">
        <v>173</v>
      </c>
      <c r="F79" s="137">
        <f>SUMIF('BDC post TB'!B:B,Summary!A79,'BDC post TB'!J:J)</f>
        <v>0</v>
      </c>
      <c r="G79" s="137">
        <f>SUMIF('SBIC post TB(Closed)'!B:B,Summary!A79,'SBIC post TB(Closed)'!J:J)</f>
        <v>0</v>
      </c>
      <c r="H79" s="137">
        <f>SUMIF('SBICII post TB (closed)'!B:B,Summary!A79,'SBICII post TB (closed)'!J:J)</f>
        <v>0</v>
      </c>
      <c r="I79" s="137">
        <f t="shared" si="0"/>
        <v>0</v>
      </c>
      <c r="J79" s="67"/>
      <c r="K79" s="67"/>
      <c r="L79" s="138"/>
      <c r="M79" s="138"/>
      <c r="N79" s="138">
        <f t="shared" si="3"/>
        <v>0</v>
      </c>
      <c r="O79" s="39" t="s">
        <v>29</v>
      </c>
      <c r="P79" s="39"/>
      <c r="Q79" s="137">
        <f t="shared" si="23"/>
        <v>0</v>
      </c>
    </row>
    <row r="80" spans="1:17">
      <c r="A80" t="str">
        <f t="shared" si="2"/>
        <v>Accrued Admin Fee Cost</v>
      </c>
      <c r="B80" t="s">
        <v>26</v>
      </c>
      <c r="C80" t="s">
        <v>224</v>
      </c>
      <c r="D80" t="s">
        <v>225</v>
      </c>
      <c r="E80" t="s">
        <v>172</v>
      </c>
      <c r="F80" s="137">
        <f>SUMIF('BDC post TB'!B:B,Summary!A80,'BDC post TB'!J:J)</f>
        <v>0</v>
      </c>
      <c r="G80" s="137">
        <f>SUMIF('SBIC post TB(Closed)'!B:B,Summary!A80,'SBIC post TB(Closed)'!J:J)</f>
        <v>0</v>
      </c>
      <c r="H80" s="137">
        <f>SUMIF('SBICII post TB (closed)'!B:B,Summary!A80,'SBICII post TB (closed)'!J:J)</f>
        <v>0</v>
      </c>
      <c r="I80" s="137">
        <f t="shared" ref="I80:I119" si="24">SUM(F80:H80)</f>
        <v>0</v>
      </c>
      <c r="J80" s="67"/>
      <c r="K80" s="67"/>
      <c r="L80" s="138"/>
      <c r="M80" s="138"/>
      <c r="N80" s="138">
        <f t="shared" ref="N80:N119" si="25">SUM(I80:M80)</f>
        <v>0</v>
      </c>
      <c r="O80" s="39" t="s">
        <v>57</v>
      </c>
      <c r="P80" s="39"/>
      <c r="Q80" s="137">
        <f>IF(AND(O80="m",N80&gt;0),N80,0)</f>
        <v>0</v>
      </c>
    </row>
    <row r="81" spans="1:17">
      <c r="A81" t="str">
        <f t="shared" si="2"/>
        <v>Accrued BNY Admin Fee Cost</v>
      </c>
      <c r="B81" t="s">
        <v>26</v>
      </c>
      <c r="C81" t="s">
        <v>224</v>
      </c>
      <c r="D81" t="s">
        <v>226</v>
      </c>
      <c r="E81" t="s">
        <v>172</v>
      </c>
      <c r="F81" s="137">
        <f>SUMIF('BDC post TB'!B:B,Summary!A81,'BDC post TB'!J:J)</f>
        <v>-101369.66</v>
      </c>
      <c r="G81" s="137">
        <f>SUMIF('SBIC post TB(Closed)'!B:B,Summary!A81,'SBIC post TB(Closed)'!J:J)</f>
        <v>0</v>
      </c>
      <c r="H81" s="137">
        <f>SUMIF('SBICII post TB (closed)'!B:B,Summary!A81,'SBICII post TB (closed)'!J:J)</f>
        <v>0</v>
      </c>
      <c r="I81" s="137">
        <f t="shared" ref="I81" si="26">SUM(F81:H81)</f>
        <v>-101369.66</v>
      </c>
      <c r="J81" s="67"/>
      <c r="K81" s="67"/>
      <c r="L81" s="138"/>
      <c r="M81" s="138"/>
      <c r="N81" s="138">
        <f t="shared" ref="N81" si="27">SUM(I81:M81)</f>
        <v>-101369.66</v>
      </c>
      <c r="O81" s="39" t="s">
        <v>57</v>
      </c>
      <c r="P81" s="39"/>
      <c r="Q81" s="137"/>
    </row>
    <row r="82" spans="1:17">
      <c r="A82" t="str">
        <f t="shared" ref="A82:A107" si="28">CONCATENATE(D82,E82)</f>
        <v>Accrued PP Admin Exp Reimbursement Cost</v>
      </c>
      <c r="B82" t="s">
        <v>26</v>
      </c>
      <c r="C82" t="s">
        <v>224</v>
      </c>
      <c r="D82" t="s">
        <v>227</v>
      </c>
      <c r="E82" t="s">
        <v>172</v>
      </c>
      <c r="F82" s="137">
        <f>SUMIF('BDC post TB'!B:B,Summary!A82,'BDC post TB'!J:J)</f>
        <v>-1092210.77</v>
      </c>
      <c r="G82" s="137">
        <f>SUMIF('SBIC post TB(Closed)'!B:B,Summary!A82,'SBIC post TB(Closed)'!J:J)</f>
        <v>0</v>
      </c>
      <c r="H82" s="137">
        <f>SUMIF('SBICII post TB (closed)'!B:B,Summary!A82,'SBICII post TB (closed)'!J:J)</f>
        <v>0</v>
      </c>
      <c r="I82" s="137">
        <f t="shared" si="24"/>
        <v>-1092210.77</v>
      </c>
      <c r="J82" s="67"/>
      <c r="K82" s="67"/>
      <c r="L82" s="138"/>
      <c r="M82" s="138"/>
      <c r="N82" s="138">
        <f t="shared" si="25"/>
        <v>-1092210.77</v>
      </c>
      <c r="O82" s="39" t="s">
        <v>57</v>
      </c>
      <c r="P82" s="39"/>
      <c r="Q82" s="137"/>
    </row>
    <row r="83" spans="1:17">
      <c r="A83" t="str">
        <f t="shared" si="28"/>
        <v>Accrued PP Advisor Exp Reimbursement Cost</v>
      </c>
      <c r="B83" t="s">
        <v>26</v>
      </c>
      <c r="C83" t="s">
        <v>224</v>
      </c>
      <c r="D83" t="s">
        <v>228</v>
      </c>
      <c r="E83" t="s">
        <v>172</v>
      </c>
      <c r="F83" s="137">
        <f>SUMIF('BDC post TB'!B:B,Summary!A83,'BDC post TB'!J:J)</f>
        <v>-185824.64000000001</v>
      </c>
      <c r="G83" s="137">
        <f>SUMIF('SBIC post TB(Closed)'!B:B,Summary!A83,'SBIC post TB(Closed)'!J:J)</f>
        <v>0</v>
      </c>
      <c r="H83" s="137">
        <f>SUMIF('SBICII post TB (closed)'!B:B,Summary!A83,'SBICII post TB (closed)'!J:J)</f>
        <v>0</v>
      </c>
      <c r="I83" s="137">
        <f t="shared" si="24"/>
        <v>-185824.64000000001</v>
      </c>
      <c r="J83" s="67"/>
      <c r="K83" s="67"/>
      <c r="L83" s="138"/>
      <c r="M83" s="138"/>
      <c r="N83" s="138">
        <f t="shared" si="25"/>
        <v>-185824.64000000001</v>
      </c>
      <c r="O83" s="39" t="s">
        <v>57</v>
      </c>
      <c r="P83" s="39"/>
      <c r="Q83" s="137"/>
    </row>
    <row r="84" spans="1:17">
      <c r="A84" t="str">
        <f t="shared" si="28"/>
        <v>Accrued Admin OOPs Cost</v>
      </c>
      <c r="B84" t="s">
        <v>26</v>
      </c>
      <c r="C84" t="s">
        <v>224</v>
      </c>
      <c r="D84" t="s">
        <v>229</v>
      </c>
      <c r="E84" t="s">
        <v>172</v>
      </c>
      <c r="F84" s="137">
        <f>SUMIF('BDC post TB'!B:B,Summary!A84,'BDC post TB'!J:J)</f>
        <v>0</v>
      </c>
      <c r="G84" s="137">
        <f>SUMIF('SBIC post TB(Closed)'!B:B,Summary!A84,'SBIC post TB(Closed)'!J:J)</f>
        <v>0</v>
      </c>
      <c r="H84" s="137">
        <f>SUMIF('SBICII post TB (closed)'!B:B,Summary!A84,'SBICII post TB (closed)'!J:J)</f>
        <v>0</v>
      </c>
      <c r="I84" s="137">
        <f t="shared" si="24"/>
        <v>0</v>
      </c>
      <c r="J84" s="67"/>
      <c r="K84" s="67"/>
      <c r="L84" s="138"/>
      <c r="M84" s="138"/>
      <c r="N84" s="138">
        <f t="shared" si="25"/>
        <v>0</v>
      </c>
      <c r="O84" s="39" t="s">
        <v>57</v>
      </c>
      <c r="P84" s="39"/>
      <c r="Q84" s="137">
        <f>IF(AND(O84="m",N84&gt;0),N84,0)</f>
        <v>0</v>
      </c>
    </row>
    <row r="85" spans="1:17">
      <c r="A85" t="str">
        <f t="shared" si="28"/>
        <v>Accrued Advisory Fees Cost</v>
      </c>
      <c r="B85" t="s">
        <v>26</v>
      </c>
      <c r="C85" t="s">
        <v>224</v>
      </c>
      <c r="D85" t="s">
        <v>230</v>
      </c>
      <c r="E85" t="s">
        <v>172</v>
      </c>
      <c r="F85" s="137">
        <f>SUMIF('BDC post TB'!B:B,Summary!A85,'BDC post TB'!J:J)</f>
        <v>0</v>
      </c>
      <c r="G85" s="137">
        <f>SUMIF('SBIC post TB(Closed)'!B:B,Summary!A85,'SBIC post TB(Closed)'!J:J)</f>
        <v>0</v>
      </c>
      <c r="H85" s="137">
        <f>SUMIF('SBICII post TB (closed)'!B:B,Summary!A85,'SBICII post TB (closed)'!J:J)</f>
        <v>0</v>
      </c>
      <c r="I85" s="137">
        <f t="shared" si="24"/>
        <v>0</v>
      </c>
      <c r="J85" s="67"/>
      <c r="K85" s="67"/>
      <c r="L85" s="138"/>
      <c r="M85" s="138"/>
      <c r="N85" s="138">
        <f t="shared" si="25"/>
        <v>0</v>
      </c>
      <c r="O85" s="39" t="s">
        <v>57</v>
      </c>
      <c r="P85" s="39"/>
      <c r="Q85" s="137">
        <f>IF(AND(O85="m",N85&gt;0),N85,0)</f>
        <v>0</v>
      </c>
    </row>
    <row r="86" spans="1:17">
      <c r="A86" t="str">
        <f t="shared" si="28"/>
        <v>Accrued CITRIN Pricing Fees Cost</v>
      </c>
      <c r="B86" t="s">
        <v>26</v>
      </c>
      <c r="C86" t="s">
        <v>224</v>
      </c>
      <c r="D86" t="s">
        <v>231</v>
      </c>
      <c r="E86" t="s">
        <v>172</v>
      </c>
      <c r="F86" s="137">
        <f>SUMIF('BDC post TB'!B:B,Summary!A86,'BDC post TB'!J:J)</f>
        <v>-26387.5</v>
      </c>
      <c r="G86" s="137">
        <f>SUMIF('SBIC post TB(Closed)'!B:B,Summary!A86,'SBIC post TB(Closed)'!J:J)</f>
        <v>0</v>
      </c>
      <c r="H86" s="137">
        <f>SUMIF('SBICII post TB (closed)'!B:B,Summary!A86,'SBICII post TB (closed)'!J:J)</f>
        <v>0</v>
      </c>
      <c r="I86" s="137">
        <f t="shared" si="24"/>
        <v>-26387.5</v>
      </c>
      <c r="J86" s="67"/>
      <c r="K86" s="67"/>
      <c r="L86" s="138"/>
      <c r="M86" s="138"/>
      <c r="N86" s="138">
        <f t="shared" si="25"/>
        <v>-26387.5</v>
      </c>
      <c r="O86" s="39" t="s">
        <v>57</v>
      </c>
      <c r="P86" s="39"/>
      <c r="Q86" s="137"/>
    </row>
    <row r="87" spans="1:17">
      <c r="A87" t="str">
        <f t="shared" si="28"/>
        <v>Accrued Centri Business Consulting Fees Cost</v>
      </c>
      <c r="B87" t="s">
        <v>26</v>
      </c>
      <c r="C87" t="s">
        <v>224</v>
      </c>
      <c r="D87" t="s">
        <v>232</v>
      </c>
      <c r="E87" t="s">
        <v>172</v>
      </c>
      <c r="F87" s="137">
        <f>SUMIF('BDC post TB'!B:B,Summary!A87,'BDC post TB'!J:J)</f>
        <v>-35022.1</v>
      </c>
      <c r="G87" s="137">
        <f>SUMIF('SBIC post TB(Closed)'!B:B,Summary!A87,'SBIC post TB(Closed)'!J:J)</f>
        <v>0</v>
      </c>
      <c r="H87" s="137">
        <f>SUMIF('SBICII post TB (closed)'!B:B,Summary!A87,'SBICII post TB (closed)'!J:J)</f>
        <v>0</v>
      </c>
      <c r="I87" s="137">
        <f t="shared" si="24"/>
        <v>-35022.1</v>
      </c>
      <c r="J87" s="67"/>
      <c r="K87" s="67"/>
      <c r="L87" s="138"/>
      <c r="M87" s="138"/>
      <c r="N87" s="138">
        <f t="shared" si="25"/>
        <v>-35022.1</v>
      </c>
      <c r="O87" s="39" t="s">
        <v>57</v>
      </c>
      <c r="P87" s="39"/>
      <c r="Q87" s="137"/>
    </row>
    <row r="88" spans="1:17">
      <c r="A88" t="str">
        <f t="shared" si="28"/>
        <v>Accrued DLA SOX/Audit Related Fees Cost</v>
      </c>
      <c r="B88" t="s">
        <v>26</v>
      </c>
      <c r="C88" t="s">
        <v>224</v>
      </c>
      <c r="D88" t="s">
        <v>233</v>
      </c>
      <c r="E88" t="s">
        <v>172</v>
      </c>
      <c r="F88" s="137">
        <f>SUMIF('BDC post TB'!B:B,Summary!A88,'BDC post TB'!J:J)</f>
        <v>-120000</v>
      </c>
      <c r="G88" s="137">
        <f>SUMIF('SBIC post TB(Closed)'!B:B,Summary!A88,'SBIC post TB(Closed)'!J:J)</f>
        <v>0</v>
      </c>
      <c r="H88" s="137">
        <f>SUMIF('SBICII post TB (closed)'!B:B,Summary!A88,'SBICII post TB (closed)'!J:J)</f>
        <v>0</v>
      </c>
      <c r="I88" s="137">
        <f t="shared" si="24"/>
        <v>-120000</v>
      </c>
      <c r="J88" s="67"/>
      <c r="K88" s="67"/>
      <c r="L88" s="138"/>
      <c r="M88" s="138"/>
      <c r="N88" s="138">
        <f t="shared" si="25"/>
        <v>-120000</v>
      </c>
      <c r="O88" s="39" t="s">
        <v>57</v>
      </c>
      <c r="P88" s="39"/>
      <c r="Q88" s="137"/>
    </row>
    <row r="89" spans="1:17">
      <c r="A89" t="str">
        <f t="shared" si="28"/>
        <v>Accrued Dechert Legal Fees Cost</v>
      </c>
      <c r="B89" t="s">
        <v>26</v>
      </c>
      <c r="C89" t="s">
        <v>224</v>
      </c>
      <c r="D89" t="s">
        <v>234</v>
      </c>
      <c r="E89" t="s">
        <v>172</v>
      </c>
      <c r="F89" s="137">
        <f>SUMIF('BDC post TB'!B:B,Summary!A89,'BDC post TB'!J:J)</f>
        <v>-66008.3</v>
      </c>
      <c r="G89" s="137">
        <f>SUMIF('SBIC post TB(Closed)'!B:B,Summary!A89,'SBIC post TB(Closed)'!J:J)</f>
        <v>0</v>
      </c>
      <c r="H89" s="137">
        <f>SUMIF('SBICII post TB (closed)'!B:B,Summary!A89,'SBICII post TB (closed)'!J:J)</f>
        <v>0</v>
      </c>
      <c r="I89" s="137">
        <f t="shared" si="24"/>
        <v>-66008.3</v>
      </c>
      <c r="J89" s="67"/>
      <c r="K89" s="67"/>
      <c r="L89" s="138"/>
      <c r="M89" s="138"/>
      <c r="N89" s="138">
        <f t="shared" si="25"/>
        <v>-66008.3</v>
      </c>
      <c r="O89" s="39" t="s">
        <v>57</v>
      </c>
      <c r="P89" s="39"/>
      <c r="Q89" s="137"/>
    </row>
    <row r="90" spans="1:17">
      <c r="A90" t="str">
        <f t="shared" si="28"/>
        <v>Accrued Grant Thornton Tax Fees Cost</v>
      </c>
      <c r="B90" t="s">
        <v>26</v>
      </c>
      <c r="C90" t="s">
        <v>224</v>
      </c>
      <c r="D90" t="s">
        <v>235</v>
      </c>
      <c r="E90" t="s">
        <v>172</v>
      </c>
      <c r="F90" s="137">
        <f>SUMIF('BDC post TB'!B:B,Summary!A90,'BDC post TB'!J:J)</f>
        <v>-5416</v>
      </c>
      <c r="G90" s="137">
        <f>SUMIF('SBIC post TB(Closed)'!B:B,Summary!A90,'SBIC post TB(Closed)'!J:J)</f>
        <v>0</v>
      </c>
      <c r="H90" s="137">
        <f>SUMIF('SBICII post TB (closed)'!B:B,Summary!A90,'SBICII post TB (closed)'!J:J)</f>
        <v>0</v>
      </c>
      <c r="I90" s="137">
        <f t="shared" si="24"/>
        <v>-5416</v>
      </c>
      <c r="J90" s="67"/>
      <c r="K90" s="67"/>
      <c r="L90" s="138"/>
      <c r="M90" s="138"/>
      <c r="N90" s="138">
        <f t="shared" si="25"/>
        <v>-5416</v>
      </c>
      <c r="O90" s="39" t="s">
        <v>57</v>
      </c>
      <c r="P90" s="39"/>
      <c r="Q90" s="137"/>
    </row>
    <row r="91" spans="1:17">
      <c r="A91" t="str">
        <f t="shared" si="28"/>
        <v>Accrued KROLL LLC Pricing Fees Cost</v>
      </c>
      <c r="B91" t="s">
        <v>26</v>
      </c>
      <c r="C91" t="s">
        <v>224</v>
      </c>
      <c r="D91" t="s">
        <v>236</v>
      </c>
      <c r="E91" t="s">
        <v>172</v>
      </c>
      <c r="F91" s="137">
        <f>SUMIF('BDC post TB'!B:B,Summary!A91,'BDC post TB'!J:J)</f>
        <v>-55305.3</v>
      </c>
      <c r="G91" s="137">
        <f>SUMIF('SBIC post TB(Closed)'!B:B,Summary!A91,'SBIC post TB(Closed)'!J:J)</f>
        <v>0</v>
      </c>
      <c r="H91" s="137">
        <f>SUMIF('SBICII post TB (closed)'!B:B,Summary!A91,'SBICII post TB (closed)'!J:J)</f>
        <v>0</v>
      </c>
      <c r="I91" s="137">
        <f t="shared" si="24"/>
        <v>-55305.3</v>
      </c>
      <c r="J91" s="67"/>
      <c r="K91" s="67"/>
      <c r="L91" s="138"/>
      <c r="M91" s="138"/>
      <c r="N91" s="138">
        <f t="shared" si="25"/>
        <v>-55305.3</v>
      </c>
      <c r="O91" s="39" t="s">
        <v>57</v>
      </c>
      <c r="P91" s="39"/>
      <c r="Q91" s="137"/>
    </row>
    <row r="92" spans="1:17">
      <c r="A92" t="str">
        <f t="shared" si="28"/>
        <v>Accrued Kirkland &amp; Ellis LLP Legal Fees Cost</v>
      </c>
      <c r="B92" t="s">
        <v>26</v>
      </c>
      <c r="C92" t="s">
        <v>224</v>
      </c>
      <c r="D92" t="s">
        <v>237</v>
      </c>
      <c r="E92" t="s">
        <v>172</v>
      </c>
      <c r="F92" s="137">
        <f>SUMIF('BDC post TB'!B:B,Summary!A92,'BDC post TB'!J:J)</f>
        <v>-34453.75</v>
      </c>
      <c r="G92" s="137">
        <f>SUMIF('SBIC post TB(Closed)'!B:B,Summary!A92,'SBIC post TB(Closed)'!J:J)</f>
        <v>0</v>
      </c>
      <c r="H92" s="137">
        <f>SUMIF('SBICII post TB (closed)'!B:B,Summary!A92,'SBICII post TB (closed)'!J:J)</f>
        <v>0</v>
      </c>
      <c r="I92" s="137">
        <f t="shared" si="24"/>
        <v>-34453.75</v>
      </c>
      <c r="J92" s="67"/>
      <c r="K92" s="67"/>
      <c r="L92" s="138"/>
      <c r="M92" s="138"/>
      <c r="N92" s="138">
        <f t="shared" si="25"/>
        <v>-34453.75</v>
      </c>
      <c r="O92" s="39" t="s">
        <v>57</v>
      </c>
      <c r="P92" s="39"/>
      <c r="Q92" s="137"/>
    </row>
    <row r="93" spans="1:17" s="117" customFormat="1">
      <c r="A93" s="117" t="str">
        <f t="shared" ref="A93" si="29">CONCATENATE(D93,E93)</f>
        <v>Accrued Foley Tax/Consulting Fees Cost</v>
      </c>
      <c r="B93" s="117" t="s">
        <v>26</v>
      </c>
      <c r="C93" s="117" t="s">
        <v>224</v>
      </c>
      <c r="D93" s="117" t="s">
        <v>238</v>
      </c>
      <c r="E93" s="117" t="s">
        <v>172</v>
      </c>
      <c r="F93" s="143">
        <f>SUMIF('BDC post TB'!B:B,Summary!A93,'BDC post TB'!J:J)</f>
        <v>-3000.27</v>
      </c>
      <c r="G93" s="143">
        <f>SUMIF('SBIC post TB(Closed)'!B:B,Summary!A93,'SBIC post TB(Closed)'!J:J)</f>
        <v>0</v>
      </c>
      <c r="H93" s="143">
        <f>SUMIF('SBICII post TB (closed)'!B:B,Summary!A93,'SBICII post TB (closed)'!J:J)</f>
        <v>0</v>
      </c>
      <c r="I93" s="143">
        <f t="shared" ref="I93" si="30">SUM(F93:H93)</f>
        <v>-3000.27</v>
      </c>
      <c r="J93" s="124"/>
      <c r="K93" s="124"/>
      <c r="L93" s="141"/>
      <c r="M93" s="141"/>
      <c r="N93" s="141">
        <f t="shared" ref="N93" si="31">SUM(I93:M93)</f>
        <v>-3000.27</v>
      </c>
      <c r="O93" s="123" t="s">
        <v>57</v>
      </c>
      <c r="P93" s="123"/>
      <c r="Q93" s="143"/>
    </row>
    <row r="94" spans="1:17">
      <c r="A94" t="str">
        <f t="shared" si="28"/>
        <v>Accrued Lincoln Pricing Fees Cost</v>
      </c>
      <c r="B94" t="s">
        <v>26</v>
      </c>
      <c r="C94" t="s">
        <v>224</v>
      </c>
      <c r="D94" t="s">
        <v>239</v>
      </c>
      <c r="E94" t="s">
        <v>172</v>
      </c>
      <c r="F94" s="137">
        <f>SUMIF('BDC post TB'!B:B,Summary!A94,'BDC post TB'!J:J)</f>
        <v>-34487.03</v>
      </c>
      <c r="G94" s="137">
        <f>SUMIF('SBIC post TB(Closed)'!B:B,Summary!A94,'SBIC post TB(Closed)'!J:J)</f>
        <v>0</v>
      </c>
      <c r="H94" s="137">
        <f>SUMIF('SBICII post TB (closed)'!B:B,Summary!A94,'SBICII post TB (closed)'!J:J)</f>
        <v>0</v>
      </c>
      <c r="I94" s="137">
        <f t="shared" si="24"/>
        <v>-34487.03</v>
      </c>
      <c r="J94" s="67"/>
      <c r="K94" s="67"/>
      <c r="L94" s="138"/>
      <c r="M94" s="138"/>
      <c r="N94" s="138">
        <f t="shared" si="25"/>
        <v>-34487.03</v>
      </c>
      <c r="O94" s="39" t="s">
        <v>57</v>
      </c>
      <c r="P94" s="39"/>
      <c r="Q94" s="137"/>
    </row>
    <row r="95" spans="1:17">
      <c r="A95" t="str">
        <f t="shared" si="28"/>
        <v>Accrued RSM US LLP Audit Related Fees Cost</v>
      </c>
      <c r="B95" t="s">
        <v>26</v>
      </c>
      <c r="C95" t="s">
        <v>224</v>
      </c>
      <c r="D95" t="s">
        <v>240</v>
      </c>
      <c r="E95" t="s">
        <v>172</v>
      </c>
      <c r="F95" s="137">
        <f>SUMIF('BDC post TB'!B:B,Summary!A95,'BDC post TB'!J:J)</f>
        <v>-229901</v>
      </c>
      <c r="G95" s="137">
        <f>SUMIF('SBIC post TB(Closed)'!B:B,Summary!A95,'SBIC post TB(Closed)'!J:J)</f>
        <v>0</v>
      </c>
      <c r="H95" s="137">
        <f>SUMIF('SBICII post TB (closed)'!B:B,Summary!A95,'SBICII post TB (closed)'!J:J)</f>
        <v>0</v>
      </c>
      <c r="I95" s="137">
        <f t="shared" si="24"/>
        <v>-229901</v>
      </c>
      <c r="J95" s="67"/>
      <c r="K95" s="67"/>
      <c r="L95" s="138"/>
      <c r="M95" s="138"/>
      <c r="N95" s="138">
        <f t="shared" si="25"/>
        <v>-229901</v>
      </c>
      <c r="O95" s="39" t="s">
        <v>57</v>
      </c>
      <c r="P95" s="39"/>
      <c r="Q95" s="137"/>
    </row>
    <row r="96" spans="1:17">
      <c r="A96" t="str">
        <f t="shared" si="28"/>
        <v>Accrued VRC Pricing Fees Cost</v>
      </c>
      <c r="B96" t="s">
        <v>26</v>
      </c>
      <c r="C96" t="s">
        <v>224</v>
      </c>
      <c r="D96" t="s">
        <v>241</v>
      </c>
      <c r="E96" t="s">
        <v>172</v>
      </c>
      <c r="F96" s="137">
        <f>SUMIF('BDC post TB'!B:B,Summary!A96,'BDC post TB'!J:J)</f>
        <v>-93086.11</v>
      </c>
      <c r="G96" s="137">
        <f>SUMIF('SBIC post TB(Closed)'!B:B,Summary!A96,'SBIC post TB(Closed)'!J:J)</f>
        <v>0</v>
      </c>
      <c r="H96" s="137">
        <f>SUMIF('SBICII post TB (closed)'!B:B,Summary!A96,'SBICII post TB (closed)'!J:J)</f>
        <v>0</v>
      </c>
      <c r="I96" s="137">
        <f t="shared" si="24"/>
        <v>-93086.11</v>
      </c>
      <c r="J96" s="67"/>
      <c r="K96" s="67"/>
      <c r="L96" s="138"/>
      <c r="M96" s="138"/>
      <c r="N96" s="138">
        <f t="shared" si="25"/>
        <v>-93086.11</v>
      </c>
      <c r="O96" s="39" t="s">
        <v>57</v>
      </c>
      <c r="P96" s="39"/>
      <c r="Q96" s="137"/>
    </row>
    <row r="97" spans="1:17">
      <c r="A97" t="str">
        <f t="shared" si="28"/>
        <v>Accrued Admin/Adviser Exp. Reimbursement Cost</v>
      </c>
      <c r="B97" t="s">
        <v>26</v>
      </c>
      <c r="C97" t="s">
        <v>224</v>
      </c>
      <c r="D97" t="s">
        <v>242</v>
      </c>
      <c r="E97" t="s">
        <v>172</v>
      </c>
      <c r="F97" s="137">
        <f>SUMIF('BDC post TB'!B:B,Summary!A97,'BDC post TB'!J:J)</f>
        <v>0</v>
      </c>
      <c r="G97" s="137">
        <f>SUMIF('SBIC post TB(Closed)'!B:B,Summary!A97,'SBIC post TB(Closed)'!J:J)</f>
        <v>0</v>
      </c>
      <c r="H97" s="137">
        <f>SUMIF('SBICII post TB (closed)'!B:B,Summary!A97,'SBICII post TB (closed)'!J:J)</f>
        <v>0</v>
      </c>
      <c r="I97" s="137">
        <f t="shared" si="24"/>
        <v>0</v>
      </c>
      <c r="J97" s="67"/>
      <c r="K97" s="67"/>
      <c r="L97" s="138"/>
      <c r="M97" s="138"/>
      <c r="N97" s="138">
        <f t="shared" si="25"/>
        <v>0</v>
      </c>
      <c r="O97" s="39" t="s">
        <v>57</v>
      </c>
      <c r="P97" s="39"/>
      <c r="Q97" s="137">
        <f t="shared" ref="Q97:Q103" si="32">IF(AND(O97="m",N97&gt;0),N97,0)</f>
        <v>0</v>
      </c>
    </row>
    <row r="98" spans="1:17">
      <c r="A98" t="str">
        <f t="shared" si="28"/>
        <v>Accrued Audit Fee Cost</v>
      </c>
      <c r="B98" t="s">
        <v>26</v>
      </c>
      <c r="C98" t="s">
        <v>224</v>
      </c>
      <c r="D98" t="s">
        <v>243</v>
      </c>
      <c r="E98" t="s">
        <v>172</v>
      </c>
      <c r="F98" s="137">
        <f>SUMIF('BDC post TB'!B:B,Summary!A98,'BDC post TB'!J:J)</f>
        <v>0</v>
      </c>
      <c r="G98" s="137">
        <f>SUMIF('SBIC post TB(Closed)'!B:B,Summary!A98,'SBIC post TB(Closed)'!J:J)</f>
        <v>0</v>
      </c>
      <c r="H98" s="137">
        <f>SUMIF('SBICII post TB (closed)'!B:B,Summary!A98,'SBICII post TB (closed)'!J:J)</f>
        <v>0</v>
      </c>
      <c r="I98" s="137">
        <f t="shared" si="24"/>
        <v>0</v>
      </c>
      <c r="J98" s="67"/>
      <c r="K98" s="67"/>
      <c r="L98" s="138"/>
      <c r="M98" s="138"/>
      <c r="N98" s="138">
        <f t="shared" si="25"/>
        <v>0</v>
      </c>
      <c r="O98" s="39" t="s">
        <v>57</v>
      </c>
      <c r="P98" s="39"/>
      <c r="Q98" s="137">
        <f t="shared" si="32"/>
        <v>0</v>
      </c>
    </row>
    <row r="99" spans="1:17">
      <c r="A99" t="str">
        <f t="shared" si="28"/>
        <v>Accrued Consulting Fees Payable Cost</v>
      </c>
      <c r="B99" t="s">
        <v>26</v>
      </c>
      <c r="C99" t="s">
        <v>224</v>
      </c>
      <c r="D99" t="s">
        <v>244</v>
      </c>
      <c r="E99" t="s">
        <v>172</v>
      </c>
      <c r="F99" s="137">
        <f>SUMIF('BDC post TB'!B:B,Summary!A99,'BDC post TB'!J:J)</f>
        <v>0</v>
      </c>
      <c r="G99" s="137">
        <f>SUMIF('SBIC post TB(Closed)'!B:B,Summary!A99,'SBIC post TB(Closed)'!J:J)</f>
        <v>0</v>
      </c>
      <c r="H99" s="137">
        <f>SUMIF('SBICII post TB (closed)'!B:B,Summary!A99,'SBICII post TB (closed)'!J:J)</f>
        <v>0</v>
      </c>
      <c r="I99" s="137">
        <f t="shared" ref="I99:I105" si="33">SUM(F99:H99)</f>
        <v>0</v>
      </c>
      <c r="J99" s="67"/>
      <c r="K99" s="67"/>
      <c r="L99" s="138"/>
      <c r="M99" s="138"/>
      <c r="N99" s="138">
        <f t="shared" ref="N99:N105" si="34">SUM(I99:M99)</f>
        <v>0</v>
      </c>
      <c r="O99" s="39" t="s">
        <v>57</v>
      </c>
      <c r="P99" s="39"/>
      <c r="Q99" s="137">
        <f t="shared" si="32"/>
        <v>0</v>
      </c>
    </row>
    <row r="100" spans="1:17">
      <c r="A100" t="str">
        <f t="shared" si="28"/>
        <v>Accrued Custodian Fees Cost</v>
      </c>
      <c r="B100" t="s">
        <v>26</v>
      </c>
      <c r="C100" t="s">
        <v>224</v>
      </c>
      <c r="D100" t="s">
        <v>245</v>
      </c>
      <c r="E100" t="s">
        <v>172</v>
      </c>
      <c r="F100" s="137">
        <f>SUMIF('BDC post TB'!B:B,Summary!A100,'BDC post TB'!J:J)</f>
        <v>-46419.16</v>
      </c>
      <c r="G100" s="137">
        <f>SUMIF('SBIC post TB(Closed)'!B:B,Summary!A100,'SBIC post TB(Closed)'!J:J)</f>
        <v>0</v>
      </c>
      <c r="H100" s="137">
        <f>SUMIF('SBICII post TB (closed)'!B:B,Summary!A100,'SBICII post TB (closed)'!J:J)</f>
        <v>0</v>
      </c>
      <c r="I100" s="137">
        <f t="shared" si="33"/>
        <v>-46419.16</v>
      </c>
      <c r="J100" s="67"/>
      <c r="K100" s="67"/>
      <c r="L100" s="138"/>
      <c r="M100" s="138"/>
      <c r="N100" s="138">
        <f t="shared" si="34"/>
        <v>-46419.16</v>
      </c>
      <c r="O100" s="39" t="s">
        <v>57</v>
      </c>
      <c r="P100" s="39"/>
      <c r="Q100" s="137">
        <f t="shared" si="32"/>
        <v>0</v>
      </c>
    </row>
    <row r="101" spans="1:17">
      <c r="A101" t="str">
        <f t="shared" si="28"/>
        <v>Accrued Director Fee Cost</v>
      </c>
      <c r="B101" t="s">
        <v>26</v>
      </c>
      <c r="C101" t="s">
        <v>224</v>
      </c>
      <c r="D101" t="s">
        <v>246</v>
      </c>
      <c r="E101" t="s">
        <v>172</v>
      </c>
      <c r="F101" s="137">
        <f>SUMIF('BDC post TB'!B:B,Summary!A101,'BDC post TB'!J:J)</f>
        <v>-209939</v>
      </c>
      <c r="G101" s="137">
        <f>SUMIF('SBIC post TB(Closed)'!B:B,Summary!A101,'SBIC post TB(Closed)'!J:J)</f>
        <v>0</v>
      </c>
      <c r="H101" s="137">
        <f>SUMIF('SBICII post TB (closed)'!B:B,Summary!A101,'SBICII post TB (closed)'!J:J)</f>
        <v>0</v>
      </c>
      <c r="I101" s="137">
        <f t="shared" si="33"/>
        <v>-209939</v>
      </c>
      <c r="J101" s="67"/>
      <c r="K101" s="67"/>
      <c r="L101" s="138"/>
      <c r="M101" s="138"/>
      <c r="N101" s="138">
        <f t="shared" si="34"/>
        <v>-209939</v>
      </c>
      <c r="O101" s="39" t="s">
        <v>57</v>
      </c>
      <c r="P101" s="39"/>
      <c r="Q101" s="137">
        <f t="shared" si="32"/>
        <v>0</v>
      </c>
    </row>
    <row r="102" spans="1:17">
      <c r="A102" t="str">
        <f t="shared" si="28"/>
        <v>Accrued Director's OOP Expense Cost</v>
      </c>
      <c r="B102" t="s">
        <v>26</v>
      </c>
      <c r="C102" t="s">
        <v>224</v>
      </c>
      <c r="D102" t="s">
        <v>247</v>
      </c>
      <c r="E102" t="s">
        <v>172</v>
      </c>
      <c r="F102" s="137">
        <f>SUMIF('BDC post TB'!B:B,Summary!A102,'BDC post TB'!J:J)</f>
        <v>0</v>
      </c>
      <c r="G102" s="137">
        <f>SUMIF('SBIC post TB(Closed)'!B:B,Summary!A102,'SBIC post TB(Closed)'!J:J)</f>
        <v>0</v>
      </c>
      <c r="H102" s="137">
        <f>SUMIF('SBICII post TB (closed)'!B:B,Summary!A102,'SBICII post TB (closed)'!J:J)</f>
        <v>0</v>
      </c>
      <c r="I102" s="137">
        <f t="shared" si="33"/>
        <v>0</v>
      </c>
      <c r="J102" s="67"/>
      <c r="K102" s="67"/>
      <c r="L102" s="138"/>
      <c r="M102" s="138"/>
      <c r="N102" s="138">
        <f t="shared" si="34"/>
        <v>0</v>
      </c>
      <c r="O102" s="39" t="s">
        <v>57</v>
      </c>
      <c r="P102" s="39"/>
      <c r="Q102" s="137">
        <f t="shared" si="32"/>
        <v>0</v>
      </c>
    </row>
    <row r="103" spans="1:17">
      <c r="A103" t="str">
        <f t="shared" si="28"/>
        <v>Accrued Excise Tax Fees Cost</v>
      </c>
      <c r="B103" t="s">
        <v>26</v>
      </c>
      <c r="C103" t="s">
        <v>224</v>
      </c>
      <c r="D103" t="s">
        <v>248</v>
      </c>
      <c r="E103" t="s">
        <v>172</v>
      </c>
      <c r="F103" s="137">
        <f>SUMIF('BDC post TB'!B:B,Summary!A103,'BDC post TB'!J:J)</f>
        <v>-2882107.07</v>
      </c>
      <c r="G103" s="137">
        <f>SUMIF('SBIC post TB(Closed)'!B:B,Summary!A103,'SBIC post TB(Closed)'!J:J)</f>
        <v>0</v>
      </c>
      <c r="H103" s="137">
        <f>SUMIF('SBICII post TB (closed)'!B:B,Summary!A103,'SBICII post TB (closed)'!J:J)</f>
        <v>0</v>
      </c>
      <c r="I103" s="137">
        <f t="shared" si="33"/>
        <v>-2882107.07</v>
      </c>
      <c r="J103" s="67"/>
      <c r="K103" s="67"/>
      <c r="L103" s="138"/>
      <c r="M103" s="138"/>
      <c r="N103" s="138">
        <f t="shared" si="34"/>
        <v>-2882107.07</v>
      </c>
      <c r="O103" s="39" t="s">
        <v>57</v>
      </c>
      <c r="P103" s="39"/>
      <c r="Q103" s="137">
        <f t="shared" si="32"/>
        <v>0</v>
      </c>
    </row>
    <row r="104" spans="1:17">
      <c r="A104" t="str">
        <f t="shared" si="28"/>
        <v>Accrued Incentive Cost</v>
      </c>
      <c r="B104" t="s">
        <v>26</v>
      </c>
      <c r="C104" t="s">
        <v>224</v>
      </c>
      <c r="D104" t="s">
        <v>249</v>
      </c>
      <c r="E104" t="s">
        <v>172</v>
      </c>
      <c r="F104" s="137">
        <f>SUMIF('BDC post TB'!B:B,Summary!A104,'BDC post TB'!J:J)</f>
        <v>0</v>
      </c>
      <c r="G104" s="137">
        <f>SUMIF('SBIC post TB(Closed)'!B:B,Summary!A104,'SBIC post TB(Closed)'!J:J)</f>
        <v>0</v>
      </c>
      <c r="H104" s="137">
        <f>SUMIF('SBICII post TB (closed)'!B:B,Summary!A104,'SBICII post TB (closed)'!J:J)</f>
        <v>0</v>
      </c>
      <c r="I104" s="137">
        <f t="shared" si="33"/>
        <v>0</v>
      </c>
      <c r="J104" s="67"/>
      <c r="K104" s="67"/>
      <c r="L104" s="138"/>
      <c r="M104" s="138"/>
      <c r="N104" s="138">
        <f t="shared" si="34"/>
        <v>0</v>
      </c>
      <c r="O104" s="39"/>
      <c r="P104" s="39"/>
      <c r="Q104" s="137"/>
    </row>
    <row r="105" spans="1:17">
      <c r="A105" t="str">
        <f t="shared" si="28"/>
        <v>Accrued Incentive Fee Cost</v>
      </c>
      <c r="B105" t="s">
        <v>26</v>
      </c>
      <c r="C105" t="s">
        <v>224</v>
      </c>
      <c r="D105" t="s">
        <v>250</v>
      </c>
      <c r="E105" t="s">
        <v>172</v>
      </c>
      <c r="F105" s="137">
        <f>SUMIF('BDC post TB'!B:B,Summary!A105,'BDC post TB'!J:J)</f>
        <v>0</v>
      </c>
      <c r="G105" s="137">
        <f>SUMIF('SBIC post TB(Closed)'!B:B,Summary!A105,'SBIC post TB(Closed)'!J:J)</f>
        <v>0</v>
      </c>
      <c r="H105" s="137">
        <f>SUMIF('SBICII post TB (closed)'!B:B,Summary!A105,'SBICII post TB (closed)'!J:J)</f>
        <v>0</v>
      </c>
      <c r="I105" s="137">
        <f t="shared" si="33"/>
        <v>0</v>
      </c>
      <c r="J105" s="67"/>
      <c r="K105" s="67"/>
      <c r="L105" s="138"/>
      <c r="M105" s="138"/>
      <c r="N105" s="138">
        <f t="shared" si="34"/>
        <v>0</v>
      </c>
      <c r="O105" s="39" t="s">
        <v>51</v>
      </c>
      <c r="P105" s="39"/>
      <c r="Q105" s="137">
        <f>IF(AND(O105="m",N105&gt;0),N105,0)</f>
        <v>0</v>
      </c>
    </row>
    <row r="106" spans="1:17">
      <c r="A106" t="str">
        <f t="shared" si="28"/>
        <v>Accrued Incentive Fee Waiver Cost</v>
      </c>
      <c r="B106" t="s">
        <v>26</v>
      </c>
      <c r="C106" t="s">
        <v>224</v>
      </c>
      <c r="D106" t="s">
        <v>251</v>
      </c>
      <c r="E106" t="s">
        <v>172</v>
      </c>
      <c r="F106" s="137">
        <f>SUMIF('BDC post TB'!B:B,Summary!A106,'BDC post TB'!J:J)</f>
        <v>0</v>
      </c>
      <c r="G106" s="137">
        <f>SUMIF('SBIC post TB(Closed)'!B:B,Summary!A106,'SBIC post TB(Closed)'!J:J)</f>
        <v>0</v>
      </c>
      <c r="H106" s="137">
        <f>SUMIF('SBICII post TB (closed)'!B:B,Summary!A106,'SBICII post TB (closed)'!J:J)</f>
        <v>0</v>
      </c>
      <c r="I106" s="137">
        <f t="shared" si="24"/>
        <v>0</v>
      </c>
      <c r="J106" s="67"/>
      <c r="K106" s="67"/>
      <c r="L106" s="138"/>
      <c r="M106" s="138"/>
      <c r="N106" s="138">
        <f t="shared" si="25"/>
        <v>0</v>
      </c>
      <c r="O106" s="39" t="s">
        <v>51</v>
      </c>
      <c r="P106" s="39"/>
      <c r="Q106" s="137">
        <f>IF(AND(O106="m",N106&gt;0),N106,0)</f>
        <v>0</v>
      </c>
    </row>
    <row r="107" spans="1:17">
      <c r="A107" t="str">
        <f t="shared" si="28"/>
        <v>Accrued Incentive Fee - Gains Cost</v>
      </c>
      <c r="B107" t="s">
        <v>26</v>
      </c>
      <c r="C107" t="s">
        <v>224</v>
      </c>
      <c r="D107" t="s">
        <v>252</v>
      </c>
      <c r="E107" t="s">
        <v>172</v>
      </c>
      <c r="F107" s="137">
        <f>SUMIF('BDC post TB'!B:B,Summary!A107,'BDC post TB'!J:J)</f>
        <v>0</v>
      </c>
      <c r="G107" s="137">
        <f>SUMIF('SBIC post TB(Closed)'!B:B,Summary!A107,'SBIC post TB(Closed)'!J:J)</f>
        <v>0</v>
      </c>
      <c r="H107" s="137">
        <f>SUMIF('SBICII post TB (closed)'!B:B,Summary!A107,'SBICII post TB (closed)'!J:J)</f>
        <v>0</v>
      </c>
      <c r="I107" s="137">
        <f t="shared" si="24"/>
        <v>0</v>
      </c>
      <c r="J107" s="67"/>
      <c r="K107" s="67"/>
      <c r="L107" s="138"/>
      <c r="M107" s="138"/>
      <c r="N107" s="138">
        <f t="shared" si="25"/>
        <v>0</v>
      </c>
      <c r="O107" s="39" t="s">
        <v>51</v>
      </c>
      <c r="P107" s="39"/>
      <c r="Q107" s="137"/>
    </row>
    <row r="108" spans="1:17">
      <c r="A108" t="str">
        <f t="shared" ref="A108:A125" si="35">CONCATENATE(D108,E108)</f>
        <v>Accrued Interest Payable Cost</v>
      </c>
      <c r="B108" t="s">
        <v>26</v>
      </c>
      <c r="C108" t="s">
        <v>224</v>
      </c>
      <c r="D108" t="s">
        <v>253</v>
      </c>
      <c r="E108" t="s">
        <v>172</v>
      </c>
      <c r="F108" s="137">
        <f>SUMIF('BDC post TB'!B:B,Summary!A108,'BDC post TB'!J:J)</f>
        <v>0</v>
      </c>
      <c r="G108" s="137">
        <f>SUMIF('SBIC post TB(Closed)'!B:B,Summary!A108,'SBIC post TB(Closed)'!J:J)</f>
        <v>0</v>
      </c>
      <c r="H108" s="137">
        <f>SUMIF('SBICII post TB (closed)'!B:B,Summary!A108,'SBICII post TB (closed)'!J:J)</f>
        <v>0</v>
      </c>
      <c r="I108" s="137">
        <f t="shared" si="24"/>
        <v>0</v>
      </c>
      <c r="J108" s="67"/>
      <c r="K108" s="67"/>
      <c r="L108" s="138"/>
      <c r="M108" s="138"/>
      <c r="N108" s="138">
        <f t="shared" si="25"/>
        <v>0</v>
      </c>
      <c r="O108" s="39" t="s">
        <v>47</v>
      </c>
      <c r="P108" s="39"/>
      <c r="Q108" s="137">
        <f t="shared" ref="Q108:Q122" si="36">IF(AND(O108="m",N108&gt;0),N108,0)</f>
        <v>0</v>
      </c>
    </row>
    <row r="109" spans="1:17">
      <c r="A109" t="str">
        <f t="shared" si="35"/>
        <v>Accrued Legal Fee Cost</v>
      </c>
      <c r="B109" t="s">
        <v>26</v>
      </c>
      <c r="C109" t="s">
        <v>224</v>
      </c>
      <c r="D109" t="s">
        <v>254</v>
      </c>
      <c r="E109" t="s">
        <v>172</v>
      </c>
      <c r="F109" s="137">
        <f>SUMIF('BDC post TB'!B:B,Summary!A109,'BDC post TB'!J:J)</f>
        <v>0</v>
      </c>
      <c r="G109" s="137">
        <f>SUMIF('SBIC post TB(Closed)'!B:B,Summary!A109,'SBIC post TB(Closed)'!J:J)</f>
        <v>0</v>
      </c>
      <c r="H109" s="137">
        <f>SUMIF('SBICII post TB (closed)'!B:B,Summary!A109,'SBICII post TB (closed)'!J:J)</f>
        <v>0</v>
      </c>
      <c r="I109" s="137">
        <f t="shared" si="24"/>
        <v>0</v>
      </c>
      <c r="J109" s="67"/>
      <c r="K109" s="67"/>
      <c r="L109" s="138"/>
      <c r="M109" s="138"/>
      <c r="N109" s="138">
        <f t="shared" si="25"/>
        <v>0</v>
      </c>
      <c r="O109" s="39" t="s">
        <v>57</v>
      </c>
      <c r="P109" s="39"/>
      <c r="Q109" s="137">
        <f t="shared" si="36"/>
        <v>0</v>
      </c>
    </row>
    <row r="110" spans="1:17">
      <c r="A110" t="str">
        <f t="shared" si="35"/>
        <v>Accrued Management Fee Waiver Cost</v>
      </c>
      <c r="B110" t="s">
        <v>26</v>
      </c>
      <c r="C110" t="s">
        <v>224</v>
      </c>
      <c r="D110" t="s">
        <v>255</v>
      </c>
      <c r="E110" t="s">
        <v>172</v>
      </c>
      <c r="F110" s="137">
        <f>SUMIF('BDC post TB'!B:B,Summary!A110,'BDC post TB'!J:J)</f>
        <v>0</v>
      </c>
      <c r="G110" s="137">
        <f>SUMIF('SBIC post TB(Closed)'!B:B,Summary!A110,'SBIC post TB(Closed)'!J:J)</f>
        <v>0</v>
      </c>
      <c r="H110" s="137">
        <f>SUMIF('SBICII post TB (closed)'!B:B,Summary!A110,'SBICII post TB (closed)'!J:J)</f>
        <v>0</v>
      </c>
      <c r="I110" s="137">
        <f t="shared" si="24"/>
        <v>0</v>
      </c>
      <c r="J110" s="67"/>
      <c r="K110" s="67"/>
      <c r="L110" s="138"/>
      <c r="M110" s="138"/>
      <c r="N110" s="138">
        <f t="shared" si="25"/>
        <v>0</v>
      </c>
      <c r="O110" s="39" t="s">
        <v>49</v>
      </c>
      <c r="P110" s="39"/>
      <c r="Q110" s="137">
        <f t="shared" si="36"/>
        <v>0</v>
      </c>
    </row>
    <row r="111" spans="1:17">
      <c r="A111" t="str">
        <f t="shared" si="35"/>
        <v>Accrued Management Fee Cost</v>
      </c>
      <c r="B111" t="s">
        <v>26</v>
      </c>
      <c r="C111" t="s">
        <v>224</v>
      </c>
      <c r="D111" t="s">
        <v>256</v>
      </c>
      <c r="E111" t="s">
        <v>172</v>
      </c>
      <c r="F111" s="137">
        <f>SUMIF('BDC post TB'!B:B,Summary!A111,'BDC post TB'!J:J)</f>
        <v>-3915499</v>
      </c>
      <c r="G111" s="137">
        <f>SUMIF('SBIC post TB(Closed)'!B:B,Summary!A111,'SBIC post TB(Closed)'!J:J)</f>
        <v>0</v>
      </c>
      <c r="H111" s="137">
        <f>SUMIF('SBICII post TB (closed)'!B:B,Summary!A111,'SBICII post TB (closed)'!J:J)</f>
        <v>0</v>
      </c>
      <c r="I111" s="137">
        <f t="shared" si="24"/>
        <v>-3915499</v>
      </c>
      <c r="J111" s="67"/>
      <c r="K111" s="67"/>
      <c r="L111" s="138"/>
      <c r="M111" s="138"/>
      <c r="N111" s="138">
        <f t="shared" si="25"/>
        <v>-3915499</v>
      </c>
      <c r="O111" s="39" t="s">
        <v>49</v>
      </c>
      <c r="P111" s="39"/>
      <c r="Q111" s="137">
        <f t="shared" si="36"/>
        <v>0</v>
      </c>
    </row>
    <row r="112" spans="1:17">
      <c r="A112" t="str">
        <f t="shared" si="35"/>
        <v>Accrued Misc Payable Cost</v>
      </c>
      <c r="B112" t="s">
        <v>26</v>
      </c>
      <c r="C112" t="s">
        <v>224</v>
      </c>
      <c r="D112" t="s">
        <v>257</v>
      </c>
      <c r="E112" t="s">
        <v>172</v>
      </c>
      <c r="F112" s="137">
        <f>SUMIF('BDC post TB'!B:B,Summary!A112,'BDC post TB'!J:J)</f>
        <v>-339096.1</v>
      </c>
      <c r="G112" s="137">
        <f>SUMIF('SBIC post TB(Closed)'!B:B,Summary!A112,'SBIC post TB(Closed)'!J:J)</f>
        <v>0</v>
      </c>
      <c r="H112" s="137">
        <f>SUMIF('SBICII post TB (closed)'!B:B,Summary!A112,'SBICII post TB (closed)'!J:J)</f>
        <v>0</v>
      </c>
      <c r="I112" s="137">
        <f t="shared" si="24"/>
        <v>-339096.1</v>
      </c>
      <c r="J112" s="67"/>
      <c r="K112" s="67"/>
      <c r="L112" s="138"/>
      <c r="M112" s="138"/>
      <c r="N112" s="138">
        <f t="shared" si="25"/>
        <v>-339096.1</v>
      </c>
      <c r="O112" s="39" t="s">
        <v>57</v>
      </c>
      <c r="P112" s="39"/>
      <c r="Q112" s="137">
        <f t="shared" si="36"/>
        <v>0</v>
      </c>
    </row>
    <row r="113" spans="1:17">
      <c r="A113" t="str">
        <f t="shared" si="35"/>
        <v>Accrued Other Expense Cost</v>
      </c>
      <c r="B113" t="s">
        <v>26</v>
      </c>
      <c r="C113" t="s">
        <v>224</v>
      </c>
      <c r="D113" t="s">
        <v>258</v>
      </c>
      <c r="E113" t="s">
        <v>172</v>
      </c>
      <c r="F113" s="137">
        <f>SUMIF('BDC post TB'!B:B,Summary!A113,'BDC post TB'!J:J)</f>
        <v>0</v>
      </c>
      <c r="G113" s="137">
        <f>SUMIF('SBIC post TB(Closed)'!B:B,Summary!A113,'SBIC post TB(Closed)'!J:J)</f>
        <v>0</v>
      </c>
      <c r="H113" s="137">
        <f>SUMIF('SBICII post TB (closed)'!B:B,Summary!A113,'SBICII post TB (closed)'!J:J)</f>
        <v>0</v>
      </c>
      <c r="I113" s="137">
        <f t="shared" si="24"/>
        <v>0</v>
      </c>
      <c r="J113" s="67"/>
      <c r="K113" s="67"/>
      <c r="L113" s="138"/>
      <c r="M113" s="138"/>
      <c r="N113" s="138">
        <f t="shared" si="25"/>
        <v>0</v>
      </c>
      <c r="O113" s="39" t="s">
        <v>57</v>
      </c>
      <c r="P113" s="39"/>
      <c r="Q113" s="137">
        <f t="shared" si="36"/>
        <v>0</v>
      </c>
    </row>
    <row r="114" spans="1:17">
      <c r="A114" t="str">
        <f t="shared" si="35"/>
        <v>Accrued Offering Costs Cost</v>
      </c>
      <c r="B114" t="s">
        <v>26</v>
      </c>
      <c r="C114" t="s">
        <v>224</v>
      </c>
      <c r="D114" t="s">
        <v>259</v>
      </c>
      <c r="E114" t="s">
        <v>172</v>
      </c>
      <c r="F114" s="137">
        <f>SUMIF('BDC post TB'!B:B,Summary!A114,'BDC post TB'!J:J)</f>
        <v>0</v>
      </c>
      <c r="G114" s="137">
        <f>SUMIF('SBIC post TB(Closed)'!B:B,Summary!A114,'SBIC post TB(Closed)'!J:J)</f>
        <v>0</v>
      </c>
      <c r="H114" s="137">
        <f>SUMIF('SBICII post TB (closed)'!B:B,Summary!A114,'SBICII post TB (closed)'!J:J)</f>
        <v>0</v>
      </c>
      <c r="I114" s="137">
        <f t="shared" si="24"/>
        <v>0</v>
      </c>
      <c r="J114" s="67"/>
      <c r="K114" s="67"/>
      <c r="L114" s="138"/>
      <c r="M114" s="138"/>
      <c r="N114" s="138">
        <f t="shared" si="25"/>
        <v>0</v>
      </c>
      <c r="O114" s="39" t="s">
        <v>57</v>
      </c>
      <c r="P114" s="39"/>
      <c r="Q114" s="137">
        <f t="shared" si="36"/>
        <v>0</v>
      </c>
    </row>
    <row r="115" spans="1:17">
      <c r="A115" t="str">
        <f t="shared" si="35"/>
        <v>Accrued Pricing Fees Cost</v>
      </c>
      <c r="B115" t="s">
        <v>26</v>
      </c>
      <c r="C115" t="s">
        <v>224</v>
      </c>
      <c r="D115" t="s">
        <v>260</v>
      </c>
      <c r="E115" t="s">
        <v>172</v>
      </c>
      <c r="F115" s="137">
        <f>SUMIF('BDC post TB'!B:B,Summary!A115,'BDC post TB'!J:J)</f>
        <v>0</v>
      </c>
      <c r="G115" s="137">
        <f>SUMIF('SBIC post TB(Closed)'!B:B,Summary!A115,'SBIC post TB(Closed)'!J:J)</f>
        <v>0</v>
      </c>
      <c r="H115" s="137">
        <f>SUMIF('SBICII post TB (closed)'!B:B,Summary!A115,'SBICII post TB (closed)'!J:J)</f>
        <v>0</v>
      </c>
      <c r="I115" s="137">
        <f t="shared" si="24"/>
        <v>0</v>
      </c>
      <c r="J115" s="67"/>
      <c r="K115" s="67"/>
      <c r="L115" s="138"/>
      <c r="M115" s="138"/>
      <c r="N115" s="138">
        <f t="shared" si="25"/>
        <v>0</v>
      </c>
      <c r="O115" s="39" t="s">
        <v>57</v>
      </c>
      <c r="P115" s="39"/>
      <c r="Q115" s="137">
        <f t="shared" si="36"/>
        <v>0</v>
      </c>
    </row>
    <row r="116" spans="1:17">
      <c r="A116" t="str">
        <f t="shared" si="35"/>
        <v>Accrued Printing Fees Cost</v>
      </c>
      <c r="B116" t="s">
        <v>26</v>
      </c>
      <c r="C116" t="s">
        <v>224</v>
      </c>
      <c r="D116" t="s">
        <v>261</v>
      </c>
      <c r="E116" t="s">
        <v>172</v>
      </c>
      <c r="F116" s="137">
        <f>SUMIF('BDC post TB'!B:B,Summary!A116,'BDC post TB'!J:J)</f>
        <v>0</v>
      </c>
      <c r="G116" s="137">
        <f>SUMIF('SBIC post TB(Closed)'!B:B,Summary!A116,'SBIC post TB(Closed)'!J:J)</f>
        <v>0</v>
      </c>
      <c r="H116" s="137">
        <f>SUMIF('SBICII post TB (closed)'!B:B,Summary!A116,'SBICII post TB (closed)'!J:J)</f>
        <v>0</v>
      </c>
      <c r="I116" s="137">
        <f t="shared" si="24"/>
        <v>0</v>
      </c>
      <c r="J116" s="67"/>
      <c r="K116" s="67"/>
      <c r="L116" s="138"/>
      <c r="M116" s="138"/>
      <c r="N116" s="138">
        <f t="shared" si="25"/>
        <v>0</v>
      </c>
      <c r="O116" s="39" t="s">
        <v>57</v>
      </c>
      <c r="P116" s="39"/>
      <c r="Q116" s="137">
        <f t="shared" si="36"/>
        <v>0</v>
      </c>
    </row>
    <row r="117" spans="1:17">
      <c r="A117" t="str">
        <f t="shared" si="35"/>
        <v>Accrued Proxy Fees Cost</v>
      </c>
      <c r="B117" t="s">
        <v>26</v>
      </c>
      <c r="C117" t="s">
        <v>224</v>
      </c>
      <c r="D117" t="s">
        <v>262</v>
      </c>
      <c r="E117" t="s">
        <v>172</v>
      </c>
      <c r="F117" s="137">
        <f>SUMIF('BDC post TB'!B:B,Summary!A117,'BDC post TB'!J:J)</f>
        <v>0</v>
      </c>
      <c r="G117" s="137">
        <f>SUMIF('SBIC post TB(Closed)'!B:B,Summary!A117,'SBIC post TB(Closed)'!J:J)</f>
        <v>0</v>
      </c>
      <c r="H117" s="137">
        <f>SUMIF('SBICII post TB (closed)'!B:B,Summary!A117,'SBICII post TB (closed)'!J:J)</f>
        <v>0</v>
      </c>
      <c r="I117" s="137">
        <f t="shared" si="24"/>
        <v>0</v>
      </c>
      <c r="J117" s="67"/>
      <c r="K117" s="67"/>
      <c r="L117" s="138"/>
      <c r="M117" s="138"/>
      <c r="N117" s="138">
        <f t="shared" si="25"/>
        <v>0</v>
      </c>
      <c r="O117" s="39" t="s">
        <v>57</v>
      </c>
      <c r="P117" s="39"/>
      <c r="Q117" s="137">
        <f t="shared" si="36"/>
        <v>0</v>
      </c>
    </row>
    <row r="118" spans="1:17">
      <c r="A118" t="str">
        <f t="shared" si="35"/>
        <v>Accrued S&amp;P Listing Fee Cost</v>
      </c>
      <c r="B118" t="s">
        <v>26</v>
      </c>
      <c r="C118" t="s">
        <v>224</v>
      </c>
      <c r="D118" t="s">
        <v>263</v>
      </c>
      <c r="E118" t="s">
        <v>172</v>
      </c>
      <c r="F118" s="137">
        <f>SUMIF('BDC post TB'!B:B,Summary!A118,'BDC post TB'!J:J)</f>
        <v>0</v>
      </c>
      <c r="G118" s="137">
        <f>SUMIF('SBIC post TB(Closed)'!B:B,Summary!A118,'SBIC post TB(Closed)'!J:J)</f>
        <v>0</v>
      </c>
      <c r="H118" s="137">
        <f>SUMIF('SBICII post TB (closed)'!B:B,Summary!A118,'SBICII post TB (closed)'!J:J)</f>
        <v>0</v>
      </c>
      <c r="I118" s="137">
        <f t="shared" si="24"/>
        <v>0</v>
      </c>
      <c r="J118" s="67"/>
      <c r="K118" s="67"/>
      <c r="L118" s="138"/>
      <c r="M118" s="138"/>
      <c r="N118" s="138">
        <f t="shared" si="25"/>
        <v>0</v>
      </c>
      <c r="O118" s="39" t="s">
        <v>57</v>
      </c>
      <c r="P118" s="39"/>
      <c r="Q118" s="137">
        <f t="shared" si="36"/>
        <v>0</v>
      </c>
    </row>
    <row r="119" spans="1:17">
      <c r="A119" t="str">
        <f t="shared" si="35"/>
        <v>Accrued Tax Fees Cost</v>
      </c>
      <c r="B119" t="s">
        <v>26</v>
      </c>
      <c r="C119" t="s">
        <v>224</v>
      </c>
      <c r="D119" t="s">
        <v>264</v>
      </c>
      <c r="E119" t="s">
        <v>172</v>
      </c>
      <c r="F119" s="137">
        <f>SUMIF('BDC post TB'!B:B,Summary!A119,'BDC post TB'!J:J)</f>
        <v>0</v>
      </c>
      <c r="G119" s="137">
        <f>SUMIF('SBIC post TB(Closed)'!B:B,Summary!A119,'SBIC post TB(Closed)'!J:J)</f>
        <v>0</v>
      </c>
      <c r="H119" s="137">
        <f>SUMIF('SBICII post TB (closed)'!B:B,Summary!A119,'SBICII post TB (closed)'!J:J)</f>
        <v>0</v>
      </c>
      <c r="I119" s="137">
        <f t="shared" si="24"/>
        <v>0</v>
      </c>
      <c r="J119" s="67"/>
      <c r="K119" s="67"/>
      <c r="L119" s="138"/>
      <c r="M119" s="138"/>
      <c r="N119" s="138">
        <f t="shared" si="25"/>
        <v>0</v>
      </c>
      <c r="O119" s="39" t="s">
        <v>57</v>
      </c>
      <c r="P119" s="39"/>
      <c r="Q119" s="137">
        <f t="shared" si="36"/>
        <v>0</v>
      </c>
    </row>
    <row r="120" spans="1:17">
      <c r="A120" t="str">
        <f t="shared" ref="A120" si="37">CONCATENATE(D120,E120)</f>
        <v>Current Tax Provision Payable Cost</v>
      </c>
      <c r="B120" t="s">
        <v>26</v>
      </c>
      <c r="C120" t="s">
        <v>224</v>
      </c>
      <c r="D120" t="s">
        <v>265</v>
      </c>
      <c r="E120" t="s">
        <v>172</v>
      </c>
      <c r="F120" s="137">
        <f>SUMIF('BDC post TB'!B:B,Summary!A120,'BDC post TB'!J:J)</f>
        <v>23656</v>
      </c>
      <c r="G120" s="137">
        <f>SUMIF('SBIC post TB(Closed)'!B:B,Summary!A120,'SBIC post TB(Closed)'!J:J)</f>
        <v>0</v>
      </c>
      <c r="H120" s="137">
        <f>SUMIF('SBICII post TB (closed)'!B:B,Summary!A120,'SBICII post TB (closed)'!J:J)</f>
        <v>0</v>
      </c>
      <c r="I120" s="137">
        <f t="shared" ref="I120" si="38">SUM(F120:H120)</f>
        <v>23656</v>
      </c>
      <c r="J120" s="67"/>
      <c r="K120" s="67"/>
      <c r="L120" s="138"/>
      <c r="M120" s="141">
        <v>-23656</v>
      </c>
      <c r="N120" s="138">
        <f t="shared" ref="N120" si="39">SUM(I120:M120)</f>
        <v>0</v>
      </c>
      <c r="O120" s="39" t="s">
        <v>57</v>
      </c>
      <c r="P120" s="39"/>
      <c r="Q120" s="137">
        <f t="shared" ref="Q120" si="40">IF(AND(O120="m",N120&gt;0),N120,0)</f>
        <v>0</v>
      </c>
    </row>
    <row r="121" spans="1:17">
      <c r="A121" t="str">
        <f t="shared" si="35"/>
        <v>Accrued Tax Expense Cost</v>
      </c>
      <c r="B121" t="s">
        <v>26</v>
      </c>
      <c r="C121" t="s">
        <v>224</v>
      </c>
      <c r="D121" t="s">
        <v>266</v>
      </c>
      <c r="E121" t="s">
        <v>172</v>
      </c>
      <c r="F121" s="137">
        <f>SUMIF('BDC post TB'!B:B,Summary!A121,'BDC post TB'!J:J)</f>
        <v>0</v>
      </c>
      <c r="G121" s="137">
        <f>SUMIF('SBIC post TB(Closed)'!B:B,Summary!A121,'SBIC post TB(Closed)'!J:J)</f>
        <v>0</v>
      </c>
      <c r="H121" s="137">
        <f>SUMIF('SBICII post TB (closed)'!B:B,Summary!A121,'SBICII post TB (closed)'!J:J)</f>
        <v>0</v>
      </c>
      <c r="I121" s="137">
        <f t="shared" ref="I121:I123" si="41">SUM(F121:H121)</f>
        <v>0</v>
      </c>
      <c r="J121" s="67"/>
      <c r="K121" s="67"/>
      <c r="L121" s="138"/>
      <c r="M121" s="138"/>
      <c r="N121" s="138">
        <f t="shared" ref="N121:N123" si="42">SUM(I121:M121)</f>
        <v>0</v>
      </c>
      <c r="O121" s="39" t="s">
        <v>57</v>
      </c>
      <c r="P121" s="39"/>
      <c r="Q121" s="137">
        <f t="shared" si="36"/>
        <v>0</v>
      </c>
    </row>
    <row r="122" spans="1:17">
      <c r="A122" t="str">
        <f t="shared" si="35"/>
        <v>Accrued Tax Preperation Cost</v>
      </c>
      <c r="B122" t="s">
        <v>26</v>
      </c>
      <c r="C122" t="s">
        <v>224</v>
      </c>
      <c r="D122" t="s">
        <v>267</v>
      </c>
      <c r="E122" t="s">
        <v>172</v>
      </c>
      <c r="F122" s="137">
        <f>SUMIF('BDC post TB'!B:B,Summary!A122,'BDC post TB'!J:J)</f>
        <v>0</v>
      </c>
      <c r="G122" s="137">
        <f>SUMIF('SBIC post TB(Closed)'!B:B,Summary!A122,'SBIC post TB(Closed)'!J:J)</f>
        <v>0</v>
      </c>
      <c r="H122" s="137">
        <f>SUMIF('SBICII post TB (closed)'!B:B,Summary!A122,'SBICII post TB (closed)'!J:J)</f>
        <v>0</v>
      </c>
      <c r="I122" s="137">
        <f t="shared" si="41"/>
        <v>0</v>
      </c>
      <c r="J122" s="67"/>
      <c r="K122" s="67"/>
      <c r="L122" s="138"/>
      <c r="M122" s="138"/>
      <c r="N122" s="138">
        <f t="shared" si="42"/>
        <v>0</v>
      </c>
      <c r="O122" s="39" t="s">
        <v>57</v>
      </c>
      <c r="P122" s="39"/>
      <c r="Q122" s="137">
        <f t="shared" si="36"/>
        <v>0</v>
      </c>
    </row>
    <row r="123" spans="1:17">
      <c r="A123" t="str">
        <f t="shared" si="35"/>
        <v>Accrued Mayer Brown Legal Fees Cost</v>
      </c>
      <c r="B123" t="s">
        <v>26</v>
      </c>
      <c r="C123" t="s">
        <v>224</v>
      </c>
      <c r="D123" t="s">
        <v>268</v>
      </c>
      <c r="E123" t="s">
        <v>172</v>
      </c>
      <c r="F123" s="137">
        <f>SUMIF('BDC post TB'!B:B,Summary!A123,'BDC post TB'!J:J)</f>
        <v>0</v>
      </c>
      <c r="G123" s="137">
        <f>SUMIF('SBIC post TB(Closed)'!B:B,Summary!A123,'SBIC post TB(Closed)'!J:J)</f>
        <v>0</v>
      </c>
      <c r="H123" s="137">
        <f>SUMIF('SBICII post TB (closed)'!B:B,Summary!A123,'SBICII post TB (closed)'!J:J)</f>
        <v>0</v>
      </c>
      <c r="I123" s="137">
        <f t="shared" si="41"/>
        <v>0</v>
      </c>
      <c r="J123" s="67"/>
      <c r="K123" s="67"/>
      <c r="L123" s="138"/>
      <c r="M123" s="138"/>
      <c r="N123" s="138">
        <f t="shared" si="42"/>
        <v>0</v>
      </c>
      <c r="O123" s="39" t="s">
        <v>57</v>
      </c>
      <c r="P123" s="39"/>
      <c r="Q123" s="137"/>
    </row>
    <row r="124" spans="1:17">
      <c r="A124" t="str">
        <f t="shared" si="35"/>
        <v>Accrued Venable LLP Legal Fees Cost</v>
      </c>
      <c r="B124" t="s">
        <v>26</v>
      </c>
      <c r="C124" t="s">
        <v>224</v>
      </c>
      <c r="D124" t="s">
        <v>269</v>
      </c>
      <c r="E124" t="s">
        <v>172</v>
      </c>
      <c r="F124" s="137">
        <f>SUMIF('BDC post TB'!B:B,Summary!A124,'BDC post TB'!J:J)</f>
        <v>347.4</v>
      </c>
      <c r="G124" s="137">
        <f>SUMIF('SBIC post TB(Closed)'!B:B,Summary!A124,'SBIC post TB(Closed)'!J:J)</f>
        <v>0</v>
      </c>
      <c r="H124" s="137">
        <f>SUMIF('SBICII post TB (closed)'!B:B,Summary!A124,'SBICII post TB (closed)'!J:J)</f>
        <v>0</v>
      </c>
      <c r="I124" s="137">
        <f t="shared" ref="I124" si="43">SUM(F124:H124)</f>
        <v>347.4</v>
      </c>
      <c r="J124" s="67"/>
      <c r="K124" s="67"/>
      <c r="L124" s="138"/>
      <c r="M124" s="138"/>
      <c r="N124" s="138">
        <f t="shared" ref="N124" si="44">SUM(I124:M124)</f>
        <v>347.4</v>
      </c>
      <c r="O124" s="39" t="s">
        <v>270</v>
      </c>
      <c r="P124" s="39"/>
      <c r="Q124" s="137"/>
    </row>
    <row r="125" spans="1:17">
      <c r="A125" t="str">
        <f t="shared" si="35"/>
        <v>Adviser Due Diligence Reimbursement Cost</v>
      </c>
      <c r="B125" t="s">
        <v>26</v>
      </c>
      <c r="C125" t="s">
        <v>224</v>
      </c>
      <c r="D125" t="s">
        <v>271</v>
      </c>
      <c r="E125" t="s">
        <v>172</v>
      </c>
      <c r="F125" s="137">
        <f>SUMIF('BDC post TB'!B:B,Summary!A125,'BDC post TB'!J:J)</f>
        <v>0</v>
      </c>
      <c r="G125" s="137">
        <f>SUMIF('SBIC post TB(Closed)'!B:B,Summary!A125,'SBIC post TB(Closed)'!J:J)</f>
        <v>0</v>
      </c>
      <c r="H125" s="137">
        <f>SUMIF('SBICII post TB (closed)'!B:B,Summary!A125,'SBICII post TB (closed)'!J:J)</f>
        <v>0</v>
      </c>
      <c r="I125" s="137">
        <f t="shared" ref="I125:I173" si="45">SUM(F125:H125)</f>
        <v>0</v>
      </c>
      <c r="J125" s="67"/>
      <c r="K125" s="67"/>
      <c r="L125" s="138"/>
      <c r="M125" s="138"/>
      <c r="N125" s="138">
        <f t="shared" ref="N125:N169" si="46">SUM(I125:M125)</f>
        <v>0</v>
      </c>
      <c r="O125" s="39" t="s">
        <v>57</v>
      </c>
      <c r="P125" s="39"/>
      <c r="Q125" s="137">
        <f t="shared" ref="Q125:Q151" si="47">IF(AND(O125="m",N125&gt;0),N125,0)</f>
        <v>0</v>
      </c>
    </row>
    <row r="126" spans="1:17">
      <c r="A126" t="str">
        <f t="shared" si="2"/>
        <v>Accrued Transfer Agent Fees Cost</v>
      </c>
      <c r="B126" t="s">
        <v>26</v>
      </c>
      <c r="C126" t="s">
        <v>224</v>
      </c>
      <c r="D126" t="s">
        <v>272</v>
      </c>
      <c r="E126" t="s">
        <v>172</v>
      </c>
      <c r="F126" s="137">
        <f>SUMIF('BDC post TB'!B:B,Summary!A126,'BDC post TB'!J:J)</f>
        <v>0</v>
      </c>
      <c r="G126" s="137">
        <f>SUMIF('SBIC post TB(Closed)'!B:B,Summary!A126,'SBIC post TB(Closed)'!J:J)</f>
        <v>0</v>
      </c>
      <c r="H126" s="137">
        <f>SUMIF('SBICII post TB (closed)'!B:B,Summary!A126,'SBICII post TB (closed)'!J:J)</f>
        <v>0</v>
      </c>
      <c r="I126" s="137">
        <f t="shared" si="45"/>
        <v>0</v>
      </c>
      <c r="J126" s="67"/>
      <c r="K126" s="67"/>
      <c r="L126" s="138"/>
      <c r="M126" s="138"/>
      <c r="N126" s="138">
        <f t="shared" si="46"/>
        <v>0</v>
      </c>
      <c r="O126" s="39" t="s">
        <v>57</v>
      </c>
      <c r="P126" s="39"/>
      <c r="Q126" s="137">
        <f t="shared" si="47"/>
        <v>0</v>
      </c>
    </row>
    <row r="127" spans="1:17">
      <c r="A127" t="str">
        <f t="shared" si="2"/>
        <v>Adviser Due Dilligence Reimbursement Cost</v>
      </c>
      <c r="B127" t="s">
        <v>26</v>
      </c>
      <c r="C127" t="s">
        <v>224</v>
      </c>
      <c r="D127" t="s">
        <v>273</v>
      </c>
      <c r="E127" t="s">
        <v>172</v>
      </c>
      <c r="F127" s="137">
        <f>SUMIF('BDC post TB'!B:B,Summary!A127,'BDC post TB'!J:J)</f>
        <v>0</v>
      </c>
      <c r="G127" s="137">
        <f>SUMIF('SBIC post TB(Closed)'!B:B,Summary!A127,'SBIC post TB(Closed)'!J:J)</f>
        <v>0</v>
      </c>
      <c r="H127" s="137">
        <f>SUMIF('SBICII post TB (closed)'!B:B,Summary!A127,'SBICII post TB (closed)'!J:J)</f>
        <v>0</v>
      </c>
      <c r="I127" s="137">
        <f t="shared" si="45"/>
        <v>0</v>
      </c>
      <c r="J127" s="67"/>
      <c r="K127" s="67"/>
      <c r="L127" s="138"/>
      <c r="M127" s="138"/>
      <c r="N127" s="138">
        <f t="shared" si="46"/>
        <v>0</v>
      </c>
      <c r="O127" s="39" t="s">
        <v>57</v>
      </c>
      <c r="P127" s="39"/>
      <c r="Q127" s="137">
        <f t="shared" si="47"/>
        <v>0</v>
      </c>
    </row>
    <row r="128" spans="1:17">
      <c r="A128" t="str">
        <f t="shared" si="2"/>
        <v>Commitment Fee Payable - Credit Facility Cost</v>
      </c>
      <c r="B128" t="s">
        <v>26</v>
      </c>
      <c r="C128" t="s">
        <v>224</v>
      </c>
      <c r="D128" t="s">
        <v>274</v>
      </c>
      <c r="E128" t="s">
        <v>172</v>
      </c>
      <c r="F128" s="137">
        <f>SUMIF('BDC post TB'!B:B,Summary!A128,'BDC post TB'!J:J)</f>
        <v>-79068.7</v>
      </c>
      <c r="G128" s="137">
        <f>SUMIF('SBIC post TB(Closed)'!B:B,Summary!A128,'SBIC post TB(Closed)'!J:J)</f>
        <v>0</v>
      </c>
      <c r="H128" s="137">
        <f>SUMIF('SBICII post TB (closed)'!B:B,Summary!A128,'SBICII post TB (closed)'!J:J)</f>
        <v>0</v>
      </c>
      <c r="I128" s="137">
        <f t="shared" si="45"/>
        <v>-79068.7</v>
      </c>
      <c r="J128" s="67"/>
      <c r="K128" s="67"/>
      <c r="L128" s="138"/>
      <c r="M128" s="138"/>
      <c r="N128" s="138">
        <f t="shared" si="46"/>
        <v>-79068.7</v>
      </c>
      <c r="O128" s="39" t="s">
        <v>47</v>
      </c>
      <c r="P128" s="39"/>
      <c r="Q128" s="137">
        <f t="shared" si="47"/>
        <v>0</v>
      </c>
    </row>
    <row r="129" spans="1:17">
      <c r="A129" t="str">
        <f t="shared" si="2"/>
        <v>Conversion Purchase payable Cost</v>
      </c>
      <c r="B129" t="s">
        <v>26</v>
      </c>
      <c r="C129" t="s">
        <v>224</v>
      </c>
      <c r="D129" t="s">
        <v>275</v>
      </c>
      <c r="E129" t="s">
        <v>172</v>
      </c>
      <c r="F129" s="137">
        <f>SUMIF('BDC post TB'!B:B,Summary!A129,'BDC post TB'!J:J)</f>
        <v>0</v>
      </c>
      <c r="G129" s="137">
        <f>SUMIF('SBIC post TB(Closed)'!B:B,Summary!A129,'SBIC post TB(Closed)'!J:J)</f>
        <v>0</v>
      </c>
      <c r="H129" s="137">
        <f>SUMIF('SBICII post TB (closed)'!B:B,Summary!A129,'SBICII post TB (closed)'!J:J)</f>
        <v>0</v>
      </c>
      <c r="I129" s="137">
        <f t="shared" si="45"/>
        <v>0</v>
      </c>
      <c r="J129" s="67"/>
      <c r="K129" s="67"/>
      <c r="L129" s="138"/>
      <c r="M129" s="138"/>
      <c r="N129" s="138">
        <f t="shared" si="46"/>
        <v>0</v>
      </c>
      <c r="O129" s="39" t="s">
        <v>47</v>
      </c>
      <c r="P129" s="39"/>
      <c r="Q129" s="137">
        <f t="shared" si="47"/>
        <v>0</v>
      </c>
    </row>
    <row r="130" spans="1:17">
      <c r="A130" t="str">
        <f t="shared" si="2"/>
        <v>Credit Facility Interest Payable Cost</v>
      </c>
      <c r="B130" t="s">
        <v>26</v>
      </c>
      <c r="C130" t="s">
        <v>224</v>
      </c>
      <c r="D130" t="s">
        <v>276</v>
      </c>
      <c r="E130" t="s">
        <v>172</v>
      </c>
      <c r="F130" s="137">
        <f>SUMIF('BDC post TB'!B:B,Summary!A130,'BDC post TB'!J:J)</f>
        <v>-505649.05</v>
      </c>
      <c r="G130" s="137">
        <f>SUMIF('SBIC post TB(Closed)'!B:B,Summary!A130,'SBIC post TB(Closed)'!J:J)</f>
        <v>0</v>
      </c>
      <c r="H130" s="137">
        <f>SUMIF('SBICII post TB (closed)'!B:B,Summary!A130,'SBICII post TB (closed)'!J:J)</f>
        <v>0</v>
      </c>
      <c r="I130" s="137">
        <f t="shared" si="45"/>
        <v>-505649.05</v>
      </c>
      <c r="J130" s="67"/>
      <c r="K130" s="67"/>
      <c r="L130" s="138"/>
      <c r="M130" s="138"/>
      <c r="N130" s="138">
        <f t="shared" si="46"/>
        <v>-505649.05</v>
      </c>
      <c r="O130" s="39" t="s">
        <v>47</v>
      </c>
      <c r="P130" s="39"/>
      <c r="Q130" s="137">
        <f t="shared" si="47"/>
        <v>0</v>
      </c>
    </row>
    <row r="131" spans="1:17">
      <c r="A131" t="str">
        <f t="shared" si="2"/>
        <v>Deferred tax liability Cost</v>
      </c>
      <c r="B131" t="s">
        <v>26</v>
      </c>
      <c r="C131" t="s">
        <v>224</v>
      </c>
      <c r="D131" t="s">
        <v>54</v>
      </c>
      <c r="E131" t="s">
        <v>172</v>
      </c>
      <c r="F131" s="137">
        <f>SUMIF('BDC post TB'!B:B,Summary!A131,'BDC post TB'!J:J)</f>
        <v>0</v>
      </c>
      <c r="G131" s="137">
        <f>SUMIF('SBIC post TB(Closed)'!B:B,Summary!A131,'SBIC post TB(Closed)'!J:J)</f>
        <v>0</v>
      </c>
      <c r="H131" s="137">
        <f>SUMIF('SBICII post TB (closed)'!B:B,Summary!A131,'SBICII post TB (closed)'!J:J)</f>
        <v>0</v>
      </c>
      <c r="I131" s="137">
        <f t="shared" ref="I131:I132" si="48">SUM(F131:H131)</f>
        <v>0</v>
      </c>
      <c r="J131" s="67"/>
      <c r="K131" s="67"/>
      <c r="L131" s="138"/>
      <c r="M131" s="138"/>
      <c r="N131" s="138">
        <f t="shared" ref="N131:N146" si="49">SUM(I131:M131)</f>
        <v>0</v>
      </c>
      <c r="O131" s="39" t="s">
        <v>53</v>
      </c>
      <c r="P131" s="39"/>
      <c r="Q131" s="137">
        <f t="shared" si="47"/>
        <v>0</v>
      </c>
    </row>
    <row r="132" spans="1:17">
      <c r="A132" t="str">
        <f t="shared" si="2"/>
        <v>Deferred Income Fee Cost</v>
      </c>
      <c r="B132" t="s">
        <v>26</v>
      </c>
      <c r="C132" t="s">
        <v>224</v>
      </c>
      <c r="D132" t="s">
        <v>277</v>
      </c>
      <c r="E132" t="s">
        <v>172</v>
      </c>
      <c r="F132" s="137">
        <f>SUMIF('BDC post TB'!B:B,Summary!A132,'BDC post TB'!J:J)</f>
        <v>0</v>
      </c>
      <c r="G132" s="137">
        <f>SUMIF('SBIC post TB(Closed)'!B:B,Summary!A132,'SBIC post TB(Closed)'!J:J)</f>
        <v>0</v>
      </c>
      <c r="H132" s="137">
        <f>SUMIF('SBICII post TB (closed)'!B:B,Summary!A132,'SBICII post TB (closed)'!J:J)</f>
        <v>0</v>
      </c>
      <c r="I132" s="137">
        <f t="shared" si="48"/>
        <v>0</v>
      </c>
      <c r="J132" s="67"/>
      <c r="K132" s="67"/>
      <c r="L132" s="138"/>
      <c r="M132" s="138"/>
      <c r="N132" s="138">
        <f t="shared" si="49"/>
        <v>0</v>
      </c>
      <c r="O132" s="39" t="s">
        <v>57</v>
      </c>
      <c r="P132" s="39"/>
      <c r="Q132" s="137">
        <f t="shared" si="47"/>
        <v>0</v>
      </c>
    </row>
    <row r="133" spans="1:17">
      <c r="A133" t="str">
        <f t="shared" si="2"/>
        <v>Interest Payable - Revolver Cost</v>
      </c>
      <c r="B133" t="s">
        <v>26</v>
      </c>
      <c r="C133" t="s">
        <v>224</v>
      </c>
      <c r="D133" t="s">
        <v>278</v>
      </c>
      <c r="E133" t="s">
        <v>172</v>
      </c>
      <c r="F133" s="137">
        <f>SUMIF('BDC post TB'!B:B,Summary!A133,'BDC post TB'!J:J)</f>
        <v>0</v>
      </c>
      <c r="G133" s="137">
        <f>SUMIF('SBIC post TB(Closed)'!B:B,Summary!A133,'SBIC post TB(Closed)'!J:J)</f>
        <v>0</v>
      </c>
      <c r="H133" s="137">
        <f>SUMIF('SBICII post TB (closed)'!B:B,Summary!A133,'SBICII post TB (closed)'!J:J)</f>
        <v>0</v>
      </c>
      <c r="I133" s="137">
        <f>SUM(F133:H133)</f>
        <v>0</v>
      </c>
      <c r="J133" s="67"/>
      <c r="K133" s="67"/>
      <c r="L133" s="138"/>
      <c r="M133" s="138"/>
      <c r="N133" s="138">
        <f t="shared" si="49"/>
        <v>0</v>
      </c>
      <c r="O133" s="39" t="s">
        <v>47</v>
      </c>
      <c r="P133" s="39"/>
      <c r="Q133" s="137">
        <f t="shared" si="47"/>
        <v>0</v>
      </c>
    </row>
    <row r="134" spans="1:17">
      <c r="A134" t="str">
        <f t="shared" si="2"/>
        <v>Interest Payable Cost</v>
      </c>
      <c r="B134" t="s">
        <v>26</v>
      </c>
      <c r="C134" t="s">
        <v>224</v>
      </c>
      <c r="D134" t="s">
        <v>279</v>
      </c>
      <c r="E134" t="s">
        <v>172</v>
      </c>
      <c r="F134" s="137">
        <f>SUMIF('BDC post TB'!B:B,Summary!A134,'BDC post TB'!J:J)</f>
        <v>0</v>
      </c>
      <c r="G134" s="137">
        <f>SUMIF('SBIC post TB(Closed)'!B:B,Summary!A134,'SBIC post TB(Closed)'!J:J)</f>
        <v>0</v>
      </c>
      <c r="H134" s="137">
        <f>SUMIF('SBICII post TB (closed)'!B:B,Summary!A134,'SBICII post TB (closed)'!J:J)</f>
        <v>0</v>
      </c>
      <c r="I134" s="137">
        <f t="shared" ref="I134:I146" si="50">SUM(F134:H134)</f>
        <v>0</v>
      </c>
      <c r="J134" s="67"/>
      <c r="K134" s="67"/>
      <c r="L134" s="138"/>
      <c r="M134" s="138"/>
      <c r="N134" s="138">
        <f t="shared" si="49"/>
        <v>0</v>
      </c>
      <c r="O134" s="39" t="s">
        <v>47</v>
      </c>
      <c r="P134" s="39"/>
      <c r="Q134" s="137">
        <f>IF(AND(O134="m",N134&gt;0),N134,0)</f>
        <v>0</v>
      </c>
    </row>
    <row r="135" spans="1:17">
      <c r="A135" t="str">
        <f t="shared" si="2"/>
        <v>Distributions Payable Cost</v>
      </c>
      <c r="B135" t="s">
        <v>26</v>
      </c>
      <c r="C135" t="s">
        <v>224</v>
      </c>
      <c r="D135" t="s">
        <v>280</v>
      </c>
      <c r="E135" t="s">
        <v>172</v>
      </c>
      <c r="F135" s="137">
        <f>SUMIF('BDC post TB'!B:B,Summary!A135,'BDC post TB'!J:J)</f>
        <v>-5223687.5199999996</v>
      </c>
      <c r="G135" s="137">
        <f>SUMIF('SBIC post TB(Closed)'!B:B,Summary!A135,'SBIC post TB(Closed)'!J:J)</f>
        <v>0</v>
      </c>
      <c r="H135" s="137">
        <f>SUMIF('SBICII post TB (closed)'!B:B,Summary!A135,'SBICII post TB (closed)'!J:J)</f>
        <v>0</v>
      </c>
      <c r="I135" s="137">
        <f t="shared" si="50"/>
        <v>-5223687.5199999996</v>
      </c>
      <c r="J135" s="67"/>
      <c r="K135" s="67"/>
      <c r="L135" s="138"/>
      <c r="M135" s="138"/>
      <c r="N135" s="138">
        <f t="shared" si="49"/>
        <v>-5223687.5199999996</v>
      </c>
      <c r="O135" s="39" t="s">
        <v>27</v>
      </c>
      <c r="P135" s="39"/>
      <c r="Q135" s="137">
        <f t="shared" si="47"/>
        <v>0</v>
      </c>
    </row>
    <row r="136" spans="1:17" ht="15">
      <c r="A136" t="str">
        <f t="shared" si="2"/>
        <v>Due to PSLF Cost</v>
      </c>
      <c r="B136" s="119" t="s">
        <v>26</v>
      </c>
      <c r="C136" s="119" t="s">
        <v>224</v>
      </c>
      <c r="D136" s="119" t="s">
        <v>281</v>
      </c>
      <c r="E136" s="119" t="s">
        <v>172</v>
      </c>
      <c r="F136" s="137">
        <f>SUMIF('BDC post TB'!B:B,Summary!A136,'BDC post TB'!J:J)</f>
        <v>0</v>
      </c>
      <c r="G136" s="137">
        <f>SUMIF('SBIC post TB(Closed)'!B:B,Summary!A136,'SBIC post TB(Closed)'!J:J)</f>
        <v>0</v>
      </c>
      <c r="H136" s="137">
        <f>SUMIF('SBICII post TB (closed)'!B:B,Summary!A136,'SBICII post TB (closed)'!J:J)</f>
        <v>0</v>
      </c>
      <c r="I136" s="137">
        <f t="shared" si="50"/>
        <v>0</v>
      </c>
      <c r="J136" s="67"/>
      <c r="K136" s="67"/>
      <c r="L136" s="138"/>
      <c r="M136" s="138"/>
      <c r="N136" s="138">
        <f t="shared" si="49"/>
        <v>0</v>
      </c>
      <c r="O136" s="39" t="s">
        <v>55</v>
      </c>
      <c r="P136" s="39"/>
      <c r="Q136" s="137">
        <f t="shared" si="47"/>
        <v>0</v>
      </c>
    </row>
    <row r="137" spans="1:17" ht="15">
      <c r="A137" t="str">
        <f t="shared" si="2"/>
        <v>Due to PTSF II Cost</v>
      </c>
      <c r="B137" s="119" t="s">
        <v>26</v>
      </c>
      <c r="C137" s="119" t="s">
        <v>224</v>
      </c>
      <c r="D137" s="119" t="s">
        <v>282</v>
      </c>
      <c r="E137" s="119" t="s">
        <v>172</v>
      </c>
      <c r="F137" s="137">
        <f>SUMIF('BDC post TB'!B:B,Summary!A137,'BDC post TB'!J:J)</f>
        <v>0</v>
      </c>
      <c r="G137" s="137">
        <f>SUMIF('SBIC post TB(Closed)'!B:B,Summary!A137,'SBIC post TB(Closed)'!J:J)</f>
        <v>0</v>
      </c>
      <c r="H137" s="137">
        <f>SUMIF('SBICII post TB (closed)'!B:B,Summary!A137,'SBICII post TB (closed)'!J:J)</f>
        <v>0</v>
      </c>
      <c r="I137" s="137">
        <f t="shared" si="50"/>
        <v>0</v>
      </c>
      <c r="J137" s="67"/>
      <c r="K137" s="67"/>
      <c r="L137" s="138"/>
      <c r="M137" s="138"/>
      <c r="N137" s="138">
        <f t="shared" si="49"/>
        <v>0</v>
      </c>
      <c r="O137" s="39" t="s">
        <v>55</v>
      </c>
      <c r="P137" s="39"/>
      <c r="Q137" s="137">
        <f t="shared" si="47"/>
        <v>0</v>
      </c>
    </row>
    <row r="138" spans="1:17" ht="15">
      <c r="A138" t="str">
        <f t="shared" si="2"/>
        <v>Income tax payable Cost</v>
      </c>
      <c r="B138" s="119" t="s">
        <v>26</v>
      </c>
      <c r="C138" s="119" t="s">
        <v>224</v>
      </c>
      <c r="D138" s="119" t="s">
        <v>283</v>
      </c>
      <c r="E138" s="119" t="s">
        <v>172</v>
      </c>
      <c r="F138" s="137">
        <f>SUMIF('BDC post TB'!B:B,Summary!A138,'BDC post TB'!J:J)</f>
        <v>0</v>
      </c>
      <c r="G138" s="137">
        <f>SUMIF('SBIC post TB(Closed)'!B:B,Summary!A138,'SBIC post TB(Closed)'!J:J)</f>
        <v>0</v>
      </c>
      <c r="H138" s="137">
        <f>SUMIF('SBICII post TB (closed)'!B:B,Summary!A138,'SBICII post TB (closed)'!J:J)</f>
        <v>0</v>
      </c>
      <c r="I138" s="137">
        <f t="shared" ref="I138" si="51">SUM(F138:H138)</f>
        <v>0</v>
      </c>
      <c r="J138" s="67"/>
      <c r="K138" s="67"/>
      <c r="L138" s="138"/>
      <c r="M138" s="138"/>
      <c r="N138" s="138">
        <f t="shared" ref="N138" si="52">SUM(I138:M138)</f>
        <v>0</v>
      </c>
      <c r="O138" s="39" t="s">
        <v>57</v>
      </c>
      <c r="P138" s="39"/>
      <c r="Q138" s="137">
        <f t="shared" si="47"/>
        <v>0</v>
      </c>
    </row>
    <row r="139" spans="1:17">
      <c r="A139" t="str">
        <f t="shared" si="2"/>
        <v>Line of Credit - Liability Cost</v>
      </c>
      <c r="B139" t="s">
        <v>26</v>
      </c>
      <c r="C139" t="s">
        <v>224</v>
      </c>
      <c r="D139" t="s">
        <v>284</v>
      </c>
      <c r="E139" t="s">
        <v>172</v>
      </c>
      <c r="F139" s="137">
        <f>SUMIF('BDC post TB'!B:B,Summary!A139,'BDC post TB'!J:J)</f>
        <v>-170000000</v>
      </c>
      <c r="G139" s="137">
        <f>SUMIF('SBIC post TB(Closed)'!B:B,Summary!A139,'SBIC post TB(Closed)'!J:J)</f>
        <v>0</v>
      </c>
      <c r="H139" s="137">
        <f>SUMIF('SBICII post TB (closed)'!B:B,Summary!A139,'SBICII post TB (closed)'!J:J)</f>
        <v>0</v>
      </c>
      <c r="I139" s="137">
        <f t="shared" si="50"/>
        <v>-170000000</v>
      </c>
      <c r="J139" s="67"/>
      <c r="K139" s="67"/>
      <c r="L139" s="138"/>
      <c r="M139" s="138"/>
      <c r="N139" s="138">
        <f t="shared" si="49"/>
        <v>-170000000</v>
      </c>
      <c r="O139" s="39" t="s">
        <v>33</v>
      </c>
      <c r="P139" s="39"/>
      <c r="Q139" s="137">
        <f t="shared" si="47"/>
        <v>0</v>
      </c>
    </row>
    <row r="140" spans="1:17">
      <c r="A140" t="str">
        <f t="shared" si="2"/>
        <v>Line of Credit Payable Cost</v>
      </c>
      <c r="B140" t="s">
        <v>26</v>
      </c>
      <c r="C140" t="s">
        <v>224</v>
      </c>
      <c r="D140" t="s">
        <v>285</v>
      </c>
      <c r="E140" t="s">
        <v>172</v>
      </c>
      <c r="F140" s="137">
        <f>SUMIF('BDC post TB'!B:B,Summary!A140,'BDC post TB'!J:J)</f>
        <v>0</v>
      </c>
      <c r="G140" s="137">
        <f>SUMIF('SBIC post TB(Closed)'!B:B,Summary!A140,'SBIC post TB(Closed)'!J:J)</f>
        <v>0</v>
      </c>
      <c r="H140" s="137">
        <f>SUMIF('SBICII post TB (closed)'!B:B,Summary!A140,'SBICII post TB (closed)'!J:J)</f>
        <v>0</v>
      </c>
      <c r="I140" s="137">
        <f t="shared" si="50"/>
        <v>0</v>
      </c>
      <c r="J140" s="67"/>
      <c r="K140" s="67"/>
      <c r="L140" s="138"/>
      <c r="M140" s="138"/>
      <c r="N140" s="138">
        <f t="shared" si="49"/>
        <v>0</v>
      </c>
      <c r="O140" s="39" t="s">
        <v>33</v>
      </c>
      <c r="P140" s="39"/>
      <c r="Q140" s="137">
        <f t="shared" si="47"/>
        <v>0</v>
      </c>
    </row>
    <row r="141" spans="1:17">
      <c r="A141" t="str">
        <f t="shared" si="2"/>
        <v>Loan Payable Cost</v>
      </c>
      <c r="B141" t="s">
        <v>26</v>
      </c>
      <c r="C141" t="s">
        <v>224</v>
      </c>
      <c r="D141" t="s">
        <v>286</v>
      </c>
      <c r="E141" t="s">
        <v>172</v>
      </c>
      <c r="F141" s="137">
        <f>SUMIF('BDC post TB'!B:B,Summary!A141,'BDC post TB'!J:J)</f>
        <v>0</v>
      </c>
      <c r="G141" s="137">
        <f>SUMIF('SBIC post TB(Closed)'!B:B,Summary!A141,'SBIC post TB(Closed)'!J:J)</f>
        <v>0</v>
      </c>
      <c r="H141" s="137">
        <f>SUMIF('SBICII post TB (closed)'!B:B,Summary!A141,'SBICII post TB (closed)'!J:J)</f>
        <v>0</v>
      </c>
      <c r="I141" s="137">
        <f t="shared" si="50"/>
        <v>0</v>
      </c>
      <c r="J141" s="67"/>
      <c r="K141" s="67"/>
      <c r="L141" s="138"/>
      <c r="M141" s="138"/>
      <c r="N141" s="138">
        <f t="shared" si="49"/>
        <v>0</v>
      </c>
      <c r="O141" s="39" t="s">
        <v>33</v>
      </c>
      <c r="P141" s="39"/>
      <c r="Q141" s="137">
        <f t="shared" si="47"/>
        <v>0</v>
      </c>
    </row>
    <row r="142" spans="1:17">
      <c r="A142" t="str">
        <f t="shared" si="2"/>
        <v>Credit Facility MTM Cost</v>
      </c>
      <c r="B142" t="s">
        <v>26</v>
      </c>
      <c r="C142" t="s">
        <v>224</v>
      </c>
      <c r="D142" t="s">
        <v>287</v>
      </c>
      <c r="E142" t="s">
        <v>172</v>
      </c>
      <c r="F142" s="137">
        <f>SUMIF('BDC post TB'!B:B,Summary!A142,'BDC post TB'!J:J)</f>
        <v>0</v>
      </c>
      <c r="G142" s="137">
        <f>SUMIF('SBIC post TB(Closed)'!B:B,Summary!A142,'SBIC post TB(Closed)'!J:J)</f>
        <v>0</v>
      </c>
      <c r="H142" s="137">
        <f>SUMIF('SBICII post TB (closed)'!B:B,Summary!A142,'SBICII post TB (closed)'!J:J)</f>
        <v>0</v>
      </c>
      <c r="I142" s="137">
        <f t="shared" si="50"/>
        <v>0</v>
      </c>
      <c r="J142" s="67"/>
      <c r="K142" s="67"/>
      <c r="L142" s="138"/>
      <c r="M142" s="138"/>
      <c r="N142" s="138">
        <f t="shared" si="49"/>
        <v>0</v>
      </c>
      <c r="O142" s="39" t="s">
        <v>33</v>
      </c>
      <c r="P142" s="39"/>
      <c r="Q142" s="137">
        <f t="shared" si="47"/>
        <v>0</v>
      </c>
    </row>
    <row r="143" spans="1:17">
      <c r="A143" t="str">
        <f t="shared" si="2"/>
        <v>Payable Cost</v>
      </c>
      <c r="B143" t="s">
        <v>26</v>
      </c>
      <c r="C143" t="s">
        <v>224</v>
      </c>
      <c r="D143" t="s">
        <v>288</v>
      </c>
      <c r="E143" t="s">
        <v>172</v>
      </c>
      <c r="F143" s="137">
        <f>SUMIF('BDC post TB'!B:B,Summary!A143,'BDC post TB'!J:J)</f>
        <v>0</v>
      </c>
      <c r="G143" s="137">
        <f>SUMIF('SBIC post TB(Closed)'!B:B,Summary!A143,'SBIC post TB(Closed)'!J:J)</f>
        <v>0</v>
      </c>
      <c r="H143" s="137">
        <f>SUMIF('SBICII post TB (closed)'!B:B,Summary!A143,'SBICII post TB (closed)'!J:J)</f>
        <v>0</v>
      </c>
      <c r="I143" s="137">
        <f t="shared" si="50"/>
        <v>0</v>
      </c>
      <c r="J143" s="67"/>
      <c r="K143" s="67"/>
      <c r="L143" s="138"/>
      <c r="M143" s="138"/>
      <c r="N143" s="138">
        <f t="shared" si="49"/>
        <v>0</v>
      </c>
      <c r="O143" s="39" t="s">
        <v>29</v>
      </c>
      <c r="P143" s="39"/>
      <c r="Q143" s="137">
        <f t="shared" si="47"/>
        <v>0</v>
      </c>
    </row>
    <row r="144" spans="1:17">
      <c r="A144" t="str">
        <f t="shared" si="2"/>
        <v>Payable for Unfunded Commitments Cost</v>
      </c>
      <c r="B144" t="s">
        <v>26</v>
      </c>
      <c r="C144" t="s">
        <v>224</v>
      </c>
      <c r="D144" t="s">
        <v>289</v>
      </c>
      <c r="E144" t="s">
        <v>172</v>
      </c>
      <c r="F144" s="137">
        <f>SUMIF('BDC post TB'!B:B,Summary!A144,'BDC post TB'!J:J)</f>
        <v>0</v>
      </c>
      <c r="G144" s="137">
        <f>SUMIF('SBIC post TB(Closed)'!B:B,Summary!A144,'SBIC post TB(Closed)'!J:J)</f>
        <v>0</v>
      </c>
      <c r="H144" s="137">
        <f>SUMIF('SBICII post TB (closed)'!B:B,Summary!A144,'SBICII post TB (closed)'!J:J)</f>
        <v>0</v>
      </c>
      <c r="I144" s="137">
        <f t="shared" si="50"/>
        <v>0</v>
      </c>
      <c r="J144" s="67"/>
      <c r="K144" s="67"/>
      <c r="L144" s="138"/>
      <c r="M144" s="138"/>
      <c r="N144" s="138">
        <f t="shared" si="49"/>
        <v>0</v>
      </c>
      <c r="O144" s="39" t="s">
        <v>31</v>
      </c>
      <c r="P144" s="39"/>
      <c r="Q144" s="137">
        <f t="shared" si="47"/>
        <v>0</v>
      </c>
    </row>
    <row r="145" spans="1:17">
      <c r="A145" t="str">
        <f t="shared" si="2"/>
        <v>Payable to Master Cost</v>
      </c>
      <c r="B145" t="s">
        <v>26</v>
      </c>
      <c r="C145" t="s">
        <v>224</v>
      </c>
      <c r="D145" t="s">
        <v>290</v>
      </c>
      <c r="E145" t="s">
        <v>172</v>
      </c>
      <c r="F145" s="137">
        <f>SUMIF('BDC post TB'!B:B,Summary!A145,'BDC post TB'!J:J)</f>
        <v>0</v>
      </c>
      <c r="G145" s="137">
        <f>SUMIF('SBIC post TB(Closed)'!B:B,Summary!A145,'SBIC post TB(Closed)'!J:J)</f>
        <v>0</v>
      </c>
      <c r="H145" s="137">
        <f>SUMIF('SBICII post TB (closed)'!B:B,Summary!A145,'SBICII post TB (closed)'!J:J)</f>
        <v>0</v>
      </c>
      <c r="I145" s="137">
        <f t="shared" si="50"/>
        <v>0</v>
      </c>
      <c r="J145" s="67"/>
      <c r="K145" s="67"/>
      <c r="L145" s="138"/>
      <c r="M145" s="138"/>
      <c r="N145" s="138">
        <f t="shared" si="49"/>
        <v>0</v>
      </c>
      <c r="O145" s="39" t="s">
        <v>23</v>
      </c>
      <c r="P145" s="39"/>
      <c r="Q145" s="137">
        <f t="shared" si="47"/>
        <v>0</v>
      </c>
    </row>
    <row r="146" spans="1:17">
      <c r="A146" t="str">
        <f t="shared" si="2"/>
        <v>Swingline Interest Payable Cost</v>
      </c>
      <c r="B146" t="s">
        <v>26</v>
      </c>
      <c r="C146" t="s">
        <v>224</v>
      </c>
      <c r="D146" t="s">
        <v>291</v>
      </c>
      <c r="E146" t="s">
        <v>172</v>
      </c>
      <c r="F146" s="137">
        <f>SUMIF('BDC post TB'!B:B,Summary!A146,'BDC post TB'!J:J)</f>
        <v>0</v>
      </c>
      <c r="G146" s="137">
        <f>SUMIF('SBIC post TB(Closed)'!B:B,Summary!A146,'SBIC post TB(Closed)'!J:J)</f>
        <v>0</v>
      </c>
      <c r="H146" s="137">
        <f>SUMIF('SBICII post TB (closed)'!B:B,Summary!A146,'SBICII post TB (closed)'!J:J)</f>
        <v>0</v>
      </c>
      <c r="I146" s="137">
        <f t="shared" si="50"/>
        <v>0</v>
      </c>
      <c r="J146" s="67"/>
      <c r="K146" s="67"/>
      <c r="L146" s="138"/>
      <c r="M146" s="138"/>
      <c r="N146" s="138">
        <f t="shared" si="49"/>
        <v>0</v>
      </c>
      <c r="O146" s="39" t="s">
        <v>47</v>
      </c>
      <c r="P146" s="39"/>
      <c r="Q146" s="137">
        <f t="shared" si="47"/>
        <v>0</v>
      </c>
    </row>
    <row r="147" spans="1:17">
      <c r="A147" t="str">
        <f t="shared" si="2"/>
        <v>Unrealized App/Depp 2025 Bond - liability Cost</v>
      </c>
      <c r="B147" t="s">
        <v>26</v>
      </c>
      <c r="C147" t="s">
        <v>224</v>
      </c>
      <c r="D147" t="s">
        <v>292</v>
      </c>
      <c r="E147" t="s">
        <v>172</v>
      </c>
      <c r="F147" s="137">
        <f>SUMIF('BDC post TB'!B:B,Summary!A147,'BDC post TB'!J:J)</f>
        <v>0</v>
      </c>
      <c r="G147" s="137">
        <f>SUMIF('SBIC post TB(Closed)'!B:B,Summary!A147,'SBIC post TB(Closed)'!J:J)</f>
        <v>0</v>
      </c>
      <c r="H147" s="137">
        <f>SUMIF('SBICII post TB (closed)'!B:B,Summary!A147,'SBICII post TB (closed)'!J:J)</f>
        <v>0</v>
      </c>
      <c r="I147" s="137">
        <f t="shared" si="45"/>
        <v>0</v>
      </c>
      <c r="J147" s="67"/>
      <c r="K147" s="67"/>
      <c r="L147" s="138"/>
      <c r="M147" s="138"/>
      <c r="N147" s="138">
        <f t="shared" si="46"/>
        <v>0</v>
      </c>
      <c r="O147" s="39" t="s">
        <v>35</v>
      </c>
      <c r="P147" s="39"/>
      <c r="Q147" s="137">
        <f t="shared" si="47"/>
        <v>0</v>
      </c>
    </row>
    <row r="148" spans="1:17">
      <c r="A148" t="str">
        <f t="shared" si="2"/>
        <v>Unrealized FX Gain/Loss payable Cost</v>
      </c>
      <c r="B148" t="s">
        <v>26</v>
      </c>
      <c r="C148" t="s">
        <v>224</v>
      </c>
      <c r="D148" t="s">
        <v>293</v>
      </c>
      <c r="E148" t="s">
        <v>172</v>
      </c>
      <c r="F148" s="137">
        <f>SUMIF('BDC post TB'!B:B,Summary!A148,'BDC post TB'!J:J)</f>
        <v>0</v>
      </c>
      <c r="G148" s="137">
        <f>SUMIF('SBIC post TB(Closed)'!B:B,Summary!A148,'SBIC post TB(Closed)'!J:J)</f>
        <v>0</v>
      </c>
      <c r="H148" s="137">
        <f>SUMIF('SBICII post TB (closed)'!B:B,Summary!A148,'SBICII post TB (closed)'!J:J)</f>
        <v>0</v>
      </c>
      <c r="I148" s="137">
        <f t="shared" si="45"/>
        <v>0</v>
      </c>
      <c r="J148" s="67"/>
      <c r="K148" s="67"/>
      <c r="L148" s="138"/>
      <c r="M148" s="138"/>
      <c r="N148" s="138">
        <f t="shared" si="46"/>
        <v>0</v>
      </c>
      <c r="O148" s="39" t="s">
        <v>35</v>
      </c>
      <c r="P148" s="39"/>
      <c r="Q148" s="137">
        <f t="shared" si="47"/>
        <v>0</v>
      </c>
    </row>
    <row r="149" spans="1:17">
      <c r="A149" t="str">
        <f t="shared" si="2"/>
        <v>Accrued SBA Examination Fee Cost</v>
      </c>
      <c r="B149" t="s">
        <v>26</v>
      </c>
      <c r="C149" t="s">
        <v>224</v>
      </c>
      <c r="D149" t="s">
        <v>294</v>
      </c>
      <c r="E149" t="s">
        <v>172</v>
      </c>
      <c r="F149" s="137">
        <f>SUMIF('BDC post TB'!B:B,Summary!A149,'BDC post TB'!J:J)</f>
        <v>0</v>
      </c>
      <c r="G149" s="137">
        <f>SUMIF('SBIC post TB(Closed)'!B:B,Summary!A149,'SBIC post TB(Closed)'!J:J)</f>
        <v>0</v>
      </c>
      <c r="H149" s="137">
        <f>SUMIF('SBICII post TB (closed)'!B:B,Summary!A149,'SBICII post TB (closed)'!J:J)</f>
        <v>0</v>
      </c>
      <c r="I149" s="137">
        <f t="shared" si="45"/>
        <v>0</v>
      </c>
      <c r="J149" s="67"/>
      <c r="K149" s="67"/>
      <c r="L149" s="138"/>
      <c r="M149" s="138"/>
      <c r="N149" s="138">
        <f t="shared" si="46"/>
        <v>0</v>
      </c>
      <c r="O149" s="39" t="s">
        <v>57</v>
      </c>
      <c r="P149" s="39"/>
      <c r="Q149" s="137">
        <f t="shared" si="47"/>
        <v>0</v>
      </c>
    </row>
    <row r="150" spans="1:17">
      <c r="A150" t="str">
        <f t="shared" si="2"/>
        <v>SBA Debenture Interest Payable Cost</v>
      </c>
      <c r="B150" t="s">
        <v>26</v>
      </c>
      <c r="C150" t="s">
        <v>224</v>
      </c>
      <c r="D150" t="s">
        <v>295</v>
      </c>
      <c r="E150" t="s">
        <v>172</v>
      </c>
      <c r="F150" s="137">
        <f>SUMIF('BDC post TB'!B:B,Summary!A150,'BDC post TB'!J:J)</f>
        <v>0</v>
      </c>
      <c r="G150" s="137">
        <f>SUMIF('SBIC post TB(Closed)'!B:B,Summary!A150,'SBIC post TB(Closed)'!J:J)</f>
        <v>0</v>
      </c>
      <c r="H150" s="137">
        <f>SUMIF('SBICII post TB (closed)'!B:B,Summary!A150,'SBICII post TB (closed)'!J:J)</f>
        <v>0</v>
      </c>
      <c r="I150" s="137">
        <f t="shared" si="45"/>
        <v>0</v>
      </c>
      <c r="J150" s="67"/>
      <c r="K150" s="67"/>
      <c r="L150" s="138"/>
      <c r="M150" s="138"/>
      <c r="N150" s="138">
        <f t="shared" si="46"/>
        <v>0</v>
      </c>
      <c r="O150" s="39" t="s">
        <v>47</v>
      </c>
      <c r="P150" s="39"/>
      <c r="Q150" s="137">
        <f t="shared" si="47"/>
        <v>0</v>
      </c>
    </row>
    <row r="151" spans="1:17">
      <c r="A151" t="str">
        <f t="shared" si="2"/>
        <v>SBA Debenture Principal Payable Cost</v>
      </c>
      <c r="B151" t="s">
        <v>26</v>
      </c>
      <c r="C151" t="s">
        <v>224</v>
      </c>
      <c r="D151" t="s">
        <v>296</v>
      </c>
      <c r="E151" t="s">
        <v>172</v>
      </c>
      <c r="F151" s="137">
        <f>SUMIF('BDC post TB'!B:B,Summary!A151,'BDC post TB'!J:J)</f>
        <v>0</v>
      </c>
      <c r="G151" s="137">
        <f>SUMIF('SBIC post TB(Closed)'!B:B,Summary!A151,'SBIC post TB(Closed)'!J:J)</f>
        <v>0</v>
      </c>
      <c r="H151" s="137">
        <f>SUMIF('SBICII post TB (closed)'!B:B,Summary!A151,'SBICII post TB (closed)'!J:J)</f>
        <v>0</v>
      </c>
      <c r="I151" s="137">
        <f t="shared" si="45"/>
        <v>0</v>
      </c>
      <c r="J151" s="67"/>
      <c r="K151" s="67"/>
      <c r="L151" s="138"/>
      <c r="M151" s="138"/>
      <c r="N151" s="138">
        <f t="shared" si="46"/>
        <v>0</v>
      </c>
      <c r="O151" s="39" t="s">
        <v>128</v>
      </c>
      <c r="P151" s="39"/>
      <c r="Q151" s="137">
        <f t="shared" si="47"/>
        <v>0</v>
      </c>
    </row>
    <row r="152" spans="1:17">
      <c r="A152" t="str">
        <f t="shared" si="2"/>
        <v>Capital Stock</v>
      </c>
      <c r="B152" t="s">
        <v>297</v>
      </c>
      <c r="C152" t="s">
        <v>298</v>
      </c>
      <c r="D152" t="s">
        <v>299</v>
      </c>
      <c r="E152"/>
      <c r="F152" s="137">
        <f>SUMIF('BDC post TB'!B:B,Summary!A152,'BDC post TB'!J:J)</f>
        <v>-65296.14</v>
      </c>
      <c r="G152" s="137">
        <f>SUMIF('SBIC post TB(Closed)'!B:B,Summary!A152,'SBIC post TB(Closed)'!J:J)</f>
        <v>0</v>
      </c>
      <c r="H152" s="137">
        <f>SUMIF('SBICII post TB (closed)'!B:B,Summary!A152,'SBICII post TB (closed)'!J:J)</f>
        <v>0</v>
      </c>
      <c r="I152" s="137">
        <f t="shared" si="45"/>
        <v>-65296.14</v>
      </c>
      <c r="J152" s="67"/>
      <c r="K152" s="67"/>
      <c r="L152" s="138"/>
      <c r="M152" s="138"/>
      <c r="N152" s="138">
        <f t="shared" si="46"/>
        <v>-65296.14</v>
      </c>
      <c r="O152" s="39" t="s">
        <v>61</v>
      </c>
      <c r="P152" s="39"/>
      <c r="Q152" s="137">
        <f t="shared" ref="Q152:Q175" si="53">IF(AND(B152="Liabilities",N152&gt;0),N152,0)</f>
        <v>0</v>
      </c>
    </row>
    <row r="153" spans="1:17">
      <c r="A153" t="str">
        <f t="shared" ref="A153:A222" si="54">CONCATENATE(D153,E153)</f>
        <v>ContributedAccruedInterest</v>
      </c>
      <c r="B153" t="s">
        <v>297</v>
      </c>
      <c r="C153" t="s">
        <v>298</v>
      </c>
      <c r="D153" t="s">
        <v>300</v>
      </c>
      <c r="E153"/>
      <c r="F153" s="137">
        <f>SUMIF('BDC post TB'!B:B,Summary!A153,'BDC post TB'!J:J)</f>
        <v>0</v>
      </c>
      <c r="G153" s="137">
        <f>SUMIF('SBIC post TB(Closed)'!B:B,Summary!A153,'SBIC post TB(Closed)'!J:J)</f>
        <v>0</v>
      </c>
      <c r="H153" s="137">
        <f>SUMIF('SBICII post TB (closed)'!B:B,Summary!A153,'SBICII post TB (closed)'!J:J)</f>
        <v>0</v>
      </c>
      <c r="I153" s="137">
        <f t="shared" si="45"/>
        <v>0</v>
      </c>
      <c r="J153" s="67"/>
      <c r="K153" s="67"/>
      <c r="L153" s="138"/>
      <c r="M153" s="138"/>
      <c r="N153" s="138">
        <f t="shared" si="46"/>
        <v>0</v>
      </c>
      <c r="O153" s="39" t="s">
        <v>64</v>
      </c>
      <c r="P153" s="39"/>
      <c r="Q153" s="137">
        <f t="shared" si="53"/>
        <v>0</v>
      </c>
    </row>
    <row r="154" spans="1:17">
      <c r="A154" t="str">
        <f t="shared" si="54"/>
        <v>ContributedCost</v>
      </c>
      <c r="B154" t="s">
        <v>297</v>
      </c>
      <c r="C154" t="s">
        <v>298</v>
      </c>
      <c r="D154" t="s">
        <v>301</v>
      </c>
      <c r="E154"/>
      <c r="F154" s="137">
        <f>SUMIF('BDC post TB'!B:B,Summary!A154,'BDC post TB'!J:J)</f>
        <v>-740506297.98000002</v>
      </c>
      <c r="G154" s="137">
        <f>SUMIF('SBIC post TB(Closed)'!B:B,Summary!A154,'SBIC post TB(Closed)'!J:J)</f>
        <v>0</v>
      </c>
      <c r="H154" s="137">
        <f>SUMIF('SBICII post TB (closed)'!B:B,Summary!A154,'SBICII post TB (closed)'!J:J)</f>
        <v>0</v>
      </c>
      <c r="I154" s="137">
        <f t="shared" si="45"/>
        <v>-740506297.98000002</v>
      </c>
      <c r="J154" s="67"/>
      <c r="K154" s="67"/>
      <c r="L154" s="138"/>
      <c r="M154" s="144"/>
      <c r="N154" s="138">
        <f t="shared" si="46"/>
        <v>-740506297.98000002</v>
      </c>
      <c r="O154" s="39" t="s">
        <v>64</v>
      </c>
      <c r="P154" s="39"/>
      <c r="Q154" s="137">
        <f t="shared" si="53"/>
        <v>0</v>
      </c>
    </row>
    <row r="155" spans="1:17">
      <c r="A155" t="str">
        <f t="shared" si="54"/>
        <v>ContributedPriceGain</v>
      </c>
      <c r="B155" t="s">
        <v>297</v>
      </c>
      <c r="C155" t="s">
        <v>298</v>
      </c>
      <c r="D155" t="s">
        <v>302</v>
      </c>
      <c r="E155"/>
      <c r="F155" s="137">
        <f>SUMIF('BDC post TB'!B:B,Summary!A155,'BDC post TB'!J:J)</f>
        <v>0</v>
      </c>
      <c r="G155" s="137">
        <f>SUMIF('SBIC post TB(Closed)'!B:B,Summary!A155,'SBIC post TB(Closed)'!J:J)</f>
        <v>0</v>
      </c>
      <c r="H155" s="137">
        <f>SUMIF('SBICII post TB (closed)'!B:B,Summary!A155,'SBICII post TB (closed)'!J:J)</f>
        <v>0</v>
      </c>
      <c r="I155" s="137">
        <f t="shared" si="45"/>
        <v>0</v>
      </c>
      <c r="J155" s="67"/>
      <c r="K155" s="67"/>
      <c r="L155" s="138"/>
      <c r="M155" s="138"/>
      <c r="N155" s="138">
        <f t="shared" si="46"/>
        <v>0</v>
      </c>
      <c r="O155" s="39"/>
      <c r="P155" s="39"/>
      <c r="Q155" s="137">
        <f t="shared" si="53"/>
        <v>0</v>
      </c>
    </row>
    <row r="156" spans="1:17">
      <c r="A156" t="str">
        <f t="shared" si="54"/>
        <v>Cost of Issuance</v>
      </c>
      <c r="B156" t="s">
        <v>297</v>
      </c>
      <c r="C156" t="s">
        <v>298</v>
      </c>
      <c r="D156" t="s">
        <v>303</v>
      </c>
      <c r="E156"/>
      <c r="F156" s="137">
        <f>SUMIF('BDC post TB'!B:B,Summary!A156,'BDC post TB'!J:J)</f>
        <v>0</v>
      </c>
      <c r="G156" s="137">
        <f>SUMIF('SBIC post TB(Closed)'!B:B,Summary!A156,'SBIC post TB(Closed)'!J:J)</f>
        <v>0</v>
      </c>
      <c r="H156" s="137">
        <f>SUMIF('SBICII post TB (closed)'!B:B,Summary!A156,'SBICII post TB (closed)'!J:J)</f>
        <v>0</v>
      </c>
      <c r="I156" s="137">
        <f t="shared" si="45"/>
        <v>0</v>
      </c>
      <c r="J156" s="67"/>
      <c r="K156" s="67"/>
      <c r="L156" s="138"/>
      <c r="M156" s="138"/>
      <c r="N156" s="138">
        <f t="shared" si="46"/>
        <v>0</v>
      </c>
      <c r="O156" s="39" t="s">
        <v>64</v>
      </c>
      <c r="P156" s="39"/>
      <c r="Q156" s="137">
        <f t="shared" si="53"/>
        <v>0</v>
      </c>
    </row>
    <row r="157" spans="1:17">
      <c r="A157" t="str">
        <f t="shared" si="54"/>
        <v>CustodianXfer</v>
      </c>
      <c r="B157" t="s">
        <v>297</v>
      </c>
      <c r="C157" t="s">
        <v>298</v>
      </c>
      <c r="D157" t="s">
        <v>304</v>
      </c>
      <c r="E157"/>
      <c r="F157" s="137">
        <f>SUMIF('BDC post TB'!B:B,Summary!A157,'BDC post TB'!J:J)</f>
        <v>0</v>
      </c>
      <c r="G157" s="137">
        <f>SUMIF('SBIC post TB(Closed)'!B:B,Summary!A157,'SBIC post TB(Closed)'!J:J)</f>
        <v>0</v>
      </c>
      <c r="H157" s="137">
        <f>SUMIF('SBICII post TB (closed)'!B:B,Summary!A157,'SBICII post TB (closed)'!J:J)</f>
        <v>0</v>
      </c>
      <c r="I157" s="137">
        <f t="shared" si="45"/>
        <v>0</v>
      </c>
      <c r="J157" s="67"/>
      <c r="K157" s="67"/>
      <c r="L157" s="138"/>
      <c r="M157" s="138"/>
      <c r="N157" s="138">
        <f t="shared" si="46"/>
        <v>0</v>
      </c>
      <c r="O157" s="39"/>
      <c r="P157" s="39"/>
      <c r="Q157" s="137">
        <f t="shared" si="53"/>
        <v>0</v>
      </c>
    </row>
    <row r="158" spans="1:17">
      <c r="A158" t="str">
        <f>CONCATENATE(D158,E158)</f>
        <v>Accumulated net realized gl on investments prior years</v>
      </c>
      <c r="B158" t="s">
        <v>297</v>
      </c>
      <c r="C158" t="s">
        <v>298</v>
      </c>
      <c r="D158" t="s">
        <v>305</v>
      </c>
      <c r="E158"/>
      <c r="F158" s="137">
        <f>SUMIF('BDC post TB'!B:B,Summary!A158,'BDC post TB'!J:J)</f>
        <v>71543952</v>
      </c>
      <c r="G158" s="137">
        <f>SUMIF('SBIC post TB(Closed)'!B:B,Summary!A158,'SBIC post TB(Closed)'!J:J)</f>
        <v>0</v>
      </c>
      <c r="H158" s="137">
        <f>SUMIF('SBICII post TB (closed)'!B:B,Summary!A158,'SBICII post TB (closed)'!J:J)</f>
        <v>0</v>
      </c>
      <c r="I158" s="137">
        <f t="shared" si="45"/>
        <v>71543952</v>
      </c>
      <c r="J158" s="67"/>
      <c r="K158" s="67"/>
      <c r="L158" s="138"/>
      <c r="M158" s="144"/>
      <c r="N158" s="138">
        <f t="shared" si="46"/>
        <v>71543952</v>
      </c>
      <c r="O158" s="39"/>
      <c r="P158" s="39"/>
      <c r="Q158" s="137">
        <f t="shared" si="53"/>
        <v>0</v>
      </c>
    </row>
    <row r="159" spans="1:17">
      <c r="A159" t="str">
        <f>CONCATENATE(D159,E159)</f>
        <v>Accumulated net realized gain loss on investments prior years</v>
      </c>
      <c r="B159" t="s">
        <v>297</v>
      </c>
      <c r="C159" t="s">
        <v>298</v>
      </c>
      <c r="D159" t="s">
        <v>306</v>
      </c>
      <c r="E159"/>
      <c r="F159" s="137">
        <f>SUMIF('BDC post TB'!B:B,Summary!A159,'BDC post TB'!J:J)</f>
        <v>-67497</v>
      </c>
      <c r="G159" s="137">
        <f>SUMIF('SBIC post TB(Closed)'!B:B,Summary!A159,'SBIC post TB(Closed)'!J:J)</f>
        <v>0</v>
      </c>
      <c r="H159" s="137">
        <f>SUMIF('SBICII post TB (closed)'!B:B,Summary!A159,'SBICII post TB (closed)'!J:J)</f>
        <v>0</v>
      </c>
      <c r="I159" s="137">
        <f t="shared" si="45"/>
        <v>-67497</v>
      </c>
      <c r="J159" s="67"/>
      <c r="K159" s="67"/>
      <c r="L159" s="138"/>
      <c r="M159" s="138"/>
      <c r="N159" s="138">
        <f t="shared" si="46"/>
        <v>-67497</v>
      </c>
      <c r="O159" s="39"/>
      <c r="P159" s="39"/>
      <c r="Q159" s="137">
        <f t="shared" si="53"/>
        <v>0</v>
      </c>
    </row>
    <row r="160" spans="1:17">
      <c r="A160" t="str">
        <f t="shared" si="54"/>
        <v>Net unrealized app dep on debt prior years</v>
      </c>
      <c r="B160" t="s">
        <v>297</v>
      </c>
      <c r="C160" t="s">
        <v>298</v>
      </c>
      <c r="D160" t="s">
        <v>307</v>
      </c>
      <c r="E160"/>
      <c r="F160" s="137">
        <f>SUMIF('BDC post TB'!B:B,Summary!A160,'BDC post TB'!J:J)</f>
        <v>-1551670</v>
      </c>
      <c r="G160" s="137">
        <f>SUMIF('SBIC post TB(Closed)'!B:B,Summary!A160,'SBIC post TB(Closed)'!J:J)</f>
        <v>0</v>
      </c>
      <c r="H160" s="137">
        <f>SUMIF('SBICII post TB (closed)'!B:B,Summary!A160,'SBICII post TB (closed)'!J:J)</f>
        <v>0</v>
      </c>
      <c r="I160" s="137">
        <f t="shared" si="45"/>
        <v>-1551670</v>
      </c>
      <c r="J160" s="67"/>
      <c r="K160" s="67"/>
      <c r="L160" s="138"/>
      <c r="M160" s="138"/>
      <c r="N160" s="138">
        <f t="shared" si="46"/>
        <v>-1551670</v>
      </c>
      <c r="O160" s="39"/>
      <c r="P160" s="39"/>
      <c r="Q160" s="137">
        <f t="shared" si="53"/>
        <v>0</v>
      </c>
    </row>
    <row r="161" spans="1:17">
      <c r="A161" t="str">
        <f t="shared" si="54"/>
        <v>Net unrealized app dep on investments prior years</v>
      </c>
      <c r="B161" t="s">
        <v>297</v>
      </c>
      <c r="C161" t="s">
        <v>298</v>
      </c>
      <c r="D161" t="s">
        <v>308</v>
      </c>
      <c r="E161"/>
      <c r="F161" s="137">
        <f>SUMIF('BDC post TB'!B:B,Summary!A161,'BDC post TB'!J:J)</f>
        <v>111763780</v>
      </c>
      <c r="G161" s="137">
        <f>SUMIF('SBIC post TB(Closed)'!B:B,Summary!A161,'SBIC post TB(Closed)'!J:J)</f>
        <v>0</v>
      </c>
      <c r="H161" s="137">
        <f>SUMIF('SBICII post TB (closed)'!B:B,Summary!A161,'SBICII post TB (closed)'!J:J)</f>
        <v>0</v>
      </c>
      <c r="I161" s="137">
        <f t="shared" si="45"/>
        <v>111763780</v>
      </c>
      <c r="J161" s="67"/>
      <c r="K161" s="67"/>
      <c r="L161" s="138"/>
      <c r="M161" s="138"/>
      <c r="N161" s="138">
        <f t="shared" si="46"/>
        <v>111763780</v>
      </c>
      <c r="O161" s="39"/>
      <c r="P161" s="39"/>
      <c r="Q161" s="137">
        <f t="shared" si="53"/>
        <v>0</v>
      </c>
    </row>
    <row r="162" spans="1:17">
      <c r="A162" t="str">
        <f t="shared" si="54"/>
        <v>Retained Earnings-Capital Prior Year</v>
      </c>
      <c r="B162" t="s">
        <v>297</v>
      </c>
      <c r="C162" t="s">
        <v>298</v>
      </c>
      <c r="D162" t="s">
        <v>309</v>
      </c>
      <c r="E162"/>
      <c r="F162" s="137">
        <f>SUMIF('BDC post TB'!B:B,Summary!A162,'BDC post TB'!J:J)</f>
        <v>0</v>
      </c>
      <c r="G162" s="137">
        <f>SUMIF('SBIC post TB(Closed)'!B:B,Summary!A162,'SBIC post TB(Closed)'!J:J)</f>
        <v>0</v>
      </c>
      <c r="H162" s="137">
        <f>SUMIF('SBICII post TB (closed)'!B:B,Summary!A162,'SBICII post TB (closed)'!J:J)</f>
        <v>0</v>
      </c>
      <c r="I162" s="137">
        <f t="shared" si="45"/>
        <v>0</v>
      </c>
      <c r="J162" s="67"/>
      <c r="K162" s="67"/>
      <c r="L162" s="138"/>
      <c r="M162" s="138"/>
      <c r="N162" s="138">
        <f t="shared" si="46"/>
        <v>0</v>
      </c>
      <c r="O162" s="39"/>
      <c r="P162" s="39"/>
      <c r="Q162" s="137">
        <f t="shared" si="53"/>
        <v>0</v>
      </c>
    </row>
    <row r="163" spans="1:17">
      <c r="A163" t="str">
        <f t="shared" si="54"/>
        <v>Undistributed net investment income Prior Years</v>
      </c>
      <c r="B163" t="s">
        <v>297</v>
      </c>
      <c r="C163" t="s">
        <v>298</v>
      </c>
      <c r="D163" t="s">
        <v>310</v>
      </c>
      <c r="E163"/>
      <c r="F163" s="137">
        <f>SUMIF('BDC post TB'!B:B,Summary!A163,'BDC post TB'!J:J)</f>
        <v>-42600718</v>
      </c>
      <c r="G163" s="137">
        <f>SUMIF('SBIC post TB(Closed)'!B:B,Summary!A163,'SBIC post TB(Closed)'!J:J)</f>
        <v>0</v>
      </c>
      <c r="H163" s="137">
        <f>SUMIF('SBICII post TB (closed)'!B:B,Summary!A163,'SBICII post TB (closed)'!J:J)</f>
        <v>0</v>
      </c>
      <c r="I163" s="137">
        <f t="shared" si="45"/>
        <v>-42600718</v>
      </c>
      <c r="J163" s="67"/>
      <c r="K163" s="67"/>
      <c r="L163" s="138"/>
      <c r="M163" s="144"/>
      <c r="N163" s="138">
        <f t="shared" si="46"/>
        <v>-42600718</v>
      </c>
      <c r="O163" s="39"/>
      <c r="P163" s="39"/>
      <c r="Q163" s="137">
        <f t="shared" si="53"/>
        <v>0</v>
      </c>
    </row>
    <row r="164" spans="1:17">
      <c r="A164" t="str">
        <f>CONCATENATE(D164,E164)</f>
        <v>Distributed Prior Year</v>
      </c>
      <c r="B164" t="s">
        <v>297</v>
      </c>
      <c r="C164" t="s">
        <v>298</v>
      </c>
      <c r="D164" t="s">
        <v>311</v>
      </c>
      <c r="E164"/>
      <c r="F164" s="137">
        <f>SUMIF('BDC post TB'!B:B,Summary!A164,'BDC post TB'!J:J)</f>
        <v>0</v>
      </c>
      <c r="G164" s="137">
        <f>SUMIF('SBIC post TB(Closed)'!B:B,Summary!A164,'SBIC post TB(Closed)'!J:J)</f>
        <v>0</v>
      </c>
      <c r="H164" s="137">
        <f>SUMIF('SBICII post TB (closed)'!B:B,Summary!A164,'SBICII post TB (closed)'!J:J)</f>
        <v>0</v>
      </c>
      <c r="I164" s="137">
        <f t="shared" si="45"/>
        <v>0</v>
      </c>
      <c r="J164" s="67"/>
      <c r="K164" s="67"/>
      <c r="L164" s="138"/>
      <c r="M164" s="138"/>
      <c r="N164" s="138">
        <f t="shared" si="46"/>
        <v>0</v>
      </c>
      <c r="O164" s="39"/>
      <c r="P164" s="39"/>
      <c r="Q164" s="137">
        <f t="shared" si="53"/>
        <v>0</v>
      </c>
    </row>
    <row r="165" spans="1:17">
      <c r="A165" t="str">
        <f>CONCATENATE(D165,E165)</f>
        <v>Distributed Prior Year 2</v>
      </c>
      <c r="B165" t="s">
        <v>297</v>
      </c>
      <c r="C165" t="s">
        <v>298</v>
      </c>
      <c r="D165" t="s">
        <v>312</v>
      </c>
      <c r="E165"/>
      <c r="F165" s="137">
        <f>SUMIF('BDC post TB'!B:B,Summary!A165,'BDC post TB'!J:J)</f>
        <v>0</v>
      </c>
      <c r="G165" s="137">
        <f>SUMIF('SBIC post TB(Closed)'!B:B,Summary!A165,'SBIC post TB(Closed)'!J:J)</f>
        <v>0</v>
      </c>
      <c r="H165" s="137">
        <f>SUMIF('SBICII post TB (closed)'!B:B,Summary!A165,'SBICII post TB (closed)'!J:J)</f>
        <v>0</v>
      </c>
      <c r="I165" s="137">
        <f t="shared" si="45"/>
        <v>0</v>
      </c>
      <c r="J165" s="67"/>
      <c r="K165" s="67"/>
      <c r="L165" s="138"/>
      <c r="M165" s="138"/>
      <c r="N165" s="138">
        <f t="shared" si="46"/>
        <v>0</v>
      </c>
      <c r="O165" s="39"/>
      <c r="P165" s="39"/>
      <c r="Q165" s="137">
        <f t="shared" si="53"/>
        <v>0</v>
      </c>
    </row>
    <row r="166" spans="1:17">
      <c r="A166" t="str">
        <f>CONCATENATE(D166,E166)</f>
        <v>Distributed Prior Year 2009</v>
      </c>
      <c r="B166" t="s">
        <v>297</v>
      </c>
      <c r="C166" t="s">
        <v>298</v>
      </c>
      <c r="D166" t="s">
        <v>313</v>
      </c>
      <c r="E166"/>
      <c r="F166" s="137">
        <f>SUMIF('BDC post TB'!B:B,Summary!A166,'BDC post TB'!J:J)</f>
        <v>0</v>
      </c>
      <c r="G166" s="137">
        <f>SUMIF('SBIC post TB(Closed)'!B:B,Summary!A166,'SBIC post TB(Closed)'!J:J)</f>
        <v>0</v>
      </c>
      <c r="H166" s="137">
        <f>SUMIF('SBICII post TB (closed)'!B:B,Summary!A166,'SBICII post TB (closed)'!J:J)</f>
        <v>0</v>
      </c>
      <c r="I166" s="137">
        <f t="shared" si="45"/>
        <v>0</v>
      </c>
      <c r="J166" s="67"/>
      <c r="K166" s="67"/>
      <c r="L166" s="138"/>
      <c r="M166" s="138"/>
      <c r="N166" s="138">
        <f t="shared" si="46"/>
        <v>0</v>
      </c>
      <c r="O166" s="39"/>
      <c r="P166" s="39"/>
      <c r="Q166" s="137">
        <f t="shared" si="53"/>
        <v>0</v>
      </c>
    </row>
    <row r="167" spans="1:17">
      <c r="A167" t="str">
        <f t="shared" si="54"/>
        <v>Distributions in excess of income PY 2010</v>
      </c>
      <c r="B167" t="s">
        <v>297</v>
      </c>
      <c r="C167" t="s">
        <v>298</v>
      </c>
      <c r="D167" t="s">
        <v>314</v>
      </c>
      <c r="E167"/>
      <c r="F167" s="137">
        <f>SUMIF('BDC post TB'!B:B,Summary!A167,'BDC post TB'!J:J)</f>
        <v>0</v>
      </c>
      <c r="G167" s="137">
        <f>SUMIF('SBIC post TB(Closed)'!B:B,Summary!A167,'SBIC post TB(Closed)'!J:J)</f>
        <v>0</v>
      </c>
      <c r="H167" s="137">
        <f>SUMIF('SBICII post TB (closed)'!B:B,Summary!A167,'SBICII post TB (closed)'!J:J)</f>
        <v>0</v>
      </c>
      <c r="I167" s="137">
        <f t="shared" si="45"/>
        <v>0</v>
      </c>
      <c r="J167" s="67"/>
      <c r="K167" s="67"/>
      <c r="L167" s="138"/>
      <c r="M167" s="138"/>
      <c r="N167" s="138">
        <f t="shared" si="46"/>
        <v>0</v>
      </c>
      <c r="O167" s="39"/>
      <c r="P167" s="39"/>
      <c r="Q167" s="137">
        <f t="shared" si="53"/>
        <v>0</v>
      </c>
    </row>
    <row r="168" spans="1:17">
      <c r="A168" t="str">
        <f t="shared" si="54"/>
        <v>ROCSOP Paid in capital</v>
      </c>
      <c r="B168" t="s">
        <v>297</v>
      </c>
      <c r="C168" t="s">
        <v>298</v>
      </c>
      <c r="D168" t="s">
        <v>315</v>
      </c>
      <c r="E168"/>
      <c r="F168" s="137">
        <f>SUMIF('BDC post TB'!B:B,Summary!A168,'BDC post TB'!J:J)</f>
        <v>0</v>
      </c>
      <c r="G168" s="137">
        <f>SUMIF('SBIC post TB(Closed)'!B:B,Summary!A168,'SBIC post TB(Closed)'!J:J)</f>
        <v>0</v>
      </c>
      <c r="H168" s="137">
        <f>SUMIF('SBICII post TB (closed)'!B:B,Summary!A168,'SBICII post TB (closed)'!J:J)</f>
        <v>0</v>
      </c>
      <c r="I168" s="137">
        <f t="shared" si="45"/>
        <v>0</v>
      </c>
      <c r="J168" s="67"/>
      <c r="K168" s="67"/>
      <c r="L168" s="138"/>
      <c r="M168" s="138"/>
      <c r="N168" s="138">
        <f t="shared" si="46"/>
        <v>0</v>
      </c>
      <c r="O168" s="39" t="s">
        <v>64</v>
      </c>
      <c r="P168" s="39"/>
      <c r="Q168" s="137">
        <f t="shared" si="53"/>
        <v>0</v>
      </c>
    </row>
    <row r="169" spans="1:17">
      <c r="A169" t="str">
        <f t="shared" si="54"/>
        <v>ROCSOP Undistributed Income</v>
      </c>
      <c r="B169" t="s">
        <v>297</v>
      </c>
      <c r="C169" t="s">
        <v>298</v>
      </c>
      <c r="D169" t="s">
        <v>316</v>
      </c>
      <c r="E169"/>
      <c r="F169" s="137">
        <f>SUMIF('BDC post TB'!B:B,Summary!A169,'BDC post TB'!J:J)</f>
        <v>0</v>
      </c>
      <c r="G169" s="137">
        <f>SUMIF('SBIC post TB(Closed)'!B:B,Summary!A169,'SBIC post TB(Closed)'!J:J)</f>
        <v>0</v>
      </c>
      <c r="H169" s="137">
        <f>SUMIF('SBICII post TB (closed)'!B:B,Summary!A169,'SBICII post TB (closed)'!J:J)</f>
        <v>0</v>
      </c>
      <c r="I169" s="137">
        <f t="shared" si="45"/>
        <v>0</v>
      </c>
      <c r="J169" s="67"/>
      <c r="K169" s="67"/>
      <c r="L169" s="138"/>
      <c r="M169" s="138"/>
      <c r="N169" s="138">
        <f t="shared" si="46"/>
        <v>0</v>
      </c>
      <c r="O169" s="39"/>
      <c r="P169" s="39"/>
      <c r="Q169" s="137">
        <f t="shared" si="53"/>
        <v>0</v>
      </c>
    </row>
    <row r="170" spans="1:17">
      <c r="A170" t="str">
        <f t="shared" si="54"/>
        <v>ROCSOP Undistributed Realized</v>
      </c>
      <c r="B170" t="s">
        <v>297</v>
      </c>
      <c r="C170" t="s">
        <v>298</v>
      </c>
      <c r="D170" t="s">
        <v>317</v>
      </c>
      <c r="E170"/>
      <c r="F170" s="137">
        <f>SUMIF('BDC post TB'!B:B,Summary!A170,'BDC post TB'!J:J)</f>
        <v>0</v>
      </c>
      <c r="G170" s="137">
        <f>SUMIF('SBIC post TB(Closed)'!B:B,Summary!A170,'SBIC post TB(Closed)'!J:J)</f>
        <v>0</v>
      </c>
      <c r="H170" s="137">
        <f>SUMIF('SBICII post TB (closed)'!B:B,Summary!A170,'SBICII post TB (closed)'!J:J)</f>
        <v>0</v>
      </c>
      <c r="I170" s="137">
        <f t="shared" si="45"/>
        <v>0</v>
      </c>
      <c r="J170" s="67"/>
      <c r="K170" s="67"/>
      <c r="L170" s="138"/>
      <c r="M170" s="138"/>
      <c r="N170" s="138">
        <f t="shared" ref="N170:N222" si="55">SUM(I170:M170)</f>
        <v>0</v>
      </c>
      <c r="O170" s="39"/>
      <c r="P170" s="39"/>
      <c r="Q170" s="137">
        <f t="shared" si="53"/>
        <v>0</v>
      </c>
    </row>
    <row r="171" spans="1:17">
      <c r="A171" t="str">
        <f t="shared" si="54"/>
        <v>Return of Capital to Investors</v>
      </c>
      <c r="B171" t="s">
        <v>297</v>
      </c>
      <c r="C171" t="s">
        <v>298</v>
      </c>
      <c r="D171" t="s">
        <v>318</v>
      </c>
      <c r="E171"/>
      <c r="F171" s="137">
        <f>SUMIF('BDC post TB'!B:B,Summary!A171,'BDC post TB'!J:J)</f>
        <v>0</v>
      </c>
      <c r="G171" s="137">
        <f>SUMIF('SBIC post TB(Closed)'!B:B,Summary!A171,'SBIC post TB(Closed)'!J:J)</f>
        <v>0</v>
      </c>
      <c r="H171" s="137">
        <f>SUMIF('SBICII post TB (closed)'!B:B,Summary!A171,'SBICII post TB (closed)'!J:J)</f>
        <v>0</v>
      </c>
      <c r="I171" s="137">
        <f t="shared" si="45"/>
        <v>0</v>
      </c>
      <c r="J171" s="67"/>
      <c r="K171" s="67"/>
      <c r="L171" s="138"/>
      <c r="M171" s="138"/>
      <c r="N171" s="138">
        <f t="shared" si="55"/>
        <v>0</v>
      </c>
      <c r="O171" s="39" t="s">
        <v>64</v>
      </c>
      <c r="P171" s="39"/>
      <c r="Q171" s="137">
        <f t="shared" si="53"/>
        <v>0</v>
      </c>
    </row>
    <row r="172" spans="1:17">
      <c r="A172" t="str">
        <f t="shared" si="54"/>
        <v>Undistributed Pre 2007</v>
      </c>
      <c r="B172" t="s">
        <v>297</v>
      </c>
      <c r="C172" t="s">
        <v>298</v>
      </c>
      <c r="D172" t="s">
        <v>319</v>
      </c>
      <c r="E172"/>
      <c r="F172" s="137">
        <f>SUMIF('BDC post TB'!B:B,Summary!A172,'BDC post TB'!J:J)</f>
        <v>0</v>
      </c>
      <c r="G172" s="137">
        <f>SUMIF('SBIC post TB(Closed)'!B:B,Summary!A172,'SBIC post TB(Closed)'!J:J)</f>
        <v>0</v>
      </c>
      <c r="H172" s="137">
        <f>SUMIF('SBICII post TB (closed)'!B:B,Summary!A172,'SBICII post TB (closed)'!J:J)</f>
        <v>0</v>
      </c>
      <c r="I172" s="137">
        <f t="shared" si="45"/>
        <v>0</v>
      </c>
      <c r="J172" s="67"/>
      <c r="K172" s="67"/>
      <c r="L172" s="138"/>
      <c r="M172" s="138"/>
      <c r="N172" s="138">
        <f t="shared" si="55"/>
        <v>0</v>
      </c>
      <c r="O172" s="39"/>
      <c r="P172" s="39"/>
      <c r="Q172" s="137">
        <f t="shared" si="53"/>
        <v>0</v>
      </c>
    </row>
    <row r="173" spans="1:17">
      <c r="A173" t="str">
        <f t="shared" si="54"/>
        <v>Retained Earnings</v>
      </c>
      <c r="B173" t="s">
        <v>297</v>
      </c>
      <c r="C173" t="s">
        <v>320</v>
      </c>
      <c r="D173" t="s">
        <v>320</v>
      </c>
      <c r="E173"/>
      <c r="F173" s="137">
        <f>SUMIF('BDC post TB'!B:B,Summary!A173,'BDC post TB'!J:J)</f>
        <v>137533559.91999999</v>
      </c>
      <c r="G173" s="137">
        <f>SUMIF('SBIC post TB(Closed)'!B:B,Summary!A173,'SBIC post TB(Closed)'!J:J)</f>
        <v>0</v>
      </c>
      <c r="H173" s="137">
        <f>SUMIF('SBICII post TB (closed)'!B:B,Summary!A173,'SBICII post TB (closed)'!J:J)</f>
        <v>0</v>
      </c>
      <c r="I173" s="137">
        <f t="shared" si="45"/>
        <v>137533559.91999999</v>
      </c>
      <c r="J173" s="112"/>
      <c r="K173" s="112">
        <f>-G173</f>
        <v>0</v>
      </c>
      <c r="L173" s="145">
        <f>-H173</f>
        <v>0</v>
      </c>
      <c r="M173" s="146"/>
      <c r="N173" s="138">
        <f t="shared" si="55"/>
        <v>137533559.91999999</v>
      </c>
      <c r="O173" s="39"/>
      <c r="P173" s="39"/>
      <c r="Q173" s="137">
        <f t="shared" si="53"/>
        <v>0</v>
      </c>
    </row>
    <row r="174" spans="1:17">
      <c r="A174" t="str">
        <f t="shared" si="54"/>
        <v>READ Distributed - GP</v>
      </c>
      <c r="B174" t="s">
        <v>297</v>
      </c>
      <c r="C174" t="s">
        <v>298</v>
      </c>
      <c r="D174" t="s">
        <v>321</v>
      </c>
      <c r="E174"/>
      <c r="F174" s="137">
        <f>SUMIF('BDC post TB'!B:B,Summary!A174,'BDC post TB'!J:J)</f>
        <v>0</v>
      </c>
      <c r="G174" s="137">
        <f>SUMIF('SBIC post TB(Closed)'!B:B,Summary!A174,'SBIC post TB(Closed)'!J:J)</f>
        <v>0</v>
      </c>
      <c r="H174" s="137">
        <f>SUMIF('SBICII post TB (closed)'!B:B,Summary!A174,'SBICII post TB (closed)'!J:J)</f>
        <v>0</v>
      </c>
      <c r="I174" s="137">
        <f t="shared" ref="I174:I219" si="56">SUM(F174:H174)</f>
        <v>0</v>
      </c>
      <c r="J174" s="145">
        <f>-H174</f>
        <v>0</v>
      </c>
      <c r="K174" s="112">
        <f>-G174</f>
        <v>0</v>
      </c>
      <c r="L174" s="67"/>
      <c r="M174" s="67"/>
      <c r="N174" s="138">
        <f t="shared" si="55"/>
        <v>0</v>
      </c>
      <c r="O174" s="39"/>
      <c r="P174" s="39"/>
      <c r="Q174" s="137">
        <f t="shared" si="53"/>
        <v>0</v>
      </c>
    </row>
    <row r="175" spans="1:17">
      <c r="A175" t="str">
        <f t="shared" si="54"/>
        <v>READ Distributed - LP</v>
      </c>
      <c r="B175" t="s">
        <v>297</v>
      </c>
      <c r="C175" t="s">
        <v>298</v>
      </c>
      <c r="D175" t="s">
        <v>322</v>
      </c>
      <c r="E175"/>
      <c r="F175" s="137">
        <f>SUMIF('BDC post TB'!B:B,Summary!A175,'BDC post TB'!J:J)</f>
        <v>0</v>
      </c>
      <c r="G175" s="137">
        <f>SUMIF('SBIC post TB(Closed)'!B:B,Summary!A175,'SBIC post TB(Closed)'!J:J)</f>
        <v>0</v>
      </c>
      <c r="H175" s="137">
        <f>SUMIF('SBICII post TB (closed)'!B:B,Summary!A175,'SBICII post TB (closed)'!J:J)</f>
        <v>0</v>
      </c>
      <c r="I175" s="137">
        <f t="shared" si="56"/>
        <v>0</v>
      </c>
      <c r="J175" s="145">
        <f>-H175</f>
        <v>0</v>
      </c>
      <c r="K175" s="112">
        <f>-G175</f>
        <v>0</v>
      </c>
      <c r="L175" s="138"/>
      <c r="M175" s="138"/>
      <c r="N175" s="138">
        <f t="shared" si="55"/>
        <v>0</v>
      </c>
      <c r="O175" s="39"/>
      <c r="P175" s="39"/>
      <c r="Q175" s="137">
        <f t="shared" si="53"/>
        <v>0</v>
      </c>
    </row>
    <row r="176" spans="1:17">
      <c r="A176" t="str">
        <f t="shared" si="54"/>
        <v>Accumulated net realized gain loss on PIF – Distribution</v>
      </c>
      <c r="B176" t="s">
        <v>297</v>
      </c>
      <c r="C176" t="s">
        <v>298</v>
      </c>
      <c r="D176" t="s">
        <v>323</v>
      </c>
      <c r="E176"/>
      <c r="F176" s="137">
        <f>SUMIF('BDC post TB'!B:B,Summary!A176,'BDC post TB'!J:J)</f>
        <v>0</v>
      </c>
      <c r="G176" s="137">
        <f>SUMIF('SBIC post TB(Closed)'!B:B,Summary!A176,'SBIC post TB(Closed)'!J:J)</f>
        <v>0</v>
      </c>
      <c r="H176" s="137">
        <f>SUMIF('SBICII post TB (closed)'!B:B,Summary!A176,'SBICII post TB (closed)'!J:J)</f>
        <v>0</v>
      </c>
      <c r="I176" s="137">
        <f t="shared" si="56"/>
        <v>0</v>
      </c>
      <c r="J176" s="112"/>
      <c r="K176" s="112"/>
      <c r="L176" s="138"/>
      <c r="M176" s="138"/>
      <c r="N176" s="138">
        <f t="shared" si="55"/>
        <v>0</v>
      </c>
      <c r="O176" s="39"/>
      <c r="P176" s="39"/>
      <c r="Q176" s="137"/>
    </row>
    <row r="177" spans="1:17">
      <c r="A177" t="str">
        <f t="shared" si="54"/>
        <v>Change in Unrealized FX Gain/Loss</v>
      </c>
      <c r="B177" t="s">
        <v>324</v>
      </c>
      <c r="C177"/>
      <c r="D177" t="s">
        <v>325</v>
      </c>
      <c r="E177"/>
      <c r="F177" s="137">
        <f>SUMIF('BDC post TB'!B:B,Summary!A177,'BDC post TB'!J:J)</f>
        <v>-539181.28</v>
      </c>
      <c r="G177" s="137">
        <f>SUMIF('SBIC post TB(Closed)'!B:B,Summary!A177,'SBIC post TB(Closed)'!J:J)</f>
        <v>0</v>
      </c>
      <c r="H177" s="137">
        <f>SUMIF('SBICII post TB (closed)'!B:B,Summary!A177,'SBICII post TB (closed)'!J:J)</f>
        <v>0</v>
      </c>
      <c r="I177" s="137">
        <f t="shared" si="56"/>
        <v>-539181.28</v>
      </c>
      <c r="J177" s="68">
        <f>-978901.97+N19</f>
        <v>-991356.11</v>
      </c>
      <c r="K177" s="138"/>
      <c r="L177" s="67"/>
      <c r="M177" s="67"/>
      <c r="N177" s="138">
        <f t="shared" si="55"/>
        <v>-1530537.3900000001</v>
      </c>
      <c r="O177" s="39"/>
      <c r="P177" s="39" t="s">
        <v>47</v>
      </c>
      <c r="Q177" s="137">
        <f t="shared" ref="Q177:Q199" si="57">IF(AND(B177="Liabilities",N177&gt;0),N177,0)</f>
        <v>0</v>
      </c>
    </row>
    <row r="178" spans="1:17">
      <c r="A178" t="str">
        <f t="shared" si="54"/>
        <v>Change in Unrealized Price Gain/Loss</v>
      </c>
      <c r="B178" t="s">
        <v>324</v>
      </c>
      <c r="C178"/>
      <c r="D178" t="s">
        <v>326</v>
      </c>
      <c r="E178"/>
      <c r="F178" s="137">
        <f>SUMIF('BDC post TB'!B:B,Summary!A178,'BDC post TB'!J:J)</f>
        <v>55396008.719999999</v>
      </c>
      <c r="G178" s="137">
        <f>SUMIF('SBIC post TB(Closed)'!B:B,Summary!A178,'SBIC post TB(Closed)'!J:J)</f>
        <v>0</v>
      </c>
      <c r="H178" s="137">
        <f>SUMIF('SBICII post TB (closed)'!B:B,Summary!A178,'SBICII post TB (closed)'!J:J)</f>
        <v>0</v>
      </c>
      <c r="I178" s="137">
        <f t="shared" si="56"/>
        <v>55396008.719999999</v>
      </c>
      <c r="J178" s="147">
        <f>N20</f>
        <v>0</v>
      </c>
      <c r="K178" s="138">
        <f>N29</f>
        <v>0</v>
      </c>
      <c r="L178" s="67"/>
      <c r="M178" s="148"/>
      <c r="N178" s="138">
        <f t="shared" si="55"/>
        <v>55396008.719999999</v>
      </c>
      <c r="O178" s="39"/>
      <c r="P178" s="39" t="s">
        <v>47</v>
      </c>
      <c r="Q178" s="137">
        <f t="shared" si="57"/>
        <v>0</v>
      </c>
    </row>
    <row r="179" spans="1:17">
      <c r="A179" t="str">
        <f t="shared" si="54"/>
        <v>ChangeInAccruedInterestLong</v>
      </c>
      <c r="B179" t="s">
        <v>324</v>
      </c>
      <c r="C179"/>
      <c r="D179" t="s">
        <v>327</v>
      </c>
      <c r="E179"/>
      <c r="F179" s="137">
        <f>SUMIF('BDC post TB'!B:B,Summary!A179,'BDC post TB'!J:J)</f>
        <v>-3562044.38</v>
      </c>
      <c r="G179" s="137">
        <f>SUMIF('SBIC post TB(Closed)'!B:B,Summary!A179,'SBIC post TB(Closed)'!J:J)</f>
        <v>0</v>
      </c>
      <c r="H179" s="137">
        <f>SUMIF('SBICII post TB (closed)'!B:B,Summary!A179,'SBICII post TB (closed)'!J:J)</f>
        <v>0</v>
      </c>
      <c r="I179" s="137">
        <f t="shared" si="56"/>
        <v>-3562044.38</v>
      </c>
      <c r="J179" s="67"/>
      <c r="K179" s="67"/>
      <c r="L179" s="67"/>
      <c r="M179" s="67"/>
      <c r="N179" s="138">
        <f t="shared" si="55"/>
        <v>-3562044.38</v>
      </c>
      <c r="O179" s="39"/>
      <c r="P179" s="39" t="s">
        <v>7</v>
      </c>
      <c r="Q179" s="137">
        <f t="shared" si="57"/>
        <v>0</v>
      </c>
    </row>
    <row r="180" spans="1:17">
      <c r="A180" t="str">
        <f t="shared" si="54"/>
        <v>ChangeInOIDBasisLong</v>
      </c>
      <c r="B180" t="s">
        <v>324</v>
      </c>
      <c r="C180"/>
      <c r="D180" t="s">
        <v>328</v>
      </c>
      <c r="E180"/>
      <c r="F180" s="137">
        <f>SUMIF('BDC post TB'!B:B,Summary!A180,'BDC post TB'!J:J)</f>
        <v>0</v>
      </c>
      <c r="G180" s="137">
        <f>SUMIF('SBIC post TB(Closed)'!B:B,Summary!A180,'SBIC post TB(Closed)'!J:J)</f>
        <v>0</v>
      </c>
      <c r="H180" s="137">
        <f>SUMIF('SBICII post TB (closed)'!B:B,Summary!A180,'SBICII post TB (closed)'!J:J)</f>
        <v>0</v>
      </c>
      <c r="I180" s="137">
        <f t="shared" si="56"/>
        <v>0</v>
      </c>
      <c r="J180" s="67"/>
      <c r="K180" s="67"/>
      <c r="L180" s="67"/>
      <c r="M180" s="67"/>
      <c r="N180" s="138">
        <f t="shared" si="55"/>
        <v>0</v>
      </c>
      <c r="O180" s="39"/>
      <c r="P180" s="39" t="s">
        <v>7</v>
      </c>
      <c r="Q180" s="137">
        <f t="shared" si="57"/>
        <v>0</v>
      </c>
    </row>
    <row r="181" spans="1:17">
      <c r="A181" t="str">
        <f t="shared" si="54"/>
        <v>ChangeInRelativeDiscountBasisLong</v>
      </c>
      <c r="B181" t="s">
        <v>324</v>
      </c>
      <c r="C181"/>
      <c r="D181" t="s">
        <v>329</v>
      </c>
      <c r="E181"/>
      <c r="F181" s="137">
        <f>SUMIF('BDC post TB'!B:B,Summary!A181,'BDC post TB'!J:J)</f>
        <v>0</v>
      </c>
      <c r="G181" s="137">
        <f>SUMIF('SBIC post TB(Closed)'!B:B,Summary!A181,'SBIC post TB(Closed)'!J:J)</f>
        <v>0</v>
      </c>
      <c r="H181" s="137">
        <f>SUMIF('SBICII post TB (closed)'!B:B,Summary!A181,'SBICII post TB (closed)'!J:J)</f>
        <v>0</v>
      </c>
      <c r="I181" s="137">
        <f t="shared" si="56"/>
        <v>0</v>
      </c>
      <c r="J181" s="67"/>
      <c r="K181" s="67"/>
      <c r="L181" s="67"/>
      <c r="M181" s="67"/>
      <c r="N181" s="138">
        <f t="shared" si="55"/>
        <v>0</v>
      </c>
      <c r="O181" s="39"/>
      <c r="P181" s="39" t="s">
        <v>7</v>
      </c>
      <c r="Q181" s="137">
        <f t="shared" si="57"/>
        <v>0</v>
      </c>
    </row>
    <row r="182" spans="1:17">
      <c r="A182" t="str">
        <f t="shared" si="54"/>
        <v>ChangeInTotalDiscountBasisLong</v>
      </c>
      <c r="B182" t="s">
        <v>324</v>
      </c>
      <c r="C182"/>
      <c r="D182" t="s">
        <v>330</v>
      </c>
      <c r="E182"/>
      <c r="F182" s="137">
        <f>SUMIF('BDC post TB'!B:B,Summary!A182,'BDC post TB'!J:J)</f>
        <v>370966.62</v>
      </c>
      <c r="G182" s="137">
        <f>SUMIF('SBIC post TB(Closed)'!B:B,Summary!A182,'SBIC post TB(Closed)'!J:J)</f>
        <v>0</v>
      </c>
      <c r="H182" s="137">
        <f>SUMIF('SBICII post TB (closed)'!B:B,Summary!A182,'SBICII post TB (closed)'!J:J)</f>
        <v>0</v>
      </c>
      <c r="I182" s="137">
        <f t="shared" si="56"/>
        <v>370966.62</v>
      </c>
      <c r="J182" s="67"/>
      <c r="K182" s="67"/>
      <c r="L182" s="67"/>
      <c r="M182" s="67"/>
      <c r="N182" s="138">
        <f t="shared" si="55"/>
        <v>370966.62</v>
      </c>
      <c r="O182" s="39"/>
      <c r="P182" s="39" t="s">
        <v>7</v>
      </c>
      <c r="Q182" s="137">
        <f t="shared" si="57"/>
        <v>0</v>
      </c>
    </row>
    <row r="183" spans="1:17">
      <c r="A183" t="str">
        <f t="shared" si="54"/>
        <v>ChangeInUnfundedLiabilityAccruedInterestLong</v>
      </c>
      <c r="B183" t="s">
        <v>324</v>
      </c>
      <c r="C183"/>
      <c r="D183" t="s">
        <v>331</v>
      </c>
      <c r="E183"/>
      <c r="F183" s="137">
        <f>SUMIF('BDC post TB'!B:B,Summary!A183,'BDC post TB'!J:J)</f>
        <v>-31326.66</v>
      </c>
      <c r="G183" s="137">
        <f>SUMIF('SBIC post TB(Closed)'!B:B,Summary!A183,'SBIC post TB(Closed)'!J:J)</f>
        <v>0</v>
      </c>
      <c r="H183" s="137">
        <f>SUMIF('SBICII post TB (closed)'!B:B,Summary!A183,'SBICII post TB (closed)'!J:J)</f>
        <v>0</v>
      </c>
      <c r="I183" s="137">
        <f t="shared" ref="I183" si="58">SUM(F183:H183)</f>
        <v>-31326.66</v>
      </c>
      <c r="J183" s="67"/>
      <c r="K183" s="67"/>
      <c r="L183" s="67"/>
      <c r="M183" s="67"/>
      <c r="N183" s="138">
        <f t="shared" ref="N183" si="59">SUM(I183:M183)</f>
        <v>-31326.66</v>
      </c>
      <c r="O183" s="39"/>
      <c r="P183" s="39" t="s">
        <v>7</v>
      </c>
      <c r="Q183" s="137"/>
    </row>
    <row r="184" spans="1:17">
      <c r="A184" t="str">
        <f t="shared" si="54"/>
        <v>DelayedSettlementInterestReceipt</v>
      </c>
      <c r="B184" t="s">
        <v>324</v>
      </c>
      <c r="C184"/>
      <c r="D184" t="s">
        <v>332</v>
      </c>
      <c r="E184"/>
      <c r="F184" s="137">
        <f>SUMIF('BDC post TB'!B:B,Summary!A184,'BDC post TB'!J:J)</f>
        <v>0</v>
      </c>
      <c r="G184" s="137">
        <f>SUMIF('SBIC post TB(Closed)'!B:B,Summary!A184,'SBIC post TB(Closed)'!J:J)</f>
        <v>0</v>
      </c>
      <c r="H184" s="137">
        <f>SUMIF('SBICII post TB (closed)'!B:B,Summary!A184,'SBICII post TB (closed)'!J:J)</f>
        <v>0</v>
      </c>
      <c r="I184" s="137">
        <f t="shared" si="56"/>
        <v>0</v>
      </c>
      <c r="J184" s="67"/>
      <c r="K184" s="67"/>
      <c r="L184" s="67"/>
      <c r="M184" s="67"/>
      <c r="N184" s="138">
        <f t="shared" si="55"/>
        <v>0</v>
      </c>
      <c r="O184" s="39"/>
      <c r="P184" s="39" t="s">
        <v>7</v>
      </c>
      <c r="Q184" s="137">
        <f t="shared" si="57"/>
        <v>0</v>
      </c>
    </row>
    <row r="185" spans="1:17">
      <c r="A185" t="str">
        <f t="shared" si="54"/>
        <v>Dividend Income</v>
      </c>
      <c r="B185" t="s">
        <v>324</v>
      </c>
      <c r="C185"/>
      <c r="D185" t="s">
        <v>333</v>
      </c>
      <c r="E185"/>
      <c r="F185" s="137">
        <f>SUMIF('BDC post TB'!B:B,Summary!A185,'BDC post TB'!J:J)</f>
        <v>0</v>
      </c>
      <c r="G185" s="137">
        <f>SUMIF('SBIC post TB(Closed)'!B:B,Summary!A185,'SBIC post TB(Closed)'!J:J)</f>
        <v>0</v>
      </c>
      <c r="H185" s="137">
        <f>SUMIF('SBICII post TB (closed)'!B:B,Summary!A185,'SBICII post TB (closed)'!J:J)</f>
        <v>0</v>
      </c>
      <c r="I185" s="137">
        <f t="shared" si="56"/>
        <v>0</v>
      </c>
      <c r="J185" s="67"/>
      <c r="K185" s="67"/>
      <c r="L185" s="67"/>
      <c r="M185" s="67"/>
      <c r="N185" s="138">
        <f t="shared" si="55"/>
        <v>0</v>
      </c>
      <c r="O185" s="39"/>
      <c r="P185" s="39" t="s">
        <v>13</v>
      </c>
      <c r="Q185" s="137">
        <f t="shared" si="57"/>
        <v>0</v>
      </c>
    </row>
    <row r="186" spans="1:17">
      <c r="A186" t="str">
        <f t="shared" si="54"/>
        <v>Dividend Income - PSLF Membership</v>
      </c>
      <c r="B186" t="s">
        <v>324</v>
      </c>
      <c r="C186"/>
      <c r="D186" t="s">
        <v>334</v>
      </c>
      <c r="E186"/>
      <c r="F186" s="137">
        <f>SUMIF('BDC post TB'!B:B,Summary!A186,'BDC post TB'!J:J)</f>
        <v>-4183813</v>
      </c>
      <c r="G186" s="137">
        <f>SUMIF('SBIC post TB(Closed)'!B:B,Summary!A186,'SBIC post TB(Closed)'!J:J)</f>
        <v>0</v>
      </c>
      <c r="H186" s="137">
        <f>SUMIF('SBICII post TB (closed)'!B:B,Summary!A186,'SBICII post TB (closed)'!J:J)</f>
        <v>0</v>
      </c>
      <c r="I186" s="137">
        <f>SUM(F186:H186)</f>
        <v>-4183813</v>
      </c>
      <c r="J186" s="67"/>
      <c r="K186" s="67"/>
      <c r="L186" s="67"/>
      <c r="M186" s="67"/>
      <c r="N186" s="138">
        <f t="shared" si="55"/>
        <v>-4183813</v>
      </c>
      <c r="O186" s="39"/>
      <c r="P186" s="39" t="s">
        <v>104</v>
      </c>
      <c r="Q186" s="137"/>
    </row>
    <row r="187" spans="1:17">
      <c r="A187" t="str">
        <f t="shared" si="54"/>
        <v>Dividend Income - PTSF II Membership</v>
      </c>
      <c r="B187" t="s">
        <v>324</v>
      </c>
      <c r="C187"/>
      <c r="D187" t="s">
        <v>335</v>
      </c>
      <c r="E187"/>
      <c r="F187" s="137">
        <f>SUMIF('BDC post TB'!B:B,Summary!A187,'BDC post TB'!J:J)</f>
        <v>-230769</v>
      </c>
      <c r="G187" s="137">
        <f>SUMIF('SBIC post TB(Closed)'!B:B,Summary!A187,'SBIC post TB(Closed)'!J:J)</f>
        <v>0</v>
      </c>
      <c r="H187" s="137">
        <f>SUMIF('SBICII post TB (closed)'!B:B,Summary!A187,'SBICII post TB (closed)'!J:J)</f>
        <v>0</v>
      </c>
      <c r="I187" s="137">
        <f t="shared" ref="I187:I189" si="60">SUM(F187:H187)</f>
        <v>-230769</v>
      </c>
      <c r="J187" s="67"/>
      <c r="K187" s="67"/>
      <c r="L187" s="67"/>
      <c r="M187" s="67"/>
      <c r="N187" s="138">
        <f t="shared" ref="N187:N189" si="61">SUM(I187:M187)</f>
        <v>-230769</v>
      </c>
      <c r="O187" s="39"/>
      <c r="P187" s="39" t="s">
        <v>106</v>
      </c>
      <c r="Q187" s="137"/>
    </row>
    <row r="188" spans="1:17">
      <c r="A188" t="str">
        <f t="shared" si="54"/>
        <v>DividendReceipt</v>
      </c>
      <c r="B188" t="s">
        <v>324</v>
      </c>
      <c r="C188"/>
      <c r="D188" t="s">
        <v>336</v>
      </c>
      <c r="E188"/>
      <c r="F188" s="137">
        <f>SUMIF('BDC post TB'!B:B,Summary!A188,'BDC post TB'!J:J)</f>
        <v>0</v>
      </c>
      <c r="G188" s="137">
        <f>SUMIF('SBIC post TB(Closed)'!B:B,Summary!A188,'SBIC post TB(Closed)'!J:J)</f>
        <v>0</v>
      </c>
      <c r="H188" s="137">
        <f>SUMIF('SBICII post TB (closed)'!B:B,Summary!A188,'SBICII post TB (closed)'!J:J)</f>
        <v>0</v>
      </c>
      <c r="I188" s="137">
        <f t="shared" si="60"/>
        <v>0</v>
      </c>
      <c r="J188" s="67"/>
      <c r="K188" s="67"/>
      <c r="L188" s="67"/>
      <c r="M188" s="67"/>
      <c r="N188" s="138">
        <f t="shared" si="61"/>
        <v>0</v>
      </c>
      <c r="O188" s="39"/>
      <c r="P188" s="39" t="s">
        <v>13</v>
      </c>
      <c r="Q188" s="137">
        <f t="shared" si="57"/>
        <v>0</v>
      </c>
    </row>
    <row r="189" spans="1:17">
      <c r="A189" t="str">
        <f t="shared" si="54"/>
        <v>Dividend Distribution Income</v>
      </c>
      <c r="B189" t="s">
        <v>324</v>
      </c>
      <c r="C189"/>
      <c r="D189" t="s">
        <v>109</v>
      </c>
      <c r="E189"/>
      <c r="F189" s="137">
        <f>SUMIF('BDC post TB'!B:B,Summary!A189,'BDC post TB'!J:J)</f>
        <v>-12103.97</v>
      </c>
      <c r="G189" s="137">
        <f>SUMIF('SBIC post TB(Closed)'!B:B,Summary!A189,'SBIC post TB(Closed)'!J:J)</f>
        <v>0</v>
      </c>
      <c r="H189" s="137">
        <f>SUMIF('SBICII post TB (closed)'!B:B,Summary!A189,'SBICII post TB (closed)'!J:J)</f>
        <v>0</v>
      </c>
      <c r="I189" s="137">
        <f t="shared" si="60"/>
        <v>-12103.97</v>
      </c>
      <c r="J189" s="67"/>
      <c r="K189" s="67"/>
      <c r="L189" s="67"/>
      <c r="M189" s="67"/>
      <c r="N189" s="138">
        <f t="shared" si="61"/>
        <v>-12103.97</v>
      </c>
      <c r="O189" s="39"/>
      <c r="P189" s="39" t="s">
        <v>108</v>
      </c>
      <c r="Q189" s="137"/>
    </row>
    <row r="190" spans="1:17">
      <c r="A190" t="str">
        <f t="shared" si="54"/>
        <v>Equity Pick Up - Ordinary Income</v>
      </c>
      <c r="B190" t="s">
        <v>324</v>
      </c>
      <c r="C190"/>
      <c r="D190" t="s">
        <v>337</v>
      </c>
      <c r="E190"/>
      <c r="F190" s="137">
        <f>SUMIF('BDC post TB'!B:B,Summary!A190,'BDC post TB'!J:J)</f>
        <v>0</v>
      </c>
      <c r="G190" s="137">
        <f>SUMIF('SBIC post TB(Closed)'!B:B,Summary!A190,'SBIC post TB(Closed)'!J:J)</f>
        <v>0</v>
      </c>
      <c r="H190" s="137">
        <f>SUMIF('SBICII post TB (closed)'!B:B,Summary!A190,'SBICII post TB (closed)'!J:J)</f>
        <v>0</v>
      </c>
      <c r="I190" s="137">
        <f t="shared" si="56"/>
        <v>0</v>
      </c>
      <c r="J190" s="67"/>
      <c r="K190" s="67"/>
      <c r="L190" s="145">
        <f>-I190</f>
        <v>0</v>
      </c>
      <c r="M190" s="138"/>
      <c r="N190" s="138">
        <f t="shared" si="55"/>
        <v>0</v>
      </c>
      <c r="O190" s="39"/>
      <c r="P190" s="39" t="s">
        <v>338</v>
      </c>
      <c r="Q190" s="137">
        <f t="shared" si="57"/>
        <v>0</v>
      </c>
    </row>
    <row r="191" spans="1:17">
      <c r="A191" t="str">
        <f t="shared" si="54"/>
        <v>Equity Pick Up - Realized Income</v>
      </c>
      <c r="B191" t="s">
        <v>324</v>
      </c>
      <c r="C191"/>
      <c r="D191" t="s">
        <v>339</v>
      </c>
      <c r="E191"/>
      <c r="F191" s="137">
        <f>SUMIF('BDC post TB'!B:B,Summary!A191,'BDC post TB'!J:J)</f>
        <v>0</v>
      </c>
      <c r="G191" s="137">
        <f>SUMIF('SBIC post TB(Closed)'!B:B,Summary!A191,'SBIC post TB(Closed)'!J:J)</f>
        <v>0</v>
      </c>
      <c r="H191" s="137">
        <f>SUMIF('SBICII post TB (closed)'!B:B,Summary!A191,'SBICII post TB (closed)'!J:J)</f>
        <v>0</v>
      </c>
      <c r="I191" s="137">
        <f t="shared" si="56"/>
        <v>0</v>
      </c>
      <c r="J191" s="67"/>
      <c r="K191" s="67"/>
      <c r="L191" s="145">
        <f>-I191</f>
        <v>0</v>
      </c>
      <c r="M191" s="138"/>
      <c r="N191" s="138">
        <f t="shared" si="55"/>
        <v>0</v>
      </c>
      <c r="O191" s="39"/>
      <c r="P191" s="39" t="s">
        <v>338</v>
      </c>
      <c r="Q191" s="137">
        <f t="shared" si="57"/>
        <v>0</v>
      </c>
    </row>
    <row r="192" spans="1:17">
      <c r="A192" t="str">
        <f t="shared" si="54"/>
        <v>Equity Pick Up - Unrealized Income</v>
      </c>
      <c r="B192" t="s">
        <v>324</v>
      </c>
      <c r="C192"/>
      <c r="D192" t="s">
        <v>340</v>
      </c>
      <c r="E192"/>
      <c r="F192" s="137">
        <f>SUMIF('BDC post TB'!B:B,Summary!A192,'BDC post TB'!J:J)</f>
        <v>0</v>
      </c>
      <c r="G192" s="137">
        <f>SUMIF('SBIC post TB(Closed)'!B:B,Summary!A192,'SBIC post TB(Closed)'!J:J)</f>
        <v>0</v>
      </c>
      <c r="H192" s="137">
        <f>SUMIF('SBICII post TB (closed)'!B:B,Summary!A192,'SBICII post TB (closed)'!J:J)</f>
        <v>0</v>
      </c>
      <c r="I192" s="137">
        <f t="shared" si="56"/>
        <v>0</v>
      </c>
      <c r="J192" s="67"/>
      <c r="K192" s="67"/>
      <c r="L192" s="145">
        <f>-I192</f>
        <v>0</v>
      </c>
      <c r="M192" s="138"/>
      <c r="N192" s="138">
        <f t="shared" si="55"/>
        <v>0</v>
      </c>
      <c r="O192" s="39"/>
      <c r="P192" s="39" t="s">
        <v>338</v>
      </c>
      <c r="Q192" s="137">
        <f t="shared" si="57"/>
        <v>0</v>
      </c>
    </row>
    <row r="193" spans="1:17">
      <c r="A193" t="str">
        <f t="shared" si="54"/>
        <v>Interest Domestic Paydown</v>
      </c>
      <c r="B193" t="s">
        <v>324</v>
      </c>
      <c r="C193"/>
      <c r="D193" t="s">
        <v>341</v>
      </c>
      <c r="E193"/>
      <c r="F193" s="137">
        <f>SUMIF('BDC post TB'!B:B,Summary!A193,'BDC post TB'!J:J)</f>
        <v>101149.27</v>
      </c>
      <c r="G193" s="137">
        <f>SUMIF('SBIC post TB(Closed)'!B:B,Summary!A193,'SBIC post TB(Closed)'!J:J)</f>
        <v>0</v>
      </c>
      <c r="H193" s="137">
        <f>SUMIF('SBICII post TB (closed)'!B:B,Summary!A193,'SBICII post TB (closed)'!J:J)</f>
        <v>0</v>
      </c>
      <c r="I193" s="137">
        <f t="shared" si="56"/>
        <v>101149.27</v>
      </c>
      <c r="J193" s="67"/>
      <c r="K193" s="67"/>
      <c r="L193" s="67"/>
      <c r="M193" s="67"/>
      <c r="N193" s="138">
        <f t="shared" si="55"/>
        <v>101149.27</v>
      </c>
      <c r="O193" s="39"/>
      <c r="P193" s="39" t="s">
        <v>7</v>
      </c>
      <c r="Q193" s="137">
        <f t="shared" si="57"/>
        <v>0</v>
      </c>
    </row>
    <row r="194" spans="1:17">
      <c r="A194" t="str">
        <f t="shared" si="54"/>
        <v>Interest Income</v>
      </c>
      <c r="B194" t="s">
        <v>324</v>
      </c>
      <c r="C194"/>
      <c r="D194" t="s">
        <v>342</v>
      </c>
      <c r="E194"/>
      <c r="F194" s="137">
        <f>SUMIF('BDC post TB'!B:B,Summary!A194,'BDC post TB'!J:J)</f>
        <v>0</v>
      </c>
      <c r="G194" s="137">
        <f>SUMIF('SBIC post TB(Closed)'!B:B,Summary!A194,'SBIC post TB(Closed)'!J:J)</f>
        <v>0</v>
      </c>
      <c r="H194" s="137">
        <f>SUMIF('SBICII post TB (closed)'!B:B,Summary!A194,'SBICII post TB (closed)'!J:J)</f>
        <v>0</v>
      </c>
      <c r="I194" s="137">
        <f t="shared" si="56"/>
        <v>0</v>
      </c>
      <c r="J194" s="67"/>
      <c r="K194" s="67"/>
      <c r="L194" s="67"/>
      <c r="M194" s="67"/>
      <c r="N194" s="138">
        <f t="shared" si="55"/>
        <v>0</v>
      </c>
      <c r="O194" s="39"/>
      <c r="P194" s="39" t="s">
        <v>7</v>
      </c>
      <c r="Q194" s="137">
        <f t="shared" si="57"/>
        <v>0</v>
      </c>
    </row>
    <row r="195" spans="1:17">
      <c r="A195" t="str">
        <f t="shared" si="54"/>
        <v>Interest Income Sweep</v>
      </c>
      <c r="B195" t="s">
        <v>324</v>
      </c>
      <c r="C195"/>
      <c r="D195" t="s">
        <v>343</v>
      </c>
      <c r="E195"/>
      <c r="F195" s="137">
        <f>SUMIF('BDC post TB'!B:B,Summary!A195,'BDC post TB'!J:J)</f>
        <v>-401351.24</v>
      </c>
      <c r="G195" s="137">
        <f>SUMIF('SBIC post TB(Closed)'!B:B,Summary!A195,'SBIC post TB(Closed)'!J:J)</f>
        <v>0</v>
      </c>
      <c r="H195" s="137">
        <f>SUMIF('SBICII post TB (closed)'!B:B,Summary!A195,'SBICII post TB (closed)'!J:J)</f>
        <v>0</v>
      </c>
      <c r="I195" s="137">
        <f t="shared" si="56"/>
        <v>-401351.24</v>
      </c>
      <c r="J195" s="67"/>
      <c r="K195" s="67"/>
      <c r="L195" s="67"/>
      <c r="M195" s="67"/>
      <c r="N195" s="138">
        <f t="shared" si="55"/>
        <v>-401351.24</v>
      </c>
      <c r="O195" s="39"/>
      <c r="P195" s="39" t="s">
        <v>7</v>
      </c>
      <c r="Q195" s="137">
        <f t="shared" si="57"/>
        <v>0</v>
      </c>
    </row>
    <row r="196" spans="1:17">
      <c r="A196" t="str">
        <f>CONCATENATE(D196,E196)</f>
        <v>Sweep Interest Income</v>
      </c>
      <c r="B196" t="s">
        <v>324</v>
      </c>
      <c r="C196"/>
      <c r="D196" t="s">
        <v>344</v>
      </c>
      <c r="E196"/>
      <c r="F196" s="137">
        <f>SUMIF('BDC post TB'!B:B,Summary!A196,'BDC post TB'!J:J)</f>
        <v>0</v>
      </c>
      <c r="G196" s="137">
        <f>SUMIF('SBIC post TB(Closed)'!B:B,Summary!A196,'SBIC post TB(Closed)'!J:J)</f>
        <v>0</v>
      </c>
      <c r="H196" s="137">
        <f>SUMIF('SBICII post TB (closed)'!B:B,Summary!A196,'SBICII post TB (closed)'!J:J)</f>
        <v>0</v>
      </c>
      <c r="I196" s="137">
        <f t="shared" si="56"/>
        <v>0</v>
      </c>
      <c r="J196" s="67"/>
      <c r="K196" s="67"/>
      <c r="L196" s="67"/>
      <c r="M196" s="67"/>
      <c r="N196" s="138">
        <f t="shared" si="55"/>
        <v>0</v>
      </c>
      <c r="O196" s="39"/>
      <c r="P196" s="39" t="s">
        <v>7</v>
      </c>
      <c r="Q196" s="137">
        <f t="shared" si="57"/>
        <v>0</v>
      </c>
    </row>
    <row r="197" spans="1:17">
      <c r="A197" t="str">
        <f t="shared" si="54"/>
        <v>InterestReceipt</v>
      </c>
      <c r="B197" t="s">
        <v>324</v>
      </c>
      <c r="C197"/>
      <c r="D197" t="s">
        <v>345</v>
      </c>
      <c r="E197"/>
      <c r="F197" s="137">
        <f>SUMIF('BDC post TB'!B:B,Summary!A197,'BDC post TB'!J:J)</f>
        <v>-25092965.25</v>
      </c>
      <c r="G197" s="137">
        <f>SUMIF('SBIC post TB(Closed)'!B:B,Summary!A197,'SBIC post TB(Closed)'!J:J)</f>
        <v>0</v>
      </c>
      <c r="H197" s="137">
        <f>SUMIF('SBICII post TB (closed)'!B:B,Summary!A197,'SBICII post TB (closed)'!J:J)</f>
        <v>0</v>
      </c>
      <c r="I197" s="137">
        <f t="shared" si="56"/>
        <v>-25092965.25</v>
      </c>
      <c r="J197" s="67"/>
      <c r="K197" s="67"/>
      <c r="L197" s="67"/>
      <c r="M197" s="124"/>
      <c r="N197" s="138">
        <f t="shared" si="55"/>
        <v>-25092965.25</v>
      </c>
      <c r="O197" s="39"/>
      <c r="P197" s="39" t="s">
        <v>7</v>
      </c>
      <c r="Q197" s="137">
        <f t="shared" si="57"/>
        <v>0</v>
      </c>
    </row>
    <row r="198" spans="1:17">
      <c r="A198" t="str">
        <f t="shared" si="54"/>
        <v>ChangeInPIKAccruedInterestLong</v>
      </c>
      <c r="B198" t="s">
        <v>324</v>
      </c>
      <c r="C198"/>
      <c r="D198" t="s">
        <v>346</v>
      </c>
      <c r="E198"/>
      <c r="F198" s="137">
        <f>SUMIF('BDC post TB'!B:B,Summary!A198,'BDC post TB'!J:J)</f>
        <v>0</v>
      </c>
      <c r="G198" s="137">
        <f>SUMIF('SBIC post TB(Closed)'!B:B,Summary!A198,'SBIC post TB(Closed)'!J:J)</f>
        <v>0</v>
      </c>
      <c r="H198" s="137">
        <f>SUMIF('SBICII post TB (closed)'!B:B,Summary!A198,'SBICII post TB (closed)'!J:J)</f>
        <v>0</v>
      </c>
      <c r="I198" s="137">
        <f t="shared" si="56"/>
        <v>0</v>
      </c>
      <c r="J198" s="67"/>
      <c r="K198" s="67"/>
      <c r="L198" s="67"/>
      <c r="M198" s="67"/>
      <c r="N198" s="138">
        <f t="shared" si="55"/>
        <v>0</v>
      </c>
      <c r="O198" s="39"/>
      <c r="P198" s="39" t="s">
        <v>7</v>
      </c>
      <c r="Q198" s="137">
        <f t="shared" si="57"/>
        <v>0</v>
      </c>
    </row>
    <row r="199" spans="1:17">
      <c r="A199" t="str">
        <f>CONCATENATE(D199,E199)</f>
        <v>PIKReceipt</v>
      </c>
      <c r="B199" t="s">
        <v>324</v>
      </c>
      <c r="C199"/>
      <c r="D199" t="s">
        <v>347</v>
      </c>
      <c r="E199"/>
      <c r="F199" s="137">
        <f>SUMIF('BDC post TB'!B:B,Summary!A199,'BDC post TB'!J:J)</f>
        <v>0</v>
      </c>
      <c r="G199" s="137">
        <f>SUMIF('SBIC post TB(Closed)'!B:B,Summary!A199,'SBIC post TB(Closed)'!J:J)</f>
        <v>0</v>
      </c>
      <c r="H199" s="137">
        <f>SUMIF('SBICII post TB (closed)'!B:B,Summary!A199,'SBICII post TB (closed)'!J:J)</f>
        <v>0</v>
      </c>
      <c r="I199" s="137">
        <f t="shared" si="56"/>
        <v>0</v>
      </c>
      <c r="J199" s="67"/>
      <c r="K199" s="67"/>
      <c r="L199" s="67"/>
      <c r="M199" s="67"/>
      <c r="N199" s="138">
        <f t="shared" si="55"/>
        <v>0</v>
      </c>
      <c r="O199" s="39"/>
      <c r="P199" s="39" t="s">
        <v>7</v>
      </c>
      <c r="Q199" s="137">
        <f t="shared" si="57"/>
        <v>0</v>
      </c>
    </row>
    <row r="200" spans="1:17">
      <c r="A200" t="str">
        <f t="shared" si="54"/>
        <v>Long Term Capital Gain</v>
      </c>
      <c r="B200" t="s">
        <v>324</v>
      </c>
      <c r="C200"/>
      <c r="D200" t="s">
        <v>348</v>
      </c>
      <c r="E200"/>
      <c r="F200" s="137">
        <f>SUMIF('BDC post TB'!B:B,Summary!A200,'BDC post TB'!J:J)</f>
        <v>0</v>
      </c>
      <c r="G200" s="137">
        <f>SUMIF('SBIC post TB(Closed)'!B:B,Summary!A200,'SBIC post TB(Closed)'!J:J)</f>
        <v>0</v>
      </c>
      <c r="H200" s="137">
        <f>SUMIF('SBICII post TB (closed)'!B:B,Summary!A200,'SBICII post TB (closed)'!J:J)</f>
        <v>0</v>
      </c>
      <c r="I200" s="137">
        <f t="shared" si="56"/>
        <v>0</v>
      </c>
      <c r="J200" s="67"/>
      <c r="K200" s="67"/>
      <c r="L200" s="67"/>
      <c r="M200" s="67"/>
      <c r="N200" s="138">
        <f t="shared" si="55"/>
        <v>0</v>
      </c>
      <c r="O200" s="39"/>
      <c r="P200" s="39" t="s">
        <v>128</v>
      </c>
      <c r="Q200" s="137"/>
    </row>
    <row r="201" spans="1:17">
      <c r="A201" t="str">
        <f t="shared" si="54"/>
        <v>LongTermPriceGainLoss</v>
      </c>
      <c r="B201" t="s">
        <v>324</v>
      </c>
      <c r="C201"/>
      <c r="D201" t="s">
        <v>349</v>
      </c>
      <c r="E201"/>
      <c r="F201" s="137">
        <f>SUMIF('BDC post TB'!B:B,Summary!A201,'BDC post TB'!J:J)</f>
        <v>-59791529.549999997</v>
      </c>
      <c r="G201" s="137">
        <f>SUMIF('SBIC post TB(Closed)'!B:B,Summary!A201,'SBIC post TB(Closed)'!J:J)</f>
        <v>0</v>
      </c>
      <c r="H201" s="137">
        <f>SUMIF('SBICII post TB (closed)'!B:B,Summary!A201,'SBICII post TB (closed)'!J:J)</f>
        <v>0</v>
      </c>
      <c r="I201" s="137">
        <f t="shared" si="56"/>
        <v>-59791529.549999997</v>
      </c>
      <c r="J201" s="67"/>
      <c r="K201" s="67"/>
      <c r="L201" s="67"/>
      <c r="M201" s="67"/>
      <c r="N201" s="138">
        <f t="shared" si="55"/>
        <v>-59791529.549999997</v>
      </c>
      <c r="O201" s="39"/>
      <c r="P201" s="39" t="s">
        <v>128</v>
      </c>
      <c r="Q201" s="137">
        <f>IF(AND(B201="Liabilities",N201&gt;0),N201,0)</f>
        <v>0</v>
      </c>
    </row>
    <row r="202" spans="1:17">
      <c r="A202" t="str">
        <f t="shared" si="54"/>
        <v>LongTermPriceGainLossonDebt</v>
      </c>
      <c r="B202" t="s">
        <v>324</v>
      </c>
      <c r="C202"/>
      <c r="D202" t="s">
        <v>350</v>
      </c>
      <c r="E202"/>
      <c r="F202" s="137">
        <f>SUMIF('BDC post TB'!B:B,Summary!A202,'BDC post TB'!J:J)</f>
        <v>0</v>
      </c>
      <c r="G202" s="137">
        <f>SUMIF('SBIC post TB(Closed)'!B:B,Summary!A202,'SBIC post TB(Closed)'!J:J)</f>
        <v>0</v>
      </c>
      <c r="H202" s="137">
        <f>SUMIF('SBICII post TB (closed)'!B:B,Summary!A202,'SBICII post TB (closed)'!J:J)</f>
        <v>0</v>
      </c>
      <c r="I202" s="137">
        <f>SUM(F202:H202)</f>
        <v>0</v>
      </c>
      <c r="J202" s="67"/>
      <c r="K202" s="67"/>
      <c r="L202" s="67"/>
      <c r="M202" s="67"/>
      <c r="N202" s="138">
        <f t="shared" si="55"/>
        <v>0</v>
      </c>
      <c r="O202" s="39"/>
      <c r="P202" s="39" t="s">
        <v>131</v>
      </c>
      <c r="Q202" s="137">
        <f>IF(AND(B202="Liabilities",N202&gt;0),N202,0)</f>
        <v>0</v>
      </c>
    </row>
    <row r="203" spans="1:17">
      <c r="A203" t="str">
        <f t="shared" si="54"/>
        <v>MToMPriceGL</v>
      </c>
      <c r="B203" t="s">
        <v>324</v>
      </c>
      <c r="C203"/>
      <c r="D203" t="s">
        <v>351</v>
      </c>
      <c r="E203"/>
      <c r="F203" s="137">
        <f>SUMIF('BDC post TB'!B:B,Summary!A203,'BDC post TB'!J:J)</f>
        <v>0</v>
      </c>
      <c r="G203" s="137">
        <f>SUMIF('SBIC post TB(Closed)'!B:B,Summary!A203,'SBIC post TB(Closed)'!J:J)</f>
        <v>0</v>
      </c>
      <c r="H203" s="137">
        <f>SUMIF('SBICII post TB (closed)'!B:B,Summary!A203,'SBICII post TB (closed)'!J:J)</f>
        <v>0</v>
      </c>
      <c r="I203" s="137">
        <f t="shared" si="56"/>
        <v>0</v>
      </c>
      <c r="J203" s="147">
        <f>-J178</f>
        <v>0</v>
      </c>
      <c r="K203" s="67"/>
      <c r="L203" s="67"/>
      <c r="M203" s="67"/>
      <c r="N203" s="138">
        <f t="shared" si="55"/>
        <v>0</v>
      </c>
      <c r="O203" s="39"/>
      <c r="P203" s="39" t="s">
        <v>49</v>
      </c>
      <c r="Q203" s="137">
        <f>IF(AND(B203="Liabilities",N203&gt;0),N203,0)</f>
        <v>0</v>
      </c>
    </row>
    <row r="204" spans="1:17">
      <c r="A204" t="str">
        <f t="shared" si="54"/>
        <v>Misc Income</v>
      </c>
      <c r="B204" t="s">
        <v>324</v>
      </c>
      <c r="C204"/>
      <c r="D204" t="s">
        <v>352</v>
      </c>
      <c r="E204"/>
      <c r="F204" s="137">
        <f>SUMIF('BDC post TB'!B:B,Summary!A204,'BDC post TB'!J:J)</f>
        <v>0</v>
      </c>
      <c r="G204" s="137">
        <f>SUMIF('SBIC post TB(Closed)'!B:B,Summary!A204,'SBIC post TB(Closed)'!J:J)</f>
        <v>0</v>
      </c>
      <c r="H204" s="137">
        <f>SUMIF('SBICII post TB (closed)'!B:B,Summary!A204,'SBICII post TB (closed)'!J:J)</f>
        <v>0</v>
      </c>
      <c r="I204" s="137">
        <f>SUM(F204:H204)</f>
        <v>0</v>
      </c>
      <c r="J204" s="138"/>
      <c r="K204" s="67"/>
      <c r="L204" s="67"/>
      <c r="M204" s="67"/>
      <c r="N204" s="138">
        <f t="shared" si="55"/>
        <v>0</v>
      </c>
      <c r="O204" s="39"/>
      <c r="P204" s="39" t="s">
        <v>7</v>
      </c>
      <c r="Q204" s="137"/>
    </row>
    <row r="205" spans="1:17">
      <c r="A205" t="str">
        <f t="shared" si="54"/>
        <v>OIDAmortizationIncome</v>
      </c>
      <c r="B205" t="s">
        <v>324</v>
      </c>
      <c r="C205"/>
      <c r="D205" t="s">
        <v>353</v>
      </c>
      <c r="E205"/>
      <c r="F205" s="137">
        <f>SUMIF('BDC post TB'!B:B,Summary!A205,'BDC post TB'!J:J)</f>
        <v>0</v>
      </c>
      <c r="G205" s="137">
        <f>SUMIF('SBIC post TB(Closed)'!B:B,Summary!A205,'SBIC post TB(Closed)'!J:J)</f>
        <v>0</v>
      </c>
      <c r="H205" s="137">
        <f>SUMIF('SBICII post TB (closed)'!B:B,Summary!A205,'SBICII post TB (closed)'!J:J)</f>
        <v>0</v>
      </c>
      <c r="I205" s="137">
        <f t="shared" si="56"/>
        <v>0</v>
      </c>
      <c r="J205" s="67"/>
      <c r="K205" s="67"/>
      <c r="L205" s="67"/>
      <c r="M205" s="67"/>
      <c r="N205" s="138">
        <f t="shared" si="55"/>
        <v>0</v>
      </c>
      <c r="O205" s="39"/>
      <c r="P205" s="39" t="s">
        <v>7</v>
      </c>
      <c r="Q205" s="137">
        <f>IF(AND(B205="Liabilities",N205&gt;0),N205,0)</f>
        <v>0</v>
      </c>
    </row>
    <row r="206" spans="1:17">
      <c r="A206" t="str">
        <f t="shared" si="54"/>
        <v>PIK Other Income</v>
      </c>
      <c r="B206" t="s">
        <v>324</v>
      </c>
      <c r="C206"/>
      <c r="D206" t="s">
        <v>354</v>
      </c>
      <c r="E206"/>
      <c r="F206" s="137">
        <f>SUMIF('BDC post TB'!B:B,Summary!A206,'BDC post TB'!J:J)</f>
        <v>0</v>
      </c>
      <c r="G206" s="137">
        <f>SUMIF('SBIC post TB(Closed)'!B:B,Summary!A206,'SBIC post TB(Closed)'!J:J)</f>
        <v>0</v>
      </c>
      <c r="H206" s="137">
        <f>SUMIF('SBICII post TB (closed)'!B:B,Summary!A206,'SBICII post TB (closed)'!J:J)</f>
        <v>0</v>
      </c>
      <c r="I206" s="137">
        <f t="shared" si="56"/>
        <v>0</v>
      </c>
      <c r="J206" s="67"/>
      <c r="K206" s="67"/>
      <c r="L206" s="67"/>
      <c r="M206" s="67"/>
      <c r="N206" s="138">
        <f t="shared" si="55"/>
        <v>0</v>
      </c>
      <c r="O206" s="39"/>
      <c r="P206" s="39" t="s">
        <v>13</v>
      </c>
      <c r="Q206" s="137">
        <f>IF(AND(B206="Liabilities",N206&gt;0),N206,0)</f>
        <v>0</v>
      </c>
    </row>
    <row r="207" spans="1:17">
      <c r="A207" t="str">
        <f>CONCATENATE(D207,E207)</f>
        <v>PIK Interest Income</v>
      </c>
      <c r="B207" t="s">
        <v>324</v>
      </c>
      <c r="C207"/>
      <c r="D207" t="s">
        <v>355</v>
      </c>
      <c r="E207"/>
      <c r="F207" s="137">
        <f>SUMIF('BDC post TB'!B:B,Summary!A207,'BDC post TB'!J:J)</f>
        <v>0</v>
      </c>
      <c r="G207" s="137">
        <f>SUMIF('SBIC post TB(Closed)'!B:B,Summary!A207,'SBIC post TB(Closed)'!J:J)</f>
        <v>0</v>
      </c>
      <c r="H207" s="137">
        <f>SUMIF('SBICII post TB (closed)'!B:B,Summary!A207,'SBICII post TB (closed)'!J:J)</f>
        <v>0</v>
      </c>
      <c r="I207" s="137">
        <f t="shared" si="56"/>
        <v>0</v>
      </c>
      <c r="J207" s="67"/>
      <c r="K207" s="67"/>
      <c r="L207" s="67"/>
      <c r="M207" s="67"/>
      <c r="N207" s="138">
        <f t="shared" si="55"/>
        <v>0</v>
      </c>
      <c r="O207" s="39"/>
      <c r="P207" s="39" t="s">
        <v>7</v>
      </c>
      <c r="Q207" s="137"/>
    </row>
    <row r="208" spans="1:17">
      <c r="A208" t="str">
        <f t="shared" ref="A208:A215" si="62">CONCATENATE(D208,E208)</f>
        <v>Other Income</v>
      </c>
      <c r="B208" t="s">
        <v>324</v>
      </c>
      <c r="C208"/>
      <c r="D208" t="s">
        <v>356</v>
      </c>
      <c r="E208"/>
      <c r="F208" s="137">
        <f>SUMIF('BDC post TB'!B:B,Summary!A208,'BDC post TB'!J:J)</f>
        <v>-321890.07</v>
      </c>
      <c r="G208" s="137">
        <f>SUMIF('SBIC post TB(Closed)'!B:B,Summary!A208,'SBIC post TB(Closed)'!J:J)</f>
        <v>0</v>
      </c>
      <c r="H208" s="137">
        <f>SUMIF('SBICII post TB (closed)'!B:B,Summary!A208,'SBICII post TB (closed)'!J:J)</f>
        <v>0</v>
      </c>
      <c r="I208" s="137">
        <f t="shared" si="56"/>
        <v>-321890.07</v>
      </c>
      <c r="J208" s="67"/>
      <c r="K208" s="67"/>
      <c r="L208" s="67"/>
      <c r="M208" s="67"/>
      <c r="N208" s="138">
        <f t="shared" si="55"/>
        <v>-321890.07</v>
      </c>
      <c r="O208" s="39"/>
      <c r="P208" s="39" t="s">
        <v>13</v>
      </c>
      <c r="Q208" s="137">
        <f t="shared" ref="Q208:Q222" si="63">IF(AND(B208="Liabilities",N208&gt;0),N208,0)</f>
        <v>0</v>
      </c>
    </row>
    <row r="209" spans="1:17">
      <c r="A209" t="str">
        <f t="shared" si="62"/>
        <v>Reserve Income – Interest Income</v>
      </c>
      <c r="B209" t="s">
        <v>324</v>
      </c>
      <c r="C209"/>
      <c r="D209" t="s">
        <v>357</v>
      </c>
      <c r="E209"/>
      <c r="F209" s="137">
        <f>SUMIF('BDC post TB'!B:B,Summary!A209,'BDC post TB'!J:J)</f>
        <v>0</v>
      </c>
      <c r="G209" s="137">
        <f>SUMIF('SBIC post TB(Closed)'!B:B,Summary!A209,'SBIC post TB(Closed)'!J:J)</f>
        <v>0</v>
      </c>
      <c r="H209" s="137">
        <f>SUMIF('SBICII post TB (closed)'!B:B,Summary!A209,'SBICII post TB (closed)'!J:J)</f>
        <v>0</v>
      </c>
      <c r="I209" s="137">
        <f t="shared" ref="I209:I210" si="64">SUM(F209:H209)</f>
        <v>0</v>
      </c>
      <c r="J209" s="67"/>
      <c r="K209" s="67"/>
      <c r="L209" s="67"/>
      <c r="M209" s="67"/>
      <c r="N209" s="138">
        <f t="shared" ref="N209:N210" si="65">SUM(I209:M209)</f>
        <v>0</v>
      </c>
      <c r="O209" s="39"/>
      <c r="P209" s="39" t="s">
        <v>7</v>
      </c>
      <c r="Q209" s="137"/>
    </row>
    <row r="210" spans="1:17">
      <c r="A210" t="str">
        <f t="shared" si="62"/>
        <v>Prepayment Penalty Income</v>
      </c>
      <c r="B210" t="s">
        <v>324</v>
      </c>
      <c r="C210"/>
      <c r="D210" t="s">
        <v>358</v>
      </c>
      <c r="E210"/>
      <c r="F210" s="137">
        <f>SUMIF('BDC post TB'!B:B,Summary!A210,'BDC post TB'!J:J)</f>
        <v>0</v>
      </c>
      <c r="G210" s="137">
        <f>SUMIF('SBIC post TB(Closed)'!B:B,Summary!A210,'SBIC post TB(Closed)'!J:J)</f>
        <v>0</v>
      </c>
      <c r="H210" s="137">
        <f>SUMIF('SBICII post TB (closed)'!B:B,Summary!A210,'SBICII post TB (closed)'!J:J)</f>
        <v>0</v>
      </c>
      <c r="I210" s="137">
        <f t="shared" si="64"/>
        <v>0</v>
      </c>
      <c r="J210" s="67"/>
      <c r="K210" s="67"/>
      <c r="L210" s="67"/>
      <c r="M210" s="67"/>
      <c r="N210" s="138">
        <f t="shared" si="65"/>
        <v>0</v>
      </c>
      <c r="O210" s="39"/>
      <c r="P210" s="39" t="s">
        <v>13</v>
      </c>
      <c r="Q210" s="137">
        <f t="shared" si="63"/>
        <v>0</v>
      </c>
    </row>
    <row r="211" spans="1:17">
      <c r="A211" t="str">
        <f t="shared" si="62"/>
        <v>RelativeDiscountAmortizationIncome</v>
      </c>
      <c r="B211" t="s">
        <v>324</v>
      </c>
      <c r="C211"/>
      <c r="D211" t="s">
        <v>359</v>
      </c>
      <c r="E211"/>
      <c r="F211" s="137">
        <f>SUMIF('BDC post TB'!B:B,Summary!A211,'BDC post TB'!J:J)</f>
        <v>0</v>
      </c>
      <c r="G211" s="137">
        <f>SUMIF('SBIC post TB(Closed)'!B:B,Summary!A211,'SBIC post TB(Closed)'!J:J)</f>
        <v>0</v>
      </c>
      <c r="H211" s="137">
        <f>SUMIF('SBICII post TB (closed)'!B:B,Summary!A211,'SBICII post TB (closed)'!J:J)</f>
        <v>0</v>
      </c>
      <c r="I211" s="137">
        <f t="shared" si="56"/>
        <v>0</v>
      </c>
      <c r="J211" s="67"/>
      <c r="K211" s="67"/>
      <c r="L211" s="67"/>
      <c r="M211" s="67"/>
      <c r="N211" s="138">
        <f t="shared" si="55"/>
        <v>0</v>
      </c>
      <c r="O211" s="39"/>
      <c r="P211" s="39" t="s">
        <v>7</v>
      </c>
      <c r="Q211" s="137">
        <f t="shared" si="63"/>
        <v>0</v>
      </c>
    </row>
    <row r="212" spans="1:17">
      <c r="A212" t="str">
        <f t="shared" si="62"/>
        <v>Section988Income</v>
      </c>
      <c r="B212" t="s">
        <v>324</v>
      </c>
      <c r="C212"/>
      <c r="D212" t="s">
        <v>360</v>
      </c>
      <c r="E212"/>
      <c r="F212" s="137">
        <f>SUMIF('BDC post TB'!B:B,Summary!A212,'BDC post TB'!J:J)</f>
        <v>-13721</v>
      </c>
      <c r="G212" s="137">
        <f>SUMIF('SBIC post TB(Closed)'!B:B,Summary!A212,'SBIC post TB(Closed)'!J:J)</f>
        <v>0</v>
      </c>
      <c r="H212" s="137">
        <f>SUMIF('SBICII post TB (closed)'!B:B,Summary!A212,'SBICII post TB (closed)'!J:J)</f>
        <v>0</v>
      </c>
      <c r="I212" s="137">
        <f t="shared" si="56"/>
        <v>-13721</v>
      </c>
      <c r="J212" s="67"/>
      <c r="K212" s="67"/>
      <c r="L212" s="67"/>
      <c r="M212" s="67"/>
      <c r="N212" s="138">
        <f t="shared" si="55"/>
        <v>-13721</v>
      </c>
      <c r="O212" s="39"/>
      <c r="P212" s="39" t="s">
        <v>51</v>
      </c>
      <c r="Q212" s="137">
        <f t="shared" si="63"/>
        <v>0</v>
      </c>
    </row>
    <row r="213" spans="1:17">
      <c r="A213" t="str">
        <f t="shared" si="62"/>
        <v>ShortTermCurrencyGainLoss</v>
      </c>
      <c r="B213" t="s">
        <v>324</v>
      </c>
      <c r="C213"/>
      <c r="D213" t="s">
        <v>361</v>
      </c>
      <c r="E213"/>
      <c r="F213" s="137">
        <f>SUMIF('BDC post TB'!B:B,Summary!A213,'BDC post TB'!J:J)</f>
        <v>183816.7</v>
      </c>
      <c r="G213" s="137">
        <f>SUMIF('SBIC post TB(Closed)'!B:B,Summary!A213,'SBIC post TB(Closed)'!J:J)</f>
        <v>0</v>
      </c>
      <c r="H213" s="137">
        <f>SUMIF('SBICII post TB (closed)'!B:B,Summary!A213,'SBICII post TB (closed)'!J:J)</f>
        <v>0</v>
      </c>
      <c r="I213" s="137">
        <f t="shared" si="56"/>
        <v>183816.7</v>
      </c>
      <c r="J213" s="67"/>
      <c r="K213" s="67"/>
      <c r="L213" s="67"/>
      <c r="M213" s="67"/>
      <c r="N213" s="138">
        <f t="shared" si="55"/>
        <v>183816.7</v>
      </c>
      <c r="O213" s="39"/>
      <c r="P213" s="39" t="s">
        <v>51</v>
      </c>
      <c r="Q213" s="137">
        <f t="shared" si="63"/>
        <v>0</v>
      </c>
    </row>
    <row r="214" spans="1:17">
      <c r="A214" t="str">
        <f t="shared" si="62"/>
        <v>LongTermCurrencyGainLoss</v>
      </c>
      <c r="B214" t="s">
        <v>324</v>
      </c>
      <c r="C214"/>
      <c r="D214" t="s">
        <v>362</v>
      </c>
      <c r="E214"/>
      <c r="F214" s="137">
        <f>SUMIF('BDC post TB'!B:B,Summary!A214,'BDC post TB'!J:J)</f>
        <v>-0.96</v>
      </c>
      <c r="G214" s="137">
        <f>SUMIF('SBIC post TB(Closed)'!B:B,Summary!A214,'SBIC post TB(Closed)'!J:J)</f>
        <v>0</v>
      </c>
      <c r="H214" s="137">
        <f>SUMIF('SBICII post TB (closed)'!B:B,Summary!A214,'SBICII post TB (closed)'!J:J)</f>
        <v>0</v>
      </c>
      <c r="I214" s="137">
        <f t="shared" si="56"/>
        <v>-0.96</v>
      </c>
      <c r="J214" s="67"/>
      <c r="K214" s="67"/>
      <c r="L214" s="67"/>
      <c r="M214" s="67"/>
      <c r="N214" s="138">
        <f t="shared" si="55"/>
        <v>-0.96</v>
      </c>
      <c r="O214" s="39"/>
      <c r="P214" s="39" t="s">
        <v>51</v>
      </c>
      <c r="Q214" s="137">
        <f t="shared" si="63"/>
        <v>0</v>
      </c>
    </row>
    <row r="215" spans="1:17">
      <c r="A215" t="str">
        <f t="shared" si="62"/>
        <v>RelativePremiumAmortizationIncome</v>
      </c>
      <c r="B215" t="s">
        <v>324</v>
      </c>
      <c r="C215"/>
      <c r="D215" t="s">
        <v>363</v>
      </c>
      <c r="E215"/>
      <c r="F215" s="137">
        <f>SUMIF('BDC post TB'!B:B,Summary!A215,'BDC post TB'!J:J)</f>
        <v>0</v>
      </c>
      <c r="G215" s="137">
        <f>SUMIF('SBIC post TB(Closed)'!B:B,Summary!A215,'SBIC post TB(Closed)'!J:J)</f>
        <v>0</v>
      </c>
      <c r="H215" s="137">
        <f>SUMIF('SBICII post TB (closed)'!B:B,Summary!A215,'SBICII post TB (closed)'!J:J)</f>
        <v>0</v>
      </c>
      <c r="I215" s="137">
        <f t="shared" si="56"/>
        <v>0</v>
      </c>
      <c r="J215" s="67"/>
      <c r="K215" s="67"/>
      <c r="L215" s="67"/>
      <c r="M215" s="67"/>
      <c r="N215" s="138">
        <f t="shared" si="55"/>
        <v>0</v>
      </c>
      <c r="O215" s="39"/>
      <c r="P215" s="39" t="s">
        <v>7</v>
      </c>
      <c r="Q215" s="137">
        <f t="shared" si="63"/>
        <v>0</v>
      </c>
    </row>
    <row r="216" spans="1:17">
      <c r="A216" t="str">
        <f t="shared" si="54"/>
        <v>Reorg Amortization Income</v>
      </c>
      <c r="B216" t="s">
        <v>324</v>
      </c>
      <c r="C216"/>
      <c r="D216" t="s">
        <v>364</v>
      </c>
      <c r="E216"/>
      <c r="F216" s="137">
        <f>SUMIF('BDC post TB'!B:B,Summary!A216,'BDC post TB'!J:J)</f>
        <v>0</v>
      </c>
      <c r="G216" s="137">
        <f>SUMIF('SBIC post TB(Closed)'!B:B,Summary!A216,'SBIC post TB(Closed)'!J:J)</f>
        <v>0</v>
      </c>
      <c r="H216" s="137">
        <f>SUMIF('SBICII post TB (closed)'!B:B,Summary!A216,'SBICII post TB (closed)'!J:J)</f>
        <v>0</v>
      </c>
      <c r="I216" s="137">
        <f t="shared" si="56"/>
        <v>0</v>
      </c>
      <c r="J216" s="67"/>
      <c r="K216" s="67"/>
      <c r="L216" s="67"/>
      <c r="M216" s="67"/>
      <c r="N216" s="138">
        <f t="shared" si="55"/>
        <v>0</v>
      </c>
      <c r="O216" s="39"/>
      <c r="P216" s="39" t="s">
        <v>7</v>
      </c>
      <c r="Q216" s="137">
        <f t="shared" si="63"/>
        <v>0</v>
      </c>
    </row>
    <row r="217" spans="1:17">
      <c r="A217" t="str">
        <f t="shared" si="54"/>
        <v>ShortTermPriceGainLoss</v>
      </c>
      <c r="B217" t="s">
        <v>324</v>
      </c>
      <c r="C217"/>
      <c r="D217" t="s">
        <v>365</v>
      </c>
      <c r="E217"/>
      <c r="F217" s="137">
        <f>SUMIF('BDC post TB'!B:B,Summary!A217,'BDC post TB'!J:J)</f>
        <v>-722670.14</v>
      </c>
      <c r="G217" s="137">
        <f>SUMIF('SBIC post TB(Closed)'!B:B,Summary!A217,'SBIC post TB(Closed)'!J:J)</f>
        <v>0</v>
      </c>
      <c r="H217" s="137">
        <f>SUMIF('SBICII post TB (closed)'!B:B,Summary!A217,'SBICII post TB (closed)'!J:J)</f>
        <v>0</v>
      </c>
      <c r="I217" s="137">
        <f t="shared" si="56"/>
        <v>-722670.14</v>
      </c>
      <c r="J217" s="67"/>
      <c r="K217" s="67"/>
      <c r="L217" s="67"/>
      <c r="M217" s="67"/>
      <c r="N217" s="138">
        <f t="shared" si="55"/>
        <v>-722670.14</v>
      </c>
      <c r="O217" s="39"/>
      <c r="P217" s="39" t="s">
        <v>128</v>
      </c>
      <c r="Q217" s="137">
        <f t="shared" si="63"/>
        <v>0</v>
      </c>
    </row>
    <row r="218" spans="1:17">
      <c r="A218" t="str">
        <f t="shared" si="54"/>
        <v>SoldAccruedInterestReceipt</v>
      </c>
      <c r="B218" t="s">
        <v>324</v>
      </c>
      <c r="C218"/>
      <c r="D218" t="s">
        <v>366</v>
      </c>
      <c r="E218"/>
      <c r="F218" s="137">
        <f>SUMIF('BDC post TB'!B:B,Summary!A218,'BDC post TB'!J:J)</f>
        <v>-53041.919999999998</v>
      </c>
      <c r="G218" s="137">
        <f>SUMIF('SBIC post TB(Closed)'!B:B,Summary!A218,'SBIC post TB(Closed)'!J:J)</f>
        <v>0</v>
      </c>
      <c r="H218" s="137">
        <f>SUMIF('SBICII post TB (closed)'!B:B,Summary!A218,'SBICII post TB (closed)'!J:J)</f>
        <v>0</v>
      </c>
      <c r="I218" s="137">
        <f t="shared" si="56"/>
        <v>-53041.919999999998</v>
      </c>
      <c r="J218" s="67"/>
      <c r="K218" s="67"/>
      <c r="L218" s="67"/>
      <c r="M218" s="67"/>
      <c r="N218" s="138">
        <f t="shared" si="55"/>
        <v>-53041.919999999998</v>
      </c>
      <c r="O218" s="39"/>
      <c r="P218" s="39" t="s">
        <v>7</v>
      </c>
      <c r="Q218" s="137">
        <f t="shared" si="63"/>
        <v>0</v>
      </c>
    </row>
    <row r="219" spans="1:17">
      <c r="A219" t="str">
        <f t="shared" si="54"/>
        <v>TotalDiscountAmortizationIncome</v>
      </c>
      <c r="B219" t="s">
        <v>324</v>
      </c>
      <c r="C219"/>
      <c r="D219" t="s">
        <v>367</v>
      </c>
      <c r="E219"/>
      <c r="F219" s="137">
        <f>SUMIF('BDC post TB'!B:B,Summary!A219,'BDC post TB'!J:J)</f>
        <v>-746330.93</v>
      </c>
      <c r="G219" s="137">
        <f>SUMIF('SBIC post TB(Closed)'!B:B,Summary!A219,'SBIC post TB(Closed)'!J:J)</f>
        <v>0</v>
      </c>
      <c r="H219" s="137">
        <f>SUMIF('SBICII post TB (closed)'!B:B,Summary!A219,'SBICII post TB (closed)'!J:J)</f>
        <v>0</v>
      </c>
      <c r="I219" s="137">
        <f t="shared" si="56"/>
        <v>-746330.93</v>
      </c>
      <c r="J219" s="67"/>
      <c r="K219" s="67"/>
      <c r="L219" s="67"/>
      <c r="M219" s="67"/>
      <c r="N219" s="138">
        <f t="shared" si="55"/>
        <v>-746330.93</v>
      </c>
      <c r="O219" s="39"/>
      <c r="P219" s="39" t="s">
        <v>7</v>
      </c>
      <c r="Q219" s="137">
        <f t="shared" si="63"/>
        <v>0</v>
      </c>
    </row>
    <row r="220" spans="1:17">
      <c r="A220" t="str">
        <f t="shared" si="54"/>
        <v>UnfundedLiabilityInterestReceipt</v>
      </c>
      <c r="B220" t="s">
        <v>324</v>
      </c>
      <c r="C220"/>
      <c r="D220" t="s">
        <v>368</v>
      </c>
      <c r="E220"/>
      <c r="F220" s="137">
        <f>SUMIF('BDC post TB'!B:B,Summary!A220,'BDC post TB'!J:J)</f>
        <v>-287564.12</v>
      </c>
      <c r="G220" s="137">
        <f>SUMIF('SBIC post TB(Closed)'!B:B,Summary!A220,'SBIC post TB(Closed)'!J:J)</f>
        <v>0</v>
      </c>
      <c r="H220" s="137">
        <f>SUMIF('SBICII post TB (closed)'!B:B,Summary!A220,'SBICII post TB (closed)'!J:J)</f>
        <v>0</v>
      </c>
      <c r="I220" s="137">
        <f t="shared" ref="I220:I222" si="66">SUM(F220:H220)</f>
        <v>-287564.12</v>
      </c>
      <c r="J220" s="67"/>
      <c r="K220" s="67"/>
      <c r="L220" s="67"/>
      <c r="M220" s="67"/>
      <c r="N220" s="138">
        <f t="shared" ref="N220" si="67">SUM(I220:M220)</f>
        <v>-287564.12</v>
      </c>
      <c r="O220" s="39"/>
      <c r="P220" s="39" t="s">
        <v>7</v>
      </c>
      <c r="Q220" s="137"/>
    </row>
    <row r="221" spans="1:17" ht="15">
      <c r="A221" t="str">
        <f t="shared" si="54"/>
        <v>Unrealized App/Depp 2025 Bond</v>
      </c>
      <c r="B221" t="s">
        <v>324</v>
      </c>
      <c r="C221"/>
      <c r="D221" s="64" t="s">
        <v>369</v>
      </c>
      <c r="E221"/>
      <c r="F221" s="137">
        <f>SUMIF('BDC post TB'!B:B,Summary!A221,'BDC post TB'!J:J)</f>
        <v>0</v>
      </c>
      <c r="G221" s="137">
        <f>SUMIF('SBIC post TB(Closed)'!B:B,Summary!A221,'SBIC post TB(Closed)'!J:J)</f>
        <v>0</v>
      </c>
      <c r="H221" s="137">
        <f>SUMIF('SBICII post TB (closed)'!B:B,Summary!A221,'SBICII post TB (closed)'!J:J)</f>
        <v>0</v>
      </c>
      <c r="I221" s="137">
        <f t="shared" si="66"/>
        <v>0</v>
      </c>
      <c r="J221" s="67"/>
      <c r="K221" s="139"/>
      <c r="L221" s="67"/>
      <c r="M221" s="67"/>
      <c r="N221" s="138">
        <f t="shared" si="55"/>
        <v>0</v>
      </c>
      <c r="O221" s="39"/>
      <c r="P221" s="39" t="s">
        <v>49</v>
      </c>
      <c r="Q221" s="137">
        <f t="shared" si="63"/>
        <v>0</v>
      </c>
    </row>
    <row r="222" spans="1:17">
      <c r="A222" t="str">
        <f t="shared" si="54"/>
        <v>Unrealized gain/loss on Credit Facility</v>
      </c>
      <c r="B222" t="s">
        <v>324</v>
      </c>
      <c r="C222"/>
      <c r="D222" t="s">
        <v>370</v>
      </c>
      <c r="E222"/>
      <c r="F222" s="137">
        <f>SUMIF('BDC post TB'!B:B,Summary!A222,'BDC post TB'!J:J)</f>
        <v>0</v>
      </c>
      <c r="G222" s="137">
        <f>SUMIF('SBIC post TB(Closed)'!B:B,Summary!A222,'SBIC post TB(Closed)'!J:J)</f>
        <v>0</v>
      </c>
      <c r="H222" s="137">
        <f>SUMIF('SBICII post TB (closed)'!B:B,Summary!A222,'SBICII post TB (closed)'!J:J)</f>
        <v>0</v>
      </c>
      <c r="I222" s="137">
        <f t="shared" si="66"/>
        <v>0</v>
      </c>
      <c r="J222" s="68">
        <f>-J177</f>
        <v>991356.11</v>
      </c>
      <c r="K222" s="67"/>
      <c r="L222" s="67"/>
      <c r="M222" s="67"/>
      <c r="N222" s="138">
        <f t="shared" si="55"/>
        <v>991356.11</v>
      </c>
      <c r="O222" s="39"/>
      <c r="P222" s="39" t="s">
        <v>49</v>
      </c>
      <c r="Q222" s="137">
        <f t="shared" si="63"/>
        <v>0</v>
      </c>
    </row>
    <row r="223" spans="1:17">
      <c r="A223" t="str">
        <f t="shared" ref="A223:A265" si="68">CONCATENATE(D223,E223)</f>
        <v>Administration Expense</v>
      </c>
      <c r="B223" t="s">
        <v>371</v>
      </c>
      <c r="C223"/>
      <c r="D223" t="s">
        <v>372</v>
      </c>
      <c r="E223"/>
      <c r="F223" s="137">
        <f>SUMIF('BDC post TB'!B:B,Summary!A223,'BDC post TB'!J:J)</f>
        <v>0</v>
      </c>
      <c r="G223" s="137">
        <f>SUMIF('SBIC post TB(Closed)'!B:B,Summary!A223,'SBIC post TB(Closed)'!J:J)</f>
        <v>0</v>
      </c>
      <c r="H223" s="137">
        <f>SUMIF('SBICII post TB (closed)'!B:B,Summary!A223,'SBICII post TB (closed)'!J:J)</f>
        <v>0</v>
      </c>
      <c r="I223" s="137">
        <f t="shared" ref="I223:I254" si="69">SUM(F223:H223)</f>
        <v>0</v>
      </c>
      <c r="J223" s="67"/>
      <c r="K223" s="67"/>
      <c r="L223" s="67"/>
      <c r="M223" s="67"/>
      <c r="N223" s="138">
        <f t="shared" ref="N223:N254" si="70">SUM(I223:M223)</f>
        <v>0</v>
      </c>
      <c r="O223" s="39"/>
      <c r="P223" s="39" t="s">
        <v>29</v>
      </c>
      <c r="Q223" s="137">
        <f>IF(AND(B223="Liabilities",N223&gt;0),N223,0)</f>
        <v>0</v>
      </c>
    </row>
    <row r="224" spans="1:17">
      <c r="A224" t="str">
        <f t="shared" si="68"/>
        <v>PP Administration Expense</v>
      </c>
      <c r="B224" t="s">
        <v>371</v>
      </c>
      <c r="C224"/>
      <c r="D224" t="s">
        <v>373</v>
      </c>
      <c r="E224"/>
      <c r="F224" s="137">
        <f>SUMIF('BDC post TB'!B:B,Summary!A224,'BDC post TB'!J:J)</f>
        <v>500000</v>
      </c>
      <c r="G224" s="137">
        <f>SUMIF('SBIC post TB(Closed)'!B:B,Summary!A224,'SBIC post TB(Closed)'!J:J)</f>
        <v>0</v>
      </c>
      <c r="H224" s="137">
        <f>SUMIF('SBICII post TB (closed)'!B:B,Summary!A224,'SBICII post TB (closed)'!J:J)</f>
        <v>0</v>
      </c>
      <c r="I224" s="137">
        <f t="shared" si="69"/>
        <v>500000</v>
      </c>
      <c r="J224" s="67"/>
      <c r="K224" s="67"/>
      <c r="L224" s="67"/>
      <c r="M224" s="67"/>
      <c r="N224" s="138">
        <f t="shared" si="70"/>
        <v>500000</v>
      </c>
      <c r="O224" s="39"/>
      <c r="P224" s="39" t="s">
        <v>29</v>
      </c>
      <c r="Q224" s="137"/>
    </row>
    <row r="225" spans="1:17">
      <c r="A225" t="str">
        <f t="shared" si="68"/>
        <v>Advisor Fee Expense</v>
      </c>
      <c r="B225" t="s">
        <v>371</v>
      </c>
      <c r="C225"/>
      <c r="D225" t="s">
        <v>374</v>
      </c>
      <c r="E225"/>
      <c r="F225" s="137">
        <f>SUMIF('BDC post TB'!B:B,Summary!A225,'BDC post TB'!J:J)</f>
        <v>100000</v>
      </c>
      <c r="G225" s="137">
        <f>SUMIF('SBIC post TB(Closed)'!B:B,Summary!A225,'SBIC post TB(Closed)'!J:J)</f>
        <v>0</v>
      </c>
      <c r="H225" s="137">
        <f>SUMIF('SBICII post TB (closed)'!B:B,Summary!A225,'SBICII post TB (closed)'!J:J)</f>
        <v>0</v>
      </c>
      <c r="I225" s="137">
        <f t="shared" si="69"/>
        <v>100000</v>
      </c>
      <c r="J225" s="67"/>
      <c r="K225" s="67"/>
      <c r="L225" s="67"/>
      <c r="M225" s="67"/>
      <c r="N225" s="138">
        <f t="shared" si="70"/>
        <v>100000</v>
      </c>
      <c r="O225" s="39"/>
      <c r="P225" s="39" t="s">
        <v>31</v>
      </c>
      <c r="Q225" s="137">
        <f>IF(AND(B225="Liabilities",N225&gt;0),N225,0)</f>
        <v>0</v>
      </c>
    </row>
    <row r="226" spans="1:17">
      <c r="A226" t="str">
        <f t="shared" si="68"/>
        <v>Audit Fee Expense</v>
      </c>
      <c r="B226" t="s">
        <v>371</v>
      </c>
      <c r="C226"/>
      <c r="D226" t="s">
        <v>375</v>
      </c>
      <c r="E226"/>
      <c r="F226" s="137">
        <f>SUMIF('BDC post TB'!B:B,Summary!A226,'BDC post TB'!J:J)</f>
        <v>0</v>
      </c>
      <c r="G226" s="137">
        <f>SUMIF('SBIC post TB(Closed)'!B:B,Summary!A226,'SBIC post TB(Closed)'!J:J)</f>
        <v>0</v>
      </c>
      <c r="H226" s="137">
        <f>SUMIF('SBICII post TB (closed)'!B:B,Summary!A226,'SBICII post TB (closed)'!J:J)</f>
        <v>0</v>
      </c>
      <c r="I226" s="137">
        <f t="shared" si="69"/>
        <v>0</v>
      </c>
      <c r="J226" s="67"/>
      <c r="K226" s="67"/>
      <c r="L226" s="67"/>
      <c r="M226" s="67"/>
      <c r="N226" s="138">
        <f t="shared" si="70"/>
        <v>0</v>
      </c>
      <c r="O226" s="39"/>
      <c r="P226" s="39" t="s">
        <v>31</v>
      </c>
      <c r="Q226" s="137">
        <f>IF(AND(B226="Liabilities",N226&gt;0),N226,0)</f>
        <v>0</v>
      </c>
    </row>
    <row r="227" spans="1:17">
      <c r="A227" t="str">
        <f t="shared" si="68"/>
        <v>BNY Administration Exp</v>
      </c>
      <c r="B227" t="s">
        <v>371</v>
      </c>
      <c r="C227"/>
      <c r="D227" t="s">
        <v>376</v>
      </c>
      <c r="E227"/>
      <c r="F227" s="137">
        <f>SUMIF('BDC post TB'!B:B,Summary!A227,'BDC post TB'!J:J)</f>
        <v>100000</v>
      </c>
      <c r="G227" s="137">
        <f>SUMIF('SBIC post TB(Closed)'!B:B,Summary!A227,'SBIC post TB(Closed)'!J:J)</f>
        <v>0</v>
      </c>
      <c r="H227" s="137">
        <f>SUMIF('SBICII post TB (closed)'!B:B,Summary!A227,'SBICII post TB (closed)'!J:J)</f>
        <v>0</v>
      </c>
      <c r="I227" s="137">
        <f t="shared" si="69"/>
        <v>100000</v>
      </c>
      <c r="J227" s="67"/>
      <c r="K227" s="67"/>
      <c r="L227" s="67"/>
      <c r="M227" s="67"/>
      <c r="N227" s="138">
        <f t="shared" si="70"/>
        <v>100000</v>
      </c>
      <c r="O227" s="39"/>
      <c r="P227" s="39" t="s">
        <v>29</v>
      </c>
      <c r="Q227" s="137"/>
    </row>
    <row r="228" spans="1:17">
      <c r="A228" t="str">
        <f t="shared" si="68"/>
        <v>ChangeInAccruedInterestShort</v>
      </c>
      <c r="B228" t="s">
        <v>371</v>
      </c>
      <c r="C228"/>
      <c r="D228" t="s">
        <v>377</v>
      </c>
      <c r="E228"/>
      <c r="F228" s="137">
        <f>SUMIF('BDC post TB'!B:B,Summary!A228,'BDC post TB'!J:J)</f>
        <v>-1951393.07</v>
      </c>
      <c r="G228" s="137">
        <f>SUMIF('SBIC post TB(Closed)'!B:B,Summary!A228,'SBIC post TB(Closed)'!J:J)</f>
        <v>0</v>
      </c>
      <c r="H228" s="137">
        <f>SUMIF('SBICII post TB (closed)'!B:B,Summary!A228,'SBICII post TB (closed)'!J:J)</f>
        <v>0</v>
      </c>
      <c r="I228" s="137">
        <f t="shared" si="69"/>
        <v>-1951393.07</v>
      </c>
      <c r="J228" s="67"/>
      <c r="K228" s="67"/>
      <c r="L228" s="67"/>
      <c r="M228" s="67"/>
      <c r="N228" s="138">
        <f t="shared" si="70"/>
        <v>-1951393.07</v>
      </c>
      <c r="O228" s="39"/>
      <c r="P228" s="39" t="s">
        <v>27</v>
      </c>
      <c r="Q228" s="137">
        <f>IF(AND(B228="Liabilities",N228&gt;0),N228,0)</f>
        <v>0</v>
      </c>
    </row>
    <row r="229" spans="1:17">
      <c r="A229" t="str">
        <f t="shared" si="68"/>
        <v>ChangeInOIDBasisShort</v>
      </c>
      <c r="B229" t="s">
        <v>371</v>
      </c>
      <c r="C229"/>
      <c r="D229" t="s">
        <v>378</v>
      </c>
      <c r="E229"/>
      <c r="F229" s="137">
        <f>SUMIF('BDC post TB'!B:B,Summary!A229,'BDC post TB'!J:J)</f>
        <v>0</v>
      </c>
      <c r="G229" s="137">
        <f>SUMIF('SBIC post TB(Closed)'!B:B,Summary!A229,'SBIC post TB(Closed)'!J:J)</f>
        <v>0</v>
      </c>
      <c r="H229" s="137">
        <f>SUMIF('SBICII post TB (closed)'!B:B,Summary!A229,'SBICII post TB (closed)'!J:J)</f>
        <v>0</v>
      </c>
      <c r="I229" s="137">
        <f t="shared" si="69"/>
        <v>0</v>
      </c>
      <c r="J229" s="67"/>
      <c r="K229" s="67"/>
      <c r="L229" s="67"/>
      <c r="M229" s="67"/>
      <c r="N229" s="138">
        <f t="shared" si="70"/>
        <v>0</v>
      </c>
      <c r="O229" s="39"/>
      <c r="P229" s="39" t="s">
        <v>27</v>
      </c>
      <c r="Q229" s="137"/>
    </row>
    <row r="230" spans="1:17">
      <c r="A230" t="str">
        <f t="shared" si="68"/>
        <v>CONSULTING FEES Expense</v>
      </c>
      <c r="B230" t="s">
        <v>371</v>
      </c>
      <c r="C230"/>
      <c r="D230" t="s">
        <v>379</v>
      </c>
      <c r="E230"/>
      <c r="F230" s="137">
        <f>SUMIF('BDC post TB'!B:B,Summary!A230,'BDC post TB'!J:J)</f>
        <v>0</v>
      </c>
      <c r="G230" s="137">
        <f>SUMIF('SBIC post TB(Closed)'!B:B,Summary!A230,'SBIC post TB(Closed)'!J:J)</f>
        <v>0</v>
      </c>
      <c r="H230" s="137">
        <f>SUMIF('SBICII post TB (closed)'!B:B,Summary!A230,'SBICII post TB (closed)'!J:J)</f>
        <v>0</v>
      </c>
      <c r="I230" s="137">
        <f t="shared" ref="I230:I232" si="71">SUM(F230:H230)</f>
        <v>0</v>
      </c>
      <c r="J230" s="67"/>
      <c r="K230" s="67"/>
      <c r="L230" s="67"/>
      <c r="M230" s="67"/>
      <c r="N230" s="138">
        <f t="shared" ref="N230:N232" si="72">SUM(I230:M230)</f>
        <v>0</v>
      </c>
      <c r="O230" s="39"/>
      <c r="P230" s="39" t="s">
        <v>31</v>
      </c>
      <c r="Q230" s="137">
        <f t="shared" ref="Q230:Q239" si="73">IF(AND(B230="Liabilities",N230&gt;0),N230,0)</f>
        <v>0</v>
      </c>
    </row>
    <row r="231" spans="1:17">
      <c r="A231" t="str">
        <f t="shared" si="68"/>
        <v>ChangeInRelativePremiumBasisLong</v>
      </c>
      <c r="B231" t="s">
        <v>371</v>
      </c>
      <c r="C231"/>
      <c r="D231" t="s">
        <v>380</v>
      </c>
      <c r="E231"/>
      <c r="F231" s="137">
        <f>SUMIF('BDC post TB'!B:B,Summary!A231,'BDC post TB'!J:J)</f>
        <v>0</v>
      </c>
      <c r="G231" s="137">
        <f>SUMIF('SBIC post TB(Closed)'!B:B,Summary!A231,'SBIC post TB(Closed)'!J:J)</f>
        <v>0</v>
      </c>
      <c r="H231" s="137">
        <f>SUMIF('SBICII post TB (closed)'!B:B,Summary!A231,'SBICII post TB (closed)'!J:J)</f>
        <v>0</v>
      </c>
      <c r="I231" s="137">
        <f t="shared" si="71"/>
        <v>0</v>
      </c>
      <c r="J231" s="67"/>
      <c r="K231" s="67"/>
      <c r="L231" s="67"/>
      <c r="M231" s="67"/>
      <c r="N231" s="138">
        <f t="shared" si="72"/>
        <v>0</v>
      </c>
      <c r="O231" s="39"/>
      <c r="P231" s="39" t="s">
        <v>7</v>
      </c>
      <c r="Q231" s="137">
        <f t="shared" si="73"/>
        <v>0</v>
      </c>
    </row>
    <row r="232" spans="1:17">
      <c r="A232" t="str">
        <f t="shared" si="68"/>
        <v>ChangeInTotalDiscountBasisShort</v>
      </c>
      <c r="B232" t="s">
        <v>371</v>
      </c>
      <c r="C232"/>
      <c r="D232" t="s">
        <v>381</v>
      </c>
      <c r="E232"/>
      <c r="F232" s="137">
        <f>SUMIF('BDC post TB'!B:B,Summary!A232,'BDC post TB'!J:J)</f>
        <v>0</v>
      </c>
      <c r="G232" s="137">
        <f>SUMIF('SBIC post TB(Closed)'!B:B,Summary!A232,'SBIC post TB(Closed)'!J:J)</f>
        <v>0</v>
      </c>
      <c r="H232" s="137">
        <f>SUMIF('SBICII post TB (closed)'!B:B,Summary!A232,'SBICII post TB (closed)'!J:J)</f>
        <v>0</v>
      </c>
      <c r="I232" s="137">
        <f t="shared" si="71"/>
        <v>0</v>
      </c>
      <c r="J232" s="67"/>
      <c r="K232" s="67"/>
      <c r="L232" s="67"/>
      <c r="M232" s="67"/>
      <c r="N232" s="138">
        <f t="shared" si="72"/>
        <v>0</v>
      </c>
      <c r="O232" s="39"/>
      <c r="P232" s="39" t="s">
        <v>7</v>
      </c>
      <c r="Q232" s="137"/>
    </row>
    <row r="233" spans="1:17">
      <c r="A233" t="str">
        <f t="shared" si="68"/>
        <v>ChangeInTotalPremiumBasisLong</v>
      </c>
      <c r="B233" t="s">
        <v>371</v>
      </c>
      <c r="C233"/>
      <c r="D233" t="s">
        <v>382</v>
      </c>
      <c r="E233"/>
      <c r="F233" s="137">
        <f>SUMIF('BDC post TB'!B:B,Summary!A233,'BDC post TB'!J:J)</f>
        <v>26818.31</v>
      </c>
      <c r="G233" s="137">
        <f>SUMIF('SBIC post TB(Closed)'!B:B,Summary!A233,'SBIC post TB(Closed)'!J:J)</f>
        <v>0</v>
      </c>
      <c r="H233" s="137">
        <f>SUMIF('SBICII post TB (closed)'!B:B,Summary!A233,'SBICII post TB (closed)'!J:J)</f>
        <v>0</v>
      </c>
      <c r="I233" s="137">
        <f t="shared" si="69"/>
        <v>26818.31</v>
      </c>
      <c r="J233" s="67"/>
      <c r="K233" s="67"/>
      <c r="L233" s="67"/>
      <c r="M233" s="67"/>
      <c r="N233" s="138">
        <f t="shared" si="70"/>
        <v>26818.31</v>
      </c>
      <c r="O233" s="39"/>
      <c r="P233" s="39" t="s">
        <v>7</v>
      </c>
      <c r="Q233" s="137">
        <f t="shared" si="73"/>
        <v>0</v>
      </c>
    </row>
    <row r="234" spans="1:17">
      <c r="A234" t="str">
        <f t="shared" si="68"/>
        <v>Credit Facility Fee</v>
      </c>
      <c r="B234" t="s">
        <v>371</v>
      </c>
      <c r="C234"/>
      <c r="D234" t="s">
        <v>383</v>
      </c>
      <c r="E234"/>
      <c r="F234" s="137">
        <f>SUMIF('BDC post TB'!B:B,Summary!A234,'BDC post TB'!J:J)</f>
        <v>0</v>
      </c>
      <c r="G234" s="137">
        <f>SUMIF('SBIC post TB(Closed)'!B:B,Summary!A234,'SBIC post TB(Closed)'!J:J)</f>
        <v>0</v>
      </c>
      <c r="H234" s="137">
        <f>SUMIF('SBICII post TB (closed)'!B:B,Summary!A234,'SBICII post TB (closed)'!J:J)</f>
        <v>0</v>
      </c>
      <c r="I234" s="137">
        <f t="shared" si="69"/>
        <v>0</v>
      </c>
      <c r="J234" s="67"/>
      <c r="K234" s="67"/>
      <c r="L234" s="67"/>
      <c r="M234" s="67"/>
      <c r="N234" s="138">
        <f t="shared" si="70"/>
        <v>0</v>
      </c>
      <c r="O234" s="39"/>
      <c r="P234" s="39" t="s">
        <v>123</v>
      </c>
      <c r="Q234" s="137">
        <f t="shared" si="73"/>
        <v>0</v>
      </c>
    </row>
    <row r="235" spans="1:17">
      <c r="A235" t="str">
        <f t="shared" si="68"/>
        <v>Commitment Fee Expense</v>
      </c>
      <c r="B235" t="s">
        <v>371</v>
      </c>
      <c r="C235"/>
      <c r="D235" t="s">
        <v>384</v>
      </c>
      <c r="E235"/>
      <c r="F235" s="137">
        <f>SUMIF('BDC post TB'!B:B,Summary!A235,'BDC post TB'!J:J)</f>
        <v>182634.33</v>
      </c>
      <c r="G235" s="137">
        <f>SUMIF('SBIC post TB(Closed)'!B:B,Summary!A235,'SBIC post TB(Closed)'!J:J)</f>
        <v>0</v>
      </c>
      <c r="H235" s="137">
        <f>SUMIF('SBICII post TB (closed)'!B:B,Summary!A235,'SBICII post TB (closed)'!J:J)</f>
        <v>0</v>
      </c>
      <c r="I235" s="137">
        <f t="shared" si="69"/>
        <v>182634.33</v>
      </c>
      <c r="J235" s="67"/>
      <c r="K235" s="67"/>
      <c r="L235" s="67"/>
      <c r="M235" s="67"/>
      <c r="N235" s="138">
        <f t="shared" si="70"/>
        <v>182634.33</v>
      </c>
      <c r="O235" s="39"/>
      <c r="P235" s="39" t="s">
        <v>27</v>
      </c>
      <c r="Q235" s="137">
        <f t="shared" si="73"/>
        <v>0</v>
      </c>
    </row>
    <row r="236" spans="1:17">
      <c r="A236" t="str">
        <f t="shared" si="68"/>
        <v>Credit Facility -  Financing and Arrangement Expenses</v>
      </c>
      <c r="B236" t="s">
        <v>371</v>
      </c>
      <c r="C236"/>
      <c r="D236" t="s">
        <v>385</v>
      </c>
      <c r="E236"/>
      <c r="F236" s="137">
        <f>SUMIF('BDC post TB'!B:B,Summary!A236,'BDC post TB'!J:J)</f>
        <v>3771757.7</v>
      </c>
      <c r="G236" s="137">
        <f>SUMIF('SBIC post TB(Closed)'!B:B,Summary!A236,'SBIC post TB(Closed)'!J:J)</f>
        <v>0</v>
      </c>
      <c r="H236" s="137">
        <f>SUMIF('SBICII post TB (closed)'!B:B,Summary!A236,'SBICII post TB (closed)'!J:J)</f>
        <v>0</v>
      </c>
      <c r="I236" s="137">
        <f t="shared" si="69"/>
        <v>3771757.7</v>
      </c>
      <c r="J236" s="67"/>
      <c r="K236" s="67"/>
      <c r="L236" s="67"/>
      <c r="M236" s="67"/>
      <c r="N236" s="138">
        <f t="shared" si="70"/>
        <v>3771757.7</v>
      </c>
      <c r="O236" s="39"/>
      <c r="P236" s="39" t="s">
        <v>123</v>
      </c>
      <c r="Q236" s="137">
        <f t="shared" si="73"/>
        <v>0</v>
      </c>
    </row>
    <row r="237" spans="1:17">
      <c r="A237" t="str">
        <f t="shared" si="68"/>
        <v>Credit Facility - Legal Expense</v>
      </c>
      <c r="B237" t="s">
        <v>371</v>
      </c>
      <c r="C237"/>
      <c r="D237" t="s">
        <v>386</v>
      </c>
      <c r="E237"/>
      <c r="F237" s="137">
        <f>SUMIF('BDC post TB'!B:B,Summary!A237,'BDC post TB'!J:J)</f>
        <v>133105.92000000001</v>
      </c>
      <c r="G237" s="137">
        <f>SUMIF('SBIC post TB(Closed)'!B:B,Summary!A237,'SBIC post TB(Closed)'!J:J)</f>
        <v>0</v>
      </c>
      <c r="H237" s="137">
        <f>SUMIF('SBICII post TB (closed)'!B:B,Summary!A237,'SBICII post TB (closed)'!J:J)</f>
        <v>0</v>
      </c>
      <c r="I237" s="137">
        <f t="shared" si="69"/>
        <v>133105.92000000001</v>
      </c>
      <c r="J237" s="67"/>
      <c r="K237" s="67"/>
      <c r="L237" s="67"/>
      <c r="M237" s="67"/>
      <c r="N237" s="138">
        <f t="shared" si="70"/>
        <v>133105.92000000001</v>
      </c>
      <c r="O237" s="39"/>
      <c r="P237" s="39" t="s">
        <v>123</v>
      </c>
      <c r="Q237" s="137">
        <f t="shared" si="73"/>
        <v>0</v>
      </c>
    </row>
    <row r="238" spans="1:17">
      <c r="A238" t="str">
        <f t="shared" si="68"/>
        <v>Credit Facilty Interest Expense</v>
      </c>
      <c r="B238" t="s">
        <v>371</v>
      </c>
      <c r="C238"/>
      <c r="D238" t="s">
        <v>387</v>
      </c>
      <c r="E238"/>
      <c r="F238" s="137">
        <f>SUMIF('BDC post TB'!B:B,Summary!A238,'BDC post TB'!J:J)</f>
        <v>6881022.5800000001</v>
      </c>
      <c r="G238" s="137">
        <f>SUMIF('SBIC post TB(Closed)'!B:B,Summary!A238,'SBIC post TB(Closed)'!J:J)</f>
        <v>0</v>
      </c>
      <c r="H238" s="137">
        <f>SUMIF('SBICII post TB (closed)'!B:B,Summary!A238,'SBICII post TB (closed)'!J:J)</f>
        <v>0</v>
      </c>
      <c r="I238" s="137">
        <f t="shared" si="69"/>
        <v>6881022.5800000001</v>
      </c>
      <c r="J238" s="67"/>
      <c r="K238" s="67"/>
      <c r="L238" s="67"/>
      <c r="M238" s="67"/>
      <c r="N238" s="138">
        <f t="shared" si="70"/>
        <v>6881022.5800000001</v>
      </c>
      <c r="O238" s="39"/>
      <c r="P238" s="39" t="s">
        <v>27</v>
      </c>
      <c r="Q238" s="137">
        <f t="shared" si="73"/>
        <v>0</v>
      </c>
    </row>
    <row r="239" spans="1:17">
      <c r="A239" t="str">
        <f t="shared" si="68"/>
        <v>Custodian Fees</v>
      </c>
      <c r="B239" t="s">
        <v>371</v>
      </c>
      <c r="C239"/>
      <c r="D239" t="s">
        <v>388</v>
      </c>
      <c r="E239"/>
      <c r="F239" s="137">
        <f>SUMIF('BDC post TB'!B:B,Summary!A239,'BDC post TB'!J:J)</f>
        <v>13333.32</v>
      </c>
      <c r="G239" s="137">
        <f>SUMIF('SBIC post TB(Closed)'!B:B,Summary!A239,'SBIC post TB(Closed)'!J:J)</f>
        <v>0</v>
      </c>
      <c r="H239" s="137">
        <f>SUMIF('SBICII post TB (closed)'!B:B,Summary!A239,'SBICII post TB (closed)'!J:J)</f>
        <v>0</v>
      </c>
      <c r="I239" s="137">
        <f t="shared" si="69"/>
        <v>13333.32</v>
      </c>
      <c r="J239" s="67"/>
      <c r="K239" s="67"/>
      <c r="L239" s="67"/>
      <c r="M239" s="67"/>
      <c r="N239" s="138">
        <f t="shared" si="70"/>
        <v>13333.32</v>
      </c>
      <c r="O239" s="39"/>
      <c r="P239" s="39" t="s">
        <v>31</v>
      </c>
      <c r="Q239" s="137">
        <f t="shared" si="73"/>
        <v>0</v>
      </c>
    </row>
    <row r="240" spans="1:17">
      <c r="A240" t="str">
        <f t="shared" si="68"/>
        <v>DelayedSettlementInterestExpense</v>
      </c>
      <c r="B240" t="s">
        <v>371</v>
      </c>
      <c r="C240"/>
      <c r="D240" t="s">
        <v>389</v>
      </c>
      <c r="E240"/>
      <c r="F240" s="137">
        <f>SUMIF('BDC post TB'!B:B,Summary!A240,'BDC post TB'!J:J)</f>
        <v>0</v>
      </c>
      <c r="G240" s="137">
        <f>SUMIF('SBIC post TB(Closed)'!B:B,Summary!A240,'SBIC post TB(Closed)'!J:J)</f>
        <v>0</v>
      </c>
      <c r="H240" s="137">
        <f>SUMIF('SBICII post TB (closed)'!B:B,Summary!A240,'SBICII post TB (closed)'!J:J)</f>
        <v>0</v>
      </c>
      <c r="I240" s="137">
        <f t="shared" si="69"/>
        <v>0</v>
      </c>
      <c r="J240" s="67"/>
      <c r="K240" s="67"/>
      <c r="L240" s="67"/>
      <c r="M240" s="67"/>
      <c r="N240" s="138">
        <f t="shared" si="70"/>
        <v>0</v>
      </c>
      <c r="O240" s="39"/>
      <c r="P240" s="39" t="s">
        <v>7</v>
      </c>
      <c r="Q240" s="137"/>
    </row>
    <row r="241" spans="1:17">
      <c r="A241" t="str">
        <f t="shared" si="68"/>
        <v>Debt Issuance Cost _ Revolver (Exp)</v>
      </c>
      <c r="B241" t="s">
        <v>371</v>
      </c>
      <c r="C241"/>
      <c r="D241" t="s">
        <v>390</v>
      </c>
      <c r="E241"/>
      <c r="F241" s="137">
        <f>SUMIF('BDC post TB'!B:B,Summary!A241,'BDC post TB'!J:J)</f>
        <v>0</v>
      </c>
      <c r="G241" s="137">
        <f>SUMIF('SBIC post TB(Closed)'!B:B,Summary!A241,'SBIC post TB(Closed)'!J:J)</f>
        <v>0</v>
      </c>
      <c r="H241" s="137">
        <f>SUMIF('SBICII post TB (closed)'!B:B,Summary!A241,'SBICII post TB (closed)'!J:J)</f>
        <v>0</v>
      </c>
      <c r="I241" s="137">
        <f t="shared" si="69"/>
        <v>0</v>
      </c>
      <c r="J241" s="67"/>
      <c r="K241" s="67"/>
      <c r="L241" s="67"/>
      <c r="M241" s="67"/>
      <c r="N241" s="138">
        <f t="shared" si="70"/>
        <v>0</v>
      </c>
      <c r="O241" s="39"/>
      <c r="P241" s="39" t="s">
        <v>123</v>
      </c>
      <c r="Q241" s="137">
        <f>IF(AND(B241="Liabilities",N241&gt;0),N241,0)</f>
        <v>0</v>
      </c>
    </row>
    <row r="242" spans="1:17">
      <c r="A242" t="str">
        <f t="shared" si="68"/>
        <v>Director Fee Expense</v>
      </c>
      <c r="B242" t="s">
        <v>371</v>
      </c>
      <c r="C242"/>
      <c r="D242" t="s">
        <v>391</v>
      </c>
      <c r="E242"/>
      <c r="F242" s="137">
        <f>SUMIF('BDC post TB'!B:B,Summary!A242,'BDC post TB'!J:J)</f>
        <v>184000</v>
      </c>
      <c r="G242" s="137">
        <f>SUMIF('SBIC post TB(Closed)'!B:B,Summary!A242,'SBIC post TB(Closed)'!J:J)</f>
        <v>0</v>
      </c>
      <c r="H242" s="137">
        <f>SUMIF('SBICII post TB (closed)'!B:B,Summary!A242,'SBICII post TB (closed)'!J:J)</f>
        <v>0</v>
      </c>
      <c r="I242" s="137">
        <f t="shared" si="69"/>
        <v>184000</v>
      </c>
      <c r="J242" s="67"/>
      <c r="K242" s="67"/>
      <c r="L242" s="67"/>
      <c r="M242" s="67"/>
      <c r="N242" s="138">
        <f t="shared" si="70"/>
        <v>184000</v>
      </c>
      <c r="O242" s="39"/>
      <c r="P242" s="39" t="s">
        <v>31</v>
      </c>
      <c r="Q242" s="137">
        <f>IF(AND(B242="Liabilities",N242&gt;0),N242,0)</f>
        <v>0</v>
      </c>
    </row>
    <row r="243" spans="1:17">
      <c r="A243" t="str">
        <f t="shared" si="68"/>
        <v>CITRIN Pricing Fee Expense</v>
      </c>
      <c r="B243" t="s">
        <v>371</v>
      </c>
      <c r="C243"/>
      <c r="D243" t="s">
        <v>392</v>
      </c>
      <c r="E243"/>
      <c r="F243" s="137">
        <f>SUMIF('BDC post TB'!B:B,Summary!A243,'BDC post TB'!J:J)</f>
        <v>52000</v>
      </c>
      <c r="G243" s="137">
        <f>SUMIF('SBIC post TB(Closed)'!B:B,Summary!A243,'SBIC post TB(Closed)'!J:J)</f>
        <v>0</v>
      </c>
      <c r="H243" s="137">
        <f>SUMIF('SBICII post TB (closed)'!B:B,Summary!A243,'SBICII post TB (closed)'!J:J)</f>
        <v>0</v>
      </c>
      <c r="I243" s="137">
        <f t="shared" si="69"/>
        <v>52000</v>
      </c>
      <c r="J243" s="67"/>
      <c r="K243" s="67"/>
      <c r="L243" s="67"/>
      <c r="M243" s="67"/>
      <c r="N243" s="138">
        <f t="shared" si="70"/>
        <v>52000</v>
      </c>
      <c r="O243" s="39"/>
      <c r="P243" s="39" t="s">
        <v>31</v>
      </c>
      <c r="Q243" s="137"/>
    </row>
    <row r="244" spans="1:17">
      <c r="A244" t="str">
        <f t="shared" si="68"/>
        <v>Centri Consulting Fee Expense</v>
      </c>
      <c r="B244" t="s">
        <v>371</v>
      </c>
      <c r="C244"/>
      <c r="D244" t="s">
        <v>393</v>
      </c>
      <c r="E244"/>
      <c r="F244" s="137">
        <f>SUMIF('BDC post TB'!B:B,Summary!A244,'BDC post TB'!J:J)</f>
        <v>28000</v>
      </c>
      <c r="G244" s="137">
        <f>SUMIF('SBIC post TB(Closed)'!B:B,Summary!A244,'SBIC post TB(Closed)'!J:J)</f>
        <v>0</v>
      </c>
      <c r="H244" s="137">
        <f>SUMIF('SBICII post TB (closed)'!B:B,Summary!A244,'SBICII post TB (closed)'!J:J)</f>
        <v>0</v>
      </c>
      <c r="I244" s="137">
        <f t="shared" si="69"/>
        <v>28000</v>
      </c>
      <c r="J244" s="67"/>
      <c r="K244" s="67"/>
      <c r="L244" s="67"/>
      <c r="M244" s="67"/>
      <c r="N244" s="138">
        <f t="shared" si="70"/>
        <v>28000</v>
      </c>
      <c r="O244" s="39"/>
      <c r="P244" s="39" t="s">
        <v>31</v>
      </c>
      <c r="Q244" s="137"/>
    </row>
    <row r="245" spans="1:17">
      <c r="A245" t="str">
        <f t="shared" si="68"/>
        <v>DLA SOX/Audit Fee Expense</v>
      </c>
      <c r="B245" t="s">
        <v>371</v>
      </c>
      <c r="C245"/>
      <c r="D245" t="s">
        <v>394</v>
      </c>
      <c r="E245"/>
      <c r="F245" s="137">
        <f>SUMIF('BDC post TB'!B:B,Summary!A245,'BDC post TB'!J:J)</f>
        <v>56000</v>
      </c>
      <c r="G245" s="137">
        <f>SUMIF('SBIC post TB(Closed)'!B:B,Summary!A245,'SBIC post TB(Closed)'!J:J)</f>
        <v>0</v>
      </c>
      <c r="H245" s="137">
        <f>SUMIF('SBICII post TB (closed)'!B:B,Summary!A245,'SBICII post TB (closed)'!J:J)</f>
        <v>0</v>
      </c>
      <c r="I245" s="137">
        <f t="shared" si="69"/>
        <v>56000</v>
      </c>
      <c r="J245" s="67"/>
      <c r="K245" s="67"/>
      <c r="L245" s="67"/>
      <c r="M245" s="67"/>
      <c r="N245" s="138">
        <f t="shared" si="70"/>
        <v>56000</v>
      </c>
      <c r="O245" s="39"/>
      <c r="P245" s="39" t="s">
        <v>31</v>
      </c>
      <c r="Q245" s="137"/>
    </row>
    <row r="246" spans="1:17">
      <c r="A246" t="str">
        <f t="shared" si="68"/>
        <v>Dechert Legal Fee Expense</v>
      </c>
      <c r="B246" t="s">
        <v>371</v>
      </c>
      <c r="C246"/>
      <c r="D246" t="s">
        <v>395</v>
      </c>
      <c r="E246"/>
      <c r="F246" s="137">
        <f>SUMIF('BDC post TB'!B:B,Summary!A246,'BDC post TB'!J:J)</f>
        <v>248000</v>
      </c>
      <c r="G246" s="137">
        <f>SUMIF('SBIC post TB(Closed)'!B:B,Summary!A246,'SBIC post TB(Closed)'!J:J)</f>
        <v>0</v>
      </c>
      <c r="H246" s="137">
        <f>SUMIF('SBICII post TB (closed)'!B:B,Summary!A246,'SBICII post TB (closed)'!J:J)</f>
        <v>0</v>
      </c>
      <c r="I246" s="137">
        <f t="shared" ref="I246:I248" si="74">SUM(F246:H246)</f>
        <v>248000</v>
      </c>
      <c r="J246" s="67"/>
      <c r="K246" s="67"/>
      <c r="L246" s="67"/>
      <c r="M246" s="67"/>
      <c r="N246" s="138">
        <f t="shared" ref="N246:N248" si="75">SUM(I246:M246)</f>
        <v>248000</v>
      </c>
      <c r="O246" s="39"/>
      <c r="P246" s="39" t="s">
        <v>31</v>
      </c>
      <c r="Q246" s="137"/>
    </row>
    <row r="247" spans="1:17">
      <c r="A247" t="str">
        <f t="shared" si="68"/>
        <v>Egan Jones Rating Co Expense</v>
      </c>
      <c r="B247" t="s">
        <v>371</v>
      </c>
      <c r="C247"/>
      <c r="D247" t="s">
        <v>396</v>
      </c>
      <c r="E247"/>
      <c r="F247" s="137">
        <f>SUMIF('BDC post TB'!B:B,Summary!A247,'BDC post TB'!J:J)</f>
        <v>-0.01</v>
      </c>
      <c r="G247" s="137">
        <f>SUMIF('SBIC post TB(Closed)'!B:B,Summary!A247,'SBIC post TB(Closed)'!J:J)</f>
        <v>0</v>
      </c>
      <c r="H247" s="137">
        <f>SUMIF('SBICII post TB (closed)'!B:B,Summary!A247,'SBICII post TB (closed)'!J:J)</f>
        <v>0</v>
      </c>
      <c r="I247" s="137">
        <f t="shared" si="74"/>
        <v>-0.01</v>
      </c>
      <c r="J247" s="67"/>
      <c r="K247" s="67"/>
      <c r="L247" s="67"/>
      <c r="M247" s="67"/>
      <c r="N247" s="138">
        <f t="shared" si="75"/>
        <v>-0.01</v>
      </c>
      <c r="O247" s="39"/>
      <c r="P247" s="39" t="s">
        <v>31</v>
      </c>
      <c r="Q247" s="137"/>
    </row>
    <row r="248" spans="1:17">
      <c r="A248" t="str">
        <f t="shared" si="68"/>
        <v>Grant Thornton Tax Fee Expense</v>
      </c>
      <c r="B248" t="s">
        <v>371</v>
      </c>
      <c r="C248"/>
      <c r="D248" t="s">
        <v>397</v>
      </c>
      <c r="E248"/>
      <c r="F248" s="137">
        <f>SUMIF('BDC post TB'!B:B,Summary!A248,'BDC post TB'!J:J)</f>
        <v>24000</v>
      </c>
      <c r="G248" s="137">
        <f>SUMIF('SBIC post TB(Closed)'!B:B,Summary!A248,'SBIC post TB(Closed)'!J:J)</f>
        <v>0</v>
      </c>
      <c r="H248" s="137">
        <f>SUMIF('SBICII post TB (closed)'!B:B,Summary!A248,'SBICII post TB (closed)'!J:J)</f>
        <v>0</v>
      </c>
      <c r="I248" s="137">
        <f t="shared" si="74"/>
        <v>24000</v>
      </c>
      <c r="J248" s="67"/>
      <c r="K248" s="67"/>
      <c r="L248" s="67"/>
      <c r="M248" s="67"/>
      <c r="N248" s="138">
        <f t="shared" si="75"/>
        <v>24000</v>
      </c>
      <c r="O248" s="39"/>
      <c r="P248" s="39" t="s">
        <v>31</v>
      </c>
      <c r="Q248" s="137"/>
    </row>
    <row r="249" spans="1:17">
      <c r="A249" t="str">
        <f t="shared" si="68"/>
        <v>NYSE Annual Expense</v>
      </c>
      <c r="B249" t="s">
        <v>371</v>
      </c>
      <c r="C249"/>
      <c r="D249" t="s">
        <v>398</v>
      </c>
      <c r="E249"/>
      <c r="F249" s="137">
        <f>SUMIF('BDC post TB'!B:B,Summary!A249,'BDC post TB'!J:J)</f>
        <v>6992.08</v>
      </c>
      <c r="G249" s="137">
        <f>SUMIF('SBIC post TB(Closed)'!B:B,Summary!A249,'SBIC post TB(Closed)'!J:J)</f>
        <v>0</v>
      </c>
      <c r="H249" s="137">
        <f>SUMIF('SBICII post TB (closed)'!B:B,Summary!A249,'SBICII post TB (closed)'!J:J)</f>
        <v>0</v>
      </c>
      <c r="I249" s="137">
        <f t="shared" ref="I249" si="76">SUM(F249:H249)</f>
        <v>6992.08</v>
      </c>
      <c r="J249" s="67"/>
      <c r="K249" s="67"/>
      <c r="L249" s="67"/>
      <c r="M249" s="67"/>
      <c r="N249" s="138">
        <f t="shared" ref="N249" si="77">SUM(I249:M249)</f>
        <v>6992.08</v>
      </c>
      <c r="O249" s="39"/>
      <c r="P249" s="39" t="s">
        <v>31</v>
      </c>
      <c r="Q249" s="137"/>
    </row>
    <row r="250" spans="1:17">
      <c r="A250" t="str">
        <f t="shared" si="68"/>
        <v>KROLL LLC Pricing Fee Expense</v>
      </c>
      <c r="B250" t="s">
        <v>371</v>
      </c>
      <c r="C250"/>
      <c r="D250" t="s">
        <v>399</v>
      </c>
      <c r="E250"/>
      <c r="F250" s="137">
        <f>SUMIF('BDC post TB'!B:B,Summary!A250,'BDC post TB'!J:J)</f>
        <v>24000</v>
      </c>
      <c r="G250" s="137">
        <f>SUMIF('SBIC post TB(Closed)'!B:B,Summary!A250,'SBIC post TB(Closed)'!J:J)</f>
        <v>0</v>
      </c>
      <c r="H250" s="137">
        <f>SUMIF('SBICII post TB (closed)'!B:B,Summary!A250,'SBICII post TB (closed)'!J:J)</f>
        <v>0</v>
      </c>
      <c r="I250" s="137">
        <f t="shared" si="69"/>
        <v>24000</v>
      </c>
      <c r="J250" s="67"/>
      <c r="K250" s="67"/>
      <c r="L250" s="67"/>
      <c r="M250" s="67"/>
      <c r="N250" s="138">
        <f t="shared" si="70"/>
        <v>24000</v>
      </c>
      <c r="O250" s="39"/>
      <c r="P250" s="39" t="s">
        <v>31</v>
      </c>
      <c r="Q250" s="137"/>
    </row>
    <row r="251" spans="1:17">
      <c r="A251" t="str">
        <f t="shared" si="68"/>
        <v>Kirkland &amp; Ellis LLP Legal Fee Expense</v>
      </c>
      <c r="B251" t="s">
        <v>371</v>
      </c>
      <c r="C251"/>
      <c r="D251" t="s">
        <v>400</v>
      </c>
      <c r="E251"/>
      <c r="F251" s="137">
        <f>SUMIF('BDC post TB'!B:B,Summary!A251,'BDC post TB'!J:J)</f>
        <v>20000</v>
      </c>
      <c r="G251" s="137">
        <f>SUMIF('SBIC post TB(Closed)'!B:B,Summary!A251,'SBIC post TB(Closed)'!J:J)</f>
        <v>0</v>
      </c>
      <c r="H251" s="137">
        <f>SUMIF('SBICII post TB (closed)'!B:B,Summary!A251,'SBICII post TB (closed)'!J:J)</f>
        <v>0</v>
      </c>
      <c r="I251" s="137">
        <f t="shared" si="69"/>
        <v>20000</v>
      </c>
      <c r="J251" s="67"/>
      <c r="K251" s="67"/>
      <c r="L251" s="67"/>
      <c r="M251" s="67"/>
      <c r="N251" s="138">
        <f t="shared" si="70"/>
        <v>20000</v>
      </c>
      <c r="O251" s="39"/>
      <c r="P251" s="39" t="s">
        <v>31</v>
      </c>
      <c r="Q251" s="137"/>
    </row>
    <row r="252" spans="1:17">
      <c r="A252" t="str">
        <f t="shared" si="68"/>
        <v>Lincoln Pricing Fee Expense</v>
      </c>
      <c r="B252" t="s">
        <v>371</v>
      </c>
      <c r="C252"/>
      <c r="D252" t="s">
        <v>401</v>
      </c>
      <c r="E252"/>
      <c r="F252" s="137">
        <f>SUMIF('BDC post TB'!B:B,Summary!A252,'BDC post TB'!J:J)</f>
        <v>36000</v>
      </c>
      <c r="G252" s="137">
        <f>SUMIF('SBIC post TB(Closed)'!B:B,Summary!A252,'SBIC post TB(Closed)'!J:J)</f>
        <v>0</v>
      </c>
      <c r="H252" s="137">
        <f>SUMIF('SBICII post TB (closed)'!B:B,Summary!A252,'SBICII post TB (closed)'!J:J)</f>
        <v>0</v>
      </c>
      <c r="I252" s="137">
        <f t="shared" si="69"/>
        <v>36000</v>
      </c>
      <c r="J252" s="67"/>
      <c r="K252" s="67"/>
      <c r="L252" s="67"/>
      <c r="M252" s="67"/>
      <c r="N252" s="138">
        <f t="shared" si="70"/>
        <v>36000</v>
      </c>
      <c r="O252" s="39"/>
      <c r="P252" s="39" t="s">
        <v>31</v>
      </c>
      <c r="Q252" s="137"/>
    </row>
    <row r="253" spans="1:17">
      <c r="A253" t="str">
        <f t="shared" si="68"/>
        <v>RSM US LLP Audit Fee Expense</v>
      </c>
      <c r="B253" t="s">
        <v>371</v>
      </c>
      <c r="C253"/>
      <c r="D253" t="s">
        <v>402</v>
      </c>
      <c r="E253"/>
      <c r="F253" s="137">
        <f>SUMIF('BDC post TB'!B:B,Summary!A253,'BDC post TB'!J:J)</f>
        <v>256000</v>
      </c>
      <c r="G253" s="137">
        <f>SUMIF('SBIC post TB(Closed)'!B:B,Summary!A253,'SBIC post TB(Closed)'!J:J)</f>
        <v>0</v>
      </c>
      <c r="H253" s="137">
        <f>SUMIF('SBICII post TB (closed)'!B:B,Summary!A253,'SBICII post TB (closed)'!J:J)</f>
        <v>0</v>
      </c>
      <c r="I253" s="137">
        <f t="shared" si="69"/>
        <v>256000</v>
      </c>
      <c r="J253" s="67"/>
      <c r="K253" s="67"/>
      <c r="L253" s="67"/>
      <c r="M253" s="67"/>
      <c r="N253" s="138">
        <f t="shared" si="70"/>
        <v>256000</v>
      </c>
      <c r="O253" s="39"/>
      <c r="P253" s="39" t="s">
        <v>31</v>
      </c>
      <c r="Q253" s="137"/>
    </row>
    <row r="254" spans="1:17">
      <c r="A254" t="str">
        <f t="shared" si="68"/>
        <v>State and Local Tax</v>
      </c>
      <c r="B254" t="s">
        <v>371</v>
      </c>
      <c r="C254"/>
      <c r="D254" t="s">
        <v>403</v>
      </c>
      <c r="E254"/>
      <c r="F254" s="137">
        <f>SUMIF('BDC post TB'!B:B,Summary!A254,'BDC post TB'!J:J)</f>
        <v>0</v>
      </c>
      <c r="G254" s="137">
        <f>SUMIF('SBIC post TB(Closed)'!B:B,Summary!A254,'SBIC post TB(Closed)'!J:J)</f>
        <v>0</v>
      </c>
      <c r="H254" s="137">
        <f>SUMIF('SBICII post TB (closed)'!B:B,Summary!A254,'SBICII post TB (closed)'!J:J)</f>
        <v>0</v>
      </c>
      <c r="I254" s="137">
        <f t="shared" si="69"/>
        <v>0</v>
      </c>
      <c r="J254" s="67"/>
      <c r="K254" s="67"/>
      <c r="L254" s="67"/>
      <c r="M254" s="67"/>
      <c r="N254" s="138">
        <f t="shared" si="70"/>
        <v>0</v>
      </c>
      <c r="O254" s="39"/>
      <c r="P254" s="39" t="s">
        <v>31</v>
      </c>
      <c r="Q254" s="137"/>
    </row>
    <row r="255" spans="1:17">
      <c r="A255" t="str">
        <f t="shared" si="68"/>
        <v>VRC Pricing Fee Expense</v>
      </c>
      <c r="B255" t="s">
        <v>371</v>
      </c>
      <c r="C255"/>
      <c r="D255" t="s">
        <v>404</v>
      </c>
      <c r="E255"/>
      <c r="F255" s="137">
        <f>SUMIF('BDC post TB'!B:B,Summary!A255,'BDC post TB'!J:J)</f>
        <v>92000</v>
      </c>
      <c r="G255" s="137">
        <f>SUMIF('SBIC post TB(Closed)'!B:B,Summary!A255,'SBIC post TB(Closed)'!J:J)</f>
        <v>0</v>
      </c>
      <c r="H255" s="137">
        <f>SUMIF('SBICII post TB (closed)'!B:B,Summary!A255,'SBICII post TB (closed)'!J:J)</f>
        <v>0</v>
      </c>
      <c r="I255" s="137">
        <f t="shared" ref="I255:I261" si="78">SUM(F255:H255)</f>
        <v>92000</v>
      </c>
      <c r="J255" s="67"/>
      <c r="K255" s="67"/>
      <c r="L255" s="67"/>
      <c r="M255" s="67"/>
      <c r="N255" s="138">
        <f t="shared" ref="N255:N261" si="79">SUM(I255:M255)</f>
        <v>92000</v>
      </c>
      <c r="O255" s="39"/>
      <c r="P255" s="39" t="s">
        <v>31</v>
      </c>
      <c r="Q255" s="137"/>
    </row>
    <row r="256" spans="1:17">
      <c r="A256" t="str">
        <f t="shared" si="68"/>
        <v>Mayer Brown Legal Fee Expense</v>
      </c>
      <c r="B256" t="s">
        <v>371</v>
      </c>
      <c r="C256"/>
      <c r="D256" t="s">
        <v>405</v>
      </c>
      <c r="E256"/>
      <c r="F256" s="137">
        <f>SUMIF('BDC post TB'!B:B,Summary!A256,'BDC post TB'!J:J)</f>
        <v>0</v>
      </c>
      <c r="G256" s="137">
        <f>SUMIF('SBIC post TB(Closed)'!B:B,Summary!A256,'SBIC post TB(Closed)'!J:J)</f>
        <v>0</v>
      </c>
      <c r="H256" s="137">
        <f>SUMIF('SBICII post TB (closed)'!B:B,Summary!A256,'SBICII post TB (closed)'!J:J)</f>
        <v>0</v>
      </c>
      <c r="I256" s="137">
        <f t="shared" si="78"/>
        <v>0</v>
      </c>
      <c r="J256" s="67"/>
      <c r="K256" s="67"/>
      <c r="L256" s="67"/>
      <c r="M256" s="67"/>
      <c r="N256" s="138">
        <f t="shared" si="79"/>
        <v>0</v>
      </c>
      <c r="O256" s="39"/>
      <c r="P256" s="39" t="s">
        <v>31</v>
      </c>
      <c r="Q256" s="137"/>
    </row>
    <row r="257" spans="1:17">
      <c r="A257" t="str">
        <f t="shared" si="68"/>
        <v>Director's OOP Expense</v>
      </c>
      <c r="B257" t="s">
        <v>371</v>
      </c>
      <c r="C257"/>
      <c r="D257" t="s">
        <v>406</v>
      </c>
      <c r="E257"/>
      <c r="F257" s="137">
        <f>SUMIF('BDC post TB'!B:B,Summary!A257,'BDC post TB'!J:J)</f>
        <v>0</v>
      </c>
      <c r="G257" s="137">
        <f>SUMIF('SBIC post TB(Closed)'!B:B,Summary!A257,'SBIC post TB(Closed)'!J:J)</f>
        <v>0</v>
      </c>
      <c r="H257" s="137">
        <f>SUMIF('SBICII post TB (closed)'!B:B,Summary!A257,'SBICII post TB (closed)'!J:J)</f>
        <v>0</v>
      </c>
      <c r="I257" s="137">
        <f t="shared" si="78"/>
        <v>0</v>
      </c>
      <c r="J257" s="67"/>
      <c r="K257" s="67"/>
      <c r="L257" s="67"/>
      <c r="M257" s="67"/>
      <c r="N257" s="138">
        <f t="shared" si="79"/>
        <v>0</v>
      </c>
      <c r="O257" s="39"/>
      <c r="P257" s="39" t="s">
        <v>31</v>
      </c>
      <c r="Q257" s="137">
        <f>IF(AND(B257="Liabilities",N257&gt;0),N257,0)</f>
        <v>0</v>
      </c>
    </row>
    <row r="258" spans="1:17">
      <c r="A258" t="str">
        <f t="shared" si="68"/>
        <v>Provision for taxes on unrealized appreciation (depreciation) on investments</v>
      </c>
      <c r="B258" s="67" t="s">
        <v>371</v>
      </c>
      <c r="C258"/>
      <c r="D258" t="s">
        <v>74</v>
      </c>
      <c r="E258"/>
      <c r="F258" s="137">
        <f>SUMIF('BDC post TB'!B:B,Summary!A258,'BDC post TB'!J:J)</f>
        <v>0</v>
      </c>
      <c r="G258" s="137">
        <f>SUMIF('SBIC post TB(Closed)'!B:B,Summary!A258,'SBIC post TB(Closed)'!J:J)</f>
        <v>0</v>
      </c>
      <c r="H258" s="137">
        <f>SUMIF('SBICII post TB (closed)'!B:B,Summary!A258,'SBICII post TB (closed)'!J:J)</f>
        <v>0</v>
      </c>
      <c r="I258" s="137">
        <f t="shared" si="78"/>
        <v>0</v>
      </c>
      <c r="J258" s="67"/>
      <c r="K258" s="67"/>
      <c r="L258" s="67"/>
      <c r="M258" s="67"/>
      <c r="N258" s="138">
        <f t="shared" si="79"/>
        <v>0</v>
      </c>
      <c r="O258" s="39"/>
      <c r="P258" s="39" t="s">
        <v>138</v>
      </c>
      <c r="Q258" s="137"/>
    </row>
    <row r="259" spans="1:17">
      <c r="A259" t="str">
        <f t="shared" si="68"/>
        <v>Provision for taxes on realized gain on investments</v>
      </c>
      <c r="B259" s="67" t="s">
        <v>371</v>
      </c>
      <c r="C259"/>
      <c r="D259" t="s">
        <v>75</v>
      </c>
      <c r="E259"/>
      <c r="F259" s="137">
        <f>SUMIF('BDC post TB'!B:B,Summary!A259,'BDC post TB'!J:J)</f>
        <v>12855</v>
      </c>
      <c r="G259" s="137">
        <f>SUMIF('SBIC post TB(Closed)'!B:B,Summary!A259,'SBIC post TB(Closed)'!J:J)</f>
        <v>0</v>
      </c>
      <c r="H259" s="137">
        <f>SUMIF('SBICII post TB (closed)'!B:B,Summary!A259,'SBICII post TB (closed)'!J:J)</f>
        <v>0</v>
      </c>
      <c r="I259" s="137">
        <f t="shared" si="78"/>
        <v>12855</v>
      </c>
      <c r="J259" s="67"/>
      <c r="K259" s="67"/>
      <c r="L259" s="67"/>
      <c r="M259" s="67"/>
      <c r="N259" s="138">
        <f t="shared" si="79"/>
        <v>12855</v>
      </c>
      <c r="O259" s="39"/>
      <c r="P259" s="39" t="s">
        <v>139</v>
      </c>
      <c r="Q259" s="137"/>
    </row>
    <row r="260" spans="1:17">
      <c r="A260" t="str">
        <f t="shared" si="68"/>
        <v>Dividend Distribution</v>
      </c>
      <c r="B260" t="s">
        <v>371</v>
      </c>
      <c r="C260"/>
      <c r="D260" t="s">
        <v>407</v>
      </c>
      <c r="E260"/>
      <c r="F260" s="137">
        <f>SUMIF('BDC post TB'!B:B,Summary!A260,'BDC post TB'!J:J)</f>
        <v>20894750.079999998</v>
      </c>
      <c r="G260" s="137">
        <f>SUMIF('SBIC post TB(Closed)'!B:B,Summary!A260,'SBIC post TB(Closed)'!J:J)</f>
        <v>0</v>
      </c>
      <c r="H260" s="137">
        <f>SUMIF('SBICII post TB (closed)'!B:B,Summary!A260,'SBICII post TB (closed)'!J:J)</f>
        <v>0</v>
      </c>
      <c r="I260" s="137">
        <f t="shared" si="78"/>
        <v>20894750.079999998</v>
      </c>
      <c r="J260" s="67"/>
      <c r="K260" s="67"/>
      <c r="L260" s="67"/>
      <c r="M260" s="67"/>
      <c r="N260" s="138">
        <f t="shared" si="79"/>
        <v>20894750.079999998</v>
      </c>
      <c r="O260" s="39" t="s">
        <v>66</v>
      </c>
      <c r="P260" s="39"/>
      <c r="Q260" s="137">
        <f t="shared" ref="Q260:Q275" si="80">IF(AND(B260="Liabilities",N260&gt;0),N260,0)</f>
        <v>0</v>
      </c>
    </row>
    <row r="261" spans="1:17">
      <c r="A261" t="str">
        <f t="shared" si="68"/>
        <v>Foley Tax/Consulting Fee Expense</v>
      </c>
      <c r="B261" t="s">
        <v>371</v>
      </c>
      <c r="C261"/>
      <c r="D261" t="s">
        <v>408</v>
      </c>
      <c r="E261"/>
      <c r="F261" s="137">
        <f>SUMIF('BDC post TB'!B:B,Summary!A261,'BDC post TB'!J:J)</f>
        <v>0</v>
      </c>
      <c r="G261" s="137">
        <f>SUMIF('SBIC post TB(Closed)'!B:B,Summary!A261,'SBIC post TB(Closed)'!J:J)</f>
        <v>0</v>
      </c>
      <c r="H261" s="137">
        <f>SUMIF('SBICII post TB (closed)'!B:B,Summary!A261,'SBICII post TB (closed)'!J:J)</f>
        <v>0</v>
      </c>
      <c r="I261" s="137">
        <f t="shared" si="78"/>
        <v>0</v>
      </c>
      <c r="J261" s="67"/>
      <c r="K261" s="67"/>
      <c r="L261" s="67"/>
      <c r="M261" s="67"/>
      <c r="N261" s="138">
        <f t="shared" si="79"/>
        <v>0</v>
      </c>
      <c r="O261" s="39"/>
      <c r="P261" s="39" t="s">
        <v>31</v>
      </c>
      <c r="Q261" s="137"/>
    </row>
    <row r="262" spans="1:17">
      <c r="A262" t="str">
        <f t="shared" si="68"/>
        <v>Equity Pick Up - Expenses</v>
      </c>
      <c r="B262" t="s">
        <v>371</v>
      </c>
      <c r="C262"/>
      <c r="D262" t="s">
        <v>409</v>
      </c>
      <c r="E262"/>
      <c r="F262" s="137">
        <f>SUMIF('BDC post TB'!B:B,Summary!A262,'BDC post TB'!J:J)</f>
        <v>0</v>
      </c>
      <c r="G262" s="137">
        <f>SUMIF('SBIC post TB(Closed)'!B:B,Summary!A262,'SBIC post TB(Closed)'!J:J)</f>
        <v>0</v>
      </c>
      <c r="H262" s="137">
        <f>SUMIF('SBICII post TB (closed)'!B:B,Summary!A262,'SBICII post TB (closed)'!J:J)</f>
        <v>0</v>
      </c>
      <c r="I262" s="137">
        <f t="shared" ref="I262:I291" si="81">SUM(F262:H262)</f>
        <v>0</v>
      </c>
      <c r="J262" s="67"/>
      <c r="K262" s="67"/>
      <c r="L262" s="145"/>
      <c r="M262" s="138"/>
      <c r="N262" s="138">
        <f t="shared" ref="N262:N291" si="82">SUM(I262:M262)</f>
        <v>0</v>
      </c>
      <c r="O262" s="39"/>
      <c r="P262" s="39"/>
      <c r="Q262" s="137">
        <f t="shared" si="80"/>
        <v>0</v>
      </c>
    </row>
    <row r="263" spans="1:17">
      <c r="A263" t="str">
        <f t="shared" si="68"/>
        <v>Fidelity Bond Expense</v>
      </c>
      <c r="B263" t="s">
        <v>371</v>
      </c>
      <c r="C263"/>
      <c r="D263" t="s">
        <v>410</v>
      </c>
      <c r="E263"/>
      <c r="F263" s="137">
        <f>SUMIF('BDC post TB'!B:B,Summary!A263,'BDC post TB'!J:J)</f>
        <v>0</v>
      </c>
      <c r="G263" s="137">
        <f>SUMIF('SBIC post TB(Closed)'!B:B,Summary!A263,'SBIC post TB(Closed)'!J:J)</f>
        <v>0</v>
      </c>
      <c r="H263" s="137">
        <f>SUMIF('SBICII post TB (closed)'!B:B,Summary!A263,'SBICII post TB (closed)'!J:J)</f>
        <v>0</v>
      </c>
      <c r="I263" s="137">
        <f t="shared" si="81"/>
        <v>0</v>
      </c>
      <c r="J263" s="67"/>
      <c r="K263" s="67"/>
      <c r="L263" s="67"/>
      <c r="M263" s="67"/>
      <c r="N263" s="138">
        <f t="shared" si="82"/>
        <v>0</v>
      </c>
      <c r="O263" s="39"/>
      <c r="P263" s="39" t="s">
        <v>31</v>
      </c>
      <c r="Q263" s="137">
        <f t="shared" si="80"/>
        <v>0</v>
      </c>
    </row>
    <row r="264" spans="1:17">
      <c r="A264" t="str">
        <f t="shared" si="68"/>
        <v>IT Expense</v>
      </c>
      <c r="B264" t="s">
        <v>371</v>
      </c>
      <c r="C264"/>
      <c r="D264" t="s">
        <v>411</v>
      </c>
      <c r="E264"/>
      <c r="F264" s="137">
        <f>SUMIF('BDC post TB'!B:B,Summary!A264,'BDC post TB'!J:J)</f>
        <v>0</v>
      </c>
      <c r="G264" s="137">
        <f>SUMIF('SBIC post TB(Closed)'!B:B,Summary!A264,'SBIC post TB(Closed)'!J:J)</f>
        <v>0</v>
      </c>
      <c r="H264" s="137">
        <f>SUMIF('SBICII post TB (closed)'!B:B,Summary!A264,'SBICII post TB (closed)'!J:J)</f>
        <v>0</v>
      </c>
      <c r="I264" s="137">
        <f t="shared" si="81"/>
        <v>0</v>
      </c>
      <c r="J264" s="67"/>
      <c r="K264" s="67"/>
      <c r="L264" s="67"/>
      <c r="M264" s="67"/>
      <c r="N264" s="138">
        <f t="shared" si="82"/>
        <v>0</v>
      </c>
      <c r="O264" s="39"/>
      <c r="P264" s="39" t="s">
        <v>31</v>
      </c>
      <c r="Q264" s="137">
        <f t="shared" si="80"/>
        <v>0</v>
      </c>
    </row>
    <row r="265" spans="1:17">
      <c r="A265" t="str">
        <f t="shared" si="68"/>
        <v>Incentive Fee Expense</v>
      </c>
      <c r="B265" t="s">
        <v>371</v>
      </c>
      <c r="C265"/>
      <c r="D265" t="s">
        <v>412</v>
      </c>
      <c r="E265"/>
      <c r="F265" s="137">
        <f>SUMIF('BDC post TB'!B:B,Summary!A265,'BDC post TB'!J:J)</f>
        <v>0</v>
      </c>
      <c r="G265" s="137">
        <f>SUMIF('SBIC post TB(Closed)'!B:B,Summary!A265,'SBIC post TB(Closed)'!J:J)</f>
        <v>0</v>
      </c>
      <c r="H265" s="137">
        <f>SUMIF('SBICII post TB (closed)'!B:B,Summary!A265,'SBICII post TB (closed)'!J:J)</f>
        <v>0</v>
      </c>
      <c r="I265" s="137">
        <f t="shared" si="81"/>
        <v>0</v>
      </c>
      <c r="J265" s="67"/>
      <c r="K265" s="67"/>
      <c r="L265" s="67"/>
      <c r="M265" s="67"/>
      <c r="N265" s="138">
        <f t="shared" si="82"/>
        <v>0</v>
      </c>
      <c r="O265" s="39"/>
      <c r="P265" s="39" t="s">
        <v>23</v>
      </c>
      <c r="Q265" s="137">
        <f t="shared" si="80"/>
        <v>0</v>
      </c>
    </row>
    <row r="266" spans="1:17">
      <c r="A266" t="s">
        <v>413</v>
      </c>
      <c r="B266" t="s">
        <v>371</v>
      </c>
      <c r="C266"/>
      <c r="D266" t="s">
        <v>413</v>
      </c>
      <c r="E266"/>
      <c r="F266" s="137">
        <f>SUMIF('BDC post TB'!B:B,Summary!A266,'BDC post TB'!J:J)</f>
        <v>0</v>
      </c>
      <c r="G266" s="137">
        <f>SUMIF('SBIC post TB(Closed)'!B:B,Summary!A266,'SBIC post TB(Closed)'!J:J)</f>
        <v>0</v>
      </c>
      <c r="H266" s="137">
        <f>SUMIF('SBICII post TB (closed)'!B:B,Summary!A266,'SBICII post TB (closed)'!J:J)</f>
        <v>0</v>
      </c>
      <c r="I266" s="137">
        <f t="shared" si="81"/>
        <v>0</v>
      </c>
      <c r="J266" s="67"/>
      <c r="K266" s="67"/>
      <c r="L266" s="67"/>
      <c r="M266" s="67"/>
      <c r="N266" s="138">
        <f t="shared" si="82"/>
        <v>0</v>
      </c>
      <c r="O266" s="39"/>
      <c r="P266" s="39" t="s">
        <v>23</v>
      </c>
      <c r="Q266" s="137">
        <f t="shared" si="80"/>
        <v>0</v>
      </c>
    </row>
    <row r="267" spans="1:17">
      <c r="A267" t="str">
        <f t="shared" ref="A267:A313" si="83">CONCATENATE(D267,E267)</f>
        <v>Incentive Fee Expense - Gains</v>
      </c>
      <c r="B267" t="s">
        <v>371</v>
      </c>
      <c r="C267"/>
      <c r="D267" t="s">
        <v>414</v>
      </c>
      <c r="E267"/>
      <c r="F267" s="137">
        <f>SUMIF('BDC post TB'!B:B,Summary!A267,'BDC post TB'!J:J)</f>
        <v>0</v>
      </c>
      <c r="G267" s="137">
        <f>SUMIF('SBIC post TB(Closed)'!B:B,Summary!A267,'SBIC post TB(Closed)'!J:J)</f>
        <v>0</v>
      </c>
      <c r="H267" s="137">
        <f>SUMIF('SBICII post TB (closed)'!B:B,Summary!A267,'SBICII post TB (closed)'!J:J)</f>
        <v>0</v>
      </c>
      <c r="I267" s="137">
        <f t="shared" si="81"/>
        <v>0</v>
      </c>
      <c r="J267" s="67"/>
      <c r="K267" s="67"/>
      <c r="L267" s="67"/>
      <c r="M267" s="67"/>
      <c r="N267" s="138">
        <f t="shared" si="82"/>
        <v>0</v>
      </c>
      <c r="O267" s="39"/>
      <c r="P267" s="39" t="s">
        <v>23</v>
      </c>
      <c r="Q267" s="137">
        <f t="shared" si="80"/>
        <v>0</v>
      </c>
    </row>
    <row r="268" spans="1:17">
      <c r="A268" t="str">
        <f t="shared" si="83"/>
        <v>Insurance Fee Expense</v>
      </c>
      <c r="B268" t="s">
        <v>371</v>
      </c>
      <c r="C268"/>
      <c r="D268" t="s">
        <v>415</v>
      </c>
      <c r="E268"/>
      <c r="F268" s="137">
        <f>SUMIF('BDC post TB'!B:B,Summary!A268,'BDC post TB'!J:J)</f>
        <v>10514</v>
      </c>
      <c r="G268" s="137">
        <f>SUMIF('SBIC post TB(Closed)'!B:B,Summary!A268,'SBIC post TB(Closed)'!J:J)</f>
        <v>0</v>
      </c>
      <c r="H268" s="137">
        <f>SUMIF('SBICII post TB (closed)'!B:B,Summary!A268,'SBICII post TB (closed)'!J:J)</f>
        <v>0</v>
      </c>
      <c r="I268" s="137">
        <f t="shared" si="81"/>
        <v>10514</v>
      </c>
      <c r="J268" s="67"/>
      <c r="K268" s="67"/>
      <c r="L268" s="67"/>
      <c r="M268" s="67"/>
      <c r="N268" s="138">
        <f t="shared" si="82"/>
        <v>10514</v>
      </c>
      <c r="O268" s="39"/>
      <c r="P268" s="39" t="s">
        <v>31</v>
      </c>
      <c r="Q268" s="137">
        <f t="shared" si="80"/>
        <v>0</v>
      </c>
    </row>
    <row r="269" spans="1:17">
      <c r="A269" t="str">
        <f t="shared" si="83"/>
        <v>Interest Expense</v>
      </c>
      <c r="B269" t="s">
        <v>371</v>
      </c>
      <c r="C269"/>
      <c r="D269" t="s">
        <v>416</v>
      </c>
      <c r="E269"/>
      <c r="F269" s="137">
        <f>SUMIF('BDC post TB'!B:B,Summary!A269,'BDC post TB'!J:J)</f>
        <v>0</v>
      </c>
      <c r="G269" s="137">
        <f>SUMIF('SBIC post TB(Closed)'!B:B,Summary!A269,'SBIC post TB(Closed)'!J:J)</f>
        <v>0</v>
      </c>
      <c r="H269" s="137">
        <f>SUMIF('SBICII post TB (closed)'!B:B,Summary!A269,'SBICII post TB (closed)'!J:J)</f>
        <v>0</v>
      </c>
      <c r="I269" s="137">
        <f t="shared" si="81"/>
        <v>0</v>
      </c>
      <c r="J269" s="67"/>
      <c r="K269" s="67"/>
      <c r="L269" s="67"/>
      <c r="M269" s="67"/>
      <c r="N269" s="138">
        <f t="shared" si="82"/>
        <v>0</v>
      </c>
      <c r="O269" s="39"/>
      <c r="P269" s="39" t="s">
        <v>27</v>
      </c>
      <c r="Q269" s="137">
        <f t="shared" si="80"/>
        <v>0</v>
      </c>
    </row>
    <row r="270" spans="1:17">
      <c r="A270" t="str">
        <f t="shared" si="83"/>
        <v>Interest Expense 2025 bond</v>
      </c>
      <c r="B270" t="s">
        <v>371</v>
      </c>
      <c r="C270"/>
      <c r="D270" t="s">
        <v>417</v>
      </c>
      <c r="E270"/>
      <c r="F270" s="137">
        <f>SUMIF('BDC post TB'!B:B,Summary!A270,'BDC post TB'!J:J)</f>
        <v>0</v>
      </c>
      <c r="G270" s="137">
        <f>SUMIF('SBIC post TB(Closed)'!B:B,Summary!A270,'SBIC post TB(Closed)'!J:J)</f>
        <v>0</v>
      </c>
      <c r="H270" s="137">
        <f>SUMIF('SBICII post TB (closed)'!B:B,Summary!A270,'SBICII post TB (closed)'!J:J)</f>
        <v>0</v>
      </c>
      <c r="I270" s="137">
        <f t="shared" si="81"/>
        <v>0</v>
      </c>
      <c r="J270" s="67"/>
      <c r="K270" s="67"/>
      <c r="L270" s="67"/>
      <c r="M270" s="67"/>
      <c r="N270" s="138">
        <f t="shared" si="82"/>
        <v>0</v>
      </c>
      <c r="O270" s="39"/>
      <c r="P270" s="39" t="s">
        <v>27</v>
      </c>
      <c r="Q270" s="137">
        <f t="shared" si="80"/>
        <v>0</v>
      </c>
    </row>
    <row r="271" spans="1:17">
      <c r="A271" t="str">
        <f t="shared" si="83"/>
        <v>interest expense - 2024 Notes</v>
      </c>
      <c r="B271" t="s">
        <v>371</v>
      </c>
      <c r="C271"/>
      <c r="D271" t="s">
        <v>418</v>
      </c>
      <c r="E271"/>
      <c r="F271" s="137">
        <f>SUMIF('BDC post TB'!B:B,Summary!A271,'BDC post TB'!J:J)</f>
        <v>0</v>
      </c>
      <c r="G271" s="137">
        <f>SUMIF('SBIC post TB(Closed)'!B:B,Summary!A271,'SBIC post TB(Closed)'!J:J)</f>
        <v>0</v>
      </c>
      <c r="H271" s="137">
        <f>SUMIF('SBICII post TB (closed)'!B:B,Summary!A271,'SBICII post TB (closed)'!J:J)</f>
        <v>0</v>
      </c>
      <c r="I271" s="137">
        <f t="shared" si="81"/>
        <v>0</v>
      </c>
      <c r="J271" s="67"/>
      <c r="K271" s="67"/>
      <c r="L271" s="67"/>
      <c r="M271" s="67"/>
      <c r="N271" s="138">
        <f t="shared" si="82"/>
        <v>0</v>
      </c>
      <c r="O271" s="39"/>
      <c r="P271" s="39" t="s">
        <v>27</v>
      </c>
      <c r="Q271" s="137">
        <f t="shared" si="80"/>
        <v>0</v>
      </c>
    </row>
    <row r="272" spans="1:17">
      <c r="A272" t="str">
        <f t="shared" si="83"/>
        <v>interest expense - 2026 Notes</v>
      </c>
      <c r="B272" t="s">
        <v>371</v>
      </c>
      <c r="C272"/>
      <c r="D272" t="s">
        <v>419</v>
      </c>
      <c r="E272"/>
      <c r="F272" s="137">
        <f>SUMIF('BDC post TB'!B:B,Summary!A272,'BDC post TB'!J:J)</f>
        <v>585090.6</v>
      </c>
      <c r="G272" s="137">
        <f>SUMIF('SBIC post TB(Closed)'!B:B,Summary!A272,'SBIC post TB(Closed)'!J:J)</f>
        <v>0</v>
      </c>
      <c r="H272" s="137">
        <f>SUMIF('SBICII post TB (closed)'!B:B,Summary!A272,'SBICII post TB (closed)'!J:J)</f>
        <v>0</v>
      </c>
      <c r="I272" s="137">
        <f t="shared" si="81"/>
        <v>585090.6</v>
      </c>
      <c r="J272" s="67"/>
      <c r="K272" s="67"/>
      <c r="L272" s="67"/>
      <c r="M272" s="67"/>
      <c r="N272" s="138">
        <f t="shared" si="82"/>
        <v>585090.6</v>
      </c>
      <c r="O272" s="39"/>
      <c r="P272" s="39" t="s">
        <v>27</v>
      </c>
      <c r="Q272" s="137">
        <f t="shared" si="80"/>
        <v>0</v>
      </c>
    </row>
    <row r="273" spans="1:17">
      <c r="A273" t="str">
        <f t="shared" si="83"/>
        <v>interest expense - 2029 Notes</v>
      </c>
      <c r="B273" t="s">
        <v>371</v>
      </c>
      <c r="C273"/>
      <c r="D273" s="67" t="s">
        <v>420</v>
      </c>
      <c r="E273"/>
      <c r="F273" s="137">
        <f>SUMIF('BDC post TB'!B:B,Summary!A273,'BDC post TB'!J:J)</f>
        <v>0</v>
      </c>
      <c r="G273" s="137">
        <f>SUMIF('SBIC post TB(Closed)'!B:B,Summary!A273,'SBIC post TB(Closed)'!J:J)</f>
        <v>0</v>
      </c>
      <c r="H273" s="137">
        <f>SUMIF('SBICII post TB (closed)'!B:B,Summary!A273,'SBICII post TB (closed)'!J:J)</f>
        <v>0</v>
      </c>
      <c r="I273" s="137">
        <f t="shared" ref="I273" si="84">SUM(F273:H273)</f>
        <v>0</v>
      </c>
      <c r="J273" s="67"/>
      <c r="K273" s="67"/>
      <c r="L273" s="67"/>
      <c r="M273" s="67"/>
      <c r="N273" s="138">
        <f t="shared" ref="N273" si="85">SUM(I273:M273)</f>
        <v>0</v>
      </c>
      <c r="O273" s="39"/>
      <c r="P273" s="39" t="s">
        <v>27</v>
      </c>
      <c r="Q273" s="137"/>
    </row>
    <row r="274" spans="1:17">
      <c r="A274" t="str">
        <f t="shared" si="83"/>
        <v>SoldShortAccruedInterestReceipt</v>
      </c>
      <c r="B274" t="s">
        <v>371</v>
      </c>
      <c r="C274"/>
      <c r="D274" t="s">
        <v>421</v>
      </c>
      <c r="E274"/>
      <c r="F274" s="137">
        <f>SUMIF('BDC post TB'!B:B,Summary!A274,'BDC post TB'!J:J)</f>
        <v>0</v>
      </c>
      <c r="G274" s="137">
        <f>SUMIF('SBIC post TB(Closed)'!B:B,Summary!A274,'SBIC post TB(Closed)'!J:J)</f>
        <v>0</v>
      </c>
      <c r="H274" s="137">
        <f>SUMIF('SBICII post TB (closed)'!B:B,Summary!A274,'SBICII post TB (closed)'!J:J)</f>
        <v>0</v>
      </c>
      <c r="I274" s="137">
        <f t="shared" si="81"/>
        <v>0</v>
      </c>
      <c r="J274" s="67"/>
      <c r="K274" s="67"/>
      <c r="L274" s="67"/>
      <c r="M274" s="67"/>
      <c r="N274" s="138">
        <f t="shared" si="82"/>
        <v>0</v>
      </c>
      <c r="O274" s="39"/>
      <c r="P274" s="39" t="s">
        <v>27</v>
      </c>
      <c r="Q274" s="137">
        <f t="shared" si="80"/>
        <v>0</v>
      </c>
    </row>
    <row r="275" spans="1:17">
      <c r="A275" t="str">
        <f t="shared" si="83"/>
        <v>Interest Expense - Revolver</v>
      </c>
      <c r="B275" t="s">
        <v>371</v>
      </c>
      <c r="C275"/>
      <c r="D275" t="s">
        <v>422</v>
      </c>
      <c r="E275"/>
      <c r="F275" s="137">
        <f>SUMIF('BDC post TB'!B:B,Summary!A275,'BDC post TB'!J:J)</f>
        <v>0</v>
      </c>
      <c r="G275" s="137">
        <f>SUMIF('SBIC post TB(Closed)'!B:B,Summary!A275,'SBIC post TB(Closed)'!J:J)</f>
        <v>0</v>
      </c>
      <c r="H275" s="137">
        <f>SUMIF('SBICII post TB (closed)'!B:B,Summary!A275,'SBICII post TB (closed)'!J:J)</f>
        <v>0</v>
      </c>
      <c r="I275" s="137">
        <f t="shared" si="81"/>
        <v>0</v>
      </c>
      <c r="J275" s="67"/>
      <c r="K275" s="67"/>
      <c r="L275" s="67"/>
      <c r="M275" s="67"/>
      <c r="N275" s="138">
        <f t="shared" si="82"/>
        <v>0</v>
      </c>
      <c r="O275" s="39"/>
      <c r="P275" s="39" t="s">
        <v>27</v>
      </c>
      <c r="Q275" s="137">
        <f t="shared" si="80"/>
        <v>0</v>
      </c>
    </row>
    <row r="276" spans="1:17">
      <c r="A276" t="str">
        <f t="shared" si="83"/>
        <v>CoverShortAccruedInterestExpense</v>
      </c>
      <c r="B276" t="s">
        <v>371</v>
      </c>
      <c r="C276"/>
      <c r="D276" t="s">
        <v>423</v>
      </c>
      <c r="E276"/>
      <c r="F276" s="137">
        <f>SUMIF('BDC post TB'!B:B,Summary!A276,'BDC post TB'!J:J)</f>
        <v>0</v>
      </c>
      <c r="G276" s="137">
        <f>SUMIF('SBIC post TB(Closed)'!B:B,Summary!A276,'SBIC post TB(Closed)'!J:J)</f>
        <v>0</v>
      </c>
      <c r="H276" s="137">
        <f>SUMIF('SBICII post TB (closed)'!B:B,Summary!A276,'SBICII post TB (closed)'!J:J)</f>
        <v>0</v>
      </c>
      <c r="I276" s="137">
        <f t="shared" si="81"/>
        <v>0</v>
      </c>
      <c r="J276" s="67"/>
      <c r="K276" s="67"/>
      <c r="L276" s="67"/>
      <c r="M276" s="67"/>
      <c r="N276" s="138">
        <f t="shared" si="82"/>
        <v>0</v>
      </c>
      <c r="O276" s="39"/>
      <c r="P276" s="39" t="s">
        <v>27</v>
      </c>
      <c r="Q276" s="137"/>
    </row>
    <row r="277" spans="1:17">
      <c r="A277" t="str">
        <f t="shared" si="83"/>
        <v>InterestExpense</v>
      </c>
      <c r="B277" t="s">
        <v>371</v>
      </c>
      <c r="C277"/>
      <c r="D277" s="66" t="s">
        <v>424</v>
      </c>
      <c r="E277"/>
      <c r="F277" s="137">
        <f>SUMIF('BDC post TB'!B:B,Summary!A277,'BDC post TB'!J:J)</f>
        <v>7481344.7300000004</v>
      </c>
      <c r="G277" s="137">
        <f>SUMIF('SBIC post TB(Closed)'!B:B,Summary!A277,'SBIC post TB(Closed)'!J:J)</f>
        <v>0</v>
      </c>
      <c r="H277" s="137">
        <f>SUMIF('SBICII post TB (closed)'!B:B,Summary!A277,'SBICII post TB (closed)'!J:J)</f>
        <v>0</v>
      </c>
      <c r="I277" s="137">
        <f t="shared" si="81"/>
        <v>7481344.7300000004</v>
      </c>
      <c r="J277" s="67"/>
      <c r="K277" s="67"/>
      <c r="L277" s="67"/>
      <c r="M277" s="124"/>
      <c r="N277" s="138">
        <f t="shared" si="82"/>
        <v>7481344.7300000004</v>
      </c>
      <c r="O277" s="39"/>
      <c r="P277" s="39" t="s">
        <v>27</v>
      </c>
      <c r="Q277" s="137"/>
    </row>
    <row r="278" spans="1:17">
      <c r="A278" t="str">
        <f t="shared" si="83"/>
        <v>Legal Fee Expense</v>
      </c>
      <c r="B278" t="s">
        <v>371</v>
      </c>
      <c r="C278"/>
      <c r="D278" t="s">
        <v>425</v>
      </c>
      <c r="E278"/>
      <c r="F278" s="137">
        <f>SUMIF('BDC post TB'!B:B,Summary!A278,'BDC post TB'!J:J)</f>
        <v>0</v>
      </c>
      <c r="G278" s="137">
        <f>SUMIF('SBIC post TB(Closed)'!B:B,Summary!A278,'SBIC post TB(Closed)'!J:J)</f>
        <v>0</v>
      </c>
      <c r="H278" s="137">
        <f>SUMIF('SBICII post TB (closed)'!B:B,Summary!A278,'SBICII post TB (closed)'!J:J)</f>
        <v>0</v>
      </c>
      <c r="I278" s="137">
        <f t="shared" si="81"/>
        <v>0</v>
      </c>
      <c r="J278" s="67"/>
      <c r="K278" s="67"/>
      <c r="L278" s="67"/>
      <c r="M278" s="67"/>
      <c r="N278" s="138">
        <f t="shared" si="82"/>
        <v>0</v>
      </c>
      <c r="O278" s="39"/>
      <c r="P278" s="39" t="s">
        <v>31</v>
      </c>
      <c r="Q278" s="137">
        <f t="shared" ref="Q278:Q284" si="86">IF(AND(B278="Liabilities",N278&gt;0),N278,0)</f>
        <v>0</v>
      </c>
    </row>
    <row r="279" spans="1:17">
      <c r="A279" t="str">
        <f t="shared" si="83"/>
        <v>MgmtFeeExpense Waiver</v>
      </c>
      <c r="B279" t="s">
        <v>371</v>
      </c>
      <c r="C279"/>
      <c r="D279" t="s">
        <v>426</v>
      </c>
      <c r="E279"/>
      <c r="F279" s="137">
        <f>SUMIF('BDC post TB'!B:B,Summary!A279,'BDC post TB'!J:J)</f>
        <v>0</v>
      </c>
      <c r="G279" s="137">
        <f>SUMIF('SBIC post TB(Closed)'!B:B,Summary!A279,'SBIC post TB(Closed)'!J:J)</f>
        <v>0</v>
      </c>
      <c r="H279" s="137">
        <f>SUMIF('SBICII post TB (closed)'!B:B,Summary!A279,'SBICII post TB (closed)'!J:J)</f>
        <v>0</v>
      </c>
      <c r="I279" s="137">
        <f t="shared" si="81"/>
        <v>0</v>
      </c>
      <c r="J279" s="67"/>
      <c r="K279" s="67"/>
      <c r="L279" s="67"/>
      <c r="M279" s="67"/>
      <c r="N279" s="138">
        <f t="shared" si="82"/>
        <v>0</v>
      </c>
      <c r="O279" s="39"/>
      <c r="P279" s="39" t="s">
        <v>115</v>
      </c>
      <c r="Q279" s="137">
        <f t="shared" si="86"/>
        <v>0</v>
      </c>
    </row>
    <row r="280" spans="1:17">
      <c r="A280" t="str">
        <f t="shared" si="83"/>
        <v>MgmtFeeExpense</v>
      </c>
      <c r="B280" t="s">
        <v>371</v>
      </c>
      <c r="C280"/>
      <c r="D280" t="s">
        <v>427</v>
      </c>
      <c r="E280"/>
      <c r="F280" s="137">
        <f>SUMIF('BDC post TB'!B:B,Summary!A280,'BDC post TB'!J:J)</f>
        <v>3915499</v>
      </c>
      <c r="G280" s="137">
        <f>SUMIF('SBIC post TB(Closed)'!B:B,Summary!A280,'SBIC post TB(Closed)'!J:J)</f>
        <v>0</v>
      </c>
      <c r="H280" s="137">
        <f>SUMIF('SBICII post TB (closed)'!B:B,Summary!A280,'SBICII post TB (closed)'!J:J)</f>
        <v>0</v>
      </c>
      <c r="I280" s="137">
        <f t="shared" si="81"/>
        <v>3915499</v>
      </c>
      <c r="J280" s="67"/>
      <c r="K280" s="67"/>
      <c r="L280" s="67"/>
      <c r="M280" s="67"/>
      <c r="N280" s="138">
        <f t="shared" si="82"/>
        <v>3915499</v>
      </c>
      <c r="O280" s="39"/>
      <c r="P280" s="39" t="s">
        <v>15</v>
      </c>
      <c r="Q280" s="137">
        <f t="shared" si="86"/>
        <v>0</v>
      </c>
    </row>
    <row r="281" spans="1:17">
      <c r="A281" t="str">
        <f t="shared" si="83"/>
        <v>Mgt Fee Reporting</v>
      </c>
      <c r="B281" t="s">
        <v>371</v>
      </c>
      <c r="C281"/>
      <c r="D281" t="s">
        <v>428</v>
      </c>
      <c r="E281"/>
      <c r="F281" s="137">
        <f>SUMIF('BDC post TB'!B:B,Summary!A281,'BDC post TB'!J:J)</f>
        <v>0</v>
      </c>
      <c r="G281" s="137">
        <f>SUMIF('SBIC post TB(Closed)'!B:B,Summary!A281,'SBIC post TB(Closed)'!J:J)</f>
        <v>0</v>
      </c>
      <c r="H281" s="137">
        <f>SUMIF('SBICII post TB (closed)'!B:B,Summary!A281,'SBICII post TB (closed)'!J:J)</f>
        <v>0</v>
      </c>
      <c r="I281" s="137">
        <f t="shared" si="81"/>
        <v>0</v>
      </c>
      <c r="J281" s="67"/>
      <c r="K281" s="67"/>
      <c r="L281" s="67"/>
      <c r="M281" s="67"/>
      <c r="N281" s="138">
        <f t="shared" si="82"/>
        <v>0</v>
      </c>
      <c r="O281" s="39"/>
      <c r="P281" s="39" t="s">
        <v>31</v>
      </c>
      <c r="Q281" s="137">
        <f t="shared" si="86"/>
        <v>0</v>
      </c>
    </row>
    <row r="282" spans="1:17">
      <c r="A282" t="str">
        <f t="shared" si="83"/>
        <v>Origination Fee expense</v>
      </c>
      <c r="B282" t="s">
        <v>371</v>
      </c>
      <c r="C282"/>
      <c r="D282" t="s">
        <v>429</v>
      </c>
      <c r="E282"/>
      <c r="F282" s="137">
        <f>SUMIF('BDC post TB'!B:B,Summary!A282,'BDC post TB'!J:J)</f>
        <v>0</v>
      </c>
      <c r="G282" s="137">
        <f>SUMIF('SBIC post TB(Closed)'!B:B,Summary!A282,'SBIC post TB(Closed)'!J:J)</f>
        <v>0</v>
      </c>
      <c r="H282" s="137">
        <f>SUMIF('SBICII post TB (closed)'!B:B,Summary!A282,'SBICII post TB (closed)'!J:J)</f>
        <v>0</v>
      </c>
      <c r="I282" s="137">
        <f t="shared" si="81"/>
        <v>0</v>
      </c>
      <c r="J282" s="67"/>
      <c r="K282" s="67"/>
      <c r="L282" s="67"/>
      <c r="M282" s="67"/>
      <c r="N282" s="138">
        <f t="shared" si="82"/>
        <v>0</v>
      </c>
      <c r="O282" s="39"/>
      <c r="P282" s="39" t="s">
        <v>31</v>
      </c>
      <c r="Q282" s="137">
        <f t="shared" si="86"/>
        <v>0</v>
      </c>
    </row>
    <row r="283" spans="1:17">
      <c r="A283" t="str">
        <f t="shared" si="83"/>
        <v>OutOfPocketExpenses</v>
      </c>
      <c r="B283" t="s">
        <v>371</v>
      </c>
      <c r="C283"/>
      <c r="D283" t="s">
        <v>430</v>
      </c>
      <c r="E283"/>
      <c r="F283" s="137">
        <f>SUMIF('BDC post TB'!B:B,Summary!A283,'BDC post TB'!J:J)</f>
        <v>0</v>
      </c>
      <c r="G283" s="137">
        <f>SUMIF('SBIC post TB(Closed)'!B:B,Summary!A283,'SBIC post TB(Closed)'!J:J)</f>
        <v>0</v>
      </c>
      <c r="H283" s="137">
        <f>SUMIF('SBICII post TB (closed)'!B:B,Summary!A283,'SBICII post TB (closed)'!J:J)</f>
        <v>0</v>
      </c>
      <c r="I283" s="137">
        <f t="shared" si="81"/>
        <v>0</v>
      </c>
      <c r="J283" s="67"/>
      <c r="K283" s="67"/>
      <c r="L283" s="67"/>
      <c r="M283" s="67"/>
      <c r="N283" s="138">
        <f t="shared" si="82"/>
        <v>0</v>
      </c>
      <c r="O283" s="39"/>
      <c r="P283" s="39" t="s">
        <v>31</v>
      </c>
      <c r="Q283" s="137">
        <f t="shared" si="86"/>
        <v>0</v>
      </c>
    </row>
    <row r="284" spans="1:17">
      <c r="A284" t="str">
        <f t="shared" si="83"/>
        <v>Miscellaneous Expense</v>
      </c>
      <c r="B284" t="s">
        <v>371</v>
      </c>
      <c r="C284"/>
      <c r="D284" t="s">
        <v>431</v>
      </c>
      <c r="E284"/>
      <c r="F284" s="137">
        <f>SUMIF('BDC post TB'!B:B,Summary!A284,'BDC post TB'!J:J)</f>
        <v>19982.34</v>
      </c>
      <c r="G284" s="137">
        <f>SUMIF('SBIC post TB(Closed)'!B:B,Summary!A284,'SBIC post TB(Closed)'!J:J)</f>
        <v>0</v>
      </c>
      <c r="H284" s="137">
        <f>SUMIF('SBICII post TB (closed)'!B:B,Summary!A284,'SBICII post TB (closed)'!J:J)</f>
        <v>0</v>
      </c>
      <c r="I284" s="137">
        <f t="shared" si="81"/>
        <v>19982.34</v>
      </c>
      <c r="J284" s="67"/>
      <c r="K284" s="67"/>
      <c r="L284" s="67"/>
      <c r="M284" s="67"/>
      <c r="N284" s="138">
        <f t="shared" si="82"/>
        <v>19982.34</v>
      </c>
      <c r="O284" s="39"/>
      <c r="P284" s="39" t="s">
        <v>31</v>
      </c>
      <c r="Q284" s="137">
        <f t="shared" si="86"/>
        <v>0</v>
      </c>
    </row>
    <row r="285" spans="1:17">
      <c r="A285" t="str">
        <f t="shared" si="83"/>
        <v>Misc Expense</v>
      </c>
      <c r="B285" t="s">
        <v>371</v>
      </c>
      <c r="C285"/>
      <c r="D285" s="67" t="s">
        <v>432</v>
      </c>
      <c r="E285"/>
      <c r="F285" s="137">
        <f>SUMIF('BDC post TB'!B:B,Summary!A285,'BDC post TB'!J:J)</f>
        <v>0</v>
      </c>
      <c r="G285" s="137">
        <f>SUMIF('SBIC post TB(Closed)'!B:B,Summary!A285,'SBIC post TB(Closed)'!J:J)</f>
        <v>0</v>
      </c>
      <c r="H285" s="137">
        <f>SUMIF('SBICII post TB (closed)'!B:B,Summary!A285,'SBICII post TB (closed)'!J:J)</f>
        <v>0</v>
      </c>
      <c r="I285" s="137">
        <f t="shared" si="81"/>
        <v>0</v>
      </c>
      <c r="J285" s="67"/>
      <c r="K285" s="67"/>
      <c r="L285" s="67"/>
      <c r="M285" s="67"/>
      <c r="N285" s="138">
        <f t="shared" si="82"/>
        <v>0</v>
      </c>
      <c r="O285" s="39"/>
      <c r="P285" s="39" t="s">
        <v>31</v>
      </c>
      <c r="Q285" s="137"/>
    </row>
    <row r="286" spans="1:17">
      <c r="A286" t="str">
        <f t="shared" si="83"/>
        <v>Portfolio Investment Expense</v>
      </c>
      <c r="B286" t="s">
        <v>371</v>
      </c>
      <c r="C286"/>
      <c r="D286" s="67" t="s">
        <v>433</v>
      </c>
      <c r="E286"/>
      <c r="F286" s="137">
        <f>SUMIF('BDC post TB'!B:B,Summary!A286,'BDC post TB'!J:J)</f>
        <v>0</v>
      </c>
      <c r="G286" s="137">
        <f>SUMIF('SBIC post TB(Closed)'!B:B,Summary!A286,'SBIC post TB(Closed)'!J:J)</f>
        <v>0</v>
      </c>
      <c r="H286" s="137">
        <f>SUMIF('SBICII post TB (closed)'!B:B,Summary!A286,'SBICII post TB (closed)'!J:J)</f>
        <v>0</v>
      </c>
      <c r="I286" s="137">
        <f t="shared" si="81"/>
        <v>0</v>
      </c>
      <c r="J286" s="67"/>
      <c r="K286" s="67"/>
      <c r="L286" s="67"/>
      <c r="M286" s="67"/>
      <c r="N286" s="138">
        <f t="shared" si="82"/>
        <v>0</v>
      </c>
      <c r="O286" s="39"/>
      <c r="P286" s="39" t="s">
        <v>31</v>
      </c>
      <c r="Q286" s="137"/>
    </row>
    <row r="287" spans="1:17">
      <c r="A287" t="str">
        <f t="shared" si="83"/>
        <v>Offering Expense</v>
      </c>
      <c r="B287" t="s">
        <v>371</v>
      </c>
      <c r="C287"/>
      <c r="D287" t="s">
        <v>434</v>
      </c>
      <c r="E287"/>
      <c r="F287" s="137">
        <f>SUMIF('BDC post TB'!B:B,Summary!A287,'BDC post TB'!J:J)</f>
        <v>0</v>
      </c>
      <c r="G287" s="137">
        <f>SUMIF('SBIC post TB(Closed)'!B:B,Summary!A287,'SBIC post TB(Closed)'!J:J)</f>
        <v>0</v>
      </c>
      <c r="H287" s="137">
        <f>SUMIF('SBICII post TB (closed)'!B:B,Summary!A287,'SBICII post TB (closed)'!J:J)</f>
        <v>0</v>
      </c>
      <c r="I287" s="137">
        <f t="shared" si="81"/>
        <v>0</v>
      </c>
      <c r="J287" s="67"/>
      <c r="K287" s="67"/>
      <c r="L287" s="67"/>
      <c r="M287" s="67"/>
      <c r="N287" s="138">
        <f t="shared" si="82"/>
        <v>0</v>
      </c>
      <c r="O287" s="39"/>
      <c r="P287" s="39" t="s">
        <v>31</v>
      </c>
      <c r="Q287" s="137">
        <f>IF(AND(B287="Liabilities",N287&gt;0),N287,0)</f>
        <v>0</v>
      </c>
    </row>
    <row r="288" spans="1:17">
      <c r="A288" t="str">
        <f t="shared" si="83"/>
        <v>Partnership Fee Expense</v>
      </c>
      <c r="B288" t="s">
        <v>371</v>
      </c>
      <c r="C288"/>
      <c r="D288" t="s">
        <v>435</v>
      </c>
      <c r="E288"/>
      <c r="F288" s="137">
        <f>SUMIF('BDC post TB'!B:B,Summary!A288,'BDC post TB'!J:J)</f>
        <v>0</v>
      </c>
      <c r="G288" s="137">
        <f>SUMIF('SBIC post TB(Closed)'!B:B,Summary!A288,'SBIC post TB(Closed)'!J:J)</f>
        <v>0</v>
      </c>
      <c r="H288" s="137">
        <f>SUMIF('SBICII post TB (closed)'!B:B,Summary!A288,'SBICII post TB (closed)'!J:J)</f>
        <v>0</v>
      </c>
      <c r="I288" s="137">
        <f t="shared" si="81"/>
        <v>0</v>
      </c>
      <c r="J288" s="67"/>
      <c r="K288" s="67"/>
      <c r="L288" s="67"/>
      <c r="M288" s="67"/>
      <c r="N288" s="138">
        <f t="shared" si="82"/>
        <v>0</v>
      </c>
      <c r="O288" s="39"/>
      <c r="P288" s="39" t="s">
        <v>31</v>
      </c>
      <c r="Q288" s="137"/>
    </row>
    <row r="289" spans="1:17">
      <c r="A289" t="str">
        <f t="shared" si="83"/>
        <v>PP&amp;E Expense</v>
      </c>
      <c r="B289" t="s">
        <v>371</v>
      </c>
      <c r="C289"/>
      <c r="D289" t="s">
        <v>436</v>
      </c>
      <c r="E289"/>
      <c r="F289" s="137">
        <f>SUMIF('BDC post TB'!B:B,Summary!A289,'BDC post TB'!J:J)</f>
        <v>0</v>
      </c>
      <c r="G289" s="137">
        <f>SUMIF('SBIC post TB(Closed)'!B:B,Summary!A289,'SBIC post TB(Closed)'!J:J)</f>
        <v>0</v>
      </c>
      <c r="H289" s="137">
        <f>SUMIF('SBICII post TB (closed)'!B:B,Summary!A289,'SBICII post TB (closed)'!J:J)</f>
        <v>0</v>
      </c>
      <c r="I289" s="137">
        <f t="shared" si="81"/>
        <v>0</v>
      </c>
      <c r="J289" s="67"/>
      <c r="K289" s="67"/>
      <c r="L289" s="67"/>
      <c r="M289" s="67"/>
      <c r="N289" s="138">
        <f t="shared" si="82"/>
        <v>0</v>
      </c>
      <c r="O289" s="39"/>
      <c r="P289" s="39" t="s">
        <v>31</v>
      </c>
      <c r="Q289" s="137">
        <f t="shared" ref="Q289:Q298" si="87">IF(AND(B289="Liabilities",N289&gt;0),N289,0)</f>
        <v>0</v>
      </c>
    </row>
    <row r="290" spans="1:17">
      <c r="A290" t="str">
        <f t="shared" si="83"/>
        <v>Pricing Expense</v>
      </c>
      <c r="B290" t="s">
        <v>371</v>
      </c>
      <c r="C290"/>
      <c r="D290" t="s">
        <v>437</v>
      </c>
      <c r="E290"/>
      <c r="F290" s="137">
        <f>SUMIF('BDC post TB'!B:B,Summary!A290,'BDC post TB'!J:J)</f>
        <v>0</v>
      </c>
      <c r="G290" s="137">
        <f>SUMIF('SBIC post TB(Closed)'!B:B,Summary!A290,'SBIC post TB(Closed)'!J:J)</f>
        <v>0</v>
      </c>
      <c r="H290" s="137">
        <f>SUMIF('SBICII post TB (closed)'!B:B,Summary!A290,'SBICII post TB (closed)'!J:J)</f>
        <v>0</v>
      </c>
      <c r="I290" s="137">
        <f t="shared" si="81"/>
        <v>0</v>
      </c>
      <c r="J290" s="67"/>
      <c r="K290" s="67"/>
      <c r="L290" s="67"/>
      <c r="M290" s="67"/>
      <c r="N290" s="138">
        <f t="shared" si="82"/>
        <v>0</v>
      </c>
      <c r="O290" s="39"/>
      <c r="P290" s="39" t="s">
        <v>31</v>
      </c>
      <c r="Q290" s="137">
        <f t="shared" si="87"/>
        <v>0</v>
      </c>
    </row>
    <row r="291" spans="1:17">
      <c r="A291" t="str">
        <f t="shared" si="83"/>
        <v>Printing Fees</v>
      </c>
      <c r="B291" t="s">
        <v>371</v>
      </c>
      <c r="C291"/>
      <c r="D291" t="s">
        <v>438</v>
      </c>
      <c r="E291"/>
      <c r="F291" s="137">
        <f>SUMIF('BDC post TB'!B:B,Summary!A291,'BDC post TB'!J:J)</f>
        <v>0</v>
      </c>
      <c r="G291" s="137">
        <f>SUMIF('SBIC post TB(Closed)'!B:B,Summary!A291,'SBIC post TB(Closed)'!J:J)</f>
        <v>0</v>
      </c>
      <c r="H291" s="137">
        <f>SUMIF('SBICII post TB (closed)'!B:B,Summary!A291,'SBICII post TB (closed)'!J:J)</f>
        <v>0</v>
      </c>
      <c r="I291" s="137">
        <f t="shared" si="81"/>
        <v>0</v>
      </c>
      <c r="J291" s="67"/>
      <c r="K291" s="67"/>
      <c r="L291" s="67"/>
      <c r="M291" s="67"/>
      <c r="N291" s="138">
        <f t="shared" si="82"/>
        <v>0</v>
      </c>
      <c r="O291" s="39"/>
      <c r="P291" s="39" t="s">
        <v>31</v>
      </c>
      <c r="Q291" s="137">
        <f t="shared" si="87"/>
        <v>0</v>
      </c>
    </row>
    <row r="292" spans="1:17">
      <c r="A292" t="str">
        <f t="shared" si="83"/>
        <v>Proxy Expense</v>
      </c>
      <c r="B292" t="s">
        <v>371</v>
      </c>
      <c r="C292"/>
      <c r="D292" t="s">
        <v>439</v>
      </c>
      <c r="E292"/>
      <c r="F292" s="137">
        <f>SUMIF('BDC post TB'!B:B,Summary!A292,'BDC post TB'!J:J)</f>
        <v>0</v>
      </c>
      <c r="G292" s="137">
        <f>SUMIF('SBIC post TB(Closed)'!B:B,Summary!A292,'SBIC post TB(Closed)'!J:J)</f>
        <v>0</v>
      </c>
      <c r="H292" s="137">
        <f>SUMIF('SBICII post TB (closed)'!B:B,Summary!A292,'SBICII post TB (closed)'!J:J)</f>
        <v>0</v>
      </c>
      <c r="I292" s="137">
        <f t="shared" ref="I292:I313" si="88">SUM(F292:H292)</f>
        <v>0</v>
      </c>
      <c r="J292" s="67"/>
      <c r="K292" s="67"/>
      <c r="L292" s="67"/>
      <c r="M292" s="67"/>
      <c r="N292" s="138">
        <f t="shared" ref="N292:N313" si="89">SUM(I292:M292)</f>
        <v>0</v>
      </c>
      <c r="O292" s="39"/>
      <c r="P292" s="39" t="s">
        <v>31</v>
      </c>
      <c r="Q292" s="137">
        <f t="shared" si="87"/>
        <v>0</v>
      </c>
    </row>
    <row r="293" spans="1:17">
      <c r="A293" t="str">
        <f t="shared" si="83"/>
        <v>PurchasedAccruedInterestExpense</v>
      </c>
      <c r="B293" t="s">
        <v>371</v>
      </c>
      <c r="C293"/>
      <c r="D293" t="s">
        <v>440</v>
      </c>
      <c r="E293"/>
      <c r="F293" s="137">
        <f>SUMIF('BDC post TB'!B:B,Summary!A293,'BDC post TB'!J:J)</f>
        <v>104.04</v>
      </c>
      <c r="G293" s="137">
        <f>SUMIF('SBIC post TB(Closed)'!B:B,Summary!A293,'SBIC post TB(Closed)'!J:J)</f>
        <v>0</v>
      </c>
      <c r="H293" s="137">
        <f>SUMIF('SBICII post TB (closed)'!B:B,Summary!A293,'SBICII post TB (closed)'!J:J)</f>
        <v>0</v>
      </c>
      <c r="I293" s="137">
        <f t="shared" si="88"/>
        <v>104.04</v>
      </c>
      <c r="J293" s="67"/>
      <c r="K293" s="67"/>
      <c r="L293" s="67"/>
      <c r="M293" s="67"/>
      <c r="N293" s="138">
        <f t="shared" si="89"/>
        <v>104.04</v>
      </c>
      <c r="O293" s="39"/>
      <c r="P293" s="39" t="s">
        <v>7</v>
      </c>
      <c r="Q293" s="137">
        <f t="shared" si="87"/>
        <v>0</v>
      </c>
    </row>
    <row r="294" spans="1:17">
      <c r="A294" t="str">
        <f t="shared" si="83"/>
        <v>SBIC Incentive Fee Cap Gain</v>
      </c>
      <c r="B294" t="s">
        <v>371</v>
      </c>
      <c r="C294"/>
      <c r="D294" t="s">
        <v>441</v>
      </c>
      <c r="E294"/>
      <c r="F294" s="137">
        <f>SUMIF('BDC post TB'!B:B,Summary!A294,'BDC post TB'!J:J)</f>
        <v>0</v>
      </c>
      <c r="G294" s="137">
        <f>SUMIF('SBIC post TB(Closed)'!B:B,Summary!A294,'SBIC post TB(Closed)'!J:J)</f>
        <v>0</v>
      </c>
      <c r="H294" s="137">
        <f>SUMIF('SBICII post TB (closed)'!B:B,Summary!A294,'SBICII post TB (closed)'!J:J)</f>
        <v>0</v>
      </c>
      <c r="I294" s="137">
        <f t="shared" si="88"/>
        <v>0</v>
      </c>
      <c r="J294" s="67"/>
      <c r="K294" s="67"/>
      <c r="L294" s="67"/>
      <c r="M294" s="67"/>
      <c r="N294" s="138">
        <f t="shared" si="89"/>
        <v>0</v>
      </c>
      <c r="O294" s="39"/>
      <c r="P294" s="39" t="s">
        <v>23</v>
      </c>
      <c r="Q294" s="137">
        <f t="shared" si="87"/>
        <v>0</v>
      </c>
    </row>
    <row r="295" spans="1:17">
      <c r="A295" t="str">
        <f t="shared" si="83"/>
        <v>Section988Expense</v>
      </c>
      <c r="B295" t="s">
        <v>371</v>
      </c>
      <c r="C295"/>
      <c r="D295" t="s">
        <v>442</v>
      </c>
      <c r="E295"/>
      <c r="F295" s="137">
        <f>SUMIF('BDC post TB'!B:B,Summary!A295,'BDC post TB'!J:J)</f>
        <v>97107.66</v>
      </c>
      <c r="G295" s="137">
        <f>SUMIF('SBIC post TB(Closed)'!B:B,Summary!A295,'SBIC post TB(Closed)'!J:J)</f>
        <v>0</v>
      </c>
      <c r="H295" s="137">
        <f>SUMIF('SBICII post TB (closed)'!B:B,Summary!A295,'SBICII post TB (closed)'!J:J)</f>
        <v>0</v>
      </c>
      <c r="I295" s="137">
        <f t="shared" si="88"/>
        <v>97107.66</v>
      </c>
      <c r="J295" s="67"/>
      <c r="K295" s="67"/>
      <c r="L295" s="67"/>
      <c r="M295" s="67"/>
      <c r="N295" s="138">
        <f t="shared" si="89"/>
        <v>97107.66</v>
      </c>
      <c r="O295" s="39"/>
      <c r="P295" s="39" t="s">
        <v>51</v>
      </c>
      <c r="Q295" s="137">
        <f t="shared" si="87"/>
        <v>0</v>
      </c>
    </row>
    <row r="296" spans="1:17">
      <c r="A296" t="str">
        <f t="shared" si="83"/>
        <v>RelativePremiumAmortizationExpense</v>
      </c>
      <c r="B296" t="s">
        <v>371</v>
      </c>
      <c r="C296"/>
      <c r="D296" t="s">
        <v>443</v>
      </c>
      <c r="E296"/>
      <c r="F296" s="137">
        <f>SUMIF('BDC post TB'!B:B,Summary!A296,'BDC post TB'!J:J)</f>
        <v>0</v>
      </c>
      <c r="G296" s="137">
        <f>SUMIF('SBIC post TB(Closed)'!B:B,Summary!A296,'SBIC post TB(Closed)'!J:J)</f>
        <v>0</v>
      </c>
      <c r="H296" s="137">
        <f>SUMIF('SBICII post TB (closed)'!B:B,Summary!A296,'SBICII post TB (closed)'!J:J)</f>
        <v>0</v>
      </c>
      <c r="I296" s="137">
        <f t="shared" si="88"/>
        <v>0</v>
      </c>
      <c r="J296" s="67"/>
      <c r="K296" s="67"/>
      <c r="L296" s="67"/>
      <c r="M296" s="67"/>
      <c r="N296" s="138">
        <f t="shared" si="89"/>
        <v>0</v>
      </c>
      <c r="O296" s="39"/>
      <c r="P296" s="39" t="s">
        <v>7</v>
      </c>
      <c r="Q296" s="137">
        <f t="shared" si="87"/>
        <v>0</v>
      </c>
    </row>
    <row r="297" spans="1:17">
      <c r="A297" t="str">
        <f t="shared" si="83"/>
        <v>OIDAmortizationExpense</v>
      </c>
      <c r="B297" t="s">
        <v>371</v>
      </c>
      <c r="C297"/>
      <c r="D297" t="s">
        <v>444</v>
      </c>
      <c r="E297"/>
      <c r="F297" s="137">
        <f>SUMIF('BDC post TB'!B:B,Summary!A297,'BDC post TB'!J:J)</f>
        <v>0</v>
      </c>
      <c r="G297" s="137">
        <f>SUMIF('SBIC post TB(Closed)'!B:B,Summary!A297,'SBIC post TB(Closed)'!J:J)</f>
        <v>0</v>
      </c>
      <c r="H297" s="137">
        <f>SUMIF('SBICII post TB (closed)'!B:B,Summary!A297,'SBICII post TB (closed)'!J:J)</f>
        <v>0</v>
      </c>
      <c r="I297" s="137">
        <f t="shared" si="88"/>
        <v>0</v>
      </c>
      <c r="J297" s="67"/>
      <c r="K297" s="67"/>
      <c r="L297" s="67"/>
      <c r="M297" s="67"/>
      <c r="N297" s="138">
        <f t="shared" si="89"/>
        <v>0</v>
      </c>
      <c r="O297" s="39"/>
      <c r="P297" s="39" t="s">
        <v>7</v>
      </c>
      <c r="Q297" s="137">
        <f t="shared" si="87"/>
        <v>0</v>
      </c>
    </row>
    <row r="298" spans="1:17">
      <c r="A298" t="str">
        <f t="shared" si="83"/>
        <v>S&amp;P Listing Fee Expense</v>
      </c>
      <c r="B298" t="s">
        <v>371</v>
      </c>
      <c r="C298"/>
      <c r="D298" t="s">
        <v>445</v>
      </c>
      <c r="E298"/>
      <c r="F298" s="137">
        <f>SUMIF('BDC post TB'!B:B,Summary!A298,'BDC post TB'!J:J)</f>
        <v>0</v>
      </c>
      <c r="G298" s="137">
        <f>SUMIF('SBIC post TB(Closed)'!B:B,Summary!A298,'SBIC post TB(Closed)'!J:J)</f>
        <v>0</v>
      </c>
      <c r="H298" s="137">
        <f>SUMIF('SBICII post TB (closed)'!B:B,Summary!A298,'SBICII post TB (closed)'!J:J)</f>
        <v>0</v>
      </c>
      <c r="I298" s="137">
        <f t="shared" si="88"/>
        <v>0</v>
      </c>
      <c r="J298" s="67"/>
      <c r="K298" s="67"/>
      <c r="L298" s="67"/>
      <c r="M298" s="67"/>
      <c r="N298" s="138">
        <f t="shared" si="89"/>
        <v>0</v>
      </c>
      <c r="O298" s="39"/>
      <c r="P298" s="39" t="s">
        <v>31</v>
      </c>
      <c r="Q298" s="137">
        <f t="shared" si="87"/>
        <v>0</v>
      </c>
    </row>
    <row r="299" spans="1:17">
      <c r="A299" t="str">
        <f t="shared" si="83"/>
        <v>Incentive Fee - Capital Gains</v>
      </c>
      <c r="B299" t="s">
        <v>371</v>
      </c>
      <c r="C299"/>
      <c r="D299" t="s">
        <v>446</v>
      </c>
      <c r="E299"/>
      <c r="F299" s="137">
        <f>SUMIF('BDC post TB'!B:B,Summary!A299,'BDC post TB'!J:J)</f>
        <v>0</v>
      </c>
      <c r="G299" s="137">
        <f>SUMIF('SBIC post TB(Closed)'!B:B,Summary!A299,'SBIC post TB(Closed)'!J:J)</f>
        <v>0</v>
      </c>
      <c r="H299" s="137">
        <f>SUMIF('SBICII post TB (closed)'!B:B,Summary!A299,'SBICII post TB (closed)'!J:J)</f>
        <v>0</v>
      </c>
      <c r="I299" s="137">
        <f t="shared" si="88"/>
        <v>0</v>
      </c>
      <c r="J299" s="67"/>
      <c r="K299" s="67"/>
      <c r="L299" s="67"/>
      <c r="M299" s="67"/>
      <c r="N299" s="138">
        <f t="shared" si="89"/>
        <v>0</v>
      </c>
      <c r="O299" s="39"/>
      <c r="P299" s="39" t="s">
        <v>23</v>
      </c>
      <c r="Q299" s="137"/>
    </row>
    <row r="300" spans="1:17">
      <c r="A300" t="str">
        <f t="shared" si="83"/>
        <v>Swingline Interest Expense</v>
      </c>
      <c r="B300" t="s">
        <v>371</v>
      </c>
      <c r="C300"/>
      <c r="D300" t="s">
        <v>447</v>
      </c>
      <c r="E300"/>
      <c r="F300" s="137">
        <f>SUMIF('BDC post TB'!B:B,Summary!A300,'BDC post TB'!J:J)</f>
        <v>157876.71</v>
      </c>
      <c r="G300" s="137">
        <f>SUMIF('SBIC post TB(Closed)'!B:B,Summary!A300,'SBIC post TB(Closed)'!J:J)</f>
        <v>0</v>
      </c>
      <c r="H300" s="137">
        <f>SUMIF('SBICII post TB (closed)'!B:B,Summary!A300,'SBICII post TB (closed)'!J:J)</f>
        <v>0</v>
      </c>
      <c r="I300" s="137">
        <f t="shared" si="88"/>
        <v>157876.71</v>
      </c>
      <c r="J300" s="67"/>
      <c r="K300" s="67"/>
      <c r="L300" s="67"/>
      <c r="M300" s="67"/>
      <c r="N300" s="138">
        <f t="shared" si="89"/>
        <v>157876.71</v>
      </c>
      <c r="O300" s="39"/>
      <c r="P300" s="39" t="s">
        <v>27</v>
      </c>
      <c r="Q300" s="137">
        <f t="shared" ref="Q300:Q310" si="90">IF(AND(B300="Liabilities",N300&gt;0),N300,0)</f>
        <v>0</v>
      </c>
    </row>
    <row r="301" spans="1:17">
      <c r="A301" t="str">
        <f t="shared" si="83"/>
        <v>Tax Estimates Expense</v>
      </c>
      <c r="B301" t="s">
        <v>371</v>
      </c>
      <c r="C301"/>
      <c r="D301" t="s">
        <v>448</v>
      </c>
      <c r="E301"/>
      <c r="F301" s="137">
        <f>SUMIF('BDC post TB'!B:B,Summary!A301,'BDC post TB'!J:J)</f>
        <v>0</v>
      </c>
      <c r="G301" s="137">
        <f>SUMIF('SBIC post TB(Closed)'!B:B,Summary!A301,'SBIC post TB(Closed)'!J:J)</f>
        <v>0</v>
      </c>
      <c r="H301" s="137">
        <f>SUMIF('SBICII post TB (closed)'!B:B,Summary!A301,'SBICII post TB (closed)'!J:J)</f>
        <v>0</v>
      </c>
      <c r="I301" s="137">
        <f t="shared" si="88"/>
        <v>0</v>
      </c>
      <c r="J301" s="67"/>
      <c r="K301" s="67"/>
      <c r="L301" s="67"/>
      <c r="M301" s="67"/>
      <c r="N301" s="138">
        <f t="shared" si="89"/>
        <v>0</v>
      </c>
      <c r="O301" s="39"/>
      <c r="P301" s="39" t="s">
        <v>33</v>
      </c>
      <c r="Q301" s="137">
        <f t="shared" si="90"/>
        <v>0</v>
      </c>
    </row>
    <row r="302" spans="1:17">
      <c r="A302" t="str">
        <f t="shared" si="83"/>
        <v>Tax Expense</v>
      </c>
      <c r="B302" t="s">
        <v>371</v>
      </c>
      <c r="C302"/>
      <c r="D302" t="s">
        <v>449</v>
      </c>
      <c r="E302"/>
      <c r="F302" s="137">
        <f>SUMIF('BDC post TB'!B:B,Summary!A302,'BDC post TB'!J:J)</f>
        <v>660000</v>
      </c>
      <c r="G302" s="137">
        <f>SUMIF('SBIC post TB(Closed)'!B:B,Summary!A302,'SBIC post TB(Closed)'!J:J)</f>
        <v>0</v>
      </c>
      <c r="H302" s="137">
        <f>SUMIF('SBICII post TB (closed)'!B:B,Summary!A302,'SBICII post TB (closed)'!J:J)</f>
        <v>0</v>
      </c>
      <c r="I302" s="137">
        <f t="shared" si="88"/>
        <v>660000</v>
      </c>
      <c r="J302" s="67"/>
      <c r="K302" s="67"/>
      <c r="L302" s="67"/>
      <c r="M302" s="67"/>
      <c r="N302" s="138">
        <f t="shared" si="89"/>
        <v>660000</v>
      </c>
      <c r="O302" s="39"/>
      <c r="P302" s="39" t="s">
        <v>33</v>
      </c>
      <c r="Q302" s="137">
        <f t="shared" si="90"/>
        <v>0</v>
      </c>
    </row>
    <row r="303" spans="1:17">
      <c r="A303" t="str">
        <f t="shared" si="83"/>
        <v>Tax Preparation Expense</v>
      </c>
      <c r="B303" t="s">
        <v>371</v>
      </c>
      <c r="C303"/>
      <c r="D303" t="s">
        <v>450</v>
      </c>
      <c r="E303"/>
      <c r="F303" s="137">
        <f>SUMIF('BDC post TB'!B:B,Summary!A303,'BDC post TB'!J:J)</f>
        <v>0</v>
      </c>
      <c r="G303" s="137">
        <f>SUMIF('SBIC post TB(Closed)'!B:B,Summary!A303,'SBIC post TB(Closed)'!J:J)</f>
        <v>0</v>
      </c>
      <c r="H303" s="137">
        <f>SUMIF('SBICII post TB (closed)'!B:B,Summary!A303,'SBICII post TB (closed)'!J:J)</f>
        <v>0</v>
      </c>
      <c r="I303" s="137">
        <f t="shared" si="88"/>
        <v>0</v>
      </c>
      <c r="J303" s="67"/>
      <c r="K303" s="67"/>
      <c r="L303" s="67"/>
      <c r="M303" s="67"/>
      <c r="N303" s="138">
        <f t="shared" si="89"/>
        <v>0</v>
      </c>
      <c r="O303" s="39"/>
      <c r="P303" s="39" t="s">
        <v>33</v>
      </c>
      <c r="Q303" s="137">
        <f t="shared" si="90"/>
        <v>0</v>
      </c>
    </row>
    <row r="304" spans="1:17">
      <c r="A304" t="str">
        <f t="shared" si="83"/>
        <v>Tax Refund Due</v>
      </c>
      <c r="B304" t="s">
        <v>371</v>
      </c>
      <c r="C304"/>
      <c r="D304" t="s">
        <v>451</v>
      </c>
      <c r="E304"/>
      <c r="F304" s="137">
        <f>SUMIF('BDC post TB'!B:B,Summary!A304,'BDC post TB'!J:J)</f>
        <v>0</v>
      </c>
      <c r="G304" s="137">
        <f>SUMIF('SBIC post TB(Closed)'!B:B,Summary!A304,'SBIC post TB(Closed)'!J:J)</f>
        <v>0</v>
      </c>
      <c r="H304" s="137">
        <f>SUMIF('SBICII post TB (closed)'!B:B,Summary!A304,'SBICII post TB (closed)'!J:J)</f>
        <v>0</v>
      </c>
      <c r="I304" s="137">
        <f t="shared" si="88"/>
        <v>0</v>
      </c>
      <c r="J304" s="67"/>
      <c r="K304" s="67"/>
      <c r="L304" s="67"/>
      <c r="M304" s="67"/>
      <c r="N304" s="138">
        <f t="shared" si="89"/>
        <v>0</v>
      </c>
      <c r="O304" s="39"/>
      <c r="P304" s="39" t="s">
        <v>33</v>
      </c>
      <c r="Q304" s="137">
        <f t="shared" si="90"/>
        <v>0</v>
      </c>
    </row>
    <row r="305" spans="1:17">
      <c r="A305" t="str">
        <f t="shared" si="83"/>
        <v>Transfer Agent Service Fee</v>
      </c>
      <c r="B305" t="s">
        <v>371</v>
      </c>
      <c r="C305"/>
      <c r="D305" t="s">
        <v>452</v>
      </c>
      <c r="E305"/>
      <c r="F305" s="137">
        <f>SUMIF('BDC post TB'!B:B,Summary!A305,'BDC post TB'!J:J)</f>
        <v>0</v>
      </c>
      <c r="G305" s="137">
        <f>SUMIF('SBIC post TB(Closed)'!B:B,Summary!A305,'SBIC post TB(Closed)'!J:J)</f>
        <v>0</v>
      </c>
      <c r="H305" s="137">
        <f>SUMIF('SBICII post TB (closed)'!B:B,Summary!A305,'SBICII post TB (closed)'!J:J)</f>
        <v>0</v>
      </c>
      <c r="I305" s="137">
        <f t="shared" si="88"/>
        <v>0</v>
      </c>
      <c r="J305" s="67"/>
      <c r="K305" s="67"/>
      <c r="L305" s="67"/>
      <c r="M305" s="67"/>
      <c r="N305" s="138">
        <f t="shared" si="89"/>
        <v>0</v>
      </c>
      <c r="O305" s="39"/>
      <c r="P305" s="39" t="s">
        <v>31</v>
      </c>
      <c r="Q305" s="137">
        <f t="shared" si="90"/>
        <v>0</v>
      </c>
    </row>
    <row r="306" spans="1:17">
      <c r="A306" t="str">
        <f t="shared" si="83"/>
        <v>WSO Fee Expense</v>
      </c>
      <c r="B306" t="s">
        <v>371</v>
      </c>
      <c r="C306"/>
      <c r="D306" t="s">
        <v>453</v>
      </c>
      <c r="E306"/>
      <c r="F306" s="137">
        <f>SUMIF('BDC post TB'!B:B,Summary!A306,'BDC post TB'!J:J)</f>
        <v>0</v>
      </c>
      <c r="G306" s="137">
        <f>SUMIF('SBIC post TB(Closed)'!B:B,Summary!A306,'SBIC post TB(Closed)'!J:J)</f>
        <v>0</v>
      </c>
      <c r="H306" s="137">
        <f>SUMIF('SBICII post TB (closed)'!B:B,Summary!A306,'SBICII post TB (closed)'!J:J)</f>
        <v>0</v>
      </c>
      <c r="I306" s="137">
        <f t="shared" si="88"/>
        <v>0</v>
      </c>
      <c r="J306" s="67"/>
      <c r="K306" s="67"/>
      <c r="L306" s="67"/>
      <c r="M306" s="67"/>
      <c r="N306" s="138">
        <f t="shared" si="89"/>
        <v>0</v>
      </c>
      <c r="O306" s="39"/>
      <c r="P306" s="39" t="s">
        <v>31</v>
      </c>
      <c r="Q306" s="137">
        <f t="shared" si="90"/>
        <v>0</v>
      </c>
    </row>
    <row r="307" spans="1:17">
      <c r="A307" t="str">
        <f t="shared" si="83"/>
        <v>SBA Commitment Expense</v>
      </c>
      <c r="B307" t="s">
        <v>371</v>
      </c>
      <c r="C307"/>
      <c r="D307" t="s">
        <v>454</v>
      </c>
      <c r="E307"/>
      <c r="F307" s="137">
        <f>SUMIF('BDC post TB'!B:B,Summary!A307,'BDC post TB'!J:J)</f>
        <v>0</v>
      </c>
      <c r="G307" s="137">
        <f>SUMIF('SBIC post TB(Closed)'!B:B,Summary!A307,'SBIC post TB(Closed)'!J:J)</f>
        <v>0</v>
      </c>
      <c r="H307" s="137">
        <f>SUMIF('SBICII post TB (closed)'!B:B,Summary!A307,'SBICII post TB (closed)'!J:J)</f>
        <v>0</v>
      </c>
      <c r="I307" s="137">
        <f t="shared" si="88"/>
        <v>0</v>
      </c>
      <c r="J307" s="67"/>
      <c r="K307" s="67"/>
      <c r="L307" s="67"/>
      <c r="M307" s="67"/>
      <c r="N307" s="138">
        <f t="shared" si="89"/>
        <v>0</v>
      </c>
      <c r="O307" s="39"/>
      <c r="P307" s="39" t="s">
        <v>27</v>
      </c>
      <c r="Q307" s="137">
        <f t="shared" si="90"/>
        <v>0</v>
      </c>
    </row>
    <row r="308" spans="1:17">
      <c r="A308" t="str">
        <f t="shared" si="83"/>
        <v>SBA Debenture Interest Expense</v>
      </c>
      <c r="B308" t="s">
        <v>371</v>
      </c>
      <c r="C308"/>
      <c r="D308" t="s">
        <v>455</v>
      </c>
      <c r="E308"/>
      <c r="F308" s="137">
        <f>SUMIF('BDC post TB'!B:B,Summary!A308,'BDC post TB'!J:J)</f>
        <v>0</v>
      </c>
      <c r="G308" s="137">
        <f>SUMIF('SBIC post TB(Closed)'!B:B,Summary!A308,'SBIC post TB(Closed)'!J:J)</f>
        <v>0</v>
      </c>
      <c r="H308" s="137">
        <f>SUMIF('SBICII post TB (closed)'!B:B,Summary!A308,'SBICII post TB (closed)'!J:J)</f>
        <v>0</v>
      </c>
      <c r="I308" s="137">
        <f t="shared" si="88"/>
        <v>0</v>
      </c>
      <c r="J308" s="67"/>
      <c r="K308" s="67"/>
      <c r="L308" s="67"/>
      <c r="M308" s="67"/>
      <c r="N308" s="138">
        <f t="shared" si="89"/>
        <v>0</v>
      </c>
      <c r="O308" s="39"/>
      <c r="P308" s="39" t="s">
        <v>27</v>
      </c>
      <c r="Q308" s="137">
        <f t="shared" si="90"/>
        <v>0</v>
      </c>
    </row>
    <row r="309" spans="1:17">
      <c r="A309" t="str">
        <f t="shared" si="83"/>
        <v>SBA Drawdown Expense</v>
      </c>
      <c r="B309" t="s">
        <v>371</v>
      </c>
      <c r="C309"/>
      <c r="D309" t="s">
        <v>456</v>
      </c>
      <c r="E309"/>
      <c r="F309" s="137">
        <f>SUMIF('BDC post TB'!B:B,Summary!A309,'BDC post TB'!J:J)</f>
        <v>0</v>
      </c>
      <c r="G309" s="137">
        <f>SUMIF('SBIC post TB(Closed)'!B:B,Summary!A309,'SBIC post TB(Closed)'!J:J)</f>
        <v>0</v>
      </c>
      <c r="H309" s="137">
        <f>SUMIF('SBICII post TB (closed)'!B:B,Summary!A309,'SBICII post TB (closed)'!J:J)</f>
        <v>0</v>
      </c>
      <c r="I309" s="137">
        <f t="shared" si="88"/>
        <v>0</v>
      </c>
      <c r="J309" s="67"/>
      <c r="K309" s="67"/>
      <c r="L309" s="67"/>
      <c r="M309" s="67"/>
      <c r="N309" s="138">
        <f t="shared" si="89"/>
        <v>0</v>
      </c>
      <c r="O309" s="39"/>
      <c r="P309" s="39" t="s">
        <v>27</v>
      </c>
      <c r="Q309" s="137">
        <f t="shared" si="90"/>
        <v>0</v>
      </c>
    </row>
    <row r="310" spans="1:17" ht="12.75" customHeight="1">
      <c r="A310" t="str">
        <f t="shared" si="83"/>
        <v>SBA Examination Fee</v>
      </c>
      <c r="B310" t="s">
        <v>371</v>
      </c>
      <c r="C310"/>
      <c r="D310" t="s">
        <v>457</v>
      </c>
      <c r="E310"/>
      <c r="F310" s="137">
        <f>SUMIF('BDC post TB'!B:B,Summary!A310,'BDC post TB'!J:J)</f>
        <v>0</v>
      </c>
      <c r="G310" s="137">
        <f>SUMIF('SBIC post TB(Closed)'!B:B,Summary!A310,'SBIC post TB(Closed)'!J:J)</f>
        <v>0</v>
      </c>
      <c r="H310" s="137">
        <f>SUMIF('SBICII post TB (closed)'!B:B,Summary!A310,'SBICII post TB (closed)'!J:J)</f>
        <v>0</v>
      </c>
      <c r="I310" s="137">
        <f t="shared" si="88"/>
        <v>0</v>
      </c>
      <c r="J310" s="67"/>
      <c r="K310" s="67"/>
      <c r="L310" s="67"/>
      <c r="M310" s="67"/>
      <c r="N310" s="138">
        <f t="shared" si="89"/>
        <v>0</v>
      </c>
      <c r="O310" s="39"/>
      <c r="P310" s="39" t="s">
        <v>31</v>
      </c>
      <c r="Q310" s="137">
        <f t="shared" si="90"/>
        <v>0</v>
      </c>
    </row>
    <row r="311" spans="1:17" ht="15" customHeight="1">
      <c r="A311" t="str">
        <f t="shared" si="83"/>
        <v>UnfundedLiabilityInterestExpense</v>
      </c>
      <c r="B311" s="120" t="s">
        <v>371</v>
      </c>
      <c r="C311" s="120"/>
      <c r="D311" s="120" t="s">
        <v>458</v>
      </c>
      <c r="E311"/>
      <c r="F311" s="137">
        <f>SUMIF('BDC post TB'!B:B,Summary!A311,'BDC post TB'!J:J)</f>
        <v>0</v>
      </c>
      <c r="G311" s="137">
        <f>SUMIF('SBIC post TB(Closed)'!B:B,Summary!A311,'SBIC post TB(Closed)'!J:J)</f>
        <v>0</v>
      </c>
      <c r="H311" s="137">
        <f>SUMIF('SBICII post TB (closed)'!B:B,Summary!A311,'SBICII post TB (closed)'!J:J)</f>
        <v>0</v>
      </c>
      <c r="I311" s="137">
        <f t="shared" si="88"/>
        <v>0</v>
      </c>
      <c r="J311" s="67"/>
      <c r="K311" s="67"/>
      <c r="L311" s="67"/>
      <c r="M311" s="67"/>
      <c r="N311" s="138">
        <f t="shared" si="89"/>
        <v>0</v>
      </c>
      <c r="O311" s="39"/>
      <c r="P311" s="39" t="s">
        <v>7</v>
      </c>
      <c r="Q311" s="137"/>
    </row>
    <row r="312" spans="1:17">
      <c r="A312" t="str">
        <f t="shared" si="83"/>
        <v>TotalDiscountAmortizationExpense</v>
      </c>
      <c r="B312" t="s">
        <v>371</v>
      </c>
      <c r="C312"/>
      <c r="D312" t="s">
        <v>459</v>
      </c>
      <c r="E312"/>
      <c r="F312" s="137">
        <f>SUMIF('BDC post TB'!B:B,Summary!A312,'BDC post TB'!J:J)</f>
        <v>0</v>
      </c>
      <c r="G312" s="137">
        <f>SUMIF('SBIC post TB(Closed)'!B:B,Summary!A312,'SBIC post TB(Closed)'!J:J)</f>
        <v>0</v>
      </c>
      <c r="H312" s="137">
        <f>SUMIF('SBICII post TB (closed)'!B:B,Summary!A312,'SBICII post TB (closed)'!J:J)</f>
        <v>0</v>
      </c>
      <c r="I312" s="137">
        <f t="shared" si="88"/>
        <v>0</v>
      </c>
      <c r="J312" s="67"/>
      <c r="K312" s="67"/>
      <c r="L312" s="67"/>
      <c r="M312" s="67"/>
      <c r="N312" s="138">
        <f t="shared" si="89"/>
        <v>0</v>
      </c>
      <c r="O312" s="39"/>
      <c r="P312" s="39" t="s">
        <v>7</v>
      </c>
      <c r="Q312" s="137"/>
    </row>
    <row r="313" spans="1:17">
      <c r="A313" t="str">
        <f t="shared" si="83"/>
        <v>TotalPremiumAmortizationExpense</v>
      </c>
      <c r="B313" t="s">
        <v>371</v>
      </c>
      <c r="C313"/>
      <c r="D313" t="s">
        <v>460</v>
      </c>
      <c r="E313"/>
      <c r="F313" s="137">
        <f>SUMIF('BDC post TB'!B:B,Summary!A313,'BDC post TB'!J:J)</f>
        <v>9895.5499999999993</v>
      </c>
      <c r="G313" s="137">
        <f>SUMIF('SBIC post TB(Closed)'!B:B,Summary!A313,'SBIC post TB(Closed)'!J:J)</f>
        <v>0</v>
      </c>
      <c r="H313" s="137">
        <f>SUMIF('SBICII post TB (closed)'!B:B,Summary!A313,'SBICII post TB (closed)'!J:J)</f>
        <v>0</v>
      </c>
      <c r="I313" s="137">
        <f t="shared" si="88"/>
        <v>9895.5499999999993</v>
      </c>
      <c r="J313" s="67"/>
      <c r="K313" s="67"/>
      <c r="L313" s="67"/>
      <c r="M313" s="67"/>
      <c r="N313" s="138">
        <f t="shared" si="89"/>
        <v>9895.5499999999993</v>
      </c>
      <c r="O313" s="39"/>
      <c r="P313" s="39" t="s">
        <v>7</v>
      </c>
      <c r="Q313" s="137"/>
    </row>
    <row r="314" spans="1:17">
      <c r="A314" t="str">
        <f t="shared" ref="A314" si="91">CONCATENATE(D314,E314)</f>
        <v/>
      </c>
      <c r="B314"/>
      <c r="C314"/>
      <c r="D314"/>
      <c r="E314"/>
      <c r="F314" s="56">
        <f>SUM(F1:F313)</f>
        <v>-2.6084308046847582E-9</v>
      </c>
      <c r="G314" s="56">
        <f>SUM(G1:G310)</f>
        <v>0</v>
      </c>
      <c r="H314" s="56">
        <f>SUM(H1:H310)</f>
        <v>0</v>
      </c>
      <c r="I314" s="56">
        <f t="shared" ref="I314:N314" si="92">SUM(I1:I313)</f>
        <v>-2.6084308046847582E-9</v>
      </c>
      <c r="J314" s="56">
        <f t="shared" si="92"/>
        <v>0</v>
      </c>
      <c r="K314" s="56">
        <f t="shared" si="92"/>
        <v>0</v>
      </c>
      <c r="L314" s="56">
        <f t="shared" si="92"/>
        <v>0</v>
      </c>
      <c r="M314" s="56">
        <f t="shared" si="92"/>
        <v>0</v>
      </c>
      <c r="N314" s="56">
        <f t="shared" si="92"/>
        <v>-2.6084308046847582E-9</v>
      </c>
      <c r="O314" s="39"/>
      <c r="P314" s="39"/>
      <c r="Q314" s="137"/>
    </row>
    <row r="315" spans="1:17">
      <c r="B315"/>
      <c r="C315"/>
      <c r="D315"/>
      <c r="E315"/>
      <c r="J315" s="67"/>
      <c r="K315" s="67"/>
      <c r="L315" s="67"/>
      <c r="M315" s="67"/>
      <c r="N315" s="67"/>
      <c r="O315" s="39"/>
      <c r="P315" s="39"/>
      <c r="Q315" s="137"/>
    </row>
    <row r="316" spans="1:17">
      <c r="B316"/>
      <c r="C316"/>
      <c r="D316" s="80" t="s">
        <v>461</v>
      </c>
      <c r="E316" s="57" t="s">
        <v>462</v>
      </c>
      <c r="F316" s="56">
        <f>SUMIF('BDC post TB'!C:C,Summary!E316,'BDC post TB'!D:D)</f>
        <v>459259258.49000001</v>
      </c>
      <c r="G316" s="56">
        <f>SUMIF('SBIC post TB(Closed)'!C:C,Summary!E316,'SBIC post TB(Closed)'!D:D)</f>
        <v>0</v>
      </c>
      <c r="H316" s="58">
        <f>SUMIF('SBICII post TB (closed)'!C:C,Summary!E316,'SBICII post TB (closed)'!D:D)</f>
        <v>0</v>
      </c>
      <c r="J316" s="149">
        <f>SUM(J314:L314)</f>
        <v>0</v>
      </c>
      <c r="K316" s="67"/>
      <c r="L316" s="67"/>
      <c r="M316" s="67"/>
      <c r="N316" s="67"/>
      <c r="O316" s="39"/>
      <c r="P316" s="39"/>
      <c r="Q316" s="137"/>
    </row>
    <row r="317" spans="1:17">
      <c r="B317"/>
      <c r="C317"/>
      <c r="D317" s="79">
        <f>J316</f>
        <v>0</v>
      </c>
      <c r="E317" s="59"/>
      <c r="F317" s="2"/>
      <c r="G317" s="2"/>
      <c r="H317" s="60"/>
      <c r="O317" s="39"/>
      <c r="P317" s="39"/>
      <c r="Q317" s="137"/>
    </row>
    <row r="318" spans="1:17">
      <c r="B318"/>
      <c r="C318"/>
      <c r="D318" s="80"/>
      <c r="E318" s="150" t="s">
        <v>5</v>
      </c>
      <c r="F318" s="2">
        <f t="shared" ref="F318:H319" ca="1" si="93">SUMIF($B:$B,$E318,F$1:F$315)</f>
        <v>649419193.11999989</v>
      </c>
      <c r="G318" s="2">
        <f t="shared" ca="1" si="93"/>
        <v>0</v>
      </c>
      <c r="H318" s="60">
        <f t="shared" ca="1" si="93"/>
        <v>0</v>
      </c>
      <c r="O318" s="39"/>
      <c r="P318" s="39"/>
      <c r="Q318" s="137"/>
    </row>
    <row r="319" spans="1:17">
      <c r="B319"/>
      <c r="C319"/>
      <c r="D319" s="81">
        <f ca="1">F321</f>
        <v>0</v>
      </c>
      <c r="E319" s="59" t="s">
        <v>26</v>
      </c>
      <c r="F319" s="2">
        <f t="shared" ca="1" si="93"/>
        <v>-190159934.63</v>
      </c>
      <c r="G319" s="2">
        <f t="shared" ca="1" si="93"/>
        <v>0</v>
      </c>
      <c r="H319" s="60">
        <f t="shared" ca="1" si="93"/>
        <v>0</v>
      </c>
      <c r="O319" s="39"/>
      <c r="P319" s="39"/>
      <c r="Q319" s="137"/>
    </row>
    <row r="320" spans="1:17">
      <c r="B320"/>
      <c r="C320"/>
      <c r="D320" s="81">
        <f ca="1">G321</f>
        <v>0</v>
      </c>
      <c r="E320" s="59"/>
      <c r="F320" s="56">
        <f ca="1">SUM(F318:F319)</f>
        <v>459259258.48999989</v>
      </c>
      <c r="G320" s="56">
        <f ca="1">SUM(G318:G319)</f>
        <v>0</v>
      </c>
      <c r="H320" s="58">
        <f ca="1">SUM(H318:H319)</f>
        <v>0</v>
      </c>
      <c r="J320" s="67"/>
      <c r="O320" s="39"/>
      <c r="P320" s="39"/>
      <c r="Q320" s="137"/>
    </row>
    <row r="321" spans="1:17">
      <c r="B321"/>
      <c r="C321"/>
      <c r="D321" s="79">
        <f ca="1">H321</f>
        <v>0</v>
      </c>
      <c r="E321" s="151" t="s">
        <v>463</v>
      </c>
      <c r="F321" s="76">
        <f ca="1">+F320-F316</f>
        <v>0</v>
      </c>
      <c r="G321" s="76">
        <f ca="1">+G320-G316</f>
        <v>0</v>
      </c>
      <c r="H321" s="77">
        <f ca="1">+H320-H316</f>
        <v>0</v>
      </c>
      <c r="O321" s="39"/>
      <c r="P321" s="39"/>
      <c r="Q321" s="137"/>
    </row>
    <row r="322" spans="1:17">
      <c r="B322"/>
      <c r="C322"/>
      <c r="D322" s="79">
        <f ca="1">F327</f>
        <v>0</v>
      </c>
      <c r="E322" s="59"/>
      <c r="F322" s="2"/>
      <c r="G322" s="2"/>
      <c r="H322" s="60"/>
      <c r="O322" s="39"/>
      <c r="P322" s="39"/>
      <c r="Q322" s="137"/>
    </row>
    <row r="323" spans="1:17">
      <c r="B323"/>
      <c r="C323"/>
      <c r="D323" s="79">
        <f ca="1">G327</f>
        <v>0</v>
      </c>
      <c r="E323" s="59" t="s">
        <v>297</v>
      </c>
      <c r="F323" s="2">
        <f t="shared" ref="F323:H325" ca="1" si="94">SUMIF($B:$B,$E323,F$1:F$315)</f>
        <v>-463950187.20000005</v>
      </c>
      <c r="G323" s="2">
        <f t="shared" ca="1" si="94"/>
        <v>0</v>
      </c>
      <c r="H323" s="60">
        <f t="shared" ca="1" si="94"/>
        <v>0</v>
      </c>
      <c r="O323" s="39"/>
      <c r="P323" s="39"/>
      <c r="Q323" s="137"/>
    </row>
    <row r="324" spans="1:17">
      <c r="B324"/>
      <c r="C324"/>
      <c r="D324" s="79">
        <f ca="1">H327</f>
        <v>0</v>
      </c>
      <c r="E324" s="59" t="s">
        <v>324</v>
      </c>
      <c r="F324" s="2">
        <f t="shared" ca="1" si="94"/>
        <v>-39938362.159999996</v>
      </c>
      <c r="G324" s="2">
        <f t="shared" ca="1" si="94"/>
        <v>0</v>
      </c>
      <c r="H324" s="60">
        <f t="shared" ca="1" si="94"/>
        <v>0</v>
      </c>
      <c r="O324" s="39"/>
      <c r="P324" s="39"/>
      <c r="Q324" s="137"/>
    </row>
    <row r="325" spans="1:17">
      <c r="B325"/>
      <c r="C325"/>
      <c r="D325" s="80" t="s">
        <v>464</v>
      </c>
      <c r="E325" s="59" t="s">
        <v>371</v>
      </c>
      <c r="F325" s="2">
        <f t="shared" ca="1" si="94"/>
        <v>44629290.869999997</v>
      </c>
      <c r="G325" s="2">
        <f t="shared" ca="1" si="94"/>
        <v>0</v>
      </c>
      <c r="H325" s="60">
        <f t="shared" ca="1" si="94"/>
        <v>0</v>
      </c>
      <c r="O325" s="39"/>
      <c r="P325" s="39"/>
      <c r="Q325" s="137"/>
    </row>
    <row r="326" spans="1:17">
      <c r="A326" s="67" t="s">
        <v>76</v>
      </c>
      <c r="B326"/>
      <c r="C326"/>
      <c r="D326" s="79">
        <f>'Balance Sheet'!I46</f>
        <v>-0.33999991416931152</v>
      </c>
      <c r="E326" s="59"/>
      <c r="F326" s="56">
        <f ca="1">SUM(F323:F325)</f>
        <v>-459259258.49000001</v>
      </c>
      <c r="G326" s="56">
        <f ca="1">SUM(G323:G325)</f>
        <v>0</v>
      </c>
      <c r="H326" s="58">
        <f ca="1">SUM(H323:H325)</f>
        <v>0</v>
      </c>
      <c r="O326" s="39"/>
      <c r="P326" s="39"/>
      <c r="Q326" s="137"/>
    </row>
    <row r="327" spans="1:17">
      <c r="B327"/>
      <c r="C327"/>
      <c r="D327" s="79">
        <f>'Balance Sheet'!J46</f>
        <v>0.33999991416931152</v>
      </c>
      <c r="E327" s="151" t="s">
        <v>463</v>
      </c>
      <c r="F327" s="74">
        <f ca="1">+F326+F316</f>
        <v>0</v>
      </c>
      <c r="G327" s="74">
        <f ca="1">+G326+G316</f>
        <v>0</v>
      </c>
      <c r="H327" s="75">
        <f ca="1">+H326+H316</f>
        <v>0</v>
      </c>
      <c r="I327" s="1" t="str">
        <f ca="1">IF(H327&gt;0.5,"Reasearch","  ")</f>
        <v xml:space="preserve">  </v>
      </c>
      <c r="L327" s="1"/>
      <c r="M327" s="1"/>
      <c r="O327" s="39"/>
      <c r="P327" s="39"/>
      <c r="Q327" s="137"/>
    </row>
    <row r="328" spans="1:17">
      <c r="B328"/>
      <c r="C328"/>
      <c r="D328" s="79">
        <f>'Balance Sheet'!I49</f>
        <v>-3.4874571517260478E-3</v>
      </c>
      <c r="E328" s="59"/>
      <c r="F328" s="2"/>
      <c r="G328" s="2"/>
      <c r="H328" s="60"/>
      <c r="O328" s="39"/>
      <c r="P328" s="39"/>
      <c r="Q328" s="137"/>
    </row>
    <row r="329" spans="1:17">
      <c r="B329"/>
      <c r="C329"/>
      <c r="D329" s="79">
        <f>'Balance Sheet'!J49</f>
        <v>-3.4874571517260478E-3</v>
      </c>
      <c r="E329" s="59"/>
      <c r="F329" s="2"/>
      <c r="G329" s="2"/>
      <c r="H329" s="60"/>
      <c r="O329" s="39"/>
      <c r="P329" s="39"/>
      <c r="Q329" s="137"/>
    </row>
    <row r="330" spans="1:17">
      <c r="B330"/>
      <c r="C330"/>
      <c r="D330" s="67"/>
      <c r="E330" s="59"/>
      <c r="F330" s="2"/>
      <c r="G330" s="2"/>
      <c r="H330" s="60"/>
      <c r="O330" s="39"/>
      <c r="P330" s="39"/>
      <c r="Q330" s="137"/>
    </row>
    <row r="331" spans="1:17">
      <c r="B331"/>
      <c r="C331"/>
      <c r="D331"/>
      <c r="E331" s="61"/>
      <c r="F331" s="62"/>
      <c r="G331" s="62"/>
      <c r="H331" s="63"/>
      <c r="O331" s="39"/>
      <c r="P331" s="39"/>
      <c r="Q331" s="137"/>
    </row>
    <row r="332" spans="1:17">
      <c r="B332"/>
      <c r="C332"/>
      <c r="D332"/>
      <c r="E332"/>
      <c r="O332" s="39"/>
      <c r="P332" s="39"/>
      <c r="Q332" s="137"/>
    </row>
    <row r="333" spans="1:17">
      <c r="B333"/>
      <c r="C333"/>
      <c r="D333"/>
      <c r="E333"/>
      <c r="O333" s="39"/>
      <c r="P333" s="39"/>
      <c r="Q333" s="137"/>
    </row>
    <row r="334" spans="1:17">
      <c r="B334"/>
      <c r="C334"/>
      <c r="D334"/>
      <c r="E334"/>
      <c r="O334" s="39"/>
      <c r="P334" s="39"/>
      <c r="Q334" s="137"/>
    </row>
    <row r="335" spans="1:17" s="10" customFormat="1" ht="113.25" customHeight="1">
      <c r="A335" s="24"/>
      <c r="B335" s="153" t="s">
        <v>92</v>
      </c>
      <c r="C335" s="153"/>
      <c r="D335" s="153"/>
      <c r="E335" s="153"/>
      <c r="F335" s="153"/>
    </row>
    <row r="336" spans="1:17" s="10" customFormat="1">
      <c r="A336" s="24"/>
      <c r="D336" s="12"/>
      <c r="F336" s="12"/>
    </row>
    <row r="337" spans="1:17" s="10" customFormat="1" ht="237.75" customHeight="1">
      <c r="A337" s="24"/>
      <c r="B337" s="153" t="s">
        <v>93</v>
      </c>
      <c r="C337" s="153"/>
      <c r="D337" s="153"/>
      <c r="E337" s="153"/>
      <c r="F337" s="153"/>
    </row>
    <row r="338" spans="1:17">
      <c r="B338"/>
      <c r="C338"/>
      <c r="D338"/>
      <c r="E338"/>
      <c r="O338" s="39"/>
      <c r="P338" s="39"/>
      <c r="Q338" s="137"/>
    </row>
    <row r="339" spans="1:17">
      <c r="B339"/>
      <c r="C339"/>
      <c r="D339"/>
      <c r="E339"/>
      <c r="O339" s="39"/>
      <c r="P339" s="39"/>
      <c r="Q339" s="137"/>
    </row>
    <row r="340" spans="1:17">
      <c r="O340" s="39"/>
      <c r="P340" s="39"/>
      <c r="Q340" s="137"/>
    </row>
    <row r="341" spans="1:17">
      <c r="O341" s="39"/>
      <c r="P341" s="39"/>
      <c r="Q341" s="137"/>
    </row>
    <row r="342" spans="1:17">
      <c r="O342" s="39"/>
      <c r="P342" s="39"/>
      <c r="Q342" s="137"/>
    </row>
    <row r="343" spans="1:17">
      <c r="O343" s="39"/>
      <c r="P343" s="39"/>
      <c r="Q343" s="137"/>
    </row>
    <row r="344" spans="1:17">
      <c r="O344" s="39"/>
      <c r="P344" s="39"/>
      <c r="Q344" s="137"/>
    </row>
    <row r="345" spans="1:17">
      <c r="O345" s="39"/>
      <c r="P345" s="39"/>
      <c r="Q345" s="137"/>
    </row>
    <row r="346" spans="1:17">
      <c r="O346" s="39"/>
      <c r="P346" s="39"/>
      <c r="Q346" s="137"/>
    </row>
    <row r="347" spans="1:17">
      <c r="O347" s="39"/>
      <c r="P347" s="39"/>
      <c r="Q347" s="137"/>
    </row>
    <row r="348" spans="1:17">
      <c r="O348" s="39"/>
      <c r="P348" s="39"/>
      <c r="Q348" s="137"/>
    </row>
    <row r="349" spans="1:17">
      <c r="O349" s="39"/>
      <c r="P349" s="39"/>
      <c r="Q349" s="137"/>
    </row>
    <row r="350" spans="1:17">
      <c r="O350" s="39"/>
      <c r="P350" s="39"/>
      <c r="Q350" s="137"/>
    </row>
    <row r="351" spans="1:17">
      <c r="O351" s="39"/>
      <c r="P351" s="39"/>
      <c r="Q351" s="137"/>
    </row>
    <row r="352" spans="1:17">
      <c r="B352"/>
      <c r="C352"/>
      <c r="D352"/>
      <c r="E352"/>
      <c r="F352"/>
      <c r="G352"/>
      <c r="H352"/>
      <c r="I352"/>
      <c r="O352" s="39"/>
      <c r="P352" s="39"/>
      <c r="Q352" s="137"/>
    </row>
    <row r="353" spans="2:17">
      <c r="B353"/>
      <c r="C353"/>
      <c r="D353"/>
      <c r="E353"/>
      <c r="F353"/>
      <c r="G353"/>
      <c r="H353"/>
      <c r="I353"/>
      <c r="O353" s="39"/>
      <c r="P353" s="39"/>
      <c r="Q353" s="137"/>
    </row>
    <row r="354" spans="2:17">
      <c r="B354"/>
      <c r="C354"/>
      <c r="D354"/>
      <c r="E354"/>
      <c r="F354"/>
      <c r="G354"/>
      <c r="H354"/>
      <c r="I354"/>
      <c r="O354" s="39"/>
      <c r="P354" s="39"/>
      <c r="Q354" s="137"/>
    </row>
    <row r="355" spans="2:17">
      <c r="B355"/>
      <c r="C355"/>
      <c r="D355"/>
      <c r="E355"/>
      <c r="F355"/>
      <c r="G355"/>
      <c r="H355"/>
      <c r="I355"/>
      <c r="O355" s="39"/>
      <c r="P355" s="39"/>
      <c r="Q355" s="137"/>
    </row>
    <row r="356" spans="2:17">
      <c r="B356"/>
      <c r="C356"/>
      <c r="D356"/>
      <c r="E356"/>
      <c r="F356"/>
      <c r="G356"/>
      <c r="H356"/>
      <c r="I356"/>
      <c r="O356" s="39"/>
      <c r="P356" s="39"/>
      <c r="Q356" s="137"/>
    </row>
    <row r="357" spans="2:17">
      <c r="B357"/>
      <c r="C357"/>
      <c r="D357"/>
      <c r="E357"/>
      <c r="F357"/>
      <c r="G357"/>
      <c r="H357"/>
      <c r="I357"/>
      <c r="O357" s="39"/>
      <c r="P357" s="39"/>
      <c r="Q357" s="137"/>
    </row>
    <row r="358" spans="2:17">
      <c r="B358"/>
      <c r="C358"/>
      <c r="D358"/>
      <c r="E358"/>
      <c r="F358"/>
      <c r="G358"/>
      <c r="H358"/>
      <c r="I358"/>
      <c r="O358" s="39"/>
      <c r="P358" s="39"/>
      <c r="Q358" s="137"/>
    </row>
    <row r="359" spans="2:17">
      <c r="B359"/>
      <c r="C359"/>
      <c r="D359"/>
      <c r="E359"/>
      <c r="F359"/>
      <c r="G359"/>
      <c r="H359"/>
      <c r="I359"/>
      <c r="O359" s="39"/>
      <c r="P359" s="39"/>
      <c r="Q359" s="137"/>
    </row>
    <row r="360" spans="2:17">
      <c r="B360"/>
      <c r="C360"/>
      <c r="D360"/>
      <c r="E360"/>
      <c r="F360"/>
      <c r="G360"/>
      <c r="H360"/>
      <c r="I360"/>
      <c r="O360" s="39"/>
      <c r="P360" s="39"/>
      <c r="Q360" s="137"/>
    </row>
    <row r="361" spans="2:17">
      <c r="B361"/>
      <c r="C361"/>
      <c r="D361"/>
      <c r="E361"/>
      <c r="F361"/>
      <c r="G361"/>
      <c r="H361"/>
      <c r="I361"/>
      <c r="O361" s="39"/>
      <c r="P361" s="39"/>
      <c r="Q361" s="137"/>
    </row>
    <row r="362" spans="2:17">
      <c r="B362"/>
      <c r="C362"/>
      <c r="D362"/>
      <c r="E362"/>
      <c r="F362"/>
      <c r="G362"/>
      <c r="H362"/>
      <c r="I362"/>
      <c r="O362" s="39"/>
      <c r="P362" s="39"/>
      <c r="Q362" s="137"/>
    </row>
    <row r="363" spans="2:17">
      <c r="B363"/>
      <c r="C363"/>
      <c r="D363"/>
      <c r="E363"/>
      <c r="F363"/>
      <c r="G363"/>
      <c r="H363"/>
      <c r="I363"/>
      <c r="O363" s="39"/>
      <c r="P363" s="39"/>
      <c r="Q363" s="137"/>
    </row>
    <row r="364" spans="2:17">
      <c r="B364"/>
      <c r="C364"/>
      <c r="D364"/>
      <c r="E364"/>
      <c r="F364"/>
      <c r="G364"/>
      <c r="H364"/>
      <c r="I364"/>
      <c r="O364" s="39"/>
      <c r="P364" s="39"/>
      <c r="Q364" s="137"/>
    </row>
    <row r="365" spans="2:17">
      <c r="B365"/>
      <c r="C365"/>
      <c r="D365"/>
      <c r="E365"/>
      <c r="F365"/>
      <c r="G365"/>
      <c r="H365"/>
      <c r="I365"/>
      <c r="O365" s="39"/>
      <c r="P365" s="39"/>
      <c r="Q365" s="137"/>
    </row>
    <row r="366" spans="2:17">
      <c r="B366"/>
      <c r="C366"/>
      <c r="D366"/>
      <c r="E366"/>
      <c r="F366"/>
      <c r="G366"/>
      <c r="H366"/>
      <c r="I366"/>
      <c r="O366" s="39"/>
      <c r="P366" s="39"/>
      <c r="Q366" s="137"/>
    </row>
    <row r="367" spans="2:17">
      <c r="B367"/>
      <c r="C367"/>
      <c r="D367"/>
      <c r="E367"/>
      <c r="F367"/>
      <c r="G367"/>
      <c r="H367"/>
      <c r="I367"/>
      <c r="O367" s="39"/>
      <c r="P367" s="39"/>
      <c r="Q367" s="137"/>
    </row>
    <row r="368" spans="2:17">
      <c r="B368"/>
      <c r="C368"/>
      <c r="D368"/>
      <c r="E368"/>
      <c r="F368"/>
      <c r="G368"/>
      <c r="H368"/>
      <c r="I368"/>
      <c r="O368" s="39"/>
      <c r="P368" s="39"/>
      <c r="Q368" s="137"/>
    </row>
    <row r="369" spans="2:17">
      <c r="B369"/>
      <c r="C369"/>
      <c r="D369"/>
      <c r="E369"/>
      <c r="F369"/>
      <c r="G369"/>
      <c r="H369"/>
      <c r="I369"/>
      <c r="O369" s="39"/>
      <c r="P369" s="39"/>
      <c r="Q369" s="137"/>
    </row>
    <row r="370" spans="2:17">
      <c r="B370"/>
      <c r="C370"/>
      <c r="D370"/>
      <c r="E370"/>
      <c r="F370"/>
      <c r="G370"/>
      <c r="H370"/>
      <c r="I370"/>
      <c r="O370" s="39"/>
      <c r="P370" s="39"/>
      <c r="Q370" s="137"/>
    </row>
    <row r="371" spans="2:17">
      <c r="B371"/>
      <c r="C371"/>
      <c r="D371"/>
      <c r="E371"/>
      <c r="F371"/>
      <c r="G371"/>
      <c r="H371"/>
      <c r="I371"/>
      <c r="O371" s="39"/>
      <c r="P371" s="39"/>
      <c r="Q371" s="137"/>
    </row>
    <row r="372" spans="2:17">
      <c r="B372"/>
      <c r="C372"/>
      <c r="D372"/>
      <c r="E372"/>
      <c r="F372"/>
      <c r="G372"/>
      <c r="H372"/>
      <c r="I372"/>
      <c r="O372" s="39"/>
      <c r="P372" s="39"/>
      <c r="Q372" s="137"/>
    </row>
    <row r="373" spans="2:17">
      <c r="B373"/>
      <c r="C373"/>
      <c r="D373"/>
      <c r="E373"/>
      <c r="F373"/>
      <c r="G373"/>
      <c r="H373"/>
      <c r="I373"/>
      <c r="O373" s="39"/>
      <c r="P373" s="39"/>
      <c r="Q373" s="137"/>
    </row>
    <row r="374" spans="2:17">
      <c r="B374"/>
      <c r="C374"/>
      <c r="D374"/>
      <c r="E374"/>
      <c r="F374"/>
      <c r="G374"/>
      <c r="H374"/>
      <c r="I374"/>
      <c r="O374" s="39"/>
      <c r="P374" s="39"/>
      <c r="Q374" s="137"/>
    </row>
    <row r="375" spans="2:17">
      <c r="B375"/>
      <c r="C375"/>
      <c r="D375"/>
      <c r="E375"/>
      <c r="F375"/>
      <c r="G375"/>
      <c r="H375"/>
      <c r="I375"/>
      <c r="O375" s="39"/>
      <c r="P375" s="39"/>
      <c r="Q375" s="137"/>
    </row>
    <row r="376" spans="2:17">
      <c r="B376"/>
      <c r="C376"/>
      <c r="D376"/>
      <c r="E376"/>
      <c r="F376"/>
      <c r="G376"/>
      <c r="H376"/>
      <c r="I376"/>
      <c r="O376" s="39"/>
      <c r="P376" s="39"/>
      <c r="Q376" s="137"/>
    </row>
    <row r="377" spans="2:17">
      <c r="B377"/>
      <c r="C377"/>
      <c r="D377"/>
      <c r="E377"/>
      <c r="F377"/>
      <c r="G377"/>
      <c r="H377"/>
      <c r="I377"/>
      <c r="O377" s="39"/>
      <c r="P377" s="39"/>
      <c r="Q377" s="137"/>
    </row>
    <row r="378" spans="2:17">
      <c r="B378"/>
      <c r="C378"/>
      <c r="D378"/>
      <c r="E378"/>
      <c r="F378"/>
      <c r="G378"/>
      <c r="H378"/>
      <c r="I378"/>
      <c r="O378" s="39"/>
      <c r="P378" s="39"/>
      <c r="Q378" s="137"/>
    </row>
    <row r="379" spans="2:17">
      <c r="B379"/>
      <c r="C379"/>
      <c r="D379"/>
      <c r="E379"/>
      <c r="F379"/>
      <c r="G379"/>
      <c r="H379"/>
      <c r="I379"/>
      <c r="O379" s="39"/>
      <c r="P379" s="39"/>
      <c r="Q379" s="137"/>
    </row>
    <row r="380" spans="2:17">
      <c r="B380"/>
      <c r="C380"/>
      <c r="D380"/>
      <c r="E380"/>
      <c r="F380"/>
      <c r="G380"/>
      <c r="H380"/>
      <c r="I380"/>
      <c r="O380" s="39"/>
      <c r="P380" s="39"/>
      <c r="Q380" s="137"/>
    </row>
    <row r="381" spans="2:17">
      <c r="B381"/>
      <c r="C381"/>
      <c r="D381"/>
      <c r="E381"/>
      <c r="F381"/>
      <c r="G381"/>
      <c r="H381"/>
      <c r="I381"/>
      <c r="O381" s="39"/>
      <c r="P381" s="39"/>
      <c r="Q381" s="137"/>
    </row>
    <row r="382" spans="2:17">
      <c r="B382"/>
      <c r="C382"/>
      <c r="D382"/>
      <c r="E382"/>
      <c r="F382"/>
      <c r="G382"/>
      <c r="H382"/>
      <c r="I382"/>
      <c r="O382" s="39"/>
      <c r="P382" s="39"/>
      <c r="Q382" s="137"/>
    </row>
    <row r="383" spans="2:17">
      <c r="B383"/>
      <c r="C383"/>
      <c r="D383"/>
      <c r="E383"/>
      <c r="F383"/>
      <c r="G383"/>
      <c r="H383"/>
      <c r="I383"/>
      <c r="O383" s="39"/>
      <c r="P383" s="39"/>
      <c r="Q383" s="137"/>
    </row>
    <row r="384" spans="2:17">
      <c r="B384"/>
      <c r="C384"/>
      <c r="D384"/>
      <c r="E384"/>
      <c r="F384"/>
      <c r="G384"/>
      <c r="H384"/>
      <c r="I384"/>
      <c r="O384" s="39"/>
      <c r="P384" s="39"/>
      <c r="Q384" s="137"/>
    </row>
    <row r="385" spans="2:17">
      <c r="B385"/>
      <c r="C385"/>
      <c r="D385"/>
      <c r="E385"/>
      <c r="F385"/>
      <c r="G385"/>
      <c r="H385"/>
      <c r="I385"/>
      <c r="O385" s="39"/>
      <c r="P385" s="39"/>
      <c r="Q385" s="137"/>
    </row>
    <row r="386" spans="2:17">
      <c r="B386"/>
      <c r="C386"/>
      <c r="D386"/>
      <c r="E386"/>
      <c r="F386"/>
      <c r="G386"/>
      <c r="H386"/>
      <c r="I386"/>
      <c r="O386" s="39"/>
      <c r="P386" s="39"/>
      <c r="Q386" s="137"/>
    </row>
    <row r="387" spans="2:17">
      <c r="B387"/>
      <c r="C387"/>
      <c r="D387"/>
      <c r="E387"/>
      <c r="F387"/>
      <c r="G387"/>
      <c r="H387"/>
      <c r="I387"/>
      <c r="O387" s="39"/>
      <c r="P387" s="39"/>
      <c r="Q387" s="137"/>
    </row>
    <row r="388" spans="2:17">
      <c r="B388"/>
      <c r="C388"/>
      <c r="D388"/>
      <c r="E388"/>
      <c r="F388"/>
      <c r="G388"/>
      <c r="H388"/>
      <c r="I388"/>
      <c r="O388" s="39"/>
      <c r="P388" s="39"/>
      <c r="Q388" s="137"/>
    </row>
    <row r="389" spans="2:17">
      <c r="B389"/>
      <c r="C389"/>
      <c r="D389"/>
      <c r="E389"/>
      <c r="F389"/>
      <c r="G389"/>
      <c r="H389"/>
      <c r="I389"/>
      <c r="O389" s="39"/>
      <c r="P389" s="39"/>
      <c r="Q389" s="137"/>
    </row>
    <row r="390" spans="2:17">
      <c r="B390"/>
      <c r="C390"/>
      <c r="D390"/>
      <c r="E390"/>
      <c r="F390"/>
      <c r="G390"/>
      <c r="H390"/>
      <c r="I390"/>
      <c r="O390" s="39"/>
      <c r="P390" s="39"/>
      <c r="Q390" s="137"/>
    </row>
    <row r="391" spans="2:17">
      <c r="B391"/>
      <c r="C391"/>
      <c r="D391"/>
      <c r="E391"/>
      <c r="F391"/>
      <c r="G391"/>
      <c r="H391"/>
      <c r="I391"/>
      <c r="O391" s="39"/>
      <c r="P391" s="39"/>
      <c r="Q391" s="137"/>
    </row>
    <row r="392" spans="2:17">
      <c r="B392"/>
      <c r="C392"/>
      <c r="D392"/>
      <c r="E392"/>
      <c r="F392"/>
      <c r="G392"/>
      <c r="H392"/>
      <c r="I392"/>
      <c r="O392" s="39"/>
      <c r="P392" s="39"/>
      <c r="Q392" s="137"/>
    </row>
    <row r="393" spans="2:17">
      <c r="B393"/>
      <c r="C393"/>
      <c r="D393"/>
      <c r="E393"/>
      <c r="F393"/>
      <c r="G393"/>
      <c r="H393"/>
      <c r="I393"/>
      <c r="O393" s="39"/>
      <c r="P393" s="39"/>
      <c r="Q393" s="137"/>
    </row>
    <row r="394" spans="2:17">
      <c r="B394"/>
      <c r="C394"/>
      <c r="D394"/>
      <c r="E394"/>
      <c r="F394"/>
      <c r="G394"/>
      <c r="H394"/>
      <c r="I394"/>
      <c r="O394" s="39"/>
      <c r="P394" s="39"/>
      <c r="Q394" s="137"/>
    </row>
    <row r="395" spans="2:17">
      <c r="B395"/>
      <c r="C395"/>
      <c r="D395"/>
      <c r="E395"/>
      <c r="F395"/>
      <c r="G395"/>
      <c r="H395"/>
      <c r="I395"/>
      <c r="O395" s="39"/>
      <c r="P395" s="39"/>
      <c r="Q395" s="137"/>
    </row>
    <row r="396" spans="2:17">
      <c r="B396"/>
      <c r="C396"/>
      <c r="D396"/>
      <c r="E396"/>
      <c r="F396"/>
      <c r="G396"/>
      <c r="H396"/>
      <c r="I396"/>
      <c r="O396" s="39"/>
      <c r="P396" s="39"/>
      <c r="Q396" s="137"/>
    </row>
    <row r="397" spans="2:17">
      <c r="B397"/>
      <c r="C397"/>
      <c r="D397"/>
      <c r="E397"/>
      <c r="F397"/>
      <c r="G397"/>
      <c r="H397"/>
      <c r="I397"/>
      <c r="O397" s="39"/>
      <c r="P397" s="39"/>
      <c r="Q397" s="137"/>
    </row>
    <row r="398" spans="2:17">
      <c r="B398"/>
      <c r="C398"/>
      <c r="D398"/>
      <c r="E398"/>
      <c r="F398"/>
      <c r="G398"/>
      <c r="H398"/>
      <c r="I398"/>
      <c r="O398" s="39"/>
      <c r="P398" s="39"/>
      <c r="Q398" s="137"/>
    </row>
    <row r="399" spans="2:17">
      <c r="B399"/>
      <c r="C399"/>
      <c r="D399"/>
      <c r="E399"/>
      <c r="F399"/>
      <c r="G399"/>
      <c r="H399"/>
      <c r="I399"/>
      <c r="O399" s="39"/>
      <c r="P399" s="39"/>
      <c r="Q399" s="137"/>
    </row>
    <row r="400" spans="2:17">
      <c r="B400"/>
      <c r="C400"/>
      <c r="D400"/>
      <c r="E400"/>
      <c r="F400"/>
      <c r="G400"/>
      <c r="H400"/>
      <c r="I400"/>
      <c r="O400" s="39"/>
      <c r="P400" s="39"/>
      <c r="Q400" s="137"/>
    </row>
    <row r="401" spans="2:17">
      <c r="B401"/>
      <c r="C401"/>
      <c r="D401"/>
      <c r="E401"/>
      <c r="F401"/>
      <c r="G401"/>
      <c r="H401"/>
      <c r="I401"/>
      <c r="O401" s="39"/>
      <c r="P401" s="39"/>
      <c r="Q401" s="137"/>
    </row>
    <row r="402" spans="2:17">
      <c r="B402"/>
      <c r="C402"/>
      <c r="D402"/>
      <c r="E402"/>
      <c r="F402"/>
      <c r="G402"/>
      <c r="H402"/>
      <c r="I402"/>
      <c r="O402" s="39"/>
      <c r="P402" s="39"/>
      <c r="Q402" s="137"/>
    </row>
    <row r="403" spans="2:17">
      <c r="B403"/>
      <c r="C403"/>
      <c r="D403"/>
      <c r="E403"/>
      <c r="F403"/>
      <c r="G403"/>
      <c r="H403"/>
      <c r="I403"/>
      <c r="O403" s="39"/>
      <c r="P403" s="39"/>
      <c r="Q403" s="137"/>
    </row>
    <row r="404" spans="2:17">
      <c r="B404"/>
      <c r="C404"/>
      <c r="D404"/>
      <c r="E404"/>
      <c r="F404"/>
      <c r="G404"/>
      <c r="H404"/>
      <c r="I404"/>
      <c r="O404" s="39"/>
      <c r="P404" s="39"/>
      <c r="Q404" s="137"/>
    </row>
    <row r="405" spans="2:17">
      <c r="B405"/>
      <c r="C405"/>
      <c r="D405"/>
      <c r="E405"/>
      <c r="F405"/>
      <c r="G405"/>
      <c r="H405"/>
      <c r="I405"/>
      <c r="O405" s="39"/>
      <c r="P405" s="39"/>
      <c r="Q405" s="137"/>
    </row>
    <row r="406" spans="2:17">
      <c r="B406"/>
      <c r="C406"/>
      <c r="D406"/>
      <c r="E406"/>
      <c r="F406"/>
      <c r="G406"/>
      <c r="H406"/>
      <c r="I406"/>
      <c r="O406" s="39"/>
      <c r="P406" s="39"/>
      <c r="Q406" s="137"/>
    </row>
    <row r="407" spans="2:17">
      <c r="B407"/>
      <c r="C407"/>
      <c r="D407"/>
      <c r="E407"/>
      <c r="F407"/>
      <c r="G407"/>
      <c r="H407"/>
      <c r="I407"/>
      <c r="O407" s="39"/>
      <c r="P407" s="39"/>
      <c r="Q407" s="137"/>
    </row>
    <row r="408" spans="2:17">
      <c r="B408"/>
      <c r="C408"/>
      <c r="D408"/>
      <c r="E408"/>
      <c r="F408"/>
      <c r="G408"/>
      <c r="H408"/>
      <c r="I408"/>
      <c r="O408" s="39"/>
      <c r="P408" s="39"/>
      <c r="Q408" s="137"/>
    </row>
    <row r="409" spans="2:17">
      <c r="B409"/>
      <c r="C409"/>
      <c r="D409"/>
      <c r="E409"/>
      <c r="F409"/>
      <c r="G409"/>
      <c r="H409"/>
      <c r="I409"/>
      <c r="O409" s="39"/>
      <c r="P409" s="39"/>
      <c r="Q409" s="137"/>
    </row>
    <row r="410" spans="2:17">
      <c r="B410"/>
      <c r="C410"/>
      <c r="D410"/>
      <c r="E410"/>
      <c r="F410"/>
      <c r="G410"/>
      <c r="H410"/>
      <c r="I410"/>
      <c r="O410" s="39"/>
      <c r="P410" s="39"/>
      <c r="Q410" s="137"/>
    </row>
    <row r="411" spans="2:17">
      <c r="B411"/>
      <c r="C411"/>
      <c r="D411"/>
      <c r="E411"/>
      <c r="F411"/>
      <c r="G411"/>
      <c r="H411"/>
      <c r="I411"/>
      <c r="O411" s="39"/>
      <c r="P411" s="39"/>
      <c r="Q411" s="137"/>
    </row>
    <row r="412" spans="2:17">
      <c r="B412"/>
      <c r="C412"/>
      <c r="D412"/>
      <c r="E412"/>
      <c r="F412"/>
      <c r="G412"/>
      <c r="H412"/>
      <c r="I412"/>
      <c r="O412" s="39"/>
      <c r="P412" s="39"/>
      <c r="Q412" s="137"/>
    </row>
    <row r="413" spans="2:17">
      <c r="B413"/>
      <c r="C413"/>
      <c r="D413"/>
      <c r="E413"/>
      <c r="F413"/>
      <c r="G413"/>
      <c r="H413"/>
      <c r="I413"/>
      <c r="O413" s="39"/>
      <c r="P413" s="39"/>
      <c r="Q413" s="137"/>
    </row>
    <row r="414" spans="2:17">
      <c r="B414"/>
      <c r="C414"/>
      <c r="D414"/>
      <c r="E414"/>
      <c r="F414"/>
      <c r="G414"/>
      <c r="H414"/>
      <c r="I414"/>
      <c r="O414" s="39"/>
      <c r="P414" s="39"/>
      <c r="Q414" s="137"/>
    </row>
    <row r="415" spans="2:17">
      <c r="B415"/>
      <c r="C415"/>
      <c r="D415"/>
      <c r="E415"/>
      <c r="F415"/>
      <c r="G415"/>
      <c r="H415"/>
      <c r="I415"/>
      <c r="O415" s="39"/>
      <c r="P415" s="39"/>
      <c r="Q415" s="137"/>
    </row>
    <row r="416" spans="2:17">
      <c r="B416"/>
      <c r="C416"/>
      <c r="D416"/>
      <c r="E416"/>
      <c r="F416"/>
      <c r="G416"/>
      <c r="H416"/>
      <c r="I416"/>
      <c r="O416" s="39"/>
      <c r="P416" s="39"/>
      <c r="Q416" s="137"/>
    </row>
    <row r="417" spans="2:17">
      <c r="B417"/>
      <c r="C417"/>
      <c r="D417"/>
      <c r="E417"/>
      <c r="F417"/>
      <c r="G417"/>
      <c r="H417"/>
      <c r="I417"/>
      <c r="O417" s="39"/>
      <c r="P417" s="39"/>
      <c r="Q417" s="137"/>
    </row>
    <row r="418" spans="2:17">
      <c r="B418"/>
      <c r="C418"/>
      <c r="D418"/>
      <c r="E418"/>
      <c r="F418"/>
      <c r="G418"/>
      <c r="H418"/>
      <c r="I418"/>
      <c r="O418" s="39"/>
      <c r="P418" s="39"/>
      <c r="Q418" s="137"/>
    </row>
    <row r="419" spans="2:17">
      <c r="B419"/>
      <c r="C419"/>
      <c r="D419"/>
      <c r="E419"/>
      <c r="F419"/>
      <c r="G419"/>
      <c r="H419"/>
      <c r="I419"/>
      <c r="O419" s="39"/>
      <c r="P419" s="39"/>
      <c r="Q419" s="137"/>
    </row>
    <row r="420" spans="2:17">
      <c r="B420"/>
      <c r="C420"/>
      <c r="D420"/>
      <c r="E420"/>
      <c r="F420"/>
      <c r="G420"/>
      <c r="H420"/>
      <c r="I420"/>
      <c r="O420" s="39"/>
      <c r="P420" s="39"/>
      <c r="Q420" s="137"/>
    </row>
    <row r="421" spans="2:17">
      <c r="B421"/>
      <c r="C421"/>
      <c r="D421"/>
      <c r="E421"/>
      <c r="F421"/>
      <c r="G421"/>
      <c r="H421"/>
      <c r="I421"/>
      <c r="O421" s="39"/>
      <c r="P421" s="39"/>
      <c r="Q421" s="137"/>
    </row>
    <row r="422" spans="2:17">
      <c r="B422"/>
      <c r="C422"/>
      <c r="D422"/>
      <c r="E422"/>
      <c r="F422"/>
      <c r="G422"/>
      <c r="H422"/>
      <c r="I422"/>
      <c r="O422" s="39"/>
      <c r="P422" s="39"/>
      <c r="Q422" s="137"/>
    </row>
    <row r="423" spans="2:17">
      <c r="B423"/>
      <c r="C423"/>
      <c r="D423"/>
      <c r="E423"/>
      <c r="F423"/>
      <c r="G423"/>
      <c r="H423"/>
      <c r="I423"/>
      <c r="O423" s="39"/>
      <c r="P423" s="39"/>
      <c r="Q423" s="137"/>
    </row>
    <row r="424" spans="2:17">
      <c r="B424"/>
      <c r="C424"/>
      <c r="D424"/>
      <c r="E424"/>
      <c r="F424"/>
      <c r="G424"/>
      <c r="H424"/>
      <c r="I424"/>
      <c r="O424" s="39"/>
      <c r="P424" s="39"/>
      <c r="Q424" s="137"/>
    </row>
    <row r="425" spans="2:17">
      <c r="B425"/>
      <c r="C425"/>
      <c r="D425"/>
      <c r="E425"/>
      <c r="F425"/>
      <c r="G425"/>
      <c r="H425"/>
      <c r="I425"/>
      <c r="O425" s="39"/>
      <c r="P425" s="39"/>
      <c r="Q425" s="137"/>
    </row>
    <row r="426" spans="2:17">
      <c r="B426"/>
      <c r="C426"/>
      <c r="D426"/>
      <c r="E426"/>
      <c r="F426"/>
      <c r="G426"/>
      <c r="H426"/>
      <c r="I426"/>
      <c r="O426" s="39"/>
      <c r="P426" s="39"/>
      <c r="Q426" s="137"/>
    </row>
    <row r="427" spans="2:17">
      <c r="B427"/>
      <c r="C427"/>
      <c r="D427"/>
      <c r="E427"/>
      <c r="F427"/>
      <c r="G427"/>
      <c r="H427"/>
      <c r="I427"/>
      <c r="O427" s="39"/>
      <c r="P427" s="39"/>
      <c r="Q427" s="137"/>
    </row>
    <row r="428" spans="2:17">
      <c r="B428"/>
      <c r="C428"/>
      <c r="D428"/>
      <c r="E428"/>
      <c r="F428"/>
      <c r="G428"/>
      <c r="H428"/>
      <c r="I428"/>
      <c r="O428" s="39"/>
      <c r="P428" s="39"/>
      <c r="Q428" s="137"/>
    </row>
    <row r="429" spans="2:17">
      <c r="B429"/>
      <c r="C429"/>
      <c r="D429"/>
      <c r="E429"/>
      <c r="F429"/>
      <c r="G429"/>
      <c r="H429"/>
      <c r="I429"/>
      <c r="O429" s="39"/>
      <c r="P429" s="39"/>
      <c r="Q429" s="137"/>
    </row>
    <row r="430" spans="2:17">
      <c r="B430"/>
      <c r="C430"/>
      <c r="D430"/>
      <c r="E430"/>
      <c r="F430"/>
      <c r="G430"/>
      <c r="H430"/>
      <c r="I430"/>
      <c r="O430" s="39"/>
      <c r="P430" s="39"/>
      <c r="Q430" s="137"/>
    </row>
    <row r="431" spans="2:17">
      <c r="B431"/>
      <c r="C431"/>
      <c r="D431"/>
      <c r="E431"/>
      <c r="F431"/>
      <c r="G431"/>
      <c r="H431"/>
      <c r="I431"/>
      <c r="O431" s="39"/>
      <c r="P431" s="39"/>
      <c r="Q431" s="137"/>
    </row>
    <row r="432" spans="2:17">
      <c r="B432"/>
      <c r="C432"/>
      <c r="D432"/>
      <c r="E432"/>
      <c r="F432"/>
      <c r="G432"/>
      <c r="H432"/>
      <c r="I432"/>
      <c r="O432" s="39"/>
      <c r="P432" s="39"/>
      <c r="Q432" s="137"/>
    </row>
    <row r="433" spans="2:17">
      <c r="B433"/>
      <c r="C433"/>
      <c r="D433"/>
      <c r="E433"/>
      <c r="F433"/>
      <c r="G433"/>
      <c r="H433"/>
      <c r="I433"/>
      <c r="O433" s="39"/>
      <c r="P433" s="39"/>
      <c r="Q433" s="137"/>
    </row>
    <row r="434" spans="2:17">
      <c r="B434"/>
      <c r="C434"/>
      <c r="D434"/>
      <c r="E434"/>
      <c r="F434"/>
      <c r="G434"/>
      <c r="H434"/>
      <c r="I434"/>
      <c r="O434" s="39"/>
      <c r="P434" s="39"/>
      <c r="Q434" s="137"/>
    </row>
    <row r="435" spans="2:17">
      <c r="B435"/>
      <c r="C435"/>
      <c r="D435"/>
      <c r="E435"/>
      <c r="F435"/>
      <c r="G435"/>
      <c r="H435"/>
      <c r="I435"/>
      <c r="O435" s="39"/>
      <c r="P435" s="39"/>
      <c r="Q435" s="137"/>
    </row>
    <row r="436" spans="2:17">
      <c r="B436"/>
      <c r="C436"/>
      <c r="D436"/>
      <c r="E436"/>
      <c r="F436"/>
      <c r="G436"/>
      <c r="H436"/>
      <c r="I436"/>
      <c r="O436" s="39"/>
      <c r="P436" s="39"/>
      <c r="Q436" s="137"/>
    </row>
    <row r="437" spans="2:17">
      <c r="B437"/>
      <c r="C437"/>
      <c r="D437"/>
      <c r="E437"/>
      <c r="F437"/>
      <c r="G437"/>
      <c r="H437"/>
      <c r="I437"/>
      <c r="O437" s="39"/>
      <c r="P437" s="39"/>
      <c r="Q437" s="137"/>
    </row>
    <row r="438" spans="2:17">
      <c r="B438"/>
      <c r="C438"/>
      <c r="D438"/>
      <c r="E438"/>
      <c r="F438"/>
      <c r="G438"/>
      <c r="H438"/>
      <c r="I438"/>
      <c r="O438" s="39"/>
      <c r="P438" s="39"/>
      <c r="Q438" s="137"/>
    </row>
    <row r="439" spans="2:17">
      <c r="B439"/>
      <c r="C439"/>
      <c r="D439"/>
      <c r="E439"/>
      <c r="F439"/>
      <c r="G439"/>
      <c r="H439"/>
      <c r="I439"/>
      <c r="O439" s="39"/>
      <c r="P439" s="39"/>
      <c r="Q439" s="137"/>
    </row>
    <row r="440" spans="2:17">
      <c r="B440"/>
      <c r="C440"/>
      <c r="D440"/>
      <c r="E440"/>
      <c r="F440"/>
      <c r="G440"/>
      <c r="H440"/>
      <c r="I440"/>
      <c r="O440" s="39"/>
      <c r="P440" s="39"/>
      <c r="Q440" s="137"/>
    </row>
    <row r="441" spans="2:17">
      <c r="B441"/>
      <c r="C441"/>
      <c r="D441"/>
      <c r="E441"/>
      <c r="F441"/>
      <c r="G441"/>
      <c r="H441"/>
      <c r="I441"/>
      <c r="O441" s="39"/>
      <c r="P441" s="39"/>
      <c r="Q441" s="137"/>
    </row>
    <row r="442" spans="2:17">
      <c r="B442"/>
      <c r="C442"/>
      <c r="D442"/>
      <c r="E442"/>
      <c r="F442"/>
      <c r="G442"/>
      <c r="H442"/>
      <c r="I442"/>
      <c r="O442" s="39"/>
      <c r="P442" s="39"/>
      <c r="Q442" s="137"/>
    </row>
    <row r="443" spans="2:17">
      <c r="B443"/>
      <c r="C443"/>
      <c r="D443"/>
      <c r="E443"/>
      <c r="F443"/>
      <c r="G443"/>
      <c r="H443"/>
      <c r="I443"/>
      <c r="O443" s="39"/>
      <c r="P443" s="39"/>
      <c r="Q443" s="137"/>
    </row>
    <row r="444" spans="2:17">
      <c r="B444"/>
      <c r="C444"/>
      <c r="D444"/>
      <c r="E444"/>
      <c r="F444"/>
      <c r="G444"/>
      <c r="H444"/>
      <c r="I444"/>
      <c r="O444" s="39"/>
      <c r="P444" s="39"/>
      <c r="Q444" s="137"/>
    </row>
    <row r="445" spans="2:17">
      <c r="B445"/>
      <c r="C445"/>
      <c r="D445"/>
      <c r="E445"/>
      <c r="F445"/>
      <c r="G445"/>
      <c r="H445"/>
      <c r="I445"/>
      <c r="O445" s="39"/>
      <c r="P445" s="39"/>
      <c r="Q445" s="137"/>
    </row>
    <row r="446" spans="2:17">
      <c r="B446"/>
      <c r="C446"/>
      <c r="D446"/>
      <c r="E446"/>
      <c r="F446"/>
      <c r="G446"/>
      <c r="H446"/>
      <c r="I446"/>
      <c r="O446" s="39"/>
      <c r="P446" s="39"/>
      <c r="Q446" s="137"/>
    </row>
  </sheetData>
  <autoFilter ref="A7:Q314" xr:uid="{00000000-0001-0000-0200-000000000000}"/>
  <mergeCells count="3">
    <mergeCell ref="J6:L6"/>
    <mergeCell ref="B335:F335"/>
    <mergeCell ref="B337:F337"/>
  </mergeCells>
  <phoneticPr fontId="93" type="noConversion"/>
  <pageMargins left="0" right="0" top="0" bottom="0" header="0" footer="0.5"/>
  <pageSetup scale="29" fitToHeight="3"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3387"/>
  <sheetViews>
    <sheetView topLeftCell="B1" zoomScale="70" zoomScaleNormal="70" workbookViewId="0">
      <selection activeCell="C1" sqref="C1"/>
    </sheetView>
  </sheetViews>
  <sheetFormatPr defaultColWidth="9.28515625" defaultRowHeight="15"/>
  <cols>
    <col min="1" max="1" width="15.42578125" customWidth="1"/>
    <col min="2" max="2" width="50.28515625" bestFit="1" customWidth="1"/>
    <col min="3" max="3" width="9.140625"/>
    <col min="4" max="4" width="25" bestFit="1" customWidth="1"/>
    <col min="5" max="5" width="53.85546875" bestFit="1" customWidth="1"/>
    <col min="6" max="6" width="9.140625"/>
    <col min="7" max="7" width="18.85546875" style="134" bestFit="1" customWidth="1"/>
    <col min="8" max="8" width="16.42578125" style="134" bestFit="1" customWidth="1"/>
    <col min="9" max="9" width="18.5703125" style="134" bestFit="1" customWidth="1"/>
    <col min="10" max="10" width="23.42578125" style="134" customWidth="1"/>
    <col min="11" max="11" width="26.28515625" customWidth="1"/>
    <col min="12" max="14" width="9.140625"/>
    <col min="16" max="16" width="12.42578125" bestFit="1" customWidth="1"/>
  </cols>
  <sheetData>
    <row r="1" spans="1:18">
      <c r="C1" s="135" t="s">
        <v>465</v>
      </c>
      <c r="D1" s="135" t="s">
        <v>466</v>
      </c>
      <c r="E1" s="135"/>
      <c r="F1" s="135"/>
      <c r="G1" s="135"/>
      <c r="H1" s="135"/>
      <c r="I1" s="135"/>
      <c r="J1" s="135"/>
      <c r="O1" s="89"/>
      <c r="P1" s="90"/>
      <c r="Q1" s="89"/>
      <c r="R1" s="87"/>
    </row>
    <row r="2" spans="1:18">
      <c r="C2" s="135" t="s">
        <v>467</v>
      </c>
      <c r="D2" s="135"/>
      <c r="E2" s="135"/>
      <c r="F2" s="135"/>
      <c r="G2" s="135"/>
      <c r="H2" s="135"/>
      <c r="I2" s="135"/>
      <c r="J2" s="135"/>
      <c r="O2" s="89"/>
      <c r="P2" s="90"/>
      <c r="Q2" s="89"/>
      <c r="R2" s="87"/>
    </row>
    <row r="3" spans="1:18">
      <c r="C3" s="135" t="s">
        <v>468</v>
      </c>
      <c r="D3" s="135"/>
      <c r="E3" s="135"/>
      <c r="F3" s="135"/>
      <c r="G3" s="135"/>
      <c r="H3" s="135"/>
      <c r="I3" s="135"/>
      <c r="J3" s="135"/>
      <c r="O3" s="89"/>
      <c r="P3" s="90"/>
      <c r="Q3" s="89"/>
      <c r="R3" s="87"/>
    </row>
    <row r="4" spans="1:18">
      <c r="B4" s="72" t="str">
        <f>IF(C4="PennantPark Investment Corp"," ","Not BDC")</f>
        <v xml:space="preserve"> </v>
      </c>
      <c r="C4" s="135" t="s">
        <v>469</v>
      </c>
      <c r="D4" s="135"/>
      <c r="E4" s="135"/>
      <c r="F4" s="135"/>
      <c r="G4" s="135"/>
      <c r="H4" s="135"/>
      <c r="I4" s="135"/>
      <c r="J4" s="135"/>
      <c r="O4" s="89"/>
      <c r="P4" s="90"/>
      <c r="Q4" s="89"/>
      <c r="R4" s="87"/>
    </row>
    <row r="5" spans="1:18">
      <c r="C5" s="135" t="s">
        <v>470</v>
      </c>
      <c r="D5" s="135" t="s">
        <v>471</v>
      </c>
      <c r="E5" s="135"/>
      <c r="F5" s="135"/>
      <c r="G5" s="135"/>
      <c r="H5" s="135"/>
      <c r="I5" s="135"/>
      <c r="J5" s="135"/>
      <c r="O5" s="89"/>
      <c r="P5" s="90"/>
      <c r="Q5" s="89"/>
      <c r="R5" s="87"/>
    </row>
    <row r="6" spans="1:18">
      <c r="C6" s="135" t="s">
        <v>472</v>
      </c>
      <c r="D6" s="135" t="s">
        <v>473</v>
      </c>
      <c r="E6" s="135"/>
      <c r="F6" s="135"/>
      <c r="G6" s="135"/>
      <c r="H6" s="135"/>
      <c r="I6" s="135"/>
      <c r="J6" s="135"/>
      <c r="O6" s="89"/>
      <c r="P6" s="90"/>
      <c r="Q6" s="89"/>
      <c r="R6" s="87"/>
    </row>
    <row r="7" spans="1:18">
      <c r="C7" s="135" t="s">
        <v>474</v>
      </c>
      <c r="D7" s="135" t="s">
        <v>475</v>
      </c>
      <c r="E7" s="135"/>
      <c r="F7" s="135"/>
      <c r="G7" s="135"/>
      <c r="H7" s="135"/>
      <c r="I7" s="135"/>
      <c r="J7" s="135"/>
      <c r="O7" s="89"/>
      <c r="P7" s="90"/>
      <c r="Q7" s="89"/>
      <c r="R7" s="87"/>
    </row>
    <row r="8" spans="1:18">
      <c r="C8" s="135" t="s">
        <v>476</v>
      </c>
      <c r="D8" s="135" t="s">
        <v>477</v>
      </c>
      <c r="E8" s="135"/>
      <c r="F8" s="135"/>
      <c r="G8" s="135"/>
      <c r="H8" s="135"/>
      <c r="I8" s="135"/>
      <c r="J8" s="135"/>
      <c r="O8" s="89"/>
      <c r="P8" s="90"/>
      <c r="Q8" s="89"/>
      <c r="R8" s="87"/>
    </row>
    <row r="9" spans="1:18">
      <c r="C9" s="135" t="s">
        <v>478</v>
      </c>
      <c r="D9" s="135"/>
      <c r="E9" s="135"/>
      <c r="F9" s="135"/>
      <c r="G9" s="135"/>
      <c r="H9" s="135"/>
      <c r="I9" s="135"/>
      <c r="J9" s="135"/>
      <c r="O9" s="89"/>
      <c r="P9" s="90"/>
      <c r="Q9" s="89"/>
      <c r="R9" s="87"/>
    </row>
    <row r="10" spans="1:18">
      <c r="B10" t="str">
        <f t="shared" ref="B10:B56" si="0">CONCATENATE(E10,F10)</f>
        <v/>
      </c>
      <c r="C10" s="135"/>
      <c r="D10" s="135"/>
      <c r="E10" s="135"/>
      <c r="F10" s="135"/>
      <c r="G10" s="135"/>
      <c r="H10" s="135"/>
      <c r="I10" s="135"/>
      <c r="J10" s="135"/>
      <c r="M10" s="118"/>
      <c r="O10" s="89"/>
      <c r="P10" s="90"/>
      <c r="Q10" s="89"/>
      <c r="R10" s="87"/>
    </row>
    <row r="11" spans="1:18">
      <c r="A11" t="e">
        <f>VLOOKUP(B11,Summary!A:A,1,FALSE)</f>
        <v>#N/A</v>
      </c>
      <c r="B11" t="str">
        <f t="shared" si="0"/>
        <v>FinancialAccountDescription</v>
      </c>
      <c r="C11" s="135" t="s">
        <v>156</v>
      </c>
      <c r="D11" s="135" t="s">
        <v>157</v>
      </c>
      <c r="E11" s="135" t="s">
        <v>479</v>
      </c>
      <c r="F11" s="135" t="s">
        <v>159</v>
      </c>
      <c r="G11" s="135" t="s">
        <v>480</v>
      </c>
      <c r="H11" s="135" t="s">
        <v>481</v>
      </c>
      <c r="I11" s="135" t="s">
        <v>482</v>
      </c>
      <c r="J11" s="135" t="s">
        <v>483</v>
      </c>
      <c r="M11" s="118"/>
      <c r="O11" s="89"/>
      <c r="P11" s="90"/>
      <c r="Q11" s="89"/>
      <c r="R11" s="87"/>
    </row>
    <row r="12" spans="1:18">
      <c r="A12" t="str">
        <f>VLOOKUP(B12,Summary!A:A,1,FALSE)</f>
        <v>Debt InstrumentsAccrued Interest</v>
      </c>
      <c r="B12" t="str">
        <f t="shared" si="0"/>
        <v>Debt InstrumentsAccrued Interest</v>
      </c>
      <c r="C12" s="135" t="s">
        <v>5</v>
      </c>
      <c r="D12" s="135" t="s">
        <v>168</v>
      </c>
      <c r="E12" s="135" t="s">
        <v>169</v>
      </c>
      <c r="F12" s="135" t="s">
        <v>170</v>
      </c>
      <c r="G12" s="136">
        <v>6190456.3200000003</v>
      </c>
      <c r="H12" s="135">
        <v>0</v>
      </c>
      <c r="I12" s="136">
        <v>-1641274.47</v>
      </c>
      <c r="J12" s="136">
        <v>4549181.8499999996</v>
      </c>
      <c r="M12" s="118"/>
      <c r="O12" s="89"/>
      <c r="P12" s="92"/>
      <c r="Q12" s="91"/>
      <c r="R12" s="88"/>
    </row>
    <row r="13" spans="1:18">
      <c r="A13" t="str">
        <f>VLOOKUP(B13,Summary!A:A,1,FALSE)</f>
        <v>Debt InstrumentsAmortization / Accretion</v>
      </c>
      <c r="B13" t="str">
        <f t="shared" si="0"/>
        <v>Debt InstrumentsAmortization / Accretion</v>
      </c>
      <c r="C13" s="135" t="s">
        <v>5</v>
      </c>
      <c r="D13" s="135" t="s">
        <v>168</v>
      </c>
      <c r="E13" s="135" t="s">
        <v>169</v>
      </c>
      <c r="F13" s="135" t="s">
        <v>171</v>
      </c>
      <c r="G13" s="136">
        <v>2069483.68</v>
      </c>
      <c r="H13" s="135">
        <v>0</v>
      </c>
      <c r="I13" s="136">
        <v>-160132.70000000001</v>
      </c>
      <c r="J13" s="136">
        <v>1909350.98</v>
      </c>
      <c r="M13" s="118"/>
      <c r="O13" s="89"/>
      <c r="P13" s="92"/>
      <c r="Q13" s="91"/>
      <c r="R13" s="88"/>
    </row>
    <row r="14" spans="1:18">
      <c r="A14" t="str">
        <f>VLOOKUP(B14,Summary!A:A,1,FALSE)</f>
        <v>Debt InstrumentsCost</v>
      </c>
      <c r="B14" t="str">
        <f t="shared" si="0"/>
        <v>Debt InstrumentsCost</v>
      </c>
      <c r="C14" s="135" t="s">
        <v>5</v>
      </c>
      <c r="D14" s="135" t="s">
        <v>168</v>
      </c>
      <c r="E14" s="135" t="s">
        <v>169</v>
      </c>
      <c r="F14" s="135" t="s">
        <v>172</v>
      </c>
      <c r="G14" s="136">
        <v>614162086.92999995</v>
      </c>
      <c r="H14" s="135">
        <v>0</v>
      </c>
      <c r="I14" s="136">
        <v>-74851764.640000001</v>
      </c>
      <c r="J14" s="136">
        <v>539310322.28999996</v>
      </c>
      <c r="M14" s="118"/>
      <c r="O14" s="89"/>
      <c r="P14" s="92"/>
      <c r="Q14" s="91"/>
      <c r="R14" s="88"/>
    </row>
    <row r="15" spans="1:18">
      <c r="A15" t="str">
        <f>VLOOKUP(B15,Summary!A:A,1,FALSE)</f>
        <v>Debt InstrumentsUnrealized FX GL</v>
      </c>
      <c r="B15" t="str">
        <f t="shared" si="0"/>
        <v>Debt InstrumentsUnrealized FX GL</v>
      </c>
      <c r="C15" s="135" t="s">
        <v>5</v>
      </c>
      <c r="D15" s="135" t="s">
        <v>168</v>
      </c>
      <c r="E15" s="135" t="s">
        <v>169</v>
      </c>
      <c r="F15" s="135" t="s">
        <v>173</v>
      </c>
      <c r="G15" s="136">
        <v>336267.1</v>
      </c>
      <c r="H15" s="135">
        <v>0</v>
      </c>
      <c r="I15" s="136">
        <v>-151337.72</v>
      </c>
      <c r="J15" s="136">
        <v>184929.38</v>
      </c>
      <c r="M15" s="118"/>
      <c r="O15" s="89"/>
      <c r="P15" s="92"/>
      <c r="Q15" s="91"/>
      <c r="R15" s="88"/>
    </row>
    <row r="16" spans="1:18">
      <c r="A16" t="str">
        <f>VLOOKUP(B16,Summary!A:A,1,FALSE)</f>
        <v>Debt InstrumentsUnrealized Price G/L</v>
      </c>
      <c r="B16" t="str">
        <f t="shared" si="0"/>
        <v>Debt InstrumentsUnrealized Price G/L</v>
      </c>
      <c r="C16" s="135" t="s">
        <v>5</v>
      </c>
      <c r="D16" s="135" t="s">
        <v>168</v>
      </c>
      <c r="E16" s="135" t="s">
        <v>169</v>
      </c>
      <c r="F16" s="135" t="s">
        <v>174</v>
      </c>
      <c r="G16" s="136">
        <v>-20045949.789999999</v>
      </c>
      <c r="H16" s="135">
        <v>0</v>
      </c>
      <c r="I16" s="136">
        <v>-417869.35</v>
      </c>
      <c r="J16" s="136">
        <v>-20463819.140000001</v>
      </c>
      <c r="M16" s="118"/>
      <c r="O16" s="89"/>
      <c r="P16" s="92"/>
      <c r="Q16" s="91"/>
      <c r="R16" s="88"/>
    </row>
    <row r="17" spans="1:18">
      <c r="A17" t="str">
        <f>VLOOKUP(B17,Summary!A:A,1,FALSE)</f>
        <v>Equity InstrumentsCost</v>
      </c>
      <c r="B17" t="str">
        <f t="shared" si="0"/>
        <v>Equity InstrumentsCost</v>
      </c>
      <c r="C17" s="135" t="s">
        <v>5</v>
      </c>
      <c r="D17" s="135" t="s">
        <v>168</v>
      </c>
      <c r="E17" s="135" t="s">
        <v>175</v>
      </c>
      <c r="F17" s="135" t="s">
        <v>172</v>
      </c>
      <c r="G17" s="136">
        <v>192288670.62</v>
      </c>
      <c r="H17" s="135">
        <v>0</v>
      </c>
      <c r="I17" s="135">
        <v>0</v>
      </c>
      <c r="J17" s="136">
        <v>192288670.62</v>
      </c>
      <c r="M17" s="118"/>
      <c r="O17" s="89"/>
      <c r="P17" s="92"/>
      <c r="Q17" s="91"/>
      <c r="R17" s="88"/>
    </row>
    <row r="18" spans="1:18">
      <c r="A18" t="str">
        <f>VLOOKUP(B18,Summary!A:A,1,FALSE)</f>
        <v>Equity InstrumentsUnrealized FX GL</v>
      </c>
      <c r="B18" t="str">
        <f t="shared" si="0"/>
        <v>Equity InstrumentsUnrealized FX GL</v>
      </c>
      <c r="C18" s="135" t="s">
        <v>5</v>
      </c>
      <c r="D18" s="135" t="s">
        <v>168</v>
      </c>
      <c r="E18" s="135" t="s">
        <v>175</v>
      </c>
      <c r="F18" s="135" t="s">
        <v>173</v>
      </c>
      <c r="G18" s="136">
        <v>233440.48</v>
      </c>
      <c r="H18" s="135">
        <v>0</v>
      </c>
      <c r="I18" s="136">
        <v>-15815.55</v>
      </c>
      <c r="J18" s="136">
        <v>217624.93</v>
      </c>
      <c r="M18" s="118"/>
      <c r="O18" s="89"/>
      <c r="P18" s="92"/>
      <c r="Q18" s="91"/>
      <c r="R18" s="88"/>
    </row>
    <row r="19" spans="1:18">
      <c r="A19" t="str">
        <f>VLOOKUP(B19,Summary!A:A,1,FALSE)</f>
        <v>Equity InstrumentsUnrealized Price G/L</v>
      </c>
      <c r="B19" t="str">
        <f t="shared" si="0"/>
        <v>Equity InstrumentsUnrealized Price G/L</v>
      </c>
      <c r="C19" s="135" t="s">
        <v>5</v>
      </c>
      <c r="D19" s="135" t="s">
        <v>168</v>
      </c>
      <c r="E19" s="135" t="s">
        <v>175</v>
      </c>
      <c r="F19" s="135" t="s">
        <v>174</v>
      </c>
      <c r="G19" s="136">
        <v>38967360.219999999</v>
      </c>
      <c r="H19" s="135">
        <v>0</v>
      </c>
      <c r="I19" s="136">
        <v>-147576.47</v>
      </c>
      <c r="J19" s="136">
        <v>38819783.75</v>
      </c>
      <c r="M19" s="118"/>
      <c r="O19" s="89"/>
      <c r="P19" s="92"/>
      <c r="Q19" s="91"/>
      <c r="R19" s="88"/>
    </row>
    <row r="20" spans="1:18">
      <c r="A20" t="str">
        <f>VLOOKUP(B20,Summary!A:A,1,FALSE)</f>
        <v>FinancingAccrued Interest</v>
      </c>
      <c r="B20" t="str">
        <f t="shared" si="0"/>
        <v>FinancingAccrued Interest</v>
      </c>
      <c r="C20" s="135" t="s">
        <v>5</v>
      </c>
      <c r="D20" s="135" t="s">
        <v>168</v>
      </c>
      <c r="E20" s="135" t="s">
        <v>176</v>
      </c>
      <c r="F20" s="135" t="s">
        <v>170</v>
      </c>
      <c r="G20" s="136">
        <v>-265890.98</v>
      </c>
      <c r="H20" s="135">
        <v>0</v>
      </c>
      <c r="I20" s="136">
        <v>-9063.5400000000009</v>
      </c>
      <c r="J20" s="136">
        <v>-274954.52</v>
      </c>
      <c r="M20" s="118"/>
      <c r="O20" s="89"/>
      <c r="P20" s="92"/>
      <c r="Q20" s="91"/>
      <c r="R20" s="88"/>
    </row>
    <row r="21" spans="1:18">
      <c r="A21" t="str">
        <f>VLOOKUP(B21,Summary!A:A,1,FALSE)</f>
        <v>FinancingCost</v>
      </c>
      <c r="B21" t="str">
        <f t="shared" si="0"/>
        <v>FinancingCost</v>
      </c>
      <c r="C21" s="135" t="s">
        <v>5</v>
      </c>
      <c r="D21" s="135" t="s">
        <v>168</v>
      </c>
      <c r="E21" s="135" t="s">
        <v>176</v>
      </c>
      <c r="F21" s="135" t="s">
        <v>172</v>
      </c>
      <c r="G21" s="136">
        <v>-51456263.619999997</v>
      </c>
      <c r="H21" s="135">
        <v>0</v>
      </c>
      <c r="I21" s="135">
        <v>0</v>
      </c>
      <c r="J21" s="136">
        <v>-51456263.619999997</v>
      </c>
      <c r="M21" s="118"/>
      <c r="O21" s="89"/>
      <c r="P21" s="92"/>
      <c r="Q21" s="91"/>
      <c r="R21" s="88"/>
    </row>
    <row r="22" spans="1:18">
      <c r="A22" t="str">
        <f>VLOOKUP(B22,Summary!A:A,1,FALSE)</f>
        <v>FinancingUnrealized FX GL</v>
      </c>
      <c r="B22" t="str">
        <f t="shared" si="0"/>
        <v>FinancingUnrealized FX GL</v>
      </c>
      <c r="C22" s="135" t="s">
        <v>5</v>
      </c>
      <c r="D22" s="135" t="s">
        <v>168</v>
      </c>
      <c r="E22" s="135" t="s">
        <v>176</v>
      </c>
      <c r="F22" s="135" t="s">
        <v>173</v>
      </c>
      <c r="G22" s="136">
        <v>-161518.62</v>
      </c>
      <c r="H22" s="136">
        <v>149064.48000000001</v>
      </c>
      <c r="I22" s="135">
        <v>0</v>
      </c>
      <c r="J22" s="136">
        <v>-12454.14</v>
      </c>
      <c r="M22" s="118"/>
      <c r="O22" s="89"/>
      <c r="P22" s="92"/>
      <c r="Q22" s="91"/>
      <c r="R22" s="88"/>
    </row>
    <row r="23" spans="1:18">
      <c r="A23" t="str">
        <f>VLOOKUP(B23,Summary!A:A,1,FALSE)</f>
        <v>FundAccrued Interest</v>
      </c>
      <c r="B23" t="str">
        <f t="shared" si="0"/>
        <v>FundAccrued Interest</v>
      </c>
      <c r="C23" s="135" t="s">
        <v>5</v>
      </c>
      <c r="D23" s="135" t="s">
        <v>168</v>
      </c>
      <c r="E23" s="135" t="s">
        <v>178</v>
      </c>
      <c r="F23" s="135" t="s">
        <v>170</v>
      </c>
      <c r="G23" s="136">
        <v>4198782.72</v>
      </c>
      <c r="H23" s="136">
        <v>92280.92</v>
      </c>
      <c r="I23" s="135">
        <v>0</v>
      </c>
      <c r="J23" s="136">
        <v>4291063.6399999997</v>
      </c>
      <c r="M23" s="118"/>
      <c r="O23" s="89"/>
      <c r="P23" s="92"/>
      <c r="Q23" s="91"/>
      <c r="R23" s="88"/>
    </row>
    <row r="24" spans="1:18">
      <c r="A24" t="str">
        <f>VLOOKUP(B24,Summary!A:A,1,FALSE)</f>
        <v>FundCost</v>
      </c>
      <c r="B24" t="str">
        <f t="shared" si="0"/>
        <v>FundCost</v>
      </c>
      <c r="C24" s="135" t="s">
        <v>5</v>
      </c>
      <c r="D24" s="135" t="s">
        <v>168</v>
      </c>
      <c r="E24" s="135" t="s">
        <v>178</v>
      </c>
      <c r="F24" s="135" t="s">
        <v>172</v>
      </c>
      <c r="G24" s="136">
        <v>230761084.28999999</v>
      </c>
      <c r="H24" s="135">
        <v>0</v>
      </c>
      <c r="I24" s="135">
        <v>0</v>
      </c>
      <c r="J24" s="136">
        <v>230761084.28999999</v>
      </c>
      <c r="M24" s="118"/>
      <c r="O24" s="89"/>
      <c r="P24" s="92"/>
      <c r="Q24" s="91"/>
      <c r="R24" s="88"/>
    </row>
    <row r="25" spans="1:18">
      <c r="A25" t="str">
        <f>VLOOKUP(B25,Summary!A:A,1,FALSE)</f>
        <v>FundUnrealized Price G/L</v>
      </c>
      <c r="B25" t="str">
        <f t="shared" si="0"/>
        <v>FundUnrealized Price G/L</v>
      </c>
      <c r="C25" s="135" t="s">
        <v>5</v>
      </c>
      <c r="D25" s="135" t="s">
        <v>168</v>
      </c>
      <c r="E25" s="135" t="s">
        <v>178</v>
      </c>
      <c r="F25" s="135" t="s">
        <v>174</v>
      </c>
      <c r="G25" s="136">
        <v>-23068212.449999999</v>
      </c>
      <c r="H25" s="136">
        <v>597694.52</v>
      </c>
      <c r="I25" s="135">
        <v>0</v>
      </c>
      <c r="J25" s="136">
        <v>-22470517.93</v>
      </c>
      <c r="M25" s="118"/>
      <c r="O25" s="89"/>
      <c r="P25" s="92"/>
      <c r="Q25" s="91"/>
      <c r="R25" s="88"/>
    </row>
    <row r="26" spans="1:18">
      <c r="A26" t="str">
        <f>VLOOKUP(B26,Summary!A:A,1,FALSE)</f>
        <v>MoneyMarketCost</v>
      </c>
      <c r="B26" t="str">
        <f t="shared" si="0"/>
        <v>MoneyMarketCost</v>
      </c>
      <c r="C26" s="135" t="s">
        <v>5</v>
      </c>
      <c r="D26" s="135" t="s">
        <v>168</v>
      </c>
      <c r="E26" s="135" t="s">
        <v>12</v>
      </c>
      <c r="F26" s="135" t="s">
        <v>172</v>
      </c>
      <c r="G26" s="136">
        <v>28882141.68</v>
      </c>
      <c r="H26" s="136">
        <v>1648387.68</v>
      </c>
      <c r="I26" s="135">
        <v>0</v>
      </c>
      <c r="J26" s="136">
        <v>30530529.359999999</v>
      </c>
      <c r="M26" s="118"/>
      <c r="O26" s="89"/>
      <c r="P26" s="92"/>
      <c r="Q26" s="91"/>
      <c r="R26" s="88"/>
    </row>
    <row r="27" spans="1:18">
      <c r="A27" t="str">
        <f>VLOOKUP(B27,Summary!A:A,1,FALSE)</f>
        <v>OtherAccrued Interest</v>
      </c>
      <c r="B27" t="str">
        <f t="shared" si="0"/>
        <v>OtherAccrued Interest</v>
      </c>
      <c r="C27" s="135" t="s">
        <v>5</v>
      </c>
      <c r="D27" s="135" t="s">
        <v>168</v>
      </c>
      <c r="E27" s="135" t="s">
        <v>179</v>
      </c>
      <c r="F27" s="135" t="s">
        <v>170</v>
      </c>
      <c r="G27" s="136">
        <v>-3300416.67</v>
      </c>
      <c r="H27" s="135">
        <v>0</v>
      </c>
      <c r="I27" s="136">
        <v>-51666.66</v>
      </c>
      <c r="J27" s="136">
        <v>-3352083.33</v>
      </c>
      <c r="M27" s="118"/>
      <c r="O27" s="89"/>
      <c r="P27" s="92"/>
      <c r="Q27" s="91"/>
      <c r="R27" s="88"/>
    </row>
    <row r="28" spans="1:18">
      <c r="A28" t="str">
        <f>VLOOKUP(B28,Summary!A:A,1,FALSE)</f>
        <v>OtherCost</v>
      </c>
      <c r="B28" t="str">
        <f t="shared" si="0"/>
        <v>OtherCost</v>
      </c>
      <c r="C28" s="135" t="s">
        <v>5</v>
      </c>
      <c r="D28" s="135" t="s">
        <v>168</v>
      </c>
      <c r="E28" s="135" t="s">
        <v>179</v>
      </c>
      <c r="F28" s="135" t="s">
        <v>172</v>
      </c>
      <c r="G28" s="136">
        <v>-315000000</v>
      </c>
      <c r="H28" s="135">
        <v>0</v>
      </c>
      <c r="I28" s="136">
        <v>-75000000</v>
      </c>
      <c r="J28" s="136">
        <v>-390000000</v>
      </c>
      <c r="M28" s="118"/>
      <c r="O28" s="89"/>
      <c r="P28" s="92"/>
      <c r="Q28" s="91"/>
      <c r="R28" s="88"/>
    </row>
    <row r="29" spans="1:18">
      <c r="A29" t="str">
        <f>VLOOKUP(B29,Summary!A:A,1,FALSE)</f>
        <v>CashCost</v>
      </c>
      <c r="B29" t="str">
        <f t="shared" si="0"/>
        <v>CashCost</v>
      </c>
      <c r="C29" s="135" t="s">
        <v>5</v>
      </c>
      <c r="D29" s="135" t="s">
        <v>11</v>
      </c>
      <c r="E29" s="135" t="s">
        <v>11</v>
      </c>
      <c r="F29" s="135" t="s">
        <v>172</v>
      </c>
      <c r="G29" s="136">
        <v>18088943.82</v>
      </c>
      <c r="H29" s="135">
        <v>0</v>
      </c>
      <c r="I29" s="136">
        <v>-1107150.45</v>
      </c>
      <c r="J29" s="136">
        <v>16981793.370000001</v>
      </c>
      <c r="M29" s="118"/>
      <c r="O29" s="89"/>
      <c r="P29" s="92"/>
      <c r="Q29" s="91"/>
      <c r="R29" s="88"/>
    </row>
    <row r="30" spans="1:18">
      <c r="A30" t="str">
        <f>VLOOKUP(B30,Summary!A:A,1,FALSE)</f>
        <v>CashUnrealized FX GL</v>
      </c>
      <c r="B30" t="str">
        <f t="shared" si="0"/>
        <v>CashUnrealized FX GL</v>
      </c>
      <c r="C30" s="135" t="s">
        <v>5</v>
      </c>
      <c r="D30" s="135" t="s">
        <v>11</v>
      </c>
      <c r="E30" s="135" t="s">
        <v>11</v>
      </c>
      <c r="F30" s="135" t="s">
        <v>173</v>
      </c>
      <c r="G30" s="136">
        <v>301475.15999999997</v>
      </c>
      <c r="H30" s="135">
        <v>0</v>
      </c>
      <c r="I30" s="136">
        <v>-25240.12</v>
      </c>
      <c r="J30" s="136">
        <v>276235.03999999998</v>
      </c>
      <c r="M30" s="118"/>
      <c r="O30" s="89"/>
      <c r="P30" s="92"/>
      <c r="Q30" s="91"/>
      <c r="R30" s="88"/>
    </row>
    <row r="31" spans="1:18">
      <c r="A31" t="str">
        <f>VLOOKUP(B31,Summary!A:A,1,FALSE)</f>
        <v>CashCost</v>
      </c>
      <c r="B31" t="str">
        <f t="shared" si="0"/>
        <v>CashCost</v>
      </c>
      <c r="C31" s="135" t="s">
        <v>5</v>
      </c>
      <c r="D31" s="135" t="s">
        <v>484</v>
      </c>
      <c r="E31" s="135" t="s">
        <v>11</v>
      </c>
      <c r="F31" s="135" t="s">
        <v>172</v>
      </c>
      <c r="G31" s="136">
        <v>99790.67</v>
      </c>
      <c r="H31" s="136">
        <v>365283.48</v>
      </c>
      <c r="I31" s="135">
        <v>0</v>
      </c>
      <c r="J31" s="136">
        <v>465074.15</v>
      </c>
      <c r="M31" s="118"/>
      <c r="O31" s="89"/>
      <c r="P31" s="90"/>
      <c r="Q31" s="91"/>
      <c r="R31" s="88"/>
    </row>
    <row r="32" spans="1:18">
      <c r="A32" t="str">
        <f>VLOOKUP(B32,Summary!A:A,1,FALSE)</f>
        <v>Dividend Receivable Cost</v>
      </c>
      <c r="B32" t="str">
        <f t="shared" si="0"/>
        <v>Dividend Receivable Cost</v>
      </c>
      <c r="C32" s="135" t="s">
        <v>5</v>
      </c>
      <c r="D32" s="135" t="s">
        <v>180</v>
      </c>
      <c r="E32" s="135" t="s">
        <v>181</v>
      </c>
      <c r="F32" s="135" t="s">
        <v>172</v>
      </c>
      <c r="G32" s="136">
        <v>230769</v>
      </c>
      <c r="H32" s="135">
        <v>0</v>
      </c>
      <c r="I32" s="135">
        <v>0</v>
      </c>
      <c r="J32" s="136">
        <v>230769</v>
      </c>
      <c r="M32" s="118"/>
      <c r="O32" s="89"/>
      <c r="P32" s="92"/>
      <c r="Q32" s="91"/>
      <c r="R32" s="88"/>
    </row>
    <row r="33" spans="1:18">
      <c r="A33" t="str">
        <f>VLOOKUP(B33,Summary!A:A,1,FALSE)</f>
        <v>Due From PennantPark Admin Cost</v>
      </c>
      <c r="B33" t="str">
        <f t="shared" si="0"/>
        <v>Due From PennantPark Admin Cost</v>
      </c>
      <c r="C33" s="135" t="s">
        <v>5</v>
      </c>
      <c r="D33" s="135" t="s">
        <v>180</v>
      </c>
      <c r="E33" s="135" t="s">
        <v>182</v>
      </c>
      <c r="F33" s="135" t="s">
        <v>172</v>
      </c>
      <c r="G33" s="136">
        <v>81285.149999999994</v>
      </c>
      <c r="H33" s="135">
        <v>0</v>
      </c>
      <c r="I33" s="135">
        <v>0</v>
      </c>
      <c r="J33" s="136">
        <v>81285.149999999994</v>
      </c>
      <c r="M33" s="118"/>
      <c r="O33" s="89"/>
      <c r="P33" s="92"/>
      <c r="Q33" s="91"/>
      <c r="R33" s="88"/>
    </row>
    <row r="34" spans="1:18">
      <c r="A34" t="str">
        <f>VLOOKUP(B34,Summary!A:A,1,FALSE)</f>
        <v>Interest Receivable Cost</v>
      </c>
      <c r="B34" t="str">
        <f t="shared" si="0"/>
        <v>Interest Receivable Cost</v>
      </c>
      <c r="C34" s="135" t="s">
        <v>5</v>
      </c>
      <c r="D34" s="135" t="s">
        <v>180</v>
      </c>
      <c r="E34" s="135" t="s">
        <v>185</v>
      </c>
      <c r="F34" s="135" t="s">
        <v>172</v>
      </c>
      <c r="G34" s="136">
        <v>78765.179999999993</v>
      </c>
      <c r="H34" s="135">
        <v>126.23</v>
      </c>
      <c r="I34" s="135">
        <v>0</v>
      </c>
      <c r="J34" s="136">
        <v>78891.41</v>
      </c>
      <c r="M34" s="118"/>
      <c r="O34" s="89"/>
      <c r="P34" s="92"/>
      <c r="Q34" s="91"/>
      <c r="R34" s="88"/>
    </row>
    <row r="35" spans="1:18">
      <c r="A35" t="str">
        <f>VLOOKUP(B35,Summary!A:A,1,FALSE)</f>
        <v>Other Receivable Cost</v>
      </c>
      <c r="B35" t="str">
        <f t="shared" si="0"/>
        <v>Other Receivable Cost</v>
      </c>
      <c r="C35" s="135" t="s">
        <v>5</v>
      </c>
      <c r="D35" s="135" t="s">
        <v>180</v>
      </c>
      <c r="E35" s="135" t="s">
        <v>191</v>
      </c>
      <c r="F35" s="135" t="s">
        <v>172</v>
      </c>
      <c r="G35" s="136">
        <v>-12855</v>
      </c>
      <c r="H35" s="135">
        <v>0</v>
      </c>
      <c r="I35" s="135">
        <v>0</v>
      </c>
      <c r="J35" s="136">
        <v>-12855</v>
      </c>
      <c r="M35" s="118"/>
      <c r="O35" s="89"/>
      <c r="P35" s="92"/>
      <c r="Q35" s="91"/>
      <c r="R35" s="88"/>
    </row>
    <row r="36" spans="1:18">
      <c r="A36" t="str">
        <f>VLOOKUP(B36,Summary!A:A,1,FALSE)</f>
        <v>Other Receivable Escrow Cost</v>
      </c>
      <c r="B36" t="str">
        <f t="shared" si="0"/>
        <v>Other Receivable Escrow Cost</v>
      </c>
      <c r="C36" s="135" t="s">
        <v>5</v>
      </c>
      <c r="D36" s="135" t="s">
        <v>180</v>
      </c>
      <c r="E36" s="135" t="s">
        <v>219</v>
      </c>
      <c r="F36" s="135" t="s">
        <v>172</v>
      </c>
      <c r="G36" s="136">
        <v>193154.05</v>
      </c>
      <c r="H36" s="135">
        <v>0</v>
      </c>
      <c r="I36" s="135">
        <v>0</v>
      </c>
      <c r="J36" s="136">
        <v>193154.05</v>
      </c>
      <c r="M36" s="118"/>
      <c r="O36" s="89"/>
      <c r="P36" s="92"/>
      <c r="Q36" s="91"/>
      <c r="R36" s="88"/>
    </row>
    <row r="37" spans="1:18">
      <c r="A37" t="str">
        <f>VLOOKUP(B37,Summary!A:A,1,FALSE)</f>
        <v>Pre paid Offering Costs - Feb 2029 Notes Cost</v>
      </c>
      <c r="B37" t="str">
        <f t="shared" si="0"/>
        <v>Pre paid Offering Costs - Feb 2029 Notes Cost</v>
      </c>
      <c r="C37" s="135" t="s">
        <v>5</v>
      </c>
      <c r="D37" s="135" t="s">
        <v>180</v>
      </c>
      <c r="E37" s="135" t="s">
        <v>205</v>
      </c>
      <c r="F37" s="135" t="s">
        <v>172</v>
      </c>
      <c r="G37" s="135">
        <v>0</v>
      </c>
      <c r="H37" s="136">
        <v>1392810</v>
      </c>
      <c r="I37" s="135">
        <v>0</v>
      </c>
      <c r="J37" s="136">
        <v>1392810</v>
      </c>
      <c r="M37" s="118"/>
      <c r="O37" s="89"/>
      <c r="P37" s="92"/>
      <c r="Q37" s="91"/>
      <c r="R37" s="88"/>
    </row>
    <row r="38" spans="1:18">
      <c r="A38" t="str">
        <f>VLOOKUP(B38,Summary!A:A,1,FALSE)</f>
        <v>Pre paid Offering Costs – 2026 Notes Cost</v>
      </c>
      <c r="B38" t="str">
        <f t="shared" si="0"/>
        <v>Pre paid Offering Costs – 2026 Notes Cost</v>
      </c>
      <c r="C38" s="135" t="s">
        <v>5</v>
      </c>
      <c r="D38" s="135" t="s">
        <v>180</v>
      </c>
      <c r="E38" s="135" t="s">
        <v>203</v>
      </c>
      <c r="F38" s="135" t="s">
        <v>172</v>
      </c>
      <c r="G38" s="136">
        <v>226842.06</v>
      </c>
      <c r="H38" s="135">
        <v>0</v>
      </c>
      <c r="I38" s="135">
        <v>0</v>
      </c>
      <c r="J38" s="136">
        <v>226842.06</v>
      </c>
      <c r="M38" s="118"/>
      <c r="O38" s="89"/>
      <c r="P38" s="92"/>
      <c r="Q38" s="91"/>
      <c r="R38" s="88"/>
    </row>
    <row r="39" spans="1:18">
      <c r="A39" t="str">
        <f>VLOOKUP(B39,Summary!A:A,1,FALSE)</f>
        <v>Pre paid Offering Costs – Nov 2026 Notes Cost</v>
      </c>
      <c r="B39" t="str">
        <f t="shared" si="0"/>
        <v>Pre paid Offering Costs – Nov 2026 Notes Cost</v>
      </c>
      <c r="C39" s="135" t="s">
        <v>5</v>
      </c>
      <c r="D39" s="135" t="s">
        <v>180</v>
      </c>
      <c r="E39" s="135" t="s">
        <v>204</v>
      </c>
      <c r="F39" s="135" t="s">
        <v>172</v>
      </c>
      <c r="G39" s="136">
        <v>782327.11</v>
      </c>
      <c r="H39" s="135">
        <v>0</v>
      </c>
      <c r="I39" s="135">
        <v>0</v>
      </c>
      <c r="J39" s="136">
        <v>782327.11</v>
      </c>
      <c r="M39" s="118"/>
      <c r="O39" s="89"/>
      <c r="P39" s="92"/>
      <c r="Q39" s="91"/>
      <c r="R39" s="88"/>
    </row>
    <row r="40" spans="1:18">
      <c r="A40" t="str">
        <f>VLOOKUP(B40,Summary!A:A,1,FALSE)</f>
        <v>Prepaid - Egan-Jones Rating Co Cost</v>
      </c>
      <c r="B40" t="str">
        <f t="shared" si="0"/>
        <v>Prepaid - Egan-Jones Rating Co Cost</v>
      </c>
      <c r="C40" s="135" t="s">
        <v>5</v>
      </c>
      <c r="D40" s="135" t="s">
        <v>180</v>
      </c>
      <c r="E40" s="135" t="s">
        <v>206</v>
      </c>
      <c r="F40" s="135" t="s">
        <v>172</v>
      </c>
      <c r="G40" s="136">
        <v>57159.38</v>
      </c>
      <c r="H40" s="135">
        <v>0</v>
      </c>
      <c r="I40" s="135">
        <v>0</v>
      </c>
      <c r="J40" s="136">
        <v>57159.38</v>
      </c>
      <c r="M40" s="118"/>
      <c r="O40" s="89"/>
      <c r="P40" s="92"/>
      <c r="Q40" s="91"/>
      <c r="R40" s="88"/>
    </row>
    <row r="41" spans="1:18">
      <c r="A41" t="str">
        <f>VLOOKUP(B41,Summary!A:A,1,FALSE)</f>
        <v>Prepaid - NYSE Annual Fee Cost</v>
      </c>
      <c r="B41" t="str">
        <f t="shared" si="0"/>
        <v>Prepaid - NYSE Annual Fee Cost</v>
      </c>
      <c r="C41" s="135" t="s">
        <v>5</v>
      </c>
      <c r="D41" s="135" t="s">
        <v>180</v>
      </c>
      <c r="E41" s="135" t="s">
        <v>207</v>
      </c>
      <c r="F41" s="135" t="s">
        <v>172</v>
      </c>
      <c r="G41" s="136">
        <v>6992.11</v>
      </c>
      <c r="H41" s="135">
        <v>0</v>
      </c>
      <c r="I41" s="135">
        <v>0</v>
      </c>
      <c r="J41" s="136">
        <v>6992.11</v>
      </c>
      <c r="M41" s="118"/>
      <c r="O41" s="89"/>
      <c r="P41" s="92"/>
      <c r="Q41" s="91"/>
      <c r="R41" s="88"/>
    </row>
    <row r="42" spans="1:18">
      <c r="A42" t="str">
        <f>VLOOKUP(B42,Summary!A:A,1,FALSE)</f>
        <v>Prepaid Fidelity Bond Cost</v>
      </c>
      <c r="B42" t="str">
        <f t="shared" si="0"/>
        <v>Prepaid Fidelity Bond Cost</v>
      </c>
      <c r="C42" s="135" t="s">
        <v>5</v>
      </c>
      <c r="D42" s="135" t="s">
        <v>180</v>
      </c>
      <c r="E42" s="135" t="s">
        <v>189</v>
      </c>
      <c r="F42" s="135" t="s">
        <v>172</v>
      </c>
      <c r="G42" s="136">
        <v>51349.65</v>
      </c>
      <c r="H42" s="135">
        <v>0</v>
      </c>
      <c r="I42" s="135">
        <v>0</v>
      </c>
      <c r="J42" s="136">
        <v>51349.65</v>
      </c>
      <c r="M42" s="118"/>
      <c r="O42" s="89"/>
      <c r="P42" s="92"/>
      <c r="Q42" s="91"/>
      <c r="R42" s="88"/>
    </row>
    <row r="43" spans="1:18">
      <c r="A43" t="str">
        <f>VLOOKUP(B43,Summary!A:A,1,FALSE)</f>
        <v>Prepaid Insurance Fee Cost</v>
      </c>
      <c r="B43" t="str">
        <f t="shared" si="0"/>
        <v>Prepaid Insurance Fee Cost</v>
      </c>
      <c r="C43" s="135" t="s">
        <v>5</v>
      </c>
      <c r="D43" s="135" t="s">
        <v>180</v>
      </c>
      <c r="E43" s="135" t="s">
        <v>195</v>
      </c>
      <c r="F43" s="135" t="s">
        <v>172</v>
      </c>
      <c r="G43" s="136">
        <v>52569.97</v>
      </c>
      <c r="H43" s="135">
        <v>0</v>
      </c>
      <c r="I43" s="135">
        <v>0</v>
      </c>
      <c r="J43" s="136">
        <v>52569.97</v>
      </c>
      <c r="M43" s="118"/>
      <c r="O43" s="89"/>
      <c r="P43" s="90"/>
      <c r="Q43" s="91"/>
      <c r="R43" s="88"/>
    </row>
    <row r="44" spans="1:18">
      <c r="A44" t="str">
        <f>VLOOKUP(B44,Summary!A:A,1,FALSE)</f>
        <v>Prepaid Offering Cost Cost</v>
      </c>
      <c r="B44" t="str">
        <f t="shared" si="0"/>
        <v>Prepaid Offering Cost Cost</v>
      </c>
      <c r="C44" s="135" t="s">
        <v>5</v>
      </c>
      <c r="D44" s="135" t="s">
        <v>180</v>
      </c>
      <c r="E44" s="135" t="s">
        <v>201</v>
      </c>
      <c r="F44" s="135" t="s">
        <v>172</v>
      </c>
      <c r="G44" s="136">
        <v>134632.79</v>
      </c>
      <c r="H44" s="135">
        <v>0</v>
      </c>
      <c r="I44" s="135">
        <v>0</v>
      </c>
      <c r="J44" s="136">
        <v>134632.79</v>
      </c>
      <c r="M44" s="118"/>
      <c r="O44" s="89"/>
      <c r="P44" s="92"/>
      <c r="Q44" s="91"/>
      <c r="R44" s="88"/>
    </row>
    <row r="45" spans="1:18">
      <c r="A45" t="str">
        <f>VLOOKUP(B45,Summary!A:A,1,FALSE)</f>
        <v>Prepaid Organization Cost Cost</v>
      </c>
      <c r="B45" t="str">
        <f t="shared" si="0"/>
        <v>Prepaid Organization Cost Cost</v>
      </c>
      <c r="C45" s="135" t="s">
        <v>5</v>
      </c>
      <c r="D45" s="135" t="s">
        <v>180</v>
      </c>
      <c r="E45" s="135" t="s">
        <v>196</v>
      </c>
      <c r="F45" s="135" t="s">
        <v>172</v>
      </c>
      <c r="G45" s="136">
        <v>8845</v>
      </c>
      <c r="H45" s="135">
        <v>0</v>
      </c>
      <c r="I45" s="135">
        <v>0</v>
      </c>
      <c r="J45" s="136">
        <v>8845</v>
      </c>
      <c r="M45" s="118"/>
      <c r="O45" s="89"/>
      <c r="P45" s="92"/>
      <c r="Q45" s="91"/>
      <c r="R45" s="88"/>
    </row>
    <row r="46" spans="1:18">
      <c r="A46" t="str">
        <f>VLOOKUP(B46,Summary!A:A,1,FALSE)</f>
        <v>Receivable Cost</v>
      </c>
      <c r="B46" t="str">
        <f>CONCATENATE(E46,F46)</f>
        <v>Receivable Cost</v>
      </c>
      <c r="C46" s="135" t="s">
        <v>5</v>
      </c>
      <c r="D46" s="135" t="s">
        <v>180</v>
      </c>
      <c r="E46" s="135" t="s">
        <v>183</v>
      </c>
      <c r="F46" s="135" t="s">
        <v>172</v>
      </c>
      <c r="G46" s="135">
        <v>0</v>
      </c>
      <c r="H46" s="136">
        <v>73832135.959999993</v>
      </c>
      <c r="I46" s="135">
        <v>0</v>
      </c>
      <c r="J46" s="136">
        <v>73832135.959999993</v>
      </c>
      <c r="M46" s="118"/>
      <c r="O46" s="89"/>
      <c r="P46" s="92"/>
      <c r="Q46" s="91"/>
      <c r="R46" s="88"/>
    </row>
    <row r="47" spans="1:18">
      <c r="A47" t="str">
        <f>VLOOKUP(B47,Summary!A:A,1,FALSE)</f>
        <v>Receivable from Other Entities Cost</v>
      </c>
      <c r="B47" t="str">
        <f t="shared" si="0"/>
        <v>Receivable from Other Entities Cost</v>
      </c>
      <c r="C47" s="135" t="s">
        <v>5</v>
      </c>
      <c r="D47" s="135" t="s">
        <v>180</v>
      </c>
      <c r="E47" s="135" t="s">
        <v>198</v>
      </c>
      <c r="F47" s="135" t="s">
        <v>172</v>
      </c>
      <c r="G47" s="136">
        <v>-193154.05</v>
      </c>
      <c r="H47" s="135">
        <v>0</v>
      </c>
      <c r="I47" s="135">
        <v>0</v>
      </c>
      <c r="J47" s="136">
        <v>-193154.05</v>
      </c>
      <c r="M47" s="118"/>
      <c r="O47" s="89"/>
      <c r="P47" s="92"/>
      <c r="Q47" s="91"/>
      <c r="R47" s="88"/>
    </row>
    <row r="48" spans="1:18">
      <c r="A48" t="str">
        <f>VLOOKUP(B48,Summary!A:A,1,FALSE)</f>
        <v>Reserve Accruals – Interest Income Cost</v>
      </c>
      <c r="B48" t="str">
        <f t="shared" si="0"/>
        <v>Reserve Accruals – Interest Income Cost</v>
      </c>
      <c r="C48" s="135" t="s">
        <v>5</v>
      </c>
      <c r="D48" s="135" t="s">
        <v>180</v>
      </c>
      <c r="E48" s="135" t="s">
        <v>199</v>
      </c>
      <c r="F48" s="135" t="s">
        <v>172</v>
      </c>
      <c r="G48" s="136">
        <v>-60112.43</v>
      </c>
      <c r="H48" s="135">
        <v>0</v>
      </c>
      <c r="I48" s="135">
        <v>0</v>
      </c>
      <c r="J48" s="136">
        <v>-60112.43</v>
      </c>
      <c r="M48" s="118"/>
      <c r="O48" s="89"/>
      <c r="P48" s="92"/>
      <c r="Q48" s="91"/>
      <c r="R48" s="88"/>
    </row>
    <row r="49" spans="1:18">
      <c r="A49" t="str">
        <f>VLOOKUP(B49,Summary!A:A,1,FALSE)</f>
        <v>Unrealized FX Gain/Loss Cost</v>
      </c>
      <c r="B49" t="str">
        <f t="shared" si="0"/>
        <v>Unrealized FX Gain/Loss Cost</v>
      </c>
      <c r="C49" s="135" t="s">
        <v>5</v>
      </c>
      <c r="D49" s="135" t="s">
        <v>180</v>
      </c>
      <c r="E49" s="135" t="s">
        <v>200</v>
      </c>
      <c r="F49" s="135" t="s">
        <v>172</v>
      </c>
      <c r="G49" s="135">
        <v>-0.01</v>
      </c>
      <c r="H49" s="135">
        <v>0</v>
      </c>
      <c r="I49" s="135">
        <v>0</v>
      </c>
      <c r="J49" s="135">
        <v>-0.01</v>
      </c>
      <c r="M49" s="118"/>
      <c r="O49" s="89"/>
      <c r="P49" s="92"/>
      <c r="Q49" s="91"/>
      <c r="R49" s="88"/>
    </row>
    <row r="50" spans="1:18">
      <c r="A50" t="str">
        <f>VLOOKUP(B50,Summary!A:A,1,FALSE)</f>
        <v>PayablesCost</v>
      </c>
      <c r="B50" t="str">
        <f t="shared" si="0"/>
        <v>PayablesCost</v>
      </c>
      <c r="C50" s="135" t="s">
        <v>26</v>
      </c>
      <c r="D50" s="135" t="s">
        <v>224</v>
      </c>
      <c r="E50" s="135" t="s">
        <v>224</v>
      </c>
      <c r="F50" s="135" t="s">
        <v>172</v>
      </c>
      <c r="G50" s="136">
        <v>-4900000</v>
      </c>
      <c r="H50" s="135">
        <v>0</v>
      </c>
      <c r="I50" s="135">
        <v>0</v>
      </c>
      <c r="J50" s="136">
        <v>-4900000</v>
      </c>
      <c r="M50" s="118"/>
      <c r="O50" s="89"/>
      <c r="P50" s="92"/>
      <c r="Q50" s="91"/>
      <c r="R50" s="88"/>
    </row>
    <row r="51" spans="1:18">
      <c r="A51" t="str">
        <f>VLOOKUP(B51,Summary!A:A,1,FALSE)</f>
        <v>Accrued BNY Admin Fee Cost</v>
      </c>
      <c r="B51" t="str">
        <f t="shared" si="0"/>
        <v>Accrued BNY Admin Fee Cost</v>
      </c>
      <c r="C51" s="135" t="s">
        <v>26</v>
      </c>
      <c r="D51" s="135" t="s">
        <v>224</v>
      </c>
      <c r="E51" s="135" t="s">
        <v>226</v>
      </c>
      <c r="F51" s="135" t="s">
        <v>172</v>
      </c>
      <c r="G51" s="136">
        <v>-101369.66</v>
      </c>
      <c r="H51" s="135">
        <v>0</v>
      </c>
      <c r="I51" s="135">
        <v>0</v>
      </c>
      <c r="J51" s="136">
        <v>-101369.66</v>
      </c>
      <c r="M51" s="118"/>
      <c r="O51" s="89"/>
      <c r="P51" s="92"/>
      <c r="Q51" s="91"/>
      <c r="R51" s="88"/>
    </row>
    <row r="52" spans="1:18">
      <c r="A52" t="str">
        <f>VLOOKUP(B52,Summary!A:A,1,FALSE)</f>
        <v>Accrued CITRIN Pricing Fees Cost</v>
      </c>
      <c r="B52" t="str">
        <f t="shared" si="0"/>
        <v>Accrued CITRIN Pricing Fees Cost</v>
      </c>
      <c r="C52" s="135" t="s">
        <v>26</v>
      </c>
      <c r="D52" s="135" t="s">
        <v>224</v>
      </c>
      <c r="E52" s="135" t="s">
        <v>231</v>
      </c>
      <c r="F52" s="135" t="s">
        <v>172</v>
      </c>
      <c r="G52" s="136">
        <v>-26387.5</v>
      </c>
      <c r="H52" s="135">
        <v>0</v>
      </c>
      <c r="I52" s="135">
        <v>0</v>
      </c>
      <c r="J52" s="136">
        <v>-26387.5</v>
      </c>
      <c r="M52" s="118"/>
      <c r="O52" s="89"/>
      <c r="P52" s="92"/>
      <c r="Q52" s="91"/>
      <c r="R52" s="88"/>
    </row>
    <row r="53" spans="1:18">
      <c r="A53" t="str">
        <f>VLOOKUP(B53,Summary!A:A,1,FALSE)</f>
        <v>Accrued Centri Business Consulting Fees Cost</v>
      </c>
      <c r="B53" t="str">
        <f t="shared" si="0"/>
        <v>Accrued Centri Business Consulting Fees Cost</v>
      </c>
      <c r="C53" s="135" t="s">
        <v>26</v>
      </c>
      <c r="D53" s="135" t="s">
        <v>224</v>
      </c>
      <c r="E53" s="135" t="s">
        <v>232</v>
      </c>
      <c r="F53" s="135" t="s">
        <v>172</v>
      </c>
      <c r="G53" s="136">
        <v>-35022.1</v>
      </c>
      <c r="H53" s="135">
        <v>0</v>
      </c>
      <c r="I53" s="135">
        <v>0</v>
      </c>
      <c r="J53" s="136">
        <v>-35022.1</v>
      </c>
      <c r="M53" s="118"/>
      <c r="O53" s="89"/>
      <c r="P53" s="92"/>
      <c r="Q53" s="91"/>
      <c r="R53" s="88"/>
    </row>
    <row r="54" spans="1:18">
      <c r="A54" t="str">
        <f>VLOOKUP(B54,Summary!A:A,1,FALSE)</f>
        <v>Accrued Custodian Fees Cost</v>
      </c>
      <c r="B54" t="str">
        <f t="shared" si="0"/>
        <v>Accrued Custodian Fees Cost</v>
      </c>
      <c r="C54" s="135" t="s">
        <v>26</v>
      </c>
      <c r="D54" s="135" t="s">
        <v>224</v>
      </c>
      <c r="E54" s="135" t="s">
        <v>245</v>
      </c>
      <c r="F54" s="135" t="s">
        <v>172</v>
      </c>
      <c r="G54" s="136">
        <v>-46419.16</v>
      </c>
      <c r="H54" s="135">
        <v>0</v>
      </c>
      <c r="I54" s="135">
        <v>0</v>
      </c>
      <c r="J54" s="136">
        <v>-46419.16</v>
      </c>
      <c r="M54" s="118"/>
      <c r="O54" s="89"/>
      <c r="P54" s="92"/>
      <c r="Q54" s="91"/>
      <c r="R54" s="88"/>
    </row>
    <row r="55" spans="1:18">
      <c r="A55" t="str">
        <f>VLOOKUP(B55,Summary!A:A,1,FALSE)</f>
        <v>Accrued DLA SOX/Audit Related Fees Cost</v>
      </c>
      <c r="B55" t="str">
        <f t="shared" si="0"/>
        <v>Accrued DLA SOX/Audit Related Fees Cost</v>
      </c>
      <c r="C55" s="135" t="s">
        <v>26</v>
      </c>
      <c r="D55" s="135" t="s">
        <v>224</v>
      </c>
      <c r="E55" s="135" t="s">
        <v>233</v>
      </c>
      <c r="F55" s="135" t="s">
        <v>172</v>
      </c>
      <c r="G55" s="136">
        <v>-120000</v>
      </c>
      <c r="H55" s="135">
        <v>0</v>
      </c>
      <c r="I55" s="135">
        <v>0</v>
      </c>
      <c r="J55" s="136">
        <v>-120000</v>
      </c>
      <c r="M55" s="118"/>
      <c r="O55" s="89"/>
      <c r="P55" s="92"/>
      <c r="Q55" s="91"/>
      <c r="R55" s="88"/>
    </row>
    <row r="56" spans="1:18">
      <c r="A56" t="str">
        <f>VLOOKUP(B56,Summary!A:A,1,FALSE)</f>
        <v>Accrued Dechert Legal Fees Cost</v>
      </c>
      <c r="B56" t="str">
        <f t="shared" si="0"/>
        <v>Accrued Dechert Legal Fees Cost</v>
      </c>
      <c r="C56" s="135" t="s">
        <v>26</v>
      </c>
      <c r="D56" s="135" t="s">
        <v>224</v>
      </c>
      <c r="E56" s="135" t="s">
        <v>234</v>
      </c>
      <c r="F56" s="135" t="s">
        <v>172</v>
      </c>
      <c r="G56" s="136">
        <v>-66008.3</v>
      </c>
      <c r="H56" s="135">
        <v>0</v>
      </c>
      <c r="I56" s="135">
        <v>0</v>
      </c>
      <c r="J56" s="136">
        <v>-66008.3</v>
      </c>
      <c r="M56" s="118"/>
      <c r="O56" s="89"/>
      <c r="P56" s="92"/>
      <c r="Q56" s="91"/>
      <c r="R56" s="88"/>
    </row>
    <row r="57" spans="1:18">
      <c r="A57" t="str">
        <f>VLOOKUP(B57,Summary!A:A,1,FALSE)</f>
        <v>Accrued Director Fee Cost</v>
      </c>
      <c r="B57" t="str">
        <f t="shared" ref="B57:B86" si="1">CONCATENATE(E57,F57)</f>
        <v>Accrued Director Fee Cost</v>
      </c>
      <c r="C57" s="135" t="s">
        <v>26</v>
      </c>
      <c r="D57" s="135" t="s">
        <v>224</v>
      </c>
      <c r="E57" s="135" t="s">
        <v>246</v>
      </c>
      <c r="F57" s="135" t="s">
        <v>172</v>
      </c>
      <c r="G57" s="136">
        <v>-209939</v>
      </c>
      <c r="H57" s="135">
        <v>0</v>
      </c>
      <c r="I57" s="135">
        <v>0</v>
      </c>
      <c r="J57" s="136">
        <v>-209939</v>
      </c>
      <c r="M57" s="118"/>
      <c r="O57" s="89"/>
      <c r="P57" s="92"/>
      <c r="Q57" s="91"/>
      <c r="R57" s="88"/>
    </row>
    <row r="58" spans="1:18">
      <c r="A58" t="str">
        <f>VLOOKUP(B58,Summary!A:A,1,FALSE)</f>
        <v>Accrued Excise Tax Fees Cost</v>
      </c>
      <c r="B58" t="str">
        <f t="shared" si="1"/>
        <v>Accrued Excise Tax Fees Cost</v>
      </c>
      <c r="C58" s="135" t="s">
        <v>26</v>
      </c>
      <c r="D58" s="135" t="s">
        <v>224</v>
      </c>
      <c r="E58" s="135" t="s">
        <v>248</v>
      </c>
      <c r="F58" s="135" t="s">
        <v>172</v>
      </c>
      <c r="G58" s="136">
        <v>-2882107.07</v>
      </c>
      <c r="H58" s="135">
        <v>0</v>
      </c>
      <c r="I58" s="135">
        <v>0</v>
      </c>
      <c r="J58" s="136">
        <v>-2882107.07</v>
      </c>
      <c r="M58" s="118"/>
      <c r="O58" s="89"/>
      <c r="P58" s="92"/>
      <c r="Q58" s="91"/>
      <c r="R58" s="88"/>
    </row>
    <row r="59" spans="1:18">
      <c r="A59" t="str">
        <f>VLOOKUP(B59,Summary!A:A,1,FALSE)</f>
        <v>Accrued Foley Tax/Consulting Fees Cost</v>
      </c>
      <c r="B59" t="str">
        <f t="shared" si="1"/>
        <v>Accrued Foley Tax/Consulting Fees Cost</v>
      </c>
      <c r="C59" s="135" t="s">
        <v>26</v>
      </c>
      <c r="D59" s="135" t="s">
        <v>224</v>
      </c>
      <c r="E59" s="135" t="s">
        <v>238</v>
      </c>
      <c r="F59" s="135" t="s">
        <v>172</v>
      </c>
      <c r="G59" s="136">
        <v>-3000.27</v>
      </c>
      <c r="H59" s="135">
        <v>0</v>
      </c>
      <c r="I59" s="135">
        <v>0</v>
      </c>
      <c r="J59" s="136">
        <v>-3000.27</v>
      </c>
      <c r="M59" s="118"/>
      <c r="O59" s="89"/>
      <c r="P59" s="92"/>
      <c r="Q59" s="91"/>
      <c r="R59" s="88"/>
    </row>
    <row r="60" spans="1:18">
      <c r="A60" t="str">
        <f>VLOOKUP(B60,Summary!A:A,1,FALSE)</f>
        <v>Accrued Grant Thornton Tax Fees Cost</v>
      </c>
      <c r="B60" t="str">
        <f t="shared" si="1"/>
        <v>Accrued Grant Thornton Tax Fees Cost</v>
      </c>
      <c r="C60" s="135" t="s">
        <v>26</v>
      </c>
      <c r="D60" s="135" t="s">
        <v>224</v>
      </c>
      <c r="E60" s="135" t="s">
        <v>235</v>
      </c>
      <c r="F60" s="135" t="s">
        <v>172</v>
      </c>
      <c r="G60" s="136">
        <v>-5416</v>
      </c>
      <c r="H60" s="135">
        <v>0</v>
      </c>
      <c r="I60" s="135">
        <v>0</v>
      </c>
      <c r="J60" s="136">
        <v>-5416</v>
      </c>
      <c r="M60" s="118"/>
      <c r="O60" s="89"/>
      <c r="P60" s="92"/>
      <c r="Q60" s="91"/>
      <c r="R60" s="88"/>
    </row>
    <row r="61" spans="1:18">
      <c r="A61" t="str">
        <f>VLOOKUP(B61,Summary!A:A,1,FALSE)</f>
        <v>Accrued KROLL LLC Pricing Fees Cost</v>
      </c>
      <c r="B61" t="str">
        <f t="shared" si="1"/>
        <v>Accrued KROLL LLC Pricing Fees Cost</v>
      </c>
      <c r="C61" s="135" t="s">
        <v>26</v>
      </c>
      <c r="D61" s="135" t="s">
        <v>224</v>
      </c>
      <c r="E61" s="135" t="s">
        <v>236</v>
      </c>
      <c r="F61" s="135" t="s">
        <v>172</v>
      </c>
      <c r="G61" s="136">
        <v>-55305.3</v>
      </c>
      <c r="H61" s="135">
        <v>0</v>
      </c>
      <c r="I61" s="135">
        <v>0</v>
      </c>
      <c r="J61" s="136">
        <v>-55305.3</v>
      </c>
      <c r="M61" s="118"/>
      <c r="O61" s="89"/>
      <c r="P61" s="92"/>
      <c r="Q61" s="91"/>
      <c r="R61" s="88"/>
    </row>
    <row r="62" spans="1:18">
      <c r="A62" t="str">
        <f>VLOOKUP(B62,Summary!A:A,1,FALSE)</f>
        <v>Accrued Kirkland &amp; Ellis LLP Legal Fees Cost</v>
      </c>
      <c r="B62" t="str">
        <f t="shared" si="1"/>
        <v>Accrued Kirkland &amp; Ellis LLP Legal Fees Cost</v>
      </c>
      <c r="C62" s="135" t="s">
        <v>26</v>
      </c>
      <c r="D62" s="135" t="s">
        <v>224</v>
      </c>
      <c r="E62" s="135" t="s">
        <v>237</v>
      </c>
      <c r="F62" s="135" t="s">
        <v>172</v>
      </c>
      <c r="G62" s="136">
        <v>-34453.75</v>
      </c>
      <c r="H62" s="135">
        <v>0</v>
      </c>
      <c r="I62" s="135">
        <v>0</v>
      </c>
      <c r="J62" s="136">
        <v>-34453.75</v>
      </c>
      <c r="M62" s="118"/>
      <c r="O62" s="89"/>
      <c r="P62" s="92"/>
      <c r="Q62" s="91"/>
      <c r="R62" s="88"/>
    </row>
    <row r="63" spans="1:18">
      <c r="A63" t="str">
        <f>VLOOKUP(B63,Summary!A:A,1,FALSE)</f>
        <v>Accrued Lincoln Pricing Fees Cost</v>
      </c>
      <c r="B63" t="str">
        <f t="shared" si="1"/>
        <v>Accrued Lincoln Pricing Fees Cost</v>
      </c>
      <c r="C63" s="135" t="s">
        <v>26</v>
      </c>
      <c r="D63" s="135" t="s">
        <v>224</v>
      </c>
      <c r="E63" s="135" t="s">
        <v>239</v>
      </c>
      <c r="F63" s="135" t="s">
        <v>172</v>
      </c>
      <c r="G63" s="136">
        <v>-34487.03</v>
      </c>
      <c r="H63" s="135">
        <v>0</v>
      </c>
      <c r="I63" s="135">
        <v>0</v>
      </c>
      <c r="J63" s="136">
        <v>-34487.03</v>
      </c>
      <c r="M63" s="118"/>
      <c r="O63" s="89"/>
      <c r="P63" s="92"/>
      <c r="Q63" s="91"/>
      <c r="R63" s="88"/>
    </row>
    <row r="64" spans="1:18">
      <c r="A64" t="str">
        <f>VLOOKUP(B64,Summary!A:A,1,FALSE)</f>
        <v>Accrued Management Fee Cost</v>
      </c>
      <c r="B64" t="str">
        <f t="shared" si="1"/>
        <v>Accrued Management Fee Cost</v>
      </c>
      <c r="C64" s="135" t="s">
        <v>26</v>
      </c>
      <c r="D64" s="135" t="s">
        <v>224</v>
      </c>
      <c r="E64" s="135" t="s">
        <v>256</v>
      </c>
      <c r="F64" s="135" t="s">
        <v>172</v>
      </c>
      <c r="G64" s="136">
        <v>-3915499</v>
      </c>
      <c r="H64" s="135">
        <v>0</v>
      </c>
      <c r="I64" s="135">
        <v>0</v>
      </c>
      <c r="J64" s="136">
        <v>-3915499</v>
      </c>
      <c r="M64" s="118"/>
      <c r="O64" s="89"/>
      <c r="P64" s="92"/>
      <c r="Q64" s="91"/>
      <c r="R64" s="88"/>
    </row>
    <row r="65" spans="1:18">
      <c r="A65" t="str">
        <f>VLOOKUP(B65,Summary!A:A,1,FALSE)</f>
        <v>Accrued Misc Payable Cost</v>
      </c>
      <c r="B65" t="str">
        <f t="shared" si="1"/>
        <v>Accrued Misc Payable Cost</v>
      </c>
      <c r="C65" s="135" t="s">
        <v>26</v>
      </c>
      <c r="D65" s="135" t="s">
        <v>224</v>
      </c>
      <c r="E65" s="135" t="s">
        <v>257</v>
      </c>
      <c r="F65" s="135" t="s">
        <v>172</v>
      </c>
      <c r="G65" s="136">
        <v>-339096.1</v>
      </c>
      <c r="H65" s="135">
        <v>0</v>
      </c>
      <c r="I65" s="135">
        <v>0</v>
      </c>
      <c r="J65" s="136">
        <v>-339096.1</v>
      </c>
      <c r="M65" s="118"/>
      <c r="O65" s="89"/>
      <c r="P65" s="92"/>
      <c r="Q65" s="91"/>
      <c r="R65" s="88"/>
    </row>
    <row r="66" spans="1:18">
      <c r="A66" t="str">
        <f>VLOOKUP(B66,Summary!A:A,1,FALSE)</f>
        <v>Accrued PP Admin Exp Reimbursement Cost</v>
      </c>
      <c r="B66" t="str">
        <f t="shared" si="1"/>
        <v>Accrued PP Admin Exp Reimbursement Cost</v>
      </c>
      <c r="C66" s="135" t="s">
        <v>26</v>
      </c>
      <c r="D66" s="135" t="s">
        <v>224</v>
      </c>
      <c r="E66" s="135" t="s">
        <v>227</v>
      </c>
      <c r="F66" s="135" t="s">
        <v>172</v>
      </c>
      <c r="G66" s="136">
        <v>-1092210.77</v>
      </c>
      <c r="H66" s="135">
        <v>0</v>
      </c>
      <c r="I66" s="135">
        <v>0</v>
      </c>
      <c r="J66" s="136">
        <v>-1092210.77</v>
      </c>
      <c r="M66" s="118"/>
      <c r="O66" s="89"/>
      <c r="P66" s="92"/>
      <c r="Q66" s="91"/>
      <c r="R66" s="88"/>
    </row>
    <row r="67" spans="1:18">
      <c r="A67" t="str">
        <f>VLOOKUP(B67,Summary!A:A,1,FALSE)</f>
        <v>Accrued PP Advisor Exp Reimbursement Cost</v>
      </c>
      <c r="B67" t="str">
        <f t="shared" si="1"/>
        <v>Accrued PP Advisor Exp Reimbursement Cost</v>
      </c>
      <c r="C67" s="135" t="s">
        <v>26</v>
      </c>
      <c r="D67" s="135" t="s">
        <v>224</v>
      </c>
      <c r="E67" s="135" t="s">
        <v>228</v>
      </c>
      <c r="F67" s="135" t="s">
        <v>172</v>
      </c>
      <c r="G67" s="136">
        <v>-185824.64000000001</v>
      </c>
      <c r="H67" s="135">
        <v>0</v>
      </c>
      <c r="I67" s="135">
        <v>0</v>
      </c>
      <c r="J67" s="136">
        <v>-185824.64000000001</v>
      </c>
      <c r="M67" s="118"/>
      <c r="O67" s="89"/>
      <c r="P67" s="92"/>
      <c r="Q67" s="91"/>
      <c r="R67" s="88"/>
    </row>
    <row r="68" spans="1:18">
      <c r="A68" t="str">
        <f>VLOOKUP(B68,Summary!A:A,1,FALSE)</f>
        <v>Accrued RSM US LLP Audit Related Fees Cost</v>
      </c>
      <c r="B68" t="str">
        <f t="shared" si="1"/>
        <v>Accrued RSM US LLP Audit Related Fees Cost</v>
      </c>
      <c r="C68" s="135" t="s">
        <v>26</v>
      </c>
      <c r="D68" s="135" t="s">
        <v>224</v>
      </c>
      <c r="E68" s="135" t="s">
        <v>240</v>
      </c>
      <c r="F68" s="135" t="s">
        <v>172</v>
      </c>
      <c r="G68" s="136">
        <v>-229901</v>
      </c>
      <c r="H68" s="135">
        <v>0</v>
      </c>
      <c r="I68" s="135">
        <v>0</v>
      </c>
      <c r="J68" s="136">
        <v>-229901</v>
      </c>
      <c r="M68" s="118"/>
      <c r="O68" s="89"/>
      <c r="P68" s="92"/>
      <c r="Q68" s="91"/>
      <c r="R68" s="88"/>
    </row>
    <row r="69" spans="1:18">
      <c r="A69" t="str">
        <f>VLOOKUP(B69,Summary!A:A,1,FALSE)</f>
        <v>Accrued VRC Pricing Fees Cost</v>
      </c>
      <c r="B69" t="str">
        <f t="shared" si="1"/>
        <v>Accrued VRC Pricing Fees Cost</v>
      </c>
      <c r="C69" s="135" t="s">
        <v>26</v>
      </c>
      <c r="D69" s="135" t="s">
        <v>224</v>
      </c>
      <c r="E69" s="135" t="s">
        <v>241</v>
      </c>
      <c r="F69" s="135" t="s">
        <v>172</v>
      </c>
      <c r="G69" s="136">
        <v>-93086.11</v>
      </c>
      <c r="H69" s="135">
        <v>0</v>
      </c>
      <c r="I69" s="135">
        <v>0</v>
      </c>
      <c r="J69" s="136">
        <v>-93086.11</v>
      </c>
      <c r="M69" s="118"/>
      <c r="O69" s="89"/>
      <c r="P69" s="92"/>
      <c r="Q69" s="91"/>
      <c r="R69" s="88"/>
    </row>
    <row r="70" spans="1:18">
      <c r="A70" t="str">
        <f>VLOOKUP(B70,Summary!A:A,1,FALSE)</f>
        <v>Accrued Venable LLP Legal Fees Cost</v>
      </c>
      <c r="B70" t="str">
        <f t="shared" si="1"/>
        <v>Accrued Venable LLP Legal Fees Cost</v>
      </c>
      <c r="C70" s="135" t="s">
        <v>26</v>
      </c>
      <c r="D70" s="135" t="s">
        <v>224</v>
      </c>
      <c r="E70" s="135" t="s">
        <v>269</v>
      </c>
      <c r="F70" s="135" t="s">
        <v>172</v>
      </c>
      <c r="G70" s="135">
        <v>347.4</v>
      </c>
      <c r="H70" s="135">
        <v>0</v>
      </c>
      <c r="I70" s="135">
        <v>0</v>
      </c>
      <c r="J70" s="135">
        <v>347.4</v>
      </c>
      <c r="M70" s="118"/>
      <c r="O70" s="89"/>
      <c r="P70" s="92"/>
      <c r="Q70" s="91"/>
      <c r="R70" s="88"/>
    </row>
    <row r="71" spans="1:18">
      <c r="A71" t="str">
        <f>VLOOKUP(B71,Summary!A:A,1,FALSE)</f>
        <v>Commitment Fee Payable - Credit Facility Cost</v>
      </c>
      <c r="B71" t="str">
        <f t="shared" si="1"/>
        <v>Commitment Fee Payable - Credit Facility Cost</v>
      </c>
      <c r="C71" s="135" t="s">
        <v>26</v>
      </c>
      <c r="D71" s="135" t="s">
        <v>224</v>
      </c>
      <c r="E71" s="135" t="s">
        <v>274</v>
      </c>
      <c r="F71" s="135" t="s">
        <v>172</v>
      </c>
      <c r="G71" s="136">
        <v>-72505.8</v>
      </c>
      <c r="H71" s="135">
        <v>0</v>
      </c>
      <c r="I71" s="136">
        <v>-6562.9</v>
      </c>
      <c r="J71" s="136">
        <v>-79068.7</v>
      </c>
      <c r="M71" s="118"/>
      <c r="O71" s="89"/>
      <c r="P71" s="92"/>
      <c r="Q71" s="91"/>
      <c r="R71" s="88"/>
    </row>
    <row r="72" spans="1:18">
      <c r="A72" t="str">
        <f>VLOOKUP(B72,Summary!A:A,1,FALSE)</f>
        <v>Credit Facility Interest Payable Cost</v>
      </c>
      <c r="B72" t="str">
        <f t="shared" si="1"/>
        <v>Credit Facility Interest Payable Cost</v>
      </c>
      <c r="C72" s="135" t="s">
        <v>26</v>
      </c>
      <c r="D72" s="135" t="s">
        <v>224</v>
      </c>
      <c r="E72" s="135" t="s">
        <v>276</v>
      </c>
      <c r="F72" s="135" t="s">
        <v>172</v>
      </c>
      <c r="G72" s="136">
        <v>-1645364.33</v>
      </c>
      <c r="H72" s="136">
        <v>1139715.28</v>
      </c>
      <c r="I72" s="135">
        <v>0</v>
      </c>
      <c r="J72" s="136">
        <v>-505649.05</v>
      </c>
      <c r="M72" s="118"/>
      <c r="O72" s="89"/>
      <c r="P72" s="92"/>
      <c r="Q72" s="91"/>
      <c r="R72" s="88"/>
    </row>
    <row r="73" spans="1:18">
      <c r="A73" t="str">
        <f>VLOOKUP(B73,Summary!A:A,1,FALSE)</f>
        <v>Current Tax Provision Payable Cost</v>
      </c>
      <c r="B73" t="str">
        <f t="shared" si="1"/>
        <v>Current Tax Provision Payable Cost</v>
      </c>
      <c r="C73" s="135" t="s">
        <v>26</v>
      </c>
      <c r="D73" s="135" t="s">
        <v>224</v>
      </c>
      <c r="E73" s="135" t="s">
        <v>265</v>
      </c>
      <c r="F73" s="135" t="s">
        <v>172</v>
      </c>
      <c r="G73" s="136">
        <v>23656</v>
      </c>
      <c r="H73" s="135">
        <v>0</v>
      </c>
      <c r="I73" s="135">
        <v>0</v>
      </c>
      <c r="J73" s="136">
        <v>23656</v>
      </c>
      <c r="M73" s="118"/>
      <c r="O73" s="89"/>
      <c r="P73" s="92"/>
      <c r="Q73" s="91"/>
      <c r="R73" s="88"/>
    </row>
    <row r="74" spans="1:18">
      <c r="A74" t="str">
        <f>VLOOKUP(B74,Summary!A:A,1,FALSE)</f>
        <v>Distributions Payable Cost</v>
      </c>
      <c r="B74" t="str">
        <f t="shared" si="1"/>
        <v>Distributions Payable Cost</v>
      </c>
      <c r="C74" s="135" t="s">
        <v>26</v>
      </c>
      <c r="D74" s="135" t="s">
        <v>224</v>
      </c>
      <c r="E74" s="135" t="s">
        <v>280</v>
      </c>
      <c r="F74" s="135" t="s">
        <v>172</v>
      </c>
      <c r="G74" s="136">
        <v>-5223687.5199999996</v>
      </c>
      <c r="H74" s="135">
        <v>0</v>
      </c>
      <c r="I74" s="135">
        <v>0</v>
      </c>
      <c r="J74" s="136">
        <v>-5223687.5199999996</v>
      </c>
      <c r="M74" s="118"/>
      <c r="O74" s="89"/>
      <c r="P74" s="92"/>
      <c r="Q74" s="91"/>
      <c r="R74" s="88"/>
    </row>
    <row r="75" spans="1:18">
      <c r="A75" t="str">
        <f>VLOOKUP(B75,Summary!A:A,1,FALSE)</f>
        <v>Line of Credit - Liability Cost</v>
      </c>
      <c r="B75" t="str">
        <f t="shared" si="1"/>
        <v>Line of Credit - Liability Cost</v>
      </c>
      <c r="C75" s="135" t="s">
        <v>26</v>
      </c>
      <c r="D75" s="135" t="s">
        <v>224</v>
      </c>
      <c r="E75" s="135" t="s">
        <v>284</v>
      </c>
      <c r="F75" s="135" t="s">
        <v>172</v>
      </c>
      <c r="G75" s="136">
        <v>-245000000</v>
      </c>
      <c r="H75" s="136">
        <v>75000000</v>
      </c>
      <c r="I75" s="135">
        <v>0</v>
      </c>
      <c r="J75" s="136">
        <v>-170000000</v>
      </c>
      <c r="M75" s="118"/>
      <c r="O75" s="89"/>
      <c r="P75" s="92"/>
      <c r="Q75" s="91"/>
      <c r="R75" s="88"/>
    </row>
    <row r="76" spans="1:18">
      <c r="A76" t="str">
        <f>VLOOKUP(B76,Summary!A:A,1,FALSE)</f>
        <v>Accumulated net realized gain loss on investments prior years</v>
      </c>
      <c r="B76" t="str">
        <f t="shared" si="1"/>
        <v>Accumulated net realized gain loss on investments prior years</v>
      </c>
      <c r="C76" s="135" t="s">
        <v>297</v>
      </c>
      <c r="D76" s="135" t="s">
        <v>298</v>
      </c>
      <c r="E76" s="135" t="s">
        <v>306</v>
      </c>
      <c r="F76" s="135"/>
      <c r="G76" s="136">
        <v>-67497</v>
      </c>
      <c r="H76" s="135">
        <v>0</v>
      </c>
      <c r="I76" s="135">
        <v>0</v>
      </c>
      <c r="J76" s="136">
        <v>-67497</v>
      </c>
      <c r="M76" s="118"/>
      <c r="O76" s="89"/>
      <c r="P76" s="92"/>
      <c r="Q76" s="91"/>
      <c r="R76" s="88"/>
    </row>
    <row r="77" spans="1:18">
      <c r="A77" t="str">
        <f>VLOOKUP(B77,Summary!A:A,1,FALSE)</f>
        <v>Accumulated net realized gl on investments prior years</v>
      </c>
      <c r="B77" t="str">
        <f t="shared" si="1"/>
        <v>Accumulated net realized gl on investments prior years</v>
      </c>
      <c r="C77" s="135" t="s">
        <v>297</v>
      </c>
      <c r="D77" s="135" t="s">
        <v>298</v>
      </c>
      <c r="E77" s="135" t="s">
        <v>305</v>
      </c>
      <c r="F77" s="135"/>
      <c r="G77" s="136">
        <v>71543952</v>
      </c>
      <c r="H77" s="135">
        <v>0</v>
      </c>
      <c r="I77" s="135">
        <v>0</v>
      </c>
      <c r="J77" s="136">
        <v>71543952</v>
      </c>
      <c r="M77" s="118"/>
      <c r="O77" s="89"/>
      <c r="P77" s="92"/>
      <c r="Q77" s="91"/>
      <c r="R77" s="88"/>
    </row>
    <row r="78" spans="1:18">
      <c r="A78" t="str">
        <f>VLOOKUP(B78,Summary!A:A,1,FALSE)</f>
        <v>Capital Stock</v>
      </c>
      <c r="B78" t="str">
        <f t="shared" si="1"/>
        <v>Capital Stock</v>
      </c>
      <c r="C78" s="135" t="s">
        <v>297</v>
      </c>
      <c r="D78" s="135" t="s">
        <v>298</v>
      </c>
      <c r="E78" s="135" t="s">
        <v>299</v>
      </c>
      <c r="F78" s="135"/>
      <c r="G78" s="136">
        <v>-65296.14</v>
      </c>
      <c r="H78" s="135">
        <v>0</v>
      </c>
      <c r="I78" s="135">
        <v>0</v>
      </c>
      <c r="J78" s="136">
        <v>-65296.14</v>
      </c>
      <c r="M78" s="118"/>
      <c r="O78" s="89"/>
      <c r="P78" s="92"/>
      <c r="Q78" s="91"/>
      <c r="R78" s="88"/>
    </row>
    <row r="79" spans="1:18">
      <c r="A79" t="str">
        <f>VLOOKUP(B79,Summary!A:A,1,FALSE)</f>
        <v>ContributedCost</v>
      </c>
      <c r="B79" t="str">
        <f t="shared" si="1"/>
        <v>ContributedCost</v>
      </c>
      <c r="C79" s="135" t="s">
        <v>297</v>
      </c>
      <c r="D79" s="135" t="s">
        <v>298</v>
      </c>
      <c r="E79" s="135" t="s">
        <v>301</v>
      </c>
      <c r="F79" s="135"/>
      <c r="G79" s="136">
        <v>-740506297.98000002</v>
      </c>
      <c r="H79" s="135">
        <v>0</v>
      </c>
      <c r="I79" s="135">
        <v>0</v>
      </c>
      <c r="J79" s="136">
        <v>-740506297.98000002</v>
      </c>
      <c r="M79" s="118"/>
      <c r="O79" s="89"/>
      <c r="P79" s="92"/>
      <c r="Q79" s="91"/>
      <c r="R79" s="88"/>
    </row>
    <row r="80" spans="1:18">
      <c r="A80" t="str">
        <f>VLOOKUP(B80,Summary!A:A,1,FALSE)</f>
        <v>Net unrealized app dep on debt prior years</v>
      </c>
      <c r="B80" t="str">
        <f t="shared" si="1"/>
        <v>Net unrealized app dep on debt prior years</v>
      </c>
      <c r="C80" s="135" t="s">
        <v>297</v>
      </c>
      <c r="D80" s="135" t="s">
        <v>298</v>
      </c>
      <c r="E80" s="135" t="s">
        <v>307</v>
      </c>
      <c r="F80" s="135"/>
      <c r="G80" s="136">
        <v>-1551670</v>
      </c>
      <c r="H80" s="135">
        <v>0</v>
      </c>
      <c r="I80" s="135">
        <v>0</v>
      </c>
      <c r="J80" s="136">
        <v>-1551670</v>
      </c>
      <c r="M80" s="118"/>
      <c r="O80" s="89"/>
      <c r="P80" s="92"/>
      <c r="Q80" s="91"/>
      <c r="R80" s="88"/>
    </row>
    <row r="81" spans="1:18">
      <c r="A81" t="str">
        <f>VLOOKUP(B81,Summary!A:A,1,FALSE)</f>
        <v>Net unrealized app dep on investments prior years</v>
      </c>
      <c r="B81" t="str">
        <f t="shared" si="1"/>
        <v>Net unrealized app dep on investments prior years</v>
      </c>
      <c r="C81" s="135" t="s">
        <v>297</v>
      </c>
      <c r="D81" s="135" t="s">
        <v>298</v>
      </c>
      <c r="E81" s="135" t="s">
        <v>308</v>
      </c>
      <c r="F81" s="135"/>
      <c r="G81" s="136">
        <v>111763780</v>
      </c>
      <c r="H81" s="135">
        <v>0</v>
      </c>
      <c r="I81" s="135">
        <v>0</v>
      </c>
      <c r="J81" s="136">
        <v>111763780</v>
      </c>
      <c r="M81" s="118"/>
      <c r="O81" s="89"/>
      <c r="P81" s="92"/>
      <c r="Q81" s="91"/>
      <c r="R81" s="88"/>
    </row>
    <row r="82" spans="1:18">
      <c r="A82" t="str">
        <f>VLOOKUP(B82,Summary!A:A,1,FALSE)</f>
        <v>Undistributed net investment income Prior Years</v>
      </c>
      <c r="B82" t="str">
        <f t="shared" si="1"/>
        <v>Undistributed net investment income Prior Years</v>
      </c>
      <c r="C82" s="135" t="s">
        <v>297</v>
      </c>
      <c r="D82" s="135" t="s">
        <v>298</v>
      </c>
      <c r="E82" s="135" t="s">
        <v>310</v>
      </c>
      <c r="F82" s="135"/>
      <c r="G82" s="136">
        <v>-42600718</v>
      </c>
      <c r="H82" s="135">
        <v>0</v>
      </c>
      <c r="I82" s="135">
        <v>0</v>
      </c>
      <c r="J82" s="136">
        <v>-42600718</v>
      </c>
      <c r="M82" s="118"/>
      <c r="O82" s="89"/>
      <c r="P82" s="92"/>
      <c r="Q82" s="91"/>
      <c r="R82" s="88"/>
    </row>
    <row r="83" spans="1:18">
      <c r="A83" t="str">
        <f>VLOOKUP(B83,Summary!A:A,1,FALSE)</f>
        <v>Retained Earnings</v>
      </c>
      <c r="B83" t="str">
        <f t="shared" si="1"/>
        <v>Retained Earnings</v>
      </c>
      <c r="C83" s="135" t="s">
        <v>297</v>
      </c>
      <c r="D83" s="135" t="s">
        <v>320</v>
      </c>
      <c r="E83" s="135" t="s">
        <v>320</v>
      </c>
      <c r="F83" s="135"/>
      <c r="G83" s="136">
        <v>137533559.91999999</v>
      </c>
      <c r="H83" s="135">
        <v>0</v>
      </c>
      <c r="I83" s="135">
        <v>0</v>
      </c>
      <c r="J83" s="136">
        <v>137533559.91999999</v>
      </c>
      <c r="M83" s="118"/>
      <c r="O83" s="89"/>
      <c r="P83" s="92"/>
      <c r="Q83" s="91"/>
      <c r="R83" s="88"/>
    </row>
    <row r="84" spans="1:18">
      <c r="A84" t="str">
        <f>VLOOKUP(B84,Summary!A:A,1,FALSE)</f>
        <v>Change in Unrealized FX Gain/Loss</v>
      </c>
      <c r="B84" t="str">
        <f t="shared" si="1"/>
        <v>Change in Unrealized FX Gain/Loss</v>
      </c>
      <c r="C84" s="135" t="s">
        <v>324</v>
      </c>
      <c r="D84" s="135"/>
      <c r="E84" s="135" t="s">
        <v>325</v>
      </c>
      <c r="F84" s="135"/>
      <c r="G84" s="136">
        <v>-257922.04</v>
      </c>
      <c r="H84" s="135">
        <v>0</v>
      </c>
      <c r="I84" s="136">
        <v>-281259.24</v>
      </c>
      <c r="J84" s="136">
        <v>-539181.28</v>
      </c>
      <c r="M84" s="118"/>
      <c r="O84" s="89"/>
      <c r="P84" s="90"/>
      <c r="Q84" s="91"/>
      <c r="R84" s="88"/>
    </row>
    <row r="85" spans="1:18">
      <c r="A85" t="str">
        <f>VLOOKUP(B85,Summary!A:A,1,FALSE)</f>
        <v>Change in Unrealized Price Gain/Loss</v>
      </c>
      <c r="B85" t="str">
        <f t="shared" si="1"/>
        <v>Change in Unrealized Price Gain/Loss</v>
      </c>
      <c r="C85" s="135" t="s">
        <v>324</v>
      </c>
      <c r="D85" s="135"/>
      <c r="E85" s="135" t="s">
        <v>326</v>
      </c>
      <c r="F85" s="135"/>
      <c r="G85" s="136">
        <v>57296588.170000002</v>
      </c>
      <c r="H85" s="135">
        <v>0</v>
      </c>
      <c r="I85" s="136">
        <v>-1900579.45</v>
      </c>
      <c r="J85" s="136">
        <v>55396008.719999999</v>
      </c>
      <c r="M85" s="118"/>
      <c r="O85" s="89"/>
      <c r="P85" s="92"/>
      <c r="Q85" s="91"/>
      <c r="R85" s="88"/>
    </row>
    <row r="86" spans="1:18">
      <c r="A86" t="str">
        <f>VLOOKUP(B86,Summary!A:A,1,FALSE)</f>
        <v>ChangeInAccruedInterestLong</v>
      </c>
      <c r="B86" t="str">
        <f t="shared" si="1"/>
        <v>ChangeInAccruedInterestLong</v>
      </c>
      <c r="C86" s="135" t="s">
        <v>324</v>
      </c>
      <c r="D86" s="135"/>
      <c r="E86" s="135" t="s">
        <v>327</v>
      </c>
      <c r="F86" s="135"/>
      <c r="G86" s="136">
        <v>856088.02</v>
      </c>
      <c r="H86" s="135">
        <v>0</v>
      </c>
      <c r="I86" s="136">
        <v>-4418132.4000000004</v>
      </c>
      <c r="J86" s="136">
        <v>-3562044.38</v>
      </c>
      <c r="M86" s="118"/>
      <c r="O86" s="89"/>
      <c r="P86" s="92"/>
      <c r="Q86" s="91"/>
      <c r="R86" s="88"/>
    </row>
    <row r="87" spans="1:18">
      <c r="A87" t="str">
        <f>VLOOKUP(B87,Summary!A:A,1,FALSE)</f>
        <v>ChangeInTotalDiscountBasisLong</v>
      </c>
      <c r="B87" t="str">
        <f t="shared" ref="B87:B106" si="2">CONCATENATE(E87,F87)</f>
        <v>ChangeInTotalDiscountBasisLong</v>
      </c>
      <c r="C87" s="135" t="s">
        <v>324</v>
      </c>
      <c r="D87" s="135"/>
      <c r="E87" s="135" t="s">
        <v>330</v>
      </c>
      <c r="F87" s="135"/>
      <c r="G87" s="136">
        <v>305402.27</v>
      </c>
      <c r="H87" s="136">
        <v>65564.350000000006</v>
      </c>
      <c r="I87" s="135">
        <v>0</v>
      </c>
      <c r="J87" s="136">
        <v>370966.62</v>
      </c>
      <c r="M87" s="118"/>
      <c r="O87" s="89"/>
      <c r="P87" s="92"/>
      <c r="Q87" s="91"/>
      <c r="R87" s="88"/>
    </row>
    <row r="88" spans="1:18">
      <c r="A88" t="str">
        <f>VLOOKUP(B88,Summary!A:A,1,FALSE)</f>
        <v>ChangeInUnfundedLiabilityAccruedInterestLong</v>
      </c>
      <c r="B88" t="str">
        <f t="shared" si="2"/>
        <v>ChangeInUnfundedLiabilityAccruedInterestLong</v>
      </c>
      <c r="C88" s="135" t="s">
        <v>324</v>
      </c>
      <c r="D88" s="135"/>
      <c r="E88" s="135" t="s">
        <v>331</v>
      </c>
      <c r="F88" s="135"/>
      <c r="G88" s="136">
        <v>4081.63</v>
      </c>
      <c r="H88" s="135">
        <v>0</v>
      </c>
      <c r="I88" s="136">
        <v>-35408.29</v>
      </c>
      <c r="J88" s="136">
        <v>-31326.66</v>
      </c>
      <c r="M88" s="118"/>
      <c r="O88" s="89"/>
      <c r="P88" s="92"/>
      <c r="Q88" s="91"/>
      <c r="R88" s="88"/>
    </row>
    <row r="89" spans="1:18">
      <c r="A89" t="str">
        <f>VLOOKUP(B89,Summary!A:A,1,FALSE)</f>
        <v>Dividend Distribution Income</v>
      </c>
      <c r="B89" t="str">
        <f t="shared" si="2"/>
        <v>Dividend Distribution Income</v>
      </c>
      <c r="C89" s="135" t="s">
        <v>324</v>
      </c>
      <c r="D89" s="135"/>
      <c r="E89" s="135" t="s">
        <v>109</v>
      </c>
      <c r="F89" s="135"/>
      <c r="G89" s="136">
        <v>-3720.89</v>
      </c>
      <c r="H89" s="135">
        <v>0</v>
      </c>
      <c r="I89" s="136">
        <v>-8383.08</v>
      </c>
      <c r="J89" s="136">
        <v>-12103.97</v>
      </c>
      <c r="M89" s="118"/>
      <c r="O89" s="89"/>
      <c r="P89" s="92"/>
      <c r="Q89" s="91"/>
      <c r="R89" s="88"/>
    </row>
    <row r="90" spans="1:18">
      <c r="A90" t="str">
        <f>VLOOKUP(B90,Summary!A:A,1,FALSE)</f>
        <v>Dividend Income - PSLF Membership</v>
      </c>
      <c r="B90" t="str">
        <f t="shared" si="2"/>
        <v>Dividend Income - PSLF Membership</v>
      </c>
      <c r="C90" s="135" t="s">
        <v>324</v>
      </c>
      <c r="D90" s="135"/>
      <c r="E90" s="135" t="s">
        <v>334</v>
      </c>
      <c r="F90" s="135"/>
      <c r="G90" s="136">
        <v>-4183813</v>
      </c>
      <c r="H90" s="135">
        <v>0</v>
      </c>
      <c r="I90" s="135">
        <v>0</v>
      </c>
      <c r="J90" s="136">
        <v>-4183813</v>
      </c>
      <c r="M90" s="118"/>
      <c r="O90" s="89"/>
      <c r="P90" s="92"/>
      <c r="Q90" s="91"/>
      <c r="R90" s="88"/>
    </row>
    <row r="91" spans="1:18">
      <c r="A91" t="str">
        <f>VLOOKUP(B91,Summary!A:A,1,FALSE)</f>
        <v>Dividend Income - PTSF II Membership</v>
      </c>
      <c r="B91" t="str">
        <f t="shared" si="2"/>
        <v>Dividend Income - PTSF II Membership</v>
      </c>
      <c r="C91" s="135" t="s">
        <v>324</v>
      </c>
      <c r="D91" s="135"/>
      <c r="E91" s="135" t="s">
        <v>335</v>
      </c>
      <c r="F91" s="135"/>
      <c r="G91" s="136">
        <v>-230769</v>
      </c>
      <c r="H91" s="135">
        <v>0</v>
      </c>
      <c r="I91" s="135">
        <v>0</v>
      </c>
      <c r="J91" s="136">
        <v>-230769</v>
      </c>
      <c r="M91" s="118"/>
      <c r="O91" s="89"/>
      <c r="P91" s="92"/>
      <c r="Q91" s="91"/>
      <c r="R91" s="88"/>
    </row>
    <row r="92" spans="1:18">
      <c r="A92" t="str">
        <f>VLOOKUP(B92,Summary!A:A,1,FALSE)</f>
        <v>Interest Domestic Paydown</v>
      </c>
      <c r="B92" t="str">
        <f t="shared" si="2"/>
        <v>Interest Domestic Paydown</v>
      </c>
      <c r="C92" s="135" t="s">
        <v>324</v>
      </c>
      <c r="D92" s="135"/>
      <c r="E92" s="135" t="s">
        <v>341</v>
      </c>
      <c r="F92" s="135"/>
      <c r="G92" s="136">
        <v>100148.29</v>
      </c>
      <c r="H92" s="136">
        <v>1000.98</v>
      </c>
      <c r="I92" s="135">
        <v>0</v>
      </c>
      <c r="J92" s="136">
        <v>101149.27</v>
      </c>
      <c r="M92" s="118"/>
      <c r="O92" s="89"/>
      <c r="P92" s="92"/>
      <c r="Q92" s="91"/>
      <c r="R92" s="88"/>
    </row>
    <row r="93" spans="1:18">
      <c r="A93" t="str">
        <f>VLOOKUP(B93,Summary!A:A,1,FALSE)</f>
        <v>Interest Income Sweep</v>
      </c>
      <c r="B93" t="str">
        <f t="shared" si="2"/>
        <v>Interest Income Sweep</v>
      </c>
      <c r="C93" s="135" t="s">
        <v>324</v>
      </c>
      <c r="D93" s="135"/>
      <c r="E93" s="135" t="s">
        <v>343</v>
      </c>
      <c r="F93" s="135"/>
      <c r="G93" s="136">
        <v>-243734.55</v>
      </c>
      <c r="H93" s="135">
        <v>0</v>
      </c>
      <c r="I93" s="136">
        <v>-157616.69</v>
      </c>
      <c r="J93" s="136">
        <v>-401351.24</v>
      </c>
      <c r="M93" s="118"/>
      <c r="O93" s="89"/>
      <c r="P93" s="92"/>
      <c r="Q93" s="91"/>
      <c r="R93" s="88"/>
    </row>
    <row r="94" spans="1:18">
      <c r="A94" t="str">
        <f>VLOOKUP(B94,Summary!A:A,1,FALSE)</f>
        <v>InterestReceipt</v>
      </c>
      <c r="B94" t="str">
        <f t="shared" si="2"/>
        <v>InterestReceipt</v>
      </c>
      <c r="C94" s="135" t="s">
        <v>324</v>
      </c>
      <c r="D94" s="135"/>
      <c r="E94" s="135" t="s">
        <v>345</v>
      </c>
      <c r="F94" s="135"/>
      <c r="G94" s="136">
        <v>-22712075.309999999</v>
      </c>
      <c r="H94" s="135">
        <v>0</v>
      </c>
      <c r="I94" s="136">
        <v>-2380889.94</v>
      </c>
      <c r="J94" s="136">
        <v>-25092965.25</v>
      </c>
      <c r="M94" s="118"/>
      <c r="O94" s="89"/>
      <c r="P94" s="92"/>
      <c r="Q94" s="91"/>
      <c r="R94" s="88"/>
    </row>
    <row r="95" spans="1:18">
      <c r="A95" t="str">
        <f>VLOOKUP(B95,Summary!A:A,1,FALSE)</f>
        <v>LongTermCurrencyGainLoss</v>
      </c>
      <c r="B95" t="str">
        <f t="shared" si="2"/>
        <v>LongTermCurrencyGainLoss</v>
      </c>
      <c r="C95" s="135" t="s">
        <v>324</v>
      </c>
      <c r="D95" s="135"/>
      <c r="E95" s="135" t="s">
        <v>362</v>
      </c>
      <c r="F95" s="135"/>
      <c r="G95" s="135">
        <v>-0.96</v>
      </c>
      <c r="H95" s="135">
        <v>0</v>
      </c>
      <c r="I95" s="135">
        <v>0</v>
      </c>
      <c r="J95" s="135">
        <v>-0.96</v>
      </c>
      <c r="M95" s="118"/>
      <c r="O95" s="89"/>
      <c r="P95" s="92"/>
      <c r="Q95" s="91"/>
      <c r="R95" s="88"/>
    </row>
    <row r="96" spans="1:18">
      <c r="A96" t="str">
        <f>VLOOKUP(B96,Summary!A:A,1,FALSE)</f>
        <v>LongTermPriceGainLoss</v>
      </c>
      <c r="B96" t="str">
        <f t="shared" si="2"/>
        <v>LongTermPriceGainLoss</v>
      </c>
      <c r="C96" s="135" t="s">
        <v>324</v>
      </c>
      <c r="D96" s="135"/>
      <c r="E96" s="135" t="s">
        <v>349</v>
      </c>
      <c r="F96" s="135"/>
      <c r="G96" s="136">
        <v>-58741838.25</v>
      </c>
      <c r="H96" s="135">
        <v>0</v>
      </c>
      <c r="I96" s="136">
        <v>-1049691.3</v>
      </c>
      <c r="J96" s="136">
        <v>-59791529.549999997</v>
      </c>
      <c r="M96" s="118"/>
      <c r="O96" s="89"/>
      <c r="P96" s="92"/>
      <c r="Q96" s="91"/>
      <c r="R96" s="88"/>
    </row>
    <row r="97" spans="1:18">
      <c r="A97" t="str">
        <f>VLOOKUP(B97,Summary!A:A,1,FALSE)</f>
        <v>Other Income</v>
      </c>
      <c r="B97" t="str">
        <f t="shared" si="2"/>
        <v>Other Income</v>
      </c>
      <c r="C97" s="135" t="s">
        <v>324</v>
      </c>
      <c r="D97" s="135"/>
      <c r="E97" s="135" t="s">
        <v>356</v>
      </c>
      <c r="F97" s="135"/>
      <c r="G97" s="136">
        <v>-300732.15999999997</v>
      </c>
      <c r="H97" s="135">
        <v>0</v>
      </c>
      <c r="I97" s="136">
        <v>-21157.91</v>
      </c>
      <c r="J97" s="136">
        <v>-321890.07</v>
      </c>
      <c r="M97" s="118"/>
      <c r="O97" s="89"/>
      <c r="P97" s="92"/>
      <c r="Q97" s="91"/>
      <c r="R97" s="88"/>
    </row>
    <row r="98" spans="1:18">
      <c r="A98" t="str">
        <f>VLOOKUP(B98,Summary!A:A,1,FALSE)</f>
        <v>Section988Income</v>
      </c>
      <c r="B98" t="str">
        <f t="shared" si="2"/>
        <v>Section988Income</v>
      </c>
      <c r="C98" s="135" t="s">
        <v>324</v>
      </c>
      <c r="D98" s="135"/>
      <c r="E98" s="135" t="s">
        <v>360</v>
      </c>
      <c r="F98" s="135"/>
      <c r="G98" s="136">
        <v>-13533.12</v>
      </c>
      <c r="H98" s="135">
        <v>0</v>
      </c>
      <c r="I98" s="135">
        <v>-187.88</v>
      </c>
      <c r="J98" s="136">
        <v>-13721</v>
      </c>
      <c r="M98" s="118"/>
      <c r="O98" s="89"/>
      <c r="P98" s="92"/>
      <c r="Q98" s="91"/>
      <c r="R98" s="88"/>
    </row>
    <row r="99" spans="1:18">
      <c r="A99" t="str">
        <f>VLOOKUP(B99,Summary!A:A,1,FALSE)</f>
        <v>ShortTermCurrencyGainLoss</v>
      </c>
      <c r="B99" t="str">
        <f t="shared" si="2"/>
        <v>ShortTermCurrencyGainLoss</v>
      </c>
      <c r="C99" s="135" t="s">
        <v>324</v>
      </c>
      <c r="D99" s="135"/>
      <c r="E99" s="135" t="s">
        <v>361</v>
      </c>
      <c r="F99" s="135"/>
      <c r="G99" s="136">
        <v>183816.7</v>
      </c>
      <c r="H99" s="135">
        <v>0</v>
      </c>
      <c r="I99" s="135">
        <v>0</v>
      </c>
      <c r="J99" s="136">
        <v>183816.7</v>
      </c>
      <c r="M99" s="118"/>
      <c r="O99" s="89"/>
      <c r="P99" s="92"/>
      <c r="Q99" s="91"/>
      <c r="R99" s="88"/>
    </row>
    <row r="100" spans="1:18">
      <c r="A100" t="str">
        <f>VLOOKUP(B100,Summary!A:A,1,FALSE)</f>
        <v>ShortTermPriceGainLoss</v>
      </c>
      <c r="B100" t="str">
        <f t="shared" si="2"/>
        <v>ShortTermPriceGainLoss</v>
      </c>
      <c r="C100" s="135" t="s">
        <v>324</v>
      </c>
      <c r="D100" s="135"/>
      <c r="E100" s="135" t="s">
        <v>365</v>
      </c>
      <c r="F100" s="135"/>
      <c r="G100" s="136">
        <v>-540487.29</v>
      </c>
      <c r="H100" s="135">
        <v>0</v>
      </c>
      <c r="I100" s="136">
        <v>-182182.85</v>
      </c>
      <c r="J100" s="136">
        <v>-722670.14</v>
      </c>
      <c r="M100" s="118"/>
      <c r="O100" s="89"/>
      <c r="P100" s="92"/>
      <c r="Q100" s="91"/>
      <c r="R100" s="88"/>
    </row>
    <row r="101" spans="1:18">
      <c r="A101" t="str">
        <f>VLOOKUP(B101,Summary!A:A,1,FALSE)</f>
        <v>SoldAccruedInterestReceipt</v>
      </c>
      <c r="B101" t="str">
        <f t="shared" si="2"/>
        <v>SoldAccruedInterestReceipt</v>
      </c>
      <c r="C101" s="135" t="s">
        <v>324</v>
      </c>
      <c r="D101" s="135"/>
      <c r="E101" s="135" t="s">
        <v>366</v>
      </c>
      <c r="F101" s="135"/>
      <c r="G101" s="136">
        <v>-51856.43</v>
      </c>
      <c r="H101" s="135">
        <v>0</v>
      </c>
      <c r="I101" s="136">
        <v>-1185.49</v>
      </c>
      <c r="J101" s="136">
        <v>-53041.919999999998</v>
      </c>
      <c r="M101" s="118"/>
      <c r="O101" s="89"/>
      <c r="P101" s="92"/>
      <c r="Q101" s="91"/>
      <c r="R101" s="88"/>
    </row>
    <row r="102" spans="1:18">
      <c r="A102" t="str">
        <f>VLOOKUP(B102,Summary!A:A,1,FALSE)</f>
        <v>TotalDiscountAmortizationIncome</v>
      </c>
      <c r="B102" t="str">
        <f t="shared" si="2"/>
        <v>TotalDiscountAmortizationIncome</v>
      </c>
      <c r="C102" s="135" t="s">
        <v>324</v>
      </c>
      <c r="D102" s="135"/>
      <c r="E102" s="135" t="s">
        <v>367</v>
      </c>
      <c r="F102" s="135"/>
      <c r="G102" s="136">
        <v>-578008.65</v>
      </c>
      <c r="H102" s="135">
        <v>0</v>
      </c>
      <c r="I102" s="136">
        <v>-168322.28</v>
      </c>
      <c r="J102" s="136">
        <v>-746330.93</v>
      </c>
      <c r="M102" s="118"/>
      <c r="O102" s="89"/>
      <c r="P102" s="92"/>
      <c r="Q102" s="91"/>
      <c r="R102" s="88"/>
    </row>
    <row r="103" spans="1:18">
      <c r="A103" t="str">
        <f>VLOOKUP(B103,Summary!A:A,1,FALSE)</f>
        <v>UnfundedLiabilityInterestReceipt</v>
      </c>
      <c r="B103" t="str">
        <f t="shared" si="2"/>
        <v>UnfundedLiabilityInterestReceipt</v>
      </c>
      <c r="C103" s="135" t="s">
        <v>324</v>
      </c>
      <c r="D103" s="135"/>
      <c r="E103" s="135" t="s">
        <v>368</v>
      </c>
      <c r="F103" s="135"/>
      <c r="G103" s="136">
        <v>-242798.81</v>
      </c>
      <c r="H103" s="135">
        <v>0</v>
      </c>
      <c r="I103" s="136">
        <v>-44765.31</v>
      </c>
      <c r="J103" s="136">
        <v>-287564.12</v>
      </c>
      <c r="M103" s="118"/>
      <c r="O103" s="89"/>
      <c r="P103" s="90"/>
      <c r="Q103" s="91"/>
      <c r="R103" s="88"/>
    </row>
    <row r="104" spans="1:18">
      <c r="A104" t="str">
        <f>VLOOKUP(B104,Summary!A:A,1,FALSE)</f>
        <v>Advisor Fee Expense</v>
      </c>
      <c r="B104" t="str">
        <f t="shared" si="2"/>
        <v>Advisor Fee Expense</v>
      </c>
      <c r="C104" s="135" t="s">
        <v>371</v>
      </c>
      <c r="D104" s="135"/>
      <c r="E104" s="135" t="s">
        <v>374</v>
      </c>
      <c r="F104" s="135"/>
      <c r="G104" s="136">
        <v>75000</v>
      </c>
      <c r="H104" s="136">
        <v>25000</v>
      </c>
      <c r="I104" s="135">
        <v>0</v>
      </c>
      <c r="J104" s="136">
        <v>100000</v>
      </c>
      <c r="M104" s="118"/>
      <c r="O104" s="89"/>
      <c r="P104" s="92"/>
      <c r="Q104" s="91"/>
      <c r="R104" s="88"/>
    </row>
    <row r="105" spans="1:18">
      <c r="A105" t="str">
        <f>VLOOKUP(B105,Summary!A:A,1,FALSE)</f>
        <v>BNY Administration Exp</v>
      </c>
      <c r="B105" t="str">
        <f t="shared" si="2"/>
        <v>BNY Administration Exp</v>
      </c>
      <c r="C105" s="135" t="s">
        <v>371</v>
      </c>
      <c r="D105" s="135"/>
      <c r="E105" s="135" t="s">
        <v>376</v>
      </c>
      <c r="F105" s="135"/>
      <c r="G105" s="136">
        <v>75000</v>
      </c>
      <c r="H105" s="136">
        <v>25000</v>
      </c>
      <c r="I105" s="135">
        <v>0</v>
      </c>
      <c r="J105" s="136">
        <v>100000</v>
      </c>
      <c r="M105" s="118"/>
      <c r="O105" s="89"/>
      <c r="P105" s="90"/>
      <c r="Q105" s="89"/>
      <c r="R105" s="87"/>
    </row>
    <row r="106" spans="1:18">
      <c r="A106" t="str">
        <f>VLOOKUP(B106,Summary!A:A,1,FALSE)</f>
        <v>CITRIN Pricing Fee Expense</v>
      </c>
      <c r="B106" t="str">
        <f t="shared" si="2"/>
        <v>CITRIN Pricing Fee Expense</v>
      </c>
      <c r="C106" s="135" t="s">
        <v>371</v>
      </c>
      <c r="D106" s="135"/>
      <c r="E106" s="135" t="s">
        <v>392</v>
      </c>
      <c r="F106" s="135"/>
      <c r="G106" s="136">
        <v>39000</v>
      </c>
      <c r="H106" s="136">
        <v>13000</v>
      </c>
      <c r="I106" s="135">
        <v>0</v>
      </c>
      <c r="J106" s="136">
        <v>52000</v>
      </c>
      <c r="M106" s="118"/>
      <c r="O106" s="89"/>
      <c r="P106" s="90"/>
      <c r="Q106" s="89"/>
      <c r="R106" s="87"/>
    </row>
    <row r="107" spans="1:18">
      <c r="A107" t="str">
        <f>VLOOKUP(B107,Summary!A:A,1,FALSE)</f>
        <v>Centri Consulting Fee Expense</v>
      </c>
      <c r="B107" t="str">
        <f t="shared" ref="B107:B108" si="3">CONCATENATE(E107,F107)</f>
        <v>Centri Consulting Fee Expense</v>
      </c>
      <c r="C107" s="135" t="s">
        <v>371</v>
      </c>
      <c r="D107" s="135"/>
      <c r="E107" s="135" t="s">
        <v>393</v>
      </c>
      <c r="F107" s="135"/>
      <c r="G107" s="136">
        <v>21000</v>
      </c>
      <c r="H107" s="136">
        <v>7000</v>
      </c>
      <c r="I107" s="135">
        <v>0</v>
      </c>
      <c r="J107" s="136">
        <v>28000</v>
      </c>
      <c r="M107" s="118"/>
      <c r="O107" s="89"/>
      <c r="P107" s="90"/>
      <c r="Q107" s="89"/>
      <c r="R107" s="87"/>
    </row>
    <row r="108" spans="1:18">
      <c r="A108" t="str">
        <f>VLOOKUP(B108,Summary!A:A,1,FALSE)</f>
        <v>ChangeInAccruedInterestShort</v>
      </c>
      <c r="B108" t="str">
        <f t="shared" si="3"/>
        <v>ChangeInAccruedInterestShort</v>
      </c>
      <c r="C108" s="135" t="s">
        <v>371</v>
      </c>
      <c r="D108" s="135"/>
      <c r="E108" s="135" t="s">
        <v>377</v>
      </c>
      <c r="F108" s="135"/>
      <c r="G108" s="136">
        <v>-3344767.02</v>
      </c>
      <c r="H108" s="136">
        <v>1393373.95</v>
      </c>
      <c r="I108" s="135">
        <v>0</v>
      </c>
      <c r="J108" s="136">
        <v>-1951393.07</v>
      </c>
      <c r="M108" s="118"/>
      <c r="O108" s="89"/>
      <c r="P108" s="90"/>
      <c r="Q108" s="89"/>
      <c r="R108" s="87"/>
    </row>
    <row r="109" spans="1:18">
      <c r="A109" t="str">
        <f>VLOOKUP(B109,Summary!A:A,1,FALSE)</f>
        <v>ChangeInTotalPremiumBasisLong</v>
      </c>
      <c r="B109" t="str">
        <f t="shared" ref="B109:B115" si="4">CONCATENATE(E109,F109)</f>
        <v>ChangeInTotalPremiumBasisLong</v>
      </c>
      <c r="C109" s="135" t="s">
        <v>371</v>
      </c>
      <c r="D109" s="135"/>
      <c r="E109" s="135" t="s">
        <v>382</v>
      </c>
      <c r="F109" s="135"/>
      <c r="G109" s="136">
        <v>25992.43</v>
      </c>
      <c r="H109" s="135">
        <v>825.88</v>
      </c>
      <c r="I109" s="135">
        <v>0</v>
      </c>
      <c r="J109" s="136">
        <v>26818.31</v>
      </c>
      <c r="M109" s="118"/>
      <c r="O109" s="89"/>
      <c r="P109" s="90"/>
      <c r="Q109" s="89"/>
      <c r="R109" s="87"/>
    </row>
    <row r="110" spans="1:18">
      <c r="A110" t="str">
        <f>VLOOKUP(B110,Summary!A:A,1,FALSE)</f>
        <v>Commitment Fee Expense</v>
      </c>
      <c r="B110" t="str">
        <f t="shared" si="4"/>
        <v>Commitment Fee Expense</v>
      </c>
      <c r="C110" s="135" t="s">
        <v>371</v>
      </c>
      <c r="D110" s="135"/>
      <c r="E110" s="135" t="s">
        <v>384</v>
      </c>
      <c r="F110" s="135"/>
      <c r="G110" s="136">
        <v>103565.63</v>
      </c>
      <c r="H110" s="136">
        <v>79068.7</v>
      </c>
      <c r="I110" s="135">
        <v>0</v>
      </c>
      <c r="J110" s="136">
        <v>182634.33</v>
      </c>
      <c r="M110" s="118"/>
      <c r="O110" s="89"/>
      <c r="P110" s="90"/>
      <c r="Q110" s="89"/>
      <c r="R110" s="87"/>
    </row>
    <row r="111" spans="1:18">
      <c r="A111" t="str">
        <f>VLOOKUP(B111,Summary!A:A,1,FALSE)</f>
        <v>Credit Facility -  Financing and Arrangement Expenses</v>
      </c>
      <c r="B111" t="str">
        <f t="shared" si="4"/>
        <v>Credit Facility -  Financing and Arrangement Expenses</v>
      </c>
      <c r="C111" s="135" t="s">
        <v>371</v>
      </c>
      <c r="D111" s="135"/>
      <c r="E111" s="135" t="s">
        <v>385</v>
      </c>
      <c r="F111" s="135"/>
      <c r="G111" s="136">
        <v>3771757.7</v>
      </c>
      <c r="H111" s="135">
        <v>0</v>
      </c>
      <c r="I111" s="135">
        <v>0</v>
      </c>
      <c r="J111" s="136">
        <v>3771757.7</v>
      </c>
      <c r="M111" s="118"/>
      <c r="O111" s="89"/>
      <c r="P111" s="90"/>
      <c r="Q111" s="89"/>
      <c r="R111" s="87"/>
    </row>
    <row r="112" spans="1:18">
      <c r="A112" t="str">
        <f>VLOOKUP(B112,Summary!A:A,1,FALSE)</f>
        <v>Credit Facility - Legal Expense</v>
      </c>
      <c r="B112" t="str">
        <f t="shared" si="4"/>
        <v>Credit Facility - Legal Expense</v>
      </c>
      <c r="C112" s="135" t="s">
        <v>371</v>
      </c>
      <c r="D112" s="135"/>
      <c r="E112" s="135" t="s">
        <v>386</v>
      </c>
      <c r="F112" s="135"/>
      <c r="G112" s="136">
        <v>113442.17</v>
      </c>
      <c r="H112" s="136">
        <v>19663.75</v>
      </c>
      <c r="I112" s="135">
        <v>0</v>
      </c>
      <c r="J112" s="136">
        <v>133105.92000000001</v>
      </c>
      <c r="M112" s="118"/>
      <c r="O112" s="89"/>
      <c r="P112" s="90"/>
      <c r="Q112" s="89"/>
      <c r="R112" s="87"/>
    </row>
    <row r="113" spans="1:18">
      <c r="A113" t="str">
        <f>VLOOKUP(B113,Summary!A:A,1,FALSE)</f>
        <v>Credit Facilty Interest Expense</v>
      </c>
      <c r="B113" t="str">
        <f t="shared" si="4"/>
        <v>Credit Facilty Interest Expense</v>
      </c>
      <c r="C113" s="135" t="s">
        <v>371</v>
      </c>
      <c r="D113" s="135"/>
      <c r="E113" s="135" t="s">
        <v>387</v>
      </c>
      <c r="F113" s="135"/>
      <c r="G113" s="136">
        <v>5671800.3600000003</v>
      </c>
      <c r="H113" s="136">
        <v>1209222.22</v>
      </c>
      <c r="I113" s="135">
        <v>0</v>
      </c>
      <c r="J113" s="136">
        <v>6881022.5800000001</v>
      </c>
      <c r="M113" s="118"/>
      <c r="O113" s="89"/>
      <c r="P113" s="90"/>
      <c r="Q113" s="89"/>
      <c r="R113" s="87"/>
    </row>
    <row r="114" spans="1:18">
      <c r="A114" t="str">
        <f>VLOOKUP(B114,Summary!A:A,1,FALSE)</f>
        <v>Custodian Fees</v>
      </c>
      <c r="B114" t="str">
        <f t="shared" si="4"/>
        <v>Custodian Fees</v>
      </c>
      <c r="C114" s="135" t="s">
        <v>371</v>
      </c>
      <c r="D114" s="135"/>
      <c r="E114" s="135" t="s">
        <v>388</v>
      </c>
      <c r="F114" s="135"/>
      <c r="G114" s="136">
        <v>9999.99</v>
      </c>
      <c r="H114" s="136">
        <v>3333.33</v>
      </c>
      <c r="I114" s="135">
        <v>0</v>
      </c>
      <c r="J114" s="136">
        <v>13333.32</v>
      </c>
      <c r="M114" s="118"/>
      <c r="O114" s="89"/>
      <c r="P114" s="90"/>
      <c r="Q114" s="89"/>
      <c r="R114" s="87"/>
    </row>
    <row r="115" spans="1:18">
      <c r="A115" t="str">
        <f>VLOOKUP(B115,Summary!A:A,1,FALSE)</f>
        <v>DLA SOX/Audit Fee Expense</v>
      </c>
      <c r="B115" t="str">
        <f t="shared" si="4"/>
        <v>DLA SOX/Audit Fee Expense</v>
      </c>
      <c r="C115" s="135" t="s">
        <v>371</v>
      </c>
      <c r="D115" s="135"/>
      <c r="E115" s="135" t="s">
        <v>394</v>
      </c>
      <c r="F115" s="135"/>
      <c r="G115" s="136">
        <v>42000</v>
      </c>
      <c r="H115" s="136">
        <v>14000</v>
      </c>
      <c r="I115" s="135">
        <v>0</v>
      </c>
      <c r="J115" s="136">
        <v>56000</v>
      </c>
      <c r="M115" s="118"/>
      <c r="O115" s="89"/>
      <c r="P115" s="90"/>
      <c r="Q115" s="89"/>
      <c r="R115" s="87"/>
    </row>
    <row r="116" spans="1:18">
      <c r="A116" t="str">
        <f>VLOOKUP(B116,Summary!A:A,1,FALSE)</f>
        <v>Dechert Legal Fee Expense</v>
      </c>
      <c r="B116" t="str">
        <f t="shared" ref="B116:B118" si="5">CONCATENATE(E116,F116)</f>
        <v>Dechert Legal Fee Expense</v>
      </c>
      <c r="C116" s="135" t="s">
        <v>371</v>
      </c>
      <c r="D116" s="135"/>
      <c r="E116" s="135" t="s">
        <v>395</v>
      </c>
      <c r="F116" s="135"/>
      <c r="G116" s="136">
        <v>186000</v>
      </c>
      <c r="H116" s="136">
        <v>62000</v>
      </c>
      <c r="I116" s="135">
        <v>0</v>
      </c>
      <c r="J116" s="136">
        <v>248000</v>
      </c>
      <c r="M116" s="118"/>
      <c r="O116" s="89"/>
      <c r="P116" s="90"/>
      <c r="Q116" s="89"/>
      <c r="R116" s="87"/>
    </row>
    <row r="117" spans="1:18">
      <c r="A117" t="str">
        <f>VLOOKUP(B117,Summary!A:A,1,FALSE)</f>
        <v>Director Fee Expense</v>
      </c>
      <c r="B117" t="str">
        <f t="shared" si="5"/>
        <v>Director Fee Expense</v>
      </c>
      <c r="C117" s="135" t="s">
        <v>371</v>
      </c>
      <c r="D117" s="135"/>
      <c r="E117" s="135" t="s">
        <v>391</v>
      </c>
      <c r="F117" s="135"/>
      <c r="G117" s="136">
        <v>138000</v>
      </c>
      <c r="H117" s="136">
        <v>46000</v>
      </c>
      <c r="I117" s="135">
        <v>0</v>
      </c>
      <c r="J117" s="136">
        <v>184000</v>
      </c>
      <c r="M117" s="118"/>
      <c r="O117" s="89"/>
      <c r="P117" s="90"/>
      <c r="Q117" s="89"/>
      <c r="R117" s="87"/>
    </row>
    <row r="118" spans="1:18">
      <c r="A118" t="str">
        <f>VLOOKUP(B118,Summary!A:A,1,FALSE)</f>
        <v>Dividend Distribution</v>
      </c>
      <c r="B118" t="str">
        <f t="shared" si="5"/>
        <v>Dividend Distribution</v>
      </c>
      <c r="C118" s="135" t="s">
        <v>371</v>
      </c>
      <c r="D118" s="135"/>
      <c r="E118" s="135" t="s">
        <v>407</v>
      </c>
      <c r="F118" s="135"/>
      <c r="G118" s="136">
        <v>15671062.560000001</v>
      </c>
      <c r="H118" s="136">
        <v>5223687.5199999996</v>
      </c>
      <c r="I118" s="135">
        <v>0</v>
      </c>
      <c r="J118" s="136">
        <v>20894750.079999998</v>
      </c>
      <c r="M118" s="118"/>
      <c r="O118" s="89"/>
      <c r="P118" s="90"/>
      <c r="Q118" s="89"/>
      <c r="R118" s="87"/>
    </row>
    <row r="119" spans="1:18">
      <c r="A119" t="str">
        <f>VLOOKUP(B119,Summary!A:A,1,FALSE)</f>
        <v>Egan Jones Rating Co Expense</v>
      </c>
      <c r="B119" t="str">
        <f t="shared" ref="B119:B120" si="6">CONCATENATE(E119,F119)</f>
        <v>Egan Jones Rating Co Expense</v>
      </c>
      <c r="C119" s="135" t="s">
        <v>371</v>
      </c>
      <c r="D119" s="135"/>
      <c r="E119" s="135" t="s">
        <v>396</v>
      </c>
      <c r="F119" s="135"/>
      <c r="G119" s="135">
        <v>-0.01</v>
      </c>
      <c r="H119" s="135">
        <v>0</v>
      </c>
      <c r="I119" s="135">
        <v>0</v>
      </c>
      <c r="J119" s="135">
        <v>-0.01</v>
      </c>
      <c r="M119" s="118"/>
      <c r="O119" s="89"/>
      <c r="P119" s="90"/>
      <c r="Q119" s="89"/>
      <c r="R119" s="87"/>
    </row>
    <row r="120" spans="1:18">
      <c r="A120" t="str">
        <f>VLOOKUP(B120,Summary!A:A,1,FALSE)</f>
        <v>Grant Thornton Tax Fee Expense</v>
      </c>
      <c r="B120" t="str">
        <f t="shared" si="6"/>
        <v>Grant Thornton Tax Fee Expense</v>
      </c>
      <c r="C120" s="135" t="s">
        <v>371</v>
      </c>
      <c r="D120" s="135"/>
      <c r="E120" s="135" t="s">
        <v>397</v>
      </c>
      <c r="F120" s="135"/>
      <c r="G120" s="136">
        <v>18000</v>
      </c>
      <c r="H120" s="136">
        <v>6000</v>
      </c>
      <c r="I120" s="135">
        <v>0</v>
      </c>
      <c r="J120" s="136">
        <v>24000</v>
      </c>
      <c r="M120" s="118"/>
      <c r="O120" s="89"/>
      <c r="P120" s="90"/>
      <c r="Q120" s="89"/>
      <c r="R120" s="87"/>
    </row>
    <row r="121" spans="1:18">
      <c r="A121" t="str">
        <f>VLOOKUP(B121,Summary!A:A,1,FALSE)</f>
        <v>Insurance Fee Expense</v>
      </c>
      <c r="B121" t="str">
        <f t="shared" ref="B121:B123" si="7">CONCATENATE(E121,F121)</f>
        <v>Insurance Fee Expense</v>
      </c>
      <c r="C121" s="135" t="s">
        <v>371</v>
      </c>
      <c r="D121" s="135"/>
      <c r="E121" s="135" t="s">
        <v>415</v>
      </c>
      <c r="F121" s="135"/>
      <c r="G121" s="135">
        <v>0</v>
      </c>
      <c r="H121" s="136">
        <v>10514</v>
      </c>
      <c r="I121" s="135">
        <v>0</v>
      </c>
      <c r="J121" s="136">
        <v>10514</v>
      </c>
      <c r="M121" s="118"/>
      <c r="O121" s="89"/>
      <c r="P121" s="90"/>
      <c r="Q121" s="89"/>
      <c r="R121" s="87"/>
    </row>
    <row r="122" spans="1:18">
      <c r="A122" t="str">
        <f>VLOOKUP(B122,Summary!A:A,1,FALSE)</f>
        <v>InterestExpense</v>
      </c>
      <c r="B122" t="str">
        <f t="shared" si="7"/>
        <v>InterestExpense</v>
      </c>
      <c r="C122" s="135" t="s">
        <v>371</v>
      </c>
      <c r="D122" s="135"/>
      <c r="E122" s="135" t="s">
        <v>424</v>
      </c>
      <c r="F122" s="135"/>
      <c r="G122" s="136">
        <v>7473513.5099999998</v>
      </c>
      <c r="H122" s="136">
        <v>7831.22</v>
      </c>
      <c r="I122" s="135">
        <v>0</v>
      </c>
      <c r="J122" s="136">
        <v>7481344.7300000004</v>
      </c>
      <c r="M122" s="118"/>
      <c r="O122" s="89"/>
      <c r="P122" s="90"/>
      <c r="Q122" s="89"/>
      <c r="R122" s="87"/>
    </row>
    <row r="123" spans="1:18">
      <c r="A123" t="str">
        <f>VLOOKUP(B123,Summary!A:A,1,FALSE)</f>
        <v>KROLL LLC Pricing Fee Expense</v>
      </c>
      <c r="B123" t="str">
        <f t="shared" si="7"/>
        <v>KROLL LLC Pricing Fee Expense</v>
      </c>
      <c r="C123" s="135" t="s">
        <v>371</v>
      </c>
      <c r="D123" s="135"/>
      <c r="E123" s="135" t="s">
        <v>399</v>
      </c>
      <c r="F123" s="135"/>
      <c r="G123" s="136">
        <v>18000</v>
      </c>
      <c r="H123" s="136">
        <v>6000</v>
      </c>
      <c r="I123" s="135">
        <v>0</v>
      </c>
      <c r="J123" s="136">
        <v>24000</v>
      </c>
      <c r="M123" s="118"/>
      <c r="O123" s="89"/>
      <c r="P123" s="90"/>
      <c r="Q123" s="89"/>
      <c r="R123" s="87"/>
    </row>
    <row r="124" spans="1:18">
      <c r="A124" t="str">
        <f>VLOOKUP(B124,Summary!A:A,1,FALSE)</f>
        <v>Kirkland &amp; Ellis LLP Legal Fee Expense</v>
      </c>
      <c r="B124" t="str">
        <f t="shared" ref="B124:B127" si="8">CONCATENATE(E124,F124)</f>
        <v>Kirkland &amp; Ellis LLP Legal Fee Expense</v>
      </c>
      <c r="C124" s="135" t="s">
        <v>371</v>
      </c>
      <c r="D124" s="135"/>
      <c r="E124" s="135" t="s">
        <v>400</v>
      </c>
      <c r="F124" s="135"/>
      <c r="G124" s="136">
        <v>15000</v>
      </c>
      <c r="H124" s="136">
        <v>5000</v>
      </c>
      <c r="I124" s="135">
        <v>0</v>
      </c>
      <c r="J124" s="136">
        <v>20000</v>
      </c>
      <c r="M124" s="118"/>
      <c r="O124" s="89"/>
      <c r="P124" s="90"/>
      <c r="Q124" s="89"/>
      <c r="R124" s="87"/>
    </row>
    <row r="125" spans="1:18">
      <c r="A125" t="str">
        <f>VLOOKUP(B125,Summary!A:A,1,FALSE)</f>
        <v>Lincoln Pricing Fee Expense</v>
      </c>
      <c r="B125" t="str">
        <f t="shared" si="8"/>
        <v>Lincoln Pricing Fee Expense</v>
      </c>
      <c r="C125" s="135" t="s">
        <v>371</v>
      </c>
      <c r="D125" s="135"/>
      <c r="E125" s="135" t="s">
        <v>401</v>
      </c>
      <c r="F125" s="135"/>
      <c r="G125" s="136">
        <v>27000</v>
      </c>
      <c r="H125" s="136">
        <v>9000</v>
      </c>
      <c r="I125" s="135">
        <v>0</v>
      </c>
      <c r="J125" s="136">
        <v>36000</v>
      </c>
      <c r="M125" s="118"/>
      <c r="O125" s="89"/>
      <c r="P125" s="90"/>
      <c r="Q125" s="89"/>
      <c r="R125" s="87"/>
    </row>
    <row r="126" spans="1:18">
      <c r="A126" t="str">
        <f>VLOOKUP(B126,Summary!A:A,1,FALSE)</f>
        <v>MgmtFeeExpense</v>
      </c>
      <c r="B126" t="str">
        <f t="shared" si="8"/>
        <v>MgmtFeeExpense</v>
      </c>
      <c r="C126" s="135" t="s">
        <v>371</v>
      </c>
      <c r="D126" s="135"/>
      <c r="E126" s="135" t="s">
        <v>427</v>
      </c>
      <c r="F126" s="135"/>
      <c r="G126" s="136">
        <v>3915499</v>
      </c>
      <c r="H126" s="135">
        <v>0</v>
      </c>
      <c r="I126" s="135">
        <v>0</v>
      </c>
      <c r="J126" s="136">
        <v>3915499</v>
      </c>
      <c r="M126" s="118"/>
      <c r="O126" s="89"/>
      <c r="P126" s="90"/>
      <c r="Q126" s="89"/>
      <c r="R126" s="87"/>
    </row>
    <row r="127" spans="1:18">
      <c r="A127" t="str">
        <f>VLOOKUP(B127,Summary!A:A,1,FALSE)</f>
        <v>Miscellaneous Expense</v>
      </c>
      <c r="B127" t="str">
        <f t="shared" si="8"/>
        <v>Miscellaneous Expense</v>
      </c>
      <c r="C127" s="135" t="s">
        <v>371</v>
      </c>
      <c r="D127" s="135"/>
      <c r="E127" s="135" t="s">
        <v>431</v>
      </c>
      <c r="F127" s="135"/>
      <c r="G127" s="135">
        <v>0</v>
      </c>
      <c r="H127" s="136">
        <v>19982.34</v>
      </c>
      <c r="I127" s="135">
        <v>0</v>
      </c>
      <c r="J127" s="136">
        <v>19982.34</v>
      </c>
      <c r="M127" s="118"/>
      <c r="O127" s="89"/>
      <c r="P127" s="90"/>
      <c r="Q127" s="89"/>
      <c r="R127" s="87"/>
    </row>
    <row r="128" spans="1:18">
      <c r="A128" t="str">
        <f>VLOOKUP(B128,Summary!A:A,1,FALSE)</f>
        <v>NYSE Annual Expense</v>
      </c>
      <c r="B128" t="str">
        <f t="shared" ref="B128:B130" si="9">CONCATENATE(E128,F128)</f>
        <v>NYSE Annual Expense</v>
      </c>
      <c r="C128" s="135" t="s">
        <v>371</v>
      </c>
      <c r="D128" s="135"/>
      <c r="E128" s="135" t="s">
        <v>398</v>
      </c>
      <c r="F128" s="135"/>
      <c r="G128" s="135">
        <v>0</v>
      </c>
      <c r="H128" s="136">
        <v>6992.08</v>
      </c>
      <c r="I128" s="135">
        <v>0</v>
      </c>
      <c r="J128" s="136">
        <v>6992.08</v>
      </c>
      <c r="M128" s="118"/>
      <c r="O128" s="89"/>
      <c r="P128" s="90"/>
      <c r="Q128" s="89"/>
      <c r="R128" s="87"/>
    </row>
    <row r="129" spans="1:18">
      <c r="A129" t="str">
        <f>VLOOKUP(B129,Summary!A:A,1,FALSE)</f>
        <v>PP Administration Expense</v>
      </c>
      <c r="B129" t="str">
        <f t="shared" si="9"/>
        <v>PP Administration Expense</v>
      </c>
      <c r="C129" s="135" t="s">
        <v>371</v>
      </c>
      <c r="D129" s="135"/>
      <c r="E129" s="135" t="s">
        <v>373</v>
      </c>
      <c r="F129" s="135"/>
      <c r="G129" s="136">
        <v>375000</v>
      </c>
      <c r="H129" s="136">
        <v>125000</v>
      </c>
      <c r="I129" s="135">
        <v>0</v>
      </c>
      <c r="J129" s="136">
        <v>500000</v>
      </c>
      <c r="M129" s="118"/>
      <c r="O129" s="89"/>
      <c r="P129" s="90"/>
      <c r="Q129" s="89"/>
      <c r="R129" s="87"/>
    </row>
    <row r="130" spans="1:18">
      <c r="A130" t="str">
        <f>VLOOKUP(B130,Summary!A:A,1,FALSE)</f>
        <v>Provision for taxes on realized gain on investments</v>
      </c>
      <c r="B130" t="str">
        <f t="shared" si="9"/>
        <v>Provision for taxes on realized gain on investments</v>
      </c>
      <c r="C130" s="135" t="s">
        <v>371</v>
      </c>
      <c r="D130" s="135"/>
      <c r="E130" s="135" t="s">
        <v>75</v>
      </c>
      <c r="F130" s="135"/>
      <c r="G130" s="136">
        <v>12855</v>
      </c>
      <c r="H130" s="135">
        <v>0</v>
      </c>
      <c r="I130" s="135">
        <v>0</v>
      </c>
      <c r="J130" s="136">
        <v>12855</v>
      </c>
      <c r="M130" s="118"/>
      <c r="O130" s="89"/>
      <c r="P130" s="90"/>
      <c r="Q130" s="89"/>
      <c r="R130" s="87"/>
    </row>
    <row r="131" spans="1:18">
      <c r="A131" t="str">
        <f>VLOOKUP(B131,Summary!A:A,1,FALSE)</f>
        <v>PurchasedAccruedInterestExpense</v>
      </c>
      <c r="B131" t="str">
        <f t="shared" ref="B131:B138" si="10">CONCATENATE(E131,F131)</f>
        <v>PurchasedAccruedInterestExpense</v>
      </c>
      <c r="C131" s="135" t="s">
        <v>371</v>
      </c>
      <c r="D131" s="135"/>
      <c r="E131" s="135" t="s">
        <v>440</v>
      </c>
      <c r="F131" s="135"/>
      <c r="G131" s="135">
        <v>104.04</v>
      </c>
      <c r="H131" s="135">
        <v>0</v>
      </c>
      <c r="I131" s="135">
        <v>0</v>
      </c>
      <c r="J131" s="135">
        <v>104.04</v>
      </c>
      <c r="M131" s="118"/>
      <c r="O131" s="89"/>
      <c r="P131" s="90"/>
      <c r="Q131" s="89"/>
      <c r="R131" s="87"/>
    </row>
    <row r="132" spans="1:18">
      <c r="A132" t="str">
        <f>VLOOKUP(B132,Summary!A:A,1,FALSE)</f>
        <v>RSM US LLP Audit Fee Expense</v>
      </c>
      <c r="B132" t="str">
        <f t="shared" si="10"/>
        <v>RSM US LLP Audit Fee Expense</v>
      </c>
      <c r="C132" s="135" t="s">
        <v>371</v>
      </c>
      <c r="D132" s="135"/>
      <c r="E132" s="135" t="s">
        <v>402</v>
      </c>
      <c r="F132" s="135"/>
      <c r="G132" s="136">
        <v>192000</v>
      </c>
      <c r="H132" s="136">
        <v>64000</v>
      </c>
      <c r="I132" s="135">
        <v>0</v>
      </c>
      <c r="J132" s="136">
        <v>256000</v>
      </c>
      <c r="M132" s="118"/>
      <c r="O132" s="89"/>
      <c r="P132" s="90"/>
      <c r="Q132" s="89"/>
      <c r="R132" s="87"/>
    </row>
    <row r="133" spans="1:18">
      <c r="A133" t="str">
        <f>VLOOKUP(B133,Summary!A:A,1,FALSE)</f>
        <v>Section988Expense</v>
      </c>
      <c r="B133" t="str">
        <f t="shared" si="10"/>
        <v>Section988Expense</v>
      </c>
      <c r="C133" s="135" t="s">
        <v>371</v>
      </c>
      <c r="D133" s="135"/>
      <c r="E133" s="135" t="s">
        <v>442</v>
      </c>
      <c r="F133" s="135"/>
      <c r="G133" s="136">
        <v>97107.66</v>
      </c>
      <c r="H133" s="135">
        <v>0</v>
      </c>
      <c r="I133" s="135">
        <v>0</v>
      </c>
      <c r="J133" s="136">
        <v>97107.66</v>
      </c>
      <c r="M133" s="118"/>
      <c r="O133" s="89"/>
      <c r="P133" s="90"/>
      <c r="Q133" s="89"/>
      <c r="R133" s="87"/>
    </row>
    <row r="134" spans="1:18">
      <c r="A134" t="str">
        <f>VLOOKUP(B134,Summary!A:A,1,FALSE)</f>
        <v>Swingline Interest Expense</v>
      </c>
      <c r="B134" t="str">
        <f t="shared" si="10"/>
        <v>Swingline Interest Expense</v>
      </c>
      <c r="C134" s="135" t="s">
        <v>371</v>
      </c>
      <c r="D134" s="135"/>
      <c r="E134" s="135" t="s">
        <v>447</v>
      </c>
      <c r="F134" s="135"/>
      <c r="G134" s="136">
        <v>157876.71</v>
      </c>
      <c r="H134" s="135">
        <v>0</v>
      </c>
      <c r="I134" s="135">
        <v>0</v>
      </c>
      <c r="J134" s="136">
        <v>157876.71</v>
      </c>
      <c r="O134" s="89"/>
      <c r="P134" s="90"/>
      <c r="Q134" s="89"/>
      <c r="R134" s="87"/>
    </row>
    <row r="135" spans="1:18">
      <c r="A135" t="str">
        <f>VLOOKUP(B135,Summary!A:A,1,FALSE)</f>
        <v>Tax Expense</v>
      </c>
      <c r="B135" t="str">
        <f t="shared" si="10"/>
        <v>Tax Expense</v>
      </c>
      <c r="C135" s="135" t="s">
        <v>371</v>
      </c>
      <c r="D135" s="135"/>
      <c r="E135" s="135" t="s">
        <v>449</v>
      </c>
      <c r="F135" s="135"/>
      <c r="G135" s="136">
        <v>660000</v>
      </c>
      <c r="H135" s="135">
        <v>0</v>
      </c>
      <c r="I135" s="135">
        <v>0</v>
      </c>
      <c r="J135" s="136">
        <v>660000</v>
      </c>
      <c r="O135" s="89"/>
      <c r="P135" s="90"/>
      <c r="Q135" s="89"/>
      <c r="R135" s="87"/>
    </row>
    <row r="136" spans="1:18">
      <c r="A136" t="str">
        <f>VLOOKUP(B136,Summary!A:A,1,FALSE)</f>
        <v>TotalPremiumAmortizationExpense</v>
      </c>
      <c r="B136" t="str">
        <f t="shared" si="10"/>
        <v>TotalPremiumAmortizationExpense</v>
      </c>
      <c r="C136" s="135" t="s">
        <v>371</v>
      </c>
      <c r="D136" s="135"/>
      <c r="E136" s="135" t="s">
        <v>460</v>
      </c>
      <c r="F136" s="135"/>
      <c r="G136" s="136">
        <v>1670.21</v>
      </c>
      <c r="H136" s="136">
        <v>8225.34</v>
      </c>
      <c r="I136" s="135">
        <v>0</v>
      </c>
      <c r="J136" s="136">
        <v>9895.5499999999993</v>
      </c>
      <c r="O136" s="89"/>
      <c r="P136" s="90"/>
      <c r="Q136" s="89"/>
      <c r="R136" s="87"/>
    </row>
    <row r="137" spans="1:18">
      <c r="A137" t="str">
        <f>VLOOKUP(B137,Summary!A:A,1,FALSE)</f>
        <v>VRC Pricing Fee Expense</v>
      </c>
      <c r="B137" t="str">
        <f t="shared" si="10"/>
        <v>VRC Pricing Fee Expense</v>
      </c>
      <c r="C137" s="135" t="s">
        <v>371</v>
      </c>
      <c r="D137" s="135"/>
      <c r="E137" s="135" t="s">
        <v>404</v>
      </c>
      <c r="F137" s="135"/>
      <c r="G137" s="136">
        <v>69000</v>
      </c>
      <c r="H137" s="136">
        <v>23000</v>
      </c>
      <c r="I137" s="135">
        <v>0</v>
      </c>
      <c r="J137" s="136">
        <v>92000</v>
      </c>
      <c r="O137" s="89"/>
      <c r="P137" s="90"/>
      <c r="Q137" s="89"/>
      <c r="R137" s="87"/>
    </row>
    <row r="138" spans="1:18">
      <c r="A138" t="str">
        <f>VLOOKUP(B138,Summary!A:A,1,FALSE)</f>
        <v>interest expense - 2026 Notes</v>
      </c>
      <c r="B138" t="str">
        <f t="shared" si="10"/>
        <v>interest expense - 2026 Notes</v>
      </c>
      <c r="C138" s="135" t="s">
        <v>371</v>
      </c>
      <c r="D138" s="135"/>
      <c r="E138" s="135" t="s">
        <v>419</v>
      </c>
      <c r="F138" s="135"/>
      <c r="G138" s="136">
        <v>438817.95</v>
      </c>
      <c r="H138" s="136">
        <v>146272.65</v>
      </c>
      <c r="I138" s="135">
        <v>0</v>
      </c>
      <c r="J138" s="136">
        <v>585090.6</v>
      </c>
      <c r="O138" s="89"/>
      <c r="P138" s="90"/>
      <c r="Q138" s="89"/>
      <c r="R138" s="87"/>
    </row>
    <row r="139" spans="1:18">
      <c r="A139" t="str">
        <f>VLOOKUP(B139,Summary!A:A,1,FALSE)</f>
        <v/>
      </c>
      <c r="B139" t="str">
        <f t="shared" ref="B139:B141" si="11">CONCATENATE(E139,F139)</f>
        <v/>
      </c>
      <c r="C139" s="135"/>
      <c r="D139" s="135"/>
      <c r="E139" s="135"/>
      <c r="F139" s="135"/>
      <c r="G139" s="135"/>
      <c r="H139" s="135"/>
      <c r="I139" s="135"/>
      <c r="J139" s="135"/>
      <c r="O139" s="89"/>
      <c r="P139" s="90"/>
      <c r="Q139" s="89"/>
      <c r="R139" s="87"/>
    </row>
    <row r="140" spans="1:18">
      <c r="A140" t="str">
        <f>VLOOKUP(B140,Summary!A:A,1,FALSE)</f>
        <v/>
      </c>
      <c r="B140" t="str">
        <f t="shared" si="11"/>
        <v/>
      </c>
      <c r="C140" s="135" t="s">
        <v>465</v>
      </c>
      <c r="D140" s="135" t="s">
        <v>485</v>
      </c>
      <c r="E140" s="135"/>
      <c r="F140" s="135"/>
      <c r="G140" s="135"/>
      <c r="H140" s="135"/>
      <c r="I140" s="135"/>
      <c r="J140" s="135"/>
      <c r="O140" s="89"/>
      <c r="P140" s="90"/>
      <c r="Q140" s="89"/>
      <c r="R140" s="87"/>
    </row>
    <row r="141" spans="1:18">
      <c r="A141" t="str">
        <f>VLOOKUP(B141,Summary!A:A,1,FALSE)</f>
        <v/>
      </c>
      <c r="B141" t="str">
        <f t="shared" si="11"/>
        <v/>
      </c>
      <c r="C141" s="135" t="s">
        <v>462</v>
      </c>
      <c r="D141" s="136">
        <v>459259258.49000001</v>
      </c>
      <c r="E141" s="135"/>
      <c r="F141" s="135"/>
      <c r="G141" s="135"/>
      <c r="H141" s="135"/>
      <c r="I141" s="135"/>
      <c r="J141" s="135"/>
      <c r="O141" s="89"/>
      <c r="P141" s="90"/>
      <c r="Q141" s="89"/>
      <c r="R141" s="87"/>
    </row>
    <row r="142" spans="1:18">
      <c r="A142" t="str">
        <f>VLOOKUP(B142,Summary!A:A,1,FALSE)</f>
        <v/>
      </c>
      <c r="B142" t="str">
        <f t="shared" ref="B142:B143" si="12">CONCATENATE(E142,F142)</f>
        <v/>
      </c>
      <c r="C142" s="135" t="s">
        <v>80</v>
      </c>
      <c r="D142" s="136">
        <v>65296094</v>
      </c>
      <c r="E142" s="135"/>
      <c r="F142" s="135"/>
      <c r="G142" s="135"/>
      <c r="H142" s="135"/>
      <c r="I142" s="135"/>
      <c r="J142" s="135"/>
      <c r="O142" s="89"/>
      <c r="P142" s="90"/>
      <c r="Q142" s="89"/>
      <c r="R142" s="87"/>
    </row>
    <row r="143" spans="1:18">
      <c r="A143" t="str">
        <f>VLOOKUP(B143,Summary!A:A,1,FALSE)</f>
        <v/>
      </c>
      <c r="B143" t="str">
        <f t="shared" si="12"/>
        <v/>
      </c>
      <c r="C143" s="135" t="s">
        <v>81</v>
      </c>
      <c r="D143" s="135">
        <v>7.03</v>
      </c>
      <c r="E143" s="135"/>
      <c r="F143" s="135"/>
      <c r="G143" s="135"/>
      <c r="H143" s="135"/>
      <c r="I143" s="135"/>
      <c r="J143" s="135"/>
      <c r="O143" s="89"/>
      <c r="P143" s="90"/>
      <c r="Q143" s="89"/>
      <c r="R143" s="87"/>
    </row>
    <row r="144" spans="1:18">
      <c r="A144" t="str">
        <f>VLOOKUP(B144,Summary!A:A,1,FALSE)</f>
        <v/>
      </c>
      <c r="B144" t="str">
        <f t="shared" ref="B144:B146" si="13">CONCATENATE(E144,F144)</f>
        <v/>
      </c>
      <c r="C144" s="135"/>
      <c r="D144" s="135"/>
      <c r="E144" s="135"/>
      <c r="F144" s="135"/>
      <c r="G144" s="135"/>
      <c r="H144" s="135"/>
      <c r="I144" s="135"/>
      <c r="J144" s="135"/>
      <c r="O144" s="89"/>
      <c r="P144" s="90"/>
      <c r="Q144" s="89"/>
      <c r="R144" s="87"/>
    </row>
    <row r="145" spans="1:18">
      <c r="A145" t="str">
        <f>VLOOKUP(B145,Summary!A:A,1,FALSE)</f>
        <v/>
      </c>
      <c r="B145" t="str">
        <f t="shared" si="13"/>
        <v/>
      </c>
      <c r="C145" s="135" t="s">
        <v>486</v>
      </c>
      <c r="D145" s="135" t="s">
        <v>487</v>
      </c>
      <c r="E145" s="135"/>
      <c r="F145" s="135"/>
      <c r="G145" s="135"/>
      <c r="H145" s="135"/>
      <c r="I145" s="135"/>
      <c r="J145" s="135"/>
      <c r="O145" s="89"/>
      <c r="P145" s="90"/>
      <c r="Q145" s="89"/>
      <c r="R145" s="87"/>
    </row>
    <row r="146" spans="1:18">
      <c r="A146" t="str">
        <f>VLOOKUP(B146,Summary!A:A,1,FALSE)</f>
        <v/>
      </c>
      <c r="B146" t="str">
        <f t="shared" si="13"/>
        <v/>
      </c>
      <c r="C146" s="135"/>
      <c r="D146" s="135"/>
      <c r="E146" s="135"/>
      <c r="F146" s="135"/>
      <c r="G146" s="135"/>
      <c r="H146" s="135"/>
      <c r="I146" s="135"/>
      <c r="J146" s="135"/>
      <c r="O146" s="89"/>
      <c r="P146" s="90"/>
      <c r="Q146" s="89"/>
      <c r="R146" s="87"/>
    </row>
    <row r="147" spans="1:18">
      <c r="A147" t="str">
        <f>VLOOKUP(B147,Summary!A:A,1,FALSE)</f>
        <v/>
      </c>
      <c r="B147" t="str">
        <f t="shared" ref="B147:B148" si="14">CONCATENATE(E147,F147)</f>
        <v/>
      </c>
      <c r="C147" s="135"/>
      <c r="D147" s="135"/>
      <c r="E147" s="135"/>
      <c r="F147" s="135"/>
      <c r="G147" s="135"/>
      <c r="H147" s="135"/>
      <c r="I147" s="135"/>
      <c r="J147" s="135"/>
      <c r="O147" s="89"/>
      <c r="P147" s="90"/>
      <c r="Q147" s="89"/>
      <c r="R147" s="87"/>
    </row>
    <row r="148" spans="1:18">
      <c r="A148" t="str">
        <f>VLOOKUP(B148,Summary!A:A,1,FALSE)</f>
        <v/>
      </c>
      <c r="B148" t="str">
        <f t="shared" si="14"/>
        <v/>
      </c>
      <c r="C148" s="135" t="s">
        <v>486</v>
      </c>
      <c r="D148" s="135" t="s">
        <v>487</v>
      </c>
      <c r="E148" s="135"/>
      <c r="F148" s="135"/>
      <c r="G148" s="135"/>
      <c r="H148" s="135"/>
      <c r="I148" s="135"/>
      <c r="J148" s="135"/>
      <c r="O148" s="89"/>
      <c r="P148" s="90"/>
      <c r="Q148" s="89"/>
      <c r="R148" s="87"/>
    </row>
    <row r="149" spans="1:18">
      <c r="C149" s="135"/>
      <c r="D149" s="135"/>
      <c r="E149" s="135"/>
      <c r="F149" s="135"/>
      <c r="G149" s="135"/>
      <c r="H149" s="135"/>
      <c r="I149" s="135"/>
      <c r="J149" s="135"/>
      <c r="O149" s="89"/>
      <c r="P149" s="90"/>
      <c r="Q149" s="89"/>
      <c r="R149" s="87"/>
    </row>
    <row r="150" spans="1:18">
      <c r="C150" s="135"/>
      <c r="D150" s="135"/>
      <c r="E150" s="135"/>
      <c r="F150" s="135"/>
      <c r="G150" s="135"/>
      <c r="H150" s="135"/>
      <c r="I150" s="135"/>
      <c r="J150" s="135"/>
      <c r="O150" s="89"/>
      <c r="P150" s="90"/>
      <c r="Q150" s="89"/>
      <c r="R150" s="87"/>
    </row>
    <row r="151" spans="1:18">
      <c r="C151" s="135" t="s">
        <v>488</v>
      </c>
      <c r="D151" s="135" t="s">
        <v>489</v>
      </c>
      <c r="E151" s="135"/>
      <c r="F151" s="135"/>
      <c r="G151" s="135"/>
      <c r="H151" s="135"/>
      <c r="I151" s="135"/>
      <c r="J151" s="135"/>
      <c r="O151" s="89"/>
      <c r="P151" s="90"/>
      <c r="Q151" s="89"/>
      <c r="R151" s="87"/>
    </row>
    <row r="152" spans="1:18">
      <c r="C152" s="133" t="s">
        <v>488</v>
      </c>
      <c r="D152" s="133" t="s">
        <v>489</v>
      </c>
      <c r="E152" s="133"/>
      <c r="F152" s="133"/>
      <c r="G152" s="133"/>
      <c r="H152" s="133"/>
      <c r="I152" s="133"/>
      <c r="J152" s="133"/>
      <c r="O152" s="89"/>
      <c r="P152" s="90"/>
      <c r="Q152" s="89"/>
      <c r="R152" s="87"/>
    </row>
    <row r="153" spans="1:18">
      <c r="C153" s="133" t="s">
        <v>488</v>
      </c>
      <c r="D153" s="133" t="s">
        <v>489</v>
      </c>
      <c r="E153" s="133"/>
      <c r="F153" s="133"/>
      <c r="G153" s="133"/>
      <c r="H153" s="133"/>
      <c r="I153" s="133"/>
      <c r="J153" s="133"/>
      <c r="O153" s="89"/>
      <c r="P153" s="90"/>
      <c r="Q153" s="89"/>
      <c r="R153" s="87"/>
    </row>
    <row r="154" spans="1:18">
      <c r="C154" s="133"/>
      <c r="D154" s="133"/>
      <c r="E154" s="133"/>
      <c r="F154" s="133"/>
      <c r="G154" s="133"/>
      <c r="H154" s="133"/>
      <c r="I154" s="133"/>
      <c r="J154" s="133"/>
      <c r="O154" s="89"/>
      <c r="P154" s="90"/>
      <c r="Q154" s="89"/>
      <c r="R154" s="87"/>
    </row>
    <row r="155" spans="1:18">
      <c r="C155" s="133"/>
      <c r="D155" s="133"/>
      <c r="E155" s="133"/>
      <c r="F155" s="133"/>
      <c r="G155" s="133"/>
      <c r="H155" s="133"/>
      <c r="I155" s="133"/>
      <c r="J155" s="133"/>
      <c r="O155" s="89"/>
      <c r="P155" s="90"/>
      <c r="Q155" s="89"/>
      <c r="R155" s="87"/>
    </row>
    <row r="156" spans="1:18">
      <c r="C156" s="133"/>
      <c r="D156" s="133"/>
      <c r="E156" s="133"/>
      <c r="F156" s="133"/>
      <c r="G156" s="133"/>
      <c r="H156" s="133"/>
      <c r="I156" s="133"/>
      <c r="J156" s="133"/>
      <c r="O156" s="89"/>
      <c r="P156" s="90"/>
      <c r="Q156" s="89"/>
      <c r="R156" s="87"/>
    </row>
    <row r="157" spans="1:18">
      <c r="C157" s="133"/>
      <c r="D157" s="133"/>
      <c r="E157" s="133"/>
      <c r="F157" s="133"/>
      <c r="G157" s="133"/>
      <c r="H157" s="133"/>
      <c r="I157" s="133"/>
      <c r="J157" s="133"/>
      <c r="O157" s="89"/>
      <c r="P157" s="90"/>
      <c r="Q157" s="89"/>
      <c r="R157" s="87"/>
    </row>
    <row r="158" spans="1:18">
      <c r="C158" s="133"/>
      <c r="D158" s="133"/>
      <c r="E158" s="133"/>
      <c r="F158" s="133"/>
      <c r="G158" s="133"/>
      <c r="H158" s="133"/>
      <c r="I158" s="133"/>
      <c r="J158" s="133"/>
      <c r="O158" s="89"/>
      <c r="P158" s="90"/>
      <c r="Q158" s="89"/>
      <c r="R158" s="87"/>
    </row>
    <row r="159" spans="1:18">
      <c r="C159" s="133"/>
      <c r="D159" s="133"/>
      <c r="E159" s="133"/>
      <c r="F159" s="133"/>
      <c r="G159" s="133"/>
      <c r="H159" s="133"/>
      <c r="I159" s="133"/>
      <c r="J159" s="133"/>
      <c r="O159" s="89"/>
      <c r="P159" s="90"/>
      <c r="Q159" s="89"/>
      <c r="R159" s="87"/>
    </row>
    <row r="160" spans="1:18">
      <c r="C160" s="133"/>
      <c r="D160" s="133"/>
      <c r="E160" s="133"/>
      <c r="F160" s="133"/>
      <c r="G160" s="133"/>
      <c r="H160" s="133"/>
      <c r="I160" s="133"/>
      <c r="J160" s="133"/>
      <c r="O160" s="89"/>
      <c r="P160" s="90"/>
      <c r="Q160" s="89"/>
      <c r="R160" s="87"/>
    </row>
    <row r="161" spans="3:18">
      <c r="C161" s="133"/>
      <c r="D161" s="133"/>
      <c r="E161" s="133"/>
      <c r="F161" s="133"/>
      <c r="G161" s="133"/>
      <c r="H161" s="133"/>
      <c r="I161" s="133"/>
      <c r="J161" s="133"/>
      <c r="O161" s="89"/>
      <c r="P161" s="90"/>
      <c r="Q161" s="89"/>
      <c r="R161" s="87"/>
    </row>
    <row r="162" spans="3:18">
      <c r="G162" s="152"/>
      <c r="H162" s="152"/>
      <c r="I162" s="152"/>
      <c r="J162" s="152"/>
      <c r="O162" s="89"/>
      <c r="P162" s="90"/>
      <c r="Q162" s="89"/>
      <c r="R162" s="87"/>
    </row>
    <row r="163" spans="3:18">
      <c r="G163" s="152"/>
      <c r="H163" s="152"/>
      <c r="I163" s="152"/>
      <c r="J163" s="152"/>
      <c r="O163" s="89"/>
      <c r="P163" s="90"/>
      <c r="Q163" s="89"/>
      <c r="R163" s="87"/>
    </row>
    <row r="164" spans="3:18">
      <c r="G164" s="152"/>
      <c r="H164" s="152"/>
      <c r="I164" s="152"/>
      <c r="J164" s="152"/>
      <c r="O164" s="89"/>
      <c r="P164" s="90"/>
      <c r="Q164" s="89"/>
      <c r="R164" s="87"/>
    </row>
    <row r="165" spans="3:18">
      <c r="G165" s="152"/>
      <c r="H165" s="152"/>
      <c r="I165" s="152"/>
      <c r="J165" s="152"/>
      <c r="O165" s="89"/>
      <c r="P165" s="90"/>
      <c r="Q165" s="89"/>
      <c r="R165" s="87"/>
    </row>
    <row r="166" spans="3:18">
      <c r="G166" s="152"/>
      <c r="H166" s="152"/>
      <c r="I166" s="152"/>
      <c r="J166" s="152"/>
      <c r="O166" s="89"/>
      <c r="P166" s="90"/>
      <c r="Q166" s="89"/>
      <c r="R166" s="87"/>
    </row>
    <row r="167" spans="3:18">
      <c r="G167" s="152"/>
      <c r="H167" s="152"/>
      <c r="I167" s="152"/>
      <c r="J167" s="152"/>
      <c r="O167" s="89"/>
      <c r="P167" s="90"/>
      <c r="Q167" s="89"/>
      <c r="R167" s="87"/>
    </row>
    <row r="168" spans="3:18">
      <c r="G168" s="152"/>
      <c r="H168" s="152"/>
      <c r="I168" s="152"/>
      <c r="J168" s="152"/>
      <c r="O168" s="89"/>
      <c r="P168" s="90"/>
      <c r="Q168" s="89"/>
      <c r="R168" s="87"/>
    </row>
    <row r="169" spans="3:18">
      <c r="G169" s="152"/>
      <c r="H169" s="152"/>
      <c r="I169" s="152"/>
      <c r="J169" s="152"/>
      <c r="O169" s="89"/>
      <c r="P169" s="90"/>
      <c r="Q169" s="89"/>
      <c r="R169" s="87"/>
    </row>
    <row r="170" spans="3:18">
      <c r="G170" s="152"/>
      <c r="H170" s="152"/>
      <c r="I170" s="152"/>
      <c r="J170" s="152"/>
      <c r="O170" s="89"/>
      <c r="P170" s="90"/>
      <c r="Q170" s="89"/>
      <c r="R170" s="87"/>
    </row>
    <row r="171" spans="3:18">
      <c r="G171" s="152"/>
      <c r="H171" s="152"/>
      <c r="I171" s="152"/>
      <c r="J171" s="152"/>
      <c r="O171" s="89"/>
      <c r="P171" s="90"/>
      <c r="Q171" s="89"/>
      <c r="R171" s="87"/>
    </row>
    <row r="172" spans="3:18">
      <c r="G172" s="152"/>
      <c r="H172" s="152"/>
      <c r="I172" s="152"/>
      <c r="J172" s="152"/>
      <c r="O172" s="89"/>
      <c r="P172" s="90"/>
      <c r="Q172" s="89"/>
      <c r="R172" s="87"/>
    </row>
    <row r="173" spans="3:18">
      <c r="G173" s="152"/>
      <c r="H173" s="152"/>
      <c r="I173" s="152"/>
      <c r="J173" s="152"/>
      <c r="O173" s="89"/>
      <c r="P173" s="90"/>
      <c r="Q173" s="89"/>
      <c r="R173" s="87"/>
    </row>
    <row r="174" spans="3:18">
      <c r="G174" s="152"/>
      <c r="H174" s="152"/>
      <c r="I174" s="152"/>
      <c r="J174" s="152"/>
      <c r="O174" s="89"/>
      <c r="P174" s="90"/>
      <c r="Q174" s="89"/>
      <c r="R174" s="87"/>
    </row>
    <row r="175" spans="3:18">
      <c r="G175" s="152"/>
      <c r="H175" s="152"/>
      <c r="I175" s="152"/>
      <c r="J175" s="152"/>
      <c r="O175" s="89"/>
      <c r="P175" s="90"/>
      <c r="Q175" s="89"/>
      <c r="R175" s="87"/>
    </row>
    <row r="176" spans="3:18">
      <c r="G176" s="152"/>
      <c r="H176" s="152"/>
      <c r="I176" s="152"/>
      <c r="J176" s="152"/>
      <c r="O176" s="89"/>
      <c r="P176" s="90"/>
      <c r="Q176" s="89"/>
      <c r="R176" s="87"/>
    </row>
    <row r="177" spans="15:18">
      <c r="O177" s="89"/>
      <c r="P177" s="90"/>
      <c r="Q177" s="89"/>
      <c r="R177" s="87"/>
    </row>
    <row r="178" spans="15:18">
      <c r="O178" s="89"/>
      <c r="P178" s="90"/>
      <c r="Q178" s="89"/>
      <c r="R178" s="87"/>
    </row>
    <row r="179" spans="15:18">
      <c r="O179" s="89"/>
      <c r="P179" s="90"/>
      <c r="Q179" s="89"/>
      <c r="R179" s="87"/>
    </row>
    <row r="180" spans="15:18">
      <c r="O180" s="89"/>
      <c r="P180" s="90"/>
      <c r="Q180" s="89"/>
      <c r="R180" s="87"/>
    </row>
    <row r="181" spans="15:18">
      <c r="O181" s="89"/>
      <c r="P181" s="90"/>
      <c r="Q181" s="89"/>
      <c r="R181" s="87"/>
    </row>
    <row r="182" spans="15:18">
      <c r="O182" s="89"/>
      <c r="P182" s="90"/>
      <c r="Q182" s="89"/>
      <c r="R182" s="87"/>
    </row>
    <row r="183" spans="15:18">
      <c r="O183" s="89"/>
      <c r="P183" s="90"/>
      <c r="Q183" s="89"/>
      <c r="R183" s="87"/>
    </row>
    <row r="184" spans="15:18">
      <c r="O184" s="89"/>
      <c r="P184" s="90"/>
      <c r="Q184" s="89"/>
      <c r="R184" s="87"/>
    </row>
    <row r="185" spans="15:18">
      <c r="O185" s="89"/>
      <c r="P185" s="90"/>
      <c r="Q185" s="89"/>
      <c r="R185" s="87"/>
    </row>
    <row r="186" spans="15:18">
      <c r="O186" s="89"/>
      <c r="P186" s="90"/>
      <c r="Q186" s="89"/>
      <c r="R186" s="87"/>
    </row>
    <row r="187" spans="15:18">
      <c r="O187" s="89"/>
      <c r="P187" s="90"/>
      <c r="Q187" s="89"/>
      <c r="R187" s="87"/>
    </row>
    <row r="188" spans="15:18">
      <c r="O188" s="89"/>
      <c r="P188" s="90"/>
      <c r="Q188" s="89"/>
      <c r="R188" s="87"/>
    </row>
    <row r="189" spans="15:18">
      <c r="O189" s="89"/>
      <c r="P189" s="90"/>
      <c r="Q189" s="89"/>
      <c r="R189" s="87"/>
    </row>
    <row r="190" spans="15:18">
      <c r="O190" s="89"/>
      <c r="P190" s="90"/>
      <c r="Q190" s="89"/>
      <c r="R190" s="87"/>
    </row>
    <row r="191" spans="15:18">
      <c r="O191" s="89"/>
      <c r="P191" s="90"/>
      <c r="Q191" s="89"/>
      <c r="R191" s="87"/>
    </row>
    <row r="192" spans="15:18">
      <c r="O192" s="89"/>
      <c r="P192" s="90"/>
      <c r="Q192" s="89"/>
      <c r="R192" s="87"/>
    </row>
    <row r="193" spans="15:18">
      <c r="O193" s="89"/>
      <c r="P193" s="90"/>
      <c r="Q193" s="89"/>
      <c r="R193" s="87"/>
    </row>
    <row r="194" spans="15:18">
      <c r="O194" s="89"/>
      <c r="P194" s="90"/>
      <c r="Q194" s="89"/>
      <c r="R194" s="87"/>
    </row>
    <row r="195" spans="15:18">
      <c r="O195" s="89"/>
      <c r="P195" s="90"/>
      <c r="Q195" s="89"/>
      <c r="R195" s="87"/>
    </row>
    <row r="196" spans="15:18">
      <c r="O196" s="89"/>
      <c r="P196" s="90"/>
      <c r="Q196" s="89"/>
      <c r="R196" s="87"/>
    </row>
    <row r="197" spans="15:18">
      <c r="O197" s="89"/>
      <c r="P197" s="90"/>
      <c r="Q197" s="89"/>
      <c r="R197" s="87"/>
    </row>
    <row r="198" spans="15:18">
      <c r="O198" s="89"/>
      <c r="P198" s="90"/>
      <c r="Q198" s="89"/>
      <c r="R198" s="87"/>
    </row>
    <row r="199" spans="15:18">
      <c r="O199" s="89"/>
      <c r="P199" s="90"/>
      <c r="Q199" s="89"/>
      <c r="R199" s="87"/>
    </row>
    <row r="200" spans="15:18">
      <c r="O200" s="89"/>
      <c r="P200" s="90"/>
      <c r="Q200" s="89"/>
      <c r="R200" s="87"/>
    </row>
    <row r="201" spans="15:18">
      <c r="O201" s="89"/>
      <c r="P201" s="90"/>
      <c r="Q201" s="89"/>
      <c r="R201" s="87"/>
    </row>
    <row r="202" spans="15:18">
      <c r="O202" s="89"/>
      <c r="P202" s="90"/>
      <c r="Q202" s="89"/>
      <c r="R202" s="87"/>
    </row>
    <row r="203" spans="15:18">
      <c r="O203" s="89"/>
      <c r="P203" s="90"/>
      <c r="Q203" s="89"/>
      <c r="R203" s="87"/>
    </row>
    <row r="204" spans="15:18">
      <c r="O204" s="89"/>
      <c r="P204" s="90"/>
      <c r="Q204" s="89"/>
      <c r="R204" s="87"/>
    </row>
    <row r="205" spans="15:18">
      <c r="O205" s="89"/>
      <c r="P205" s="90"/>
      <c r="Q205" s="89"/>
      <c r="R205" s="87"/>
    </row>
    <row r="206" spans="15:18">
      <c r="O206" s="89"/>
      <c r="P206" s="90"/>
      <c r="Q206" s="89"/>
      <c r="R206" s="87"/>
    </row>
    <row r="207" spans="15:18">
      <c r="O207" s="89"/>
      <c r="P207" s="90"/>
      <c r="Q207" s="89"/>
      <c r="R207" s="87"/>
    </row>
    <row r="208" spans="15:18">
      <c r="O208" s="89"/>
      <c r="P208" s="90"/>
      <c r="Q208" s="89"/>
      <c r="R208" s="87"/>
    </row>
    <row r="209" spans="15:18">
      <c r="O209" s="89"/>
      <c r="P209" s="90"/>
      <c r="Q209" s="89"/>
      <c r="R209" s="87"/>
    </row>
    <row r="210" spans="15:18">
      <c r="O210" s="89"/>
      <c r="P210" s="90"/>
      <c r="Q210" s="89"/>
      <c r="R210" s="87"/>
    </row>
    <row r="211" spans="15:18">
      <c r="O211" s="89"/>
      <c r="P211" s="90"/>
      <c r="Q211" s="89"/>
      <c r="R211" s="87"/>
    </row>
    <row r="212" spans="15:18">
      <c r="O212" s="89"/>
      <c r="P212" s="90"/>
      <c r="Q212" s="89"/>
      <c r="R212" s="87"/>
    </row>
    <row r="213" spans="15:18">
      <c r="O213" s="89"/>
      <c r="P213" s="90"/>
      <c r="Q213" s="89"/>
      <c r="R213" s="87"/>
    </row>
    <row r="214" spans="15:18">
      <c r="O214" s="89"/>
      <c r="P214" s="90"/>
      <c r="Q214" s="89"/>
      <c r="R214" s="87"/>
    </row>
    <row r="215" spans="15:18">
      <c r="O215" s="89"/>
      <c r="P215" s="90"/>
      <c r="Q215" s="89"/>
      <c r="R215" s="87"/>
    </row>
    <row r="216" spans="15:18">
      <c r="O216" s="89"/>
      <c r="P216" s="90"/>
      <c r="Q216" s="89"/>
      <c r="R216" s="87"/>
    </row>
    <row r="217" spans="15:18">
      <c r="O217" s="89"/>
      <c r="P217" s="90"/>
      <c r="Q217" s="89"/>
      <c r="R217" s="87"/>
    </row>
    <row r="218" spans="15:18">
      <c r="O218" s="89"/>
      <c r="P218" s="90"/>
      <c r="Q218" s="89"/>
      <c r="R218" s="87"/>
    </row>
    <row r="219" spans="15:18">
      <c r="O219" s="89"/>
      <c r="P219" s="90"/>
      <c r="Q219" s="89"/>
      <c r="R219" s="87"/>
    </row>
    <row r="220" spans="15:18">
      <c r="O220" s="89"/>
      <c r="P220" s="90"/>
      <c r="Q220" s="89"/>
      <c r="R220" s="87"/>
    </row>
    <row r="221" spans="15:18">
      <c r="O221" s="89"/>
      <c r="P221" s="90"/>
      <c r="Q221" s="89"/>
      <c r="R221" s="87"/>
    </row>
    <row r="222" spans="15:18">
      <c r="O222" s="89"/>
      <c r="P222" s="90"/>
      <c r="Q222" s="89"/>
      <c r="R222" s="87"/>
    </row>
    <row r="223" spans="15:18">
      <c r="O223" s="89"/>
      <c r="P223" s="90"/>
      <c r="Q223" s="89"/>
      <c r="R223" s="87"/>
    </row>
    <row r="224" spans="15:18">
      <c r="O224" s="89"/>
      <c r="P224" s="90"/>
      <c r="Q224" s="89"/>
      <c r="R224" s="87"/>
    </row>
    <row r="225" spans="15:18">
      <c r="O225" s="89"/>
      <c r="P225" s="90"/>
      <c r="Q225" s="89"/>
      <c r="R225" s="87"/>
    </row>
    <row r="226" spans="15:18">
      <c r="O226" s="89"/>
      <c r="P226" s="90"/>
      <c r="Q226" s="89"/>
      <c r="R226" s="87"/>
    </row>
    <row r="227" spans="15:18">
      <c r="O227" s="89"/>
      <c r="P227" s="90"/>
      <c r="Q227" s="89"/>
      <c r="R227" s="87"/>
    </row>
    <row r="228" spans="15:18">
      <c r="O228" s="89"/>
      <c r="P228" s="90"/>
      <c r="Q228" s="89"/>
      <c r="R228" s="87"/>
    </row>
    <row r="229" spans="15:18">
      <c r="O229" s="89"/>
      <c r="P229" s="90"/>
      <c r="Q229" s="89"/>
      <c r="R229" s="87"/>
    </row>
    <row r="230" spans="15:18">
      <c r="O230" s="89"/>
      <c r="P230" s="90"/>
      <c r="Q230" s="89"/>
      <c r="R230" s="87"/>
    </row>
    <row r="231" spans="15:18">
      <c r="O231" s="89"/>
      <c r="P231" s="90"/>
      <c r="Q231" s="89"/>
      <c r="R231" s="87"/>
    </row>
    <row r="232" spans="15:18">
      <c r="O232" s="89"/>
      <c r="P232" s="90"/>
      <c r="Q232" s="89"/>
      <c r="R232" s="87"/>
    </row>
    <row r="233" spans="15:18">
      <c r="O233" s="89"/>
      <c r="P233" s="90"/>
      <c r="Q233" s="89"/>
      <c r="R233" s="87"/>
    </row>
    <row r="234" spans="15:18">
      <c r="O234" s="89"/>
      <c r="P234" s="90"/>
      <c r="Q234" s="89"/>
      <c r="R234" s="87"/>
    </row>
    <row r="235" spans="15:18">
      <c r="O235" s="89"/>
      <c r="P235" s="90"/>
      <c r="Q235" s="89"/>
      <c r="R235" s="87"/>
    </row>
    <row r="236" spans="15:18">
      <c r="O236" s="89"/>
      <c r="P236" s="90"/>
      <c r="Q236" s="89"/>
      <c r="R236" s="87"/>
    </row>
    <row r="237" spans="15:18">
      <c r="O237" s="89"/>
      <c r="P237" s="90"/>
      <c r="Q237" s="89"/>
      <c r="R237" s="87"/>
    </row>
    <row r="238" spans="15:18">
      <c r="O238" s="89"/>
      <c r="P238" s="90"/>
      <c r="Q238" s="89"/>
      <c r="R238" s="87"/>
    </row>
    <row r="239" spans="15:18">
      <c r="O239" s="89"/>
      <c r="P239" s="90"/>
      <c r="Q239" s="89"/>
      <c r="R239" s="87"/>
    </row>
    <row r="240" spans="15:18">
      <c r="O240" s="89"/>
      <c r="P240" s="90"/>
      <c r="Q240" s="89"/>
      <c r="R240" s="87"/>
    </row>
    <row r="241" spans="15:18">
      <c r="O241" s="89"/>
      <c r="P241" s="90"/>
      <c r="Q241" s="89"/>
      <c r="R241" s="87"/>
    </row>
    <row r="242" spans="15:18">
      <c r="O242" s="89"/>
      <c r="P242" s="90"/>
      <c r="Q242" s="89"/>
      <c r="R242" s="87"/>
    </row>
    <row r="243" spans="15:18">
      <c r="O243" s="89"/>
      <c r="P243" s="90"/>
      <c r="Q243" s="89"/>
      <c r="R243" s="87"/>
    </row>
    <row r="244" spans="15:18">
      <c r="O244" s="89"/>
      <c r="P244" s="90"/>
      <c r="Q244" s="89"/>
      <c r="R244" s="87"/>
    </row>
    <row r="245" spans="15:18">
      <c r="O245" s="89"/>
      <c r="P245" s="90"/>
      <c r="Q245" s="89"/>
      <c r="R245" s="87"/>
    </row>
    <row r="246" spans="15:18">
      <c r="O246" s="89"/>
      <c r="P246" s="90"/>
      <c r="Q246" s="89"/>
      <c r="R246" s="87"/>
    </row>
    <row r="247" spans="15:18">
      <c r="O247" s="89"/>
      <c r="P247" s="90"/>
      <c r="Q247" s="89"/>
      <c r="R247" s="87"/>
    </row>
    <row r="248" spans="15:18">
      <c r="O248" s="89"/>
      <c r="P248" s="90"/>
      <c r="Q248" s="89"/>
      <c r="R248" s="87"/>
    </row>
    <row r="249" spans="15:18">
      <c r="O249" s="89"/>
      <c r="P249" s="90"/>
      <c r="Q249" s="89"/>
      <c r="R249" s="87"/>
    </row>
    <row r="250" spans="15:18">
      <c r="O250" s="89"/>
      <c r="P250" s="90"/>
      <c r="Q250" s="89"/>
      <c r="R250" s="87"/>
    </row>
    <row r="251" spans="15:18">
      <c r="O251" s="89"/>
      <c r="P251" s="90"/>
      <c r="Q251" s="89"/>
      <c r="R251" s="87"/>
    </row>
    <row r="252" spans="15:18">
      <c r="O252" s="89"/>
      <c r="P252" s="90"/>
      <c r="Q252" s="89"/>
      <c r="R252" s="87"/>
    </row>
    <row r="253" spans="15:18">
      <c r="O253" s="89"/>
      <c r="P253" s="90"/>
      <c r="Q253" s="89"/>
      <c r="R253" s="87"/>
    </row>
    <row r="254" spans="15:18">
      <c r="O254" s="89"/>
      <c r="P254" s="90"/>
      <c r="Q254" s="89"/>
      <c r="R254" s="87"/>
    </row>
    <row r="255" spans="15:18">
      <c r="O255" s="89"/>
      <c r="P255" s="90"/>
      <c r="Q255" s="89"/>
      <c r="R255" s="87"/>
    </row>
    <row r="256" spans="15:18">
      <c r="O256" s="89"/>
      <c r="P256" s="90"/>
      <c r="Q256" s="89"/>
      <c r="R256" s="87"/>
    </row>
    <row r="257" spans="15:18">
      <c r="O257" s="89"/>
      <c r="P257" s="90"/>
      <c r="Q257" s="89"/>
      <c r="R257" s="87"/>
    </row>
    <row r="258" spans="15:18">
      <c r="O258" s="89"/>
      <c r="P258" s="90"/>
      <c r="Q258" s="89"/>
      <c r="R258" s="87"/>
    </row>
    <row r="259" spans="15:18">
      <c r="O259" s="89"/>
      <c r="P259" s="90"/>
      <c r="Q259" s="89"/>
      <c r="R259" s="87"/>
    </row>
    <row r="260" spans="15:18">
      <c r="O260" s="89"/>
      <c r="P260" s="90"/>
      <c r="Q260" s="89"/>
      <c r="R260" s="87"/>
    </row>
    <row r="261" spans="15:18">
      <c r="O261" s="89"/>
      <c r="P261" s="90"/>
      <c r="Q261" s="89"/>
      <c r="R261" s="87"/>
    </row>
    <row r="262" spans="15:18">
      <c r="O262" s="89"/>
      <c r="P262" s="90"/>
      <c r="Q262" s="89"/>
      <c r="R262" s="87"/>
    </row>
    <row r="263" spans="15:18">
      <c r="O263" s="89"/>
      <c r="P263" s="90"/>
      <c r="Q263" s="89"/>
      <c r="R263" s="87"/>
    </row>
    <row r="264" spans="15:18">
      <c r="O264" s="89"/>
      <c r="P264" s="90"/>
      <c r="Q264" s="89"/>
      <c r="R264" s="87"/>
    </row>
    <row r="265" spans="15:18">
      <c r="O265" s="89"/>
      <c r="P265" s="90"/>
      <c r="Q265" s="89"/>
      <c r="R265" s="87"/>
    </row>
    <row r="266" spans="15:18">
      <c r="O266" s="89"/>
      <c r="P266" s="90"/>
      <c r="Q266" s="89"/>
      <c r="R266" s="87"/>
    </row>
    <row r="267" spans="15:18">
      <c r="O267" s="89"/>
      <c r="P267" s="90"/>
      <c r="Q267" s="89"/>
      <c r="R267" s="87"/>
    </row>
    <row r="268" spans="15:18">
      <c r="O268" s="89"/>
      <c r="P268" s="90"/>
      <c r="Q268" s="89"/>
      <c r="R268" s="87"/>
    </row>
    <row r="269" spans="15:18">
      <c r="O269" s="89"/>
      <c r="P269" s="90"/>
      <c r="Q269" s="89"/>
      <c r="R269" s="87"/>
    </row>
    <row r="270" spans="15:18">
      <c r="O270" s="89"/>
      <c r="P270" s="90"/>
      <c r="Q270" s="89"/>
      <c r="R270" s="87"/>
    </row>
    <row r="271" spans="15:18">
      <c r="O271" s="89"/>
      <c r="P271" s="90"/>
      <c r="Q271" s="89"/>
      <c r="R271" s="87"/>
    </row>
    <row r="272" spans="15:18">
      <c r="O272" s="89"/>
      <c r="P272" s="90"/>
      <c r="Q272" s="89"/>
      <c r="R272" s="87"/>
    </row>
    <row r="273" spans="15:18">
      <c r="O273" s="89"/>
      <c r="P273" s="90"/>
      <c r="Q273" s="89"/>
      <c r="R273" s="87"/>
    </row>
    <row r="274" spans="15:18">
      <c r="O274" s="89"/>
      <c r="P274" s="90"/>
      <c r="Q274" s="89"/>
      <c r="R274" s="87"/>
    </row>
    <row r="275" spans="15:18">
      <c r="O275" s="89"/>
      <c r="P275" s="90"/>
      <c r="Q275" s="89"/>
      <c r="R275" s="87"/>
    </row>
    <row r="276" spans="15:18">
      <c r="O276" s="89"/>
      <c r="P276" s="90"/>
      <c r="Q276" s="89"/>
      <c r="R276" s="87"/>
    </row>
    <row r="277" spans="15:18">
      <c r="O277" s="89"/>
      <c r="P277" s="90"/>
      <c r="Q277" s="89"/>
      <c r="R277" s="87"/>
    </row>
    <row r="278" spans="15:18">
      <c r="O278" s="89"/>
      <c r="P278" s="90"/>
      <c r="Q278" s="89"/>
      <c r="R278" s="87"/>
    </row>
    <row r="279" spans="15:18">
      <c r="O279" s="89"/>
      <c r="P279" s="90"/>
      <c r="Q279" s="89"/>
      <c r="R279" s="87"/>
    </row>
    <row r="280" spans="15:18">
      <c r="O280" s="89"/>
      <c r="P280" s="90"/>
      <c r="Q280" s="89"/>
      <c r="R280" s="87"/>
    </row>
    <row r="281" spans="15:18">
      <c r="O281" s="89"/>
      <c r="P281" s="90"/>
      <c r="Q281" s="89"/>
      <c r="R281" s="87"/>
    </row>
    <row r="282" spans="15:18">
      <c r="O282" s="89"/>
      <c r="P282" s="90"/>
      <c r="Q282" s="89"/>
      <c r="R282" s="87"/>
    </row>
    <row r="283" spans="15:18">
      <c r="O283" s="89"/>
      <c r="P283" s="90"/>
      <c r="Q283" s="89"/>
      <c r="R283" s="87"/>
    </row>
    <row r="284" spans="15:18">
      <c r="O284" s="89"/>
      <c r="P284" s="90"/>
      <c r="Q284" s="89"/>
      <c r="R284" s="87"/>
    </row>
    <row r="285" spans="15:18">
      <c r="O285" s="89"/>
      <c r="P285" s="90"/>
      <c r="Q285" s="89"/>
      <c r="R285" s="87"/>
    </row>
    <row r="286" spans="15:18">
      <c r="O286" s="89"/>
      <c r="P286" s="90"/>
      <c r="Q286" s="89"/>
      <c r="R286" s="87"/>
    </row>
    <row r="287" spans="15:18">
      <c r="O287" s="89"/>
      <c r="P287" s="90"/>
      <c r="Q287" s="89"/>
      <c r="R287" s="87"/>
    </row>
    <row r="288" spans="15:18">
      <c r="O288" s="89"/>
      <c r="P288" s="90"/>
      <c r="Q288" s="89"/>
      <c r="R288" s="87"/>
    </row>
    <row r="289" spans="15:18">
      <c r="O289" s="89"/>
      <c r="P289" s="90"/>
      <c r="Q289" s="89"/>
      <c r="R289" s="87"/>
    </row>
    <row r="290" spans="15:18">
      <c r="O290" s="89"/>
      <c r="P290" s="90"/>
      <c r="Q290" s="89"/>
      <c r="R290" s="87"/>
    </row>
    <row r="291" spans="15:18">
      <c r="O291" s="89"/>
      <c r="P291" s="90"/>
      <c r="Q291" s="89"/>
      <c r="R291" s="87"/>
    </row>
    <row r="292" spans="15:18">
      <c r="O292" s="89"/>
      <c r="P292" s="90"/>
      <c r="Q292" s="89"/>
      <c r="R292" s="87"/>
    </row>
    <row r="293" spans="15:18">
      <c r="O293" s="89"/>
      <c r="P293" s="90"/>
      <c r="Q293" s="89"/>
      <c r="R293" s="87"/>
    </row>
    <row r="294" spans="15:18">
      <c r="O294" s="89"/>
      <c r="P294" s="90"/>
      <c r="Q294" s="89"/>
      <c r="R294" s="87"/>
    </row>
    <row r="295" spans="15:18">
      <c r="O295" s="89"/>
      <c r="P295" s="90"/>
      <c r="Q295" s="89"/>
      <c r="R295" s="87"/>
    </row>
    <row r="296" spans="15:18">
      <c r="O296" s="89"/>
      <c r="P296" s="90"/>
      <c r="Q296" s="89"/>
      <c r="R296" s="87"/>
    </row>
    <row r="297" spans="15:18">
      <c r="O297" s="89"/>
      <c r="P297" s="90"/>
      <c r="Q297" s="89"/>
      <c r="R297" s="87"/>
    </row>
    <row r="298" spans="15:18">
      <c r="O298" s="89"/>
      <c r="P298" s="90"/>
      <c r="Q298" s="89"/>
      <c r="R298" s="87"/>
    </row>
    <row r="299" spans="15:18">
      <c r="O299" s="89"/>
      <c r="P299" s="90"/>
      <c r="Q299" s="89"/>
      <c r="R299" s="87"/>
    </row>
    <row r="300" spans="15:18">
      <c r="O300" s="89"/>
      <c r="P300" s="90"/>
      <c r="Q300" s="89"/>
      <c r="R300" s="87"/>
    </row>
    <row r="301" spans="15:18">
      <c r="O301" s="89"/>
      <c r="P301" s="90"/>
      <c r="Q301" s="89"/>
      <c r="R301" s="87"/>
    </row>
    <row r="302" spans="15:18">
      <c r="O302" s="89"/>
      <c r="P302" s="90"/>
      <c r="Q302" s="89"/>
      <c r="R302" s="87"/>
    </row>
    <row r="303" spans="15:18">
      <c r="O303" s="89"/>
      <c r="P303" s="90"/>
      <c r="Q303" s="89"/>
      <c r="R303" s="87"/>
    </row>
    <row r="304" spans="15:18">
      <c r="O304" s="89"/>
      <c r="P304" s="90"/>
      <c r="Q304" s="89"/>
      <c r="R304" s="87"/>
    </row>
    <row r="305" spans="15:18">
      <c r="O305" s="89"/>
      <c r="P305" s="90"/>
      <c r="Q305" s="89"/>
      <c r="R305" s="87"/>
    </row>
    <row r="306" spans="15:18">
      <c r="O306" s="89"/>
      <c r="P306" s="90"/>
      <c r="Q306" s="89"/>
      <c r="R306" s="87"/>
    </row>
    <row r="307" spans="15:18">
      <c r="O307" s="89"/>
      <c r="P307" s="90"/>
      <c r="Q307" s="89"/>
      <c r="R307" s="87"/>
    </row>
    <row r="308" spans="15:18">
      <c r="O308" s="89"/>
      <c r="P308" s="90"/>
      <c r="Q308" s="89"/>
      <c r="R308" s="87"/>
    </row>
    <row r="309" spans="15:18">
      <c r="O309" s="89"/>
      <c r="P309" s="90"/>
      <c r="Q309" s="89"/>
      <c r="R309" s="87"/>
    </row>
    <row r="310" spans="15:18">
      <c r="O310" s="89"/>
      <c r="P310" s="90"/>
      <c r="Q310" s="89"/>
      <c r="R310" s="87"/>
    </row>
    <row r="311" spans="15:18">
      <c r="O311" s="89"/>
      <c r="P311" s="90"/>
      <c r="Q311" s="89"/>
      <c r="R311" s="87"/>
    </row>
    <row r="312" spans="15:18">
      <c r="O312" s="89"/>
      <c r="P312" s="90"/>
      <c r="Q312" s="89"/>
      <c r="R312" s="87"/>
    </row>
    <row r="313" spans="15:18">
      <c r="O313" s="89"/>
      <c r="P313" s="90"/>
      <c r="Q313" s="89"/>
      <c r="R313" s="87"/>
    </row>
    <row r="314" spans="15:18">
      <c r="O314" s="89"/>
      <c r="P314" s="90"/>
      <c r="Q314" s="89"/>
      <c r="R314" s="87"/>
    </row>
    <row r="315" spans="15:18">
      <c r="O315" s="89"/>
      <c r="P315" s="90"/>
      <c r="Q315" s="89"/>
      <c r="R315" s="87"/>
    </row>
    <row r="316" spans="15:18">
      <c r="O316" s="89"/>
      <c r="P316" s="90"/>
      <c r="Q316" s="89"/>
      <c r="R316" s="87"/>
    </row>
    <row r="317" spans="15:18">
      <c r="O317" s="89"/>
      <c r="P317" s="90"/>
      <c r="Q317" s="89"/>
      <c r="R317" s="87"/>
    </row>
    <row r="318" spans="15:18">
      <c r="O318" s="89"/>
      <c r="P318" s="90"/>
      <c r="Q318" s="89"/>
      <c r="R318" s="87"/>
    </row>
    <row r="319" spans="15:18">
      <c r="O319" s="89"/>
      <c r="P319" s="90"/>
      <c r="Q319" s="89"/>
      <c r="R319" s="87"/>
    </row>
    <row r="320" spans="15:18">
      <c r="O320" s="89"/>
      <c r="P320" s="90"/>
      <c r="Q320" s="89"/>
      <c r="R320" s="87"/>
    </row>
    <row r="321" spans="15:18">
      <c r="O321" s="89"/>
      <c r="P321" s="90"/>
      <c r="Q321" s="89"/>
      <c r="R321" s="87"/>
    </row>
    <row r="322" spans="15:18">
      <c r="O322" s="89"/>
      <c r="P322" s="90"/>
      <c r="Q322" s="89"/>
      <c r="R322" s="87"/>
    </row>
    <row r="323" spans="15:18">
      <c r="O323" s="89"/>
      <c r="P323" s="90"/>
      <c r="Q323" s="89"/>
      <c r="R323" s="87"/>
    </row>
    <row r="324" spans="15:18">
      <c r="O324" s="89"/>
      <c r="P324" s="90"/>
      <c r="Q324" s="89"/>
      <c r="R324" s="87"/>
    </row>
    <row r="325" spans="15:18">
      <c r="O325" s="89"/>
      <c r="P325" s="90"/>
      <c r="Q325" s="89"/>
      <c r="R325" s="87"/>
    </row>
    <row r="326" spans="15:18">
      <c r="O326" s="89"/>
      <c r="P326" s="90"/>
      <c r="Q326" s="89"/>
      <c r="R326" s="87"/>
    </row>
    <row r="327" spans="15:18">
      <c r="O327" s="89"/>
      <c r="P327" s="90"/>
      <c r="Q327" s="89"/>
      <c r="R327" s="87"/>
    </row>
    <row r="328" spans="15:18">
      <c r="O328" s="89"/>
      <c r="P328" s="90"/>
      <c r="Q328" s="89"/>
      <c r="R328" s="87"/>
    </row>
    <row r="329" spans="15:18">
      <c r="O329" s="89"/>
      <c r="P329" s="90"/>
      <c r="Q329" s="89"/>
      <c r="R329" s="87"/>
    </row>
    <row r="330" spans="15:18">
      <c r="O330" s="89"/>
      <c r="P330" s="90"/>
      <c r="Q330" s="89"/>
      <c r="R330" s="87"/>
    </row>
    <row r="331" spans="15:18">
      <c r="O331" s="89"/>
      <c r="P331" s="90"/>
      <c r="Q331" s="89"/>
      <c r="R331" s="87"/>
    </row>
    <row r="332" spans="15:18">
      <c r="O332" s="89"/>
      <c r="P332" s="90"/>
      <c r="Q332" s="89"/>
      <c r="R332" s="87"/>
    </row>
    <row r="333" spans="15:18">
      <c r="O333" s="89"/>
      <c r="P333" s="90"/>
      <c r="Q333" s="89"/>
      <c r="R333" s="87"/>
    </row>
    <row r="334" spans="15:18">
      <c r="O334" s="89"/>
      <c r="P334" s="90"/>
      <c r="Q334" s="89"/>
      <c r="R334" s="87"/>
    </row>
    <row r="335" spans="15:18">
      <c r="O335" s="89"/>
      <c r="P335" s="90"/>
      <c r="Q335" s="89"/>
      <c r="R335" s="87"/>
    </row>
    <row r="336" spans="15:18">
      <c r="O336" s="89"/>
      <c r="P336" s="90"/>
      <c r="Q336" s="89"/>
      <c r="R336" s="87"/>
    </row>
    <row r="337" spans="15:18">
      <c r="O337" s="89"/>
      <c r="P337" s="90"/>
      <c r="Q337" s="89"/>
      <c r="R337" s="87"/>
    </row>
    <row r="338" spans="15:18">
      <c r="O338" s="89"/>
      <c r="P338" s="90"/>
      <c r="Q338" s="89"/>
      <c r="R338" s="87"/>
    </row>
    <row r="339" spans="15:18">
      <c r="O339" s="89"/>
      <c r="P339" s="90"/>
      <c r="Q339" s="89"/>
      <c r="R339" s="87"/>
    </row>
    <row r="340" spans="15:18">
      <c r="O340" s="89"/>
      <c r="P340" s="90"/>
      <c r="Q340" s="89"/>
      <c r="R340" s="87"/>
    </row>
    <row r="341" spans="15:18">
      <c r="O341" s="89"/>
      <c r="P341" s="90"/>
      <c r="Q341" s="89"/>
      <c r="R341" s="87"/>
    </row>
    <row r="342" spans="15:18">
      <c r="O342" s="89"/>
      <c r="P342" s="90"/>
      <c r="Q342" s="89"/>
      <c r="R342" s="87"/>
    </row>
    <row r="343" spans="15:18">
      <c r="O343" s="89"/>
      <c r="P343" s="90"/>
      <c r="Q343" s="89"/>
      <c r="R343" s="87"/>
    </row>
    <row r="344" spans="15:18">
      <c r="O344" s="89"/>
      <c r="P344" s="90"/>
      <c r="Q344" s="89"/>
      <c r="R344" s="87"/>
    </row>
    <row r="345" spans="15:18">
      <c r="O345" s="89"/>
      <c r="P345" s="90"/>
      <c r="Q345" s="89"/>
      <c r="R345" s="87"/>
    </row>
    <row r="346" spans="15:18">
      <c r="O346" s="89"/>
      <c r="P346" s="90"/>
      <c r="Q346" s="89"/>
      <c r="R346" s="87"/>
    </row>
    <row r="347" spans="15:18">
      <c r="O347" s="89"/>
      <c r="P347" s="90"/>
      <c r="Q347" s="89"/>
      <c r="R347" s="87"/>
    </row>
    <row r="348" spans="15:18">
      <c r="O348" s="89"/>
      <c r="P348" s="90"/>
      <c r="Q348" s="89"/>
      <c r="R348" s="87"/>
    </row>
    <row r="349" spans="15:18">
      <c r="O349" s="89"/>
      <c r="P349" s="90"/>
      <c r="Q349" s="89"/>
      <c r="R349" s="87"/>
    </row>
    <row r="350" spans="15:18">
      <c r="O350" s="89"/>
      <c r="P350" s="90"/>
      <c r="Q350" s="89"/>
      <c r="R350" s="87"/>
    </row>
    <row r="351" spans="15:18">
      <c r="O351" s="89"/>
      <c r="P351" s="90"/>
      <c r="Q351" s="89"/>
      <c r="R351" s="87"/>
    </row>
    <row r="352" spans="15:18">
      <c r="O352" s="89"/>
      <c r="P352" s="90"/>
      <c r="Q352" s="89"/>
      <c r="R352" s="87"/>
    </row>
    <row r="353" spans="15:18">
      <c r="O353" s="89"/>
      <c r="P353" s="90"/>
      <c r="Q353" s="89"/>
      <c r="R353" s="87"/>
    </row>
    <row r="354" spans="15:18">
      <c r="O354" s="89"/>
      <c r="P354" s="90"/>
      <c r="Q354" s="89"/>
      <c r="R354" s="87"/>
    </row>
    <row r="355" spans="15:18">
      <c r="O355" s="89"/>
      <c r="P355" s="90"/>
      <c r="Q355" s="89"/>
      <c r="R355" s="87"/>
    </row>
    <row r="356" spans="15:18">
      <c r="O356" s="89"/>
      <c r="P356" s="90"/>
      <c r="Q356" s="89"/>
      <c r="R356" s="87"/>
    </row>
    <row r="357" spans="15:18">
      <c r="O357" s="89"/>
      <c r="P357" s="90"/>
      <c r="Q357" s="89"/>
      <c r="R357" s="87"/>
    </row>
    <row r="358" spans="15:18">
      <c r="O358" s="89"/>
      <c r="P358" s="90"/>
      <c r="Q358" s="89"/>
      <c r="R358" s="87"/>
    </row>
    <row r="359" spans="15:18">
      <c r="O359" s="89"/>
      <c r="P359" s="90"/>
      <c r="Q359" s="89"/>
      <c r="R359" s="87"/>
    </row>
    <row r="360" spans="15:18">
      <c r="O360" s="89"/>
      <c r="P360" s="90"/>
      <c r="Q360" s="89"/>
      <c r="R360" s="87"/>
    </row>
    <row r="361" spans="15:18">
      <c r="O361" s="89"/>
      <c r="P361" s="90"/>
      <c r="Q361" s="89"/>
      <c r="R361" s="87"/>
    </row>
    <row r="362" spans="15:18">
      <c r="O362" s="89"/>
      <c r="P362" s="90"/>
      <c r="Q362" s="89"/>
      <c r="R362" s="87"/>
    </row>
    <row r="363" spans="15:18">
      <c r="O363" s="89"/>
      <c r="P363" s="90"/>
      <c r="Q363" s="89"/>
      <c r="R363" s="87"/>
    </row>
    <row r="364" spans="15:18">
      <c r="O364" s="89"/>
      <c r="P364" s="90"/>
      <c r="Q364" s="89"/>
      <c r="R364" s="87"/>
    </row>
    <row r="365" spans="15:18">
      <c r="O365" s="89"/>
      <c r="P365" s="90"/>
      <c r="Q365" s="89"/>
      <c r="R365" s="87"/>
    </row>
    <row r="366" spans="15:18">
      <c r="O366" s="89"/>
      <c r="P366" s="90"/>
      <c r="Q366" s="89"/>
      <c r="R366" s="87"/>
    </row>
    <row r="367" spans="15:18">
      <c r="O367" s="89"/>
      <c r="P367" s="90"/>
      <c r="Q367" s="89"/>
      <c r="R367" s="87"/>
    </row>
    <row r="368" spans="15:18">
      <c r="O368" s="89"/>
      <c r="P368" s="90"/>
      <c r="Q368" s="89"/>
      <c r="R368" s="87"/>
    </row>
    <row r="369" spans="15:18">
      <c r="O369" s="89"/>
      <c r="P369" s="90"/>
      <c r="Q369" s="89"/>
      <c r="R369" s="87"/>
    </row>
    <row r="370" spans="15:18">
      <c r="O370" s="89"/>
      <c r="P370" s="90"/>
      <c r="Q370" s="89"/>
      <c r="R370" s="87"/>
    </row>
    <row r="371" spans="15:18">
      <c r="O371" s="89"/>
      <c r="P371" s="90"/>
      <c r="Q371" s="89"/>
      <c r="R371" s="87"/>
    </row>
    <row r="372" spans="15:18">
      <c r="O372" s="89"/>
      <c r="P372" s="90"/>
      <c r="Q372" s="89"/>
      <c r="R372" s="87"/>
    </row>
    <row r="373" spans="15:18">
      <c r="O373" s="89"/>
      <c r="P373" s="90"/>
      <c r="Q373" s="89"/>
      <c r="R373" s="87"/>
    </row>
    <row r="374" spans="15:18">
      <c r="O374" s="89"/>
      <c r="P374" s="90"/>
      <c r="Q374" s="89"/>
      <c r="R374" s="87"/>
    </row>
    <row r="375" spans="15:18">
      <c r="O375" s="89"/>
      <c r="P375" s="90"/>
      <c r="Q375" s="89"/>
      <c r="R375" s="87"/>
    </row>
    <row r="376" spans="15:18">
      <c r="O376" s="89"/>
      <c r="P376" s="90"/>
      <c r="Q376" s="89"/>
      <c r="R376" s="87"/>
    </row>
    <row r="377" spans="15:18">
      <c r="O377" s="89"/>
      <c r="P377" s="90"/>
      <c r="Q377" s="89"/>
      <c r="R377" s="87"/>
    </row>
    <row r="378" spans="15:18">
      <c r="O378" s="89"/>
      <c r="P378" s="90"/>
      <c r="Q378" s="89"/>
      <c r="R378" s="87"/>
    </row>
    <row r="379" spans="15:18">
      <c r="O379" s="89"/>
      <c r="P379" s="90"/>
      <c r="Q379" s="89"/>
      <c r="R379" s="87"/>
    </row>
    <row r="380" spans="15:18">
      <c r="O380" s="89"/>
      <c r="P380" s="90"/>
      <c r="Q380" s="89"/>
      <c r="R380" s="87"/>
    </row>
    <row r="381" spans="15:18">
      <c r="O381" s="89"/>
      <c r="P381" s="90"/>
      <c r="Q381" s="89"/>
      <c r="R381" s="87"/>
    </row>
    <row r="382" spans="15:18">
      <c r="O382" s="89"/>
      <c r="P382" s="90"/>
      <c r="Q382" s="89"/>
      <c r="R382" s="87"/>
    </row>
    <row r="383" spans="15:18">
      <c r="O383" s="89"/>
      <c r="P383" s="90"/>
      <c r="Q383" s="89"/>
      <c r="R383" s="87"/>
    </row>
    <row r="384" spans="15:18">
      <c r="O384" s="89"/>
      <c r="P384" s="90"/>
      <c r="Q384" s="89"/>
      <c r="R384" s="87"/>
    </row>
    <row r="385" spans="15:18">
      <c r="O385" s="89"/>
      <c r="P385" s="90"/>
      <c r="Q385" s="89"/>
      <c r="R385" s="87"/>
    </row>
    <row r="386" spans="15:18">
      <c r="O386" s="89"/>
      <c r="P386" s="90"/>
      <c r="Q386" s="89"/>
      <c r="R386" s="87"/>
    </row>
    <row r="387" spans="15:18">
      <c r="O387" s="89"/>
      <c r="P387" s="90"/>
      <c r="Q387" s="89"/>
      <c r="R387" s="87"/>
    </row>
    <row r="388" spans="15:18">
      <c r="O388" s="89"/>
      <c r="P388" s="90"/>
      <c r="Q388" s="89"/>
      <c r="R388" s="87"/>
    </row>
    <row r="389" spans="15:18">
      <c r="O389" s="89"/>
      <c r="P389" s="90"/>
      <c r="Q389" s="89"/>
      <c r="R389" s="87"/>
    </row>
    <row r="390" spans="15:18">
      <c r="O390" s="89"/>
      <c r="P390" s="90"/>
      <c r="Q390" s="89"/>
      <c r="R390" s="87"/>
    </row>
    <row r="391" spans="15:18">
      <c r="O391" s="89"/>
      <c r="P391" s="90"/>
      <c r="Q391" s="89"/>
      <c r="R391" s="87"/>
    </row>
    <row r="392" spans="15:18">
      <c r="O392" s="89"/>
      <c r="P392" s="90"/>
      <c r="Q392" s="89"/>
      <c r="R392" s="87"/>
    </row>
    <row r="393" spans="15:18">
      <c r="O393" s="89"/>
      <c r="P393" s="90"/>
      <c r="Q393" s="89"/>
      <c r="R393" s="87"/>
    </row>
    <row r="394" spans="15:18">
      <c r="O394" s="89"/>
      <c r="P394" s="90"/>
      <c r="Q394" s="89"/>
      <c r="R394" s="87"/>
    </row>
    <row r="395" spans="15:18">
      <c r="O395" s="89"/>
      <c r="P395" s="90"/>
      <c r="Q395" s="89"/>
      <c r="R395" s="87"/>
    </row>
    <row r="396" spans="15:18">
      <c r="O396" s="89"/>
      <c r="P396" s="90"/>
      <c r="Q396" s="89"/>
      <c r="R396" s="87"/>
    </row>
    <row r="397" spans="15:18">
      <c r="O397" s="89"/>
      <c r="P397" s="90"/>
      <c r="Q397" s="89"/>
      <c r="R397" s="87"/>
    </row>
    <row r="398" spans="15:18">
      <c r="O398" s="89"/>
      <c r="P398" s="90"/>
      <c r="Q398" s="89"/>
      <c r="R398" s="87"/>
    </row>
    <row r="399" spans="15:18">
      <c r="O399" s="89"/>
      <c r="P399" s="90"/>
      <c r="Q399" s="89"/>
      <c r="R399" s="87"/>
    </row>
    <row r="400" spans="15:18">
      <c r="O400" s="89"/>
      <c r="P400" s="90"/>
      <c r="Q400" s="89"/>
      <c r="R400" s="87"/>
    </row>
    <row r="401" spans="15:18">
      <c r="O401" s="89"/>
      <c r="P401" s="90"/>
      <c r="Q401" s="89"/>
      <c r="R401" s="87"/>
    </row>
    <row r="402" spans="15:18">
      <c r="O402" s="89"/>
      <c r="P402" s="90"/>
      <c r="Q402" s="89"/>
      <c r="R402" s="87"/>
    </row>
    <row r="403" spans="15:18">
      <c r="O403" s="89"/>
      <c r="P403" s="90"/>
      <c r="Q403" s="89"/>
      <c r="R403" s="87"/>
    </row>
    <row r="404" spans="15:18">
      <c r="O404" s="89"/>
      <c r="P404" s="90"/>
      <c r="Q404" s="89"/>
      <c r="R404" s="87"/>
    </row>
    <row r="405" spans="15:18">
      <c r="O405" s="89"/>
      <c r="P405" s="90"/>
      <c r="Q405" s="89"/>
      <c r="R405" s="87"/>
    </row>
    <row r="406" spans="15:18">
      <c r="O406" s="89"/>
      <c r="P406" s="90"/>
      <c r="Q406" s="89"/>
      <c r="R406" s="87"/>
    </row>
    <row r="407" spans="15:18">
      <c r="O407" s="89"/>
      <c r="P407" s="90"/>
      <c r="Q407" s="89"/>
      <c r="R407" s="87"/>
    </row>
    <row r="408" spans="15:18">
      <c r="O408" s="89"/>
      <c r="P408" s="90"/>
      <c r="Q408" s="89"/>
      <c r="R408" s="87"/>
    </row>
    <row r="409" spans="15:18">
      <c r="O409" s="89"/>
      <c r="P409" s="90"/>
      <c r="Q409" s="89"/>
      <c r="R409" s="87"/>
    </row>
    <row r="410" spans="15:18">
      <c r="O410" s="89"/>
      <c r="P410" s="90"/>
      <c r="Q410" s="89"/>
      <c r="R410" s="87"/>
    </row>
    <row r="411" spans="15:18">
      <c r="O411" s="89"/>
      <c r="P411" s="90"/>
      <c r="Q411" s="89"/>
      <c r="R411" s="87"/>
    </row>
    <row r="412" spans="15:18">
      <c r="O412" s="89"/>
      <c r="P412" s="90"/>
      <c r="Q412" s="89"/>
      <c r="R412" s="87"/>
    </row>
    <row r="413" spans="15:18">
      <c r="O413" s="89"/>
      <c r="P413" s="90"/>
      <c r="Q413" s="89"/>
      <c r="R413" s="87"/>
    </row>
    <row r="414" spans="15:18">
      <c r="O414" s="89"/>
      <c r="P414" s="90"/>
      <c r="Q414" s="89"/>
      <c r="R414" s="87"/>
    </row>
    <row r="415" spans="15:18">
      <c r="O415" s="89"/>
      <c r="P415" s="90"/>
      <c r="Q415" s="89"/>
      <c r="R415" s="87"/>
    </row>
    <row r="416" spans="15:18">
      <c r="O416" s="89"/>
      <c r="P416" s="90"/>
      <c r="Q416" s="89"/>
      <c r="R416" s="87"/>
    </row>
    <row r="417" spans="15:18">
      <c r="O417" s="89"/>
      <c r="P417" s="90"/>
      <c r="Q417" s="89"/>
      <c r="R417" s="87"/>
    </row>
    <row r="418" spans="15:18">
      <c r="O418" s="89"/>
      <c r="P418" s="90"/>
      <c r="Q418" s="89"/>
      <c r="R418" s="87"/>
    </row>
    <row r="419" spans="15:18">
      <c r="O419" s="89"/>
      <c r="P419" s="90"/>
      <c r="Q419" s="89"/>
      <c r="R419" s="87"/>
    </row>
    <row r="420" spans="15:18">
      <c r="O420" s="89"/>
      <c r="P420" s="90"/>
      <c r="Q420" s="89"/>
      <c r="R420" s="87"/>
    </row>
    <row r="421" spans="15:18">
      <c r="O421" s="89"/>
      <c r="P421" s="90"/>
      <c r="Q421" s="89"/>
      <c r="R421" s="87"/>
    </row>
    <row r="422" spans="15:18">
      <c r="O422" s="89"/>
      <c r="P422" s="90"/>
      <c r="Q422" s="89"/>
      <c r="R422" s="87"/>
    </row>
    <row r="423" spans="15:18">
      <c r="O423" s="89"/>
      <c r="P423" s="90"/>
      <c r="Q423" s="89"/>
      <c r="R423" s="87"/>
    </row>
    <row r="424" spans="15:18">
      <c r="O424" s="89"/>
      <c r="P424" s="90"/>
      <c r="Q424" s="89"/>
      <c r="R424" s="87"/>
    </row>
    <row r="425" spans="15:18">
      <c r="O425" s="89"/>
      <c r="P425" s="90"/>
      <c r="Q425" s="89"/>
      <c r="R425" s="87"/>
    </row>
    <row r="426" spans="15:18">
      <c r="O426" s="89"/>
      <c r="P426" s="90"/>
      <c r="Q426" s="89"/>
      <c r="R426" s="87"/>
    </row>
    <row r="427" spans="15:18">
      <c r="O427" s="89"/>
      <c r="P427" s="90"/>
      <c r="Q427" s="89"/>
      <c r="R427" s="87"/>
    </row>
    <row r="428" spans="15:18">
      <c r="O428" s="89"/>
      <c r="P428" s="90"/>
      <c r="Q428" s="89"/>
      <c r="R428" s="87"/>
    </row>
    <row r="429" spans="15:18">
      <c r="O429" s="89"/>
      <c r="P429" s="90"/>
      <c r="Q429" s="89"/>
      <c r="R429" s="87"/>
    </row>
    <row r="430" spans="15:18">
      <c r="O430" s="89"/>
      <c r="P430" s="90"/>
      <c r="Q430" s="89"/>
      <c r="R430" s="87"/>
    </row>
    <row r="431" spans="15:18">
      <c r="O431" s="89"/>
      <c r="P431" s="90"/>
      <c r="Q431" s="89"/>
      <c r="R431" s="87"/>
    </row>
    <row r="432" spans="15:18">
      <c r="O432" s="89"/>
      <c r="P432" s="90"/>
      <c r="Q432" s="89"/>
      <c r="R432" s="87"/>
    </row>
    <row r="433" spans="15:18">
      <c r="O433" s="89"/>
      <c r="P433" s="90"/>
      <c r="Q433" s="89"/>
      <c r="R433" s="87"/>
    </row>
    <row r="434" spans="15:18">
      <c r="O434" s="89"/>
      <c r="P434" s="90"/>
      <c r="Q434" s="89"/>
      <c r="R434" s="87"/>
    </row>
    <row r="435" spans="15:18">
      <c r="O435" s="89"/>
      <c r="P435" s="90"/>
      <c r="Q435" s="89"/>
      <c r="R435" s="87"/>
    </row>
    <row r="436" spans="15:18">
      <c r="O436" s="89"/>
      <c r="P436" s="90"/>
      <c r="Q436" s="89"/>
      <c r="R436" s="87"/>
    </row>
    <row r="437" spans="15:18">
      <c r="O437" s="89"/>
      <c r="P437" s="90"/>
      <c r="Q437" s="89"/>
      <c r="R437" s="87"/>
    </row>
    <row r="438" spans="15:18">
      <c r="O438" s="89"/>
      <c r="P438" s="90"/>
      <c r="Q438" s="89"/>
      <c r="R438" s="87"/>
    </row>
    <row r="439" spans="15:18">
      <c r="O439" s="89"/>
      <c r="P439" s="90"/>
      <c r="Q439" s="89"/>
      <c r="R439" s="87"/>
    </row>
    <row r="440" spans="15:18">
      <c r="O440" s="89"/>
      <c r="P440" s="90"/>
      <c r="Q440" s="89"/>
      <c r="R440" s="87"/>
    </row>
    <row r="441" spans="15:18">
      <c r="O441" s="89"/>
      <c r="P441" s="90"/>
      <c r="Q441" s="89"/>
      <c r="R441" s="87"/>
    </row>
    <row r="442" spans="15:18">
      <c r="O442" s="89"/>
      <c r="P442" s="90"/>
      <c r="Q442" s="89"/>
      <c r="R442" s="87"/>
    </row>
    <row r="443" spans="15:18">
      <c r="O443" s="89"/>
      <c r="P443" s="90"/>
      <c r="Q443" s="89"/>
      <c r="R443" s="87"/>
    </row>
    <row r="444" spans="15:18">
      <c r="O444" s="89"/>
      <c r="P444" s="90"/>
      <c r="Q444" s="89"/>
      <c r="R444" s="87"/>
    </row>
    <row r="445" spans="15:18">
      <c r="O445" s="89"/>
      <c r="P445" s="90"/>
      <c r="Q445" s="89"/>
      <c r="R445" s="87"/>
    </row>
    <row r="446" spans="15:18">
      <c r="O446" s="89"/>
      <c r="P446" s="90"/>
      <c r="Q446" s="89"/>
      <c r="R446" s="87"/>
    </row>
    <row r="447" spans="15:18">
      <c r="O447" s="89"/>
      <c r="P447" s="90"/>
      <c r="Q447" s="89"/>
      <c r="R447" s="87"/>
    </row>
    <row r="448" spans="15:18">
      <c r="O448" s="89"/>
      <c r="P448" s="90"/>
      <c r="Q448" s="89"/>
      <c r="R448" s="87"/>
    </row>
    <row r="449" spans="15:18">
      <c r="O449" s="89"/>
      <c r="P449" s="90"/>
      <c r="Q449" s="89"/>
      <c r="R449" s="87"/>
    </row>
    <row r="450" spans="15:18">
      <c r="O450" s="89"/>
      <c r="P450" s="90"/>
      <c r="Q450" s="89"/>
      <c r="R450" s="87"/>
    </row>
    <row r="451" spans="15:18">
      <c r="O451" s="89"/>
      <c r="P451" s="90"/>
      <c r="Q451" s="89"/>
      <c r="R451" s="87"/>
    </row>
    <row r="452" spans="15:18">
      <c r="O452" s="89"/>
      <c r="P452" s="90"/>
      <c r="Q452" s="89"/>
      <c r="R452" s="87"/>
    </row>
    <row r="453" spans="15:18">
      <c r="O453" s="89"/>
      <c r="P453" s="90"/>
      <c r="Q453" s="89"/>
      <c r="R453" s="87"/>
    </row>
    <row r="454" spans="15:18">
      <c r="O454" s="89"/>
      <c r="P454" s="90"/>
      <c r="Q454" s="89"/>
      <c r="R454" s="87"/>
    </row>
    <row r="455" spans="15:18">
      <c r="O455" s="89"/>
      <c r="P455" s="90"/>
      <c r="Q455" s="89"/>
      <c r="R455" s="87"/>
    </row>
    <row r="456" spans="15:18">
      <c r="O456" s="89"/>
      <c r="P456" s="90"/>
      <c r="Q456" s="89"/>
      <c r="R456" s="87"/>
    </row>
    <row r="457" spans="15:18">
      <c r="O457" s="89"/>
      <c r="P457" s="90"/>
      <c r="Q457" s="89"/>
      <c r="R457" s="87"/>
    </row>
    <row r="458" spans="15:18">
      <c r="O458" s="89"/>
      <c r="P458" s="90"/>
      <c r="Q458" s="89"/>
      <c r="R458" s="87"/>
    </row>
    <row r="459" spans="15:18">
      <c r="O459" s="89"/>
      <c r="P459" s="90"/>
      <c r="Q459" s="89"/>
      <c r="R459" s="87"/>
    </row>
    <row r="460" spans="15:18">
      <c r="O460" s="89"/>
      <c r="P460" s="90"/>
      <c r="Q460" s="89"/>
      <c r="R460" s="87"/>
    </row>
    <row r="461" spans="15:18">
      <c r="O461" s="89"/>
      <c r="P461" s="90"/>
      <c r="Q461" s="89"/>
      <c r="R461" s="87"/>
    </row>
    <row r="462" spans="15:18">
      <c r="O462" s="89"/>
      <c r="P462" s="90"/>
      <c r="Q462" s="89"/>
      <c r="R462" s="87"/>
    </row>
    <row r="463" spans="15:18">
      <c r="O463" s="89"/>
      <c r="P463" s="90"/>
      <c r="Q463" s="89"/>
      <c r="R463" s="87"/>
    </row>
    <row r="464" spans="15:18">
      <c r="O464" s="89"/>
      <c r="P464" s="90"/>
      <c r="Q464" s="89"/>
      <c r="R464" s="87"/>
    </row>
    <row r="465" spans="15:18">
      <c r="O465" s="89"/>
      <c r="P465" s="90"/>
      <c r="Q465" s="89"/>
      <c r="R465" s="87"/>
    </row>
    <row r="466" spans="15:18">
      <c r="O466" s="89"/>
      <c r="P466" s="90"/>
      <c r="Q466" s="89"/>
      <c r="R466" s="87"/>
    </row>
    <row r="467" spans="15:18">
      <c r="O467" s="89"/>
      <c r="P467" s="90"/>
      <c r="Q467" s="89"/>
      <c r="R467" s="87"/>
    </row>
    <row r="468" spans="15:18">
      <c r="O468" s="89"/>
      <c r="P468" s="90"/>
      <c r="Q468" s="89"/>
      <c r="R468" s="87"/>
    </row>
    <row r="469" spans="15:18">
      <c r="O469" s="89"/>
      <c r="P469" s="90"/>
      <c r="Q469" s="89"/>
      <c r="R469" s="87"/>
    </row>
    <row r="470" spans="15:18">
      <c r="O470" s="89"/>
      <c r="P470" s="90"/>
      <c r="Q470" s="89"/>
      <c r="R470" s="87"/>
    </row>
    <row r="471" spans="15:18">
      <c r="O471" s="89"/>
      <c r="P471" s="90"/>
      <c r="Q471" s="89"/>
      <c r="R471" s="87"/>
    </row>
    <row r="472" spans="15:18">
      <c r="O472" s="89"/>
      <c r="P472" s="90"/>
      <c r="Q472" s="89"/>
      <c r="R472" s="87"/>
    </row>
    <row r="473" spans="15:18">
      <c r="O473" s="89"/>
      <c r="P473" s="90"/>
      <c r="Q473" s="89"/>
      <c r="R473" s="87"/>
    </row>
    <row r="474" spans="15:18">
      <c r="O474" s="89"/>
      <c r="P474" s="90"/>
      <c r="Q474" s="89"/>
      <c r="R474" s="87"/>
    </row>
    <row r="475" spans="15:18">
      <c r="O475" s="89"/>
      <c r="P475" s="90"/>
      <c r="Q475" s="89"/>
      <c r="R475" s="87"/>
    </row>
    <row r="476" spans="15:18">
      <c r="O476" s="89"/>
      <c r="P476" s="90"/>
      <c r="Q476" s="89"/>
      <c r="R476" s="87"/>
    </row>
    <row r="477" spans="15:18">
      <c r="O477" s="89"/>
      <c r="P477" s="90"/>
      <c r="Q477" s="89"/>
      <c r="R477" s="87"/>
    </row>
    <row r="478" spans="15:18">
      <c r="O478" s="89"/>
      <c r="P478" s="90"/>
      <c r="Q478" s="89"/>
      <c r="R478" s="87"/>
    </row>
    <row r="479" spans="15:18">
      <c r="O479" s="89"/>
      <c r="P479" s="90"/>
      <c r="Q479" s="89"/>
      <c r="R479" s="87"/>
    </row>
    <row r="480" spans="15:18">
      <c r="O480" s="89"/>
      <c r="P480" s="90"/>
      <c r="Q480" s="89"/>
      <c r="R480" s="87"/>
    </row>
    <row r="481" spans="15:18">
      <c r="O481" s="89"/>
      <c r="P481" s="90"/>
      <c r="Q481" s="89"/>
      <c r="R481" s="87"/>
    </row>
    <row r="482" spans="15:18">
      <c r="O482" s="89"/>
      <c r="P482" s="90"/>
      <c r="Q482" s="89"/>
      <c r="R482" s="87"/>
    </row>
    <row r="483" spans="15:18">
      <c r="O483" s="89"/>
      <c r="P483" s="90"/>
      <c r="Q483" s="89"/>
      <c r="R483" s="87"/>
    </row>
    <row r="484" spans="15:18">
      <c r="O484" s="89"/>
      <c r="P484" s="90"/>
      <c r="Q484" s="89"/>
      <c r="R484" s="87"/>
    </row>
    <row r="485" spans="15:18">
      <c r="O485" s="89"/>
      <c r="P485" s="90"/>
      <c r="Q485" s="89"/>
      <c r="R485" s="87"/>
    </row>
    <row r="486" spans="15:18">
      <c r="O486" s="89"/>
      <c r="P486" s="90"/>
      <c r="Q486" s="89"/>
      <c r="R486" s="87"/>
    </row>
    <row r="487" spans="15:18">
      <c r="O487" s="89"/>
      <c r="P487" s="90"/>
      <c r="Q487" s="89"/>
      <c r="R487" s="87"/>
    </row>
    <row r="488" spans="15:18">
      <c r="O488" s="89"/>
      <c r="P488" s="90"/>
      <c r="Q488" s="89"/>
      <c r="R488" s="87"/>
    </row>
    <row r="489" spans="15:18">
      <c r="O489" s="89"/>
      <c r="P489" s="90"/>
      <c r="Q489" s="89"/>
      <c r="R489" s="87"/>
    </row>
    <row r="490" spans="15:18">
      <c r="O490" s="89"/>
      <c r="P490" s="90"/>
      <c r="Q490" s="89"/>
      <c r="R490" s="87"/>
    </row>
    <row r="491" spans="15:18">
      <c r="O491" s="89"/>
      <c r="P491" s="90"/>
      <c r="Q491" s="89"/>
      <c r="R491" s="87"/>
    </row>
    <row r="492" spans="15:18">
      <c r="O492" s="89"/>
      <c r="P492" s="90"/>
      <c r="Q492" s="89"/>
      <c r="R492" s="87"/>
    </row>
    <row r="493" spans="15:18">
      <c r="O493" s="89"/>
      <c r="P493" s="90"/>
      <c r="Q493" s="89"/>
      <c r="R493" s="87"/>
    </row>
    <row r="494" spans="15:18">
      <c r="O494" s="89"/>
      <c r="P494" s="90"/>
      <c r="Q494" s="89"/>
      <c r="R494" s="87"/>
    </row>
    <row r="495" spans="15:18">
      <c r="O495" s="89"/>
      <c r="P495" s="90"/>
      <c r="Q495" s="89"/>
      <c r="R495" s="87"/>
    </row>
    <row r="496" spans="15:18">
      <c r="O496" s="89"/>
      <c r="P496" s="90"/>
      <c r="Q496" s="89"/>
      <c r="R496" s="87"/>
    </row>
    <row r="497" spans="15:18">
      <c r="O497" s="89"/>
      <c r="P497" s="90"/>
      <c r="Q497" s="89"/>
      <c r="R497" s="87"/>
    </row>
    <row r="498" spans="15:18">
      <c r="O498" s="89"/>
      <c r="P498" s="90"/>
      <c r="Q498" s="89"/>
      <c r="R498" s="87"/>
    </row>
    <row r="499" spans="15:18">
      <c r="O499" s="89"/>
      <c r="P499" s="90"/>
      <c r="Q499" s="89"/>
      <c r="R499" s="87"/>
    </row>
    <row r="500" spans="15:18">
      <c r="O500" s="89"/>
      <c r="P500" s="90"/>
      <c r="Q500" s="89"/>
      <c r="R500" s="87"/>
    </row>
    <row r="501" spans="15:18">
      <c r="O501" s="89"/>
      <c r="P501" s="90"/>
      <c r="Q501" s="89"/>
      <c r="R501" s="87"/>
    </row>
    <row r="502" spans="15:18">
      <c r="O502" s="89"/>
      <c r="P502" s="90"/>
      <c r="Q502" s="89"/>
      <c r="R502" s="87"/>
    </row>
    <row r="503" spans="15:18">
      <c r="O503" s="89"/>
      <c r="P503" s="90"/>
      <c r="Q503" s="89"/>
      <c r="R503" s="87"/>
    </row>
    <row r="504" spans="15:18">
      <c r="O504" s="89"/>
      <c r="P504" s="90"/>
      <c r="Q504" s="89"/>
      <c r="R504" s="87"/>
    </row>
    <row r="505" spans="15:18">
      <c r="O505" s="89"/>
      <c r="P505" s="90"/>
      <c r="Q505" s="89"/>
      <c r="R505" s="87"/>
    </row>
    <row r="506" spans="15:18">
      <c r="O506" s="89"/>
      <c r="P506" s="90"/>
      <c r="Q506" s="89"/>
      <c r="R506" s="87"/>
    </row>
    <row r="507" spans="15:18">
      <c r="O507" s="89"/>
      <c r="P507" s="90"/>
      <c r="Q507" s="89"/>
      <c r="R507" s="87"/>
    </row>
    <row r="508" spans="15:18">
      <c r="O508" s="89"/>
      <c r="P508" s="90"/>
      <c r="Q508" s="89"/>
      <c r="R508" s="87"/>
    </row>
    <row r="509" spans="15:18">
      <c r="O509" s="89"/>
      <c r="P509" s="90"/>
      <c r="Q509" s="89"/>
      <c r="R509" s="87"/>
    </row>
    <row r="510" spans="15:18">
      <c r="O510" s="89"/>
      <c r="P510" s="90"/>
      <c r="Q510" s="89"/>
      <c r="R510" s="87"/>
    </row>
    <row r="511" spans="15:18">
      <c r="O511" s="89"/>
      <c r="P511" s="90"/>
      <c r="Q511" s="89"/>
      <c r="R511" s="87"/>
    </row>
    <row r="512" spans="15:18">
      <c r="O512" s="89"/>
      <c r="P512" s="90"/>
      <c r="Q512" s="89"/>
      <c r="R512" s="87"/>
    </row>
    <row r="513" spans="15:18">
      <c r="O513" s="89"/>
      <c r="P513" s="90"/>
      <c r="Q513" s="89"/>
      <c r="R513" s="87"/>
    </row>
    <row r="514" spans="15:18">
      <c r="O514" s="89"/>
      <c r="P514" s="90"/>
      <c r="Q514" s="89"/>
      <c r="R514" s="87"/>
    </row>
    <row r="515" spans="15:18">
      <c r="O515" s="89"/>
      <c r="P515" s="90"/>
      <c r="Q515" s="89"/>
      <c r="R515" s="87"/>
    </row>
    <row r="516" spans="15:18">
      <c r="O516" s="89"/>
      <c r="P516" s="90"/>
      <c r="Q516" s="89"/>
      <c r="R516" s="87"/>
    </row>
    <row r="517" spans="15:18">
      <c r="O517" s="89"/>
      <c r="P517" s="90"/>
      <c r="Q517" s="89"/>
      <c r="R517" s="87"/>
    </row>
    <row r="518" spans="15:18">
      <c r="O518" s="89"/>
      <c r="P518" s="90"/>
      <c r="Q518" s="89"/>
      <c r="R518" s="87"/>
    </row>
    <row r="519" spans="15:18">
      <c r="O519" s="89"/>
      <c r="P519" s="90"/>
      <c r="Q519" s="89"/>
      <c r="R519" s="87"/>
    </row>
    <row r="520" spans="15:18">
      <c r="O520" s="89"/>
      <c r="P520" s="90"/>
      <c r="Q520" s="89"/>
      <c r="R520" s="87"/>
    </row>
    <row r="521" spans="15:18">
      <c r="O521" s="89"/>
      <c r="P521" s="90"/>
      <c r="Q521" s="89"/>
      <c r="R521" s="87"/>
    </row>
    <row r="522" spans="15:18">
      <c r="O522" s="89"/>
      <c r="P522" s="90"/>
      <c r="Q522" s="89"/>
      <c r="R522" s="87"/>
    </row>
    <row r="523" spans="15:18">
      <c r="O523" s="89"/>
      <c r="P523" s="90"/>
      <c r="Q523" s="89"/>
      <c r="R523" s="87"/>
    </row>
    <row r="524" spans="15:18">
      <c r="O524" s="89"/>
      <c r="P524" s="90"/>
      <c r="Q524" s="89"/>
      <c r="R524" s="87"/>
    </row>
    <row r="525" spans="15:18">
      <c r="O525" s="89"/>
      <c r="P525" s="90"/>
      <c r="Q525" s="89"/>
      <c r="R525" s="87"/>
    </row>
    <row r="526" spans="15:18">
      <c r="O526" s="89"/>
      <c r="P526" s="90"/>
      <c r="Q526" s="89"/>
      <c r="R526" s="87"/>
    </row>
    <row r="527" spans="15:18">
      <c r="O527" s="89"/>
      <c r="P527" s="90"/>
      <c r="Q527" s="89"/>
      <c r="R527" s="87"/>
    </row>
    <row r="528" spans="15:18">
      <c r="O528" s="89"/>
      <c r="P528" s="90"/>
      <c r="Q528" s="89"/>
      <c r="R528" s="87"/>
    </row>
    <row r="529" spans="15:18">
      <c r="O529" s="89"/>
      <c r="P529" s="90"/>
      <c r="Q529" s="89"/>
      <c r="R529" s="87"/>
    </row>
    <row r="530" spans="15:18">
      <c r="O530" s="89"/>
      <c r="P530" s="90"/>
      <c r="Q530" s="89"/>
      <c r="R530" s="87"/>
    </row>
    <row r="531" spans="15:18">
      <c r="O531" s="89"/>
      <c r="P531" s="90"/>
      <c r="Q531" s="89"/>
      <c r="R531" s="87"/>
    </row>
    <row r="532" spans="15:18">
      <c r="O532" s="89"/>
      <c r="P532" s="90"/>
      <c r="Q532" s="89"/>
      <c r="R532" s="87"/>
    </row>
    <row r="533" spans="15:18">
      <c r="O533" s="89"/>
      <c r="P533" s="90"/>
      <c r="Q533" s="89"/>
      <c r="R533" s="87"/>
    </row>
    <row r="534" spans="15:18">
      <c r="O534" s="89"/>
      <c r="P534" s="90"/>
      <c r="Q534" s="89"/>
      <c r="R534" s="87"/>
    </row>
    <row r="535" spans="15:18">
      <c r="O535" s="89"/>
      <c r="P535" s="90"/>
      <c r="Q535" s="89"/>
      <c r="R535" s="87"/>
    </row>
    <row r="536" spans="15:18">
      <c r="O536" s="89"/>
      <c r="P536" s="90"/>
      <c r="Q536" s="89"/>
      <c r="R536" s="87"/>
    </row>
    <row r="537" spans="15:18">
      <c r="O537" s="89"/>
      <c r="P537" s="90"/>
      <c r="Q537" s="89"/>
      <c r="R537" s="87"/>
    </row>
    <row r="538" spans="15:18">
      <c r="O538" s="89"/>
      <c r="P538" s="90"/>
      <c r="Q538" s="89"/>
      <c r="R538" s="87"/>
    </row>
    <row r="539" spans="15:18">
      <c r="O539" s="89"/>
      <c r="P539" s="90"/>
      <c r="Q539" s="89"/>
      <c r="R539" s="87"/>
    </row>
    <row r="540" spans="15:18">
      <c r="O540" s="89"/>
      <c r="P540" s="90"/>
      <c r="Q540" s="89"/>
      <c r="R540" s="87"/>
    </row>
    <row r="541" spans="15:18">
      <c r="O541" s="89"/>
      <c r="P541" s="90"/>
      <c r="Q541" s="89"/>
      <c r="R541" s="87"/>
    </row>
    <row r="542" spans="15:18">
      <c r="O542" s="89"/>
      <c r="P542" s="90"/>
      <c r="Q542" s="89"/>
      <c r="R542" s="87"/>
    </row>
    <row r="543" spans="15:18">
      <c r="O543" s="89"/>
      <c r="P543" s="90"/>
      <c r="Q543" s="89"/>
      <c r="R543" s="87"/>
    </row>
    <row r="544" spans="15:18">
      <c r="O544" s="89"/>
      <c r="P544" s="90"/>
      <c r="Q544" s="89"/>
      <c r="R544" s="87"/>
    </row>
    <row r="545" spans="15:18">
      <c r="O545" s="89"/>
      <c r="P545" s="90"/>
      <c r="Q545" s="89"/>
      <c r="R545" s="87"/>
    </row>
    <row r="546" spans="15:18">
      <c r="O546" s="89"/>
      <c r="P546" s="90"/>
      <c r="Q546" s="89"/>
      <c r="R546" s="87"/>
    </row>
    <row r="547" spans="15:18">
      <c r="O547" s="89"/>
      <c r="P547" s="90"/>
      <c r="Q547" s="89"/>
      <c r="R547" s="87"/>
    </row>
    <row r="548" spans="15:18">
      <c r="O548" s="89"/>
      <c r="P548" s="90"/>
      <c r="Q548" s="89"/>
      <c r="R548" s="87"/>
    </row>
    <row r="549" spans="15:18">
      <c r="O549" s="89"/>
      <c r="P549" s="90"/>
      <c r="Q549" s="89"/>
      <c r="R549" s="87"/>
    </row>
    <row r="550" spans="15:18">
      <c r="O550" s="89"/>
      <c r="P550" s="90"/>
      <c r="Q550" s="89"/>
      <c r="R550" s="87"/>
    </row>
    <row r="551" spans="15:18">
      <c r="O551" s="89"/>
      <c r="P551" s="90"/>
      <c r="Q551" s="89"/>
      <c r="R551" s="87"/>
    </row>
    <row r="552" spans="15:18">
      <c r="O552" s="89"/>
      <c r="P552" s="90"/>
      <c r="Q552" s="89"/>
      <c r="R552" s="87"/>
    </row>
    <row r="553" spans="15:18">
      <c r="O553" s="89"/>
      <c r="P553" s="90"/>
      <c r="Q553" s="89"/>
      <c r="R553" s="87"/>
    </row>
    <row r="554" spans="15:18">
      <c r="O554" s="89"/>
      <c r="P554" s="90"/>
      <c r="Q554" s="89"/>
      <c r="R554" s="87"/>
    </row>
    <row r="555" spans="15:18">
      <c r="O555" s="89"/>
      <c r="P555" s="90"/>
      <c r="Q555" s="89"/>
      <c r="R555" s="87"/>
    </row>
    <row r="556" spans="15:18">
      <c r="O556" s="89"/>
      <c r="P556" s="90"/>
      <c r="Q556" s="89"/>
      <c r="R556" s="87"/>
    </row>
    <row r="557" spans="15:18">
      <c r="O557" s="89"/>
      <c r="P557" s="90"/>
      <c r="Q557" s="89"/>
      <c r="R557" s="87"/>
    </row>
    <row r="558" spans="15:18">
      <c r="O558" s="89"/>
      <c r="P558" s="90"/>
      <c r="Q558" s="89"/>
      <c r="R558" s="87"/>
    </row>
    <row r="559" spans="15:18">
      <c r="O559" s="89"/>
      <c r="P559" s="90"/>
      <c r="Q559" s="89"/>
      <c r="R559" s="87"/>
    </row>
    <row r="560" spans="15:18">
      <c r="O560" s="89"/>
      <c r="P560" s="90"/>
      <c r="Q560" s="89"/>
      <c r="R560" s="87"/>
    </row>
    <row r="561" spans="15:18">
      <c r="O561" s="89"/>
      <c r="P561" s="90"/>
      <c r="Q561" s="89"/>
      <c r="R561" s="87"/>
    </row>
    <row r="562" spans="15:18">
      <c r="O562" s="89"/>
      <c r="P562" s="90"/>
      <c r="Q562" s="89"/>
      <c r="R562" s="87"/>
    </row>
    <row r="563" spans="15:18">
      <c r="O563" s="89"/>
      <c r="P563" s="90"/>
      <c r="Q563" s="89"/>
      <c r="R563" s="87"/>
    </row>
    <row r="564" spans="15:18">
      <c r="O564" s="89"/>
      <c r="P564" s="90"/>
      <c r="Q564" s="89"/>
      <c r="R564" s="87"/>
    </row>
    <row r="565" spans="15:18">
      <c r="O565" s="89"/>
      <c r="P565" s="90"/>
      <c r="Q565" s="89"/>
      <c r="R565" s="87"/>
    </row>
    <row r="566" spans="15:18">
      <c r="O566" s="89"/>
      <c r="P566" s="90"/>
      <c r="Q566" s="89"/>
      <c r="R566" s="87"/>
    </row>
    <row r="567" spans="15:18">
      <c r="O567" s="89"/>
      <c r="P567" s="90"/>
      <c r="Q567" s="89"/>
      <c r="R567" s="87"/>
    </row>
    <row r="568" spans="15:18">
      <c r="O568" s="89"/>
      <c r="P568" s="90"/>
      <c r="Q568" s="89"/>
      <c r="R568" s="87"/>
    </row>
    <row r="569" spans="15:18">
      <c r="O569" s="89"/>
      <c r="P569" s="90"/>
      <c r="Q569" s="89"/>
      <c r="R569" s="87"/>
    </row>
    <row r="570" spans="15:18">
      <c r="O570" s="89"/>
      <c r="P570" s="90"/>
      <c r="Q570" s="89"/>
      <c r="R570" s="87"/>
    </row>
    <row r="571" spans="15:18">
      <c r="O571" s="89"/>
      <c r="P571" s="90"/>
      <c r="Q571" s="89"/>
      <c r="R571" s="87"/>
    </row>
    <row r="572" spans="15:18">
      <c r="O572" s="89"/>
      <c r="P572" s="90"/>
      <c r="Q572" s="89"/>
      <c r="R572" s="87"/>
    </row>
    <row r="573" spans="15:18">
      <c r="O573" s="89"/>
      <c r="P573" s="90"/>
      <c r="Q573" s="89"/>
      <c r="R573" s="87"/>
    </row>
    <row r="574" spans="15:18">
      <c r="O574" s="89"/>
      <c r="P574" s="90"/>
      <c r="Q574" s="89"/>
      <c r="R574" s="87"/>
    </row>
    <row r="575" spans="15:18">
      <c r="O575" s="89"/>
      <c r="P575" s="90"/>
      <c r="Q575" s="89"/>
      <c r="R575" s="87"/>
    </row>
    <row r="576" spans="15:18">
      <c r="O576" s="89"/>
      <c r="P576" s="90"/>
      <c r="Q576" s="89"/>
      <c r="R576" s="87"/>
    </row>
    <row r="577" spans="15:18">
      <c r="O577" s="89"/>
      <c r="P577" s="90"/>
      <c r="Q577" s="89"/>
      <c r="R577" s="87"/>
    </row>
    <row r="578" spans="15:18">
      <c r="O578" s="89"/>
      <c r="P578" s="90"/>
      <c r="Q578" s="89"/>
      <c r="R578" s="87"/>
    </row>
    <row r="579" spans="15:18">
      <c r="O579" s="89"/>
      <c r="P579" s="90"/>
      <c r="Q579" s="89"/>
      <c r="R579" s="87"/>
    </row>
    <row r="580" spans="15:18">
      <c r="O580" s="89"/>
      <c r="P580" s="90"/>
      <c r="Q580" s="89"/>
      <c r="R580" s="87"/>
    </row>
    <row r="581" spans="15:18">
      <c r="O581" s="89"/>
      <c r="P581" s="90"/>
      <c r="Q581" s="89"/>
      <c r="R581" s="87"/>
    </row>
    <row r="582" spans="15:18">
      <c r="O582" s="89"/>
      <c r="P582" s="90"/>
      <c r="Q582" s="89"/>
      <c r="R582" s="87"/>
    </row>
    <row r="583" spans="15:18">
      <c r="O583" s="89"/>
      <c r="P583" s="90"/>
      <c r="Q583" s="89"/>
      <c r="R583" s="87"/>
    </row>
    <row r="584" spans="15:18">
      <c r="O584" s="89"/>
      <c r="P584" s="90"/>
      <c r="Q584" s="89"/>
      <c r="R584" s="87"/>
    </row>
    <row r="585" spans="15:18">
      <c r="O585" s="89"/>
      <c r="P585" s="90"/>
      <c r="Q585" s="89"/>
      <c r="R585" s="87"/>
    </row>
    <row r="586" spans="15:18">
      <c r="O586" s="89"/>
      <c r="P586" s="90"/>
      <c r="Q586" s="89"/>
      <c r="R586" s="87"/>
    </row>
    <row r="587" spans="15:18">
      <c r="O587" s="89"/>
      <c r="P587" s="90"/>
      <c r="Q587" s="89"/>
      <c r="R587" s="87"/>
    </row>
    <row r="588" spans="15:18">
      <c r="O588" s="89"/>
      <c r="P588" s="90"/>
      <c r="Q588" s="89"/>
      <c r="R588" s="87"/>
    </row>
    <row r="589" spans="15:18">
      <c r="O589" s="89"/>
      <c r="P589" s="90"/>
      <c r="Q589" s="89"/>
      <c r="R589" s="87"/>
    </row>
    <row r="590" spans="15:18">
      <c r="O590" s="89"/>
      <c r="P590" s="90"/>
      <c r="Q590" s="89"/>
      <c r="R590" s="87"/>
    </row>
    <row r="591" spans="15:18">
      <c r="O591" s="89"/>
      <c r="P591" s="90"/>
      <c r="Q591" s="89"/>
      <c r="R591" s="87"/>
    </row>
    <row r="592" spans="15:18">
      <c r="O592" s="89"/>
      <c r="P592" s="90"/>
      <c r="Q592" s="89"/>
      <c r="R592" s="87"/>
    </row>
    <row r="593" spans="15:18">
      <c r="O593" s="89"/>
      <c r="P593" s="90"/>
      <c r="Q593" s="89"/>
      <c r="R593" s="87"/>
    </row>
    <row r="594" spans="15:18">
      <c r="O594" s="89"/>
      <c r="P594" s="90"/>
      <c r="Q594" s="89"/>
      <c r="R594" s="87"/>
    </row>
    <row r="595" spans="15:18">
      <c r="O595" s="89"/>
      <c r="P595" s="90"/>
      <c r="Q595" s="89"/>
      <c r="R595" s="87"/>
    </row>
    <row r="596" spans="15:18">
      <c r="O596" s="89"/>
      <c r="P596" s="90"/>
      <c r="Q596" s="89"/>
      <c r="R596" s="87"/>
    </row>
    <row r="597" spans="15:18">
      <c r="O597" s="89"/>
      <c r="P597" s="90"/>
      <c r="Q597" s="89"/>
      <c r="R597" s="87"/>
    </row>
    <row r="598" spans="15:18">
      <c r="O598" s="89"/>
      <c r="P598" s="90"/>
      <c r="Q598" s="89"/>
      <c r="R598" s="87"/>
    </row>
    <row r="599" spans="15:18">
      <c r="O599" s="89"/>
      <c r="P599" s="90"/>
      <c r="Q599" s="89"/>
      <c r="R599" s="87"/>
    </row>
    <row r="600" spans="15:18">
      <c r="O600" s="89"/>
      <c r="P600" s="90"/>
      <c r="Q600" s="89"/>
      <c r="R600" s="87"/>
    </row>
    <row r="601" spans="15:18">
      <c r="O601" s="89"/>
      <c r="P601" s="90"/>
      <c r="Q601" s="89"/>
      <c r="R601" s="87"/>
    </row>
    <row r="602" spans="15:18">
      <c r="O602" s="89"/>
      <c r="P602" s="90"/>
      <c r="Q602" s="89"/>
      <c r="R602" s="87"/>
    </row>
    <row r="603" spans="15:18">
      <c r="O603" s="89"/>
      <c r="P603" s="90"/>
      <c r="Q603" s="89"/>
      <c r="R603" s="87"/>
    </row>
    <row r="604" spans="15:18">
      <c r="O604" s="89"/>
      <c r="P604" s="90"/>
      <c r="Q604" s="89"/>
      <c r="R604" s="87"/>
    </row>
    <row r="605" spans="15:18">
      <c r="O605" s="89"/>
      <c r="P605" s="90"/>
      <c r="Q605" s="89"/>
      <c r="R605" s="87"/>
    </row>
    <row r="606" spans="15:18">
      <c r="O606" s="89"/>
      <c r="P606" s="90"/>
      <c r="Q606" s="89"/>
      <c r="R606" s="87"/>
    </row>
    <row r="607" spans="15:18">
      <c r="O607" s="89"/>
      <c r="P607" s="90"/>
      <c r="Q607" s="89"/>
      <c r="R607" s="87"/>
    </row>
    <row r="608" spans="15:18">
      <c r="O608" s="89"/>
      <c r="P608" s="90"/>
      <c r="Q608" s="89"/>
      <c r="R608" s="87"/>
    </row>
    <row r="609" spans="15:18">
      <c r="O609" s="89"/>
      <c r="P609" s="90"/>
      <c r="Q609" s="89"/>
      <c r="R609" s="87"/>
    </row>
    <row r="610" spans="15:18">
      <c r="O610" s="89"/>
      <c r="P610" s="90"/>
      <c r="Q610" s="89"/>
      <c r="R610" s="87"/>
    </row>
    <row r="611" spans="15:18">
      <c r="O611" s="89"/>
      <c r="P611" s="90"/>
      <c r="Q611" s="89"/>
      <c r="R611" s="87"/>
    </row>
    <row r="612" spans="15:18">
      <c r="O612" s="89"/>
      <c r="P612" s="90"/>
      <c r="Q612" s="89"/>
      <c r="R612" s="87"/>
    </row>
    <row r="613" spans="15:18">
      <c r="O613" s="89"/>
      <c r="P613" s="90"/>
      <c r="Q613" s="89"/>
      <c r="R613" s="87"/>
    </row>
    <row r="614" spans="15:18">
      <c r="O614" s="89"/>
      <c r="P614" s="90"/>
      <c r="Q614" s="89"/>
      <c r="R614" s="87"/>
    </row>
    <row r="615" spans="15:18">
      <c r="O615" s="89"/>
      <c r="P615" s="90"/>
      <c r="Q615" s="89"/>
      <c r="R615" s="87"/>
    </row>
    <row r="616" spans="15:18">
      <c r="O616" s="89"/>
      <c r="P616" s="90"/>
      <c r="Q616" s="89"/>
      <c r="R616" s="87"/>
    </row>
    <row r="617" spans="15:18">
      <c r="O617" s="89"/>
      <c r="P617" s="90"/>
      <c r="Q617" s="89"/>
      <c r="R617" s="87"/>
    </row>
    <row r="618" spans="15:18">
      <c r="O618" s="89"/>
      <c r="P618" s="90"/>
      <c r="Q618" s="89"/>
      <c r="R618" s="87"/>
    </row>
    <row r="619" spans="15:18">
      <c r="O619" s="89"/>
      <c r="P619" s="90"/>
      <c r="Q619" s="89"/>
      <c r="R619" s="87"/>
    </row>
    <row r="620" spans="15:18">
      <c r="O620" s="89"/>
      <c r="P620" s="90"/>
      <c r="Q620" s="89"/>
      <c r="R620" s="87"/>
    </row>
    <row r="621" spans="15:18">
      <c r="O621" s="89"/>
      <c r="P621" s="90"/>
      <c r="Q621" s="89"/>
      <c r="R621" s="87"/>
    </row>
    <row r="622" spans="15:18">
      <c r="O622" s="89"/>
      <c r="P622" s="90"/>
      <c r="Q622" s="89"/>
      <c r="R622" s="87"/>
    </row>
    <row r="623" spans="15:18">
      <c r="O623" s="89"/>
      <c r="P623" s="90"/>
      <c r="Q623" s="89"/>
      <c r="R623" s="87"/>
    </row>
    <row r="624" spans="15:18">
      <c r="O624" s="89"/>
      <c r="P624" s="90"/>
      <c r="Q624" s="89"/>
      <c r="R624" s="87"/>
    </row>
    <row r="625" spans="15:18">
      <c r="O625" s="89"/>
      <c r="P625" s="90"/>
      <c r="Q625" s="89"/>
      <c r="R625" s="87"/>
    </row>
    <row r="626" spans="15:18">
      <c r="O626" s="89"/>
      <c r="P626" s="90"/>
      <c r="Q626" s="89"/>
      <c r="R626" s="87"/>
    </row>
    <row r="627" spans="15:18">
      <c r="O627" s="89"/>
      <c r="P627" s="90"/>
      <c r="Q627" s="89"/>
      <c r="R627" s="87"/>
    </row>
    <row r="628" spans="15:18">
      <c r="O628" s="89"/>
      <c r="P628" s="90"/>
      <c r="Q628" s="89"/>
      <c r="R628" s="87"/>
    </row>
    <row r="629" spans="15:18">
      <c r="O629" s="89"/>
      <c r="P629" s="90"/>
      <c r="Q629" s="89"/>
      <c r="R629" s="87"/>
    </row>
    <row r="630" spans="15:18">
      <c r="O630" s="89"/>
      <c r="P630" s="90"/>
      <c r="Q630" s="89"/>
      <c r="R630" s="87"/>
    </row>
    <row r="631" spans="15:18">
      <c r="O631" s="89"/>
      <c r="P631" s="90"/>
      <c r="Q631" s="89"/>
      <c r="R631" s="87"/>
    </row>
    <row r="632" spans="15:18">
      <c r="O632" s="89"/>
      <c r="P632" s="90"/>
      <c r="Q632" s="89"/>
      <c r="R632" s="87"/>
    </row>
    <row r="633" spans="15:18">
      <c r="O633" s="89"/>
      <c r="P633" s="90"/>
      <c r="Q633" s="89"/>
      <c r="R633" s="87"/>
    </row>
    <row r="634" spans="15:18">
      <c r="O634" s="89"/>
      <c r="P634" s="90"/>
      <c r="Q634" s="89"/>
      <c r="R634" s="87"/>
    </row>
    <row r="635" spans="15:18">
      <c r="O635" s="89"/>
      <c r="P635" s="90"/>
      <c r="Q635" s="89"/>
      <c r="R635" s="87"/>
    </row>
    <row r="636" spans="15:18">
      <c r="O636" s="89"/>
      <c r="P636" s="90"/>
      <c r="Q636" s="89"/>
      <c r="R636" s="87"/>
    </row>
    <row r="637" spans="15:18">
      <c r="O637" s="89"/>
      <c r="P637" s="90"/>
      <c r="Q637" s="89"/>
      <c r="R637" s="87"/>
    </row>
    <row r="638" spans="15:18">
      <c r="O638" s="89"/>
      <c r="P638" s="90"/>
      <c r="Q638" s="89"/>
      <c r="R638" s="87"/>
    </row>
    <row r="639" spans="15:18">
      <c r="O639" s="89"/>
      <c r="P639" s="90"/>
      <c r="Q639" s="89"/>
      <c r="R639" s="87"/>
    </row>
    <row r="640" spans="15:18">
      <c r="O640" s="89"/>
      <c r="P640" s="90"/>
      <c r="Q640" s="89"/>
      <c r="R640" s="87"/>
    </row>
    <row r="641" spans="15:18">
      <c r="O641" s="89"/>
      <c r="P641" s="90"/>
      <c r="Q641" s="89"/>
      <c r="R641" s="87"/>
    </row>
    <row r="642" spans="15:18">
      <c r="O642" s="89"/>
      <c r="P642" s="90"/>
      <c r="Q642" s="89"/>
      <c r="R642" s="87"/>
    </row>
    <row r="643" spans="15:18">
      <c r="O643" s="89"/>
      <c r="P643" s="90"/>
      <c r="Q643" s="89"/>
      <c r="R643" s="87"/>
    </row>
    <row r="644" spans="15:18">
      <c r="O644" s="89"/>
      <c r="P644" s="90"/>
      <c r="Q644" s="89"/>
      <c r="R644" s="87"/>
    </row>
    <row r="645" spans="15:18">
      <c r="O645" s="89"/>
      <c r="P645" s="90"/>
      <c r="Q645" s="89"/>
      <c r="R645" s="87"/>
    </row>
    <row r="646" spans="15:18">
      <c r="O646" s="89"/>
      <c r="P646" s="90"/>
      <c r="Q646" s="89"/>
      <c r="R646" s="87"/>
    </row>
    <row r="647" spans="15:18">
      <c r="O647" s="89"/>
      <c r="P647" s="90"/>
      <c r="Q647" s="89"/>
      <c r="R647" s="87"/>
    </row>
    <row r="648" spans="15:18">
      <c r="O648" s="89"/>
      <c r="P648" s="90"/>
      <c r="Q648" s="89"/>
      <c r="R648" s="87"/>
    </row>
    <row r="649" spans="15:18">
      <c r="O649" s="89"/>
      <c r="P649" s="90"/>
      <c r="Q649" s="89"/>
      <c r="R649" s="87"/>
    </row>
    <row r="650" spans="15:18">
      <c r="O650" s="89"/>
      <c r="P650" s="90"/>
      <c r="Q650" s="89"/>
      <c r="R650" s="87"/>
    </row>
    <row r="651" spans="15:18">
      <c r="O651" s="89"/>
      <c r="P651" s="90"/>
      <c r="Q651" s="89"/>
      <c r="R651" s="87"/>
    </row>
    <row r="652" spans="15:18">
      <c r="O652" s="89"/>
      <c r="P652" s="90"/>
      <c r="Q652" s="89"/>
      <c r="R652" s="87"/>
    </row>
    <row r="653" spans="15:18">
      <c r="O653" s="89"/>
      <c r="P653" s="90"/>
      <c r="Q653" s="89"/>
      <c r="R653" s="87"/>
    </row>
    <row r="654" spans="15:18">
      <c r="O654" s="89"/>
      <c r="P654" s="90"/>
      <c r="Q654" s="89"/>
      <c r="R654" s="87"/>
    </row>
    <row r="655" spans="15:18">
      <c r="O655" s="89"/>
      <c r="P655" s="90"/>
      <c r="Q655" s="89"/>
      <c r="R655" s="87"/>
    </row>
    <row r="656" spans="15:18">
      <c r="O656" s="89"/>
      <c r="P656" s="90"/>
      <c r="Q656" s="89"/>
      <c r="R656" s="87"/>
    </row>
    <row r="657" spans="15:18">
      <c r="O657" s="89"/>
      <c r="P657" s="90"/>
      <c r="Q657" s="89"/>
      <c r="R657" s="87"/>
    </row>
    <row r="658" spans="15:18">
      <c r="O658" s="89"/>
      <c r="P658" s="90"/>
      <c r="Q658" s="89"/>
      <c r="R658" s="87"/>
    </row>
    <row r="659" spans="15:18">
      <c r="O659" s="89"/>
      <c r="P659" s="90"/>
      <c r="Q659" s="89"/>
      <c r="R659" s="87"/>
    </row>
    <row r="660" spans="15:18">
      <c r="O660" s="89"/>
      <c r="P660" s="90"/>
      <c r="Q660" s="89"/>
      <c r="R660" s="87"/>
    </row>
    <row r="661" spans="15:18">
      <c r="O661" s="89"/>
      <c r="P661" s="90"/>
      <c r="Q661" s="89"/>
      <c r="R661" s="87"/>
    </row>
    <row r="662" spans="15:18">
      <c r="O662" s="89"/>
      <c r="P662" s="90"/>
      <c r="Q662" s="89"/>
      <c r="R662" s="87"/>
    </row>
    <row r="663" spans="15:18">
      <c r="O663" s="89"/>
      <c r="P663" s="90"/>
      <c r="Q663" s="89"/>
      <c r="R663" s="87"/>
    </row>
    <row r="664" spans="15:18">
      <c r="O664" s="89"/>
      <c r="P664" s="90"/>
      <c r="Q664" s="89"/>
      <c r="R664" s="87"/>
    </row>
    <row r="665" spans="15:18">
      <c r="O665" s="89"/>
      <c r="P665" s="90"/>
      <c r="Q665" s="89"/>
      <c r="R665" s="87"/>
    </row>
    <row r="666" spans="15:18">
      <c r="O666" s="89"/>
      <c r="P666" s="90"/>
      <c r="Q666" s="89"/>
      <c r="R666" s="87"/>
    </row>
    <row r="667" spans="15:18">
      <c r="O667" s="89"/>
      <c r="P667" s="90"/>
      <c r="Q667" s="89"/>
      <c r="R667" s="87"/>
    </row>
    <row r="668" spans="15:18">
      <c r="O668" s="89"/>
      <c r="P668" s="90"/>
      <c r="Q668" s="89"/>
      <c r="R668" s="87"/>
    </row>
    <row r="669" spans="15:18">
      <c r="O669" s="89"/>
      <c r="P669" s="90"/>
      <c r="Q669" s="89"/>
      <c r="R669" s="87"/>
    </row>
    <row r="670" spans="15:18">
      <c r="O670" s="89"/>
      <c r="P670" s="90"/>
      <c r="Q670" s="89"/>
      <c r="R670" s="87"/>
    </row>
    <row r="671" spans="15:18">
      <c r="O671" s="89"/>
      <c r="P671" s="90"/>
      <c r="Q671" s="89"/>
      <c r="R671" s="87"/>
    </row>
    <row r="672" spans="15:18">
      <c r="O672" s="89"/>
      <c r="P672" s="90"/>
      <c r="Q672" s="89"/>
      <c r="R672" s="87"/>
    </row>
    <row r="673" spans="15:18">
      <c r="O673" s="89"/>
      <c r="P673" s="90"/>
      <c r="Q673" s="89"/>
      <c r="R673" s="87"/>
    </row>
    <row r="674" spans="15:18">
      <c r="O674" s="89"/>
      <c r="P674" s="90"/>
      <c r="Q674" s="89"/>
      <c r="R674" s="87"/>
    </row>
    <row r="675" spans="15:18">
      <c r="O675" s="89"/>
      <c r="P675" s="90"/>
      <c r="Q675" s="89"/>
      <c r="R675" s="87"/>
    </row>
    <row r="676" spans="15:18">
      <c r="O676" s="89"/>
      <c r="P676" s="90"/>
      <c r="Q676" s="89"/>
      <c r="R676" s="87"/>
    </row>
    <row r="677" spans="15:18">
      <c r="O677" s="89"/>
      <c r="P677" s="90"/>
      <c r="Q677" s="89"/>
      <c r="R677" s="87"/>
    </row>
    <row r="678" spans="15:18">
      <c r="O678" s="89"/>
      <c r="P678" s="90"/>
      <c r="Q678" s="89"/>
      <c r="R678" s="87"/>
    </row>
    <row r="679" spans="15:18">
      <c r="O679" s="89"/>
      <c r="P679" s="90"/>
      <c r="Q679" s="89"/>
      <c r="R679" s="87"/>
    </row>
    <row r="680" spans="15:18">
      <c r="O680" s="89"/>
      <c r="P680" s="90"/>
      <c r="Q680" s="89"/>
      <c r="R680" s="87"/>
    </row>
    <row r="681" spans="15:18">
      <c r="O681" s="89"/>
      <c r="P681" s="90"/>
      <c r="Q681" s="89"/>
      <c r="R681" s="87"/>
    </row>
    <row r="682" spans="15:18">
      <c r="O682" s="89"/>
      <c r="P682" s="90"/>
      <c r="Q682" s="89"/>
      <c r="R682" s="87"/>
    </row>
    <row r="683" spans="15:18">
      <c r="O683" s="89"/>
      <c r="P683" s="90"/>
      <c r="Q683" s="89"/>
      <c r="R683" s="87"/>
    </row>
    <row r="684" spans="15:18">
      <c r="O684" s="89"/>
      <c r="P684" s="90"/>
      <c r="Q684" s="89"/>
      <c r="R684" s="87"/>
    </row>
    <row r="685" spans="15:18">
      <c r="O685" s="89"/>
      <c r="P685" s="90"/>
      <c r="Q685" s="89"/>
      <c r="R685" s="87"/>
    </row>
    <row r="686" spans="15:18">
      <c r="O686" s="89"/>
      <c r="P686" s="90"/>
      <c r="Q686" s="89"/>
      <c r="R686" s="87"/>
    </row>
    <row r="687" spans="15:18">
      <c r="O687" s="89"/>
      <c r="P687" s="90"/>
      <c r="Q687" s="89"/>
      <c r="R687" s="87"/>
    </row>
    <row r="688" spans="15:18">
      <c r="O688" s="89"/>
      <c r="P688" s="90"/>
      <c r="Q688" s="89"/>
      <c r="R688" s="87"/>
    </row>
    <row r="689" spans="15:18">
      <c r="O689" s="89"/>
      <c r="P689" s="90"/>
      <c r="Q689" s="89"/>
      <c r="R689" s="87"/>
    </row>
    <row r="690" spans="15:18">
      <c r="O690" s="89"/>
      <c r="P690" s="90"/>
      <c r="Q690" s="89"/>
      <c r="R690" s="87"/>
    </row>
    <row r="691" spans="15:18">
      <c r="O691" s="89"/>
      <c r="P691" s="90"/>
      <c r="Q691" s="89"/>
      <c r="R691" s="87"/>
    </row>
    <row r="692" spans="15:18">
      <c r="O692" s="89"/>
      <c r="P692" s="90"/>
      <c r="Q692" s="89"/>
      <c r="R692" s="87"/>
    </row>
    <row r="693" spans="15:18">
      <c r="O693" s="89"/>
      <c r="P693" s="90"/>
      <c r="Q693" s="89"/>
      <c r="R693" s="87"/>
    </row>
    <row r="694" spans="15:18">
      <c r="O694" s="89"/>
      <c r="P694" s="90"/>
      <c r="Q694" s="89"/>
      <c r="R694" s="87"/>
    </row>
    <row r="695" spans="15:18">
      <c r="O695" s="89"/>
      <c r="P695" s="90"/>
      <c r="Q695" s="89"/>
      <c r="R695" s="87"/>
    </row>
    <row r="696" spans="15:18">
      <c r="O696" s="89"/>
      <c r="P696" s="90"/>
      <c r="Q696" s="89"/>
      <c r="R696" s="87"/>
    </row>
    <row r="697" spans="15:18">
      <c r="O697" s="89"/>
      <c r="P697" s="90"/>
      <c r="Q697" s="89"/>
      <c r="R697" s="87"/>
    </row>
    <row r="698" spans="15:18">
      <c r="O698" s="89"/>
      <c r="P698" s="90"/>
      <c r="Q698" s="89"/>
      <c r="R698" s="87"/>
    </row>
    <row r="699" spans="15:18">
      <c r="O699" s="89"/>
      <c r="P699" s="90"/>
      <c r="Q699" s="89"/>
      <c r="R699" s="87"/>
    </row>
    <row r="700" spans="15:18">
      <c r="O700" s="89"/>
      <c r="P700" s="90"/>
      <c r="Q700" s="89"/>
      <c r="R700" s="87"/>
    </row>
    <row r="701" spans="15:18">
      <c r="O701" s="89"/>
      <c r="P701" s="90"/>
      <c r="Q701" s="89"/>
      <c r="R701" s="87"/>
    </row>
    <row r="702" spans="15:18">
      <c r="O702" s="89"/>
      <c r="P702" s="90"/>
      <c r="Q702" s="89"/>
      <c r="R702" s="87"/>
    </row>
    <row r="703" spans="15:18">
      <c r="O703" s="89"/>
      <c r="P703" s="90"/>
      <c r="Q703" s="89"/>
      <c r="R703" s="87"/>
    </row>
    <row r="704" spans="15:18">
      <c r="O704" s="89"/>
      <c r="P704" s="90"/>
      <c r="Q704" s="89"/>
      <c r="R704" s="87"/>
    </row>
    <row r="705" spans="15:18">
      <c r="O705" s="89"/>
      <c r="P705" s="90"/>
      <c r="Q705" s="89"/>
      <c r="R705" s="87"/>
    </row>
    <row r="706" spans="15:18">
      <c r="O706" s="89"/>
      <c r="P706" s="90"/>
      <c r="Q706" s="89"/>
      <c r="R706" s="87"/>
    </row>
    <row r="707" spans="15:18">
      <c r="O707" s="89"/>
      <c r="P707" s="90"/>
      <c r="Q707" s="89"/>
      <c r="R707" s="87"/>
    </row>
    <row r="708" spans="15:18">
      <c r="O708" s="89"/>
      <c r="P708" s="90"/>
      <c r="Q708" s="89"/>
      <c r="R708" s="87"/>
    </row>
    <row r="709" spans="15:18">
      <c r="O709" s="89"/>
      <c r="P709" s="90"/>
      <c r="Q709" s="89"/>
      <c r="R709" s="87"/>
    </row>
    <row r="710" spans="15:18">
      <c r="O710" s="89"/>
      <c r="P710" s="90"/>
      <c r="Q710" s="89"/>
      <c r="R710" s="87"/>
    </row>
    <row r="711" spans="15:18">
      <c r="O711" s="89"/>
      <c r="P711" s="90"/>
      <c r="Q711" s="89"/>
      <c r="R711" s="87"/>
    </row>
    <row r="712" spans="15:18">
      <c r="O712" s="89"/>
      <c r="P712" s="90"/>
      <c r="Q712" s="89"/>
      <c r="R712" s="87"/>
    </row>
    <row r="713" spans="15:18">
      <c r="O713" s="89"/>
      <c r="P713" s="90"/>
      <c r="Q713" s="89"/>
      <c r="R713" s="87"/>
    </row>
    <row r="714" spans="15:18">
      <c r="O714" s="89"/>
      <c r="P714" s="90"/>
      <c r="Q714" s="89"/>
      <c r="R714" s="87"/>
    </row>
    <row r="715" spans="15:18">
      <c r="O715" s="89"/>
      <c r="P715" s="90"/>
      <c r="Q715" s="89"/>
      <c r="R715" s="87"/>
    </row>
    <row r="716" spans="15:18">
      <c r="O716" s="89"/>
      <c r="P716" s="90"/>
      <c r="Q716" s="89"/>
      <c r="R716" s="87"/>
    </row>
    <row r="717" spans="15:18">
      <c r="O717" s="89"/>
      <c r="P717" s="90"/>
      <c r="Q717" s="89"/>
      <c r="R717" s="87"/>
    </row>
    <row r="718" spans="15:18">
      <c r="O718" s="89"/>
      <c r="P718" s="90"/>
      <c r="Q718" s="89"/>
      <c r="R718" s="87"/>
    </row>
    <row r="719" spans="15:18">
      <c r="O719" s="89"/>
      <c r="P719" s="90"/>
      <c r="Q719" s="89"/>
      <c r="R719" s="87"/>
    </row>
    <row r="720" spans="15:18">
      <c r="O720" s="89"/>
      <c r="P720" s="90"/>
      <c r="Q720" s="89"/>
      <c r="R720" s="87"/>
    </row>
    <row r="721" spans="15:18">
      <c r="O721" s="89"/>
      <c r="P721" s="90"/>
      <c r="Q721" s="89"/>
      <c r="R721" s="87"/>
    </row>
    <row r="722" spans="15:18">
      <c r="O722" s="89"/>
      <c r="P722" s="90"/>
      <c r="Q722" s="89"/>
      <c r="R722" s="87"/>
    </row>
    <row r="723" spans="15:18">
      <c r="O723" s="89"/>
      <c r="P723" s="90"/>
      <c r="Q723" s="89"/>
      <c r="R723" s="87"/>
    </row>
    <row r="724" spans="15:18">
      <c r="O724" s="89"/>
      <c r="P724" s="90"/>
      <c r="Q724" s="89"/>
      <c r="R724" s="87"/>
    </row>
    <row r="725" spans="15:18">
      <c r="O725" s="89"/>
      <c r="P725" s="90"/>
      <c r="Q725" s="89"/>
      <c r="R725" s="87"/>
    </row>
    <row r="726" spans="15:18">
      <c r="O726" s="89"/>
      <c r="P726" s="90"/>
      <c r="Q726" s="89"/>
      <c r="R726" s="87"/>
    </row>
    <row r="727" spans="15:18">
      <c r="O727" s="89"/>
      <c r="P727" s="90"/>
      <c r="Q727" s="89"/>
      <c r="R727" s="87"/>
    </row>
    <row r="728" spans="15:18">
      <c r="O728" s="89"/>
      <c r="P728" s="90"/>
      <c r="Q728" s="89"/>
      <c r="R728" s="87"/>
    </row>
    <row r="729" spans="15:18">
      <c r="O729" s="89"/>
      <c r="P729" s="90"/>
      <c r="Q729" s="89"/>
      <c r="R729" s="87"/>
    </row>
    <row r="730" spans="15:18">
      <c r="O730" s="89"/>
      <c r="P730" s="90"/>
      <c r="Q730" s="89"/>
      <c r="R730" s="87"/>
    </row>
    <row r="731" spans="15:18">
      <c r="O731" s="89"/>
      <c r="P731" s="90"/>
      <c r="Q731" s="89"/>
      <c r="R731" s="87"/>
    </row>
    <row r="732" spans="15:18">
      <c r="O732" s="89"/>
      <c r="P732" s="90"/>
      <c r="Q732" s="89"/>
      <c r="R732" s="87"/>
    </row>
    <row r="733" spans="15:18">
      <c r="O733" s="89"/>
      <c r="P733" s="90"/>
      <c r="Q733" s="89"/>
      <c r="R733" s="87"/>
    </row>
    <row r="734" spans="15:18">
      <c r="O734" s="89"/>
      <c r="P734" s="90"/>
      <c r="Q734" s="89"/>
      <c r="R734" s="87"/>
    </row>
    <row r="735" spans="15:18">
      <c r="O735" s="89"/>
      <c r="P735" s="90"/>
      <c r="Q735" s="89"/>
      <c r="R735" s="87"/>
    </row>
    <row r="736" spans="15:18">
      <c r="O736" s="89"/>
      <c r="P736" s="90"/>
      <c r="Q736" s="89"/>
      <c r="R736" s="87"/>
    </row>
    <row r="737" spans="15:18">
      <c r="O737" s="89"/>
      <c r="P737" s="90"/>
      <c r="Q737" s="89"/>
      <c r="R737" s="87"/>
    </row>
    <row r="738" spans="15:18">
      <c r="O738" s="89"/>
      <c r="P738" s="90"/>
      <c r="Q738" s="89"/>
      <c r="R738" s="87"/>
    </row>
    <row r="739" spans="15:18">
      <c r="O739" s="89"/>
      <c r="P739" s="90"/>
      <c r="Q739" s="89"/>
      <c r="R739" s="87"/>
    </row>
    <row r="740" spans="15:18">
      <c r="O740" s="89"/>
      <c r="P740" s="90"/>
      <c r="Q740" s="89"/>
      <c r="R740" s="87"/>
    </row>
    <row r="741" spans="15:18">
      <c r="O741" s="89"/>
      <c r="P741" s="90"/>
      <c r="Q741" s="89"/>
      <c r="R741" s="87"/>
    </row>
    <row r="742" spans="15:18">
      <c r="O742" s="89"/>
      <c r="P742" s="90"/>
      <c r="Q742" s="89"/>
      <c r="R742" s="87"/>
    </row>
    <row r="743" spans="15:18">
      <c r="O743" s="89"/>
      <c r="P743" s="90"/>
      <c r="Q743" s="89"/>
      <c r="R743" s="87"/>
    </row>
    <row r="744" spans="15:18">
      <c r="O744" s="89"/>
      <c r="P744" s="90"/>
      <c r="Q744" s="89"/>
      <c r="R744" s="87"/>
    </row>
    <row r="745" spans="15:18">
      <c r="O745" s="89"/>
      <c r="P745" s="90"/>
      <c r="Q745" s="89"/>
      <c r="R745" s="87"/>
    </row>
    <row r="746" spans="15:18">
      <c r="O746" s="89"/>
      <c r="P746" s="90"/>
      <c r="Q746" s="89"/>
      <c r="R746" s="87"/>
    </row>
    <row r="747" spans="15:18">
      <c r="O747" s="89"/>
      <c r="P747" s="90"/>
      <c r="Q747" s="89"/>
      <c r="R747" s="87"/>
    </row>
    <row r="748" spans="15:18">
      <c r="O748" s="89"/>
      <c r="P748" s="90"/>
      <c r="Q748" s="89"/>
      <c r="R748" s="87"/>
    </row>
    <row r="749" spans="15:18">
      <c r="O749" s="89"/>
      <c r="P749" s="90"/>
      <c r="Q749" s="89"/>
      <c r="R749" s="87"/>
    </row>
    <row r="750" spans="15:18">
      <c r="O750" s="89"/>
      <c r="P750" s="90"/>
      <c r="Q750" s="89"/>
      <c r="R750" s="87"/>
    </row>
    <row r="751" spans="15:18">
      <c r="O751" s="89"/>
      <c r="P751" s="90"/>
      <c r="Q751" s="89"/>
      <c r="R751" s="87"/>
    </row>
    <row r="752" spans="15:18">
      <c r="O752" s="89"/>
      <c r="P752" s="90"/>
      <c r="Q752" s="89"/>
      <c r="R752" s="87"/>
    </row>
    <row r="753" spans="15:18">
      <c r="O753" s="89"/>
      <c r="P753" s="90"/>
      <c r="Q753" s="89"/>
      <c r="R753" s="87"/>
    </row>
    <row r="754" spans="15:18">
      <c r="O754" s="89"/>
      <c r="P754" s="90"/>
      <c r="Q754" s="89"/>
      <c r="R754" s="87"/>
    </row>
    <row r="755" spans="15:18">
      <c r="O755" s="89"/>
      <c r="P755" s="90"/>
      <c r="Q755" s="89"/>
      <c r="R755" s="87"/>
    </row>
    <row r="756" spans="15:18">
      <c r="O756" s="89"/>
      <c r="P756" s="90"/>
      <c r="Q756" s="89"/>
      <c r="R756" s="87"/>
    </row>
    <row r="757" spans="15:18">
      <c r="O757" s="89"/>
      <c r="P757" s="90"/>
      <c r="Q757" s="89"/>
      <c r="R757" s="87"/>
    </row>
    <row r="758" spans="15:18">
      <c r="O758" s="89"/>
      <c r="P758" s="90"/>
      <c r="Q758" s="89"/>
      <c r="R758" s="87"/>
    </row>
    <row r="759" spans="15:18">
      <c r="O759" s="89"/>
      <c r="P759" s="90"/>
      <c r="Q759" s="89"/>
      <c r="R759" s="87"/>
    </row>
    <row r="760" spans="15:18">
      <c r="O760" s="89"/>
      <c r="P760" s="90"/>
      <c r="Q760" s="89"/>
      <c r="R760" s="87"/>
    </row>
    <row r="761" spans="15:18">
      <c r="O761" s="89"/>
      <c r="P761" s="90"/>
      <c r="Q761" s="89"/>
      <c r="R761" s="87"/>
    </row>
    <row r="762" spans="15:18">
      <c r="O762" s="89"/>
      <c r="P762" s="90"/>
      <c r="Q762" s="89"/>
      <c r="R762" s="87"/>
    </row>
    <row r="763" spans="15:18">
      <c r="O763" s="89"/>
      <c r="P763" s="90"/>
      <c r="Q763" s="89"/>
      <c r="R763" s="87"/>
    </row>
    <row r="764" spans="15:18">
      <c r="O764" s="89"/>
      <c r="P764" s="90"/>
      <c r="Q764" s="89"/>
      <c r="R764" s="87"/>
    </row>
    <row r="765" spans="15:18">
      <c r="O765" s="89"/>
      <c r="P765" s="90"/>
      <c r="Q765" s="89"/>
      <c r="R765" s="87"/>
    </row>
    <row r="766" spans="15:18">
      <c r="O766" s="89"/>
      <c r="P766" s="90"/>
      <c r="Q766" s="89"/>
      <c r="R766" s="87"/>
    </row>
    <row r="767" spans="15:18">
      <c r="O767" s="89"/>
      <c r="P767" s="90"/>
      <c r="Q767" s="89"/>
      <c r="R767" s="87"/>
    </row>
    <row r="768" spans="15:18">
      <c r="O768" s="89"/>
      <c r="P768" s="90"/>
      <c r="Q768" s="89"/>
      <c r="R768" s="87"/>
    </row>
    <row r="769" spans="15:18">
      <c r="O769" s="89"/>
      <c r="P769" s="90"/>
      <c r="Q769" s="89"/>
      <c r="R769" s="87"/>
    </row>
    <row r="770" spans="15:18">
      <c r="O770" s="89"/>
      <c r="P770" s="90"/>
      <c r="Q770" s="89"/>
      <c r="R770" s="87"/>
    </row>
    <row r="771" spans="15:18">
      <c r="O771" s="89"/>
      <c r="P771" s="90"/>
      <c r="Q771" s="89"/>
      <c r="R771" s="87"/>
    </row>
    <row r="772" spans="15:18">
      <c r="O772" s="89"/>
      <c r="P772" s="90"/>
      <c r="Q772" s="89"/>
      <c r="R772" s="87"/>
    </row>
    <row r="773" spans="15:18">
      <c r="O773" s="89"/>
      <c r="P773" s="90"/>
      <c r="Q773" s="89"/>
      <c r="R773" s="87"/>
    </row>
    <row r="774" spans="15:18">
      <c r="O774" s="89"/>
      <c r="P774" s="90"/>
      <c r="Q774" s="89"/>
      <c r="R774" s="87"/>
    </row>
    <row r="775" spans="15:18">
      <c r="O775" s="89"/>
      <c r="P775" s="90"/>
      <c r="Q775" s="89"/>
      <c r="R775" s="87"/>
    </row>
    <row r="776" spans="15:18">
      <c r="O776" s="89"/>
      <c r="P776" s="90"/>
      <c r="Q776" s="89"/>
      <c r="R776" s="87"/>
    </row>
    <row r="777" spans="15:18">
      <c r="O777" s="89"/>
      <c r="P777" s="90"/>
      <c r="Q777" s="89"/>
      <c r="R777" s="87"/>
    </row>
    <row r="778" spans="15:18">
      <c r="O778" s="89"/>
      <c r="P778" s="90"/>
      <c r="Q778" s="89"/>
      <c r="R778" s="87"/>
    </row>
    <row r="779" spans="15:18">
      <c r="O779" s="89"/>
      <c r="P779" s="90"/>
      <c r="Q779" s="89"/>
      <c r="R779" s="87"/>
    </row>
    <row r="780" spans="15:18">
      <c r="O780" s="89"/>
      <c r="P780" s="90"/>
      <c r="Q780" s="89"/>
      <c r="R780" s="87"/>
    </row>
    <row r="781" spans="15:18">
      <c r="O781" s="89"/>
      <c r="P781" s="90"/>
      <c r="Q781" s="89"/>
      <c r="R781" s="87"/>
    </row>
    <row r="782" spans="15:18">
      <c r="O782" s="89"/>
      <c r="P782" s="90"/>
      <c r="Q782" s="89"/>
      <c r="R782" s="87"/>
    </row>
    <row r="783" spans="15:18">
      <c r="O783" s="89"/>
      <c r="P783" s="90"/>
      <c r="Q783" s="89"/>
      <c r="R783" s="87"/>
    </row>
    <row r="784" spans="15:18">
      <c r="O784" s="89"/>
      <c r="P784" s="90"/>
      <c r="Q784" s="89"/>
      <c r="R784" s="87"/>
    </row>
    <row r="785" spans="15:18">
      <c r="O785" s="89"/>
      <c r="P785" s="90"/>
      <c r="Q785" s="89"/>
      <c r="R785" s="87"/>
    </row>
    <row r="786" spans="15:18">
      <c r="O786" s="89"/>
      <c r="P786" s="90"/>
      <c r="Q786" s="89"/>
      <c r="R786" s="87"/>
    </row>
    <row r="787" spans="15:18">
      <c r="O787" s="89"/>
      <c r="P787" s="90"/>
      <c r="Q787" s="89"/>
      <c r="R787" s="87"/>
    </row>
    <row r="788" spans="15:18">
      <c r="O788" s="89"/>
      <c r="P788" s="90"/>
      <c r="Q788" s="89"/>
      <c r="R788" s="87"/>
    </row>
    <row r="789" spans="15:18">
      <c r="O789" s="89"/>
      <c r="P789" s="90"/>
      <c r="Q789" s="89"/>
      <c r="R789" s="87"/>
    </row>
    <row r="790" spans="15:18">
      <c r="O790" s="89"/>
      <c r="P790" s="90"/>
      <c r="Q790" s="89"/>
      <c r="R790" s="87"/>
    </row>
    <row r="791" spans="15:18">
      <c r="O791" s="89"/>
      <c r="P791" s="90"/>
      <c r="Q791" s="89"/>
      <c r="R791" s="87"/>
    </row>
    <row r="792" spans="15:18">
      <c r="O792" s="89"/>
      <c r="P792" s="90"/>
      <c r="Q792" s="89"/>
      <c r="R792" s="87"/>
    </row>
    <row r="793" spans="15:18">
      <c r="O793" s="89"/>
      <c r="P793" s="90"/>
      <c r="Q793" s="89"/>
      <c r="R793" s="87"/>
    </row>
    <row r="794" spans="15:18">
      <c r="O794" s="89"/>
      <c r="P794" s="90"/>
      <c r="Q794" s="89"/>
      <c r="R794" s="87"/>
    </row>
    <row r="795" spans="15:18">
      <c r="O795" s="89"/>
      <c r="P795" s="90"/>
      <c r="Q795" s="89"/>
      <c r="R795" s="87"/>
    </row>
    <row r="796" spans="15:18">
      <c r="O796" s="89"/>
      <c r="P796" s="90"/>
      <c r="Q796" s="89"/>
      <c r="R796" s="87"/>
    </row>
    <row r="797" spans="15:18">
      <c r="O797" s="89"/>
      <c r="P797" s="90"/>
      <c r="Q797" s="89"/>
      <c r="R797" s="87"/>
    </row>
    <row r="798" spans="15:18">
      <c r="O798" s="89"/>
      <c r="P798" s="90"/>
      <c r="Q798" s="89"/>
      <c r="R798" s="87"/>
    </row>
    <row r="799" spans="15:18">
      <c r="O799" s="89"/>
      <c r="P799" s="90"/>
      <c r="Q799" s="89"/>
      <c r="R799" s="87"/>
    </row>
    <row r="800" spans="15:18">
      <c r="O800" s="89"/>
      <c r="P800" s="90"/>
      <c r="Q800" s="89"/>
      <c r="R800" s="87"/>
    </row>
    <row r="801" spans="15:18">
      <c r="O801" s="89"/>
      <c r="P801" s="90"/>
      <c r="Q801" s="89"/>
      <c r="R801" s="87"/>
    </row>
    <row r="802" spans="15:18">
      <c r="O802" s="89"/>
      <c r="P802" s="90"/>
      <c r="Q802" s="89"/>
      <c r="R802" s="87"/>
    </row>
    <row r="803" spans="15:18">
      <c r="O803" s="89"/>
      <c r="P803" s="90"/>
      <c r="Q803" s="89"/>
      <c r="R803" s="87"/>
    </row>
    <row r="804" spans="15:18">
      <c r="O804" s="89"/>
      <c r="P804" s="90"/>
      <c r="Q804" s="89"/>
      <c r="R804" s="87"/>
    </row>
    <row r="805" spans="15:18">
      <c r="O805" s="89"/>
      <c r="P805" s="90"/>
      <c r="Q805" s="89"/>
      <c r="R805" s="87"/>
    </row>
    <row r="806" spans="15:18">
      <c r="O806" s="89"/>
      <c r="P806" s="90"/>
      <c r="Q806" s="89"/>
      <c r="R806" s="87"/>
    </row>
    <row r="807" spans="15:18">
      <c r="O807" s="89"/>
      <c r="P807" s="90"/>
      <c r="Q807" s="89"/>
      <c r="R807" s="87"/>
    </row>
    <row r="808" spans="15:18">
      <c r="O808" s="89"/>
      <c r="P808" s="90"/>
      <c r="Q808" s="89"/>
      <c r="R808" s="87"/>
    </row>
    <row r="809" spans="15:18">
      <c r="O809" s="89"/>
      <c r="P809" s="90"/>
      <c r="Q809" s="89"/>
      <c r="R809" s="87"/>
    </row>
    <row r="810" spans="15:18">
      <c r="O810" s="89"/>
      <c r="P810" s="90"/>
      <c r="Q810" s="89"/>
      <c r="R810" s="87"/>
    </row>
    <row r="811" spans="15:18">
      <c r="O811" s="89"/>
      <c r="P811" s="90"/>
      <c r="Q811" s="89"/>
      <c r="R811" s="87"/>
    </row>
    <row r="812" spans="15:18">
      <c r="O812" s="89"/>
      <c r="P812" s="90"/>
      <c r="Q812" s="89"/>
      <c r="R812" s="87"/>
    </row>
    <row r="813" spans="15:18">
      <c r="O813" s="89"/>
      <c r="P813" s="90"/>
      <c r="Q813" s="89"/>
      <c r="R813" s="87"/>
    </row>
    <row r="814" spans="15:18">
      <c r="O814" s="89"/>
      <c r="P814" s="90"/>
      <c r="Q814" s="89"/>
      <c r="R814" s="87"/>
    </row>
    <row r="815" spans="15:18">
      <c r="O815" s="89"/>
      <c r="P815" s="90"/>
      <c r="Q815" s="89"/>
      <c r="R815" s="87"/>
    </row>
    <row r="816" spans="15:18">
      <c r="O816" s="89"/>
      <c r="P816" s="90"/>
      <c r="Q816" s="89"/>
      <c r="R816" s="87"/>
    </row>
    <row r="817" spans="15:18">
      <c r="O817" s="89"/>
      <c r="P817" s="90"/>
      <c r="Q817" s="89"/>
      <c r="R817" s="87"/>
    </row>
    <row r="818" spans="15:18">
      <c r="O818" s="89"/>
      <c r="P818" s="90"/>
      <c r="Q818" s="89"/>
      <c r="R818" s="87"/>
    </row>
    <row r="819" spans="15:18">
      <c r="O819" s="89"/>
      <c r="P819" s="90"/>
      <c r="Q819" s="89"/>
      <c r="R819" s="87"/>
    </row>
    <row r="820" spans="15:18">
      <c r="O820" s="89"/>
      <c r="P820" s="90"/>
      <c r="Q820" s="89"/>
      <c r="R820" s="87"/>
    </row>
    <row r="821" spans="15:18">
      <c r="O821" s="89"/>
      <c r="P821" s="90"/>
      <c r="Q821" s="89"/>
      <c r="R821" s="87"/>
    </row>
    <row r="822" spans="15:18">
      <c r="O822" s="89"/>
      <c r="P822" s="90"/>
      <c r="Q822" s="89"/>
      <c r="R822" s="87"/>
    </row>
    <row r="823" spans="15:18">
      <c r="O823" s="89"/>
      <c r="P823" s="90"/>
      <c r="Q823" s="89"/>
      <c r="R823" s="87"/>
    </row>
    <row r="824" spans="15:18">
      <c r="O824" s="89"/>
      <c r="P824" s="90"/>
      <c r="Q824" s="89"/>
      <c r="R824" s="87"/>
    </row>
    <row r="825" spans="15:18">
      <c r="O825" s="89"/>
      <c r="P825" s="90"/>
      <c r="Q825" s="89"/>
      <c r="R825" s="87"/>
    </row>
    <row r="826" spans="15:18">
      <c r="O826" s="89"/>
      <c r="P826" s="90"/>
      <c r="Q826" s="89"/>
      <c r="R826" s="87"/>
    </row>
    <row r="827" spans="15:18">
      <c r="O827" s="89"/>
      <c r="P827" s="90"/>
      <c r="Q827" s="89"/>
      <c r="R827" s="87"/>
    </row>
    <row r="828" spans="15:18">
      <c r="O828" s="89"/>
      <c r="P828" s="90"/>
      <c r="Q828" s="89"/>
      <c r="R828" s="87"/>
    </row>
    <row r="829" spans="15:18">
      <c r="O829" s="89"/>
      <c r="P829" s="90"/>
      <c r="Q829" s="89"/>
      <c r="R829" s="87"/>
    </row>
    <row r="830" spans="15:18">
      <c r="O830" s="89"/>
      <c r="P830" s="90"/>
      <c r="Q830" s="89"/>
      <c r="R830" s="87"/>
    </row>
    <row r="831" spans="15:18">
      <c r="O831" s="89"/>
      <c r="P831" s="90"/>
      <c r="Q831" s="89"/>
      <c r="R831" s="87"/>
    </row>
    <row r="832" spans="15:18">
      <c r="O832" s="89"/>
      <c r="P832" s="90"/>
      <c r="Q832" s="89"/>
      <c r="R832" s="87"/>
    </row>
    <row r="833" spans="15:18">
      <c r="O833" s="89"/>
      <c r="P833" s="90"/>
      <c r="Q833" s="89"/>
      <c r="R833" s="87"/>
    </row>
    <row r="834" spans="15:18">
      <c r="O834" s="89"/>
      <c r="P834" s="90"/>
      <c r="Q834" s="89"/>
      <c r="R834" s="87"/>
    </row>
    <row r="835" spans="15:18">
      <c r="O835" s="89"/>
      <c r="P835" s="90"/>
      <c r="Q835" s="89"/>
      <c r="R835" s="87"/>
    </row>
    <row r="836" spans="15:18">
      <c r="O836" s="89"/>
      <c r="P836" s="90"/>
      <c r="Q836" s="89"/>
      <c r="R836" s="87"/>
    </row>
    <row r="837" spans="15:18">
      <c r="O837" s="89"/>
      <c r="P837" s="90"/>
      <c r="Q837" s="89"/>
      <c r="R837" s="87"/>
    </row>
    <row r="838" spans="15:18">
      <c r="O838" s="89"/>
      <c r="P838" s="90"/>
      <c r="Q838" s="89"/>
      <c r="R838" s="87"/>
    </row>
    <row r="839" spans="15:18">
      <c r="O839" s="89"/>
      <c r="P839" s="90"/>
      <c r="Q839" s="89"/>
      <c r="R839" s="87"/>
    </row>
    <row r="840" spans="15:18">
      <c r="O840" s="89"/>
      <c r="P840" s="90"/>
      <c r="Q840" s="89"/>
      <c r="R840" s="87"/>
    </row>
    <row r="841" spans="15:18">
      <c r="O841" s="89"/>
      <c r="P841" s="90"/>
      <c r="Q841" s="89"/>
      <c r="R841" s="87"/>
    </row>
    <row r="842" spans="15:18">
      <c r="O842" s="89"/>
      <c r="P842" s="90"/>
      <c r="Q842" s="89"/>
      <c r="R842" s="87"/>
    </row>
    <row r="843" spans="15:18">
      <c r="O843" s="89"/>
      <c r="P843" s="90"/>
      <c r="Q843" s="89"/>
      <c r="R843" s="87"/>
    </row>
    <row r="844" spans="15:18">
      <c r="O844" s="89"/>
      <c r="P844" s="90"/>
      <c r="Q844" s="89"/>
      <c r="R844" s="87"/>
    </row>
    <row r="845" spans="15:18">
      <c r="O845" s="89"/>
      <c r="P845" s="90"/>
      <c r="Q845" s="89"/>
      <c r="R845" s="87"/>
    </row>
    <row r="846" spans="15:18">
      <c r="O846" s="89"/>
      <c r="P846" s="90"/>
      <c r="Q846" s="89"/>
      <c r="R846" s="87"/>
    </row>
    <row r="847" spans="15:18">
      <c r="O847" s="89"/>
      <c r="P847" s="90"/>
      <c r="Q847" s="89"/>
      <c r="R847" s="87"/>
    </row>
    <row r="848" spans="15:18">
      <c r="O848" s="89"/>
      <c r="P848" s="90"/>
      <c r="Q848" s="89"/>
      <c r="R848" s="87"/>
    </row>
    <row r="849" spans="15:18">
      <c r="O849" s="89"/>
      <c r="P849" s="90"/>
      <c r="Q849" s="89"/>
      <c r="R849" s="87"/>
    </row>
    <row r="850" spans="15:18">
      <c r="O850" s="89"/>
      <c r="P850" s="90"/>
      <c r="Q850" s="89"/>
      <c r="R850" s="87"/>
    </row>
    <row r="851" spans="15:18">
      <c r="O851" s="89"/>
      <c r="P851" s="90"/>
      <c r="Q851" s="89"/>
      <c r="R851" s="87"/>
    </row>
    <row r="852" spans="15:18">
      <c r="O852" s="89"/>
      <c r="P852" s="90"/>
      <c r="Q852" s="89"/>
      <c r="R852" s="87"/>
    </row>
    <row r="853" spans="15:18">
      <c r="O853" s="89"/>
      <c r="P853" s="90"/>
      <c r="Q853" s="89"/>
      <c r="R853" s="87"/>
    </row>
    <row r="854" spans="15:18">
      <c r="O854" s="89"/>
      <c r="P854" s="90"/>
      <c r="Q854" s="89"/>
      <c r="R854" s="87"/>
    </row>
    <row r="855" spans="15:18">
      <c r="O855" s="89"/>
      <c r="P855" s="90"/>
      <c r="Q855" s="89"/>
      <c r="R855" s="87"/>
    </row>
    <row r="856" spans="15:18">
      <c r="O856" s="89"/>
      <c r="P856" s="90"/>
      <c r="Q856" s="89"/>
      <c r="R856" s="87"/>
    </row>
    <row r="857" spans="15:18">
      <c r="O857" s="89"/>
      <c r="P857" s="90"/>
      <c r="Q857" s="89"/>
      <c r="R857" s="87"/>
    </row>
    <row r="858" spans="15:18">
      <c r="O858" s="89"/>
      <c r="P858" s="90"/>
      <c r="Q858" s="89"/>
      <c r="R858" s="87"/>
    </row>
    <row r="859" spans="15:18">
      <c r="O859" s="89"/>
      <c r="P859" s="90"/>
      <c r="Q859" s="89"/>
      <c r="R859" s="87"/>
    </row>
    <row r="860" spans="15:18">
      <c r="O860" s="89"/>
      <c r="P860" s="90"/>
      <c r="Q860" s="89"/>
      <c r="R860" s="87"/>
    </row>
    <row r="861" spans="15:18">
      <c r="O861" s="89"/>
      <c r="P861" s="90"/>
      <c r="Q861" s="89"/>
      <c r="R861" s="87"/>
    </row>
    <row r="862" spans="15:18">
      <c r="O862" s="89"/>
      <c r="P862" s="90"/>
      <c r="Q862" s="89"/>
      <c r="R862" s="87"/>
    </row>
    <row r="863" spans="15:18">
      <c r="O863" s="89"/>
      <c r="P863" s="90"/>
      <c r="Q863" s="89"/>
      <c r="R863" s="87"/>
    </row>
    <row r="864" spans="15:18">
      <c r="O864" s="89"/>
      <c r="P864" s="90"/>
      <c r="Q864" s="89"/>
      <c r="R864" s="87"/>
    </row>
    <row r="865" spans="15:18">
      <c r="O865" s="89"/>
      <c r="P865" s="90"/>
      <c r="Q865" s="89"/>
      <c r="R865" s="87"/>
    </row>
    <row r="866" spans="15:18">
      <c r="O866" s="89"/>
      <c r="P866" s="90"/>
      <c r="Q866" s="89"/>
      <c r="R866" s="87"/>
    </row>
    <row r="867" spans="15:18">
      <c r="O867" s="89"/>
      <c r="P867" s="90"/>
      <c r="Q867" s="89"/>
      <c r="R867" s="87"/>
    </row>
    <row r="868" spans="15:18">
      <c r="O868" s="89"/>
      <c r="P868" s="90"/>
      <c r="Q868" s="89"/>
      <c r="R868" s="87"/>
    </row>
    <row r="869" spans="15:18">
      <c r="O869" s="89"/>
      <c r="P869" s="90"/>
      <c r="Q869" s="89"/>
      <c r="R869" s="87"/>
    </row>
    <row r="870" spans="15:18">
      <c r="O870" s="89"/>
      <c r="P870" s="90"/>
      <c r="Q870" s="89"/>
      <c r="R870" s="87"/>
    </row>
    <row r="871" spans="15:18">
      <c r="O871" s="89"/>
      <c r="P871" s="90"/>
      <c r="Q871" s="89"/>
      <c r="R871" s="87"/>
    </row>
    <row r="872" spans="15:18">
      <c r="O872" s="89"/>
      <c r="P872" s="90"/>
      <c r="Q872" s="89"/>
      <c r="R872" s="87"/>
    </row>
    <row r="873" spans="15:18">
      <c r="O873" s="89"/>
      <c r="P873" s="90"/>
      <c r="Q873" s="89"/>
      <c r="R873" s="87"/>
    </row>
    <row r="874" spans="15:18">
      <c r="O874" s="89"/>
      <c r="P874" s="90"/>
      <c r="Q874" s="89"/>
      <c r="R874" s="87"/>
    </row>
    <row r="875" spans="15:18">
      <c r="O875" s="89"/>
      <c r="P875" s="90"/>
      <c r="Q875" s="89"/>
      <c r="R875" s="87"/>
    </row>
    <row r="876" spans="15:18">
      <c r="O876" s="89"/>
      <c r="P876" s="90"/>
      <c r="Q876" s="89"/>
      <c r="R876" s="87"/>
    </row>
    <row r="877" spans="15:18">
      <c r="O877" s="89"/>
      <c r="P877" s="90"/>
      <c r="Q877" s="89"/>
      <c r="R877" s="87"/>
    </row>
    <row r="878" spans="15:18">
      <c r="O878" s="89"/>
      <c r="P878" s="90"/>
      <c r="Q878" s="89"/>
      <c r="R878" s="87"/>
    </row>
    <row r="879" spans="15:18">
      <c r="O879" s="89"/>
      <c r="P879" s="90"/>
      <c r="Q879" s="89"/>
      <c r="R879" s="87"/>
    </row>
    <row r="880" spans="15:18">
      <c r="O880" s="89"/>
      <c r="P880" s="90"/>
      <c r="Q880" s="89"/>
      <c r="R880" s="87"/>
    </row>
    <row r="881" spans="15:18">
      <c r="O881" s="89"/>
      <c r="P881" s="90"/>
      <c r="Q881" s="89"/>
      <c r="R881" s="87"/>
    </row>
    <row r="882" spans="15:18">
      <c r="O882" s="89"/>
      <c r="P882" s="90"/>
      <c r="Q882" s="89"/>
      <c r="R882" s="87"/>
    </row>
    <row r="883" spans="15:18">
      <c r="O883" s="89"/>
      <c r="P883" s="90"/>
      <c r="Q883" s="89"/>
      <c r="R883" s="87"/>
    </row>
    <row r="884" spans="15:18">
      <c r="O884" s="89"/>
      <c r="P884" s="90"/>
      <c r="Q884" s="89"/>
      <c r="R884" s="87"/>
    </row>
    <row r="885" spans="15:18">
      <c r="O885" s="89"/>
      <c r="P885" s="90"/>
      <c r="Q885" s="89"/>
      <c r="R885" s="87"/>
    </row>
    <row r="886" spans="15:18">
      <c r="O886" s="89"/>
      <c r="P886" s="90"/>
      <c r="Q886" s="89"/>
      <c r="R886" s="87"/>
    </row>
    <row r="887" spans="15:18">
      <c r="O887" s="89"/>
      <c r="P887" s="90"/>
      <c r="Q887" s="89"/>
      <c r="R887" s="87"/>
    </row>
    <row r="888" spans="15:18">
      <c r="O888" s="89"/>
      <c r="P888" s="90"/>
      <c r="Q888" s="89"/>
      <c r="R888" s="87"/>
    </row>
    <row r="889" spans="15:18">
      <c r="O889" s="89"/>
      <c r="P889" s="90"/>
      <c r="Q889" s="89"/>
      <c r="R889" s="87"/>
    </row>
    <row r="890" spans="15:18">
      <c r="O890" s="89"/>
      <c r="P890" s="90"/>
      <c r="Q890" s="89"/>
      <c r="R890" s="87"/>
    </row>
    <row r="891" spans="15:18">
      <c r="O891" s="89"/>
      <c r="P891" s="90"/>
      <c r="Q891" s="89"/>
      <c r="R891" s="87"/>
    </row>
    <row r="892" spans="15:18">
      <c r="O892" s="89"/>
      <c r="P892" s="90"/>
      <c r="Q892" s="89"/>
      <c r="R892" s="87"/>
    </row>
    <row r="893" spans="15:18">
      <c r="O893" s="89"/>
      <c r="P893" s="90"/>
      <c r="Q893" s="89"/>
      <c r="R893" s="87"/>
    </row>
    <row r="894" spans="15:18">
      <c r="O894" s="89"/>
      <c r="P894" s="90"/>
      <c r="Q894" s="89"/>
      <c r="R894" s="87"/>
    </row>
    <row r="895" spans="15:18">
      <c r="O895" s="89"/>
      <c r="P895" s="90"/>
      <c r="Q895" s="89"/>
      <c r="R895" s="87"/>
    </row>
    <row r="896" spans="15:18">
      <c r="O896" s="89"/>
      <c r="P896" s="90"/>
      <c r="Q896" s="89"/>
      <c r="R896" s="87"/>
    </row>
    <row r="897" spans="15:18">
      <c r="O897" s="89"/>
      <c r="P897" s="90"/>
      <c r="Q897" s="89"/>
      <c r="R897" s="87"/>
    </row>
    <row r="898" spans="15:18">
      <c r="O898" s="89"/>
      <c r="P898" s="90"/>
      <c r="Q898" s="89"/>
      <c r="R898" s="87"/>
    </row>
    <row r="899" spans="15:18">
      <c r="O899" s="89"/>
      <c r="P899" s="90"/>
      <c r="Q899" s="89"/>
      <c r="R899" s="87"/>
    </row>
    <row r="900" spans="15:18">
      <c r="O900" s="89"/>
      <c r="P900" s="90"/>
      <c r="Q900" s="89"/>
      <c r="R900" s="87"/>
    </row>
    <row r="901" spans="15:18">
      <c r="O901" s="89"/>
      <c r="P901" s="90"/>
      <c r="Q901" s="89"/>
      <c r="R901" s="87"/>
    </row>
    <row r="902" spans="15:18">
      <c r="O902" s="89"/>
      <c r="P902" s="90"/>
      <c r="Q902" s="89"/>
      <c r="R902" s="87"/>
    </row>
    <row r="903" spans="15:18">
      <c r="O903" s="89"/>
      <c r="P903" s="90"/>
      <c r="Q903" s="89"/>
      <c r="R903" s="87"/>
    </row>
    <row r="904" spans="15:18">
      <c r="O904" s="89"/>
      <c r="P904" s="90"/>
      <c r="Q904" s="89"/>
      <c r="R904" s="87"/>
    </row>
    <row r="905" spans="15:18">
      <c r="O905" s="89"/>
      <c r="P905" s="90"/>
      <c r="Q905" s="89"/>
      <c r="R905" s="87"/>
    </row>
    <row r="906" spans="15:18">
      <c r="O906" s="89"/>
      <c r="P906" s="90"/>
      <c r="Q906" s="89"/>
      <c r="R906" s="87"/>
    </row>
    <row r="907" spans="15:18">
      <c r="O907" s="89"/>
      <c r="P907" s="90"/>
      <c r="Q907" s="89"/>
      <c r="R907" s="87"/>
    </row>
    <row r="908" spans="15:18">
      <c r="O908" s="89"/>
      <c r="P908" s="90"/>
      <c r="Q908" s="89"/>
      <c r="R908" s="87"/>
    </row>
    <row r="909" spans="15:18">
      <c r="O909" s="89"/>
      <c r="P909" s="90"/>
      <c r="Q909" s="89"/>
      <c r="R909" s="87"/>
    </row>
    <row r="910" spans="15:18">
      <c r="O910" s="89"/>
      <c r="P910" s="90"/>
      <c r="Q910" s="89"/>
      <c r="R910" s="87"/>
    </row>
    <row r="911" spans="15:18">
      <c r="O911" s="89"/>
      <c r="P911" s="90"/>
      <c r="Q911" s="89"/>
      <c r="R911" s="87"/>
    </row>
    <row r="912" spans="15:18">
      <c r="O912" s="89"/>
      <c r="P912" s="90"/>
      <c r="Q912" s="89"/>
      <c r="R912" s="87"/>
    </row>
    <row r="913" spans="15:18">
      <c r="O913" s="89"/>
      <c r="P913" s="90"/>
      <c r="Q913" s="89"/>
      <c r="R913" s="87"/>
    </row>
    <row r="914" spans="15:18">
      <c r="O914" s="89"/>
      <c r="P914" s="90"/>
      <c r="Q914" s="89"/>
      <c r="R914" s="87"/>
    </row>
    <row r="915" spans="15:18">
      <c r="O915" s="89"/>
      <c r="P915" s="90"/>
      <c r="Q915" s="89"/>
      <c r="R915" s="87"/>
    </row>
    <row r="916" spans="15:18">
      <c r="O916" s="89"/>
      <c r="P916" s="90"/>
      <c r="Q916" s="89"/>
      <c r="R916" s="87"/>
    </row>
    <row r="917" spans="15:18">
      <c r="O917" s="89"/>
      <c r="P917" s="90"/>
      <c r="Q917" s="89"/>
      <c r="R917" s="87"/>
    </row>
    <row r="918" spans="15:18">
      <c r="O918" s="89"/>
      <c r="P918" s="90"/>
      <c r="Q918" s="89"/>
      <c r="R918" s="87"/>
    </row>
    <row r="919" spans="15:18">
      <c r="O919" s="89"/>
      <c r="P919" s="90"/>
      <c r="Q919" s="89"/>
      <c r="R919" s="87"/>
    </row>
    <row r="920" spans="15:18">
      <c r="O920" s="89"/>
      <c r="P920" s="90"/>
      <c r="Q920" s="89"/>
      <c r="R920" s="87"/>
    </row>
    <row r="921" spans="15:18">
      <c r="O921" s="89"/>
      <c r="P921" s="90"/>
      <c r="Q921" s="89"/>
      <c r="R921" s="87"/>
    </row>
    <row r="922" spans="15:18">
      <c r="O922" s="89"/>
      <c r="P922" s="90"/>
      <c r="Q922" s="89"/>
      <c r="R922" s="87"/>
    </row>
    <row r="923" spans="15:18">
      <c r="O923" s="89"/>
      <c r="P923" s="90"/>
      <c r="Q923" s="89"/>
      <c r="R923" s="87"/>
    </row>
    <row r="924" spans="15:18">
      <c r="O924" s="89"/>
      <c r="P924" s="90"/>
      <c r="Q924" s="89"/>
      <c r="R924" s="87"/>
    </row>
    <row r="925" spans="15:18">
      <c r="O925" s="89"/>
      <c r="P925" s="90"/>
      <c r="Q925" s="89"/>
      <c r="R925" s="87"/>
    </row>
    <row r="926" spans="15:18">
      <c r="O926" s="89"/>
      <c r="P926" s="90"/>
      <c r="Q926" s="89"/>
      <c r="R926" s="87"/>
    </row>
    <row r="927" spans="15:18">
      <c r="O927" s="89"/>
      <c r="P927" s="90"/>
      <c r="Q927" s="89"/>
      <c r="R927" s="87"/>
    </row>
    <row r="928" spans="15:18">
      <c r="O928" s="89"/>
      <c r="P928" s="90"/>
      <c r="Q928" s="89"/>
      <c r="R928" s="87"/>
    </row>
    <row r="929" spans="15:18">
      <c r="O929" s="89"/>
      <c r="P929" s="90"/>
      <c r="Q929" s="89"/>
      <c r="R929" s="87"/>
    </row>
    <row r="930" spans="15:18">
      <c r="O930" s="89"/>
      <c r="P930" s="90"/>
      <c r="Q930" s="89"/>
      <c r="R930" s="87"/>
    </row>
    <row r="931" spans="15:18">
      <c r="O931" s="89"/>
      <c r="P931" s="90"/>
      <c r="Q931" s="89"/>
      <c r="R931" s="87"/>
    </row>
    <row r="932" spans="15:18">
      <c r="O932" s="89"/>
      <c r="P932" s="90"/>
      <c r="Q932" s="89"/>
      <c r="R932" s="87"/>
    </row>
    <row r="933" spans="15:18">
      <c r="O933" s="89"/>
      <c r="P933" s="90"/>
      <c r="Q933" s="89"/>
      <c r="R933" s="87"/>
    </row>
    <row r="934" spans="15:18">
      <c r="O934" s="89"/>
      <c r="P934" s="90"/>
      <c r="Q934" s="89"/>
      <c r="R934" s="87"/>
    </row>
    <row r="935" spans="15:18">
      <c r="O935" s="89"/>
      <c r="P935" s="90"/>
      <c r="Q935" s="89"/>
      <c r="R935" s="87"/>
    </row>
    <row r="936" spans="15:18">
      <c r="O936" s="89"/>
      <c r="P936" s="90"/>
      <c r="Q936" s="89"/>
      <c r="R936" s="87"/>
    </row>
    <row r="937" spans="15:18">
      <c r="O937" s="89"/>
      <c r="P937" s="90"/>
      <c r="Q937" s="89"/>
      <c r="R937" s="87"/>
    </row>
    <row r="938" spans="15:18">
      <c r="O938" s="89"/>
      <c r="P938" s="90"/>
      <c r="Q938" s="89"/>
      <c r="R938" s="87"/>
    </row>
    <row r="939" spans="15:18">
      <c r="O939" s="89"/>
      <c r="P939" s="90"/>
      <c r="Q939" s="89"/>
      <c r="R939" s="87"/>
    </row>
    <row r="940" spans="15:18">
      <c r="O940" s="89"/>
      <c r="P940" s="90"/>
      <c r="Q940" s="89"/>
      <c r="R940" s="87"/>
    </row>
    <row r="941" spans="15:18">
      <c r="O941" s="89"/>
      <c r="P941" s="90"/>
      <c r="Q941" s="89"/>
      <c r="R941" s="87"/>
    </row>
    <row r="942" spans="15:18">
      <c r="O942" s="89"/>
      <c r="P942" s="90"/>
      <c r="Q942" s="89"/>
      <c r="R942" s="87"/>
    </row>
    <row r="943" spans="15:18">
      <c r="O943" s="89"/>
      <c r="P943" s="90"/>
      <c r="Q943" s="89"/>
      <c r="R943" s="87"/>
    </row>
    <row r="944" spans="15:18">
      <c r="O944" s="89"/>
      <c r="P944" s="90"/>
      <c r="Q944" s="89"/>
      <c r="R944" s="87"/>
    </row>
    <row r="945" spans="15:18">
      <c r="O945" s="89"/>
      <c r="P945" s="90"/>
      <c r="Q945" s="89"/>
      <c r="R945" s="87"/>
    </row>
    <row r="946" spans="15:18">
      <c r="O946" s="89"/>
      <c r="P946" s="90"/>
      <c r="Q946" s="89"/>
      <c r="R946" s="87"/>
    </row>
    <row r="947" spans="15:18">
      <c r="O947" s="89"/>
      <c r="P947" s="90"/>
      <c r="Q947" s="89"/>
      <c r="R947" s="87"/>
    </row>
    <row r="948" spans="15:18">
      <c r="O948" s="89"/>
      <c r="P948" s="90"/>
      <c r="Q948" s="89"/>
      <c r="R948" s="87"/>
    </row>
    <row r="949" spans="15:18">
      <c r="O949" s="89"/>
      <c r="P949" s="90"/>
      <c r="Q949" s="89"/>
      <c r="R949" s="87"/>
    </row>
    <row r="950" spans="15:18">
      <c r="O950" s="89"/>
      <c r="P950" s="90"/>
      <c r="Q950" s="89"/>
      <c r="R950" s="87"/>
    </row>
    <row r="951" spans="15:18">
      <c r="O951" s="89"/>
      <c r="P951" s="90"/>
      <c r="Q951" s="89"/>
      <c r="R951" s="87"/>
    </row>
    <row r="952" spans="15:18">
      <c r="O952" s="89"/>
      <c r="P952" s="90"/>
      <c r="Q952" s="89"/>
      <c r="R952" s="87"/>
    </row>
    <row r="953" spans="15:18">
      <c r="O953" s="89"/>
      <c r="P953" s="90"/>
      <c r="Q953" s="89"/>
      <c r="R953" s="87"/>
    </row>
    <row r="954" spans="15:18">
      <c r="O954" s="89"/>
      <c r="P954" s="90"/>
      <c r="Q954" s="89"/>
      <c r="R954" s="87"/>
    </row>
    <row r="955" spans="15:18">
      <c r="O955" s="89"/>
      <c r="P955" s="90"/>
      <c r="Q955" s="89"/>
      <c r="R955" s="87"/>
    </row>
    <row r="956" spans="15:18">
      <c r="O956" s="89"/>
      <c r="P956" s="90"/>
      <c r="Q956" s="89"/>
      <c r="R956" s="87"/>
    </row>
    <row r="957" spans="15:18">
      <c r="O957" s="89"/>
      <c r="P957" s="90"/>
      <c r="Q957" s="89"/>
      <c r="R957" s="87"/>
    </row>
    <row r="958" spans="15:18">
      <c r="O958" s="89"/>
      <c r="P958" s="90"/>
      <c r="Q958" s="89"/>
      <c r="R958" s="87"/>
    </row>
    <row r="959" spans="15:18">
      <c r="O959" s="89"/>
      <c r="P959" s="90"/>
      <c r="Q959" s="89"/>
      <c r="R959" s="87"/>
    </row>
    <row r="960" spans="15:18">
      <c r="O960" s="89"/>
      <c r="P960" s="90"/>
      <c r="Q960" s="89"/>
      <c r="R960" s="87"/>
    </row>
    <row r="961" spans="15:18">
      <c r="O961" s="89"/>
      <c r="P961" s="90"/>
      <c r="Q961" s="89"/>
      <c r="R961" s="87"/>
    </row>
    <row r="962" spans="15:18">
      <c r="O962" s="89"/>
      <c r="P962" s="90"/>
      <c r="Q962" s="89"/>
      <c r="R962" s="87"/>
    </row>
    <row r="963" spans="15:18">
      <c r="O963" s="89"/>
      <c r="P963" s="90"/>
      <c r="Q963" s="89"/>
      <c r="R963" s="87"/>
    </row>
    <row r="964" spans="15:18">
      <c r="O964" s="89"/>
      <c r="P964" s="90"/>
      <c r="Q964" s="89"/>
      <c r="R964" s="87"/>
    </row>
    <row r="965" spans="15:18">
      <c r="O965" s="89"/>
      <c r="P965" s="90"/>
      <c r="Q965" s="89"/>
      <c r="R965" s="87"/>
    </row>
    <row r="966" spans="15:18">
      <c r="O966" s="89"/>
      <c r="P966" s="90"/>
      <c r="Q966" s="89"/>
      <c r="R966" s="87"/>
    </row>
    <row r="967" spans="15:18">
      <c r="O967" s="89"/>
      <c r="P967" s="90"/>
      <c r="Q967" s="89"/>
      <c r="R967" s="87"/>
    </row>
    <row r="968" spans="15:18">
      <c r="O968" s="89"/>
      <c r="P968" s="90"/>
      <c r="Q968" s="89"/>
      <c r="R968" s="87"/>
    </row>
    <row r="969" spans="15:18">
      <c r="O969" s="89"/>
      <c r="P969" s="90"/>
      <c r="Q969" s="89"/>
      <c r="R969" s="87"/>
    </row>
    <row r="970" spans="15:18">
      <c r="O970" s="89"/>
      <c r="P970" s="90"/>
      <c r="Q970" s="89"/>
      <c r="R970" s="87"/>
    </row>
    <row r="971" spans="15:18">
      <c r="O971" s="89"/>
      <c r="P971" s="90"/>
      <c r="Q971" s="89"/>
      <c r="R971" s="87"/>
    </row>
    <row r="972" spans="15:18">
      <c r="O972" s="89"/>
      <c r="P972" s="90"/>
      <c r="Q972" s="89"/>
      <c r="R972" s="87"/>
    </row>
    <row r="973" spans="15:18">
      <c r="O973" s="89"/>
      <c r="P973" s="90"/>
      <c r="Q973" s="89"/>
      <c r="R973" s="87"/>
    </row>
    <row r="974" spans="15:18">
      <c r="O974" s="89"/>
      <c r="P974" s="90"/>
      <c r="Q974" s="89"/>
      <c r="R974" s="87"/>
    </row>
    <row r="975" spans="15:18">
      <c r="O975" s="89"/>
      <c r="P975" s="90"/>
      <c r="Q975" s="89"/>
      <c r="R975" s="87"/>
    </row>
    <row r="976" spans="15:18">
      <c r="O976" s="89"/>
      <c r="P976" s="90"/>
      <c r="Q976" s="89"/>
      <c r="R976" s="87"/>
    </row>
    <row r="977" spans="15:18">
      <c r="O977" s="89"/>
      <c r="P977" s="90"/>
      <c r="Q977" s="89"/>
      <c r="R977" s="87"/>
    </row>
    <row r="978" spans="15:18">
      <c r="O978" s="89"/>
      <c r="P978" s="90"/>
      <c r="Q978" s="89"/>
      <c r="R978" s="87"/>
    </row>
    <row r="979" spans="15:18">
      <c r="O979" s="89"/>
      <c r="P979" s="90"/>
      <c r="Q979" s="89"/>
      <c r="R979" s="87"/>
    </row>
    <row r="980" spans="15:18">
      <c r="O980" s="89"/>
      <c r="P980" s="90"/>
      <c r="Q980" s="89"/>
      <c r="R980" s="87"/>
    </row>
    <row r="981" spans="15:18">
      <c r="O981" s="89"/>
      <c r="P981" s="90"/>
      <c r="Q981" s="89"/>
      <c r="R981" s="87"/>
    </row>
    <row r="982" spans="15:18">
      <c r="O982" s="89"/>
      <c r="P982" s="90"/>
      <c r="Q982" s="89"/>
      <c r="R982" s="87"/>
    </row>
    <row r="983" spans="15:18">
      <c r="O983" s="89"/>
      <c r="P983" s="90"/>
      <c r="Q983" s="89"/>
      <c r="R983" s="87"/>
    </row>
    <row r="984" spans="15:18">
      <c r="O984" s="89"/>
      <c r="P984" s="90"/>
      <c r="Q984" s="89"/>
      <c r="R984" s="87"/>
    </row>
    <row r="985" spans="15:18">
      <c r="O985" s="89"/>
      <c r="P985" s="90"/>
      <c r="Q985" s="89"/>
      <c r="R985" s="87"/>
    </row>
    <row r="986" spans="15:18">
      <c r="O986" s="89"/>
      <c r="P986" s="90"/>
      <c r="Q986" s="89"/>
      <c r="R986" s="87"/>
    </row>
    <row r="987" spans="15:18">
      <c r="O987" s="89"/>
      <c r="P987" s="90"/>
      <c r="Q987" s="89"/>
      <c r="R987" s="87"/>
    </row>
    <row r="988" spans="15:18">
      <c r="O988" s="89"/>
      <c r="P988" s="90"/>
      <c r="Q988" s="89"/>
      <c r="R988" s="87"/>
    </row>
    <row r="989" spans="15:18">
      <c r="O989" s="89"/>
      <c r="P989" s="90"/>
      <c r="Q989" s="89"/>
      <c r="R989" s="87"/>
    </row>
    <row r="990" spans="15:18">
      <c r="O990" s="89"/>
      <c r="P990" s="90"/>
      <c r="Q990" s="89"/>
      <c r="R990" s="87"/>
    </row>
    <row r="991" spans="15:18">
      <c r="O991" s="89"/>
      <c r="P991" s="90"/>
      <c r="Q991" s="89"/>
      <c r="R991" s="87"/>
    </row>
    <row r="992" spans="15:18">
      <c r="O992" s="89"/>
      <c r="P992" s="90"/>
      <c r="Q992" s="89"/>
      <c r="R992" s="87"/>
    </row>
    <row r="993" spans="15:18">
      <c r="O993" s="89"/>
      <c r="P993" s="90"/>
      <c r="Q993" s="89"/>
      <c r="R993" s="87"/>
    </row>
    <row r="994" spans="15:18">
      <c r="O994" s="89"/>
      <c r="P994" s="90"/>
      <c r="Q994" s="89"/>
      <c r="R994" s="87"/>
    </row>
    <row r="995" spans="15:18">
      <c r="O995" s="89"/>
      <c r="P995" s="90"/>
      <c r="Q995" s="89"/>
      <c r="R995" s="87"/>
    </row>
    <row r="996" spans="15:18">
      <c r="O996" s="89"/>
      <c r="P996" s="90"/>
      <c r="Q996" s="89"/>
      <c r="R996" s="87"/>
    </row>
    <row r="997" spans="15:18">
      <c r="O997" s="89"/>
      <c r="P997" s="90"/>
      <c r="Q997" s="89"/>
      <c r="R997" s="87"/>
    </row>
    <row r="998" spans="15:18">
      <c r="O998" s="89"/>
      <c r="P998" s="90"/>
      <c r="Q998" s="89"/>
      <c r="R998" s="87"/>
    </row>
    <row r="999" spans="15:18">
      <c r="O999" s="89"/>
      <c r="P999" s="90"/>
      <c r="Q999" s="89"/>
      <c r="R999" s="87"/>
    </row>
    <row r="1000" spans="15:18">
      <c r="O1000" s="89"/>
      <c r="P1000" s="90"/>
      <c r="Q1000" s="89"/>
      <c r="R1000" s="87"/>
    </row>
    <row r="1001" spans="15:18">
      <c r="O1001" s="89"/>
      <c r="P1001" s="90"/>
      <c r="Q1001" s="89"/>
      <c r="R1001" s="87"/>
    </row>
    <row r="1002" spans="15:18">
      <c r="O1002" s="89"/>
      <c r="P1002" s="90"/>
      <c r="Q1002" s="89"/>
      <c r="R1002" s="87"/>
    </row>
    <row r="1003" spans="15:18">
      <c r="O1003" s="89"/>
      <c r="P1003" s="90"/>
      <c r="Q1003" s="89"/>
      <c r="R1003" s="87"/>
    </row>
    <row r="1004" spans="15:18">
      <c r="O1004" s="89"/>
      <c r="P1004" s="90"/>
      <c r="Q1004" s="89"/>
      <c r="R1004" s="87"/>
    </row>
    <row r="1005" spans="15:18">
      <c r="O1005" s="89"/>
      <c r="P1005" s="90"/>
      <c r="Q1005" s="89"/>
      <c r="R1005" s="87"/>
    </row>
    <row r="1006" spans="15:18">
      <c r="O1006" s="89"/>
      <c r="P1006" s="90"/>
      <c r="Q1006" s="89"/>
      <c r="R1006" s="87"/>
    </row>
    <row r="1007" spans="15:18">
      <c r="O1007" s="89"/>
      <c r="P1007" s="90"/>
      <c r="Q1007" s="89"/>
      <c r="R1007" s="87"/>
    </row>
    <row r="1008" spans="15:18">
      <c r="O1008" s="89"/>
      <c r="P1008" s="90"/>
      <c r="Q1008" s="89"/>
      <c r="R1008" s="87"/>
    </row>
    <row r="1009" spans="15:18">
      <c r="O1009" s="89"/>
      <c r="P1009" s="90"/>
      <c r="Q1009" s="89"/>
      <c r="R1009" s="87"/>
    </row>
    <row r="1010" spans="15:18">
      <c r="O1010" s="89"/>
      <c r="P1010" s="90"/>
      <c r="Q1010" s="89"/>
      <c r="R1010" s="87"/>
    </row>
    <row r="1011" spans="15:18">
      <c r="O1011" s="89"/>
      <c r="P1011" s="90"/>
      <c r="Q1011" s="89"/>
      <c r="R1011" s="87"/>
    </row>
    <row r="1012" spans="15:18">
      <c r="O1012" s="89"/>
      <c r="P1012" s="90"/>
      <c r="Q1012" s="89"/>
      <c r="R1012" s="87"/>
    </row>
    <row r="1013" spans="15:18">
      <c r="O1013" s="89"/>
      <c r="P1013" s="90"/>
      <c r="Q1013" s="89"/>
      <c r="R1013" s="87"/>
    </row>
    <row r="1014" spans="15:18">
      <c r="O1014" s="89"/>
      <c r="P1014" s="90"/>
      <c r="Q1014" s="89"/>
      <c r="R1014" s="87"/>
    </row>
    <row r="1015" spans="15:18">
      <c r="O1015" s="89"/>
      <c r="P1015" s="90"/>
      <c r="Q1015" s="89"/>
      <c r="R1015" s="87"/>
    </row>
    <row r="1016" spans="15:18">
      <c r="O1016" s="89"/>
      <c r="P1016" s="90"/>
      <c r="Q1016" s="89"/>
      <c r="R1016" s="87"/>
    </row>
    <row r="1017" spans="15:18">
      <c r="O1017" s="89"/>
      <c r="P1017" s="90"/>
      <c r="Q1017" s="89"/>
      <c r="R1017" s="87"/>
    </row>
    <row r="1018" spans="15:18">
      <c r="O1018" s="89"/>
      <c r="P1018" s="90"/>
      <c r="Q1018" s="89"/>
      <c r="R1018" s="87"/>
    </row>
    <row r="1019" spans="15:18">
      <c r="O1019" s="89"/>
      <c r="P1019" s="90"/>
      <c r="Q1019" s="89"/>
      <c r="R1019" s="87"/>
    </row>
    <row r="1020" spans="15:18">
      <c r="O1020" s="89"/>
      <c r="P1020" s="90"/>
      <c r="Q1020" s="89"/>
      <c r="R1020" s="87"/>
    </row>
    <row r="1021" spans="15:18">
      <c r="O1021" s="89"/>
      <c r="P1021" s="90"/>
      <c r="Q1021" s="89"/>
      <c r="R1021" s="87"/>
    </row>
    <row r="1022" spans="15:18">
      <c r="O1022" s="89"/>
      <c r="P1022" s="90"/>
      <c r="Q1022" s="89"/>
      <c r="R1022" s="87"/>
    </row>
    <row r="1023" spans="15:18">
      <c r="O1023" s="89"/>
      <c r="P1023" s="90"/>
      <c r="Q1023" s="89"/>
      <c r="R1023" s="87"/>
    </row>
    <row r="1024" spans="15:18">
      <c r="O1024" s="89"/>
      <c r="P1024" s="90"/>
      <c r="Q1024" s="89"/>
      <c r="R1024" s="87"/>
    </row>
    <row r="1025" spans="15:18">
      <c r="O1025" s="89"/>
      <c r="P1025" s="90"/>
      <c r="Q1025" s="89"/>
      <c r="R1025" s="87"/>
    </row>
    <row r="1026" spans="15:18">
      <c r="O1026" s="89"/>
      <c r="P1026" s="90"/>
      <c r="Q1026" s="89"/>
      <c r="R1026" s="87"/>
    </row>
    <row r="1027" spans="15:18">
      <c r="O1027" s="89"/>
      <c r="P1027" s="90"/>
      <c r="Q1027" s="89"/>
      <c r="R1027" s="87"/>
    </row>
    <row r="1028" spans="15:18">
      <c r="O1028" s="89"/>
      <c r="P1028" s="90"/>
      <c r="Q1028" s="89"/>
      <c r="R1028" s="87"/>
    </row>
    <row r="1029" spans="15:18">
      <c r="O1029" s="89"/>
      <c r="P1029" s="90"/>
      <c r="Q1029" s="89"/>
      <c r="R1029" s="87"/>
    </row>
    <row r="1030" spans="15:18">
      <c r="O1030" s="89"/>
      <c r="P1030" s="90"/>
      <c r="Q1030" s="89"/>
      <c r="R1030" s="87"/>
    </row>
    <row r="1031" spans="15:18">
      <c r="O1031" s="89"/>
      <c r="P1031" s="90"/>
      <c r="Q1031" s="89"/>
      <c r="R1031" s="87"/>
    </row>
    <row r="1032" spans="15:18">
      <c r="O1032" s="89"/>
      <c r="P1032" s="90"/>
      <c r="Q1032" s="89"/>
      <c r="R1032" s="87"/>
    </row>
    <row r="1033" spans="15:18">
      <c r="O1033" s="89"/>
      <c r="P1033" s="90"/>
      <c r="Q1033" s="89"/>
      <c r="R1033" s="87"/>
    </row>
    <row r="1034" spans="15:18">
      <c r="O1034" s="89"/>
      <c r="P1034" s="90"/>
      <c r="Q1034" s="89"/>
      <c r="R1034" s="87"/>
    </row>
    <row r="1035" spans="15:18">
      <c r="O1035" s="89"/>
      <c r="P1035" s="90"/>
      <c r="Q1035" s="89"/>
      <c r="R1035" s="87"/>
    </row>
    <row r="1036" spans="15:18">
      <c r="O1036" s="89"/>
      <c r="P1036" s="90"/>
      <c r="Q1036" s="89"/>
      <c r="R1036" s="87"/>
    </row>
    <row r="1037" spans="15:18">
      <c r="O1037" s="89"/>
      <c r="P1037" s="90"/>
      <c r="Q1037" s="89"/>
      <c r="R1037" s="87"/>
    </row>
    <row r="1038" spans="15:18">
      <c r="O1038" s="89"/>
      <c r="P1038" s="90"/>
      <c r="Q1038" s="89"/>
      <c r="R1038" s="87"/>
    </row>
    <row r="1039" spans="15:18">
      <c r="O1039" s="89"/>
      <c r="P1039" s="90"/>
      <c r="Q1039" s="89"/>
      <c r="R1039" s="87"/>
    </row>
    <row r="1040" spans="15:18">
      <c r="O1040" s="89"/>
      <c r="P1040" s="90"/>
      <c r="Q1040" s="89"/>
      <c r="R1040" s="87"/>
    </row>
    <row r="1041" spans="15:18">
      <c r="O1041" s="89"/>
      <c r="P1041" s="90"/>
      <c r="Q1041" s="89"/>
      <c r="R1041" s="87"/>
    </row>
    <row r="1042" spans="15:18">
      <c r="O1042" s="89"/>
      <c r="P1042" s="90"/>
      <c r="Q1042" s="89"/>
      <c r="R1042" s="87"/>
    </row>
    <row r="1043" spans="15:18">
      <c r="O1043" s="89"/>
      <c r="P1043" s="90"/>
      <c r="Q1043" s="89"/>
      <c r="R1043" s="87"/>
    </row>
    <row r="1044" spans="15:18">
      <c r="O1044" s="89"/>
      <c r="P1044" s="90"/>
      <c r="Q1044" s="89"/>
      <c r="R1044" s="87"/>
    </row>
    <row r="1045" spans="15:18">
      <c r="O1045" s="89"/>
      <c r="P1045" s="90"/>
      <c r="Q1045" s="89"/>
      <c r="R1045" s="87"/>
    </row>
    <row r="1046" spans="15:18">
      <c r="O1046" s="89"/>
      <c r="P1046" s="90"/>
      <c r="Q1046" s="89"/>
      <c r="R1046" s="87"/>
    </row>
    <row r="1047" spans="15:18">
      <c r="O1047" s="89"/>
      <c r="P1047" s="90"/>
      <c r="Q1047" s="89"/>
      <c r="R1047" s="87"/>
    </row>
    <row r="1048" spans="15:18">
      <c r="O1048" s="89"/>
      <c r="P1048" s="90"/>
      <c r="Q1048" s="89"/>
      <c r="R1048" s="87"/>
    </row>
    <row r="1049" spans="15:18">
      <c r="O1049" s="89"/>
      <c r="P1049" s="90"/>
      <c r="Q1049" s="89"/>
      <c r="R1049" s="87"/>
    </row>
    <row r="1050" spans="15:18">
      <c r="O1050" s="89"/>
      <c r="P1050" s="90"/>
      <c r="Q1050" s="89"/>
      <c r="R1050" s="87"/>
    </row>
    <row r="1051" spans="15:18">
      <c r="O1051" s="89"/>
      <c r="P1051" s="90"/>
      <c r="Q1051" s="89"/>
      <c r="R1051" s="87"/>
    </row>
    <row r="1052" spans="15:18">
      <c r="O1052" s="89"/>
      <c r="P1052" s="90"/>
      <c r="Q1052" s="89"/>
      <c r="R1052" s="87"/>
    </row>
    <row r="1053" spans="15:18">
      <c r="O1053" s="89"/>
      <c r="P1053" s="90"/>
      <c r="Q1053" s="89"/>
      <c r="R1053" s="87"/>
    </row>
    <row r="1054" spans="15:18">
      <c r="O1054" s="89"/>
      <c r="P1054" s="90"/>
      <c r="Q1054" s="89"/>
      <c r="R1054" s="87"/>
    </row>
    <row r="1055" spans="15:18">
      <c r="O1055" s="89"/>
      <c r="P1055" s="90"/>
      <c r="Q1055" s="89"/>
      <c r="R1055" s="87"/>
    </row>
    <row r="1056" spans="15:18">
      <c r="O1056" s="89"/>
      <c r="P1056" s="90"/>
      <c r="Q1056" s="89"/>
      <c r="R1056" s="87"/>
    </row>
    <row r="1057" spans="15:18">
      <c r="O1057" s="89"/>
      <c r="P1057" s="90"/>
      <c r="Q1057" s="89"/>
      <c r="R1057" s="87"/>
    </row>
    <row r="1058" spans="15:18">
      <c r="O1058" s="89"/>
      <c r="P1058" s="90"/>
      <c r="Q1058" s="89"/>
      <c r="R1058" s="87"/>
    </row>
    <row r="1059" spans="15:18">
      <c r="O1059" s="89"/>
      <c r="P1059" s="90"/>
      <c r="Q1059" s="89"/>
      <c r="R1059" s="87"/>
    </row>
    <row r="1060" spans="15:18">
      <c r="O1060" s="89"/>
      <c r="P1060" s="90"/>
      <c r="Q1060" s="89"/>
      <c r="R1060" s="87"/>
    </row>
    <row r="1061" spans="15:18">
      <c r="O1061" s="89"/>
      <c r="P1061" s="90"/>
      <c r="Q1061" s="89"/>
      <c r="R1061" s="87"/>
    </row>
    <row r="1062" spans="15:18">
      <c r="O1062" s="89"/>
      <c r="P1062" s="90"/>
      <c r="Q1062" s="89"/>
      <c r="R1062" s="87"/>
    </row>
    <row r="1063" spans="15:18">
      <c r="O1063" s="89"/>
      <c r="P1063" s="90"/>
      <c r="Q1063" s="89"/>
      <c r="R1063" s="87"/>
    </row>
    <row r="1064" spans="15:18">
      <c r="O1064" s="89"/>
      <c r="P1064" s="90"/>
      <c r="Q1064" s="89"/>
      <c r="R1064" s="87"/>
    </row>
    <row r="1065" spans="15:18">
      <c r="O1065" s="89"/>
      <c r="P1065" s="90"/>
      <c r="Q1065" s="89"/>
      <c r="R1065" s="87"/>
    </row>
    <row r="1066" spans="15:18">
      <c r="O1066" s="89"/>
      <c r="P1066" s="90"/>
      <c r="Q1066" s="89"/>
      <c r="R1066" s="87"/>
    </row>
    <row r="1067" spans="15:18">
      <c r="O1067" s="89"/>
      <c r="P1067" s="90"/>
      <c r="Q1067" s="89"/>
      <c r="R1067" s="87"/>
    </row>
    <row r="1068" spans="15:18">
      <c r="O1068" s="89"/>
      <c r="P1068" s="90"/>
      <c r="Q1068" s="89"/>
      <c r="R1068" s="87"/>
    </row>
    <row r="1069" spans="15:18">
      <c r="O1069" s="89"/>
      <c r="P1069" s="90"/>
      <c r="Q1069" s="89"/>
      <c r="R1069" s="87"/>
    </row>
    <row r="1070" spans="15:18">
      <c r="O1070" s="89"/>
      <c r="P1070" s="90"/>
      <c r="Q1070" s="89"/>
      <c r="R1070" s="87"/>
    </row>
    <row r="1071" spans="15:18">
      <c r="O1071" s="89"/>
      <c r="P1071" s="90"/>
      <c r="Q1071" s="89"/>
      <c r="R1071" s="87"/>
    </row>
    <row r="1072" spans="15:18">
      <c r="O1072" s="89"/>
      <c r="P1072" s="90"/>
      <c r="Q1072" s="89"/>
      <c r="R1072" s="87"/>
    </row>
    <row r="1073" spans="15:18">
      <c r="O1073" s="89"/>
      <c r="P1073" s="90"/>
      <c r="Q1073" s="89"/>
      <c r="R1073" s="87"/>
    </row>
    <row r="1074" spans="15:18">
      <c r="O1074" s="89"/>
      <c r="P1074" s="90"/>
      <c r="Q1074" s="89"/>
      <c r="R1074" s="87"/>
    </row>
    <row r="1075" spans="15:18">
      <c r="O1075" s="89"/>
      <c r="P1075" s="90"/>
      <c r="Q1075" s="89"/>
      <c r="R1075" s="87"/>
    </row>
    <row r="1076" spans="15:18">
      <c r="O1076" s="89"/>
      <c r="P1076" s="90"/>
      <c r="Q1076" s="89"/>
      <c r="R1076" s="87"/>
    </row>
    <row r="1077" spans="15:18">
      <c r="O1077" s="89"/>
      <c r="P1077" s="90"/>
      <c r="Q1077" s="89"/>
      <c r="R1077" s="87"/>
    </row>
    <row r="1078" spans="15:18">
      <c r="O1078" s="89"/>
      <c r="P1078" s="90"/>
      <c r="Q1078" s="89"/>
      <c r="R1078" s="87"/>
    </row>
    <row r="1079" spans="15:18">
      <c r="O1079" s="89"/>
      <c r="P1079" s="90"/>
      <c r="Q1079" s="89"/>
      <c r="R1079" s="87"/>
    </row>
    <row r="1080" spans="15:18">
      <c r="O1080" s="89"/>
      <c r="P1080" s="90"/>
      <c r="Q1080" s="89"/>
      <c r="R1080" s="87"/>
    </row>
    <row r="1081" spans="15:18">
      <c r="O1081" s="89"/>
      <c r="P1081" s="90"/>
      <c r="Q1081" s="89"/>
      <c r="R1081" s="87"/>
    </row>
    <row r="1082" spans="15:18">
      <c r="O1082" s="89"/>
      <c r="P1082" s="90"/>
      <c r="Q1082" s="89"/>
      <c r="R1082" s="87"/>
    </row>
    <row r="1083" spans="15:18">
      <c r="O1083" s="89"/>
      <c r="P1083" s="90"/>
      <c r="Q1083" s="89"/>
      <c r="R1083" s="87"/>
    </row>
    <row r="1084" spans="15:18">
      <c r="O1084" s="89"/>
      <c r="P1084" s="90"/>
      <c r="Q1084" s="89"/>
      <c r="R1084" s="87"/>
    </row>
    <row r="1085" spans="15:18">
      <c r="O1085" s="89"/>
      <c r="P1085" s="90"/>
      <c r="Q1085" s="89"/>
      <c r="R1085" s="87"/>
    </row>
    <row r="1086" spans="15:18">
      <c r="O1086" s="89"/>
      <c r="P1086" s="90"/>
      <c r="Q1086" s="89"/>
      <c r="R1086" s="87"/>
    </row>
    <row r="1087" spans="15:18">
      <c r="O1087" s="89"/>
      <c r="P1087" s="90"/>
      <c r="Q1087" s="89"/>
      <c r="R1087" s="87"/>
    </row>
    <row r="1088" spans="15:18">
      <c r="O1088" s="89"/>
      <c r="P1088" s="90"/>
      <c r="Q1088" s="89"/>
      <c r="R1088" s="87"/>
    </row>
    <row r="1089" spans="15:18">
      <c r="O1089" s="89"/>
      <c r="P1089" s="90"/>
      <c r="Q1089" s="89"/>
      <c r="R1089" s="87"/>
    </row>
    <row r="1090" spans="15:18">
      <c r="O1090" s="89"/>
      <c r="P1090" s="90"/>
      <c r="Q1090" s="89"/>
      <c r="R1090" s="87"/>
    </row>
    <row r="1091" spans="15:18">
      <c r="O1091" s="89"/>
      <c r="P1091" s="90"/>
      <c r="Q1091" s="89"/>
      <c r="R1091" s="87"/>
    </row>
    <row r="1092" spans="15:18">
      <c r="O1092" s="89"/>
      <c r="P1092" s="90"/>
      <c r="Q1092" s="89"/>
      <c r="R1092" s="87"/>
    </row>
    <row r="1093" spans="15:18">
      <c r="O1093" s="89"/>
      <c r="P1093" s="90"/>
      <c r="Q1093" s="89"/>
      <c r="R1093" s="87"/>
    </row>
    <row r="1094" spans="15:18">
      <c r="O1094" s="89"/>
      <c r="P1094" s="90"/>
      <c r="Q1094" s="89"/>
      <c r="R1094" s="87"/>
    </row>
    <row r="1095" spans="15:18">
      <c r="O1095" s="89"/>
      <c r="P1095" s="90"/>
      <c r="Q1095" s="89"/>
      <c r="R1095" s="87"/>
    </row>
    <row r="1096" spans="15:18">
      <c r="O1096" s="89"/>
      <c r="P1096" s="90"/>
      <c r="Q1096" s="89"/>
      <c r="R1096" s="87"/>
    </row>
    <row r="1097" spans="15:18">
      <c r="O1097" s="89"/>
      <c r="P1097" s="90"/>
      <c r="Q1097" s="89"/>
      <c r="R1097" s="87"/>
    </row>
    <row r="1098" spans="15:18">
      <c r="O1098" s="89"/>
      <c r="P1098" s="90"/>
      <c r="Q1098" s="89"/>
      <c r="R1098" s="87"/>
    </row>
    <row r="1099" spans="15:18">
      <c r="O1099" s="89"/>
      <c r="P1099" s="90"/>
      <c r="Q1099" s="89"/>
      <c r="R1099" s="87"/>
    </row>
    <row r="1100" spans="15:18">
      <c r="O1100" s="89"/>
      <c r="P1100" s="90"/>
      <c r="Q1100" s="89"/>
      <c r="R1100" s="87"/>
    </row>
    <row r="1101" spans="15:18">
      <c r="O1101" s="89"/>
      <c r="P1101" s="90"/>
      <c r="Q1101" s="89"/>
      <c r="R1101" s="87"/>
    </row>
    <row r="1102" spans="15:18">
      <c r="O1102" s="89"/>
      <c r="P1102" s="90"/>
      <c r="Q1102" s="89"/>
      <c r="R1102" s="87"/>
    </row>
    <row r="1103" spans="15:18">
      <c r="O1103" s="89"/>
      <c r="P1103" s="90"/>
      <c r="Q1103" s="89"/>
      <c r="R1103" s="87"/>
    </row>
    <row r="1104" spans="15:18">
      <c r="O1104" s="89"/>
      <c r="P1104" s="90"/>
      <c r="Q1104" s="89"/>
      <c r="R1104" s="87"/>
    </row>
    <row r="1105" spans="15:18">
      <c r="O1105" s="89"/>
      <c r="P1105" s="90"/>
      <c r="Q1105" s="89"/>
      <c r="R1105" s="87"/>
    </row>
    <row r="1106" spans="15:18">
      <c r="O1106" s="89"/>
      <c r="P1106" s="90"/>
      <c r="Q1106" s="89"/>
      <c r="R1106" s="87"/>
    </row>
    <row r="1107" spans="15:18">
      <c r="O1107" s="89"/>
      <c r="P1107" s="90"/>
      <c r="Q1107" s="89"/>
      <c r="R1107" s="87"/>
    </row>
    <row r="1108" spans="15:18">
      <c r="O1108" s="89"/>
      <c r="P1108" s="90"/>
      <c r="Q1108" s="89"/>
      <c r="R1108" s="87"/>
    </row>
    <row r="1109" spans="15:18">
      <c r="O1109" s="89"/>
      <c r="P1109" s="90"/>
      <c r="Q1109" s="89"/>
      <c r="R1109" s="87"/>
    </row>
    <row r="1110" spans="15:18">
      <c r="O1110" s="89"/>
      <c r="P1110" s="90"/>
      <c r="Q1110" s="89"/>
      <c r="R1110" s="87"/>
    </row>
    <row r="1111" spans="15:18">
      <c r="O1111" s="89"/>
      <c r="P1111" s="90"/>
      <c r="Q1111" s="89"/>
      <c r="R1111" s="87"/>
    </row>
    <row r="1112" spans="15:18">
      <c r="O1112" s="89"/>
      <c r="P1112" s="90"/>
      <c r="Q1112" s="89"/>
      <c r="R1112" s="87"/>
    </row>
    <row r="1113" spans="15:18">
      <c r="O1113" s="89"/>
      <c r="P1113" s="90"/>
      <c r="Q1113" s="89"/>
      <c r="R1113" s="87"/>
    </row>
    <row r="1114" spans="15:18">
      <c r="O1114" s="89"/>
      <c r="P1114" s="90"/>
      <c r="Q1114" s="89"/>
      <c r="R1114" s="87"/>
    </row>
    <row r="1115" spans="15:18">
      <c r="O1115" s="89"/>
      <c r="P1115" s="90"/>
      <c r="Q1115" s="89"/>
      <c r="R1115" s="87"/>
    </row>
    <row r="1116" spans="15:18">
      <c r="O1116" s="89"/>
      <c r="P1116" s="90"/>
      <c r="Q1116" s="89"/>
      <c r="R1116" s="87"/>
    </row>
    <row r="1117" spans="15:18">
      <c r="O1117" s="89"/>
      <c r="P1117" s="90"/>
      <c r="Q1117" s="89"/>
      <c r="R1117" s="87"/>
    </row>
    <row r="1118" spans="15:18">
      <c r="O1118" s="89"/>
      <c r="P1118" s="90"/>
      <c r="Q1118" s="89"/>
      <c r="R1118" s="87"/>
    </row>
    <row r="1119" spans="15:18">
      <c r="O1119" s="89"/>
      <c r="P1119" s="90"/>
      <c r="Q1119" s="89"/>
      <c r="R1119" s="87"/>
    </row>
    <row r="1120" spans="15:18">
      <c r="O1120" s="89"/>
      <c r="P1120" s="90"/>
      <c r="Q1120" s="89"/>
      <c r="R1120" s="87"/>
    </row>
    <row r="1121" spans="15:18">
      <c r="O1121" s="89"/>
      <c r="P1121" s="90"/>
      <c r="Q1121" s="89"/>
      <c r="R1121" s="87"/>
    </row>
    <row r="1122" spans="15:18">
      <c r="O1122" s="89"/>
      <c r="P1122" s="90"/>
      <c r="Q1122" s="89"/>
      <c r="R1122" s="87"/>
    </row>
    <row r="1123" spans="15:18">
      <c r="O1123" s="89"/>
      <c r="P1123" s="90"/>
      <c r="Q1123" s="89"/>
      <c r="R1123" s="87"/>
    </row>
    <row r="1124" spans="15:18">
      <c r="O1124" s="89"/>
      <c r="P1124" s="90"/>
      <c r="Q1124" s="89"/>
      <c r="R1124" s="87"/>
    </row>
    <row r="1125" spans="15:18">
      <c r="O1125" s="89"/>
      <c r="P1125" s="90"/>
      <c r="Q1125" s="89"/>
      <c r="R1125" s="87"/>
    </row>
    <row r="1126" spans="15:18">
      <c r="O1126" s="89"/>
      <c r="P1126" s="90"/>
      <c r="Q1126" s="89"/>
      <c r="R1126" s="87"/>
    </row>
    <row r="1127" spans="15:18">
      <c r="O1127" s="89"/>
      <c r="P1127" s="90"/>
      <c r="Q1127" s="89"/>
      <c r="R1127" s="87"/>
    </row>
    <row r="1128" spans="15:18">
      <c r="O1128" s="89"/>
      <c r="P1128" s="90"/>
      <c r="Q1128" s="89"/>
      <c r="R1128" s="87"/>
    </row>
    <row r="1129" spans="15:18">
      <c r="O1129" s="89"/>
      <c r="P1129" s="90"/>
      <c r="Q1129" s="89"/>
      <c r="R1129" s="87"/>
    </row>
    <row r="1130" spans="15:18">
      <c r="O1130" s="89"/>
      <c r="P1130" s="90"/>
      <c r="Q1130" s="89"/>
      <c r="R1130" s="87"/>
    </row>
    <row r="1131" spans="15:18">
      <c r="O1131" s="89"/>
      <c r="P1131" s="90"/>
      <c r="Q1131" s="89"/>
      <c r="R1131" s="87"/>
    </row>
    <row r="1132" spans="15:18">
      <c r="O1132" s="89"/>
      <c r="P1132" s="90"/>
      <c r="Q1132" s="89"/>
      <c r="R1132" s="87"/>
    </row>
    <row r="1133" spans="15:18">
      <c r="O1133" s="89"/>
      <c r="P1133" s="90"/>
      <c r="Q1133" s="89"/>
      <c r="R1133" s="87"/>
    </row>
    <row r="1134" spans="15:18">
      <c r="O1134" s="89"/>
      <c r="P1134" s="90"/>
      <c r="Q1134" s="89"/>
      <c r="R1134" s="87"/>
    </row>
    <row r="1135" spans="15:18">
      <c r="O1135" s="89"/>
      <c r="P1135" s="90"/>
      <c r="Q1135" s="89"/>
      <c r="R1135" s="87"/>
    </row>
    <row r="1136" spans="15:18">
      <c r="O1136" s="89"/>
      <c r="P1136" s="90"/>
      <c r="Q1136" s="89"/>
      <c r="R1136" s="87"/>
    </row>
    <row r="1137" spans="15:18">
      <c r="O1137" s="89"/>
      <c r="P1137" s="90"/>
      <c r="Q1137" s="89"/>
      <c r="R1137" s="87"/>
    </row>
    <row r="1138" spans="15:18">
      <c r="O1138" s="89"/>
      <c r="P1138" s="90"/>
      <c r="Q1138" s="89"/>
      <c r="R1138" s="87"/>
    </row>
    <row r="1139" spans="15:18">
      <c r="O1139" s="89"/>
      <c r="P1139" s="90"/>
      <c r="Q1139" s="89"/>
      <c r="R1139" s="87"/>
    </row>
    <row r="1140" spans="15:18">
      <c r="O1140" s="89"/>
      <c r="P1140" s="90"/>
      <c r="Q1140" s="89"/>
      <c r="R1140" s="87"/>
    </row>
    <row r="1141" spans="15:18">
      <c r="O1141" s="89"/>
      <c r="P1141" s="90"/>
      <c r="Q1141" s="89"/>
      <c r="R1141" s="87"/>
    </row>
    <row r="1142" spans="15:18">
      <c r="O1142" s="89"/>
      <c r="P1142" s="90"/>
      <c r="Q1142" s="89"/>
      <c r="R1142" s="87"/>
    </row>
    <row r="1143" spans="15:18">
      <c r="O1143" s="89"/>
      <c r="P1143" s="90"/>
      <c r="Q1143" s="89"/>
      <c r="R1143" s="87"/>
    </row>
    <row r="1144" spans="15:18">
      <c r="O1144" s="89"/>
      <c r="P1144" s="90"/>
      <c r="Q1144" s="89"/>
      <c r="R1144" s="87"/>
    </row>
    <row r="1145" spans="15:18">
      <c r="O1145" s="89"/>
      <c r="P1145" s="90"/>
      <c r="Q1145" s="89"/>
      <c r="R1145" s="87"/>
    </row>
    <row r="1146" spans="15:18">
      <c r="O1146" s="89"/>
      <c r="P1146" s="90"/>
      <c r="Q1146" s="89"/>
      <c r="R1146" s="87"/>
    </row>
    <row r="1147" spans="15:18">
      <c r="O1147" s="89"/>
      <c r="P1147" s="90"/>
      <c r="Q1147" s="89"/>
      <c r="R1147" s="87"/>
    </row>
    <row r="1148" spans="15:18">
      <c r="O1148" s="89"/>
      <c r="P1148" s="90"/>
      <c r="Q1148" s="89"/>
      <c r="R1148" s="87"/>
    </row>
    <row r="1149" spans="15:18">
      <c r="O1149" s="89"/>
      <c r="P1149" s="90"/>
      <c r="Q1149" s="89"/>
      <c r="R1149" s="87"/>
    </row>
    <row r="1150" spans="15:18">
      <c r="O1150" s="89"/>
      <c r="P1150" s="90"/>
      <c r="Q1150" s="89"/>
      <c r="R1150" s="87"/>
    </row>
    <row r="1151" spans="15:18">
      <c r="O1151" s="89"/>
      <c r="P1151" s="90"/>
      <c r="Q1151" s="89"/>
      <c r="R1151" s="87"/>
    </row>
    <row r="1152" spans="15:18">
      <c r="O1152" s="89"/>
      <c r="P1152" s="90"/>
      <c r="Q1152" s="89"/>
      <c r="R1152" s="87"/>
    </row>
    <row r="1153" spans="15:18">
      <c r="O1153" s="89"/>
      <c r="P1153" s="90"/>
      <c r="Q1153" s="89"/>
      <c r="R1153" s="87"/>
    </row>
    <row r="1154" spans="15:18">
      <c r="O1154" s="89"/>
      <c r="P1154" s="90"/>
      <c r="Q1154" s="89"/>
      <c r="R1154" s="87"/>
    </row>
    <row r="1155" spans="15:18">
      <c r="O1155" s="89"/>
      <c r="P1155" s="90"/>
      <c r="Q1155" s="89"/>
      <c r="R1155" s="87"/>
    </row>
    <row r="1156" spans="15:18">
      <c r="O1156" s="89"/>
      <c r="P1156" s="90"/>
      <c r="Q1156" s="89"/>
      <c r="R1156" s="87"/>
    </row>
    <row r="1157" spans="15:18">
      <c r="O1157" s="89"/>
      <c r="P1157" s="90"/>
      <c r="Q1157" s="89"/>
      <c r="R1157" s="87"/>
    </row>
    <row r="1158" spans="15:18">
      <c r="O1158" s="89"/>
      <c r="P1158" s="90"/>
      <c r="Q1158" s="89"/>
      <c r="R1158" s="87"/>
    </row>
    <row r="1159" spans="15:18">
      <c r="O1159" s="89"/>
      <c r="P1159" s="90"/>
      <c r="Q1159" s="89"/>
      <c r="R1159" s="87"/>
    </row>
    <row r="1160" spans="15:18">
      <c r="O1160" s="89"/>
      <c r="P1160" s="90"/>
      <c r="Q1160" s="89"/>
      <c r="R1160" s="87"/>
    </row>
    <row r="1161" spans="15:18">
      <c r="O1161" s="89"/>
      <c r="P1161" s="90"/>
      <c r="Q1161" s="89"/>
      <c r="R1161" s="87"/>
    </row>
    <row r="1162" spans="15:18">
      <c r="O1162" s="89"/>
      <c r="P1162" s="90"/>
      <c r="Q1162" s="89"/>
      <c r="R1162" s="87"/>
    </row>
    <row r="1163" spans="15:18">
      <c r="O1163" s="89"/>
      <c r="P1163" s="90"/>
      <c r="Q1163" s="89"/>
      <c r="R1163" s="87"/>
    </row>
    <row r="1164" spans="15:18">
      <c r="O1164" s="89"/>
      <c r="P1164" s="90"/>
      <c r="Q1164" s="89"/>
      <c r="R1164" s="87"/>
    </row>
    <row r="1165" spans="15:18">
      <c r="O1165" s="89"/>
      <c r="P1165" s="90"/>
      <c r="Q1165" s="89"/>
      <c r="R1165" s="87"/>
    </row>
    <row r="1166" spans="15:18">
      <c r="O1166" s="89"/>
      <c r="P1166" s="90"/>
      <c r="Q1166" s="89"/>
      <c r="R1166" s="87"/>
    </row>
    <row r="1167" spans="15:18">
      <c r="O1167" s="89"/>
      <c r="P1167" s="90"/>
      <c r="Q1167" s="89"/>
      <c r="R1167" s="87"/>
    </row>
    <row r="1168" spans="15:18">
      <c r="O1168" s="89"/>
      <c r="P1168" s="90"/>
      <c r="Q1168" s="89"/>
      <c r="R1168" s="87"/>
    </row>
    <row r="1169" spans="15:18">
      <c r="O1169" s="89"/>
      <c r="P1169" s="90"/>
      <c r="Q1169" s="89"/>
      <c r="R1169" s="87"/>
    </row>
    <row r="1170" spans="15:18">
      <c r="O1170" s="89"/>
      <c r="P1170" s="90"/>
      <c r="Q1170" s="89"/>
      <c r="R1170" s="87"/>
    </row>
    <row r="1171" spans="15:18">
      <c r="O1171" s="89"/>
      <c r="P1171" s="90"/>
      <c r="Q1171" s="89"/>
      <c r="R1171" s="87"/>
    </row>
    <row r="1172" spans="15:18">
      <c r="O1172" s="89"/>
      <c r="P1172" s="90"/>
      <c r="Q1172" s="89"/>
      <c r="R1172" s="87"/>
    </row>
    <row r="1173" spans="15:18">
      <c r="O1173" s="89"/>
      <c r="P1173" s="90"/>
      <c r="Q1173" s="89"/>
      <c r="R1173" s="87"/>
    </row>
    <row r="1174" spans="15:18">
      <c r="O1174" s="89"/>
      <c r="P1174" s="90"/>
      <c r="Q1174" s="89"/>
      <c r="R1174" s="87"/>
    </row>
    <row r="1175" spans="15:18">
      <c r="O1175" s="89"/>
      <c r="P1175" s="90"/>
      <c r="Q1175" s="89"/>
      <c r="R1175" s="87"/>
    </row>
    <row r="1176" spans="15:18">
      <c r="O1176" s="89"/>
      <c r="P1176" s="90"/>
      <c r="Q1176" s="89"/>
      <c r="R1176" s="87"/>
    </row>
    <row r="1177" spans="15:18">
      <c r="O1177" s="89"/>
      <c r="P1177" s="90"/>
      <c r="Q1177" s="89"/>
      <c r="R1177" s="87"/>
    </row>
    <row r="1178" spans="15:18">
      <c r="O1178" s="89"/>
      <c r="P1178" s="90"/>
      <c r="Q1178" s="89"/>
      <c r="R1178" s="87"/>
    </row>
    <row r="1179" spans="15:18">
      <c r="O1179" s="89"/>
      <c r="P1179" s="90"/>
      <c r="Q1179" s="89"/>
      <c r="R1179" s="87"/>
    </row>
    <row r="1180" spans="15:18">
      <c r="O1180" s="89"/>
      <c r="P1180" s="90"/>
      <c r="Q1180" s="89"/>
      <c r="R1180" s="87"/>
    </row>
    <row r="1181" spans="15:18">
      <c r="O1181" s="89"/>
      <c r="P1181" s="90"/>
      <c r="Q1181" s="89"/>
      <c r="R1181" s="87"/>
    </row>
    <row r="1182" spans="15:18">
      <c r="O1182" s="89"/>
      <c r="P1182" s="90"/>
      <c r="Q1182" s="89"/>
      <c r="R1182" s="87"/>
    </row>
    <row r="1183" spans="15:18">
      <c r="O1183" s="89"/>
      <c r="P1183" s="90"/>
      <c r="Q1183" s="89"/>
      <c r="R1183" s="87"/>
    </row>
    <row r="1184" spans="15:18">
      <c r="O1184" s="89"/>
      <c r="P1184" s="90"/>
      <c r="Q1184" s="89"/>
      <c r="R1184" s="87"/>
    </row>
    <row r="1185" spans="15:18">
      <c r="O1185" s="89"/>
      <c r="P1185" s="90"/>
      <c r="Q1185" s="89"/>
      <c r="R1185" s="87"/>
    </row>
    <row r="1186" spans="15:18">
      <c r="O1186" s="89"/>
      <c r="P1186" s="90"/>
      <c r="Q1186" s="89"/>
      <c r="R1186" s="87"/>
    </row>
    <row r="1187" spans="15:18">
      <c r="O1187" s="89"/>
      <c r="P1187" s="90"/>
      <c r="Q1187" s="89"/>
      <c r="R1187" s="87"/>
    </row>
    <row r="1188" spans="15:18">
      <c r="O1188" s="89"/>
      <c r="P1188" s="90"/>
      <c r="Q1188" s="89"/>
      <c r="R1188" s="87"/>
    </row>
    <row r="1189" spans="15:18">
      <c r="O1189" s="89"/>
      <c r="P1189" s="90"/>
      <c r="Q1189" s="89"/>
      <c r="R1189" s="87"/>
    </row>
    <row r="1190" spans="15:18">
      <c r="O1190" s="89"/>
      <c r="P1190" s="90"/>
      <c r="Q1190" s="89"/>
      <c r="R1190" s="87"/>
    </row>
    <row r="1191" spans="15:18">
      <c r="O1191" s="89"/>
      <c r="P1191" s="90"/>
      <c r="Q1191" s="89"/>
      <c r="R1191" s="87"/>
    </row>
    <row r="1192" spans="15:18">
      <c r="O1192" s="89"/>
      <c r="P1192" s="90"/>
      <c r="Q1192" s="89"/>
      <c r="R1192" s="87"/>
    </row>
    <row r="1193" spans="15:18">
      <c r="O1193" s="89"/>
      <c r="P1193" s="90"/>
      <c r="Q1193" s="89"/>
      <c r="R1193" s="87"/>
    </row>
    <row r="1194" spans="15:18">
      <c r="O1194" s="89"/>
      <c r="P1194" s="90"/>
      <c r="Q1194" s="89"/>
      <c r="R1194" s="87"/>
    </row>
    <row r="1195" spans="15:18">
      <c r="O1195" s="89"/>
      <c r="P1195" s="90"/>
      <c r="Q1195" s="89"/>
      <c r="R1195" s="87"/>
    </row>
    <row r="1196" spans="15:18">
      <c r="O1196" s="89"/>
      <c r="P1196" s="90"/>
      <c r="Q1196" s="89"/>
      <c r="R1196" s="87"/>
    </row>
    <row r="1197" spans="15:18">
      <c r="O1197" s="89"/>
      <c r="P1197" s="90"/>
      <c r="Q1197" s="89"/>
      <c r="R1197" s="87"/>
    </row>
    <row r="1198" spans="15:18">
      <c r="O1198" s="89"/>
      <c r="P1198" s="90"/>
      <c r="Q1198" s="89"/>
      <c r="R1198" s="87"/>
    </row>
    <row r="1199" spans="15:18">
      <c r="O1199" s="89"/>
      <c r="P1199" s="90"/>
      <c r="Q1199" s="89"/>
      <c r="R1199" s="87"/>
    </row>
    <row r="1200" spans="15:18">
      <c r="O1200" s="89"/>
      <c r="P1200" s="90"/>
      <c r="Q1200" s="89"/>
      <c r="R1200" s="87"/>
    </row>
    <row r="1201" spans="15:18">
      <c r="O1201" s="89"/>
      <c r="P1201" s="90"/>
      <c r="Q1201" s="89"/>
      <c r="R1201" s="87"/>
    </row>
    <row r="1202" spans="15:18">
      <c r="O1202" s="89"/>
      <c r="P1202" s="90"/>
      <c r="Q1202" s="89"/>
      <c r="R1202" s="87"/>
    </row>
    <row r="1203" spans="15:18">
      <c r="O1203" s="89"/>
      <c r="P1203" s="90"/>
      <c r="Q1203" s="89"/>
      <c r="R1203" s="87"/>
    </row>
    <row r="1204" spans="15:18">
      <c r="O1204" s="89"/>
      <c r="P1204" s="90"/>
      <c r="Q1204" s="89"/>
      <c r="R1204" s="87"/>
    </row>
    <row r="1205" spans="15:18">
      <c r="O1205" s="89"/>
      <c r="P1205" s="90"/>
      <c r="Q1205" s="89"/>
      <c r="R1205" s="87"/>
    </row>
    <row r="1206" spans="15:18">
      <c r="O1206" s="89"/>
      <c r="P1206" s="90"/>
      <c r="Q1206" s="89"/>
      <c r="R1206" s="87"/>
    </row>
    <row r="1207" spans="15:18">
      <c r="O1207" s="89"/>
      <c r="P1207" s="90"/>
      <c r="Q1207" s="89"/>
      <c r="R1207" s="87"/>
    </row>
    <row r="1208" spans="15:18">
      <c r="O1208" s="89"/>
      <c r="P1208" s="90"/>
      <c r="Q1208" s="89"/>
      <c r="R1208" s="87"/>
    </row>
    <row r="1209" spans="15:18">
      <c r="O1209" s="89"/>
      <c r="P1209" s="90"/>
      <c r="Q1209" s="89"/>
      <c r="R1209" s="87"/>
    </row>
    <row r="1210" spans="15:18">
      <c r="O1210" s="89"/>
      <c r="P1210" s="90"/>
      <c r="Q1210" s="89"/>
      <c r="R1210" s="87"/>
    </row>
    <row r="1211" spans="15:18">
      <c r="O1211" s="89"/>
      <c r="P1211" s="90"/>
      <c r="Q1211" s="89"/>
      <c r="R1211" s="87"/>
    </row>
    <row r="1212" spans="15:18">
      <c r="O1212" s="89"/>
      <c r="P1212" s="90"/>
      <c r="Q1212" s="89"/>
      <c r="R1212" s="87"/>
    </row>
    <row r="1213" spans="15:18">
      <c r="O1213" s="89"/>
      <c r="P1213" s="90"/>
      <c r="Q1213" s="89"/>
      <c r="R1213" s="87"/>
    </row>
    <row r="1214" spans="15:18">
      <c r="O1214" s="89"/>
      <c r="P1214" s="90"/>
      <c r="Q1214" s="89"/>
      <c r="R1214" s="87"/>
    </row>
    <row r="1215" spans="15:18">
      <c r="O1215" s="89"/>
      <c r="P1215" s="90"/>
      <c r="Q1215" s="89"/>
      <c r="R1215" s="87"/>
    </row>
    <row r="1216" spans="15:18">
      <c r="O1216" s="89"/>
      <c r="P1216" s="90"/>
      <c r="Q1216" s="89"/>
      <c r="R1216" s="87"/>
    </row>
    <row r="1217" spans="15:18">
      <c r="O1217" s="89"/>
      <c r="P1217" s="90"/>
      <c r="Q1217" s="89"/>
      <c r="R1217" s="87"/>
    </row>
    <row r="1218" spans="15:18">
      <c r="O1218" s="89"/>
      <c r="P1218" s="90"/>
      <c r="Q1218" s="89"/>
      <c r="R1218" s="87"/>
    </row>
    <row r="1219" spans="15:18">
      <c r="O1219" s="89"/>
      <c r="P1219" s="90"/>
      <c r="Q1219" s="89"/>
      <c r="R1219" s="87"/>
    </row>
    <row r="1220" spans="15:18">
      <c r="O1220" s="89"/>
      <c r="P1220" s="90"/>
      <c r="Q1220" s="89"/>
      <c r="R1220" s="87"/>
    </row>
    <row r="1221" spans="15:18">
      <c r="O1221" s="89"/>
      <c r="P1221" s="90"/>
      <c r="Q1221" s="89"/>
      <c r="R1221" s="87"/>
    </row>
    <row r="1222" spans="15:18">
      <c r="O1222" s="89"/>
      <c r="P1222" s="90"/>
      <c r="Q1222" s="89"/>
      <c r="R1222" s="87"/>
    </row>
    <row r="1223" spans="15:18">
      <c r="O1223" s="89"/>
      <c r="P1223" s="90"/>
      <c r="Q1223" s="89"/>
      <c r="R1223" s="87"/>
    </row>
    <row r="1224" spans="15:18">
      <c r="O1224" s="89"/>
      <c r="P1224" s="90"/>
      <c r="Q1224" s="89"/>
      <c r="R1224" s="87"/>
    </row>
    <row r="1225" spans="15:18">
      <c r="O1225" s="89"/>
      <c r="P1225" s="90"/>
      <c r="Q1225" s="89"/>
      <c r="R1225" s="87"/>
    </row>
    <row r="1226" spans="15:18">
      <c r="O1226" s="89"/>
      <c r="P1226" s="90"/>
      <c r="Q1226" s="89"/>
      <c r="R1226" s="87"/>
    </row>
    <row r="1227" spans="15:18">
      <c r="O1227" s="89"/>
      <c r="P1227" s="90"/>
      <c r="Q1227" s="89"/>
      <c r="R1227" s="87"/>
    </row>
    <row r="1228" spans="15:18">
      <c r="O1228" s="89"/>
      <c r="P1228" s="90"/>
      <c r="Q1228" s="89"/>
      <c r="R1228" s="87"/>
    </row>
    <row r="1229" spans="15:18">
      <c r="O1229" s="89"/>
      <c r="P1229" s="90"/>
      <c r="Q1229" s="89"/>
      <c r="R1229" s="87"/>
    </row>
    <row r="1230" spans="15:18">
      <c r="O1230" s="89"/>
      <c r="P1230" s="90"/>
      <c r="Q1230" s="89"/>
      <c r="R1230" s="87"/>
    </row>
    <row r="1231" spans="15:18">
      <c r="O1231" s="89"/>
      <c r="P1231" s="90"/>
      <c r="Q1231" s="89"/>
      <c r="R1231" s="87"/>
    </row>
    <row r="1232" spans="15:18">
      <c r="O1232" s="89"/>
      <c r="P1232" s="90"/>
      <c r="Q1232" s="89"/>
      <c r="R1232" s="87"/>
    </row>
    <row r="1233" spans="15:18">
      <c r="O1233" s="89"/>
      <c r="P1233" s="90"/>
      <c r="Q1233" s="89"/>
      <c r="R1233" s="87"/>
    </row>
    <row r="1234" spans="15:18">
      <c r="O1234" s="89"/>
      <c r="P1234" s="90"/>
      <c r="Q1234" s="89"/>
      <c r="R1234" s="87"/>
    </row>
    <row r="1235" spans="15:18">
      <c r="O1235" s="89"/>
      <c r="P1235" s="90"/>
      <c r="Q1235" s="89"/>
      <c r="R1235" s="87"/>
    </row>
    <row r="1236" spans="15:18">
      <c r="O1236" s="89"/>
      <c r="P1236" s="90"/>
      <c r="Q1236" s="89"/>
      <c r="R1236" s="87"/>
    </row>
    <row r="1237" spans="15:18">
      <c r="O1237" s="89"/>
      <c r="P1237" s="90"/>
      <c r="Q1237" s="89"/>
      <c r="R1237" s="87"/>
    </row>
    <row r="1238" spans="15:18">
      <c r="O1238" s="89"/>
      <c r="P1238" s="90"/>
      <c r="Q1238" s="89"/>
      <c r="R1238" s="87"/>
    </row>
    <row r="1239" spans="15:18">
      <c r="O1239" s="89"/>
      <c r="P1239" s="90"/>
      <c r="Q1239" s="89"/>
      <c r="R1239" s="87"/>
    </row>
    <row r="1240" spans="15:18">
      <c r="O1240" s="89"/>
      <c r="P1240" s="90"/>
      <c r="Q1240" s="89"/>
      <c r="R1240" s="87"/>
    </row>
    <row r="1241" spans="15:18">
      <c r="O1241" s="89"/>
      <c r="P1241" s="90"/>
      <c r="Q1241" s="89"/>
      <c r="R1241" s="87"/>
    </row>
    <row r="1242" spans="15:18">
      <c r="O1242" s="89"/>
      <c r="P1242" s="90"/>
      <c r="Q1242" s="89"/>
      <c r="R1242" s="87"/>
    </row>
    <row r="1243" spans="15:18">
      <c r="O1243" s="89"/>
      <c r="P1243" s="90"/>
      <c r="Q1243" s="89"/>
      <c r="R1243" s="87"/>
    </row>
    <row r="1244" spans="15:18">
      <c r="O1244" s="89"/>
      <c r="P1244" s="90"/>
      <c r="Q1244" s="89"/>
      <c r="R1244" s="87"/>
    </row>
    <row r="1245" spans="15:18">
      <c r="O1245" s="89"/>
      <c r="P1245" s="90"/>
      <c r="Q1245" s="89"/>
      <c r="R1245" s="87"/>
    </row>
    <row r="1246" spans="15:18">
      <c r="O1246" s="89"/>
      <c r="P1246" s="90"/>
      <c r="Q1246" s="89"/>
      <c r="R1246" s="87"/>
    </row>
    <row r="1247" spans="15:18">
      <c r="O1247" s="89"/>
      <c r="P1247" s="90"/>
      <c r="Q1247" s="89"/>
      <c r="R1247" s="87"/>
    </row>
    <row r="1248" spans="15:18">
      <c r="O1248" s="89"/>
      <c r="P1248" s="90"/>
      <c r="Q1248" s="89"/>
      <c r="R1248" s="87"/>
    </row>
    <row r="1249" spans="15:18">
      <c r="O1249" s="89"/>
      <c r="P1249" s="90"/>
      <c r="Q1249" s="89"/>
      <c r="R1249" s="87"/>
    </row>
    <row r="1250" spans="15:18">
      <c r="O1250" s="89"/>
      <c r="P1250" s="90"/>
      <c r="Q1250" s="89"/>
      <c r="R1250" s="87"/>
    </row>
    <row r="1251" spans="15:18">
      <c r="O1251" s="89"/>
      <c r="P1251" s="90"/>
      <c r="Q1251" s="89"/>
      <c r="R1251" s="87"/>
    </row>
    <row r="1252" spans="15:18">
      <c r="O1252" s="89"/>
      <c r="P1252" s="90"/>
      <c r="Q1252" s="89"/>
      <c r="R1252" s="87"/>
    </row>
    <row r="1253" spans="15:18">
      <c r="O1253" s="89"/>
      <c r="P1253" s="90"/>
      <c r="Q1253" s="89"/>
      <c r="R1253" s="87"/>
    </row>
    <row r="1254" spans="15:18">
      <c r="O1254" s="89"/>
      <c r="P1254" s="90"/>
      <c r="Q1254" s="89"/>
      <c r="R1254" s="87"/>
    </row>
    <row r="1255" spans="15:18">
      <c r="O1255" s="89"/>
      <c r="P1255" s="90"/>
      <c r="Q1255" s="89"/>
      <c r="R1255" s="87"/>
    </row>
    <row r="1256" spans="15:18">
      <c r="O1256" s="89"/>
      <c r="P1256" s="90"/>
      <c r="Q1256" s="89"/>
      <c r="R1256" s="87"/>
    </row>
    <row r="1257" spans="15:18">
      <c r="O1257" s="89"/>
      <c r="P1257" s="90"/>
      <c r="Q1257" s="89"/>
      <c r="R1257" s="87"/>
    </row>
    <row r="1258" spans="15:18">
      <c r="O1258" s="89"/>
      <c r="P1258" s="90"/>
      <c r="Q1258" s="89"/>
      <c r="R1258" s="87"/>
    </row>
    <row r="1259" spans="15:18">
      <c r="O1259" s="89"/>
      <c r="P1259" s="90"/>
      <c r="Q1259" s="89"/>
      <c r="R1259" s="87"/>
    </row>
    <row r="1260" spans="15:18">
      <c r="O1260" s="89"/>
      <c r="P1260" s="90"/>
      <c r="Q1260" s="89"/>
      <c r="R1260" s="87"/>
    </row>
    <row r="1261" spans="15:18">
      <c r="O1261" s="89"/>
      <c r="P1261" s="90"/>
      <c r="Q1261" s="89"/>
      <c r="R1261" s="87"/>
    </row>
    <row r="1262" spans="15:18">
      <c r="O1262" s="89"/>
      <c r="P1262" s="90"/>
      <c r="Q1262" s="89"/>
      <c r="R1262" s="87"/>
    </row>
    <row r="1263" spans="15:18">
      <c r="O1263" s="89"/>
      <c r="P1263" s="90"/>
      <c r="Q1263" s="89"/>
      <c r="R1263" s="87"/>
    </row>
    <row r="1264" spans="15:18">
      <c r="O1264" s="89"/>
      <c r="P1264" s="90"/>
      <c r="Q1264" s="89"/>
      <c r="R1264" s="87"/>
    </row>
    <row r="1265" spans="15:18">
      <c r="O1265" s="89"/>
      <c r="P1265" s="90"/>
      <c r="Q1265" s="89"/>
      <c r="R1265" s="87"/>
    </row>
    <row r="1266" spans="15:18">
      <c r="O1266" s="89"/>
      <c r="P1266" s="90"/>
      <c r="Q1266" s="89"/>
      <c r="R1266" s="87"/>
    </row>
    <row r="1267" spans="15:18">
      <c r="O1267" s="89"/>
      <c r="P1267" s="90"/>
      <c r="Q1267" s="89"/>
      <c r="R1267" s="87"/>
    </row>
    <row r="1268" spans="15:18">
      <c r="O1268" s="89"/>
      <c r="P1268" s="90"/>
      <c r="Q1268" s="89"/>
      <c r="R1268" s="87"/>
    </row>
    <row r="1269" spans="15:18">
      <c r="O1269" s="89"/>
      <c r="P1269" s="90"/>
      <c r="Q1269" s="89"/>
      <c r="R1269" s="87"/>
    </row>
    <row r="1270" spans="15:18">
      <c r="O1270" s="89"/>
      <c r="P1270" s="90"/>
      <c r="Q1270" s="89"/>
      <c r="R1270" s="87"/>
    </row>
    <row r="1271" spans="15:18">
      <c r="O1271" s="89"/>
      <c r="P1271" s="90"/>
      <c r="Q1271" s="89"/>
      <c r="R1271" s="87"/>
    </row>
    <row r="1272" spans="15:18">
      <c r="O1272" s="89"/>
      <c r="P1272" s="90"/>
      <c r="Q1272" s="89"/>
      <c r="R1272" s="87"/>
    </row>
    <row r="1273" spans="15:18">
      <c r="O1273" s="89"/>
      <c r="P1273" s="90"/>
      <c r="Q1273" s="89"/>
      <c r="R1273" s="87"/>
    </row>
    <row r="1274" spans="15:18">
      <c r="O1274" s="89"/>
      <c r="P1274" s="90"/>
      <c r="Q1274" s="89"/>
      <c r="R1274" s="87"/>
    </row>
    <row r="1275" spans="15:18">
      <c r="O1275" s="89"/>
      <c r="P1275" s="90"/>
      <c r="Q1275" s="89"/>
      <c r="R1275" s="87"/>
    </row>
    <row r="1276" spans="15:18">
      <c r="O1276" s="89"/>
      <c r="P1276" s="90"/>
      <c r="Q1276" s="89"/>
      <c r="R1276" s="87"/>
    </row>
    <row r="1277" spans="15:18">
      <c r="O1277" s="89"/>
      <c r="P1277" s="90"/>
      <c r="Q1277" s="89"/>
      <c r="R1277" s="87"/>
    </row>
    <row r="1278" spans="15:18">
      <c r="O1278" s="89"/>
      <c r="P1278" s="90"/>
      <c r="Q1278" s="89"/>
      <c r="R1278" s="87"/>
    </row>
    <row r="1279" spans="15:18">
      <c r="O1279" s="89"/>
      <c r="P1279" s="90"/>
      <c r="Q1279" s="89"/>
      <c r="R1279" s="87"/>
    </row>
    <row r="1280" spans="15:18">
      <c r="O1280" s="89"/>
      <c r="P1280" s="90"/>
      <c r="Q1280" s="89"/>
      <c r="R1280" s="87"/>
    </row>
    <row r="1281" spans="15:18">
      <c r="O1281" s="89"/>
      <c r="P1281" s="90"/>
      <c r="Q1281" s="89"/>
      <c r="R1281" s="87"/>
    </row>
    <row r="1282" spans="15:18">
      <c r="O1282" s="89"/>
      <c r="P1282" s="90"/>
      <c r="Q1282" s="89"/>
      <c r="R1282" s="87"/>
    </row>
    <row r="1283" spans="15:18">
      <c r="O1283" s="89"/>
      <c r="P1283" s="90"/>
      <c r="Q1283" s="89"/>
      <c r="R1283" s="87"/>
    </row>
    <row r="1284" spans="15:18">
      <c r="O1284" s="89"/>
      <c r="P1284" s="90"/>
      <c r="Q1284" s="89"/>
      <c r="R1284" s="87"/>
    </row>
    <row r="1285" spans="15:18">
      <c r="O1285" s="89"/>
      <c r="P1285" s="90"/>
      <c r="Q1285" s="89"/>
      <c r="R1285" s="87"/>
    </row>
    <row r="1286" spans="15:18">
      <c r="O1286" s="89"/>
      <c r="P1286" s="90"/>
      <c r="Q1286" s="89"/>
      <c r="R1286" s="87"/>
    </row>
    <row r="1287" spans="15:18">
      <c r="O1287" s="89"/>
      <c r="P1287" s="90"/>
      <c r="Q1287" s="89"/>
      <c r="R1287" s="87"/>
    </row>
    <row r="1288" spans="15:18">
      <c r="O1288" s="89"/>
      <c r="P1288" s="90"/>
      <c r="Q1288" s="89"/>
      <c r="R1288" s="87"/>
    </row>
    <row r="1289" spans="15:18">
      <c r="O1289" s="89"/>
      <c r="P1289" s="90"/>
      <c r="Q1289" s="89"/>
      <c r="R1289" s="87"/>
    </row>
    <row r="1290" spans="15:18">
      <c r="O1290" s="89"/>
      <c r="P1290" s="90"/>
      <c r="Q1290" s="89"/>
      <c r="R1290" s="87"/>
    </row>
    <row r="1291" spans="15:18">
      <c r="O1291" s="89"/>
      <c r="P1291" s="90"/>
      <c r="Q1291" s="89"/>
      <c r="R1291" s="87"/>
    </row>
    <row r="1292" spans="15:18">
      <c r="O1292" s="89"/>
      <c r="P1292" s="90"/>
      <c r="Q1292" s="89"/>
      <c r="R1292" s="87"/>
    </row>
    <row r="1293" spans="15:18">
      <c r="O1293" s="89"/>
      <c r="P1293" s="90"/>
      <c r="Q1293" s="89"/>
      <c r="R1293" s="87"/>
    </row>
    <row r="1294" spans="15:18">
      <c r="O1294" s="89"/>
      <c r="P1294" s="90"/>
      <c r="Q1294" s="89"/>
      <c r="R1294" s="87"/>
    </row>
    <row r="1295" spans="15:18">
      <c r="O1295" s="89"/>
      <c r="P1295" s="90"/>
      <c r="Q1295" s="89"/>
      <c r="R1295" s="87"/>
    </row>
    <row r="1296" spans="15:18">
      <c r="O1296" s="89"/>
      <c r="P1296" s="90"/>
      <c r="Q1296" s="89"/>
      <c r="R1296" s="87"/>
    </row>
    <row r="1297" spans="15:18">
      <c r="O1297" s="89"/>
      <c r="P1297" s="90"/>
      <c r="Q1297" s="89"/>
      <c r="R1297" s="87"/>
    </row>
    <row r="1298" spans="15:18">
      <c r="O1298" s="89"/>
      <c r="P1298" s="90"/>
      <c r="Q1298" s="89"/>
      <c r="R1298" s="87"/>
    </row>
    <row r="1299" spans="15:18">
      <c r="O1299" s="89"/>
      <c r="P1299" s="90"/>
      <c r="Q1299" s="89"/>
      <c r="R1299" s="87"/>
    </row>
    <row r="1300" spans="15:18">
      <c r="O1300" s="89"/>
      <c r="P1300" s="90"/>
      <c r="Q1300" s="89"/>
      <c r="R1300" s="87"/>
    </row>
    <row r="1301" spans="15:18">
      <c r="O1301" s="89"/>
      <c r="P1301" s="90"/>
      <c r="Q1301" s="89"/>
      <c r="R1301" s="87"/>
    </row>
    <row r="1302" spans="15:18">
      <c r="O1302" s="89"/>
      <c r="P1302" s="90"/>
      <c r="Q1302" s="89"/>
      <c r="R1302" s="87"/>
    </row>
    <row r="1303" spans="15:18">
      <c r="O1303" s="89"/>
      <c r="P1303" s="90"/>
      <c r="Q1303" s="89"/>
      <c r="R1303" s="87"/>
    </row>
    <row r="1304" spans="15:18">
      <c r="O1304" s="89"/>
      <c r="P1304" s="90"/>
      <c r="Q1304" s="89"/>
      <c r="R1304" s="87"/>
    </row>
    <row r="1305" spans="15:18">
      <c r="O1305" s="89"/>
      <c r="P1305" s="90"/>
      <c r="Q1305" s="89"/>
      <c r="R1305" s="87"/>
    </row>
    <row r="1306" spans="15:18">
      <c r="O1306" s="89"/>
      <c r="P1306" s="90"/>
      <c r="Q1306" s="89"/>
      <c r="R1306" s="87"/>
    </row>
    <row r="1307" spans="15:18">
      <c r="O1307" s="89"/>
      <c r="P1307" s="90"/>
      <c r="Q1307" s="89"/>
      <c r="R1307" s="87"/>
    </row>
    <row r="1308" spans="15:18">
      <c r="O1308" s="89"/>
      <c r="P1308" s="90"/>
      <c r="Q1308" s="89"/>
      <c r="R1308" s="87"/>
    </row>
    <row r="1309" spans="15:18">
      <c r="O1309" s="89"/>
      <c r="P1309" s="90"/>
      <c r="Q1309" s="89"/>
      <c r="R1309" s="87"/>
    </row>
    <row r="1310" spans="15:18">
      <c r="O1310" s="89"/>
      <c r="P1310" s="90"/>
      <c r="Q1310" s="89"/>
      <c r="R1310" s="87"/>
    </row>
    <row r="1311" spans="15:18">
      <c r="O1311" s="89"/>
      <c r="P1311" s="90"/>
      <c r="Q1311" s="89"/>
      <c r="R1311" s="87"/>
    </row>
    <row r="1312" spans="15:18">
      <c r="O1312" s="89"/>
      <c r="P1312" s="90"/>
      <c r="Q1312" s="89"/>
      <c r="R1312" s="87"/>
    </row>
    <row r="1313" spans="15:18">
      <c r="O1313" s="89"/>
      <c r="P1313" s="90"/>
      <c r="Q1313" s="89"/>
      <c r="R1313" s="87"/>
    </row>
    <row r="1314" spans="15:18">
      <c r="O1314" s="89"/>
      <c r="P1314" s="90"/>
      <c r="Q1314" s="89"/>
      <c r="R1314" s="87"/>
    </row>
    <row r="1315" spans="15:18">
      <c r="O1315" s="89"/>
      <c r="P1315" s="90"/>
      <c r="Q1315" s="89"/>
      <c r="R1315" s="87"/>
    </row>
    <row r="1316" spans="15:18">
      <c r="O1316" s="89"/>
      <c r="P1316" s="90"/>
      <c r="Q1316" s="89"/>
      <c r="R1316" s="87"/>
    </row>
    <row r="1317" spans="15:18">
      <c r="O1317" s="89"/>
      <c r="P1317" s="90"/>
      <c r="Q1317" s="89"/>
      <c r="R1317" s="87"/>
    </row>
    <row r="1318" spans="15:18">
      <c r="O1318" s="89"/>
      <c r="P1318" s="90"/>
      <c r="Q1318" s="89"/>
      <c r="R1318" s="87"/>
    </row>
    <row r="1319" spans="15:18">
      <c r="O1319" s="89"/>
      <c r="P1319" s="90"/>
      <c r="Q1319" s="89"/>
      <c r="R1319" s="87"/>
    </row>
    <row r="1320" spans="15:18">
      <c r="O1320" s="89"/>
      <c r="P1320" s="90"/>
      <c r="Q1320" s="89"/>
      <c r="R1320" s="87"/>
    </row>
    <row r="1321" spans="15:18">
      <c r="O1321" s="89"/>
      <c r="P1321" s="90"/>
      <c r="Q1321" s="89"/>
      <c r="R1321" s="87"/>
    </row>
    <row r="1322" spans="15:18">
      <c r="O1322" s="89"/>
      <c r="P1322" s="90"/>
      <c r="Q1322" s="89"/>
      <c r="R1322" s="87"/>
    </row>
    <row r="1323" spans="15:18">
      <c r="O1323" s="89"/>
      <c r="P1323" s="90"/>
      <c r="Q1323" s="89"/>
      <c r="R1323" s="87"/>
    </row>
    <row r="1324" spans="15:18">
      <c r="O1324" s="89"/>
      <c r="P1324" s="90"/>
      <c r="Q1324" s="89"/>
      <c r="R1324" s="87"/>
    </row>
    <row r="1325" spans="15:18">
      <c r="O1325" s="89"/>
      <c r="P1325" s="90"/>
      <c r="Q1325" s="89"/>
      <c r="R1325" s="87"/>
    </row>
    <row r="1326" spans="15:18">
      <c r="O1326" s="89"/>
      <c r="P1326" s="90"/>
      <c r="Q1326" s="89"/>
      <c r="R1326" s="87"/>
    </row>
    <row r="1327" spans="15:18">
      <c r="O1327" s="89"/>
      <c r="P1327" s="90"/>
      <c r="Q1327" s="89"/>
      <c r="R1327" s="87"/>
    </row>
    <row r="1328" spans="15:18">
      <c r="O1328" s="89"/>
      <c r="P1328" s="90"/>
      <c r="Q1328" s="89"/>
      <c r="R1328" s="87"/>
    </row>
    <row r="1329" spans="15:18">
      <c r="O1329" s="89"/>
      <c r="P1329" s="90"/>
      <c r="Q1329" s="89"/>
      <c r="R1329" s="87"/>
    </row>
    <row r="1330" spans="15:18">
      <c r="O1330" s="89"/>
      <c r="P1330" s="90"/>
      <c r="Q1330" s="89"/>
      <c r="R1330" s="87"/>
    </row>
    <row r="1331" spans="15:18">
      <c r="O1331" s="89"/>
      <c r="P1331" s="90"/>
      <c r="Q1331" s="89"/>
      <c r="R1331" s="87"/>
    </row>
    <row r="1332" spans="15:18">
      <c r="O1332" s="89"/>
      <c r="P1332" s="90"/>
      <c r="Q1332" s="89"/>
      <c r="R1332" s="87"/>
    </row>
    <row r="1333" spans="15:18">
      <c r="O1333" s="89"/>
      <c r="P1333" s="90"/>
      <c r="Q1333" s="89"/>
      <c r="R1333" s="87"/>
    </row>
    <row r="1334" spans="15:18">
      <c r="O1334" s="89"/>
      <c r="P1334" s="90"/>
      <c r="Q1334" s="89"/>
      <c r="R1334" s="87"/>
    </row>
    <row r="1335" spans="15:18">
      <c r="O1335" s="89"/>
      <c r="P1335" s="90"/>
      <c r="Q1335" s="89"/>
      <c r="R1335" s="87"/>
    </row>
    <row r="1336" spans="15:18">
      <c r="O1336" s="89"/>
      <c r="P1336" s="90"/>
      <c r="Q1336" s="89"/>
      <c r="R1336" s="87"/>
    </row>
    <row r="1337" spans="15:18">
      <c r="O1337" s="89"/>
      <c r="P1337" s="90"/>
      <c r="Q1337" s="89"/>
      <c r="R1337" s="87"/>
    </row>
    <row r="1338" spans="15:18">
      <c r="O1338" s="89"/>
      <c r="P1338" s="90"/>
      <c r="Q1338" s="89"/>
      <c r="R1338" s="87"/>
    </row>
    <row r="1339" spans="15:18">
      <c r="O1339" s="89"/>
      <c r="P1339" s="90"/>
      <c r="Q1339" s="89"/>
      <c r="R1339" s="87"/>
    </row>
    <row r="1340" spans="15:18">
      <c r="O1340" s="89"/>
      <c r="P1340" s="90"/>
      <c r="Q1340" s="89"/>
      <c r="R1340" s="87"/>
    </row>
    <row r="1341" spans="15:18">
      <c r="O1341" s="89"/>
      <c r="P1341" s="90"/>
      <c r="Q1341" s="89"/>
      <c r="R1341" s="87"/>
    </row>
    <row r="1342" spans="15:18">
      <c r="O1342" s="89"/>
      <c r="P1342" s="90"/>
      <c r="Q1342" s="89"/>
      <c r="R1342" s="87"/>
    </row>
    <row r="1343" spans="15:18">
      <c r="O1343" s="89"/>
      <c r="P1343" s="90"/>
      <c r="Q1343" s="89"/>
      <c r="R1343" s="87"/>
    </row>
    <row r="1344" spans="15:18">
      <c r="O1344" s="89"/>
      <c r="P1344" s="90"/>
      <c r="Q1344" s="89"/>
      <c r="R1344" s="87"/>
    </row>
    <row r="1345" spans="15:18">
      <c r="O1345" s="89"/>
      <c r="P1345" s="90"/>
      <c r="Q1345" s="89"/>
      <c r="R1345" s="87"/>
    </row>
    <row r="1346" spans="15:18">
      <c r="O1346" s="89"/>
      <c r="P1346" s="90"/>
      <c r="Q1346" s="89"/>
      <c r="R1346" s="87"/>
    </row>
    <row r="1347" spans="15:18">
      <c r="O1347" s="89"/>
      <c r="P1347" s="90"/>
      <c r="Q1347" s="89"/>
      <c r="R1347" s="87"/>
    </row>
    <row r="1348" spans="15:18">
      <c r="O1348" s="89"/>
      <c r="P1348" s="90"/>
      <c r="Q1348" s="89"/>
      <c r="R1348" s="87"/>
    </row>
    <row r="1349" spans="15:18">
      <c r="O1349" s="89"/>
      <c r="P1349" s="90"/>
      <c r="Q1349" s="89"/>
      <c r="R1349" s="87"/>
    </row>
    <row r="1350" spans="15:18">
      <c r="O1350" s="89"/>
      <c r="P1350" s="90"/>
      <c r="Q1350" s="89"/>
      <c r="R1350" s="87"/>
    </row>
    <row r="1351" spans="15:18">
      <c r="O1351" s="89"/>
      <c r="P1351" s="90"/>
      <c r="Q1351" s="89"/>
      <c r="R1351" s="87"/>
    </row>
    <row r="1352" spans="15:18">
      <c r="O1352" s="89"/>
      <c r="P1352" s="90"/>
      <c r="Q1352" s="89"/>
      <c r="R1352" s="87"/>
    </row>
    <row r="1353" spans="15:18">
      <c r="O1353" s="89"/>
      <c r="P1353" s="90"/>
      <c r="Q1353" s="89"/>
      <c r="R1353" s="87"/>
    </row>
    <row r="1354" spans="15:18">
      <c r="O1354" s="89"/>
      <c r="P1354" s="90"/>
      <c r="Q1354" s="89"/>
      <c r="R1354" s="87"/>
    </row>
    <row r="1355" spans="15:18">
      <c r="O1355" s="89"/>
      <c r="P1355" s="90"/>
      <c r="Q1355" s="89"/>
      <c r="R1355" s="87"/>
    </row>
    <row r="1356" spans="15:18">
      <c r="O1356" s="89"/>
      <c r="P1356" s="90"/>
      <c r="Q1356" s="89"/>
      <c r="R1356" s="87"/>
    </row>
    <row r="1357" spans="15:18">
      <c r="O1357" s="89"/>
      <c r="P1357" s="90"/>
      <c r="Q1357" s="89"/>
      <c r="R1357" s="87"/>
    </row>
    <row r="1358" spans="15:18">
      <c r="O1358" s="89"/>
      <c r="P1358" s="90"/>
      <c r="Q1358" s="89"/>
      <c r="R1358" s="87"/>
    </row>
    <row r="1359" spans="15:18">
      <c r="O1359" s="89"/>
      <c r="P1359" s="90"/>
      <c r="Q1359" s="89"/>
      <c r="R1359" s="87"/>
    </row>
    <row r="1360" spans="15:18">
      <c r="O1360" s="89"/>
      <c r="P1360" s="90"/>
      <c r="Q1360" s="89"/>
      <c r="R1360" s="87"/>
    </row>
    <row r="1361" spans="15:18">
      <c r="O1361" s="89"/>
      <c r="P1361" s="90"/>
      <c r="Q1361" s="89"/>
      <c r="R1361" s="87"/>
    </row>
    <row r="1362" spans="15:18">
      <c r="O1362" s="89"/>
      <c r="P1362" s="90"/>
      <c r="Q1362" s="89"/>
      <c r="R1362" s="87"/>
    </row>
    <row r="1363" spans="15:18">
      <c r="O1363" s="89"/>
      <c r="P1363" s="90"/>
      <c r="Q1363" s="89"/>
      <c r="R1363" s="87"/>
    </row>
    <row r="1364" spans="15:18">
      <c r="O1364" s="89"/>
      <c r="P1364" s="90"/>
      <c r="Q1364" s="89"/>
      <c r="R1364" s="87"/>
    </row>
    <row r="1365" spans="15:18">
      <c r="O1365" s="89"/>
      <c r="P1365" s="90"/>
      <c r="Q1365" s="89"/>
      <c r="R1365" s="87"/>
    </row>
    <row r="1366" spans="15:18">
      <c r="O1366" s="89"/>
      <c r="P1366" s="90"/>
      <c r="Q1366" s="89"/>
      <c r="R1366" s="87"/>
    </row>
    <row r="1367" spans="15:18">
      <c r="O1367" s="89"/>
      <c r="P1367" s="90"/>
      <c r="Q1367" s="89"/>
      <c r="R1367" s="87"/>
    </row>
    <row r="1368" spans="15:18">
      <c r="O1368" s="89"/>
      <c r="P1368" s="90"/>
      <c r="Q1368" s="89"/>
      <c r="R1368" s="87"/>
    </row>
    <row r="1369" spans="15:18">
      <c r="O1369" s="89"/>
      <c r="P1369" s="90"/>
      <c r="Q1369" s="89"/>
      <c r="R1369" s="87"/>
    </row>
    <row r="1370" spans="15:18">
      <c r="O1370" s="89"/>
      <c r="P1370" s="90"/>
      <c r="Q1370" s="89"/>
      <c r="R1370" s="87"/>
    </row>
    <row r="1371" spans="15:18">
      <c r="O1371" s="89"/>
      <c r="P1371" s="90"/>
      <c r="Q1371" s="89"/>
      <c r="R1371" s="87"/>
    </row>
    <row r="1372" spans="15:18">
      <c r="O1372" s="89"/>
      <c r="P1372" s="90"/>
      <c r="Q1372" s="89"/>
      <c r="R1372" s="87"/>
    </row>
    <row r="1373" spans="15:18">
      <c r="O1373" s="89"/>
      <c r="P1373" s="90"/>
      <c r="Q1373" s="89"/>
      <c r="R1373" s="87"/>
    </row>
    <row r="1374" spans="15:18">
      <c r="O1374" s="89"/>
      <c r="P1374" s="90"/>
      <c r="Q1374" s="89"/>
      <c r="R1374" s="87"/>
    </row>
    <row r="1375" spans="15:18">
      <c r="O1375" s="89"/>
      <c r="P1375" s="90"/>
      <c r="Q1375" s="89"/>
      <c r="R1375" s="87"/>
    </row>
    <row r="1376" spans="15:18">
      <c r="O1376" s="89"/>
      <c r="P1376" s="90"/>
      <c r="Q1376" s="89"/>
      <c r="R1376" s="87"/>
    </row>
    <row r="1377" spans="15:18">
      <c r="O1377" s="89"/>
      <c r="P1377" s="90"/>
      <c r="Q1377" s="89"/>
      <c r="R1377" s="87"/>
    </row>
    <row r="1378" spans="15:18">
      <c r="O1378" s="89"/>
      <c r="P1378" s="90"/>
      <c r="Q1378" s="89"/>
      <c r="R1378" s="87"/>
    </row>
    <row r="1379" spans="15:18">
      <c r="O1379" s="89"/>
      <c r="P1379" s="90"/>
      <c r="Q1379" s="89"/>
      <c r="R1379" s="87"/>
    </row>
    <row r="1380" spans="15:18">
      <c r="O1380" s="89"/>
      <c r="P1380" s="90"/>
      <c r="Q1380" s="89"/>
      <c r="R1380" s="87"/>
    </row>
    <row r="1381" spans="15:18">
      <c r="O1381" s="89"/>
      <c r="P1381" s="90"/>
      <c r="Q1381" s="89"/>
      <c r="R1381" s="87"/>
    </row>
    <row r="1382" spans="15:18">
      <c r="O1382" s="89"/>
      <c r="P1382" s="90"/>
      <c r="Q1382" s="89"/>
      <c r="R1382" s="87"/>
    </row>
    <row r="1383" spans="15:18">
      <c r="O1383" s="89"/>
      <c r="P1383" s="90"/>
      <c r="Q1383" s="89"/>
      <c r="R1383" s="87"/>
    </row>
    <row r="1384" spans="15:18">
      <c r="O1384" s="89"/>
      <c r="P1384" s="90"/>
      <c r="Q1384" s="89"/>
      <c r="R1384" s="87"/>
    </row>
    <row r="1385" spans="15:18">
      <c r="O1385" s="89"/>
      <c r="P1385" s="90"/>
      <c r="Q1385" s="89"/>
      <c r="R1385" s="87"/>
    </row>
    <row r="1386" spans="15:18">
      <c r="O1386" s="89"/>
      <c r="P1386" s="90"/>
      <c r="Q1386" s="89"/>
      <c r="R1386" s="87"/>
    </row>
    <row r="1387" spans="15:18">
      <c r="O1387" s="89"/>
      <c r="P1387" s="90"/>
      <c r="Q1387" s="89"/>
      <c r="R1387" s="87"/>
    </row>
    <row r="1388" spans="15:18">
      <c r="O1388" s="89"/>
      <c r="P1388" s="90"/>
      <c r="Q1388" s="89"/>
      <c r="R1388" s="87"/>
    </row>
    <row r="1389" spans="15:18">
      <c r="O1389" s="89"/>
      <c r="P1389" s="90"/>
      <c r="Q1389" s="89"/>
      <c r="R1389" s="87"/>
    </row>
    <row r="1390" spans="15:18">
      <c r="O1390" s="89"/>
      <c r="P1390" s="90"/>
      <c r="Q1390" s="89"/>
      <c r="R1390" s="87"/>
    </row>
    <row r="1391" spans="15:18">
      <c r="O1391" s="89"/>
      <c r="P1391" s="90"/>
      <c r="Q1391" s="89"/>
      <c r="R1391" s="87"/>
    </row>
    <row r="1392" spans="15:18">
      <c r="O1392" s="89"/>
      <c r="P1392" s="90"/>
      <c r="Q1392" s="89"/>
      <c r="R1392" s="87"/>
    </row>
    <row r="1393" spans="15:18">
      <c r="O1393" s="89"/>
      <c r="P1393" s="90"/>
      <c r="Q1393" s="89"/>
      <c r="R1393" s="87"/>
    </row>
    <row r="1394" spans="15:18">
      <c r="O1394" s="89"/>
      <c r="P1394" s="90"/>
      <c r="Q1394" s="89"/>
      <c r="R1394" s="87"/>
    </row>
    <row r="1395" spans="15:18">
      <c r="O1395" s="89"/>
      <c r="P1395" s="90"/>
      <c r="Q1395" s="89"/>
      <c r="R1395" s="87"/>
    </row>
    <row r="1396" spans="15:18">
      <c r="O1396" s="89"/>
      <c r="P1396" s="90"/>
      <c r="Q1396" s="89"/>
      <c r="R1396" s="87"/>
    </row>
    <row r="1397" spans="15:18">
      <c r="O1397" s="89"/>
      <c r="P1397" s="90"/>
      <c r="Q1397" s="89"/>
      <c r="R1397" s="87"/>
    </row>
    <row r="1398" spans="15:18">
      <c r="O1398" s="89"/>
      <c r="P1398" s="90"/>
      <c r="Q1398" s="89"/>
      <c r="R1398" s="87"/>
    </row>
    <row r="1399" spans="15:18">
      <c r="O1399" s="89"/>
      <c r="P1399" s="90"/>
      <c r="Q1399" s="89"/>
      <c r="R1399" s="87"/>
    </row>
    <row r="1400" spans="15:18">
      <c r="O1400" s="89"/>
      <c r="P1400" s="90"/>
      <c r="Q1400" s="89"/>
      <c r="R1400" s="87"/>
    </row>
    <row r="1401" spans="15:18">
      <c r="O1401" s="89"/>
      <c r="P1401" s="90"/>
      <c r="Q1401" s="89"/>
      <c r="R1401" s="87"/>
    </row>
    <row r="1402" spans="15:18">
      <c r="O1402" s="89"/>
      <c r="P1402" s="90"/>
      <c r="Q1402" s="89"/>
      <c r="R1402" s="87"/>
    </row>
    <row r="1403" spans="15:18">
      <c r="O1403" s="89"/>
      <c r="P1403" s="90"/>
      <c r="Q1403" s="89"/>
      <c r="R1403" s="87"/>
    </row>
    <row r="1404" spans="15:18">
      <c r="O1404" s="89"/>
      <c r="P1404" s="90"/>
      <c r="Q1404" s="89"/>
      <c r="R1404" s="87"/>
    </row>
    <row r="1405" spans="15:18">
      <c r="O1405" s="89"/>
      <c r="P1405" s="90"/>
      <c r="Q1405" s="89"/>
      <c r="R1405" s="87"/>
    </row>
    <row r="1406" spans="15:18">
      <c r="O1406" s="89"/>
      <c r="P1406" s="90"/>
      <c r="Q1406" s="89"/>
      <c r="R1406" s="87"/>
    </row>
    <row r="1407" spans="15:18">
      <c r="O1407" s="89"/>
      <c r="P1407" s="90"/>
      <c r="Q1407" s="89"/>
      <c r="R1407" s="87"/>
    </row>
    <row r="1408" spans="15:18">
      <c r="O1408" s="89"/>
      <c r="P1408" s="90"/>
      <c r="Q1408" s="89"/>
      <c r="R1408" s="87"/>
    </row>
    <row r="1409" spans="15:18">
      <c r="O1409" s="89"/>
      <c r="P1409" s="90"/>
      <c r="Q1409" s="89"/>
      <c r="R1409" s="87"/>
    </row>
    <row r="1410" spans="15:18">
      <c r="O1410" s="89"/>
      <c r="P1410" s="90"/>
      <c r="Q1410" s="89"/>
      <c r="R1410" s="87"/>
    </row>
    <row r="1411" spans="15:18">
      <c r="O1411" s="89"/>
      <c r="P1411" s="90"/>
      <c r="Q1411" s="89"/>
      <c r="R1411" s="87"/>
    </row>
    <row r="1412" spans="15:18">
      <c r="O1412" s="89"/>
      <c r="P1412" s="90"/>
      <c r="Q1412" s="89"/>
      <c r="R1412" s="87"/>
    </row>
    <row r="1413" spans="15:18">
      <c r="O1413" s="89"/>
      <c r="P1413" s="90"/>
      <c r="Q1413" s="89"/>
      <c r="R1413" s="87"/>
    </row>
    <row r="1414" spans="15:18">
      <c r="O1414" s="89"/>
      <c r="P1414" s="90"/>
      <c r="Q1414" s="89"/>
      <c r="R1414" s="87"/>
    </row>
    <row r="1415" spans="15:18">
      <c r="O1415" s="89"/>
      <c r="P1415" s="90"/>
      <c r="Q1415" s="89"/>
      <c r="R1415" s="87"/>
    </row>
    <row r="1416" spans="15:18">
      <c r="O1416" s="89"/>
      <c r="P1416" s="90"/>
      <c r="Q1416" s="89"/>
      <c r="R1416" s="87"/>
    </row>
    <row r="1417" spans="15:18">
      <c r="O1417" s="89"/>
      <c r="P1417" s="90"/>
      <c r="Q1417" s="89"/>
      <c r="R1417" s="87"/>
    </row>
    <row r="1418" spans="15:18">
      <c r="O1418" s="89"/>
      <c r="P1418" s="90"/>
      <c r="Q1418" s="89"/>
      <c r="R1418" s="87"/>
    </row>
    <row r="1419" spans="15:18">
      <c r="O1419" s="89"/>
      <c r="P1419" s="90"/>
      <c r="Q1419" s="89"/>
      <c r="R1419" s="87"/>
    </row>
    <row r="1420" spans="15:18">
      <c r="O1420" s="89"/>
      <c r="P1420" s="90"/>
      <c r="Q1420" s="89"/>
      <c r="R1420" s="87"/>
    </row>
    <row r="1421" spans="15:18">
      <c r="O1421" s="89"/>
      <c r="P1421" s="90"/>
      <c r="Q1421" s="89"/>
      <c r="R1421" s="87"/>
    </row>
    <row r="1422" spans="15:18">
      <c r="O1422" s="89"/>
      <c r="P1422" s="90"/>
      <c r="Q1422" s="89"/>
      <c r="R1422" s="87"/>
    </row>
    <row r="1423" spans="15:18">
      <c r="O1423" s="89"/>
      <c r="P1423" s="90"/>
      <c r="Q1423" s="89"/>
      <c r="R1423" s="87"/>
    </row>
    <row r="1424" spans="15:18">
      <c r="O1424" s="89"/>
      <c r="P1424" s="90"/>
      <c r="Q1424" s="89"/>
      <c r="R1424" s="87"/>
    </row>
    <row r="1425" spans="15:18">
      <c r="O1425" s="89"/>
      <c r="P1425" s="90"/>
      <c r="Q1425" s="89"/>
      <c r="R1425" s="87"/>
    </row>
    <row r="1426" spans="15:18">
      <c r="O1426" s="89"/>
      <c r="P1426" s="90"/>
      <c r="Q1426" s="89"/>
      <c r="R1426" s="87"/>
    </row>
    <row r="1427" spans="15:18">
      <c r="O1427" s="89"/>
      <c r="P1427" s="90"/>
      <c r="Q1427" s="89"/>
      <c r="R1427" s="87"/>
    </row>
    <row r="1428" spans="15:18">
      <c r="O1428" s="89"/>
      <c r="P1428" s="90"/>
      <c r="Q1428" s="89"/>
      <c r="R1428" s="87"/>
    </row>
    <row r="1429" spans="15:18">
      <c r="O1429" s="89"/>
      <c r="P1429" s="90"/>
      <c r="Q1429" s="89"/>
      <c r="R1429" s="87"/>
    </row>
    <row r="1430" spans="15:18">
      <c r="O1430" s="89"/>
      <c r="P1430" s="90"/>
      <c r="Q1430" s="89"/>
      <c r="R1430" s="87"/>
    </row>
    <row r="1431" spans="15:18">
      <c r="O1431" s="89"/>
      <c r="P1431" s="90"/>
      <c r="Q1431" s="89"/>
      <c r="R1431" s="87"/>
    </row>
    <row r="1432" spans="15:18">
      <c r="O1432" s="89"/>
      <c r="P1432" s="90"/>
      <c r="Q1432" s="89"/>
      <c r="R1432" s="87"/>
    </row>
    <row r="1433" spans="15:18">
      <c r="O1433" s="89"/>
      <c r="P1433" s="90"/>
      <c r="Q1433" s="89"/>
      <c r="R1433" s="87"/>
    </row>
    <row r="1434" spans="15:18">
      <c r="O1434" s="89"/>
      <c r="P1434" s="90"/>
      <c r="Q1434" s="89"/>
      <c r="R1434" s="87"/>
    </row>
    <row r="1435" spans="15:18">
      <c r="O1435" s="89"/>
      <c r="P1435" s="90"/>
      <c r="Q1435" s="89"/>
      <c r="R1435" s="87"/>
    </row>
    <row r="1436" spans="15:18">
      <c r="O1436" s="89"/>
      <c r="P1436" s="90"/>
      <c r="Q1436" s="89"/>
      <c r="R1436" s="87"/>
    </row>
    <row r="1437" spans="15:18">
      <c r="O1437" s="89"/>
      <c r="P1437" s="90"/>
      <c r="Q1437" s="89"/>
      <c r="R1437" s="87"/>
    </row>
    <row r="1438" spans="15:18">
      <c r="O1438" s="89"/>
      <c r="P1438" s="90"/>
      <c r="Q1438" s="89"/>
      <c r="R1438" s="87"/>
    </row>
    <row r="1439" spans="15:18">
      <c r="O1439" s="89"/>
      <c r="P1439" s="90"/>
      <c r="Q1439" s="89"/>
      <c r="R1439" s="87"/>
    </row>
    <row r="1440" spans="15:18">
      <c r="O1440" s="89"/>
      <c r="P1440" s="90"/>
      <c r="Q1440" s="89"/>
      <c r="R1440" s="87"/>
    </row>
    <row r="1441" spans="15:18">
      <c r="O1441" s="89"/>
      <c r="P1441" s="90"/>
      <c r="Q1441" s="89"/>
      <c r="R1441" s="87"/>
    </row>
    <row r="1442" spans="15:18">
      <c r="O1442" s="89"/>
      <c r="P1442" s="90"/>
      <c r="Q1442" s="89"/>
      <c r="R1442" s="87"/>
    </row>
    <row r="1443" spans="15:18">
      <c r="O1443" s="89"/>
      <c r="P1443" s="90"/>
      <c r="Q1443" s="89"/>
      <c r="R1443" s="87"/>
    </row>
    <row r="1444" spans="15:18">
      <c r="O1444" s="89"/>
      <c r="P1444" s="90"/>
      <c r="Q1444" s="89"/>
      <c r="R1444" s="87"/>
    </row>
    <row r="1445" spans="15:18">
      <c r="O1445" s="89"/>
      <c r="P1445" s="90"/>
      <c r="Q1445" s="89"/>
      <c r="R1445" s="87"/>
    </row>
    <row r="1446" spans="15:18">
      <c r="O1446" s="89"/>
      <c r="P1446" s="90"/>
      <c r="Q1446" s="89"/>
      <c r="R1446" s="87"/>
    </row>
    <row r="1447" spans="15:18">
      <c r="O1447" s="89"/>
      <c r="P1447" s="90"/>
      <c r="Q1447" s="89"/>
      <c r="R1447" s="87"/>
    </row>
    <row r="1448" spans="15:18">
      <c r="O1448" s="89"/>
      <c r="P1448" s="90"/>
      <c r="Q1448" s="89"/>
      <c r="R1448" s="87"/>
    </row>
    <row r="1449" spans="15:18">
      <c r="O1449" s="89"/>
      <c r="P1449" s="90"/>
      <c r="Q1449" s="89"/>
      <c r="R1449" s="87"/>
    </row>
    <row r="1450" spans="15:18">
      <c r="O1450" s="89"/>
      <c r="P1450" s="90"/>
      <c r="Q1450" s="89"/>
      <c r="R1450" s="87"/>
    </row>
    <row r="1451" spans="15:18">
      <c r="O1451" s="89"/>
      <c r="P1451" s="90"/>
      <c r="Q1451" s="89"/>
      <c r="R1451" s="87"/>
    </row>
    <row r="1452" spans="15:18">
      <c r="O1452" s="89"/>
      <c r="P1452" s="90"/>
      <c r="Q1452" s="89"/>
      <c r="R1452" s="87"/>
    </row>
    <row r="1453" spans="15:18">
      <c r="O1453" s="89"/>
      <c r="P1453" s="90"/>
      <c r="Q1453" s="89"/>
      <c r="R1453" s="87"/>
    </row>
    <row r="1454" spans="15:18">
      <c r="O1454" s="89"/>
      <c r="P1454" s="90"/>
      <c r="Q1454" s="89"/>
      <c r="R1454" s="87"/>
    </row>
    <row r="1455" spans="15:18">
      <c r="O1455" s="89"/>
      <c r="P1455" s="90"/>
      <c r="Q1455" s="89"/>
      <c r="R1455" s="87"/>
    </row>
    <row r="1456" spans="15:18">
      <c r="O1456" s="89"/>
      <c r="P1456" s="90"/>
      <c r="Q1456" s="89"/>
      <c r="R1456" s="87"/>
    </row>
    <row r="1457" spans="15:18">
      <c r="O1457" s="89"/>
      <c r="P1457" s="90"/>
      <c r="Q1457" s="89"/>
      <c r="R1457" s="87"/>
    </row>
    <row r="1458" spans="15:18">
      <c r="O1458" s="89"/>
      <c r="P1458" s="90"/>
      <c r="Q1458" s="89"/>
      <c r="R1458" s="87"/>
    </row>
    <row r="1459" spans="15:18">
      <c r="O1459" s="89"/>
      <c r="P1459" s="90"/>
      <c r="Q1459" s="89"/>
      <c r="R1459" s="87"/>
    </row>
    <row r="1460" spans="15:18">
      <c r="O1460" s="89"/>
      <c r="P1460" s="90"/>
      <c r="Q1460" s="89"/>
      <c r="R1460" s="87"/>
    </row>
    <row r="1461" spans="15:18">
      <c r="O1461" s="89"/>
      <c r="P1461" s="90"/>
      <c r="Q1461" s="89"/>
      <c r="R1461" s="87"/>
    </row>
    <row r="1462" spans="15:18">
      <c r="O1462" s="89"/>
      <c r="P1462" s="90"/>
      <c r="Q1462" s="89"/>
      <c r="R1462" s="87"/>
    </row>
    <row r="1463" spans="15:18">
      <c r="O1463" s="89"/>
      <c r="P1463" s="90"/>
      <c r="Q1463" s="89"/>
      <c r="R1463" s="87"/>
    </row>
    <row r="1464" spans="15:18">
      <c r="O1464" s="89"/>
      <c r="P1464" s="90"/>
      <c r="Q1464" s="89"/>
      <c r="R1464" s="87"/>
    </row>
    <row r="1465" spans="15:18">
      <c r="O1465" s="89"/>
      <c r="P1465" s="90"/>
      <c r="Q1465" s="89"/>
      <c r="R1465" s="87"/>
    </row>
    <row r="1466" spans="15:18">
      <c r="O1466" s="89"/>
      <c r="P1466" s="90"/>
      <c r="Q1466" s="89"/>
      <c r="R1466" s="87"/>
    </row>
    <row r="1467" spans="15:18">
      <c r="O1467" s="89"/>
      <c r="P1467" s="90"/>
      <c r="Q1467" s="89"/>
      <c r="R1467" s="87"/>
    </row>
    <row r="1468" spans="15:18">
      <c r="O1468" s="89"/>
      <c r="P1468" s="90"/>
      <c r="Q1468" s="89"/>
      <c r="R1468" s="87"/>
    </row>
    <row r="1469" spans="15:18">
      <c r="O1469" s="89"/>
      <c r="P1469" s="90"/>
      <c r="Q1469" s="89"/>
      <c r="R1469" s="87"/>
    </row>
    <row r="1470" spans="15:18">
      <c r="O1470" s="89"/>
      <c r="P1470" s="90"/>
      <c r="Q1470" s="89"/>
      <c r="R1470" s="87"/>
    </row>
    <row r="1471" spans="15:18">
      <c r="O1471" s="89"/>
      <c r="P1471" s="90"/>
      <c r="Q1471" s="89"/>
      <c r="R1471" s="87"/>
    </row>
    <row r="1472" spans="15:18">
      <c r="O1472" s="89"/>
      <c r="P1472" s="90"/>
      <c r="Q1472" s="89"/>
      <c r="R1472" s="87"/>
    </row>
    <row r="1473" spans="15:18">
      <c r="O1473" s="89"/>
      <c r="P1473" s="90"/>
      <c r="Q1473" s="89"/>
      <c r="R1473" s="87"/>
    </row>
    <row r="1474" spans="15:18">
      <c r="O1474" s="89"/>
      <c r="P1474" s="90"/>
      <c r="Q1474" s="89"/>
      <c r="R1474" s="87"/>
    </row>
    <row r="1475" spans="15:18">
      <c r="O1475" s="89"/>
      <c r="P1475" s="90"/>
      <c r="Q1475" s="89"/>
      <c r="R1475" s="87"/>
    </row>
    <row r="1476" spans="15:18">
      <c r="O1476" s="89"/>
      <c r="P1476" s="90"/>
      <c r="Q1476" s="89"/>
      <c r="R1476" s="87"/>
    </row>
    <row r="1477" spans="15:18">
      <c r="O1477" s="89"/>
      <c r="P1477" s="90"/>
      <c r="Q1477" s="89"/>
      <c r="R1477" s="87"/>
    </row>
    <row r="1478" spans="15:18">
      <c r="O1478" s="89"/>
      <c r="P1478" s="90"/>
      <c r="Q1478" s="89"/>
      <c r="R1478" s="87"/>
    </row>
    <row r="1479" spans="15:18">
      <c r="O1479" s="89"/>
      <c r="P1479" s="90"/>
      <c r="Q1479" s="89"/>
      <c r="R1479" s="87"/>
    </row>
    <row r="1480" spans="15:18">
      <c r="O1480" s="89"/>
      <c r="P1480" s="90"/>
      <c r="Q1480" s="89"/>
      <c r="R1480" s="87"/>
    </row>
    <row r="1481" spans="15:18">
      <c r="O1481" s="89"/>
      <c r="P1481" s="90"/>
      <c r="Q1481" s="89"/>
      <c r="R1481" s="87"/>
    </row>
    <row r="1482" spans="15:18">
      <c r="O1482" s="89"/>
      <c r="P1482" s="90"/>
      <c r="Q1482" s="89"/>
      <c r="R1482" s="87"/>
    </row>
    <row r="1483" spans="15:18">
      <c r="O1483" s="89"/>
      <c r="P1483" s="90"/>
      <c r="Q1483" s="89"/>
      <c r="R1483" s="87"/>
    </row>
    <row r="1484" spans="15:18">
      <c r="O1484" s="89"/>
      <c r="P1484" s="90"/>
      <c r="Q1484" s="89"/>
      <c r="R1484" s="87"/>
    </row>
    <row r="1485" spans="15:18">
      <c r="O1485" s="89"/>
      <c r="P1485" s="90"/>
      <c r="Q1485" s="89"/>
      <c r="R1485" s="87"/>
    </row>
    <row r="1486" spans="15:18">
      <c r="O1486" s="89"/>
      <c r="P1486" s="90"/>
      <c r="Q1486" s="89"/>
      <c r="R1486" s="87"/>
    </row>
    <row r="1487" spans="15:18">
      <c r="O1487" s="89"/>
      <c r="P1487" s="90"/>
      <c r="Q1487" s="89"/>
      <c r="R1487" s="87"/>
    </row>
    <row r="1488" spans="15:18">
      <c r="O1488" s="89"/>
      <c r="P1488" s="90"/>
      <c r="Q1488" s="89"/>
      <c r="R1488" s="87"/>
    </row>
    <row r="1489" spans="15:18">
      <c r="O1489" s="89"/>
      <c r="P1489" s="90"/>
      <c r="Q1489" s="89"/>
      <c r="R1489" s="87"/>
    </row>
    <row r="1490" spans="15:18">
      <c r="O1490" s="89"/>
      <c r="P1490" s="90"/>
      <c r="Q1490" s="89"/>
      <c r="R1490" s="87"/>
    </row>
    <row r="1491" spans="15:18">
      <c r="O1491" s="89"/>
      <c r="P1491" s="90"/>
      <c r="Q1491" s="89"/>
      <c r="R1491" s="87"/>
    </row>
    <row r="1492" spans="15:18">
      <c r="O1492" s="89"/>
      <c r="P1492" s="90"/>
      <c r="Q1492" s="89"/>
      <c r="R1492" s="87"/>
    </row>
    <row r="1493" spans="15:18">
      <c r="O1493" s="89"/>
      <c r="P1493" s="90"/>
      <c r="Q1493" s="89"/>
      <c r="R1493" s="87"/>
    </row>
    <row r="1494" spans="15:18">
      <c r="O1494" s="89"/>
      <c r="P1494" s="90"/>
      <c r="Q1494" s="89"/>
      <c r="R1494" s="87"/>
    </row>
    <row r="1495" spans="15:18">
      <c r="O1495" s="89"/>
      <c r="P1495" s="90"/>
      <c r="Q1495" s="89"/>
      <c r="R1495" s="87"/>
    </row>
    <row r="1496" spans="15:18">
      <c r="O1496" s="89"/>
      <c r="P1496" s="90"/>
      <c r="Q1496" s="89"/>
      <c r="R1496" s="87"/>
    </row>
    <row r="1497" spans="15:18">
      <c r="O1497" s="89"/>
      <c r="P1497" s="90"/>
      <c r="Q1497" s="89"/>
      <c r="R1497" s="87"/>
    </row>
    <row r="1498" spans="15:18">
      <c r="O1498" s="89"/>
      <c r="P1498" s="90"/>
      <c r="Q1498" s="89"/>
      <c r="R1498" s="87"/>
    </row>
    <row r="1499" spans="15:18">
      <c r="O1499" s="89"/>
      <c r="P1499" s="90"/>
      <c r="Q1499" s="89"/>
      <c r="R1499" s="87"/>
    </row>
    <row r="1500" spans="15:18">
      <c r="O1500" s="89"/>
      <c r="P1500" s="90"/>
      <c r="Q1500" s="89"/>
      <c r="R1500" s="87"/>
    </row>
    <row r="1501" spans="15:18">
      <c r="O1501" s="89"/>
      <c r="P1501" s="90"/>
      <c r="Q1501" s="89"/>
      <c r="R1501" s="87"/>
    </row>
    <row r="1502" spans="15:18">
      <c r="O1502" s="89"/>
      <c r="P1502" s="90"/>
      <c r="Q1502" s="89"/>
      <c r="R1502" s="87"/>
    </row>
    <row r="1503" spans="15:18">
      <c r="O1503" s="89"/>
      <c r="P1503" s="90"/>
      <c r="Q1503" s="89"/>
      <c r="R1503" s="87"/>
    </row>
    <row r="1504" spans="15:18">
      <c r="O1504" s="89"/>
      <c r="P1504" s="90"/>
      <c r="Q1504" s="89"/>
      <c r="R1504" s="87"/>
    </row>
    <row r="1505" spans="15:18">
      <c r="O1505" s="89"/>
      <c r="P1505" s="90"/>
      <c r="Q1505" s="89"/>
      <c r="R1505" s="87"/>
    </row>
    <row r="1506" spans="15:18">
      <c r="O1506" s="89"/>
      <c r="P1506" s="90"/>
      <c r="Q1506" s="89"/>
      <c r="R1506" s="87"/>
    </row>
    <row r="1507" spans="15:18">
      <c r="O1507" s="89"/>
      <c r="P1507" s="90"/>
      <c r="Q1507" s="89"/>
      <c r="R1507" s="87"/>
    </row>
    <row r="1508" spans="15:18">
      <c r="O1508" s="89"/>
      <c r="P1508" s="90"/>
      <c r="Q1508" s="89"/>
      <c r="R1508" s="87"/>
    </row>
    <row r="1509" spans="15:18">
      <c r="O1509" s="89"/>
      <c r="P1509" s="90"/>
      <c r="Q1509" s="89"/>
      <c r="R1509" s="87"/>
    </row>
    <row r="1510" spans="15:18">
      <c r="O1510" s="89"/>
      <c r="P1510" s="90"/>
      <c r="Q1510" s="89"/>
      <c r="R1510" s="87"/>
    </row>
    <row r="1511" spans="15:18">
      <c r="O1511" s="89"/>
      <c r="P1511" s="90"/>
      <c r="Q1511" s="89"/>
      <c r="R1511" s="87"/>
    </row>
    <row r="1512" spans="15:18">
      <c r="O1512" s="89"/>
      <c r="P1512" s="90"/>
      <c r="Q1512" s="89"/>
      <c r="R1512" s="87"/>
    </row>
    <row r="1513" spans="15:18">
      <c r="O1513" s="89"/>
      <c r="P1513" s="90"/>
      <c r="Q1513" s="89"/>
      <c r="R1513" s="87"/>
    </row>
    <row r="1514" spans="15:18">
      <c r="O1514" s="89"/>
      <c r="P1514" s="90"/>
      <c r="Q1514" s="89"/>
      <c r="R1514" s="87"/>
    </row>
    <row r="1515" spans="15:18">
      <c r="O1515" s="89"/>
      <c r="P1515" s="90"/>
      <c r="Q1515" s="89"/>
      <c r="R1515" s="87"/>
    </row>
    <row r="1516" spans="15:18">
      <c r="O1516" s="89"/>
      <c r="P1516" s="90"/>
      <c r="Q1516" s="89"/>
      <c r="R1516" s="87"/>
    </row>
    <row r="1517" spans="15:18">
      <c r="O1517" s="89"/>
      <c r="P1517" s="90"/>
      <c r="Q1517" s="89"/>
      <c r="R1517" s="87"/>
    </row>
    <row r="1518" spans="15:18">
      <c r="O1518" s="89"/>
      <c r="P1518" s="90"/>
      <c r="Q1518" s="89"/>
      <c r="R1518" s="87"/>
    </row>
    <row r="1519" spans="15:18">
      <c r="O1519" s="89"/>
      <c r="P1519" s="90"/>
      <c r="Q1519" s="89"/>
      <c r="R1519" s="87"/>
    </row>
    <row r="1520" spans="15:18">
      <c r="O1520" s="89"/>
      <c r="P1520" s="90"/>
      <c r="Q1520" s="89"/>
      <c r="R1520" s="87"/>
    </row>
    <row r="1521" spans="15:18">
      <c r="O1521" s="89"/>
      <c r="P1521" s="90"/>
      <c r="Q1521" s="89"/>
      <c r="R1521" s="87"/>
    </row>
    <row r="1522" spans="15:18">
      <c r="O1522" s="89"/>
      <c r="P1522" s="90"/>
      <c r="Q1522" s="89"/>
      <c r="R1522" s="87"/>
    </row>
    <row r="1523" spans="15:18">
      <c r="O1523" s="89"/>
      <c r="P1523" s="90"/>
      <c r="Q1523" s="89"/>
      <c r="R1523" s="87"/>
    </row>
    <row r="1524" spans="15:18">
      <c r="O1524" s="89"/>
      <c r="P1524" s="90"/>
      <c r="Q1524" s="89"/>
      <c r="R1524" s="87"/>
    </row>
    <row r="1525" spans="15:18">
      <c r="O1525" s="89"/>
      <c r="P1525" s="90"/>
      <c r="Q1525" s="89"/>
      <c r="R1525" s="87"/>
    </row>
    <row r="1526" spans="15:18">
      <c r="O1526" s="89"/>
      <c r="P1526" s="90"/>
      <c r="Q1526" s="89"/>
      <c r="R1526" s="87"/>
    </row>
    <row r="1527" spans="15:18">
      <c r="O1527" s="89"/>
      <c r="P1527" s="90"/>
      <c r="Q1527" s="89"/>
      <c r="R1527" s="87"/>
    </row>
    <row r="1528" spans="15:18">
      <c r="O1528" s="89"/>
      <c r="P1528" s="90"/>
      <c r="Q1528" s="89"/>
      <c r="R1528" s="87"/>
    </row>
    <row r="1529" spans="15:18">
      <c r="O1529" s="89"/>
      <c r="P1529" s="90"/>
      <c r="Q1529" s="89"/>
      <c r="R1529" s="87"/>
    </row>
    <row r="1530" spans="15:18">
      <c r="O1530" s="89"/>
      <c r="P1530" s="90"/>
      <c r="Q1530" s="89"/>
      <c r="R1530" s="87"/>
    </row>
    <row r="1531" spans="15:18">
      <c r="O1531" s="89"/>
      <c r="P1531" s="90"/>
      <c r="Q1531" s="89"/>
      <c r="R1531" s="87"/>
    </row>
    <row r="1532" spans="15:18">
      <c r="O1532" s="89"/>
      <c r="P1532" s="90"/>
      <c r="Q1532" s="89"/>
      <c r="R1532" s="87"/>
    </row>
    <row r="1533" spans="15:18">
      <c r="O1533" s="89"/>
      <c r="P1533" s="90"/>
      <c r="Q1533" s="89"/>
      <c r="R1533" s="87"/>
    </row>
    <row r="1534" spans="15:18">
      <c r="O1534" s="89"/>
      <c r="P1534" s="90"/>
      <c r="Q1534" s="89"/>
      <c r="R1534" s="87"/>
    </row>
    <row r="1535" spans="15:18">
      <c r="O1535" s="89"/>
      <c r="P1535" s="90"/>
      <c r="Q1535" s="89"/>
      <c r="R1535" s="87"/>
    </row>
    <row r="1536" spans="15:18">
      <c r="O1536" s="89"/>
      <c r="P1536" s="90"/>
      <c r="Q1536" s="89"/>
      <c r="R1536" s="87"/>
    </row>
    <row r="1537" spans="15:18">
      <c r="O1537" s="89"/>
      <c r="P1537" s="90"/>
      <c r="Q1537" s="89"/>
      <c r="R1537" s="87"/>
    </row>
    <row r="1538" spans="15:18">
      <c r="O1538" s="89"/>
      <c r="P1538" s="90"/>
      <c r="Q1538" s="89"/>
      <c r="R1538" s="87"/>
    </row>
    <row r="1539" spans="15:18">
      <c r="O1539" s="89"/>
      <c r="P1539" s="90"/>
      <c r="Q1539" s="89"/>
      <c r="R1539" s="87"/>
    </row>
    <row r="1540" spans="15:18">
      <c r="O1540" s="89"/>
      <c r="P1540" s="90"/>
      <c r="Q1540" s="89"/>
      <c r="R1540" s="87"/>
    </row>
    <row r="1541" spans="15:18">
      <c r="O1541" s="89"/>
      <c r="P1541" s="90"/>
      <c r="Q1541" s="89"/>
      <c r="R1541" s="87"/>
    </row>
    <row r="1542" spans="15:18">
      <c r="O1542" s="89"/>
      <c r="P1542" s="90"/>
      <c r="Q1542" s="89"/>
      <c r="R1542" s="87"/>
    </row>
    <row r="1543" spans="15:18">
      <c r="O1543" s="89"/>
      <c r="P1543" s="90"/>
      <c r="Q1543" s="89"/>
      <c r="R1543" s="87"/>
    </row>
    <row r="1544" spans="15:18">
      <c r="O1544" s="89"/>
      <c r="P1544" s="90"/>
      <c r="Q1544" s="89"/>
      <c r="R1544" s="87"/>
    </row>
    <row r="1545" spans="15:18">
      <c r="O1545" s="89"/>
      <c r="P1545" s="90"/>
      <c r="Q1545" s="89"/>
      <c r="R1545" s="87"/>
    </row>
    <row r="1546" spans="15:18">
      <c r="O1546" s="89"/>
      <c r="P1546" s="90"/>
      <c r="Q1546" s="89"/>
      <c r="R1546" s="87"/>
    </row>
    <row r="1547" spans="15:18">
      <c r="O1547" s="89"/>
      <c r="P1547" s="90"/>
      <c r="Q1547" s="89"/>
      <c r="R1547" s="87"/>
    </row>
    <row r="1548" spans="15:18">
      <c r="O1548" s="89"/>
      <c r="P1548" s="90"/>
      <c r="Q1548" s="89"/>
      <c r="R1548" s="87"/>
    </row>
    <row r="1549" spans="15:18">
      <c r="O1549" s="89"/>
      <c r="P1549" s="90"/>
      <c r="Q1549" s="89"/>
      <c r="R1549" s="87"/>
    </row>
    <row r="1550" spans="15:18">
      <c r="O1550" s="89"/>
      <c r="P1550" s="90"/>
      <c r="Q1550" s="89"/>
      <c r="R1550" s="87"/>
    </row>
    <row r="1551" spans="15:18">
      <c r="O1551" s="89"/>
      <c r="P1551" s="90"/>
      <c r="Q1551" s="89"/>
      <c r="R1551" s="87"/>
    </row>
    <row r="1552" spans="15:18">
      <c r="O1552" s="89"/>
      <c r="P1552" s="90"/>
      <c r="Q1552" s="89"/>
      <c r="R1552" s="87"/>
    </row>
    <row r="1553" spans="15:18">
      <c r="O1553" s="89"/>
      <c r="P1553" s="90"/>
      <c r="Q1553" s="89"/>
      <c r="R1553" s="87"/>
    </row>
    <row r="1554" spans="15:18">
      <c r="O1554" s="89"/>
      <c r="P1554" s="90"/>
      <c r="Q1554" s="89"/>
      <c r="R1554" s="87"/>
    </row>
    <row r="1555" spans="15:18">
      <c r="O1555" s="89"/>
      <c r="P1555" s="90"/>
      <c r="Q1555" s="89"/>
      <c r="R1555" s="87"/>
    </row>
    <row r="1556" spans="15:18">
      <c r="O1556" s="89"/>
      <c r="P1556" s="90"/>
      <c r="Q1556" s="89"/>
      <c r="R1556" s="87"/>
    </row>
    <row r="1557" spans="15:18">
      <c r="O1557" s="89"/>
      <c r="P1557" s="90"/>
      <c r="Q1557" s="89"/>
      <c r="R1557" s="87"/>
    </row>
    <row r="1558" spans="15:18">
      <c r="O1558" s="89"/>
      <c r="P1558" s="90"/>
      <c r="Q1558" s="89"/>
      <c r="R1558" s="87"/>
    </row>
    <row r="1559" spans="15:18">
      <c r="O1559" s="89"/>
      <c r="P1559" s="90"/>
      <c r="Q1559" s="89"/>
      <c r="R1559" s="87"/>
    </row>
    <row r="1560" spans="15:18">
      <c r="O1560" s="89"/>
      <c r="P1560" s="90"/>
      <c r="Q1560" s="89"/>
      <c r="R1560" s="87"/>
    </row>
    <row r="1561" spans="15:18">
      <c r="O1561" s="89"/>
      <c r="P1561" s="90"/>
      <c r="Q1561" s="89"/>
      <c r="R1561" s="87"/>
    </row>
    <row r="1562" spans="15:18">
      <c r="O1562" s="89"/>
      <c r="P1562" s="90"/>
      <c r="Q1562" s="89"/>
      <c r="R1562" s="87"/>
    </row>
    <row r="1563" spans="15:18">
      <c r="O1563" s="89"/>
      <c r="P1563" s="90"/>
      <c r="Q1563" s="89"/>
      <c r="R1563" s="87"/>
    </row>
    <row r="1564" spans="15:18">
      <c r="O1564" s="89"/>
      <c r="P1564" s="90"/>
      <c r="Q1564" s="89"/>
      <c r="R1564" s="87"/>
    </row>
    <row r="1565" spans="15:18">
      <c r="O1565" s="89"/>
      <c r="P1565" s="90"/>
      <c r="Q1565" s="89"/>
      <c r="R1565" s="87"/>
    </row>
    <row r="1566" spans="15:18">
      <c r="O1566" s="89"/>
      <c r="P1566" s="90"/>
      <c r="Q1566" s="89"/>
      <c r="R1566" s="87"/>
    </row>
    <row r="1567" spans="15:18">
      <c r="O1567" s="89"/>
      <c r="P1567" s="90"/>
      <c r="Q1567" s="89"/>
      <c r="R1567" s="87"/>
    </row>
    <row r="1568" spans="15:18">
      <c r="O1568" s="89"/>
      <c r="P1568" s="90"/>
      <c r="Q1568" s="89"/>
      <c r="R1568" s="87"/>
    </row>
    <row r="1569" spans="15:18">
      <c r="O1569" s="89"/>
      <c r="P1569" s="90"/>
      <c r="Q1569" s="89"/>
      <c r="R1569" s="87"/>
    </row>
    <row r="1570" spans="15:18">
      <c r="O1570" s="89"/>
      <c r="P1570" s="90"/>
      <c r="Q1570" s="89"/>
      <c r="R1570" s="87"/>
    </row>
    <row r="1571" spans="15:18">
      <c r="O1571" s="89"/>
      <c r="P1571" s="90"/>
      <c r="Q1571" s="89"/>
      <c r="R1571" s="87"/>
    </row>
    <row r="1572" spans="15:18">
      <c r="O1572" s="89"/>
      <c r="P1572" s="90"/>
      <c r="Q1572" s="89"/>
      <c r="R1572" s="87"/>
    </row>
    <row r="1573" spans="15:18">
      <c r="O1573" s="89"/>
      <c r="P1573" s="90"/>
      <c r="Q1573" s="89"/>
      <c r="R1573" s="87"/>
    </row>
    <row r="1574" spans="15:18">
      <c r="O1574" s="89"/>
      <c r="P1574" s="90"/>
      <c r="Q1574" s="89"/>
      <c r="R1574" s="87"/>
    </row>
    <row r="1575" spans="15:18">
      <c r="O1575" s="89"/>
      <c r="P1575" s="90"/>
      <c r="Q1575" s="89"/>
      <c r="R1575" s="87"/>
    </row>
    <row r="1576" spans="15:18">
      <c r="O1576" s="89"/>
      <c r="P1576" s="90"/>
      <c r="Q1576" s="89"/>
      <c r="R1576" s="87"/>
    </row>
    <row r="1577" spans="15:18">
      <c r="O1577" s="89"/>
      <c r="P1577" s="90"/>
      <c r="Q1577" s="89"/>
      <c r="R1577" s="87"/>
    </row>
    <row r="1578" spans="15:18">
      <c r="O1578" s="89"/>
      <c r="P1578" s="90"/>
      <c r="Q1578" s="89"/>
      <c r="R1578" s="87"/>
    </row>
    <row r="1579" spans="15:18">
      <c r="O1579" s="89"/>
      <c r="P1579" s="90"/>
      <c r="Q1579" s="89"/>
      <c r="R1579" s="87"/>
    </row>
    <row r="1580" spans="15:18">
      <c r="O1580" s="89"/>
      <c r="P1580" s="90"/>
      <c r="Q1580" s="89"/>
      <c r="R1580" s="87"/>
    </row>
    <row r="1581" spans="15:18">
      <c r="O1581" s="89"/>
      <c r="P1581" s="90"/>
      <c r="Q1581" s="89"/>
      <c r="R1581" s="87"/>
    </row>
    <row r="1582" spans="15:18">
      <c r="O1582" s="89"/>
      <c r="P1582" s="90"/>
      <c r="Q1582" s="89"/>
      <c r="R1582" s="87"/>
    </row>
    <row r="1583" spans="15:18">
      <c r="O1583" s="89"/>
      <c r="P1583" s="90"/>
      <c r="Q1583" s="89"/>
      <c r="R1583" s="87"/>
    </row>
    <row r="1584" spans="15:18">
      <c r="O1584" s="89"/>
      <c r="P1584" s="90"/>
      <c r="Q1584" s="89"/>
      <c r="R1584" s="87"/>
    </row>
    <row r="1585" spans="15:18">
      <c r="O1585" s="89"/>
      <c r="P1585" s="90"/>
      <c r="Q1585" s="89"/>
      <c r="R1585" s="87"/>
    </row>
    <row r="1586" spans="15:18">
      <c r="O1586" s="89"/>
      <c r="P1586" s="90"/>
      <c r="Q1586" s="89"/>
      <c r="R1586" s="87"/>
    </row>
    <row r="1587" spans="15:18">
      <c r="O1587" s="89"/>
      <c r="P1587" s="90"/>
      <c r="Q1587" s="89"/>
      <c r="R1587" s="87"/>
    </row>
    <row r="1588" spans="15:18">
      <c r="O1588" s="89"/>
      <c r="P1588" s="90"/>
      <c r="Q1588" s="89"/>
      <c r="R1588" s="87"/>
    </row>
    <row r="1589" spans="15:18">
      <c r="O1589" s="89"/>
      <c r="P1589" s="90"/>
      <c r="Q1589" s="89"/>
      <c r="R1589" s="87"/>
    </row>
    <row r="1590" spans="15:18">
      <c r="O1590" s="89"/>
      <c r="P1590" s="90"/>
      <c r="Q1590" s="89"/>
      <c r="R1590" s="87"/>
    </row>
    <row r="1591" spans="15:18">
      <c r="O1591" s="89"/>
      <c r="P1591" s="90"/>
      <c r="Q1591" s="89"/>
      <c r="R1591" s="87"/>
    </row>
    <row r="1592" spans="15:18">
      <c r="O1592" s="89"/>
      <c r="P1592" s="90"/>
      <c r="Q1592" s="89"/>
      <c r="R1592" s="87"/>
    </row>
    <row r="1593" spans="15:18">
      <c r="O1593" s="89"/>
      <c r="P1593" s="90"/>
      <c r="Q1593" s="89"/>
      <c r="R1593" s="87"/>
    </row>
    <row r="1594" spans="15:18">
      <c r="O1594" s="89"/>
      <c r="P1594" s="90"/>
      <c r="Q1594" s="89"/>
      <c r="R1594" s="87"/>
    </row>
    <row r="1595" spans="15:18">
      <c r="O1595" s="89"/>
      <c r="P1595" s="90"/>
      <c r="Q1595" s="89"/>
      <c r="R1595" s="87"/>
    </row>
    <row r="1596" spans="15:18">
      <c r="O1596" s="89"/>
      <c r="P1596" s="90"/>
      <c r="Q1596" s="89"/>
      <c r="R1596" s="87"/>
    </row>
    <row r="1597" spans="15:18">
      <c r="O1597" s="89"/>
      <c r="P1597" s="90"/>
      <c r="Q1597" s="89"/>
      <c r="R1597" s="87"/>
    </row>
    <row r="1598" spans="15:18">
      <c r="O1598" s="89"/>
      <c r="P1598" s="90"/>
      <c r="Q1598" s="89"/>
      <c r="R1598" s="87"/>
    </row>
    <row r="1599" spans="15:18">
      <c r="O1599" s="89"/>
      <c r="P1599" s="90"/>
      <c r="Q1599" s="89"/>
      <c r="R1599" s="87"/>
    </row>
    <row r="1600" spans="15:18">
      <c r="O1600" s="89"/>
      <c r="P1600" s="90"/>
      <c r="Q1600" s="89"/>
      <c r="R1600" s="87"/>
    </row>
    <row r="1601" spans="15:18">
      <c r="O1601" s="89"/>
      <c r="P1601" s="90"/>
      <c r="Q1601" s="89"/>
      <c r="R1601" s="87"/>
    </row>
    <row r="1602" spans="15:18">
      <c r="O1602" s="89"/>
      <c r="P1602" s="90"/>
      <c r="Q1602" s="89"/>
      <c r="R1602" s="87"/>
    </row>
    <row r="1603" spans="15:18">
      <c r="O1603" s="89"/>
      <c r="P1603" s="90"/>
      <c r="Q1603" s="89"/>
      <c r="R1603" s="87"/>
    </row>
    <row r="1604" spans="15:18">
      <c r="O1604" s="89"/>
      <c r="P1604" s="90"/>
      <c r="Q1604" s="89"/>
      <c r="R1604" s="87"/>
    </row>
    <row r="1605" spans="15:18">
      <c r="O1605" s="89"/>
      <c r="P1605" s="90"/>
      <c r="Q1605" s="89"/>
      <c r="R1605" s="87"/>
    </row>
    <row r="1606" spans="15:18">
      <c r="O1606" s="89"/>
      <c r="P1606" s="90"/>
      <c r="Q1606" s="89"/>
      <c r="R1606" s="87"/>
    </row>
    <row r="1607" spans="15:18">
      <c r="O1607" s="89"/>
      <c r="P1607" s="90"/>
      <c r="Q1607" s="89"/>
      <c r="R1607" s="87"/>
    </row>
    <row r="1608" spans="15:18">
      <c r="O1608" s="89"/>
      <c r="P1608" s="90"/>
      <c r="Q1608" s="89"/>
      <c r="R1608" s="87"/>
    </row>
    <row r="1609" spans="15:18">
      <c r="O1609" s="89"/>
      <c r="P1609" s="90"/>
      <c r="Q1609" s="89"/>
      <c r="R1609" s="87"/>
    </row>
    <row r="1610" spans="15:18">
      <c r="O1610" s="89"/>
      <c r="P1610" s="90"/>
      <c r="Q1610" s="89"/>
      <c r="R1610" s="87"/>
    </row>
    <row r="1611" spans="15:18">
      <c r="O1611" s="89"/>
      <c r="P1611" s="90"/>
      <c r="Q1611" s="89"/>
      <c r="R1611" s="87"/>
    </row>
    <row r="1612" spans="15:18">
      <c r="O1612" s="89"/>
      <c r="P1612" s="90"/>
      <c r="Q1612" s="89"/>
      <c r="R1612" s="87"/>
    </row>
    <row r="1613" spans="15:18">
      <c r="O1613" s="89"/>
      <c r="P1613" s="90"/>
      <c r="Q1613" s="89"/>
      <c r="R1613" s="87"/>
    </row>
    <row r="1614" spans="15:18">
      <c r="O1614" s="89"/>
      <c r="P1614" s="90"/>
      <c r="Q1614" s="89"/>
      <c r="R1614" s="87"/>
    </row>
    <row r="1615" spans="15:18">
      <c r="O1615" s="89"/>
      <c r="P1615" s="90"/>
      <c r="Q1615" s="89"/>
      <c r="R1615" s="87"/>
    </row>
    <row r="1616" spans="15:18">
      <c r="O1616" s="89"/>
      <c r="P1616" s="90"/>
      <c r="Q1616" s="89"/>
      <c r="R1616" s="87"/>
    </row>
    <row r="1617" spans="15:18">
      <c r="O1617" s="89"/>
      <c r="P1617" s="90"/>
      <c r="Q1617" s="89"/>
      <c r="R1617" s="87"/>
    </row>
    <row r="1618" spans="15:18">
      <c r="O1618" s="89"/>
      <c r="P1618" s="90"/>
      <c r="Q1618" s="89"/>
      <c r="R1618" s="87"/>
    </row>
    <row r="1619" spans="15:18">
      <c r="O1619" s="89"/>
      <c r="P1619" s="90"/>
      <c r="Q1619" s="89"/>
      <c r="R1619" s="87"/>
    </row>
    <row r="1620" spans="15:18">
      <c r="O1620" s="89"/>
      <c r="P1620" s="90"/>
      <c r="Q1620" s="89"/>
      <c r="R1620" s="87"/>
    </row>
    <row r="1621" spans="15:18">
      <c r="O1621" s="89"/>
      <c r="P1621" s="90"/>
      <c r="Q1621" s="89"/>
      <c r="R1621" s="87"/>
    </row>
    <row r="1622" spans="15:18">
      <c r="O1622" s="89"/>
      <c r="P1622" s="90"/>
      <c r="Q1622" s="89"/>
      <c r="R1622" s="87"/>
    </row>
    <row r="1623" spans="15:18">
      <c r="O1623" s="89"/>
      <c r="P1623" s="90"/>
      <c r="Q1623" s="89"/>
      <c r="R1623" s="87"/>
    </row>
    <row r="1624" spans="15:18">
      <c r="O1624" s="89"/>
      <c r="P1624" s="90"/>
      <c r="Q1624" s="89"/>
      <c r="R1624" s="87"/>
    </row>
    <row r="1625" spans="15:18">
      <c r="O1625" s="89"/>
      <c r="P1625" s="90"/>
      <c r="Q1625" s="89"/>
      <c r="R1625" s="87"/>
    </row>
    <row r="1626" spans="15:18">
      <c r="O1626" s="89"/>
      <c r="P1626" s="90"/>
      <c r="Q1626" s="89"/>
      <c r="R1626" s="87"/>
    </row>
    <row r="1627" spans="15:18">
      <c r="O1627" s="89"/>
      <c r="P1627" s="90"/>
      <c r="Q1627" s="89"/>
      <c r="R1627" s="87"/>
    </row>
    <row r="1628" spans="15:18">
      <c r="O1628" s="89"/>
      <c r="P1628" s="90"/>
      <c r="Q1628" s="89"/>
      <c r="R1628" s="87"/>
    </row>
    <row r="1629" spans="15:18">
      <c r="O1629" s="89"/>
      <c r="P1629" s="90"/>
      <c r="Q1629" s="89"/>
      <c r="R1629" s="87"/>
    </row>
    <row r="1630" spans="15:18">
      <c r="O1630" s="89"/>
      <c r="P1630" s="90"/>
      <c r="Q1630" s="89"/>
      <c r="R1630" s="87"/>
    </row>
    <row r="1631" spans="15:18">
      <c r="O1631" s="89"/>
      <c r="P1631" s="90"/>
      <c r="Q1631" s="89"/>
      <c r="R1631" s="87"/>
    </row>
    <row r="1632" spans="15:18">
      <c r="O1632" s="89"/>
      <c r="P1632" s="90"/>
      <c r="Q1632" s="89"/>
      <c r="R1632" s="87"/>
    </row>
    <row r="1633" spans="15:18">
      <c r="O1633" s="89"/>
      <c r="P1633" s="90"/>
      <c r="Q1633" s="89"/>
      <c r="R1633" s="87"/>
    </row>
    <row r="1634" spans="15:18">
      <c r="O1634" s="89"/>
      <c r="P1634" s="90"/>
      <c r="Q1634" s="89"/>
      <c r="R1634" s="87"/>
    </row>
    <row r="1635" spans="15:18">
      <c r="O1635" s="89"/>
      <c r="P1635" s="90"/>
      <c r="Q1635" s="89"/>
      <c r="R1635" s="87"/>
    </row>
    <row r="1636" spans="15:18">
      <c r="O1636" s="89"/>
      <c r="P1636" s="90"/>
      <c r="Q1636" s="89"/>
      <c r="R1636" s="87"/>
    </row>
    <row r="1637" spans="15:18">
      <c r="O1637" s="89"/>
      <c r="P1637" s="90"/>
      <c r="Q1637" s="89"/>
      <c r="R1637" s="87"/>
    </row>
    <row r="1638" spans="15:18">
      <c r="O1638" s="89"/>
      <c r="P1638" s="90"/>
      <c r="Q1638" s="89"/>
      <c r="R1638" s="87"/>
    </row>
    <row r="1639" spans="15:18">
      <c r="O1639" s="89"/>
      <c r="P1639" s="90"/>
      <c r="Q1639" s="89"/>
      <c r="R1639" s="87"/>
    </row>
    <row r="1640" spans="15:18">
      <c r="O1640" s="89"/>
      <c r="P1640" s="90"/>
      <c r="Q1640" s="89"/>
      <c r="R1640" s="87"/>
    </row>
    <row r="1641" spans="15:18">
      <c r="O1641" s="89"/>
      <c r="P1641" s="90"/>
      <c r="Q1641" s="89"/>
      <c r="R1641" s="87"/>
    </row>
    <row r="1642" spans="15:18">
      <c r="O1642" s="89"/>
      <c r="P1642" s="90"/>
      <c r="Q1642" s="89"/>
      <c r="R1642" s="87"/>
    </row>
    <row r="1643" spans="15:18">
      <c r="O1643" s="89"/>
      <c r="P1643" s="90"/>
      <c r="Q1643" s="89"/>
      <c r="R1643" s="87"/>
    </row>
    <row r="1644" spans="15:18">
      <c r="O1644" s="89"/>
      <c r="P1644" s="90"/>
      <c r="Q1644" s="89"/>
      <c r="R1644" s="87"/>
    </row>
    <row r="1645" spans="15:18">
      <c r="O1645" s="89"/>
      <c r="P1645" s="90"/>
      <c r="Q1645" s="89"/>
      <c r="R1645" s="87"/>
    </row>
    <row r="1646" spans="15:18">
      <c r="O1646" s="89"/>
      <c r="P1646" s="90"/>
      <c r="Q1646" s="89"/>
      <c r="R1646" s="87"/>
    </row>
    <row r="1647" spans="15:18">
      <c r="O1647" s="89"/>
      <c r="P1647" s="90"/>
      <c r="Q1647" s="89"/>
      <c r="R1647" s="87"/>
    </row>
    <row r="1648" spans="15:18">
      <c r="O1648" s="89"/>
      <c r="P1648" s="90"/>
      <c r="Q1648" s="89"/>
      <c r="R1648" s="87"/>
    </row>
    <row r="1649" spans="15:18">
      <c r="O1649" s="89"/>
      <c r="P1649" s="90"/>
      <c r="Q1649" s="89"/>
      <c r="R1649" s="87"/>
    </row>
    <row r="1650" spans="15:18">
      <c r="O1650" s="89"/>
      <c r="P1650" s="90"/>
      <c r="Q1650" s="89"/>
      <c r="R1650" s="87"/>
    </row>
    <row r="1651" spans="15:18">
      <c r="O1651" s="89"/>
      <c r="P1651" s="90"/>
      <c r="Q1651" s="89"/>
      <c r="R1651" s="87"/>
    </row>
    <row r="1652" spans="15:18">
      <c r="O1652" s="89"/>
      <c r="P1652" s="90"/>
      <c r="Q1652" s="89"/>
      <c r="R1652" s="87"/>
    </row>
    <row r="1653" spans="15:18">
      <c r="O1653" s="89"/>
      <c r="P1653" s="90"/>
      <c r="Q1653" s="89"/>
      <c r="R1653" s="87"/>
    </row>
    <row r="1654" spans="15:18">
      <c r="O1654" s="89"/>
      <c r="P1654" s="90"/>
      <c r="Q1654" s="89"/>
      <c r="R1654" s="87"/>
    </row>
    <row r="1655" spans="15:18">
      <c r="O1655" s="89"/>
      <c r="P1655" s="90"/>
      <c r="Q1655" s="89"/>
      <c r="R1655" s="87"/>
    </row>
    <row r="1656" spans="15:18">
      <c r="O1656" s="89"/>
      <c r="P1656" s="90"/>
      <c r="Q1656" s="89"/>
      <c r="R1656" s="87"/>
    </row>
    <row r="1657" spans="15:18">
      <c r="O1657" s="89"/>
      <c r="P1657" s="90"/>
      <c r="Q1657" s="89"/>
      <c r="R1657" s="87"/>
    </row>
    <row r="1658" spans="15:18">
      <c r="O1658" s="89"/>
      <c r="P1658" s="90"/>
      <c r="Q1658" s="89"/>
      <c r="R1658" s="87"/>
    </row>
    <row r="1659" spans="15:18">
      <c r="O1659" s="89"/>
      <c r="P1659" s="90"/>
      <c r="Q1659" s="89"/>
      <c r="R1659" s="87"/>
    </row>
    <row r="1660" spans="15:18">
      <c r="O1660" s="89"/>
      <c r="P1660" s="90"/>
      <c r="Q1660" s="89"/>
      <c r="R1660" s="87"/>
    </row>
    <row r="1661" spans="15:18">
      <c r="O1661" s="89"/>
      <c r="P1661" s="90"/>
      <c r="Q1661" s="89"/>
      <c r="R1661" s="87"/>
    </row>
    <row r="1662" spans="15:18">
      <c r="O1662" s="89"/>
      <c r="P1662" s="90"/>
      <c r="Q1662" s="89"/>
      <c r="R1662" s="87"/>
    </row>
    <row r="1663" spans="15:18">
      <c r="O1663" s="89"/>
      <c r="P1663" s="90"/>
      <c r="Q1663" s="89"/>
      <c r="R1663" s="87"/>
    </row>
    <row r="1664" spans="15:18">
      <c r="O1664" s="89"/>
      <c r="P1664" s="90"/>
      <c r="Q1664" s="89"/>
      <c r="R1664" s="87"/>
    </row>
    <row r="1665" spans="15:18">
      <c r="O1665" s="89"/>
      <c r="P1665" s="90"/>
      <c r="Q1665" s="89"/>
      <c r="R1665" s="87"/>
    </row>
    <row r="1666" spans="15:18">
      <c r="O1666" s="89"/>
      <c r="P1666" s="90"/>
      <c r="Q1666" s="89"/>
      <c r="R1666" s="87"/>
    </row>
    <row r="1667" spans="15:18">
      <c r="O1667" s="89"/>
      <c r="P1667" s="90"/>
      <c r="Q1667" s="89"/>
      <c r="R1667" s="87"/>
    </row>
    <row r="1668" spans="15:18">
      <c r="O1668" s="89"/>
      <c r="P1668" s="90"/>
      <c r="Q1668" s="89"/>
      <c r="R1668" s="87"/>
    </row>
    <row r="1669" spans="15:18">
      <c r="O1669" s="89"/>
      <c r="P1669" s="90"/>
      <c r="Q1669" s="89"/>
      <c r="R1669" s="87"/>
    </row>
    <row r="1670" spans="15:18">
      <c r="O1670" s="89"/>
      <c r="P1670" s="90"/>
      <c r="Q1670" s="89"/>
      <c r="R1670" s="87"/>
    </row>
    <row r="1671" spans="15:18">
      <c r="O1671" s="89"/>
      <c r="P1671" s="90"/>
      <c r="Q1671" s="89"/>
      <c r="R1671" s="87"/>
    </row>
    <row r="1672" spans="15:18">
      <c r="O1672" s="89"/>
      <c r="P1672" s="90"/>
      <c r="Q1672" s="89"/>
      <c r="R1672" s="87"/>
    </row>
    <row r="1673" spans="15:18">
      <c r="O1673" s="89"/>
      <c r="P1673" s="90"/>
      <c r="Q1673" s="89"/>
      <c r="R1673" s="87"/>
    </row>
    <row r="1674" spans="15:18">
      <c r="O1674" s="89"/>
      <c r="P1674" s="90"/>
      <c r="Q1674" s="89"/>
      <c r="R1674" s="87"/>
    </row>
    <row r="1675" spans="15:18">
      <c r="O1675" s="89"/>
      <c r="P1675" s="90"/>
      <c r="Q1675" s="89"/>
      <c r="R1675" s="87"/>
    </row>
    <row r="1676" spans="15:18">
      <c r="O1676" s="89"/>
      <c r="P1676" s="90"/>
      <c r="Q1676" s="89"/>
      <c r="R1676" s="87"/>
    </row>
    <row r="1677" spans="15:18">
      <c r="O1677" s="89"/>
      <c r="P1677" s="90"/>
      <c r="Q1677" s="89"/>
      <c r="R1677" s="87"/>
    </row>
    <row r="1678" spans="15:18">
      <c r="O1678" s="89"/>
      <c r="P1678" s="90"/>
      <c r="Q1678" s="89"/>
      <c r="R1678" s="87"/>
    </row>
    <row r="1679" spans="15:18">
      <c r="O1679" s="89"/>
      <c r="P1679" s="90"/>
      <c r="Q1679" s="89"/>
      <c r="R1679" s="87"/>
    </row>
    <row r="1680" spans="15:18">
      <c r="O1680" s="89"/>
      <c r="P1680" s="90"/>
      <c r="Q1680" s="89"/>
      <c r="R1680" s="87"/>
    </row>
    <row r="1681" spans="15:18">
      <c r="O1681" s="89"/>
      <c r="P1681" s="90"/>
      <c r="Q1681" s="89"/>
      <c r="R1681" s="87"/>
    </row>
    <row r="1682" spans="15:18">
      <c r="O1682" s="89"/>
      <c r="P1682" s="90"/>
      <c r="Q1682" s="89"/>
      <c r="R1682" s="87"/>
    </row>
    <row r="1683" spans="15:18">
      <c r="O1683" s="89"/>
      <c r="P1683" s="90"/>
      <c r="Q1683" s="89"/>
      <c r="R1683" s="87"/>
    </row>
    <row r="1684" spans="15:18">
      <c r="O1684" s="89"/>
      <c r="P1684" s="90"/>
      <c r="Q1684" s="89"/>
      <c r="R1684" s="87"/>
    </row>
    <row r="1685" spans="15:18">
      <c r="O1685" s="89"/>
      <c r="P1685" s="90"/>
      <c r="Q1685" s="89"/>
      <c r="R1685" s="87"/>
    </row>
    <row r="1686" spans="15:18">
      <c r="O1686" s="89"/>
      <c r="P1686" s="90"/>
      <c r="Q1686" s="89"/>
      <c r="R1686" s="87"/>
    </row>
    <row r="1687" spans="15:18">
      <c r="O1687" s="89"/>
      <c r="P1687" s="90"/>
      <c r="Q1687" s="89"/>
      <c r="R1687" s="87"/>
    </row>
    <row r="1688" spans="15:18">
      <c r="O1688" s="89"/>
      <c r="P1688" s="90"/>
      <c r="Q1688" s="89"/>
      <c r="R1688" s="87"/>
    </row>
    <row r="1689" spans="15:18">
      <c r="O1689" s="89"/>
      <c r="P1689" s="90"/>
      <c r="Q1689" s="89"/>
      <c r="R1689" s="87"/>
    </row>
    <row r="1690" spans="15:18">
      <c r="O1690" s="89"/>
      <c r="P1690" s="90"/>
      <c r="Q1690" s="89"/>
      <c r="R1690" s="87"/>
    </row>
    <row r="1691" spans="15:18">
      <c r="O1691" s="89"/>
      <c r="P1691" s="90"/>
      <c r="Q1691" s="89"/>
      <c r="R1691" s="87"/>
    </row>
    <row r="1692" spans="15:18">
      <c r="O1692" s="89"/>
      <c r="P1692" s="90"/>
      <c r="Q1692" s="89"/>
      <c r="R1692" s="87"/>
    </row>
    <row r="1693" spans="15:18">
      <c r="O1693" s="89"/>
      <c r="P1693" s="90"/>
      <c r="Q1693" s="89"/>
      <c r="R1693" s="87"/>
    </row>
    <row r="1694" spans="15:18">
      <c r="O1694" s="89"/>
      <c r="P1694" s="90"/>
      <c r="Q1694" s="89"/>
      <c r="R1694" s="87"/>
    </row>
    <row r="1695" spans="15:18">
      <c r="O1695" s="89"/>
      <c r="P1695" s="90"/>
      <c r="Q1695" s="89"/>
      <c r="R1695" s="87"/>
    </row>
    <row r="1696" spans="15:18">
      <c r="O1696" s="89"/>
      <c r="P1696" s="90"/>
      <c r="Q1696" s="89"/>
      <c r="R1696" s="87"/>
    </row>
    <row r="1697" spans="15:18">
      <c r="O1697" s="89"/>
      <c r="P1697" s="90"/>
      <c r="Q1697" s="89"/>
      <c r="R1697" s="87"/>
    </row>
    <row r="1698" spans="15:18">
      <c r="O1698" s="89"/>
      <c r="P1698" s="90"/>
      <c r="Q1698" s="89"/>
      <c r="R1698" s="87"/>
    </row>
    <row r="1699" spans="15:18">
      <c r="O1699" s="89"/>
      <c r="P1699" s="90"/>
      <c r="Q1699" s="89"/>
      <c r="R1699" s="87"/>
    </row>
    <row r="1700" spans="15:18">
      <c r="O1700" s="89"/>
      <c r="P1700" s="90"/>
      <c r="Q1700" s="89"/>
      <c r="R1700" s="87"/>
    </row>
    <row r="1701" spans="15:18">
      <c r="O1701" s="89"/>
      <c r="P1701" s="90"/>
      <c r="Q1701" s="89"/>
      <c r="R1701" s="87"/>
    </row>
    <row r="1702" spans="15:18">
      <c r="O1702" s="89"/>
      <c r="P1702" s="90"/>
      <c r="Q1702" s="89"/>
      <c r="R1702" s="87"/>
    </row>
    <row r="1703" spans="15:18">
      <c r="O1703" s="89"/>
      <c r="P1703" s="90"/>
      <c r="Q1703" s="89"/>
      <c r="R1703" s="87"/>
    </row>
    <row r="1704" spans="15:18">
      <c r="O1704" s="89"/>
      <c r="P1704" s="90"/>
      <c r="Q1704" s="89"/>
      <c r="R1704" s="87"/>
    </row>
    <row r="1705" spans="15:18">
      <c r="O1705" s="89"/>
      <c r="P1705" s="90"/>
      <c r="Q1705" s="89"/>
      <c r="R1705" s="87"/>
    </row>
    <row r="1706" spans="15:18">
      <c r="O1706" s="89"/>
      <c r="P1706" s="90"/>
      <c r="Q1706" s="89"/>
      <c r="R1706" s="87"/>
    </row>
    <row r="1707" spans="15:18">
      <c r="O1707" s="89"/>
      <c r="P1707" s="90"/>
      <c r="Q1707" s="89"/>
      <c r="R1707" s="87"/>
    </row>
    <row r="1708" spans="15:18">
      <c r="O1708" s="89"/>
      <c r="P1708" s="90"/>
      <c r="Q1708" s="89"/>
      <c r="R1708" s="87"/>
    </row>
    <row r="1709" spans="15:18">
      <c r="O1709" s="89"/>
      <c r="P1709" s="90"/>
      <c r="Q1709" s="89"/>
      <c r="R1709" s="87"/>
    </row>
    <row r="1710" spans="15:18">
      <c r="O1710" s="89"/>
      <c r="P1710" s="90"/>
      <c r="Q1710" s="89"/>
      <c r="R1710" s="87"/>
    </row>
    <row r="1711" spans="15:18">
      <c r="O1711" s="89"/>
      <c r="P1711" s="90"/>
      <c r="Q1711" s="89"/>
      <c r="R1711" s="87"/>
    </row>
    <row r="1712" spans="15:18">
      <c r="O1712" s="89"/>
      <c r="P1712" s="90"/>
      <c r="Q1712" s="89"/>
      <c r="R1712" s="87"/>
    </row>
    <row r="1713" spans="15:18">
      <c r="O1713" s="89"/>
      <c r="P1713" s="90"/>
      <c r="Q1713" s="89"/>
      <c r="R1713" s="87"/>
    </row>
    <row r="1714" spans="15:18">
      <c r="O1714" s="89"/>
      <c r="P1714" s="90"/>
      <c r="Q1714" s="89"/>
      <c r="R1714" s="87"/>
    </row>
    <row r="1715" spans="15:18">
      <c r="O1715" s="89"/>
      <c r="P1715" s="90"/>
      <c r="Q1715" s="89"/>
      <c r="R1715" s="87"/>
    </row>
    <row r="1716" spans="15:18">
      <c r="O1716" s="89"/>
      <c r="P1716" s="90"/>
      <c r="Q1716" s="89"/>
      <c r="R1716" s="87"/>
    </row>
    <row r="1717" spans="15:18">
      <c r="O1717" s="89"/>
      <c r="P1717" s="90"/>
      <c r="Q1717" s="89"/>
      <c r="R1717" s="87"/>
    </row>
    <row r="1718" spans="15:18">
      <c r="O1718" s="89"/>
      <c r="P1718" s="90"/>
      <c r="Q1718" s="89"/>
      <c r="R1718" s="87"/>
    </row>
    <row r="1719" spans="15:18">
      <c r="O1719" s="89"/>
      <c r="P1719" s="90"/>
      <c r="Q1719" s="89"/>
      <c r="R1719" s="87"/>
    </row>
    <row r="1720" spans="15:18">
      <c r="O1720" s="89"/>
      <c r="P1720" s="90"/>
      <c r="Q1720" s="89"/>
      <c r="R1720" s="87"/>
    </row>
    <row r="1721" spans="15:18">
      <c r="O1721" s="89"/>
      <c r="P1721" s="90"/>
      <c r="Q1721" s="89"/>
      <c r="R1721" s="87"/>
    </row>
    <row r="1722" spans="15:18">
      <c r="O1722" s="89"/>
      <c r="P1722" s="90"/>
      <c r="Q1722" s="89"/>
      <c r="R1722" s="87"/>
    </row>
    <row r="1723" spans="15:18">
      <c r="O1723" s="89"/>
      <c r="P1723" s="90"/>
      <c r="Q1723" s="89"/>
      <c r="R1723" s="87"/>
    </row>
    <row r="1724" spans="15:18">
      <c r="O1724" s="89"/>
      <c r="P1724" s="90"/>
      <c r="Q1724" s="89"/>
      <c r="R1724" s="87"/>
    </row>
    <row r="1725" spans="15:18">
      <c r="O1725" s="89"/>
      <c r="P1725" s="90"/>
      <c r="Q1725" s="89"/>
      <c r="R1725" s="87"/>
    </row>
    <row r="1726" spans="15:18">
      <c r="O1726" s="89"/>
      <c r="P1726" s="90"/>
      <c r="Q1726" s="89"/>
      <c r="R1726" s="87"/>
    </row>
    <row r="1727" spans="15:18">
      <c r="O1727" s="89"/>
      <c r="P1727" s="90"/>
      <c r="Q1727" s="89"/>
      <c r="R1727" s="87"/>
    </row>
    <row r="1728" spans="15:18">
      <c r="O1728" s="89"/>
      <c r="P1728" s="90"/>
      <c r="Q1728" s="89"/>
      <c r="R1728" s="87"/>
    </row>
    <row r="1729" spans="15:18">
      <c r="O1729" s="89"/>
      <c r="P1729" s="90"/>
      <c r="Q1729" s="89"/>
      <c r="R1729" s="87"/>
    </row>
    <row r="1730" spans="15:18">
      <c r="O1730" s="89"/>
      <c r="P1730" s="90"/>
      <c r="Q1730" s="89"/>
      <c r="R1730" s="87"/>
    </row>
    <row r="1731" spans="15:18">
      <c r="O1731" s="89"/>
      <c r="P1731" s="90"/>
      <c r="Q1731" s="89"/>
      <c r="R1731" s="87"/>
    </row>
    <row r="1732" spans="15:18">
      <c r="O1732" s="89"/>
      <c r="P1732" s="90"/>
      <c r="Q1732" s="89"/>
      <c r="R1732" s="87"/>
    </row>
    <row r="1733" spans="15:18">
      <c r="O1733" s="89"/>
      <c r="P1733" s="90"/>
      <c r="Q1733" s="89"/>
      <c r="R1733" s="87"/>
    </row>
    <row r="1734" spans="15:18">
      <c r="O1734" s="89"/>
      <c r="P1734" s="90"/>
      <c r="Q1734" s="89"/>
      <c r="R1734" s="87"/>
    </row>
    <row r="1735" spans="15:18">
      <c r="O1735" s="89"/>
      <c r="P1735" s="90"/>
      <c r="Q1735" s="89"/>
      <c r="R1735" s="87"/>
    </row>
    <row r="1736" spans="15:18">
      <c r="O1736" s="89"/>
      <c r="P1736" s="90"/>
      <c r="Q1736" s="89"/>
      <c r="R1736" s="87"/>
    </row>
    <row r="1737" spans="15:18">
      <c r="O1737" s="89"/>
      <c r="P1737" s="90"/>
      <c r="Q1737" s="89"/>
      <c r="R1737" s="87"/>
    </row>
    <row r="1738" spans="15:18">
      <c r="O1738" s="89"/>
      <c r="P1738" s="90"/>
      <c r="Q1738" s="89"/>
      <c r="R1738" s="87"/>
    </row>
    <row r="1739" spans="15:18">
      <c r="O1739" s="89"/>
      <c r="P1739" s="90"/>
      <c r="Q1739" s="89"/>
      <c r="R1739" s="87"/>
    </row>
    <row r="1740" spans="15:18">
      <c r="O1740" s="89"/>
      <c r="P1740" s="90"/>
      <c r="Q1740" s="89"/>
      <c r="R1740" s="87"/>
    </row>
    <row r="1741" spans="15:18">
      <c r="O1741" s="89"/>
      <c r="P1741" s="90"/>
      <c r="Q1741" s="89"/>
      <c r="R1741" s="87"/>
    </row>
    <row r="1742" spans="15:18">
      <c r="O1742" s="89"/>
      <c r="P1742" s="90"/>
      <c r="Q1742" s="89"/>
      <c r="R1742" s="87"/>
    </row>
    <row r="1743" spans="15:18">
      <c r="O1743" s="89"/>
      <c r="P1743" s="90"/>
      <c r="Q1743" s="89"/>
      <c r="R1743" s="87"/>
    </row>
    <row r="1744" spans="15:18">
      <c r="O1744" s="89"/>
      <c r="P1744" s="90"/>
      <c r="Q1744" s="89"/>
      <c r="R1744" s="87"/>
    </row>
    <row r="1745" spans="15:18">
      <c r="O1745" s="89"/>
      <c r="P1745" s="90"/>
      <c r="Q1745" s="89"/>
      <c r="R1745" s="87"/>
    </row>
    <row r="1746" spans="15:18">
      <c r="O1746" s="89"/>
      <c r="P1746" s="90"/>
      <c r="Q1746" s="89"/>
      <c r="R1746" s="87"/>
    </row>
    <row r="1747" spans="15:18">
      <c r="O1747" s="89"/>
      <c r="P1747" s="90"/>
      <c r="Q1747" s="89"/>
      <c r="R1747" s="87"/>
    </row>
    <row r="1748" spans="15:18">
      <c r="O1748" s="89"/>
      <c r="P1748" s="90"/>
      <c r="Q1748" s="89"/>
      <c r="R1748" s="87"/>
    </row>
    <row r="1749" spans="15:18">
      <c r="O1749" s="89"/>
      <c r="P1749" s="90"/>
      <c r="Q1749" s="89"/>
      <c r="R1749" s="87"/>
    </row>
    <row r="1750" spans="15:18">
      <c r="O1750" s="89"/>
      <c r="P1750" s="90"/>
      <c r="Q1750" s="89"/>
      <c r="R1750" s="87"/>
    </row>
    <row r="1751" spans="15:18">
      <c r="O1751" s="89"/>
      <c r="P1751" s="90"/>
      <c r="Q1751" s="89"/>
      <c r="R1751" s="87"/>
    </row>
    <row r="1752" spans="15:18">
      <c r="O1752" s="89"/>
      <c r="P1752" s="90"/>
      <c r="Q1752" s="89"/>
      <c r="R1752" s="87"/>
    </row>
    <row r="1753" spans="15:18">
      <c r="O1753" s="89"/>
      <c r="P1753" s="90"/>
      <c r="Q1753" s="89"/>
      <c r="R1753" s="87"/>
    </row>
    <row r="1754" spans="15:18">
      <c r="O1754" s="89"/>
      <c r="P1754" s="90"/>
      <c r="Q1754" s="89"/>
      <c r="R1754" s="87"/>
    </row>
    <row r="1755" spans="15:18">
      <c r="O1755" s="89"/>
      <c r="P1755" s="90"/>
      <c r="Q1755" s="89"/>
      <c r="R1755" s="87"/>
    </row>
    <row r="1756" spans="15:18">
      <c r="O1756" s="89"/>
      <c r="P1756" s="90"/>
      <c r="Q1756" s="89"/>
      <c r="R1756" s="87"/>
    </row>
    <row r="1757" spans="15:18">
      <c r="O1757" s="89"/>
      <c r="P1757" s="90"/>
      <c r="Q1757" s="89"/>
      <c r="R1757" s="87"/>
    </row>
    <row r="1758" spans="15:18">
      <c r="O1758" s="89"/>
      <c r="P1758" s="90"/>
      <c r="Q1758" s="89"/>
      <c r="R1758" s="87"/>
    </row>
    <row r="1759" spans="15:18">
      <c r="O1759" s="89"/>
      <c r="P1759" s="90"/>
      <c r="Q1759" s="89"/>
      <c r="R1759" s="87"/>
    </row>
    <row r="1760" spans="15:18">
      <c r="O1760" s="89"/>
      <c r="P1760" s="90"/>
      <c r="Q1760" s="89"/>
      <c r="R1760" s="87"/>
    </row>
    <row r="1761" spans="15:18">
      <c r="O1761" s="89"/>
      <c r="P1761" s="90"/>
      <c r="Q1761" s="89"/>
      <c r="R1761" s="87"/>
    </row>
    <row r="1762" spans="15:18">
      <c r="O1762" s="89"/>
      <c r="P1762" s="90"/>
      <c r="Q1762" s="89"/>
      <c r="R1762" s="87"/>
    </row>
    <row r="1763" spans="15:18">
      <c r="O1763" s="89"/>
      <c r="P1763" s="90"/>
      <c r="Q1763" s="89"/>
      <c r="R1763" s="87"/>
    </row>
    <row r="1764" spans="15:18">
      <c r="O1764" s="89"/>
      <c r="P1764" s="90"/>
      <c r="Q1764" s="89"/>
      <c r="R1764" s="87"/>
    </row>
    <row r="1765" spans="15:18">
      <c r="O1765" s="89"/>
      <c r="P1765" s="90"/>
      <c r="Q1765" s="89"/>
      <c r="R1765" s="87"/>
    </row>
    <row r="1766" spans="15:18">
      <c r="O1766" s="89"/>
      <c r="P1766" s="90"/>
      <c r="Q1766" s="89"/>
      <c r="R1766" s="87"/>
    </row>
    <row r="1767" spans="15:18">
      <c r="O1767" s="89"/>
      <c r="P1767" s="90"/>
      <c r="Q1767" s="89"/>
      <c r="R1767" s="87"/>
    </row>
    <row r="1768" spans="15:18">
      <c r="O1768" s="89"/>
      <c r="P1768" s="90"/>
      <c r="Q1768" s="89"/>
      <c r="R1768" s="87"/>
    </row>
    <row r="1769" spans="15:18">
      <c r="O1769" s="89"/>
      <c r="P1769" s="90"/>
      <c r="Q1769" s="89"/>
      <c r="R1769" s="87"/>
    </row>
    <row r="1770" spans="15:18">
      <c r="O1770" s="89"/>
      <c r="P1770" s="90"/>
      <c r="Q1770" s="89"/>
      <c r="R1770" s="87"/>
    </row>
    <row r="1771" spans="15:18">
      <c r="O1771" s="89"/>
      <c r="P1771" s="90"/>
      <c r="Q1771" s="89"/>
      <c r="R1771" s="87"/>
    </row>
    <row r="1772" spans="15:18">
      <c r="O1772" s="89"/>
      <c r="P1772" s="90"/>
      <c r="Q1772" s="89"/>
      <c r="R1772" s="87"/>
    </row>
    <row r="1773" spans="15:18">
      <c r="O1773" s="89"/>
      <c r="P1773" s="90"/>
      <c r="Q1773" s="89"/>
      <c r="R1773" s="87"/>
    </row>
    <row r="1774" spans="15:18">
      <c r="O1774" s="89"/>
      <c r="P1774" s="90"/>
      <c r="Q1774" s="89"/>
      <c r="R1774" s="87"/>
    </row>
    <row r="1775" spans="15:18">
      <c r="O1775" s="89"/>
      <c r="P1775" s="90"/>
      <c r="Q1775" s="89"/>
      <c r="R1775" s="87"/>
    </row>
    <row r="1776" spans="15:18">
      <c r="O1776" s="89"/>
      <c r="P1776" s="90"/>
      <c r="Q1776" s="89"/>
      <c r="R1776" s="87"/>
    </row>
    <row r="1777" spans="15:18">
      <c r="O1777" s="89"/>
      <c r="P1777" s="90"/>
      <c r="Q1777" s="89"/>
      <c r="R1777" s="87"/>
    </row>
    <row r="1778" spans="15:18">
      <c r="O1778" s="89"/>
      <c r="P1778" s="90"/>
      <c r="Q1778" s="89"/>
      <c r="R1778" s="87"/>
    </row>
    <row r="1779" spans="15:18">
      <c r="O1779" s="89"/>
      <c r="P1779" s="90"/>
      <c r="Q1779" s="89"/>
      <c r="R1779" s="87"/>
    </row>
    <row r="1780" spans="15:18">
      <c r="O1780" s="89"/>
      <c r="P1780" s="90"/>
      <c r="Q1780" s="89"/>
      <c r="R1780" s="87"/>
    </row>
    <row r="1781" spans="15:18">
      <c r="O1781" s="89"/>
      <c r="P1781" s="90"/>
      <c r="Q1781" s="89"/>
      <c r="R1781" s="87"/>
    </row>
    <row r="1782" spans="15:18">
      <c r="O1782" s="89"/>
      <c r="P1782" s="90"/>
      <c r="Q1782" s="89"/>
      <c r="R1782" s="87"/>
    </row>
    <row r="1783" spans="15:18">
      <c r="O1783" s="89"/>
      <c r="P1783" s="90"/>
      <c r="Q1783" s="89"/>
      <c r="R1783" s="87"/>
    </row>
    <row r="1784" spans="15:18">
      <c r="O1784" s="89"/>
      <c r="P1784" s="90"/>
      <c r="Q1784" s="89"/>
      <c r="R1784" s="87"/>
    </row>
    <row r="1785" spans="15:18">
      <c r="O1785" s="89"/>
      <c r="P1785" s="90"/>
      <c r="Q1785" s="89"/>
      <c r="R1785" s="87"/>
    </row>
    <row r="1786" spans="15:18">
      <c r="O1786" s="89"/>
      <c r="P1786" s="90"/>
      <c r="Q1786" s="89"/>
      <c r="R1786" s="87"/>
    </row>
    <row r="1787" spans="15:18">
      <c r="O1787" s="89"/>
      <c r="P1787" s="90"/>
      <c r="Q1787" s="89"/>
      <c r="R1787" s="87"/>
    </row>
    <row r="1788" spans="15:18">
      <c r="O1788" s="89"/>
      <c r="P1788" s="90"/>
      <c r="Q1788" s="89"/>
      <c r="R1788" s="87"/>
    </row>
    <row r="1789" spans="15:18">
      <c r="O1789" s="89"/>
      <c r="P1789" s="90"/>
      <c r="Q1789" s="89"/>
      <c r="R1789" s="87"/>
    </row>
    <row r="1790" spans="15:18">
      <c r="O1790" s="89"/>
      <c r="P1790" s="90"/>
      <c r="Q1790" s="89"/>
      <c r="R1790" s="87"/>
    </row>
    <row r="1791" spans="15:18">
      <c r="O1791" s="89"/>
      <c r="P1791" s="90"/>
      <c r="Q1791" s="89"/>
      <c r="R1791" s="87"/>
    </row>
    <row r="1792" spans="15:18">
      <c r="O1792" s="89"/>
      <c r="P1792" s="90"/>
      <c r="Q1792" s="89"/>
      <c r="R1792" s="87"/>
    </row>
    <row r="1793" spans="15:18">
      <c r="O1793" s="89"/>
      <c r="P1793" s="90"/>
      <c r="Q1793" s="89"/>
      <c r="R1793" s="87"/>
    </row>
    <row r="1794" spans="15:18">
      <c r="O1794" s="89"/>
      <c r="P1794" s="90"/>
      <c r="Q1794" s="89"/>
      <c r="R1794" s="87"/>
    </row>
    <row r="1795" spans="15:18">
      <c r="O1795" s="89"/>
      <c r="P1795" s="90"/>
      <c r="Q1795" s="89"/>
      <c r="R1795" s="87"/>
    </row>
    <row r="1796" spans="15:18">
      <c r="O1796" s="89"/>
      <c r="P1796" s="90"/>
      <c r="Q1796" s="89"/>
      <c r="R1796" s="87"/>
    </row>
    <row r="1797" spans="15:18">
      <c r="O1797" s="89"/>
      <c r="P1797" s="90"/>
      <c r="Q1797" s="89"/>
      <c r="R1797" s="87"/>
    </row>
    <row r="1798" spans="15:18">
      <c r="O1798" s="89"/>
      <c r="P1798" s="90"/>
      <c r="Q1798" s="89"/>
      <c r="R1798" s="87"/>
    </row>
    <row r="1799" spans="15:18">
      <c r="O1799" s="89"/>
      <c r="P1799" s="90"/>
      <c r="Q1799" s="89"/>
      <c r="R1799" s="87"/>
    </row>
    <row r="1800" spans="15:18">
      <c r="O1800" s="89"/>
      <c r="P1800" s="90"/>
      <c r="Q1800" s="89"/>
      <c r="R1800" s="87"/>
    </row>
    <row r="1801" spans="15:18">
      <c r="O1801" s="89"/>
      <c r="P1801" s="90"/>
      <c r="Q1801" s="89"/>
      <c r="R1801" s="87"/>
    </row>
    <row r="1802" spans="15:18">
      <c r="O1802" s="89"/>
      <c r="P1802" s="90"/>
      <c r="Q1802" s="89"/>
      <c r="R1802" s="87"/>
    </row>
    <row r="1803" spans="15:18">
      <c r="O1803" s="89"/>
      <c r="P1803" s="90"/>
      <c r="Q1803" s="89"/>
      <c r="R1803" s="87"/>
    </row>
    <row r="1804" spans="15:18">
      <c r="O1804" s="89"/>
      <c r="P1804" s="90"/>
      <c r="Q1804" s="89"/>
      <c r="R1804" s="87"/>
    </row>
    <row r="1805" spans="15:18">
      <c r="O1805" s="89"/>
      <c r="P1805" s="90"/>
      <c r="Q1805" s="89"/>
      <c r="R1805" s="87"/>
    </row>
    <row r="1806" spans="15:18">
      <c r="O1806" s="89"/>
      <c r="P1806" s="90"/>
      <c r="Q1806" s="89"/>
      <c r="R1806" s="87"/>
    </row>
    <row r="1807" spans="15:18">
      <c r="O1807" s="89"/>
      <c r="P1807" s="90"/>
      <c r="Q1807" s="89"/>
      <c r="R1807" s="87"/>
    </row>
    <row r="1808" spans="15:18">
      <c r="O1808" s="89"/>
      <c r="P1808" s="90"/>
      <c r="Q1808" s="89"/>
      <c r="R1808" s="87"/>
    </row>
    <row r="1809" spans="15:18">
      <c r="O1809" s="89"/>
      <c r="P1809" s="90"/>
      <c r="Q1809" s="89"/>
      <c r="R1809" s="87"/>
    </row>
    <row r="1810" spans="15:18">
      <c r="O1810" s="89"/>
      <c r="P1810" s="90"/>
      <c r="Q1810" s="89"/>
      <c r="R1810" s="87"/>
    </row>
    <row r="1811" spans="15:18">
      <c r="O1811" s="89"/>
      <c r="P1811" s="90"/>
      <c r="Q1811" s="89"/>
      <c r="R1811" s="87"/>
    </row>
    <row r="1812" spans="15:18">
      <c r="O1812" s="89"/>
      <c r="P1812" s="90"/>
      <c r="Q1812" s="89"/>
      <c r="R1812" s="87"/>
    </row>
    <row r="1813" spans="15:18">
      <c r="O1813" s="89"/>
      <c r="P1813" s="90"/>
      <c r="Q1813" s="89"/>
      <c r="R1813" s="87"/>
    </row>
    <row r="1814" spans="15:18">
      <c r="O1814" s="89"/>
      <c r="P1814" s="90"/>
      <c r="Q1814" s="89"/>
      <c r="R1814" s="87"/>
    </row>
    <row r="1815" spans="15:18">
      <c r="O1815" s="89"/>
      <c r="P1815" s="90"/>
      <c r="Q1815" s="89"/>
      <c r="R1815" s="87"/>
    </row>
    <row r="1816" spans="15:18">
      <c r="O1816" s="89"/>
      <c r="P1816" s="90"/>
      <c r="Q1816" s="89"/>
      <c r="R1816" s="87"/>
    </row>
    <row r="1817" spans="15:18">
      <c r="O1817" s="89"/>
      <c r="P1817" s="90"/>
      <c r="Q1817" s="89"/>
      <c r="R1817" s="87"/>
    </row>
    <row r="1818" spans="15:18">
      <c r="O1818" s="89"/>
      <c r="P1818" s="90"/>
      <c r="Q1818" s="89"/>
      <c r="R1818" s="87"/>
    </row>
    <row r="1819" spans="15:18">
      <c r="O1819" s="89"/>
      <c r="P1819" s="90"/>
      <c r="Q1819" s="89"/>
      <c r="R1819" s="87"/>
    </row>
    <row r="1820" spans="15:18">
      <c r="O1820" s="89"/>
      <c r="P1820" s="90"/>
      <c r="Q1820" s="89"/>
      <c r="R1820" s="87"/>
    </row>
    <row r="1821" spans="15:18">
      <c r="O1821" s="89"/>
      <c r="P1821" s="90"/>
      <c r="Q1821" s="89"/>
      <c r="R1821" s="87"/>
    </row>
    <row r="1822" spans="15:18">
      <c r="O1822" s="89"/>
      <c r="P1822" s="90"/>
      <c r="Q1822" s="89"/>
      <c r="R1822" s="87"/>
    </row>
    <row r="1823" spans="15:18">
      <c r="O1823" s="89"/>
      <c r="P1823" s="90"/>
      <c r="Q1823" s="89"/>
      <c r="R1823" s="87"/>
    </row>
    <row r="1824" spans="15:18">
      <c r="O1824" s="89"/>
      <c r="P1824" s="90"/>
      <c r="Q1824" s="89"/>
      <c r="R1824" s="87"/>
    </row>
    <row r="1825" spans="15:18">
      <c r="O1825" s="89"/>
      <c r="P1825" s="90"/>
      <c r="Q1825" s="89"/>
      <c r="R1825" s="87"/>
    </row>
    <row r="1826" spans="15:18">
      <c r="O1826" s="89"/>
      <c r="P1826" s="90"/>
      <c r="Q1826" s="89"/>
      <c r="R1826" s="87"/>
    </row>
    <row r="1827" spans="15:18">
      <c r="O1827" s="89"/>
      <c r="P1827" s="90"/>
      <c r="Q1827" s="89"/>
      <c r="R1827" s="87"/>
    </row>
    <row r="1828" spans="15:18">
      <c r="O1828" s="89"/>
      <c r="P1828" s="90"/>
      <c r="Q1828" s="89"/>
      <c r="R1828" s="87"/>
    </row>
    <row r="1829" spans="15:18">
      <c r="O1829" s="89"/>
      <c r="P1829" s="90"/>
      <c r="Q1829" s="89"/>
      <c r="R1829" s="87"/>
    </row>
    <row r="1830" spans="15:18">
      <c r="O1830" s="89"/>
      <c r="P1830" s="90"/>
      <c r="Q1830" s="89"/>
      <c r="R1830" s="87"/>
    </row>
    <row r="1831" spans="15:18">
      <c r="O1831" s="89"/>
      <c r="P1831" s="90"/>
      <c r="Q1831" s="89"/>
      <c r="R1831" s="87"/>
    </row>
    <row r="1832" spans="15:18">
      <c r="O1832" s="89"/>
      <c r="P1832" s="90"/>
      <c r="Q1832" s="89"/>
      <c r="R1832" s="87"/>
    </row>
    <row r="1833" spans="15:18">
      <c r="O1833" s="89"/>
      <c r="P1833" s="90"/>
      <c r="Q1833" s="89"/>
      <c r="R1833" s="87"/>
    </row>
    <row r="1834" spans="15:18">
      <c r="O1834" s="89"/>
      <c r="P1834" s="90"/>
      <c r="Q1834" s="89"/>
      <c r="R1834" s="87"/>
    </row>
    <row r="1835" spans="15:18">
      <c r="O1835" s="89"/>
      <c r="P1835" s="90"/>
      <c r="Q1835" s="89"/>
      <c r="R1835" s="87"/>
    </row>
    <row r="1836" spans="15:18">
      <c r="O1836" s="89"/>
      <c r="P1836" s="90"/>
      <c r="Q1836" s="89"/>
      <c r="R1836" s="87"/>
    </row>
    <row r="1837" spans="15:18">
      <c r="O1837" s="89"/>
      <c r="P1837" s="90"/>
      <c r="Q1837" s="89"/>
      <c r="R1837" s="87"/>
    </row>
    <row r="1838" spans="15:18">
      <c r="O1838" s="89"/>
      <c r="P1838" s="90"/>
      <c r="Q1838" s="89"/>
      <c r="R1838" s="87"/>
    </row>
    <row r="1839" spans="15:18">
      <c r="O1839" s="89"/>
      <c r="P1839" s="90"/>
      <c r="Q1839" s="89"/>
      <c r="R1839" s="87"/>
    </row>
    <row r="1840" spans="15:18">
      <c r="O1840" s="89"/>
      <c r="P1840" s="90"/>
      <c r="Q1840" s="89"/>
      <c r="R1840" s="87"/>
    </row>
    <row r="1841" spans="15:18">
      <c r="O1841" s="89"/>
      <c r="P1841" s="90"/>
      <c r="Q1841" s="89"/>
      <c r="R1841" s="87"/>
    </row>
    <row r="1842" spans="15:18">
      <c r="O1842" s="89"/>
      <c r="P1842" s="90"/>
      <c r="Q1842" s="89"/>
      <c r="R1842" s="87"/>
    </row>
    <row r="1843" spans="15:18">
      <c r="O1843" s="89"/>
      <c r="P1843" s="90"/>
      <c r="Q1843" s="89"/>
      <c r="R1843" s="87"/>
    </row>
    <row r="1844" spans="15:18">
      <c r="O1844" s="89"/>
      <c r="P1844" s="90"/>
      <c r="Q1844" s="89"/>
      <c r="R1844" s="87"/>
    </row>
    <row r="1845" spans="15:18">
      <c r="O1845" s="89"/>
      <c r="P1845" s="90"/>
      <c r="Q1845" s="89"/>
      <c r="R1845" s="87"/>
    </row>
    <row r="1846" spans="15:18">
      <c r="O1846" s="89"/>
      <c r="P1846" s="90"/>
      <c r="Q1846" s="89"/>
      <c r="R1846" s="87"/>
    </row>
    <row r="1847" spans="15:18">
      <c r="O1847" s="89"/>
      <c r="P1847" s="90"/>
      <c r="Q1847" s="89"/>
      <c r="R1847" s="87"/>
    </row>
    <row r="1848" spans="15:18">
      <c r="O1848" s="89"/>
      <c r="P1848" s="90"/>
      <c r="Q1848" s="89"/>
      <c r="R1848" s="87"/>
    </row>
    <row r="1849" spans="15:18">
      <c r="O1849" s="89"/>
      <c r="P1849" s="90"/>
      <c r="Q1849" s="89"/>
      <c r="R1849" s="87"/>
    </row>
    <row r="1850" spans="15:18">
      <c r="O1850" s="89"/>
      <c r="P1850" s="90"/>
      <c r="Q1850" s="89"/>
      <c r="R1850" s="87"/>
    </row>
    <row r="1851" spans="15:18">
      <c r="O1851" s="89"/>
      <c r="P1851" s="90"/>
      <c r="Q1851" s="89"/>
      <c r="R1851" s="87"/>
    </row>
    <row r="1852" spans="15:18">
      <c r="O1852" s="89"/>
      <c r="P1852" s="90"/>
      <c r="Q1852" s="89"/>
      <c r="R1852" s="87"/>
    </row>
    <row r="1853" spans="15:18">
      <c r="O1853" s="89"/>
      <c r="P1853" s="90"/>
      <c r="Q1853" s="89"/>
      <c r="R1853" s="87"/>
    </row>
    <row r="1854" spans="15:18">
      <c r="O1854" s="89"/>
      <c r="P1854" s="90"/>
      <c r="Q1854" s="89"/>
      <c r="R1854" s="87"/>
    </row>
    <row r="1855" spans="15:18">
      <c r="O1855" s="89"/>
      <c r="P1855" s="90"/>
      <c r="Q1855" s="89"/>
      <c r="R1855" s="87"/>
    </row>
    <row r="1856" spans="15:18">
      <c r="O1856" s="89"/>
      <c r="P1856" s="90"/>
      <c r="Q1856" s="89"/>
      <c r="R1856" s="87"/>
    </row>
    <row r="1857" spans="15:18">
      <c r="O1857" s="89"/>
      <c r="P1857" s="90"/>
      <c r="Q1857" s="89"/>
      <c r="R1857" s="87"/>
    </row>
    <row r="1858" spans="15:18">
      <c r="O1858" s="89"/>
      <c r="P1858" s="90"/>
      <c r="Q1858" s="89"/>
      <c r="R1858" s="87"/>
    </row>
    <row r="1859" spans="15:18">
      <c r="O1859" s="89"/>
      <c r="P1859" s="90"/>
      <c r="Q1859" s="89"/>
      <c r="R1859" s="87"/>
    </row>
    <row r="1860" spans="15:18">
      <c r="O1860" s="89"/>
      <c r="P1860" s="90"/>
      <c r="Q1860" s="89"/>
      <c r="R1860" s="87"/>
    </row>
    <row r="1861" spans="15:18">
      <c r="O1861" s="89"/>
      <c r="P1861" s="90"/>
      <c r="Q1861" s="89"/>
      <c r="R1861" s="87"/>
    </row>
    <row r="1862" spans="15:18">
      <c r="O1862" s="89"/>
      <c r="P1862" s="90"/>
      <c r="Q1862" s="89"/>
      <c r="R1862" s="87"/>
    </row>
    <row r="1863" spans="15:18">
      <c r="O1863" s="89"/>
      <c r="P1863" s="90"/>
      <c r="Q1863" s="89"/>
      <c r="R1863" s="87"/>
    </row>
    <row r="1864" spans="15:18">
      <c r="O1864" s="89"/>
      <c r="P1864" s="90"/>
      <c r="Q1864" s="89"/>
      <c r="R1864" s="87"/>
    </row>
    <row r="1865" spans="15:18">
      <c r="O1865" s="89"/>
      <c r="P1865" s="90"/>
      <c r="Q1865" s="89"/>
      <c r="R1865" s="87"/>
    </row>
    <row r="1866" spans="15:18">
      <c r="O1866" s="89"/>
      <c r="P1866" s="90"/>
      <c r="Q1866" s="89"/>
      <c r="R1866" s="87"/>
    </row>
    <row r="1867" spans="15:18">
      <c r="O1867" s="89"/>
      <c r="P1867" s="90"/>
      <c r="Q1867" s="89"/>
      <c r="R1867" s="87"/>
    </row>
    <row r="1868" spans="15:18">
      <c r="O1868" s="89"/>
      <c r="P1868" s="90"/>
      <c r="Q1868" s="89"/>
      <c r="R1868" s="87"/>
    </row>
    <row r="1869" spans="15:18">
      <c r="O1869" s="89"/>
      <c r="P1869" s="90"/>
      <c r="Q1869" s="89"/>
      <c r="R1869" s="87"/>
    </row>
    <row r="1870" spans="15:18">
      <c r="O1870" s="89"/>
      <c r="P1870" s="90"/>
      <c r="Q1870" s="89"/>
      <c r="R1870" s="87"/>
    </row>
    <row r="1871" spans="15:18">
      <c r="O1871" s="89"/>
      <c r="P1871" s="90"/>
      <c r="Q1871" s="89"/>
      <c r="R1871" s="87"/>
    </row>
    <row r="1872" spans="15:18">
      <c r="O1872" s="89"/>
      <c r="P1872" s="90"/>
      <c r="Q1872" s="89"/>
      <c r="R1872" s="87"/>
    </row>
    <row r="1873" spans="15:18">
      <c r="O1873" s="89"/>
      <c r="P1873" s="90"/>
      <c r="Q1873" s="89"/>
      <c r="R1873" s="87"/>
    </row>
    <row r="1874" spans="15:18">
      <c r="O1874" s="89"/>
      <c r="P1874" s="90"/>
      <c r="Q1874" s="89"/>
      <c r="R1874" s="87"/>
    </row>
    <row r="1875" spans="15:18">
      <c r="O1875" s="89"/>
      <c r="P1875" s="90"/>
      <c r="Q1875" s="89"/>
      <c r="R1875" s="87"/>
    </row>
    <row r="1876" spans="15:18">
      <c r="O1876" s="89"/>
      <c r="P1876" s="90"/>
      <c r="Q1876" s="89"/>
      <c r="R1876" s="87"/>
    </row>
    <row r="1877" spans="15:18">
      <c r="O1877" s="89"/>
      <c r="P1877" s="90"/>
      <c r="Q1877" s="89"/>
      <c r="R1877" s="87"/>
    </row>
    <row r="1878" spans="15:18">
      <c r="O1878" s="89"/>
      <c r="P1878" s="90"/>
      <c r="Q1878" s="89"/>
      <c r="R1878" s="87"/>
    </row>
    <row r="1879" spans="15:18">
      <c r="O1879" s="89"/>
      <c r="P1879" s="90"/>
      <c r="Q1879" s="89"/>
      <c r="R1879" s="87"/>
    </row>
    <row r="1880" spans="15:18">
      <c r="O1880" s="89"/>
      <c r="P1880" s="90"/>
      <c r="Q1880" s="89"/>
      <c r="R1880" s="87"/>
    </row>
    <row r="1881" spans="15:18">
      <c r="O1881" s="89"/>
      <c r="P1881" s="90"/>
      <c r="Q1881" s="89"/>
      <c r="R1881" s="87"/>
    </row>
    <row r="1882" spans="15:18">
      <c r="O1882" s="89"/>
      <c r="P1882" s="90"/>
      <c r="Q1882" s="89"/>
      <c r="R1882" s="87"/>
    </row>
    <row r="1883" spans="15:18">
      <c r="O1883" s="89"/>
      <c r="P1883" s="90"/>
      <c r="Q1883" s="89"/>
      <c r="R1883" s="87"/>
    </row>
    <row r="1884" spans="15:18">
      <c r="O1884" s="89"/>
      <c r="P1884" s="90"/>
      <c r="Q1884" s="89"/>
      <c r="R1884" s="87"/>
    </row>
    <row r="1885" spans="15:18">
      <c r="O1885" s="89"/>
      <c r="P1885" s="90"/>
      <c r="Q1885" s="89"/>
      <c r="R1885" s="87"/>
    </row>
    <row r="1886" spans="15:18">
      <c r="O1886" s="89"/>
      <c r="P1886" s="90"/>
      <c r="Q1886" s="89"/>
      <c r="R1886" s="87"/>
    </row>
    <row r="1887" spans="15:18">
      <c r="O1887" s="89"/>
      <c r="P1887" s="90"/>
      <c r="Q1887" s="89"/>
      <c r="R1887" s="87"/>
    </row>
    <row r="1888" spans="15:18">
      <c r="O1888" s="89"/>
      <c r="P1888" s="90"/>
      <c r="Q1888" s="89"/>
      <c r="R1888" s="87"/>
    </row>
    <row r="1889" spans="15:18">
      <c r="O1889" s="89"/>
      <c r="P1889" s="90"/>
      <c r="Q1889" s="89"/>
      <c r="R1889" s="87"/>
    </row>
    <row r="1890" spans="15:18">
      <c r="O1890" s="89"/>
      <c r="P1890" s="90"/>
      <c r="Q1890" s="89"/>
      <c r="R1890" s="87"/>
    </row>
    <row r="1891" spans="15:18">
      <c r="O1891" s="89"/>
      <c r="P1891" s="90"/>
      <c r="Q1891" s="89"/>
      <c r="R1891" s="87"/>
    </row>
    <row r="1892" spans="15:18">
      <c r="O1892" s="89"/>
      <c r="P1892" s="90"/>
      <c r="Q1892" s="89"/>
      <c r="R1892" s="87"/>
    </row>
    <row r="1893" spans="15:18">
      <c r="O1893" s="89"/>
      <c r="P1893" s="90"/>
      <c r="Q1893" s="89"/>
      <c r="R1893" s="87"/>
    </row>
    <row r="1894" spans="15:18">
      <c r="O1894" s="89"/>
      <c r="P1894" s="90"/>
      <c r="Q1894" s="89"/>
      <c r="R1894" s="87"/>
    </row>
    <row r="1895" spans="15:18">
      <c r="O1895" s="89"/>
      <c r="P1895" s="90"/>
      <c r="Q1895" s="89"/>
      <c r="R1895" s="87"/>
    </row>
    <row r="1896" spans="15:18">
      <c r="O1896" s="89"/>
      <c r="P1896" s="90"/>
      <c r="Q1896" s="89"/>
      <c r="R1896" s="87"/>
    </row>
    <row r="1897" spans="15:18">
      <c r="O1897" s="89"/>
      <c r="P1897" s="90"/>
      <c r="Q1897" s="89"/>
      <c r="R1897" s="87"/>
    </row>
    <row r="1898" spans="15:18">
      <c r="O1898" s="89"/>
      <c r="P1898" s="90"/>
      <c r="Q1898" s="89"/>
      <c r="R1898" s="87"/>
    </row>
    <row r="1899" spans="15:18">
      <c r="O1899" s="89"/>
      <c r="P1899" s="90"/>
      <c r="Q1899" s="89"/>
      <c r="R1899" s="87"/>
    </row>
    <row r="1900" spans="15:18">
      <c r="O1900" s="89"/>
      <c r="P1900" s="90"/>
      <c r="Q1900" s="89"/>
      <c r="R1900" s="87"/>
    </row>
    <row r="1901" spans="15:18">
      <c r="O1901" s="89"/>
      <c r="P1901" s="90"/>
      <c r="Q1901" s="89"/>
      <c r="R1901" s="87"/>
    </row>
    <row r="1902" spans="15:18">
      <c r="O1902" s="89"/>
      <c r="P1902" s="90"/>
      <c r="Q1902" s="89"/>
      <c r="R1902" s="87"/>
    </row>
    <row r="1903" spans="15:18">
      <c r="O1903" s="89"/>
      <c r="P1903" s="90"/>
      <c r="Q1903" s="89"/>
      <c r="R1903" s="87"/>
    </row>
    <row r="1904" spans="15:18">
      <c r="O1904" s="89"/>
      <c r="P1904" s="90"/>
      <c r="Q1904" s="89"/>
      <c r="R1904" s="87"/>
    </row>
    <row r="1905" spans="15:18">
      <c r="O1905" s="89"/>
      <c r="P1905" s="90"/>
      <c r="Q1905" s="89"/>
      <c r="R1905" s="87"/>
    </row>
    <row r="1906" spans="15:18">
      <c r="O1906" s="89"/>
      <c r="P1906" s="90"/>
      <c r="Q1906" s="89"/>
      <c r="R1906" s="87"/>
    </row>
    <row r="1907" spans="15:18">
      <c r="O1907" s="89"/>
      <c r="P1907" s="90"/>
      <c r="Q1907" s="89"/>
      <c r="R1907" s="87"/>
    </row>
    <row r="1908" spans="15:18">
      <c r="O1908" s="89"/>
      <c r="P1908" s="90"/>
      <c r="Q1908" s="89"/>
      <c r="R1908" s="87"/>
    </row>
    <row r="1909" spans="15:18">
      <c r="O1909" s="89"/>
      <c r="P1909" s="90"/>
      <c r="Q1909" s="89"/>
      <c r="R1909" s="87"/>
    </row>
    <row r="1910" spans="15:18">
      <c r="O1910" s="89"/>
      <c r="P1910" s="90"/>
      <c r="Q1910" s="89"/>
      <c r="R1910" s="87"/>
    </row>
    <row r="1911" spans="15:18">
      <c r="O1911" s="89"/>
      <c r="P1911" s="90"/>
      <c r="Q1911" s="89"/>
      <c r="R1911" s="87"/>
    </row>
    <row r="1912" spans="15:18">
      <c r="O1912" s="89"/>
      <c r="P1912" s="90"/>
      <c r="Q1912" s="89"/>
      <c r="R1912" s="87"/>
    </row>
    <row r="1913" spans="15:18">
      <c r="O1913" s="89"/>
      <c r="P1913" s="90"/>
      <c r="Q1913" s="89"/>
      <c r="R1913" s="87"/>
    </row>
    <row r="1914" spans="15:18">
      <c r="O1914" s="89"/>
      <c r="P1914" s="90"/>
      <c r="Q1914" s="89"/>
      <c r="R1914" s="87"/>
    </row>
    <row r="1915" spans="15:18">
      <c r="O1915" s="89"/>
      <c r="P1915" s="90"/>
      <c r="Q1915" s="89"/>
      <c r="R1915" s="87"/>
    </row>
    <row r="1916" spans="15:18">
      <c r="O1916" s="89"/>
      <c r="P1916" s="90"/>
      <c r="Q1916" s="89"/>
      <c r="R1916" s="87"/>
    </row>
    <row r="1917" spans="15:18">
      <c r="O1917" s="89"/>
      <c r="P1917" s="90"/>
      <c r="Q1917" s="89"/>
      <c r="R1917" s="87"/>
    </row>
    <row r="1918" spans="15:18">
      <c r="O1918" s="89"/>
      <c r="P1918" s="90"/>
      <c r="Q1918" s="89"/>
      <c r="R1918" s="87"/>
    </row>
    <row r="1919" spans="15:18">
      <c r="O1919" s="89"/>
      <c r="P1919" s="90"/>
      <c r="Q1919" s="89"/>
      <c r="R1919" s="87"/>
    </row>
    <row r="1920" spans="15:18">
      <c r="O1920" s="89"/>
      <c r="P1920" s="90"/>
      <c r="Q1920" s="89"/>
      <c r="R1920" s="87"/>
    </row>
    <row r="1921" spans="15:18">
      <c r="O1921" s="89"/>
      <c r="P1921" s="90"/>
      <c r="Q1921" s="89"/>
      <c r="R1921" s="87"/>
    </row>
    <row r="1922" spans="15:18">
      <c r="O1922" s="89"/>
      <c r="P1922" s="90"/>
      <c r="Q1922" s="89"/>
      <c r="R1922" s="87"/>
    </row>
    <row r="1923" spans="15:18">
      <c r="O1923" s="89"/>
      <c r="P1923" s="90"/>
      <c r="Q1923" s="89"/>
      <c r="R1923" s="87"/>
    </row>
    <row r="1924" spans="15:18">
      <c r="O1924" s="89"/>
      <c r="P1924" s="90"/>
      <c r="Q1924" s="89"/>
      <c r="R1924" s="87"/>
    </row>
    <row r="1925" spans="15:18">
      <c r="O1925" s="89"/>
      <c r="P1925" s="90"/>
      <c r="Q1925" s="89"/>
      <c r="R1925" s="87"/>
    </row>
    <row r="1926" spans="15:18">
      <c r="O1926" s="89"/>
      <c r="P1926" s="90"/>
      <c r="Q1926" s="89"/>
      <c r="R1926" s="87"/>
    </row>
    <row r="1927" spans="15:18">
      <c r="O1927" s="89"/>
      <c r="P1927" s="90"/>
      <c r="Q1927" s="89"/>
      <c r="R1927" s="87"/>
    </row>
    <row r="1928" spans="15:18">
      <c r="O1928" s="89"/>
      <c r="P1928" s="90"/>
      <c r="Q1928" s="89"/>
      <c r="R1928" s="87"/>
    </row>
    <row r="1929" spans="15:18">
      <c r="O1929" s="89"/>
      <c r="P1929" s="90"/>
      <c r="Q1929" s="89"/>
      <c r="R1929" s="87"/>
    </row>
    <row r="1930" spans="15:18">
      <c r="O1930" s="89"/>
      <c r="P1930" s="90"/>
      <c r="Q1930" s="89"/>
      <c r="R1930" s="87"/>
    </row>
    <row r="1931" spans="15:18">
      <c r="O1931" s="89"/>
      <c r="P1931" s="90"/>
      <c r="Q1931" s="89"/>
      <c r="R1931" s="87"/>
    </row>
    <row r="1932" spans="15:18">
      <c r="O1932" s="89"/>
      <c r="P1932" s="90"/>
      <c r="Q1932" s="89"/>
      <c r="R1932" s="87"/>
    </row>
    <row r="1933" spans="15:18">
      <c r="O1933" s="89"/>
      <c r="P1933" s="90"/>
      <c r="Q1933" s="89"/>
      <c r="R1933" s="87"/>
    </row>
    <row r="1934" spans="15:18">
      <c r="O1934" s="89"/>
      <c r="P1934" s="90"/>
      <c r="Q1934" s="89"/>
      <c r="R1934" s="87"/>
    </row>
    <row r="1935" spans="15:18">
      <c r="O1935" s="89"/>
      <c r="P1935" s="90"/>
      <c r="Q1935" s="89"/>
      <c r="R1935" s="87"/>
    </row>
    <row r="1936" spans="15:18">
      <c r="O1936" s="89"/>
      <c r="P1936" s="90"/>
      <c r="Q1936" s="89"/>
      <c r="R1936" s="87"/>
    </row>
    <row r="1937" spans="15:18">
      <c r="O1937" s="89"/>
      <c r="P1937" s="90"/>
      <c r="Q1937" s="89"/>
      <c r="R1937" s="87"/>
    </row>
    <row r="1938" spans="15:18">
      <c r="O1938" s="89"/>
      <c r="P1938" s="90"/>
      <c r="Q1938" s="89"/>
      <c r="R1938" s="87"/>
    </row>
    <row r="1939" spans="15:18">
      <c r="O1939" s="89"/>
      <c r="P1939" s="90"/>
      <c r="Q1939" s="89"/>
      <c r="R1939" s="87"/>
    </row>
    <row r="1940" spans="15:18">
      <c r="O1940" s="89"/>
      <c r="P1940" s="90"/>
      <c r="Q1940" s="89"/>
      <c r="R1940" s="87"/>
    </row>
    <row r="1941" spans="15:18">
      <c r="O1941" s="89"/>
      <c r="P1941" s="90"/>
      <c r="Q1941" s="89"/>
      <c r="R1941" s="87"/>
    </row>
    <row r="1942" spans="15:18">
      <c r="O1942" s="89"/>
      <c r="P1942" s="90"/>
      <c r="Q1942" s="89"/>
      <c r="R1942" s="87"/>
    </row>
    <row r="1943" spans="15:18">
      <c r="O1943" s="89"/>
      <c r="P1943" s="90"/>
      <c r="Q1943" s="89"/>
      <c r="R1943" s="87"/>
    </row>
    <row r="1944" spans="15:18">
      <c r="O1944" s="89"/>
      <c r="P1944" s="90"/>
      <c r="Q1944" s="89"/>
      <c r="R1944" s="87"/>
    </row>
    <row r="1945" spans="15:18">
      <c r="O1945" s="89"/>
      <c r="P1945" s="90"/>
      <c r="Q1945" s="89"/>
      <c r="R1945" s="87"/>
    </row>
    <row r="1946" spans="15:18">
      <c r="O1946" s="89"/>
      <c r="P1946" s="90"/>
      <c r="Q1946" s="89"/>
      <c r="R1946" s="87"/>
    </row>
    <row r="1947" spans="15:18">
      <c r="O1947" s="89"/>
      <c r="P1947" s="90"/>
      <c r="Q1947" s="89"/>
      <c r="R1947" s="87"/>
    </row>
    <row r="1948" spans="15:18">
      <c r="O1948" s="89"/>
      <c r="P1948" s="90"/>
      <c r="Q1948" s="89"/>
      <c r="R1948" s="87"/>
    </row>
    <row r="1949" spans="15:18">
      <c r="O1949" s="89"/>
      <c r="P1949" s="90"/>
      <c r="Q1949" s="89"/>
      <c r="R1949" s="87"/>
    </row>
    <row r="1950" spans="15:18">
      <c r="O1950" s="89"/>
      <c r="P1950" s="90"/>
      <c r="Q1950" s="89"/>
      <c r="R1950" s="87"/>
    </row>
    <row r="1951" spans="15:18">
      <c r="O1951" s="89"/>
      <c r="P1951" s="90"/>
      <c r="Q1951" s="89"/>
      <c r="R1951" s="87"/>
    </row>
    <row r="1952" spans="15:18">
      <c r="O1952" s="89"/>
      <c r="P1952" s="90"/>
      <c r="Q1952" s="89"/>
      <c r="R1952" s="87"/>
    </row>
    <row r="1953" spans="15:18">
      <c r="O1953" s="89"/>
      <c r="P1953" s="90"/>
      <c r="Q1953" s="89"/>
      <c r="R1953" s="87"/>
    </row>
    <row r="1954" spans="15:18">
      <c r="O1954" s="89"/>
      <c r="P1954" s="90"/>
      <c r="Q1954" s="89"/>
      <c r="R1954" s="87"/>
    </row>
    <row r="1955" spans="15:18">
      <c r="O1955" s="89"/>
      <c r="P1955" s="90"/>
      <c r="Q1955" s="89"/>
      <c r="R1955" s="87"/>
    </row>
    <row r="1956" spans="15:18">
      <c r="O1956" s="89"/>
      <c r="P1956" s="90"/>
      <c r="Q1956" s="89"/>
      <c r="R1956" s="87"/>
    </row>
    <row r="1957" spans="15:18">
      <c r="O1957" s="89"/>
      <c r="P1957" s="90"/>
      <c r="Q1957" s="89"/>
      <c r="R1957" s="87"/>
    </row>
    <row r="1958" spans="15:18">
      <c r="O1958" s="89"/>
      <c r="P1958" s="90"/>
      <c r="Q1958" s="89"/>
      <c r="R1958" s="87"/>
    </row>
    <row r="1959" spans="15:18">
      <c r="O1959" s="89"/>
      <c r="P1959" s="90"/>
      <c r="Q1959" s="89"/>
      <c r="R1959" s="87"/>
    </row>
    <row r="1960" spans="15:18">
      <c r="O1960" s="89"/>
      <c r="P1960" s="90"/>
      <c r="Q1960" s="89"/>
      <c r="R1960" s="87"/>
    </row>
    <row r="1961" spans="15:18">
      <c r="O1961" s="89"/>
      <c r="P1961" s="90"/>
      <c r="Q1961" s="89"/>
      <c r="R1961" s="87"/>
    </row>
    <row r="1962" spans="15:18">
      <c r="O1962" s="89"/>
      <c r="P1962" s="90"/>
      <c r="Q1962" s="89"/>
      <c r="R1962" s="87"/>
    </row>
    <row r="1963" spans="15:18">
      <c r="O1963" s="89"/>
      <c r="P1963" s="90"/>
      <c r="Q1963" s="89"/>
      <c r="R1963" s="87"/>
    </row>
    <row r="1964" spans="15:18">
      <c r="O1964" s="89"/>
      <c r="P1964" s="90"/>
      <c r="Q1964" s="89"/>
      <c r="R1964" s="87"/>
    </row>
    <row r="1965" spans="15:18">
      <c r="O1965" s="89"/>
      <c r="P1965" s="90"/>
      <c r="Q1965" s="89"/>
      <c r="R1965" s="87"/>
    </row>
    <row r="1966" spans="15:18">
      <c r="O1966" s="89"/>
      <c r="P1966" s="90"/>
      <c r="Q1966" s="89"/>
      <c r="R1966" s="87"/>
    </row>
    <row r="1967" spans="15:18">
      <c r="O1967" s="89"/>
      <c r="P1967" s="90"/>
      <c r="Q1967" s="89"/>
      <c r="R1967" s="87"/>
    </row>
    <row r="1968" spans="15:18">
      <c r="O1968" s="89"/>
      <c r="P1968" s="90"/>
      <c r="Q1968" s="89"/>
      <c r="R1968" s="87"/>
    </row>
    <row r="1969" spans="15:18">
      <c r="O1969" s="89"/>
      <c r="P1969" s="90"/>
      <c r="Q1969" s="89"/>
      <c r="R1969" s="87"/>
    </row>
    <row r="1970" spans="15:18">
      <c r="O1970" s="89"/>
      <c r="P1970" s="90"/>
      <c r="Q1970" s="89"/>
      <c r="R1970" s="87"/>
    </row>
    <row r="1971" spans="15:18">
      <c r="O1971" s="89"/>
      <c r="P1971" s="90"/>
      <c r="Q1971" s="89"/>
      <c r="R1971" s="87"/>
    </row>
    <row r="1972" spans="15:18">
      <c r="O1972" s="89"/>
      <c r="P1972" s="90"/>
      <c r="Q1972" s="89"/>
      <c r="R1972" s="87"/>
    </row>
    <row r="1973" spans="15:18">
      <c r="O1973" s="89"/>
      <c r="P1973" s="90"/>
      <c r="Q1973" s="89"/>
      <c r="R1973" s="87"/>
    </row>
    <row r="1974" spans="15:18">
      <c r="O1974" s="89"/>
      <c r="P1974" s="90"/>
      <c r="Q1974" s="89"/>
      <c r="R1974" s="87"/>
    </row>
    <row r="1975" spans="15:18">
      <c r="O1975" s="89"/>
      <c r="P1975" s="90"/>
      <c r="Q1975" s="89"/>
      <c r="R1975" s="87"/>
    </row>
    <row r="1976" spans="15:18">
      <c r="O1976" s="89"/>
      <c r="P1976" s="90"/>
      <c r="Q1976" s="89"/>
      <c r="R1976" s="87"/>
    </row>
    <row r="1977" spans="15:18">
      <c r="O1977" s="89"/>
      <c r="P1977" s="90"/>
      <c r="Q1977" s="89"/>
      <c r="R1977" s="87"/>
    </row>
    <row r="1978" spans="15:18">
      <c r="O1978" s="89"/>
      <c r="P1978" s="90"/>
      <c r="Q1978" s="89"/>
      <c r="R1978" s="87"/>
    </row>
    <row r="1979" spans="15:18">
      <c r="O1979" s="89"/>
      <c r="P1979" s="90"/>
      <c r="Q1979" s="89"/>
      <c r="R1979" s="87"/>
    </row>
    <row r="1980" spans="15:18">
      <c r="O1980" s="89"/>
      <c r="P1980" s="90"/>
      <c r="Q1980" s="89"/>
      <c r="R1980" s="87"/>
    </row>
    <row r="1981" spans="15:18">
      <c r="O1981" s="89"/>
      <c r="P1981" s="90"/>
      <c r="Q1981" s="89"/>
      <c r="R1981" s="87"/>
    </row>
    <row r="1982" spans="15:18">
      <c r="O1982" s="89"/>
      <c r="P1982" s="90"/>
      <c r="Q1982" s="89"/>
      <c r="R1982" s="87"/>
    </row>
    <row r="1983" spans="15:18">
      <c r="O1983" s="89"/>
      <c r="P1983" s="90"/>
      <c r="Q1983" s="89"/>
      <c r="R1983" s="87"/>
    </row>
    <row r="1984" spans="15:18">
      <c r="O1984" s="89"/>
      <c r="P1984" s="90"/>
      <c r="Q1984" s="89"/>
      <c r="R1984" s="87"/>
    </row>
    <row r="1985" spans="15:18">
      <c r="O1985" s="89"/>
      <c r="P1985" s="90"/>
      <c r="Q1985" s="89"/>
      <c r="R1985" s="87"/>
    </row>
    <row r="1986" spans="15:18">
      <c r="O1986" s="89"/>
      <c r="P1986" s="90"/>
      <c r="Q1986" s="89"/>
      <c r="R1986" s="87"/>
    </row>
    <row r="1987" spans="15:18">
      <c r="O1987" s="89"/>
      <c r="P1987" s="90"/>
      <c r="Q1987" s="89"/>
      <c r="R1987" s="87"/>
    </row>
    <row r="1988" spans="15:18">
      <c r="O1988" s="89"/>
      <c r="P1988" s="90"/>
      <c r="Q1988" s="89"/>
      <c r="R1988" s="87"/>
    </row>
    <row r="1989" spans="15:18">
      <c r="O1989" s="89"/>
      <c r="P1989" s="90"/>
      <c r="Q1989" s="89"/>
      <c r="R1989" s="87"/>
    </row>
    <row r="1990" spans="15:18">
      <c r="O1990" s="89"/>
      <c r="P1990" s="90"/>
      <c r="Q1990" s="89"/>
      <c r="R1990" s="87"/>
    </row>
    <row r="1991" spans="15:18">
      <c r="O1991" s="89"/>
      <c r="P1991" s="90"/>
      <c r="Q1991" s="89"/>
      <c r="R1991" s="87"/>
    </row>
    <row r="1992" spans="15:18">
      <c r="O1992" s="89"/>
      <c r="P1992" s="90"/>
      <c r="Q1992" s="89"/>
      <c r="R1992" s="87"/>
    </row>
    <row r="1993" spans="15:18">
      <c r="O1993" s="89"/>
      <c r="P1993" s="90"/>
      <c r="Q1993" s="89"/>
      <c r="R1993" s="87"/>
    </row>
    <row r="1994" spans="15:18">
      <c r="O1994" s="89"/>
      <c r="P1994" s="90"/>
      <c r="Q1994" s="89"/>
      <c r="R1994" s="87"/>
    </row>
    <row r="1995" spans="15:18">
      <c r="O1995" s="89"/>
      <c r="P1995" s="90"/>
      <c r="Q1995" s="89"/>
      <c r="R1995" s="87"/>
    </row>
    <row r="1996" spans="15:18">
      <c r="O1996" s="89"/>
      <c r="P1996" s="90"/>
      <c r="Q1996" s="89"/>
      <c r="R1996" s="87"/>
    </row>
    <row r="1997" spans="15:18">
      <c r="O1997" s="89"/>
      <c r="P1997" s="90"/>
      <c r="Q1997" s="89"/>
      <c r="R1997" s="87"/>
    </row>
    <row r="1998" spans="15:18">
      <c r="O1998" s="89"/>
      <c r="P1998" s="90"/>
      <c r="Q1998" s="89"/>
      <c r="R1998" s="87"/>
    </row>
    <row r="1999" spans="15:18">
      <c r="O1999" s="89"/>
      <c r="P1999" s="90"/>
      <c r="Q1999" s="89"/>
      <c r="R1999" s="87"/>
    </row>
    <row r="2000" spans="15:18">
      <c r="O2000" s="89"/>
      <c r="P2000" s="90"/>
      <c r="Q2000" s="89"/>
      <c r="R2000" s="87"/>
    </row>
    <row r="2001" spans="15:18">
      <c r="O2001" s="89"/>
      <c r="P2001" s="90"/>
      <c r="Q2001" s="89"/>
      <c r="R2001" s="87"/>
    </row>
    <row r="2002" spans="15:18">
      <c r="O2002" s="89"/>
      <c r="P2002" s="90"/>
      <c r="Q2002" s="89"/>
      <c r="R2002" s="87"/>
    </row>
    <row r="2003" spans="15:18">
      <c r="O2003" s="89"/>
      <c r="P2003" s="90"/>
      <c r="Q2003" s="89"/>
      <c r="R2003" s="87"/>
    </row>
    <row r="2004" spans="15:18">
      <c r="O2004" s="89"/>
      <c r="P2004" s="90"/>
      <c r="Q2004" s="89"/>
      <c r="R2004" s="87"/>
    </row>
    <row r="2005" spans="15:18">
      <c r="O2005" s="89"/>
      <c r="P2005" s="90"/>
      <c r="Q2005" s="89"/>
      <c r="R2005" s="87"/>
    </row>
    <row r="2006" spans="15:18">
      <c r="O2006" s="89"/>
      <c r="P2006" s="90"/>
      <c r="Q2006" s="89"/>
      <c r="R2006" s="87"/>
    </row>
    <row r="2007" spans="15:18">
      <c r="O2007" s="89"/>
      <c r="P2007" s="90"/>
      <c r="Q2007" s="89"/>
      <c r="R2007" s="87"/>
    </row>
    <row r="2008" spans="15:18">
      <c r="O2008" s="89"/>
      <c r="P2008" s="90"/>
      <c r="Q2008" s="89"/>
      <c r="R2008" s="87"/>
    </row>
    <row r="2009" spans="15:18">
      <c r="O2009" s="89"/>
      <c r="P2009" s="90"/>
      <c r="Q2009" s="89"/>
      <c r="R2009" s="87"/>
    </row>
    <row r="2010" spans="15:18">
      <c r="O2010" s="89"/>
      <c r="P2010" s="90"/>
      <c r="Q2010" s="89"/>
      <c r="R2010" s="87"/>
    </row>
    <row r="2011" spans="15:18">
      <c r="O2011" s="89"/>
      <c r="P2011" s="90"/>
      <c r="Q2011" s="89"/>
      <c r="R2011" s="87"/>
    </row>
    <row r="2012" spans="15:18">
      <c r="O2012" s="89"/>
      <c r="P2012" s="90"/>
      <c r="Q2012" s="89"/>
      <c r="R2012" s="87"/>
    </row>
    <row r="2013" spans="15:18">
      <c r="O2013" s="89"/>
      <c r="P2013" s="90"/>
      <c r="Q2013" s="89"/>
      <c r="R2013" s="87"/>
    </row>
    <row r="2014" spans="15:18">
      <c r="O2014" s="89"/>
      <c r="P2014" s="90"/>
      <c r="Q2014" s="89"/>
      <c r="R2014" s="87"/>
    </row>
    <row r="2015" spans="15:18">
      <c r="O2015" s="89"/>
      <c r="P2015" s="90"/>
      <c r="Q2015" s="89"/>
      <c r="R2015" s="87"/>
    </row>
    <row r="2016" spans="15:18">
      <c r="O2016" s="89"/>
      <c r="P2016" s="90"/>
      <c r="Q2016" s="89"/>
      <c r="R2016" s="87"/>
    </row>
    <row r="2017" spans="15:18">
      <c r="O2017" s="89"/>
      <c r="P2017" s="90"/>
      <c r="Q2017" s="89"/>
      <c r="R2017" s="87"/>
    </row>
    <row r="2018" spans="15:18">
      <c r="O2018" s="89"/>
      <c r="P2018" s="90"/>
      <c r="Q2018" s="89"/>
      <c r="R2018" s="87"/>
    </row>
    <row r="2019" spans="15:18">
      <c r="O2019" s="89"/>
      <c r="P2019" s="90"/>
      <c r="Q2019" s="89"/>
      <c r="R2019" s="87"/>
    </row>
    <row r="2020" spans="15:18">
      <c r="O2020" s="89"/>
      <c r="P2020" s="90"/>
      <c r="Q2020" s="89"/>
      <c r="R2020" s="87"/>
    </row>
    <row r="2021" spans="15:18">
      <c r="O2021" s="89"/>
      <c r="P2021" s="90"/>
      <c r="Q2021" s="89"/>
      <c r="R2021" s="87"/>
    </row>
    <row r="2022" spans="15:18">
      <c r="O2022" s="89"/>
      <c r="P2022" s="90"/>
      <c r="Q2022" s="89"/>
      <c r="R2022" s="87"/>
    </row>
    <row r="2023" spans="15:18">
      <c r="O2023" s="89"/>
      <c r="P2023" s="90"/>
      <c r="Q2023" s="89"/>
      <c r="R2023" s="87"/>
    </row>
    <row r="2024" spans="15:18">
      <c r="O2024" s="89"/>
      <c r="P2024" s="90"/>
      <c r="Q2024" s="89"/>
      <c r="R2024" s="87"/>
    </row>
    <row r="2025" spans="15:18">
      <c r="O2025" s="89"/>
      <c r="P2025" s="90"/>
      <c r="Q2025" s="89"/>
      <c r="R2025" s="87"/>
    </row>
    <row r="2026" spans="15:18">
      <c r="O2026" s="89"/>
      <c r="P2026" s="90"/>
      <c r="Q2026" s="89"/>
      <c r="R2026" s="87"/>
    </row>
    <row r="2027" spans="15:18">
      <c r="O2027" s="89"/>
      <c r="P2027" s="90"/>
      <c r="Q2027" s="89"/>
      <c r="R2027" s="87"/>
    </row>
    <row r="2028" spans="15:18">
      <c r="O2028" s="89"/>
      <c r="P2028" s="90"/>
      <c r="Q2028" s="89"/>
      <c r="R2028" s="87"/>
    </row>
    <row r="2029" spans="15:18">
      <c r="O2029" s="89"/>
      <c r="P2029" s="90"/>
      <c r="Q2029" s="89"/>
      <c r="R2029" s="87"/>
    </row>
    <row r="2030" spans="15:18">
      <c r="O2030" s="89"/>
      <c r="P2030" s="90"/>
      <c r="Q2030" s="89"/>
      <c r="R2030" s="87"/>
    </row>
    <row r="2031" spans="15:18">
      <c r="O2031" s="89"/>
      <c r="P2031" s="90"/>
      <c r="Q2031" s="89"/>
      <c r="R2031" s="87"/>
    </row>
    <row r="2032" spans="15:18">
      <c r="O2032" s="89"/>
      <c r="P2032" s="90"/>
      <c r="Q2032" s="89"/>
      <c r="R2032" s="87"/>
    </row>
    <row r="2033" spans="15:18">
      <c r="O2033" s="89"/>
      <c r="P2033" s="90"/>
      <c r="Q2033" s="89"/>
      <c r="R2033" s="87"/>
    </row>
    <row r="2034" spans="15:18">
      <c r="O2034" s="89"/>
      <c r="P2034" s="90"/>
      <c r="Q2034" s="89"/>
      <c r="R2034" s="87"/>
    </row>
    <row r="2035" spans="15:18">
      <c r="O2035" s="89"/>
      <c r="P2035" s="90"/>
      <c r="Q2035" s="89"/>
      <c r="R2035" s="87"/>
    </row>
    <row r="2036" spans="15:18">
      <c r="O2036" s="89"/>
      <c r="P2036" s="90"/>
      <c r="Q2036" s="89"/>
      <c r="R2036" s="87"/>
    </row>
    <row r="2037" spans="15:18">
      <c r="O2037" s="89"/>
      <c r="P2037" s="90"/>
      <c r="Q2037" s="89"/>
      <c r="R2037" s="87"/>
    </row>
    <row r="2038" spans="15:18">
      <c r="O2038" s="89"/>
      <c r="P2038" s="90"/>
      <c r="Q2038" s="89"/>
      <c r="R2038" s="87"/>
    </row>
    <row r="2039" spans="15:18">
      <c r="O2039" s="89"/>
      <c r="P2039" s="90"/>
      <c r="Q2039" s="89"/>
      <c r="R2039" s="87"/>
    </row>
    <row r="2040" spans="15:18">
      <c r="O2040" s="89"/>
      <c r="P2040" s="90"/>
      <c r="Q2040" s="89"/>
      <c r="R2040" s="87"/>
    </row>
    <row r="2041" spans="15:18">
      <c r="O2041" s="89"/>
      <c r="P2041" s="90"/>
      <c r="Q2041" s="89"/>
      <c r="R2041" s="87"/>
    </row>
    <row r="2042" spans="15:18">
      <c r="O2042" s="89"/>
      <c r="P2042" s="90"/>
      <c r="Q2042" s="89"/>
      <c r="R2042" s="87"/>
    </row>
    <row r="2043" spans="15:18">
      <c r="O2043" s="89"/>
      <c r="P2043" s="90"/>
      <c r="Q2043" s="89"/>
      <c r="R2043" s="87"/>
    </row>
    <row r="2044" spans="15:18">
      <c r="O2044" s="89"/>
      <c r="P2044" s="90"/>
      <c r="Q2044" s="89"/>
      <c r="R2044" s="87"/>
    </row>
    <row r="2045" spans="15:18">
      <c r="O2045" s="89"/>
      <c r="P2045" s="90"/>
      <c r="Q2045" s="89"/>
      <c r="R2045" s="87"/>
    </row>
    <row r="2046" spans="15:18">
      <c r="O2046" s="89"/>
      <c r="P2046" s="90"/>
      <c r="Q2046" s="89"/>
      <c r="R2046" s="87"/>
    </row>
    <row r="2047" spans="15:18">
      <c r="O2047" s="89"/>
      <c r="P2047" s="90"/>
      <c r="Q2047" s="89"/>
      <c r="R2047" s="87"/>
    </row>
    <row r="2048" spans="15:18">
      <c r="O2048" s="89"/>
      <c r="P2048" s="90"/>
      <c r="Q2048" s="89"/>
      <c r="R2048" s="87"/>
    </row>
    <row r="2049" spans="15:18">
      <c r="O2049" s="89"/>
      <c r="P2049" s="90"/>
      <c r="Q2049" s="89"/>
      <c r="R2049" s="87"/>
    </row>
    <row r="2050" spans="15:18">
      <c r="O2050" s="89"/>
      <c r="P2050" s="90"/>
      <c r="Q2050" s="89"/>
      <c r="R2050" s="87"/>
    </row>
    <row r="2051" spans="15:18">
      <c r="O2051" s="89"/>
      <c r="P2051" s="90"/>
      <c r="Q2051" s="89"/>
      <c r="R2051" s="87"/>
    </row>
    <row r="2052" spans="15:18">
      <c r="O2052" s="89"/>
      <c r="P2052" s="90"/>
      <c r="Q2052" s="89"/>
      <c r="R2052" s="87"/>
    </row>
    <row r="2053" spans="15:18">
      <c r="O2053" s="89"/>
      <c r="P2053" s="90"/>
      <c r="Q2053" s="89"/>
      <c r="R2053" s="87"/>
    </row>
    <row r="2054" spans="15:18">
      <c r="O2054" s="89"/>
      <c r="P2054" s="90"/>
      <c r="Q2054" s="89"/>
      <c r="R2054" s="87"/>
    </row>
    <row r="2055" spans="15:18">
      <c r="O2055" s="89"/>
      <c r="P2055" s="90"/>
      <c r="Q2055" s="89"/>
      <c r="R2055" s="87"/>
    </row>
    <row r="2056" spans="15:18">
      <c r="O2056" s="89"/>
      <c r="P2056" s="90"/>
      <c r="Q2056" s="89"/>
      <c r="R2056" s="87"/>
    </row>
    <row r="2057" spans="15:18">
      <c r="O2057" s="89"/>
      <c r="P2057" s="90"/>
      <c r="Q2057" s="89"/>
      <c r="R2057" s="87"/>
    </row>
    <row r="2058" spans="15:18">
      <c r="O2058" s="89"/>
      <c r="P2058" s="90"/>
      <c r="Q2058" s="89"/>
      <c r="R2058" s="87"/>
    </row>
    <row r="2059" spans="15:18">
      <c r="O2059" s="89"/>
      <c r="P2059" s="90"/>
      <c r="Q2059" s="89"/>
      <c r="R2059" s="87"/>
    </row>
    <row r="2060" spans="15:18">
      <c r="O2060" s="89"/>
      <c r="P2060" s="90"/>
      <c r="Q2060" s="89"/>
      <c r="R2060" s="87"/>
    </row>
    <row r="2061" spans="15:18">
      <c r="O2061" s="89"/>
      <c r="P2061" s="90"/>
      <c r="Q2061" s="89"/>
      <c r="R2061" s="87"/>
    </row>
    <row r="2062" spans="15:18">
      <c r="O2062" s="89"/>
      <c r="P2062" s="90"/>
      <c r="Q2062" s="89"/>
      <c r="R2062" s="87"/>
    </row>
    <row r="2063" spans="15:18">
      <c r="O2063" s="89"/>
      <c r="P2063" s="90"/>
      <c r="Q2063" s="89"/>
      <c r="R2063" s="87"/>
    </row>
    <row r="2064" spans="15:18">
      <c r="O2064" s="89"/>
      <c r="P2064" s="90"/>
      <c r="Q2064" s="89"/>
      <c r="R2064" s="87"/>
    </row>
    <row r="2065" spans="15:18">
      <c r="O2065" s="89"/>
      <c r="P2065" s="90"/>
      <c r="Q2065" s="89"/>
      <c r="R2065" s="87"/>
    </row>
    <row r="2066" spans="15:18">
      <c r="O2066" s="89"/>
      <c r="P2066" s="90"/>
      <c r="Q2066" s="89"/>
      <c r="R2066" s="87"/>
    </row>
    <row r="2067" spans="15:18">
      <c r="O2067" s="89"/>
      <c r="P2067" s="90"/>
      <c r="Q2067" s="89"/>
      <c r="R2067" s="87"/>
    </row>
    <row r="2068" spans="15:18">
      <c r="O2068" s="89"/>
      <c r="P2068" s="90"/>
      <c r="Q2068" s="89"/>
      <c r="R2068" s="87"/>
    </row>
    <row r="2069" spans="15:18">
      <c r="O2069" s="89"/>
      <c r="P2069" s="90"/>
      <c r="Q2069" s="89"/>
      <c r="R2069" s="87"/>
    </row>
    <row r="2070" spans="15:18">
      <c r="O2070" s="89"/>
      <c r="P2070" s="90"/>
      <c r="Q2070" s="89"/>
      <c r="R2070" s="87"/>
    </row>
    <row r="2071" spans="15:18">
      <c r="O2071" s="89"/>
      <c r="P2071" s="90"/>
      <c r="Q2071" s="89"/>
      <c r="R2071" s="87"/>
    </row>
    <row r="2072" spans="15:18">
      <c r="O2072" s="89"/>
      <c r="P2072" s="90"/>
      <c r="Q2072" s="89"/>
      <c r="R2072" s="87"/>
    </row>
    <row r="2073" spans="15:18">
      <c r="O2073" s="89"/>
      <c r="P2073" s="90"/>
      <c r="Q2073" s="89"/>
      <c r="R2073" s="87"/>
    </row>
    <row r="2074" spans="15:18">
      <c r="O2074" s="89"/>
      <c r="P2074" s="90"/>
      <c r="Q2074" s="89"/>
      <c r="R2074" s="87"/>
    </row>
    <row r="2075" spans="15:18">
      <c r="O2075" s="89"/>
      <c r="P2075" s="90"/>
      <c r="Q2075" s="89"/>
      <c r="R2075" s="87"/>
    </row>
    <row r="2076" spans="15:18">
      <c r="O2076" s="89"/>
      <c r="P2076" s="90"/>
      <c r="Q2076" s="89"/>
      <c r="R2076" s="87"/>
    </row>
    <row r="2077" spans="15:18">
      <c r="O2077" s="89"/>
      <c r="P2077" s="90"/>
      <c r="Q2077" s="89"/>
      <c r="R2077" s="87"/>
    </row>
    <row r="2078" spans="15:18">
      <c r="O2078" s="89"/>
      <c r="P2078" s="90"/>
      <c r="Q2078" s="89"/>
      <c r="R2078" s="87"/>
    </row>
    <row r="2079" spans="15:18">
      <c r="O2079" s="89"/>
      <c r="P2079" s="90"/>
      <c r="Q2079" s="89"/>
      <c r="R2079" s="87"/>
    </row>
    <row r="2080" spans="15:18">
      <c r="O2080" s="89"/>
      <c r="P2080" s="90"/>
      <c r="Q2080" s="89"/>
      <c r="R2080" s="87"/>
    </row>
    <row r="2081" spans="15:18">
      <c r="O2081" s="89"/>
      <c r="P2081" s="90"/>
      <c r="Q2081" s="89"/>
      <c r="R2081" s="87"/>
    </row>
    <row r="2082" spans="15:18">
      <c r="O2082" s="89"/>
      <c r="P2082" s="90"/>
      <c r="Q2082" s="89"/>
      <c r="R2082" s="87"/>
    </row>
    <row r="2083" spans="15:18">
      <c r="O2083" s="89"/>
      <c r="P2083" s="90"/>
      <c r="Q2083" s="89"/>
      <c r="R2083" s="87"/>
    </row>
    <row r="2084" spans="15:18">
      <c r="O2084" s="89"/>
      <c r="P2084" s="90"/>
      <c r="Q2084" s="89"/>
      <c r="R2084" s="87"/>
    </row>
    <row r="2085" spans="15:18">
      <c r="O2085" s="89"/>
      <c r="P2085" s="90"/>
      <c r="Q2085" s="89"/>
      <c r="R2085" s="87"/>
    </row>
    <row r="2086" spans="15:18">
      <c r="O2086" s="89"/>
      <c r="P2086" s="90"/>
      <c r="Q2086" s="89"/>
      <c r="R2086" s="87"/>
    </row>
    <row r="2087" spans="15:18">
      <c r="O2087" s="89"/>
      <c r="P2087" s="90"/>
      <c r="Q2087" s="89"/>
      <c r="R2087" s="87"/>
    </row>
    <row r="2088" spans="15:18">
      <c r="O2088" s="89"/>
      <c r="P2088" s="90"/>
      <c r="Q2088" s="89"/>
      <c r="R2088" s="87"/>
    </row>
    <row r="2089" spans="15:18">
      <c r="O2089" s="89"/>
      <c r="P2089" s="90"/>
      <c r="Q2089" s="89"/>
      <c r="R2089" s="87"/>
    </row>
    <row r="2090" spans="15:18">
      <c r="O2090" s="89"/>
      <c r="P2090" s="90"/>
      <c r="Q2090" s="89"/>
      <c r="R2090" s="87"/>
    </row>
    <row r="2091" spans="15:18">
      <c r="O2091" s="89"/>
      <c r="P2091" s="90"/>
      <c r="Q2091" s="89"/>
      <c r="R2091" s="87"/>
    </row>
    <row r="2092" spans="15:18">
      <c r="O2092" s="89"/>
      <c r="P2092" s="90"/>
      <c r="Q2092" s="89"/>
      <c r="R2092" s="87"/>
    </row>
    <row r="2093" spans="15:18">
      <c r="O2093" s="89"/>
      <c r="P2093" s="90"/>
      <c r="Q2093" s="89"/>
      <c r="R2093" s="87"/>
    </row>
    <row r="2094" spans="15:18">
      <c r="O2094" s="89"/>
      <c r="P2094" s="90"/>
      <c r="Q2094" s="89"/>
      <c r="R2094" s="87"/>
    </row>
    <row r="2095" spans="15:18">
      <c r="O2095" s="89"/>
      <c r="P2095" s="90"/>
      <c r="Q2095" s="89"/>
      <c r="R2095" s="87"/>
    </row>
    <row r="2096" spans="15:18">
      <c r="O2096" s="89"/>
      <c r="P2096" s="90"/>
      <c r="Q2096" s="89"/>
      <c r="R2096" s="87"/>
    </row>
    <row r="2097" spans="15:18">
      <c r="O2097" s="89"/>
      <c r="P2097" s="90"/>
      <c r="Q2097" s="89"/>
      <c r="R2097" s="87"/>
    </row>
    <row r="2098" spans="15:18">
      <c r="O2098" s="89"/>
      <c r="P2098" s="90"/>
      <c r="Q2098" s="89"/>
      <c r="R2098" s="87"/>
    </row>
    <row r="2099" spans="15:18">
      <c r="O2099" s="89"/>
      <c r="P2099" s="90"/>
      <c r="Q2099" s="89"/>
      <c r="R2099" s="87"/>
    </row>
    <row r="2100" spans="15:18">
      <c r="O2100" s="89"/>
      <c r="P2100" s="90"/>
      <c r="Q2100" s="89"/>
      <c r="R2100" s="87"/>
    </row>
    <row r="2101" spans="15:18">
      <c r="O2101" s="89"/>
      <c r="P2101" s="90"/>
      <c r="Q2101" s="89"/>
      <c r="R2101" s="87"/>
    </row>
    <row r="2102" spans="15:18">
      <c r="O2102" s="89"/>
      <c r="P2102" s="90"/>
      <c r="Q2102" s="89"/>
      <c r="R2102" s="87"/>
    </row>
    <row r="2103" spans="15:18">
      <c r="O2103" s="89"/>
      <c r="P2103" s="90"/>
      <c r="Q2103" s="89"/>
      <c r="R2103" s="87"/>
    </row>
    <row r="2104" spans="15:18">
      <c r="O2104" s="89"/>
      <c r="P2104" s="90"/>
      <c r="Q2104" s="89"/>
      <c r="R2104" s="87"/>
    </row>
    <row r="2105" spans="15:18">
      <c r="O2105" s="89"/>
      <c r="P2105" s="90"/>
      <c r="Q2105" s="89"/>
      <c r="R2105" s="87"/>
    </row>
    <row r="2106" spans="15:18">
      <c r="O2106" s="89"/>
      <c r="P2106" s="90"/>
      <c r="Q2106" s="89"/>
      <c r="R2106" s="87"/>
    </row>
    <row r="2107" spans="15:18">
      <c r="O2107" s="89"/>
      <c r="P2107" s="90"/>
      <c r="Q2107" s="89"/>
      <c r="R2107" s="87"/>
    </row>
    <row r="2108" spans="15:18">
      <c r="O2108" s="89"/>
      <c r="P2108" s="90"/>
      <c r="Q2108" s="89"/>
      <c r="R2108" s="87"/>
    </row>
    <row r="2109" spans="15:18">
      <c r="O2109" s="89"/>
      <c r="P2109" s="90"/>
      <c r="Q2109" s="89"/>
      <c r="R2109" s="87"/>
    </row>
    <row r="2110" spans="15:18">
      <c r="O2110" s="89"/>
      <c r="P2110" s="90"/>
      <c r="Q2110" s="89"/>
      <c r="R2110" s="87"/>
    </row>
    <row r="2111" spans="15:18">
      <c r="O2111" s="89"/>
      <c r="P2111" s="90"/>
      <c r="Q2111" s="89"/>
      <c r="R2111" s="87"/>
    </row>
    <row r="2112" spans="15:18">
      <c r="O2112" s="89"/>
      <c r="P2112" s="90"/>
      <c r="Q2112" s="89"/>
      <c r="R2112" s="87"/>
    </row>
    <row r="2113" spans="15:18">
      <c r="O2113" s="89"/>
      <c r="P2113" s="90"/>
      <c r="Q2113" s="89"/>
      <c r="R2113" s="87"/>
    </row>
    <row r="2114" spans="15:18">
      <c r="O2114" s="89"/>
      <c r="P2114" s="90"/>
      <c r="Q2114" s="89"/>
      <c r="R2114" s="87"/>
    </row>
    <row r="2115" spans="15:18">
      <c r="O2115" s="89"/>
      <c r="P2115" s="90"/>
      <c r="Q2115" s="89"/>
      <c r="R2115" s="87"/>
    </row>
    <row r="2116" spans="15:18">
      <c r="O2116" s="89"/>
      <c r="P2116" s="90"/>
      <c r="Q2116" s="89"/>
      <c r="R2116" s="87"/>
    </row>
    <row r="2117" spans="15:18">
      <c r="O2117" s="89"/>
      <c r="P2117" s="90"/>
      <c r="Q2117" s="89"/>
      <c r="R2117" s="87"/>
    </row>
    <row r="2118" spans="15:18">
      <c r="O2118" s="89"/>
      <c r="P2118" s="90"/>
      <c r="Q2118" s="89"/>
      <c r="R2118" s="87"/>
    </row>
    <row r="2119" spans="15:18">
      <c r="O2119" s="89"/>
      <c r="P2119" s="90"/>
      <c r="Q2119" s="89"/>
      <c r="R2119" s="87"/>
    </row>
    <row r="2120" spans="15:18">
      <c r="O2120" s="89"/>
      <c r="P2120" s="90"/>
      <c r="Q2120" s="89"/>
      <c r="R2120" s="87"/>
    </row>
    <row r="2121" spans="15:18">
      <c r="O2121" s="89"/>
      <c r="P2121" s="90"/>
      <c r="Q2121" s="89"/>
      <c r="R2121" s="87"/>
    </row>
    <row r="2122" spans="15:18">
      <c r="O2122" s="89"/>
      <c r="P2122" s="90"/>
      <c r="Q2122" s="89"/>
      <c r="R2122" s="87"/>
    </row>
    <row r="2123" spans="15:18">
      <c r="O2123" s="89"/>
      <c r="P2123" s="90"/>
      <c r="Q2123" s="89"/>
      <c r="R2123" s="87"/>
    </row>
    <row r="2124" spans="15:18">
      <c r="O2124" s="89"/>
      <c r="P2124" s="90"/>
      <c r="Q2124" s="89"/>
      <c r="R2124" s="87"/>
    </row>
    <row r="2125" spans="15:18">
      <c r="O2125" s="89"/>
      <c r="P2125" s="90"/>
      <c r="Q2125" s="89"/>
      <c r="R2125" s="87"/>
    </row>
    <row r="2126" spans="15:18">
      <c r="O2126" s="89"/>
      <c r="P2126" s="90"/>
      <c r="Q2126" s="89"/>
      <c r="R2126" s="87"/>
    </row>
    <row r="2127" spans="15:18">
      <c r="O2127" s="89"/>
      <c r="P2127" s="90"/>
      <c r="Q2127" s="89"/>
      <c r="R2127" s="87"/>
    </row>
    <row r="2128" spans="15:18">
      <c r="O2128" s="89"/>
      <c r="P2128" s="90"/>
      <c r="Q2128" s="89"/>
      <c r="R2128" s="87"/>
    </row>
    <row r="2129" spans="15:18">
      <c r="O2129" s="89"/>
      <c r="P2129" s="90"/>
      <c r="Q2129" s="89"/>
      <c r="R2129" s="87"/>
    </row>
    <row r="2130" spans="15:18">
      <c r="O2130" s="89"/>
      <c r="P2130" s="90"/>
      <c r="Q2130" s="89"/>
      <c r="R2130" s="87"/>
    </row>
    <row r="2131" spans="15:18">
      <c r="O2131" s="89"/>
      <c r="P2131" s="90"/>
      <c r="Q2131" s="89"/>
      <c r="R2131" s="87"/>
    </row>
    <row r="2132" spans="15:18">
      <c r="O2132" s="89"/>
      <c r="P2132" s="90"/>
      <c r="Q2132" s="89"/>
      <c r="R2132" s="87"/>
    </row>
    <row r="2133" spans="15:18">
      <c r="O2133" s="89"/>
      <c r="P2133" s="90"/>
      <c r="Q2133" s="89"/>
      <c r="R2133" s="87"/>
    </row>
    <row r="2134" spans="15:18">
      <c r="O2134" s="89"/>
      <c r="P2134" s="90"/>
      <c r="Q2134" s="89"/>
      <c r="R2134" s="87"/>
    </row>
    <row r="2135" spans="15:18">
      <c r="O2135" s="89"/>
      <c r="P2135" s="90"/>
      <c r="Q2135" s="89"/>
      <c r="R2135" s="87"/>
    </row>
    <row r="2136" spans="15:18">
      <c r="O2136" s="89"/>
      <c r="P2136" s="90"/>
      <c r="Q2136" s="89"/>
      <c r="R2136" s="87"/>
    </row>
    <row r="2137" spans="15:18">
      <c r="O2137" s="89"/>
      <c r="P2137" s="90"/>
      <c r="Q2137" s="89"/>
      <c r="R2137" s="87"/>
    </row>
    <row r="2138" spans="15:18">
      <c r="O2138" s="89"/>
      <c r="P2138" s="90"/>
      <c r="Q2138" s="89"/>
      <c r="R2138" s="87"/>
    </row>
    <row r="2139" spans="15:18">
      <c r="O2139" s="89"/>
      <c r="P2139" s="90"/>
      <c r="Q2139" s="89"/>
      <c r="R2139" s="87"/>
    </row>
    <row r="2140" spans="15:18">
      <c r="O2140" s="89"/>
      <c r="P2140" s="90"/>
      <c r="Q2140" s="89"/>
      <c r="R2140" s="87"/>
    </row>
    <row r="2141" spans="15:18">
      <c r="O2141" s="89"/>
      <c r="P2141" s="90"/>
      <c r="Q2141" s="89"/>
      <c r="R2141" s="87"/>
    </row>
    <row r="2142" spans="15:18">
      <c r="O2142" s="89"/>
      <c r="P2142" s="90"/>
      <c r="Q2142" s="89"/>
      <c r="R2142" s="87"/>
    </row>
    <row r="2143" spans="15:18">
      <c r="O2143" s="89"/>
      <c r="P2143" s="90"/>
      <c r="Q2143" s="89"/>
      <c r="R2143" s="87"/>
    </row>
    <row r="2144" spans="15:18">
      <c r="O2144" s="89"/>
      <c r="P2144" s="90"/>
      <c r="Q2144" s="89"/>
      <c r="R2144" s="87"/>
    </row>
    <row r="2145" spans="15:18">
      <c r="O2145" s="89"/>
      <c r="P2145" s="90"/>
      <c r="Q2145" s="89"/>
      <c r="R2145" s="87"/>
    </row>
    <row r="2146" spans="15:18">
      <c r="O2146" s="89"/>
      <c r="P2146" s="90"/>
      <c r="Q2146" s="89"/>
      <c r="R2146" s="87"/>
    </row>
    <row r="2147" spans="15:18">
      <c r="O2147" s="89"/>
      <c r="P2147" s="90"/>
      <c r="Q2147" s="89"/>
      <c r="R2147" s="87"/>
    </row>
    <row r="2148" spans="15:18">
      <c r="O2148" s="89"/>
      <c r="P2148" s="90"/>
      <c r="Q2148" s="89"/>
      <c r="R2148" s="87"/>
    </row>
    <row r="2149" spans="15:18">
      <c r="O2149" s="89"/>
      <c r="P2149" s="90"/>
      <c r="Q2149" s="89"/>
      <c r="R2149" s="87"/>
    </row>
    <row r="2150" spans="15:18">
      <c r="O2150" s="89"/>
      <c r="P2150" s="90"/>
      <c r="Q2150" s="89"/>
      <c r="R2150" s="87"/>
    </row>
    <row r="2151" spans="15:18">
      <c r="O2151" s="89"/>
      <c r="P2151" s="90"/>
      <c r="Q2151" s="89"/>
      <c r="R2151" s="87"/>
    </row>
    <row r="2152" spans="15:18">
      <c r="O2152" s="89"/>
      <c r="P2152" s="90"/>
      <c r="Q2152" s="89"/>
      <c r="R2152" s="87"/>
    </row>
    <row r="2153" spans="15:18">
      <c r="O2153" s="89"/>
      <c r="P2153" s="90"/>
      <c r="Q2153" s="89"/>
      <c r="R2153" s="87"/>
    </row>
    <row r="2154" spans="15:18">
      <c r="O2154" s="89"/>
      <c r="P2154" s="90"/>
      <c r="Q2154" s="89"/>
      <c r="R2154" s="87"/>
    </row>
    <row r="2155" spans="15:18">
      <c r="O2155" s="89"/>
      <c r="P2155" s="90"/>
      <c r="Q2155" s="89"/>
      <c r="R2155" s="87"/>
    </row>
    <row r="2156" spans="15:18">
      <c r="O2156" s="89"/>
      <c r="P2156" s="90"/>
      <c r="Q2156" s="89"/>
      <c r="R2156" s="87"/>
    </row>
    <row r="2157" spans="15:18">
      <c r="O2157" s="89"/>
      <c r="P2157" s="90"/>
      <c r="Q2157" s="89"/>
      <c r="R2157" s="87"/>
    </row>
    <row r="2158" spans="15:18">
      <c r="O2158" s="89"/>
      <c r="P2158" s="90"/>
      <c r="Q2158" s="89"/>
      <c r="R2158" s="87"/>
    </row>
    <row r="2159" spans="15:18">
      <c r="O2159" s="89"/>
      <c r="P2159" s="90"/>
      <c r="Q2159" s="89"/>
      <c r="R2159" s="87"/>
    </row>
    <row r="2160" spans="15:18">
      <c r="O2160" s="89"/>
      <c r="P2160" s="90"/>
      <c r="Q2160" s="89"/>
      <c r="R2160" s="87"/>
    </row>
    <row r="2161" spans="15:18">
      <c r="O2161" s="89"/>
      <c r="P2161" s="90"/>
      <c r="Q2161" s="89"/>
      <c r="R2161" s="87"/>
    </row>
    <row r="2162" spans="15:18">
      <c r="O2162" s="89"/>
      <c r="P2162" s="90"/>
      <c r="Q2162" s="89"/>
      <c r="R2162" s="87"/>
    </row>
    <row r="2163" spans="15:18">
      <c r="O2163" s="89"/>
      <c r="P2163" s="90"/>
      <c r="Q2163" s="89"/>
      <c r="R2163" s="87"/>
    </row>
    <row r="2164" spans="15:18">
      <c r="O2164" s="89"/>
      <c r="P2164" s="90"/>
      <c r="Q2164" s="89"/>
      <c r="R2164" s="87"/>
    </row>
    <row r="2165" spans="15:18">
      <c r="O2165" s="89"/>
      <c r="P2165" s="90"/>
      <c r="Q2165" s="89"/>
      <c r="R2165" s="87"/>
    </row>
    <row r="2166" spans="15:18">
      <c r="O2166" s="89"/>
      <c r="P2166" s="90"/>
      <c r="Q2166" s="89"/>
      <c r="R2166" s="87"/>
    </row>
    <row r="2167" spans="15:18">
      <c r="O2167" s="89"/>
      <c r="P2167" s="90"/>
      <c r="Q2167" s="89"/>
      <c r="R2167" s="87"/>
    </row>
    <row r="2168" spans="15:18">
      <c r="O2168" s="89"/>
      <c r="P2168" s="90"/>
      <c r="Q2168" s="89"/>
      <c r="R2168" s="87"/>
    </row>
    <row r="2169" spans="15:18">
      <c r="O2169" s="89"/>
      <c r="P2169" s="90"/>
      <c r="Q2169" s="89"/>
      <c r="R2169" s="87"/>
    </row>
    <row r="2170" spans="15:18">
      <c r="O2170" s="89"/>
      <c r="P2170" s="90"/>
      <c r="Q2170" s="89"/>
      <c r="R2170" s="87"/>
    </row>
    <row r="2171" spans="15:18">
      <c r="O2171" s="89"/>
      <c r="P2171" s="90"/>
      <c r="Q2171" s="89"/>
      <c r="R2171" s="87"/>
    </row>
    <row r="2172" spans="15:18">
      <c r="O2172" s="89"/>
      <c r="P2172" s="90"/>
      <c r="Q2172" s="89"/>
      <c r="R2172" s="87"/>
    </row>
    <row r="2173" spans="15:18">
      <c r="O2173" s="89"/>
      <c r="P2173" s="90"/>
      <c r="Q2173" s="89"/>
      <c r="R2173" s="87"/>
    </row>
    <row r="2174" spans="15:18">
      <c r="O2174" s="89"/>
      <c r="P2174" s="90"/>
      <c r="Q2174" s="89"/>
      <c r="R2174" s="87"/>
    </row>
    <row r="2175" spans="15:18">
      <c r="O2175" s="89"/>
      <c r="P2175" s="90"/>
      <c r="Q2175" s="89"/>
      <c r="R2175" s="87"/>
    </row>
    <row r="2176" spans="15:18">
      <c r="O2176" s="89"/>
      <c r="P2176" s="90"/>
      <c r="Q2176" s="89"/>
      <c r="R2176" s="87"/>
    </row>
    <row r="2177" spans="15:18">
      <c r="O2177" s="89"/>
      <c r="P2177" s="90"/>
      <c r="Q2177" s="89"/>
      <c r="R2177" s="87"/>
    </row>
    <row r="2178" spans="15:18">
      <c r="O2178" s="89"/>
      <c r="P2178" s="90"/>
      <c r="Q2178" s="89"/>
      <c r="R2178" s="87"/>
    </row>
    <row r="2179" spans="15:18">
      <c r="O2179" s="89"/>
      <c r="P2179" s="90"/>
      <c r="Q2179" s="89"/>
      <c r="R2179" s="87"/>
    </row>
    <row r="2180" spans="15:18">
      <c r="O2180" s="89"/>
      <c r="P2180" s="90"/>
      <c r="Q2180" s="89"/>
      <c r="R2180" s="87"/>
    </row>
    <row r="2181" spans="15:18">
      <c r="O2181" s="89"/>
      <c r="P2181" s="90"/>
      <c r="Q2181" s="89"/>
      <c r="R2181" s="87"/>
    </row>
    <row r="2182" spans="15:18">
      <c r="O2182" s="89"/>
      <c r="P2182" s="90"/>
      <c r="Q2182" s="89"/>
      <c r="R2182" s="87"/>
    </row>
    <row r="2183" spans="15:18">
      <c r="O2183" s="89"/>
      <c r="P2183" s="90"/>
      <c r="Q2183" s="89"/>
      <c r="R2183" s="87"/>
    </row>
    <row r="2184" spans="15:18">
      <c r="O2184" s="89"/>
      <c r="P2184" s="90"/>
      <c r="Q2184" s="89"/>
      <c r="R2184" s="87"/>
    </row>
    <row r="2185" spans="15:18">
      <c r="O2185" s="89"/>
      <c r="P2185" s="90"/>
      <c r="Q2185" s="89"/>
      <c r="R2185" s="87"/>
    </row>
    <row r="2186" spans="15:18">
      <c r="O2186" s="89"/>
      <c r="P2186" s="90"/>
      <c r="Q2186" s="89"/>
      <c r="R2186" s="87"/>
    </row>
    <row r="2187" spans="15:18">
      <c r="O2187" s="89"/>
      <c r="P2187" s="90"/>
      <c r="Q2187" s="89"/>
      <c r="R2187" s="87"/>
    </row>
    <row r="2188" spans="15:18">
      <c r="O2188" s="89"/>
      <c r="P2188" s="90"/>
      <c r="Q2188" s="89"/>
      <c r="R2188" s="87"/>
    </row>
    <row r="2189" spans="15:18">
      <c r="O2189" s="89"/>
      <c r="P2189" s="90"/>
      <c r="Q2189" s="89"/>
      <c r="R2189" s="87"/>
    </row>
    <row r="2190" spans="15:18">
      <c r="O2190" s="89"/>
      <c r="P2190" s="90"/>
      <c r="Q2190" s="89"/>
      <c r="R2190" s="87"/>
    </row>
    <row r="2191" spans="15:18">
      <c r="O2191" s="89"/>
      <c r="P2191" s="90"/>
      <c r="Q2191" s="89"/>
      <c r="R2191" s="87"/>
    </row>
    <row r="2192" spans="15:18">
      <c r="O2192" s="89"/>
      <c r="P2192" s="90"/>
      <c r="Q2192" s="89"/>
      <c r="R2192" s="87"/>
    </row>
    <row r="2193" spans="15:18">
      <c r="O2193" s="89"/>
      <c r="P2193" s="90"/>
      <c r="Q2193" s="89"/>
      <c r="R2193" s="87"/>
    </row>
    <row r="2194" spans="15:18">
      <c r="O2194" s="89"/>
      <c r="P2194" s="90"/>
      <c r="Q2194" s="89"/>
      <c r="R2194" s="87"/>
    </row>
    <row r="2195" spans="15:18">
      <c r="O2195" s="89"/>
      <c r="P2195" s="90"/>
      <c r="Q2195" s="89"/>
      <c r="R2195" s="87"/>
    </row>
    <row r="2196" spans="15:18">
      <c r="O2196" s="89"/>
      <c r="P2196" s="90"/>
      <c r="Q2196" s="89"/>
      <c r="R2196" s="87"/>
    </row>
    <row r="2197" spans="15:18">
      <c r="O2197" s="89"/>
      <c r="P2197" s="90"/>
      <c r="Q2197" s="89"/>
      <c r="R2197" s="87"/>
    </row>
    <row r="2198" spans="15:18">
      <c r="O2198" s="89"/>
      <c r="P2198" s="90"/>
      <c r="Q2198" s="89"/>
      <c r="R2198" s="87"/>
    </row>
    <row r="2199" spans="15:18">
      <c r="O2199" s="89"/>
      <c r="P2199" s="90"/>
      <c r="Q2199" s="89"/>
      <c r="R2199" s="87"/>
    </row>
    <row r="2200" spans="15:18">
      <c r="O2200" s="89"/>
      <c r="P2200" s="90"/>
      <c r="Q2200" s="89"/>
      <c r="R2200" s="87"/>
    </row>
    <row r="2201" spans="15:18">
      <c r="O2201" s="89"/>
      <c r="P2201" s="90"/>
      <c r="Q2201" s="89"/>
      <c r="R2201" s="87"/>
    </row>
    <row r="2202" spans="15:18">
      <c r="O2202" s="89"/>
      <c r="P2202" s="90"/>
      <c r="Q2202" s="89"/>
      <c r="R2202" s="87"/>
    </row>
    <row r="2203" spans="15:18">
      <c r="O2203" s="89"/>
      <c r="P2203" s="90"/>
      <c r="Q2203" s="89"/>
      <c r="R2203" s="87"/>
    </row>
    <row r="2204" spans="15:18">
      <c r="O2204" s="89"/>
      <c r="P2204" s="90"/>
      <c r="Q2204" s="89"/>
      <c r="R2204" s="87"/>
    </row>
    <row r="2205" spans="15:18">
      <c r="O2205" s="89"/>
      <c r="P2205" s="90"/>
      <c r="Q2205" s="89"/>
      <c r="R2205" s="87"/>
    </row>
    <row r="2206" spans="15:18">
      <c r="O2206" s="89"/>
      <c r="P2206" s="90"/>
      <c r="Q2206" s="89"/>
      <c r="R2206" s="87"/>
    </row>
    <row r="2207" spans="15:18">
      <c r="O2207" s="89"/>
      <c r="P2207" s="90"/>
      <c r="Q2207" s="89"/>
      <c r="R2207" s="87"/>
    </row>
    <row r="2208" spans="15:18">
      <c r="O2208" s="89"/>
      <c r="P2208" s="90"/>
      <c r="Q2208" s="89"/>
      <c r="R2208" s="87"/>
    </row>
    <row r="2209" spans="15:18">
      <c r="O2209" s="89"/>
      <c r="P2209" s="90"/>
      <c r="Q2209" s="89"/>
      <c r="R2209" s="87"/>
    </row>
    <row r="2210" spans="15:18">
      <c r="O2210" s="89"/>
      <c r="P2210" s="90"/>
      <c r="Q2210" s="89"/>
      <c r="R2210" s="87"/>
    </row>
    <row r="2211" spans="15:18">
      <c r="O2211" s="89"/>
      <c r="P2211" s="90"/>
      <c r="Q2211" s="89"/>
      <c r="R2211" s="87"/>
    </row>
    <row r="2212" spans="15:18">
      <c r="O2212" s="89"/>
      <c r="P2212" s="90"/>
      <c r="Q2212" s="89"/>
      <c r="R2212" s="87"/>
    </row>
    <row r="2213" spans="15:18">
      <c r="O2213" s="89"/>
      <c r="P2213" s="90"/>
      <c r="Q2213" s="89"/>
      <c r="R2213" s="87"/>
    </row>
    <row r="2214" spans="15:18">
      <c r="O2214" s="89"/>
      <c r="P2214" s="90"/>
      <c r="Q2214" s="89"/>
      <c r="R2214" s="87"/>
    </row>
    <row r="2215" spans="15:18">
      <c r="O2215" s="89"/>
      <c r="P2215" s="90"/>
      <c r="Q2215" s="89"/>
      <c r="R2215" s="87"/>
    </row>
    <row r="2216" spans="15:18">
      <c r="O2216" s="89"/>
      <c r="P2216" s="90"/>
      <c r="Q2216" s="89"/>
      <c r="R2216" s="87"/>
    </row>
    <row r="2217" spans="15:18">
      <c r="O2217" s="89"/>
      <c r="P2217" s="90"/>
      <c r="Q2217" s="89"/>
      <c r="R2217" s="87"/>
    </row>
    <row r="2218" spans="15:18">
      <c r="O2218" s="89"/>
      <c r="P2218" s="90"/>
      <c r="Q2218" s="89"/>
      <c r="R2218" s="87"/>
    </row>
    <row r="2219" spans="15:18">
      <c r="O2219" s="89"/>
      <c r="P2219" s="90"/>
      <c r="Q2219" s="89"/>
      <c r="R2219" s="87"/>
    </row>
    <row r="2220" spans="15:18">
      <c r="O2220" s="89"/>
      <c r="P2220" s="90"/>
      <c r="Q2220" s="89"/>
      <c r="R2220" s="87"/>
    </row>
    <row r="2221" spans="15:18">
      <c r="O2221" s="89"/>
      <c r="P2221" s="90"/>
      <c r="Q2221" s="89"/>
      <c r="R2221" s="87"/>
    </row>
    <row r="2222" spans="15:18">
      <c r="O2222" s="89"/>
      <c r="P2222" s="90"/>
      <c r="Q2222" s="89"/>
      <c r="R2222" s="87"/>
    </row>
    <row r="2223" spans="15:18">
      <c r="O2223" s="89"/>
      <c r="P2223" s="90"/>
      <c r="Q2223" s="89"/>
      <c r="R2223" s="87"/>
    </row>
    <row r="2224" spans="15:18">
      <c r="O2224" s="89"/>
      <c r="P2224" s="90"/>
      <c r="Q2224" s="89"/>
      <c r="R2224" s="87"/>
    </row>
    <row r="2225" spans="15:18">
      <c r="O2225" s="89"/>
      <c r="P2225" s="90"/>
      <c r="Q2225" s="89"/>
      <c r="R2225" s="87"/>
    </row>
    <row r="2226" spans="15:18">
      <c r="O2226" s="89"/>
      <c r="P2226" s="90"/>
      <c r="Q2226" s="89"/>
      <c r="R2226" s="87"/>
    </row>
    <row r="2227" spans="15:18">
      <c r="O2227" s="89"/>
      <c r="P2227" s="90"/>
      <c r="Q2227" s="89"/>
      <c r="R2227" s="87"/>
    </row>
    <row r="2228" spans="15:18">
      <c r="O2228" s="89"/>
      <c r="P2228" s="90"/>
      <c r="Q2228" s="89"/>
      <c r="R2228" s="87"/>
    </row>
    <row r="2229" spans="15:18">
      <c r="O2229" s="89"/>
      <c r="P2229" s="90"/>
      <c r="Q2229" s="89"/>
      <c r="R2229" s="87"/>
    </row>
    <row r="2230" spans="15:18">
      <c r="O2230" s="89"/>
      <c r="P2230" s="90"/>
      <c r="Q2230" s="89"/>
      <c r="R2230" s="87"/>
    </row>
    <row r="2231" spans="15:18">
      <c r="O2231" s="89"/>
      <c r="P2231" s="90"/>
      <c r="Q2231" s="89"/>
      <c r="R2231" s="87"/>
    </row>
    <row r="2232" spans="15:18">
      <c r="O2232" s="89"/>
      <c r="P2232" s="90"/>
      <c r="Q2232" s="89"/>
      <c r="R2232" s="87"/>
    </row>
    <row r="2233" spans="15:18">
      <c r="O2233" s="89"/>
      <c r="P2233" s="90"/>
      <c r="Q2233" s="89"/>
      <c r="R2233" s="87"/>
    </row>
    <row r="2234" spans="15:18">
      <c r="O2234" s="89"/>
      <c r="P2234" s="90"/>
      <c r="Q2234" s="89"/>
      <c r="R2234" s="87"/>
    </row>
    <row r="2235" spans="15:18">
      <c r="O2235" s="89"/>
      <c r="P2235" s="90"/>
      <c r="Q2235" s="89"/>
      <c r="R2235" s="87"/>
    </row>
    <row r="2236" spans="15:18">
      <c r="O2236" s="89"/>
      <c r="P2236" s="90"/>
      <c r="Q2236" s="89"/>
      <c r="R2236" s="87"/>
    </row>
    <row r="2237" spans="15:18">
      <c r="O2237" s="89"/>
      <c r="P2237" s="90"/>
      <c r="Q2237" s="89"/>
      <c r="R2237" s="87"/>
    </row>
    <row r="2238" spans="15:18">
      <c r="O2238" s="89"/>
      <c r="P2238" s="90"/>
      <c r="Q2238" s="89"/>
      <c r="R2238" s="87"/>
    </row>
    <row r="2239" spans="15:18">
      <c r="O2239" s="89"/>
      <c r="P2239" s="90"/>
      <c r="Q2239" s="89"/>
      <c r="R2239" s="87"/>
    </row>
    <row r="2240" spans="15:18">
      <c r="O2240" s="89"/>
      <c r="P2240" s="90"/>
      <c r="Q2240" s="89"/>
      <c r="R2240" s="87"/>
    </row>
    <row r="2241" spans="15:18">
      <c r="O2241" s="89"/>
      <c r="P2241" s="90"/>
      <c r="Q2241" s="89"/>
      <c r="R2241" s="87"/>
    </row>
    <row r="2242" spans="15:18">
      <c r="O2242" s="89"/>
      <c r="P2242" s="90"/>
      <c r="Q2242" s="89"/>
      <c r="R2242" s="87"/>
    </row>
    <row r="2243" spans="15:18">
      <c r="O2243" s="89"/>
      <c r="P2243" s="90"/>
      <c r="Q2243" s="89"/>
      <c r="R2243" s="87"/>
    </row>
    <row r="2244" spans="15:18">
      <c r="O2244" s="89"/>
      <c r="P2244" s="90"/>
      <c r="Q2244" s="89"/>
      <c r="R2244" s="87"/>
    </row>
    <row r="2245" spans="15:18">
      <c r="O2245" s="89"/>
      <c r="P2245" s="90"/>
      <c r="Q2245" s="89"/>
      <c r="R2245" s="87"/>
    </row>
    <row r="2246" spans="15:18">
      <c r="O2246" s="89"/>
      <c r="P2246" s="90"/>
      <c r="Q2246" s="89"/>
      <c r="R2246" s="87"/>
    </row>
    <row r="2247" spans="15:18">
      <c r="O2247" s="89"/>
      <c r="P2247" s="90"/>
      <c r="Q2247" s="89"/>
      <c r="R2247" s="87"/>
    </row>
    <row r="2248" spans="15:18">
      <c r="O2248" s="89"/>
      <c r="P2248" s="90"/>
      <c r="Q2248" s="89"/>
      <c r="R2248" s="87"/>
    </row>
    <row r="2249" spans="15:18">
      <c r="O2249" s="89"/>
      <c r="P2249" s="90"/>
      <c r="Q2249" s="89"/>
      <c r="R2249" s="87"/>
    </row>
    <row r="2250" spans="15:18">
      <c r="O2250" s="89"/>
      <c r="P2250" s="90"/>
      <c r="Q2250" s="89"/>
      <c r="R2250" s="87"/>
    </row>
    <row r="2251" spans="15:18">
      <c r="O2251" s="89"/>
      <c r="P2251" s="90"/>
      <c r="Q2251" s="89"/>
      <c r="R2251" s="87"/>
    </row>
    <row r="2252" spans="15:18">
      <c r="O2252" s="89"/>
      <c r="P2252" s="90"/>
      <c r="Q2252" s="89"/>
      <c r="R2252" s="87"/>
    </row>
    <row r="2253" spans="15:18">
      <c r="O2253" s="89"/>
      <c r="P2253" s="90"/>
      <c r="Q2253" s="89"/>
      <c r="R2253" s="87"/>
    </row>
    <row r="2254" spans="15:18">
      <c r="O2254" s="89"/>
      <c r="P2254" s="90"/>
      <c r="Q2254" s="89"/>
      <c r="R2254" s="87"/>
    </row>
    <row r="2255" spans="15:18">
      <c r="O2255" s="89"/>
      <c r="P2255" s="90"/>
      <c r="Q2255" s="89"/>
      <c r="R2255" s="87"/>
    </row>
    <row r="2256" spans="15:18">
      <c r="O2256" s="89"/>
      <c r="P2256" s="90"/>
      <c r="Q2256" s="89"/>
      <c r="R2256" s="87"/>
    </row>
    <row r="2257" spans="15:18">
      <c r="O2257" s="89"/>
      <c r="P2257" s="90"/>
      <c r="Q2257" s="89"/>
      <c r="R2257" s="87"/>
    </row>
    <row r="2258" spans="15:18">
      <c r="O2258" s="89"/>
      <c r="P2258" s="90"/>
      <c r="Q2258" s="89"/>
      <c r="R2258" s="87"/>
    </row>
    <row r="2259" spans="15:18">
      <c r="O2259" s="89"/>
      <c r="P2259" s="90"/>
      <c r="Q2259" s="89"/>
      <c r="R2259" s="87"/>
    </row>
    <row r="2260" spans="15:18">
      <c r="O2260" s="89"/>
      <c r="P2260" s="90"/>
      <c r="Q2260" s="89"/>
      <c r="R2260" s="87"/>
    </row>
    <row r="2261" spans="15:18">
      <c r="O2261" s="89"/>
      <c r="P2261" s="90"/>
      <c r="Q2261" s="89"/>
      <c r="R2261" s="87"/>
    </row>
    <row r="2262" spans="15:18">
      <c r="O2262" s="89"/>
      <c r="P2262" s="90"/>
      <c r="Q2262" s="89"/>
      <c r="R2262" s="87"/>
    </row>
    <row r="2263" spans="15:18">
      <c r="O2263" s="89"/>
      <c r="P2263" s="90"/>
      <c r="Q2263" s="89"/>
      <c r="R2263" s="87"/>
    </row>
    <row r="2264" spans="15:18">
      <c r="O2264" s="89"/>
      <c r="P2264" s="90"/>
      <c r="Q2264" s="89"/>
      <c r="R2264" s="87"/>
    </row>
    <row r="2265" spans="15:18">
      <c r="O2265" s="89"/>
      <c r="P2265" s="90"/>
      <c r="Q2265" s="89"/>
      <c r="R2265" s="87"/>
    </row>
    <row r="2266" spans="15:18">
      <c r="O2266" s="89"/>
      <c r="P2266" s="90"/>
      <c r="Q2266" s="89"/>
      <c r="R2266" s="87"/>
    </row>
    <row r="2267" spans="15:18">
      <c r="O2267" s="89"/>
      <c r="P2267" s="90"/>
      <c r="Q2267" s="89"/>
      <c r="R2267" s="87"/>
    </row>
    <row r="2268" spans="15:18">
      <c r="O2268" s="89"/>
      <c r="P2268" s="90"/>
      <c r="Q2268" s="89"/>
      <c r="R2268" s="87"/>
    </row>
    <row r="2269" spans="15:18">
      <c r="O2269" s="89"/>
      <c r="P2269" s="90"/>
      <c r="Q2269" s="89"/>
      <c r="R2269" s="87"/>
    </row>
    <row r="2270" spans="15:18">
      <c r="O2270" s="89"/>
      <c r="P2270" s="90"/>
      <c r="Q2270" s="89"/>
      <c r="R2270" s="87"/>
    </row>
    <row r="2271" spans="15:18">
      <c r="O2271" s="89"/>
      <c r="P2271" s="90"/>
      <c r="Q2271" s="89"/>
      <c r="R2271" s="87"/>
    </row>
    <row r="2272" spans="15:18">
      <c r="O2272" s="89"/>
      <c r="P2272" s="90"/>
      <c r="Q2272" s="89"/>
      <c r="R2272" s="87"/>
    </row>
    <row r="2273" spans="15:18">
      <c r="O2273" s="89"/>
      <c r="P2273" s="90"/>
      <c r="Q2273" s="89"/>
      <c r="R2273" s="87"/>
    </row>
    <row r="2274" spans="15:18">
      <c r="O2274" s="89"/>
      <c r="P2274" s="90"/>
      <c r="Q2274" s="89"/>
      <c r="R2274" s="87"/>
    </row>
    <row r="2275" spans="15:18">
      <c r="O2275" s="89"/>
      <c r="P2275" s="90"/>
      <c r="Q2275" s="89"/>
      <c r="R2275" s="87"/>
    </row>
    <row r="2276" spans="15:18">
      <c r="O2276" s="89"/>
      <c r="P2276" s="90"/>
      <c r="Q2276" s="89"/>
      <c r="R2276" s="87"/>
    </row>
    <row r="2277" spans="15:18">
      <c r="O2277" s="89"/>
      <c r="P2277" s="90"/>
      <c r="Q2277" s="89"/>
      <c r="R2277" s="87"/>
    </row>
    <row r="2278" spans="15:18">
      <c r="O2278" s="89"/>
      <c r="P2278" s="90"/>
      <c r="Q2278" s="89"/>
      <c r="R2278" s="87"/>
    </row>
    <row r="2279" spans="15:18">
      <c r="O2279" s="89"/>
      <c r="P2279" s="90"/>
      <c r="Q2279" s="89"/>
      <c r="R2279" s="87"/>
    </row>
    <row r="2280" spans="15:18">
      <c r="O2280" s="89"/>
      <c r="P2280" s="90"/>
      <c r="Q2280" s="89"/>
      <c r="R2280" s="87"/>
    </row>
    <row r="2281" spans="15:18">
      <c r="O2281" s="89"/>
      <c r="P2281" s="90"/>
      <c r="Q2281" s="89"/>
      <c r="R2281" s="87"/>
    </row>
    <row r="2282" spans="15:18">
      <c r="O2282" s="89"/>
      <c r="P2282" s="90"/>
      <c r="Q2282" s="89"/>
      <c r="R2282" s="87"/>
    </row>
    <row r="2283" spans="15:18">
      <c r="O2283" s="89"/>
      <c r="P2283" s="90"/>
      <c r="Q2283" s="89"/>
      <c r="R2283" s="87"/>
    </row>
    <row r="2284" spans="15:18">
      <c r="O2284" s="89"/>
      <c r="P2284" s="90"/>
      <c r="Q2284" s="89"/>
      <c r="R2284" s="87"/>
    </row>
    <row r="2285" spans="15:18">
      <c r="O2285" s="89"/>
      <c r="P2285" s="90"/>
      <c r="Q2285" s="89"/>
      <c r="R2285" s="87"/>
    </row>
    <row r="2286" spans="15:18">
      <c r="O2286" s="89"/>
      <c r="P2286" s="90"/>
      <c r="Q2286" s="89"/>
      <c r="R2286" s="87"/>
    </row>
    <row r="2287" spans="15:18">
      <c r="O2287" s="89"/>
      <c r="P2287" s="90"/>
      <c r="Q2287" s="89"/>
      <c r="R2287" s="87"/>
    </row>
    <row r="2288" spans="15:18">
      <c r="O2288" s="89"/>
      <c r="P2288" s="90"/>
      <c r="Q2288" s="89"/>
      <c r="R2288" s="87"/>
    </row>
    <row r="2289" spans="15:18">
      <c r="O2289" s="89"/>
      <c r="P2289" s="90"/>
      <c r="Q2289" s="89"/>
      <c r="R2289" s="87"/>
    </row>
    <row r="2290" spans="15:18">
      <c r="O2290" s="89"/>
      <c r="P2290" s="90"/>
      <c r="Q2290" s="89"/>
      <c r="R2290" s="87"/>
    </row>
    <row r="2291" spans="15:18">
      <c r="O2291" s="89"/>
      <c r="P2291" s="90"/>
      <c r="Q2291" s="89"/>
      <c r="R2291" s="87"/>
    </row>
    <row r="2292" spans="15:18">
      <c r="O2292" s="89"/>
      <c r="P2292" s="90"/>
      <c r="Q2292" s="89"/>
      <c r="R2292" s="87"/>
    </row>
    <row r="2293" spans="15:18">
      <c r="O2293" s="89"/>
      <c r="P2293" s="90"/>
      <c r="Q2293" s="89"/>
      <c r="R2293" s="87"/>
    </row>
    <row r="2294" spans="15:18">
      <c r="O2294" s="89"/>
      <c r="P2294" s="90"/>
      <c r="Q2294" s="89"/>
      <c r="R2294" s="87"/>
    </row>
    <row r="2295" spans="15:18">
      <c r="O2295" s="89"/>
      <c r="P2295" s="90"/>
      <c r="Q2295" s="89"/>
      <c r="R2295" s="87"/>
    </row>
    <row r="2296" spans="15:18">
      <c r="O2296" s="89"/>
      <c r="P2296" s="90"/>
      <c r="Q2296" s="89"/>
      <c r="R2296" s="87"/>
    </row>
    <row r="2297" spans="15:18">
      <c r="O2297" s="89"/>
      <c r="P2297" s="90"/>
      <c r="Q2297" s="89"/>
      <c r="R2297" s="87"/>
    </row>
    <row r="2298" spans="15:18">
      <c r="O2298" s="89"/>
      <c r="P2298" s="90"/>
      <c r="Q2298" s="89"/>
      <c r="R2298" s="87"/>
    </row>
    <row r="2299" spans="15:18">
      <c r="O2299" s="89"/>
      <c r="P2299" s="90"/>
      <c r="Q2299" s="89"/>
      <c r="R2299" s="87"/>
    </row>
    <row r="2300" spans="15:18">
      <c r="O2300" s="89"/>
      <c r="P2300" s="90"/>
      <c r="Q2300" s="89"/>
      <c r="R2300" s="87"/>
    </row>
    <row r="2301" spans="15:18">
      <c r="O2301" s="89"/>
      <c r="P2301" s="90"/>
      <c r="Q2301" s="89"/>
      <c r="R2301" s="87"/>
    </row>
    <row r="2302" spans="15:18">
      <c r="O2302" s="89"/>
      <c r="P2302" s="90"/>
      <c r="Q2302" s="89"/>
      <c r="R2302" s="87"/>
    </row>
    <row r="2303" spans="15:18">
      <c r="O2303" s="89"/>
      <c r="P2303" s="90"/>
      <c r="Q2303" s="89"/>
      <c r="R2303" s="87"/>
    </row>
    <row r="2304" spans="15:18">
      <c r="O2304" s="89"/>
      <c r="P2304" s="90"/>
      <c r="Q2304" s="89"/>
      <c r="R2304" s="87"/>
    </row>
    <row r="2305" spans="15:18">
      <c r="O2305" s="89"/>
      <c r="P2305" s="90"/>
      <c r="Q2305" s="89"/>
      <c r="R2305" s="87"/>
    </row>
    <row r="2306" spans="15:18">
      <c r="O2306" s="89"/>
      <c r="P2306" s="90"/>
      <c r="Q2306" s="89"/>
      <c r="R2306" s="87"/>
    </row>
    <row r="2307" spans="15:18">
      <c r="O2307" s="89"/>
      <c r="P2307" s="90"/>
      <c r="Q2307" s="89"/>
      <c r="R2307" s="87"/>
    </row>
    <row r="2308" spans="15:18">
      <c r="O2308" s="89"/>
      <c r="P2308" s="90"/>
      <c r="Q2308" s="89"/>
      <c r="R2308" s="87"/>
    </row>
    <row r="2309" spans="15:18">
      <c r="O2309" s="89"/>
      <c r="P2309" s="90"/>
      <c r="Q2309" s="89"/>
      <c r="R2309" s="87"/>
    </row>
    <row r="2310" spans="15:18">
      <c r="O2310" s="89"/>
      <c r="P2310" s="90"/>
      <c r="Q2310" s="89"/>
      <c r="R2310" s="87"/>
    </row>
    <row r="2311" spans="15:18">
      <c r="O2311" s="89"/>
      <c r="P2311" s="90"/>
      <c r="Q2311" s="89"/>
      <c r="R2311" s="87"/>
    </row>
    <row r="2312" spans="15:18">
      <c r="O2312" s="89"/>
      <c r="P2312" s="90"/>
      <c r="Q2312" s="89"/>
      <c r="R2312" s="87"/>
    </row>
    <row r="2313" spans="15:18">
      <c r="O2313" s="89"/>
      <c r="P2313" s="90"/>
      <c r="Q2313" s="89"/>
      <c r="R2313" s="87"/>
    </row>
    <row r="2314" spans="15:18">
      <c r="O2314" s="89"/>
      <c r="P2314" s="90"/>
      <c r="Q2314" s="89"/>
      <c r="R2314" s="87"/>
    </row>
    <row r="2315" spans="15:18">
      <c r="O2315" s="89"/>
      <c r="P2315" s="90"/>
      <c r="Q2315" s="89"/>
      <c r="R2315" s="87"/>
    </row>
    <row r="2316" spans="15:18">
      <c r="O2316" s="89"/>
      <c r="P2316" s="90"/>
      <c r="Q2316" s="89"/>
      <c r="R2316" s="87"/>
    </row>
    <row r="2317" spans="15:18">
      <c r="O2317" s="89"/>
      <c r="P2317" s="90"/>
      <c r="Q2317" s="89"/>
      <c r="R2317" s="87"/>
    </row>
    <row r="2318" spans="15:18">
      <c r="O2318" s="89"/>
      <c r="P2318" s="90"/>
      <c r="Q2318" s="89"/>
      <c r="R2318" s="87"/>
    </row>
    <row r="2319" spans="15:18">
      <c r="O2319" s="89"/>
      <c r="P2319" s="90"/>
      <c r="Q2319" s="89"/>
      <c r="R2319" s="87"/>
    </row>
    <row r="2320" spans="15:18">
      <c r="O2320" s="89"/>
      <c r="P2320" s="90"/>
      <c r="Q2320" s="89"/>
      <c r="R2320" s="87"/>
    </row>
    <row r="2321" spans="15:18">
      <c r="O2321" s="89"/>
      <c r="P2321" s="90"/>
      <c r="Q2321" s="89"/>
      <c r="R2321" s="87"/>
    </row>
    <row r="2322" spans="15:18">
      <c r="O2322" s="89"/>
      <c r="P2322" s="90"/>
      <c r="Q2322" s="89"/>
      <c r="R2322" s="87"/>
    </row>
    <row r="2323" spans="15:18">
      <c r="O2323" s="89"/>
      <c r="P2323" s="90"/>
      <c r="Q2323" s="89"/>
      <c r="R2323" s="87"/>
    </row>
    <row r="2324" spans="15:18">
      <c r="O2324" s="89"/>
      <c r="P2324" s="90"/>
      <c r="Q2324" s="89"/>
      <c r="R2324" s="87"/>
    </row>
    <row r="2325" spans="15:18">
      <c r="O2325" s="89"/>
      <c r="P2325" s="90"/>
      <c r="Q2325" s="89"/>
      <c r="R2325" s="87"/>
    </row>
    <row r="2326" spans="15:18">
      <c r="O2326" s="89"/>
      <c r="P2326" s="90"/>
      <c r="Q2326" s="89"/>
      <c r="R2326" s="87"/>
    </row>
    <row r="2327" spans="15:18">
      <c r="O2327" s="89"/>
      <c r="P2327" s="90"/>
      <c r="Q2327" s="89"/>
      <c r="R2327" s="87"/>
    </row>
    <row r="2328" spans="15:18">
      <c r="O2328" s="89"/>
      <c r="P2328" s="90"/>
      <c r="Q2328" s="89"/>
      <c r="R2328" s="87"/>
    </row>
    <row r="2329" spans="15:18">
      <c r="O2329" s="89"/>
      <c r="P2329" s="90"/>
      <c r="Q2329" s="89"/>
      <c r="R2329" s="87"/>
    </row>
    <row r="2330" spans="15:18">
      <c r="O2330" s="89"/>
      <c r="P2330" s="90"/>
      <c r="Q2330" s="89"/>
      <c r="R2330" s="87"/>
    </row>
    <row r="2331" spans="15:18">
      <c r="O2331" s="89"/>
      <c r="P2331" s="90"/>
      <c r="Q2331" s="89"/>
      <c r="R2331" s="87"/>
    </row>
    <row r="2332" spans="15:18">
      <c r="O2332" s="89"/>
      <c r="P2332" s="90"/>
      <c r="Q2332" s="89"/>
      <c r="R2332" s="87"/>
    </row>
    <row r="2333" spans="15:18">
      <c r="O2333" s="89"/>
      <c r="P2333" s="90"/>
      <c r="Q2333" s="89"/>
      <c r="R2333" s="87"/>
    </row>
    <row r="2334" spans="15:18">
      <c r="O2334" s="89"/>
      <c r="P2334" s="90"/>
      <c r="Q2334" s="89"/>
      <c r="R2334" s="87"/>
    </row>
    <row r="2335" spans="15:18">
      <c r="O2335" s="89"/>
      <c r="P2335" s="90"/>
      <c r="Q2335" s="89"/>
      <c r="R2335" s="87"/>
    </row>
    <row r="2336" spans="15:18">
      <c r="O2336" s="89"/>
      <c r="P2336" s="90"/>
      <c r="Q2336" s="89"/>
      <c r="R2336" s="87"/>
    </row>
    <row r="2337" spans="15:18">
      <c r="O2337" s="89"/>
      <c r="P2337" s="90"/>
      <c r="Q2337" s="89"/>
      <c r="R2337" s="87"/>
    </row>
    <row r="2338" spans="15:18">
      <c r="O2338" s="89"/>
      <c r="P2338" s="90"/>
      <c r="Q2338" s="89"/>
      <c r="R2338" s="87"/>
    </row>
    <row r="2339" spans="15:18">
      <c r="O2339" s="89"/>
      <c r="P2339" s="90"/>
      <c r="Q2339" s="89"/>
      <c r="R2339" s="87"/>
    </row>
    <row r="2340" spans="15:18">
      <c r="O2340" s="89"/>
      <c r="P2340" s="90"/>
      <c r="Q2340" s="89"/>
      <c r="R2340" s="87"/>
    </row>
    <row r="2341" spans="15:18">
      <c r="O2341" s="89"/>
      <c r="P2341" s="90"/>
      <c r="Q2341" s="89"/>
      <c r="R2341" s="87"/>
    </row>
    <row r="2342" spans="15:18">
      <c r="O2342" s="89"/>
      <c r="P2342" s="90"/>
      <c r="Q2342" s="89"/>
      <c r="R2342" s="87"/>
    </row>
    <row r="2343" spans="15:18">
      <c r="O2343" s="89"/>
      <c r="P2343" s="90"/>
      <c r="Q2343" s="89"/>
      <c r="R2343" s="87"/>
    </row>
    <row r="2344" spans="15:18">
      <c r="O2344" s="89"/>
      <c r="P2344" s="90"/>
      <c r="Q2344" s="89"/>
      <c r="R2344" s="87"/>
    </row>
    <row r="2345" spans="15:18">
      <c r="O2345" s="89"/>
      <c r="P2345" s="90"/>
      <c r="Q2345" s="89"/>
      <c r="R2345" s="87"/>
    </row>
    <row r="2346" spans="15:18">
      <c r="O2346" s="89"/>
      <c r="P2346" s="90"/>
      <c r="Q2346" s="89"/>
      <c r="R2346" s="87"/>
    </row>
    <row r="2347" spans="15:18">
      <c r="O2347" s="89"/>
      <c r="P2347" s="90"/>
      <c r="Q2347" s="89"/>
      <c r="R2347" s="87"/>
    </row>
    <row r="2348" spans="15:18">
      <c r="O2348" s="89"/>
      <c r="P2348" s="90"/>
      <c r="Q2348" s="89"/>
      <c r="R2348" s="87"/>
    </row>
    <row r="2349" spans="15:18">
      <c r="O2349" s="89"/>
      <c r="P2349" s="90"/>
      <c r="Q2349" s="89"/>
      <c r="R2349" s="87"/>
    </row>
    <row r="2350" spans="15:18">
      <c r="O2350" s="89"/>
      <c r="P2350" s="90"/>
      <c r="Q2350" s="89"/>
      <c r="R2350" s="87"/>
    </row>
    <row r="2351" spans="15:18">
      <c r="O2351" s="89"/>
      <c r="P2351" s="90"/>
      <c r="Q2351" s="89"/>
      <c r="R2351" s="87"/>
    </row>
    <row r="2352" spans="15:18">
      <c r="O2352" s="89"/>
      <c r="P2352" s="90"/>
      <c r="Q2352" s="89"/>
      <c r="R2352" s="87"/>
    </row>
    <row r="2353" spans="15:18">
      <c r="O2353" s="89"/>
      <c r="P2353" s="90"/>
      <c r="Q2353" s="89"/>
      <c r="R2353" s="87"/>
    </row>
    <row r="2354" spans="15:18">
      <c r="O2354" s="89"/>
      <c r="P2354" s="90"/>
      <c r="Q2354" s="89"/>
      <c r="R2354" s="87"/>
    </row>
    <row r="2355" spans="15:18">
      <c r="O2355" s="89"/>
      <c r="P2355" s="90"/>
      <c r="Q2355" s="89"/>
      <c r="R2355" s="87"/>
    </row>
    <row r="2356" spans="15:18">
      <c r="O2356" s="89"/>
      <c r="P2356" s="90"/>
      <c r="Q2356" s="89"/>
      <c r="R2356" s="87"/>
    </row>
    <row r="2357" spans="15:18">
      <c r="O2357" s="89"/>
      <c r="P2357" s="90"/>
      <c r="Q2357" s="89"/>
      <c r="R2357" s="87"/>
    </row>
    <row r="2358" spans="15:18">
      <c r="O2358" s="89"/>
      <c r="P2358" s="90"/>
      <c r="Q2358" s="89"/>
      <c r="R2358" s="87"/>
    </row>
    <row r="2359" spans="15:18">
      <c r="O2359" s="89"/>
      <c r="P2359" s="90"/>
      <c r="Q2359" s="89"/>
      <c r="R2359" s="87"/>
    </row>
    <row r="2360" spans="15:18">
      <c r="O2360" s="89"/>
      <c r="P2360" s="90"/>
      <c r="Q2360" s="89"/>
      <c r="R2360" s="87"/>
    </row>
    <row r="2361" spans="15:18">
      <c r="O2361" s="89"/>
      <c r="P2361" s="90"/>
      <c r="Q2361" s="89"/>
      <c r="R2361" s="87"/>
    </row>
    <row r="2362" spans="15:18">
      <c r="O2362" s="89"/>
      <c r="P2362" s="90"/>
      <c r="Q2362" s="89"/>
      <c r="R2362" s="87"/>
    </row>
    <row r="2363" spans="15:18">
      <c r="O2363" s="89"/>
      <c r="P2363" s="90"/>
      <c r="Q2363" s="89"/>
      <c r="R2363" s="87"/>
    </row>
    <row r="2364" spans="15:18">
      <c r="O2364" s="89"/>
      <c r="P2364" s="90"/>
      <c r="Q2364" s="89"/>
      <c r="R2364" s="87"/>
    </row>
    <row r="2365" spans="15:18">
      <c r="O2365" s="89"/>
      <c r="P2365" s="90"/>
      <c r="Q2365" s="89"/>
      <c r="R2365" s="87"/>
    </row>
    <row r="2366" spans="15:18">
      <c r="O2366" s="89"/>
      <c r="P2366" s="90"/>
      <c r="Q2366" s="89"/>
      <c r="R2366" s="87"/>
    </row>
    <row r="2367" spans="15:18">
      <c r="O2367" s="89"/>
      <c r="P2367" s="90"/>
      <c r="Q2367" s="89"/>
      <c r="R2367" s="87"/>
    </row>
    <row r="2368" spans="15:18">
      <c r="O2368" s="89"/>
      <c r="P2368" s="90"/>
      <c r="Q2368" s="89"/>
      <c r="R2368" s="87"/>
    </row>
    <row r="2369" spans="15:18">
      <c r="O2369" s="89"/>
      <c r="P2369" s="90"/>
      <c r="Q2369" s="89"/>
      <c r="R2369" s="87"/>
    </row>
    <row r="2370" spans="15:18">
      <c r="O2370" s="89"/>
      <c r="P2370" s="90"/>
      <c r="Q2370" s="89"/>
      <c r="R2370" s="87"/>
    </row>
    <row r="2371" spans="15:18">
      <c r="O2371" s="89"/>
      <c r="P2371" s="90"/>
      <c r="Q2371" s="89"/>
      <c r="R2371" s="87"/>
    </row>
    <row r="2372" spans="15:18">
      <c r="O2372" s="89"/>
      <c r="P2372" s="90"/>
      <c r="Q2372" s="89"/>
      <c r="R2372" s="87"/>
    </row>
    <row r="2373" spans="15:18">
      <c r="O2373" s="89"/>
      <c r="P2373" s="90"/>
      <c r="Q2373" s="89"/>
      <c r="R2373" s="87"/>
    </row>
    <row r="2374" spans="15:18">
      <c r="O2374" s="89"/>
      <c r="P2374" s="90"/>
      <c r="Q2374" s="89"/>
      <c r="R2374" s="87"/>
    </row>
    <row r="2375" spans="15:18">
      <c r="O2375" s="89"/>
      <c r="P2375" s="90"/>
      <c r="Q2375" s="89"/>
      <c r="R2375" s="87"/>
    </row>
    <row r="2376" spans="15:18">
      <c r="O2376" s="89"/>
      <c r="P2376" s="90"/>
      <c r="Q2376" s="89"/>
      <c r="R2376" s="87"/>
    </row>
    <row r="2377" spans="15:18">
      <c r="O2377" s="89"/>
      <c r="P2377" s="90"/>
      <c r="Q2377" s="89"/>
      <c r="R2377" s="87"/>
    </row>
    <row r="2378" spans="15:18">
      <c r="O2378" s="89"/>
      <c r="P2378" s="90"/>
      <c r="Q2378" s="89"/>
      <c r="R2378" s="87"/>
    </row>
    <row r="2379" spans="15:18">
      <c r="O2379" s="89"/>
      <c r="P2379" s="90"/>
      <c r="Q2379" s="89"/>
      <c r="R2379" s="87"/>
    </row>
    <row r="2380" spans="15:18">
      <c r="O2380" s="89"/>
      <c r="P2380" s="90"/>
      <c r="Q2380" s="89"/>
      <c r="R2380" s="87"/>
    </row>
    <row r="2381" spans="15:18">
      <c r="O2381" s="89"/>
      <c r="P2381" s="90"/>
      <c r="Q2381" s="89"/>
      <c r="R2381" s="87"/>
    </row>
    <row r="2382" spans="15:18">
      <c r="O2382" s="89"/>
      <c r="P2382" s="90"/>
      <c r="Q2382" s="89"/>
      <c r="R2382" s="87"/>
    </row>
    <row r="2383" spans="15:18">
      <c r="O2383" s="89"/>
      <c r="P2383" s="90"/>
      <c r="Q2383" s="89"/>
      <c r="R2383" s="87"/>
    </row>
    <row r="2384" spans="15:18">
      <c r="O2384" s="89"/>
      <c r="P2384" s="90"/>
      <c r="Q2384" s="89"/>
      <c r="R2384" s="87"/>
    </row>
    <row r="2385" spans="15:18">
      <c r="O2385" s="89"/>
      <c r="P2385" s="90"/>
      <c r="Q2385" s="89"/>
      <c r="R2385" s="87"/>
    </row>
    <row r="2386" spans="15:18">
      <c r="O2386" s="89"/>
      <c r="P2386" s="90"/>
      <c r="Q2386" s="89"/>
      <c r="R2386" s="87"/>
    </row>
    <row r="2387" spans="15:18">
      <c r="O2387" s="89"/>
      <c r="P2387" s="90"/>
      <c r="Q2387" s="89"/>
      <c r="R2387" s="87"/>
    </row>
    <row r="2388" spans="15:18">
      <c r="O2388" s="89"/>
      <c r="P2388" s="90"/>
      <c r="Q2388" s="89"/>
      <c r="R2388" s="87"/>
    </row>
    <row r="2389" spans="15:18">
      <c r="O2389" s="89"/>
      <c r="P2389" s="90"/>
      <c r="Q2389" s="89"/>
      <c r="R2389" s="87"/>
    </row>
    <row r="2390" spans="15:18">
      <c r="O2390" s="89"/>
      <c r="P2390" s="90"/>
      <c r="Q2390" s="89"/>
      <c r="R2390" s="87"/>
    </row>
    <row r="2391" spans="15:18">
      <c r="O2391" s="89"/>
      <c r="P2391" s="90"/>
      <c r="Q2391" s="89"/>
      <c r="R2391" s="87"/>
    </row>
    <row r="2392" spans="15:18">
      <c r="O2392" s="89"/>
      <c r="P2392" s="90"/>
      <c r="Q2392" s="89"/>
      <c r="R2392" s="87"/>
    </row>
    <row r="2393" spans="15:18">
      <c r="O2393" s="89"/>
      <c r="P2393" s="90"/>
      <c r="Q2393" s="89"/>
      <c r="R2393" s="87"/>
    </row>
    <row r="2394" spans="15:18">
      <c r="O2394" s="89"/>
      <c r="P2394" s="90"/>
      <c r="Q2394" s="89"/>
      <c r="R2394" s="87"/>
    </row>
    <row r="2395" spans="15:18">
      <c r="O2395" s="89"/>
      <c r="P2395" s="90"/>
      <c r="Q2395" s="89"/>
      <c r="R2395" s="87"/>
    </row>
    <row r="2396" spans="15:18">
      <c r="O2396" s="89"/>
      <c r="P2396" s="90"/>
      <c r="Q2396" s="89"/>
      <c r="R2396" s="87"/>
    </row>
    <row r="2397" spans="15:18">
      <c r="O2397" s="89"/>
      <c r="P2397" s="90"/>
      <c r="Q2397" s="89"/>
      <c r="R2397" s="87"/>
    </row>
    <row r="2398" spans="15:18">
      <c r="O2398" s="89"/>
      <c r="P2398" s="90"/>
      <c r="Q2398" s="89"/>
      <c r="R2398" s="87"/>
    </row>
    <row r="2399" spans="15:18">
      <c r="O2399" s="89"/>
      <c r="P2399" s="90"/>
      <c r="Q2399" s="89"/>
      <c r="R2399" s="87"/>
    </row>
    <row r="2400" spans="15:18">
      <c r="O2400" s="89"/>
      <c r="P2400" s="90"/>
      <c r="Q2400" s="89"/>
      <c r="R2400" s="87"/>
    </row>
    <row r="2401" spans="15:18">
      <c r="O2401" s="89"/>
      <c r="P2401" s="90"/>
      <c r="Q2401" s="89"/>
      <c r="R2401" s="87"/>
    </row>
    <row r="2402" spans="15:18">
      <c r="O2402" s="89"/>
      <c r="P2402" s="90"/>
      <c r="Q2402" s="89"/>
      <c r="R2402" s="87"/>
    </row>
    <row r="2403" spans="15:18">
      <c r="O2403" s="89"/>
      <c r="P2403" s="90"/>
      <c r="Q2403" s="89"/>
      <c r="R2403" s="87"/>
    </row>
    <row r="2404" spans="15:18">
      <c r="O2404" s="89"/>
      <c r="P2404" s="90"/>
      <c r="Q2404" s="89"/>
      <c r="R2404" s="87"/>
    </row>
    <row r="2405" spans="15:18">
      <c r="O2405" s="89"/>
      <c r="P2405" s="90"/>
      <c r="Q2405" s="89"/>
      <c r="R2405" s="87"/>
    </row>
    <row r="2406" spans="15:18">
      <c r="O2406" s="89"/>
      <c r="P2406" s="90"/>
      <c r="Q2406" s="89"/>
      <c r="R2406" s="87"/>
    </row>
    <row r="2407" spans="15:18">
      <c r="O2407" s="89"/>
      <c r="P2407" s="90"/>
      <c r="Q2407" s="89"/>
      <c r="R2407" s="87"/>
    </row>
    <row r="2408" spans="15:18">
      <c r="O2408" s="89"/>
      <c r="P2408" s="90"/>
      <c r="Q2408" s="89"/>
      <c r="R2408" s="87"/>
    </row>
    <row r="2409" spans="15:18">
      <c r="O2409" s="89"/>
      <c r="P2409" s="90"/>
      <c r="Q2409" s="89"/>
      <c r="R2409" s="87"/>
    </row>
    <row r="2410" spans="15:18">
      <c r="O2410" s="89"/>
      <c r="P2410" s="90"/>
      <c r="Q2410" s="89"/>
      <c r="R2410" s="87"/>
    </row>
    <row r="2411" spans="15:18">
      <c r="O2411" s="89"/>
      <c r="P2411" s="90"/>
      <c r="Q2411" s="89"/>
      <c r="R2411" s="87"/>
    </row>
    <row r="2412" spans="15:18">
      <c r="O2412" s="89"/>
      <c r="P2412" s="90"/>
      <c r="Q2412" s="89"/>
      <c r="R2412" s="87"/>
    </row>
    <row r="2413" spans="15:18">
      <c r="O2413" s="89"/>
      <c r="P2413" s="90"/>
      <c r="Q2413" s="89"/>
      <c r="R2413" s="87"/>
    </row>
    <row r="2414" spans="15:18">
      <c r="O2414" s="89"/>
      <c r="P2414" s="90"/>
      <c r="Q2414" s="89"/>
      <c r="R2414" s="87"/>
    </row>
    <row r="2415" spans="15:18">
      <c r="O2415" s="89"/>
      <c r="P2415" s="90"/>
      <c r="Q2415" s="89"/>
      <c r="R2415" s="87"/>
    </row>
    <row r="2416" spans="15:18">
      <c r="O2416" s="89"/>
      <c r="P2416" s="90"/>
      <c r="Q2416" s="89"/>
      <c r="R2416" s="87"/>
    </row>
    <row r="2417" spans="15:18">
      <c r="O2417" s="89"/>
      <c r="P2417" s="90"/>
      <c r="Q2417" s="89"/>
      <c r="R2417" s="87"/>
    </row>
    <row r="2418" spans="15:18">
      <c r="O2418" s="89"/>
      <c r="P2418" s="90"/>
      <c r="Q2418" s="89"/>
      <c r="R2418" s="87"/>
    </row>
    <row r="2419" spans="15:18">
      <c r="O2419" s="89"/>
      <c r="P2419" s="90"/>
      <c r="Q2419" s="89"/>
      <c r="R2419" s="87"/>
    </row>
    <row r="2420" spans="15:18">
      <c r="O2420" s="89"/>
      <c r="P2420" s="90"/>
      <c r="Q2420" s="89"/>
      <c r="R2420" s="87"/>
    </row>
    <row r="2421" spans="15:18">
      <c r="O2421" s="89"/>
      <c r="P2421" s="90"/>
      <c r="Q2421" s="89"/>
      <c r="R2421" s="87"/>
    </row>
    <row r="2422" spans="15:18">
      <c r="O2422" s="89"/>
      <c r="P2422" s="90"/>
      <c r="Q2422" s="89"/>
      <c r="R2422" s="87"/>
    </row>
    <row r="2423" spans="15:18">
      <c r="O2423" s="89"/>
      <c r="P2423" s="90"/>
      <c r="Q2423" s="89"/>
      <c r="R2423" s="87"/>
    </row>
    <row r="2424" spans="15:18">
      <c r="O2424" s="89"/>
      <c r="P2424" s="90"/>
      <c r="Q2424" s="89"/>
      <c r="R2424" s="87"/>
    </row>
    <row r="2425" spans="15:18">
      <c r="O2425" s="89"/>
      <c r="P2425" s="90"/>
      <c r="Q2425" s="89"/>
      <c r="R2425" s="87"/>
    </row>
    <row r="2426" spans="15:18">
      <c r="O2426" s="89"/>
      <c r="P2426" s="90"/>
      <c r="Q2426" s="89"/>
      <c r="R2426" s="87"/>
    </row>
    <row r="2427" spans="15:18">
      <c r="O2427" s="89"/>
      <c r="P2427" s="90"/>
      <c r="Q2427" s="89"/>
      <c r="R2427" s="87"/>
    </row>
    <row r="2428" spans="15:18">
      <c r="O2428" s="89"/>
      <c r="P2428" s="90"/>
      <c r="Q2428" s="89"/>
      <c r="R2428" s="87"/>
    </row>
    <row r="2429" spans="15:18">
      <c r="O2429" s="89"/>
      <c r="P2429" s="90"/>
      <c r="Q2429" s="89"/>
      <c r="R2429" s="87"/>
    </row>
    <row r="2430" spans="15:18">
      <c r="O2430" s="89"/>
      <c r="P2430" s="90"/>
      <c r="Q2430" s="89"/>
      <c r="R2430" s="87"/>
    </row>
    <row r="2431" spans="15:18">
      <c r="O2431" s="89"/>
      <c r="P2431" s="90"/>
      <c r="Q2431" s="89"/>
      <c r="R2431" s="87"/>
    </row>
    <row r="2432" spans="15:18">
      <c r="O2432" s="89"/>
      <c r="P2432" s="90"/>
      <c r="Q2432" s="89"/>
      <c r="R2432" s="87"/>
    </row>
    <row r="2433" spans="15:18">
      <c r="O2433" s="89"/>
      <c r="P2433" s="90"/>
      <c r="Q2433" s="89"/>
      <c r="R2433" s="87"/>
    </row>
    <row r="2434" spans="15:18">
      <c r="O2434" s="89"/>
      <c r="P2434" s="90"/>
      <c r="Q2434" s="89"/>
      <c r="R2434" s="87"/>
    </row>
    <row r="2435" spans="15:18">
      <c r="O2435" s="89"/>
      <c r="P2435" s="90"/>
      <c r="Q2435" s="89"/>
      <c r="R2435" s="87"/>
    </row>
    <row r="2436" spans="15:18">
      <c r="O2436" s="89"/>
      <c r="P2436" s="90"/>
      <c r="Q2436" s="89"/>
      <c r="R2436" s="87"/>
    </row>
    <row r="2437" spans="15:18">
      <c r="O2437" s="89"/>
      <c r="P2437" s="90"/>
      <c r="Q2437" s="89"/>
      <c r="R2437" s="87"/>
    </row>
    <row r="2438" spans="15:18">
      <c r="O2438" s="89"/>
      <c r="P2438" s="90"/>
      <c r="Q2438" s="89"/>
      <c r="R2438" s="87"/>
    </row>
    <row r="2439" spans="15:18">
      <c r="O2439" s="89"/>
      <c r="P2439" s="90"/>
      <c r="Q2439" s="89"/>
      <c r="R2439" s="87"/>
    </row>
    <row r="2440" spans="15:18">
      <c r="O2440" s="89"/>
      <c r="P2440" s="90"/>
      <c r="Q2440" s="89"/>
      <c r="R2440" s="87"/>
    </row>
    <row r="2441" spans="15:18">
      <c r="O2441" s="89"/>
      <c r="P2441" s="90"/>
      <c r="Q2441" s="89"/>
      <c r="R2441" s="87"/>
    </row>
    <row r="2442" spans="15:18">
      <c r="O2442" s="89"/>
      <c r="P2442" s="90"/>
      <c r="Q2442" s="89"/>
      <c r="R2442" s="87"/>
    </row>
    <row r="2443" spans="15:18">
      <c r="O2443" s="89"/>
      <c r="P2443" s="90"/>
      <c r="Q2443" s="89"/>
      <c r="R2443" s="87"/>
    </row>
    <row r="2444" spans="15:18">
      <c r="O2444" s="89"/>
      <c r="P2444" s="90"/>
      <c r="Q2444" s="89"/>
      <c r="R2444" s="87"/>
    </row>
    <row r="2445" spans="15:18">
      <c r="O2445" s="89"/>
      <c r="P2445" s="90"/>
      <c r="Q2445" s="89"/>
      <c r="R2445" s="87"/>
    </row>
    <row r="2446" spans="15:18">
      <c r="O2446" s="89"/>
      <c r="P2446" s="90"/>
      <c r="Q2446" s="89"/>
      <c r="R2446" s="87"/>
    </row>
    <row r="2447" spans="15:18">
      <c r="O2447" s="89"/>
      <c r="P2447" s="90"/>
      <c r="Q2447" s="89"/>
      <c r="R2447" s="87"/>
    </row>
    <row r="2448" spans="15:18">
      <c r="O2448" s="89"/>
      <c r="P2448" s="90"/>
      <c r="Q2448" s="89"/>
      <c r="R2448" s="87"/>
    </row>
    <row r="2449" spans="15:18">
      <c r="O2449" s="89"/>
      <c r="P2449" s="90"/>
      <c r="Q2449" s="89"/>
      <c r="R2449" s="87"/>
    </row>
    <row r="2450" spans="15:18">
      <c r="O2450" s="89"/>
      <c r="P2450" s="90"/>
      <c r="Q2450" s="89"/>
      <c r="R2450" s="87"/>
    </row>
    <row r="2451" spans="15:18">
      <c r="O2451" s="89"/>
      <c r="P2451" s="90"/>
      <c r="Q2451" s="89"/>
      <c r="R2451" s="87"/>
    </row>
    <row r="2452" spans="15:18">
      <c r="O2452" s="89"/>
      <c r="P2452" s="90"/>
      <c r="Q2452" s="89"/>
      <c r="R2452" s="87"/>
    </row>
    <row r="2453" spans="15:18">
      <c r="O2453" s="89"/>
      <c r="P2453" s="90"/>
      <c r="Q2453" s="89"/>
      <c r="R2453" s="87"/>
    </row>
    <row r="2454" spans="15:18">
      <c r="O2454" s="89"/>
      <c r="P2454" s="90"/>
      <c r="Q2454" s="89"/>
      <c r="R2454" s="87"/>
    </row>
    <row r="2455" spans="15:18">
      <c r="O2455" s="89"/>
      <c r="P2455" s="90"/>
      <c r="Q2455" s="89"/>
      <c r="R2455" s="87"/>
    </row>
    <row r="2456" spans="15:18">
      <c r="O2456" s="89"/>
      <c r="P2456" s="90"/>
      <c r="Q2456" s="89"/>
      <c r="R2456" s="87"/>
    </row>
    <row r="2457" spans="15:18">
      <c r="O2457" s="89"/>
      <c r="P2457" s="90"/>
      <c r="Q2457" s="89"/>
      <c r="R2457" s="87"/>
    </row>
    <row r="2458" spans="15:18">
      <c r="O2458" s="89"/>
      <c r="P2458" s="90"/>
      <c r="Q2458" s="89"/>
      <c r="R2458" s="87"/>
    </row>
    <row r="2459" spans="15:18">
      <c r="O2459" s="89"/>
      <c r="P2459" s="90"/>
      <c r="Q2459" s="89"/>
      <c r="R2459" s="87"/>
    </row>
    <row r="2460" spans="15:18">
      <c r="O2460" s="89"/>
      <c r="P2460" s="90"/>
      <c r="Q2460" s="89"/>
      <c r="R2460" s="87"/>
    </row>
    <row r="2461" spans="15:18">
      <c r="O2461" s="89"/>
      <c r="P2461" s="90"/>
      <c r="Q2461" s="89"/>
      <c r="R2461" s="87"/>
    </row>
    <row r="2462" spans="15:18">
      <c r="O2462" s="89"/>
      <c r="P2462" s="90"/>
      <c r="Q2462" s="89"/>
      <c r="R2462" s="87"/>
    </row>
    <row r="2463" spans="15:18">
      <c r="O2463" s="89"/>
      <c r="P2463" s="90"/>
      <c r="Q2463" s="89"/>
      <c r="R2463" s="87"/>
    </row>
    <row r="2464" spans="15:18">
      <c r="O2464" s="89"/>
      <c r="P2464" s="90"/>
      <c r="Q2464" s="89"/>
      <c r="R2464" s="87"/>
    </row>
    <row r="2465" spans="15:18">
      <c r="O2465" s="89"/>
      <c r="P2465" s="90"/>
      <c r="Q2465" s="89"/>
      <c r="R2465" s="87"/>
    </row>
    <row r="2466" spans="15:18">
      <c r="O2466" s="89"/>
      <c r="P2466" s="90"/>
      <c r="Q2466" s="89"/>
      <c r="R2466" s="87"/>
    </row>
    <row r="2467" spans="15:18">
      <c r="O2467" s="89"/>
      <c r="P2467" s="90"/>
      <c r="Q2467" s="89"/>
      <c r="R2467" s="87"/>
    </row>
    <row r="2468" spans="15:18">
      <c r="O2468" s="89"/>
      <c r="P2468" s="90"/>
      <c r="Q2468" s="89"/>
      <c r="R2468" s="87"/>
    </row>
    <row r="2469" spans="15:18">
      <c r="O2469" s="89"/>
      <c r="P2469" s="90"/>
      <c r="Q2469" s="89"/>
      <c r="R2469" s="87"/>
    </row>
    <row r="2470" spans="15:18">
      <c r="O2470" s="89"/>
      <c r="P2470" s="90"/>
      <c r="Q2470" s="89"/>
      <c r="R2470" s="87"/>
    </row>
    <row r="2471" spans="15:18">
      <c r="O2471" s="89"/>
      <c r="P2471" s="90"/>
      <c r="Q2471" s="89"/>
      <c r="R2471" s="87"/>
    </row>
    <row r="2472" spans="15:18">
      <c r="O2472" s="89"/>
      <c r="P2472" s="90"/>
      <c r="Q2472" s="89"/>
      <c r="R2472" s="87"/>
    </row>
    <row r="2473" spans="15:18">
      <c r="O2473" s="89"/>
      <c r="P2473" s="90"/>
      <c r="Q2473" s="89"/>
      <c r="R2473" s="87"/>
    </row>
    <row r="2474" spans="15:18">
      <c r="O2474" s="89"/>
      <c r="P2474" s="90"/>
      <c r="Q2474" s="89"/>
      <c r="R2474" s="87"/>
    </row>
    <row r="2475" spans="15:18">
      <c r="O2475" s="89"/>
      <c r="P2475" s="90"/>
      <c r="Q2475" s="89"/>
      <c r="R2475" s="87"/>
    </row>
    <row r="2476" spans="15:18">
      <c r="O2476" s="89"/>
      <c r="P2476" s="90"/>
      <c r="Q2476" s="89"/>
      <c r="R2476" s="87"/>
    </row>
    <row r="2477" spans="15:18">
      <c r="O2477" s="89"/>
      <c r="P2477" s="90"/>
      <c r="Q2477" s="89"/>
      <c r="R2477" s="87"/>
    </row>
    <row r="2478" spans="15:18">
      <c r="O2478" s="89"/>
      <c r="P2478" s="90"/>
      <c r="Q2478" s="89"/>
      <c r="R2478" s="87"/>
    </row>
    <row r="2479" spans="15:18">
      <c r="O2479" s="89"/>
      <c r="P2479" s="90"/>
      <c r="Q2479" s="89"/>
      <c r="R2479" s="87"/>
    </row>
    <row r="2480" spans="15:18">
      <c r="O2480" s="89"/>
      <c r="P2480" s="90"/>
      <c r="Q2480" s="89"/>
      <c r="R2480" s="87"/>
    </row>
    <row r="2481" spans="15:18">
      <c r="O2481" s="89"/>
      <c r="P2481" s="90"/>
      <c r="Q2481" s="89"/>
      <c r="R2481" s="87"/>
    </row>
    <row r="2482" spans="15:18">
      <c r="O2482" s="89"/>
      <c r="P2482" s="90"/>
      <c r="Q2482" s="89"/>
      <c r="R2482" s="87"/>
    </row>
    <row r="2483" spans="15:18">
      <c r="O2483" s="89"/>
      <c r="P2483" s="90"/>
      <c r="Q2483" s="89"/>
      <c r="R2483" s="87"/>
    </row>
    <row r="2484" spans="15:18">
      <c r="O2484" s="89"/>
      <c r="P2484" s="90"/>
      <c r="Q2484" s="89"/>
      <c r="R2484" s="87"/>
    </row>
    <row r="2485" spans="15:18">
      <c r="O2485" s="89"/>
      <c r="P2485" s="90"/>
      <c r="Q2485" s="89"/>
      <c r="R2485" s="87"/>
    </row>
    <row r="2486" spans="15:18">
      <c r="O2486" s="89"/>
      <c r="P2486" s="90"/>
      <c r="Q2486" s="89"/>
      <c r="R2486" s="87"/>
    </row>
    <row r="2487" spans="15:18">
      <c r="O2487" s="89"/>
      <c r="P2487" s="90"/>
      <c r="Q2487" s="89"/>
      <c r="R2487" s="87"/>
    </row>
    <row r="2488" spans="15:18">
      <c r="O2488" s="89"/>
      <c r="P2488" s="90"/>
      <c r="Q2488" s="89"/>
      <c r="R2488" s="87"/>
    </row>
    <row r="2489" spans="15:18">
      <c r="O2489" s="89"/>
      <c r="P2489" s="90"/>
      <c r="Q2489" s="89"/>
      <c r="R2489" s="87"/>
    </row>
    <row r="2490" spans="15:18">
      <c r="O2490" s="89"/>
      <c r="P2490" s="90"/>
      <c r="Q2490" s="89"/>
      <c r="R2490" s="87"/>
    </row>
    <row r="2491" spans="15:18">
      <c r="O2491" s="89"/>
      <c r="P2491" s="90"/>
      <c r="Q2491" s="89"/>
      <c r="R2491" s="87"/>
    </row>
    <row r="2492" spans="15:18">
      <c r="O2492" s="89"/>
      <c r="P2492" s="90"/>
      <c r="Q2492" s="89"/>
      <c r="R2492" s="87"/>
    </row>
    <row r="2493" spans="15:18">
      <c r="O2493" s="89"/>
      <c r="P2493" s="90"/>
      <c r="Q2493" s="89"/>
      <c r="R2493" s="87"/>
    </row>
    <row r="2494" spans="15:18">
      <c r="O2494" s="89"/>
      <c r="P2494" s="90"/>
      <c r="Q2494" s="89"/>
      <c r="R2494" s="87"/>
    </row>
    <row r="2495" spans="15:18">
      <c r="O2495" s="89"/>
      <c r="P2495" s="90"/>
      <c r="Q2495" s="89"/>
      <c r="R2495" s="87"/>
    </row>
    <row r="2496" spans="15:18">
      <c r="O2496" s="89"/>
      <c r="P2496" s="90"/>
      <c r="Q2496" s="89"/>
      <c r="R2496" s="87"/>
    </row>
    <row r="2497" spans="15:18">
      <c r="O2497" s="89"/>
      <c r="P2497" s="90"/>
      <c r="Q2497" s="89"/>
      <c r="R2497" s="87"/>
    </row>
    <row r="2498" spans="15:18">
      <c r="O2498" s="89"/>
      <c r="P2498" s="90"/>
      <c r="Q2498" s="89"/>
      <c r="R2498" s="87"/>
    </row>
    <row r="2499" spans="15:18">
      <c r="O2499" s="89"/>
      <c r="P2499" s="90"/>
      <c r="Q2499" s="89"/>
      <c r="R2499" s="87"/>
    </row>
    <row r="2500" spans="15:18">
      <c r="O2500" s="89"/>
      <c r="P2500" s="90"/>
      <c r="Q2500" s="89"/>
      <c r="R2500" s="87"/>
    </row>
    <row r="2501" spans="15:18">
      <c r="O2501" s="89"/>
      <c r="P2501" s="90"/>
      <c r="Q2501" s="89"/>
      <c r="R2501" s="87"/>
    </row>
    <row r="2502" spans="15:18">
      <c r="O2502" s="89"/>
      <c r="P2502" s="90"/>
      <c r="Q2502" s="89"/>
      <c r="R2502" s="87"/>
    </row>
    <row r="2503" spans="15:18">
      <c r="O2503" s="89"/>
      <c r="P2503" s="90"/>
      <c r="Q2503" s="89"/>
      <c r="R2503" s="87"/>
    </row>
    <row r="2504" spans="15:18">
      <c r="O2504" s="89"/>
      <c r="P2504" s="90"/>
      <c r="Q2504" s="89"/>
      <c r="R2504" s="87"/>
    </row>
    <row r="2505" spans="15:18">
      <c r="O2505" s="89"/>
      <c r="P2505" s="90"/>
      <c r="Q2505" s="89"/>
      <c r="R2505" s="87"/>
    </row>
    <row r="2506" spans="15:18">
      <c r="O2506" s="89"/>
      <c r="P2506" s="90"/>
      <c r="Q2506" s="89"/>
      <c r="R2506" s="87"/>
    </row>
    <row r="2507" spans="15:18">
      <c r="O2507" s="89"/>
      <c r="P2507" s="90"/>
      <c r="Q2507" s="89"/>
      <c r="R2507" s="87"/>
    </row>
    <row r="2508" spans="15:18">
      <c r="O2508" s="89"/>
      <c r="P2508" s="90"/>
      <c r="Q2508" s="89"/>
      <c r="R2508" s="87"/>
    </row>
    <row r="2509" spans="15:18">
      <c r="O2509" s="89"/>
      <c r="P2509" s="90"/>
      <c r="Q2509" s="89"/>
      <c r="R2509" s="87"/>
    </row>
    <row r="2510" spans="15:18">
      <c r="O2510" s="89"/>
      <c r="P2510" s="90"/>
      <c r="Q2510" s="89"/>
      <c r="R2510" s="87"/>
    </row>
    <row r="2511" spans="15:18">
      <c r="O2511" s="89"/>
      <c r="P2511" s="90"/>
      <c r="Q2511" s="89"/>
      <c r="R2511" s="87"/>
    </row>
    <row r="2512" spans="15:18">
      <c r="O2512" s="89"/>
      <c r="P2512" s="90"/>
      <c r="Q2512" s="89"/>
      <c r="R2512" s="87"/>
    </row>
    <row r="2513" spans="15:18">
      <c r="O2513" s="89"/>
      <c r="P2513" s="90"/>
      <c r="Q2513" s="89"/>
      <c r="R2513" s="87"/>
    </row>
    <row r="2514" spans="15:18">
      <c r="O2514" s="89"/>
      <c r="P2514" s="90"/>
      <c r="Q2514" s="89"/>
      <c r="R2514" s="87"/>
    </row>
    <row r="2515" spans="15:18">
      <c r="O2515" s="89"/>
      <c r="P2515" s="90"/>
      <c r="Q2515" s="89"/>
      <c r="R2515" s="87"/>
    </row>
    <row r="2516" spans="15:18">
      <c r="O2516" s="89"/>
      <c r="P2516" s="90"/>
      <c r="Q2516" s="89"/>
      <c r="R2516" s="87"/>
    </row>
    <row r="2517" spans="15:18">
      <c r="O2517" s="89"/>
      <c r="P2517" s="90"/>
      <c r="Q2517" s="89"/>
      <c r="R2517" s="87"/>
    </row>
    <row r="2518" spans="15:18">
      <c r="O2518" s="89"/>
      <c r="P2518" s="90"/>
      <c r="Q2518" s="89"/>
      <c r="R2518" s="87"/>
    </row>
    <row r="2519" spans="15:18">
      <c r="O2519" s="89"/>
      <c r="P2519" s="90"/>
      <c r="Q2519" s="89"/>
      <c r="R2519" s="87"/>
    </row>
    <row r="2520" spans="15:18">
      <c r="O2520" s="89"/>
      <c r="P2520" s="90"/>
      <c r="Q2520" s="89"/>
      <c r="R2520" s="87"/>
    </row>
    <row r="2521" spans="15:18">
      <c r="O2521" s="89"/>
      <c r="P2521" s="90"/>
      <c r="Q2521" s="89"/>
      <c r="R2521" s="87"/>
    </row>
    <row r="2522" spans="15:18">
      <c r="O2522" s="89"/>
      <c r="P2522" s="90"/>
      <c r="Q2522" s="89"/>
      <c r="R2522" s="87"/>
    </row>
    <row r="2523" spans="15:18">
      <c r="O2523" s="89"/>
      <c r="P2523" s="90"/>
      <c r="Q2523" s="89"/>
      <c r="R2523" s="87"/>
    </row>
    <row r="2524" spans="15:18">
      <c r="O2524" s="89"/>
      <c r="P2524" s="90"/>
      <c r="Q2524" s="89"/>
      <c r="R2524" s="87"/>
    </row>
    <row r="2525" spans="15:18">
      <c r="O2525" s="89"/>
      <c r="P2525" s="90"/>
      <c r="Q2525" s="89"/>
      <c r="R2525" s="87"/>
    </row>
    <row r="2526" spans="15:18">
      <c r="O2526" s="89"/>
      <c r="P2526" s="90"/>
      <c r="Q2526" s="89"/>
      <c r="R2526" s="87"/>
    </row>
    <row r="2527" spans="15:18">
      <c r="O2527" s="89"/>
      <c r="P2527" s="90"/>
      <c r="Q2527" s="89"/>
      <c r="R2527" s="87"/>
    </row>
    <row r="2528" spans="15:18">
      <c r="O2528" s="89"/>
      <c r="P2528" s="90"/>
      <c r="Q2528" s="89"/>
      <c r="R2528" s="87"/>
    </row>
    <row r="2529" spans="15:18">
      <c r="O2529" s="89"/>
      <c r="P2529" s="90"/>
      <c r="Q2529" s="89"/>
      <c r="R2529" s="87"/>
    </row>
    <row r="2530" spans="15:18">
      <c r="O2530" s="89"/>
      <c r="P2530" s="90"/>
      <c r="Q2530" s="89"/>
      <c r="R2530" s="87"/>
    </row>
    <row r="2531" spans="15:18">
      <c r="O2531" s="89"/>
      <c r="P2531" s="90"/>
      <c r="Q2531" s="89"/>
      <c r="R2531" s="87"/>
    </row>
    <row r="2532" spans="15:18">
      <c r="O2532" s="89"/>
      <c r="P2532" s="90"/>
      <c r="Q2532" s="89"/>
      <c r="R2532" s="87"/>
    </row>
    <row r="2533" spans="15:18">
      <c r="O2533" s="89"/>
      <c r="P2533" s="90"/>
      <c r="Q2533" s="89"/>
      <c r="R2533" s="87"/>
    </row>
    <row r="2534" spans="15:18">
      <c r="O2534" s="89"/>
      <c r="P2534" s="90"/>
      <c r="Q2534" s="89"/>
      <c r="R2534" s="87"/>
    </row>
    <row r="2535" spans="15:18">
      <c r="O2535" s="89"/>
      <c r="P2535" s="90"/>
      <c r="Q2535" s="89"/>
      <c r="R2535" s="87"/>
    </row>
    <row r="2536" spans="15:18">
      <c r="O2536" s="89"/>
      <c r="P2536" s="90"/>
      <c r="Q2536" s="89"/>
      <c r="R2536" s="87"/>
    </row>
    <row r="2537" spans="15:18">
      <c r="O2537" s="89"/>
      <c r="P2537" s="90"/>
      <c r="Q2537" s="89"/>
      <c r="R2537" s="87"/>
    </row>
    <row r="2538" spans="15:18">
      <c r="O2538" s="89"/>
      <c r="P2538" s="90"/>
      <c r="Q2538" s="89"/>
      <c r="R2538" s="87"/>
    </row>
    <row r="2539" spans="15:18">
      <c r="O2539" s="89"/>
      <c r="P2539" s="90"/>
      <c r="Q2539" s="89"/>
      <c r="R2539" s="87"/>
    </row>
    <row r="2540" spans="15:18">
      <c r="O2540" s="89"/>
      <c r="P2540" s="90"/>
      <c r="Q2540" s="89"/>
      <c r="R2540" s="87"/>
    </row>
    <row r="2541" spans="15:18">
      <c r="O2541" s="89"/>
      <c r="P2541" s="90"/>
      <c r="Q2541" s="89"/>
      <c r="R2541" s="87"/>
    </row>
    <row r="2542" spans="15:18">
      <c r="O2542" s="89"/>
      <c r="P2542" s="90"/>
      <c r="Q2542" s="89"/>
      <c r="R2542" s="87"/>
    </row>
    <row r="2543" spans="15:18">
      <c r="O2543" s="89"/>
      <c r="P2543" s="90"/>
      <c r="Q2543" s="89"/>
      <c r="R2543" s="87"/>
    </row>
    <row r="2544" spans="15:18">
      <c r="O2544" s="89"/>
      <c r="P2544" s="90"/>
      <c r="Q2544" s="89"/>
      <c r="R2544" s="87"/>
    </row>
    <row r="2545" spans="15:18">
      <c r="O2545" s="89"/>
      <c r="P2545" s="90"/>
      <c r="Q2545" s="89"/>
      <c r="R2545" s="87"/>
    </row>
    <row r="2546" spans="15:18">
      <c r="O2546" s="89"/>
      <c r="P2546" s="90"/>
      <c r="Q2546" s="89"/>
      <c r="R2546" s="87"/>
    </row>
    <row r="2547" spans="15:18">
      <c r="O2547" s="89"/>
      <c r="P2547" s="90"/>
      <c r="Q2547" s="89"/>
      <c r="R2547" s="87"/>
    </row>
    <row r="2548" spans="15:18">
      <c r="O2548" s="89"/>
      <c r="P2548" s="90"/>
      <c r="Q2548" s="89"/>
      <c r="R2548" s="87"/>
    </row>
    <row r="2549" spans="15:18">
      <c r="O2549" s="89"/>
      <c r="P2549" s="90"/>
      <c r="Q2549" s="89"/>
      <c r="R2549" s="87"/>
    </row>
    <row r="2550" spans="15:18">
      <c r="O2550" s="89"/>
      <c r="P2550" s="90"/>
      <c r="Q2550" s="89"/>
      <c r="R2550" s="87"/>
    </row>
    <row r="2551" spans="15:18">
      <c r="O2551" s="89"/>
      <c r="P2551" s="90"/>
      <c r="Q2551" s="89"/>
      <c r="R2551" s="87"/>
    </row>
    <row r="2552" spans="15:18">
      <c r="O2552" s="89"/>
      <c r="P2552" s="90"/>
      <c r="Q2552" s="89"/>
      <c r="R2552" s="87"/>
    </row>
    <row r="2553" spans="15:18">
      <c r="O2553" s="89"/>
      <c r="P2553" s="90"/>
      <c r="Q2553" s="89"/>
      <c r="R2553" s="87"/>
    </row>
    <row r="2554" spans="15:18">
      <c r="O2554" s="89"/>
      <c r="P2554" s="90"/>
      <c r="Q2554" s="89"/>
      <c r="R2554" s="87"/>
    </row>
    <row r="2555" spans="15:18">
      <c r="O2555" s="89"/>
      <c r="P2555" s="90"/>
      <c r="Q2555" s="89"/>
      <c r="R2555" s="87"/>
    </row>
    <row r="2556" spans="15:18">
      <c r="O2556" s="89"/>
      <c r="P2556" s="90"/>
      <c r="Q2556" s="89"/>
      <c r="R2556" s="87"/>
    </row>
    <row r="2557" spans="15:18">
      <c r="O2557" s="89"/>
      <c r="P2557" s="90"/>
      <c r="Q2557" s="89"/>
      <c r="R2557" s="87"/>
    </row>
    <row r="2558" spans="15:18">
      <c r="O2558" s="89"/>
      <c r="P2558" s="90"/>
      <c r="Q2558" s="89"/>
      <c r="R2558" s="87"/>
    </row>
    <row r="2559" spans="15:18">
      <c r="O2559" s="89"/>
      <c r="P2559" s="90"/>
      <c r="Q2559" s="89"/>
      <c r="R2559" s="87"/>
    </row>
    <row r="2560" spans="15:18">
      <c r="O2560" s="89"/>
      <c r="P2560" s="90"/>
      <c r="Q2560" s="89"/>
      <c r="R2560" s="87"/>
    </row>
    <row r="2561" spans="15:18">
      <c r="O2561" s="89"/>
      <c r="P2561" s="90"/>
      <c r="Q2561" s="89"/>
      <c r="R2561" s="87"/>
    </row>
    <row r="2562" spans="15:18">
      <c r="O2562" s="89"/>
      <c r="P2562" s="90"/>
      <c r="Q2562" s="89"/>
      <c r="R2562" s="87"/>
    </row>
    <row r="2563" spans="15:18">
      <c r="O2563" s="89"/>
      <c r="P2563" s="90"/>
      <c r="Q2563" s="89"/>
      <c r="R2563" s="87"/>
    </row>
    <row r="2564" spans="15:18">
      <c r="O2564" s="89"/>
      <c r="P2564" s="90"/>
      <c r="Q2564" s="89"/>
      <c r="R2564" s="87"/>
    </row>
    <row r="2565" spans="15:18">
      <c r="O2565" s="89"/>
      <c r="P2565" s="90"/>
      <c r="Q2565" s="89"/>
      <c r="R2565" s="87"/>
    </row>
    <row r="2566" spans="15:18">
      <c r="O2566" s="89"/>
      <c r="P2566" s="90"/>
      <c r="Q2566" s="89"/>
      <c r="R2566" s="87"/>
    </row>
    <row r="2567" spans="15:18">
      <c r="O2567" s="89"/>
      <c r="P2567" s="90"/>
      <c r="Q2567" s="89"/>
      <c r="R2567" s="87"/>
    </row>
    <row r="2568" spans="15:18">
      <c r="O2568" s="89"/>
      <c r="P2568" s="90"/>
      <c r="Q2568" s="89"/>
      <c r="R2568" s="87"/>
    </row>
    <row r="2569" spans="15:18">
      <c r="O2569" s="89"/>
      <c r="P2569" s="90"/>
      <c r="Q2569" s="89"/>
      <c r="R2569" s="87"/>
    </row>
    <row r="2570" spans="15:18">
      <c r="O2570" s="89"/>
      <c r="P2570" s="90"/>
      <c r="Q2570" s="89"/>
      <c r="R2570" s="87"/>
    </row>
    <row r="2571" spans="15:18">
      <c r="O2571" s="89"/>
      <c r="P2571" s="90"/>
      <c r="Q2571" s="89"/>
      <c r="R2571" s="87"/>
    </row>
    <row r="2572" spans="15:18">
      <c r="O2572" s="89"/>
      <c r="P2572" s="90"/>
      <c r="Q2572" s="89"/>
      <c r="R2572" s="87"/>
    </row>
    <row r="2573" spans="15:18">
      <c r="O2573" s="89"/>
      <c r="P2573" s="90"/>
      <c r="Q2573" s="89"/>
      <c r="R2573" s="87"/>
    </row>
    <row r="2574" spans="15:18">
      <c r="O2574" s="89"/>
      <c r="P2574" s="90"/>
      <c r="Q2574" s="89"/>
      <c r="R2574" s="87"/>
    </row>
    <row r="2575" spans="15:18">
      <c r="O2575" s="89"/>
      <c r="P2575" s="90"/>
      <c r="Q2575" s="89"/>
      <c r="R2575" s="87"/>
    </row>
    <row r="2576" spans="15:18">
      <c r="O2576" s="89"/>
      <c r="P2576" s="90"/>
      <c r="Q2576" s="89"/>
      <c r="R2576" s="87"/>
    </row>
    <row r="2577" spans="15:18">
      <c r="O2577" s="89"/>
      <c r="P2577" s="90"/>
      <c r="Q2577" s="89"/>
      <c r="R2577" s="87"/>
    </row>
    <row r="2578" spans="15:18">
      <c r="O2578" s="89"/>
      <c r="P2578" s="90"/>
      <c r="Q2578" s="89"/>
      <c r="R2578" s="87"/>
    </row>
    <row r="2579" spans="15:18">
      <c r="O2579" s="89"/>
      <c r="P2579" s="90"/>
      <c r="Q2579" s="89"/>
      <c r="R2579" s="87"/>
    </row>
    <row r="2580" spans="15:18">
      <c r="O2580" s="89"/>
      <c r="P2580" s="90"/>
      <c r="Q2580" s="89"/>
      <c r="R2580" s="87"/>
    </row>
    <row r="2581" spans="15:18">
      <c r="O2581" s="89"/>
      <c r="P2581" s="90"/>
      <c r="Q2581" s="89"/>
      <c r="R2581" s="87"/>
    </row>
    <row r="2582" spans="15:18">
      <c r="O2582" s="89"/>
      <c r="P2582" s="90"/>
      <c r="Q2582" s="89"/>
      <c r="R2582" s="87"/>
    </row>
    <row r="2583" spans="15:18">
      <c r="O2583" s="89"/>
      <c r="P2583" s="90"/>
      <c r="Q2583" s="89"/>
      <c r="R2583" s="87"/>
    </row>
    <row r="2584" spans="15:18">
      <c r="O2584" s="89"/>
      <c r="P2584" s="90"/>
      <c r="Q2584" s="89"/>
      <c r="R2584" s="87"/>
    </row>
    <row r="2585" spans="15:18">
      <c r="O2585" s="89"/>
      <c r="P2585" s="90"/>
      <c r="Q2585" s="89"/>
      <c r="R2585" s="87"/>
    </row>
    <row r="2586" spans="15:18">
      <c r="O2586" s="89"/>
      <c r="P2586" s="90"/>
      <c r="Q2586" s="89"/>
      <c r="R2586" s="87"/>
    </row>
    <row r="2587" spans="15:18">
      <c r="O2587" s="89"/>
      <c r="P2587" s="90"/>
      <c r="Q2587" s="89"/>
      <c r="R2587" s="87"/>
    </row>
    <row r="2588" spans="15:18">
      <c r="O2588" s="89"/>
      <c r="P2588" s="90"/>
      <c r="Q2588" s="89"/>
      <c r="R2588" s="87"/>
    </row>
    <row r="2589" spans="15:18">
      <c r="O2589" s="89"/>
      <c r="P2589" s="90"/>
      <c r="Q2589" s="89"/>
      <c r="R2589" s="87"/>
    </row>
    <row r="2590" spans="15:18">
      <c r="O2590" s="89"/>
      <c r="P2590" s="90"/>
      <c r="Q2590" s="89"/>
      <c r="R2590" s="87"/>
    </row>
    <row r="2591" spans="15:18">
      <c r="O2591" s="89"/>
      <c r="P2591" s="90"/>
      <c r="Q2591" s="89"/>
      <c r="R2591" s="87"/>
    </row>
    <row r="2592" spans="15:18">
      <c r="O2592" s="89"/>
      <c r="P2592" s="90"/>
      <c r="Q2592" s="89"/>
      <c r="R2592" s="87"/>
    </row>
    <row r="2593" spans="15:18">
      <c r="O2593" s="89"/>
      <c r="P2593" s="90"/>
      <c r="Q2593" s="89"/>
      <c r="R2593" s="87"/>
    </row>
    <row r="2594" spans="15:18">
      <c r="O2594" s="89"/>
      <c r="P2594" s="90"/>
      <c r="Q2594" s="89"/>
      <c r="R2594" s="87"/>
    </row>
    <row r="2595" spans="15:18">
      <c r="O2595" s="89"/>
      <c r="P2595" s="90"/>
      <c r="Q2595" s="89"/>
      <c r="R2595" s="87"/>
    </row>
    <row r="2596" spans="15:18">
      <c r="O2596" s="89"/>
      <c r="P2596" s="90"/>
      <c r="Q2596" s="89"/>
      <c r="R2596" s="87"/>
    </row>
    <row r="2597" spans="15:18">
      <c r="O2597" s="89"/>
      <c r="P2597" s="90"/>
      <c r="Q2597" s="89"/>
      <c r="R2597" s="87"/>
    </row>
    <row r="2598" spans="15:18">
      <c r="O2598" s="89"/>
      <c r="P2598" s="90"/>
      <c r="Q2598" s="89"/>
      <c r="R2598" s="87"/>
    </row>
    <row r="2599" spans="15:18">
      <c r="O2599" s="89"/>
      <c r="P2599" s="90"/>
      <c r="Q2599" s="89"/>
      <c r="R2599" s="87"/>
    </row>
    <row r="2600" spans="15:18">
      <c r="O2600" s="89"/>
      <c r="P2600" s="90"/>
      <c r="Q2600" s="89"/>
      <c r="R2600" s="87"/>
    </row>
    <row r="2601" spans="15:18">
      <c r="O2601" s="89"/>
      <c r="P2601" s="90"/>
      <c r="Q2601" s="89"/>
      <c r="R2601" s="87"/>
    </row>
    <row r="2602" spans="15:18">
      <c r="O2602" s="89"/>
      <c r="P2602" s="90"/>
      <c r="Q2602" s="89"/>
      <c r="R2602" s="87"/>
    </row>
    <row r="2603" spans="15:18">
      <c r="O2603" s="89"/>
      <c r="P2603" s="90"/>
      <c r="Q2603" s="89"/>
      <c r="R2603" s="87"/>
    </row>
    <row r="2604" spans="15:18">
      <c r="O2604" s="89"/>
      <c r="P2604" s="90"/>
      <c r="Q2604" s="89"/>
      <c r="R2604" s="87"/>
    </row>
    <row r="2605" spans="15:18">
      <c r="O2605" s="89"/>
      <c r="P2605" s="90"/>
      <c r="Q2605" s="89"/>
      <c r="R2605" s="87"/>
    </row>
    <row r="2606" spans="15:18">
      <c r="O2606" s="89"/>
      <c r="P2606" s="90"/>
      <c r="Q2606" s="89"/>
      <c r="R2606" s="87"/>
    </row>
    <row r="2607" spans="15:18">
      <c r="O2607" s="89"/>
      <c r="P2607" s="90"/>
      <c r="Q2607" s="89"/>
      <c r="R2607" s="87"/>
    </row>
    <row r="2608" spans="15:18">
      <c r="O2608" s="89"/>
      <c r="P2608" s="90"/>
      <c r="Q2608" s="89"/>
      <c r="R2608" s="87"/>
    </row>
    <row r="2609" spans="15:18">
      <c r="O2609" s="89"/>
      <c r="P2609" s="90"/>
      <c r="Q2609" s="89"/>
      <c r="R2609" s="87"/>
    </row>
    <row r="2610" spans="15:18">
      <c r="O2610" s="89"/>
      <c r="P2610" s="90"/>
      <c r="Q2610" s="89"/>
      <c r="R2610" s="87"/>
    </row>
    <row r="2611" spans="15:18">
      <c r="O2611" s="89"/>
      <c r="P2611" s="90"/>
      <c r="Q2611" s="89"/>
      <c r="R2611" s="87"/>
    </row>
    <row r="2612" spans="15:18">
      <c r="O2612" s="89"/>
      <c r="P2612" s="90"/>
      <c r="Q2612" s="89"/>
      <c r="R2612" s="87"/>
    </row>
    <row r="2613" spans="15:18">
      <c r="O2613" s="89"/>
      <c r="P2613" s="90"/>
      <c r="Q2613" s="89"/>
      <c r="R2613" s="87"/>
    </row>
    <row r="2614" spans="15:18">
      <c r="O2614" s="89"/>
      <c r="P2614" s="90"/>
      <c r="Q2614" s="89"/>
      <c r="R2614" s="87"/>
    </row>
    <row r="2615" spans="15:18">
      <c r="O2615" s="89"/>
      <c r="P2615" s="90"/>
      <c r="Q2615" s="89"/>
      <c r="R2615" s="87"/>
    </row>
    <row r="2616" spans="15:18">
      <c r="O2616" s="89"/>
      <c r="P2616" s="90"/>
      <c r="Q2616" s="89"/>
      <c r="R2616" s="87"/>
    </row>
    <row r="2617" spans="15:18">
      <c r="O2617" s="89"/>
      <c r="P2617" s="90"/>
      <c r="Q2617" s="89"/>
      <c r="R2617" s="87"/>
    </row>
    <row r="2618" spans="15:18">
      <c r="O2618" s="89"/>
      <c r="P2618" s="90"/>
      <c r="Q2618" s="89"/>
      <c r="R2618" s="87"/>
    </row>
    <row r="2619" spans="15:18">
      <c r="O2619" s="89"/>
      <c r="P2619" s="90"/>
      <c r="Q2619" s="89"/>
      <c r="R2619" s="87"/>
    </row>
    <row r="2620" spans="15:18">
      <c r="O2620" s="89"/>
      <c r="P2620" s="90"/>
      <c r="Q2620" s="89"/>
      <c r="R2620" s="87"/>
    </row>
    <row r="2621" spans="15:18">
      <c r="O2621" s="89"/>
      <c r="P2621" s="90"/>
      <c r="Q2621" s="89"/>
      <c r="R2621" s="87"/>
    </row>
    <row r="2622" spans="15:18">
      <c r="O2622" s="89"/>
      <c r="P2622" s="90"/>
      <c r="Q2622" s="89"/>
      <c r="R2622" s="87"/>
    </row>
    <row r="2623" spans="15:18">
      <c r="O2623" s="89"/>
      <c r="P2623" s="90"/>
      <c r="Q2623" s="89"/>
      <c r="R2623" s="87"/>
    </row>
    <row r="2624" spans="15:18">
      <c r="O2624" s="89"/>
      <c r="P2624" s="90"/>
      <c r="Q2624" s="89"/>
      <c r="R2624" s="87"/>
    </row>
    <row r="2625" spans="15:18">
      <c r="O2625" s="89"/>
      <c r="P2625" s="90"/>
      <c r="Q2625" s="89"/>
      <c r="R2625" s="87"/>
    </row>
    <row r="2626" spans="15:18">
      <c r="O2626" s="89"/>
      <c r="P2626" s="90"/>
      <c r="Q2626" s="89"/>
      <c r="R2626" s="87"/>
    </row>
    <row r="2627" spans="15:18">
      <c r="O2627" s="89"/>
      <c r="P2627" s="90"/>
      <c r="Q2627" s="89"/>
      <c r="R2627" s="87"/>
    </row>
    <row r="2628" spans="15:18">
      <c r="O2628" s="89"/>
      <c r="P2628" s="90"/>
      <c r="Q2628" s="89"/>
      <c r="R2628" s="87"/>
    </row>
    <row r="2629" spans="15:18">
      <c r="O2629" s="89"/>
      <c r="P2629" s="90"/>
      <c r="Q2629" s="89"/>
      <c r="R2629" s="87"/>
    </row>
    <row r="2630" spans="15:18">
      <c r="O2630" s="89"/>
      <c r="P2630" s="90"/>
      <c r="Q2630" s="89"/>
      <c r="R2630" s="87"/>
    </row>
    <row r="2631" spans="15:18">
      <c r="O2631" s="89"/>
      <c r="P2631" s="90"/>
      <c r="Q2631" s="89"/>
      <c r="R2631" s="87"/>
    </row>
    <row r="2632" spans="15:18">
      <c r="O2632" s="89"/>
      <c r="P2632" s="90"/>
      <c r="Q2632" s="89"/>
      <c r="R2632" s="87"/>
    </row>
    <row r="2633" spans="15:18">
      <c r="O2633" s="89"/>
      <c r="P2633" s="90"/>
      <c r="Q2633" s="89"/>
      <c r="R2633" s="87"/>
    </row>
    <row r="2634" spans="15:18">
      <c r="O2634" s="89"/>
      <c r="P2634" s="90"/>
      <c r="Q2634" s="89"/>
      <c r="R2634" s="87"/>
    </row>
    <row r="2635" spans="15:18">
      <c r="O2635" s="89"/>
      <c r="P2635" s="90"/>
      <c r="Q2635" s="89"/>
      <c r="R2635" s="87"/>
    </row>
    <row r="2636" spans="15:18">
      <c r="O2636" s="89"/>
      <c r="P2636" s="90"/>
      <c r="Q2636" s="89"/>
      <c r="R2636" s="87"/>
    </row>
    <row r="2637" spans="15:18">
      <c r="O2637" s="89"/>
      <c r="P2637" s="90"/>
      <c r="Q2637" s="89"/>
      <c r="R2637" s="87"/>
    </row>
    <row r="2638" spans="15:18">
      <c r="O2638" s="89"/>
      <c r="P2638" s="90"/>
      <c r="Q2638" s="89"/>
      <c r="R2638" s="87"/>
    </row>
    <row r="2639" spans="15:18">
      <c r="O2639" s="89"/>
      <c r="P2639" s="90"/>
      <c r="Q2639" s="89"/>
      <c r="R2639" s="87"/>
    </row>
    <row r="2640" spans="15:18">
      <c r="O2640" s="89"/>
      <c r="P2640" s="90"/>
      <c r="Q2640" s="89"/>
      <c r="R2640" s="87"/>
    </row>
    <row r="2641" spans="15:18">
      <c r="O2641" s="89"/>
      <c r="P2641" s="90"/>
      <c r="Q2641" s="89"/>
      <c r="R2641" s="87"/>
    </row>
    <row r="2642" spans="15:18">
      <c r="O2642" s="89"/>
      <c r="P2642" s="90"/>
      <c r="Q2642" s="89"/>
      <c r="R2642" s="87"/>
    </row>
    <row r="2643" spans="15:18">
      <c r="O2643" s="89"/>
      <c r="P2643" s="90"/>
      <c r="Q2643" s="89"/>
      <c r="R2643" s="87"/>
    </row>
    <row r="2644" spans="15:18">
      <c r="O2644" s="89"/>
      <c r="P2644" s="90"/>
      <c r="Q2644" s="89"/>
      <c r="R2644" s="87"/>
    </row>
    <row r="2645" spans="15:18">
      <c r="O2645" s="89"/>
      <c r="P2645" s="90"/>
      <c r="Q2645" s="89"/>
      <c r="R2645" s="87"/>
    </row>
    <row r="2646" spans="15:18">
      <c r="O2646" s="89"/>
      <c r="P2646" s="90"/>
      <c r="Q2646" s="89"/>
      <c r="R2646" s="87"/>
    </row>
    <row r="2647" spans="15:18">
      <c r="O2647" s="89"/>
      <c r="P2647" s="90"/>
      <c r="Q2647" s="89"/>
      <c r="R2647" s="87"/>
    </row>
    <row r="2648" spans="15:18">
      <c r="O2648" s="89"/>
      <c r="P2648" s="90"/>
      <c r="Q2648" s="89"/>
      <c r="R2648" s="87"/>
    </row>
    <row r="2649" spans="15:18">
      <c r="O2649" s="89"/>
      <c r="P2649" s="90"/>
      <c r="Q2649" s="89"/>
      <c r="R2649" s="87"/>
    </row>
    <row r="2650" spans="15:18">
      <c r="O2650" s="89"/>
      <c r="P2650" s="90"/>
      <c r="Q2650" s="89"/>
      <c r="R2650" s="87"/>
    </row>
    <row r="2651" spans="15:18">
      <c r="O2651" s="89"/>
      <c r="P2651" s="90"/>
      <c r="Q2651" s="89"/>
      <c r="R2651" s="87"/>
    </row>
    <row r="2652" spans="15:18">
      <c r="O2652" s="89"/>
      <c r="P2652" s="90"/>
      <c r="Q2652" s="89"/>
      <c r="R2652" s="87"/>
    </row>
    <row r="2653" spans="15:18">
      <c r="O2653" s="89"/>
      <c r="P2653" s="90"/>
      <c r="Q2653" s="89"/>
      <c r="R2653" s="87"/>
    </row>
    <row r="2654" spans="15:18">
      <c r="O2654" s="89"/>
      <c r="P2654" s="90"/>
      <c r="Q2654" s="89"/>
      <c r="R2654" s="87"/>
    </row>
    <row r="2655" spans="15:18">
      <c r="O2655" s="89"/>
      <c r="P2655" s="90"/>
      <c r="Q2655" s="89"/>
      <c r="R2655" s="87"/>
    </row>
    <row r="2656" spans="15:18">
      <c r="O2656" s="89"/>
      <c r="P2656" s="90"/>
      <c r="Q2656" s="89"/>
      <c r="R2656" s="87"/>
    </row>
    <row r="2657" spans="15:18">
      <c r="O2657" s="89"/>
      <c r="P2657" s="90"/>
      <c r="Q2657" s="89"/>
      <c r="R2657" s="87"/>
    </row>
    <row r="2658" spans="15:18">
      <c r="O2658" s="89"/>
      <c r="P2658" s="90"/>
      <c r="Q2658" s="89"/>
      <c r="R2658" s="87"/>
    </row>
    <row r="2659" spans="15:18">
      <c r="O2659" s="89"/>
      <c r="P2659" s="90"/>
      <c r="Q2659" s="89"/>
      <c r="R2659" s="87"/>
    </row>
    <row r="2660" spans="15:18">
      <c r="O2660" s="89"/>
      <c r="P2660" s="90"/>
      <c r="Q2660" s="89"/>
      <c r="R2660" s="87"/>
    </row>
    <row r="2661" spans="15:18">
      <c r="O2661" s="89"/>
      <c r="P2661" s="90"/>
      <c r="Q2661" s="89"/>
      <c r="R2661" s="87"/>
    </row>
    <row r="2662" spans="15:18">
      <c r="O2662" s="89"/>
      <c r="P2662" s="90"/>
      <c r="Q2662" s="89"/>
      <c r="R2662" s="87"/>
    </row>
    <row r="2663" spans="15:18">
      <c r="O2663" s="89"/>
      <c r="P2663" s="90"/>
      <c r="Q2663" s="89"/>
      <c r="R2663" s="87"/>
    </row>
    <row r="2664" spans="15:18">
      <c r="O2664" s="89"/>
      <c r="P2664" s="90"/>
      <c r="Q2664" s="89"/>
      <c r="R2664" s="87"/>
    </row>
    <row r="2665" spans="15:18">
      <c r="O2665" s="89"/>
      <c r="P2665" s="90"/>
      <c r="Q2665" s="89"/>
      <c r="R2665" s="87"/>
    </row>
    <row r="2666" spans="15:18">
      <c r="O2666" s="89"/>
      <c r="P2666" s="90"/>
      <c r="Q2666" s="89"/>
      <c r="R2666" s="87"/>
    </row>
    <row r="2667" spans="15:18">
      <c r="O2667" s="89"/>
      <c r="P2667" s="90"/>
      <c r="Q2667" s="89"/>
      <c r="R2667" s="87"/>
    </row>
    <row r="2668" spans="15:18">
      <c r="O2668" s="89"/>
      <c r="P2668" s="90"/>
      <c r="Q2668" s="89"/>
      <c r="R2668" s="87"/>
    </row>
    <row r="2669" spans="15:18">
      <c r="O2669" s="89"/>
      <c r="P2669" s="90"/>
      <c r="Q2669" s="89"/>
      <c r="R2669" s="87"/>
    </row>
    <row r="2670" spans="15:18">
      <c r="O2670" s="89"/>
      <c r="P2670" s="90"/>
      <c r="Q2670" s="89"/>
      <c r="R2670" s="87"/>
    </row>
    <row r="2671" spans="15:18">
      <c r="O2671" s="89"/>
      <c r="P2671" s="90"/>
      <c r="Q2671" s="89"/>
      <c r="R2671" s="87"/>
    </row>
    <row r="2672" spans="15:18">
      <c r="O2672" s="89"/>
      <c r="P2672" s="90"/>
      <c r="Q2672" s="89"/>
      <c r="R2672" s="87"/>
    </row>
    <row r="2673" spans="15:18">
      <c r="O2673" s="89"/>
      <c r="P2673" s="90"/>
      <c r="Q2673" s="89"/>
      <c r="R2673" s="87"/>
    </row>
    <row r="2674" spans="15:18">
      <c r="O2674" s="89"/>
      <c r="P2674" s="90"/>
      <c r="Q2674" s="89"/>
      <c r="R2674" s="87"/>
    </row>
    <row r="2675" spans="15:18">
      <c r="O2675" s="89"/>
      <c r="P2675" s="90"/>
      <c r="Q2675" s="89"/>
      <c r="R2675" s="87"/>
    </row>
    <row r="2676" spans="15:18">
      <c r="O2676" s="89"/>
      <c r="P2676" s="90"/>
      <c r="Q2676" s="89"/>
      <c r="R2676" s="87"/>
    </row>
    <row r="2677" spans="15:18">
      <c r="O2677" s="89"/>
      <c r="P2677" s="90"/>
      <c r="Q2677" s="89"/>
      <c r="R2677" s="87"/>
    </row>
    <row r="2678" spans="15:18">
      <c r="O2678" s="89"/>
      <c r="P2678" s="90"/>
      <c r="Q2678" s="89"/>
      <c r="R2678" s="87"/>
    </row>
    <row r="2679" spans="15:18">
      <c r="O2679" s="89"/>
      <c r="P2679" s="90"/>
      <c r="Q2679" s="89"/>
      <c r="R2679" s="87"/>
    </row>
    <row r="2680" spans="15:18">
      <c r="O2680" s="89"/>
      <c r="P2680" s="90"/>
      <c r="Q2680" s="89"/>
      <c r="R2680" s="87"/>
    </row>
    <row r="2681" spans="15:18">
      <c r="O2681" s="89"/>
      <c r="P2681" s="90"/>
      <c r="Q2681" s="89"/>
      <c r="R2681" s="87"/>
    </row>
    <row r="2682" spans="15:18">
      <c r="O2682" s="89"/>
      <c r="P2682" s="90"/>
      <c r="Q2682" s="89"/>
      <c r="R2682" s="87"/>
    </row>
    <row r="2683" spans="15:18">
      <c r="O2683" s="89"/>
      <c r="P2683" s="90"/>
      <c r="Q2683" s="89"/>
      <c r="R2683" s="87"/>
    </row>
    <row r="2684" spans="15:18">
      <c r="O2684" s="89"/>
      <c r="P2684" s="90"/>
      <c r="Q2684" s="89"/>
      <c r="R2684" s="87"/>
    </row>
    <row r="2685" spans="15:18">
      <c r="O2685" s="89"/>
      <c r="P2685" s="90"/>
      <c r="Q2685" s="89"/>
      <c r="R2685" s="87"/>
    </row>
    <row r="2686" spans="15:18">
      <c r="O2686" s="89"/>
      <c r="P2686" s="90"/>
      <c r="Q2686" s="89"/>
      <c r="R2686" s="87"/>
    </row>
    <row r="2687" spans="15:18">
      <c r="O2687" s="89"/>
      <c r="P2687" s="90"/>
      <c r="Q2687" s="89"/>
      <c r="R2687" s="87"/>
    </row>
    <row r="2688" spans="15:18">
      <c r="O2688" s="89"/>
      <c r="P2688" s="90"/>
      <c r="Q2688" s="89"/>
      <c r="R2688" s="87"/>
    </row>
    <row r="2689" spans="15:18">
      <c r="O2689" s="89"/>
      <c r="P2689" s="90"/>
      <c r="Q2689" s="89"/>
      <c r="R2689" s="87"/>
    </row>
    <row r="2690" spans="15:18">
      <c r="O2690" s="89"/>
      <c r="P2690" s="90"/>
      <c r="Q2690" s="89"/>
      <c r="R2690" s="87"/>
    </row>
    <row r="2691" spans="15:18">
      <c r="O2691" s="89"/>
      <c r="P2691" s="90"/>
      <c r="Q2691" s="89"/>
      <c r="R2691" s="87"/>
    </row>
    <row r="2692" spans="15:18">
      <c r="O2692" s="89"/>
      <c r="P2692" s="90"/>
      <c r="Q2692" s="89"/>
      <c r="R2692" s="87"/>
    </row>
    <row r="2693" spans="15:18">
      <c r="O2693" s="89"/>
      <c r="P2693" s="90"/>
      <c r="Q2693" s="89"/>
      <c r="R2693" s="87"/>
    </row>
    <row r="2694" spans="15:18">
      <c r="O2694" s="89"/>
      <c r="P2694" s="90"/>
      <c r="Q2694" s="89"/>
      <c r="R2694" s="87"/>
    </row>
    <row r="2695" spans="15:18">
      <c r="O2695" s="89"/>
      <c r="P2695" s="90"/>
      <c r="Q2695" s="89"/>
      <c r="R2695" s="87"/>
    </row>
    <row r="2696" spans="15:18">
      <c r="O2696" s="89"/>
      <c r="P2696" s="90"/>
      <c r="Q2696" s="89"/>
      <c r="R2696" s="87"/>
    </row>
    <row r="2697" spans="15:18">
      <c r="O2697" s="89"/>
      <c r="P2697" s="90"/>
      <c r="Q2697" s="89"/>
      <c r="R2697" s="87"/>
    </row>
    <row r="2698" spans="15:18">
      <c r="O2698" s="89"/>
      <c r="P2698" s="90"/>
      <c r="Q2698" s="89"/>
      <c r="R2698" s="87"/>
    </row>
    <row r="2699" spans="15:18">
      <c r="O2699" s="89"/>
      <c r="P2699" s="90"/>
      <c r="Q2699" s="89"/>
      <c r="R2699" s="87"/>
    </row>
    <row r="2700" spans="15:18">
      <c r="O2700" s="89"/>
      <c r="P2700" s="90"/>
      <c r="Q2700" s="89"/>
      <c r="R2700" s="87"/>
    </row>
    <row r="2701" spans="15:18">
      <c r="O2701" s="89"/>
      <c r="P2701" s="90"/>
      <c r="Q2701" s="89"/>
      <c r="R2701" s="87"/>
    </row>
    <row r="2702" spans="15:18">
      <c r="O2702" s="89"/>
      <c r="P2702" s="90"/>
      <c r="Q2702" s="89"/>
      <c r="R2702" s="87"/>
    </row>
    <row r="2703" spans="15:18">
      <c r="O2703" s="89"/>
      <c r="P2703" s="90"/>
      <c r="Q2703" s="89"/>
      <c r="R2703" s="87"/>
    </row>
    <row r="2704" spans="15:18">
      <c r="O2704" s="89"/>
      <c r="P2704" s="90"/>
      <c r="Q2704" s="89"/>
      <c r="R2704" s="87"/>
    </row>
    <row r="2705" spans="15:18">
      <c r="O2705" s="89"/>
      <c r="P2705" s="90"/>
      <c r="Q2705" s="89"/>
      <c r="R2705" s="87"/>
    </row>
    <row r="2706" spans="15:18">
      <c r="O2706" s="89"/>
      <c r="P2706" s="90"/>
      <c r="Q2706" s="89"/>
      <c r="R2706" s="87"/>
    </row>
    <row r="2707" spans="15:18">
      <c r="O2707" s="89"/>
      <c r="P2707" s="90"/>
      <c r="Q2707" s="89"/>
      <c r="R2707" s="87"/>
    </row>
    <row r="2708" spans="15:18">
      <c r="O2708" s="89"/>
      <c r="P2708" s="90"/>
      <c r="Q2708" s="89"/>
      <c r="R2708" s="87"/>
    </row>
    <row r="2709" spans="15:18">
      <c r="O2709" s="89"/>
      <c r="P2709" s="90"/>
      <c r="Q2709" s="89"/>
      <c r="R2709" s="87"/>
    </row>
    <row r="2710" spans="15:18">
      <c r="O2710" s="89"/>
      <c r="P2710" s="90"/>
      <c r="Q2710" s="89"/>
      <c r="R2710" s="87"/>
    </row>
    <row r="2711" spans="15:18">
      <c r="O2711" s="89"/>
      <c r="P2711" s="90"/>
      <c r="Q2711" s="89"/>
      <c r="R2711" s="87"/>
    </row>
    <row r="2712" spans="15:18">
      <c r="O2712" s="89"/>
      <c r="P2712" s="90"/>
      <c r="Q2712" s="89"/>
      <c r="R2712" s="87"/>
    </row>
    <row r="2713" spans="15:18">
      <c r="O2713" s="89"/>
      <c r="P2713" s="90"/>
      <c r="Q2713" s="89"/>
      <c r="R2713" s="87"/>
    </row>
    <row r="2714" spans="15:18">
      <c r="O2714" s="89"/>
      <c r="P2714" s="90"/>
      <c r="Q2714" s="89"/>
      <c r="R2714" s="87"/>
    </row>
    <row r="2715" spans="15:18">
      <c r="O2715" s="89"/>
      <c r="P2715" s="90"/>
      <c r="Q2715" s="89"/>
      <c r="R2715" s="87"/>
    </row>
    <row r="2716" spans="15:18">
      <c r="O2716" s="89"/>
      <c r="P2716" s="90"/>
      <c r="Q2716" s="89"/>
      <c r="R2716" s="87"/>
    </row>
    <row r="2717" spans="15:18">
      <c r="O2717" s="89"/>
      <c r="P2717" s="90"/>
      <c r="Q2717" s="89"/>
      <c r="R2717" s="87"/>
    </row>
    <row r="2718" spans="15:18">
      <c r="O2718" s="89"/>
      <c r="P2718" s="90"/>
      <c r="Q2718" s="89"/>
      <c r="R2718" s="87"/>
    </row>
    <row r="2719" spans="15:18">
      <c r="O2719" s="89"/>
      <c r="P2719" s="90"/>
      <c r="Q2719" s="89"/>
      <c r="R2719" s="87"/>
    </row>
    <row r="2720" spans="15:18">
      <c r="O2720" s="89"/>
      <c r="P2720" s="90"/>
      <c r="Q2720" s="89"/>
      <c r="R2720" s="87"/>
    </row>
    <row r="2721" spans="15:18">
      <c r="O2721" s="89"/>
      <c r="P2721" s="90"/>
      <c r="Q2721" s="89"/>
      <c r="R2721" s="87"/>
    </row>
    <row r="2722" spans="15:18">
      <c r="O2722" s="89"/>
      <c r="P2722" s="90"/>
      <c r="Q2722" s="89"/>
      <c r="R2722" s="87"/>
    </row>
    <row r="2723" spans="15:18">
      <c r="O2723" s="89"/>
      <c r="P2723" s="90"/>
      <c r="Q2723" s="89"/>
      <c r="R2723" s="87"/>
    </row>
    <row r="2724" spans="15:18">
      <c r="O2724" s="89"/>
      <c r="P2724" s="90"/>
      <c r="Q2724" s="89"/>
      <c r="R2724" s="87"/>
    </row>
    <row r="2725" spans="15:18">
      <c r="O2725" s="89"/>
      <c r="P2725" s="90"/>
      <c r="Q2725" s="89"/>
      <c r="R2725" s="87"/>
    </row>
    <row r="2726" spans="15:18">
      <c r="O2726" s="89"/>
      <c r="P2726" s="90"/>
      <c r="Q2726" s="89"/>
      <c r="R2726" s="87"/>
    </row>
    <row r="2727" spans="15:18">
      <c r="O2727" s="89"/>
      <c r="P2727" s="90"/>
      <c r="Q2727" s="89"/>
      <c r="R2727" s="87"/>
    </row>
    <row r="2728" spans="15:18">
      <c r="O2728" s="89"/>
      <c r="P2728" s="90"/>
      <c r="Q2728" s="89"/>
      <c r="R2728" s="87"/>
    </row>
    <row r="2729" spans="15:18">
      <c r="O2729" s="89"/>
      <c r="P2729" s="90"/>
      <c r="Q2729" s="89"/>
      <c r="R2729" s="87"/>
    </row>
    <row r="2730" spans="15:18">
      <c r="O2730" s="89"/>
      <c r="P2730" s="90"/>
      <c r="Q2730" s="89"/>
      <c r="R2730" s="87"/>
    </row>
    <row r="2731" spans="15:18">
      <c r="O2731" s="89"/>
      <c r="P2731" s="90"/>
      <c r="Q2731" s="89"/>
      <c r="R2731" s="87"/>
    </row>
    <row r="2732" spans="15:18">
      <c r="O2732" s="89"/>
      <c r="P2732" s="90"/>
      <c r="Q2732" s="89"/>
      <c r="R2732" s="87"/>
    </row>
    <row r="2733" spans="15:18">
      <c r="O2733" s="89"/>
      <c r="P2733" s="90"/>
      <c r="Q2733" s="89"/>
      <c r="R2733" s="87"/>
    </row>
    <row r="2734" spans="15:18">
      <c r="O2734" s="89"/>
      <c r="P2734" s="90"/>
      <c r="Q2734" s="89"/>
      <c r="R2734" s="87"/>
    </row>
    <row r="2735" spans="15:18">
      <c r="O2735" s="89"/>
      <c r="P2735" s="90"/>
      <c r="Q2735" s="89"/>
      <c r="R2735" s="87"/>
    </row>
    <row r="2736" spans="15:18">
      <c r="O2736" s="89"/>
      <c r="P2736" s="90"/>
      <c r="Q2736" s="89"/>
      <c r="R2736" s="87"/>
    </row>
    <row r="2737" spans="15:18">
      <c r="O2737" s="89"/>
      <c r="P2737" s="90"/>
      <c r="Q2737" s="89"/>
      <c r="R2737" s="87"/>
    </row>
    <row r="2738" spans="15:18">
      <c r="O2738" s="89"/>
      <c r="P2738" s="90"/>
      <c r="Q2738" s="89"/>
      <c r="R2738" s="87"/>
    </row>
    <row r="2739" spans="15:18">
      <c r="O2739" s="89"/>
      <c r="P2739" s="90"/>
      <c r="Q2739" s="89"/>
      <c r="R2739" s="87"/>
    </row>
    <row r="2740" spans="15:18">
      <c r="O2740" s="89"/>
      <c r="P2740" s="90"/>
      <c r="Q2740" s="89"/>
      <c r="R2740" s="87"/>
    </row>
    <row r="2741" spans="15:18">
      <c r="O2741" s="89"/>
      <c r="P2741" s="90"/>
      <c r="Q2741" s="89"/>
      <c r="R2741" s="87"/>
    </row>
    <row r="2742" spans="15:18">
      <c r="O2742" s="89"/>
      <c r="P2742" s="90"/>
      <c r="Q2742" s="89"/>
      <c r="R2742" s="87"/>
    </row>
    <row r="2743" spans="15:18">
      <c r="O2743" s="89"/>
      <c r="P2743" s="90"/>
      <c r="Q2743" s="89"/>
      <c r="R2743" s="87"/>
    </row>
    <row r="2744" spans="15:18">
      <c r="O2744" s="89"/>
      <c r="P2744" s="90"/>
      <c r="Q2744" s="89"/>
      <c r="R2744" s="87"/>
    </row>
    <row r="2745" spans="15:18">
      <c r="O2745" s="89"/>
      <c r="P2745" s="90"/>
      <c r="Q2745" s="89"/>
      <c r="R2745" s="87"/>
    </row>
    <row r="2746" spans="15:18">
      <c r="O2746" s="89"/>
      <c r="P2746" s="90"/>
      <c r="Q2746" s="89"/>
      <c r="R2746" s="87"/>
    </row>
    <row r="2747" spans="15:18">
      <c r="O2747" s="89"/>
      <c r="P2747" s="90"/>
      <c r="Q2747" s="89"/>
      <c r="R2747" s="87"/>
    </row>
    <row r="2748" spans="15:18">
      <c r="O2748" s="89"/>
      <c r="P2748" s="90"/>
      <c r="Q2748" s="89"/>
      <c r="R2748" s="87"/>
    </row>
    <row r="2749" spans="15:18">
      <c r="O2749" s="89"/>
      <c r="P2749" s="90"/>
      <c r="Q2749" s="89"/>
      <c r="R2749" s="87"/>
    </row>
    <row r="2750" spans="15:18">
      <c r="O2750" s="89"/>
      <c r="P2750" s="90"/>
      <c r="Q2750" s="89"/>
      <c r="R2750" s="87"/>
    </row>
    <row r="2751" spans="15:18">
      <c r="O2751" s="89"/>
      <c r="P2751" s="90"/>
      <c r="Q2751" s="89"/>
      <c r="R2751" s="87"/>
    </row>
    <row r="2752" spans="15:18">
      <c r="O2752" s="89"/>
      <c r="P2752" s="90"/>
      <c r="Q2752" s="89"/>
      <c r="R2752" s="87"/>
    </row>
    <row r="2753" spans="15:18">
      <c r="O2753" s="89"/>
      <c r="P2753" s="90"/>
      <c r="Q2753" s="89"/>
      <c r="R2753" s="87"/>
    </row>
    <row r="2754" spans="15:18">
      <c r="O2754" s="89"/>
      <c r="P2754" s="90"/>
      <c r="Q2754" s="89"/>
      <c r="R2754" s="87"/>
    </row>
    <row r="2755" spans="15:18">
      <c r="O2755" s="89"/>
      <c r="P2755" s="90"/>
      <c r="Q2755" s="89"/>
      <c r="R2755" s="87"/>
    </row>
    <row r="2756" spans="15:18">
      <c r="O2756" s="89"/>
      <c r="P2756" s="90"/>
      <c r="Q2756" s="89"/>
      <c r="R2756" s="87"/>
    </row>
    <row r="2757" spans="15:18">
      <c r="O2757" s="89"/>
      <c r="P2757" s="90"/>
      <c r="Q2757" s="89"/>
      <c r="R2757" s="87"/>
    </row>
    <row r="2758" spans="15:18">
      <c r="O2758" s="89"/>
      <c r="P2758" s="90"/>
      <c r="Q2758" s="89"/>
      <c r="R2758" s="87"/>
    </row>
    <row r="2759" spans="15:18">
      <c r="O2759" s="89"/>
      <c r="P2759" s="90"/>
      <c r="Q2759" s="89"/>
      <c r="R2759" s="87"/>
    </row>
    <row r="2760" spans="15:18">
      <c r="O2760" s="89"/>
      <c r="P2760" s="90"/>
      <c r="Q2760" s="89"/>
      <c r="R2760" s="87"/>
    </row>
    <row r="2761" spans="15:18">
      <c r="O2761" s="89"/>
      <c r="P2761" s="90"/>
      <c r="Q2761" s="89"/>
      <c r="R2761" s="87"/>
    </row>
    <row r="2762" spans="15:18">
      <c r="O2762" s="89"/>
      <c r="P2762" s="90"/>
      <c r="Q2762" s="89"/>
      <c r="R2762" s="87"/>
    </row>
    <row r="2763" spans="15:18">
      <c r="O2763" s="89"/>
      <c r="P2763" s="90"/>
      <c r="Q2763" s="89"/>
      <c r="R2763" s="87"/>
    </row>
    <row r="2764" spans="15:18">
      <c r="O2764" s="89"/>
      <c r="P2764" s="90"/>
      <c r="Q2764" s="89"/>
      <c r="R2764" s="87"/>
    </row>
    <row r="2765" spans="15:18">
      <c r="O2765" s="89"/>
      <c r="P2765" s="90"/>
      <c r="Q2765" s="89"/>
      <c r="R2765" s="87"/>
    </row>
    <row r="2766" spans="15:18">
      <c r="O2766" s="89"/>
      <c r="P2766" s="90"/>
      <c r="Q2766" s="89"/>
      <c r="R2766" s="87"/>
    </row>
    <row r="2767" spans="15:18">
      <c r="O2767" s="89"/>
      <c r="P2767" s="90"/>
      <c r="Q2767" s="89"/>
      <c r="R2767" s="87"/>
    </row>
    <row r="2768" spans="15:18">
      <c r="O2768" s="89"/>
      <c r="P2768" s="90"/>
      <c r="Q2768" s="89"/>
      <c r="R2768" s="87"/>
    </row>
    <row r="2769" spans="15:18">
      <c r="O2769" s="89"/>
      <c r="P2769" s="90"/>
      <c r="Q2769" s="89"/>
      <c r="R2769" s="87"/>
    </row>
    <row r="2770" spans="15:18">
      <c r="O2770" s="89"/>
      <c r="P2770" s="90"/>
      <c r="Q2770" s="89"/>
      <c r="R2770" s="87"/>
    </row>
    <row r="2771" spans="15:18">
      <c r="O2771" s="89"/>
      <c r="P2771" s="90"/>
      <c r="Q2771" s="89"/>
      <c r="R2771" s="87"/>
    </row>
    <row r="2772" spans="15:18">
      <c r="O2772" s="89"/>
      <c r="P2772" s="90"/>
      <c r="Q2772" s="89"/>
      <c r="R2772" s="87"/>
    </row>
    <row r="2773" spans="15:18">
      <c r="O2773" s="89"/>
      <c r="P2773" s="90"/>
      <c r="Q2773" s="89"/>
      <c r="R2773" s="87"/>
    </row>
    <row r="2774" spans="15:18">
      <c r="O2774" s="89"/>
      <c r="P2774" s="90"/>
      <c r="Q2774" s="89"/>
      <c r="R2774" s="87"/>
    </row>
    <row r="2775" spans="15:18">
      <c r="O2775" s="89"/>
      <c r="P2775" s="90"/>
      <c r="Q2775" s="89"/>
      <c r="R2775" s="87"/>
    </row>
    <row r="2776" spans="15:18">
      <c r="O2776" s="89"/>
      <c r="P2776" s="90"/>
      <c r="Q2776" s="89"/>
      <c r="R2776" s="87"/>
    </row>
    <row r="2777" spans="15:18">
      <c r="O2777" s="89"/>
      <c r="P2777" s="90"/>
      <c r="Q2777" s="89"/>
      <c r="R2777" s="87"/>
    </row>
    <row r="2778" spans="15:18">
      <c r="O2778" s="89"/>
      <c r="P2778" s="90"/>
      <c r="Q2778" s="89"/>
      <c r="R2778" s="87"/>
    </row>
    <row r="2779" spans="15:18">
      <c r="O2779" s="89"/>
      <c r="P2779" s="90"/>
      <c r="Q2779" s="89"/>
      <c r="R2779" s="87"/>
    </row>
    <row r="2780" spans="15:18">
      <c r="O2780" s="89"/>
      <c r="P2780" s="90"/>
      <c r="Q2780" s="89"/>
      <c r="R2780" s="87"/>
    </row>
    <row r="2781" spans="15:18">
      <c r="O2781" s="89"/>
      <c r="P2781" s="90"/>
      <c r="Q2781" s="89"/>
      <c r="R2781" s="87"/>
    </row>
    <row r="2782" spans="15:18">
      <c r="O2782" s="89"/>
      <c r="P2782" s="90"/>
      <c r="Q2782" s="89"/>
      <c r="R2782" s="87"/>
    </row>
    <row r="2783" spans="15:18">
      <c r="O2783" s="89"/>
      <c r="P2783" s="90"/>
      <c r="Q2783" s="89"/>
      <c r="R2783" s="87"/>
    </row>
    <row r="2784" spans="15:18">
      <c r="O2784" s="89"/>
      <c r="P2784" s="90"/>
      <c r="Q2784" s="89"/>
      <c r="R2784" s="87"/>
    </row>
    <row r="2785" spans="15:18">
      <c r="O2785" s="89"/>
      <c r="P2785" s="90"/>
      <c r="Q2785" s="89"/>
      <c r="R2785" s="87"/>
    </row>
    <row r="2786" spans="15:18">
      <c r="O2786" s="89"/>
      <c r="P2786" s="90"/>
      <c r="Q2786" s="89"/>
      <c r="R2786" s="87"/>
    </row>
    <row r="2787" spans="15:18">
      <c r="O2787" s="89"/>
      <c r="P2787" s="90"/>
      <c r="Q2787" s="89"/>
      <c r="R2787" s="87"/>
    </row>
    <row r="2788" spans="15:18">
      <c r="O2788" s="89"/>
      <c r="P2788" s="90"/>
      <c r="Q2788" s="89"/>
      <c r="R2788" s="87"/>
    </row>
    <row r="2789" spans="15:18">
      <c r="O2789" s="89"/>
      <c r="P2789" s="90"/>
      <c r="Q2789" s="89"/>
      <c r="R2789" s="87"/>
    </row>
    <row r="2790" spans="15:18">
      <c r="O2790" s="89"/>
      <c r="P2790" s="90"/>
      <c r="Q2790" s="89"/>
      <c r="R2790" s="87"/>
    </row>
    <row r="2791" spans="15:18">
      <c r="O2791" s="89"/>
      <c r="P2791" s="90"/>
      <c r="Q2791" s="89"/>
      <c r="R2791" s="87"/>
    </row>
    <row r="2792" spans="15:18">
      <c r="O2792" s="89"/>
      <c r="P2792" s="90"/>
      <c r="Q2792" s="89"/>
      <c r="R2792" s="87"/>
    </row>
    <row r="2793" spans="15:18">
      <c r="O2793" s="89"/>
      <c r="P2793" s="90"/>
      <c r="Q2793" s="89"/>
      <c r="R2793" s="87"/>
    </row>
    <row r="2794" spans="15:18">
      <c r="O2794" s="89"/>
      <c r="P2794" s="90"/>
      <c r="Q2794" s="89"/>
      <c r="R2794" s="87"/>
    </row>
    <row r="2795" spans="15:18">
      <c r="O2795" s="89"/>
      <c r="P2795" s="90"/>
      <c r="Q2795" s="89"/>
      <c r="R2795" s="87"/>
    </row>
    <row r="2796" spans="15:18">
      <c r="O2796" s="89"/>
      <c r="P2796" s="90"/>
      <c r="Q2796" s="89"/>
      <c r="R2796" s="87"/>
    </row>
    <row r="2797" spans="15:18">
      <c r="O2797" s="89"/>
      <c r="P2797" s="90"/>
      <c r="Q2797" s="89"/>
      <c r="R2797" s="87"/>
    </row>
    <row r="2798" spans="15:18">
      <c r="O2798" s="89"/>
      <c r="P2798" s="90"/>
      <c r="Q2798" s="89"/>
      <c r="R2798" s="87"/>
    </row>
    <row r="2799" spans="15:18">
      <c r="O2799" s="89"/>
      <c r="P2799" s="90"/>
      <c r="Q2799" s="89"/>
      <c r="R2799" s="87"/>
    </row>
    <row r="2800" spans="15:18">
      <c r="O2800" s="89"/>
      <c r="P2800" s="90"/>
      <c r="Q2800" s="89"/>
      <c r="R2800" s="87"/>
    </row>
    <row r="2801" spans="15:18">
      <c r="O2801" s="89"/>
      <c r="P2801" s="90"/>
      <c r="Q2801" s="89"/>
      <c r="R2801" s="87"/>
    </row>
    <row r="2802" spans="15:18">
      <c r="O2802" s="89"/>
      <c r="P2802" s="90"/>
      <c r="Q2802" s="89"/>
      <c r="R2802" s="87"/>
    </row>
    <row r="2803" spans="15:18">
      <c r="O2803" s="89"/>
      <c r="P2803" s="90"/>
      <c r="Q2803" s="89"/>
      <c r="R2803" s="87"/>
    </row>
    <row r="2804" spans="15:18">
      <c r="O2804" s="89"/>
      <c r="P2804" s="90"/>
      <c r="Q2804" s="89"/>
      <c r="R2804" s="87"/>
    </row>
    <row r="2805" spans="15:18">
      <c r="O2805" s="89"/>
      <c r="P2805" s="90"/>
      <c r="Q2805" s="89"/>
      <c r="R2805" s="87"/>
    </row>
    <row r="2806" spans="15:18">
      <c r="O2806" s="89"/>
      <c r="P2806" s="90"/>
      <c r="Q2806" s="89"/>
      <c r="R2806" s="87"/>
    </row>
    <row r="2807" spans="15:18">
      <c r="O2807" s="89"/>
      <c r="P2807" s="90"/>
      <c r="Q2807" s="89"/>
      <c r="R2807" s="87"/>
    </row>
    <row r="2808" spans="15:18">
      <c r="O2808" s="89"/>
      <c r="P2808" s="90"/>
      <c r="Q2808" s="89"/>
      <c r="R2808" s="87"/>
    </row>
    <row r="2809" spans="15:18">
      <c r="O2809" s="89"/>
      <c r="P2809" s="90"/>
      <c r="Q2809" s="89"/>
      <c r="R2809" s="87"/>
    </row>
    <row r="2810" spans="15:18">
      <c r="O2810" s="89"/>
      <c r="P2810" s="90"/>
      <c r="Q2810" s="89"/>
      <c r="R2810" s="87"/>
    </row>
    <row r="2811" spans="15:18">
      <c r="O2811" s="89"/>
      <c r="P2811" s="90"/>
      <c r="Q2811" s="89"/>
      <c r="R2811" s="87"/>
    </row>
    <row r="2812" spans="15:18">
      <c r="O2812" s="89"/>
      <c r="P2812" s="90"/>
      <c r="Q2812" s="89"/>
      <c r="R2812" s="87"/>
    </row>
    <row r="2813" spans="15:18">
      <c r="O2813" s="89"/>
      <c r="P2813" s="90"/>
      <c r="Q2813" s="89"/>
      <c r="R2813" s="87"/>
    </row>
    <row r="2814" spans="15:18">
      <c r="O2814" s="89"/>
      <c r="P2814" s="90"/>
      <c r="Q2814" s="89"/>
      <c r="R2814" s="87"/>
    </row>
    <row r="2815" spans="15:18">
      <c r="O2815" s="89"/>
      <c r="P2815" s="90"/>
      <c r="Q2815" s="89"/>
      <c r="R2815" s="87"/>
    </row>
    <row r="2816" spans="15:18">
      <c r="O2816" s="89"/>
      <c r="P2816" s="90"/>
      <c r="Q2816" s="89"/>
      <c r="R2816" s="87"/>
    </row>
    <row r="2817" spans="15:18">
      <c r="O2817" s="89"/>
      <c r="P2817" s="90"/>
      <c r="Q2817" s="89"/>
      <c r="R2817" s="87"/>
    </row>
    <row r="2818" spans="15:18">
      <c r="O2818" s="89"/>
      <c r="P2818" s="90"/>
      <c r="Q2818" s="89"/>
      <c r="R2818" s="87"/>
    </row>
    <row r="2819" spans="15:18">
      <c r="O2819" s="89"/>
      <c r="P2819" s="90"/>
      <c r="Q2819" s="89"/>
      <c r="R2819" s="87"/>
    </row>
    <row r="2820" spans="15:18">
      <c r="O2820" s="89"/>
      <c r="P2820" s="90"/>
      <c r="Q2820" s="89"/>
      <c r="R2820" s="87"/>
    </row>
    <row r="2821" spans="15:18">
      <c r="O2821" s="89"/>
      <c r="P2821" s="90"/>
      <c r="Q2821" s="89"/>
      <c r="R2821" s="87"/>
    </row>
    <row r="2822" spans="15:18">
      <c r="O2822" s="89"/>
      <c r="P2822" s="90"/>
      <c r="Q2822" s="89"/>
      <c r="R2822" s="87"/>
    </row>
    <row r="2823" spans="15:18">
      <c r="O2823" s="89"/>
      <c r="P2823" s="90"/>
      <c r="Q2823" s="89"/>
      <c r="R2823" s="87"/>
    </row>
    <row r="2824" spans="15:18">
      <c r="O2824" s="89"/>
      <c r="P2824" s="90"/>
      <c r="Q2824" s="89"/>
      <c r="R2824" s="87"/>
    </row>
    <row r="2825" spans="15:18">
      <c r="O2825" s="89"/>
      <c r="P2825" s="90"/>
      <c r="Q2825" s="89"/>
      <c r="R2825" s="87"/>
    </row>
    <row r="2826" spans="15:18">
      <c r="O2826" s="89"/>
      <c r="P2826" s="90"/>
      <c r="Q2826" s="89"/>
      <c r="R2826" s="87"/>
    </row>
    <row r="2827" spans="15:18">
      <c r="O2827" s="89"/>
      <c r="P2827" s="90"/>
      <c r="Q2827" s="89"/>
      <c r="R2827" s="87"/>
    </row>
    <row r="2828" spans="15:18">
      <c r="O2828" s="89"/>
      <c r="P2828" s="90"/>
      <c r="Q2828" s="89"/>
      <c r="R2828" s="87"/>
    </row>
    <row r="2829" spans="15:18">
      <c r="O2829" s="89"/>
      <c r="P2829" s="90"/>
      <c r="Q2829" s="89"/>
      <c r="R2829" s="87"/>
    </row>
    <row r="2830" spans="15:18">
      <c r="O2830" s="89"/>
      <c r="P2830" s="90"/>
      <c r="Q2830" s="89"/>
      <c r="R2830" s="87"/>
    </row>
    <row r="2831" spans="15:18">
      <c r="O2831" s="89"/>
      <c r="P2831" s="90"/>
      <c r="Q2831" s="89"/>
      <c r="R2831" s="87"/>
    </row>
    <row r="2832" spans="15:18">
      <c r="O2832" s="89"/>
      <c r="P2832" s="90"/>
      <c r="Q2832" s="89"/>
      <c r="R2832" s="87"/>
    </row>
    <row r="2833" spans="15:18">
      <c r="O2833" s="89"/>
      <c r="P2833" s="90"/>
      <c r="Q2833" s="89"/>
      <c r="R2833" s="87"/>
    </row>
    <row r="2834" spans="15:18">
      <c r="O2834" s="89"/>
      <c r="P2834" s="90"/>
      <c r="Q2834" s="89"/>
      <c r="R2834" s="87"/>
    </row>
    <row r="2835" spans="15:18">
      <c r="O2835" s="89"/>
      <c r="P2835" s="90"/>
      <c r="Q2835" s="89"/>
      <c r="R2835" s="87"/>
    </row>
    <row r="2836" spans="15:18">
      <c r="O2836" s="89"/>
      <c r="P2836" s="90"/>
      <c r="Q2836" s="89"/>
      <c r="R2836" s="87"/>
    </row>
    <row r="2837" spans="15:18">
      <c r="O2837" s="89"/>
      <c r="P2837" s="90"/>
      <c r="Q2837" s="89"/>
      <c r="R2837" s="87"/>
    </row>
    <row r="2838" spans="15:18">
      <c r="O2838" s="89"/>
      <c r="P2838" s="90"/>
      <c r="Q2838" s="89"/>
      <c r="R2838" s="87"/>
    </row>
    <row r="2839" spans="15:18">
      <c r="O2839" s="89"/>
      <c r="P2839" s="90"/>
      <c r="Q2839" s="89"/>
      <c r="R2839" s="87"/>
    </row>
    <row r="2840" spans="15:18">
      <c r="O2840" s="89"/>
      <c r="P2840" s="90"/>
      <c r="Q2840" s="89"/>
      <c r="R2840" s="87"/>
    </row>
    <row r="2841" spans="15:18">
      <c r="O2841" s="89"/>
      <c r="P2841" s="90"/>
      <c r="Q2841" s="89"/>
      <c r="R2841" s="87"/>
    </row>
    <row r="2842" spans="15:18">
      <c r="O2842" s="89"/>
      <c r="P2842" s="90"/>
      <c r="Q2842" s="89"/>
      <c r="R2842" s="87"/>
    </row>
    <row r="2843" spans="15:18">
      <c r="O2843" s="89"/>
      <c r="P2843" s="90"/>
      <c r="Q2843" s="89"/>
      <c r="R2843" s="87"/>
    </row>
    <row r="2844" spans="15:18">
      <c r="O2844" s="89"/>
      <c r="P2844" s="90"/>
      <c r="Q2844" s="89"/>
      <c r="R2844" s="87"/>
    </row>
    <row r="2845" spans="15:18">
      <c r="O2845" s="89"/>
      <c r="P2845" s="90"/>
      <c r="Q2845" s="89"/>
      <c r="R2845" s="87"/>
    </row>
    <row r="2846" spans="15:18">
      <c r="O2846" s="89"/>
      <c r="P2846" s="90"/>
      <c r="Q2846" s="89"/>
      <c r="R2846" s="87"/>
    </row>
    <row r="2847" spans="15:18">
      <c r="O2847" s="89"/>
      <c r="P2847" s="90"/>
      <c r="Q2847" s="89"/>
      <c r="R2847" s="87"/>
    </row>
    <row r="2848" spans="15:18">
      <c r="O2848" s="89"/>
      <c r="P2848" s="90"/>
      <c r="Q2848" s="89"/>
      <c r="R2848" s="87"/>
    </row>
    <row r="2849" spans="15:18">
      <c r="O2849" s="89"/>
      <c r="P2849" s="90"/>
      <c r="Q2849" s="89"/>
      <c r="R2849" s="87"/>
    </row>
    <row r="2850" spans="15:18">
      <c r="O2850" s="89"/>
      <c r="P2850" s="90"/>
      <c r="Q2850" s="89"/>
      <c r="R2850" s="87"/>
    </row>
    <row r="2851" spans="15:18">
      <c r="O2851" s="89"/>
      <c r="P2851" s="90"/>
      <c r="Q2851" s="89"/>
      <c r="R2851" s="87"/>
    </row>
    <row r="2852" spans="15:18">
      <c r="O2852" s="89"/>
      <c r="P2852" s="90"/>
      <c r="Q2852" s="89"/>
      <c r="R2852" s="87"/>
    </row>
    <row r="2853" spans="15:18">
      <c r="O2853" s="89"/>
      <c r="P2853" s="90"/>
      <c r="Q2853" s="89"/>
      <c r="R2853" s="87"/>
    </row>
    <row r="2854" spans="15:18">
      <c r="O2854" s="89"/>
      <c r="P2854" s="90"/>
      <c r="Q2854" s="89"/>
      <c r="R2854" s="87"/>
    </row>
    <row r="2855" spans="15:18">
      <c r="O2855" s="89"/>
      <c r="P2855" s="90"/>
      <c r="Q2855" s="89"/>
      <c r="R2855" s="87"/>
    </row>
    <row r="2856" spans="15:18">
      <c r="O2856" s="89"/>
      <c r="P2856" s="90"/>
      <c r="Q2856" s="89"/>
      <c r="R2856" s="87"/>
    </row>
    <row r="2857" spans="15:18">
      <c r="O2857" s="89"/>
      <c r="P2857" s="90"/>
      <c r="Q2857" s="89"/>
      <c r="R2857" s="87"/>
    </row>
    <row r="2858" spans="15:18">
      <c r="O2858" s="89"/>
      <c r="P2858" s="90"/>
      <c r="Q2858" s="89"/>
      <c r="R2858" s="87"/>
    </row>
    <row r="2859" spans="15:18">
      <c r="O2859" s="89"/>
      <c r="P2859" s="90"/>
      <c r="Q2859" s="89"/>
      <c r="R2859" s="87"/>
    </row>
    <row r="2860" spans="15:18">
      <c r="O2860" s="89"/>
      <c r="P2860" s="90"/>
      <c r="Q2860" s="89"/>
      <c r="R2860" s="87"/>
    </row>
    <row r="2861" spans="15:18">
      <c r="O2861" s="89"/>
      <c r="P2861" s="90"/>
      <c r="Q2861" s="89"/>
      <c r="R2861" s="87"/>
    </row>
    <row r="2862" spans="15:18">
      <c r="O2862" s="89"/>
      <c r="P2862" s="90"/>
      <c r="Q2862" s="89"/>
      <c r="R2862" s="87"/>
    </row>
    <row r="2863" spans="15:18">
      <c r="O2863" s="89"/>
      <c r="P2863" s="90"/>
      <c r="Q2863" s="89"/>
      <c r="R2863" s="87"/>
    </row>
    <row r="2864" spans="15:18">
      <c r="O2864" s="89"/>
      <c r="P2864" s="90"/>
      <c r="Q2864" s="89"/>
      <c r="R2864" s="87"/>
    </row>
    <row r="2865" spans="15:18">
      <c r="O2865" s="89"/>
      <c r="P2865" s="90"/>
      <c r="Q2865" s="89"/>
      <c r="R2865" s="87"/>
    </row>
    <row r="2866" spans="15:18">
      <c r="O2866" s="89"/>
      <c r="P2866" s="90"/>
      <c r="Q2866" s="89"/>
      <c r="R2866" s="87"/>
    </row>
    <row r="2867" spans="15:18">
      <c r="O2867" s="89"/>
      <c r="P2867" s="90"/>
      <c r="Q2867" s="89"/>
      <c r="R2867" s="87"/>
    </row>
    <row r="2868" spans="15:18">
      <c r="O2868" s="89"/>
      <c r="P2868" s="90"/>
      <c r="Q2868" s="89"/>
      <c r="R2868" s="87"/>
    </row>
    <row r="2869" spans="15:18">
      <c r="O2869" s="89"/>
      <c r="P2869" s="90"/>
      <c r="Q2869" s="89"/>
      <c r="R2869" s="87"/>
    </row>
    <row r="2870" spans="15:18">
      <c r="O2870" s="89"/>
      <c r="P2870" s="90"/>
      <c r="Q2870" s="89"/>
      <c r="R2870" s="87"/>
    </row>
    <row r="2871" spans="15:18">
      <c r="O2871" s="89"/>
      <c r="P2871" s="90"/>
      <c r="Q2871" s="89"/>
      <c r="R2871" s="87"/>
    </row>
    <row r="2872" spans="15:18">
      <c r="O2872" s="89"/>
      <c r="P2872" s="90"/>
      <c r="Q2872" s="89"/>
      <c r="R2872" s="87"/>
    </row>
    <row r="2873" spans="15:18">
      <c r="O2873" s="89"/>
      <c r="P2873" s="90"/>
      <c r="Q2873" s="89"/>
      <c r="R2873" s="87"/>
    </row>
    <row r="2874" spans="15:18">
      <c r="O2874" s="89"/>
      <c r="P2874" s="90"/>
      <c r="Q2874" s="89"/>
      <c r="R2874" s="87"/>
    </row>
    <row r="2875" spans="15:18">
      <c r="O2875" s="89"/>
      <c r="P2875" s="90"/>
      <c r="Q2875" s="89"/>
      <c r="R2875" s="87"/>
    </row>
    <row r="2876" spans="15:18">
      <c r="O2876" s="89"/>
      <c r="P2876" s="90"/>
      <c r="Q2876" s="89"/>
      <c r="R2876" s="87"/>
    </row>
    <row r="2877" spans="15:18">
      <c r="O2877" s="89"/>
      <c r="P2877" s="90"/>
      <c r="Q2877" s="89"/>
      <c r="R2877" s="87"/>
    </row>
    <row r="2878" spans="15:18">
      <c r="O2878" s="89"/>
      <c r="P2878" s="90"/>
      <c r="Q2878" s="89"/>
      <c r="R2878" s="87"/>
    </row>
    <row r="2879" spans="15:18">
      <c r="O2879" s="89"/>
      <c r="P2879" s="90"/>
      <c r="Q2879" s="89"/>
      <c r="R2879" s="87"/>
    </row>
    <row r="2880" spans="15:18">
      <c r="O2880" s="89"/>
      <c r="P2880" s="90"/>
      <c r="Q2880" s="89"/>
      <c r="R2880" s="87"/>
    </row>
    <row r="2881" spans="15:18">
      <c r="O2881" s="89"/>
      <c r="P2881" s="90"/>
      <c r="Q2881" s="89"/>
      <c r="R2881" s="87"/>
    </row>
    <row r="2882" spans="15:18">
      <c r="O2882" s="89"/>
      <c r="P2882" s="90"/>
      <c r="Q2882" s="89"/>
      <c r="R2882" s="87"/>
    </row>
    <row r="2883" spans="15:18">
      <c r="O2883" s="89"/>
      <c r="P2883" s="90"/>
      <c r="Q2883" s="89"/>
      <c r="R2883" s="87"/>
    </row>
    <row r="2884" spans="15:18">
      <c r="O2884" s="89"/>
      <c r="P2884" s="90"/>
      <c r="Q2884" s="89"/>
      <c r="R2884" s="87"/>
    </row>
    <row r="2885" spans="15:18">
      <c r="O2885" s="89"/>
      <c r="P2885" s="90"/>
      <c r="Q2885" s="89"/>
      <c r="R2885" s="87"/>
    </row>
    <row r="2886" spans="15:18">
      <c r="O2886" s="89"/>
      <c r="P2886" s="90"/>
      <c r="Q2886" s="89"/>
      <c r="R2886" s="87"/>
    </row>
    <row r="2887" spans="15:18">
      <c r="O2887" s="89"/>
      <c r="P2887" s="90"/>
      <c r="Q2887" s="89"/>
      <c r="R2887" s="87"/>
    </row>
    <row r="2888" spans="15:18">
      <c r="O2888" s="89"/>
      <c r="P2888" s="90"/>
      <c r="Q2888" s="89"/>
      <c r="R2888" s="87"/>
    </row>
    <row r="2889" spans="15:18">
      <c r="O2889" s="89"/>
      <c r="P2889" s="90"/>
      <c r="Q2889" s="89"/>
      <c r="R2889" s="87"/>
    </row>
    <row r="2890" spans="15:18">
      <c r="O2890" s="89"/>
      <c r="P2890" s="90"/>
      <c r="Q2890" s="89"/>
      <c r="R2890" s="87"/>
    </row>
    <row r="2891" spans="15:18">
      <c r="O2891" s="89"/>
      <c r="P2891" s="90"/>
      <c r="Q2891" s="89"/>
      <c r="R2891" s="87"/>
    </row>
    <row r="2892" spans="15:18">
      <c r="O2892" s="89"/>
      <c r="P2892" s="90"/>
      <c r="Q2892" s="89"/>
      <c r="R2892" s="87"/>
    </row>
    <row r="2893" spans="15:18">
      <c r="O2893" s="89"/>
      <c r="P2893" s="90"/>
      <c r="Q2893" s="89"/>
      <c r="R2893" s="87"/>
    </row>
    <row r="2894" spans="15:18">
      <c r="O2894" s="89"/>
      <c r="P2894" s="90"/>
      <c r="Q2894" s="89"/>
      <c r="R2894" s="87"/>
    </row>
    <row r="2895" spans="15:18">
      <c r="O2895" s="89"/>
      <c r="P2895" s="90"/>
      <c r="Q2895" s="89"/>
      <c r="R2895" s="87"/>
    </row>
    <row r="2896" spans="15:18">
      <c r="O2896" s="89"/>
      <c r="P2896" s="90"/>
      <c r="Q2896" s="89"/>
      <c r="R2896" s="87"/>
    </row>
    <row r="2897" spans="15:18">
      <c r="O2897" s="89"/>
      <c r="P2897" s="90"/>
      <c r="Q2897" s="89"/>
      <c r="R2897" s="87"/>
    </row>
    <row r="2898" spans="15:18">
      <c r="O2898" s="89"/>
      <c r="P2898" s="90"/>
      <c r="Q2898" s="89"/>
      <c r="R2898" s="87"/>
    </row>
    <row r="2899" spans="15:18">
      <c r="O2899" s="89"/>
      <c r="P2899" s="90"/>
      <c r="Q2899" s="89"/>
      <c r="R2899" s="87"/>
    </row>
    <row r="2900" spans="15:18">
      <c r="O2900" s="89"/>
      <c r="P2900" s="90"/>
      <c r="Q2900" s="89"/>
      <c r="R2900" s="87"/>
    </row>
    <row r="2901" spans="15:18">
      <c r="O2901" s="89"/>
      <c r="P2901" s="90"/>
      <c r="Q2901" s="89"/>
      <c r="R2901" s="87"/>
    </row>
    <row r="2902" spans="15:18">
      <c r="O2902" s="89"/>
      <c r="P2902" s="90"/>
      <c r="Q2902" s="89"/>
      <c r="R2902" s="87"/>
    </row>
    <row r="2903" spans="15:18">
      <c r="O2903" s="89"/>
      <c r="P2903" s="90"/>
      <c r="Q2903" s="89"/>
      <c r="R2903" s="87"/>
    </row>
    <row r="2904" spans="15:18">
      <c r="O2904" s="89"/>
      <c r="P2904" s="90"/>
      <c r="Q2904" s="89"/>
      <c r="R2904" s="87"/>
    </row>
    <row r="2905" spans="15:18">
      <c r="O2905" s="89"/>
      <c r="P2905" s="90"/>
      <c r="Q2905" s="89"/>
      <c r="R2905" s="87"/>
    </row>
    <row r="2906" spans="15:18">
      <c r="O2906" s="89"/>
      <c r="P2906" s="90"/>
      <c r="Q2906" s="89"/>
      <c r="R2906" s="87"/>
    </row>
    <row r="2907" spans="15:18">
      <c r="O2907" s="89"/>
      <c r="P2907" s="90"/>
      <c r="Q2907" s="89"/>
      <c r="R2907" s="87"/>
    </row>
    <row r="2908" spans="15:18">
      <c r="O2908" s="89"/>
      <c r="P2908" s="90"/>
      <c r="Q2908" s="89"/>
      <c r="R2908" s="87"/>
    </row>
    <row r="2909" spans="15:18">
      <c r="O2909" s="89"/>
      <c r="P2909" s="90"/>
      <c r="Q2909" s="89"/>
      <c r="R2909" s="87"/>
    </row>
    <row r="2910" spans="15:18">
      <c r="O2910" s="89"/>
      <c r="P2910" s="90"/>
      <c r="Q2910" s="89"/>
      <c r="R2910" s="87"/>
    </row>
    <row r="2911" spans="15:18">
      <c r="O2911" s="89"/>
      <c r="P2911" s="90"/>
      <c r="Q2911" s="89"/>
      <c r="R2911" s="87"/>
    </row>
    <row r="2912" spans="15:18">
      <c r="O2912" s="89"/>
      <c r="P2912" s="90"/>
      <c r="Q2912" s="89"/>
      <c r="R2912" s="87"/>
    </row>
    <row r="2913" spans="15:18">
      <c r="O2913" s="89"/>
      <c r="P2913" s="90"/>
      <c r="Q2913" s="89"/>
      <c r="R2913" s="87"/>
    </row>
    <row r="2914" spans="15:18">
      <c r="O2914" s="89"/>
      <c r="P2914" s="90"/>
      <c r="Q2914" s="89"/>
      <c r="R2914" s="87"/>
    </row>
    <row r="2915" spans="15:18">
      <c r="O2915" s="89"/>
      <c r="P2915" s="90"/>
      <c r="Q2915" s="89"/>
      <c r="R2915" s="87"/>
    </row>
    <row r="2916" spans="15:18">
      <c r="O2916" s="89"/>
      <c r="P2916" s="90"/>
      <c r="Q2916" s="89"/>
      <c r="R2916" s="87"/>
    </row>
    <row r="2917" spans="15:18">
      <c r="O2917" s="89"/>
      <c r="P2917" s="90"/>
      <c r="Q2917" s="89"/>
      <c r="R2917" s="87"/>
    </row>
    <row r="2918" spans="15:18">
      <c r="O2918" s="89"/>
      <c r="P2918" s="90"/>
      <c r="Q2918" s="89"/>
      <c r="R2918" s="87"/>
    </row>
    <row r="2919" spans="15:18">
      <c r="O2919" s="89"/>
      <c r="P2919" s="90"/>
      <c r="Q2919" s="89"/>
      <c r="R2919" s="87"/>
    </row>
    <row r="2920" spans="15:18">
      <c r="O2920" s="89"/>
      <c r="P2920" s="90"/>
      <c r="Q2920" s="89"/>
      <c r="R2920" s="87"/>
    </row>
    <row r="2921" spans="15:18">
      <c r="O2921" s="89"/>
      <c r="P2921" s="90"/>
      <c r="Q2921" s="89"/>
      <c r="R2921" s="87"/>
    </row>
    <row r="2922" spans="15:18">
      <c r="O2922" s="89"/>
      <c r="P2922" s="90"/>
      <c r="Q2922" s="89"/>
      <c r="R2922" s="87"/>
    </row>
    <row r="2923" spans="15:18">
      <c r="O2923" s="89"/>
      <c r="P2923" s="90"/>
      <c r="Q2923" s="89"/>
      <c r="R2923" s="87"/>
    </row>
    <row r="2924" spans="15:18">
      <c r="O2924" s="89"/>
      <c r="P2924" s="90"/>
      <c r="Q2924" s="89"/>
      <c r="R2924" s="87"/>
    </row>
    <row r="2925" spans="15:18">
      <c r="O2925" s="89"/>
      <c r="P2925" s="90"/>
      <c r="Q2925" s="89"/>
      <c r="R2925" s="87"/>
    </row>
    <row r="2926" spans="15:18">
      <c r="O2926" s="89"/>
      <c r="P2926" s="90"/>
      <c r="Q2926" s="89"/>
      <c r="R2926" s="87"/>
    </row>
    <row r="2927" spans="15:18">
      <c r="O2927" s="89"/>
      <c r="P2927" s="90"/>
      <c r="Q2927" s="89"/>
      <c r="R2927" s="87"/>
    </row>
    <row r="2928" spans="15:18">
      <c r="O2928" s="89"/>
      <c r="P2928" s="90"/>
      <c r="Q2928" s="89"/>
      <c r="R2928" s="87"/>
    </row>
    <row r="2929" spans="15:18">
      <c r="O2929" s="89"/>
      <c r="P2929" s="90"/>
      <c r="Q2929" s="89"/>
      <c r="R2929" s="87"/>
    </row>
    <row r="2930" spans="15:18">
      <c r="O2930" s="89"/>
      <c r="P2930" s="90"/>
      <c r="Q2930" s="89"/>
      <c r="R2930" s="87"/>
    </row>
    <row r="2931" spans="15:18">
      <c r="O2931" s="89"/>
      <c r="P2931" s="90"/>
      <c r="Q2931" s="89"/>
      <c r="R2931" s="87"/>
    </row>
    <row r="2932" spans="15:18">
      <c r="O2932" s="89"/>
      <c r="P2932" s="90"/>
      <c r="Q2932" s="89"/>
      <c r="R2932" s="87"/>
    </row>
    <row r="2933" spans="15:18">
      <c r="O2933" s="89"/>
      <c r="P2933" s="90"/>
      <c r="Q2933" s="89"/>
      <c r="R2933" s="87"/>
    </row>
    <row r="2934" spans="15:18">
      <c r="O2934" s="89"/>
      <c r="P2934" s="90"/>
      <c r="Q2934" s="89"/>
      <c r="R2934" s="87"/>
    </row>
    <row r="2935" spans="15:18">
      <c r="O2935" s="89"/>
      <c r="P2935" s="90"/>
      <c r="Q2935" s="89"/>
      <c r="R2935" s="87"/>
    </row>
    <row r="2936" spans="15:18">
      <c r="O2936" s="89"/>
      <c r="P2936" s="90"/>
      <c r="Q2936" s="89"/>
      <c r="R2936" s="87"/>
    </row>
    <row r="2937" spans="15:18">
      <c r="O2937" s="89"/>
      <c r="P2937" s="90"/>
      <c r="Q2937" s="89"/>
      <c r="R2937" s="87"/>
    </row>
    <row r="2938" spans="15:18">
      <c r="O2938" s="89"/>
      <c r="P2938" s="90"/>
      <c r="Q2938" s="89"/>
      <c r="R2938" s="87"/>
    </row>
    <row r="2939" spans="15:18">
      <c r="O2939" s="89"/>
      <c r="P2939" s="90"/>
      <c r="Q2939" s="89"/>
      <c r="R2939" s="87"/>
    </row>
    <row r="2940" spans="15:18">
      <c r="O2940" s="89"/>
      <c r="P2940" s="90"/>
      <c r="Q2940" s="89"/>
      <c r="R2940" s="87"/>
    </row>
    <row r="2941" spans="15:18">
      <c r="O2941" s="89"/>
      <c r="P2941" s="90"/>
      <c r="Q2941" s="89"/>
      <c r="R2941" s="87"/>
    </row>
    <row r="2942" spans="15:18">
      <c r="O2942" s="89"/>
      <c r="P2942" s="90"/>
      <c r="Q2942" s="89"/>
      <c r="R2942" s="87"/>
    </row>
    <row r="2943" spans="15:18">
      <c r="O2943" s="89"/>
      <c r="P2943" s="90"/>
      <c r="Q2943" s="89"/>
      <c r="R2943" s="87"/>
    </row>
    <row r="2944" spans="15:18">
      <c r="O2944" s="89"/>
      <c r="P2944" s="90"/>
      <c r="Q2944" s="89"/>
      <c r="R2944" s="87"/>
    </row>
    <row r="2945" spans="15:18">
      <c r="O2945" s="89"/>
      <c r="P2945" s="90"/>
      <c r="Q2945" s="89"/>
      <c r="R2945" s="87"/>
    </row>
    <row r="2946" spans="15:18">
      <c r="O2946" s="89"/>
      <c r="P2946" s="90"/>
      <c r="Q2946" s="89"/>
      <c r="R2946" s="87"/>
    </row>
    <row r="2947" spans="15:18">
      <c r="O2947" s="89"/>
      <c r="P2947" s="90"/>
      <c r="Q2947" s="89"/>
      <c r="R2947" s="87"/>
    </row>
    <row r="2948" spans="15:18">
      <c r="O2948" s="89"/>
      <c r="P2948" s="90"/>
      <c r="Q2948" s="89"/>
      <c r="R2948" s="87"/>
    </row>
    <row r="2949" spans="15:18">
      <c r="O2949" s="89"/>
      <c r="P2949" s="90"/>
      <c r="Q2949" s="89"/>
      <c r="R2949" s="87"/>
    </row>
    <row r="2950" spans="15:18">
      <c r="O2950" s="89"/>
      <c r="P2950" s="90"/>
      <c r="Q2950" s="89"/>
      <c r="R2950" s="87"/>
    </row>
    <row r="2951" spans="15:18">
      <c r="O2951" s="89"/>
      <c r="P2951" s="90"/>
      <c r="Q2951" s="89"/>
      <c r="R2951" s="87"/>
    </row>
    <row r="2952" spans="15:18">
      <c r="O2952" s="89"/>
      <c r="P2952" s="90"/>
      <c r="Q2952" s="89"/>
      <c r="R2952" s="87"/>
    </row>
    <row r="2953" spans="15:18">
      <c r="O2953" s="89"/>
      <c r="P2953" s="90"/>
      <c r="Q2953" s="89"/>
      <c r="R2953" s="87"/>
    </row>
    <row r="2954" spans="15:18">
      <c r="O2954" s="89"/>
      <c r="P2954" s="90"/>
      <c r="Q2954" s="89"/>
      <c r="R2954" s="87"/>
    </row>
    <row r="2955" spans="15:18">
      <c r="O2955" s="89"/>
      <c r="P2955" s="90"/>
      <c r="Q2955" s="89"/>
      <c r="R2955" s="87"/>
    </row>
    <row r="2956" spans="15:18">
      <c r="O2956" s="89"/>
      <c r="P2956" s="90"/>
      <c r="Q2956" s="89"/>
      <c r="R2956" s="87"/>
    </row>
    <row r="2957" spans="15:18">
      <c r="O2957" s="89"/>
      <c r="P2957" s="90"/>
      <c r="Q2957" s="89"/>
      <c r="R2957" s="87"/>
    </row>
    <row r="2958" spans="15:18">
      <c r="O2958" s="89"/>
      <c r="P2958" s="90"/>
      <c r="Q2958" s="89"/>
      <c r="R2958" s="87"/>
    </row>
    <row r="2959" spans="15:18">
      <c r="O2959" s="89"/>
      <c r="P2959" s="90"/>
      <c r="Q2959" s="89"/>
      <c r="R2959" s="87"/>
    </row>
    <row r="2960" spans="15:18">
      <c r="O2960" s="89"/>
      <c r="P2960" s="90"/>
      <c r="Q2960" s="89"/>
      <c r="R2960" s="87"/>
    </row>
    <row r="2961" spans="15:18">
      <c r="O2961" s="89"/>
      <c r="P2961" s="90"/>
      <c r="Q2961" s="89"/>
      <c r="R2961" s="87"/>
    </row>
    <row r="2962" spans="15:18">
      <c r="O2962" s="89"/>
      <c r="P2962" s="90"/>
      <c r="Q2962" s="89"/>
      <c r="R2962" s="87"/>
    </row>
    <row r="2963" spans="15:18">
      <c r="O2963" s="89"/>
      <c r="P2963" s="90"/>
      <c r="Q2963" s="89"/>
      <c r="R2963" s="87"/>
    </row>
    <row r="2964" spans="15:18">
      <c r="O2964" s="89"/>
      <c r="P2964" s="90"/>
      <c r="Q2964" s="89"/>
      <c r="R2964" s="87"/>
    </row>
    <row r="2965" spans="15:18">
      <c r="O2965" s="89"/>
      <c r="P2965" s="90"/>
      <c r="Q2965" s="89"/>
      <c r="R2965" s="87"/>
    </row>
    <row r="2966" spans="15:18">
      <c r="O2966" s="89"/>
      <c r="P2966" s="90"/>
      <c r="Q2966" s="89"/>
      <c r="R2966" s="87"/>
    </row>
    <row r="2967" spans="15:18">
      <c r="O2967" s="89"/>
      <c r="P2967" s="90"/>
      <c r="Q2967" s="89"/>
      <c r="R2967" s="87"/>
    </row>
    <row r="2968" spans="15:18">
      <c r="O2968" s="89"/>
      <c r="P2968" s="90"/>
      <c r="Q2968" s="89"/>
      <c r="R2968" s="87"/>
    </row>
    <row r="2969" spans="15:18">
      <c r="O2969" s="89"/>
      <c r="P2969" s="90"/>
      <c r="Q2969" s="89"/>
      <c r="R2969" s="87"/>
    </row>
    <row r="2970" spans="15:18">
      <c r="O2970" s="89"/>
      <c r="P2970" s="90"/>
      <c r="Q2970" s="89"/>
      <c r="R2970" s="87"/>
    </row>
    <row r="2971" spans="15:18">
      <c r="O2971" s="89"/>
      <c r="P2971" s="90"/>
      <c r="Q2971" s="89"/>
      <c r="R2971" s="87"/>
    </row>
    <row r="2972" spans="15:18">
      <c r="O2972" s="89"/>
      <c r="P2972" s="90"/>
      <c r="Q2972" s="89"/>
      <c r="R2972" s="87"/>
    </row>
    <row r="2973" spans="15:18">
      <c r="O2973" s="89"/>
      <c r="P2973" s="90"/>
      <c r="Q2973" s="89"/>
      <c r="R2973" s="87"/>
    </row>
    <row r="2974" spans="15:18">
      <c r="O2974" s="89"/>
      <c r="P2974" s="90"/>
      <c r="Q2974" s="89"/>
      <c r="R2974" s="87"/>
    </row>
    <row r="2975" spans="15:18">
      <c r="O2975" s="89"/>
      <c r="P2975" s="90"/>
      <c r="Q2975" s="89"/>
      <c r="R2975" s="87"/>
    </row>
    <row r="2976" spans="15:18">
      <c r="O2976" s="89"/>
      <c r="P2976" s="90"/>
      <c r="Q2976" s="89"/>
      <c r="R2976" s="87"/>
    </row>
    <row r="2977" spans="15:18">
      <c r="O2977" s="89"/>
      <c r="P2977" s="90"/>
      <c r="Q2977" s="89"/>
      <c r="R2977" s="87"/>
    </row>
    <row r="2978" spans="15:18">
      <c r="O2978" s="89"/>
      <c r="P2978" s="90"/>
      <c r="Q2978" s="89"/>
      <c r="R2978" s="87"/>
    </row>
    <row r="2979" spans="15:18">
      <c r="O2979" s="89"/>
      <c r="P2979" s="90"/>
      <c r="Q2979" s="89"/>
      <c r="R2979" s="87"/>
    </row>
    <row r="2980" spans="15:18">
      <c r="O2980" s="89"/>
      <c r="P2980" s="90"/>
      <c r="Q2980" s="89"/>
      <c r="R2980" s="87"/>
    </row>
    <row r="2981" spans="15:18">
      <c r="O2981" s="89"/>
      <c r="P2981" s="90"/>
      <c r="Q2981" s="89"/>
      <c r="R2981" s="87"/>
    </row>
    <row r="2982" spans="15:18">
      <c r="O2982" s="89"/>
      <c r="P2982" s="90"/>
      <c r="Q2982" s="89"/>
      <c r="R2982" s="87"/>
    </row>
    <row r="2983" spans="15:18">
      <c r="O2983" s="89"/>
      <c r="P2983" s="90"/>
      <c r="Q2983" s="89"/>
      <c r="R2983" s="87"/>
    </row>
    <row r="2984" spans="15:18">
      <c r="O2984" s="89"/>
      <c r="P2984" s="90"/>
      <c r="Q2984" s="89"/>
      <c r="R2984" s="87"/>
    </row>
    <row r="2985" spans="15:18">
      <c r="O2985" s="89"/>
      <c r="P2985" s="90"/>
      <c r="Q2985" s="89"/>
      <c r="R2985" s="87"/>
    </row>
    <row r="2986" spans="15:18">
      <c r="O2986" s="89"/>
      <c r="P2986" s="90"/>
      <c r="Q2986" s="89"/>
      <c r="R2986" s="87"/>
    </row>
    <row r="2987" spans="15:18">
      <c r="O2987" s="89"/>
      <c r="P2987" s="90"/>
      <c r="Q2987" s="89"/>
      <c r="R2987" s="87"/>
    </row>
    <row r="2988" spans="15:18">
      <c r="O2988" s="89"/>
      <c r="P2988" s="90"/>
      <c r="Q2988" s="89"/>
      <c r="R2988" s="87"/>
    </row>
    <row r="2989" spans="15:18">
      <c r="O2989" s="89"/>
      <c r="P2989" s="90"/>
      <c r="Q2989" s="89"/>
      <c r="R2989" s="87"/>
    </row>
    <row r="2990" spans="15:18">
      <c r="O2990" s="89"/>
      <c r="P2990" s="90"/>
      <c r="Q2990" s="89"/>
      <c r="R2990" s="87"/>
    </row>
    <row r="2991" spans="15:18">
      <c r="O2991" s="89"/>
      <c r="P2991" s="90"/>
      <c r="Q2991" s="89"/>
      <c r="R2991" s="87"/>
    </row>
    <row r="2992" spans="15:18">
      <c r="O2992" s="89"/>
      <c r="P2992" s="90"/>
      <c r="Q2992" s="89"/>
      <c r="R2992" s="87"/>
    </row>
    <row r="2993" spans="15:18">
      <c r="O2993" s="89"/>
      <c r="P2993" s="90"/>
      <c r="Q2993" s="89"/>
      <c r="R2993" s="87"/>
    </row>
    <row r="2994" spans="15:18">
      <c r="O2994" s="89"/>
      <c r="P2994" s="90"/>
      <c r="Q2994" s="89"/>
      <c r="R2994" s="87"/>
    </row>
    <row r="2995" spans="15:18">
      <c r="O2995" s="89"/>
      <c r="P2995" s="90"/>
      <c r="Q2995" s="89"/>
      <c r="R2995" s="87"/>
    </row>
    <row r="2996" spans="15:18">
      <c r="O2996" s="89"/>
      <c r="P2996" s="90"/>
      <c r="Q2996" s="89"/>
      <c r="R2996" s="87"/>
    </row>
    <row r="2997" spans="15:18">
      <c r="O2997" s="89"/>
      <c r="P2997" s="90"/>
      <c r="Q2997" s="89"/>
      <c r="R2997" s="87"/>
    </row>
    <row r="2998" spans="15:18">
      <c r="O2998" s="89"/>
      <c r="P2998" s="90"/>
      <c r="Q2998" s="89"/>
      <c r="R2998" s="87"/>
    </row>
    <row r="2999" spans="15:18">
      <c r="O2999" s="89"/>
      <c r="P2999" s="90"/>
      <c r="Q2999" s="89"/>
      <c r="R2999" s="87"/>
    </row>
    <row r="3000" spans="15:18">
      <c r="O3000" s="89"/>
      <c r="P3000" s="90"/>
      <c r="Q3000" s="89"/>
      <c r="R3000" s="87"/>
    </row>
    <row r="3001" spans="15:18">
      <c r="O3001" s="89"/>
      <c r="P3001" s="90"/>
      <c r="Q3001" s="89"/>
      <c r="R3001" s="87"/>
    </row>
    <row r="3002" spans="15:18">
      <c r="O3002" s="89"/>
      <c r="P3002" s="90"/>
      <c r="Q3002" s="89"/>
      <c r="R3002" s="87"/>
    </row>
    <row r="3003" spans="15:18">
      <c r="O3003" s="89"/>
      <c r="P3003" s="90"/>
      <c r="Q3003" s="89"/>
      <c r="R3003" s="87"/>
    </row>
    <row r="3004" spans="15:18">
      <c r="O3004" s="89"/>
      <c r="P3004" s="90"/>
      <c r="Q3004" s="89"/>
      <c r="R3004" s="87"/>
    </row>
    <row r="3005" spans="15:18">
      <c r="O3005" s="89"/>
      <c r="P3005" s="90"/>
      <c r="Q3005" s="89"/>
      <c r="R3005" s="87"/>
    </row>
    <row r="3006" spans="15:18">
      <c r="O3006" s="89"/>
      <c r="P3006" s="90"/>
      <c r="Q3006" s="89"/>
      <c r="R3006" s="87"/>
    </row>
    <row r="3007" spans="15:18">
      <c r="O3007" s="89"/>
      <c r="P3007" s="90"/>
      <c r="Q3007" s="89"/>
      <c r="R3007" s="87"/>
    </row>
    <row r="3008" spans="15:18">
      <c r="O3008" s="89"/>
      <c r="P3008" s="90"/>
      <c r="Q3008" s="89"/>
      <c r="R3008" s="87"/>
    </row>
    <row r="3009" spans="15:18">
      <c r="O3009" s="89"/>
      <c r="P3009" s="90"/>
      <c r="Q3009" s="89"/>
      <c r="R3009" s="87"/>
    </row>
    <row r="3010" spans="15:18">
      <c r="O3010" s="89"/>
      <c r="P3010" s="90"/>
      <c r="Q3010" s="89"/>
      <c r="R3010" s="87"/>
    </row>
    <row r="3011" spans="15:18">
      <c r="O3011" s="89"/>
      <c r="P3011" s="90"/>
      <c r="Q3011" s="89"/>
      <c r="R3011" s="87"/>
    </row>
    <row r="3012" spans="15:18">
      <c r="O3012" s="89"/>
      <c r="P3012" s="90"/>
      <c r="Q3012" s="89"/>
      <c r="R3012" s="87"/>
    </row>
    <row r="3013" spans="15:18">
      <c r="O3013" s="89"/>
      <c r="P3013" s="90"/>
      <c r="Q3013" s="89"/>
      <c r="R3013" s="87"/>
    </row>
    <row r="3014" spans="15:18">
      <c r="O3014" s="89"/>
      <c r="P3014" s="90"/>
      <c r="Q3014" s="89"/>
      <c r="R3014" s="87"/>
    </row>
    <row r="3015" spans="15:18">
      <c r="O3015" s="89"/>
      <c r="P3015" s="90"/>
      <c r="Q3015" s="89"/>
      <c r="R3015" s="87"/>
    </row>
    <row r="3016" spans="15:18">
      <c r="O3016" s="89"/>
      <c r="P3016" s="90"/>
      <c r="Q3016" s="89"/>
      <c r="R3016" s="87"/>
    </row>
    <row r="3017" spans="15:18">
      <c r="O3017" s="89"/>
      <c r="P3017" s="90"/>
      <c r="Q3017" s="89"/>
      <c r="R3017" s="87"/>
    </row>
    <row r="3018" spans="15:18">
      <c r="O3018" s="89"/>
      <c r="P3018" s="90"/>
      <c r="Q3018" s="89"/>
      <c r="R3018" s="87"/>
    </row>
    <row r="3019" spans="15:18">
      <c r="O3019" s="89"/>
      <c r="P3019" s="90"/>
      <c r="Q3019" s="89"/>
      <c r="R3019" s="87"/>
    </row>
    <row r="3020" spans="15:18">
      <c r="O3020" s="89"/>
      <c r="P3020" s="90"/>
      <c r="Q3020" s="89"/>
      <c r="R3020" s="87"/>
    </row>
    <row r="3021" spans="15:18">
      <c r="O3021" s="89"/>
      <c r="P3021" s="90"/>
      <c r="Q3021" s="89"/>
      <c r="R3021" s="87"/>
    </row>
    <row r="3022" spans="15:18">
      <c r="O3022" s="89"/>
      <c r="P3022" s="90"/>
      <c r="Q3022" s="89"/>
      <c r="R3022" s="87"/>
    </row>
    <row r="3023" spans="15:18">
      <c r="O3023" s="89"/>
      <c r="P3023" s="90"/>
      <c r="Q3023" s="89"/>
      <c r="R3023" s="87"/>
    </row>
    <row r="3024" spans="15:18">
      <c r="O3024" s="89"/>
      <c r="P3024" s="90"/>
      <c r="Q3024" s="89"/>
      <c r="R3024" s="87"/>
    </row>
    <row r="3025" spans="15:18">
      <c r="O3025" s="89"/>
      <c r="P3025" s="90"/>
      <c r="Q3025" s="89"/>
      <c r="R3025" s="87"/>
    </row>
    <row r="3026" spans="15:18">
      <c r="O3026" s="89"/>
      <c r="P3026" s="90"/>
      <c r="Q3026" s="89"/>
      <c r="R3026" s="87"/>
    </row>
    <row r="3027" spans="15:18">
      <c r="O3027" s="89"/>
      <c r="P3027" s="90"/>
      <c r="Q3027" s="89"/>
      <c r="R3027" s="87"/>
    </row>
    <row r="3028" spans="15:18">
      <c r="O3028" s="89"/>
      <c r="P3028" s="90"/>
      <c r="Q3028" s="89"/>
      <c r="R3028" s="87"/>
    </row>
    <row r="3029" spans="15:18">
      <c r="O3029" s="89"/>
      <c r="P3029" s="90"/>
      <c r="Q3029" s="89"/>
      <c r="R3029" s="87"/>
    </row>
    <row r="3030" spans="15:18">
      <c r="O3030" s="89"/>
      <c r="P3030" s="90"/>
      <c r="Q3030" s="89"/>
      <c r="R3030" s="87"/>
    </row>
    <row r="3031" spans="15:18">
      <c r="O3031" s="89"/>
      <c r="P3031" s="90"/>
      <c r="Q3031" s="89"/>
      <c r="R3031" s="87"/>
    </row>
    <row r="3032" spans="15:18">
      <c r="O3032" s="89"/>
      <c r="P3032" s="90"/>
      <c r="Q3032" s="89"/>
      <c r="R3032" s="87"/>
    </row>
    <row r="3033" spans="15:18">
      <c r="O3033" s="89"/>
      <c r="P3033" s="90"/>
      <c r="Q3033" s="89"/>
      <c r="R3033" s="87"/>
    </row>
    <row r="3034" spans="15:18">
      <c r="O3034" s="89"/>
      <c r="P3034" s="90"/>
      <c r="Q3034" s="89"/>
      <c r="R3034" s="87"/>
    </row>
    <row r="3035" spans="15:18">
      <c r="O3035" s="89"/>
      <c r="P3035" s="90"/>
      <c r="Q3035" s="89"/>
      <c r="R3035" s="87"/>
    </row>
    <row r="3036" spans="15:18">
      <c r="O3036" s="89"/>
      <c r="P3036" s="90"/>
      <c r="Q3036" s="89"/>
      <c r="R3036" s="87"/>
    </row>
    <row r="3037" spans="15:18">
      <c r="O3037" s="89"/>
      <c r="P3037" s="90"/>
      <c r="Q3037" s="89"/>
      <c r="R3037" s="87"/>
    </row>
    <row r="3038" spans="15:18">
      <c r="O3038" s="89"/>
      <c r="P3038" s="90"/>
      <c r="Q3038" s="89"/>
      <c r="R3038" s="87"/>
    </row>
    <row r="3039" spans="15:18">
      <c r="O3039" s="89"/>
      <c r="P3039" s="90"/>
      <c r="Q3039" s="89"/>
      <c r="R3039" s="87"/>
    </row>
    <row r="3040" spans="15:18">
      <c r="O3040" s="89"/>
      <c r="P3040" s="90"/>
      <c r="Q3040" s="89"/>
      <c r="R3040" s="87"/>
    </row>
    <row r="3041" spans="15:18">
      <c r="O3041" s="89"/>
      <c r="P3041" s="90"/>
      <c r="Q3041" s="89"/>
      <c r="R3041" s="87"/>
    </row>
    <row r="3042" spans="15:18">
      <c r="O3042" s="89"/>
      <c r="P3042" s="90"/>
      <c r="Q3042" s="89"/>
      <c r="R3042" s="87"/>
    </row>
    <row r="3043" spans="15:18">
      <c r="O3043" s="89"/>
      <c r="P3043" s="90"/>
      <c r="Q3043" s="89"/>
      <c r="R3043" s="87"/>
    </row>
    <row r="3044" spans="15:18">
      <c r="O3044" s="89"/>
      <c r="P3044" s="90"/>
      <c r="Q3044" s="89"/>
      <c r="R3044" s="87"/>
    </row>
    <row r="3045" spans="15:18">
      <c r="O3045" s="89"/>
      <c r="P3045" s="90"/>
      <c r="Q3045" s="89"/>
      <c r="R3045" s="87"/>
    </row>
    <row r="3046" spans="15:18">
      <c r="O3046" s="89"/>
      <c r="P3046" s="90"/>
      <c r="Q3046" s="89"/>
      <c r="R3046" s="87"/>
    </row>
    <row r="3047" spans="15:18">
      <c r="O3047" s="89"/>
      <c r="P3047" s="90"/>
      <c r="Q3047" s="89"/>
      <c r="R3047" s="87"/>
    </row>
    <row r="3048" spans="15:18">
      <c r="O3048" s="89"/>
      <c r="P3048" s="90"/>
      <c r="Q3048" s="89"/>
      <c r="R3048" s="87"/>
    </row>
    <row r="3049" spans="15:18">
      <c r="O3049" s="89"/>
      <c r="P3049" s="90"/>
      <c r="Q3049" s="89"/>
      <c r="R3049" s="87"/>
    </row>
    <row r="3050" spans="15:18">
      <c r="O3050" s="89"/>
      <c r="P3050" s="90"/>
      <c r="Q3050" s="89"/>
      <c r="R3050" s="87"/>
    </row>
    <row r="3051" spans="15:18">
      <c r="O3051" s="89"/>
      <c r="P3051" s="90"/>
      <c r="Q3051" s="89"/>
      <c r="R3051" s="87"/>
    </row>
    <row r="3052" spans="15:18">
      <c r="O3052" s="89"/>
      <c r="P3052" s="90"/>
      <c r="Q3052" s="89"/>
      <c r="R3052" s="87"/>
    </row>
    <row r="3053" spans="15:18">
      <c r="O3053" s="89"/>
      <c r="P3053" s="90"/>
      <c r="Q3053" s="89"/>
      <c r="R3053" s="87"/>
    </row>
    <row r="3054" spans="15:18">
      <c r="O3054" s="89"/>
      <c r="P3054" s="90"/>
      <c r="Q3054" s="89"/>
      <c r="R3054" s="87"/>
    </row>
    <row r="3055" spans="15:18">
      <c r="O3055" s="89"/>
      <c r="P3055" s="90"/>
      <c r="Q3055" s="89"/>
      <c r="R3055" s="87"/>
    </row>
    <row r="3056" spans="15:18">
      <c r="O3056" s="89"/>
      <c r="P3056" s="90"/>
      <c r="Q3056" s="89"/>
      <c r="R3056" s="87"/>
    </row>
    <row r="3057" spans="15:18">
      <c r="O3057" s="89"/>
      <c r="P3057" s="90"/>
      <c r="Q3057" s="89"/>
      <c r="R3057" s="87"/>
    </row>
    <row r="3058" spans="15:18">
      <c r="O3058" s="89"/>
      <c r="P3058" s="90"/>
      <c r="Q3058" s="89"/>
      <c r="R3058" s="87"/>
    </row>
    <row r="3059" spans="15:18">
      <c r="O3059" s="89"/>
      <c r="P3059" s="90"/>
      <c r="Q3059" s="89"/>
      <c r="R3059" s="87"/>
    </row>
    <row r="3060" spans="15:18">
      <c r="O3060" s="89"/>
      <c r="P3060" s="90"/>
      <c r="Q3060" s="89"/>
      <c r="R3060" s="87"/>
    </row>
    <row r="3061" spans="15:18">
      <c r="O3061" s="89"/>
      <c r="P3061" s="90"/>
      <c r="Q3061" s="89"/>
      <c r="R3061" s="87"/>
    </row>
    <row r="3062" spans="15:18">
      <c r="O3062" s="89"/>
      <c r="P3062" s="90"/>
      <c r="Q3062" s="89"/>
      <c r="R3062" s="87"/>
    </row>
    <row r="3063" spans="15:18">
      <c r="O3063" s="89"/>
      <c r="P3063" s="90"/>
      <c r="Q3063" s="89"/>
      <c r="R3063" s="87"/>
    </row>
    <row r="3064" spans="15:18">
      <c r="O3064" s="89"/>
      <c r="P3064" s="90"/>
      <c r="Q3064" s="89"/>
      <c r="R3064" s="87"/>
    </row>
    <row r="3065" spans="15:18">
      <c r="O3065" s="89"/>
      <c r="P3065" s="90"/>
      <c r="Q3065" s="89"/>
      <c r="R3065" s="87"/>
    </row>
    <row r="3066" spans="15:18">
      <c r="O3066" s="89"/>
      <c r="P3066" s="90"/>
      <c r="Q3066" s="89"/>
      <c r="R3066" s="87"/>
    </row>
    <row r="3067" spans="15:18">
      <c r="O3067" s="89"/>
      <c r="P3067" s="90"/>
      <c r="Q3067" s="89"/>
      <c r="R3067" s="87"/>
    </row>
    <row r="3068" spans="15:18">
      <c r="O3068" s="89"/>
      <c r="P3068" s="90"/>
      <c r="Q3068" s="89"/>
      <c r="R3068" s="87"/>
    </row>
    <row r="3069" spans="15:18">
      <c r="O3069" s="89"/>
      <c r="P3069" s="90"/>
      <c r="Q3069" s="89"/>
      <c r="R3069" s="87"/>
    </row>
    <row r="3070" spans="15:18">
      <c r="O3070" s="89"/>
      <c r="P3070" s="90"/>
      <c r="Q3070" s="89"/>
      <c r="R3070" s="87"/>
    </row>
    <row r="3071" spans="15:18">
      <c r="O3071" s="89"/>
      <c r="P3071" s="90"/>
      <c r="Q3071" s="89"/>
      <c r="R3071" s="87"/>
    </row>
    <row r="3072" spans="15:18">
      <c r="O3072" s="89"/>
      <c r="P3072" s="90"/>
      <c r="Q3072" s="89"/>
      <c r="R3072" s="87"/>
    </row>
    <row r="3073" spans="15:18">
      <c r="O3073" s="89"/>
      <c r="P3073" s="90"/>
      <c r="Q3073" s="89"/>
      <c r="R3073" s="87"/>
    </row>
    <row r="3074" spans="15:18">
      <c r="O3074" s="89"/>
      <c r="P3074" s="90"/>
      <c r="Q3074" s="89"/>
      <c r="R3074" s="87"/>
    </row>
    <row r="3075" spans="15:18">
      <c r="O3075" s="89"/>
      <c r="P3075" s="90"/>
      <c r="Q3075" s="89"/>
      <c r="R3075" s="87"/>
    </row>
    <row r="3076" spans="15:18">
      <c r="O3076" s="89"/>
      <c r="P3076" s="90"/>
      <c r="Q3076" s="89"/>
      <c r="R3076" s="87"/>
    </row>
    <row r="3077" spans="15:18">
      <c r="O3077" s="89"/>
      <c r="P3077" s="90"/>
      <c r="Q3077" s="89"/>
      <c r="R3077" s="87"/>
    </row>
    <row r="3078" spans="15:18">
      <c r="O3078" s="89"/>
      <c r="P3078" s="90"/>
      <c r="Q3078" s="89"/>
      <c r="R3078" s="87"/>
    </row>
    <row r="3079" spans="15:18">
      <c r="O3079" s="89"/>
      <c r="P3079" s="90"/>
      <c r="Q3079" s="89"/>
      <c r="R3079" s="87"/>
    </row>
    <row r="3080" spans="15:18">
      <c r="O3080" s="89"/>
      <c r="P3080" s="90"/>
      <c r="Q3080" s="89"/>
      <c r="R3080" s="87"/>
    </row>
    <row r="3081" spans="15:18">
      <c r="O3081" s="89"/>
      <c r="P3081" s="90"/>
      <c r="Q3081" s="89"/>
      <c r="R3081" s="87"/>
    </row>
    <row r="3082" spans="15:18">
      <c r="O3082" s="89"/>
      <c r="P3082" s="90"/>
      <c r="Q3082" s="89"/>
      <c r="R3082" s="87"/>
    </row>
    <row r="3083" spans="15:18">
      <c r="O3083" s="89"/>
      <c r="P3083" s="90"/>
      <c r="Q3083" s="89"/>
      <c r="R3083" s="87"/>
    </row>
    <row r="3084" spans="15:18">
      <c r="O3084" s="89"/>
      <c r="P3084" s="90"/>
      <c r="Q3084" s="89"/>
      <c r="R3084" s="87"/>
    </row>
    <row r="3085" spans="15:18">
      <c r="O3085" s="89"/>
      <c r="P3085" s="90"/>
      <c r="Q3085" s="89"/>
      <c r="R3085" s="87"/>
    </row>
    <row r="3086" spans="15:18">
      <c r="O3086" s="89"/>
      <c r="P3086" s="90"/>
      <c r="Q3086" s="89"/>
      <c r="R3086" s="87"/>
    </row>
    <row r="3087" spans="15:18">
      <c r="O3087" s="89"/>
      <c r="P3087" s="90"/>
      <c r="Q3087" s="89"/>
      <c r="R3087" s="87"/>
    </row>
    <row r="3088" spans="15:18">
      <c r="O3088" s="89"/>
      <c r="P3088" s="90"/>
      <c r="Q3088" s="89"/>
      <c r="R3088" s="87"/>
    </row>
    <row r="3089" spans="15:18">
      <c r="O3089" s="89"/>
      <c r="P3089" s="90"/>
      <c r="Q3089" s="89"/>
      <c r="R3089" s="87"/>
    </row>
    <row r="3090" spans="15:18">
      <c r="O3090" s="89"/>
      <c r="P3090" s="90"/>
      <c r="Q3090" s="89"/>
      <c r="R3090" s="87"/>
    </row>
    <row r="3091" spans="15:18">
      <c r="O3091" s="89"/>
      <c r="P3091" s="90"/>
      <c r="Q3091" s="89"/>
      <c r="R3091" s="87"/>
    </row>
    <row r="3092" spans="15:18">
      <c r="O3092" s="89"/>
      <c r="P3092" s="90"/>
      <c r="Q3092" s="89"/>
      <c r="R3092" s="87"/>
    </row>
    <row r="3093" spans="15:18">
      <c r="O3093" s="89"/>
      <c r="P3093" s="90"/>
      <c r="Q3093" s="89"/>
      <c r="R3093" s="87"/>
    </row>
    <row r="3094" spans="15:18">
      <c r="O3094" s="89"/>
      <c r="P3094" s="90"/>
      <c r="Q3094" s="89"/>
      <c r="R3094" s="87"/>
    </row>
    <row r="3095" spans="15:18">
      <c r="O3095" s="89"/>
      <c r="P3095" s="90"/>
      <c r="Q3095" s="89"/>
      <c r="R3095" s="87"/>
    </row>
    <row r="3096" spans="15:18">
      <c r="O3096" s="89"/>
      <c r="P3096" s="90"/>
      <c r="Q3096" s="89"/>
      <c r="R3096" s="87"/>
    </row>
    <row r="3097" spans="15:18">
      <c r="O3097" s="89"/>
      <c r="P3097" s="90"/>
      <c r="Q3097" s="89"/>
      <c r="R3097" s="87"/>
    </row>
    <row r="3098" spans="15:18">
      <c r="O3098" s="89"/>
      <c r="P3098" s="90"/>
      <c r="Q3098" s="89"/>
      <c r="R3098" s="87"/>
    </row>
    <row r="3099" spans="15:18">
      <c r="O3099" s="89"/>
      <c r="P3099" s="90"/>
      <c r="Q3099" s="89"/>
      <c r="R3099" s="87"/>
    </row>
    <row r="3100" spans="15:18">
      <c r="O3100" s="89"/>
      <c r="P3100" s="90"/>
      <c r="Q3100" s="89"/>
      <c r="R3100" s="87"/>
    </row>
    <row r="3101" spans="15:18">
      <c r="O3101" s="89"/>
      <c r="P3101" s="90"/>
      <c r="Q3101" s="89"/>
      <c r="R3101" s="87"/>
    </row>
    <row r="3102" spans="15:18">
      <c r="O3102" s="89"/>
      <c r="P3102" s="90"/>
      <c r="Q3102" s="89"/>
      <c r="R3102" s="87"/>
    </row>
    <row r="3103" spans="15:18">
      <c r="O3103" s="89"/>
      <c r="P3103" s="90"/>
      <c r="Q3103" s="89"/>
      <c r="R3103" s="87"/>
    </row>
    <row r="3104" spans="15:18">
      <c r="O3104" s="89"/>
      <c r="P3104" s="90"/>
      <c r="Q3104" s="89"/>
      <c r="R3104" s="87"/>
    </row>
    <row r="3105" spans="15:18">
      <c r="O3105" s="89"/>
      <c r="P3105" s="90"/>
      <c r="Q3105" s="89"/>
      <c r="R3105" s="87"/>
    </row>
    <row r="3106" spans="15:18">
      <c r="O3106" s="89"/>
      <c r="P3106" s="90"/>
      <c r="Q3106" s="89"/>
      <c r="R3106" s="87"/>
    </row>
    <row r="3107" spans="15:18">
      <c r="O3107" s="89"/>
      <c r="P3107" s="90"/>
      <c r="Q3107" s="89"/>
      <c r="R3107" s="87"/>
    </row>
    <row r="3108" spans="15:18">
      <c r="O3108" s="89"/>
      <c r="P3108" s="90"/>
      <c r="Q3108" s="89"/>
      <c r="R3108" s="87"/>
    </row>
    <row r="3109" spans="15:18">
      <c r="O3109" s="89"/>
      <c r="P3109" s="90"/>
      <c r="Q3109" s="89"/>
      <c r="R3109" s="87"/>
    </row>
    <row r="3110" spans="15:18">
      <c r="O3110" s="89"/>
      <c r="P3110" s="90"/>
      <c r="Q3110" s="89"/>
      <c r="R3110" s="87"/>
    </row>
    <row r="3111" spans="15:18">
      <c r="O3111" s="89"/>
      <c r="P3111" s="90"/>
      <c r="Q3111" s="89"/>
      <c r="R3111" s="87"/>
    </row>
    <row r="3112" spans="15:18">
      <c r="O3112" s="89"/>
      <c r="P3112" s="90"/>
      <c r="Q3112" s="89"/>
      <c r="R3112" s="87"/>
    </row>
    <row r="3113" spans="15:18">
      <c r="O3113" s="89"/>
      <c r="P3113" s="90"/>
      <c r="Q3113" s="89"/>
      <c r="R3113" s="87"/>
    </row>
    <row r="3114" spans="15:18">
      <c r="O3114" s="89"/>
      <c r="P3114" s="90"/>
      <c r="Q3114" s="89"/>
      <c r="R3114" s="87"/>
    </row>
    <row r="3115" spans="15:18">
      <c r="O3115" s="89"/>
      <c r="P3115" s="90"/>
      <c r="Q3115" s="89"/>
      <c r="R3115" s="87"/>
    </row>
    <row r="3116" spans="15:18">
      <c r="O3116" s="89"/>
      <c r="P3116" s="90"/>
      <c r="Q3116" s="89"/>
      <c r="R3116" s="87"/>
    </row>
    <row r="3117" spans="15:18">
      <c r="O3117" s="89"/>
      <c r="P3117" s="90"/>
      <c r="Q3117" s="89"/>
      <c r="R3117" s="87"/>
    </row>
    <row r="3118" spans="15:18">
      <c r="O3118" s="89"/>
      <c r="P3118" s="90"/>
      <c r="Q3118" s="89"/>
      <c r="R3118" s="87"/>
    </row>
    <row r="3119" spans="15:18">
      <c r="O3119" s="89"/>
      <c r="P3119" s="90"/>
      <c r="Q3119" s="89"/>
      <c r="R3119" s="87"/>
    </row>
    <row r="3120" spans="15:18">
      <c r="O3120" s="89"/>
      <c r="P3120" s="90"/>
      <c r="Q3120" s="89"/>
      <c r="R3120" s="87"/>
    </row>
    <row r="3121" spans="15:18">
      <c r="O3121" s="89"/>
      <c r="P3121" s="90"/>
      <c r="Q3121" s="89"/>
      <c r="R3121" s="87"/>
    </row>
    <row r="3122" spans="15:18">
      <c r="O3122" s="89"/>
      <c r="P3122" s="90"/>
      <c r="Q3122" s="89"/>
      <c r="R3122" s="87"/>
    </row>
    <row r="3123" spans="15:18">
      <c r="O3123" s="89"/>
      <c r="P3123" s="90"/>
      <c r="Q3123" s="89"/>
      <c r="R3123" s="87"/>
    </row>
    <row r="3124" spans="15:18">
      <c r="O3124" s="89"/>
      <c r="P3124" s="90"/>
      <c r="Q3124" s="89"/>
      <c r="R3124" s="87"/>
    </row>
    <row r="3125" spans="15:18">
      <c r="O3125" s="89"/>
      <c r="P3125" s="90"/>
      <c r="Q3125" s="89"/>
      <c r="R3125" s="87"/>
    </row>
    <row r="3126" spans="15:18">
      <c r="O3126" s="89"/>
      <c r="P3126" s="90"/>
      <c r="Q3126" s="89"/>
      <c r="R3126" s="87"/>
    </row>
    <row r="3127" spans="15:18">
      <c r="O3127" s="89"/>
      <c r="P3127" s="90"/>
      <c r="Q3127" s="89"/>
      <c r="R3127" s="87"/>
    </row>
    <row r="3128" spans="15:18">
      <c r="O3128" s="89"/>
      <c r="P3128" s="90"/>
      <c r="Q3128" s="89"/>
      <c r="R3128" s="87"/>
    </row>
    <row r="3129" spans="15:18">
      <c r="O3129" s="89"/>
      <c r="P3129" s="90"/>
      <c r="Q3129" s="89"/>
      <c r="R3129" s="87"/>
    </row>
    <row r="3130" spans="15:18">
      <c r="O3130" s="89"/>
      <c r="P3130" s="90"/>
      <c r="Q3130" s="89"/>
      <c r="R3130" s="87"/>
    </row>
    <row r="3131" spans="15:18">
      <c r="O3131" s="89"/>
      <c r="P3131" s="90"/>
      <c r="Q3131" s="89"/>
      <c r="R3131" s="87"/>
    </row>
    <row r="3132" spans="15:18">
      <c r="O3132" s="89"/>
      <c r="P3132" s="90"/>
      <c r="Q3132" s="89"/>
      <c r="R3132" s="87"/>
    </row>
    <row r="3133" spans="15:18">
      <c r="O3133" s="89"/>
      <c r="P3133" s="90"/>
      <c r="Q3133" s="89"/>
      <c r="R3133" s="87"/>
    </row>
    <row r="3134" spans="15:18">
      <c r="O3134" s="89"/>
      <c r="P3134" s="90"/>
      <c r="Q3134" s="89"/>
      <c r="R3134" s="87"/>
    </row>
    <row r="3135" spans="15:18">
      <c r="O3135" s="89"/>
      <c r="P3135" s="90"/>
      <c r="Q3135" s="89"/>
      <c r="R3135" s="87"/>
    </row>
    <row r="3136" spans="15:18">
      <c r="O3136" s="89"/>
      <c r="P3136" s="90"/>
      <c r="Q3136" s="89"/>
      <c r="R3136" s="87"/>
    </row>
    <row r="3137" spans="15:18">
      <c r="O3137" s="89"/>
      <c r="P3137" s="90"/>
      <c r="Q3137" s="89"/>
      <c r="R3137" s="87"/>
    </row>
    <row r="3138" spans="15:18">
      <c r="O3138" s="89"/>
      <c r="P3138" s="90"/>
      <c r="Q3138" s="89"/>
      <c r="R3138" s="87"/>
    </row>
    <row r="3139" spans="15:18">
      <c r="O3139" s="89"/>
      <c r="P3139" s="90"/>
      <c r="Q3139" s="89"/>
      <c r="R3139" s="87"/>
    </row>
    <row r="3140" spans="15:18">
      <c r="O3140" s="89"/>
      <c r="P3140" s="90"/>
      <c r="Q3140" s="89"/>
      <c r="R3140" s="87"/>
    </row>
    <row r="3141" spans="15:18">
      <c r="O3141" s="89"/>
      <c r="P3141" s="90"/>
      <c r="Q3141" s="89"/>
      <c r="R3141" s="87"/>
    </row>
    <row r="3142" spans="15:18">
      <c r="O3142" s="89"/>
      <c r="P3142" s="90"/>
      <c r="Q3142" s="89"/>
      <c r="R3142" s="87"/>
    </row>
    <row r="3143" spans="15:18">
      <c r="O3143" s="89"/>
      <c r="P3143" s="90"/>
      <c r="Q3143" s="89"/>
      <c r="R3143" s="87"/>
    </row>
    <row r="3144" spans="15:18">
      <c r="O3144" s="89"/>
      <c r="P3144" s="90"/>
      <c r="Q3144" s="89"/>
      <c r="R3144" s="87"/>
    </row>
    <row r="3145" spans="15:18">
      <c r="O3145" s="89"/>
      <c r="P3145" s="90"/>
      <c r="Q3145" s="89"/>
      <c r="R3145" s="87"/>
    </row>
    <row r="3146" spans="15:18">
      <c r="O3146" s="89"/>
      <c r="P3146" s="90"/>
      <c r="Q3146" s="89"/>
      <c r="R3146" s="87"/>
    </row>
    <row r="3147" spans="15:18">
      <c r="O3147" s="89"/>
      <c r="P3147" s="90"/>
      <c r="Q3147" s="89"/>
      <c r="R3147" s="87"/>
    </row>
    <row r="3148" spans="15:18">
      <c r="O3148" s="89"/>
      <c r="P3148" s="90"/>
      <c r="Q3148" s="89"/>
      <c r="R3148" s="87"/>
    </row>
    <row r="3149" spans="15:18">
      <c r="O3149" s="89"/>
      <c r="P3149" s="90"/>
      <c r="Q3149" s="89"/>
      <c r="R3149" s="87"/>
    </row>
    <row r="3150" spans="15:18">
      <c r="O3150" s="89"/>
      <c r="P3150" s="90"/>
      <c r="Q3150" s="89"/>
      <c r="R3150" s="87"/>
    </row>
    <row r="3151" spans="15:18">
      <c r="O3151" s="89"/>
      <c r="P3151" s="90"/>
      <c r="Q3151" s="89"/>
      <c r="R3151" s="87"/>
    </row>
    <row r="3152" spans="15:18">
      <c r="O3152" s="89"/>
      <c r="P3152" s="90"/>
      <c r="Q3152" s="89"/>
      <c r="R3152" s="87"/>
    </row>
    <row r="3153" spans="15:18">
      <c r="O3153" s="89"/>
      <c r="P3153" s="90"/>
      <c r="Q3153" s="89"/>
      <c r="R3153" s="87"/>
    </row>
    <row r="3154" spans="15:18">
      <c r="O3154" s="89"/>
      <c r="P3154" s="90"/>
      <c r="Q3154" s="89"/>
      <c r="R3154" s="87"/>
    </row>
    <row r="3155" spans="15:18">
      <c r="O3155" s="89"/>
      <c r="P3155" s="90"/>
      <c r="Q3155" s="89"/>
      <c r="R3155" s="87"/>
    </row>
    <row r="3156" spans="15:18">
      <c r="O3156" s="89"/>
      <c r="P3156" s="90"/>
      <c r="Q3156" s="89"/>
      <c r="R3156" s="87"/>
    </row>
    <row r="3157" spans="15:18">
      <c r="O3157" s="89"/>
      <c r="P3157" s="90"/>
      <c r="Q3157" s="89"/>
      <c r="R3157" s="87"/>
    </row>
    <row r="3158" spans="15:18">
      <c r="O3158" s="89"/>
      <c r="P3158" s="90"/>
      <c r="Q3158" s="89"/>
      <c r="R3158" s="87"/>
    </row>
    <row r="3159" spans="15:18">
      <c r="O3159" s="89"/>
      <c r="P3159" s="90"/>
      <c r="Q3159" s="89"/>
      <c r="R3159" s="87"/>
    </row>
    <row r="3160" spans="15:18">
      <c r="O3160" s="89"/>
      <c r="P3160" s="90"/>
      <c r="Q3160" s="89"/>
      <c r="R3160" s="87"/>
    </row>
    <row r="3161" spans="15:18">
      <c r="O3161" s="89"/>
      <c r="P3161" s="90"/>
      <c r="Q3161" s="89"/>
      <c r="R3161" s="87"/>
    </row>
    <row r="3162" spans="15:18">
      <c r="O3162" s="89"/>
      <c r="P3162" s="90"/>
      <c r="Q3162" s="89"/>
      <c r="R3162" s="87"/>
    </row>
    <row r="3163" spans="15:18">
      <c r="O3163" s="89"/>
      <c r="P3163" s="90"/>
      <c r="Q3163" s="89"/>
      <c r="R3163" s="87"/>
    </row>
    <row r="3164" spans="15:18">
      <c r="O3164" s="89"/>
      <c r="P3164" s="90"/>
      <c r="Q3164" s="89"/>
      <c r="R3164" s="87"/>
    </row>
    <row r="3165" spans="15:18">
      <c r="O3165" s="89"/>
      <c r="P3165" s="90"/>
      <c r="Q3165" s="89"/>
      <c r="R3165" s="87"/>
    </row>
    <row r="3166" spans="15:18">
      <c r="O3166" s="89"/>
      <c r="P3166" s="90"/>
      <c r="Q3166" s="89"/>
      <c r="R3166" s="87"/>
    </row>
    <row r="3167" spans="15:18">
      <c r="O3167" s="89"/>
      <c r="P3167" s="90"/>
      <c r="Q3167" s="89"/>
      <c r="R3167" s="87"/>
    </row>
    <row r="3168" spans="15:18">
      <c r="O3168" s="89"/>
      <c r="P3168" s="90"/>
      <c r="Q3168" s="89"/>
      <c r="R3168" s="87"/>
    </row>
    <row r="3169" spans="15:18">
      <c r="O3169" s="89"/>
      <c r="P3169" s="90"/>
      <c r="Q3169" s="89"/>
      <c r="R3169" s="87"/>
    </row>
    <row r="3170" spans="15:18">
      <c r="O3170" s="89"/>
      <c r="P3170" s="90"/>
      <c r="Q3170" s="89"/>
      <c r="R3170" s="87"/>
    </row>
    <row r="3171" spans="15:18">
      <c r="O3171" s="89"/>
      <c r="P3171" s="90"/>
      <c r="Q3171" s="89"/>
      <c r="R3171" s="87"/>
    </row>
    <row r="3172" spans="15:18">
      <c r="O3172" s="89"/>
      <c r="P3172" s="90"/>
      <c r="Q3172" s="89"/>
      <c r="R3172" s="87"/>
    </row>
    <row r="3173" spans="15:18">
      <c r="O3173" s="89"/>
      <c r="P3173" s="90"/>
      <c r="Q3173" s="89"/>
      <c r="R3173" s="87"/>
    </row>
    <row r="3174" spans="15:18">
      <c r="O3174" s="89"/>
      <c r="P3174" s="90"/>
      <c r="Q3174" s="89"/>
      <c r="R3174" s="87"/>
    </row>
    <row r="3175" spans="15:18">
      <c r="O3175" s="89"/>
      <c r="P3175" s="90"/>
      <c r="Q3175" s="89"/>
      <c r="R3175" s="87"/>
    </row>
    <row r="3176" spans="15:18">
      <c r="O3176" s="89"/>
      <c r="P3176" s="90"/>
      <c r="Q3176" s="89"/>
      <c r="R3176" s="87"/>
    </row>
    <row r="3177" spans="15:18">
      <c r="O3177" s="89"/>
      <c r="P3177" s="90"/>
      <c r="Q3177" s="89"/>
      <c r="R3177" s="87"/>
    </row>
    <row r="3178" spans="15:18">
      <c r="O3178" s="89"/>
      <c r="P3178" s="90"/>
      <c r="Q3178" s="89"/>
      <c r="R3178" s="87"/>
    </row>
    <row r="3179" spans="15:18">
      <c r="O3179" s="89"/>
      <c r="P3179" s="90"/>
      <c r="Q3179" s="89"/>
      <c r="R3179" s="87"/>
    </row>
    <row r="3180" spans="15:18">
      <c r="O3180" s="89"/>
      <c r="P3180" s="90"/>
      <c r="Q3180" s="89"/>
      <c r="R3180" s="87"/>
    </row>
    <row r="3181" spans="15:18">
      <c r="O3181" s="89"/>
      <c r="P3181" s="90"/>
      <c r="Q3181" s="89"/>
      <c r="R3181" s="87"/>
    </row>
    <row r="3182" spans="15:18">
      <c r="O3182" s="89"/>
      <c r="P3182" s="90"/>
      <c r="Q3182" s="89"/>
      <c r="R3182" s="87"/>
    </row>
    <row r="3183" spans="15:18">
      <c r="O3183" s="89"/>
      <c r="P3183" s="90"/>
      <c r="Q3183" s="89"/>
      <c r="R3183" s="87"/>
    </row>
    <row r="3184" spans="15:18">
      <c r="O3184" s="89"/>
      <c r="P3184" s="90"/>
      <c r="Q3184" s="89"/>
      <c r="R3184" s="87"/>
    </row>
    <row r="3185" spans="15:18">
      <c r="O3185" s="89"/>
      <c r="P3185" s="90"/>
      <c r="Q3185" s="89"/>
      <c r="R3185" s="87"/>
    </row>
    <row r="3186" spans="15:18">
      <c r="O3186" s="89"/>
      <c r="P3186" s="90"/>
      <c r="Q3186" s="89"/>
      <c r="R3186" s="87"/>
    </row>
    <row r="3187" spans="15:18">
      <c r="O3187" s="89"/>
      <c r="P3187" s="90"/>
      <c r="Q3187" s="89"/>
      <c r="R3187" s="87"/>
    </row>
    <row r="3188" spans="15:18">
      <c r="O3188" s="89"/>
      <c r="P3188" s="90"/>
      <c r="Q3188" s="89"/>
      <c r="R3188" s="87"/>
    </row>
    <row r="3189" spans="15:18">
      <c r="O3189" s="89"/>
      <c r="P3189" s="90"/>
      <c r="Q3189" s="89"/>
      <c r="R3189" s="87"/>
    </row>
    <row r="3190" spans="15:18">
      <c r="O3190" s="89"/>
      <c r="P3190" s="90"/>
      <c r="Q3190" s="89"/>
      <c r="R3190" s="87"/>
    </row>
    <row r="3191" spans="15:18">
      <c r="O3191" s="89"/>
      <c r="P3191" s="90"/>
      <c r="Q3191" s="89"/>
      <c r="R3191" s="87"/>
    </row>
    <row r="3192" spans="15:18">
      <c r="O3192" s="89"/>
      <c r="P3192" s="90"/>
      <c r="Q3192" s="89"/>
      <c r="R3192" s="87"/>
    </row>
    <row r="3193" spans="15:18">
      <c r="O3193" s="89"/>
      <c r="P3193" s="90"/>
      <c r="Q3193" s="89"/>
      <c r="R3193" s="87"/>
    </row>
    <row r="3194" spans="15:18">
      <c r="O3194" s="89"/>
      <c r="P3194" s="90"/>
      <c r="Q3194" s="89"/>
      <c r="R3194" s="87"/>
    </row>
    <row r="3195" spans="15:18">
      <c r="O3195" s="89"/>
      <c r="P3195" s="90"/>
      <c r="Q3195" s="89"/>
      <c r="R3195" s="87"/>
    </row>
    <row r="3196" spans="15:18">
      <c r="O3196" s="89"/>
      <c r="P3196" s="90"/>
      <c r="Q3196" s="89"/>
      <c r="R3196" s="87"/>
    </row>
    <row r="3197" spans="15:18">
      <c r="O3197" s="89"/>
      <c r="P3197" s="90"/>
      <c r="Q3197" s="89"/>
      <c r="R3197" s="87"/>
    </row>
    <row r="3198" spans="15:18">
      <c r="O3198" s="89"/>
      <c r="P3198" s="90"/>
      <c r="Q3198" s="89"/>
      <c r="R3198" s="87"/>
    </row>
    <row r="3199" spans="15:18">
      <c r="O3199" s="89"/>
      <c r="P3199" s="90"/>
      <c r="Q3199" s="89"/>
      <c r="R3199" s="87"/>
    </row>
    <row r="3200" spans="15:18">
      <c r="O3200" s="89"/>
      <c r="P3200" s="90"/>
      <c r="Q3200" s="89"/>
      <c r="R3200" s="87"/>
    </row>
    <row r="3201" spans="15:18">
      <c r="O3201" s="89"/>
      <c r="P3201" s="90"/>
      <c r="Q3201" s="89"/>
      <c r="R3201" s="87"/>
    </row>
    <row r="3202" spans="15:18">
      <c r="O3202" s="89"/>
      <c r="P3202" s="90"/>
      <c r="Q3202" s="89"/>
      <c r="R3202" s="87"/>
    </row>
    <row r="3203" spans="15:18">
      <c r="O3203" s="89"/>
      <c r="P3203" s="90"/>
      <c r="Q3203" s="89"/>
      <c r="R3203" s="87"/>
    </row>
    <row r="3204" spans="15:18">
      <c r="O3204" s="89"/>
      <c r="P3204" s="90"/>
      <c r="Q3204" s="89"/>
      <c r="R3204" s="87"/>
    </row>
    <row r="3205" spans="15:18">
      <c r="O3205" s="89"/>
      <c r="P3205" s="90"/>
      <c r="Q3205" s="89"/>
      <c r="R3205" s="87"/>
    </row>
    <row r="3206" spans="15:18">
      <c r="O3206" s="89"/>
      <c r="P3206" s="90"/>
      <c r="Q3206" s="89"/>
      <c r="R3206" s="87"/>
    </row>
    <row r="3207" spans="15:18">
      <c r="O3207" s="89"/>
      <c r="P3207" s="90"/>
      <c r="Q3207" s="89"/>
      <c r="R3207" s="87"/>
    </row>
    <row r="3208" spans="15:18">
      <c r="O3208" s="89"/>
      <c r="P3208" s="90"/>
      <c r="Q3208" s="89"/>
      <c r="R3208" s="87"/>
    </row>
    <row r="3209" spans="15:18">
      <c r="O3209" s="89"/>
      <c r="P3209" s="90"/>
      <c r="Q3209" s="89"/>
      <c r="R3209" s="87"/>
    </row>
    <row r="3210" spans="15:18">
      <c r="O3210" s="89"/>
      <c r="P3210" s="90"/>
      <c r="Q3210" s="89"/>
      <c r="R3210" s="87"/>
    </row>
    <row r="3211" spans="15:18">
      <c r="O3211" s="89"/>
      <c r="P3211" s="90"/>
      <c r="Q3211" s="89"/>
      <c r="R3211" s="87"/>
    </row>
    <row r="3212" spans="15:18">
      <c r="O3212" s="89"/>
      <c r="P3212" s="90"/>
      <c r="Q3212" s="89"/>
      <c r="R3212" s="87"/>
    </row>
    <row r="3213" spans="15:18">
      <c r="O3213" s="89"/>
      <c r="P3213" s="90"/>
      <c r="Q3213" s="89"/>
      <c r="R3213" s="87"/>
    </row>
    <row r="3214" spans="15:18">
      <c r="O3214" s="89"/>
      <c r="P3214" s="90"/>
      <c r="Q3214" s="89"/>
      <c r="R3214" s="87"/>
    </row>
    <row r="3215" spans="15:18">
      <c r="O3215" s="89"/>
      <c r="P3215" s="90"/>
      <c r="Q3215" s="89"/>
      <c r="R3215" s="87"/>
    </row>
    <row r="3216" spans="15:18">
      <c r="O3216" s="89"/>
      <c r="P3216" s="90"/>
      <c r="Q3216" s="89"/>
      <c r="R3216" s="87"/>
    </row>
    <row r="3217" spans="15:18">
      <c r="O3217" s="89"/>
      <c r="P3217" s="90"/>
      <c r="Q3217" s="89"/>
      <c r="R3217" s="87"/>
    </row>
    <row r="3218" spans="15:18">
      <c r="O3218" s="89"/>
      <c r="P3218" s="90"/>
      <c r="Q3218" s="89"/>
      <c r="R3218" s="87"/>
    </row>
    <row r="3219" spans="15:18">
      <c r="O3219" s="89"/>
      <c r="P3219" s="90"/>
      <c r="Q3219" s="89"/>
      <c r="R3219" s="87"/>
    </row>
    <row r="3220" spans="15:18">
      <c r="O3220" s="89"/>
      <c r="P3220" s="90"/>
      <c r="Q3220" s="89"/>
      <c r="R3220" s="87"/>
    </row>
    <row r="3221" spans="15:18">
      <c r="O3221" s="89"/>
      <c r="P3221" s="90"/>
      <c r="Q3221" s="89"/>
      <c r="R3221" s="87"/>
    </row>
    <row r="3222" spans="15:18">
      <c r="O3222" s="89"/>
      <c r="P3222" s="90"/>
      <c r="Q3222" s="89"/>
      <c r="R3222" s="87"/>
    </row>
    <row r="3223" spans="15:18">
      <c r="O3223" s="89"/>
      <c r="P3223" s="90"/>
      <c r="Q3223" s="89"/>
      <c r="R3223" s="87"/>
    </row>
    <row r="3224" spans="15:18">
      <c r="O3224" s="89"/>
      <c r="P3224" s="90"/>
      <c r="Q3224" s="89"/>
      <c r="R3224" s="87"/>
    </row>
    <row r="3225" spans="15:18">
      <c r="O3225" s="89"/>
      <c r="P3225" s="90"/>
      <c r="Q3225" s="89"/>
      <c r="R3225" s="87"/>
    </row>
    <row r="3226" spans="15:18">
      <c r="O3226" s="89"/>
      <c r="P3226" s="90"/>
      <c r="Q3226" s="89"/>
      <c r="R3226" s="87"/>
    </row>
    <row r="3227" spans="15:18">
      <c r="O3227" s="89"/>
      <c r="P3227" s="90"/>
      <c r="Q3227" s="89"/>
      <c r="R3227" s="87"/>
    </row>
    <row r="3228" spans="15:18">
      <c r="O3228" s="89"/>
      <c r="P3228" s="90"/>
      <c r="Q3228" s="89"/>
      <c r="R3228" s="87"/>
    </row>
    <row r="3229" spans="15:18">
      <c r="O3229" s="89"/>
      <c r="P3229" s="90"/>
      <c r="Q3229" s="89"/>
      <c r="R3229" s="87"/>
    </row>
    <row r="3230" spans="15:18">
      <c r="O3230" s="89"/>
      <c r="P3230" s="90"/>
      <c r="Q3230" s="89"/>
      <c r="R3230" s="87"/>
    </row>
    <row r="3231" spans="15:18">
      <c r="O3231" s="89"/>
      <c r="P3231" s="90"/>
      <c r="Q3231" s="89"/>
      <c r="R3231" s="87"/>
    </row>
    <row r="3232" spans="15:18">
      <c r="O3232" s="89"/>
      <c r="P3232" s="90"/>
      <c r="Q3232" s="89"/>
      <c r="R3232" s="87"/>
    </row>
    <row r="3233" spans="15:18">
      <c r="O3233" s="89"/>
      <c r="P3233" s="90"/>
      <c r="Q3233" s="89"/>
      <c r="R3233" s="87"/>
    </row>
    <row r="3234" spans="15:18">
      <c r="O3234" s="89"/>
      <c r="P3234" s="90"/>
      <c r="Q3234" s="89"/>
      <c r="R3234" s="87"/>
    </row>
    <row r="3235" spans="15:18">
      <c r="O3235" s="89"/>
      <c r="P3235" s="90"/>
      <c r="Q3235" s="89"/>
      <c r="R3235" s="87"/>
    </row>
    <row r="3236" spans="15:18">
      <c r="O3236" s="89"/>
      <c r="P3236" s="90"/>
      <c r="Q3236" s="89"/>
      <c r="R3236" s="87"/>
    </row>
    <row r="3237" spans="15:18">
      <c r="O3237" s="89"/>
      <c r="P3237" s="90"/>
      <c r="Q3237" s="89"/>
      <c r="R3237" s="87"/>
    </row>
    <row r="3238" spans="15:18">
      <c r="O3238" s="89"/>
      <c r="P3238" s="90"/>
      <c r="Q3238" s="89"/>
      <c r="R3238" s="87"/>
    </row>
    <row r="3239" spans="15:18">
      <c r="O3239" s="89"/>
      <c r="P3239" s="90"/>
      <c r="Q3239" s="89"/>
      <c r="R3239" s="87"/>
    </row>
    <row r="3240" spans="15:18">
      <c r="O3240" s="89"/>
      <c r="P3240" s="90"/>
      <c r="Q3240" s="89"/>
      <c r="R3240" s="87"/>
    </row>
    <row r="3241" spans="15:18">
      <c r="O3241" s="89"/>
      <c r="P3241" s="90"/>
      <c r="Q3241" s="89"/>
      <c r="R3241" s="87"/>
    </row>
    <row r="3242" spans="15:18">
      <c r="O3242" s="89"/>
      <c r="P3242" s="90"/>
      <c r="Q3242" s="89"/>
      <c r="R3242" s="87"/>
    </row>
    <row r="3243" spans="15:18">
      <c r="O3243" s="89"/>
      <c r="P3243" s="90"/>
      <c r="Q3243" s="89"/>
      <c r="R3243" s="87"/>
    </row>
    <row r="3244" spans="15:18">
      <c r="O3244" s="89"/>
      <c r="P3244" s="90"/>
      <c r="Q3244" s="89"/>
      <c r="R3244" s="87"/>
    </row>
    <row r="3245" spans="15:18">
      <c r="O3245" s="89"/>
      <c r="P3245" s="90"/>
      <c r="Q3245" s="89"/>
      <c r="R3245" s="87"/>
    </row>
    <row r="3246" spans="15:18">
      <c r="O3246" s="89"/>
      <c r="P3246" s="90"/>
      <c r="Q3246" s="89"/>
      <c r="R3246" s="87"/>
    </row>
    <row r="3247" spans="15:18">
      <c r="O3247" s="89"/>
      <c r="P3247" s="90"/>
      <c r="Q3247" s="89"/>
      <c r="R3247" s="87"/>
    </row>
    <row r="3248" spans="15:18">
      <c r="O3248" s="89"/>
      <c r="P3248" s="90"/>
      <c r="Q3248" s="89"/>
      <c r="R3248" s="87"/>
    </row>
    <row r="3249" spans="15:18">
      <c r="O3249" s="89"/>
      <c r="P3249" s="90"/>
      <c r="Q3249" s="89"/>
      <c r="R3249" s="87"/>
    </row>
    <row r="3250" spans="15:18">
      <c r="O3250" s="89"/>
      <c r="P3250" s="90"/>
      <c r="Q3250" s="89"/>
      <c r="R3250" s="87"/>
    </row>
    <row r="3251" spans="15:18">
      <c r="O3251" s="89"/>
      <c r="P3251" s="90"/>
      <c r="Q3251" s="89"/>
      <c r="R3251" s="87"/>
    </row>
    <row r="3252" spans="15:18">
      <c r="O3252" s="89"/>
      <c r="P3252" s="90"/>
      <c r="Q3252" s="89"/>
      <c r="R3252" s="87"/>
    </row>
    <row r="3253" spans="15:18">
      <c r="O3253" s="89"/>
      <c r="P3253" s="90"/>
      <c r="Q3253" s="89"/>
      <c r="R3253" s="87"/>
    </row>
    <row r="3254" spans="15:18">
      <c r="O3254" s="89"/>
      <c r="P3254" s="90"/>
      <c r="Q3254" s="89"/>
      <c r="R3254" s="87"/>
    </row>
    <row r="3255" spans="15:18">
      <c r="O3255" s="89"/>
      <c r="P3255" s="90"/>
      <c r="Q3255" s="89"/>
      <c r="R3255" s="87"/>
    </row>
    <row r="3256" spans="15:18">
      <c r="O3256" s="89"/>
      <c r="P3256" s="90"/>
      <c r="Q3256" s="89"/>
      <c r="R3256" s="87"/>
    </row>
    <row r="3257" spans="15:18">
      <c r="O3257" s="89"/>
      <c r="P3257" s="90"/>
      <c r="Q3257" s="89"/>
      <c r="R3257" s="87"/>
    </row>
    <row r="3258" spans="15:18">
      <c r="O3258" s="89"/>
      <c r="P3258" s="90"/>
      <c r="Q3258" s="89"/>
      <c r="R3258" s="87"/>
    </row>
    <row r="3259" spans="15:18">
      <c r="O3259" s="89"/>
      <c r="P3259" s="90"/>
      <c r="Q3259" s="89"/>
      <c r="R3259" s="87"/>
    </row>
    <row r="3260" spans="15:18">
      <c r="O3260" s="89"/>
      <c r="P3260" s="90"/>
      <c r="Q3260" s="89"/>
      <c r="R3260" s="87"/>
    </row>
    <row r="3261" spans="15:18">
      <c r="O3261" s="89"/>
      <c r="P3261" s="90"/>
      <c r="Q3261" s="89"/>
      <c r="R3261" s="87"/>
    </row>
    <row r="3262" spans="15:18">
      <c r="O3262" s="89"/>
      <c r="P3262" s="90"/>
      <c r="Q3262" s="89"/>
      <c r="R3262" s="87"/>
    </row>
    <row r="3263" spans="15:18">
      <c r="O3263" s="89"/>
      <c r="P3263" s="90"/>
      <c r="Q3263" s="89"/>
      <c r="R3263" s="87"/>
    </row>
    <row r="3264" spans="15:18">
      <c r="O3264" s="89"/>
      <c r="P3264" s="90"/>
      <c r="Q3264" s="89"/>
      <c r="R3264" s="87"/>
    </row>
    <row r="3265" spans="15:18">
      <c r="O3265" s="89"/>
      <c r="P3265" s="90"/>
      <c r="Q3265" s="89"/>
      <c r="R3265" s="87"/>
    </row>
    <row r="3266" spans="15:18">
      <c r="O3266" s="89"/>
      <c r="P3266" s="90"/>
      <c r="Q3266" s="89"/>
      <c r="R3266" s="87"/>
    </row>
    <row r="3267" spans="15:18">
      <c r="O3267" s="89"/>
      <c r="P3267" s="90"/>
      <c r="Q3267" s="89"/>
      <c r="R3267" s="87"/>
    </row>
    <row r="3268" spans="15:18">
      <c r="O3268" s="89"/>
      <c r="P3268" s="90"/>
      <c r="Q3268" s="89"/>
      <c r="R3268" s="87"/>
    </row>
    <row r="3269" spans="15:18">
      <c r="O3269" s="89"/>
      <c r="P3269" s="90"/>
      <c r="Q3269" s="89"/>
      <c r="R3269" s="87"/>
    </row>
    <row r="3270" spans="15:18">
      <c r="O3270" s="89"/>
      <c r="P3270" s="90"/>
      <c r="Q3270" s="89"/>
      <c r="R3270" s="87"/>
    </row>
    <row r="3271" spans="15:18">
      <c r="O3271" s="89"/>
      <c r="P3271" s="90"/>
      <c r="Q3271" s="89"/>
      <c r="R3271" s="87"/>
    </row>
    <row r="3272" spans="15:18">
      <c r="O3272" s="89"/>
      <c r="P3272" s="90"/>
      <c r="Q3272" s="89"/>
      <c r="R3272" s="87"/>
    </row>
    <row r="3273" spans="15:18">
      <c r="O3273" s="89"/>
      <c r="P3273" s="90"/>
      <c r="Q3273" s="89"/>
      <c r="R3273" s="87"/>
    </row>
    <row r="3274" spans="15:18">
      <c r="O3274" s="89"/>
      <c r="P3274" s="90"/>
      <c r="Q3274" s="89"/>
      <c r="R3274" s="87"/>
    </row>
    <row r="3275" spans="15:18">
      <c r="O3275" s="89"/>
      <c r="P3275" s="90"/>
      <c r="Q3275" s="89"/>
      <c r="R3275" s="87"/>
    </row>
    <row r="3276" spans="15:18">
      <c r="O3276" s="89"/>
      <c r="P3276" s="90"/>
      <c r="Q3276" s="89"/>
      <c r="R3276" s="87"/>
    </row>
    <row r="3277" spans="15:18">
      <c r="O3277" s="89"/>
      <c r="P3277" s="90"/>
      <c r="Q3277" s="89"/>
      <c r="R3277" s="87"/>
    </row>
    <row r="3278" spans="15:18">
      <c r="O3278" s="89"/>
      <c r="P3278" s="90"/>
      <c r="Q3278" s="89"/>
      <c r="R3278" s="87"/>
    </row>
    <row r="3279" spans="15:18">
      <c r="O3279" s="89"/>
      <c r="P3279" s="90"/>
      <c r="Q3279" s="89"/>
      <c r="R3279" s="87"/>
    </row>
    <row r="3280" spans="15:18">
      <c r="O3280" s="89"/>
      <c r="P3280" s="90"/>
      <c r="Q3280" s="89"/>
      <c r="R3280" s="87"/>
    </row>
    <row r="3281" spans="15:18">
      <c r="O3281" s="89"/>
      <c r="P3281" s="90"/>
      <c r="Q3281" s="89"/>
      <c r="R3281" s="87"/>
    </row>
    <row r="3282" spans="15:18">
      <c r="O3282" s="89"/>
      <c r="P3282" s="90"/>
      <c r="Q3282" s="89"/>
      <c r="R3282" s="87"/>
    </row>
    <row r="3283" spans="15:18">
      <c r="O3283" s="89"/>
      <c r="P3283" s="90"/>
      <c r="Q3283" s="89"/>
      <c r="R3283" s="87"/>
    </row>
    <row r="3284" spans="15:18">
      <c r="O3284" s="89"/>
      <c r="P3284" s="90"/>
      <c r="Q3284" s="89"/>
      <c r="R3284" s="87"/>
    </row>
    <row r="3285" spans="15:18">
      <c r="O3285" s="89"/>
      <c r="P3285" s="90"/>
      <c r="Q3285" s="89"/>
      <c r="R3285" s="87"/>
    </row>
    <row r="3286" spans="15:18">
      <c r="O3286" s="89"/>
      <c r="P3286" s="90"/>
      <c r="Q3286" s="89"/>
      <c r="R3286" s="87"/>
    </row>
    <row r="3287" spans="15:18">
      <c r="O3287" s="89"/>
      <c r="P3287" s="90"/>
      <c r="Q3287" s="89"/>
      <c r="R3287" s="87"/>
    </row>
    <row r="3288" spans="15:18">
      <c r="O3288" s="89"/>
      <c r="P3288" s="90"/>
      <c r="Q3288" s="89"/>
      <c r="R3288" s="87"/>
    </row>
    <row r="3289" spans="15:18">
      <c r="O3289" s="89"/>
      <c r="P3289" s="90"/>
      <c r="Q3289" s="89"/>
      <c r="R3289" s="87"/>
    </row>
    <row r="3290" spans="15:18">
      <c r="O3290" s="89"/>
      <c r="P3290" s="90"/>
      <c r="Q3290" s="89"/>
      <c r="R3290" s="87"/>
    </row>
    <row r="3291" spans="15:18">
      <c r="O3291" s="89"/>
      <c r="P3291" s="90"/>
      <c r="Q3291" s="89"/>
      <c r="R3291" s="87"/>
    </row>
    <row r="3292" spans="15:18">
      <c r="O3292" s="89"/>
      <c r="P3292" s="90"/>
      <c r="Q3292" s="89"/>
      <c r="R3292" s="87"/>
    </row>
    <row r="3293" spans="15:18">
      <c r="O3293" s="89"/>
      <c r="P3293" s="90"/>
      <c r="Q3293" s="89"/>
      <c r="R3293" s="87"/>
    </row>
    <row r="3294" spans="15:18">
      <c r="O3294" s="89"/>
      <c r="P3294" s="90"/>
      <c r="Q3294" s="89"/>
      <c r="R3294" s="87"/>
    </row>
    <row r="3295" spans="15:18">
      <c r="O3295" s="89"/>
      <c r="P3295" s="90"/>
      <c r="Q3295" s="89"/>
      <c r="R3295" s="87"/>
    </row>
    <row r="3296" spans="15:18">
      <c r="O3296" s="89"/>
      <c r="P3296" s="90"/>
      <c r="Q3296" s="89"/>
      <c r="R3296" s="87"/>
    </row>
    <row r="3297" spans="15:18">
      <c r="O3297" s="89"/>
      <c r="P3297" s="90"/>
      <c r="Q3297" s="89"/>
      <c r="R3297" s="87"/>
    </row>
    <row r="3298" spans="15:18">
      <c r="O3298" s="89"/>
      <c r="P3298" s="90"/>
      <c r="Q3298" s="89"/>
      <c r="R3298" s="87"/>
    </row>
    <row r="3299" spans="15:18">
      <c r="O3299" s="89"/>
      <c r="P3299" s="90"/>
      <c r="Q3299" s="89"/>
      <c r="R3299" s="87"/>
    </row>
    <row r="3300" spans="15:18">
      <c r="O3300" s="89"/>
      <c r="P3300" s="90"/>
      <c r="Q3300" s="89"/>
      <c r="R3300" s="87"/>
    </row>
    <row r="3301" spans="15:18">
      <c r="O3301" s="89"/>
      <c r="P3301" s="90"/>
      <c r="Q3301" s="89"/>
      <c r="R3301" s="87"/>
    </row>
    <row r="3302" spans="15:18">
      <c r="O3302" s="89"/>
      <c r="P3302" s="90"/>
      <c r="Q3302" s="89"/>
      <c r="R3302" s="87"/>
    </row>
    <row r="3303" spans="15:18">
      <c r="O3303" s="89"/>
      <c r="P3303" s="90"/>
      <c r="Q3303" s="89"/>
      <c r="R3303" s="87"/>
    </row>
    <row r="3304" spans="15:18">
      <c r="O3304" s="89"/>
      <c r="P3304" s="90"/>
      <c r="Q3304" s="89"/>
      <c r="R3304" s="87"/>
    </row>
    <row r="3305" spans="15:18">
      <c r="O3305" s="89"/>
      <c r="P3305" s="90"/>
      <c r="Q3305" s="89"/>
      <c r="R3305" s="87"/>
    </row>
    <row r="3306" spans="15:18">
      <c r="O3306" s="89"/>
      <c r="P3306" s="90"/>
      <c r="Q3306" s="89"/>
      <c r="R3306" s="87"/>
    </row>
    <row r="3307" spans="15:18">
      <c r="O3307" s="89"/>
      <c r="P3307" s="90"/>
      <c r="Q3307" s="89"/>
      <c r="R3307" s="87"/>
    </row>
    <row r="3308" spans="15:18">
      <c r="O3308" s="89"/>
      <c r="P3308" s="90"/>
      <c r="Q3308" s="89"/>
      <c r="R3308" s="87"/>
    </row>
    <row r="3309" spans="15:18">
      <c r="O3309" s="89"/>
      <c r="P3309" s="90"/>
      <c r="Q3309" s="89"/>
      <c r="R3309" s="87"/>
    </row>
    <row r="3310" spans="15:18">
      <c r="O3310" s="89"/>
      <c r="P3310" s="90"/>
      <c r="Q3310" s="89"/>
      <c r="R3310" s="87"/>
    </row>
    <row r="3311" spans="15:18">
      <c r="O3311" s="89"/>
      <c r="P3311" s="90"/>
      <c r="Q3311" s="89"/>
      <c r="R3311" s="87"/>
    </row>
    <row r="3312" spans="15:18">
      <c r="O3312" s="89"/>
      <c r="P3312" s="90"/>
      <c r="Q3312" s="89"/>
      <c r="R3312" s="87"/>
    </row>
    <row r="3313" spans="15:18">
      <c r="O3313" s="89"/>
      <c r="P3313" s="90"/>
      <c r="Q3313" s="89"/>
      <c r="R3313" s="87"/>
    </row>
    <row r="3314" spans="15:18">
      <c r="O3314" s="89"/>
      <c r="P3314" s="90"/>
      <c r="Q3314" s="89"/>
      <c r="R3314" s="87"/>
    </row>
    <row r="3315" spans="15:18">
      <c r="O3315" s="89"/>
      <c r="P3315" s="90"/>
      <c r="Q3315" s="89"/>
      <c r="R3315" s="87"/>
    </row>
    <row r="3316" spans="15:18">
      <c r="O3316" s="89"/>
      <c r="P3316" s="90"/>
      <c r="Q3316" s="89"/>
      <c r="R3316" s="87"/>
    </row>
    <row r="3317" spans="15:18">
      <c r="O3317" s="89"/>
      <c r="P3317" s="90"/>
      <c r="Q3317" s="89"/>
      <c r="R3317" s="87"/>
    </row>
    <row r="3318" spans="15:18">
      <c r="O3318" s="89"/>
      <c r="P3318" s="90"/>
      <c r="Q3318" s="89"/>
      <c r="R3318" s="87"/>
    </row>
    <row r="3319" spans="15:18">
      <c r="O3319" s="89"/>
      <c r="P3319" s="90"/>
      <c r="Q3319" s="89"/>
      <c r="R3319" s="87"/>
    </row>
    <row r="3320" spans="15:18">
      <c r="O3320" s="89"/>
      <c r="P3320" s="90"/>
      <c r="Q3320" s="89"/>
      <c r="R3320" s="87"/>
    </row>
    <row r="3321" spans="15:18">
      <c r="O3321" s="89"/>
      <c r="P3321" s="90"/>
      <c r="Q3321" s="89"/>
      <c r="R3321" s="87"/>
    </row>
    <row r="3322" spans="15:18">
      <c r="O3322" s="89"/>
      <c r="P3322" s="90"/>
      <c r="Q3322" s="89"/>
      <c r="R3322" s="87"/>
    </row>
    <row r="3323" spans="15:18">
      <c r="O3323" s="89"/>
      <c r="P3323" s="90"/>
      <c r="Q3323" s="89"/>
      <c r="R3323" s="87"/>
    </row>
    <row r="3324" spans="15:18">
      <c r="O3324" s="89"/>
      <c r="P3324" s="90"/>
      <c r="Q3324" s="89"/>
      <c r="R3324" s="87"/>
    </row>
    <row r="3325" spans="15:18">
      <c r="O3325" s="89"/>
      <c r="P3325" s="90"/>
      <c r="Q3325" s="89"/>
      <c r="R3325" s="87"/>
    </row>
    <row r="3326" spans="15:18">
      <c r="O3326" s="89"/>
      <c r="P3326" s="90"/>
      <c r="Q3326" s="89"/>
      <c r="R3326" s="87"/>
    </row>
    <row r="3327" spans="15:18">
      <c r="O3327" s="89"/>
      <c r="P3327" s="90"/>
      <c r="Q3327" s="89"/>
      <c r="R3327" s="87"/>
    </row>
    <row r="3328" spans="15:18">
      <c r="O3328" s="89"/>
      <c r="P3328" s="90"/>
      <c r="Q3328" s="89"/>
      <c r="R3328" s="87"/>
    </row>
    <row r="3329" spans="15:18">
      <c r="O3329" s="89"/>
      <c r="P3329" s="90"/>
      <c r="Q3329" s="89"/>
      <c r="R3329" s="87"/>
    </row>
    <row r="3330" spans="15:18">
      <c r="O3330" s="89"/>
      <c r="P3330" s="90"/>
      <c r="Q3330" s="89"/>
      <c r="R3330" s="87"/>
    </row>
    <row r="3331" spans="15:18">
      <c r="O3331" s="89"/>
      <c r="P3331" s="90"/>
      <c r="Q3331" s="89"/>
      <c r="R3331" s="87"/>
    </row>
    <row r="3332" spans="15:18">
      <c r="O3332" s="89"/>
      <c r="P3332" s="90"/>
      <c r="Q3332" s="89"/>
      <c r="R3332" s="87"/>
    </row>
    <row r="3333" spans="15:18">
      <c r="O3333" s="89"/>
      <c r="P3333" s="90"/>
      <c r="Q3333" s="89"/>
      <c r="R3333" s="87"/>
    </row>
    <row r="3334" spans="15:18">
      <c r="O3334" s="89"/>
      <c r="P3334" s="90"/>
      <c r="Q3334" s="89"/>
      <c r="R3334" s="87"/>
    </row>
    <row r="3335" spans="15:18">
      <c r="O3335" s="89"/>
      <c r="P3335" s="90"/>
      <c r="Q3335" s="89"/>
      <c r="R3335" s="87"/>
    </row>
    <row r="3336" spans="15:18">
      <c r="O3336" s="89"/>
      <c r="P3336" s="90"/>
      <c r="Q3336" s="89"/>
      <c r="R3336" s="87"/>
    </row>
    <row r="3337" spans="15:18">
      <c r="O3337" s="89"/>
      <c r="P3337" s="90"/>
      <c r="Q3337" s="89"/>
      <c r="R3337" s="87"/>
    </row>
    <row r="3338" spans="15:18">
      <c r="O3338" s="89"/>
      <c r="P3338" s="90"/>
      <c r="Q3338" s="89"/>
      <c r="R3338" s="87"/>
    </row>
    <row r="3339" spans="15:18">
      <c r="O3339" s="89"/>
      <c r="P3339" s="90"/>
      <c r="Q3339" s="89"/>
      <c r="R3339" s="87"/>
    </row>
    <row r="3340" spans="15:18">
      <c r="O3340" s="89"/>
      <c r="P3340" s="90"/>
      <c r="Q3340" s="89"/>
      <c r="R3340" s="87"/>
    </row>
    <row r="3341" spans="15:18">
      <c r="O3341" s="89"/>
      <c r="P3341" s="90"/>
      <c r="Q3341" s="89"/>
      <c r="R3341" s="87"/>
    </row>
    <row r="3342" spans="15:18">
      <c r="O3342" s="89"/>
      <c r="P3342" s="90"/>
      <c r="Q3342" s="89"/>
      <c r="R3342" s="87"/>
    </row>
    <row r="3343" spans="15:18">
      <c r="O3343" s="89"/>
      <c r="P3343" s="90"/>
      <c r="Q3343" s="89"/>
      <c r="R3343" s="87"/>
    </row>
    <row r="3344" spans="15:18">
      <c r="O3344" s="89"/>
      <c r="P3344" s="90"/>
      <c r="Q3344" s="89"/>
      <c r="R3344" s="87"/>
    </row>
    <row r="3345" spans="15:18">
      <c r="O3345" s="89"/>
      <c r="P3345" s="90"/>
      <c r="Q3345" s="89"/>
      <c r="R3345" s="87"/>
    </row>
    <row r="3346" spans="15:18">
      <c r="O3346" s="89"/>
      <c r="P3346" s="90"/>
      <c r="Q3346" s="89"/>
      <c r="R3346" s="87"/>
    </row>
    <row r="3347" spans="15:18">
      <c r="O3347" s="89"/>
      <c r="P3347" s="90"/>
      <c r="Q3347" s="89"/>
      <c r="R3347" s="87"/>
    </row>
    <row r="3348" spans="15:18">
      <c r="O3348" s="89"/>
      <c r="P3348" s="90"/>
      <c r="Q3348" s="89"/>
      <c r="R3348" s="87"/>
    </row>
    <row r="3349" spans="15:18">
      <c r="O3349" s="89"/>
      <c r="P3349" s="90"/>
      <c r="Q3349" s="89"/>
      <c r="R3349" s="87"/>
    </row>
    <row r="3350" spans="15:18">
      <c r="O3350" s="89"/>
      <c r="P3350" s="90"/>
      <c r="Q3350" s="89"/>
      <c r="R3350" s="87"/>
    </row>
    <row r="3351" spans="15:18">
      <c r="O3351" s="89"/>
      <c r="P3351" s="90"/>
      <c r="Q3351" s="89"/>
      <c r="R3351" s="87"/>
    </row>
    <row r="3352" spans="15:18">
      <c r="O3352" s="89"/>
      <c r="P3352" s="90"/>
      <c r="Q3352" s="89"/>
      <c r="R3352" s="87"/>
    </row>
    <row r="3353" spans="15:18">
      <c r="O3353" s="89"/>
      <c r="P3353" s="90"/>
      <c r="Q3353" s="89"/>
      <c r="R3353" s="87"/>
    </row>
    <row r="3354" spans="15:18">
      <c r="O3354" s="89"/>
      <c r="P3354" s="90"/>
      <c r="Q3354" s="89"/>
      <c r="R3354" s="87"/>
    </row>
    <row r="3355" spans="15:18">
      <c r="O3355" s="89"/>
      <c r="P3355" s="90"/>
      <c r="Q3355" s="89"/>
      <c r="R3355" s="87"/>
    </row>
    <row r="3356" spans="15:18">
      <c r="O3356" s="89"/>
      <c r="P3356" s="90"/>
      <c r="Q3356" s="89"/>
      <c r="R3356" s="87"/>
    </row>
    <row r="3357" spans="15:18">
      <c r="O3357" s="89"/>
      <c r="P3357" s="90"/>
      <c r="Q3357" s="89"/>
      <c r="R3357" s="87"/>
    </row>
    <row r="3358" spans="15:18">
      <c r="O3358" s="89"/>
      <c r="P3358" s="90"/>
      <c r="Q3358" s="89"/>
      <c r="R3358" s="87"/>
    </row>
    <row r="3359" spans="15:18">
      <c r="O3359" s="89"/>
      <c r="P3359" s="90"/>
      <c r="Q3359" s="89"/>
      <c r="R3359" s="87"/>
    </row>
    <row r="3360" spans="15:18">
      <c r="O3360" s="89"/>
      <c r="P3360" s="90"/>
      <c r="Q3360" s="89"/>
      <c r="R3360" s="87"/>
    </row>
    <row r="3361" spans="15:18">
      <c r="O3361" s="89"/>
      <c r="P3361" s="90"/>
      <c r="Q3361" s="89"/>
      <c r="R3361" s="87"/>
    </row>
    <row r="3362" spans="15:18">
      <c r="O3362" s="89"/>
      <c r="P3362" s="90"/>
      <c r="Q3362" s="89"/>
      <c r="R3362" s="87"/>
    </row>
    <row r="3363" spans="15:18">
      <c r="O3363" s="89"/>
      <c r="P3363" s="90"/>
      <c r="Q3363" s="89"/>
      <c r="R3363" s="87"/>
    </row>
    <row r="3364" spans="15:18">
      <c r="O3364" s="89"/>
      <c r="P3364" s="90"/>
      <c r="Q3364" s="89"/>
      <c r="R3364" s="87"/>
    </row>
    <row r="3365" spans="15:18">
      <c r="O3365" s="89"/>
      <c r="P3365" s="90"/>
      <c r="Q3365" s="89"/>
      <c r="R3365" s="87"/>
    </row>
    <row r="3366" spans="15:18">
      <c r="O3366" s="89"/>
      <c r="P3366" s="90"/>
      <c r="Q3366" s="89"/>
      <c r="R3366" s="87"/>
    </row>
    <row r="3367" spans="15:18">
      <c r="O3367" s="89"/>
      <c r="P3367" s="90"/>
      <c r="Q3367" s="89"/>
      <c r="R3367" s="87"/>
    </row>
    <row r="3368" spans="15:18">
      <c r="O3368" s="89"/>
      <c r="P3368" s="90"/>
      <c r="Q3368" s="89"/>
      <c r="R3368" s="87"/>
    </row>
    <row r="3369" spans="15:18">
      <c r="O3369" s="89"/>
      <c r="P3369" s="90"/>
      <c r="Q3369" s="89"/>
      <c r="R3369" s="87"/>
    </row>
    <row r="3370" spans="15:18">
      <c r="O3370" s="89"/>
      <c r="P3370" s="90"/>
      <c r="Q3370" s="89"/>
      <c r="R3370" s="87"/>
    </row>
    <row r="3371" spans="15:18">
      <c r="O3371" s="89"/>
      <c r="P3371" s="90"/>
      <c r="Q3371" s="89"/>
      <c r="R3371" s="87"/>
    </row>
    <row r="3372" spans="15:18">
      <c r="O3372" s="89"/>
      <c r="P3372" s="90"/>
      <c r="Q3372" s="89"/>
      <c r="R3372" s="87"/>
    </row>
    <row r="3373" spans="15:18">
      <c r="O3373" s="89"/>
      <c r="P3373" s="90"/>
      <c r="Q3373" s="89"/>
      <c r="R3373" s="87"/>
    </row>
    <row r="3374" spans="15:18">
      <c r="O3374" s="89"/>
      <c r="P3374" s="90"/>
      <c r="Q3374" s="89"/>
      <c r="R3374" s="87"/>
    </row>
    <row r="3375" spans="15:18">
      <c r="O3375" s="89"/>
      <c r="P3375" s="90"/>
      <c r="Q3375" s="89"/>
      <c r="R3375" s="87"/>
    </row>
    <row r="3376" spans="15:18">
      <c r="O3376" s="89"/>
      <c r="P3376" s="90"/>
      <c r="Q3376" s="89"/>
      <c r="R3376" s="87"/>
    </row>
    <row r="3377" spans="15:18">
      <c r="O3377" s="89"/>
      <c r="P3377" s="90"/>
      <c r="Q3377" s="89"/>
      <c r="R3377" s="87"/>
    </row>
    <row r="3378" spans="15:18">
      <c r="O3378" s="89"/>
      <c r="P3378" s="90"/>
      <c r="Q3378" s="89"/>
      <c r="R3378" s="87"/>
    </row>
    <row r="3379" spans="15:18">
      <c r="O3379" s="89"/>
      <c r="P3379" s="90"/>
      <c r="Q3379" s="89"/>
      <c r="R3379" s="87"/>
    </row>
    <row r="3380" spans="15:18">
      <c r="O3380" s="89"/>
      <c r="P3380" s="90"/>
      <c r="Q3380" s="89"/>
      <c r="R3380" s="87"/>
    </row>
    <row r="3381" spans="15:18">
      <c r="O3381" s="89"/>
      <c r="P3381" s="90"/>
      <c r="Q3381" s="89"/>
      <c r="R3381" s="87"/>
    </row>
    <row r="3382" spans="15:18">
      <c r="O3382" s="89"/>
      <c r="P3382" s="90"/>
      <c r="Q3382" s="89"/>
      <c r="R3382" s="87"/>
    </row>
    <row r="3383" spans="15:18">
      <c r="O3383" s="89"/>
      <c r="P3383" s="90"/>
      <c r="Q3383" s="89"/>
      <c r="R3383" s="87"/>
    </row>
    <row r="3384" spans="15:18">
      <c r="O3384" s="89"/>
      <c r="P3384" s="90"/>
      <c r="Q3384" s="89"/>
      <c r="R3384" s="87"/>
    </row>
    <row r="3385" spans="15:18">
      <c r="O3385" s="89"/>
      <c r="P3385" s="90"/>
      <c r="Q3385" s="89"/>
      <c r="R3385" s="87"/>
    </row>
    <row r="3386" spans="15:18">
      <c r="O3386" s="89"/>
      <c r="P3386" s="90"/>
      <c r="Q3386" s="89"/>
      <c r="R3386" s="87"/>
    </row>
    <row r="3387" spans="15:18">
      <c r="O3387" s="89"/>
      <c r="P3387" s="90"/>
      <c r="Q3387" s="89"/>
      <c r="R3387" s="87"/>
    </row>
  </sheetData>
  <phoneticPr fontId="0" type="noConversion"/>
  <pageMargins left="0" right="0" top="0" bottom="0" header="0" footer="0.5"/>
  <pageSetup scale="36" fitToHeight="3"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U1040"/>
  <sheetViews>
    <sheetView tabSelected="1" workbookViewId="0">
      <pane ySplit="1" topLeftCell="A2" activePane="bottomLeft" state="frozen"/>
      <selection pane="bottomLeft" activeCell="E1042" sqref="E1042"/>
    </sheetView>
  </sheetViews>
  <sheetFormatPr defaultRowHeight="12.75"/>
  <cols>
    <col min="1" max="1" width="14" bestFit="1" customWidth="1"/>
    <col min="2" max="2" width="14.28515625" bestFit="1" customWidth="1"/>
    <col min="3" max="3" width="22.28515625" customWidth="1"/>
    <col min="4" max="4" width="24.7109375" bestFit="1" customWidth="1"/>
    <col min="5" max="5" width="89.5703125" bestFit="1" customWidth="1"/>
    <col min="6" max="6" width="12.140625" customWidth="1"/>
    <col min="7" max="7" width="12.28515625" customWidth="1"/>
    <col min="8" max="8" width="14" customWidth="1"/>
    <col min="9" max="9" width="14.42578125" customWidth="1"/>
    <col min="10" max="10" width="15.42578125" customWidth="1"/>
    <col min="12" max="12" width="18.28515625" bestFit="1" customWidth="1"/>
    <col min="13" max="13" width="17.7109375" customWidth="1"/>
    <col min="14" max="14" width="17.42578125" customWidth="1"/>
    <col min="15" max="15" width="16" customWidth="1"/>
    <col min="16" max="16" width="17.28515625" customWidth="1"/>
    <col min="17" max="17" width="19" customWidth="1"/>
    <col min="20" max="20" width="16" customWidth="1"/>
  </cols>
  <sheetData>
    <row r="1" spans="1:21" ht="35.25" customHeight="1">
      <c r="A1" t="s">
        <v>490</v>
      </c>
      <c r="B1" t="s">
        <v>491</v>
      </c>
      <c r="C1" t="s">
        <v>492</v>
      </c>
      <c r="D1" t="s">
        <v>493</v>
      </c>
      <c r="E1" t="s">
        <v>494</v>
      </c>
      <c r="F1" t="s">
        <v>495</v>
      </c>
      <c r="G1" t="s">
        <v>496</v>
      </c>
      <c r="H1" t="s">
        <v>497</v>
      </c>
      <c r="I1" t="s">
        <v>498</v>
      </c>
      <c r="J1" t="s">
        <v>499</v>
      </c>
      <c r="K1" t="s">
        <v>500</v>
      </c>
      <c r="L1" t="s">
        <v>501</v>
      </c>
      <c r="M1" t="s">
        <v>502</v>
      </c>
      <c r="N1" t="s">
        <v>503</v>
      </c>
      <c r="O1" t="s">
        <v>504</v>
      </c>
      <c r="P1" t="s">
        <v>505</v>
      </c>
      <c r="Q1" t="s">
        <v>506</v>
      </c>
      <c r="R1" t="s">
        <v>507</v>
      </c>
      <c r="S1" t="s">
        <v>508</v>
      </c>
      <c r="T1" t="s">
        <v>509</v>
      </c>
      <c r="U1" t="s">
        <v>510</v>
      </c>
    </row>
    <row r="2" spans="1:21" hidden="1">
      <c r="A2" t="s">
        <v>511</v>
      </c>
      <c r="B2" t="s">
        <v>512</v>
      </c>
      <c r="C2" t="s">
        <v>513</v>
      </c>
      <c r="D2" t="s">
        <v>514</v>
      </c>
      <c r="E2" t="s">
        <v>515</v>
      </c>
      <c r="F2">
        <v>362815.67</v>
      </c>
      <c r="I2">
        <v>1</v>
      </c>
      <c r="J2">
        <v>1</v>
      </c>
      <c r="K2">
        <v>261501.02</v>
      </c>
      <c r="L2">
        <v>267928.71999999997</v>
      </c>
      <c r="M2">
        <v>0</v>
      </c>
      <c r="N2">
        <v>6427.7</v>
      </c>
    </row>
    <row r="3" spans="1:21" hidden="1">
      <c r="A3" t="s">
        <v>511</v>
      </c>
      <c r="B3" t="s">
        <v>512</v>
      </c>
      <c r="C3" t="s">
        <v>516</v>
      </c>
      <c r="D3" t="s">
        <v>517</v>
      </c>
      <c r="E3" t="s">
        <v>518</v>
      </c>
      <c r="F3">
        <v>2185389.75</v>
      </c>
      <c r="G3">
        <v>297781145</v>
      </c>
      <c r="H3" s="118">
        <v>45247</v>
      </c>
      <c r="I3">
        <v>98.75</v>
      </c>
      <c r="J3">
        <v>100</v>
      </c>
      <c r="K3">
        <v>1579569.59</v>
      </c>
      <c r="L3">
        <v>1613846.13</v>
      </c>
      <c r="M3">
        <v>12740.43</v>
      </c>
      <c r="N3">
        <v>21536.11</v>
      </c>
      <c r="P3" t="s">
        <v>519</v>
      </c>
      <c r="Q3" t="s">
        <v>170</v>
      </c>
      <c r="R3">
        <v>11683.68</v>
      </c>
      <c r="S3">
        <v>0</v>
      </c>
      <c r="T3" s="118">
        <v>47115</v>
      </c>
    </row>
    <row r="4" spans="1:21" hidden="1">
      <c r="A4" t="s">
        <v>511</v>
      </c>
      <c r="B4" t="s">
        <v>512</v>
      </c>
      <c r="C4" t="s">
        <v>516</v>
      </c>
      <c r="D4" t="s">
        <v>520</v>
      </c>
      <c r="E4" t="s">
        <v>518</v>
      </c>
      <c r="F4">
        <v>350825.32</v>
      </c>
      <c r="G4">
        <v>305090121</v>
      </c>
      <c r="H4" s="118">
        <v>45436</v>
      </c>
      <c r="I4">
        <v>98.75</v>
      </c>
      <c r="J4">
        <v>100</v>
      </c>
      <c r="K4">
        <v>253858.66</v>
      </c>
      <c r="L4">
        <v>259074.19</v>
      </c>
      <c r="M4">
        <v>2348.0100000000002</v>
      </c>
      <c r="N4">
        <v>2867.52</v>
      </c>
      <c r="P4" t="s">
        <v>519</v>
      </c>
      <c r="Q4" t="s">
        <v>170</v>
      </c>
      <c r="R4">
        <v>1875.6</v>
      </c>
      <c r="S4">
        <v>0</v>
      </c>
      <c r="T4" s="118">
        <v>47115</v>
      </c>
    </row>
    <row r="5" spans="1:21" hidden="1">
      <c r="A5" t="s">
        <v>511</v>
      </c>
      <c r="B5" t="s">
        <v>512</v>
      </c>
      <c r="C5" t="s">
        <v>516</v>
      </c>
      <c r="D5" t="s">
        <v>521</v>
      </c>
      <c r="E5" t="s">
        <v>518</v>
      </c>
      <c r="F5">
        <v>69244.14</v>
      </c>
      <c r="G5">
        <v>319126513</v>
      </c>
      <c r="H5" s="118">
        <v>45567</v>
      </c>
      <c r="I5">
        <v>98.75</v>
      </c>
      <c r="J5">
        <v>100</v>
      </c>
      <c r="K5">
        <v>50900.42</v>
      </c>
      <c r="L5">
        <v>51134.76</v>
      </c>
      <c r="M5">
        <v>451.55</v>
      </c>
      <c r="N5">
        <v>-217.21</v>
      </c>
      <c r="P5" t="s">
        <v>519</v>
      </c>
      <c r="Q5" t="s">
        <v>170</v>
      </c>
      <c r="R5">
        <v>370.2</v>
      </c>
      <c r="S5">
        <v>0</v>
      </c>
      <c r="T5" s="118">
        <v>47115</v>
      </c>
    </row>
    <row r="6" spans="1:21" hidden="1">
      <c r="A6" t="s">
        <v>511</v>
      </c>
      <c r="B6" t="s">
        <v>522</v>
      </c>
      <c r="C6" t="s">
        <v>513</v>
      </c>
      <c r="D6" t="s">
        <v>523</v>
      </c>
      <c r="E6" t="s">
        <v>524</v>
      </c>
      <c r="F6">
        <v>25.11</v>
      </c>
      <c r="I6">
        <v>1</v>
      </c>
      <c r="J6">
        <v>1</v>
      </c>
      <c r="K6">
        <v>29.26</v>
      </c>
      <c r="L6">
        <v>29.87</v>
      </c>
      <c r="M6">
        <v>0</v>
      </c>
      <c r="N6">
        <v>0.61</v>
      </c>
    </row>
    <row r="7" spans="1:21" hidden="1">
      <c r="A7" t="s">
        <v>511</v>
      </c>
      <c r="B7" t="s">
        <v>525</v>
      </c>
      <c r="C7" t="s">
        <v>513</v>
      </c>
      <c r="D7" t="s">
        <v>526</v>
      </c>
      <c r="E7" t="s">
        <v>527</v>
      </c>
      <c r="F7">
        <v>6033842.7599999998</v>
      </c>
      <c r="I7">
        <v>1</v>
      </c>
      <c r="J7">
        <v>1</v>
      </c>
      <c r="K7">
        <v>8010134</v>
      </c>
      <c r="L7">
        <v>8279940.7300000004</v>
      </c>
      <c r="M7">
        <v>0</v>
      </c>
      <c r="N7">
        <v>269806.73</v>
      </c>
    </row>
    <row r="8" spans="1:21" hidden="1">
      <c r="A8" t="s">
        <v>511</v>
      </c>
      <c r="B8" t="s">
        <v>525</v>
      </c>
      <c r="C8" t="s">
        <v>516</v>
      </c>
      <c r="D8" t="s">
        <v>528</v>
      </c>
      <c r="E8" t="s">
        <v>529</v>
      </c>
      <c r="F8">
        <v>253996.67</v>
      </c>
      <c r="G8">
        <v>297363470</v>
      </c>
      <c r="H8" s="118">
        <v>45107</v>
      </c>
      <c r="I8">
        <v>100</v>
      </c>
      <c r="J8">
        <v>100</v>
      </c>
      <c r="K8">
        <v>323118.09999999998</v>
      </c>
      <c r="L8">
        <v>348546.93</v>
      </c>
      <c r="M8">
        <v>0</v>
      </c>
      <c r="N8">
        <v>25428.83</v>
      </c>
      <c r="P8" t="s">
        <v>530</v>
      </c>
      <c r="Q8" t="s">
        <v>170</v>
      </c>
      <c r="R8">
        <v>3377.09</v>
      </c>
      <c r="S8">
        <v>0</v>
      </c>
      <c r="T8" s="118">
        <v>46461</v>
      </c>
    </row>
    <row r="9" spans="1:21" hidden="1">
      <c r="A9" t="s">
        <v>511</v>
      </c>
      <c r="B9" t="s">
        <v>525</v>
      </c>
      <c r="C9" t="s">
        <v>516</v>
      </c>
      <c r="D9" t="s">
        <v>528</v>
      </c>
      <c r="E9" t="s">
        <v>529</v>
      </c>
      <c r="F9">
        <v>326355.94</v>
      </c>
      <c r="G9">
        <v>297363552</v>
      </c>
      <c r="H9" s="118">
        <v>45198</v>
      </c>
      <c r="I9">
        <v>100</v>
      </c>
      <c r="J9">
        <v>100</v>
      </c>
      <c r="K9">
        <v>399210.94</v>
      </c>
      <c r="L9">
        <v>447841.93</v>
      </c>
      <c r="M9">
        <v>0</v>
      </c>
      <c r="N9">
        <v>48630.99</v>
      </c>
      <c r="P9" t="s">
        <v>531</v>
      </c>
      <c r="Q9" t="s">
        <v>170</v>
      </c>
      <c r="R9">
        <v>4339.18</v>
      </c>
      <c r="S9">
        <v>0</v>
      </c>
      <c r="T9" s="118">
        <v>46461</v>
      </c>
    </row>
    <row r="10" spans="1:21" hidden="1">
      <c r="A10" t="s">
        <v>511</v>
      </c>
      <c r="B10" t="s">
        <v>525</v>
      </c>
      <c r="C10" t="s">
        <v>516</v>
      </c>
      <c r="D10" t="s">
        <v>528</v>
      </c>
      <c r="E10" t="s">
        <v>529</v>
      </c>
      <c r="F10">
        <v>442524.52</v>
      </c>
      <c r="G10">
        <v>297363644</v>
      </c>
      <c r="H10" s="118">
        <v>45289</v>
      </c>
      <c r="I10">
        <v>100</v>
      </c>
      <c r="J10">
        <v>100</v>
      </c>
      <c r="K10">
        <v>564420.54</v>
      </c>
      <c r="L10">
        <v>607254.27</v>
      </c>
      <c r="M10">
        <v>0</v>
      </c>
      <c r="N10">
        <v>42833.73</v>
      </c>
      <c r="P10" t="s">
        <v>532</v>
      </c>
      <c r="Q10" t="s">
        <v>170</v>
      </c>
      <c r="R10">
        <v>5883.74</v>
      </c>
      <c r="S10">
        <v>0</v>
      </c>
      <c r="T10" s="118">
        <v>46461</v>
      </c>
    </row>
    <row r="11" spans="1:21" hidden="1">
      <c r="A11" t="s">
        <v>511</v>
      </c>
      <c r="B11" t="s">
        <v>525</v>
      </c>
      <c r="C11" t="s">
        <v>516</v>
      </c>
      <c r="D11" t="s">
        <v>528</v>
      </c>
      <c r="E11" t="s">
        <v>529</v>
      </c>
      <c r="F11">
        <v>446572.98</v>
      </c>
      <c r="G11">
        <v>297747816</v>
      </c>
      <c r="H11" s="118">
        <v>44021</v>
      </c>
      <c r="I11">
        <v>100</v>
      </c>
      <c r="J11">
        <v>100</v>
      </c>
      <c r="K11">
        <v>563888.71</v>
      </c>
      <c r="L11">
        <v>612809.75</v>
      </c>
      <c r="M11">
        <v>0</v>
      </c>
      <c r="N11">
        <v>48921.04</v>
      </c>
      <c r="P11" t="s">
        <v>533</v>
      </c>
      <c r="Q11" t="s">
        <v>170</v>
      </c>
      <c r="R11">
        <v>5937.56</v>
      </c>
      <c r="S11">
        <v>0</v>
      </c>
      <c r="T11" s="118">
        <v>46461</v>
      </c>
    </row>
    <row r="12" spans="1:21" hidden="1">
      <c r="A12" t="s">
        <v>511</v>
      </c>
      <c r="B12" t="s">
        <v>525</v>
      </c>
      <c r="C12" t="s">
        <v>516</v>
      </c>
      <c r="D12" t="s">
        <v>528</v>
      </c>
      <c r="E12" t="s">
        <v>529</v>
      </c>
      <c r="F12">
        <v>446572.98</v>
      </c>
      <c r="G12">
        <v>297752234</v>
      </c>
      <c r="H12" s="118">
        <v>44106</v>
      </c>
      <c r="I12">
        <v>100</v>
      </c>
      <c r="J12">
        <v>100</v>
      </c>
      <c r="K12">
        <v>580330.35</v>
      </c>
      <c r="L12">
        <v>612809.75</v>
      </c>
      <c r="M12">
        <v>0</v>
      </c>
      <c r="N12">
        <v>32479.4</v>
      </c>
      <c r="P12" t="s">
        <v>533</v>
      </c>
      <c r="Q12" t="s">
        <v>170</v>
      </c>
      <c r="R12">
        <v>5937.56</v>
      </c>
      <c r="S12">
        <v>0</v>
      </c>
      <c r="T12" s="118">
        <v>46461</v>
      </c>
    </row>
    <row r="13" spans="1:21" hidden="1">
      <c r="A13" t="s">
        <v>511</v>
      </c>
      <c r="B13" t="s">
        <v>525</v>
      </c>
      <c r="C13" t="s">
        <v>516</v>
      </c>
      <c r="D13" t="s">
        <v>528</v>
      </c>
      <c r="E13" t="s">
        <v>529</v>
      </c>
      <c r="F13">
        <v>446572.98</v>
      </c>
      <c r="G13">
        <v>297747818</v>
      </c>
      <c r="H13" s="118">
        <v>44179</v>
      </c>
      <c r="I13">
        <v>100</v>
      </c>
      <c r="J13">
        <v>100</v>
      </c>
      <c r="K13">
        <v>594020.98</v>
      </c>
      <c r="L13">
        <v>612809.77</v>
      </c>
      <c r="M13">
        <v>0</v>
      </c>
      <c r="N13">
        <v>18788.79</v>
      </c>
      <c r="P13" t="s">
        <v>533</v>
      </c>
      <c r="Q13" t="s">
        <v>170</v>
      </c>
      <c r="R13">
        <v>5937.56</v>
      </c>
      <c r="S13">
        <v>0</v>
      </c>
      <c r="T13" s="118">
        <v>46461</v>
      </c>
    </row>
    <row r="14" spans="1:21" hidden="1">
      <c r="A14" t="s">
        <v>511</v>
      </c>
      <c r="B14" t="s">
        <v>525</v>
      </c>
      <c r="C14" t="s">
        <v>516</v>
      </c>
      <c r="D14" t="s">
        <v>528</v>
      </c>
      <c r="E14" t="s">
        <v>529</v>
      </c>
      <c r="F14">
        <v>446572.98</v>
      </c>
      <c r="G14">
        <v>297747819</v>
      </c>
      <c r="H14" s="118">
        <v>44266</v>
      </c>
      <c r="I14">
        <v>100</v>
      </c>
      <c r="J14">
        <v>100</v>
      </c>
      <c r="K14">
        <v>622068.47999999998</v>
      </c>
      <c r="L14">
        <v>612809.76</v>
      </c>
      <c r="M14">
        <v>0</v>
      </c>
      <c r="N14">
        <v>-9258.7199999999993</v>
      </c>
      <c r="P14" t="s">
        <v>533</v>
      </c>
      <c r="Q14" t="s">
        <v>170</v>
      </c>
      <c r="R14">
        <v>5937.56</v>
      </c>
      <c r="S14">
        <v>0</v>
      </c>
      <c r="T14" s="118">
        <v>46461</v>
      </c>
    </row>
    <row r="15" spans="1:21" hidden="1">
      <c r="A15" t="s">
        <v>511</v>
      </c>
      <c r="B15" t="s">
        <v>525</v>
      </c>
      <c r="C15" t="s">
        <v>516</v>
      </c>
      <c r="D15" t="s">
        <v>528</v>
      </c>
      <c r="E15" t="s">
        <v>529</v>
      </c>
      <c r="F15">
        <v>446572.98</v>
      </c>
      <c r="G15">
        <v>297363117</v>
      </c>
      <c r="H15" s="118">
        <v>44452</v>
      </c>
      <c r="I15">
        <v>100</v>
      </c>
      <c r="J15">
        <v>100</v>
      </c>
      <c r="K15">
        <v>616931.81999999995</v>
      </c>
      <c r="L15">
        <v>612809.76</v>
      </c>
      <c r="M15">
        <v>0</v>
      </c>
      <c r="N15">
        <v>-4122.0600000000004</v>
      </c>
      <c r="P15" t="s">
        <v>533</v>
      </c>
      <c r="Q15" t="s">
        <v>170</v>
      </c>
      <c r="R15">
        <v>5937.56</v>
      </c>
      <c r="S15">
        <v>0</v>
      </c>
      <c r="T15" s="118">
        <v>46461</v>
      </c>
    </row>
    <row r="16" spans="1:21" hidden="1">
      <c r="A16" t="s">
        <v>511</v>
      </c>
      <c r="B16" t="s">
        <v>525</v>
      </c>
      <c r="C16" t="s">
        <v>516</v>
      </c>
      <c r="D16" t="s">
        <v>528</v>
      </c>
      <c r="E16" t="s">
        <v>529</v>
      </c>
      <c r="F16">
        <v>446572.98</v>
      </c>
      <c r="G16">
        <v>297363145</v>
      </c>
      <c r="H16" s="118">
        <v>44543</v>
      </c>
      <c r="I16">
        <v>100</v>
      </c>
      <c r="J16">
        <v>100</v>
      </c>
      <c r="K16">
        <v>590281.31000000006</v>
      </c>
      <c r="L16">
        <v>612809.75</v>
      </c>
      <c r="M16">
        <v>0</v>
      </c>
      <c r="N16">
        <v>22528.44</v>
      </c>
      <c r="P16" t="s">
        <v>533</v>
      </c>
      <c r="Q16" t="s">
        <v>170</v>
      </c>
      <c r="R16">
        <v>5937.56</v>
      </c>
      <c r="S16">
        <v>0</v>
      </c>
      <c r="T16" s="118">
        <v>46461</v>
      </c>
    </row>
    <row r="17" spans="1:20" hidden="1">
      <c r="A17" t="s">
        <v>511</v>
      </c>
      <c r="B17" t="s">
        <v>525</v>
      </c>
      <c r="C17" t="s">
        <v>516</v>
      </c>
      <c r="D17" t="s">
        <v>528</v>
      </c>
      <c r="E17" t="s">
        <v>529</v>
      </c>
      <c r="F17">
        <v>446572.98</v>
      </c>
      <c r="G17">
        <v>297363174</v>
      </c>
      <c r="H17" s="118">
        <v>44629</v>
      </c>
      <c r="I17">
        <v>100</v>
      </c>
      <c r="J17">
        <v>100</v>
      </c>
      <c r="K17">
        <v>587143.42000000004</v>
      </c>
      <c r="L17">
        <v>612809.75</v>
      </c>
      <c r="M17">
        <v>0</v>
      </c>
      <c r="N17">
        <v>25666.33</v>
      </c>
      <c r="P17" t="s">
        <v>533</v>
      </c>
      <c r="Q17" t="s">
        <v>170</v>
      </c>
      <c r="R17">
        <v>5937.56</v>
      </c>
      <c r="S17">
        <v>0</v>
      </c>
      <c r="T17" s="118">
        <v>46461</v>
      </c>
    </row>
    <row r="18" spans="1:20" hidden="1">
      <c r="A18" t="s">
        <v>511</v>
      </c>
      <c r="B18" t="s">
        <v>525</v>
      </c>
      <c r="C18" t="s">
        <v>516</v>
      </c>
      <c r="D18" t="s">
        <v>528</v>
      </c>
      <c r="E18" t="s">
        <v>529</v>
      </c>
      <c r="F18">
        <v>475154.97</v>
      </c>
      <c r="G18">
        <v>297363383</v>
      </c>
      <c r="H18" s="118">
        <v>45016</v>
      </c>
      <c r="I18">
        <v>100</v>
      </c>
      <c r="J18">
        <v>100</v>
      </c>
      <c r="K18">
        <v>588499.55000000005</v>
      </c>
      <c r="L18">
        <v>652031.4</v>
      </c>
      <c r="M18">
        <v>0</v>
      </c>
      <c r="N18">
        <v>63531.85</v>
      </c>
      <c r="P18" t="s">
        <v>534</v>
      </c>
      <c r="Q18" t="s">
        <v>170</v>
      </c>
      <c r="R18">
        <v>6317.59</v>
      </c>
      <c r="S18">
        <v>0</v>
      </c>
      <c r="T18" s="118">
        <v>46461</v>
      </c>
    </row>
    <row r="19" spans="1:20" hidden="1">
      <c r="A19" t="s">
        <v>511</v>
      </c>
      <c r="B19" t="s">
        <v>525</v>
      </c>
      <c r="C19" t="s">
        <v>516</v>
      </c>
      <c r="D19" t="s">
        <v>528</v>
      </c>
      <c r="E19" t="s">
        <v>529</v>
      </c>
      <c r="F19">
        <v>4242443.42</v>
      </c>
      <c r="G19">
        <v>297363167</v>
      </c>
      <c r="H19" s="118">
        <v>44586</v>
      </c>
      <c r="I19">
        <v>100</v>
      </c>
      <c r="J19">
        <v>100</v>
      </c>
      <c r="K19">
        <v>5711802.96</v>
      </c>
      <c r="L19">
        <v>5821692.9800000004</v>
      </c>
      <c r="M19">
        <v>0</v>
      </c>
      <c r="N19">
        <v>109890.02</v>
      </c>
      <c r="P19" t="s">
        <v>535</v>
      </c>
      <c r="Q19" t="s">
        <v>170</v>
      </c>
      <c r="R19">
        <v>56406.87</v>
      </c>
      <c r="S19">
        <v>0</v>
      </c>
      <c r="T19" s="118">
        <v>46461</v>
      </c>
    </row>
    <row r="20" spans="1:20" hidden="1">
      <c r="A20" t="s">
        <v>511</v>
      </c>
      <c r="B20" t="s">
        <v>525</v>
      </c>
      <c r="C20" t="s">
        <v>516</v>
      </c>
      <c r="D20" t="s">
        <v>528</v>
      </c>
      <c r="E20" t="s">
        <v>529</v>
      </c>
      <c r="F20">
        <v>839134.02</v>
      </c>
      <c r="G20">
        <v>297363322</v>
      </c>
      <c r="H20" s="118">
        <v>44925</v>
      </c>
      <c r="I20">
        <v>100</v>
      </c>
      <c r="J20">
        <v>100</v>
      </c>
      <c r="K20">
        <v>1012204.52</v>
      </c>
      <c r="L20">
        <v>1151501.6599999999</v>
      </c>
      <c r="M20">
        <v>0</v>
      </c>
      <c r="N20">
        <v>139297.14000000001</v>
      </c>
      <c r="P20" t="s">
        <v>536</v>
      </c>
      <c r="Q20" t="s">
        <v>170</v>
      </c>
      <c r="R20">
        <v>11157</v>
      </c>
      <c r="S20">
        <v>0</v>
      </c>
      <c r="T20" s="118">
        <v>46461</v>
      </c>
    </row>
    <row r="21" spans="1:20" hidden="1">
      <c r="A21" t="s">
        <v>511</v>
      </c>
      <c r="B21" t="s">
        <v>525</v>
      </c>
      <c r="C21" t="s">
        <v>516</v>
      </c>
      <c r="D21" t="s">
        <v>528</v>
      </c>
      <c r="E21" t="s">
        <v>529</v>
      </c>
      <c r="F21">
        <v>1786291.97</v>
      </c>
      <c r="G21">
        <v>297363135</v>
      </c>
      <c r="H21" s="118">
        <v>44512</v>
      </c>
      <c r="I21">
        <v>100</v>
      </c>
      <c r="J21">
        <v>100</v>
      </c>
      <c r="K21">
        <v>2389581.16</v>
      </c>
      <c r="L21">
        <v>2451239.17</v>
      </c>
      <c r="M21">
        <v>0</v>
      </c>
      <c r="N21">
        <v>61658.01</v>
      </c>
      <c r="P21" t="s">
        <v>537</v>
      </c>
      <c r="Q21" t="s">
        <v>170</v>
      </c>
      <c r="R21">
        <v>23750.26</v>
      </c>
      <c r="S21">
        <v>0</v>
      </c>
      <c r="T21" s="118">
        <v>46461</v>
      </c>
    </row>
    <row r="22" spans="1:20" hidden="1">
      <c r="A22" t="s">
        <v>511</v>
      </c>
      <c r="B22" t="s">
        <v>525</v>
      </c>
      <c r="C22" t="s">
        <v>516</v>
      </c>
      <c r="D22" t="s">
        <v>528</v>
      </c>
      <c r="E22" t="s">
        <v>529</v>
      </c>
      <c r="F22">
        <v>25008087.559999999</v>
      </c>
      <c r="G22">
        <v>297745759</v>
      </c>
      <c r="H22" s="118">
        <v>43166</v>
      </c>
      <c r="I22">
        <v>100</v>
      </c>
      <c r="J22">
        <v>100</v>
      </c>
      <c r="K22">
        <v>34782878.979999997</v>
      </c>
      <c r="L22">
        <v>34317348.149999999</v>
      </c>
      <c r="M22">
        <v>0</v>
      </c>
      <c r="N22">
        <v>-465530.83</v>
      </c>
      <c r="P22" t="s">
        <v>538</v>
      </c>
      <c r="Q22" t="s">
        <v>170</v>
      </c>
      <c r="R22">
        <v>332503.63</v>
      </c>
      <c r="S22">
        <v>0</v>
      </c>
      <c r="T22" s="118">
        <v>46461</v>
      </c>
    </row>
    <row r="23" spans="1:20" hidden="1">
      <c r="A23" t="s">
        <v>511</v>
      </c>
      <c r="B23" t="s">
        <v>525</v>
      </c>
      <c r="C23" t="s">
        <v>539</v>
      </c>
      <c r="D23">
        <v>1199211</v>
      </c>
      <c r="E23" t="s">
        <v>540</v>
      </c>
      <c r="F23">
        <v>938.529</v>
      </c>
      <c r="G23">
        <v>297363873</v>
      </c>
      <c r="H23" s="118">
        <v>43166</v>
      </c>
      <c r="I23">
        <v>101.2222</v>
      </c>
      <c r="J23">
        <v>35437.1077</v>
      </c>
      <c r="K23">
        <v>132496.5</v>
      </c>
      <c r="L23">
        <v>45639324.149999999</v>
      </c>
      <c r="M23">
        <v>45508960.399999999</v>
      </c>
      <c r="N23">
        <v>-2132.75</v>
      </c>
    </row>
    <row r="24" spans="1:20" hidden="1">
      <c r="A24" t="s">
        <v>511</v>
      </c>
      <c r="B24" t="s">
        <v>525</v>
      </c>
      <c r="C24" t="s">
        <v>539</v>
      </c>
      <c r="D24" t="s">
        <v>541</v>
      </c>
      <c r="E24" t="s">
        <v>542</v>
      </c>
      <c r="F24">
        <v>12.5</v>
      </c>
      <c r="G24">
        <v>345894253</v>
      </c>
      <c r="H24" s="118">
        <v>45859</v>
      </c>
      <c r="I24">
        <v>7333.3335999999999</v>
      </c>
      <c r="J24">
        <v>38089.15</v>
      </c>
      <c r="K24">
        <v>123690.42</v>
      </c>
      <c r="L24">
        <v>653347.96</v>
      </c>
      <c r="M24">
        <v>527558.37</v>
      </c>
      <c r="N24">
        <v>2099.17</v>
      </c>
    </row>
    <row r="25" spans="1:20" hidden="1">
      <c r="A25" t="s">
        <v>511</v>
      </c>
      <c r="B25" t="s">
        <v>525</v>
      </c>
      <c r="C25" t="s">
        <v>539</v>
      </c>
      <c r="D25" t="s">
        <v>543</v>
      </c>
      <c r="E25" t="s">
        <v>544</v>
      </c>
      <c r="F25">
        <v>12.5</v>
      </c>
      <c r="G25">
        <v>345894255</v>
      </c>
      <c r="H25" s="118">
        <v>45859</v>
      </c>
      <c r="I25">
        <v>8666.6664000000001</v>
      </c>
      <c r="J25">
        <v>45014.45</v>
      </c>
      <c r="K25">
        <v>146179.57999999999</v>
      </c>
      <c r="L25">
        <v>772138.49</v>
      </c>
      <c r="M25">
        <v>623478.07999999996</v>
      </c>
      <c r="N25">
        <v>2480.83</v>
      </c>
    </row>
    <row r="26" spans="1:20" hidden="1">
      <c r="A26" t="s">
        <v>511</v>
      </c>
      <c r="B26" t="s">
        <v>525</v>
      </c>
      <c r="C26" t="s">
        <v>539</v>
      </c>
      <c r="D26" t="s">
        <v>545</v>
      </c>
      <c r="E26" t="s">
        <v>546</v>
      </c>
      <c r="F26">
        <v>87.656999999999996</v>
      </c>
      <c r="G26">
        <v>356140519</v>
      </c>
      <c r="H26" s="118">
        <v>45967</v>
      </c>
      <c r="I26">
        <v>29173.81</v>
      </c>
      <c r="J26">
        <v>38712.117299999998</v>
      </c>
      <c r="K26">
        <v>3350687.47</v>
      </c>
      <c r="L26">
        <v>4656576.78</v>
      </c>
      <c r="M26">
        <v>1147337.4099999999</v>
      </c>
      <c r="N26">
        <v>158551.9</v>
      </c>
    </row>
    <row r="27" spans="1:20" hidden="1">
      <c r="A27" t="s">
        <v>511</v>
      </c>
      <c r="B27" t="s">
        <v>525</v>
      </c>
      <c r="C27" t="s">
        <v>539</v>
      </c>
      <c r="D27" t="s">
        <v>547</v>
      </c>
      <c r="E27" t="s">
        <v>548</v>
      </c>
      <c r="F27">
        <v>82.384</v>
      </c>
      <c r="G27">
        <v>356140525</v>
      </c>
      <c r="H27" s="118">
        <v>45967</v>
      </c>
      <c r="I27">
        <v>11086.12</v>
      </c>
      <c r="J27">
        <v>14710.700699999999</v>
      </c>
      <c r="K27">
        <v>1196676.1000000001</v>
      </c>
      <c r="L27">
        <v>1663065.96</v>
      </c>
      <c r="M27">
        <v>409764.08</v>
      </c>
      <c r="N27">
        <v>56625.78</v>
      </c>
    </row>
    <row r="28" spans="1:20" hidden="1">
      <c r="A28" t="s">
        <v>511</v>
      </c>
      <c r="B28" t="s">
        <v>478</v>
      </c>
      <c r="C28" t="s">
        <v>513</v>
      </c>
      <c r="D28" t="s">
        <v>549</v>
      </c>
      <c r="E28" t="s">
        <v>550</v>
      </c>
      <c r="F28">
        <v>465074.15</v>
      </c>
      <c r="I28">
        <v>1</v>
      </c>
      <c r="J28">
        <v>1</v>
      </c>
      <c r="K28">
        <v>465074.15</v>
      </c>
      <c r="L28">
        <v>465074.15</v>
      </c>
      <c r="M28">
        <v>0</v>
      </c>
      <c r="N28">
        <v>0</v>
      </c>
    </row>
    <row r="29" spans="1:20" hidden="1">
      <c r="A29" t="s">
        <v>511</v>
      </c>
      <c r="B29" t="s">
        <v>478</v>
      </c>
      <c r="C29" t="s">
        <v>513</v>
      </c>
      <c r="D29" t="s">
        <v>549</v>
      </c>
      <c r="E29" t="s">
        <v>551</v>
      </c>
      <c r="F29">
        <v>3252494.35</v>
      </c>
      <c r="I29">
        <v>1</v>
      </c>
      <c r="J29">
        <v>1</v>
      </c>
      <c r="K29">
        <v>3252494.35</v>
      </c>
      <c r="L29">
        <v>3252494.35</v>
      </c>
      <c r="M29">
        <v>0</v>
      </c>
      <c r="N29">
        <v>0</v>
      </c>
    </row>
    <row r="30" spans="1:20" hidden="1">
      <c r="A30" t="s">
        <v>511</v>
      </c>
      <c r="B30" t="s">
        <v>478</v>
      </c>
      <c r="C30" t="s">
        <v>513</v>
      </c>
      <c r="D30" t="s">
        <v>549</v>
      </c>
      <c r="E30" t="s">
        <v>552</v>
      </c>
      <c r="F30">
        <v>-5184433.42</v>
      </c>
      <c r="I30">
        <v>1</v>
      </c>
      <c r="J30">
        <v>1</v>
      </c>
      <c r="K30">
        <v>-5184433.42</v>
      </c>
      <c r="L30">
        <v>-5184433.42</v>
      </c>
      <c r="M30">
        <v>0</v>
      </c>
      <c r="N30">
        <v>0</v>
      </c>
    </row>
    <row r="31" spans="1:20" hidden="1">
      <c r="A31" t="s">
        <v>511</v>
      </c>
      <c r="B31" t="s">
        <v>478</v>
      </c>
      <c r="C31" t="s">
        <v>513</v>
      </c>
      <c r="D31" t="s">
        <v>549</v>
      </c>
      <c r="E31" t="s">
        <v>553</v>
      </c>
      <c r="F31">
        <v>82048075.599999994</v>
      </c>
      <c r="I31">
        <v>1</v>
      </c>
      <c r="J31">
        <v>1</v>
      </c>
      <c r="K31">
        <v>82048075.569999993</v>
      </c>
      <c r="L31">
        <v>82048075.569999993</v>
      </c>
      <c r="M31">
        <v>0</v>
      </c>
      <c r="N31">
        <v>0</v>
      </c>
    </row>
    <row r="32" spans="1:20" hidden="1">
      <c r="A32" t="s">
        <v>511</v>
      </c>
      <c r="B32" t="s">
        <v>478</v>
      </c>
      <c r="C32" t="s">
        <v>513</v>
      </c>
      <c r="D32" t="s">
        <v>549</v>
      </c>
      <c r="E32" t="s">
        <v>554</v>
      </c>
      <c r="F32">
        <v>5457634.7400000002</v>
      </c>
      <c r="I32">
        <v>1</v>
      </c>
      <c r="J32">
        <v>1</v>
      </c>
      <c r="K32">
        <v>5457634.7400000002</v>
      </c>
      <c r="L32">
        <v>5457634.7400000002</v>
      </c>
      <c r="M32">
        <v>0</v>
      </c>
      <c r="N32">
        <v>0</v>
      </c>
    </row>
    <row r="33" spans="1:21" hidden="1">
      <c r="A33" t="s">
        <v>511</v>
      </c>
      <c r="B33" t="s">
        <v>478</v>
      </c>
      <c r="C33" t="s">
        <v>516</v>
      </c>
      <c r="D33">
        <v>104739</v>
      </c>
      <c r="E33" t="s">
        <v>555</v>
      </c>
      <c r="F33">
        <v>460869.74</v>
      </c>
      <c r="G33">
        <v>298204399</v>
      </c>
      <c r="H33" s="118">
        <v>45357</v>
      </c>
      <c r="I33">
        <v>99</v>
      </c>
      <c r="J33">
        <v>100.5</v>
      </c>
      <c r="K33">
        <v>457560.57</v>
      </c>
      <c r="L33">
        <v>463174.09</v>
      </c>
      <c r="M33">
        <v>5613.52</v>
      </c>
      <c r="N33">
        <v>0</v>
      </c>
      <c r="P33" t="s">
        <v>556</v>
      </c>
      <c r="Q33" t="s">
        <v>170</v>
      </c>
      <c r="R33">
        <v>3859.81</v>
      </c>
      <c r="S33">
        <v>1</v>
      </c>
      <c r="T33" s="118">
        <v>47515</v>
      </c>
      <c r="U33">
        <v>104739</v>
      </c>
    </row>
    <row r="34" spans="1:21" hidden="1">
      <c r="A34" t="s">
        <v>511</v>
      </c>
      <c r="B34" t="s">
        <v>478</v>
      </c>
      <c r="C34" t="s">
        <v>516</v>
      </c>
      <c r="D34" t="s">
        <v>557</v>
      </c>
      <c r="E34" t="s">
        <v>555</v>
      </c>
      <c r="F34">
        <v>1695434.29</v>
      </c>
      <c r="G34">
        <v>319228095</v>
      </c>
      <c r="H34" s="118">
        <v>45580</v>
      </c>
      <c r="I34">
        <v>99</v>
      </c>
      <c r="J34">
        <v>100.5</v>
      </c>
      <c r="K34">
        <v>1681963.8</v>
      </c>
      <c r="L34">
        <v>1703911.46</v>
      </c>
      <c r="M34">
        <v>21947.66</v>
      </c>
      <c r="N34">
        <v>0</v>
      </c>
      <c r="P34" t="s">
        <v>556</v>
      </c>
      <c r="Q34" t="s">
        <v>170</v>
      </c>
      <c r="R34">
        <v>14199.36</v>
      </c>
      <c r="S34">
        <v>0</v>
      </c>
      <c r="T34" s="118">
        <v>47515</v>
      </c>
    </row>
    <row r="35" spans="1:21" hidden="1">
      <c r="A35" t="s">
        <v>511</v>
      </c>
      <c r="B35" t="s">
        <v>478</v>
      </c>
      <c r="C35" t="s">
        <v>516</v>
      </c>
      <c r="D35" t="s">
        <v>558</v>
      </c>
      <c r="E35" t="s">
        <v>555</v>
      </c>
      <c r="F35">
        <v>160083.34</v>
      </c>
      <c r="G35">
        <v>350183040</v>
      </c>
      <c r="H35" s="118">
        <v>45911</v>
      </c>
      <c r="I35">
        <v>99</v>
      </c>
      <c r="J35">
        <v>100.5</v>
      </c>
      <c r="K35">
        <v>158619.94</v>
      </c>
      <c r="L35">
        <v>160883.76</v>
      </c>
      <c r="M35">
        <v>2263.8200000000002</v>
      </c>
      <c r="N35">
        <v>0</v>
      </c>
      <c r="P35" t="s">
        <v>556</v>
      </c>
      <c r="Q35" t="s">
        <v>170</v>
      </c>
      <c r="R35">
        <v>1340.71</v>
      </c>
      <c r="S35">
        <v>0</v>
      </c>
      <c r="T35" s="118">
        <v>47515</v>
      </c>
    </row>
    <row r="36" spans="1:21" hidden="1">
      <c r="A36" t="s">
        <v>511</v>
      </c>
      <c r="B36" t="s">
        <v>478</v>
      </c>
      <c r="C36" t="s">
        <v>516</v>
      </c>
      <c r="D36" t="s">
        <v>559</v>
      </c>
      <c r="E36" t="s">
        <v>560</v>
      </c>
      <c r="F36">
        <v>5190209.0999999996</v>
      </c>
      <c r="G36">
        <v>356351395</v>
      </c>
      <c r="H36" s="118">
        <v>45973</v>
      </c>
      <c r="I36">
        <v>99</v>
      </c>
      <c r="J36">
        <v>100</v>
      </c>
      <c r="K36">
        <v>5138307.01</v>
      </c>
      <c r="L36">
        <v>5190209.0999999996</v>
      </c>
      <c r="M36">
        <v>51902.09</v>
      </c>
      <c r="N36">
        <v>0</v>
      </c>
      <c r="O36" t="s">
        <v>561</v>
      </c>
      <c r="Q36" t="s">
        <v>170</v>
      </c>
      <c r="R36">
        <v>3460.14</v>
      </c>
      <c r="S36">
        <v>0.75</v>
      </c>
      <c r="T36" s="118">
        <v>47753</v>
      </c>
    </row>
    <row r="37" spans="1:21" hidden="1">
      <c r="A37" t="s">
        <v>511</v>
      </c>
      <c r="B37" t="s">
        <v>478</v>
      </c>
      <c r="C37" t="s">
        <v>516</v>
      </c>
      <c r="D37" t="s">
        <v>562</v>
      </c>
      <c r="E37" t="s">
        <v>563</v>
      </c>
      <c r="F37">
        <v>13333.33</v>
      </c>
      <c r="G37">
        <v>297363085</v>
      </c>
      <c r="H37" s="118">
        <v>44320</v>
      </c>
      <c r="I37">
        <v>100</v>
      </c>
      <c r="J37">
        <v>100</v>
      </c>
      <c r="K37">
        <v>0</v>
      </c>
      <c r="L37">
        <v>0</v>
      </c>
      <c r="M37">
        <v>0</v>
      </c>
      <c r="N37">
        <v>0</v>
      </c>
      <c r="P37" t="s">
        <v>564</v>
      </c>
      <c r="Q37" t="s">
        <v>170</v>
      </c>
      <c r="R37">
        <v>5.93</v>
      </c>
      <c r="S37">
        <v>0.5</v>
      </c>
      <c r="T37" s="118">
        <v>46149</v>
      </c>
    </row>
    <row r="38" spans="1:21" hidden="1">
      <c r="A38" t="s">
        <v>511</v>
      </c>
      <c r="B38" t="s">
        <v>478</v>
      </c>
      <c r="C38" t="s">
        <v>516</v>
      </c>
      <c r="D38" t="s">
        <v>562</v>
      </c>
      <c r="E38" t="s">
        <v>563</v>
      </c>
      <c r="F38">
        <v>44444.44</v>
      </c>
      <c r="G38">
        <v>297363362</v>
      </c>
      <c r="H38" s="118">
        <v>44988</v>
      </c>
      <c r="I38">
        <v>100</v>
      </c>
      <c r="J38">
        <v>100</v>
      </c>
      <c r="K38">
        <v>0</v>
      </c>
      <c r="L38">
        <v>0</v>
      </c>
      <c r="M38">
        <v>0</v>
      </c>
      <c r="N38">
        <v>0</v>
      </c>
      <c r="P38" t="s">
        <v>531</v>
      </c>
      <c r="Q38" t="s">
        <v>170</v>
      </c>
      <c r="R38">
        <v>19.75</v>
      </c>
      <c r="S38">
        <v>0.5</v>
      </c>
      <c r="T38" s="118">
        <v>46149</v>
      </c>
    </row>
    <row r="39" spans="1:21" hidden="1">
      <c r="A39" t="s">
        <v>511</v>
      </c>
      <c r="B39" t="s">
        <v>478</v>
      </c>
      <c r="C39" t="s">
        <v>516</v>
      </c>
      <c r="D39" t="s">
        <v>562</v>
      </c>
      <c r="E39" t="s">
        <v>563</v>
      </c>
      <c r="F39">
        <v>75555.56</v>
      </c>
      <c r="G39">
        <v>297363134</v>
      </c>
      <c r="H39" s="118">
        <v>44512</v>
      </c>
      <c r="I39">
        <v>100</v>
      </c>
      <c r="J39">
        <v>100</v>
      </c>
      <c r="K39">
        <v>0</v>
      </c>
      <c r="L39">
        <v>0</v>
      </c>
      <c r="M39">
        <v>0</v>
      </c>
      <c r="N39">
        <v>0</v>
      </c>
      <c r="P39" t="s">
        <v>565</v>
      </c>
      <c r="Q39" t="s">
        <v>170</v>
      </c>
      <c r="R39">
        <v>33.58</v>
      </c>
      <c r="S39">
        <v>0.5</v>
      </c>
      <c r="T39" s="118">
        <v>46149</v>
      </c>
    </row>
    <row r="40" spans="1:21" hidden="1">
      <c r="A40" t="s">
        <v>511</v>
      </c>
      <c r="B40" t="s">
        <v>478</v>
      </c>
      <c r="C40" t="s">
        <v>516</v>
      </c>
      <c r="D40" t="s">
        <v>562</v>
      </c>
      <c r="E40" t="s">
        <v>563</v>
      </c>
      <c r="F40">
        <v>88888.89</v>
      </c>
      <c r="G40">
        <v>297363511</v>
      </c>
      <c r="H40" s="118">
        <v>45142</v>
      </c>
      <c r="I40">
        <v>100</v>
      </c>
      <c r="J40">
        <v>100</v>
      </c>
      <c r="K40">
        <v>0</v>
      </c>
      <c r="L40">
        <v>0</v>
      </c>
      <c r="M40">
        <v>0</v>
      </c>
      <c r="N40">
        <v>0</v>
      </c>
      <c r="P40" t="s">
        <v>566</v>
      </c>
      <c r="Q40" t="s">
        <v>170</v>
      </c>
      <c r="R40">
        <v>39.51</v>
      </c>
      <c r="S40">
        <v>0.5</v>
      </c>
      <c r="T40" s="118">
        <v>46149</v>
      </c>
    </row>
    <row r="41" spans="1:21" hidden="1">
      <c r="A41" t="s">
        <v>511</v>
      </c>
      <c r="B41" t="s">
        <v>478</v>
      </c>
      <c r="C41" t="s">
        <v>516</v>
      </c>
      <c r="D41" t="s">
        <v>562</v>
      </c>
      <c r="E41" t="s">
        <v>563</v>
      </c>
      <c r="F41">
        <v>222222.23</v>
      </c>
      <c r="G41">
        <v>297363777</v>
      </c>
      <c r="H41" s="118">
        <v>45331</v>
      </c>
      <c r="I41">
        <v>100</v>
      </c>
      <c r="J41">
        <v>100</v>
      </c>
      <c r="K41">
        <v>0</v>
      </c>
      <c r="L41">
        <v>0</v>
      </c>
      <c r="M41">
        <v>0</v>
      </c>
      <c r="N41">
        <v>0</v>
      </c>
      <c r="P41" t="s">
        <v>567</v>
      </c>
      <c r="Q41" t="s">
        <v>170</v>
      </c>
      <c r="R41">
        <v>98.77</v>
      </c>
      <c r="S41">
        <v>0.5</v>
      </c>
      <c r="T41" s="118">
        <v>46149</v>
      </c>
    </row>
    <row r="42" spans="1:21" hidden="1">
      <c r="A42" t="s">
        <v>511</v>
      </c>
      <c r="B42" t="s">
        <v>478</v>
      </c>
      <c r="C42" t="s">
        <v>516</v>
      </c>
      <c r="D42" t="s">
        <v>568</v>
      </c>
      <c r="E42" t="s">
        <v>569</v>
      </c>
      <c r="F42">
        <v>15625</v>
      </c>
      <c r="G42">
        <v>297363476</v>
      </c>
      <c r="H42" s="118">
        <v>45107</v>
      </c>
      <c r="I42">
        <v>55.533299999999997</v>
      </c>
      <c r="J42">
        <v>100</v>
      </c>
      <c r="K42">
        <v>8677.08</v>
      </c>
      <c r="L42">
        <v>8677.08</v>
      </c>
      <c r="M42">
        <v>0</v>
      </c>
      <c r="N42">
        <v>0</v>
      </c>
      <c r="P42" t="s">
        <v>570</v>
      </c>
      <c r="Q42" t="s">
        <v>170</v>
      </c>
      <c r="R42">
        <v>62.94</v>
      </c>
      <c r="S42">
        <v>0.5</v>
      </c>
      <c r="T42" s="118">
        <v>46581</v>
      </c>
    </row>
    <row r="43" spans="1:21" hidden="1">
      <c r="A43" t="s">
        <v>511</v>
      </c>
      <c r="B43" t="s">
        <v>478</v>
      </c>
      <c r="C43" t="s">
        <v>516</v>
      </c>
      <c r="D43" t="s">
        <v>568</v>
      </c>
      <c r="E43" t="s">
        <v>569</v>
      </c>
      <c r="F43">
        <v>1673437.5</v>
      </c>
      <c r="G43">
        <v>297363096</v>
      </c>
      <c r="H43" s="118">
        <v>44385</v>
      </c>
      <c r="I43">
        <v>55.533299999999997</v>
      </c>
      <c r="J43">
        <v>100</v>
      </c>
      <c r="K43">
        <v>929315.62</v>
      </c>
      <c r="L43">
        <v>929315.62</v>
      </c>
      <c r="M43">
        <v>0</v>
      </c>
      <c r="N43">
        <v>0</v>
      </c>
      <c r="P43" t="s">
        <v>571</v>
      </c>
      <c r="Q43" t="s">
        <v>170</v>
      </c>
      <c r="R43">
        <v>6741.08</v>
      </c>
      <c r="S43">
        <v>0.5</v>
      </c>
      <c r="T43" s="118">
        <v>46581</v>
      </c>
    </row>
    <row r="44" spans="1:21" hidden="1">
      <c r="A44" t="s">
        <v>511</v>
      </c>
      <c r="B44" t="s">
        <v>478</v>
      </c>
      <c r="C44" t="s">
        <v>516</v>
      </c>
      <c r="D44" t="s">
        <v>568</v>
      </c>
      <c r="E44" t="s">
        <v>569</v>
      </c>
      <c r="F44">
        <v>185937.5</v>
      </c>
      <c r="G44">
        <v>297363144</v>
      </c>
      <c r="H44" s="118">
        <v>44536</v>
      </c>
      <c r="I44">
        <v>55.533299999999997</v>
      </c>
      <c r="J44">
        <v>100</v>
      </c>
      <c r="K44">
        <v>103257.29</v>
      </c>
      <c r="L44">
        <v>103257.29</v>
      </c>
      <c r="M44">
        <v>0</v>
      </c>
      <c r="N44">
        <v>0</v>
      </c>
      <c r="P44" t="s">
        <v>572</v>
      </c>
      <c r="Q44" t="s">
        <v>170</v>
      </c>
      <c r="R44">
        <v>749.01</v>
      </c>
      <c r="S44">
        <v>0.5</v>
      </c>
      <c r="T44" s="118">
        <v>46581</v>
      </c>
    </row>
    <row r="45" spans="1:21" hidden="1">
      <c r="A45" t="s">
        <v>511</v>
      </c>
      <c r="B45" t="s">
        <v>478</v>
      </c>
      <c r="C45" t="s">
        <v>516</v>
      </c>
      <c r="D45" t="s">
        <v>573</v>
      </c>
      <c r="E45" t="s">
        <v>574</v>
      </c>
      <c r="F45">
        <v>37117.660000000003</v>
      </c>
      <c r="G45">
        <v>298191518</v>
      </c>
      <c r="H45" s="118">
        <v>45352</v>
      </c>
      <c r="I45">
        <v>100</v>
      </c>
      <c r="J45">
        <v>97.5</v>
      </c>
      <c r="K45">
        <v>37117.660000000003</v>
      </c>
      <c r="L45">
        <v>36189.72</v>
      </c>
      <c r="M45">
        <v>-927.94</v>
      </c>
      <c r="N45">
        <v>0</v>
      </c>
      <c r="P45" t="s">
        <v>575</v>
      </c>
      <c r="Q45" t="s">
        <v>170</v>
      </c>
      <c r="R45">
        <v>22.2</v>
      </c>
      <c r="S45">
        <v>0</v>
      </c>
      <c r="T45" s="118">
        <v>46436</v>
      </c>
    </row>
    <row r="46" spans="1:21" hidden="1">
      <c r="A46" t="s">
        <v>511</v>
      </c>
      <c r="B46" t="s">
        <v>478</v>
      </c>
      <c r="C46" t="s">
        <v>516</v>
      </c>
      <c r="D46" t="s">
        <v>573</v>
      </c>
      <c r="E46" t="s">
        <v>574</v>
      </c>
      <c r="F46">
        <v>36724.54</v>
      </c>
      <c r="G46">
        <v>302903414</v>
      </c>
      <c r="H46" s="118">
        <v>45412</v>
      </c>
      <c r="I46">
        <v>100</v>
      </c>
      <c r="J46">
        <v>97.5</v>
      </c>
      <c r="K46">
        <v>36724.54</v>
      </c>
      <c r="L46">
        <v>35806.43</v>
      </c>
      <c r="M46">
        <v>-918.11</v>
      </c>
      <c r="N46">
        <v>0</v>
      </c>
      <c r="P46" t="s">
        <v>575</v>
      </c>
      <c r="Q46" t="s">
        <v>170</v>
      </c>
      <c r="R46">
        <v>21.97</v>
      </c>
      <c r="S46">
        <v>0</v>
      </c>
      <c r="T46" s="118">
        <v>46436</v>
      </c>
    </row>
    <row r="47" spans="1:21" hidden="1">
      <c r="A47" t="s">
        <v>511</v>
      </c>
      <c r="B47" t="s">
        <v>478</v>
      </c>
      <c r="C47" t="s">
        <v>516</v>
      </c>
      <c r="D47" t="s">
        <v>573</v>
      </c>
      <c r="E47" t="s">
        <v>574</v>
      </c>
      <c r="F47">
        <v>38019.29</v>
      </c>
      <c r="G47">
        <v>312045001</v>
      </c>
      <c r="H47" s="118">
        <v>45504</v>
      </c>
      <c r="I47">
        <v>100</v>
      </c>
      <c r="J47">
        <v>97.5</v>
      </c>
      <c r="K47">
        <v>38019.29</v>
      </c>
      <c r="L47">
        <v>37068.81</v>
      </c>
      <c r="M47">
        <v>-950.48</v>
      </c>
      <c r="N47">
        <v>0</v>
      </c>
      <c r="P47" t="s">
        <v>575</v>
      </c>
      <c r="Q47" t="s">
        <v>170</v>
      </c>
      <c r="R47">
        <v>22.74</v>
      </c>
      <c r="S47">
        <v>0</v>
      </c>
      <c r="T47" s="118">
        <v>46436</v>
      </c>
    </row>
    <row r="48" spans="1:21" hidden="1">
      <c r="A48" t="s">
        <v>511</v>
      </c>
      <c r="B48" t="s">
        <v>478</v>
      </c>
      <c r="C48" t="s">
        <v>516</v>
      </c>
      <c r="D48" t="s">
        <v>573</v>
      </c>
      <c r="E48" t="s">
        <v>574</v>
      </c>
      <c r="F48">
        <v>38514.800000000003</v>
      </c>
      <c r="G48">
        <v>319995803</v>
      </c>
      <c r="H48" s="118">
        <v>45596</v>
      </c>
      <c r="I48">
        <v>100</v>
      </c>
      <c r="J48">
        <v>97.5</v>
      </c>
      <c r="K48">
        <v>38514.800000000003</v>
      </c>
      <c r="L48">
        <v>37551.93</v>
      </c>
      <c r="M48">
        <v>-962.87</v>
      </c>
      <c r="N48">
        <v>0</v>
      </c>
      <c r="P48" t="s">
        <v>575</v>
      </c>
      <c r="Q48" t="s">
        <v>170</v>
      </c>
      <c r="R48">
        <v>23.04</v>
      </c>
      <c r="S48">
        <v>0</v>
      </c>
      <c r="T48" s="118">
        <v>46436</v>
      </c>
    </row>
    <row r="49" spans="1:20" hidden="1">
      <c r="A49" t="s">
        <v>511</v>
      </c>
      <c r="B49" t="s">
        <v>478</v>
      </c>
      <c r="C49" t="s">
        <v>516</v>
      </c>
      <c r="D49" t="s">
        <v>573</v>
      </c>
      <c r="E49" t="s">
        <v>574</v>
      </c>
      <c r="F49">
        <v>39016.79</v>
      </c>
      <c r="G49">
        <v>329606263</v>
      </c>
      <c r="H49" s="118">
        <v>45688</v>
      </c>
      <c r="I49">
        <v>100</v>
      </c>
      <c r="J49">
        <v>97.5</v>
      </c>
      <c r="K49">
        <v>39016.79</v>
      </c>
      <c r="L49">
        <v>38041.370000000003</v>
      </c>
      <c r="M49">
        <v>-975.42</v>
      </c>
      <c r="N49">
        <v>0</v>
      </c>
      <c r="P49" t="s">
        <v>575</v>
      </c>
      <c r="Q49" t="s">
        <v>170</v>
      </c>
      <c r="R49">
        <v>23.34</v>
      </c>
      <c r="S49">
        <v>0</v>
      </c>
      <c r="T49" s="118">
        <v>46436</v>
      </c>
    </row>
    <row r="50" spans="1:20" hidden="1">
      <c r="A50" t="s">
        <v>511</v>
      </c>
      <c r="B50" t="s">
        <v>478</v>
      </c>
      <c r="C50" t="s">
        <v>516</v>
      </c>
      <c r="D50" t="s">
        <v>573</v>
      </c>
      <c r="E50" t="s">
        <v>574</v>
      </c>
      <c r="F50">
        <v>38236.43</v>
      </c>
      <c r="G50">
        <v>339255546</v>
      </c>
      <c r="H50" s="118">
        <v>45777</v>
      </c>
      <c r="I50">
        <v>100</v>
      </c>
      <c r="J50">
        <v>97.5</v>
      </c>
      <c r="K50">
        <v>38236.43</v>
      </c>
      <c r="L50">
        <v>37280.519999999997</v>
      </c>
      <c r="M50">
        <v>-955.91</v>
      </c>
      <c r="N50">
        <v>0</v>
      </c>
      <c r="P50" t="s">
        <v>575</v>
      </c>
      <c r="Q50" t="s">
        <v>170</v>
      </c>
      <c r="R50">
        <v>22.87</v>
      </c>
      <c r="S50">
        <v>0</v>
      </c>
      <c r="T50" s="118">
        <v>46436</v>
      </c>
    </row>
    <row r="51" spans="1:20" hidden="1">
      <c r="A51" t="s">
        <v>511</v>
      </c>
      <c r="B51" t="s">
        <v>478</v>
      </c>
      <c r="C51" t="s">
        <v>516</v>
      </c>
      <c r="D51" t="s">
        <v>573</v>
      </c>
      <c r="E51" t="s">
        <v>574</v>
      </c>
      <c r="F51">
        <v>40023.660000000003</v>
      </c>
      <c r="G51">
        <v>351542010</v>
      </c>
      <c r="H51" s="118">
        <v>45869</v>
      </c>
      <c r="I51">
        <v>100</v>
      </c>
      <c r="J51">
        <v>97.5</v>
      </c>
      <c r="K51">
        <v>40023.660000000003</v>
      </c>
      <c r="L51">
        <v>39023.07</v>
      </c>
      <c r="M51">
        <v>-1000.59</v>
      </c>
      <c r="N51">
        <v>0</v>
      </c>
      <c r="P51" t="s">
        <v>575</v>
      </c>
      <c r="Q51" t="s">
        <v>170</v>
      </c>
      <c r="R51">
        <v>23.94</v>
      </c>
      <c r="S51">
        <v>0</v>
      </c>
      <c r="T51" s="118">
        <v>46436</v>
      </c>
    </row>
    <row r="52" spans="1:20" hidden="1">
      <c r="A52" t="s">
        <v>511</v>
      </c>
      <c r="B52" t="s">
        <v>478</v>
      </c>
      <c r="C52" t="s">
        <v>516</v>
      </c>
      <c r="D52" t="s">
        <v>573</v>
      </c>
      <c r="E52" t="s">
        <v>574</v>
      </c>
      <c r="F52">
        <v>2843238.66</v>
      </c>
      <c r="G52">
        <v>297363099</v>
      </c>
      <c r="H52" s="118">
        <v>44424</v>
      </c>
      <c r="I52">
        <v>97.790300000000002</v>
      </c>
      <c r="J52">
        <v>97.5</v>
      </c>
      <c r="K52">
        <v>2829747.38</v>
      </c>
      <c r="L52">
        <v>2772157.69</v>
      </c>
      <c r="M52">
        <v>-57589.69</v>
      </c>
      <c r="N52">
        <v>0</v>
      </c>
      <c r="P52" t="s">
        <v>576</v>
      </c>
      <c r="Q52" t="s">
        <v>170</v>
      </c>
      <c r="R52">
        <v>1700.71</v>
      </c>
      <c r="S52">
        <v>0</v>
      </c>
      <c r="T52" s="118">
        <v>46436</v>
      </c>
    </row>
    <row r="53" spans="1:20" hidden="1">
      <c r="A53" t="s">
        <v>511</v>
      </c>
      <c r="B53" t="s">
        <v>478</v>
      </c>
      <c r="C53" t="s">
        <v>516</v>
      </c>
      <c r="D53" t="s">
        <v>577</v>
      </c>
      <c r="E53" t="s">
        <v>578</v>
      </c>
      <c r="F53">
        <v>19659.25</v>
      </c>
      <c r="G53">
        <v>297363457</v>
      </c>
      <c r="H53" s="118">
        <v>45098</v>
      </c>
      <c r="I53">
        <v>14.0932</v>
      </c>
      <c r="J53">
        <v>97.5</v>
      </c>
      <c r="K53">
        <v>2770.61</v>
      </c>
      <c r="L53">
        <v>2279.13</v>
      </c>
      <c r="M53">
        <v>-491.48</v>
      </c>
      <c r="N53">
        <v>0</v>
      </c>
      <c r="P53" t="s">
        <v>579</v>
      </c>
      <c r="Q53" t="s">
        <v>170</v>
      </c>
      <c r="R53">
        <v>9.66</v>
      </c>
      <c r="S53">
        <v>0.5</v>
      </c>
      <c r="T53" s="118">
        <v>46250</v>
      </c>
    </row>
    <row r="54" spans="1:20" hidden="1">
      <c r="A54" t="s">
        <v>511</v>
      </c>
      <c r="B54" t="s">
        <v>478</v>
      </c>
      <c r="C54" t="s">
        <v>516</v>
      </c>
      <c r="D54" t="s">
        <v>577</v>
      </c>
      <c r="E54" t="s">
        <v>578</v>
      </c>
      <c r="F54">
        <v>19659.25</v>
      </c>
      <c r="G54">
        <v>297363458</v>
      </c>
      <c r="H54" s="118">
        <v>45098</v>
      </c>
      <c r="I54">
        <v>14.0932</v>
      </c>
      <c r="J54">
        <v>97.5</v>
      </c>
      <c r="K54">
        <v>2770.61</v>
      </c>
      <c r="L54">
        <v>2279.13</v>
      </c>
      <c r="M54">
        <v>-491.48</v>
      </c>
      <c r="N54">
        <v>0</v>
      </c>
      <c r="P54" t="s">
        <v>579</v>
      </c>
      <c r="Q54" t="s">
        <v>170</v>
      </c>
      <c r="R54">
        <v>9.66</v>
      </c>
      <c r="S54">
        <v>0.5</v>
      </c>
      <c r="T54" s="118">
        <v>46250</v>
      </c>
    </row>
    <row r="55" spans="1:20" hidden="1">
      <c r="A55" t="s">
        <v>511</v>
      </c>
      <c r="B55" t="s">
        <v>478</v>
      </c>
      <c r="C55" t="s">
        <v>516</v>
      </c>
      <c r="D55" t="s">
        <v>577</v>
      </c>
      <c r="E55" t="s">
        <v>578</v>
      </c>
      <c r="F55">
        <v>31504.15</v>
      </c>
      <c r="G55">
        <v>297363152</v>
      </c>
      <c r="H55" s="118">
        <v>44554</v>
      </c>
      <c r="I55">
        <v>14.0931</v>
      </c>
      <c r="J55">
        <v>97.5</v>
      </c>
      <c r="K55">
        <v>4439.91</v>
      </c>
      <c r="L55">
        <v>3652.31</v>
      </c>
      <c r="M55">
        <v>-787.6</v>
      </c>
      <c r="N55">
        <v>0</v>
      </c>
      <c r="P55" t="s">
        <v>580</v>
      </c>
      <c r="Q55" t="s">
        <v>170</v>
      </c>
      <c r="R55">
        <v>15.48</v>
      </c>
      <c r="S55">
        <v>0.5</v>
      </c>
      <c r="T55" s="118">
        <v>46250</v>
      </c>
    </row>
    <row r="56" spans="1:20" hidden="1">
      <c r="A56" t="s">
        <v>511</v>
      </c>
      <c r="B56" t="s">
        <v>478</v>
      </c>
      <c r="C56" t="s">
        <v>516</v>
      </c>
      <c r="D56" t="s">
        <v>577</v>
      </c>
      <c r="E56" t="s">
        <v>578</v>
      </c>
      <c r="F56">
        <v>34403.69</v>
      </c>
      <c r="G56">
        <v>297363459</v>
      </c>
      <c r="H56" s="118">
        <v>45098</v>
      </c>
      <c r="I56">
        <v>14.0931</v>
      </c>
      <c r="J56">
        <v>97.5</v>
      </c>
      <c r="K56">
        <v>4848.54</v>
      </c>
      <c r="L56">
        <v>3988.45</v>
      </c>
      <c r="M56">
        <v>-860.09</v>
      </c>
      <c r="N56">
        <v>0</v>
      </c>
      <c r="P56" t="s">
        <v>581</v>
      </c>
      <c r="Q56" t="s">
        <v>170</v>
      </c>
      <c r="R56">
        <v>16.920000000000002</v>
      </c>
      <c r="S56">
        <v>0.5</v>
      </c>
      <c r="T56" s="118">
        <v>46250</v>
      </c>
    </row>
    <row r="57" spans="1:20" hidden="1">
      <c r="A57" t="s">
        <v>511</v>
      </c>
      <c r="B57" t="s">
        <v>478</v>
      </c>
      <c r="C57" t="s">
        <v>516</v>
      </c>
      <c r="D57" t="s">
        <v>577</v>
      </c>
      <c r="E57" t="s">
        <v>578</v>
      </c>
      <c r="F57">
        <v>49148.17</v>
      </c>
      <c r="G57">
        <v>297363456</v>
      </c>
      <c r="H57" s="118">
        <v>45098</v>
      </c>
      <c r="I57">
        <v>14.0931</v>
      </c>
      <c r="J57">
        <v>97.5</v>
      </c>
      <c r="K57">
        <v>6926.5</v>
      </c>
      <c r="L57">
        <v>5697.8</v>
      </c>
      <c r="M57">
        <v>-1228.7</v>
      </c>
      <c r="N57">
        <v>0</v>
      </c>
      <c r="P57" t="s">
        <v>582</v>
      </c>
      <c r="Q57" t="s">
        <v>170</v>
      </c>
      <c r="R57">
        <v>24.17</v>
      </c>
      <c r="S57">
        <v>0.5</v>
      </c>
      <c r="T57" s="118">
        <v>46250</v>
      </c>
    </row>
    <row r="58" spans="1:20" hidden="1">
      <c r="A58" t="s">
        <v>511</v>
      </c>
      <c r="B58" t="s">
        <v>478</v>
      </c>
      <c r="C58" t="s">
        <v>516</v>
      </c>
      <c r="D58" t="s">
        <v>577</v>
      </c>
      <c r="E58" t="s">
        <v>578</v>
      </c>
      <c r="F58">
        <v>94482.71</v>
      </c>
      <c r="G58">
        <v>297363331</v>
      </c>
      <c r="H58" s="118">
        <v>44950</v>
      </c>
      <c r="I58">
        <v>14.0931</v>
      </c>
      <c r="J58">
        <v>97.5</v>
      </c>
      <c r="K58">
        <v>13315.55</v>
      </c>
      <c r="L58">
        <v>10953.48</v>
      </c>
      <c r="M58">
        <v>-2362.0700000000002</v>
      </c>
      <c r="N58">
        <v>0</v>
      </c>
      <c r="P58" t="s">
        <v>583</v>
      </c>
      <c r="Q58" t="s">
        <v>170</v>
      </c>
      <c r="R58">
        <v>46.44</v>
      </c>
      <c r="S58">
        <v>0.5</v>
      </c>
      <c r="T58" s="118">
        <v>46250</v>
      </c>
    </row>
    <row r="59" spans="1:20" hidden="1">
      <c r="A59" t="s">
        <v>511</v>
      </c>
      <c r="B59" t="s">
        <v>478</v>
      </c>
      <c r="C59" t="s">
        <v>516</v>
      </c>
      <c r="D59" t="s">
        <v>577</v>
      </c>
      <c r="E59" t="s">
        <v>578</v>
      </c>
      <c r="F59">
        <v>188965.38</v>
      </c>
      <c r="G59">
        <v>297363186</v>
      </c>
      <c r="H59" s="118">
        <v>44678</v>
      </c>
      <c r="I59">
        <v>14.0931</v>
      </c>
      <c r="J59">
        <v>97.5</v>
      </c>
      <c r="K59">
        <v>26631.08</v>
      </c>
      <c r="L59">
        <v>21906.95</v>
      </c>
      <c r="M59">
        <v>-4724.13</v>
      </c>
      <c r="N59">
        <v>0</v>
      </c>
      <c r="P59" t="s">
        <v>584</v>
      </c>
      <c r="Q59" t="s">
        <v>170</v>
      </c>
      <c r="R59">
        <v>92.91</v>
      </c>
      <c r="S59">
        <v>0.5</v>
      </c>
      <c r="T59" s="118">
        <v>46250</v>
      </c>
    </row>
    <row r="60" spans="1:20" hidden="1">
      <c r="A60" t="s">
        <v>511</v>
      </c>
      <c r="B60" t="s">
        <v>478</v>
      </c>
      <c r="C60" t="s">
        <v>516</v>
      </c>
      <c r="D60" t="s">
        <v>577</v>
      </c>
      <c r="E60" t="s">
        <v>578</v>
      </c>
      <c r="F60">
        <v>188965.38</v>
      </c>
      <c r="G60">
        <v>297363319</v>
      </c>
      <c r="H60" s="118">
        <v>44924</v>
      </c>
      <c r="I60">
        <v>14.0931</v>
      </c>
      <c r="J60">
        <v>97.5</v>
      </c>
      <c r="K60">
        <v>26631.08</v>
      </c>
      <c r="L60">
        <v>21906.95</v>
      </c>
      <c r="M60">
        <v>-4724.13</v>
      </c>
      <c r="N60">
        <v>0</v>
      </c>
      <c r="P60" t="s">
        <v>584</v>
      </c>
      <c r="Q60" t="s">
        <v>170</v>
      </c>
      <c r="R60">
        <v>92.91</v>
      </c>
      <c r="S60">
        <v>0.5</v>
      </c>
      <c r="T60" s="118">
        <v>46250</v>
      </c>
    </row>
    <row r="61" spans="1:20" hidden="1">
      <c r="A61" t="s">
        <v>511</v>
      </c>
      <c r="B61" t="s">
        <v>478</v>
      </c>
      <c r="C61" t="s">
        <v>516</v>
      </c>
      <c r="D61" t="s">
        <v>577</v>
      </c>
      <c r="E61" t="s">
        <v>578</v>
      </c>
      <c r="F61">
        <v>330689.42</v>
      </c>
      <c r="G61">
        <v>297363232</v>
      </c>
      <c r="H61" s="118">
        <v>44741</v>
      </c>
      <c r="I61">
        <v>14.0931</v>
      </c>
      <c r="J61">
        <v>97.5</v>
      </c>
      <c r="K61">
        <v>46604.41</v>
      </c>
      <c r="L61">
        <v>38337.17</v>
      </c>
      <c r="M61">
        <v>-8267.24</v>
      </c>
      <c r="N61">
        <v>0</v>
      </c>
      <c r="P61" t="s">
        <v>585</v>
      </c>
      <c r="Q61" t="s">
        <v>170</v>
      </c>
      <c r="R61">
        <v>162.6</v>
      </c>
      <c r="S61">
        <v>0.5</v>
      </c>
      <c r="T61" s="118">
        <v>46250</v>
      </c>
    </row>
    <row r="62" spans="1:20" hidden="1">
      <c r="A62" t="s">
        <v>511</v>
      </c>
      <c r="B62" t="s">
        <v>478</v>
      </c>
      <c r="C62" t="s">
        <v>516</v>
      </c>
      <c r="D62" t="s">
        <v>577</v>
      </c>
      <c r="E62" t="s">
        <v>578</v>
      </c>
      <c r="F62">
        <v>346535.06</v>
      </c>
      <c r="G62">
        <v>297363487</v>
      </c>
      <c r="H62" s="118">
        <v>45089</v>
      </c>
      <c r="I62">
        <v>14.0931</v>
      </c>
      <c r="J62">
        <v>97.5</v>
      </c>
      <c r="K62">
        <v>48837.54</v>
      </c>
      <c r="L62">
        <v>40174.160000000003</v>
      </c>
      <c r="M62">
        <v>-8663.3799999999992</v>
      </c>
      <c r="N62">
        <v>0</v>
      </c>
      <c r="P62" t="s">
        <v>586</v>
      </c>
      <c r="Q62" t="s">
        <v>170</v>
      </c>
      <c r="R62">
        <v>170.38</v>
      </c>
      <c r="S62">
        <v>0.5</v>
      </c>
      <c r="T62" s="118">
        <v>46250</v>
      </c>
    </row>
    <row r="63" spans="1:20" hidden="1">
      <c r="A63" t="s">
        <v>511</v>
      </c>
      <c r="B63" t="s">
        <v>478</v>
      </c>
      <c r="C63" t="s">
        <v>516</v>
      </c>
      <c r="D63" t="s">
        <v>577</v>
      </c>
      <c r="E63" t="s">
        <v>578</v>
      </c>
      <c r="F63">
        <v>472413.44</v>
      </c>
      <c r="G63">
        <v>297363372</v>
      </c>
      <c r="H63" s="118">
        <v>45001</v>
      </c>
      <c r="I63">
        <v>14.0931</v>
      </c>
      <c r="J63">
        <v>97.5</v>
      </c>
      <c r="K63">
        <v>66577.710000000006</v>
      </c>
      <c r="L63">
        <v>54767.37</v>
      </c>
      <c r="M63">
        <v>-11810.34</v>
      </c>
      <c r="N63">
        <v>0</v>
      </c>
      <c r="P63" t="s">
        <v>587</v>
      </c>
      <c r="Q63" t="s">
        <v>170</v>
      </c>
      <c r="R63">
        <v>232.27</v>
      </c>
      <c r="S63">
        <v>0.5</v>
      </c>
      <c r="T63" s="118">
        <v>46250</v>
      </c>
    </row>
    <row r="64" spans="1:20" hidden="1">
      <c r="A64" t="s">
        <v>511</v>
      </c>
      <c r="B64" t="s">
        <v>478</v>
      </c>
      <c r="C64" t="s">
        <v>516</v>
      </c>
      <c r="D64" t="s">
        <v>577</v>
      </c>
      <c r="E64" t="s">
        <v>578</v>
      </c>
      <c r="F64">
        <v>538560.5</v>
      </c>
      <c r="G64">
        <v>297363100</v>
      </c>
      <c r="H64" s="118">
        <v>44424</v>
      </c>
      <c r="I64">
        <v>14.0931</v>
      </c>
      <c r="J64">
        <v>97.5</v>
      </c>
      <c r="K64">
        <v>75899.88</v>
      </c>
      <c r="L64">
        <v>62435.87</v>
      </c>
      <c r="M64">
        <v>-13464.01</v>
      </c>
      <c r="N64">
        <v>0</v>
      </c>
      <c r="P64" t="s">
        <v>588</v>
      </c>
      <c r="Q64" t="s">
        <v>170</v>
      </c>
      <c r="R64">
        <v>264.8</v>
      </c>
      <c r="S64">
        <v>0.5</v>
      </c>
      <c r="T64" s="118">
        <v>46250</v>
      </c>
    </row>
    <row r="65" spans="1:20" hidden="1">
      <c r="A65" t="s">
        <v>511</v>
      </c>
      <c r="B65" t="s">
        <v>478</v>
      </c>
      <c r="C65" t="s">
        <v>516</v>
      </c>
      <c r="D65" t="s">
        <v>577</v>
      </c>
      <c r="E65" t="s">
        <v>578</v>
      </c>
      <c r="F65">
        <v>834498.56000000006</v>
      </c>
      <c r="G65">
        <v>297363498</v>
      </c>
      <c r="H65" s="118">
        <v>45138</v>
      </c>
      <c r="I65">
        <v>14.0931</v>
      </c>
      <c r="J65">
        <v>97.5</v>
      </c>
      <c r="K65">
        <v>117606.75</v>
      </c>
      <c r="L65">
        <v>96744.29</v>
      </c>
      <c r="M65">
        <v>-20862.46</v>
      </c>
      <c r="N65">
        <v>0</v>
      </c>
      <c r="P65" t="s">
        <v>589</v>
      </c>
      <c r="Q65" t="s">
        <v>170</v>
      </c>
      <c r="R65">
        <v>410.3</v>
      </c>
      <c r="S65">
        <v>0.5</v>
      </c>
      <c r="T65" s="118">
        <v>46250</v>
      </c>
    </row>
    <row r="66" spans="1:20" hidden="1">
      <c r="A66" t="s">
        <v>511</v>
      </c>
      <c r="B66" t="s">
        <v>478</v>
      </c>
      <c r="C66" t="s">
        <v>516</v>
      </c>
      <c r="D66" t="s">
        <v>590</v>
      </c>
      <c r="E66" t="s">
        <v>591</v>
      </c>
      <c r="F66">
        <v>1162915.8600000001</v>
      </c>
      <c r="G66">
        <v>297363101</v>
      </c>
      <c r="H66" s="118">
        <v>44424</v>
      </c>
      <c r="I66">
        <v>100</v>
      </c>
      <c r="J66">
        <v>100</v>
      </c>
      <c r="K66">
        <v>0</v>
      </c>
      <c r="L66">
        <v>0</v>
      </c>
      <c r="M66">
        <v>0</v>
      </c>
      <c r="N66">
        <v>0</v>
      </c>
      <c r="P66" t="s">
        <v>592</v>
      </c>
      <c r="Q66" t="s">
        <v>170</v>
      </c>
      <c r="R66">
        <v>500.7</v>
      </c>
      <c r="S66">
        <v>0.5</v>
      </c>
      <c r="T66" s="118">
        <v>46253</v>
      </c>
    </row>
    <row r="67" spans="1:20" hidden="1">
      <c r="A67" t="s">
        <v>511</v>
      </c>
      <c r="B67" t="s">
        <v>478</v>
      </c>
      <c r="C67" t="s">
        <v>516</v>
      </c>
      <c r="D67" t="s">
        <v>593</v>
      </c>
      <c r="E67" t="s">
        <v>594</v>
      </c>
      <c r="F67">
        <v>909090.91</v>
      </c>
      <c r="G67">
        <v>297363104</v>
      </c>
      <c r="H67" s="118">
        <v>44425</v>
      </c>
      <c r="I67">
        <v>9</v>
      </c>
      <c r="J67">
        <v>99</v>
      </c>
      <c r="K67">
        <v>81818.179999999993</v>
      </c>
      <c r="L67">
        <v>72727.27</v>
      </c>
      <c r="M67">
        <v>-9090.91</v>
      </c>
      <c r="N67">
        <v>0</v>
      </c>
      <c r="P67" t="s">
        <v>595</v>
      </c>
      <c r="Q67" t="s">
        <v>170</v>
      </c>
      <c r="R67">
        <v>411.73</v>
      </c>
      <c r="S67">
        <v>0.5</v>
      </c>
      <c r="T67" s="118">
        <v>46254</v>
      </c>
    </row>
    <row r="68" spans="1:20" hidden="1">
      <c r="A68" t="s">
        <v>511</v>
      </c>
      <c r="B68" t="s">
        <v>478</v>
      </c>
      <c r="C68" t="s">
        <v>516</v>
      </c>
      <c r="D68" t="s">
        <v>596</v>
      </c>
      <c r="E68" t="s">
        <v>597</v>
      </c>
      <c r="F68">
        <v>4530162.34</v>
      </c>
      <c r="G68">
        <v>297363115</v>
      </c>
      <c r="H68" s="118">
        <v>44440</v>
      </c>
      <c r="I68">
        <v>98.245800000000003</v>
      </c>
      <c r="J68">
        <v>78</v>
      </c>
      <c r="K68">
        <v>4504835.3899999997</v>
      </c>
      <c r="L68">
        <v>3533526.63</v>
      </c>
      <c r="M68">
        <v>-971308.76</v>
      </c>
      <c r="N68">
        <v>0</v>
      </c>
      <c r="P68" t="s">
        <v>598</v>
      </c>
      <c r="Q68" t="s">
        <v>170</v>
      </c>
      <c r="R68">
        <v>44584.61</v>
      </c>
      <c r="S68">
        <v>0</v>
      </c>
      <c r="T68" s="118">
        <v>46633</v>
      </c>
    </row>
    <row r="69" spans="1:20" hidden="1">
      <c r="A69" t="s">
        <v>511</v>
      </c>
      <c r="B69" t="s">
        <v>478</v>
      </c>
      <c r="C69" t="s">
        <v>516</v>
      </c>
      <c r="D69" t="s">
        <v>599</v>
      </c>
      <c r="E69" t="s">
        <v>600</v>
      </c>
      <c r="F69">
        <v>538949.68999999994</v>
      </c>
      <c r="G69">
        <v>297363790</v>
      </c>
      <c r="H69" s="118">
        <v>45345</v>
      </c>
      <c r="I69">
        <v>37.036999999999999</v>
      </c>
      <c r="J69">
        <v>99.7</v>
      </c>
      <c r="K69">
        <v>199611</v>
      </c>
      <c r="L69">
        <v>197994.15</v>
      </c>
      <c r="M69">
        <v>-1616.85</v>
      </c>
      <c r="N69">
        <v>0</v>
      </c>
      <c r="P69" t="s">
        <v>601</v>
      </c>
      <c r="Q69" t="s">
        <v>170</v>
      </c>
      <c r="R69">
        <v>1729.27</v>
      </c>
      <c r="S69">
        <v>0.5</v>
      </c>
      <c r="T69" s="118">
        <v>46615</v>
      </c>
    </row>
    <row r="70" spans="1:20" hidden="1">
      <c r="A70" t="s">
        <v>511</v>
      </c>
      <c r="B70" t="s">
        <v>478</v>
      </c>
      <c r="C70" t="s">
        <v>516</v>
      </c>
      <c r="D70" t="s">
        <v>599</v>
      </c>
      <c r="E70" t="s">
        <v>600</v>
      </c>
      <c r="F70">
        <v>673687.1</v>
      </c>
      <c r="G70">
        <v>297363537</v>
      </c>
      <c r="H70" s="118">
        <v>45176</v>
      </c>
      <c r="I70">
        <v>37.036999999999999</v>
      </c>
      <c r="J70">
        <v>99.7</v>
      </c>
      <c r="K70">
        <v>249513.73</v>
      </c>
      <c r="L70">
        <v>247492.67</v>
      </c>
      <c r="M70">
        <v>-2021.06</v>
      </c>
      <c r="N70">
        <v>0</v>
      </c>
      <c r="P70" t="s">
        <v>602</v>
      </c>
      <c r="Q70" t="s">
        <v>170</v>
      </c>
      <c r="R70">
        <v>2161.5700000000002</v>
      </c>
      <c r="S70">
        <v>0.5</v>
      </c>
      <c r="T70" s="118">
        <v>46615</v>
      </c>
    </row>
    <row r="71" spans="1:20" hidden="1">
      <c r="A71" t="s">
        <v>511</v>
      </c>
      <c r="B71" t="s">
        <v>478</v>
      </c>
      <c r="C71" t="s">
        <v>516</v>
      </c>
      <c r="D71" t="s">
        <v>599</v>
      </c>
      <c r="E71" t="s">
        <v>600</v>
      </c>
      <c r="F71">
        <v>673687.1</v>
      </c>
      <c r="G71">
        <v>297363681</v>
      </c>
      <c r="H71" s="118">
        <v>45309</v>
      </c>
      <c r="I71">
        <v>37.036999999999999</v>
      </c>
      <c r="J71">
        <v>99.7</v>
      </c>
      <c r="K71">
        <v>249513.73</v>
      </c>
      <c r="L71">
        <v>247492.67</v>
      </c>
      <c r="M71">
        <v>-2021.06</v>
      </c>
      <c r="N71">
        <v>0</v>
      </c>
      <c r="P71" t="s">
        <v>602</v>
      </c>
      <c r="Q71" t="s">
        <v>170</v>
      </c>
      <c r="R71">
        <v>2161.5700000000002</v>
      </c>
      <c r="S71">
        <v>0.5</v>
      </c>
      <c r="T71" s="118">
        <v>46615</v>
      </c>
    </row>
    <row r="72" spans="1:20" hidden="1">
      <c r="A72" t="s">
        <v>511</v>
      </c>
      <c r="B72" t="s">
        <v>478</v>
      </c>
      <c r="C72" t="s">
        <v>516</v>
      </c>
      <c r="D72" t="s">
        <v>599</v>
      </c>
      <c r="E72" t="s">
        <v>600</v>
      </c>
      <c r="F72">
        <v>808424.54</v>
      </c>
      <c r="G72">
        <v>297363536</v>
      </c>
      <c r="H72" s="118">
        <v>45176</v>
      </c>
      <c r="I72">
        <v>37.036999999999999</v>
      </c>
      <c r="J72">
        <v>99.7</v>
      </c>
      <c r="K72">
        <v>299416.49</v>
      </c>
      <c r="L72">
        <v>296991.21999999997</v>
      </c>
      <c r="M72">
        <v>-2425.27</v>
      </c>
      <c r="N72">
        <v>0</v>
      </c>
      <c r="P72" t="s">
        <v>603</v>
      </c>
      <c r="Q72" t="s">
        <v>170</v>
      </c>
      <c r="R72">
        <v>2593.89</v>
      </c>
      <c r="S72">
        <v>0.5</v>
      </c>
      <c r="T72" s="118">
        <v>46615</v>
      </c>
    </row>
    <row r="73" spans="1:20" hidden="1">
      <c r="A73" t="s">
        <v>511</v>
      </c>
      <c r="B73" t="s">
        <v>478</v>
      </c>
      <c r="C73" t="s">
        <v>516</v>
      </c>
      <c r="D73" t="s">
        <v>599</v>
      </c>
      <c r="E73" t="s">
        <v>600</v>
      </c>
      <c r="F73">
        <v>2021061.32</v>
      </c>
      <c r="G73">
        <v>297363127</v>
      </c>
      <c r="H73" s="118">
        <v>44481</v>
      </c>
      <c r="I73">
        <v>37.036999999999999</v>
      </c>
      <c r="J73">
        <v>99.7</v>
      </c>
      <c r="K73">
        <v>748541.22</v>
      </c>
      <c r="L73">
        <v>742478.04</v>
      </c>
      <c r="M73">
        <v>-6063.18</v>
      </c>
      <c r="N73">
        <v>0</v>
      </c>
      <c r="P73" t="s">
        <v>604</v>
      </c>
      <c r="Q73" t="s">
        <v>170</v>
      </c>
      <c r="R73">
        <v>6484.72</v>
      </c>
      <c r="S73">
        <v>0.5</v>
      </c>
      <c r="T73" s="118">
        <v>46615</v>
      </c>
    </row>
    <row r="74" spans="1:20" hidden="1">
      <c r="A74" t="s">
        <v>511</v>
      </c>
      <c r="B74" t="s">
        <v>478</v>
      </c>
      <c r="C74" t="s">
        <v>516</v>
      </c>
      <c r="D74" t="s">
        <v>605</v>
      </c>
      <c r="E74" t="s">
        <v>606</v>
      </c>
      <c r="F74">
        <v>107857.62</v>
      </c>
      <c r="G74">
        <v>297363187</v>
      </c>
      <c r="H74" s="118">
        <v>44678</v>
      </c>
      <c r="I74">
        <v>53.333300000000001</v>
      </c>
      <c r="J74">
        <v>12.5</v>
      </c>
      <c r="K74">
        <v>57524.06</v>
      </c>
      <c r="L74">
        <v>-36851.360000000001</v>
      </c>
      <c r="M74">
        <v>-94375.42</v>
      </c>
      <c r="N74">
        <v>0</v>
      </c>
      <c r="P74" t="s">
        <v>607</v>
      </c>
      <c r="Q74" t="s">
        <v>170</v>
      </c>
      <c r="R74">
        <v>21.67</v>
      </c>
      <c r="S74">
        <v>0.5</v>
      </c>
      <c r="T74" s="118">
        <v>46700</v>
      </c>
    </row>
    <row r="75" spans="1:20" hidden="1">
      <c r="A75" t="s">
        <v>511</v>
      </c>
      <c r="B75" t="s">
        <v>478</v>
      </c>
      <c r="C75" t="s">
        <v>516</v>
      </c>
      <c r="D75" t="s">
        <v>605</v>
      </c>
      <c r="E75" t="s">
        <v>606</v>
      </c>
      <c r="F75">
        <v>970718.59</v>
      </c>
      <c r="G75">
        <v>297363136</v>
      </c>
      <c r="H75" s="118">
        <v>44505</v>
      </c>
      <c r="I75">
        <v>53.333300000000001</v>
      </c>
      <c r="J75">
        <v>12.5</v>
      </c>
      <c r="K75">
        <v>517716.58</v>
      </c>
      <c r="L75">
        <v>-331662.19</v>
      </c>
      <c r="M75">
        <v>-849378.77</v>
      </c>
      <c r="N75">
        <v>0</v>
      </c>
      <c r="P75" t="s">
        <v>608</v>
      </c>
      <c r="Q75" t="s">
        <v>170</v>
      </c>
      <c r="R75">
        <v>195.04</v>
      </c>
      <c r="S75">
        <v>0.5</v>
      </c>
      <c r="T75" s="118">
        <v>46700</v>
      </c>
    </row>
    <row r="76" spans="1:20" hidden="1">
      <c r="A76" t="s">
        <v>511</v>
      </c>
      <c r="B76" t="s">
        <v>478</v>
      </c>
      <c r="C76" t="s">
        <v>516</v>
      </c>
      <c r="D76" t="s">
        <v>605</v>
      </c>
      <c r="E76" t="s">
        <v>606</v>
      </c>
      <c r="F76">
        <v>161786.43</v>
      </c>
      <c r="G76">
        <v>297363200</v>
      </c>
      <c r="H76" s="118">
        <v>44694</v>
      </c>
      <c r="I76">
        <v>53.333300000000001</v>
      </c>
      <c r="J76">
        <v>12.5</v>
      </c>
      <c r="K76">
        <v>86286.1</v>
      </c>
      <c r="L76">
        <v>-55277.03</v>
      </c>
      <c r="M76">
        <v>-141563.13</v>
      </c>
      <c r="N76">
        <v>0</v>
      </c>
      <c r="P76" t="s">
        <v>609</v>
      </c>
      <c r="Q76" t="s">
        <v>170</v>
      </c>
      <c r="R76">
        <v>32.51</v>
      </c>
      <c r="S76">
        <v>0.5</v>
      </c>
      <c r="T76" s="118">
        <v>46700</v>
      </c>
    </row>
    <row r="77" spans="1:20" hidden="1">
      <c r="A77" t="s">
        <v>511</v>
      </c>
      <c r="B77" t="s">
        <v>478</v>
      </c>
      <c r="C77" t="s">
        <v>516</v>
      </c>
      <c r="D77" t="s">
        <v>605</v>
      </c>
      <c r="E77" t="s">
        <v>606</v>
      </c>
      <c r="F77">
        <v>161786.43</v>
      </c>
      <c r="G77">
        <v>297363220</v>
      </c>
      <c r="H77" s="118">
        <v>44726</v>
      </c>
      <c r="I77">
        <v>53.333300000000001</v>
      </c>
      <c r="J77">
        <v>12.5</v>
      </c>
      <c r="K77">
        <v>86286.1</v>
      </c>
      <c r="L77">
        <v>-55277.03</v>
      </c>
      <c r="M77">
        <v>-141563.13</v>
      </c>
      <c r="N77">
        <v>0</v>
      </c>
      <c r="P77" t="s">
        <v>609</v>
      </c>
      <c r="Q77" t="s">
        <v>170</v>
      </c>
      <c r="R77">
        <v>32.51</v>
      </c>
      <c r="S77">
        <v>0.5</v>
      </c>
      <c r="T77" s="118">
        <v>46700</v>
      </c>
    </row>
    <row r="78" spans="1:20" hidden="1">
      <c r="A78" t="s">
        <v>511</v>
      </c>
      <c r="B78" t="s">
        <v>478</v>
      </c>
      <c r="C78" t="s">
        <v>516</v>
      </c>
      <c r="D78" t="s">
        <v>605</v>
      </c>
      <c r="E78" t="s">
        <v>606</v>
      </c>
      <c r="F78">
        <v>215715.24</v>
      </c>
      <c r="G78">
        <v>297363180</v>
      </c>
      <c r="H78" s="118">
        <v>44652</v>
      </c>
      <c r="I78">
        <v>53.333300000000001</v>
      </c>
      <c r="J78">
        <v>12.5</v>
      </c>
      <c r="K78">
        <v>115048.13</v>
      </c>
      <c r="L78">
        <v>-73702.7</v>
      </c>
      <c r="M78">
        <v>-188750.83</v>
      </c>
      <c r="N78">
        <v>0</v>
      </c>
      <c r="P78" t="s">
        <v>610</v>
      </c>
      <c r="Q78" t="s">
        <v>170</v>
      </c>
      <c r="R78">
        <v>43.34</v>
      </c>
      <c r="S78">
        <v>0.5</v>
      </c>
      <c r="T78" s="118">
        <v>46700</v>
      </c>
    </row>
    <row r="79" spans="1:20" hidden="1">
      <c r="A79" t="s">
        <v>511</v>
      </c>
      <c r="B79" t="s">
        <v>478</v>
      </c>
      <c r="C79" t="s">
        <v>516</v>
      </c>
      <c r="D79" t="s">
        <v>611</v>
      </c>
      <c r="E79" t="s">
        <v>612</v>
      </c>
      <c r="F79">
        <v>2279004.58</v>
      </c>
      <c r="G79">
        <v>297363486</v>
      </c>
      <c r="H79" s="118">
        <v>45125</v>
      </c>
      <c r="I79">
        <v>63.244500000000002</v>
      </c>
      <c r="J79">
        <v>81.25</v>
      </c>
      <c r="K79">
        <v>1441344.37</v>
      </c>
      <c r="L79">
        <v>1014031.01</v>
      </c>
      <c r="M79">
        <v>-427313.36</v>
      </c>
      <c r="N79">
        <v>0</v>
      </c>
      <c r="P79" t="s">
        <v>613</v>
      </c>
      <c r="Q79" t="s">
        <v>170</v>
      </c>
      <c r="R79">
        <v>12975.87</v>
      </c>
      <c r="S79">
        <v>0.5</v>
      </c>
      <c r="T79" s="118">
        <v>46336</v>
      </c>
    </row>
    <row r="80" spans="1:20" hidden="1">
      <c r="A80" t="s">
        <v>511</v>
      </c>
      <c r="B80" t="s">
        <v>478</v>
      </c>
      <c r="C80" t="s">
        <v>516</v>
      </c>
      <c r="D80" t="s">
        <v>611</v>
      </c>
      <c r="E80" t="s">
        <v>612</v>
      </c>
      <c r="F80">
        <v>2574588.4</v>
      </c>
      <c r="G80">
        <v>297363540</v>
      </c>
      <c r="H80" s="118">
        <v>45183</v>
      </c>
      <c r="I80">
        <v>63.244500000000002</v>
      </c>
      <c r="J80">
        <v>81.25</v>
      </c>
      <c r="K80">
        <v>1628284.79</v>
      </c>
      <c r="L80">
        <v>1145549.47</v>
      </c>
      <c r="M80">
        <v>-482735.32</v>
      </c>
      <c r="N80">
        <v>0</v>
      </c>
      <c r="P80" t="s">
        <v>614</v>
      </c>
      <c r="Q80" t="s">
        <v>170</v>
      </c>
      <c r="R80">
        <v>14658.82</v>
      </c>
      <c r="S80">
        <v>0.5</v>
      </c>
      <c r="T80" s="118">
        <v>46336</v>
      </c>
    </row>
    <row r="81" spans="1:20" hidden="1">
      <c r="A81" t="s">
        <v>511</v>
      </c>
      <c r="B81" t="s">
        <v>478</v>
      </c>
      <c r="C81" t="s">
        <v>516</v>
      </c>
      <c r="D81" t="s">
        <v>615</v>
      </c>
      <c r="E81" t="s">
        <v>616</v>
      </c>
      <c r="F81">
        <v>1685492.1</v>
      </c>
      <c r="G81">
        <v>297363137</v>
      </c>
      <c r="H81" s="118">
        <v>44504</v>
      </c>
      <c r="I81">
        <v>100</v>
      </c>
      <c r="J81">
        <v>100</v>
      </c>
      <c r="K81">
        <v>0</v>
      </c>
      <c r="L81">
        <v>0</v>
      </c>
      <c r="M81">
        <v>0</v>
      </c>
      <c r="N81">
        <v>0</v>
      </c>
      <c r="P81" t="s">
        <v>592</v>
      </c>
      <c r="Q81" t="s">
        <v>170</v>
      </c>
      <c r="R81">
        <v>749.11</v>
      </c>
      <c r="S81">
        <v>0.5</v>
      </c>
      <c r="T81" s="118">
        <v>46706</v>
      </c>
    </row>
    <row r="82" spans="1:20" hidden="1">
      <c r="A82" t="s">
        <v>511</v>
      </c>
      <c r="B82" t="s">
        <v>478</v>
      </c>
      <c r="C82" t="s">
        <v>516</v>
      </c>
      <c r="D82" t="s">
        <v>617</v>
      </c>
      <c r="E82" t="s">
        <v>618</v>
      </c>
      <c r="F82">
        <v>186851.54</v>
      </c>
      <c r="G82">
        <v>297363170</v>
      </c>
      <c r="H82" s="118">
        <v>44621</v>
      </c>
      <c r="I82">
        <v>16.666699999999999</v>
      </c>
      <c r="J82">
        <v>100</v>
      </c>
      <c r="K82">
        <v>31141.919999999998</v>
      </c>
      <c r="L82">
        <v>31141.919999999998</v>
      </c>
      <c r="M82">
        <v>0</v>
      </c>
      <c r="N82">
        <v>0</v>
      </c>
      <c r="P82" t="s">
        <v>619</v>
      </c>
      <c r="Q82" t="s">
        <v>170</v>
      </c>
      <c r="R82">
        <v>313.41000000000003</v>
      </c>
      <c r="S82">
        <v>0.5</v>
      </c>
      <c r="T82" s="118">
        <v>46813</v>
      </c>
    </row>
    <row r="83" spans="1:20" hidden="1">
      <c r="A83" t="s">
        <v>511</v>
      </c>
      <c r="B83" t="s">
        <v>478</v>
      </c>
      <c r="C83" t="s">
        <v>516</v>
      </c>
      <c r="D83" t="s">
        <v>617</v>
      </c>
      <c r="E83" t="s">
        <v>618</v>
      </c>
      <c r="F83">
        <v>373703.07</v>
      </c>
      <c r="G83">
        <v>297363366</v>
      </c>
      <c r="H83" s="118">
        <v>44993</v>
      </c>
      <c r="I83">
        <v>16.666699999999999</v>
      </c>
      <c r="J83">
        <v>100</v>
      </c>
      <c r="K83">
        <v>62283.85</v>
      </c>
      <c r="L83">
        <v>62283.85</v>
      </c>
      <c r="M83">
        <v>0</v>
      </c>
      <c r="N83">
        <v>0</v>
      </c>
      <c r="P83" t="s">
        <v>620</v>
      </c>
      <c r="Q83" t="s">
        <v>170</v>
      </c>
      <c r="R83">
        <v>626.82000000000005</v>
      </c>
      <c r="S83">
        <v>0.5</v>
      </c>
      <c r="T83" s="118">
        <v>46813</v>
      </c>
    </row>
    <row r="84" spans="1:20" hidden="1">
      <c r="A84" t="s">
        <v>511</v>
      </c>
      <c r="B84" t="s">
        <v>478</v>
      </c>
      <c r="C84" t="s">
        <v>516</v>
      </c>
      <c r="D84" t="s">
        <v>617</v>
      </c>
      <c r="E84" t="s">
        <v>618</v>
      </c>
      <c r="F84">
        <v>840831.92</v>
      </c>
      <c r="G84">
        <v>297363169</v>
      </c>
      <c r="H84" s="118">
        <v>44617</v>
      </c>
      <c r="I84">
        <v>16.666699999999999</v>
      </c>
      <c r="J84">
        <v>100</v>
      </c>
      <c r="K84">
        <v>140138.65</v>
      </c>
      <c r="L84">
        <v>140138.65</v>
      </c>
      <c r="M84">
        <v>0</v>
      </c>
      <c r="N84">
        <v>0</v>
      </c>
      <c r="P84" t="s">
        <v>621</v>
      </c>
      <c r="Q84" t="s">
        <v>170</v>
      </c>
      <c r="R84">
        <v>1410.35</v>
      </c>
      <c r="S84">
        <v>0.5</v>
      </c>
      <c r="T84" s="118">
        <v>46813</v>
      </c>
    </row>
    <row r="85" spans="1:20" hidden="1">
      <c r="A85" t="s">
        <v>511</v>
      </c>
      <c r="B85" t="s">
        <v>478</v>
      </c>
      <c r="C85" t="s">
        <v>516</v>
      </c>
      <c r="D85" t="s">
        <v>622</v>
      </c>
      <c r="E85" t="s">
        <v>623</v>
      </c>
      <c r="F85">
        <v>23815038.079999998</v>
      </c>
      <c r="G85">
        <v>297363175</v>
      </c>
      <c r="H85" s="118">
        <v>44630</v>
      </c>
      <c r="I85">
        <v>98.5</v>
      </c>
      <c r="J85">
        <v>99.5</v>
      </c>
      <c r="K85">
        <v>23704661.899999999</v>
      </c>
      <c r="L85">
        <v>23695962.890000001</v>
      </c>
      <c r="M85">
        <v>-8699.01</v>
      </c>
      <c r="N85">
        <v>0</v>
      </c>
      <c r="P85" t="s">
        <v>624</v>
      </c>
      <c r="Q85" t="s">
        <v>170</v>
      </c>
      <c r="R85">
        <v>13257.04</v>
      </c>
      <c r="S85">
        <v>0</v>
      </c>
      <c r="T85" s="118">
        <v>46461</v>
      </c>
    </row>
    <row r="86" spans="1:20" hidden="1">
      <c r="A86" t="s">
        <v>511</v>
      </c>
      <c r="B86" t="s">
        <v>478</v>
      </c>
      <c r="C86" t="s">
        <v>516</v>
      </c>
      <c r="D86" t="s">
        <v>625</v>
      </c>
      <c r="E86" t="s">
        <v>626</v>
      </c>
      <c r="F86">
        <v>1484848.48</v>
      </c>
      <c r="G86">
        <v>297363176</v>
      </c>
      <c r="H86" s="118">
        <v>44630</v>
      </c>
      <c r="I86">
        <v>100</v>
      </c>
      <c r="J86">
        <v>99.5</v>
      </c>
      <c r="K86">
        <v>0</v>
      </c>
      <c r="L86">
        <v>-7424.24</v>
      </c>
      <c r="M86">
        <v>-7424.24</v>
      </c>
      <c r="N86">
        <v>0</v>
      </c>
      <c r="P86" t="s">
        <v>627</v>
      </c>
      <c r="Q86" t="s">
        <v>170</v>
      </c>
      <c r="R86">
        <v>659.93</v>
      </c>
      <c r="S86">
        <v>0.5</v>
      </c>
      <c r="T86" s="118">
        <v>46461</v>
      </c>
    </row>
    <row r="87" spans="1:20" hidden="1">
      <c r="A87" t="s">
        <v>511</v>
      </c>
      <c r="B87" t="s">
        <v>478</v>
      </c>
      <c r="C87" t="s">
        <v>516</v>
      </c>
      <c r="D87" t="s">
        <v>625</v>
      </c>
      <c r="E87" t="s">
        <v>626</v>
      </c>
      <c r="F87">
        <v>371212.12</v>
      </c>
      <c r="G87">
        <v>297363371</v>
      </c>
      <c r="H87" s="118">
        <v>44995</v>
      </c>
      <c r="I87">
        <v>100</v>
      </c>
      <c r="J87">
        <v>99.5</v>
      </c>
      <c r="K87">
        <v>0</v>
      </c>
      <c r="L87">
        <v>-1856.06</v>
      </c>
      <c r="M87">
        <v>-1856.06</v>
      </c>
      <c r="N87">
        <v>0</v>
      </c>
      <c r="P87" t="s">
        <v>628</v>
      </c>
      <c r="Q87" t="s">
        <v>170</v>
      </c>
      <c r="R87">
        <v>164.98</v>
      </c>
      <c r="S87">
        <v>0.5</v>
      </c>
      <c r="T87" s="118">
        <v>46461</v>
      </c>
    </row>
    <row r="88" spans="1:20" hidden="1">
      <c r="A88" t="s">
        <v>511</v>
      </c>
      <c r="B88" t="s">
        <v>478</v>
      </c>
      <c r="C88" t="s">
        <v>516</v>
      </c>
      <c r="D88" t="s">
        <v>629</v>
      </c>
      <c r="E88" t="s">
        <v>630</v>
      </c>
      <c r="F88">
        <v>1688115.11</v>
      </c>
      <c r="G88">
        <v>319603789</v>
      </c>
      <c r="H88" s="118">
        <v>45593</v>
      </c>
      <c r="I88">
        <v>100</v>
      </c>
      <c r="J88">
        <v>99.5</v>
      </c>
      <c r="K88">
        <v>0</v>
      </c>
      <c r="L88">
        <v>-8440.58</v>
      </c>
      <c r="M88">
        <v>-8440.58</v>
      </c>
      <c r="N88">
        <v>0</v>
      </c>
      <c r="P88" t="s">
        <v>631</v>
      </c>
      <c r="Q88" t="s">
        <v>170</v>
      </c>
      <c r="R88">
        <v>562.71</v>
      </c>
      <c r="S88">
        <v>0.375</v>
      </c>
      <c r="T88" s="118">
        <v>46969</v>
      </c>
    </row>
    <row r="89" spans="1:20" hidden="1">
      <c r="A89" t="s">
        <v>511</v>
      </c>
      <c r="B89" t="s">
        <v>478</v>
      </c>
      <c r="C89" t="s">
        <v>516</v>
      </c>
      <c r="D89" t="s">
        <v>632</v>
      </c>
      <c r="E89" t="s">
        <v>633</v>
      </c>
      <c r="F89">
        <v>396868.78</v>
      </c>
      <c r="G89">
        <v>359954332</v>
      </c>
      <c r="H89" s="118">
        <v>46006</v>
      </c>
      <c r="I89">
        <v>100</v>
      </c>
      <c r="J89">
        <v>99.5</v>
      </c>
      <c r="K89">
        <v>0</v>
      </c>
      <c r="L89">
        <v>-1984.34</v>
      </c>
      <c r="M89">
        <v>-1984.34</v>
      </c>
      <c r="N89">
        <v>0</v>
      </c>
      <c r="P89" t="s">
        <v>634</v>
      </c>
      <c r="Q89" t="s">
        <v>170</v>
      </c>
      <c r="R89">
        <v>176.39</v>
      </c>
      <c r="S89">
        <v>0.5</v>
      </c>
      <c r="T89" s="118">
        <v>48149</v>
      </c>
    </row>
    <row r="90" spans="1:20" hidden="1">
      <c r="A90" t="s">
        <v>511</v>
      </c>
      <c r="B90" t="s">
        <v>478</v>
      </c>
      <c r="C90" t="s">
        <v>516</v>
      </c>
      <c r="D90" t="s">
        <v>635</v>
      </c>
      <c r="E90" t="s">
        <v>636</v>
      </c>
      <c r="F90">
        <v>375136.94</v>
      </c>
      <c r="G90">
        <v>297363633</v>
      </c>
      <c r="H90" s="118">
        <v>45273</v>
      </c>
      <c r="I90">
        <v>99.5</v>
      </c>
      <c r="J90">
        <v>98</v>
      </c>
      <c r="K90">
        <v>374684.46</v>
      </c>
      <c r="L90">
        <v>367634.2</v>
      </c>
      <c r="M90">
        <v>-7050.26</v>
      </c>
      <c r="N90">
        <v>0</v>
      </c>
      <c r="P90" t="s">
        <v>637</v>
      </c>
      <c r="Q90" t="s">
        <v>170</v>
      </c>
      <c r="R90">
        <v>3025.07</v>
      </c>
      <c r="S90">
        <v>0</v>
      </c>
      <c r="T90" s="118">
        <v>46282</v>
      </c>
    </row>
    <row r="91" spans="1:20" hidden="1">
      <c r="A91" t="s">
        <v>511</v>
      </c>
      <c r="B91" t="s">
        <v>478</v>
      </c>
      <c r="C91" t="s">
        <v>516</v>
      </c>
      <c r="D91" t="s">
        <v>638</v>
      </c>
      <c r="E91" t="s">
        <v>639</v>
      </c>
      <c r="F91">
        <v>23030686.379999999</v>
      </c>
      <c r="G91">
        <v>305967055</v>
      </c>
      <c r="H91" s="118">
        <v>45401</v>
      </c>
      <c r="I91">
        <v>100</v>
      </c>
      <c r="J91">
        <v>100</v>
      </c>
      <c r="K91">
        <v>23030686.379999999</v>
      </c>
      <c r="L91">
        <v>23030686.379999999</v>
      </c>
      <c r="M91">
        <v>0</v>
      </c>
      <c r="N91">
        <v>0</v>
      </c>
      <c r="P91" t="s">
        <v>640</v>
      </c>
      <c r="Q91" t="s">
        <v>170</v>
      </c>
      <c r="R91">
        <v>255896.52</v>
      </c>
      <c r="S91">
        <v>0</v>
      </c>
      <c r="T91" s="118">
        <v>46533</v>
      </c>
    </row>
    <row r="92" spans="1:20" hidden="1">
      <c r="A92" t="s">
        <v>511</v>
      </c>
      <c r="B92" t="s">
        <v>478</v>
      </c>
      <c r="C92" t="s">
        <v>516</v>
      </c>
      <c r="D92" t="s">
        <v>641</v>
      </c>
      <c r="E92" t="s">
        <v>642</v>
      </c>
      <c r="F92">
        <v>286210.92</v>
      </c>
      <c r="G92">
        <v>297363272</v>
      </c>
      <c r="H92" s="118">
        <v>44792</v>
      </c>
      <c r="I92">
        <v>99.279799999999994</v>
      </c>
      <c r="J92">
        <v>31.8</v>
      </c>
      <c r="K92">
        <v>285408.99</v>
      </c>
      <c r="L92">
        <v>91015.07</v>
      </c>
      <c r="M92">
        <v>-194393.92</v>
      </c>
      <c r="N92">
        <v>0</v>
      </c>
      <c r="P92" t="s">
        <v>643</v>
      </c>
      <c r="S92">
        <v>0</v>
      </c>
      <c r="T92" s="118">
        <v>46373</v>
      </c>
    </row>
    <row r="93" spans="1:20" hidden="1">
      <c r="A93" t="s">
        <v>511</v>
      </c>
      <c r="B93" t="s">
        <v>478</v>
      </c>
      <c r="C93" t="s">
        <v>516</v>
      </c>
      <c r="D93" t="s">
        <v>644</v>
      </c>
      <c r="E93" t="s">
        <v>645</v>
      </c>
      <c r="F93">
        <v>50000</v>
      </c>
      <c r="G93">
        <v>297363225</v>
      </c>
      <c r="H93" s="118">
        <v>44725</v>
      </c>
      <c r="I93">
        <v>99.974900000000005</v>
      </c>
      <c r="J93">
        <v>31.8</v>
      </c>
      <c r="K93">
        <v>49987.47</v>
      </c>
      <c r="L93">
        <v>15887.47</v>
      </c>
      <c r="M93">
        <v>-34100</v>
      </c>
      <c r="N93">
        <v>0</v>
      </c>
      <c r="P93" t="s">
        <v>646</v>
      </c>
      <c r="Q93" t="s">
        <v>170</v>
      </c>
      <c r="R93">
        <v>0.01</v>
      </c>
      <c r="S93">
        <v>0.5</v>
      </c>
      <c r="T93" s="118">
        <v>46373</v>
      </c>
    </row>
    <row r="94" spans="1:20" hidden="1">
      <c r="A94" t="s">
        <v>511</v>
      </c>
      <c r="B94" t="s">
        <v>478</v>
      </c>
      <c r="C94" t="s">
        <v>516</v>
      </c>
      <c r="D94" t="s">
        <v>644</v>
      </c>
      <c r="E94" t="s">
        <v>645</v>
      </c>
      <c r="F94">
        <v>100000</v>
      </c>
      <c r="G94">
        <v>297363529</v>
      </c>
      <c r="H94" s="118">
        <v>45174</v>
      </c>
      <c r="I94">
        <v>99.974900000000005</v>
      </c>
      <c r="J94">
        <v>31.8</v>
      </c>
      <c r="K94">
        <v>99974.93</v>
      </c>
      <c r="L94">
        <v>31774.93</v>
      </c>
      <c r="M94">
        <v>-68200</v>
      </c>
      <c r="N94">
        <v>0</v>
      </c>
      <c r="P94" t="s">
        <v>647</v>
      </c>
      <c r="Q94" t="s">
        <v>170</v>
      </c>
      <c r="R94">
        <v>0.01</v>
      </c>
      <c r="S94">
        <v>0.5</v>
      </c>
      <c r="T94" s="118">
        <v>46373</v>
      </c>
    </row>
    <row r="95" spans="1:20" hidden="1">
      <c r="A95" t="s">
        <v>511</v>
      </c>
      <c r="B95" t="s">
        <v>478</v>
      </c>
      <c r="C95" t="s">
        <v>516</v>
      </c>
      <c r="D95" t="s">
        <v>644</v>
      </c>
      <c r="E95" t="s">
        <v>645</v>
      </c>
      <c r="F95">
        <v>100000</v>
      </c>
      <c r="G95">
        <v>297363612</v>
      </c>
      <c r="H95" s="118">
        <v>45257</v>
      </c>
      <c r="I95">
        <v>99.974900000000005</v>
      </c>
      <c r="J95">
        <v>31.8</v>
      </c>
      <c r="K95">
        <v>99974.93</v>
      </c>
      <c r="L95">
        <v>31774.93</v>
      </c>
      <c r="M95">
        <v>-68200</v>
      </c>
      <c r="N95">
        <v>0</v>
      </c>
      <c r="P95" t="s">
        <v>647</v>
      </c>
      <c r="Q95" t="s">
        <v>170</v>
      </c>
      <c r="R95">
        <v>0.01</v>
      </c>
      <c r="S95">
        <v>0.5</v>
      </c>
      <c r="T95" s="118">
        <v>46373</v>
      </c>
    </row>
    <row r="96" spans="1:20" hidden="1">
      <c r="A96" t="s">
        <v>511</v>
      </c>
      <c r="B96" t="s">
        <v>478</v>
      </c>
      <c r="C96" t="s">
        <v>516</v>
      </c>
      <c r="D96" t="s">
        <v>644</v>
      </c>
      <c r="E96" t="s">
        <v>645</v>
      </c>
      <c r="F96">
        <v>150000</v>
      </c>
      <c r="G96">
        <v>297363379</v>
      </c>
      <c r="H96" s="118">
        <v>45015</v>
      </c>
      <c r="I96">
        <v>99.974900000000005</v>
      </c>
      <c r="J96">
        <v>31.8</v>
      </c>
      <c r="K96">
        <v>149962.4</v>
      </c>
      <c r="L96">
        <v>47662.400000000001</v>
      </c>
      <c r="M96">
        <v>-102300</v>
      </c>
      <c r="N96">
        <v>0</v>
      </c>
      <c r="P96" t="s">
        <v>648</v>
      </c>
      <c r="Q96" t="s">
        <v>170</v>
      </c>
      <c r="R96">
        <v>0.02</v>
      </c>
      <c r="S96">
        <v>0.5</v>
      </c>
      <c r="T96" s="118">
        <v>46373</v>
      </c>
    </row>
    <row r="97" spans="1:20" hidden="1">
      <c r="A97" t="s">
        <v>511</v>
      </c>
      <c r="B97" t="s">
        <v>478</v>
      </c>
      <c r="C97" t="s">
        <v>516</v>
      </c>
      <c r="D97" t="s">
        <v>644</v>
      </c>
      <c r="E97" t="s">
        <v>645</v>
      </c>
      <c r="F97">
        <v>200000</v>
      </c>
      <c r="G97">
        <v>297363572</v>
      </c>
      <c r="H97" s="118">
        <v>45205</v>
      </c>
      <c r="I97">
        <v>99.974900000000005</v>
      </c>
      <c r="J97">
        <v>31.8</v>
      </c>
      <c r="K97">
        <v>199949.86</v>
      </c>
      <c r="L97">
        <v>63549.86</v>
      </c>
      <c r="M97">
        <v>-136400</v>
      </c>
      <c r="N97">
        <v>0</v>
      </c>
      <c r="P97" t="s">
        <v>649</v>
      </c>
      <c r="Q97" t="s">
        <v>170</v>
      </c>
      <c r="R97">
        <v>0.02</v>
      </c>
      <c r="S97">
        <v>0.5</v>
      </c>
      <c r="T97" s="118">
        <v>46373</v>
      </c>
    </row>
    <row r="98" spans="1:20" hidden="1">
      <c r="A98" t="s">
        <v>511</v>
      </c>
      <c r="B98" t="s">
        <v>478</v>
      </c>
      <c r="C98" t="s">
        <v>516</v>
      </c>
      <c r="D98" t="s">
        <v>644</v>
      </c>
      <c r="E98" t="s">
        <v>645</v>
      </c>
      <c r="F98">
        <v>300000</v>
      </c>
      <c r="G98">
        <v>297363550</v>
      </c>
      <c r="H98" s="118">
        <v>45198</v>
      </c>
      <c r="I98">
        <v>99.974900000000005</v>
      </c>
      <c r="J98">
        <v>31.8</v>
      </c>
      <c r="K98">
        <v>299924.78999999998</v>
      </c>
      <c r="L98">
        <v>95324.79</v>
      </c>
      <c r="M98">
        <v>-204600</v>
      </c>
      <c r="N98">
        <v>0</v>
      </c>
      <c r="P98" t="s">
        <v>650</v>
      </c>
      <c r="Q98" t="s">
        <v>170</v>
      </c>
      <c r="R98">
        <v>0.03</v>
      </c>
      <c r="S98">
        <v>0.5</v>
      </c>
      <c r="T98" s="118">
        <v>46373</v>
      </c>
    </row>
    <row r="99" spans="1:20" hidden="1">
      <c r="A99" t="s">
        <v>511</v>
      </c>
      <c r="B99" t="s">
        <v>478</v>
      </c>
      <c r="C99" t="s">
        <v>516</v>
      </c>
      <c r="D99" t="s">
        <v>644</v>
      </c>
      <c r="E99" t="s">
        <v>645</v>
      </c>
      <c r="F99">
        <v>350000</v>
      </c>
      <c r="G99">
        <v>297363471</v>
      </c>
      <c r="H99" s="118">
        <v>45107</v>
      </c>
      <c r="I99">
        <v>99.974900000000005</v>
      </c>
      <c r="J99">
        <v>31.8</v>
      </c>
      <c r="K99">
        <v>349912.26</v>
      </c>
      <c r="L99">
        <v>111212.26</v>
      </c>
      <c r="M99">
        <v>-238700</v>
      </c>
      <c r="N99">
        <v>0</v>
      </c>
      <c r="P99" t="s">
        <v>651</v>
      </c>
      <c r="Q99" t="s">
        <v>170</v>
      </c>
      <c r="R99">
        <v>0.04</v>
      </c>
      <c r="S99">
        <v>0.5</v>
      </c>
      <c r="T99" s="118">
        <v>46373</v>
      </c>
    </row>
    <row r="100" spans="1:20" hidden="1">
      <c r="A100" t="s">
        <v>511</v>
      </c>
      <c r="B100" t="s">
        <v>478</v>
      </c>
      <c r="C100" t="s">
        <v>516</v>
      </c>
      <c r="D100" t="s">
        <v>652</v>
      </c>
      <c r="E100" t="s">
        <v>653</v>
      </c>
      <c r="F100">
        <v>16569678.470000001</v>
      </c>
      <c r="G100">
        <v>297363222</v>
      </c>
      <c r="H100" s="118">
        <v>44729</v>
      </c>
      <c r="I100">
        <v>99.001300000000001</v>
      </c>
      <c r="J100">
        <v>96.2</v>
      </c>
      <c r="K100">
        <v>16508968.369999999</v>
      </c>
      <c r="L100">
        <v>15940030.689999999</v>
      </c>
      <c r="M100">
        <v>-568937.68000000005</v>
      </c>
      <c r="N100">
        <v>0</v>
      </c>
      <c r="P100" t="s">
        <v>654</v>
      </c>
      <c r="Q100" t="s">
        <v>170</v>
      </c>
      <c r="R100">
        <v>154843.42000000001</v>
      </c>
      <c r="S100">
        <v>0</v>
      </c>
      <c r="T100" s="118">
        <v>46559</v>
      </c>
    </row>
    <row r="101" spans="1:20" hidden="1">
      <c r="A101" t="s">
        <v>511</v>
      </c>
      <c r="B101" t="s">
        <v>478</v>
      </c>
      <c r="C101" t="s">
        <v>516</v>
      </c>
      <c r="D101" t="s">
        <v>655</v>
      </c>
      <c r="E101" t="s">
        <v>656</v>
      </c>
      <c r="F101">
        <v>2531645.5699999998</v>
      </c>
      <c r="G101">
        <v>297363316</v>
      </c>
      <c r="H101" s="118">
        <v>44914</v>
      </c>
      <c r="I101">
        <v>100</v>
      </c>
      <c r="J101">
        <v>100</v>
      </c>
      <c r="K101">
        <v>0</v>
      </c>
      <c r="L101">
        <v>0</v>
      </c>
      <c r="M101">
        <v>0</v>
      </c>
      <c r="N101">
        <v>0</v>
      </c>
      <c r="P101" t="s">
        <v>657</v>
      </c>
      <c r="Q101" t="s">
        <v>170</v>
      </c>
      <c r="R101">
        <v>1125.18</v>
      </c>
      <c r="S101">
        <v>0.5</v>
      </c>
      <c r="T101" s="118">
        <v>47109</v>
      </c>
    </row>
    <row r="102" spans="1:20" hidden="1">
      <c r="A102" t="s">
        <v>511</v>
      </c>
      <c r="B102" t="s">
        <v>478</v>
      </c>
      <c r="C102" t="s">
        <v>516</v>
      </c>
      <c r="D102" t="s">
        <v>658</v>
      </c>
      <c r="E102" t="s">
        <v>659</v>
      </c>
      <c r="F102">
        <v>1914800</v>
      </c>
      <c r="G102">
        <v>297363328</v>
      </c>
      <c r="H102" s="118">
        <v>44914</v>
      </c>
      <c r="I102">
        <v>100</v>
      </c>
      <c r="J102">
        <v>100.25</v>
      </c>
      <c r="K102">
        <v>0</v>
      </c>
      <c r="L102">
        <v>4787</v>
      </c>
      <c r="M102">
        <v>4787</v>
      </c>
      <c r="N102">
        <v>0</v>
      </c>
      <c r="P102" t="s">
        <v>660</v>
      </c>
      <c r="Q102" t="s">
        <v>170</v>
      </c>
      <c r="R102">
        <v>851.02</v>
      </c>
      <c r="S102">
        <v>0.5</v>
      </c>
      <c r="T102" s="118">
        <v>47128</v>
      </c>
    </row>
    <row r="103" spans="1:20" hidden="1">
      <c r="A103" t="s">
        <v>511</v>
      </c>
      <c r="B103" t="s">
        <v>478</v>
      </c>
      <c r="C103" t="s">
        <v>516</v>
      </c>
      <c r="D103" t="s">
        <v>661</v>
      </c>
      <c r="E103" t="s">
        <v>662</v>
      </c>
      <c r="F103">
        <v>107142.86</v>
      </c>
      <c r="G103">
        <v>297363561</v>
      </c>
      <c r="H103" s="118">
        <v>45198</v>
      </c>
      <c r="I103">
        <v>100</v>
      </c>
      <c r="J103">
        <v>98.75</v>
      </c>
      <c r="K103">
        <v>107142.86</v>
      </c>
      <c r="L103">
        <v>105803.57</v>
      </c>
      <c r="M103">
        <v>-1339.29</v>
      </c>
      <c r="N103">
        <v>0</v>
      </c>
      <c r="P103" t="s">
        <v>663</v>
      </c>
      <c r="Q103" t="s">
        <v>170</v>
      </c>
      <c r="R103">
        <v>956.22</v>
      </c>
      <c r="S103">
        <v>0.5</v>
      </c>
      <c r="T103" s="118">
        <v>46783</v>
      </c>
    </row>
    <row r="104" spans="1:20" hidden="1">
      <c r="A104" t="s">
        <v>511</v>
      </c>
      <c r="B104" t="s">
        <v>478</v>
      </c>
      <c r="C104" t="s">
        <v>516</v>
      </c>
      <c r="D104" t="s">
        <v>661</v>
      </c>
      <c r="E104" t="s">
        <v>662</v>
      </c>
      <c r="F104">
        <v>160714.29</v>
      </c>
      <c r="G104">
        <v>297363585</v>
      </c>
      <c r="H104" s="118">
        <v>45224</v>
      </c>
      <c r="I104">
        <v>100</v>
      </c>
      <c r="J104">
        <v>98.75</v>
      </c>
      <c r="K104">
        <v>160714.29</v>
      </c>
      <c r="L104">
        <v>158705.35999999999</v>
      </c>
      <c r="M104">
        <v>-2008.93</v>
      </c>
      <c r="N104">
        <v>0</v>
      </c>
      <c r="P104" t="s">
        <v>664</v>
      </c>
      <c r="Q104" t="s">
        <v>170</v>
      </c>
      <c r="R104">
        <v>1434.33</v>
      </c>
      <c r="S104">
        <v>0.5</v>
      </c>
      <c r="T104" s="118">
        <v>46783</v>
      </c>
    </row>
    <row r="105" spans="1:20" hidden="1">
      <c r="A105" t="s">
        <v>511</v>
      </c>
      <c r="B105" t="s">
        <v>478</v>
      </c>
      <c r="C105" t="s">
        <v>516</v>
      </c>
      <c r="D105" t="s">
        <v>661</v>
      </c>
      <c r="E105" t="s">
        <v>662</v>
      </c>
      <c r="F105">
        <v>160714.29</v>
      </c>
      <c r="G105">
        <v>297363778</v>
      </c>
      <c r="H105" s="118">
        <v>45331</v>
      </c>
      <c r="I105">
        <v>100</v>
      </c>
      <c r="J105">
        <v>98.75</v>
      </c>
      <c r="K105">
        <v>160714.29</v>
      </c>
      <c r="L105">
        <v>158705.35999999999</v>
      </c>
      <c r="M105">
        <v>-2008.93</v>
      </c>
      <c r="N105">
        <v>0</v>
      </c>
      <c r="P105" t="s">
        <v>664</v>
      </c>
      <c r="Q105" t="s">
        <v>170</v>
      </c>
      <c r="R105">
        <v>1434.33</v>
      </c>
      <c r="S105">
        <v>0.5</v>
      </c>
      <c r="T105" s="118">
        <v>46783</v>
      </c>
    </row>
    <row r="106" spans="1:20" hidden="1">
      <c r="A106" t="s">
        <v>511</v>
      </c>
      <c r="B106" t="s">
        <v>478</v>
      </c>
      <c r="C106" t="s">
        <v>516</v>
      </c>
      <c r="D106" t="s">
        <v>661</v>
      </c>
      <c r="E106" t="s">
        <v>662</v>
      </c>
      <c r="F106">
        <v>642857.13</v>
      </c>
      <c r="G106">
        <v>297363343</v>
      </c>
      <c r="H106" s="118">
        <v>44956</v>
      </c>
      <c r="I106">
        <v>100</v>
      </c>
      <c r="J106">
        <v>98.75</v>
      </c>
      <c r="K106">
        <v>642857.13</v>
      </c>
      <c r="L106">
        <v>634821.42000000004</v>
      </c>
      <c r="M106">
        <v>-8035.71</v>
      </c>
      <c r="N106">
        <v>0</v>
      </c>
      <c r="P106" t="s">
        <v>665</v>
      </c>
      <c r="Q106" t="s">
        <v>170</v>
      </c>
      <c r="R106">
        <v>5737.31</v>
      </c>
      <c r="S106">
        <v>0.5</v>
      </c>
      <c r="T106" s="118">
        <v>46783</v>
      </c>
    </row>
    <row r="107" spans="1:20" hidden="1">
      <c r="A107" t="s">
        <v>511</v>
      </c>
      <c r="B107" t="s">
        <v>478</v>
      </c>
      <c r="C107" t="s">
        <v>516</v>
      </c>
      <c r="D107" t="s">
        <v>666</v>
      </c>
      <c r="E107" t="s">
        <v>667</v>
      </c>
      <c r="F107">
        <v>37240.03</v>
      </c>
      <c r="G107">
        <v>297363433</v>
      </c>
      <c r="H107" s="118">
        <v>45070</v>
      </c>
      <c r="I107">
        <v>100</v>
      </c>
      <c r="J107">
        <v>97.5</v>
      </c>
      <c r="K107">
        <v>37240.03</v>
      </c>
      <c r="L107">
        <v>36309.03</v>
      </c>
      <c r="M107">
        <v>-931</v>
      </c>
      <c r="N107">
        <v>0</v>
      </c>
      <c r="P107" t="s">
        <v>668</v>
      </c>
      <c r="Q107" t="s">
        <v>170</v>
      </c>
      <c r="R107">
        <v>872.74</v>
      </c>
      <c r="S107">
        <v>1</v>
      </c>
      <c r="T107" s="118">
        <v>46806</v>
      </c>
    </row>
    <row r="108" spans="1:20" hidden="1">
      <c r="A108" t="s">
        <v>511</v>
      </c>
      <c r="B108" t="s">
        <v>478</v>
      </c>
      <c r="C108" t="s">
        <v>516</v>
      </c>
      <c r="D108" t="s">
        <v>666</v>
      </c>
      <c r="E108" t="s">
        <v>667</v>
      </c>
      <c r="F108">
        <v>159025.01</v>
      </c>
      <c r="G108">
        <v>297363352</v>
      </c>
      <c r="H108" s="118">
        <v>44978</v>
      </c>
      <c r="I108">
        <v>100</v>
      </c>
      <c r="J108">
        <v>97.5</v>
      </c>
      <c r="K108">
        <v>159025.01</v>
      </c>
      <c r="L108">
        <v>155049.38</v>
      </c>
      <c r="M108">
        <v>-3975.63</v>
      </c>
      <c r="N108">
        <v>0</v>
      </c>
      <c r="P108" t="s">
        <v>669</v>
      </c>
      <c r="Q108" t="s">
        <v>170</v>
      </c>
      <c r="R108">
        <v>3726.85</v>
      </c>
      <c r="S108">
        <v>1</v>
      </c>
      <c r="T108" s="118">
        <v>46806</v>
      </c>
    </row>
    <row r="109" spans="1:20" hidden="1">
      <c r="A109" t="s">
        <v>511</v>
      </c>
      <c r="B109" t="s">
        <v>478</v>
      </c>
      <c r="C109" t="s">
        <v>516</v>
      </c>
      <c r="D109" t="s">
        <v>670</v>
      </c>
      <c r="E109" t="s">
        <v>671</v>
      </c>
      <c r="F109">
        <v>140221.5</v>
      </c>
      <c r="G109">
        <v>297363391</v>
      </c>
      <c r="H109" s="118">
        <v>45016</v>
      </c>
      <c r="I109">
        <v>100</v>
      </c>
      <c r="J109">
        <v>97.5</v>
      </c>
      <c r="K109">
        <v>0</v>
      </c>
      <c r="L109">
        <v>-3505.54</v>
      </c>
      <c r="M109">
        <v>-3505.54</v>
      </c>
      <c r="N109">
        <v>0</v>
      </c>
      <c r="P109" t="s">
        <v>672</v>
      </c>
      <c r="Q109" t="s">
        <v>170</v>
      </c>
      <c r="R109">
        <v>3.9</v>
      </c>
      <c r="S109">
        <v>0.5</v>
      </c>
      <c r="T109" s="118">
        <v>46806</v>
      </c>
    </row>
    <row r="110" spans="1:20" hidden="1">
      <c r="A110" t="s">
        <v>511</v>
      </c>
      <c r="B110" t="s">
        <v>478</v>
      </c>
      <c r="C110" t="s">
        <v>516</v>
      </c>
      <c r="D110" t="s">
        <v>670</v>
      </c>
      <c r="E110" t="s">
        <v>671</v>
      </c>
      <c r="F110">
        <v>230075.19</v>
      </c>
      <c r="G110">
        <v>297363353</v>
      </c>
      <c r="H110" s="118">
        <v>44978</v>
      </c>
      <c r="I110">
        <v>100</v>
      </c>
      <c r="J110">
        <v>97.5</v>
      </c>
      <c r="K110">
        <v>0</v>
      </c>
      <c r="L110">
        <v>-5751.88</v>
      </c>
      <c r="M110">
        <v>-5751.88</v>
      </c>
      <c r="N110">
        <v>0</v>
      </c>
      <c r="P110" t="s">
        <v>536</v>
      </c>
      <c r="Q110" t="s">
        <v>170</v>
      </c>
      <c r="R110">
        <v>6.39</v>
      </c>
      <c r="S110">
        <v>0.5</v>
      </c>
      <c r="T110" s="118">
        <v>46806</v>
      </c>
    </row>
    <row r="111" spans="1:20" hidden="1">
      <c r="A111" t="s">
        <v>511</v>
      </c>
      <c r="B111" t="s">
        <v>478</v>
      </c>
      <c r="C111" t="s">
        <v>516</v>
      </c>
      <c r="D111" t="s">
        <v>673</v>
      </c>
      <c r="E111" t="s">
        <v>674</v>
      </c>
      <c r="F111">
        <v>859666.66</v>
      </c>
      <c r="G111">
        <v>297363455</v>
      </c>
      <c r="H111" s="118">
        <v>45085</v>
      </c>
      <c r="I111">
        <v>56.666699999999999</v>
      </c>
      <c r="J111">
        <v>90</v>
      </c>
      <c r="K111">
        <v>487144.44</v>
      </c>
      <c r="L111">
        <v>401177.77</v>
      </c>
      <c r="M111">
        <v>-85966.67</v>
      </c>
      <c r="N111">
        <v>0</v>
      </c>
      <c r="P111" t="s">
        <v>592</v>
      </c>
      <c r="Q111" t="s">
        <v>170</v>
      </c>
      <c r="R111">
        <v>4441.1099999999997</v>
      </c>
      <c r="S111">
        <v>0.5</v>
      </c>
      <c r="T111" s="118">
        <v>47284</v>
      </c>
    </row>
    <row r="112" spans="1:20" hidden="1">
      <c r="A112" t="s">
        <v>511</v>
      </c>
      <c r="B112" t="s">
        <v>478</v>
      </c>
      <c r="C112" t="s">
        <v>516</v>
      </c>
      <c r="D112" t="s">
        <v>675</v>
      </c>
      <c r="E112" t="s">
        <v>676</v>
      </c>
      <c r="F112">
        <v>94653.99</v>
      </c>
      <c r="G112">
        <v>297363544</v>
      </c>
      <c r="H112" s="118">
        <v>45191</v>
      </c>
      <c r="I112">
        <v>41.525399999999998</v>
      </c>
      <c r="J112">
        <v>99.5</v>
      </c>
      <c r="K112">
        <v>39305.410000000003</v>
      </c>
      <c r="L112">
        <v>38832.14</v>
      </c>
      <c r="M112">
        <v>-473.27</v>
      </c>
      <c r="N112">
        <v>0</v>
      </c>
      <c r="P112" t="s">
        <v>677</v>
      </c>
      <c r="Q112" t="s">
        <v>170</v>
      </c>
      <c r="R112">
        <v>345.64</v>
      </c>
      <c r="S112">
        <v>0.5</v>
      </c>
      <c r="T112" s="118">
        <v>46904</v>
      </c>
    </row>
    <row r="113" spans="1:20" hidden="1">
      <c r="A113" t="s">
        <v>511</v>
      </c>
      <c r="B113" t="s">
        <v>478</v>
      </c>
      <c r="C113" t="s">
        <v>516</v>
      </c>
      <c r="D113" t="s">
        <v>675</v>
      </c>
      <c r="E113" t="s">
        <v>676</v>
      </c>
      <c r="F113">
        <v>252410.64</v>
      </c>
      <c r="G113">
        <v>297363509</v>
      </c>
      <c r="H113" s="118">
        <v>45141</v>
      </c>
      <c r="I113">
        <v>41.525399999999998</v>
      </c>
      <c r="J113">
        <v>99.5</v>
      </c>
      <c r="K113">
        <v>104814.43</v>
      </c>
      <c r="L113">
        <v>103552.38</v>
      </c>
      <c r="M113">
        <v>-1262.05</v>
      </c>
      <c r="N113">
        <v>0</v>
      </c>
      <c r="P113" t="s">
        <v>678</v>
      </c>
      <c r="Q113" t="s">
        <v>170</v>
      </c>
      <c r="R113">
        <v>921.71</v>
      </c>
      <c r="S113">
        <v>0.5</v>
      </c>
      <c r="T113" s="118">
        <v>46904</v>
      </c>
    </row>
    <row r="114" spans="1:20" hidden="1">
      <c r="A114" t="s">
        <v>511</v>
      </c>
      <c r="B114" t="s">
        <v>478</v>
      </c>
      <c r="C114" t="s">
        <v>516</v>
      </c>
      <c r="D114" t="s">
        <v>675</v>
      </c>
      <c r="E114" t="s">
        <v>676</v>
      </c>
      <c r="F114">
        <v>283961.99</v>
      </c>
      <c r="G114">
        <v>297363439</v>
      </c>
      <c r="H114" s="118">
        <v>45071</v>
      </c>
      <c r="I114">
        <v>41.525399999999998</v>
      </c>
      <c r="J114">
        <v>99.5</v>
      </c>
      <c r="K114">
        <v>117916.24</v>
      </c>
      <c r="L114">
        <v>116496.43</v>
      </c>
      <c r="M114">
        <v>-1419.81</v>
      </c>
      <c r="N114">
        <v>0</v>
      </c>
      <c r="P114" t="s">
        <v>679</v>
      </c>
      <c r="Q114" t="s">
        <v>170</v>
      </c>
      <c r="R114">
        <v>1036.93</v>
      </c>
      <c r="S114">
        <v>0.5</v>
      </c>
      <c r="T114" s="118">
        <v>46904</v>
      </c>
    </row>
    <row r="115" spans="1:20" hidden="1">
      <c r="A115" t="s">
        <v>511</v>
      </c>
      <c r="B115" t="s">
        <v>478</v>
      </c>
      <c r="C115" t="s">
        <v>516</v>
      </c>
      <c r="D115" t="s">
        <v>675</v>
      </c>
      <c r="E115" t="s">
        <v>676</v>
      </c>
      <c r="F115">
        <v>364643.04</v>
      </c>
      <c r="G115">
        <v>310222025</v>
      </c>
      <c r="H115" s="118">
        <v>45485</v>
      </c>
      <c r="I115">
        <v>41.525399999999998</v>
      </c>
      <c r="J115">
        <v>99.5</v>
      </c>
      <c r="K115">
        <v>151419.34</v>
      </c>
      <c r="L115">
        <v>149596.12</v>
      </c>
      <c r="M115">
        <v>-1823.22</v>
      </c>
      <c r="N115">
        <v>0</v>
      </c>
      <c r="P115" t="s">
        <v>680</v>
      </c>
      <c r="Q115" t="s">
        <v>170</v>
      </c>
      <c r="R115">
        <v>1331.54</v>
      </c>
      <c r="S115">
        <v>0.5</v>
      </c>
      <c r="T115" s="118">
        <v>46904</v>
      </c>
    </row>
    <row r="116" spans="1:20" hidden="1">
      <c r="A116" t="s">
        <v>511</v>
      </c>
      <c r="B116" t="s">
        <v>478</v>
      </c>
      <c r="C116" t="s">
        <v>516</v>
      </c>
      <c r="D116" t="s">
        <v>681</v>
      </c>
      <c r="E116" t="s">
        <v>682</v>
      </c>
      <c r="F116">
        <v>806778.25</v>
      </c>
      <c r="G116">
        <v>297363469</v>
      </c>
      <c r="H116" s="118">
        <v>45106</v>
      </c>
      <c r="I116">
        <v>100</v>
      </c>
      <c r="J116">
        <v>100</v>
      </c>
      <c r="K116">
        <v>0</v>
      </c>
      <c r="L116">
        <v>0</v>
      </c>
      <c r="M116">
        <v>0</v>
      </c>
      <c r="N116">
        <v>0</v>
      </c>
      <c r="P116" t="s">
        <v>683</v>
      </c>
      <c r="Q116" t="s">
        <v>170</v>
      </c>
      <c r="R116">
        <v>489.83</v>
      </c>
      <c r="S116">
        <v>0.5</v>
      </c>
      <c r="T116" s="118">
        <v>47299</v>
      </c>
    </row>
    <row r="117" spans="1:20" hidden="1">
      <c r="A117" t="s">
        <v>511</v>
      </c>
      <c r="B117" t="s">
        <v>478</v>
      </c>
      <c r="C117" t="s">
        <v>516</v>
      </c>
      <c r="D117" t="s">
        <v>684</v>
      </c>
      <c r="E117" t="s">
        <v>685</v>
      </c>
      <c r="F117">
        <v>2707183.19</v>
      </c>
      <c r="G117">
        <v>297363526</v>
      </c>
      <c r="H117" s="118">
        <v>45160</v>
      </c>
      <c r="I117">
        <v>45</v>
      </c>
      <c r="J117">
        <v>97</v>
      </c>
      <c r="K117">
        <v>1218232.44</v>
      </c>
      <c r="L117">
        <v>1137016.94</v>
      </c>
      <c r="M117">
        <v>-81215.5</v>
      </c>
      <c r="N117">
        <v>0</v>
      </c>
      <c r="P117" t="s">
        <v>686</v>
      </c>
      <c r="Q117" t="s">
        <v>170</v>
      </c>
      <c r="R117">
        <v>11442.06</v>
      </c>
      <c r="S117">
        <v>0.5</v>
      </c>
      <c r="T117" s="118">
        <v>47361</v>
      </c>
    </row>
    <row r="118" spans="1:20" hidden="1">
      <c r="A118" t="s">
        <v>511</v>
      </c>
      <c r="B118" t="s">
        <v>478</v>
      </c>
      <c r="C118" t="s">
        <v>516</v>
      </c>
      <c r="D118" t="s">
        <v>687</v>
      </c>
      <c r="E118" t="s">
        <v>688</v>
      </c>
      <c r="F118">
        <v>1218181.82</v>
      </c>
      <c r="G118">
        <v>297363558</v>
      </c>
      <c r="H118" s="118">
        <v>45201</v>
      </c>
      <c r="I118">
        <v>100</v>
      </c>
      <c r="J118">
        <v>99.75</v>
      </c>
      <c r="K118">
        <v>0</v>
      </c>
      <c r="L118">
        <v>-3045.45</v>
      </c>
      <c r="M118">
        <v>-3045.45</v>
      </c>
      <c r="N118">
        <v>0</v>
      </c>
      <c r="P118" t="s">
        <v>689</v>
      </c>
      <c r="Q118" t="s">
        <v>170</v>
      </c>
      <c r="R118">
        <v>507.58</v>
      </c>
      <c r="S118">
        <v>0.5</v>
      </c>
      <c r="T118" s="118">
        <v>47390</v>
      </c>
    </row>
    <row r="119" spans="1:20" hidden="1">
      <c r="A119" t="s">
        <v>511</v>
      </c>
      <c r="B119" t="s">
        <v>478</v>
      </c>
      <c r="C119" t="s">
        <v>516</v>
      </c>
      <c r="D119" t="s">
        <v>690</v>
      </c>
      <c r="E119" t="s">
        <v>691</v>
      </c>
      <c r="F119">
        <v>1373312.28</v>
      </c>
      <c r="G119">
        <v>297363562</v>
      </c>
      <c r="H119" s="118">
        <v>45201</v>
      </c>
      <c r="I119">
        <v>100</v>
      </c>
      <c r="J119">
        <v>97.6</v>
      </c>
      <c r="K119">
        <v>0</v>
      </c>
      <c r="L119">
        <v>-32959.49</v>
      </c>
      <c r="M119">
        <v>-32959.49</v>
      </c>
      <c r="N119">
        <v>0</v>
      </c>
      <c r="P119" t="s">
        <v>692</v>
      </c>
      <c r="Q119" t="s">
        <v>170</v>
      </c>
      <c r="R119">
        <v>610.36</v>
      </c>
      <c r="S119">
        <v>0.5</v>
      </c>
      <c r="T119" s="118">
        <v>47028</v>
      </c>
    </row>
    <row r="120" spans="1:20" hidden="1">
      <c r="A120" t="s">
        <v>511</v>
      </c>
      <c r="B120" t="s">
        <v>478</v>
      </c>
      <c r="C120" t="s">
        <v>516</v>
      </c>
      <c r="D120" t="s">
        <v>693</v>
      </c>
      <c r="E120" t="s">
        <v>694</v>
      </c>
      <c r="F120">
        <v>5040000</v>
      </c>
      <c r="G120">
        <v>297363619</v>
      </c>
      <c r="H120" s="118">
        <v>45259</v>
      </c>
      <c r="I120">
        <v>16.666699999999999</v>
      </c>
      <c r="J120">
        <v>100</v>
      </c>
      <c r="K120">
        <v>840000</v>
      </c>
      <c r="L120">
        <v>840000</v>
      </c>
      <c r="M120">
        <v>0</v>
      </c>
      <c r="N120">
        <v>0</v>
      </c>
      <c r="P120" t="s">
        <v>695</v>
      </c>
      <c r="Q120" t="s">
        <v>170</v>
      </c>
      <c r="R120">
        <v>9372.19</v>
      </c>
      <c r="S120">
        <v>0.5</v>
      </c>
      <c r="T120" s="118">
        <v>47453</v>
      </c>
    </row>
    <row r="121" spans="1:20" hidden="1">
      <c r="A121" t="s">
        <v>511</v>
      </c>
      <c r="B121" t="s">
        <v>478</v>
      </c>
      <c r="C121" t="s">
        <v>516</v>
      </c>
      <c r="D121" t="s">
        <v>693</v>
      </c>
      <c r="E121" t="s">
        <v>694</v>
      </c>
      <c r="F121">
        <v>1260000</v>
      </c>
      <c r="G121">
        <v>297363622</v>
      </c>
      <c r="H121" s="118">
        <v>45261</v>
      </c>
      <c r="I121">
        <v>16.666699999999999</v>
      </c>
      <c r="J121">
        <v>100</v>
      </c>
      <c r="K121">
        <v>210000</v>
      </c>
      <c r="L121">
        <v>210000</v>
      </c>
      <c r="M121">
        <v>0</v>
      </c>
      <c r="N121">
        <v>0</v>
      </c>
      <c r="P121" t="s">
        <v>696</v>
      </c>
      <c r="Q121" t="s">
        <v>170</v>
      </c>
      <c r="R121">
        <v>2343.0500000000002</v>
      </c>
      <c r="S121">
        <v>0.5</v>
      </c>
      <c r="T121" s="118">
        <v>47453</v>
      </c>
    </row>
    <row r="122" spans="1:20" hidden="1">
      <c r="A122" t="s">
        <v>511</v>
      </c>
      <c r="B122" t="s">
        <v>478</v>
      </c>
      <c r="C122" t="s">
        <v>516</v>
      </c>
      <c r="D122" t="s">
        <v>697</v>
      </c>
      <c r="E122" t="s">
        <v>698</v>
      </c>
      <c r="F122">
        <v>1750000</v>
      </c>
      <c r="G122">
        <v>297363617</v>
      </c>
      <c r="H122" s="118">
        <v>45257</v>
      </c>
      <c r="I122">
        <v>100</v>
      </c>
      <c r="J122">
        <v>100.75</v>
      </c>
      <c r="K122">
        <v>0</v>
      </c>
      <c r="L122">
        <v>13125</v>
      </c>
      <c r="M122">
        <v>13125</v>
      </c>
      <c r="N122">
        <v>0</v>
      </c>
      <c r="P122" t="s">
        <v>592</v>
      </c>
      <c r="Q122" t="s">
        <v>170</v>
      </c>
      <c r="R122">
        <v>777.78</v>
      </c>
      <c r="S122">
        <v>0.5</v>
      </c>
      <c r="T122" s="118">
        <v>47455</v>
      </c>
    </row>
    <row r="123" spans="1:20" hidden="1">
      <c r="A123" t="s">
        <v>511</v>
      </c>
      <c r="B123" t="s">
        <v>478</v>
      </c>
      <c r="C123" t="s">
        <v>516</v>
      </c>
      <c r="D123" t="s">
        <v>699</v>
      </c>
      <c r="E123" t="s">
        <v>700</v>
      </c>
      <c r="F123">
        <v>2319793.41</v>
      </c>
      <c r="G123">
        <v>339657152</v>
      </c>
      <c r="H123" s="118">
        <v>45731</v>
      </c>
      <c r="I123">
        <v>99</v>
      </c>
      <c r="J123">
        <v>99</v>
      </c>
      <c r="K123">
        <v>2298938.21</v>
      </c>
      <c r="L123">
        <v>2296595.48</v>
      </c>
      <c r="M123">
        <v>-2342.73</v>
      </c>
      <c r="N123">
        <v>0</v>
      </c>
      <c r="P123" t="s">
        <v>701</v>
      </c>
      <c r="Q123" t="s">
        <v>170</v>
      </c>
      <c r="R123">
        <v>1182.4000000000001</v>
      </c>
      <c r="S123">
        <v>0</v>
      </c>
      <c r="T123" s="118">
        <v>47521</v>
      </c>
    </row>
    <row r="124" spans="1:20" hidden="1">
      <c r="A124" t="s">
        <v>511</v>
      </c>
      <c r="B124" t="s">
        <v>478</v>
      </c>
      <c r="C124" t="s">
        <v>516</v>
      </c>
      <c r="D124" t="s">
        <v>702</v>
      </c>
      <c r="E124" t="s">
        <v>703</v>
      </c>
      <c r="F124">
        <v>349036.27</v>
      </c>
      <c r="G124">
        <v>355011303</v>
      </c>
      <c r="H124" s="118">
        <v>45953</v>
      </c>
      <c r="I124">
        <v>99</v>
      </c>
      <c r="J124">
        <v>99.5</v>
      </c>
      <c r="K124">
        <v>345917.84</v>
      </c>
      <c r="L124">
        <v>347291.09</v>
      </c>
      <c r="M124">
        <v>1373.25</v>
      </c>
      <c r="N124">
        <v>0</v>
      </c>
      <c r="P124" t="s">
        <v>704</v>
      </c>
      <c r="Q124" t="s">
        <v>170</v>
      </c>
      <c r="R124">
        <v>2690.51</v>
      </c>
      <c r="S124">
        <v>0</v>
      </c>
      <c r="T124" s="118">
        <v>46904</v>
      </c>
    </row>
    <row r="125" spans="1:20" hidden="1">
      <c r="A125" t="s">
        <v>511</v>
      </c>
      <c r="B125" t="s">
        <v>478</v>
      </c>
      <c r="C125" t="s">
        <v>516</v>
      </c>
      <c r="D125" t="s">
        <v>705</v>
      </c>
      <c r="E125" t="s">
        <v>706</v>
      </c>
      <c r="F125">
        <v>1036169.87</v>
      </c>
      <c r="G125">
        <v>350805931</v>
      </c>
      <c r="H125" s="118">
        <v>45869</v>
      </c>
      <c r="I125">
        <v>100</v>
      </c>
      <c r="J125">
        <v>100</v>
      </c>
      <c r="K125">
        <v>1036169.87</v>
      </c>
      <c r="L125">
        <v>1036169.87</v>
      </c>
      <c r="M125">
        <v>0</v>
      </c>
      <c r="N125">
        <v>0</v>
      </c>
      <c r="P125" t="s">
        <v>707</v>
      </c>
      <c r="Q125" t="s">
        <v>170</v>
      </c>
      <c r="R125">
        <v>553.16999999999996</v>
      </c>
      <c r="S125">
        <v>0</v>
      </c>
      <c r="T125" s="118">
        <v>47330</v>
      </c>
    </row>
    <row r="126" spans="1:20" hidden="1">
      <c r="A126" t="s">
        <v>511</v>
      </c>
      <c r="B126" t="s">
        <v>478</v>
      </c>
      <c r="C126" t="s">
        <v>516</v>
      </c>
      <c r="D126" t="s">
        <v>708</v>
      </c>
      <c r="E126" t="s">
        <v>709</v>
      </c>
      <c r="F126">
        <v>52767.58</v>
      </c>
      <c r="G126">
        <v>350805991</v>
      </c>
      <c r="H126" s="118">
        <v>45869</v>
      </c>
      <c r="I126">
        <v>124.62820000000001</v>
      </c>
      <c r="J126">
        <v>121.5</v>
      </c>
      <c r="K126">
        <v>64203.64</v>
      </c>
      <c r="L126">
        <v>64112.61</v>
      </c>
      <c r="M126">
        <v>-91.03</v>
      </c>
      <c r="N126">
        <v>0</v>
      </c>
      <c r="P126" t="s">
        <v>710</v>
      </c>
      <c r="Q126" t="s">
        <v>170</v>
      </c>
      <c r="R126">
        <v>28.17</v>
      </c>
      <c r="S126">
        <v>0</v>
      </c>
      <c r="T126" s="118">
        <v>47330</v>
      </c>
    </row>
    <row r="127" spans="1:20" hidden="1">
      <c r="A127" t="s">
        <v>511</v>
      </c>
      <c r="B127" t="s">
        <v>478</v>
      </c>
      <c r="C127" t="s">
        <v>516</v>
      </c>
      <c r="D127" t="s">
        <v>711</v>
      </c>
      <c r="E127" t="s">
        <v>712</v>
      </c>
      <c r="F127">
        <v>83105.16</v>
      </c>
      <c r="G127">
        <v>314995810</v>
      </c>
      <c r="H127" s="118">
        <v>45488</v>
      </c>
      <c r="I127">
        <v>100</v>
      </c>
      <c r="J127">
        <v>61.1</v>
      </c>
      <c r="K127">
        <v>83105.16</v>
      </c>
      <c r="L127">
        <v>50777.25</v>
      </c>
      <c r="M127">
        <v>-32327.91</v>
      </c>
      <c r="N127">
        <v>0</v>
      </c>
      <c r="P127" t="s">
        <v>713</v>
      </c>
      <c r="Q127" t="s">
        <v>170</v>
      </c>
      <c r="R127">
        <v>1646.69</v>
      </c>
      <c r="S127">
        <v>0</v>
      </c>
      <c r="T127" s="118">
        <v>47042</v>
      </c>
    </row>
    <row r="128" spans="1:20" hidden="1">
      <c r="A128" t="s">
        <v>511</v>
      </c>
      <c r="B128" t="s">
        <v>478</v>
      </c>
      <c r="C128" t="s">
        <v>516</v>
      </c>
      <c r="D128" t="s">
        <v>714</v>
      </c>
      <c r="E128" t="s">
        <v>715</v>
      </c>
      <c r="F128">
        <v>180000</v>
      </c>
      <c r="G128">
        <v>356514112</v>
      </c>
      <c r="H128" s="118">
        <v>45975</v>
      </c>
      <c r="I128">
        <v>99</v>
      </c>
      <c r="J128">
        <v>99</v>
      </c>
      <c r="K128">
        <v>178259.15</v>
      </c>
      <c r="L128">
        <v>178200</v>
      </c>
      <c r="M128">
        <v>-59.15</v>
      </c>
      <c r="N128">
        <v>0</v>
      </c>
      <c r="P128" t="s">
        <v>716</v>
      </c>
      <c r="Q128" t="s">
        <v>170</v>
      </c>
      <c r="R128">
        <v>1536.49</v>
      </c>
      <c r="S128">
        <v>0</v>
      </c>
      <c r="T128" s="118">
        <v>48012</v>
      </c>
    </row>
    <row r="129" spans="1:20" hidden="1">
      <c r="A129" t="s">
        <v>511</v>
      </c>
      <c r="B129" t="s">
        <v>478</v>
      </c>
      <c r="C129" t="s">
        <v>516</v>
      </c>
      <c r="D129" t="s">
        <v>717</v>
      </c>
      <c r="E129" t="s">
        <v>718</v>
      </c>
      <c r="F129">
        <v>23599.91</v>
      </c>
      <c r="G129">
        <v>342899348</v>
      </c>
      <c r="H129" s="118">
        <v>45777</v>
      </c>
      <c r="I129">
        <v>100</v>
      </c>
      <c r="J129">
        <v>102</v>
      </c>
      <c r="K129">
        <v>23599.91</v>
      </c>
      <c r="L129">
        <v>24071.91</v>
      </c>
      <c r="M129">
        <v>472</v>
      </c>
      <c r="N129">
        <v>0</v>
      </c>
      <c r="P129" t="s">
        <v>713</v>
      </c>
      <c r="Q129" t="s">
        <v>170</v>
      </c>
      <c r="R129">
        <v>12.02</v>
      </c>
      <c r="S129">
        <v>0</v>
      </c>
      <c r="T129" s="118">
        <v>46873</v>
      </c>
    </row>
    <row r="130" spans="1:20" hidden="1">
      <c r="A130" t="s">
        <v>511</v>
      </c>
      <c r="B130" t="s">
        <v>478</v>
      </c>
      <c r="C130" t="s">
        <v>516</v>
      </c>
      <c r="D130" t="s">
        <v>717</v>
      </c>
      <c r="E130" t="s">
        <v>718</v>
      </c>
      <c r="F130">
        <v>1179995.42</v>
      </c>
      <c r="G130">
        <v>341255377</v>
      </c>
      <c r="H130" s="118">
        <v>45777</v>
      </c>
      <c r="I130">
        <v>101.95180000000001</v>
      </c>
      <c r="J130">
        <v>102</v>
      </c>
      <c r="K130">
        <v>1197556.25</v>
      </c>
      <c r="L130">
        <v>1203595.33</v>
      </c>
      <c r="M130">
        <v>6039.08</v>
      </c>
      <c r="N130">
        <v>0</v>
      </c>
      <c r="P130" t="s">
        <v>719</v>
      </c>
      <c r="Q130" t="s">
        <v>170</v>
      </c>
      <c r="R130">
        <v>600.92999999999995</v>
      </c>
      <c r="S130">
        <v>0</v>
      </c>
      <c r="T130" s="118">
        <v>46873</v>
      </c>
    </row>
    <row r="131" spans="1:20" hidden="1">
      <c r="A131" t="s">
        <v>511</v>
      </c>
      <c r="B131" t="s">
        <v>478</v>
      </c>
      <c r="C131" t="s">
        <v>516</v>
      </c>
      <c r="D131" t="s">
        <v>720</v>
      </c>
      <c r="E131" t="s">
        <v>721</v>
      </c>
      <c r="F131">
        <v>836073.73</v>
      </c>
      <c r="G131">
        <v>341255385</v>
      </c>
      <c r="H131" s="118">
        <v>45777</v>
      </c>
      <c r="I131">
        <v>100</v>
      </c>
      <c r="J131">
        <v>100</v>
      </c>
      <c r="K131">
        <v>836073.73</v>
      </c>
      <c r="L131">
        <v>836073.73</v>
      </c>
      <c r="M131">
        <v>0</v>
      </c>
      <c r="N131">
        <v>0</v>
      </c>
      <c r="P131" t="s">
        <v>722</v>
      </c>
      <c r="Q131" t="s">
        <v>170</v>
      </c>
      <c r="R131">
        <v>8918.1200000000008</v>
      </c>
      <c r="S131">
        <v>0</v>
      </c>
      <c r="T131" s="118">
        <v>46964</v>
      </c>
    </row>
    <row r="132" spans="1:20" hidden="1">
      <c r="A132" t="s">
        <v>511</v>
      </c>
      <c r="B132" t="s">
        <v>478</v>
      </c>
      <c r="C132" t="s">
        <v>516</v>
      </c>
      <c r="D132" t="s">
        <v>723</v>
      </c>
      <c r="E132" t="s">
        <v>724</v>
      </c>
      <c r="F132">
        <v>629113.74</v>
      </c>
      <c r="G132">
        <v>341255399</v>
      </c>
      <c r="H132" s="118">
        <v>45777</v>
      </c>
      <c r="I132">
        <v>66.666700000000006</v>
      </c>
      <c r="J132">
        <v>100</v>
      </c>
      <c r="K132">
        <v>419409.16</v>
      </c>
      <c r="L132">
        <v>419409.16</v>
      </c>
      <c r="M132">
        <v>0</v>
      </c>
      <c r="N132">
        <v>0</v>
      </c>
      <c r="P132" t="s">
        <v>725</v>
      </c>
      <c r="Q132" t="s">
        <v>170</v>
      </c>
      <c r="R132">
        <v>2269.71</v>
      </c>
      <c r="S132">
        <v>0.5</v>
      </c>
      <c r="T132" s="118">
        <v>46873</v>
      </c>
    </row>
    <row r="133" spans="1:20" hidden="1">
      <c r="A133" t="s">
        <v>511</v>
      </c>
      <c r="B133" t="s">
        <v>478</v>
      </c>
      <c r="C133" t="s">
        <v>516</v>
      </c>
      <c r="D133" t="s">
        <v>726</v>
      </c>
      <c r="E133" t="s">
        <v>727</v>
      </c>
      <c r="F133">
        <v>552142.86</v>
      </c>
      <c r="G133">
        <v>297363539</v>
      </c>
      <c r="H133" s="118">
        <v>45182</v>
      </c>
      <c r="I133">
        <v>100</v>
      </c>
      <c r="J133">
        <v>100</v>
      </c>
      <c r="K133">
        <v>0</v>
      </c>
      <c r="L133">
        <v>0</v>
      </c>
      <c r="M133">
        <v>0</v>
      </c>
      <c r="N133">
        <v>0</v>
      </c>
      <c r="P133" t="s">
        <v>728</v>
      </c>
      <c r="Q133" t="s">
        <v>170</v>
      </c>
      <c r="R133">
        <v>245.4</v>
      </c>
      <c r="S133">
        <v>0.5</v>
      </c>
      <c r="T133" s="118">
        <v>47263</v>
      </c>
    </row>
    <row r="134" spans="1:20" hidden="1">
      <c r="A134" t="s">
        <v>511</v>
      </c>
      <c r="B134" t="s">
        <v>478</v>
      </c>
      <c r="C134" t="s">
        <v>516</v>
      </c>
      <c r="D134" t="s">
        <v>726</v>
      </c>
      <c r="E134" t="s">
        <v>727</v>
      </c>
      <c r="F134">
        <v>1104285.71</v>
      </c>
      <c r="G134">
        <v>297363435</v>
      </c>
      <c r="H134" s="118">
        <v>45070</v>
      </c>
      <c r="I134">
        <v>100</v>
      </c>
      <c r="J134">
        <v>100</v>
      </c>
      <c r="K134">
        <v>0</v>
      </c>
      <c r="L134">
        <v>0</v>
      </c>
      <c r="M134">
        <v>0</v>
      </c>
      <c r="N134">
        <v>0</v>
      </c>
      <c r="P134" t="s">
        <v>729</v>
      </c>
      <c r="Q134" t="s">
        <v>170</v>
      </c>
      <c r="R134">
        <v>490.79</v>
      </c>
      <c r="S134">
        <v>0.5</v>
      </c>
      <c r="T134" s="118">
        <v>47263</v>
      </c>
    </row>
    <row r="135" spans="1:20" hidden="1">
      <c r="A135" t="s">
        <v>511</v>
      </c>
      <c r="B135" t="s">
        <v>478</v>
      </c>
      <c r="C135" t="s">
        <v>516</v>
      </c>
      <c r="D135" t="s">
        <v>730</v>
      </c>
      <c r="E135" t="s">
        <v>727</v>
      </c>
      <c r="F135">
        <v>773000</v>
      </c>
      <c r="G135">
        <v>312613282</v>
      </c>
      <c r="H135" s="118">
        <v>45511</v>
      </c>
      <c r="I135">
        <v>100</v>
      </c>
      <c r="J135">
        <v>100</v>
      </c>
      <c r="K135">
        <v>0</v>
      </c>
      <c r="L135">
        <v>0</v>
      </c>
      <c r="M135">
        <v>0</v>
      </c>
      <c r="N135">
        <v>0</v>
      </c>
      <c r="P135" t="s">
        <v>731</v>
      </c>
      <c r="Q135" t="s">
        <v>170</v>
      </c>
      <c r="R135">
        <v>343.56</v>
      </c>
      <c r="S135">
        <v>0.5</v>
      </c>
      <c r="T135" s="118">
        <v>47263</v>
      </c>
    </row>
    <row r="136" spans="1:20" hidden="1">
      <c r="A136" t="s">
        <v>511</v>
      </c>
      <c r="B136" t="s">
        <v>478</v>
      </c>
      <c r="C136" t="s">
        <v>516</v>
      </c>
      <c r="D136" t="s">
        <v>732</v>
      </c>
      <c r="E136" t="s">
        <v>733</v>
      </c>
      <c r="F136">
        <v>6370000</v>
      </c>
      <c r="G136">
        <v>297363631</v>
      </c>
      <c r="H136" s="118">
        <v>45271</v>
      </c>
      <c r="I136">
        <v>98.25</v>
      </c>
      <c r="J136">
        <v>94.8</v>
      </c>
      <c r="K136">
        <v>6289057.2999999998</v>
      </c>
      <c r="L136">
        <v>6038760</v>
      </c>
      <c r="M136">
        <v>-250297.3</v>
      </c>
      <c r="N136">
        <v>0</v>
      </c>
      <c r="P136" t="s">
        <v>734</v>
      </c>
      <c r="Q136" t="s">
        <v>170</v>
      </c>
      <c r="R136">
        <v>55215.16</v>
      </c>
      <c r="S136">
        <v>0</v>
      </c>
      <c r="T136" s="118">
        <v>47469</v>
      </c>
    </row>
    <row r="137" spans="1:20" hidden="1">
      <c r="A137" t="s">
        <v>511</v>
      </c>
      <c r="B137" t="s">
        <v>478</v>
      </c>
      <c r="C137" t="s">
        <v>516</v>
      </c>
      <c r="D137" t="s">
        <v>735</v>
      </c>
      <c r="E137" t="s">
        <v>736</v>
      </c>
      <c r="F137">
        <v>1477392.65</v>
      </c>
      <c r="G137">
        <v>297363632</v>
      </c>
      <c r="H137" s="118">
        <v>45271</v>
      </c>
      <c r="I137">
        <v>10</v>
      </c>
      <c r="J137">
        <v>94.8</v>
      </c>
      <c r="K137">
        <v>147739.26</v>
      </c>
      <c r="L137">
        <v>70914.84</v>
      </c>
      <c r="M137">
        <v>-76824.42</v>
      </c>
      <c r="N137">
        <v>0</v>
      </c>
      <c r="P137" t="s">
        <v>737</v>
      </c>
      <c r="Q137" t="s">
        <v>170</v>
      </c>
      <c r="R137">
        <v>2067.54</v>
      </c>
      <c r="S137">
        <v>0.5</v>
      </c>
      <c r="T137" s="118">
        <v>47469</v>
      </c>
    </row>
    <row r="138" spans="1:20" hidden="1">
      <c r="A138" t="s">
        <v>511</v>
      </c>
      <c r="B138" t="s">
        <v>478</v>
      </c>
      <c r="C138" t="s">
        <v>516</v>
      </c>
      <c r="D138" t="s">
        <v>738</v>
      </c>
      <c r="E138" t="s">
        <v>739</v>
      </c>
      <c r="F138">
        <v>2774891.02</v>
      </c>
      <c r="G138">
        <v>297363647</v>
      </c>
      <c r="H138" s="118">
        <v>45289</v>
      </c>
      <c r="I138">
        <v>100</v>
      </c>
      <c r="J138">
        <v>100</v>
      </c>
      <c r="K138">
        <v>0</v>
      </c>
      <c r="L138">
        <v>0</v>
      </c>
      <c r="M138">
        <v>0</v>
      </c>
      <c r="N138">
        <v>0</v>
      </c>
      <c r="P138" t="s">
        <v>740</v>
      </c>
      <c r="Q138" t="s">
        <v>170</v>
      </c>
      <c r="R138">
        <v>1233.28</v>
      </c>
      <c r="S138">
        <v>0.5</v>
      </c>
      <c r="T138" s="118">
        <v>47116</v>
      </c>
    </row>
    <row r="139" spans="1:20" hidden="1">
      <c r="A139" t="s">
        <v>511</v>
      </c>
      <c r="B139" t="s">
        <v>478</v>
      </c>
      <c r="C139" t="s">
        <v>516</v>
      </c>
      <c r="D139" t="s">
        <v>741</v>
      </c>
      <c r="E139" t="s">
        <v>742</v>
      </c>
      <c r="F139">
        <v>1400000</v>
      </c>
      <c r="G139">
        <v>297363650</v>
      </c>
      <c r="H139" s="118">
        <v>45289</v>
      </c>
      <c r="I139">
        <v>64.993799999999993</v>
      </c>
      <c r="J139">
        <v>98.75</v>
      </c>
      <c r="K139">
        <v>909913.62</v>
      </c>
      <c r="L139">
        <v>892413.62</v>
      </c>
      <c r="M139">
        <v>-17500</v>
      </c>
      <c r="N139">
        <v>0</v>
      </c>
      <c r="P139" t="s">
        <v>743</v>
      </c>
      <c r="Q139" t="s">
        <v>170</v>
      </c>
      <c r="R139">
        <v>984.28</v>
      </c>
      <c r="S139">
        <v>0.5</v>
      </c>
      <c r="T139" s="118">
        <v>47481</v>
      </c>
    </row>
    <row r="140" spans="1:20" hidden="1">
      <c r="A140" t="s">
        <v>511</v>
      </c>
      <c r="B140" t="s">
        <v>478</v>
      </c>
      <c r="C140" t="s">
        <v>516</v>
      </c>
      <c r="D140" t="s">
        <v>744</v>
      </c>
      <c r="E140" t="s">
        <v>745</v>
      </c>
      <c r="F140">
        <v>4000000</v>
      </c>
      <c r="G140">
        <v>359902094</v>
      </c>
      <c r="H140" s="118">
        <v>45963</v>
      </c>
      <c r="I140">
        <v>100.6057</v>
      </c>
      <c r="J140">
        <v>99.5</v>
      </c>
      <c r="K140">
        <v>4012219.69</v>
      </c>
      <c r="L140">
        <v>3980000</v>
      </c>
      <c r="M140">
        <v>-32219.69</v>
      </c>
      <c r="N140">
        <v>0</v>
      </c>
      <c r="P140" t="s">
        <v>646</v>
      </c>
      <c r="Q140" t="s">
        <v>170</v>
      </c>
      <c r="R140">
        <v>131444.44</v>
      </c>
      <c r="S140">
        <v>0</v>
      </c>
      <c r="T140" s="118">
        <v>46144</v>
      </c>
    </row>
    <row r="141" spans="1:20" hidden="1">
      <c r="A141" t="s">
        <v>511</v>
      </c>
      <c r="B141" t="s">
        <v>478</v>
      </c>
      <c r="C141" t="s">
        <v>516</v>
      </c>
      <c r="D141" t="s">
        <v>746</v>
      </c>
      <c r="E141" t="s">
        <v>747</v>
      </c>
      <c r="F141">
        <v>3674683.98</v>
      </c>
      <c r="G141">
        <v>297363677</v>
      </c>
      <c r="H141" s="118">
        <v>45300</v>
      </c>
      <c r="I141">
        <v>100</v>
      </c>
      <c r="J141">
        <v>100</v>
      </c>
      <c r="K141">
        <v>0</v>
      </c>
      <c r="L141">
        <v>0</v>
      </c>
      <c r="M141">
        <v>0</v>
      </c>
      <c r="N141">
        <v>0</v>
      </c>
      <c r="P141" t="s">
        <v>748</v>
      </c>
      <c r="Q141" t="s">
        <v>170</v>
      </c>
      <c r="R141">
        <v>1633.19</v>
      </c>
      <c r="S141">
        <v>0.5</v>
      </c>
      <c r="T141" s="118">
        <v>47499</v>
      </c>
    </row>
    <row r="142" spans="1:20" hidden="1">
      <c r="A142" t="s">
        <v>511</v>
      </c>
      <c r="B142" t="s">
        <v>478</v>
      </c>
      <c r="C142" t="s">
        <v>516</v>
      </c>
      <c r="D142" t="s">
        <v>749</v>
      </c>
      <c r="E142" t="s">
        <v>750</v>
      </c>
      <c r="F142">
        <v>8842500</v>
      </c>
      <c r="G142">
        <v>297363684</v>
      </c>
      <c r="H142" s="118">
        <v>45314</v>
      </c>
      <c r="I142">
        <v>98.25</v>
      </c>
      <c r="J142">
        <v>98.5</v>
      </c>
      <c r="K142">
        <v>8740800.8399999999</v>
      </c>
      <c r="L142">
        <v>8709862.5</v>
      </c>
      <c r="M142">
        <v>-30938.34</v>
      </c>
      <c r="N142">
        <v>0</v>
      </c>
      <c r="P142" t="s">
        <v>751</v>
      </c>
      <c r="Q142" t="s">
        <v>170</v>
      </c>
      <c r="R142">
        <v>79951.45</v>
      </c>
      <c r="S142">
        <v>0</v>
      </c>
      <c r="T142" s="118">
        <v>47144</v>
      </c>
    </row>
    <row r="143" spans="1:20" hidden="1">
      <c r="A143" t="s">
        <v>511</v>
      </c>
      <c r="B143" t="s">
        <v>478</v>
      </c>
      <c r="C143" t="s">
        <v>516</v>
      </c>
      <c r="D143" t="s">
        <v>752</v>
      </c>
      <c r="E143" t="s">
        <v>753</v>
      </c>
      <c r="F143">
        <v>1724970.12</v>
      </c>
      <c r="G143">
        <v>297363685</v>
      </c>
      <c r="H143" s="118">
        <v>45314</v>
      </c>
      <c r="I143">
        <v>48</v>
      </c>
      <c r="J143">
        <v>98.5</v>
      </c>
      <c r="K143">
        <v>827985.66</v>
      </c>
      <c r="L143">
        <v>802111.11</v>
      </c>
      <c r="M143">
        <v>-25874.55</v>
      </c>
      <c r="N143">
        <v>0</v>
      </c>
      <c r="P143" t="s">
        <v>754</v>
      </c>
      <c r="Q143" t="s">
        <v>170</v>
      </c>
      <c r="R143">
        <v>9290.99</v>
      </c>
      <c r="S143">
        <v>0.5</v>
      </c>
      <c r="T143" s="118">
        <v>47144</v>
      </c>
    </row>
    <row r="144" spans="1:20" hidden="1">
      <c r="A144" t="s">
        <v>511</v>
      </c>
      <c r="B144" t="s">
        <v>478</v>
      </c>
      <c r="C144" t="s">
        <v>516</v>
      </c>
      <c r="D144" t="s">
        <v>755</v>
      </c>
      <c r="E144" t="s">
        <v>756</v>
      </c>
      <c r="F144">
        <v>2671200</v>
      </c>
      <c r="G144">
        <v>297363772</v>
      </c>
      <c r="H144" s="118">
        <v>45329</v>
      </c>
      <c r="I144">
        <v>100</v>
      </c>
      <c r="J144">
        <v>99</v>
      </c>
      <c r="K144">
        <v>0</v>
      </c>
      <c r="L144">
        <v>-26712</v>
      </c>
      <c r="M144">
        <v>-26712</v>
      </c>
      <c r="N144">
        <v>0</v>
      </c>
      <c r="P144" t="s">
        <v>757</v>
      </c>
      <c r="Q144" t="s">
        <v>170</v>
      </c>
      <c r="R144">
        <v>1187.2</v>
      </c>
      <c r="S144">
        <v>0.5</v>
      </c>
      <c r="T144" s="118">
        <v>47521</v>
      </c>
    </row>
    <row r="145" spans="1:20" hidden="1">
      <c r="A145" t="s">
        <v>511</v>
      </c>
      <c r="B145" t="s">
        <v>478</v>
      </c>
      <c r="C145" t="s">
        <v>516</v>
      </c>
      <c r="D145" t="s">
        <v>755</v>
      </c>
      <c r="E145" t="s">
        <v>756</v>
      </c>
      <c r="F145">
        <v>667800</v>
      </c>
      <c r="G145">
        <v>297363773</v>
      </c>
      <c r="H145" s="118">
        <v>45330</v>
      </c>
      <c r="I145">
        <v>100</v>
      </c>
      <c r="J145">
        <v>99</v>
      </c>
      <c r="K145">
        <v>0</v>
      </c>
      <c r="L145">
        <v>-6678</v>
      </c>
      <c r="M145">
        <v>-6678</v>
      </c>
      <c r="N145">
        <v>0</v>
      </c>
      <c r="P145" t="s">
        <v>758</v>
      </c>
      <c r="Q145" t="s">
        <v>170</v>
      </c>
      <c r="R145">
        <v>296.8</v>
      </c>
      <c r="S145">
        <v>0.5</v>
      </c>
      <c r="T145" s="118">
        <v>47521</v>
      </c>
    </row>
    <row r="146" spans="1:20" hidden="1">
      <c r="A146" t="s">
        <v>511</v>
      </c>
      <c r="B146" t="s">
        <v>478</v>
      </c>
      <c r="C146" t="s">
        <v>516</v>
      </c>
      <c r="D146" t="s">
        <v>759</v>
      </c>
      <c r="E146" t="s">
        <v>760</v>
      </c>
      <c r="F146">
        <v>1857200</v>
      </c>
      <c r="G146">
        <v>298062225</v>
      </c>
      <c r="H146" s="118">
        <v>45352</v>
      </c>
      <c r="I146">
        <v>100</v>
      </c>
      <c r="J146">
        <v>100</v>
      </c>
      <c r="K146">
        <v>0</v>
      </c>
      <c r="L146">
        <v>0</v>
      </c>
      <c r="M146">
        <v>0</v>
      </c>
      <c r="N146">
        <v>0</v>
      </c>
      <c r="P146" t="s">
        <v>761</v>
      </c>
      <c r="Q146" t="s">
        <v>170</v>
      </c>
      <c r="R146">
        <v>825.42</v>
      </c>
      <c r="S146">
        <v>0.5</v>
      </c>
      <c r="T146" s="118">
        <v>47543</v>
      </c>
    </row>
    <row r="147" spans="1:20" hidden="1">
      <c r="A147" t="s">
        <v>511</v>
      </c>
      <c r="B147" t="s">
        <v>478</v>
      </c>
      <c r="C147" t="s">
        <v>516</v>
      </c>
      <c r="D147" t="s">
        <v>762</v>
      </c>
      <c r="E147" t="s">
        <v>763</v>
      </c>
      <c r="F147">
        <v>1155200</v>
      </c>
      <c r="G147">
        <v>297363804</v>
      </c>
      <c r="H147" s="118">
        <v>45351</v>
      </c>
      <c r="I147">
        <v>100</v>
      </c>
      <c r="J147">
        <v>100</v>
      </c>
      <c r="K147">
        <v>0</v>
      </c>
      <c r="L147">
        <v>0</v>
      </c>
      <c r="M147">
        <v>0</v>
      </c>
      <c r="N147">
        <v>0</v>
      </c>
      <c r="P147" t="s">
        <v>764</v>
      </c>
      <c r="Q147" t="s">
        <v>170</v>
      </c>
      <c r="R147">
        <v>513.41999999999996</v>
      </c>
      <c r="S147">
        <v>0.5</v>
      </c>
      <c r="T147" s="118">
        <v>47542</v>
      </c>
    </row>
    <row r="148" spans="1:20" hidden="1">
      <c r="A148" t="s">
        <v>511</v>
      </c>
      <c r="B148" t="s">
        <v>478</v>
      </c>
      <c r="C148" t="s">
        <v>516</v>
      </c>
      <c r="D148" t="s">
        <v>765</v>
      </c>
      <c r="E148" t="s">
        <v>766</v>
      </c>
      <c r="F148">
        <v>5422300</v>
      </c>
      <c r="G148">
        <v>303905829</v>
      </c>
      <c r="H148" s="118">
        <v>45415</v>
      </c>
      <c r="I148">
        <v>25</v>
      </c>
      <c r="J148">
        <v>99</v>
      </c>
      <c r="K148">
        <v>1355575</v>
      </c>
      <c r="L148">
        <v>1301352</v>
      </c>
      <c r="M148">
        <v>-54223</v>
      </c>
      <c r="N148">
        <v>0</v>
      </c>
      <c r="P148" t="s">
        <v>767</v>
      </c>
      <c r="Q148" t="s">
        <v>170</v>
      </c>
      <c r="R148">
        <v>3753.63</v>
      </c>
      <c r="S148">
        <v>0.5</v>
      </c>
      <c r="T148" s="118">
        <v>47241</v>
      </c>
    </row>
    <row r="149" spans="1:20" hidden="1">
      <c r="A149" t="s">
        <v>511</v>
      </c>
      <c r="B149" t="s">
        <v>478</v>
      </c>
      <c r="C149" t="s">
        <v>516</v>
      </c>
      <c r="D149" t="s">
        <v>768</v>
      </c>
      <c r="E149" t="s">
        <v>769</v>
      </c>
      <c r="F149">
        <v>821800</v>
      </c>
      <c r="G149">
        <v>303905811</v>
      </c>
      <c r="H149" s="118">
        <v>45422</v>
      </c>
      <c r="I149">
        <v>100</v>
      </c>
      <c r="J149">
        <v>100</v>
      </c>
      <c r="K149">
        <v>0</v>
      </c>
      <c r="L149">
        <v>0</v>
      </c>
      <c r="M149">
        <v>0</v>
      </c>
      <c r="N149">
        <v>0</v>
      </c>
      <c r="P149" t="s">
        <v>770</v>
      </c>
      <c r="Q149" t="s">
        <v>170</v>
      </c>
      <c r="R149">
        <v>365.24</v>
      </c>
      <c r="S149">
        <v>0.5</v>
      </c>
      <c r="T149" s="118">
        <v>47613</v>
      </c>
    </row>
    <row r="150" spans="1:20" hidden="1">
      <c r="A150" t="s">
        <v>511</v>
      </c>
      <c r="B150" t="s">
        <v>478</v>
      </c>
      <c r="C150" t="s">
        <v>516</v>
      </c>
      <c r="D150" t="s">
        <v>771</v>
      </c>
      <c r="E150" t="s">
        <v>772</v>
      </c>
      <c r="F150">
        <v>3908137.56</v>
      </c>
      <c r="G150">
        <v>304896219</v>
      </c>
      <c r="H150" s="118">
        <v>45435</v>
      </c>
      <c r="I150">
        <v>98.5</v>
      </c>
      <c r="J150">
        <v>97.5</v>
      </c>
      <c r="K150">
        <v>3864143.25</v>
      </c>
      <c r="L150">
        <v>3810434.12</v>
      </c>
      <c r="M150">
        <v>-53709.13</v>
      </c>
      <c r="N150">
        <v>0</v>
      </c>
      <c r="P150" t="s">
        <v>773</v>
      </c>
      <c r="Q150" t="s">
        <v>170</v>
      </c>
      <c r="R150">
        <v>31924.34</v>
      </c>
      <c r="S150">
        <v>0</v>
      </c>
      <c r="T150" s="118">
        <v>47261</v>
      </c>
    </row>
    <row r="151" spans="1:20" hidden="1">
      <c r="A151" t="s">
        <v>511</v>
      </c>
      <c r="B151" t="s">
        <v>478</v>
      </c>
      <c r="C151" t="s">
        <v>516</v>
      </c>
      <c r="D151" t="s">
        <v>774</v>
      </c>
      <c r="E151" t="s">
        <v>775</v>
      </c>
      <c r="F151">
        <v>1113600</v>
      </c>
      <c r="G151">
        <v>304896203</v>
      </c>
      <c r="H151" s="118">
        <v>45435</v>
      </c>
      <c r="I151">
        <v>30</v>
      </c>
      <c r="J151">
        <v>97.5</v>
      </c>
      <c r="K151">
        <v>334080</v>
      </c>
      <c r="L151">
        <v>306240</v>
      </c>
      <c r="M151">
        <v>-27840</v>
      </c>
      <c r="N151">
        <v>0</v>
      </c>
      <c r="P151" t="s">
        <v>776</v>
      </c>
      <c r="Q151" t="s">
        <v>170</v>
      </c>
      <c r="R151">
        <v>3641.49</v>
      </c>
      <c r="S151">
        <v>0.5</v>
      </c>
      <c r="T151" s="118">
        <v>47261</v>
      </c>
    </row>
    <row r="152" spans="1:20" hidden="1">
      <c r="A152" t="s">
        <v>511</v>
      </c>
      <c r="B152" t="s">
        <v>478</v>
      </c>
      <c r="C152" t="s">
        <v>516</v>
      </c>
      <c r="D152" t="s">
        <v>777</v>
      </c>
      <c r="E152" t="s">
        <v>778</v>
      </c>
      <c r="F152">
        <v>5000000</v>
      </c>
      <c r="G152">
        <v>348666011</v>
      </c>
      <c r="H152" s="118">
        <v>45879</v>
      </c>
      <c r="I152">
        <v>100.5107</v>
      </c>
      <c r="J152">
        <v>100.75</v>
      </c>
      <c r="K152">
        <v>5000000</v>
      </c>
      <c r="L152">
        <v>5037500</v>
      </c>
      <c r="M152">
        <v>37500</v>
      </c>
      <c r="N152">
        <v>0</v>
      </c>
      <c r="P152" t="s">
        <v>779</v>
      </c>
      <c r="Q152" t="s">
        <v>170</v>
      </c>
      <c r="R152">
        <v>376736.11</v>
      </c>
      <c r="S152">
        <v>0</v>
      </c>
      <c r="T152" s="118">
        <v>46053</v>
      </c>
    </row>
    <row r="153" spans="1:20" hidden="1">
      <c r="A153" t="s">
        <v>511</v>
      </c>
      <c r="B153" t="s">
        <v>478</v>
      </c>
      <c r="C153" t="s">
        <v>516</v>
      </c>
      <c r="D153" t="s">
        <v>780</v>
      </c>
      <c r="E153" t="s">
        <v>781</v>
      </c>
      <c r="F153">
        <v>2000000</v>
      </c>
      <c r="G153">
        <v>305655289</v>
      </c>
      <c r="H153" s="118">
        <v>45443</v>
      </c>
      <c r="I153">
        <v>98</v>
      </c>
      <c r="J153">
        <v>100</v>
      </c>
      <c r="K153">
        <v>1980260.2</v>
      </c>
      <c r="L153">
        <v>2000000</v>
      </c>
      <c r="M153">
        <v>19739.8</v>
      </c>
      <c r="N153">
        <v>0</v>
      </c>
      <c r="P153" t="s">
        <v>782</v>
      </c>
      <c r="Q153" t="s">
        <v>170</v>
      </c>
      <c r="R153">
        <v>18972.34</v>
      </c>
      <c r="S153">
        <v>0</v>
      </c>
      <c r="T153" s="118">
        <v>46537</v>
      </c>
    </row>
    <row r="154" spans="1:20" hidden="1">
      <c r="A154" t="s">
        <v>511</v>
      </c>
      <c r="B154" t="s">
        <v>478</v>
      </c>
      <c r="C154" t="s">
        <v>516</v>
      </c>
      <c r="D154" t="s">
        <v>783</v>
      </c>
      <c r="E154" t="s">
        <v>784</v>
      </c>
      <c r="F154">
        <v>100000</v>
      </c>
      <c r="G154">
        <v>345191175</v>
      </c>
      <c r="H154" s="118">
        <v>45847</v>
      </c>
      <c r="I154">
        <v>98.5</v>
      </c>
      <c r="J154">
        <v>100</v>
      </c>
      <c r="K154">
        <v>98895.97</v>
      </c>
      <c r="L154">
        <v>100000</v>
      </c>
      <c r="M154">
        <v>1104.03</v>
      </c>
      <c r="N154">
        <v>0</v>
      </c>
      <c r="P154" t="s">
        <v>782</v>
      </c>
      <c r="Q154" t="s">
        <v>170</v>
      </c>
      <c r="R154">
        <v>948.62</v>
      </c>
      <c r="S154">
        <v>0</v>
      </c>
      <c r="T154" s="118">
        <v>46537</v>
      </c>
    </row>
    <row r="155" spans="1:20" hidden="1">
      <c r="A155" t="s">
        <v>511</v>
      </c>
      <c r="B155" t="s">
        <v>478</v>
      </c>
      <c r="C155" t="s">
        <v>516</v>
      </c>
      <c r="D155" t="s">
        <v>785</v>
      </c>
      <c r="E155" t="s">
        <v>786</v>
      </c>
      <c r="F155">
        <v>3500000</v>
      </c>
      <c r="G155">
        <v>364181027</v>
      </c>
      <c r="H155" s="118">
        <v>46015</v>
      </c>
      <c r="I155">
        <v>100.5796</v>
      </c>
      <c r="J155">
        <v>100.8</v>
      </c>
      <c r="K155">
        <v>3515939.25</v>
      </c>
      <c r="L155">
        <v>3528000</v>
      </c>
      <c r="M155">
        <v>12060.75</v>
      </c>
      <c r="N155">
        <v>0</v>
      </c>
      <c r="P155" t="s">
        <v>787</v>
      </c>
      <c r="Q155" t="s">
        <v>170</v>
      </c>
      <c r="R155">
        <v>53083.33</v>
      </c>
      <c r="S155">
        <v>0</v>
      </c>
      <c r="T155" s="118">
        <v>46197</v>
      </c>
    </row>
    <row r="156" spans="1:20" hidden="1">
      <c r="A156" t="s">
        <v>511</v>
      </c>
      <c r="B156" t="s">
        <v>478</v>
      </c>
      <c r="C156" t="s">
        <v>516</v>
      </c>
      <c r="D156" t="s">
        <v>788</v>
      </c>
      <c r="E156" t="s">
        <v>789</v>
      </c>
      <c r="F156">
        <v>535558.38</v>
      </c>
      <c r="G156">
        <v>358199045</v>
      </c>
      <c r="H156" s="118">
        <v>45987</v>
      </c>
      <c r="I156">
        <v>99.25</v>
      </c>
      <c r="J156">
        <v>96</v>
      </c>
      <c r="K156">
        <v>531812.36</v>
      </c>
      <c r="L156">
        <v>514136.04</v>
      </c>
      <c r="M156">
        <v>-17676.32</v>
      </c>
      <c r="N156">
        <v>0</v>
      </c>
      <c r="P156" t="s">
        <v>790</v>
      </c>
      <c r="Q156" t="s">
        <v>170</v>
      </c>
      <c r="R156">
        <v>4485.33</v>
      </c>
      <c r="S156">
        <v>0</v>
      </c>
      <c r="T156" s="118">
        <v>47295</v>
      </c>
    </row>
    <row r="157" spans="1:20" hidden="1">
      <c r="A157" t="s">
        <v>511</v>
      </c>
      <c r="B157" t="s">
        <v>478</v>
      </c>
      <c r="C157" t="s">
        <v>516</v>
      </c>
      <c r="D157" t="s">
        <v>788</v>
      </c>
      <c r="E157" t="s">
        <v>789</v>
      </c>
      <c r="F157">
        <v>3940011.57</v>
      </c>
      <c r="G157">
        <v>308201267</v>
      </c>
      <c r="H157" s="118">
        <v>45469</v>
      </c>
      <c r="I157">
        <v>98.5</v>
      </c>
      <c r="J157">
        <v>96</v>
      </c>
      <c r="K157">
        <v>3895994.36</v>
      </c>
      <c r="L157">
        <v>3782411.11</v>
      </c>
      <c r="M157">
        <v>-113583.25</v>
      </c>
      <c r="N157">
        <v>0</v>
      </c>
      <c r="P157" t="s">
        <v>791</v>
      </c>
      <c r="Q157" t="s">
        <v>170</v>
      </c>
      <c r="R157">
        <v>32997.82</v>
      </c>
      <c r="S157">
        <v>0</v>
      </c>
      <c r="T157" s="118">
        <v>47295</v>
      </c>
    </row>
    <row r="158" spans="1:20" hidden="1">
      <c r="A158" t="s">
        <v>511</v>
      </c>
      <c r="B158" t="s">
        <v>478</v>
      </c>
      <c r="C158" t="s">
        <v>516</v>
      </c>
      <c r="D158" t="s">
        <v>792</v>
      </c>
      <c r="E158" t="s">
        <v>793</v>
      </c>
      <c r="F158">
        <v>1696716.19</v>
      </c>
      <c r="G158">
        <v>308201571</v>
      </c>
      <c r="H158" s="118">
        <v>45469</v>
      </c>
      <c r="I158">
        <v>50</v>
      </c>
      <c r="J158">
        <v>96</v>
      </c>
      <c r="K158">
        <v>848357.98</v>
      </c>
      <c r="L158">
        <v>780489.33</v>
      </c>
      <c r="M158">
        <v>-67868.649999999994</v>
      </c>
      <c r="N158">
        <v>0</v>
      </c>
      <c r="P158" t="s">
        <v>794</v>
      </c>
      <c r="Q158" t="s">
        <v>170</v>
      </c>
      <c r="R158">
        <v>7397.77</v>
      </c>
      <c r="S158">
        <v>0.5</v>
      </c>
      <c r="T158" s="118">
        <v>47295</v>
      </c>
    </row>
    <row r="159" spans="1:20" hidden="1">
      <c r="A159" t="s">
        <v>511</v>
      </c>
      <c r="B159" t="s">
        <v>478</v>
      </c>
      <c r="C159" t="s">
        <v>516</v>
      </c>
      <c r="D159" t="s">
        <v>795</v>
      </c>
      <c r="E159" t="s">
        <v>796</v>
      </c>
      <c r="F159">
        <v>1042014.87</v>
      </c>
      <c r="G159">
        <v>307729653</v>
      </c>
      <c r="H159" s="118">
        <v>45464</v>
      </c>
      <c r="I159">
        <v>100</v>
      </c>
      <c r="J159">
        <v>100</v>
      </c>
      <c r="K159">
        <v>0</v>
      </c>
      <c r="L159">
        <v>0</v>
      </c>
      <c r="M159">
        <v>0</v>
      </c>
      <c r="N159">
        <v>0</v>
      </c>
      <c r="P159" t="s">
        <v>797</v>
      </c>
      <c r="Q159" t="s">
        <v>170</v>
      </c>
      <c r="R159">
        <v>463.12</v>
      </c>
      <c r="S159">
        <v>0.5</v>
      </c>
      <c r="T159" s="118">
        <v>47290</v>
      </c>
    </row>
    <row r="160" spans="1:20" hidden="1">
      <c r="A160" t="s">
        <v>511</v>
      </c>
      <c r="B160" t="s">
        <v>478</v>
      </c>
      <c r="C160" t="s">
        <v>516</v>
      </c>
      <c r="D160" t="s">
        <v>798</v>
      </c>
      <c r="E160" t="s">
        <v>799</v>
      </c>
      <c r="F160">
        <v>745263.78</v>
      </c>
      <c r="G160">
        <v>362898881</v>
      </c>
      <c r="H160" s="118">
        <v>46027</v>
      </c>
      <c r="I160">
        <v>99</v>
      </c>
      <c r="J160">
        <v>100</v>
      </c>
      <c r="K160">
        <v>738004.92</v>
      </c>
      <c r="L160">
        <v>745263.78</v>
      </c>
      <c r="M160">
        <v>7258.86</v>
      </c>
      <c r="N160">
        <v>0</v>
      </c>
      <c r="P160" t="s">
        <v>800</v>
      </c>
      <c r="Q160" t="s">
        <v>170</v>
      </c>
      <c r="R160">
        <v>5115.3</v>
      </c>
      <c r="S160">
        <v>0</v>
      </c>
      <c r="T160" s="118">
        <v>47290</v>
      </c>
    </row>
    <row r="161" spans="1:20" hidden="1">
      <c r="A161" t="s">
        <v>511</v>
      </c>
      <c r="B161" t="s">
        <v>478</v>
      </c>
      <c r="C161" t="s">
        <v>516</v>
      </c>
      <c r="D161" t="s">
        <v>801</v>
      </c>
      <c r="E161" t="s">
        <v>799</v>
      </c>
      <c r="F161">
        <v>658922.23999999999</v>
      </c>
      <c r="G161">
        <v>363060075</v>
      </c>
      <c r="H161" s="118">
        <v>46035</v>
      </c>
      <c r="I161">
        <v>99</v>
      </c>
      <c r="J161">
        <v>100</v>
      </c>
      <c r="K161">
        <v>652450.71</v>
      </c>
      <c r="L161">
        <v>658922.23999999999</v>
      </c>
      <c r="M161">
        <v>6471.53</v>
      </c>
      <c r="N161">
        <v>0</v>
      </c>
      <c r="P161" t="s">
        <v>800</v>
      </c>
      <c r="Q161" t="s">
        <v>170</v>
      </c>
      <c r="R161">
        <v>3182.67</v>
      </c>
      <c r="S161">
        <v>0</v>
      </c>
      <c r="T161" s="118">
        <v>47290</v>
      </c>
    </row>
    <row r="162" spans="1:20" hidden="1">
      <c r="A162" t="s">
        <v>511</v>
      </c>
      <c r="B162" t="s">
        <v>478</v>
      </c>
      <c r="C162" t="s">
        <v>516</v>
      </c>
      <c r="D162" t="s">
        <v>802</v>
      </c>
      <c r="E162" t="s">
        <v>799</v>
      </c>
      <c r="F162">
        <v>151476.38</v>
      </c>
      <c r="G162">
        <v>364516674</v>
      </c>
      <c r="H162" s="118">
        <v>46052</v>
      </c>
      <c r="I162">
        <v>99</v>
      </c>
      <c r="J162">
        <v>100</v>
      </c>
      <c r="K162">
        <v>149964.29999999999</v>
      </c>
      <c r="L162">
        <v>151476.38</v>
      </c>
      <c r="M162">
        <v>1512.08</v>
      </c>
      <c r="N162">
        <v>0</v>
      </c>
      <c r="P162" t="s">
        <v>800</v>
      </c>
      <c r="Q162" t="s">
        <v>170</v>
      </c>
      <c r="R162">
        <v>77.14</v>
      </c>
      <c r="S162">
        <v>0</v>
      </c>
      <c r="T162" s="118">
        <v>47290</v>
      </c>
    </row>
    <row r="163" spans="1:20" hidden="1">
      <c r="A163" t="s">
        <v>511</v>
      </c>
      <c r="B163" t="s">
        <v>478</v>
      </c>
      <c r="C163" t="s">
        <v>516</v>
      </c>
      <c r="D163" t="s">
        <v>803</v>
      </c>
      <c r="E163" t="s">
        <v>799</v>
      </c>
      <c r="F163">
        <v>45329.3</v>
      </c>
      <c r="G163">
        <v>357915594</v>
      </c>
      <c r="H163" s="118">
        <v>45982</v>
      </c>
      <c r="I163">
        <v>99</v>
      </c>
      <c r="J163">
        <v>100</v>
      </c>
      <c r="K163">
        <v>44899.35</v>
      </c>
      <c r="L163">
        <v>45329.3</v>
      </c>
      <c r="M163">
        <v>429.95</v>
      </c>
      <c r="N163">
        <v>0</v>
      </c>
      <c r="P163" t="s">
        <v>800</v>
      </c>
      <c r="Q163" t="s">
        <v>170</v>
      </c>
      <c r="R163">
        <v>369.56</v>
      </c>
      <c r="S163">
        <v>0</v>
      </c>
      <c r="T163" s="118">
        <v>47290</v>
      </c>
    </row>
    <row r="164" spans="1:20" hidden="1">
      <c r="A164" t="s">
        <v>511</v>
      </c>
      <c r="B164" t="s">
        <v>478</v>
      </c>
      <c r="C164" t="s">
        <v>516</v>
      </c>
      <c r="D164" t="s">
        <v>804</v>
      </c>
      <c r="E164" t="s">
        <v>799</v>
      </c>
      <c r="F164">
        <v>846147.04</v>
      </c>
      <c r="G164">
        <v>357915613</v>
      </c>
      <c r="H164" s="118">
        <v>45987</v>
      </c>
      <c r="I164">
        <v>99</v>
      </c>
      <c r="J164">
        <v>100</v>
      </c>
      <c r="K164">
        <v>838098.45</v>
      </c>
      <c r="L164">
        <v>846147.04</v>
      </c>
      <c r="M164">
        <v>8048.59</v>
      </c>
      <c r="N164">
        <v>0</v>
      </c>
      <c r="P164" t="s">
        <v>800</v>
      </c>
      <c r="Q164" t="s">
        <v>170</v>
      </c>
      <c r="R164">
        <v>6898.5</v>
      </c>
      <c r="S164">
        <v>0</v>
      </c>
      <c r="T164" s="118">
        <v>47290</v>
      </c>
    </row>
    <row r="165" spans="1:20" hidden="1">
      <c r="A165" t="s">
        <v>511</v>
      </c>
      <c r="B165" t="s">
        <v>478</v>
      </c>
      <c r="C165" t="s">
        <v>516</v>
      </c>
      <c r="D165" t="s">
        <v>805</v>
      </c>
      <c r="E165" t="s">
        <v>806</v>
      </c>
      <c r="F165">
        <v>2327514.6800000002</v>
      </c>
      <c r="G165">
        <v>352062200</v>
      </c>
      <c r="H165" s="118">
        <v>45915</v>
      </c>
      <c r="I165">
        <v>99.06</v>
      </c>
      <c r="J165">
        <v>100</v>
      </c>
      <c r="K165">
        <v>2307222.27</v>
      </c>
      <c r="L165">
        <v>2327514.6800000002</v>
      </c>
      <c r="M165">
        <v>20292.41</v>
      </c>
      <c r="N165">
        <v>0</v>
      </c>
      <c r="P165" t="s">
        <v>807</v>
      </c>
      <c r="Q165" t="s">
        <v>170</v>
      </c>
      <c r="R165">
        <v>31033.53</v>
      </c>
      <c r="S165">
        <v>0.5</v>
      </c>
      <c r="T165" s="118">
        <v>47655</v>
      </c>
    </row>
    <row r="166" spans="1:20" hidden="1">
      <c r="A166" t="s">
        <v>511</v>
      </c>
      <c r="B166" t="s">
        <v>478</v>
      </c>
      <c r="C166" t="s">
        <v>516</v>
      </c>
      <c r="D166" t="s">
        <v>805</v>
      </c>
      <c r="E166" t="s">
        <v>806</v>
      </c>
      <c r="F166">
        <v>3848198.66</v>
      </c>
      <c r="G166">
        <v>307729686</v>
      </c>
      <c r="H166" s="118">
        <v>45464</v>
      </c>
      <c r="I166">
        <v>98.7898</v>
      </c>
      <c r="J166">
        <v>100</v>
      </c>
      <c r="K166">
        <v>3809928.99</v>
      </c>
      <c r="L166">
        <v>3848198.66</v>
      </c>
      <c r="M166">
        <v>38269.67</v>
      </c>
      <c r="N166">
        <v>0</v>
      </c>
      <c r="P166" t="s">
        <v>808</v>
      </c>
      <c r="Q166" t="s">
        <v>170</v>
      </c>
      <c r="R166">
        <v>51309.32</v>
      </c>
      <c r="S166">
        <v>0.5</v>
      </c>
      <c r="T166" s="118">
        <v>47655</v>
      </c>
    </row>
    <row r="167" spans="1:20" hidden="1">
      <c r="A167" t="s">
        <v>511</v>
      </c>
      <c r="B167" t="s">
        <v>478</v>
      </c>
      <c r="C167" t="s">
        <v>516</v>
      </c>
      <c r="D167" t="s">
        <v>809</v>
      </c>
      <c r="E167" t="s">
        <v>810</v>
      </c>
      <c r="F167">
        <v>553796.14</v>
      </c>
      <c r="G167">
        <v>350054836</v>
      </c>
      <c r="H167" s="118">
        <v>45902</v>
      </c>
      <c r="I167">
        <v>99.5</v>
      </c>
      <c r="J167">
        <v>100</v>
      </c>
      <c r="K167">
        <v>551275.68000000005</v>
      </c>
      <c r="L167">
        <v>553796.14</v>
      </c>
      <c r="M167">
        <v>2520.46</v>
      </c>
      <c r="N167">
        <v>0</v>
      </c>
      <c r="P167" t="s">
        <v>811</v>
      </c>
      <c r="Q167" t="s">
        <v>170</v>
      </c>
      <c r="R167">
        <v>7776.73</v>
      </c>
      <c r="S167">
        <v>0</v>
      </c>
      <c r="T167" s="118">
        <v>47513</v>
      </c>
    </row>
    <row r="168" spans="1:20" hidden="1">
      <c r="A168" t="s">
        <v>511</v>
      </c>
      <c r="B168" t="s">
        <v>478</v>
      </c>
      <c r="C168" t="s">
        <v>516</v>
      </c>
      <c r="D168" t="s">
        <v>812</v>
      </c>
      <c r="E168" t="s">
        <v>813</v>
      </c>
      <c r="F168">
        <v>11103641.27</v>
      </c>
      <c r="G168">
        <v>309873840</v>
      </c>
      <c r="H168" s="118">
        <v>45485</v>
      </c>
      <c r="I168">
        <v>98.378900000000002</v>
      </c>
      <c r="J168">
        <v>100</v>
      </c>
      <c r="K168">
        <v>10923641.27</v>
      </c>
      <c r="L168">
        <v>11103641.27</v>
      </c>
      <c r="M168">
        <v>180000</v>
      </c>
      <c r="N168">
        <v>0</v>
      </c>
      <c r="P168" t="s">
        <v>665</v>
      </c>
      <c r="Q168" t="s">
        <v>170</v>
      </c>
      <c r="R168">
        <v>143586.81</v>
      </c>
      <c r="S168">
        <v>0</v>
      </c>
      <c r="T168" s="118">
        <v>46379</v>
      </c>
    </row>
    <row r="169" spans="1:20" hidden="1">
      <c r="A169" t="s">
        <v>511</v>
      </c>
      <c r="B169" t="s">
        <v>478</v>
      </c>
      <c r="C169" t="s">
        <v>516</v>
      </c>
      <c r="D169" t="s">
        <v>814</v>
      </c>
      <c r="E169" t="s">
        <v>815</v>
      </c>
      <c r="F169">
        <v>4133100</v>
      </c>
      <c r="G169">
        <v>311495516</v>
      </c>
      <c r="H169" s="118">
        <v>45504</v>
      </c>
      <c r="I169">
        <v>13.333299999999999</v>
      </c>
      <c r="J169">
        <v>100</v>
      </c>
      <c r="K169">
        <v>551080</v>
      </c>
      <c r="L169">
        <v>551080</v>
      </c>
      <c r="M169">
        <v>0</v>
      </c>
      <c r="N169">
        <v>0</v>
      </c>
      <c r="P169" t="s">
        <v>816</v>
      </c>
      <c r="Q169" t="s">
        <v>170</v>
      </c>
      <c r="R169">
        <v>5870.57</v>
      </c>
      <c r="S169">
        <v>0.5</v>
      </c>
      <c r="T169" s="118">
        <v>47330</v>
      </c>
    </row>
    <row r="170" spans="1:20" hidden="1">
      <c r="A170" t="s">
        <v>511</v>
      </c>
      <c r="B170" t="s">
        <v>478</v>
      </c>
      <c r="C170" t="s">
        <v>516</v>
      </c>
      <c r="D170" t="s">
        <v>817</v>
      </c>
      <c r="E170" t="s">
        <v>818</v>
      </c>
      <c r="F170">
        <v>2078976.53</v>
      </c>
      <c r="G170">
        <v>341165617</v>
      </c>
      <c r="H170" s="118">
        <v>45800</v>
      </c>
      <c r="I170">
        <v>60</v>
      </c>
      <c r="J170">
        <v>99.25</v>
      </c>
      <c r="K170">
        <v>1247385.92</v>
      </c>
      <c r="L170">
        <v>1231793.6000000001</v>
      </c>
      <c r="M170">
        <v>-15592.32</v>
      </c>
      <c r="N170">
        <v>0</v>
      </c>
      <c r="P170" t="s">
        <v>819</v>
      </c>
      <c r="Q170" t="s">
        <v>170</v>
      </c>
      <c r="R170">
        <v>1028.31</v>
      </c>
      <c r="S170">
        <v>0.5</v>
      </c>
      <c r="T170" s="118">
        <v>47704</v>
      </c>
    </row>
    <row r="171" spans="1:20" hidden="1">
      <c r="A171" t="s">
        <v>511</v>
      </c>
      <c r="B171" t="s">
        <v>478</v>
      </c>
      <c r="C171" t="s">
        <v>516</v>
      </c>
      <c r="D171" t="s">
        <v>817</v>
      </c>
      <c r="E171" t="s">
        <v>818</v>
      </c>
      <c r="F171">
        <v>925944.58</v>
      </c>
      <c r="G171">
        <v>314379437</v>
      </c>
      <c r="H171" s="118">
        <v>45513</v>
      </c>
      <c r="I171">
        <v>60</v>
      </c>
      <c r="J171">
        <v>99.25</v>
      </c>
      <c r="K171">
        <v>555566.75</v>
      </c>
      <c r="L171">
        <v>548622.17000000004</v>
      </c>
      <c r="M171">
        <v>-6944.58</v>
      </c>
      <c r="N171">
        <v>0</v>
      </c>
      <c r="P171" t="s">
        <v>820</v>
      </c>
      <c r="Q171" t="s">
        <v>170</v>
      </c>
      <c r="R171">
        <v>457.99</v>
      </c>
      <c r="S171">
        <v>0.5</v>
      </c>
      <c r="T171" s="118">
        <v>47704</v>
      </c>
    </row>
    <row r="172" spans="1:20" hidden="1">
      <c r="A172" t="s">
        <v>511</v>
      </c>
      <c r="B172" t="s">
        <v>478</v>
      </c>
      <c r="C172" t="s">
        <v>516</v>
      </c>
      <c r="D172" t="s">
        <v>821</v>
      </c>
      <c r="E172" t="s">
        <v>822</v>
      </c>
      <c r="F172">
        <v>326573.76</v>
      </c>
      <c r="G172">
        <v>330407101</v>
      </c>
      <c r="H172" s="118">
        <v>45694</v>
      </c>
      <c r="I172">
        <v>99.125</v>
      </c>
      <c r="J172">
        <v>99.25</v>
      </c>
      <c r="K172">
        <v>324116.38</v>
      </c>
      <c r="L172">
        <v>324124.46000000002</v>
      </c>
      <c r="M172">
        <v>8.08</v>
      </c>
      <c r="N172">
        <v>0</v>
      </c>
      <c r="P172" t="s">
        <v>823</v>
      </c>
      <c r="Q172" t="s">
        <v>170</v>
      </c>
      <c r="R172">
        <v>157.33000000000001</v>
      </c>
      <c r="S172">
        <v>0</v>
      </c>
      <c r="T172" s="118">
        <v>47704</v>
      </c>
    </row>
    <row r="173" spans="1:20" hidden="1">
      <c r="A173" t="s">
        <v>511</v>
      </c>
      <c r="B173" t="s">
        <v>478</v>
      </c>
      <c r="C173" t="s">
        <v>516</v>
      </c>
      <c r="D173" t="s">
        <v>824</v>
      </c>
      <c r="E173" t="s">
        <v>822</v>
      </c>
      <c r="F173">
        <v>1221308</v>
      </c>
      <c r="G173">
        <v>330415875</v>
      </c>
      <c r="H173" s="118">
        <v>45698</v>
      </c>
      <c r="I173">
        <v>99.125</v>
      </c>
      <c r="J173">
        <v>99.25</v>
      </c>
      <c r="K173">
        <v>1211410.78</v>
      </c>
      <c r="L173">
        <v>1212148.19</v>
      </c>
      <c r="M173">
        <v>737.41</v>
      </c>
      <c r="N173">
        <v>0</v>
      </c>
      <c r="P173" t="s">
        <v>823</v>
      </c>
      <c r="Q173" t="s">
        <v>170</v>
      </c>
      <c r="R173">
        <v>588.39</v>
      </c>
      <c r="S173">
        <v>0</v>
      </c>
      <c r="T173" s="118">
        <v>47704</v>
      </c>
    </row>
    <row r="174" spans="1:20" hidden="1">
      <c r="A174" t="s">
        <v>511</v>
      </c>
      <c r="B174" t="s">
        <v>478</v>
      </c>
      <c r="C174" t="s">
        <v>516</v>
      </c>
      <c r="D174" t="s">
        <v>825</v>
      </c>
      <c r="E174" t="s">
        <v>822</v>
      </c>
      <c r="F174">
        <v>390437.07</v>
      </c>
      <c r="G174">
        <v>338252571</v>
      </c>
      <c r="H174" s="118">
        <v>45775</v>
      </c>
      <c r="I174">
        <v>99.125</v>
      </c>
      <c r="J174">
        <v>99.25</v>
      </c>
      <c r="K174">
        <v>387095.14</v>
      </c>
      <c r="L174">
        <v>387508.79</v>
      </c>
      <c r="M174">
        <v>413.65</v>
      </c>
      <c r="N174">
        <v>0</v>
      </c>
      <c r="P174" t="s">
        <v>826</v>
      </c>
      <c r="Q174" t="s">
        <v>170</v>
      </c>
      <c r="R174">
        <v>188.1</v>
      </c>
      <c r="S174">
        <v>0</v>
      </c>
      <c r="T174" s="118">
        <v>47704</v>
      </c>
    </row>
    <row r="175" spans="1:20" hidden="1">
      <c r="A175" t="s">
        <v>511</v>
      </c>
      <c r="B175" t="s">
        <v>478</v>
      </c>
      <c r="C175" t="s">
        <v>516</v>
      </c>
      <c r="D175" t="s">
        <v>827</v>
      </c>
      <c r="E175" t="s">
        <v>822</v>
      </c>
      <c r="F175">
        <v>1332336</v>
      </c>
      <c r="G175">
        <v>347529141</v>
      </c>
      <c r="H175" s="118">
        <v>45881</v>
      </c>
      <c r="I175">
        <v>99.125</v>
      </c>
      <c r="J175">
        <v>99.25</v>
      </c>
      <c r="K175">
        <v>1320754.72</v>
      </c>
      <c r="L175">
        <v>1322343.48</v>
      </c>
      <c r="M175">
        <v>1588.76</v>
      </c>
      <c r="N175">
        <v>0</v>
      </c>
      <c r="P175" t="s">
        <v>823</v>
      </c>
      <c r="Q175" t="s">
        <v>170</v>
      </c>
      <c r="R175">
        <v>641.88</v>
      </c>
      <c r="S175">
        <v>0</v>
      </c>
      <c r="T175" s="118">
        <v>47704</v>
      </c>
    </row>
    <row r="176" spans="1:20" hidden="1">
      <c r="A176" t="s">
        <v>511</v>
      </c>
      <c r="B176" t="s">
        <v>478</v>
      </c>
      <c r="C176" t="s">
        <v>516</v>
      </c>
      <c r="D176" t="s">
        <v>828</v>
      </c>
      <c r="E176" t="s">
        <v>822</v>
      </c>
      <c r="F176">
        <v>552364.30000000005</v>
      </c>
      <c r="G176">
        <v>350889885</v>
      </c>
      <c r="H176" s="118">
        <v>45919</v>
      </c>
      <c r="I176">
        <v>99.125</v>
      </c>
      <c r="J176">
        <v>99.25</v>
      </c>
      <c r="K176">
        <v>547723.61</v>
      </c>
      <c r="L176">
        <v>548221.56999999995</v>
      </c>
      <c r="M176">
        <v>497.96</v>
      </c>
      <c r="N176">
        <v>0</v>
      </c>
      <c r="P176" t="s">
        <v>823</v>
      </c>
      <c r="Q176" t="s">
        <v>170</v>
      </c>
      <c r="R176">
        <v>266.11</v>
      </c>
      <c r="S176">
        <v>0</v>
      </c>
      <c r="T176" s="118">
        <v>47704</v>
      </c>
    </row>
    <row r="177" spans="1:20" hidden="1">
      <c r="A177" t="s">
        <v>511</v>
      </c>
      <c r="B177" t="s">
        <v>478</v>
      </c>
      <c r="C177" t="s">
        <v>516</v>
      </c>
      <c r="D177" t="s">
        <v>829</v>
      </c>
      <c r="E177" t="s">
        <v>822</v>
      </c>
      <c r="F177">
        <v>1439755.59</v>
      </c>
      <c r="G177">
        <v>356237407</v>
      </c>
      <c r="H177" s="118">
        <v>45968</v>
      </c>
      <c r="I177">
        <v>99.125</v>
      </c>
      <c r="J177">
        <v>99.25</v>
      </c>
      <c r="K177">
        <v>1427452.77</v>
      </c>
      <c r="L177">
        <v>1428957.42</v>
      </c>
      <c r="M177">
        <v>1504.65</v>
      </c>
      <c r="N177">
        <v>0</v>
      </c>
      <c r="P177" t="s">
        <v>823</v>
      </c>
      <c r="Q177" t="s">
        <v>170</v>
      </c>
      <c r="R177">
        <v>693.64</v>
      </c>
      <c r="S177">
        <v>0</v>
      </c>
      <c r="T177" s="118">
        <v>47704</v>
      </c>
    </row>
    <row r="178" spans="1:20" hidden="1">
      <c r="A178" t="s">
        <v>511</v>
      </c>
      <c r="B178" t="s">
        <v>478</v>
      </c>
      <c r="C178" t="s">
        <v>516</v>
      </c>
      <c r="D178" t="s">
        <v>830</v>
      </c>
      <c r="E178" t="s">
        <v>822</v>
      </c>
      <c r="F178">
        <v>1107504.3</v>
      </c>
      <c r="G178">
        <v>357275089</v>
      </c>
      <c r="H178" s="118">
        <v>45982</v>
      </c>
      <c r="I178">
        <v>99.125</v>
      </c>
      <c r="J178">
        <v>99.25</v>
      </c>
      <c r="K178">
        <v>1097844.22</v>
      </c>
      <c r="L178">
        <v>1099198.02</v>
      </c>
      <c r="M178">
        <v>1353.8</v>
      </c>
      <c r="N178">
        <v>0</v>
      </c>
      <c r="P178" t="s">
        <v>823</v>
      </c>
      <c r="Q178" t="s">
        <v>170</v>
      </c>
      <c r="R178">
        <v>533.57000000000005</v>
      </c>
      <c r="S178">
        <v>0</v>
      </c>
      <c r="T178" s="118">
        <v>47704</v>
      </c>
    </row>
    <row r="179" spans="1:20" hidden="1">
      <c r="A179" t="s">
        <v>511</v>
      </c>
      <c r="B179" t="s">
        <v>478</v>
      </c>
      <c r="C179" t="s">
        <v>516</v>
      </c>
      <c r="D179" t="s">
        <v>831</v>
      </c>
      <c r="E179" t="s">
        <v>822</v>
      </c>
      <c r="F179">
        <v>952453.7</v>
      </c>
      <c r="G179">
        <v>359129501</v>
      </c>
      <c r="H179" s="118">
        <v>45995</v>
      </c>
      <c r="I179">
        <v>99.125</v>
      </c>
      <c r="J179">
        <v>99.25</v>
      </c>
      <c r="K179">
        <v>944164.03</v>
      </c>
      <c r="L179">
        <v>945310.3</v>
      </c>
      <c r="M179">
        <v>1146.27</v>
      </c>
      <c r="N179">
        <v>0</v>
      </c>
      <c r="P179" t="s">
        <v>823</v>
      </c>
      <c r="Q179" t="s">
        <v>170</v>
      </c>
      <c r="R179">
        <v>458.87</v>
      </c>
      <c r="S179">
        <v>0</v>
      </c>
      <c r="T179" s="118">
        <v>47704</v>
      </c>
    </row>
    <row r="180" spans="1:20" hidden="1">
      <c r="A180" t="s">
        <v>511</v>
      </c>
      <c r="B180" t="s">
        <v>478</v>
      </c>
      <c r="C180" t="s">
        <v>516</v>
      </c>
      <c r="D180" t="s">
        <v>832</v>
      </c>
      <c r="E180" t="s">
        <v>822</v>
      </c>
      <c r="F180">
        <v>1550506.02</v>
      </c>
      <c r="G180">
        <v>359584672</v>
      </c>
      <c r="H180" s="118">
        <v>46003</v>
      </c>
      <c r="I180">
        <v>99.125</v>
      </c>
      <c r="J180">
        <v>99.25</v>
      </c>
      <c r="K180">
        <v>1536963.44</v>
      </c>
      <c r="L180">
        <v>1538877.22</v>
      </c>
      <c r="M180">
        <v>1913.78</v>
      </c>
      <c r="N180">
        <v>0</v>
      </c>
      <c r="P180" t="s">
        <v>833</v>
      </c>
      <c r="Q180" t="s">
        <v>170</v>
      </c>
      <c r="R180">
        <v>746.99</v>
      </c>
      <c r="S180">
        <v>0</v>
      </c>
      <c r="T180" s="118">
        <v>47704</v>
      </c>
    </row>
    <row r="181" spans="1:20" hidden="1">
      <c r="A181" t="s">
        <v>511</v>
      </c>
      <c r="B181" t="s">
        <v>478</v>
      </c>
      <c r="C181" t="s">
        <v>516</v>
      </c>
      <c r="D181" t="s">
        <v>834</v>
      </c>
      <c r="E181" t="s">
        <v>835</v>
      </c>
      <c r="F181">
        <v>1108600</v>
      </c>
      <c r="G181">
        <v>313180211</v>
      </c>
      <c r="H181" s="118">
        <v>45520</v>
      </c>
      <c r="I181">
        <v>100</v>
      </c>
      <c r="J181">
        <v>100</v>
      </c>
      <c r="K181">
        <v>0</v>
      </c>
      <c r="L181">
        <v>0</v>
      </c>
      <c r="M181">
        <v>0</v>
      </c>
      <c r="N181">
        <v>0</v>
      </c>
      <c r="P181" t="s">
        <v>836</v>
      </c>
      <c r="Q181" t="s">
        <v>170</v>
      </c>
      <c r="R181">
        <v>443.8</v>
      </c>
      <c r="S181">
        <v>0.5</v>
      </c>
      <c r="T181" s="118">
        <v>47346</v>
      </c>
    </row>
    <row r="182" spans="1:20" hidden="1">
      <c r="A182" t="s">
        <v>511</v>
      </c>
      <c r="B182" t="s">
        <v>478</v>
      </c>
      <c r="C182" t="s">
        <v>516</v>
      </c>
      <c r="D182" t="s">
        <v>834</v>
      </c>
      <c r="E182" t="s">
        <v>835</v>
      </c>
      <c r="F182">
        <v>1615384.62</v>
      </c>
      <c r="G182">
        <v>331235537</v>
      </c>
      <c r="H182" s="118">
        <v>45708</v>
      </c>
      <c r="I182">
        <v>100</v>
      </c>
      <c r="J182">
        <v>100</v>
      </c>
      <c r="K182">
        <v>0</v>
      </c>
      <c r="L182">
        <v>0</v>
      </c>
      <c r="M182">
        <v>0</v>
      </c>
      <c r="N182">
        <v>0</v>
      </c>
      <c r="P182" t="s">
        <v>837</v>
      </c>
      <c r="Q182" t="s">
        <v>170</v>
      </c>
      <c r="R182">
        <v>646.67999999999995</v>
      </c>
      <c r="S182">
        <v>0.5</v>
      </c>
      <c r="T182" s="118">
        <v>47346</v>
      </c>
    </row>
    <row r="183" spans="1:20" hidden="1">
      <c r="A183" t="s">
        <v>511</v>
      </c>
      <c r="B183" t="s">
        <v>478</v>
      </c>
      <c r="C183" t="s">
        <v>516</v>
      </c>
      <c r="D183" t="s">
        <v>838</v>
      </c>
      <c r="E183" t="s">
        <v>839</v>
      </c>
      <c r="F183">
        <v>3148400</v>
      </c>
      <c r="G183">
        <v>312707304</v>
      </c>
      <c r="H183" s="118">
        <v>45519</v>
      </c>
      <c r="I183">
        <v>66</v>
      </c>
      <c r="J183">
        <v>96.9</v>
      </c>
      <c r="K183">
        <v>2077944</v>
      </c>
      <c r="L183">
        <v>1980343.6</v>
      </c>
      <c r="M183">
        <v>-97600.4</v>
      </c>
      <c r="N183">
        <v>0</v>
      </c>
      <c r="P183" t="s">
        <v>840</v>
      </c>
      <c r="Q183" t="s">
        <v>170</v>
      </c>
      <c r="R183">
        <v>16409.78</v>
      </c>
      <c r="S183">
        <v>0.5</v>
      </c>
      <c r="T183" s="118">
        <v>47345</v>
      </c>
    </row>
    <row r="184" spans="1:20" hidden="1">
      <c r="A184" t="s">
        <v>511</v>
      </c>
      <c r="B184" t="s">
        <v>478</v>
      </c>
      <c r="C184" t="s">
        <v>516</v>
      </c>
      <c r="D184" t="s">
        <v>841</v>
      </c>
      <c r="E184" t="s">
        <v>842</v>
      </c>
      <c r="F184">
        <v>1303700</v>
      </c>
      <c r="G184">
        <v>314272501</v>
      </c>
      <c r="H184" s="118">
        <v>45532</v>
      </c>
      <c r="I184">
        <v>100</v>
      </c>
      <c r="J184">
        <v>100</v>
      </c>
      <c r="K184">
        <v>1303700</v>
      </c>
      <c r="L184">
        <v>1303700</v>
      </c>
      <c r="M184">
        <v>0</v>
      </c>
      <c r="N184">
        <v>0</v>
      </c>
      <c r="P184" t="s">
        <v>843</v>
      </c>
      <c r="Q184" t="s">
        <v>170</v>
      </c>
      <c r="R184">
        <v>10918.57</v>
      </c>
      <c r="S184">
        <v>0.5</v>
      </c>
      <c r="T184" s="118">
        <v>47358</v>
      </c>
    </row>
    <row r="185" spans="1:20" hidden="1">
      <c r="A185" t="s">
        <v>511</v>
      </c>
      <c r="B185" t="s">
        <v>478</v>
      </c>
      <c r="C185" t="s">
        <v>516</v>
      </c>
      <c r="D185" t="s">
        <v>844</v>
      </c>
      <c r="E185" t="s">
        <v>845</v>
      </c>
      <c r="F185">
        <v>1484676.82</v>
      </c>
      <c r="G185">
        <v>350889733</v>
      </c>
      <c r="H185" s="118">
        <v>45919</v>
      </c>
      <c r="I185">
        <v>99</v>
      </c>
      <c r="J185">
        <v>100</v>
      </c>
      <c r="K185">
        <v>1470837.52</v>
      </c>
      <c r="L185">
        <v>1484676.82</v>
      </c>
      <c r="M185">
        <v>13839.3</v>
      </c>
      <c r="N185">
        <v>0</v>
      </c>
      <c r="P185" t="s">
        <v>846</v>
      </c>
      <c r="Q185" t="s">
        <v>170</v>
      </c>
      <c r="R185">
        <v>12434.25</v>
      </c>
      <c r="S185">
        <v>0</v>
      </c>
      <c r="T185" s="118">
        <v>47358</v>
      </c>
    </row>
    <row r="186" spans="1:20" hidden="1">
      <c r="A186" t="s">
        <v>511</v>
      </c>
      <c r="B186" t="s">
        <v>478</v>
      </c>
      <c r="C186" t="s">
        <v>516</v>
      </c>
      <c r="D186" t="s">
        <v>847</v>
      </c>
      <c r="E186" t="s">
        <v>848</v>
      </c>
      <c r="F186">
        <v>8586050.4299999997</v>
      </c>
      <c r="G186">
        <v>313295909</v>
      </c>
      <c r="H186" s="118">
        <v>45520</v>
      </c>
      <c r="I186">
        <v>98.777100000000004</v>
      </c>
      <c r="J186">
        <v>99.5</v>
      </c>
      <c r="K186">
        <v>8502787.5800000001</v>
      </c>
      <c r="L186">
        <v>8543120.1799999997</v>
      </c>
      <c r="M186">
        <v>40332.6</v>
      </c>
      <c r="N186">
        <v>0</v>
      </c>
      <c r="P186" t="s">
        <v>849</v>
      </c>
      <c r="Q186" t="s">
        <v>170</v>
      </c>
      <c r="R186">
        <v>114480.67</v>
      </c>
      <c r="S186">
        <v>0.5</v>
      </c>
      <c r="T186" s="118">
        <v>47421</v>
      </c>
    </row>
    <row r="187" spans="1:20" hidden="1">
      <c r="A187" t="s">
        <v>511</v>
      </c>
      <c r="B187" t="s">
        <v>478</v>
      </c>
      <c r="C187" t="s">
        <v>516</v>
      </c>
      <c r="D187" t="s">
        <v>850</v>
      </c>
      <c r="E187" t="s">
        <v>851</v>
      </c>
      <c r="F187">
        <v>7271962.1500000004</v>
      </c>
      <c r="G187">
        <v>313298515</v>
      </c>
      <c r="H187" s="118">
        <v>45520</v>
      </c>
      <c r="I187">
        <v>51.869900000000001</v>
      </c>
      <c r="J187">
        <v>99.5</v>
      </c>
      <c r="K187">
        <v>3771962.15</v>
      </c>
      <c r="L187">
        <v>3735602.34</v>
      </c>
      <c r="M187">
        <v>-36359.81</v>
      </c>
      <c r="N187">
        <v>0</v>
      </c>
      <c r="P187" t="s">
        <v>849</v>
      </c>
      <c r="Q187" t="s">
        <v>170</v>
      </c>
      <c r="R187">
        <v>53403.94</v>
      </c>
      <c r="S187">
        <v>1</v>
      </c>
      <c r="T187" s="118">
        <v>47421</v>
      </c>
    </row>
    <row r="188" spans="1:20" hidden="1">
      <c r="A188" t="s">
        <v>511</v>
      </c>
      <c r="B188" t="s">
        <v>478</v>
      </c>
      <c r="C188" t="s">
        <v>516</v>
      </c>
      <c r="D188" t="s">
        <v>852</v>
      </c>
      <c r="E188" t="s">
        <v>853</v>
      </c>
      <c r="F188">
        <v>2681200</v>
      </c>
      <c r="G188">
        <v>315281488</v>
      </c>
      <c r="H188" s="118">
        <v>45538</v>
      </c>
      <c r="I188">
        <v>100</v>
      </c>
      <c r="J188">
        <v>98.25</v>
      </c>
      <c r="K188">
        <v>0</v>
      </c>
      <c r="L188">
        <v>-46921</v>
      </c>
      <c r="M188">
        <v>-46921</v>
      </c>
      <c r="N188">
        <v>0</v>
      </c>
      <c r="P188" t="s">
        <v>854</v>
      </c>
      <c r="Q188" t="s">
        <v>170</v>
      </c>
      <c r="R188">
        <v>1191.6400000000001</v>
      </c>
      <c r="S188">
        <v>0.5</v>
      </c>
      <c r="T188" s="118">
        <v>47729</v>
      </c>
    </row>
    <row r="189" spans="1:20" hidden="1">
      <c r="A189" t="s">
        <v>511</v>
      </c>
      <c r="B189" t="s">
        <v>478</v>
      </c>
      <c r="C189" t="s">
        <v>516</v>
      </c>
      <c r="D189" t="s">
        <v>855</v>
      </c>
      <c r="E189" t="s">
        <v>856</v>
      </c>
      <c r="F189">
        <v>794313.73</v>
      </c>
      <c r="G189">
        <v>315525923</v>
      </c>
      <c r="H189" s="118">
        <v>45548</v>
      </c>
      <c r="I189">
        <v>100</v>
      </c>
      <c r="J189">
        <v>100</v>
      </c>
      <c r="K189">
        <v>0</v>
      </c>
      <c r="L189">
        <v>0</v>
      </c>
      <c r="M189">
        <v>0</v>
      </c>
      <c r="N189">
        <v>0</v>
      </c>
      <c r="P189" t="s">
        <v>857</v>
      </c>
      <c r="Q189" t="s">
        <v>170</v>
      </c>
      <c r="R189">
        <v>353.03</v>
      </c>
      <c r="S189">
        <v>0.5</v>
      </c>
      <c r="T189" s="118">
        <v>47374</v>
      </c>
    </row>
    <row r="190" spans="1:20" hidden="1">
      <c r="A190" t="s">
        <v>511</v>
      </c>
      <c r="B190" t="s">
        <v>478</v>
      </c>
      <c r="C190" t="s">
        <v>516</v>
      </c>
      <c r="D190" t="s">
        <v>858</v>
      </c>
      <c r="E190" t="s">
        <v>859</v>
      </c>
      <c r="F190">
        <v>2486187.85</v>
      </c>
      <c r="G190">
        <v>316462783</v>
      </c>
      <c r="H190" s="118">
        <v>45558</v>
      </c>
      <c r="I190">
        <v>100</v>
      </c>
      <c r="J190">
        <v>100</v>
      </c>
      <c r="K190">
        <v>0</v>
      </c>
      <c r="L190">
        <v>0</v>
      </c>
      <c r="M190">
        <v>0</v>
      </c>
      <c r="N190">
        <v>0</v>
      </c>
      <c r="P190" t="s">
        <v>860</v>
      </c>
      <c r="Q190" t="s">
        <v>170</v>
      </c>
      <c r="R190">
        <v>1104.97</v>
      </c>
      <c r="S190">
        <v>0.5</v>
      </c>
      <c r="T190" s="118">
        <v>47739</v>
      </c>
    </row>
    <row r="191" spans="1:20" hidden="1">
      <c r="A191" t="s">
        <v>511</v>
      </c>
      <c r="B191" t="s">
        <v>478</v>
      </c>
      <c r="C191" t="s">
        <v>516</v>
      </c>
      <c r="D191" t="s">
        <v>861</v>
      </c>
      <c r="E191" t="s">
        <v>862</v>
      </c>
      <c r="F191">
        <v>1383493.79</v>
      </c>
      <c r="G191">
        <v>356250420</v>
      </c>
      <c r="H191" s="118">
        <v>45971</v>
      </c>
      <c r="I191">
        <v>99.25</v>
      </c>
      <c r="J191">
        <v>100</v>
      </c>
      <c r="K191">
        <v>1373741.71</v>
      </c>
      <c r="L191">
        <v>1383493.59</v>
      </c>
      <c r="M191">
        <v>9751.8799999999992</v>
      </c>
      <c r="N191">
        <v>0</v>
      </c>
      <c r="P191" t="s">
        <v>860</v>
      </c>
      <c r="Q191" t="s">
        <v>170</v>
      </c>
      <c r="R191">
        <v>10103.93</v>
      </c>
      <c r="S191">
        <v>0</v>
      </c>
      <c r="T191" s="118">
        <v>47749</v>
      </c>
    </row>
    <row r="192" spans="1:20" hidden="1">
      <c r="A192" t="s">
        <v>511</v>
      </c>
      <c r="B192" t="s">
        <v>478</v>
      </c>
      <c r="C192" t="s">
        <v>516</v>
      </c>
      <c r="D192" t="s">
        <v>863</v>
      </c>
      <c r="E192" t="s">
        <v>862</v>
      </c>
      <c r="F192">
        <v>489946.42</v>
      </c>
      <c r="G192">
        <v>358058393</v>
      </c>
      <c r="H192" s="118">
        <v>45987</v>
      </c>
      <c r="I192">
        <v>99.25</v>
      </c>
      <c r="J192">
        <v>100</v>
      </c>
      <c r="K192">
        <v>486470.55</v>
      </c>
      <c r="L192">
        <v>489946.42</v>
      </c>
      <c r="M192">
        <v>3475.87</v>
      </c>
      <c r="N192">
        <v>0</v>
      </c>
      <c r="P192" t="s">
        <v>860</v>
      </c>
      <c r="Q192" t="s">
        <v>170</v>
      </c>
      <c r="R192">
        <v>3578.18</v>
      </c>
      <c r="S192">
        <v>0</v>
      </c>
      <c r="T192" s="118">
        <v>47749</v>
      </c>
    </row>
    <row r="193" spans="1:20" hidden="1">
      <c r="A193" t="s">
        <v>511</v>
      </c>
      <c r="B193" t="s">
        <v>478</v>
      </c>
      <c r="C193" t="s">
        <v>516</v>
      </c>
      <c r="D193" t="s">
        <v>864</v>
      </c>
      <c r="E193" t="s">
        <v>865</v>
      </c>
      <c r="F193">
        <v>580800</v>
      </c>
      <c r="G193">
        <v>317521979</v>
      </c>
      <c r="H193" s="118">
        <v>45562</v>
      </c>
      <c r="I193">
        <v>100</v>
      </c>
      <c r="J193">
        <v>100</v>
      </c>
      <c r="K193">
        <v>0</v>
      </c>
      <c r="L193">
        <v>0</v>
      </c>
      <c r="M193">
        <v>0</v>
      </c>
      <c r="N193">
        <v>0</v>
      </c>
      <c r="P193" t="s">
        <v>866</v>
      </c>
      <c r="Q193" t="s">
        <v>170</v>
      </c>
      <c r="R193">
        <v>258.13</v>
      </c>
      <c r="S193">
        <v>0.5</v>
      </c>
      <c r="T193" s="118">
        <v>47753</v>
      </c>
    </row>
    <row r="194" spans="1:20" hidden="1">
      <c r="A194" t="s">
        <v>511</v>
      </c>
      <c r="B194" t="s">
        <v>478</v>
      </c>
      <c r="C194" t="s">
        <v>516</v>
      </c>
      <c r="D194" t="s">
        <v>867</v>
      </c>
      <c r="E194" t="s">
        <v>868</v>
      </c>
      <c r="F194">
        <v>2560950.94</v>
      </c>
      <c r="G194">
        <v>317554385</v>
      </c>
      <c r="H194" s="118">
        <v>45565</v>
      </c>
      <c r="I194">
        <v>100</v>
      </c>
      <c r="J194">
        <v>100</v>
      </c>
      <c r="K194">
        <v>0</v>
      </c>
      <c r="L194">
        <v>0</v>
      </c>
      <c r="M194">
        <v>0</v>
      </c>
      <c r="N194">
        <v>0</v>
      </c>
      <c r="P194" t="s">
        <v>869</v>
      </c>
      <c r="Q194" t="s">
        <v>170</v>
      </c>
      <c r="R194">
        <v>1102.6300000000001</v>
      </c>
      <c r="S194">
        <v>0.5</v>
      </c>
      <c r="T194" s="118">
        <v>47756</v>
      </c>
    </row>
    <row r="195" spans="1:20" hidden="1">
      <c r="A195" t="s">
        <v>511</v>
      </c>
      <c r="B195" t="s">
        <v>478</v>
      </c>
      <c r="C195" t="s">
        <v>516</v>
      </c>
      <c r="D195" t="s">
        <v>870</v>
      </c>
      <c r="E195" t="s">
        <v>871</v>
      </c>
      <c r="F195">
        <v>1782532.43</v>
      </c>
      <c r="G195">
        <v>345883498</v>
      </c>
      <c r="H195" s="118">
        <v>45863</v>
      </c>
      <c r="I195">
        <v>99.125</v>
      </c>
      <c r="J195">
        <v>98.75</v>
      </c>
      <c r="K195">
        <v>1767797.05</v>
      </c>
      <c r="L195">
        <v>1760250.77</v>
      </c>
      <c r="M195">
        <v>-7546.28</v>
      </c>
      <c r="N195">
        <v>0</v>
      </c>
      <c r="P195" t="s">
        <v>743</v>
      </c>
      <c r="Q195" t="s">
        <v>170</v>
      </c>
      <c r="R195">
        <v>14136.58</v>
      </c>
      <c r="S195">
        <v>0.5</v>
      </c>
      <c r="T195" s="118">
        <v>47704</v>
      </c>
    </row>
    <row r="196" spans="1:20" hidden="1">
      <c r="A196" t="s">
        <v>511</v>
      </c>
      <c r="B196" t="s">
        <v>478</v>
      </c>
      <c r="C196" t="s">
        <v>516</v>
      </c>
      <c r="D196" t="s">
        <v>872</v>
      </c>
      <c r="E196" t="s">
        <v>742</v>
      </c>
      <c r="F196">
        <v>699800.73</v>
      </c>
      <c r="G196">
        <v>317050808</v>
      </c>
      <c r="H196" s="118">
        <v>45565</v>
      </c>
      <c r="I196">
        <v>30.005700000000001</v>
      </c>
      <c r="J196">
        <v>98.75</v>
      </c>
      <c r="K196">
        <v>209980.11</v>
      </c>
      <c r="L196">
        <v>201232.6</v>
      </c>
      <c r="M196">
        <v>-8747.51</v>
      </c>
      <c r="N196">
        <v>0</v>
      </c>
      <c r="P196" t="s">
        <v>743</v>
      </c>
      <c r="Q196" t="s">
        <v>170</v>
      </c>
      <c r="R196">
        <v>321.72000000000003</v>
      </c>
      <c r="S196">
        <v>0.5</v>
      </c>
      <c r="T196" s="118">
        <v>47481</v>
      </c>
    </row>
    <row r="197" spans="1:20" hidden="1">
      <c r="A197" t="s">
        <v>511</v>
      </c>
      <c r="B197" t="s">
        <v>478</v>
      </c>
      <c r="C197" t="s">
        <v>516</v>
      </c>
      <c r="D197" t="s">
        <v>873</v>
      </c>
      <c r="E197" t="s">
        <v>874</v>
      </c>
      <c r="F197">
        <v>1887309.11</v>
      </c>
      <c r="G197">
        <v>318675665</v>
      </c>
      <c r="H197" s="118">
        <v>45566</v>
      </c>
      <c r="I197">
        <v>58</v>
      </c>
      <c r="J197">
        <v>98.3</v>
      </c>
      <c r="K197">
        <v>1094639.29</v>
      </c>
      <c r="L197">
        <v>1062555.04</v>
      </c>
      <c r="M197">
        <v>-32084.25</v>
      </c>
      <c r="N197">
        <v>0</v>
      </c>
      <c r="P197" t="s">
        <v>875</v>
      </c>
      <c r="Q197" t="s">
        <v>170</v>
      </c>
      <c r="R197">
        <v>8106.52</v>
      </c>
      <c r="S197">
        <v>0.5</v>
      </c>
      <c r="T197" s="118">
        <v>47392</v>
      </c>
    </row>
    <row r="198" spans="1:20" hidden="1">
      <c r="A198" t="s">
        <v>511</v>
      </c>
      <c r="B198" t="s">
        <v>478</v>
      </c>
      <c r="C198" t="s">
        <v>516</v>
      </c>
      <c r="D198" t="s">
        <v>876</v>
      </c>
      <c r="E198" t="s">
        <v>877</v>
      </c>
      <c r="F198">
        <v>849813.27</v>
      </c>
      <c r="G198">
        <v>351905578</v>
      </c>
      <c r="H198" s="118">
        <v>45926</v>
      </c>
      <c r="I198">
        <v>99.125</v>
      </c>
      <c r="J198">
        <v>98.3</v>
      </c>
      <c r="K198">
        <v>842858.6</v>
      </c>
      <c r="L198">
        <v>835366.44</v>
      </c>
      <c r="M198">
        <v>-7492.16</v>
      </c>
      <c r="N198">
        <v>0</v>
      </c>
      <c r="P198" t="s">
        <v>878</v>
      </c>
      <c r="Q198" t="s">
        <v>170</v>
      </c>
      <c r="R198">
        <v>6869.87</v>
      </c>
      <c r="S198">
        <v>0</v>
      </c>
      <c r="T198" s="118">
        <v>47392</v>
      </c>
    </row>
    <row r="199" spans="1:20" hidden="1">
      <c r="A199" t="s">
        <v>511</v>
      </c>
      <c r="B199" t="s">
        <v>478</v>
      </c>
      <c r="C199" t="s">
        <v>516</v>
      </c>
      <c r="D199" t="s">
        <v>879</v>
      </c>
      <c r="E199" t="s">
        <v>880</v>
      </c>
      <c r="F199">
        <v>640830.03</v>
      </c>
      <c r="G199">
        <v>319147728</v>
      </c>
      <c r="H199" s="118">
        <v>45583</v>
      </c>
      <c r="I199">
        <v>100</v>
      </c>
      <c r="J199">
        <v>100</v>
      </c>
      <c r="K199">
        <v>0</v>
      </c>
      <c r="L199">
        <v>0</v>
      </c>
      <c r="M199">
        <v>0</v>
      </c>
      <c r="N199">
        <v>0</v>
      </c>
      <c r="P199" t="s">
        <v>881</v>
      </c>
      <c r="Q199" t="s">
        <v>170</v>
      </c>
      <c r="R199">
        <v>275.91000000000003</v>
      </c>
      <c r="S199">
        <v>0.5</v>
      </c>
      <c r="T199" s="118">
        <v>46678</v>
      </c>
    </row>
    <row r="200" spans="1:20" hidden="1">
      <c r="A200" t="s">
        <v>511</v>
      </c>
      <c r="B200" t="s">
        <v>478</v>
      </c>
      <c r="C200" t="s">
        <v>516</v>
      </c>
      <c r="D200" t="s">
        <v>882</v>
      </c>
      <c r="E200" t="s">
        <v>883</v>
      </c>
      <c r="F200">
        <v>2183591.4700000002</v>
      </c>
      <c r="G200">
        <v>319147700</v>
      </c>
      <c r="H200" s="118">
        <v>45583</v>
      </c>
      <c r="I200">
        <v>29.947500000000002</v>
      </c>
      <c r="J200">
        <v>100</v>
      </c>
      <c r="K200">
        <v>653930.19999999995</v>
      </c>
      <c r="L200">
        <v>653930.19999999995</v>
      </c>
      <c r="M200">
        <v>0</v>
      </c>
      <c r="N200">
        <v>0</v>
      </c>
      <c r="P200" t="s">
        <v>884</v>
      </c>
      <c r="Q200" t="s">
        <v>170</v>
      </c>
      <c r="R200">
        <v>6383.63</v>
      </c>
      <c r="S200">
        <v>1</v>
      </c>
      <c r="T200" s="118">
        <v>46678</v>
      </c>
    </row>
    <row r="201" spans="1:20" hidden="1">
      <c r="A201" t="s">
        <v>511</v>
      </c>
      <c r="B201" t="s">
        <v>478</v>
      </c>
      <c r="C201" t="s">
        <v>516</v>
      </c>
      <c r="D201" t="s">
        <v>885</v>
      </c>
      <c r="E201" t="s">
        <v>886</v>
      </c>
      <c r="F201">
        <v>247500</v>
      </c>
      <c r="G201">
        <v>318694838</v>
      </c>
      <c r="H201" s="118">
        <v>45574</v>
      </c>
      <c r="I201">
        <v>99</v>
      </c>
      <c r="J201">
        <v>100</v>
      </c>
      <c r="K201">
        <v>246113.27</v>
      </c>
      <c r="L201">
        <v>247500</v>
      </c>
      <c r="M201">
        <v>1386.73</v>
      </c>
      <c r="N201">
        <v>0</v>
      </c>
      <c r="P201" t="s">
        <v>887</v>
      </c>
      <c r="Q201" t="s">
        <v>170</v>
      </c>
      <c r="R201">
        <v>1487.92</v>
      </c>
      <c r="S201">
        <v>0</v>
      </c>
      <c r="T201" s="118">
        <v>46582</v>
      </c>
    </row>
    <row r="202" spans="1:20" hidden="1">
      <c r="A202" t="s">
        <v>511</v>
      </c>
      <c r="B202" t="s">
        <v>478</v>
      </c>
      <c r="C202" t="s">
        <v>516</v>
      </c>
      <c r="D202" t="s">
        <v>888</v>
      </c>
      <c r="E202" t="s">
        <v>889</v>
      </c>
      <c r="F202">
        <v>36679.69</v>
      </c>
      <c r="G202">
        <v>329075458</v>
      </c>
      <c r="H202" s="118">
        <v>45666</v>
      </c>
      <c r="I202">
        <v>81.5</v>
      </c>
      <c r="J202">
        <v>100</v>
      </c>
      <c r="K202">
        <v>32379.919999999998</v>
      </c>
      <c r="L202">
        <v>36679.69</v>
      </c>
      <c r="M202">
        <v>4299.7700000000004</v>
      </c>
      <c r="N202">
        <v>0</v>
      </c>
      <c r="P202" t="s">
        <v>890</v>
      </c>
      <c r="Q202" t="s">
        <v>170</v>
      </c>
      <c r="R202">
        <v>220.51</v>
      </c>
      <c r="S202">
        <v>0</v>
      </c>
      <c r="T202" s="118">
        <v>46581</v>
      </c>
    </row>
    <row r="203" spans="1:20" hidden="1">
      <c r="A203" t="s">
        <v>511</v>
      </c>
      <c r="B203" t="s">
        <v>478</v>
      </c>
      <c r="C203" t="s">
        <v>516</v>
      </c>
      <c r="D203" t="s">
        <v>888</v>
      </c>
      <c r="E203" t="s">
        <v>889</v>
      </c>
      <c r="F203">
        <v>36812.26</v>
      </c>
      <c r="G203">
        <v>345571374</v>
      </c>
      <c r="H203" s="118">
        <v>45847</v>
      </c>
      <c r="I203">
        <v>81.5</v>
      </c>
      <c r="J203">
        <v>100</v>
      </c>
      <c r="K203">
        <v>31622.37</v>
      </c>
      <c r="L203">
        <v>36812.26</v>
      </c>
      <c r="M203">
        <v>5189.8900000000003</v>
      </c>
      <c r="N203">
        <v>0</v>
      </c>
      <c r="P203" t="s">
        <v>891</v>
      </c>
      <c r="Q203" t="s">
        <v>170</v>
      </c>
      <c r="R203">
        <v>221.31</v>
      </c>
      <c r="S203">
        <v>0</v>
      </c>
      <c r="T203" s="118">
        <v>46581</v>
      </c>
    </row>
    <row r="204" spans="1:20" hidden="1">
      <c r="A204" t="s">
        <v>511</v>
      </c>
      <c r="B204" t="s">
        <v>478</v>
      </c>
      <c r="C204" t="s">
        <v>516</v>
      </c>
      <c r="D204" t="s">
        <v>888</v>
      </c>
      <c r="E204" t="s">
        <v>889</v>
      </c>
      <c r="F204">
        <v>36945.65</v>
      </c>
      <c r="G204">
        <v>354714988</v>
      </c>
      <c r="H204" s="118">
        <v>45939</v>
      </c>
      <c r="I204">
        <v>81.5</v>
      </c>
      <c r="J204">
        <v>100</v>
      </c>
      <c r="K204">
        <v>31141.54</v>
      </c>
      <c r="L204">
        <v>36945.65</v>
      </c>
      <c r="M204">
        <v>5804.11</v>
      </c>
      <c r="N204">
        <v>0</v>
      </c>
      <c r="P204" t="s">
        <v>892</v>
      </c>
      <c r="Q204" t="s">
        <v>170</v>
      </c>
      <c r="R204">
        <v>222.11</v>
      </c>
      <c r="S204">
        <v>0</v>
      </c>
      <c r="T204" s="118">
        <v>46581</v>
      </c>
    </row>
    <row r="205" spans="1:20" hidden="1">
      <c r="A205" t="s">
        <v>511</v>
      </c>
      <c r="B205" t="s">
        <v>478</v>
      </c>
      <c r="C205" t="s">
        <v>516</v>
      </c>
      <c r="D205" t="s">
        <v>888</v>
      </c>
      <c r="E205" t="s">
        <v>889</v>
      </c>
      <c r="F205">
        <v>37079.879999999997</v>
      </c>
      <c r="G205">
        <v>363039127</v>
      </c>
      <c r="H205" s="118">
        <v>46031</v>
      </c>
      <c r="I205">
        <v>81.5</v>
      </c>
      <c r="J205">
        <v>100</v>
      </c>
      <c r="K205">
        <v>30470.73</v>
      </c>
      <c r="L205">
        <v>37079.879999999997</v>
      </c>
      <c r="M205">
        <v>6609.15</v>
      </c>
      <c r="N205">
        <v>0</v>
      </c>
      <c r="P205" t="s">
        <v>893</v>
      </c>
      <c r="Q205" t="s">
        <v>170</v>
      </c>
      <c r="R205">
        <v>222.92</v>
      </c>
      <c r="S205">
        <v>0</v>
      </c>
      <c r="T205" s="118">
        <v>46581</v>
      </c>
    </row>
    <row r="206" spans="1:20" hidden="1">
      <c r="A206" t="s">
        <v>511</v>
      </c>
      <c r="B206" t="s">
        <v>478</v>
      </c>
      <c r="C206" t="s">
        <v>516</v>
      </c>
      <c r="D206" t="s">
        <v>894</v>
      </c>
      <c r="E206" t="s">
        <v>895</v>
      </c>
      <c r="F206">
        <v>1327600</v>
      </c>
      <c r="G206">
        <v>319971238</v>
      </c>
      <c r="H206" s="118">
        <v>45596</v>
      </c>
      <c r="I206">
        <v>25.373699999999999</v>
      </c>
      <c r="J206">
        <v>100</v>
      </c>
      <c r="K206">
        <v>336861.51</v>
      </c>
      <c r="L206">
        <v>336861.51</v>
      </c>
      <c r="M206">
        <v>0</v>
      </c>
      <c r="N206">
        <v>0</v>
      </c>
      <c r="P206" t="s">
        <v>896</v>
      </c>
      <c r="Q206" t="s">
        <v>170</v>
      </c>
      <c r="R206">
        <v>1005.1</v>
      </c>
      <c r="S206">
        <v>0.5</v>
      </c>
      <c r="T206" s="118">
        <v>47787</v>
      </c>
    </row>
    <row r="207" spans="1:20" hidden="1">
      <c r="A207" t="s">
        <v>511</v>
      </c>
      <c r="B207" t="s">
        <v>478</v>
      </c>
      <c r="C207" t="s">
        <v>516</v>
      </c>
      <c r="D207" t="s">
        <v>897</v>
      </c>
      <c r="E207" t="s">
        <v>898</v>
      </c>
      <c r="F207">
        <v>1929300</v>
      </c>
      <c r="G207">
        <v>321176908</v>
      </c>
      <c r="H207" s="118">
        <v>45603</v>
      </c>
      <c r="I207">
        <v>100</v>
      </c>
      <c r="J207">
        <v>99.25</v>
      </c>
      <c r="K207">
        <v>0</v>
      </c>
      <c r="L207">
        <v>-14469.75</v>
      </c>
      <c r="M207">
        <v>-14469.75</v>
      </c>
      <c r="N207">
        <v>0</v>
      </c>
      <c r="P207" t="s">
        <v>899</v>
      </c>
      <c r="Q207" t="s">
        <v>170</v>
      </c>
      <c r="R207">
        <v>803.88</v>
      </c>
      <c r="S207">
        <v>0.5</v>
      </c>
      <c r="T207" s="118">
        <v>47430</v>
      </c>
    </row>
    <row r="208" spans="1:20" hidden="1">
      <c r="A208" t="s">
        <v>511</v>
      </c>
      <c r="B208" t="s">
        <v>478</v>
      </c>
      <c r="C208" t="s">
        <v>516</v>
      </c>
      <c r="D208" t="s">
        <v>900</v>
      </c>
      <c r="E208" t="s">
        <v>901</v>
      </c>
      <c r="F208">
        <v>3005400</v>
      </c>
      <c r="G208">
        <v>321650140</v>
      </c>
      <c r="H208" s="118">
        <v>45616</v>
      </c>
      <c r="I208">
        <v>100</v>
      </c>
      <c r="J208">
        <v>100</v>
      </c>
      <c r="K208">
        <v>0</v>
      </c>
      <c r="L208">
        <v>0</v>
      </c>
      <c r="M208">
        <v>0</v>
      </c>
      <c r="N208">
        <v>0</v>
      </c>
      <c r="P208" t="s">
        <v>902</v>
      </c>
      <c r="Q208" t="s">
        <v>170</v>
      </c>
      <c r="R208">
        <v>1335.73</v>
      </c>
      <c r="S208">
        <v>0.5</v>
      </c>
      <c r="T208" s="118">
        <v>47807</v>
      </c>
    </row>
    <row r="209" spans="1:20" hidden="1">
      <c r="A209" t="s">
        <v>511</v>
      </c>
      <c r="B209" t="s">
        <v>478</v>
      </c>
      <c r="C209" t="s">
        <v>516</v>
      </c>
      <c r="D209" t="s">
        <v>903</v>
      </c>
      <c r="E209" t="s">
        <v>904</v>
      </c>
      <c r="F209">
        <v>2177200</v>
      </c>
      <c r="G209">
        <v>326335291</v>
      </c>
      <c r="H209" s="118">
        <v>45645</v>
      </c>
      <c r="I209">
        <v>31.8</v>
      </c>
      <c r="J209">
        <v>100</v>
      </c>
      <c r="K209">
        <v>692349.6</v>
      </c>
      <c r="L209">
        <v>692349.6</v>
      </c>
      <c r="M209">
        <v>0</v>
      </c>
      <c r="N209">
        <v>0</v>
      </c>
      <c r="P209" t="s">
        <v>905</v>
      </c>
      <c r="Q209" t="s">
        <v>170</v>
      </c>
      <c r="R209">
        <v>9821.17</v>
      </c>
      <c r="S209">
        <v>0.5</v>
      </c>
      <c r="T209" s="118">
        <v>47836</v>
      </c>
    </row>
    <row r="210" spans="1:20" hidden="1">
      <c r="A210" t="s">
        <v>511</v>
      </c>
      <c r="B210" t="s">
        <v>478</v>
      </c>
      <c r="C210" t="s">
        <v>516</v>
      </c>
      <c r="D210" t="s">
        <v>906</v>
      </c>
      <c r="E210" t="s">
        <v>907</v>
      </c>
      <c r="F210">
        <v>2006163.21</v>
      </c>
      <c r="G210">
        <v>325205354</v>
      </c>
      <c r="H210" s="118">
        <v>45628</v>
      </c>
      <c r="I210">
        <v>100</v>
      </c>
      <c r="J210">
        <v>100</v>
      </c>
      <c r="K210">
        <v>2006163.21</v>
      </c>
      <c r="L210">
        <v>2006163.21</v>
      </c>
      <c r="M210">
        <v>0</v>
      </c>
      <c r="N210">
        <v>0</v>
      </c>
      <c r="P210" t="s">
        <v>592</v>
      </c>
      <c r="Q210" t="s">
        <v>170</v>
      </c>
      <c r="R210">
        <v>938.65</v>
      </c>
      <c r="S210">
        <v>1</v>
      </c>
      <c r="T210" s="118">
        <v>46445</v>
      </c>
    </row>
    <row r="211" spans="1:20" hidden="1">
      <c r="A211" t="s">
        <v>511</v>
      </c>
      <c r="B211" t="s">
        <v>478</v>
      </c>
      <c r="C211" t="s">
        <v>516</v>
      </c>
      <c r="D211" t="s">
        <v>908</v>
      </c>
      <c r="E211" t="s">
        <v>909</v>
      </c>
      <c r="F211">
        <v>923100</v>
      </c>
      <c r="G211">
        <v>326776034</v>
      </c>
      <c r="H211" s="118">
        <v>45657</v>
      </c>
      <c r="I211">
        <v>100</v>
      </c>
      <c r="J211">
        <v>101</v>
      </c>
      <c r="K211">
        <v>0</v>
      </c>
      <c r="L211">
        <v>9231</v>
      </c>
      <c r="M211">
        <v>9231</v>
      </c>
      <c r="N211">
        <v>0</v>
      </c>
      <c r="P211" t="s">
        <v>910</v>
      </c>
      <c r="Q211" t="s">
        <v>170</v>
      </c>
      <c r="R211">
        <v>410.27</v>
      </c>
      <c r="S211">
        <v>0.5</v>
      </c>
      <c r="T211" s="118">
        <v>47848</v>
      </c>
    </row>
    <row r="212" spans="1:20" hidden="1">
      <c r="A212" t="s">
        <v>511</v>
      </c>
      <c r="B212" t="s">
        <v>478</v>
      </c>
      <c r="C212" t="s">
        <v>516</v>
      </c>
      <c r="D212" t="s">
        <v>911</v>
      </c>
      <c r="E212" t="s">
        <v>912</v>
      </c>
      <c r="F212">
        <v>2375400</v>
      </c>
      <c r="G212">
        <v>325790742</v>
      </c>
      <c r="H212" s="118">
        <v>45643</v>
      </c>
      <c r="I212">
        <v>34</v>
      </c>
      <c r="J212">
        <v>100</v>
      </c>
      <c r="K212">
        <v>807636</v>
      </c>
      <c r="L212">
        <v>807636</v>
      </c>
      <c r="M212">
        <v>0</v>
      </c>
      <c r="N212">
        <v>0</v>
      </c>
      <c r="P212" t="s">
        <v>913</v>
      </c>
      <c r="Q212" t="s">
        <v>170</v>
      </c>
      <c r="R212">
        <v>1398.97</v>
      </c>
      <c r="S212">
        <v>0.5</v>
      </c>
      <c r="T212" s="118">
        <v>47834</v>
      </c>
    </row>
    <row r="213" spans="1:20" hidden="1">
      <c r="A213" t="s">
        <v>511</v>
      </c>
      <c r="B213" t="s">
        <v>478</v>
      </c>
      <c r="C213" t="s">
        <v>516</v>
      </c>
      <c r="D213" t="s">
        <v>914</v>
      </c>
      <c r="E213" t="s">
        <v>915</v>
      </c>
      <c r="F213">
        <v>1900300</v>
      </c>
      <c r="G213">
        <v>325790739</v>
      </c>
      <c r="H213" s="118">
        <v>45643</v>
      </c>
      <c r="I213">
        <v>100</v>
      </c>
      <c r="J213">
        <v>100</v>
      </c>
      <c r="K213">
        <v>0</v>
      </c>
      <c r="L213">
        <v>0</v>
      </c>
      <c r="M213">
        <v>0</v>
      </c>
      <c r="N213">
        <v>0</v>
      </c>
      <c r="P213" t="s">
        <v>913</v>
      </c>
      <c r="Q213" t="s">
        <v>170</v>
      </c>
      <c r="R213">
        <v>1583.58</v>
      </c>
      <c r="S213">
        <v>1</v>
      </c>
      <c r="T213" s="118">
        <v>47834</v>
      </c>
    </row>
    <row r="214" spans="1:20" hidden="1">
      <c r="A214" t="s">
        <v>511</v>
      </c>
      <c r="B214" t="s">
        <v>478</v>
      </c>
      <c r="C214" t="s">
        <v>516</v>
      </c>
      <c r="D214" t="s">
        <v>916</v>
      </c>
      <c r="E214" t="s">
        <v>917</v>
      </c>
      <c r="F214">
        <v>1355100</v>
      </c>
      <c r="G214">
        <v>326064820</v>
      </c>
      <c r="H214" s="118">
        <v>45646</v>
      </c>
      <c r="I214">
        <v>53</v>
      </c>
      <c r="J214">
        <v>95.4</v>
      </c>
      <c r="K214">
        <v>718203</v>
      </c>
      <c r="L214">
        <v>655868.4</v>
      </c>
      <c r="M214">
        <v>-62334.6</v>
      </c>
      <c r="N214">
        <v>0</v>
      </c>
      <c r="P214" t="s">
        <v>918</v>
      </c>
      <c r="Q214" t="s">
        <v>170</v>
      </c>
      <c r="R214">
        <v>6109.4</v>
      </c>
      <c r="S214">
        <v>0.5</v>
      </c>
      <c r="T214" s="118">
        <v>47472</v>
      </c>
    </row>
    <row r="215" spans="1:20" hidden="1">
      <c r="A215" t="s">
        <v>511</v>
      </c>
      <c r="B215" t="s">
        <v>478</v>
      </c>
      <c r="C215" t="s">
        <v>516</v>
      </c>
      <c r="D215" t="s">
        <v>919</v>
      </c>
      <c r="E215" t="s">
        <v>920</v>
      </c>
      <c r="F215">
        <v>1306400</v>
      </c>
      <c r="G215">
        <v>326659393</v>
      </c>
      <c r="H215" s="118">
        <v>45653</v>
      </c>
      <c r="I215">
        <v>100</v>
      </c>
      <c r="J215">
        <v>100</v>
      </c>
      <c r="K215">
        <v>0</v>
      </c>
      <c r="L215">
        <v>0</v>
      </c>
      <c r="M215">
        <v>0</v>
      </c>
      <c r="N215">
        <v>0</v>
      </c>
      <c r="P215" t="s">
        <v>921</v>
      </c>
      <c r="Q215" t="s">
        <v>170</v>
      </c>
      <c r="R215">
        <v>580.62</v>
      </c>
      <c r="S215">
        <v>0.5</v>
      </c>
      <c r="T215" s="118">
        <v>47844</v>
      </c>
    </row>
    <row r="216" spans="1:20" hidden="1">
      <c r="A216" t="s">
        <v>511</v>
      </c>
      <c r="B216" t="s">
        <v>478</v>
      </c>
      <c r="C216" t="s">
        <v>516</v>
      </c>
      <c r="D216" t="s">
        <v>922</v>
      </c>
      <c r="E216" t="s">
        <v>923</v>
      </c>
      <c r="F216">
        <v>1300300</v>
      </c>
      <c r="G216">
        <v>325772931</v>
      </c>
      <c r="H216" s="118">
        <v>45643</v>
      </c>
      <c r="I216">
        <v>100</v>
      </c>
      <c r="J216">
        <v>100</v>
      </c>
      <c r="K216">
        <v>0</v>
      </c>
      <c r="L216">
        <v>0</v>
      </c>
      <c r="M216">
        <v>0</v>
      </c>
      <c r="N216">
        <v>0</v>
      </c>
      <c r="P216" t="s">
        <v>924</v>
      </c>
      <c r="Q216" t="s">
        <v>170</v>
      </c>
      <c r="R216">
        <v>577.91</v>
      </c>
      <c r="S216">
        <v>0.5</v>
      </c>
      <c r="T216" s="118">
        <v>47469</v>
      </c>
    </row>
    <row r="217" spans="1:20" hidden="1">
      <c r="A217" t="s">
        <v>511</v>
      </c>
      <c r="B217" t="s">
        <v>478</v>
      </c>
      <c r="C217" t="s">
        <v>516</v>
      </c>
      <c r="D217" t="s">
        <v>925</v>
      </c>
      <c r="E217" t="s">
        <v>926</v>
      </c>
      <c r="F217">
        <v>558269.68999999994</v>
      </c>
      <c r="G217">
        <v>361394752</v>
      </c>
      <c r="H217" s="118">
        <v>46021</v>
      </c>
      <c r="I217">
        <v>99</v>
      </c>
      <c r="J217">
        <v>101</v>
      </c>
      <c r="K217">
        <v>552714.92000000004</v>
      </c>
      <c r="L217">
        <v>563852.39</v>
      </c>
      <c r="M217">
        <v>11137.47</v>
      </c>
      <c r="N217">
        <v>0</v>
      </c>
      <c r="P217" t="s">
        <v>927</v>
      </c>
      <c r="Q217" t="s">
        <v>170</v>
      </c>
      <c r="R217">
        <v>284.47000000000003</v>
      </c>
      <c r="S217">
        <v>0</v>
      </c>
      <c r="T217" s="118">
        <v>47469</v>
      </c>
    </row>
    <row r="218" spans="1:20" hidden="1">
      <c r="A218" t="s">
        <v>511</v>
      </c>
      <c r="B218" t="s">
        <v>478</v>
      </c>
      <c r="C218" t="s">
        <v>516</v>
      </c>
      <c r="D218" t="s">
        <v>928</v>
      </c>
      <c r="E218" t="s">
        <v>926</v>
      </c>
      <c r="F218">
        <v>1924701.2</v>
      </c>
      <c r="G218">
        <v>361527414</v>
      </c>
      <c r="H218" s="118">
        <v>46022</v>
      </c>
      <c r="I218">
        <v>99</v>
      </c>
      <c r="J218">
        <v>101</v>
      </c>
      <c r="K218">
        <v>1905547.33</v>
      </c>
      <c r="L218">
        <v>1943948.21</v>
      </c>
      <c r="M218">
        <v>38400.879999999997</v>
      </c>
      <c r="N218">
        <v>0</v>
      </c>
      <c r="P218" t="s">
        <v>927</v>
      </c>
      <c r="Q218" t="s">
        <v>170</v>
      </c>
      <c r="R218">
        <v>980.73</v>
      </c>
      <c r="S218">
        <v>0</v>
      </c>
      <c r="T218" s="118">
        <v>47469</v>
      </c>
    </row>
    <row r="219" spans="1:20" hidden="1">
      <c r="A219" t="s">
        <v>511</v>
      </c>
      <c r="B219" t="s">
        <v>478</v>
      </c>
      <c r="C219" t="s">
        <v>516</v>
      </c>
      <c r="D219" t="s">
        <v>929</v>
      </c>
      <c r="E219" t="s">
        <v>930</v>
      </c>
      <c r="F219">
        <v>4193100</v>
      </c>
      <c r="G219">
        <v>328564911</v>
      </c>
      <c r="H219" s="118">
        <v>45673</v>
      </c>
      <c r="I219">
        <v>15</v>
      </c>
      <c r="J219">
        <v>100</v>
      </c>
      <c r="K219">
        <v>628965</v>
      </c>
      <c r="L219">
        <v>628965</v>
      </c>
      <c r="M219">
        <v>0</v>
      </c>
      <c r="N219">
        <v>0</v>
      </c>
      <c r="P219" t="s">
        <v>931</v>
      </c>
      <c r="Q219" t="s">
        <v>170</v>
      </c>
      <c r="R219">
        <v>6021.8</v>
      </c>
      <c r="S219">
        <v>0.5</v>
      </c>
      <c r="T219" s="118">
        <v>47864</v>
      </c>
    </row>
    <row r="220" spans="1:20" hidden="1">
      <c r="A220" t="s">
        <v>511</v>
      </c>
      <c r="B220" t="s">
        <v>478</v>
      </c>
      <c r="C220" t="s">
        <v>516</v>
      </c>
      <c r="D220" t="s">
        <v>932</v>
      </c>
      <c r="E220" t="s">
        <v>933</v>
      </c>
      <c r="F220">
        <v>9372500</v>
      </c>
      <c r="G220">
        <v>330416270</v>
      </c>
      <c r="H220" s="118">
        <v>45695</v>
      </c>
      <c r="I220">
        <v>99</v>
      </c>
      <c r="J220">
        <v>100</v>
      </c>
      <c r="K220">
        <v>9289259.9399999995</v>
      </c>
      <c r="L220">
        <v>9372500</v>
      </c>
      <c r="M220">
        <v>83240.06</v>
      </c>
      <c r="N220">
        <v>0</v>
      </c>
      <c r="P220" t="s">
        <v>934</v>
      </c>
      <c r="Q220" t="s">
        <v>170</v>
      </c>
      <c r="R220">
        <v>5036.12</v>
      </c>
      <c r="S220">
        <v>0</v>
      </c>
      <c r="T220" s="118">
        <v>47337</v>
      </c>
    </row>
    <row r="221" spans="1:20" hidden="1">
      <c r="A221" t="s">
        <v>511</v>
      </c>
      <c r="B221" t="s">
        <v>478</v>
      </c>
      <c r="C221" t="s">
        <v>516</v>
      </c>
      <c r="D221" t="s">
        <v>935</v>
      </c>
      <c r="E221" t="s">
        <v>936</v>
      </c>
      <c r="F221">
        <v>2690246.75</v>
      </c>
      <c r="G221">
        <v>330416284</v>
      </c>
      <c r="H221" s="118">
        <v>45695</v>
      </c>
      <c r="I221">
        <v>40.110799999999998</v>
      </c>
      <c r="J221">
        <v>100</v>
      </c>
      <c r="K221">
        <v>1079080</v>
      </c>
      <c r="L221">
        <v>1079080</v>
      </c>
      <c r="M221">
        <v>0</v>
      </c>
      <c r="N221">
        <v>0</v>
      </c>
      <c r="P221" t="s">
        <v>654</v>
      </c>
      <c r="Q221" t="s">
        <v>170</v>
      </c>
      <c r="R221">
        <v>4121</v>
      </c>
      <c r="S221">
        <v>0.5</v>
      </c>
      <c r="T221" s="118">
        <v>47337</v>
      </c>
    </row>
    <row r="222" spans="1:20" hidden="1">
      <c r="A222" t="s">
        <v>511</v>
      </c>
      <c r="B222" t="s">
        <v>478</v>
      </c>
      <c r="C222" t="s">
        <v>516</v>
      </c>
      <c r="D222" t="s">
        <v>937</v>
      </c>
      <c r="E222" t="s">
        <v>938</v>
      </c>
      <c r="F222">
        <v>7453.24</v>
      </c>
      <c r="G222">
        <v>352814764</v>
      </c>
      <c r="H222" s="118">
        <v>45930</v>
      </c>
      <c r="I222">
        <v>100</v>
      </c>
      <c r="J222">
        <v>100</v>
      </c>
      <c r="K222">
        <v>0</v>
      </c>
      <c r="L222">
        <v>0</v>
      </c>
      <c r="M222">
        <v>0</v>
      </c>
      <c r="N222">
        <v>0</v>
      </c>
      <c r="P222" t="s">
        <v>939</v>
      </c>
      <c r="Q222" t="s">
        <v>170</v>
      </c>
      <c r="R222">
        <v>39.75</v>
      </c>
      <c r="S222">
        <v>6</v>
      </c>
      <c r="T222" s="118">
        <v>47337</v>
      </c>
    </row>
    <row r="223" spans="1:20" hidden="1">
      <c r="A223" t="s">
        <v>511</v>
      </c>
      <c r="B223" t="s">
        <v>478</v>
      </c>
      <c r="C223" t="s">
        <v>516</v>
      </c>
      <c r="D223" t="s">
        <v>940</v>
      </c>
      <c r="E223" t="s">
        <v>941</v>
      </c>
      <c r="F223">
        <v>11910000</v>
      </c>
      <c r="G223">
        <v>332908384</v>
      </c>
      <c r="H223" s="118">
        <v>45723</v>
      </c>
      <c r="I223">
        <v>99</v>
      </c>
      <c r="J223">
        <v>98.25</v>
      </c>
      <c r="K223">
        <v>11807137.210000001</v>
      </c>
      <c r="L223">
        <v>11701575</v>
      </c>
      <c r="M223">
        <v>-105562.21</v>
      </c>
      <c r="N223">
        <v>0</v>
      </c>
      <c r="P223" t="s">
        <v>942</v>
      </c>
      <c r="Q223" t="s">
        <v>170</v>
      </c>
      <c r="R223">
        <v>156112.23000000001</v>
      </c>
      <c r="S223">
        <v>0</v>
      </c>
      <c r="T223" s="118">
        <v>47729</v>
      </c>
    </row>
    <row r="224" spans="1:20" hidden="1">
      <c r="A224" t="s">
        <v>511</v>
      </c>
      <c r="B224" t="s">
        <v>478</v>
      </c>
      <c r="C224" t="s">
        <v>516</v>
      </c>
      <c r="D224" t="s">
        <v>943</v>
      </c>
      <c r="E224" t="s">
        <v>944</v>
      </c>
      <c r="F224">
        <v>937200</v>
      </c>
      <c r="G224">
        <v>334310435</v>
      </c>
      <c r="H224" s="118">
        <v>45737</v>
      </c>
      <c r="I224">
        <v>100</v>
      </c>
      <c r="J224">
        <v>100</v>
      </c>
      <c r="K224">
        <v>0</v>
      </c>
      <c r="L224">
        <v>0</v>
      </c>
      <c r="M224">
        <v>0</v>
      </c>
      <c r="N224">
        <v>0</v>
      </c>
      <c r="P224" t="s">
        <v>945</v>
      </c>
      <c r="Q224" t="s">
        <v>170</v>
      </c>
      <c r="R224">
        <v>416.53</v>
      </c>
      <c r="S224">
        <v>0.5</v>
      </c>
      <c r="T224" s="118">
        <v>48294</v>
      </c>
    </row>
    <row r="225" spans="1:20" hidden="1">
      <c r="A225" t="s">
        <v>511</v>
      </c>
      <c r="B225" t="s">
        <v>478</v>
      </c>
      <c r="C225" t="s">
        <v>516</v>
      </c>
      <c r="D225" t="s">
        <v>946</v>
      </c>
      <c r="E225" t="s">
        <v>947</v>
      </c>
      <c r="F225">
        <v>1081293.56</v>
      </c>
      <c r="G225">
        <v>363688643</v>
      </c>
      <c r="H225" s="118">
        <v>46044</v>
      </c>
      <c r="I225">
        <v>99</v>
      </c>
      <c r="J225">
        <v>100</v>
      </c>
      <c r="K225">
        <v>1070560.06</v>
      </c>
      <c r="L225">
        <v>1081293.56</v>
      </c>
      <c r="M225">
        <v>10733.5</v>
      </c>
      <c r="N225">
        <v>0</v>
      </c>
      <c r="P225" t="s">
        <v>948</v>
      </c>
      <c r="Q225" t="s">
        <v>170</v>
      </c>
      <c r="R225">
        <v>2603.88</v>
      </c>
      <c r="S225">
        <v>0</v>
      </c>
      <c r="T225" s="118">
        <v>47753</v>
      </c>
    </row>
    <row r="226" spans="1:20" hidden="1">
      <c r="A226" t="s">
        <v>511</v>
      </c>
      <c r="B226" t="s">
        <v>478</v>
      </c>
      <c r="C226" t="s">
        <v>516</v>
      </c>
      <c r="D226" t="s">
        <v>949</v>
      </c>
      <c r="E226" t="s">
        <v>950</v>
      </c>
      <c r="F226">
        <v>266704.40000000002</v>
      </c>
      <c r="G226">
        <v>337828264</v>
      </c>
      <c r="H226" s="118">
        <v>45754</v>
      </c>
      <c r="I226">
        <v>99.5</v>
      </c>
      <c r="J226">
        <v>100</v>
      </c>
      <c r="K226">
        <v>265807.78000000003</v>
      </c>
      <c r="L226">
        <v>266704.40000000002</v>
      </c>
      <c r="M226">
        <v>896.62</v>
      </c>
      <c r="N226">
        <v>0</v>
      </c>
      <c r="P226" t="s">
        <v>951</v>
      </c>
      <c r="Q226" t="s">
        <v>170</v>
      </c>
      <c r="R226">
        <v>4296.5600000000004</v>
      </c>
      <c r="S226">
        <v>0</v>
      </c>
      <c r="T226" s="118">
        <v>46493</v>
      </c>
    </row>
    <row r="227" spans="1:20" hidden="1">
      <c r="A227" t="s">
        <v>511</v>
      </c>
      <c r="B227" t="s">
        <v>478</v>
      </c>
      <c r="C227" t="s">
        <v>516</v>
      </c>
      <c r="D227" t="s">
        <v>952</v>
      </c>
      <c r="E227" t="s">
        <v>953</v>
      </c>
      <c r="F227">
        <v>9950000</v>
      </c>
      <c r="G227">
        <v>337451293</v>
      </c>
      <c r="H227" s="118">
        <v>45757</v>
      </c>
      <c r="I227">
        <v>99.5</v>
      </c>
      <c r="J227">
        <v>95.5</v>
      </c>
      <c r="K227">
        <v>9903442.8100000005</v>
      </c>
      <c r="L227">
        <v>9502250</v>
      </c>
      <c r="M227">
        <v>-401192.81</v>
      </c>
      <c r="N227">
        <v>0</v>
      </c>
      <c r="P227" t="s">
        <v>954</v>
      </c>
      <c r="Q227" t="s">
        <v>170</v>
      </c>
      <c r="R227">
        <v>54723.23</v>
      </c>
      <c r="S227">
        <v>0</v>
      </c>
      <c r="T227" s="118">
        <v>47968</v>
      </c>
    </row>
    <row r="228" spans="1:20" hidden="1">
      <c r="A228" t="s">
        <v>511</v>
      </c>
      <c r="B228" t="s">
        <v>478</v>
      </c>
      <c r="C228" t="s">
        <v>516</v>
      </c>
      <c r="D228" t="s">
        <v>955</v>
      </c>
      <c r="E228" t="s">
        <v>956</v>
      </c>
      <c r="F228">
        <v>609135.38</v>
      </c>
      <c r="G228">
        <v>337451287</v>
      </c>
      <c r="H228" s="118">
        <v>45757</v>
      </c>
      <c r="I228">
        <v>100</v>
      </c>
      <c r="J228">
        <v>95.5</v>
      </c>
      <c r="K228">
        <v>0</v>
      </c>
      <c r="L228">
        <v>-27411.09</v>
      </c>
      <c r="M228">
        <v>-27411.09</v>
      </c>
      <c r="N228">
        <v>0</v>
      </c>
      <c r="P228" t="s">
        <v>957</v>
      </c>
      <c r="Q228" t="s">
        <v>170</v>
      </c>
      <c r="R228">
        <v>253.81</v>
      </c>
      <c r="S228">
        <v>0.5</v>
      </c>
      <c r="T228" s="118">
        <v>47948</v>
      </c>
    </row>
    <row r="229" spans="1:20" hidden="1">
      <c r="A229" t="s">
        <v>511</v>
      </c>
      <c r="B229" t="s">
        <v>478</v>
      </c>
      <c r="C229" t="s">
        <v>516</v>
      </c>
      <c r="D229" t="s">
        <v>958</v>
      </c>
      <c r="E229" t="s">
        <v>959</v>
      </c>
      <c r="F229">
        <v>1257439.04</v>
      </c>
      <c r="G229">
        <v>354586384</v>
      </c>
      <c r="H229" s="118">
        <v>45931</v>
      </c>
      <c r="I229">
        <v>100</v>
      </c>
      <c r="J229">
        <v>99.25</v>
      </c>
      <c r="K229">
        <v>0</v>
      </c>
      <c r="L229">
        <v>-9430.7900000000009</v>
      </c>
      <c r="M229">
        <v>-9430.7900000000009</v>
      </c>
      <c r="N229">
        <v>0</v>
      </c>
      <c r="P229" t="s">
        <v>960</v>
      </c>
      <c r="Q229" t="s">
        <v>170</v>
      </c>
      <c r="R229">
        <v>523.92999999999995</v>
      </c>
      <c r="S229">
        <v>0.5</v>
      </c>
      <c r="T229" s="118">
        <v>48122</v>
      </c>
    </row>
    <row r="230" spans="1:20" hidden="1">
      <c r="A230" t="s">
        <v>511</v>
      </c>
      <c r="B230" t="s">
        <v>478</v>
      </c>
      <c r="C230" t="s">
        <v>516</v>
      </c>
      <c r="D230" t="s">
        <v>961</v>
      </c>
      <c r="E230" t="s">
        <v>962</v>
      </c>
      <c r="F230">
        <v>4059966.67</v>
      </c>
      <c r="G230">
        <v>354620927</v>
      </c>
      <c r="H230" s="118">
        <v>45933</v>
      </c>
      <c r="I230">
        <v>15</v>
      </c>
      <c r="J230">
        <v>99.375</v>
      </c>
      <c r="K230">
        <v>608995</v>
      </c>
      <c r="L230">
        <v>583620.21</v>
      </c>
      <c r="M230">
        <v>-25374.79</v>
      </c>
      <c r="N230">
        <v>0</v>
      </c>
      <c r="P230" t="s">
        <v>963</v>
      </c>
      <c r="Q230" t="s">
        <v>170</v>
      </c>
      <c r="R230">
        <v>6454.23</v>
      </c>
      <c r="S230">
        <v>0.5</v>
      </c>
      <c r="T230" s="118">
        <v>48124</v>
      </c>
    </row>
    <row r="231" spans="1:20" hidden="1">
      <c r="A231" t="s">
        <v>511</v>
      </c>
      <c r="B231" t="s">
        <v>478</v>
      </c>
      <c r="C231" t="s">
        <v>516</v>
      </c>
      <c r="D231" t="s">
        <v>964</v>
      </c>
      <c r="E231" t="s">
        <v>965</v>
      </c>
      <c r="F231">
        <v>6301601</v>
      </c>
      <c r="G231">
        <v>354620908</v>
      </c>
      <c r="H231" s="118">
        <v>45933</v>
      </c>
      <c r="I231">
        <v>99.375</v>
      </c>
      <c r="J231">
        <v>99.375</v>
      </c>
      <c r="K231">
        <v>6263397.4900000002</v>
      </c>
      <c r="L231">
        <v>6262215.9900000002</v>
      </c>
      <c r="M231">
        <v>-1181.5</v>
      </c>
      <c r="N231">
        <v>0</v>
      </c>
      <c r="P231" t="s">
        <v>966</v>
      </c>
      <c r="Q231" t="s">
        <v>170</v>
      </c>
      <c r="R231">
        <v>47174.85</v>
      </c>
      <c r="S231">
        <v>0</v>
      </c>
      <c r="T231" s="118">
        <v>48124</v>
      </c>
    </row>
    <row r="232" spans="1:20" hidden="1">
      <c r="A232" t="s">
        <v>511</v>
      </c>
      <c r="B232" t="s">
        <v>478</v>
      </c>
      <c r="C232" t="s">
        <v>516</v>
      </c>
      <c r="D232" t="s">
        <v>967</v>
      </c>
      <c r="E232" t="s">
        <v>968</v>
      </c>
      <c r="F232">
        <v>893189.03</v>
      </c>
      <c r="G232">
        <v>354621265</v>
      </c>
      <c r="H232" s="118">
        <v>45933</v>
      </c>
      <c r="I232">
        <v>99.375</v>
      </c>
      <c r="J232">
        <v>99.375</v>
      </c>
      <c r="K232">
        <v>887774.06</v>
      </c>
      <c r="L232">
        <v>887606.6</v>
      </c>
      <c r="M232">
        <v>-167.46</v>
      </c>
      <c r="N232">
        <v>0</v>
      </c>
      <c r="P232" t="s">
        <v>963</v>
      </c>
      <c r="Q232" t="s">
        <v>170</v>
      </c>
      <c r="R232">
        <v>6686.56</v>
      </c>
      <c r="S232">
        <v>0</v>
      </c>
      <c r="T232" s="118">
        <v>48124</v>
      </c>
    </row>
    <row r="233" spans="1:20" hidden="1">
      <c r="A233" t="s">
        <v>511</v>
      </c>
      <c r="B233" t="s">
        <v>478</v>
      </c>
      <c r="C233" t="s">
        <v>516</v>
      </c>
      <c r="D233" t="s">
        <v>969</v>
      </c>
      <c r="E233" t="s">
        <v>968</v>
      </c>
      <c r="F233">
        <v>974388.03</v>
      </c>
      <c r="G233">
        <v>354621266</v>
      </c>
      <c r="H233" s="118">
        <v>45940</v>
      </c>
      <c r="I233">
        <v>99.375</v>
      </c>
      <c r="J233">
        <v>99.375</v>
      </c>
      <c r="K233">
        <v>968465.38</v>
      </c>
      <c r="L233">
        <v>968298.1</v>
      </c>
      <c r="M233">
        <v>-167.28</v>
      </c>
      <c r="N233">
        <v>0</v>
      </c>
      <c r="P233" t="s">
        <v>963</v>
      </c>
      <c r="Q233" t="s">
        <v>170</v>
      </c>
      <c r="R233">
        <v>7294.43</v>
      </c>
      <c r="S233">
        <v>0</v>
      </c>
      <c r="T233" s="118">
        <v>48124</v>
      </c>
    </row>
    <row r="234" spans="1:20" hidden="1">
      <c r="A234" t="s">
        <v>511</v>
      </c>
      <c r="B234" t="s">
        <v>478</v>
      </c>
      <c r="C234" t="s">
        <v>516</v>
      </c>
      <c r="D234" t="s">
        <v>970</v>
      </c>
      <c r="E234" t="s">
        <v>968</v>
      </c>
      <c r="F234">
        <v>1461582.06</v>
      </c>
      <c r="G234">
        <v>354851452</v>
      </c>
      <c r="H234" s="118">
        <v>45947</v>
      </c>
      <c r="I234">
        <v>99.375</v>
      </c>
      <c r="J234">
        <v>99.375</v>
      </c>
      <c r="K234">
        <v>1452679.22</v>
      </c>
      <c r="L234">
        <v>1452447.17</v>
      </c>
      <c r="M234">
        <v>-232.05</v>
      </c>
      <c r="N234">
        <v>0</v>
      </c>
      <c r="P234" t="s">
        <v>963</v>
      </c>
      <c r="Q234" t="s">
        <v>170</v>
      </c>
      <c r="R234">
        <v>10941.65</v>
      </c>
      <c r="S234">
        <v>0</v>
      </c>
      <c r="T234" s="118">
        <v>48124</v>
      </c>
    </row>
    <row r="235" spans="1:20" hidden="1">
      <c r="A235" t="s">
        <v>511</v>
      </c>
      <c r="B235" t="s">
        <v>478</v>
      </c>
      <c r="C235" t="s">
        <v>516</v>
      </c>
      <c r="D235" t="s">
        <v>971</v>
      </c>
      <c r="E235" t="s">
        <v>968</v>
      </c>
      <c r="F235">
        <v>1786378.07</v>
      </c>
      <c r="G235">
        <v>356515071</v>
      </c>
      <c r="H235" s="118">
        <v>45975</v>
      </c>
      <c r="I235">
        <v>99.375</v>
      </c>
      <c r="J235">
        <v>99.375</v>
      </c>
      <c r="K235">
        <v>1775444.3</v>
      </c>
      <c r="L235">
        <v>1775213.21</v>
      </c>
      <c r="M235">
        <v>-231.09</v>
      </c>
      <c r="N235">
        <v>0</v>
      </c>
      <c r="P235" t="s">
        <v>963</v>
      </c>
      <c r="Q235" t="s">
        <v>170</v>
      </c>
      <c r="R235">
        <v>13373.13</v>
      </c>
      <c r="S235">
        <v>0</v>
      </c>
      <c r="T235" s="118">
        <v>48124</v>
      </c>
    </row>
    <row r="236" spans="1:20" hidden="1">
      <c r="A236" t="s">
        <v>511</v>
      </c>
      <c r="B236" t="s">
        <v>478</v>
      </c>
      <c r="C236" t="s">
        <v>516</v>
      </c>
      <c r="D236" t="s">
        <v>972</v>
      </c>
      <c r="E236" t="s">
        <v>968</v>
      </c>
      <c r="F236">
        <v>568393.02</v>
      </c>
      <c r="G236">
        <v>361288839</v>
      </c>
      <c r="H236" s="118">
        <v>46021</v>
      </c>
      <c r="I236">
        <v>99.375</v>
      </c>
      <c r="J236">
        <v>99.375</v>
      </c>
      <c r="K236">
        <v>564940.62</v>
      </c>
      <c r="L236">
        <v>564840.56000000006</v>
      </c>
      <c r="M236">
        <v>-100.06</v>
      </c>
      <c r="N236">
        <v>0</v>
      </c>
      <c r="P236" t="s">
        <v>963</v>
      </c>
      <c r="Q236" t="s">
        <v>170</v>
      </c>
      <c r="R236">
        <v>4395.16</v>
      </c>
      <c r="S236">
        <v>0</v>
      </c>
      <c r="T236" s="118">
        <v>48124</v>
      </c>
    </row>
    <row r="237" spans="1:20" hidden="1">
      <c r="A237" t="s">
        <v>511</v>
      </c>
      <c r="B237" t="s">
        <v>478</v>
      </c>
      <c r="C237" t="s">
        <v>516</v>
      </c>
      <c r="D237" t="s">
        <v>973</v>
      </c>
      <c r="E237" t="s">
        <v>974</v>
      </c>
      <c r="F237">
        <v>1243151.05</v>
      </c>
      <c r="G237">
        <v>354863157</v>
      </c>
      <c r="H237" s="118">
        <v>45945</v>
      </c>
      <c r="I237">
        <v>14.2857</v>
      </c>
      <c r="J237">
        <v>100</v>
      </c>
      <c r="K237">
        <v>177593.01</v>
      </c>
      <c r="L237">
        <v>177593.01</v>
      </c>
      <c r="M237">
        <v>0</v>
      </c>
      <c r="N237">
        <v>0</v>
      </c>
      <c r="P237" t="s">
        <v>975</v>
      </c>
      <c r="Q237" t="s">
        <v>170</v>
      </c>
      <c r="R237">
        <v>898.28</v>
      </c>
      <c r="S237">
        <v>0.5</v>
      </c>
      <c r="T237" s="118">
        <v>47035</v>
      </c>
    </row>
    <row r="238" spans="1:20" hidden="1">
      <c r="A238" t="s">
        <v>511</v>
      </c>
      <c r="B238" t="s">
        <v>478</v>
      </c>
      <c r="C238" t="s">
        <v>516</v>
      </c>
      <c r="D238" t="s">
        <v>976</v>
      </c>
      <c r="E238" t="s">
        <v>676</v>
      </c>
      <c r="F238">
        <v>382515.07</v>
      </c>
      <c r="G238">
        <v>355009277</v>
      </c>
      <c r="H238" s="118">
        <v>45940</v>
      </c>
      <c r="I238">
        <v>100</v>
      </c>
      <c r="J238">
        <v>99.5</v>
      </c>
      <c r="K238">
        <v>0</v>
      </c>
      <c r="L238">
        <v>-1912.58</v>
      </c>
      <c r="M238">
        <v>-1912.58</v>
      </c>
      <c r="N238">
        <v>0</v>
      </c>
      <c r="P238" t="s">
        <v>977</v>
      </c>
      <c r="Q238" t="s">
        <v>170</v>
      </c>
      <c r="R238">
        <v>159.38</v>
      </c>
      <c r="S238">
        <v>0.5</v>
      </c>
      <c r="T238" s="118">
        <v>46904</v>
      </c>
    </row>
    <row r="239" spans="1:20" hidden="1">
      <c r="A239" t="s">
        <v>511</v>
      </c>
      <c r="B239" t="s">
        <v>478</v>
      </c>
      <c r="C239" t="s">
        <v>516</v>
      </c>
      <c r="D239" t="s">
        <v>978</v>
      </c>
      <c r="E239" t="s">
        <v>979</v>
      </c>
      <c r="F239">
        <v>275994.89</v>
      </c>
      <c r="G239">
        <v>354859025</v>
      </c>
      <c r="H239" s="118">
        <v>45944</v>
      </c>
      <c r="I239">
        <v>100</v>
      </c>
      <c r="J239">
        <v>99.4</v>
      </c>
      <c r="K239">
        <v>0</v>
      </c>
      <c r="L239">
        <v>-1655.97</v>
      </c>
      <c r="M239">
        <v>-1655.97</v>
      </c>
      <c r="N239">
        <v>0</v>
      </c>
      <c r="P239" t="s">
        <v>980</v>
      </c>
      <c r="Q239" t="s">
        <v>170</v>
      </c>
      <c r="R239">
        <v>7.67</v>
      </c>
      <c r="S239">
        <v>0.5</v>
      </c>
      <c r="T239" s="118">
        <v>47770</v>
      </c>
    </row>
    <row r="240" spans="1:20" hidden="1">
      <c r="A240" t="s">
        <v>511</v>
      </c>
      <c r="B240" t="s">
        <v>478</v>
      </c>
      <c r="C240" t="s">
        <v>516</v>
      </c>
      <c r="D240" t="s">
        <v>981</v>
      </c>
      <c r="E240" t="s">
        <v>982</v>
      </c>
      <c r="F240">
        <v>1217709.01</v>
      </c>
      <c r="G240">
        <v>337743235</v>
      </c>
      <c r="H240" s="118">
        <v>45768</v>
      </c>
      <c r="I240">
        <v>100</v>
      </c>
      <c r="J240">
        <v>99.75</v>
      </c>
      <c r="K240">
        <v>0</v>
      </c>
      <c r="L240">
        <v>-3044.27</v>
      </c>
      <c r="M240">
        <v>-3044.27</v>
      </c>
      <c r="N240">
        <v>0</v>
      </c>
      <c r="P240" t="s">
        <v>983</v>
      </c>
      <c r="Q240" t="s">
        <v>170</v>
      </c>
      <c r="R240">
        <v>507.38</v>
      </c>
      <c r="S240">
        <v>0.5</v>
      </c>
      <c r="T240" s="118">
        <v>47393</v>
      </c>
    </row>
    <row r="241" spans="1:20" hidden="1">
      <c r="A241" t="s">
        <v>511</v>
      </c>
      <c r="B241" t="s">
        <v>478</v>
      </c>
      <c r="C241" t="s">
        <v>516</v>
      </c>
      <c r="D241" t="s">
        <v>984</v>
      </c>
      <c r="E241" t="s">
        <v>985</v>
      </c>
      <c r="F241">
        <v>29925</v>
      </c>
      <c r="G241">
        <v>339538179</v>
      </c>
      <c r="H241" s="118">
        <v>45790</v>
      </c>
      <c r="I241">
        <v>99.5</v>
      </c>
      <c r="J241">
        <v>99.5</v>
      </c>
      <c r="K241">
        <v>29776.05</v>
      </c>
      <c r="L241">
        <v>29775.38</v>
      </c>
      <c r="M241">
        <v>-0.67</v>
      </c>
      <c r="N241">
        <v>0</v>
      </c>
      <c r="P241" t="s">
        <v>575</v>
      </c>
      <c r="Q241" t="s">
        <v>170</v>
      </c>
      <c r="R241">
        <v>224.02</v>
      </c>
      <c r="S241">
        <v>0</v>
      </c>
      <c r="T241" s="118">
        <v>48347</v>
      </c>
    </row>
    <row r="242" spans="1:20" hidden="1">
      <c r="A242" t="s">
        <v>511</v>
      </c>
      <c r="B242" t="s">
        <v>478</v>
      </c>
      <c r="C242" t="s">
        <v>516</v>
      </c>
      <c r="D242" t="s">
        <v>986</v>
      </c>
      <c r="E242" t="s">
        <v>987</v>
      </c>
      <c r="F242">
        <v>797193.29</v>
      </c>
      <c r="G242">
        <v>339538180</v>
      </c>
      <c r="H242" s="118">
        <v>45790</v>
      </c>
      <c r="I242">
        <v>100</v>
      </c>
      <c r="J242">
        <v>99.5</v>
      </c>
      <c r="K242">
        <v>0</v>
      </c>
      <c r="L242">
        <v>-3985.97</v>
      </c>
      <c r="M242">
        <v>-3985.97</v>
      </c>
      <c r="N242">
        <v>0</v>
      </c>
      <c r="P242" t="s">
        <v>988</v>
      </c>
      <c r="Q242" t="s">
        <v>170</v>
      </c>
      <c r="R242">
        <v>265.73</v>
      </c>
      <c r="S242">
        <v>0.375</v>
      </c>
      <c r="T242" s="118">
        <v>48347</v>
      </c>
    </row>
    <row r="243" spans="1:20" hidden="1">
      <c r="A243" t="s">
        <v>511</v>
      </c>
      <c r="B243" t="s">
        <v>478</v>
      </c>
      <c r="C243" t="s">
        <v>516</v>
      </c>
      <c r="D243" t="s">
        <v>989</v>
      </c>
      <c r="E243" t="s">
        <v>990</v>
      </c>
      <c r="F243">
        <v>36599.86</v>
      </c>
      <c r="G243">
        <v>357914679</v>
      </c>
      <c r="H243" s="118">
        <v>45982</v>
      </c>
      <c r="I243">
        <v>100</v>
      </c>
      <c r="J243">
        <v>100</v>
      </c>
      <c r="K243">
        <v>0</v>
      </c>
      <c r="L243">
        <v>0</v>
      </c>
      <c r="M243">
        <v>0</v>
      </c>
      <c r="N243">
        <v>0</v>
      </c>
      <c r="P243" t="s">
        <v>991</v>
      </c>
      <c r="Q243" t="s">
        <v>170</v>
      </c>
      <c r="R243">
        <v>16.27</v>
      </c>
      <c r="S243">
        <v>0.5</v>
      </c>
      <c r="T243" s="118">
        <v>46661</v>
      </c>
    </row>
    <row r="244" spans="1:20" hidden="1">
      <c r="A244" t="s">
        <v>511</v>
      </c>
      <c r="B244" t="s">
        <v>478</v>
      </c>
      <c r="C244" t="s">
        <v>516</v>
      </c>
      <c r="D244" t="s">
        <v>992</v>
      </c>
      <c r="E244" t="s">
        <v>993</v>
      </c>
      <c r="F244">
        <v>4477500</v>
      </c>
      <c r="G244">
        <v>342806269</v>
      </c>
      <c r="H244" s="118">
        <v>45821</v>
      </c>
      <c r="I244">
        <v>99</v>
      </c>
      <c r="J244">
        <v>99</v>
      </c>
      <c r="K244">
        <v>4436148.88</v>
      </c>
      <c r="L244">
        <v>4432725</v>
      </c>
      <c r="M244">
        <v>-3423.88</v>
      </c>
      <c r="N244">
        <v>0</v>
      </c>
      <c r="P244" t="s">
        <v>716</v>
      </c>
      <c r="Q244" t="s">
        <v>170</v>
      </c>
      <c r="R244">
        <v>37499.32</v>
      </c>
      <c r="S244">
        <v>0</v>
      </c>
      <c r="T244" s="118">
        <v>48012</v>
      </c>
    </row>
    <row r="245" spans="1:20" hidden="1">
      <c r="A245" t="s">
        <v>511</v>
      </c>
      <c r="B245" t="s">
        <v>478</v>
      </c>
      <c r="C245" t="s">
        <v>516</v>
      </c>
      <c r="D245" t="s">
        <v>994</v>
      </c>
      <c r="E245" t="s">
        <v>995</v>
      </c>
      <c r="F245">
        <v>600000</v>
      </c>
      <c r="G245">
        <v>342806294</v>
      </c>
      <c r="H245" s="118">
        <v>45821</v>
      </c>
      <c r="I245">
        <v>100</v>
      </c>
      <c r="J245">
        <v>99</v>
      </c>
      <c r="K245">
        <v>0</v>
      </c>
      <c r="L245">
        <v>-6000</v>
      </c>
      <c r="M245">
        <v>-6000</v>
      </c>
      <c r="N245">
        <v>0</v>
      </c>
      <c r="P245" t="s">
        <v>716</v>
      </c>
      <c r="Q245" t="s">
        <v>170</v>
      </c>
      <c r="R245">
        <v>266.67</v>
      </c>
      <c r="S245">
        <v>0.5</v>
      </c>
      <c r="T245" s="118">
        <v>48012</v>
      </c>
    </row>
    <row r="246" spans="1:20" hidden="1">
      <c r="A246" t="s">
        <v>511</v>
      </c>
      <c r="B246" t="s">
        <v>478</v>
      </c>
      <c r="C246" t="s">
        <v>516</v>
      </c>
      <c r="D246" t="s">
        <v>996</v>
      </c>
      <c r="E246" t="s">
        <v>997</v>
      </c>
      <c r="F246">
        <v>3341044.44</v>
      </c>
      <c r="G246">
        <v>363019776</v>
      </c>
      <c r="H246" s="118">
        <v>46024</v>
      </c>
      <c r="I246">
        <v>99.5</v>
      </c>
      <c r="J246">
        <v>99.5</v>
      </c>
      <c r="K246">
        <v>3324339.22</v>
      </c>
      <c r="L246">
        <v>3324339.22</v>
      </c>
      <c r="M246">
        <v>0</v>
      </c>
      <c r="N246">
        <v>0</v>
      </c>
      <c r="P246" t="s">
        <v>998</v>
      </c>
      <c r="Q246" t="s">
        <v>170</v>
      </c>
      <c r="R246">
        <v>1563.22</v>
      </c>
      <c r="S246">
        <v>0</v>
      </c>
      <c r="T246" s="118">
        <v>48215</v>
      </c>
    </row>
    <row r="247" spans="1:20" hidden="1">
      <c r="A247" t="s">
        <v>511</v>
      </c>
      <c r="B247" t="s">
        <v>478</v>
      </c>
      <c r="C247" t="s">
        <v>516</v>
      </c>
      <c r="D247" t="s">
        <v>999</v>
      </c>
      <c r="E247" t="s">
        <v>1000</v>
      </c>
      <c r="F247">
        <v>1395471.48</v>
      </c>
      <c r="G247">
        <v>363019752</v>
      </c>
      <c r="H247" s="118">
        <v>46024</v>
      </c>
      <c r="I247">
        <v>100</v>
      </c>
      <c r="J247">
        <v>100</v>
      </c>
      <c r="K247">
        <v>0</v>
      </c>
      <c r="L247">
        <v>0</v>
      </c>
      <c r="M247">
        <v>0</v>
      </c>
      <c r="N247">
        <v>0</v>
      </c>
      <c r="P247" t="s">
        <v>1001</v>
      </c>
      <c r="Q247" t="s">
        <v>170</v>
      </c>
      <c r="R247">
        <v>581.45000000000005</v>
      </c>
      <c r="S247">
        <v>0.5</v>
      </c>
      <c r="T247" s="118">
        <v>48215</v>
      </c>
    </row>
    <row r="248" spans="1:20" hidden="1">
      <c r="A248" t="s">
        <v>511</v>
      </c>
      <c r="B248" t="s">
        <v>478</v>
      </c>
      <c r="C248" t="s">
        <v>516</v>
      </c>
      <c r="D248" t="s">
        <v>1002</v>
      </c>
      <c r="E248" t="s">
        <v>1003</v>
      </c>
      <c r="F248">
        <v>2194293.44</v>
      </c>
      <c r="G248">
        <v>345292018</v>
      </c>
      <c r="H248" s="118">
        <v>45839</v>
      </c>
      <c r="I248">
        <v>100</v>
      </c>
      <c r="J248">
        <v>99.5</v>
      </c>
      <c r="K248">
        <v>0</v>
      </c>
      <c r="L248">
        <v>-10971.47</v>
      </c>
      <c r="M248">
        <v>-10971.47</v>
      </c>
      <c r="N248">
        <v>0</v>
      </c>
      <c r="P248" t="s">
        <v>1004</v>
      </c>
      <c r="Q248" t="s">
        <v>170</v>
      </c>
      <c r="R248">
        <v>975.24</v>
      </c>
      <c r="S248">
        <v>0.5</v>
      </c>
      <c r="T248" s="118">
        <v>48030</v>
      </c>
    </row>
    <row r="249" spans="1:20" hidden="1">
      <c r="A249" t="s">
        <v>511</v>
      </c>
      <c r="B249" t="s">
        <v>478</v>
      </c>
      <c r="C249" t="s">
        <v>516</v>
      </c>
      <c r="D249" t="s">
        <v>1005</v>
      </c>
      <c r="E249" t="s">
        <v>1006</v>
      </c>
      <c r="F249">
        <v>3640517.41</v>
      </c>
      <c r="G249">
        <v>343847311</v>
      </c>
      <c r="H249" s="118">
        <v>45838</v>
      </c>
      <c r="I249">
        <v>99.25</v>
      </c>
      <c r="J249">
        <v>98.75</v>
      </c>
      <c r="K249">
        <v>3624420.55</v>
      </c>
      <c r="L249">
        <v>3595010.94</v>
      </c>
      <c r="M249">
        <v>-29409.61</v>
      </c>
      <c r="N249">
        <v>0</v>
      </c>
      <c r="P249" t="s">
        <v>1007</v>
      </c>
      <c r="Q249" t="s">
        <v>170</v>
      </c>
      <c r="R249">
        <v>29005.16</v>
      </c>
      <c r="S249">
        <v>0</v>
      </c>
      <c r="T249" s="118">
        <v>46317</v>
      </c>
    </row>
    <row r="250" spans="1:20" hidden="1">
      <c r="A250" t="s">
        <v>511</v>
      </c>
      <c r="B250" t="s">
        <v>478</v>
      </c>
      <c r="C250" t="s">
        <v>516</v>
      </c>
      <c r="D250" t="s">
        <v>1008</v>
      </c>
      <c r="E250" t="s">
        <v>1009</v>
      </c>
      <c r="F250">
        <v>1944771.21</v>
      </c>
      <c r="G250">
        <v>345294937</v>
      </c>
      <c r="H250" s="118">
        <v>45854</v>
      </c>
      <c r="I250">
        <v>99.25</v>
      </c>
      <c r="J250">
        <v>98.75</v>
      </c>
      <c r="K250">
        <v>1935816.71</v>
      </c>
      <c r="L250">
        <v>1920461.57</v>
      </c>
      <c r="M250">
        <v>-15355.14</v>
      </c>
      <c r="N250">
        <v>0</v>
      </c>
      <c r="P250" t="s">
        <v>1010</v>
      </c>
      <c r="Q250" t="s">
        <v>170</v>
      </c>
      <c r="R250">
        <v>15494.61</v>
      </c>
      <c r="S250">
        <v>0</v>
      </c>
      <c r="T250" s="118">
        <v>46317</v>
      </c>
    </row>
    <row r="251" spans="1:20" hidden="1">
      <c r="A251" t="s">
        <v>511</v>
      </c>
      <c r="B251" t="s">
        <v>478</v>
      </c>
      <c r="C251" t="s">
        <v>516</v>
      </c>
      <c r="D251" t="s">
        <v>1011</v>
      </c>
      <c r="E251" t="s">
        <v>1012</v>
      </c>
      <c r="F251">
        <v>2500000</v>
      </c>
      <c r="G251">
        <v>345293059</v>
      </c>
      <c r="H251" s="118">
        <v>45853</v>
      </c>
      <c r="I251">
        <v>99.25</v>
      </c>
      <c r="J251">
        <v>99</v>
      </c>
      <c r="K251">
        <v>2481258.58</v>
      </c>
      <c r="L251">
        <v>2475000</v>
      </c>
      <c r="M251">
        <v>-6258.58</v>
      </c>
      <c r="N251">
        <v>0</v>
      </c>
      <c r="P251" t="s">
        <v>1013</v>
      </c>
      <c r="Q251" t="s">
        <v>170</v>
      </c>
      <c r="R251">
        <v>1273.8800000000001</v>
      </c>
      <c r="S251">
        <v>0</v>
      </c>
      <c r="T251" s="118">
        <v>48044</v>
      </c>
    </row>
    <row r="252" spans="1:20" hidden="1">
      <c r="A252" t="s">
        <v>511</v>
      </c>
      <c r="B252" t="s">
        <v>478</v>
      </c>
      <c r="C252" t="s">
        <v>516</v>
      </c>
      <c r="D252" t="s">
        <v>1014</v>
      </c>
      <c r="E252" t="s">
        <v>1015</v>
      </c>
      <c r="F252">
        <v>988025.24</v>
      </c>
      <c r="G252">
        <v>345293086</v>
      </c>
      <c r="H252" s="118">
        <v>45853</v>
      </c>
      <c r="I252">
        <v>100</v>
      </c>
      <c r="J252">
        <v>99</v>
      </c>
      <c r="K252">
        <v>0</v>
      </c>
      <c r="L252">
        <v>-9880.25</v>
      </c>
      <c r="M252">
        <v>-9880.25</v>
      </c>
      <c r="N252">
        <v>0</v>
      </c>
      <c r="P252" t="s">
        <v>1016</v>
      </c>
      <c r="Q252" t="s">
        <v>170</v>
      </c>
      <c r="R252">
        <v>439.12</v>
      </c>
      <c r="S252">
        <v>0.5</v>
      </c>
      <c r="T252" s="118">
        <v>48044</v>
      </c>
    </row>
    <row r="253" spans="1:20" hidden="1">
      <c r="A253" t="s">
        <v>511</v>
      </c>
      <c r="B253" t="s">
        <v>478</v>
      </c>
      <c r="C253" t="s">
        <v>516</v>
      </c>
      <c r="D253" t="s">
        <v>1017</v>
      </c>
      <c r="E253" t="s">
        <v>1018</v>
      </c>
      <c r="F253">
        <v>2388631.27</v>
      </c>
      <c r="G253">
        <v>345329027</v>
      </c>
      <c r="H253" s="118">
        <v>45855</v>
      </c>
      <c r="I253">
        <v>100</v>
      </c>
      <c r="J253">
        <v>100</v>
      </c>
      <c r="K253">
        <v>0</v>
      </c>
      <c r="L253">
        <v>0</v>
      </c>
      <c r="M253">
        <v>0</v>
      </c>
      <c r="N253">
        <v>0</v>
      </c>
      <c r="P253" t="s">
        <v>1019</v>
      </c>
      <c r="Q253" t="s">
        <v>170</v>
      </c>
      <c r="R253">
        <v>1061.6099999999999</v>
      </c>
      <c r="S253">
        <v>0.5</v>
      </c>
      <c r="T253" s="118">
        <v>48046</v>
      </c>
    </row>
    <row r="254" spans="1:20" hidden="1">
      <c r="A254" t="s">
        <v>511</v>
      </c>
      <c r="B254" t="s">
        <v>478</v>
      </c>
      <c r="C254" t="s">
        <v>516</v>
      </c>
      <c r="D254" t="s">
        <v>1020</v>
      </c>
      <c r="E254" t="s">
        <v>1021</v>
      </c>
      <c r="F254">
        <v>2249987.94</v>
      </c>
      <c r="G254">
        <v>363061902</v>
      </c>
      <c r="H254" s="118">
        <v>46034</v>
      </c>
      <c r="I254">
        <v>99.375</v>
      </c>
      <c r="J254">
        <v>99.375</v>
      </c>
      <c r="K254">
        <v>2236183.62</v>
      </c>
      <c r="L254">
        <v>2235925.52</v>
      </c>
      <c r="M254">
        <v>-258.10000000000002</v>
      </c>
      <c r="N254">
        <v>0</v>
      </c>
      <c r="P254" t="s">
        <v>1022</v>
      </c>
      <c r="Q254" t="s">
        <v>170</v>
      </c>
      <c r="R254">
        <v>10812.04</v>
      </c>
      <c r="S254">
        <v>0</v>
      </c>
      <c r="T254" s="118">
        <v>47860</v>
      </c>
    </row>
    <row r="255" spans="1:20" hidden="1">
      <c r="A255" t="s">
        <v>511</v>
      </c>
      <c r="B255" t="s">
        <v>478</v>
      </c>
      <c r="C255" t="s">
        <v>516</v>
      </c>
      <c r="D255" t="s">
        <v>1023</v>
      </c>
      <c r="E255" t="s">
        <v>1024</v>
      </c>
      <c r="F255">
        <v>437500.71</v>
      </c>
      <c r="G255">
        <v>363061927</v>
      </c>
      <c r="H255" s="118">
        <v>46034</v>
      </c>
      <c r="I255">
        <v>100</v>
      </c>
      <c r="J255">
        <v>100</v>
      </c>
      <c r="K255">
        <v>0</v>
      </c>
      <c r="L255">
        <v>0</v>
      </c>
      <c r="M255">
        <v>0</v>
      </c>
      <c r="N255">
        <v>0</v>
      </c>
      <c r="P255" t="s">
        <v>1025</v>
      </c>
      <c r="Q255" t="s">
        <v>170</v>
      </c>
      <c r="R255">
        <v>121.53</v>
      </c>
      <c r="S255">
        <v>0.5</v>
      </c>
      <c r="T255" s="118">
        <v>47860</v>
      </c>
    </row>
    <row r="256" spans="1:20" hidden="1">
      <c r="A256" t="s">
        <v>511</v>
      </c>
      <c r="B256" t="s">
        <v>478</v>
      </c>
      <c r="C256" t="s">
        <v>516</v>
      </c>
      <c r="D256" t="s">
        <v>1026</v>
      </c>
      <c r="E256" t="s">
        <v>1027</v>
      </c>
      <c r="F256">
        <v>148209.68</v>
      </c>
      <c r="G256">
        <v>363242819</v>
      </c>
      <c r="H256" s="118">
        <v>46038</v>
      </c>
      <c r="I256">
        <v>100</v>
      </c>
      <c r="J256">
        <v>100</v>
      </c>
      <c r="K256">
        <v>0</v>
      </c>
      <c r="L256">
        <v>0</v>
      </c>
      <c r="M256">
        <v>0</v>
      </c>
      <c r="N256">
        <v>0</v>
      </c>
      <c r="P256" t="s">
        <v>1028</v>
      </c>
      <c r="Q256" t="s">
        <v>170</v>
      </c>
      <c r="R256">
        <v>32.94</v>
      </c>
      <c r="S256">
        <v>0.5</v>
      </c>
      <c r="T256" s="118">
        <v>47864</v>
      </c>
    </row>
    <row r="257" spans="1:20" hidden="1">
      <c r="A257" t="s">
        <v>511</v>
      </c>
      <c r="B257" t="s">
        <v>478</v>
      </c>
      <c r="C257" t="s">
        <v>516</v>
      </c>
      <c r="D257" t="s">
        <v>1029</v>
      </c>
      <c r="E257" t="s">
        <v>1030</v>
      </c>
      <c r="F257">
        <v>869661.3</v>
      </c>
      <c r="G257">
        <v>363242848</v>
      </c>
      <c r="H257" s="118">
        <v>46038</v>
      </c>
      <c r="I257">
        <v>99</v>
      </c>
      <c r="J257">
        <v>99</v>
      </c>
      <c r="K257">
        <v>861066.19</v>
      </c>
      <c r="L257">
        <v>860964.69</v>
      </c>
      <c r="M257">
        <v>-101.5</v>
      </c>
      <c r="N257">
        <v>0</v>
      </c>
      <c r="P257" t="s">
        <v>1031</v>
      </c>
      <c r="Q257" t="s">
        <v>170</v>
      </c>
      <c r="R257">
        <v>3351.53</v>
      </c>
      <c r="S257">
        <v>0</v>
      </c>
      <c r="T257" s="118">
        <v>47864</v>
      </c>
    </row>
    <row r="258" spans="1:20" hidden="1">
      <c r="A258" t="s">
        <v>511</v>
      </c>
      <c r="B258" t="s">
        <v>478</v>
      </c>
      <c r="C258" t="s">
        <v>516</v>
      </c>
      <c r="D258" t="s">
        <v>1032</v>
      </c>
      <c r="E258" t="s">
        <v>1033</v>
      </c>
      <c r="F258">
        <v>795644.65</v>
      </c>
      <c r="G258">
        <v>347530740</v>
      </c>
      <c r="H258" s="118">
        <v>45873</v>
      </c>
      <c r="I258">
        <v>100</v>
      </c>
      <c r="J258">
        <v>99</v>
      </c>
      <c r="K258">
        <v>0</v>
      </c>
      <c r="L258">
        <v>-7956.45</v>
      </c>
      <c r="M258">
        <v>-7956.45</v>
      </c>
      <c r="N258">
        <v>0</v>
      </c>
      <c r="P258" t="s">
        <v>1034</v>
      </c>
      <c r="Q258" t="s">
        <v>170</v>
      </c>
      <c r="R258">
        <v>353.62</v>
      </c>
      <c r="S258">
        <v>0.5</v>
      </c>
      <c r="T258" s="118">
        <v>48064</v>
      </c>
    </row>
    <row r="259" spans="1:20" hidden="1">
      <c r="A259" t="s">
        <v>511</v>
      </c>
      <c r="B259" t="s">
        <v>478</v>
      </c>
      <c r="C259" t="s">
        <v>516</v>
      </c>
      <c r="D259" t="s">
        <v>1035</v>
      </c>
      <c r="E259" t="s">
        <v>1036</v>
      </c>
      <c r="F259">
        <v>192618.06</v>
      </c>
      <c r="G259">
        <v>357556154</v>
      </c>
      <c r="H259" s="118">
        <v>45986</v>
      </c>
      <c r="I259">
        <v>99</v>
      </c>
      <c r="J259">
        <v>99</v>
      </c>
      <c r="K259">
        <v>190691.88</v>
      </c>
      <c r="L259">
        <v>190691.88</v>
      </c>
      <c r="M259">
        <v>0</v>
      </c>
      <c r="N259">
        <v>0</v>
      </c>
      <c r="P259" t="s">
        <v>1037</v>
      </c>
      <c r="Q259" t="s">
        <v>170</v>
      </c>
      <c r="R259">
        <v>92.8</v>
      </c>
      <c r="S259">
        <v>0</v>
      </c>
      <c r="T259" s="118">
        <v>47514</v>
      </c>
    </row>
    <row r="260" spans="1:20" hidden="1">
      <c r="A260" t="s">
        <v>511</v>
      </c>
      <c r="B260" t="s">
        <v>478</v>
      </c>
      <c r="C260" t="s">
        <v>516</v>
      </c>
      <c r="D260" t="s">
        <v>1038</v>
      </c>
      <c r="E260" t="s">
        <v>1036</v>
      </c>
      <c r="F260">
        <v>331029.95</v>
      </c>
      <c r="G260">
        <v>361286436</v>
      </c>
      <c r="H260" s="118">
        <v>46021</v>
      </c>
      <c r="I260">
        <v>99</v>
      </c>
      <c r="J260">
        <v>99</v>
      </c>
      <c r="K260">
        <v>327746.09999999998</v>
      </c>
      <c r="L260">
        <v>327719.65000000002</v>
      </c>
      <c r="M260">
        <v>-26.45</v>
      </c>
      <c r="N260">
        <v>0</v>
      </c>
      <c r="P260" t="s">
        <v>1037</v>
      </c>
      <c r="Q260" t="s">
        <v>170</v>
      </c>
      <c r="R260">
        <v>159.47999999999999</v>
      </c>
      <c r="S260">
        <v>0</v>
      </c>
      <c r="T260" s="118">
        <v>47514</v>
      </c>
    </row>
    <row r="261" spans="1:20" hidden="1">
      <c r="A261" t="s">
        <v>511</v>
      </c>
      <c r="B261" t="s">
        <v>478</v>
      </c>
      <c r="C261" t="s">
        <v>516</v>
      </c>
      <c r="D261" t="s">
        <v>1039</v>
      </c>
      <c r="E261" t="s">
        <v>1036</v>
      </c>
      <c r="F261">
        <v>772403.22</v>
      </c>
      <c r="G261">
        <v>363049946</v>
      </c>
      <c r="H261" s="118">
        <v>46030</v>
      </c>
      <c r="I261">
        <v>99</v>
      </c>
      <c r="J261">
        <v>99</v>
      </c>
      <c r="K261">
        <v>764730.05</v>
      </c>
      <c r="L261">
        <v>764679.19</v>
      </c>
      <c r="M261">
        <v>-50.86</v>
      </c>
      <c r="N261">
        <v>0</v>
      </c>
      <c r="P261" t="s">
        <v>1037</v>
      </c>
      <c r="Q261" t="s">
        <v>170</v>
      </c>
      <c r="R261">
        <v>372.12</v>
      </c>
      <c r="S261">
        <v>0</v>
      </c>
      <c r="T261" s="118">
        <v>47514</v>
      </c>
    </row>
    <row r="262" spans="1:20" hidden="1">
      <c r="A262" t="s">
        <v>511</v>
      </c>
      <c r="B262" t="s">
        <v>478</v>
      </c>
      <c r="C262" t="s">
        <v>516</v>
      </c>
      <c r="D262" t="s">
        <v>1040</v>
      </c>
      <c r="E262" t="s">
        <v>1036</v>
      </c>
      <c r="F262">
        <v>82757.490000000005</v>
      </c>
      <c r="G262">
        <v>363688635</v>
      </c>
      <c r="H262" s="118">
        <v>46044</v>
      </c>
      <c r="I262">
        <v>99</v>
      </c>
      <c r="J262">
        <v>99</v>
      </c>
      <c r="K262">
        <v>81934.19</v>
      </c>
      <c r="L262">
        <v>81929.919999999998</v>
      </c>
      <c r="M262">
        <v>-4.2699999999999996</v>
      </c>
      <c r="N262">
        <v>0</v>
      </c>
      <c r="P262" t="s">
        <v>1037</v>
      </c>
      <c r="Q262" t="s">
        <v>170</v>
      </c>
      <c r="R262">
        <v>39.869999999999997</v>
      </c>
      <c r="S262">
        <v>0</v>
      </c>
      <c r="T262" s="118">
        <v>47514</v>
      </c>
    </row>
    <row r="263" spans="1:20" hidden="1">
      <c r="A263" t="s">
        <v>511</v>
      </c>
      <c r="B263" t="s">
        <v>478</v>
      </c>
      <c r="C263" t="s">
        <v>516</v>
      </c>
      <c r="D263" t="s">
        <v>1041</v>
      </c>
      <c r="E263" t="s">
        <v>1042</v>
      </c>
      <c r="F263">
        <v>647691.65</v>
      </c>
      <c r="G263">
        <v>346284846</v>
      </c>
      <c r="H263" s="118">
        <v>45869</v>
      </c>
      <c r="I263">
        <v>62.5</v>
      </c>
      <c r="J263">
        <v>99.5</v>
      </c>
      <c r="K263">
        <v>404807.28</v>
      </c>
      <c r="L263">
        <v>401568.82</v>
      </c>
      <c r="M263">
        <v>-3238.46</v>
      </c>
      <c r="N263">
        <v>0</v>
      </c>
      <c r="P263" t="s">
        <v>1043</v>
      </c>
      <c r="Q263" t="s">
        <v>170</v>
      </c>
      <c r="R263">
        <v>5200.99</v>
      </c>
      <c r="S263">
        <v>0.5</v>
      </c>
      <c r="T263" s="118">
        <v>48060</v>
      </c>
    </row>
    <row r="264" spans="1:20" hidden="1">
      <c r="A264" t="s">
        <v>511</v>
      </c>
      <c r="B264" t="s">
        <v>478</v>
      </c>
      <c r="C264" t="s">
        <v>516</v>
      </c>
      <c r="D264" t="s">
        <v>1044</v>
      </c>
      <c r="E264" t="s">
        <v>1045</v>
      </c>
      <c r="F264">
        <v>134781.57</v>
      </c>
      <c r="G264">
        <v>346435827</v>
      </c>
      <c r="H264" s="118">
        <v>45869</v>
      </c>
      <c r="I264">
        <v>91.133799999999994</v>
      </c>
      <c r="J264">
        <v>121.5</v>
      </c>
      <c r="K264">
        <v>123971.03</v>
      </c>
      <c r="L264">
        <v>163759.60999999999</v>
      </c>
      <c r="M264">
        <v>39788.58</v>
      </c>
      <c r="N264">
        <v>0</v>
      </c>
      <c r="P264" t="s">
        <v>1046</v>
      </c>
      <c r="Q264" t="s">
        <v>170</v>
      </c>
      <c r="R264">
        <v>71.95</v>
      </c>
      <c r="S264">
        <v>6.25</v>
      </c>
      <c r="T264" s="118">
        <v>47330</v>
      </c>
    </row>
    <row r="265" spans="1:20" hidden="1">
      <c r="A265" t="s">
        <v>511</v>
      </c>
      <c r="B265" t="s">
        <v>478</v>
      </c>
      <c r="C265" t="s">
        <v>516</v>
      </c>
      <c r="D265" t="s">
        <v>1047</v>
      </c>
      <c r="E265" t="s">
        <v>1048</v>
      </c>
      <c r="F265">
        <v>148865.88</v>
      </c>
      <c r="G265">
        <v>346435883</v>
      </c>
      <c r="H265" s="118">
        <v>45869</v>
      </c>
      <c r="I265">
        <v>100</v>
      </c>
      <c r="J265">
        <v>100</v>
      </c>
      <c r="K265">
        <v>0</v>
      </c>
      <c r="L265">
        <v>0</v>
      </c>
      <c r="M265">
        <v>0</v>
      </c>
      <c r="N265">
        <v>0</v>
      </c>
      <c r="P265" t="s">
        <v>533</v>
      </c>
      <c r="Q265" t="s">
        <v>170</v>
      </c>
      <c r="R265">
        <v>66.16</v>
      </c>
      <c r="S265">
        <v>0.5</v>
      </c>
      <c r="T265" s="118">
        <v>47330</v>
      </c>
    </row>
    <row r="266" spans="1:20" hidden="1">
      <c r="A266" t="s">
        <v>511</v>
      </c>
      <c r="B266" t="s">
        <v>478</v>
      </c>
      <c r="C266" t="s">
        <v>516</v>
      </c>
      <c r="D266" t="s">
        <v>1049</v>
      </c>
      <c r="E266" t="s">
        <v>1050</v>
      </c>
      <c r="F266">
        <v>621408.27</v>
      </c>
      <c r="G266">
        <v>349778731</v>
      </c>
      <c r="H266" s="118">
        <v>45880</v>
      </c>
      <c r="I266">
        <v>100</v>
      </c>
      <c r="J266">
        <v>100</v>
      </c>
      <c r="K266">
        <v>0</v>
      </c>
      <c r="L266">
        <v>0</v>
      </c>
      <c r="M266">
        <v>0</v>
      </c>
      <c r="N266">
        <v>0</v>
      </c>
      <c r="P266" t="s">
        <v>592</v>
      </c>
      <c r="Q266" t="s">
        <v>170</v>
      </c>
      <c r="R266">
        <v>276.18</v>
      </c>
      <c r="S266">
        <v>0.5</v>
      </c>
      <c r="T266" s="118">
        <v>47514</v>
      </c>
    </row>
    <row r="267" spans="1:20" hidden="1">
      <c r="A267" t="s">
        <v>511</v>
      </c>
      <c r="B267" t="s">
        <v>478</v>
      </c>
      <c r="C267" t="s">
        <v>516</v>
      </c>
      <c r="D267" t="s">
        <v>1051</v>
      </c>
      <c r="E267" t="s">
        <v>1052</v>
      </c>
      <c r="F267">
        <v>5250820.4400000004</v>
      </c>
      <c r="G267">
        <v>348767797</v>
      </c>
      <c r="H267" s="118">
        <v>45884</v>
      </c>
      <c r="I267">
        <v>99</v>
      </c>
      <c r="J267">
        <v>100.25</v>
      </c>
      <c r="K267">
        <v>5199710.37</v>
      </c>
      <c r="L267">
        <v>5263947.49</v>
      </c>
      <c r="M267">
        <v>64237.120000000003</v>
      </c>
      <c r="N267">
        <v>0</v>
      </c>
      <c r="P267" t="s">
        <v>1053</v>
      </c>
      <c r="Q267" t="s">
        <v>170</v>
      </c>
      <c r="R267">
        <v>39308.53</v>
      </c>
      <c r="S267">
        <v>0</v>
      </c>
      <c r="T267" s="118">
        <v>48448</v>
      </c>
    </row>
    <row r="268" spans="1:20" hidden="1">
      <c r="A268" t="s">
        <v>511</v>
      </c>
      <c r="B268" t="s">
        <v>478</v>
      </c>
      <c r="C268" t="s">
        <v>516</v>
      </c>
      <c r="D268" t="s">
        <v>1054</v>
      </c>
      <c r="E268" t="s">
        <v>1055</v>
      </c>
      <c r="F268">
        <v>202666.67</v>
      </c>
      <c r="G268">
        <v>349537813</v>
      </c>
      <c r="H268" s="118">
        <v>45898</v>
      </c>
      <c r="I268">
        <v>100</v>
      </c>
      <c r="J268">
        <v>102</v>
      </c>
      <c r="K268">
        <v>0</v>
      </c>
      <c r="L268">
        <v>4053.33</v>
      </c>
      <c r="M268">
        <v>4053.33</v>
      </c>
      <c r="N268">
        <v>0</v>
      </c>
      <c r="P268" t="s">
        <v>1056</v>
      </c>
      <c r="Q268" t="s">
        <v>170</v>
      </c>
      <c r="R268">
        <v>90.07</v>
      </c>
      <c r="S268">
        <v>0.5</v>
      </c>
      <c r="T268" s="118">
        <v>47178</v>
      </c>
    </row>
    <row r="269" spans="1:20" hidden="1">
      <c r="A269" t="s">
        <v>511</v>
      </c>
      <c r="B269" t="s">
        <v>478</v>
      </c>
      <c r="C269" t="s">
        <v>516</v>
      </c>
      <c r="D269" t="s">
        <v>1057</v>
      </c>
      <c r="E269" t="s">
        <v>1058</v>
      </c>
      <c r="F269">
        <v>583333.32999999996</v>
      </c>
      <c r="G269">
        <v>352062345</v>
      </c>
      <c r="H269" s="118">
        <v>45902</v>
      </c>
      <c r="I269">
        <v>55.503599999999999</v>
      </c>
      <c r="J269">
        <v>104</v>
      </c>
      <c r="K269">
        <v>323770.75</v>
      </c>
      <c r="L269">
        <v>347104.08</v>
      </c>
      <c r="M269">
        <v>23333.33</v>
      </c>
      <c r="N269">
        <v>0</v>
      </c>
      <c r="P269" t="s">
        <v>1056</v>
      </c>
      <c r="Q269" t="s">
        <v>170</v>
      </c>
      <c r="R269">
        <v>3949.71</v>
      </c>
      <c r="S269">
        <v>0</v>
      </c>
      <c r="T269" s="118">
        <v>47178</v>
      </c>
    </row>
    <row r="270" spans="1:20" hidden="1">
      <c r="A270" t="s">
        <v>511</v>
      </c>
      <c r="B270" t="s">
        <v>478</v>
      </c>
      <c r="C270" t="s">
        <v>516</v>
      </c>
      <c r="D270" t="s">
        <v>1059</v>
      </c>
      <c r="E270" t="s">
        <v>1060</v>
      </c>
      <c r="F270">
        <v>14354545.460000001</v>
      </c>
      <c r="G270">
        <v>349023355</v>
      </c>
      <c r="H270" s="118">
        <v>45898</v>
      </c>
      <c r="I270">
        <v>99.5</v>
      </c>
      <c r="J270">
        <v>99.5</v>
      </c>
      <c r="K270">
        <v>14284215.01</v>
      </c>
      <c r="L270">
        <v>14282772.73</v>
      </c>
      <c r="M270">
        <v>-1442.28</v>
      </c>
      <c r="N270">
        <v>0</v>
      </c>
      <c r="P270" t="s">
        <v>1061</v>
      </c>
      <c r="Q270" t="s">
        <v>170</v>
      </c>
      <c r="R270">
        <v>107460.55</v>
      </c>
      <c r="S270">
        <v>0</v>
      </c>
      <c r="T270" s="118">
        <v>48089</v>
      </c>
    </row>
    <row r="271" spans="1:20" hidden="1">
      <c r="A271" t="s">
        <v>511</v>
      </c>
      <c r="B271" t="s">
        <v>478</v>
      </c>
      <c r="C271" t="s">
        <v>516</v>
      </c>
      <c r="D271" t="s">
        <v>1062</v>
      </c>
      <c r="E271" t="s">
        <v>1063</v>
      </c>
      <c r="F271">
        <v>3167832.16</v>
      </c>
      <c r="G271">
        <v>349023357</v>
      </c>
      <c r="H271" s="118">
        <v>45898</v>
      </c>
      <c r="I271">
        <v>100</v>
      </c>
      <c r="J271">
        <v>99.5</v>
      </c>
      <c r="K271">
        <v>0</v>
      </c>
      <c r="L271">
        <v>-15839.16</v>
      </c>
      <c r="M271">
        <v>-15839.16</v>
      </c>
      <c r="N271">
        <v>0</v>
      </c>
      <c r="P271" t="s">
        <v>1064</v>
      </c>
      <c r="Q271" t="s">
        <v>170</v>
      </c>
      <c r="R271">
        <v>1162.3699999999999</v>
      </c>
      <c r="S271">
        <v>0.5</v>
      </c>
      <c r="T271" s="118">
        <v>48089</v>
      </c>
    </row>
    <row r="272" spans="1:20" hidden="1">
      <c r="A272" t="s">
        <v>511</v>
      </c>
      <c r="B272" t="s">
        <v>478</v>
      </c>
      <c r="C272" t="s">
        <v>516</v>
      </c>
      <c r="D272" t="s">
        <v>1065</v>
      </c>
      <c r="E272" t="s">
        <v>1066</v>
      </c>
      <c r="F272">
        <v>4987499.67</v>
      </c>
      <c r="G272">
        <v>350657665</v>
      </c>
      <c r="H272" s="118">
        <v>45909</v>
      </c>
      <c r="I272">
        <v>99.25</v>
      </c>
      <c r="J272">
        <v>99.25</v>
      </c>
      <c r="K272">
        <v>4952705.6399999997</v>
      </c>
      <c r="L272">
        <v>4950093.42</v>
      </c>
      <c r="M272">
        <v>-2612.2199999999998</v>
      </c>
      <c r="N272">
        <v>0</v>
      </c>
      <c r="P272" t="s">
        <v>643</v>
      </c>
      <c r="Q272" t="s">
        <v>170</v>
      </c>
      <c r="R272">
        <v>37337.26</v>
      </c>
      <c r="S272">
        <v>0</v>
      </c>
      <c r="T272" s="118">
        <v>48103</v>
      </c>
    </row>
    <row r="273" spans="1:20" hidden="1">
      <c r="A273" t="s">
        <v>511</v>
      </c>
      <c r="B273" t="s">
        <v>478</v>
      </c>
      <c r="C273" t="s">
        <v>516</v>
      </c>
      <c r="D273" t="s">
        <v>1067</v>
      </c>
      <c r="E273" t="s">
        <v>1068</v>
      </c>
      <c r="F273">
        <v>1332183.9099999999</v>
      </c>
      <c r="G273">
        <v>350658663</v>
      </c>
      <c r="H273" s="118">
        <v>45909</v>
      </c>
      <c r="I273">
        <v>86</v>
      </c>
      <c r="J273">
        <v>99.25</v>
      </c>
      <c r="K273">
        <v>1145678.1599999999</v>
      </c>
      <c r="L273">
        <v>1135686.78</v>
      </c>
      <c r="M273">
        <v>-9991.3799999999992</v>
      </c>
      <c r="N273">
        <v>0</v>
      </c>
      <c r="P273" t="s">
        <v>1069</v>
      </c>
      <c r="Q273" t="s">
        <v>170</v>
      </c>
      <c r="R273">
        <v>8300.41</v>
      </c>
      <c r="S273">
        <v>0.5</v>
      </c>
      <c r="T273" s="118">
        <v>48103</v>
      </c>
    </row>
    <row r="274" spans="1:20" hidden="1">
      <c r="A274" t="s">
        <v>511</v>
      </c>
      <c r="B274" t="s">
        <v>478</v>
      </c>
      <c r="C274" t="s">
        <v>516</v>
      </c>
      <c r="D274" t="s">
        <v>1070</v>
      </c>
      <c r="E274" t="s">
        <v>1071</v>
      </c>
      <c r="F274">
        <v>1228240.74</v>
      </c>
      <c r="G274">
        <v>351933777</v>
      </c>
      <c r="H274" s="118">
        <v>45929</v>
      </c>
      <c r="I274">
        <v>100</v>
      </c>
      <c r="J274">
        <v>98.75</v>
      </c>
      <c r="K274">
        <v>0</v>
      </c>
      <c r="L274">
        <v>-15353.01</v>
      </c>
      <c r="M274">
        <v>-15353.01</v>
      </c>
      <c r="N274">
        <v>0</v>
      </c>
      <c r="P274" t="s">
        <v>1072</v>
      </c>
      <c r="Q274" t="s">
        <v>170</v>
      </c>
      <c r="R274">
        <v>545.88</v>
      </c>
      <c r="S274">
        <v>0.5</v>
      </c>
      <c r="T274" s="118">
        <v>48120</v>
      </c>
    </row>
    <row r="275" spans="1:20" hidden="1">
      <c r="A275" t="s">
        <v>511</v>
      </c>
      <c r="B275" t="s">
        <v>478</v>
      </c>
      <c r="C275" t="s">
        <v>516</v>
      </c>
      <c r="D275" t="s">
        <v>1073</v>
      </c>
      <c r="E275" t="s">
        <v>1074</v>
      </c>
      <c r="F275">
        <v>3337070.73</v>
      </c>
      <c r="G275">
        <v>312707344</v>
      </c>
      <c r="H275" s="118">
        <v>45519</v>
      </c>
      <c r="I275">
        <v>99</v>
      </c>
      <c r="J275">
        <v>96.9</v>
      </c>
      <c r="K275">
        <v>3303700.02</v>
      </c>
      <c r="L275">
        <v>3233621.54</v>
      </c>
      <c r="M275">
        <v>-70078.48</v>
      </c>
      <c r="N275">
        <v>0</v>
      </c>
      <c r="O275" t="s">
        <v>1075</v>
      </c>
      <c r="Q275" t="s">
        <v>170</v>
      </c>
      <c r="R275">
        <v>2966.29</v>
      </c>
      <c r="S275">
        <v>1</v>
      </c>
      <c r="T275" s="118">
        <v>46249</v>
      </c>
    </row>
    <row r="276" spans="1:20" hidden="1">
      <c r="A276" t="s">
        <v>511</v>
      </c>
      <c r="B276" t="s">
        <v>478</v>
      </c>
      <c r="C276" t="s">
        <v>516</v>
      </c>
      <c r="D276" t="s">
        <v>1076</v>
      </c>
      <c r="E276" t="s">
        <v>1077</v>
      </c>
      <c r="F276">
        <v>553800</v>
      </c>
      <c r="G276">
        <v>326776036</v>
      </c>
      <c r="H276" s="118">
        <v>45657</v>
      </c>
      <c r="I276">
        <v>99</v>
      </c>
      <c r="J276">
        <v>101</v>
      </c>
      <c r="K276">
        <v>548262</v>
      </c>
      <c r="L276">
        <v>559338</v>
      </c>
      <c r="M276">
        <v>11076</v>
      </c>
      <c r="N276">
        <v>0</v>
      </c>
      <c r="O276" t="s">
        <v>1078</v>
      </c>
      <c r="Q276" t="s">
        <v>170</v>
      </c>
      <c r="R276">
        <v>492.27</v>
      </c>
      <c r="S276">
        <v>1</v>
      </c>
      <c r="T276" s="118">
        <v>47848</v>
      </c>
    </row>
    <row r="277" spans="1:20" hidden="1">
      <c r="A277" t="s">
        <v>511</v>
      </c>
      <c r="B277" t="s">
        <v>478</v>
      </c>
      <c r="C277" t="s">
        <v>516</v>
      </c>
      <c r="D277" t="s">
        <v>1079</v>
      </c>
      <c r="E277" t="s">
        <v>1080</v>
      </c>
      <c r="F277">
        <v>2820000</v>
      </c>
      <c r="G277">
        <v>342807249</v>
      </c>
      <c r="H277" s="118">
        <v>45821</v>
      </c>
      <c r="I277">
        <v>99</v>
      </c>
      <c r="J277">
        <v>99</v>
      </c>
      <c r="K277">
        <v>2791800</v>
      </c>
      <c r="L277">
        <v>2791800</v>
      </c>
      <c r="M277">
        <v>0</v>
      </c>
      <c r="N277">
        <v>0</v>
      </c>
      <c r="O277" t="s">
        <v>1081</v>
      </c>
      <c r="Q277" t="s">
        <v>170</v>
      </c>
      <c r="R277">
        <v>2506.67</v>
      </c>
      <c r="S277">
        <v>1</v>
      </c>
      <c r="T277" s="118">
        <v>46551</v>
      </c>
    </row>
    <row r="278" spans="1:20" hidden="1">
      <c r="A278" t="s">
        <v>511</v>
      </c>
      <c r="B278" t="s">
        <v>478</v>
      </c>
      <c r="C278" t="s">
        <v>516</v>
      </c>
      <c r="D278" t="s">
        <v>1082</v>
      </c>
      <c r="E278" t="s">
        <v>1083</v>
      </c>
      <c r="F278">
        <v>5329062.5</v>
      </c>
      <c r="G278">
        <v>314272512</v>
      </c>
      <c r="H278" s="118">
        <v>45532</v>
      </c>
      <c r="I278">
        <v>99</v>
      </c>
      <c r="J278">
        <v>100</v>
      </c>
      <c r="K278">
        <v>5275771.87</v>
      </c>
      <c r="L278">
        <v>5329062.5</v>
      </c>
      <c r="M278">
        <v>53290.63</v>
      </c>
      <c r="N278">
        <v>0</v>
      </c>
      <c r="O278" t="s">
        <v>1084</v>
      </c>
      <c r="Q278" t="s">
        <v>170</v>
      </c>
      <c r="R278">
        <v>2368.4699999999998</v>
      </c>
      <c r="S278">
        <v>0.5</v>
      </c>
      <c r="T278" s="118">
        <v>46262</v>
      </c>
    </row>
    <row r="279" spans="1:20" hidden="1">
      <c r="A279" t="s">
        <v>511</v>
      </c>
      <c r="B279" t="s">
        <v>478</v>
      </c>
      <c r="C279" t="s">
        <v>516</v>
      </c>
      <c r="D279" t="s">
        <v>1085</v>
      </c>
      <c r="E279" t="s">
        <v>1086</v>
      </c>
      <c r="F279">
        <v>3562005.28</v>
      </c>
      <c r="G279">
        <v>320678497</v>
      </c>
      <c r="H279" s="118">
        <v>45596</v>
      </c>
      <c r="I279">
        <v>99.5</v>
      </c>
      <c r="J279">
        <v>100</v>
      </c>
      <c r="K279">
        <v>3544195.25</v>
      </c>
      <c r="L279">
        <v>3562005.28</v>
      </c>
      <c r="M279">
        <v>17810.03</v>
      </c>
      <c r="N279">
        <v>0</v>
      </c>
      <c r="O279" t="s">
        <v>1087</v>
      </c>
      <c r="Q279" t="s">
        <v>170</v>
      </c>
      <c r="R279">
        <v>3166.23</v>
      </c>
      <c r="S279">
        <v>1</v>
      </c>
      <c r="T279" s="118">
        <v>46327</v>
      </c>
    </row>
    <row r="280" spans="1:20" hidden="1">
      <c r="A280" t="s">
        <v>511</v>
      </c>
      <c r="B280" t="s">
        <v>478</v>
      </c>
      <c r="C280" t="s">
        <v>516</v>
      </c>
      <c r="D280" t="s">
        <v>1088</v>
      </c>
      <c r="E280" t="s">
        <v>1089</v>
      </c>
      <c r="F280">
        <v>3915.2</v>
      </c>
      <c r="G280">
        <v>300119952</v>
      </c>
      <c r="H280" s="118">
        <v>45289</v>
      </c>
      <c r="I280">
        <v>100</v>
      </c>
      <c r="J280">
        <v>100</v>
      </c>
      <c r="K280">
        <v>3915.2</v>
      </c>
      <c r="L280">
        <v>3915.2</v>
      </c>
      <c r="M280">
        <v>0</v>
      </c>
      <c r="N280">
        <v>0</v>
      </c>
      <c r="O280" t="s">
        <v>1090</v>
      </c>
      <c r="Q280" t="s">
        <v>170</v>
      </c>
      <c r="R280">
        <v>15.66</v>
      </c>
      <c r="S280">
        <v>4.5</v>
      </c>
      <c r="T280" s="118">
        <v>47514</v>
      </c>
    </row>
    <row r="281" spans="1:20" hidden="1">
      <c r="A281" t="s">
        <v>511</v>
      </c>
      <c r="B281" t="s">
        <v>478</v>
      </c>
      <c r="C281" t="s">
        <v>516</v>
      </c>
      <c r="D281" t="s">
        <v>1091</v>
      </c>
      <c r="E281" t="s">
        <v>1089</v>
      </c>
      <c r="F281">
        <v>8070.65</v>
      </c>
      <c r="G281">
        <v>308201670</v>
      </c>
      <c r="H281" s="118">
        <v>45435</v>
      </c>
      <c r="I281">
        <v>100</v>
      </c>
      <c r="J281">
        <v>100</v>
      </c>
      <c r="K281">
        <v>8070.65</v>
      </c>
      <c r="L281">
        <v>8070.65</v>
      </c>
      <c r="M281">
        <v>0</v>
      </c>
      <c r="N281">
        <v>0</v>
      </c>
      <c r="O281" t="s">
        <v>1092</v>
      </c>
      <c r="Q281" t="s">
        <v>170</v>
      </c>
      <c r="R281">
        <v>32.28</v>
      </c>
      <c r="S281">
        <v>4.5</v>
      </c>
      <c r="T281" s="118">
        <v>47514</v>
      </c>
    </row>
    <row r="282" spans="1:20" hidden="1">
      <c r="A282" t="s">
        <v>511</v>
      </c>
      <c r="B282" t="s">
        <v>478</v>
      </c>
      <c r="C282" t="s">
        <v>516</v>
      </c>
      <c r="D282" t="s">
        <v>1091</v>
      </c>
      <c r="E282" t="s">
        <v>1089</v>
      </c>
      <c r="F282">
        <v>6364.74</v>
      </c>
      <c r="G282">
        <v>364014906</v>
      </c>
      <c r="H282" s="118">
        <v>45930</v>
      </c>
      <c r="I282">
        <v>100</v>
      </c>
      <c r="J282">
        <v>100</v>
      </c>
      <c r="K282">
        <v>6364.74</v>
      </c>
      <c r="L282">
        <v>6364.74</v>
      </c>
      <c r="M282">
        <v>0</v>
      </c>
      <c r="N282">
        <v>0</v>
      </c>
      <c r="O282" t="s">
        <v>1092</v>
      </c>
      <c r="Q282" t="s">
        <v>170</v>
      </c>
      <c r="R282">
        <v>25.46</v>
      </c>
      <c r="S282">
        <v>4.5</v>
      </c>
      <c r="T282" s="118">
        <v>47514</v>
      </c>
    </row>
    <row r="283" spans="1:20" hidden="1">
      <c r="A283" t="s">
        <v>511</v>
      </c>
      <c r="B283" t="s">
        <v>478</v>
      </c>
      <c r="C283" t="s">
        <v>516</v>
      </c>
      <c r="D283" t="s">
        <v>1093</v>
      </c>
      <c r="E283" t="s">
        <v>1094</v>
      </c>
      <c r="F283">
        <v>418639.17</v>
      </c>
      <c r="G283">
        <v>338152192</v>
      </c>
      <c r="H283" s="118">
        <v>45747</v>
      </c>
      <c r="I283">
        <v>100</v>
      </c>
      <c r="J283">
        <v>100</v>
      </c>
      <c r="K283">
        <v>418639.17</v>
      </c>
      <c r="L283">
        <v>418639.17</v>
      </c>
      <c r="M283">
        <v>0</v>
      </c>
      <c r="N283">
        <v>0</v>
      </c>
      <c r="O283" t="s">
        <v>1095</v>
      </c>
      <c r="Q283" t="s">
        <v>170</v>
      </c>
      <c r="R283">
        <v>186.06</v>
      </c>
      <c r="S283">
        <v>0.5</v>
      </c>
      <c r="T283" s="118">
        <v>46959</v>
      </c>
    </row>
    <row r="284" spans="1:20" hidden="1">
      <c r="A284" t="s">
        <v>511</v>
      </c>
      <c r="B284" t="s">
        <v>478</v>
      </c>
      <c r="C284" t="s">
        <v>516</v>
      </c>
      <c r="D284" t="s">
        <v>1093</v>
      </c>
      <c r="E284" t="s">
        <v>1094</v>
      </c>
      <c r="F284">
        <v>258309.28</v>
      </c>
      <c r="G284">
        <v>354878895</v>
      </c>
      <c r="H284" s="118">
        <v>45959</v>
      </c>
      <c r="I284">
        <v>100</v>
      </c>
      <c r="J284">
        <v>100</v>
      </c>
      <c r="K284">
        <v>258309.28</v>
      </c>
      <c r="L284">
        <v>258309.28</v>
      </c>
      <c r="M284">
        <v>0</v>
      </c>
      <c r="N284">
        <v>0</v>
      </c>
      <c r="O284" t="s">
        <v>1095</v>
      </c>
      <c r="Q284" t="s">
        <v>170</v>
      </c>
      <c r="R284">
        <v>114.8</v>
      </c>
      <c r="S284">
        <v>0.5</v>
      </c>
      <c r="T284" s="118">
        <v>46959</v>
      </c>
    </row>
    <row r="285" spans="1:20" hidden="1">
      <c r="A285" t="s">
        <v>511</v>
      </c>
      <c r="B285" t="s">
        <v>478</v>
      </c>
      <c r="C285" t="s">
        <v>516</v>
      </c>
      <c r="D285" t="s">
        <v>1096</v>
      </c>
      <c r="E285" t="s">
        <v>1097</v>
      </c>
      <c r="F285">
        <v>4812500</v>
      </c>
      <c r="G285">
        <v>297364090</v>
      </c>
      <c r="H285" s="118">
        <v>45257</v>
      </c>
      <c r="I285">
        <v>99</v>
      </c>
      <c r="J285">
        <v>100.75</v>
      </c>
      <c r="K285">
        <v>4764375</v>
      </c>
      <c r="L285">
        <v>4848593.75</v>
      </c>
      <c r="M285">
        <v>84218.75</v>
      </c>
      <c r="N285">
        <v>0</v>
      </c>
      <c r="O285" t="s">
        <v>1075</v>
      </c>
      <c r="Q285" t="s">
        <v>170</v>
      </c>
      <c r="R285">
        <v>4277.78</v>
      </c>
      <c r="S285">
        <v>1</v>
      </c>
      <c r="T285" s="118">
        <v>47455</v>
      </c>
    </row>
    <row r="286" spans="1:20" hidden="1">
      <c r="A286" t="s">
        <v>511</v>
      </c>
      <c r="B286" t="s">
        <v>478</v>
      </c>
      <c r="C286" t="s">
        <v>516</v>
      </c>
      <c r="D286" t="s">
        <v>1098</v>
      </c>
      <c r="E286" t="s">
        <v>1099</v>
      </c>
      <c r="F286">
        <v>1527777.78</v>
      </c>
      <c r="G286">
        <v>318680454</v>
      </c>
      <c r="H286" s="118">
        <v>45566</v>
      </c>
      <c r="I286">
        <v>99.25</v>
      </c>
      <c r="J286">
        <v>100.75</v>
      </c>
      <c r="K286">
        <v>1516319.45</v>
      </c>
      <c r="L286">
        <v>1539236.11</v>
      </c>
      <c r="M286">
        <v>22916.66</v>
      </c>
      <c r="N286">
        <v>0</v>
      </c>
      <c r="O286" t="s">
        <v>1075</v>
      </c>
      <c r="Q286" t="s">
        <v>170</v>
      </c>
      <c r="R286">
        <v>1358.02</v>
      </c>
      <c r="S286">
        <v>1</v>
      </c>
      <c r="T286" s="118">
        <v>46296</v>
      </c>
    </row>
    <row r="287" spans="1:20" hidden="1">
      <c r="A287" t="s">
        <v>511</v>
      </c>
      <c r="B287" t="s">
        <v>478</v>
      </c>
      <c r="C287" t="s">
        <v>516</v>
      </c>
      <c r="D287" t="s">
        <v>1100</v>
      </c>
      <c r="E287" t="s">
        <v>1101</v>
      </c>
      <c r="F287">
        <v>1230661</v>
      </c>
      <c r="G287">
        <v>348767870</v>
      </c>
      <c r="H287" s="118">
        <v>45884</v>
      </c>
      <c r="I287">
        <v>99.5</v>
      </c>
      <c r="J287">
        <v>100.25</v>
      </c>
      <c r="K287">
        <v>1224507.7</v>
      </c>
      <c r="L287">
        <v>1233737.6499999999</v>
      </c>
      <c r="M287">
        <v>9229.9500000000007</v>
      </c>
      <c r="N287">
        <v>0</v>
      </c>
      <c r="Q287" t="s">
        <v>170</v>
      </c>
      <c r="R287">
        <v>2598.06</v>
      </c>
      <c r="S287">
        <v>2.375</v>
      </c>
      <c r="T287" s="118">
        <v>46614</v>
      </c>
    </row>
    <row r="288" spans="1:20" hidden="1">
      <c r="A288" t="s">
        <v>511</v>
      </c>
      <c r="B288" t="s">
        <v>478</v>
      </c>
      <c r="C288" t="s">
        <v>516</v>
      </c>
      <c r="D288" t="s">
        <v>1102</v>
      </c>
      <c r="E288" t="s">
        <v>1103</v>
      </c>
      <c r="F288">
        <v>2077812.75</v>
      </c>
      <c r="G288">
        <v>298062208</v>
      </c>
      <c r="H288" s="118">
        <v>45352</v>
      </c>
      <c r="I288">
        <v>99</v>
      </c>
      <c r="J288">
        <v>100.5</v>
      </c>
      <c r="K288">
        <v>2057034.62</v>
      </c>
      <c r="L288">
        <v>2088201.81</v>
      </c>
      <c r="M288">
        <v>31167.19</v>
      </c>
      <c r="N288">
        <v>0</v>
      </c>
      <c r="O288" t="s">
        <v>1075</v>
      </c>
      <c r="Q288" t="s">
        <v>170</v>
      </c>
      <c r="R288">
        <v>1846.94</v>
      </c>
      <c r="S288">
        <v>1</v>
      </c>
      <c r="T288" s="118">
        <v>46082</v>
      </c>
    </row>
    <row r="289" spans="1:20" hidden="1">
      <c r="A289" t="s">
        <v>511</v>
      </c>
      <c r="B289" t="s">
        <v>478</v>
      </c>
      <c r="C289" t="s">
        <v>516</v>
      </c>
      <c r="D289" t="s">
        <v>1104</v>
      </c>
      <c r="E289" t="s">
        <v>1105</v>
      </c>
      <c r="F289">
        <v>7679776.6600000001</v>
      </c>
      <c r="G289">
        <v>297364107</v>
      </c>
      <c r="H289" s="118">
        <v>45329</v>
      </c>
      <c r="I289">
        <v>99</v>
      </c>
      <c r="J289">
        <v>99</v>
      </c>
      <c r="K289">
        <v>7602978.8899999997</v>
      </c>
      <c r="L289">
        <v>7602978.8899999997</v>
      </c>
      <c r="M289">
        <v>0</v>
      </c>
      <c r="N289">
        <v>0</v>
      </c>
      <c r="O289" t="s">
        <v>1075</v>
      </c>
      <c r="Q289" t="s">
        <v>170</v>
      </c>
      <c r="R289">
        <v>3413.23</v>
      </c>
      <c r="S289">
        <v>0.5</v>
      </c>
      <c r="T289" s="118">
        <v>46062</v>
      </c>
    </row>
    <row r="290" spans="1:20" hidden="1">
      <c r="A290" t="s">
        <v>511</v>
      </c>
      <c r="B290" t="s">
        <v>478</v>
      </c>
      <c r="C290" t="s">
        <v>516</v>
      </c>
      <c r="D290" t="s">
        <v>1106</v>
      </c>
      <c r="E290" t="s">
        <v>1107</v>
      </c>
      <c r="F290">
        <v>1049600</v>
      </c>
      <c r="G290">
        <v>322310949</v>
      </c>
      <c r="H290" s="118">
        <v>45621</v>
      </c>
      <c r="I290">
        <v>99.5</v>
      </c>
      <c r="J290">
        <v>100</v>
      </c>
      <c r="K290">
        <v>1044352</v>
      </c>
      <c r="L290">
        <v>1049600</v>
      </c>
      <c r="M290">
        <v>5248</v>
      </c>
      <c r="N290">
        <v>0</v>
      </c>
      <c r="O290" t="s">
        <v>1075</v>
      </c>
      <c r="Q290" t="s">
        <v>170</v>
      </c>
      <c r="R290">
        <v>932.98</v>
      </c>
      <c r="S290">
        <v>1</v>
      </c>
      <c r="T290" s="118">
        <v>46351</v>
      </c>
    </row>
    <row r="291" spans="1:20" hidden="1">
      <c r="A291" t="s">
        <v>511</v>
      </c>
      <c r="B291" t="s">
        <v>478</v>
      </c>
      <c r="C291" t="s">
        <v>516</v>
      </c>
      <c r="D291" t="s">
        <v>1108</v>
      </c>
      <c r="E291" t="s">
        <v>1109</v>
      </c>
      <c r="F291">
        <v>3291416.85</v>
      </c>
      <c r="G291">
        <v>345291196</v>
      </c>
      <c r="H291" s="118">
        <v>45839</v>
      </c>
      <c r="I291">
        <v>99.25</v>
      </c>
      <c r="J291">
        <v>99.5</v>
      </c>
      <c r="K291">
        <v>3266731.22</v>
      </c>
      <c r="L291">
        <v>3274959.77</v>
      </c>
      <c r="M291">
        <v>8228.5499999999993</v>
      </c>
      <c r="N291">
        <v>0</v>
      </c>
      <c r="O291" t="s">
        <v>1110</v>
      </c>
      <c r="Q291" t="s">
        <v>170</v>
      </c>
      <c r="R291">
        <v>2925.7</v>
      </c>
      <c r="S291">
        <v>1</v>
      </c>
      <c r="T291" s="118">
        <v>48030</v>
      </c>
    </row>
    <row r="292" spans="1:20" hidden="1">
      <c r="A292" t="s">
        <v>511</v>
      </c>
      <c r="B292" t="s">
        <v>478</v>
      </c>
      <c r="C292" t="s">
        <v>516</v>
      </c>
      <c r="D292" t="s">
        <v>1111</v>
      </c>
      <c r="E292" t="s">
        <v>1112</v>
      </c>
      <c r="F292">
        <v>110851.55</v>
      </c>
      <c r="G292">
        <v>344170192</v>
      </c>
      <c r="H292" s="118">
        <v>45828</v>
      </c>
      <c r="I292">
        <v>99.5</v>
      </c>
      <c r="J292">
        <v>99.7</v>
      </c>
      <c r="K292">
        <v>110417.02</v>
      </c>
      <c r="L292">
        <v>110519</v>
      </c>
      <c r="M292">
        <v>101.98</v>
      </c>
      <c r="N292">
        <v>0</v>
      </c>
      <c r="P292" t="s">
        <v>1113</v>
      </c>
      <c r="Q292" t="s">
        <v>170</v>
      </c>
      <c r="R292">
        <v>829.85</v>
      </c>
      <c r="S292">
        <v>0</v>
      </c>
      <c r="T292" s="118">
        <v>46615</v>
      </c>
    </row>
    <row r="293" spans="1:20" hidden="1">
      <c r="A293" t="s">
        <v>511</v>
      </c>
      <c r="B293" t="s">
        <v>478</v>
      </c>
      <c r="C293" t="s">
        <v>516</v>
      </c>
      <c r="D293" t="s">
        <v>1114</v>
      </c>
      <c r="E293" t="s">
        <v>1112</v>
      </c>
      <c r="F293">
        <v>692876.4</v>
      </c>
      <c r="G293">
        <v>344170263</v>
      </c>
      <c r="H293" s="118">
        <v>45838</v>
      </c>
      <c r="I293">
        <v>99.5</v>
      </c>
      <c r="J293">
        <v>99.7</v>
      </c>
      <c r="K293">
        <v>690126.24</v>
      </c>
      <c r="L293">
        <v>690797.77</v>
      </c>
      <c r="M293">
        <v>671.53</v>
      </c>
      <c r="N293">
        <v>0</v>
      </c>
      <c r="P293" t="s">
        <v>650</v>
      </c>
      <c r="Q293" t="s">
        <v>170</v>
      </c>
      <c r="R293">
        <v>5186.99</v>
      </c>
      <c r="S293">
        <v>0</v>
      </c>
      <c r="T293" s="118">
        <v>46615</v>
      </c>
    </row>
    <row r="294" spans="1:20" hidden="1">
      <c r="A294" t="s">
        <v>511</v>
      </c>
      <c r="B294" t="s">
        <v>478</v>
      </c>
      <c r="C294" t="s">
        <v>516</v>
      </c>
      <c r="D294" t="s">
        <v>1115</v>
      </c>
      <c r="E294" t="s">
        <v>1112</v>
      </c>
      <c r="F294">
        <v>1158476.3999999999</v>
      </c>
      <c r="G294">
        <v>352076756</v>
      </c>
      <c r="H294" s="118">
        <v>45930</v>
      </c>
      <c r="I294">
        <v>99.5</v>
      </c>
      <c r="J294">
        <v>99.7</v>
      </c>
      <c r="K294">
        <v>1153516.97</v>
      </c>
      <c r="L294">
        <v>1155000.97</v>
      </c>
      <c r="M294">
        <v>1484</v>
      </c>
      <c r="N294">
        <v>0</v>
      </c>
      <c r="P294" t="s">
        <v>650</v>
      </c>
      <c r="Q294" t="s">
        <v>170</v>
      </c>
      <c r="R294">
        <v>8672.5499999999993</v>
      </c>
      <c r="S294">
        <v>0</v>
      </c>
      <c r="T294" s="118">
        <v>46615</v>
      </c>
    </row>
    <row r="295" spans="1:20" hidden="1">
      <c r="A295" t="s">
        <v>511</v>
      </c>
      <c r="B295" t="s">
        <v>478</v>
      </c>
      <c r="C295" t="s">
        <v>516</v>
      </c>
      <c r="D295" t="s">
        <v>1116</v>
      </c>
      <c r="E295" t="s">
        <v>1117</v>
      </c>
      <c r="F295">
        <v>588960</v>
      </c>
      <c r="G295">
        <v>342493116</v>
      </c>
      <c r="H295" s="118">
        <v>45820</v>
      </c>
      <c r="I295">
        <v>99.5</v>
      </c>
      <c r="J295">
        <v>99.7</v>
      </c>
      <c r="K295">
        <v>586015.19999999995</v>
      </c>
      <c r="L295">
        <v>587193.12</v>
      </c>
      <c r="M295">
        <v>1177.92</v>
      </c>
      <c r="N295">
        <v>0</v>
      </c>
      <c r="O295" t="s">
        <v>1118</v>
      </c>
      <c r="Q295" t="s">
        <v>170</v>
      </c>
      <c r="R295">
        <v>523.52</v>
      </c>
      <c r="S295">
        <v>1</v>
      </c>
      <c r="T295" s="118">
        <v>46550</v>
      </c>
    </row>
    <row r="296" spans="1:20" hidden="1">
      <c r="A296" t="s">
        <v>511</v>
      </c>
      <c r="B296" t="s">
        <v>478</v>
      </c>
      <c r="C296" t="s">
        <v>516</v>
      </c>
      <c r="D296" t="s">
        <v>1119</v>
      </c>
      <c r="E296" t="s">
        <v>1120</v>
      </c>
      <c r="F296">
        <v>300000</v>
      </c>
      <c r="G296">
        <v>305655320</v>
      </c>
      <c r="H296" s="118">
        <v>45443</v>
      </c>
      <c r="I296">
        <v>98.5</v>
      </c>
      <c r="J296">
        <v>100</v>
      </c>
      <c r="K296">
        <v>295500</v>
      </c>
      <c r="L296">
        <v>300000</v>
      </c>
      <c r="M296">
        <v>4500</v>
      </c>
      <c r="N296">
        <v>0</v>
      </c>
      <c r="O296" t="s">
        <v>1121</v>
      </c>
      <c r="Q296" t="s">
        <v>170</v>
      </c>
      <c r="R296">
        <v>133.33000000000001</v>
      </c>
      <c r="S296">
        <v>0.5</v>
      </c>
      <c r="T296" s="118">
        <v>46537</v>
      </c>
    </row>
    <row r="297" spans="1:20" hidden="1">
      <c r="A297" t="s">
        <v>511</v>
      </c>
      <c r="B297" t="s">
        <v>478</v>
      </c>
      <c r="C297" t="s">
        <v>516</v>
      </c>
      <c r="D297" t="s">
        <v>1122</v>
      </c>
      <c r="E297" t="s">
        <v>1123</v>
      </c>
      <c r="F297">
        <v>12627343.73</v>
      </c>
      <c r="G297">
        <v>352062270</v>
      </c>
      <c r="H297" s="118">
        <v>45926</v>
      </c>
      <c r="I297">
        <v>99</v>
      </c>
      <c r="J297">
        <v>100</v>
      </c>
      <c r="K297">
        <v>12501070.289999999</v>
      </c>
      <c r="L297">
        <v>12627343.73</v>
      </c>
      <c r="M297">
        <v>126273.44</v>
      </c>
      <c r="N297">
        <v>0</v>
      </c>
      <c r="O297" t="s">
        <v>1124</v>
      </c>
      <c r="Q297" t="s">
        <v>170</v>
      </c>
      <c r="R297">
        <v>11224.31</v>
      </c>
      <c r="S297">
        <v>1</v>
      </c>
      <c r="T297" s="118">
        <v>46559</v>
      </c>
    </row>
    <row r="298" spans="1:20" hidden="1">
      <c r="A298" t="s">
        <v>511</v>
      </c>
      <c r="B298" t="s">
        <v>478</v>
      </c>
      <c r="C298" t="s">
        <v>516</v>
      </c>
      <c r="D298" t="s">
        <v>1125</v>
      </c>
      <c r="E298" t="s">
        <v>1126</v>
      </c>
      <c r="F298">
        <v>1389038.37</v>
      </c>
      <c r="G298">
        <v>325567051</v>
      </c>
      <c r="H298" s="118">
        <v>45639</v>
      </c>
      <c r="I298">
        <v>99</v>
      </c>
      <c r="J298">
        <v>100</v>
      </c>
      <c r="K298">
        <v>1375147.99</v>
      </c>
      <c r="L298">
        <v>1389038.37</v>
      </c>
      <c r="M298">
        <v>13890.38</v>
      </c>
      <c r="N298">
        <v>0</v>
      </c>
      <c r="O298" t="s">
        <v>1127</v>
      </c>
      <c r="Q298" t="s">
        <v>170</v>
      </c>
      <c r="R298">
        <v>1234.7</v>
      </c>
      <c r="S298">
        <v>1</v>
      </c>
      <c r="T298" s="118">
        <v>46369</v>
      </c>
    </row>
    <row r="299" spans="1:20" hidden="1">
      <c r="A299" t="s">
        <v>511</v>
      </c>
      <c r="B299" t="s">
        <v>478</v>
      </c>
      <c r="C299" t="s">
        <v>516</v>
      </c>
      <c r="D299" t="s">
        <v>1128</v>
      </c>
      <c r="E299" t="s">
        <v>1129</v>
      </c>
      <c r="F299">
        <v>3931716.6</v>
      </c>
      <c r="G299">
        <v>318935889</v>
      </c>
      <c r="H299" s="118">
        <v>45569</v>
      </c>
      <c r="I299">
        <v>98.855500000000006</v>
      </c>
      <c r="J299">
        <v>100</v>
      </c>
      <c r="K299">
        <v>3912735.85</v>
      </c>
      <c r="L299">
        <v>3931716.6</v>
      </c>
      <c r="M299">
        <v>18980.75</v>
      </c>
      <c r="N299">
        <v>0</v>
      </c>
      <c r="P299" t="s">
        <v>665</v>
      </c>
      <c r="Q299" t="s">
        <v>170</v>
      </c>
      <c r="R299">
        <v>50843.02</v>
      </c>
      <c r="S299">
        <v>0</v>
      </c>
      <c r="T299" s="118">
        <v>46379</v>
      </c>
    </row>
    <row r="300" spans="1:20" hidden="1">
      <c r="A300" t="s">
        <v>511</v>
      </c>
      <c r="B300" t="s">
        <v>478</v>
      </c>
      <c r="C300" t="s">
        <v>516</v>
      </c>
      <c r="D300" t="s">
        <v>1130</v>
      </c>
      <c r="E300" t="s">
        <v>1129</v>
      </c>
      <c r="F300">
        <v>2634304.2000000002</v>
      </c>
      <c r="G300">
        <v>321899503</v>
      </c>
      <c r="H300" s="118">
        <v>45618</v>
      </c>
      <c r="I300">
        <v>98.667599999999993</v>
      </c>
      <c r="J300">
        <v>100</v>
      </c>
      <c r="K300">
        <v>2618391.2200000002</v>
      </c>
      <c r="L300">
        <v>2634304.2000000002</v>
      </c>
      <c r="M300">
        <v>15912.98</v>
      </c>
      <c r="N300">
        <v>0</v>
      </c>
      <c r="P300" t="s">
        <v>665</v>
      </c>
      <c r="Q300" t="s">
        <v>170</v>
      </c>
      <c r="R300">
        <v>34065.519999999997</v>
      </c>
      <c r="S300">
        <v>0</v>
      </c>
      <c r="T300" s="118">
        <v>46379</v>
      </c>
    </row>
    <row r="301" spans="1:20" hidden="1">
      <c r="A301" t="s">
        <v>511</v>
      </c>
      <c r="B301" t="s">
        <v>478</v>
      </c>
      <c r="C301" t="s">
        <v>516</v>
      </c>
      <c r="D301" t="s">
        <v>1131</v>
      </c>
      <c r="E301" t="s">
        <v>1129</v>
      </c>
      <c r="F301">
        <v>902803.28</v>
      </c>
      <c r="G301">
        <v>326338430</v>
      </c>
      <c r="H301" s="118">
        <v>45649</v>
      </c>
      <c r="I301">
        <v>98.5047</v>
      </c>
      <c r="J301">
        <v>100</v>
      </c>
      <c r="K301">
        <v>896483.03</v>
      </c>
      <c r="L301">
        <v>902803.28</v>
      </c>
      <c r="M301">
        <v>6320.25</v>
      </c>
      <c r="N301">
        <v>0</v>
      </c>
      <c r="P301" t="s">
        <v>665</v>
      </c>
      <c r="Q301" t="s">
        <v>170</v>
      </c>
      <c r="R301">
        <v>11674.61</v>
      </c>
      <c r="S301">
        <v>0</v>
      </c>
      <c r="T301" s="118">
        <v>46379</v>
      </c>
    </row>
    <row r="302" spans="1:20" hidden="1">
      <c r="A302" t="s">
        <v>511</v>
      </c>
      <c r="B302" t="s">
        <v>478</v>
      </c>
      <c r="C302" t="s">
        <v>516</v>
      </c>
      <c r="D302" t="s">
        <v>1132</v>
      </c>
      <c r="E302" t="s">
        <v>1129</v>
      </c>
      <c r="F302">
        <v>225449.83</v>
      </c>
      <c r="G302">
        <v>328561929</v>
      </c>
      <c r="H302" s="118">
        <v>45673</v>
      </c>
      <c r="I302">
        <v>98.542900000000003</v>
      </c>
      <c r="J302">
        <v>100</v>
      </c>
      <c r="K302">
        <v>223843.73</v>
      </c>
      <c r="L302">
        <v>225449.83</v>
      </c>
      <c r="M302">
        <v>1606.1</v>
      </c>
      <c r="N302">
        <v>0</v>
      </c>
      <c r="P302" t="s">
        <v>665</v>
      </c>
      <c r="Q302" t="s">
        <v>170</v>
      </c>
      <c r="R302">
        <v>2915.41</v>
      </c>
      <c r="S302">
        <v>0</v>
      </c>
      <c r="T302" s="118">
        <v>46379</v>
      </c>
    </row>
    <row r="303" spans="1:20" hidden="1">
      <c r="A303" t="s">
        <v>511</v>
      </c>
      <c r="B303" t="s">
        <v>478</v>
      </c>
      <c r="C303" t="s">
        <v>516</v>
      </c>
      <c r="D303" t="s">
        <v>1133</v>
      </c>
      <c r="E303" t="s">
        <v>1129</v>
      </c>
      <c r="F303">
        <v>2541000</v>
      </c>
      <c r="G303">
        <v>360688120</v>
      </c>
      <c r="H303" s="118">
        <v>46010</v>
      </c>
      <c r="I303">
        <v>98.5</v>
      </c>
      <c r="J303">
        <v>100</v>
      </c>
      <c r="K303">
        <v>2507509.35</v>
      </c>
      <c r="L303">
        <v>2541000</v>
      </c>
      <c r="M303">
        <v>33490.65</v>
      </c>
      <c r="N303">
        <v>0</v>
      </c>
      <c r="P303" t="s">
        <v>665</v>
      </c>
      <c r="Q303" t="s">
        <v>170</v>
      </c>
      <c r="R303">
        <v>32858.959999999999</v>
      </c>
      <c r="S303">
        <v>0</v>
      </c>
      <c r="T303" s="118">
        <v>46379</v>
      </c>
    </row>
    <row r="304" spans="1:20" hidden="1">
      <c r="A304" t="s">
        <v>511</v>
      </c>
      <c r="B304" t="s">
        <v>478</v>
      </c>
      <c r="C304" t="s">
        <v>516</v>
      </c>
      <c r="D304" t="s">
        <v>1134</v>
      </c>
      <c r="E304" t="s">
        <v>1135</v>
      </c>
      <c r="F304">
        <v>510728.8</v>
      </c>
      <c r="G304">
        <v>314379990</v>
      </c>
      <c r="H304" s="118">
        <v>45534</v>
      </c>
      <c r="I304">
        <v>99.125</v>
      </c>
      <c r="J304">
        <v>99.25</v>
      </c>
      <c r="K304">
        <v>506259.92</v>
      </c>
      <c r="L304">
        <v>506898.33</v>
      </c>
      <c r="M304">
        <v>638.41</v>
      </c>
      <c r="N304">
        <v>0</v>
      </c>
      <c r="O304" t="s">
        <v>1136</v>
      </c>
      <c r="Q304" t="s">
        <v>170</v>
      </c>
      <c r="R304">
        <v>453.98</v>
      </c>
      <c r="S304">
        <v>1</v>
      </c>
      <c r="T304" s="118">
        <v>46062</v>
      </c>
    </row>
    <row r="305" spans="1:20" hidden="1">
      <c r="A305" t="s">
        <v>511</v>
      </c>
      <c r="B305" t="s">
        <v>478</v>
      </c>
      <c r="C305" t="s">
        <v>516</v>
      </c>
      <c r="D305" t="s">
        <v>1137</v>
      </c>
      <c r="E305" t="s">
        <v>1138</v>
      </c>
      <c r="F305">
        <v>4756394.04</v>
      </c>
      <c r="G305">
        <v>316462811</v>
      </c>
      <c r="H305" s="118">
        <v>45558</v>
      </c>
      <c r="I305">
        <v>99.25</v>
      </c>
      <c r="J305">
        <v>100</v>
      </c>
      <c r="K305">
        <v>4720721.08</v>
      </c>
      <c r="L305">
        <v>4756394.04</v>
      </c>
      <c r="M305">
        <v>35672.959999999999</v>
      </c>
      <c r="N305">
        <v>0</v>
      </c>
      <c r="O305" t="s">
        <v>1118</v>
      </c>
      <c r="Q305" t="s">
        <v>170</v>
      </c>
      <c r="R305">
        <v>4227.91</v>
      </c>
      <c r="S305">
        <v>1</v>
      </c>
      <c r="T305" s="118">
        <v>46288</v>
      </c>
    </row>
    <row r="306" spans="1:20" hidden="1">
      <c r="A306" t="s">
        <v>511</v>
      </c>
      <c r="B306" t="s">
        <v>478</v>
      </c>
      <c r="C306" t="s">
        <v>516</v>
      </c>
      <c r="D306" t="s">
        <v>1139</v>
      </c>
      <c r="E306" t="s">
        <v>1140</v>
      </c>
      <c r="F306">
        <v>74565.820000000007</v>
      </c>
      <c r="G306">
        <v>318694597</v>
      </c>
      <c r="H306" s="118">
        <v>45574</v>
      </c>
      <c r="I306">
        <v>81.5</v>
      </c>
      <c r="J306">
        <v>100</v>
      </c>
      <c r="K306">
        <v>60771.15</v>
      </c>
      <c r="L306">
        <v>74565.820000000007</v>
      </c>
      <c r="M306">
        <v>13794.67</v>
      </c>
      <c r="N306">
        <v>0</v>
      </c>
      <c r="S306">
        <v>0</v>
      </c>
      <c r="T306" s="118">
        <v>46581</v>
      </c>
    </row>
    <row r="307" spans="1:20" hidden="1">
      <c r="A307" t="s">
        <v>511</v>
      </c>
      <c r="B307" t="s">
        <v>478</v>
      </c>
      <c r="C307" t="s">
        <v>516</v>
      </c>
      <c r="D307" t="s">
        <v>1141</v>
      </c>
      <c r="E307" t="s">
        <v>1142</v>
      </c>
      <c r="F307">
        <v>9090909.0999999996</v>
      </c>
      <c r="G307">
        <v>319850723</v>
      </c>
      <c r="H307" s="118">
        <v>45589</v>
      </c>
      <c r="I307">
        <v>99.5</v>
      </c>
      <c r="J307">
        <v>100</v>
      </c>
      <c r="K307">
        <v>9045454.5500000007</v>
      </c>
      <c r="L307">
        <v>9090909.0999999996</v>
      </c>
      <c r="M307">
        <v>45454.55</v>
      </c>
      <c r="N307">
        <v>0</v>
      </c>
      <c r="Q307" t="s">
        <v>170</v>
      </c>
      <c r="R307">
        <v>8080.81</v>
      </c>
      <c r="S307">
        <v>1</v>
      </c>
      <c r="T307" s="118">
        <v>47115</v>
      </c>
    </row>
    <row r="308" spans="1:20" hidden="1">
      <c r="A308" t="s">
        <v>511</v>
      </c>
      <c r="B308" t="s">
        <v>478</v>
      </c>
      <c r="C308" t="s">
        <v>516</v>
      </c>
      <c r="D308" t="s">
        <v>1143</v>
      </c>
      <c r="E308" t="s">
        <v>1144</v>
      </c>
      <c r="F308">
        <v>2042488.62</v>
      </c>
      <c r="G308">
        <v>317554455</v>
      </c>
      <c r="H308" s="118">
        <v>45565</v>
      </c>
      <c r="I308">
        <v>99</v>
      </c>
      <c r="J308">
        <v>100</v>
      </c>
      <c r="K308">
        <v>2022063.73</v>
      </c>
      <c r="L308">
        <v>2042488.62</v>
      </c>
      <c r="M308">
        <v>20424.89</v>
      </c>
      <c r="N308">
        <v>0</v>
      </c>
      <c r="O308" t="s">
        <v>1145</v>
      </c>
      <c r="Q308" t="s">
        <v>170</v>
      </c>
      <c r="R308">
        <v>1758.81</v>
      </c>
      <c r="S308">
        <v>1</v>
      </c>
      <c r="T308" s="118">
        <v>46295</v>
      </c>
    </row>
    <row r="309" spans="1:20" hidden="1">
      <c r="A309" t="s">
        <v>511</v>
      </c>
      <c r="B309" t="s">
        <v>478</v>
      </c>
      <c r="C309" t="s">
        <v>516</v>
      </c>
      <c r="D309" t="s">
        <v>1146</v>
      </c>
      <c r="E309" t="s">
        <v>1147</v>
      </c>
      <c r="F309">
        <v>2615265.9</v>
      </c>
      <c r="G309">
        <v>326064852</v>
      </c>
      <c r="H309" s="118">
        <v>45646</v>
      </c>
      <c r="I309">
        <v>99.125</v>
      </c>
      <c r="J309">
        <v>95.4</v>
      </c>
      <c r="K309">
        <v>2592382.33</v>
      </c>
      <c r="L309">
        <v>2494963.67</v>
      </c>
      <c r="M309">
        <v>-97418.66</v>
      </c>
      <c r="N309">
        <v>0</v>
      </c>
      <c r="O309" t="s">
        <v>1148</v>
      </c>
      <c r="Q309" t="s">
        <v>170</v>
      </c>
      <c r="R309">
        <v>2324.6799999999998</v>
      </c>
      <c r="S309">
        <v>1</v>
      </c>
      <c r="T309" s="118">
        <v>46376</v>
      </c>
    </row>
    <row r="310" spans="1:20" hidden="1">
      <c r="A310" t="s">
        <v>511</v>
      </c>
      <c r="B310" t="s">
        <v>478</v>
      </c>
      <c r="C310" t="s">
        <v>516</v>
      </c>
      <c r="D310" t="s">
        <v>1149</v>
      </c>
      <c r="E310" t="s">
        <v>1150</v>
      </c>
      <c r="F310">
        <v>845191.42</v>
      </c>
      <c r="G310">
        <v>333707854</v>
      </c>
      <c r="H310" s="118">
        <v>45733</v>
      </c>
      <c r="I310">
        <v>99.125</v>
      </c>
      <c r="J310">
        <v>95.4</v>
      </c>
      <c r="K310">
        <v>838876.74</v>
      </c>
      <c r="L310">
        <v>806312.61</v>
      </c>
      <c r="M310">
        <v>-32564.13</v>
      </c>
      <c r="N310">
        <v>0</v>
      </c>
      <c r="P310" t="s">
        <v>1151</v>
      </c>
      <c r="Q310" t="s">
        <v>170</v>
      </c>
      <c r="R310">
        <v>6702.89</v>
      </c>
      <c r="S310">
        <v>0</v>
      </c>
      <c r="T310" s="118">
        <v>47472</v>
      </c>
    </row>
    <row r="311" spans="1:20" hidden="1">
      <c r="A311" t="s">
        <v>511</v>
      </c>
      <c r="B311" t="s">
        <v>478</v>
      </c>
      <c r="C311" t="s">
        <v>516</v>
      </c>
      <c r="D311" t="s">
        <v>1152</v>
      </c>
      <c r="E311" t="s">
        <v>1150</v>
      </c>
      <c r="F311">
        <v>831186.24</v>
      </c>
      <c r="G311">
        <v>337452815</v>
      </c>
      <c r="H311" s="118">
        <v>45757</v>
      </c>
      <c r="I311">
        <v>99.125</v>
      </c>
      <c r="J311">
        <v>95.4</v>
      </c>
      <c r="K311">
        <v>824840.72</v>
      </c>
      <c r="L311">
        <v>792951.67</v>
      </c>
      <c r="M311">
        <v>-31889.05</v>
      </c>
      <c r="N311">
        <v>0</v>
      </c>
      <c r="P311" t="s">
        <v>918</v>
      </c>
      <c r="Q311" t="s">
        <v>170</v>
      </c>
      <c r="R311">
        <v>6591.82</v>
      </c>
      <c r="S311">
        <v>0</v>
      </c>
      <c r="T311" s="118">
        <v>47472</v>
      </c>
    </row>
    <row r="312" spans="1:20" hidden="1">
      <c r="A312" t="s">
        <v>511</v>
      </c>
      <c r="B312" t="s">
        <v>478</v>
      </c>
      <c r="C312" t="s">
        <v>516</v>
      </c>
      <c r="D312" t="s">
        <v>1153</v>
      </c>
      <c r="E312" t="s">
        <v>1150</v>
      </c>
      <c r="F312">
        <v>119987.37</v>
      </c>
      <c r="G312">
        <v>340768046</v>
      </c>
      <c r="H312" s="118">
        <v>45807</v>
      </c>
      <c r="I312">
        <v>99.125</v>
      </c>
      <c r="J312">
        <v>95.4</v>
      </c>
      <c r="K312">
        <v>119051.12</v>
      </c>
      <c r="L312">
        <v>114467.95</v>
      </c>
      <c r="M312">
        <v>-4583.17</v>
      </c>
      <c r="N312">
        <v>0</v>
      </c>
      <c r="P312" t="s">
        <v>918</v>
      </c>
      <c r="Q312" t="s">
        <v>170</v>
      </c>
      <c r="R312">
        <v>951.57</v>
      </c>
      <c r="S312">
        <v>0</v>
      </c>
      <c r="T312" s="118">
        <v>47472</v>
      </c>
    </row>
    <row r="313" spans="1:20" hidden="1">
      <c r="A313" t="s">
        <v>511</v>
      </c>
      <c r="B313" t="s">
        <v>478</v>
      </c>
      <c r="C313" t="s">
        <v>516</v>
      </c>
      <c r="D313" t="s">
        <v>1154</v>
      </c>
      <c r="E313" t="s">
        <v>1150</v>
      </c>
      <c r="F313">
        <v>148691.09</v>
      </c>
      <c r="G313">
        <v>356234715</v>
      </c>
      <c r="H313" s="118">
        <v>45964</v>
      </c>
      <c r="I313">
        <v>99.125</v>
      </c>
      <c r="J313">
        <v>95.4</v>
      </c>
      <c r="K313">
        <v>147463.23000000001</v>
      </c>
      <c r="L313">
        <v>141851.29999999999</v>
      </c>
      <c r="M313">
        <v>-5611.93</v>
      </c>
      <c r="N313">
        <v>0</v>
      </c>
      <c r="P313" t="s">
        <v>918</v>
      </c>
      <c r="Q313" t="s">
        <v>170</v>
      </c>
      <c r="R313">
        <v>1179.21</v>
      </c>
      <c r="S313">
        <v>0</v>
      </c>
      <c r="T313" s="118">
        <v>47472</v>
      </c>
    </row>
    <row r="314" spans="1:20" hidden="1">
      <c r="A314" t="s">
        <v>511</v>
      </c>
      <c r="B314" t="s">
        <v>478</v>
      </c>
      <c r="C314" t="s">
        <v>516</v>
      </c>
      <c r="D314" t="s">
        <v>1155</v>
      </c>
      <c r="E314" t="s">
        <v>1150</v>
      </c>
      <c r="F314">
        <v>841970.06</v>
      </c>
      <c r="G314">
        <v>360557883</v>
      </c>
      <c r="H314" s="118">
        <v>46010</v>
      </c>
      <c r="I314">
        <v>99.125</v>
      </c>
      <c r="J314">
        <v>95.4</v>
      </c>
      <c r="K314">
        <v>834919.74</v>
      </c>
      <c r="L314">
        <v>803239.44</v>
      </c>
      <c r="M314">
        <v>-31680.3</v>
      </c>
      <c r="N314">
        <v>0</v>
      </c>
      <c r="P314" t="s">
        <v>918</v>
      </c>
      <c r="Q314" t="s">
        <v>170</v>
      </c>
      <c r="R314">
        <v>9211.26</v>
      </c>
      <c r="S314">
        <v>0</v>
      </c>
      <c r="T314" s="118">
        <v>47472</v>
      </c>
    </row>
    <row r="315" spans="1:20" hidden="1">
      <c r="A315" t="s">
        <v>511</v>
      </c>
      <c r="B315" t="s">
        <v>478</v>
      </c>
      <c r="C315" t="s">
        <v>516</v>
      </c>
      <c r="D315" t="s">
        <v>1156</v>
      </c>
      <c r="E315" t="s">
        <v>1157</v>
      </c>
      <c r="F315">
        <v>1186986.02</v>
      </c>
      <c r="G315">
        <v>310221655</v>
      </c>
      <c r="H315" s="118">
        <v>45485</v>
      </c>
      <c r="I315">
        <v>99</v>
      </c>
      <c r="J315">
        <v>99.5</v>
      </c>
      <c r="K315">
        <v>1175116.1599999999</v>
      </c>
      <c r="L315">
        <v>1181051.0900000001</v>
      </c>
      <c r="M315">
        <v>5934.93</v>
      </c>
      <c r="N315">
        <v>0</v>
      </c>
      <c r="O315" t="s">
        <v>1158</v>
      </c>
      <c r="Q315" t="s">
        <v>170</v>
      </c>
      <c r="R315">
        <v>527.54999999999995</v>
      </c>
      <c r="S315">
        <v>0.5</v>
      </c>
      <c r="T315" s="118">
        <v>46215</v>
      </c>
    </row>
    <row r="316" spans="1:20" hidden="1">
      <c r="A316" t="s">
        <v>511</v>
      </c>
      <c r="B316" t="s">
        <v>478</v>
      </c>
      <c r="C316" t="s">
        <v>516</v>
      </c>
      <c r="D316" t="s">
        <v>1159</v>
      </c>
      <c r="E316" t="s">
        <v>1160</v>
      </c>
      <c r="F316">
        <v>1710549.52</v>
      </c>
      <c r="G316">
        <v>355009142</v>
      </c>
      <c r="H316" s="118">
        <v>45940</v>
      </c>
      <c r="I316">
        <v>99.5</v>
      </c>
      <c r="J316">
        <v>99.5</v>
      </c>
      <c r="K316">
        <v>1701996.77</v>
      </c>
      <c r="L316">
        <v>1701996.77</v>
      </c>
      <c r="M316">
        <v>0</v>
      </c>
      <c r="N316">
        <v>0</v>
      </c>
      <c r="O316" t="s">
        <v>1158</v>
      </c>
      <c r="Q316" t="s">
        <v>170</v>
      </c>
      <c r="R316">
        <v>760.24</v>
      </c>
      <c r="S316">
        <v>0.5</v>
      </c>
      <c r="T316" s="118">
        <v>46899</v>
      </c>
    </row>
    <row r="317" spans="1:20" hidden="1">
      <c r="A317" t="s">
        <v>511</v>
      </c>
      <c r="B317" t="s">
        <v>478</v>
      </c>
      <c r="C317" t="s">
        <v>516</v>
      </c>
      <c r="D317" t="s">
        <v>1161</v>
      </c>
      <c r="E317" t="s">
        <v>1162</v>
      </c>
      <c r="F317">
        <v>2623872.61</v>
      </c>
      <c r="G317">
        <v>349778720</v>
      </c>
      <c r="H317" s="118">
        <v>45880</v>
      </c>
      <c r="I317">
        <v>99.5</v>
      </c>
      <c r="J317">
        <v>100</v>
      </c>
      <c r="K317">
        <v>2610753.25</v>
      </c>
      <c r="L317">
        <v>2623872.61</v>
      </c>
      <c r="M317">
        <v>13119.36</v>
      </c>
      <c r="N317">
        <v>0</v>
      </c>
      <c r="O317" t="s">
        <v>1163</v>
      </c>
      <c r="Q317" t="s">
        <v>170</v>
      </c>
      <c r="R317">
        <v>2332.33</v>
      </c>
      <c r="S317">
        <v>1</v>
      </c>
      <c r="T317" s="118">
        <v>47513</v>
      </c>
    </row>
    <row r="318" spans="1:20" hidden="1">
      <c r="A318" t="s">
        <v>511</v>
      </c>
      <c r="B318" t="s">
        <v>478</v>
      </c>
      <c r="C318" t="s">
        <v>516</v>
      </c>
      <c r="D318" t="s">
        <v>1164</v>
      </c>
      <c r="E318" t="s">
        <v>1165</v>
      </c>
      <c r="F318">
        <v>654272.41</v>
      </c>
      <c r="G318">
        <v>329466416</v>
      </c>
      <c r="H318" s="118">
        <v>45646</v>
      </c>
      <c r="I318">
        <v>99.586600000000004</v>
      </c>
      <c r="J318">
        <v>100</v>
      </c>
      <c r="K318">
        <v>651567.65</v>
      </c>
      <c r="L318">
        <v>654272.41</v>
      </c>
      <c r="M318">
        <v>2704.76</v>
      </c>
      <c r="N318">
        <v>0</v>
      </c>
      <c r="O318" t="s">
        <v>1166</v>
      </c>
      <c r="Q318" t="s">
        <v>170</v>
      </c>
      <c r="R318">
        <v>545.23</v>
      </c>
      <c r="S318">
        <v>1</v>
      </c>
      <c r="T318" s="118">
        <v>46203</v>
      </c>
    </row>
    <row r="319" spans="1:20" hidden="1">
      <c r="A319" t="s">
        <v>511</v>
      </c>
      <c r="B319" t="s">
        <v>478</v>
      </c>
      <c r="C319" t="s">
        <v>516</v>
      </c>
      <c r="D319" t="s">
        <v>1164</v>
      </c>
      <c r="E319" t="s">
        <v>1165</v>
      </c>
      <c r="F319">
        <v>1300000</v>
      </c>
      <c r="G319">
        <v>339866083</v>
      </c>
      <c r="H319" s="118">
        <v>45748</v>
      </c>
      <c r="I319">
        <v>99.586600000000004</v>
      </c>
      <c r="J319">
        <v>100</v>
      </c>
      <c r="K319">
        <v>1294625.8</v>
      </c>
      <c r="L319">
        <v>1300000</v>
      </c>
      <c r="M319">
        <v>5374.2</v>
      </c>
      <c r="N319">
        <v>0</v>
      </c>
      <c r="O319" t="s">
        <v>1166</v>
      </c>
      <c r="Q319" t="s">
        <v>170</v>
      </c>
      <c r="R319">
        <v>1083.33</v>
      </c>
      <c r="S319">
        <v>1</v>
      </c>
      <c r="T319" s="118">
        <v>46203</v>
      </c>
    </row>
    <row r="320" spans="1:20" hidden="1">
      <c r="A320" t="s">
        <v>511</v>
      </c>
      <c r="B320" t="s">
        <v>478</v>
      </c>
      <c r="C320" t="s">
        <v>516</v>
      </c>
      <c r="D320" t="s">
        <v>1167</v>
      </c>
      <c r="E320" t="s">
        <v>1168</v>
      </c>
      <c r="F320">
        <v>3806915.97</v>
      </c>
      <c r="G320">
        <v>317051450</v>
      </c>
      <c r="H320" s="118">
        <v>45565</v>
      </c>
      <c r="I320">
        <v>99.125</v>
      </c>
      <c r="J320">
        <v>98.75</v>
      </c>
      <c r="K320">
        <v>3773605.46</v>
      </c>
      <c r="L320">
        <v>3759329.52</v>
      </c>
      <c r="M320">
        <v>-14275.94</v>
      </c>
      <c r="N320">
        <v>0</v>
      </c>
      <c r="O320" t="s">
        <v>1166</v>
      </c>
      <c r="Q320" t="s">
        <v>170</v>
      </c>
      <c r="R320">
        <v>3383.93</v>
      </c>
      <c r="S320">
        <v>1</v>
      </c>
      <c r="T320" s="118">
        <v>46295</v>
      </c>
    </row>
    <row r="321" spans="1:20" hidden="1">
      <c r="A321" t="s">
        <v>511</v>
      </c>
      <c r="B321" t="s">
        <v>478</v>
      </c>
      <c r="C321" t="s">
        <v>516</v>
      </c>
      <c r="D321" t="s">
        <v>1169</v>
      </c>
      <c r="E321" t="s">
        <v>1170</v>
      </c>
      <c r="F321">
        <v>830728.48</v>
      </c>
      <c r="G321">
        <v>302903738</v>
      </c>
      <c r="H321" s="118">
        <v>45411</v>
      </c>
      <c r="I321">
        <v>99.25</v>
      </c>
      <c r="J321">
        <v>97.75</v>
      </c>
      <c r="K321">
        <v>824498.02</v>
      </c>
      <c r="L321">
        <v>812037.09</v>
      </c>
      <c r="M321">
        <v>-12460.93</v>
      </c>
      <c r="N321">
        <v>0</v>
      </c>
      <c r="O321" t="s">
        <v>1075</v>
      </c>
      <c r="Q321" t="s">
        <v>170</v>
      </c>
      <c r="R321">
        <v>728.31</v>
      </c>
      <c r="S321">
        <v>1</v>
      </c>
      <c r="T321" s="118">
        <v>46141</v>
      </c>
    </row>
    <row r="322" spans="1:20" hidden="1">
      <c r="A322" t="s">
        <v>511</v>
      </c>
      <c r="B322" t="s">
        <v>478</v>
      </c>
      <c r="C322" t="s">
        <v>516</v>
      </c>
      <c r="D322" t="s">
        <v>1171</v>
      </c>
      <c r="E322" t="s">
        <v>1172</v>
      </c>
      <c r="F322">
        <v>3479168.6</v>
      </c>
      <c r="G322">
        <v>337743253</v>
      </c>
      <c r="H322" s="118">
        <v>45768</v>
      </c>
      <c r="I322">
        <v>99.5</v>
      </c>
      <c r="J322">
        <v>99.75</v>
      </c>
      <c r="K322">
        <v>3461772.76</v>
      </c>
      <c r="L322">
        <v>3470470.68</v>
      </c>
      <c r="M322">
        <v>8697.92</v>
      </c>
      <c r="N322">
        <v>0</v>
      </c>
      <c r="O322" t="s">
        <v>1173</v>
      </c>
      <c r="Q322" t="s">
        <v>170</v>
      </c>
      <c r="R322">
        <v>2899.31</v>
      </c>
      <c r="S322">
        <v>1</v>
      </c>
      <c r="T322" s="118">
        <v>46498</v>
      </c>
    </row>
    <row r="323" spans="1:20" hidden="1">
      <c r="A323" t="s">
        <v>511</v>
      </c>
      <c r="B323" t="s">
        <v>478</v>
      </c>
      <c r="C323" t="s">
        <v>516</v>
      </c>
      <c r="D323" t="s">
        <v>1174</v>
      </c>
      <c r="E323" t="s">
        <v>1175</v>
      </c>
      <c r="F323">
        <v>4250000</v>
      </c>
      <c r="G323">
        <v>354714618</v>
      </c>
      <c r="H323" s="118">
        <v>45936</v>
      </c>
      <c r="I323">
        <v>99</v>
      </c>
      <c r="J323">
        <v>99</v>
      </c>
      <c r="K323">
        <v>4207500</v>
      </c>
      <c r="L323">
        <v>4207500</v>
      </c>
      <c r="M323">
        <v>0</v>
      </c>
      <c r="N323">
        <v>0</v>
      </c>
      <c r="O323" t="s">
        <v>1176</v>
      </c>
      <c r="Q323" t="s">
        <v>170</v>
      </c>
      <c r="R323">
        <v>3541.67</v>
      </c>
      <c r="S323">
        <v>1</v>
      </c>
      <c r="T323" s="118">
        <v>46739</v>
      </c>
    </row>
    <row r="324" spans="1:20" hidden="1">
      <c r="A324" t="s">
        <v>511</v>
      </c>
      <c r="B324" t="s">
        <v>478</v>
      </c>
      <c r="C324" t="s">
        <v>516</v>
      </c>
      <c r="D324" t="s">
        <v>1177</v>
      </c>
      <c r="E324" t="s">
        <v>1178</v>
      </c>
      <c r="F324">
        <v>4140067.72</v>
      </c>
      <c r="G324">
        <v>354858679</v>
      </c>
      <c r="H324" s="118">
        <v>45944</v>
      </c>
      <c r="I324">
        <v>99.125</v>
      </c>
      <c r="J324">
        <v>99.4</v>
      </c>
      <c r="K324">
        <v>4103842.13</v>
      </c>
      <c r="L324">
        <v>4115227.31</v>
      </c>
      <c r="M324">
        <v>11385.18</v>
      </c>
      <c r="N324">
        <v>0</v>
      </c>
      <c r="Q324" t="s">
        <v>170</v>
      </c>
      <c r="R324">
        <v>115</v>
      </c>
      <c r="S324">
        <v>0.5</v>
      </c>
      <c r="T324" s="118">
        <v>46674</v>
      </c>
    </row>
    <row r="325" spans="1:20" hidden="1">
      <c r="A325" t="s">
        <v>511</v>
      </c>
      <c r="B325" t="s">
        <v>478</v>
      </c>
      <c r="C325" t="s">
        <v>516</v>
      </c>
      <c r="D325" t="s">
        <v>1179</v>
      </c>
      <c r="E325" t="s">
        <v>1180</v>
      </c>
      <c r="F325">
        <v>9314464.3399999999</v>
      </c>
      <c r="G325">
        <v>359028864</v>
      </c>
      <c r="H325" s="118">
        <v>45996</v>
      </c>
      <c r="I325">
        <v>99.5</v>
      </c>
      <c r="J325">
        <v>99</v>
      </c>
      <c r="K325">
        <v>9267892.0199999996</v>
      </c>
      <c r="L325">
        <v>9221319.6999999993</v>
      </c>
      <c r="M325">
        <v>-46572.32</v>
      </c>
      <c r="N325">
        <v>0</v>
      </c>
      <c r="O325" t="s">
        <v>1075</v>
      </c>
      <c r="Q325" t="s">
        <v>170</v>
      </c>
      <c r="R325">
        <v>8279.52</v>
      </c>
      <c r="S325">
        <v>1</v>
      </c>
      <c r="T325" s="118">
        <v>47429</v>
      </c>
    </row>
    <row r="326" spans="1:20" hidden="1">
      <c r="A326" t="s">
        <v>511</v>
      </c>
      <c r="B326" t="s">
        <v>478</v>
      </c>
      <c r="C326" t="s">
        <v>516</v>
      </c>
      <c r="D326" t="s">
        <v>1181</v>
      </c>
      <c r="E326" t="s">
        <v>1182</v>
      </c>
      <c r="F326">
        <v>10226244.59</v>
      </c>
      <c r="G326">
        <v>348767953</v>
      </c>
      <c r="H326" s="118">
        <v>45887</v>
      </c>
      <c r="I326">
        <v>99.125</v>
      </c>
      <c r="J326">
        <v>99.25</v>
      </c>
      <c r="K326">
        <v>10136764.949999999</v>
      </c>
      <c r="L326">
        <v>10149547.76</v>
      </c>
      <c r="M326">
        <v>12782.81</v>
      </c>
      <c r="N326">
        <v>0</v>
      </c>
      <c r="O326" t="s">
        <v>1145</v>
      </c>
      <c r="Q326" t="s">
        <v>170</v>
      </c>
      <c r="R326">
        <v>9090</v>
      </c>
      <c r="S326">
        <v>1</v>
      </c>
      <c r="T326" s="118">
        <v>46617</v>
      </c>
    </row>
    <row r="327" spans="1:20" hidden="1">
      <c r="A327" t="s">
        <v>511</v>
      </c>
      <c r="B327" t="s">
        <v>478</v>
      </c>
      <c r="C327" t="s">
        <v>516</v>
      </c>
      <c r="D327" t="s">
        <v>1183</v>
      </c>
      <c r="E327" t="s">
        <v>1184</v>
      </c>
      <c r="F327">
        <v>6067151.8399999999</v>
      </c>
      <c r="G327">
        <v>358197525</v>
      </c>
      <c r="H327" s="118">
        <v>45987</v>
      </c>
      <c r="I327">
        <v>99.25</v>
      </c>
      <c r="J327">
        <v>96</v>
      </c>
      <c r="K327">
        <v>6021648.2000000002</v>
      </c>
      <c r="L327">
        <v>5824465.7699999996</v>
      </c>
      <c r="M327">
        <v>-197182.43</v>
      </c>
      <c r="N327">
        <v>0</v>
      </c>
      <c r="Q327" t="s">
        <v>170</v>
      </c>
      <c r="R327">
        <v>5393.02</v>
      </c>
      <c r="S327">
        <v>1</v>
      </c>
      <c r="T327" s="118">
        <v>46717</v>
      </c>
    </row>
    <row r="328" spans="1:20" hidden="1">
      <c r="A328" t="s">
        <v>511</v>
      </c>
      <c r="B328" t="s">
        <v>478</v>
      </c>
      <c r="C328" t="s">
        <v>516</v>
      </c>
      <c r="D328" t="s">
        <v>1185</v>
      </c>
      <c r="E328" t="s">
        <v>1186</v>
      </c>
      <c r="F328">
        <v>4884157.3600000003</v>
      </c>
      <c r="G328">
        <v>363018853</v>
      </c>
      <c r="H328" s="118">
        <v>46024</v>
      </c>
      <c r="I328">
        <v>99.5</v>
      </c>
      <c r="J328">
        <v>99.75</v>
      </c>
      <c r="K328">
        <v>4859736.57</v>
      </c>
      <c r="L328">
        <v>4871946.97</v>
      </c>
      <c r="M328">
        <v>12210.4</v>
      </c>
      <c r="N328">
        <v>0</v>
      </c>
      <c r="O328" t="s">
        <v>1187</v>
      </c>
      <c r="S328">
        <v>0</v>
      </c>
      <c r="T328" s="118">
        <v>48215</v>
      </c>
    </row>
    <row r="329" spans="1:20" hidden="1">
      <c r="A329" t="s">
        <v>511</v>
      </c>
      <c r="B329" t="s">
        <v>478</v>
      </c>
      <c r="C329" t="s">
        <v>516</v>
      </c>
      <c r="D329" t="s">
        <v>1188</v>
      </c>
      <c r="E329" t="s">
        <v>1189</v>
      </c>
      <c r="F329">
        <v>9172310.4900000002</v>
      </c>
      <c r="G329">
        <v>345883528</v>
      </c>
      <c r="H329" s="118">
        <v>45855</v>
      </c>
      <c r="I329">
        <v>99.375</v>
      </c>
      <c r="J329">
        <v>100</v>
      </c>
      <c r="K329">
        <v>9114983.5500000007</v>
      </c>
      <c r="L329">
        <v>9172310.4900000002</v>
      </c>
      <c r="M329">
        <v>57326.94</v>
      </c>
      <c r="N329">
        <v>0</v>
      </c>
      <c r="Q329" t="s">
        <v>170</v>
      </c>
      <c r="R329">
        <v>8153.16</v>
      </c>
      <c r="S329">
        <v>1</v>
      </c>
      <c r="T329" s="118">
        <v>46584</v>
      </c>
    </row>
    <row r="330" spans="1:20" hidden="1">
      <c r="A330" t="s">
        <v>511</v>
      </c>
      <c r="B330" t="s">
        <v>478</v>
      </c>
      <c r="C330" t="s">
        <v>516</v>
      </c>
      <c r="D330" t="s">
        <v>1190</v>
      </c>
      <c r="E330" t="s">
        <v>1191</v>
      </c>
      <c r="F330">
        <v>1312511.3500000001</v>
      </c>
      <c r="G330">
        <v>363065765</v>
      </c>
      <c r="H330" s="118">
        <v>46034</v>
      </c>
      <c r="I330">
        <v>99.375</v>
      </c>
      <c r="J330">
        <v>99.375</v>
      </c>
      <c r="K330">
        <v>1304308.1499999999</v>
      </c>
      <c r="L330">
        <v>1304308.1499999999</v>
      </c>
      <c r="M330">
        <v>0</v>
      </c>
      <c r="N330">
        <v>0</v>
      </c>
      <c r="Q330" t="s">
        <v>170</v>
      </c>
      <c r="R330">
        <v>729.17</v>
      </c>
      <c r="S330">
        <v>1</v>
      </c>
      <c r="T330" s="118">
        <v>47860</v>
      </c>
    </row>
    <row r="331" spans="1:20" hidden="1">
      <c r="A331" t="s">
        <v>511</v>
      </c>
      <c r="B331" t="s">
        <v>478</v>
      </c>
      <c r="C331" t="s">
        <v>516</v>
      </c>
      <c r="D331" t="s">
        <v>1192</v>
      </c>
      <c r="E331" t="s">
        <v>1193</v>
      </c>
      <c r="F331">
        <v>1482129.03</v>
      </c>
      <c r="G331">
        <v>363242779</v>
      </c>
      <c r="H331" s="118">
        <v>46038</v>
      </c>
      <c r="I331">
        <v>98</v>
      </c>
      <c r="J331">
        <v>98</v>
      </c>
      <c r="K331">
        <v>1452486.45</v>
      </c>
      <c r="L331">
        <v>1452486.45</v>
      </c>
      <c r="M331">
        <v>0</v>
      </c>
      <c r="N331">
        <v>0</v>
      </c>
      <c r="O331" t="s">
        <v>1194</v>
      </c>
      <c r="Q331" t="s">
        <v>170</v>
      </c>
      <c r="R331">
        <v>658.72</v>
      </c>
      <c r="S331">
        <v>1</v>
      </c>
      <c r="T331" s="118">
        <v>47864</v>
      </c>
    </row>
    <row r="332" spans="1:20" hidden="1">
      <c r="A332" t="s">
        <v>511</v>
      </c>
      <c r="B332" t="s">
        <v>478</v>
      </c>
      <c r="C332" t="s">
        <v>516</v>
      </c>
      <c r="D332" t="s">
        <v>1195</v>
      </c>
      <c r="E332" t="s">
        <v>1196</v>
      </c>
      <c r="F332">
        <v>1379291.46</v>
      </c>
      <c r="G332">
        <v>348032057</v>
      </c>
      <c r="H332" s="118">
        <v>45881</v>
      </c>
      <c r="I332">
        <v>99</v>
      </c>
      <c r="J332">
        <v>99</v>
      </c>
      <c r="K332">
        <v>1365498.54</v>
      </c>
      <c r="L332">
        <v>1365498.55</v>
      </c>
      <c r="M332">
        <v>0.01</v>
      </c>
      <c r="N332">
        <v>0</v>
      </c>
      <c r="Q332" t="s">
        <v>170</v>
      </c>
      <c r="R332">
        <v>1226.04</v>
      </c>
      <c r="S332">
        <v>1</v>
      </c>
      <c r="T332" s="118">
        <v>46598</v>
      </c>
    </row>
    <row r="333" spans="1:20" hidden="1">
      <c r="A333" t="s">
        <v>511</v>
      </c>
      <c r="B333" t="s">
        <v>478</v>
      </c>
      <c r="C333" t="s">
        <v>516</v>
      </c>
      <c r="D333" t="s">
        <v>1197</v>
      </c>
      <c r="E333" t="s">
        <v>1198</v>
      </c>
      <c r="F333">
        <v>2590766.61</v>
      </c>
      <c r="G333">
        <v>346287895</v>
      </c>
      <c r="H333" s="118">
        <v>45869</v>
      </c>
      <c r="I333">
        <v>99.5</v>
      </c>
      <c r="J333">
        <v>99.5</v>
      </c>
      <c r="K333">
        <v>2577812.7799999998</v>
      </c>
      <c r="L333">
        <v>2577812.7799999998</v>
      </c>
      <c r="M333">
        <v>0</v>
      </c>
      <c r="N333">
        <v>0</v>
      </c>
      <c r="Q333" t="s">
        <v>170</v>
      </c>
      <c r="R333">
        <v>2302.9</v>
      </c>
      <c r="S333">
        <v>1</v>
      </c>
      <c r="T333" s="118">
        <v>46599</v>
      </c>
    </row>
    <row r="334" spans="1:20" hidden="1">
      <c r="A334" t="s">
        <v>511</v>
      </c>
      <c r="B334" t="s">
        <v>478</v>
      </c>
      <c r="C334" t="s">
        <v>516</v>
      </c>
      <c r="D334" t="s">
        <v>1199</v>
      </c>
      <c r="E334" t="s">
        <v>1200</v>
      </c>
      <c r="F334">
        <v>2262737.27</v>
      </c>
      <c r="G334">
        <v>349023408</v>
      </c>
      <c r="H334" s="118">
        <v>45898</v>
      </c>
      <c r="I334">
        <v>99.5</v>
      </c>
      <c r="J334">
        <v>99.5</v>
      </c>
      <c r="K334">
        <v>2251423.58</v>
      </c>
      <c r="L334">
        <v>2251423.58</v>
      </c>
      <c r="M334">
        <v>0</v>
      </c>
      <c r="N334">
        <v>0</v>
      </c>
      <c r="Q334" t="s">
        <v>170</v>
      </c>
      <c r="R334">
        <v>1005.66</v>
      </c>
      <c r="S334">
        <v>0.5</v>
      </c>
      <c r="T334" s="118">
        <v>46628</v>
      </c>
    </row>
    <row r="335" spans="1:20" hidden="1">
      <c r="A335" t="s">
        <v>511</v>
      </c>
      <c r="B335" t="s">
        <v>478</v>
      </c>
      <c r="C335" t="s">
        <v>516</v>
      </c>
      <c r="D335" t="s">
        <v>1201</v>
      </c>
      <c r="E335" t="s">
        <v>1202</v>
      </c>
      <c r="F335">
        <v>1228240.74</v>
      </c>
      <c r="G335">
        <v>351933862</v>
      </c>
      <c r="H335" s="118">
        <v>45929</v>
      </c>
      <c r="I335">
        <v>99.375</v>
      </c>
      <c r="J335">
        <v>98.75</v>
      </c>
      <c r="K335">
        <v>1220564.24</v>
      </c>
      <c r="L335">
        <v>1212887.73</v>
      </c>
      <c r="M335">
        <v>-7676.51</v>
      </c>
      <c r="N335">
        <v>0</v>
      </c>
      <c r="Q335" t="s">
        <v>170</v>
      </c>
      <c r="R335">
        <v>1091.77</v>
      </c>
      <c r="S335">
        <v>1</v>
      </c>
      <c r="T335" s="118">
        <v>48120</v>
      </c>
    </row>
    <row r="336" spans="1:20" hidden="1">
      <c r="A336" t="s">
        <v>511</v>
      </c>
      <c r="B336" t="s">
        <v>478</v>
      </c>
      <c r="C336" t="s">
        <v>516</v>
      </c>
      <c r="D336" t="s">
        <v>1203</v>
      </c>
      <c r="E336" t="s">
        <v>1204</v>
      </c>
      <c r="F336">
        <v>24765695.920000002</v>
      </c>
      <c r="G336">
        <v>354620998</v>
      </c>
      <c r="H336" s="118">
        <v>45933</v>
      </c>
      <c r="I336">
        <v>99.375</v>
      </c>
      <c r="J336">
        <v>99.375</v>
      </c>
      <c r="K336">
        <v>24610910.329999998</v>
      </c>
      <c r="L336">
        <v>24610910.32</v>
      </c>
      <c r="M336">
        <v>-0.01</v>
      </c>
      <c r="N336">
        <v>0</v>
      </c>
      <c r="O336" t="s">
        <v>1205</v>
      </c>
      <c r="Q336" t="s">
        <v>170</v>
      </c>
      <c r="R336">
        <v>22013.95</v>
      </c>
      <c r="S336">
        <v>1</v>
      </c>
      <c r="T336" s="118">
        <v>46663</v>
      </c>
    </row>
    <row r="337" spans="1:20" hidden="1">
      <c r="A337" t="s">
        <v>511</v>
      </c>
      <c r="B337" t="s">
        <v>478</v>
      </c>
      <c r="C337" t="s">
        <v>516</v>
      </c>
      <c r="D337" t="s">
        <v>1206</v>
      </c>
      <c r="E337" t="s">
        <v>1207</v>
      </c>
      <c r="F337">
        <v>6124473.2999999998</v>
      </c>
      <c r="G337">
        <v>297364102</v>
      </c>
      <c r="H337" s="118">
        <v>45300</v>
      </c>
      <c r="I337">
        <v>99</v>
      </c>
      <c r="J337">
        <v>100</v>
      </c>
      <c r="K337">
        <v>6063228.5700000003</v>
      </c>
      <c r="L337">
        <v>6124473.2999999998</v>
      </c>
      <c r="M337">
        <v>61244.73</v>
      </c>
      <c r="N337">
        <v>0</v>
      </c>
      <c r="O337" t="s">
        <v>1208</v>
      </c>
      <c r="Q337" t="s">
        <v>170</v>
      </c>
      <c r="R337">
        <v>5443.98</v>
      </c>
      <c r="S337">
        <v>1</v>
      </c>
      <c r="T337" s="118">
        <v>47499</v>
      </c>
    </row>
    <row r="338" spans="1:20" hidden="1">
      <c r="A338" t="s">
        <v>511</v>
      </c>
      <c r="B338" t="s">
        <v>478</v>
      </c>
      <c r="C338" t="s">
        <v>516</v>
      </c>
      <c r="D338" t="s">
        <v>1209</v>
      </c>
      <c r="E338" t="s">
        <v>1210</v>
      </c>
      <c r="F338">
        <v>7513607.5899999999</v>
      </c>
      <c r="G338">
        <v>321650126</v>
      </c>
      <c r="H338" s="118">
        <v>45616</v>
      </c>
      <c r="I338">
        <v>99.25</v>
      </c>
      <c r="J338">
        <v>100</v>
      </c>
      <c r="K338">
        <v>7457255.54</v>
      </c>
      <c r="L338">
        <v>7513607.5899999999</v>
      </c>
      <c r="M338">
        <v>56352.05</v>
      </c>
      <c r="N338">
        <v>0</v>
      </c>
      <c r="O338" t="s">
        <v>1211</v>
      </c>
      <c r="Q338" t="s">
        <v>170</v>
      </c>
      <c r="R338">
        <v>5009.07</v>
      </c>
      <c r="S338">
        <v>0.75</v>
      </c>
      <c r="T338" s="118">
        <v>46346</v>
      </c>
    </row>
    <row r="339" spans="1:20" hidden="1">
      <c r="A339" t="s">
        <v>511</v>
      </c>
      <c r="B339" t="s">
        <v>478</v>
      </c>
      <c r="C339" t="s">
        <v>516</v>
      </c>
      <c r="D339" t="s">
        <v>1212</v>
      </c>
      <c r="E339" t="s">
        <v>1213</v>
      </c>
      <c r="F339">
        <v>4686000</v>
      </c>
      <c r="G339">
        <v>334310308</v>
      </c>
      <c r="H339" s="118">
        <v>45737</v>
      </c>
      <c r="I339">
        <v>99.5</v>
      </c>
      <c r="J339">
        <v>100</v>
      </c>
      <c r="K339">
        <v>4662570</v>
      </c>
      <c r="L339">
        <v>4686000</v>
      </c>
      <c r="M339">
        <v>23430</v>
      </c>
      <c r="N339">
        <v>0</v>
      </c>
      <c r="O339" t="s">
        <v>1214</v>
      </c>
      <c r="Q339" t="s">
        <v>170</v>
      </c>
      <c r="R339">
        <v>4165.33</v>
      </c>
      <c r="S339">
        <v>1</v>
      </c>
      <c r="T339" s="118">
        <v>46467</v>
      </c>
    </row>
    <row r="340" spans="1:20" hidden="1">
      <c r="A340" t="s">
        <v>511</v>
      </c>
      <c r="B340" t="s">
        <v>478</v>
      </c>
      <c r="C340" t="s">
        <v>516</v>
      </c>
      <c r="D340" t="s">
        <v>1215</v>
      </c>
      <c r="E340" t="s">
        <v>1216</v>
      </c>
      <c r="F340">
        <v>1981623.07</v>
      </c>
      <c r="G340">
        <v>359131840</v>
      </c>
      <c r="H340" s="118">
        <v>45992</v>
      </c>
      <c r="I340">
        <v>99.25</v>
      </c>
      <c r="J340">
        <v>96</v>
      </c>
      <c r="K340">
        <v>1967912.71</v>
      </c>
      <c r="L340">
        <v>1902358.15</v>
      </c>
      <c r="M340">
        <v>-65554.559999999998</v>
      </c>
      <c r="N340">
        <v>0</v>
      </c>
      <c r="P340" t="s">
        <v>1217</v>
      </c>
      <c r="Q340" t="s">
        <v>170</v>
      </c>
      <c r="R340">
        <v>32566.05</v>
      </c>
      <c r="S340">
        <v>0</v>
      </c>
      <c r="T340" s="118">
        <v>47298</v>
      </c>
    </row>
    <row r="341" spans="1:20" hidden="1">
      <c r="A341" t="s">
        <v>511</v>
      </c>
      <c r="B341" t="s">
        <v>478</v>
      </c>
      <c r="C341" t="s">
        <v>516</v>
      </c>
      <c r="D341" t="s">
        <v>1218</v>
      </c>
      <c r="E341" t="s">
        <v>1219</v>
      </c>
      <c r="F341">
        <v>2195853.37</v>
      </c>
      <c r="G341">
        <v>297363130</v>
      </c>
      <c r="H341" s="118">
        <v>44508</v>
      </c>
      <c r="I341">
        <v>98.668700000000001</v>
      </c>
      <c r="J341">
        <v>95</v>
      </c>
      <c r="K341">
        <v>2192323.17</v>
      </c>
      <c r="L341">
        <v>2086060.7</v>
      </c>
      <c r="M341">
        <v>-106262.47</v>
      </c>
      <c r="N341">
        <v>0</v>
      </c>
      <c r="P341" t="s">
        <v>1220</v>
      </c>
      <c r="Q341" t="s">
        <v>170</v>
      </c>
      <c r="R341">
        <v>1253.0899999999999</v>
      </c>
      <c r="S341">
        <v>0</v>
      </c>
      <c r="T341" s="118">
        <v>46238</v>
      </c>
    </row>
    <row r="342" spans="1:20" hidden="1">
      <c r="A342" t="s">
        <v>511</v>
      </c>
      <c r="B342" t="s">
        <v>478</v>
      </c>
      <c r="C342" t="s">
        <v>516</v>
      </c>
      <c r="D342" t="s">
        <v>1221</v>
      </c>
      <c r="E342" t="s">
        <v>1222</v>
      </c>
      <c r="F342">
        <v>93.87</v>
      </c>
      <c r="G342">
        <v>297363079</v>
      </c>
      <c r="H342" s="118">
        <v>44286</v>
      </c>
      <c r="I342">
        <v>100</v>
      </c>
      <c r="J342">
        <v>95</v>
      </c>
      <c r="K342">
        <v>93.87</v>
      </c>
      <c r="L342">
        <v>89.18</v>
      </c>
      <c r="M342">
        <v>-4.6900000000000004</v>
      </c>
      <c r="N342">
        <v>0</v>
      </c>
      <c r="P342" t="s">
        <v>939</v>
      </c>
      <c r="Q342" t="s">
        <v>170</v>
      </c>
      <c r="R342">
        <v>0.05</v>
      </c>
      <c r="S342">
        <v>0</v>
      </c>
      <c r="T342" s="118">
        <v>46477</v>
      </c>
    </row>
    <row r="343" spans="1:20" hidden="1">
      <c r="A343" t="s">
        <v>511</v>
      </c>
      <c r="B343" t="s">
        <v>478</v>
      </c>
      <c r="C343" t="s">
        <v>516</v>
      </c>
      <c r="D343" t="s">
        <v>1221</v>
      </c>
      <c r="E343" t="s">
        <v>1222</v>
      </c>
      <c r="F343">
        <v>113.84</v>
      </c>
      <c r="G343">
        <v>297363093</v>
      </c>
      <c r="H343" s="118">
        <v>44377</v>
      </c>
      <c r="I343">
        <v>100</v>
      </c>
      <c r="J343">
        <v>95</v>
      </c>
      <c r="K343">
        <v>113.84</v>
      </c>
      <c r="L343">
        <v>108.15</v>
      </c>
      <c r="M343">
        <v>-5.69</v>
      </c>
      <c r="N343">
        <v>0</v>
      </c>
      <c r="P343" t="s">
        <v>939</v>
      </c>
      <c r="Q343" t="s">
        <v>170</v>
      </c>
      <c r="R343">
        <v>0.06</v>
      </c>
      <c r="S343">
        <v>0</v>
      </c>
      <c r="T343" s="118">
        <v>46477</v>
      </c>
    </row>
    <row r="344" spans="1:20" hidden="1">
      <c r="A344" t="s">
        <v>511</v>
      </c>
      <c r="B344" t="s">
        <v>478</v>
      </c>
      <c r="C344" t="s">
        <v>516</v>
      </c>
      <c r="D344" t="s">
        <v>1221</v>
      </c>
      <c r="E344" t="s">
        <v>1222</v>
      </c>
      <c r="F344">
        <v>114.57</v>
      </c>
      <c r="G344">
        <v>297363159</v>
      </c>
      <c r="H344" s="118">
        <v>44561</v>
      </c>
      <c r="I344">
        <v>100</v>
      </c>
      <c r="J344">
        <v>95</v>
      </c>
      <c r="K344">
        <v>114.57</v>
      </c>
      <c r="L344">
        <v>108.84</v>
      </c>
      <c r="M344">
        <v>-5.73</v>
      </c>
      <c r="N344">
        <v>0</v>
      </c>
      <c r="P344" t="s">
        <v>939</v>
      </c>
      <c r="Q344" t="s">
        <v>170</v>
      </c>
      <c r="R344">
        <v>7.0000000000000007E-2</v>
      </c>
      <c r="S344">
        <v>0</v>
      </c>
      <c r="T344" s="118">
        <v>46477</v>
      </c>
    </row>
    <row r="345" spans="1:20" hidden="1">
      <c r="A345" t="s">
        <v>511</v>
      </c>
      <c r="B345" t="s">
        <v>478</v>
      </c>
      <c r="C345" t="s">
        <v>516</v>
      </c>
      <c r="D345" t="s">
        <v>1221</v>
      </c>
      <c r="E345" t="s">
        <v>1222</v>
      </c>
      <c r="F345">
        <v>93.26</v>
      </c>
      <c r="G345">
        <v>297363245</v>
      </c>
      <c r="H345" s="118">
        <v>44651</v>
      </c>
      <c r="I345">
        <v>100</v>
      </c>
      <c r="J345">
        <v>95</v>
      </c>
      <c r="K345">
        <v>93.26</v>
      </c>
      <c r="L345">
        <v>88.6</v>
      </c>
      <c r="M345">
        <v>-4.66</v>
      </c>
      <c r="N345">
        <v>0</v>
      </c>
      <c r="P345" t="s">
        <v>939</v>
      </c>
      <c r="Q345" t="s">
        <v>170</v>
      </c>
      <c r="R345">
        <v>0.05</v>
      </c>
      <c r="S345">
        <v>0</v>
      </c>
      <c r="T345" s="118">
        <v>46477</v>
      </c>
    </row>
    <row r="346" spans="1:20" hidden="1">
      <c r="A346" t="s">
        <v>511</v>
      </c>
      <c r="B346" t="s">
        <v>478</v>
      </c>
      <c r="C346" t="s">
        <v>516</v>
      </c>
      <c r="D346" t="s">
        <v>1221</v>
      </c>
      <c r="E346" t="s">
        <v>1222</v>
      </c>
      <c r="F346">
        <v>83.83</v>
      </c>
      <c r="G346">
        <v>297363246</v>
      </c>
      <c r="H346" s="118">
        <v>44742</v>
      </c>
      <c r="I346">
        <v>100</v>
      </c>
      <c r="J346">
        <v>95</v>
      </c>
      <c r="K346">
        <v>83.83</v>
      </c>
      <c r="L346">
        <v>79.64</v>
      </c>
      <c r="M346">
        <v>-4.1900000000000004</v>
      </c>
      <c r="N346">
        <v>0</v>
      </c>
      <c r="P346" t="s">
        <v>939</v>
      </c>
      <c r="Q346" t="s">
        <v>170</v>
      </c>
      <c r="R346">
        <v>0.05</v>
      </c>
      <c r="S346">
        <v>0</v>
      </c>
      <c r="T346" s="118">
        <v>46477</v>
      </c>
    </row>
    <row r="347" spans="1:20" hidden="1">
      <c r="A347" t="s">
        <v>511</v>
      </c>
      <c r="B347" t="s">
        <v>478</v>
      </c>
      <c r="C347" t="s">
        <v>516</v>
      </c>
      <c r="D347" t="s">
        <v>1221</v>
      </c>
      <c r="E347" t="s">
        <v>1222</v>
      </c>
      <c r="F347">
        <v>57.5</v>
      </c>
      <c r="G347">
        <v>297363285</v>
      </c>
      <c r="H347" s="118">
        <v>44834</v>
      </c>
      <c r="I347">
        <v>100</v>
      </c>
      <c r="J347">
        <v>95</v>
      </c>
      <c r="K347">
        <v>57.5</v>
      </c>
      <c r="L347">
        <v>54.62</v>
      </c>
      <c r="M347">
        <v>-2.88</v>
      </c>
      <c r="N347">
        <v>0</v>
      </c>
      <c r="P347" t="s">
        <v>939</v>
      </c>
      <c r="Q347" t="s">
        <v>170</v>
      </c>
      <c r="R347">
        <v>0.03</v>
      </c>
      <c r="S347">
        <v>0</v>
      </c>
      <c r="T347" s="118">
        <v>46477</v>
      </c>
    </row>
    <row r="348" spans="1:20" hidden="1">
      <c r="A348" t="s">
        <v>511</v>
      </c>
      <c r="B348" t="s">
        <v>478</v>
      </c>
      <c r="C348" t="s">
        <v>516</v>
      </c>
      <c r="D348" t="s">
        <v>1221</v>
      </c>
      <c r="E348" t="s">
        <v>1222</v>
      </c>
      <c r="F348">
        <v>56.81</v>
      </c>
      <c r="G348">
        <v>297363326</v>
      </c>
      <c r="H348" s="118">
        <v>44925</v>
      </c>
      <c r="I348">
        <v>100</v>
      </c>
      <c r="J348">
        <v>95</v>
      </c>
      <c r="K348">
        <v>56.81</v>
      </c>
      <c r="L348">
        <v>53.97</v>
      </c>
      <c r="M348">
        <v>-2.84</v>
      </c>
      <c r="N348">
        <v>0</v>
      </c>
      <c r="P348" t="s">
        <v>939</v>
      </c>
      <c r="Q348" t="s">
        <v>170</v>
      </c>
      <c r="R348">
        <v>0.03</v>
      </c>
      <c r="S348">
        <v>0</v>
      </c>
      <c r="T348" s="118">
        <v>46477</v>
      </c>
    </row>
    <row r="349" spans="1:20" hidden="1">
      <c r="A349" t="s">
        <v>511</v>
      </c>
      <c r="B349" t="s">
        <v>478</v>
      </c>
      <c r="C349" t="s">
        <v>516</v>
      </c>
      <c r="D349" t="s">
        <v>1221</v>
      </c>
      <c r="E349" t="s">
        <v>1222</v>
      </c>
      <c r="F349">
        <v>19.95</v>
      </c>
      <c r="G349">
        <v>297363339</v>
      </c>
      <c r="H349" s="118">
        <v>44957</v>
      </c>
      <c r="I349">
        <v>100</v>
      </c>
      <c r="J349">
        <v>95</v>
      </c>
      <c r="K349">
        <v>19.95</v>
      </c>
      <c r="L349">
        <v>18.95</v>
      </c>
      <c r="M349">
        <v>-1</v>
      </c>
      <c r="N349">
        <v>0</v>
      </c>
      <c r="P349" t="s">
        <v>939</v>
      </c>
      <c r="Q349" t="s">
        <v>170</v>
      </c>
      <c r="R349">
        <v>0.01</v>
      </c>
      <c r="S349">
        <v>0</v>
      </c>
      <c r="T349" s="118">
        <v>46477</v>
      </c>
    </row>
    <row r="350" spans="1:20" hidden="1">
      <c r="A350" t="s">
        <v>511</v>
      </c>
      <c r="B350" t="s">
        <v>478</v>
      </c>
      <c r="C350" t="s">
        <v>516</v>
      </c>
      <c r="D350" t="s">
        <v>1221</v>
      </c>
      <c r="E350" t="s">
        <v>1222</v>
      </c>
      <c r="F350">
        <v>17.46</v>
      </c>
      <c r="G350">
        <v>297363360</v>
      </c>
      <c r="H350" s="118">
        <v>44985</v>
      </c>
      <c r="I350">
        <v>100</v>
      </c>
      <c r="J350">
        <v>95</v>
      </c>
      <c r="K350">
        <v>17.46</v>
      </c>
      <c r="L350">
        <v>16.59</v>
      </c>
      <c r="M350">
        <v>-0.87</v>
      </c>
      <c r="N350">
        <v>0</v>
      </c>
      <c r="P350" t="s">
        <v>939</v>
      </c>
      <c r="Q350" t="s">
        <v>170</v>
      </c>
      <c r="R350">
        <v>0.01</v>
      </c>
      <c r="S350">
        <v>0</v>
      </c>
      <c r="T350" s="118">
        <v>46477</v>
      </c>
    </row>
    <row r="351" spans="1:20" hidden="1">
      <c r="A351" t="s">
        <v>511</v>
      </c>
      <c r="B351" t="s">
        <v>478</v>
      </c>
      <c r="C351" t="s">
        <v>516</v>
      </c>
      <c r="D351" t="s">
        <v>1221</v>
      </c>
      <c r="E351" t="s">
        <v>1222</v>
      </c>
      <c r="F351">
        <v>19.350000000000001</v>
      </c>
      <c r="G351">
        <v>297363387</v>
      </c>
      <c r="H351" s="118">
        <v>45016</v>
      </c>
      <c r="I351">
        <v>100</v>
      </c>
      <c r="J351">
        <v>95</v>
      </c>
      <c r="K351">
        <v>19.350000000000001</v>
      </c>
      <c r="L351">
        <v>18.38</v>
      </c>
      <c r="M351">
        <v>-0.97</v>
      </c>
      <c r="N351">
        <v>0</v>
      </c>
      <c r="P351" t="s">
        <v>939</v>
      </c>
      <c r="Q351" t="s">
        <v>170</v>
      </c>
      <c r="R351">
        <v>0.01</v>
      </c>
      <c r="S351">
        <v>0</v>
      </c>
      <c r="T351" s="118">
        <v>46477</v>
      </c>
    </row>
    <row r="352" spans="1:20" hidden="1">
      <c r="A352" t="s">
        <v>511</v>
      </c>
      <c r="B352" t="s">
        <v>478</v>
      </c>
      <c r="C352" t="s">
        <v>516</v>
      </c>
      <c r="D352" t="s">
        <v>1221</v>
      </c>
      <c r="E352" t="s">
        <v>1222</v>
      </c>
      <c r="F352">
        <v>17.43</v>
      </c>
      <c r="G352">
        <v>297363410</v>
      </c>
      <c r="H352" s="118">
        <v>45044</v>
      </c>
      <c r="I352">
        <v>100</v>
      </c>
      <c r="J352">
        <v>95</v>
      </c>
      <c r="K352">
        <v>17.43</v>
      </c>
      <c r="L352">
        <v>16.559999999999999</v>
      </c>
      <c r="M352">
        <v>-0.87</v>
      </c>
      <c r="N352">
        <v>0</v>
      </c>
      <c r="P352" t="s">
        <v>939</v>
      </c>
      <c r="Q352" t="s">
        <v>170</v>
      </c>
      <c r="R352">
        <v>0.01</v>
      </c>
      <c r="S352">
        <v>0</v>
      </c>
      <c r="T352" s="118">
        <v>46477</v>
      </c>
    </row>
    <row r="353" spans="1:20" hidden="1">
      <c r="A353" t="s">
        <v>511</v>
      </c>
      <c r="B353" t="s">
        <v>478</v>
      </c>
      <c r="C353" t="s">
        <v>516</v>
      </c>
      <c r="D353" t="s">
        <v>1221</v>
      </c>
      <c r="E353" t="s">
        <v>1222</v>
      </c>
      <c r="F353">
        <v>34.26</v>
      </c>
      <c r="G353">
        <v>297363442</v>
      </c>
      <c r="H353" s="118">
        <v>45077</v>
      </c>
      <c r="I353">
        <v>100</v>
      </c>
      <c r="J353">
        <v>95</v>
      </c>
      <c r="K353">
        <v>34.26</v>
      </c>
      <c r="L353">
        <v>32.549999999999997</v>
      </c>
      <c r="M353">
        <v>-1.71</v>
      </c>
      <c r="N353">
        <v>0</v>
      </c>
      <c r="P353" t="s">
        <v>939</v>
      </c>
      <c r="Q353" t="s">
        <v>170</v>
      </c>
      <c r="R353">
        <v>0.02</v>
      </c>
      <c r="S353">
        <v>0</v>
      </c>
      <c r="T353" s="118">
        <v>46477</v>
      </c>
    </row>
    <row r="354" spans="1:20" hidden="1">
      <c r="A354" t="s">
        <v>511</v>
      </c>
      <c r="B354" t="s">
        <v>478</v>
      </c>
      <c r="C354" t="s">
        <v>516</v>
      </c>
      <c r="D354" t="s">
        <v>1221</v>
      </c>
      <c r="E354" t="s">
        <v>1222</v>
      </c>
      <c r="F354">
        <v>37.409999999999997</v>
      </c>
      <c r="G354">
        <v>297363478</v>
      </c>
      <c r="H354" s="118">
        <v>45107</v>
      </c>
      <c r="I354">
        <v>100</v>
      </c>
      <c r="J354">
        <v>95</v>
      </c>
      <c r="K354">
        <v>37.409999999999997</v>
      </c>
      <c r="L354">
        <v>35.54</v>
      </c>
      <c r="M354">
        <v>-1.87</v>
      </c>
      <c r="N354">
        <v>0</v>
      </c>
      <c r="P354" t="s">
        <v>939</v>
      </c>
      <c r="Q354" t="s">
        <v>170</v>
      </c>
      <c r="R354">
        <v>0.02</v>
      </c>
      <c r="S354">
        <v>0</v>
      </c>
      <c r="T354" s="118">
        <v>46477</v>
      </c>
    </row>
    <row r="355" spans="1:20" hidden="1">
      <c r="A355" t="s">
        <v>511</v>
      </c>
      <c r="B355" t="s">
        <v>478</v>
      </c>
      <c r="C355" t="s">
        <v>516</v>
      </c>
      <c r="D355" t="s">
        <v>1221</v>
      </c>
      <c r="E355" t="s">
        <v>1222</v>
      </c>
      <c r="F355">
        <v>38.6</v>
      </c>
      <c r="G355">
        <v>297363497</v>
      </c>
      <c r="H355" s="118">
        <v>45138</v>
      </c>
      <c r="I355">
        <v>100</v>
      </c>
      <c r="J355">
        <v>95</v>
      </c>
      <c r="K355">
        <v>38.6</v>
      </c>
      <c r="L355">
        <v>36.67</v>
      </c>
      <c r="M355">
        <v>-1.93</v>
      </c>
      <c r="N355">
        <v>0</v>
      </c>
      <c r="P355" t="s">
        <v>939</v>
      </c>
      <c r="Q355" t="s">
        <v>170</v>
      </c>
      <c r="R355">
        <v>0.02</v>
      </c>
      <c r="S355">
        <v>0</v>
      </c>
      <c r="T355" s="118">
        <v>46477</v>
      </c>
    </row>
    <row r="356" spans="1:20" hidden="1">
      <c r="A356" t="s">
        <v>511</v>
      </c>
      <c r="B356" t="s">
        <v>478</v>
      </c>
      <c r="C356" t="s">
        <v>516</v>
      </c>
      <c r="D356" t="s">
        <v>1221</v>
      </c>
      <c r="E356" t="s">
        <v>1222</v>
      </c>
      <c r="F356">
        <v>114.53</v>
      </c>
      <c r="G356">
        <v>297363591</v>
      </c>
      <c r="H356" s="118">
        <v>45230</v>
      </c>
      <c r="I356">
        <v>100</v>
      </c>
      <c r="J356">
        <v>95</v>
      </c>
      <c r="K356">
        <v>114.53</v>
      </c>
      <c r="L356">
        <v>108.8</v>
      </c>
      <c r="M356">
        <v>-5.73</v>
      </c>
      <c r="N356">
        <v>0</v>
      </c>
      <c r="P356" t="s">
        <v>939</v>
      </c>
      <c r="Q356" t="s">
        <v>170</v>
      </c>
      <c r="R356">
        <v>7.0000000000000007E-2</v>
      </c>
      <c r="S356">
        <v>0</v>
      </c>
      <c r="T356" s="118">
        <v>46477</v>
      </c>
    </row>
    <row r="357" spans="1:20" hidden="1">
      <c r="A357" t="s">
        <v>511</v>
      </c>
      <c r="B357" t="s">
        <v>478</v>
      </c>
      <c r="C357" t="s">
        <v>516</v>
      </c>
      <c r="D357" t="s">
        <v>1221</v>
      </c>
      <c r="E357" t="s">
        <v>1222</v>
      </c>
      <c r="F357">
        <v>114.53</v>
      </c>
      <c r="G357">
        <v>297363799</v>
      </c>
      <c r="H357" s="118">
        <v>45322</v>
      </c>
      <c r="I357">
        <v>100</v>
      </c>
      <c r="J357">
        <v>95</v>
      </c>
      <c r="K357">
        <v>114.53</v>
      </c>
      <c r="L357">
        <v>108.8</v>
      </c>
      <c r="M357">
        <v>-5.73</v>
      </c>
      <c r="N357">
        <v>0</v>
      </c>
      <c r="P357" t="s">
        <v>939</v>
      </c>
      <c r="Q357" t="s">
        <v>170</v>
      </c>
      <c r="R357">
        <v>7.0000000000000007E-2</v>
      </c>
      <c r="S357">
        <v>0</v>
      </c>
      <c r="T357" s="118">
        <v>46477</v>
      </c>
    </row>
    <row r="358" spans="1:20" hidden="1">
      <c r="A358" t="s">
        <v>511</v>
      </c>
      <c r="B358" t="s">
        <v>478</v>
      </c>
      <c r="C358" t="s">
        <v>516</v>
      </c>
      <c r="D358" t="s">
        <v>1221</v>
      </c>
      <c r="E358" t="s">
        <v>1222</v>
      </c>
      <c r="F358">
        <v>36.14</v>
      </c>
      <c r="G358">
        <v>297363810</v>
      </c>
      <c r="H358" s="118">
        <v>45351</v>
      </c>
      <c r="I358">
        <v>100</v>
      </c>
      <c r="J358">
        <v>95</v>
      </c>
      <c r="K358">
        <v>36.14</v>
      </c>
      <c r="L358">
        <v>34.33</v>
      </c>
      <c r="M358">
        <v>-1.81</v>
      </c>
      <c r="N358">
        <v>0</v>
      </c>
      <c r="P358" t="s">
        <v>939</v>
      </c>
      <c r="Q358" t="s">
        <v>170</v>
      </c>
      <c r="R358">
        <v>0.02</v>
      </c>
      <c r="S358">
        <v>0</v>
      </c>
      <c r="T358" s="118">
        <v>46477</v>
      </c>
    </row>
    <row r="359" spans="1:20" hidden="1">
      <c r="A359" t="s">
        <v>511</v>
      </c>
      <c r="B359" t="s">
        <v>478</v>
      </c>
      <c r="C359" t="s">
        <v>516</v>
      </c>
      <c r="D359" t="s">
        <v>1221</v>
      </c>
      <c r="E359" t="s">
        <v>1222</v>
      </c>
      <c r="F359">
        <v>43824.61</v>
      </c>
      <c r="G359">
        <v>297363040</v>
      </c>
      <c r="H359" s="118">
        <v>43763</v>
      </c>
      <c r="I359">
        <v>100</v>
      </c>
      <c r="J359">
        <v>95</v>
      </c>
      <c r="K359">
        <v>43824.61</v>
      </c>
      <c r="L359">
        <v>41633.379999999997</v>
      </c>
      <c r="M359">
        <v>-2191.23</v>
      </c>
      <c r="N359">
        <v>0</v>
      </c>
      <c r="P359" t="s">
        <v>1223</v>
      </c>
      <c r="Q359" t="s">
        <v>170</v>
      </c>
      <c r="R359">
        <v>25.01</v>
      </c>
      <c r="S359">
        <v>0</v>
      </c>
      <c r="T359" s="118">
        <v>46477</v>
      </c>
    </row>
    <row r="360" spans="1:20" hidden="1">
      <c r="A360" t="s">
        <v>511</v>
      </c>
      <c r="B360" t="s">
        <v>478</v>
      </c>
      <c r="C360" t="s">
        <v>516</v>
      </c>
      <c r="D360" t="s">
        <v>1224</v>
      </c>
      <c r="E360" t="s">
        <v>1225</v>
      </c>
      <c r="F360">
        <v>89940.89</v>
      </c>
      <c r="G360">
        <v>297363037</v>
      </c>
      <c r="H360" s="118">
        <v>43663</v>
      </c>
      <c r="I360">
        <v>100</v>
      </c>
      <c r="J360">
        <v>100</v>
      </c>
      <c r="K360">
        <v>0</v>
      </c>
      <c r="L360">
        <v>0</v>
      </c>
      <c r="M360">
        <v>0</v>
      </c>
      <c r="N360">
        <v>0</v>
      </c>
      <c r="P360" t="s">
        <v>1226</v>
      </c>
      <c r="Q360" t="s">
        <v>170</v>
      </c>
      <c r="R360">
        <v>39.97</v>
      </c>
      <c r="S360">
        <v>0.5</v>
      </c>
      <c r="T360" s="118">
        <v>46203</v>
      </c>
    </row>
    <row r="361" spans="1:20" hidden="1">
      <c r="A361" t="s">
        <v>511</v>
      </c>
      <c r="B361" t="s">
        <v>478</v>
      </c>
      <c r="C361" t="s">
        <v>516</v>
      </c>
      <c r="D361" t="s">
        <v>1224</v>
      </c>
      <c r="E361" t="s">
        <v>1225</v>
      </c>
      <c r="F361">
        <v>1072632.6499999999</v>
      </c>
      <c r="G361">
        <v>297363031</v>
      </c>
      <c r="H361" s="118">
        <v>43606</v>
      </c>
      <c r="I361">
        <v>100</v>
      </c>
      <c r="J361">
        <v>100</v>
      </c>
      <c r="K361">
        <v>0</v>
      </c>
      <c r="L361">
        <v>0</v>
      </c>
      <c r="M361">
        <v>0</v>
      </c>
      <c r="N361">
        <v>0</v>
      </c>
      <c r="P361" t="s">
        <v>1227</v>
      </c>
      <c r="Q361" t="s">
        <v>170</v>
      </c>
      <c r="R361">
        <v>476.73</v>
      </c>
      <c r="S361">
        <v>0.5</v>
      </c>
      <c r="T361" s="118">
        <v>46203</v>
      </c>
    </row>
    <row r="362" spans="1:20" hidden="1">
      <c r="A362" t="s">
        <v>511</v>
      </c>
      <c r="B362" t="s">
        <v>478</v>
      </c>
      <c r="C362" t="s">
        <v>516</v>
      </c>
      <c r="D362" t="s">
        <v>1224</v>
      </c>
      <c r="E362" t="s">
        <v>1225</v>
      </c>
      <c r="F362">
        <v>143905.43</v>
      </c>
      <c r="G362">
        <v>297363036</v>
      </c>
      <c r="H362" s="118">
        <v>43654</v>
      </c>
      <c r="I362">
        <v>100</v>
      </c>
      <c r="J362">
        <v>100</v>
      </c>
      <c r="K362">
        <v>0</v>
      </c>
      <c r="L362">
        <v>0</v>
      </c>
      <c r="M362">
        <v>0</v>
      </c>
      <c r="N362">
        <v>0</v>
      </c>
      <c r="P362" t="s">
        <v>1228</v>
      </c>
      <c r="Q362" t="s">
        <v>170</v>
      </c>
      <c r="R362">
        <v>63.96</v>
      </c>
      <c r="S362">
        <v>0.5</v>
      </c>
      <c r="T362" s="118">
        <v>46203</v>
      </c>
    </row>
    <row r="363" spans="1:20" hidden="1">
      <c r="A363" t="s">
        <v>511</v>
      </c>
      <c r="B363" t="s">
        <v>478</v>
      </c>
      <c r="C363" t="s">
        <v>516</v>
      </c>
      <c r="D363" t="s">
        <v>1224</v>
      </c>
      <c r="E363" t="s">
        <v>1225</v>
      </c>
      <c r="F363">
        <v>305799.03999999998</v>
      </c>
      <c r="G363">
        <v>297363034</v>
      </c>
      <c r="H363" s="118">
        <v>43647</v>
      </c>
      <c r="I363">
        <v>100</v>
      </c>
      <c r="J363">
        <v>100</v>
      </c>
      <c r="K363">
        <v>0</v>
      </c>
      <c r="L363">
        <v>0</v>
      </c>
      <c r="M363">
        <v>0</v>
      </c>
      <c r="N363">
        <v>0</v>
      </c>
      <c r="P363" t="s">
        <v>884</v>
      </c>
      <c r="Q363" t="s">
        <v>170</v>
      </c>
      <c r="R363">
        <v>135.91</v>
      </c>
      <c r="S363">
        <v>0.5</v>
      </c>
      <c r="T363" s="118">
        <v>46203</v>
      </c>
    </row>
    <row r="364" spans="1:20" hidden="1">
      <c r="A364" t="s">
        <v>511</v>
      </c>
      <c r="B364" t="s">
        <v>478</v>
      </c>
      <c r="C364" t="s">
        <v>516</v>
      </c>
      <c r="D364" t="s">
        <v>1229</v>
      </c>
      <c r="E364" t="s">
        <v>1230</v>
      </c>
      <c r="F364">
        <v>147742.92000000001</v>
      </c>
      <c r="G364">
        <v>297363230</v>
      </c>
      <c r="H364" s="118">
        <v>44739</v>
      </c>
      <c r="I364">
        <v>98.503799999999998</v>
      </c>
      <c r="J364">
        <v>98</v>
      </c>
      <c r="K364">
        <v>147230.01999999999</v>
      </c>
      <c r="L364">
        <v>144788.06</v>
      </c>
      <c r="M364">
        <v>-2441.96</v>
      </c>
      <c r="N364">
        <v>0</v>
      </c>
      <c r="P364" t="s">
        <v>1231</v>
      </c>
      <c r="Q364" t="s">
        <v>170</v>
      </c>
      <c r="R364">
        <v>1191.3900000000001</v>
      </c>
      <c r="S364">
        <v>0</v>
      </c>
      <c r="T364" s="118">
        <v>46282</v>
      </c>
    </row>
    <row r="365" spans="1:20" hidden="1">
      <c r="A365" t="s">
        <v>511</v>
      </c>
      <c r="B365" t="s">
        <v>478</v>
      </c>
      <c r="C365" t="s">
        <v>516</v>
      </c>
      <c r="D365" t="s">
        <v>1232</v>
      </c>
      <c r="E365" t="s">
        <v>1233</v>
      </c>
      <c r="F365">
        <v>161891.20000000001</v>
      </c>
      <c r="G365">
        <v>297363231</v>
      </c>
      <c r="H365" s="118">
        <v>44739</v>
      </c>
      <c r="I365">
        <v>67.5</v>
      </c>
      <c r="J365">
        <v>98</v>
      </c>
      <c r="K365">
        <v>109276.55</v>
      </c>
      <c r="L365">
        <v>106038.73</v>
      </c>
      <c r="M365">
        <v>-3237.82</v>
      </c>
      <c r="N365">
        <v>0</v>
      </c>
      <c r="P365" t="s">
        <v>1013</v>
      </c>
      <c r="Q365" t="s">
        <v>170</v>
      </c>
      <c r="R365">
        <v>854.33</v>
      </c>
      <c r="S365">
        <v>0.5</v>
      </c>
      <c r="T365" s="118">
        <v>46282</v>
      </c>
    </row>
    <row r="366" spans="1:20" hidden="1">
      <c r="A366" t="s">
        <v>511</v>
      </c>
      <c r="B366" t="s">
        <v>478</v>
      </c>
      <c r="C366" t="s">
        <v>516</v>
      </c>
      <c r="D366" t="s">
        <v>1232</v>
      </c>
      <c r="E366" t="s">
        <v>1233</v>
      </c>
      <c r="F366">
        <v>161891.23000000001</v>
      </c>
      <c r="G366">
        <v>297363636</v>
      </c>
      <c r="H366" s="118">
        <v>45278</v>
      </c>
      <c r="I366">
        <v>67.5</v>
      </c>
      <c r="J366">
        <v>98</v>
      </c>
      <c r="K366">
        <v>109276.57</v>
      </c>
      <c r="L366">
        <v>106038.75</v>
      </c>
      <c r="M366">
        <v>-3237.82</v>
      </c>
      <c r="N366">
        <v>0</v>
      </c>
      <c r="P366" t="s">
        <v>1013</v>
      </c>
      <c r="Q366" t="s">
        <v>170</v>
      </c>
      <c r="R366">
        <v>854.33</v>
      </c>
      <c r="S366">
        <v>0.5</v>
      </c>
      <c r="T366" s="118">
        <v>46282</v>
      </c>
    </row>
    <row r="367" spans="1:20" hidden="1">
      <c r="A367" t="s">
        <v>511</v>
      </c>
      <c r="B367" t="s">
        <v>478</v>
      </c>
      <c r="C367" t="s">
        <v>516</v>
      </c>
      <c r="D367" t="s">
        <v>1232</v>
      </c>
      <c r="E367" t="s">
        <v>1233</v>
      </c>
      <c r="F367">
        <v>323782.46000000002</v>
      </c>
      <c r="G367">
        <v>297363271</v>
      </c>
      <c r="H367" s="118">
        <v>44790</v>
      </c>
      <c r="I367">
        <v>67.5</v>
      </c>
      <c r="J367">
        <v>98</v>
      </c>
      <c r="K367">
        <v>218553.15</v>
      </c>
      <c r="L367">
        <v>212077.5</v>
      </c>
      <c r="M367">
        <v>-6475.65</v>
      </c>
      <c r="N367">
        <v>0</v>
      </c>
      <c r="P367" t="s">
        <v>1234</v>
      </c>
      <c r="Q367" t="s">
        <v>170</v>
      </c>
      <c r="R367">
        <v>1708.67</v>
      </c>
      <c r="S367">
        <v>0.5</v>
      </c>
      <c r="T367" s="118">
        <v>46282</v>
      </c>
    </row>
    <row r="368" spans="1:20" hidden="1">
      <c r="A368" t="s">
        <v>511</v>
      </c>
      <c r="B368" t="s">
        <v>478</v>
      </c>
      <c r="C368" t="s">
        <v>516</v>
      </c>
      <c r="D368" t="s">
        <v>1232</v>
      </c>
      <c r="E368" t="s">
        <v>1233</v>
      </c>
      <c r="F368">
        <v>323782.46000000002</v>
      </c>
      <c r="G368">
        <v>297363519</v>
      </c>
      <c r="H368" s="118">
        <v>45156</v>
      </c>
      <c r="I368">
        <v>67.5</v>
      </c>
      <c r="J368">
        <v>98</v>
      </c>
      <c r="K368">
        <v>218553.15</v>
      </c>
      <c r="L368">
        <v>212077.5</v>
      </c>
      <c r="M368">
        <v>-6475.65</v>
      </c>
      <c r="N368">
        <v>0</v>
      </c>
      <c r="P368" t="s">
        <v>1234</v>
      </c>
      <c r="Q368" t="s">
        <v>170</v>
      </c>
      <c r="R368">
        <v>1708.67</v>
      </c>
      <c r="S368">
        <v>0.5</v>
      </c>
      <c r="T368" s="118">
        <v>46282</v>
      </c>
    </row>
    <row r="369" spans="1:20" hidden="1">
      <c r="A369" t="s">
        <v>511</v>
      </c>
      <c r="B369" t="s">
        <v>478</v>
      </c>
      <c r="C369" t="s">
        <v>516</v>
      </c>
      <c r="D369" t="s">
        <v>1232</v>
      </c>
      <c r="E369" t="s">
        <v>1233</v>
      </c>
      <c r="F369">
        <v>323782.46000000002</v>
      </c>
      <c r="G369">
        <v>297363602</v>
      </c>
      <c r="H369" s="118">
        <v>45232</v>
      </c>
      <c r="I369">
        <v>67.5</v>
      </c>
      <c r="J369">
        <v>98</v>
      </c>
      <c r="K369">
        <v>218553.15</v>
      </c>
      <c r="L369">
        <v>212077.5</v>
      </c>
      <c r="M369">
        <v>-6475.65</v>
      </c>
      <c r="N369">
        <v>0</v>
      </c>
      <c r="P369" t="s">
        <v>1234</v>
      </c>
      <c r="Q369" t="s">
        <v>170</v>
      </c>
      <c r="R369">
        <v>1708.67</v>
      </c>
      <c r="S369">
        <v>0.5</v>
      </c>
      <c r="T369" s="118">
        <v>46282</v>
      </c>
    </row>
    <row r="370" spans="1:20" hidden="1">
      <c r="A370" t="s">
        <v>511</v>
      </c>
      <c r="B370" t="s">
        <v>478</v>
      </c>
      <c r="C370" t="s">
        <v>516</v>
      </c>
      <c r="D370" t="s">
        <v>1232</v>
      </c>
      <c r="E370" t="s">
        <v>1233</v>
      </c>
      <c r="F370">
        <v>485673.69</v>
      </c>
      <c r="G370">
        <v>297363635</v>
      </c>
      <c r="H370" s="118">
        <v>45278</v>
      </c>
      <c r="I370">
        <v>67.5</v>
      </c>
      <c r="J370">
        <v>98</v>
      </c>
      <c r="K370">
        <v>327829.73</v>
      </c>
      <c r="L370">
        <v>318116.26</v>
      </c>
      <c r="M370">
        <v>-9713.4699999999993</v>
      </c>
      <c r="N370">
        <v>0</v>
      </c>
      <c r="P370" t="s">
        <v>637</v>
      </c>
      <c r="Q370" t="s">
        <v>170</v>
      </c>
      <c r="R370">
        <v>2563</v>
      </c>
      <c r="S370">
        <v>0.5</v>
      </c>
      <c r="T370" s="118">
        <v>46282</v>
      </c>
    </row>
    <row r="371" spans="1:20" hidden="1">
      <c r="A371" t="s">
        <v>511</v>
      </c>
      <c r="B371" t="s">
        <v>478</v>
      </c>
      <c r="C371" t="s">
        <v>516</v>
      </c>
      <c r="D371" t="s">
        <v>1232</v>
      </c>
      <c r="E371" t="s">
        <v>1233</v>
      </c>
      <c r="F371">
        <v>647564.92000000004</v>
      </c>
      <c r="G371">
        <v>297363781</v>
      </c>
      <c r="H371" s="118">
        <v>45334</v>
      </c>
      <c r="I371">
        <v>67.5</v>
      </c>
      <c r="J371">
        <v>98</v>
      </c>
      <c r="K371">
        <v>437106.31</v>
      </c>
      <c r="L371">
        <v>424155.01</v>
      </c>
      <c r="M371">
        <v>-12951.3</v>
      </c>
      <c r="N371">
        <v>0</v>
      </c>
      <c r="P371" t="s">
        <v>1231</v>
      </c>
      <c r="Q371" t="s">
        <v>170</v>
      </c>
      <c r="R371">
        <v>3417.34</v>
      </c>
      <c r="S371">
        <v>0.5</v>
      </c>
      <c r="T371" s="118">
        <v>46282</v>
      </c>
    </row>
    <row r="372" spans="1:20" hidden="1">
      <c r="A372" t="s">
        <v>511</v>
      </c>
      <c r="B372" t="s">
        <v>478</v>
      </c>
      <c r="C372" t="s">
        <v>516</v>
      </c>
      <c r="D372" t="s">
        <v>1232</v>
      </c>
      <c r="E372" t="s">
        <v>1233</v>
      </c>
      <c r="F372">
        <v>809456.15</v>
      </c>
      <c r="G372">
        <v>297363643</v>
      </c>
      <c r="H372" s="118">
        <v>45288</v>
      </c>
      <c r="I372">
        <v>67.5</v>
      </c>
      <c r="J372">
        <v>98</v>
      </c>
      <c r="K372">
        <v>546382.89</v>
      </c>
      <c r="L372">
        <v>530193.77</v>
      </c>
      <c r="M372">
        <v>-16189.12</v>
      </c>
      <c r="N372">
        <v>0</v>
      </c>
      <c r="P372" t="s">
        <v>1235</v>
      </c>
      <c r="Q372" t="s">
        <v>170</v>
      </c>
      <c r="R372">
        <v>4271.67</v>
      </c>
      <c r="S372">
        <v>0.5</v>
      </c>
      <c r="T372" s="118">
        <v>46282</v>
      </c>
    </row>
    <row r="373" spans="1:20" hidden="1">
      <c r="A373" t="s">
        <v>511</v>
      </c>
      <c r="B373" t="s">
        <v>478</v>
      </c>
      <c r="C373" t="s">
        <v>516</v>
      </c>
      <c r="D373" t="s">
        <v>1232</v>
      </c>
      <c r="E373" t="s">
        <v>1233</v>
      </c>
      <c r="F373">
        <v>1618912.31</v>
      </c>
      <c r="G373">
        <v>297363393</v>
      </c>
      <c r="H373" s="118">
        <v>45016</v>
      </c>
      <c r="I373">
        <v>67.5</v>
      </c>
      <c r="J373">
        <v>98</v>
      </c>
      <c r="K373">
        <v>1092765.78</v>
      </c>
      <c r="L373">
        <v>1060387.53</v>
      </c>
      <c r="M373">
        <v>-32378.25</v>
      </c>
      <c r="N373">
        <v>0</v>
      </c>
      <c r="P373" t="s">
        <v>1236</v>
      </c>
      <c r="Q373" t="s">
        <v>170</v>
      </c>
      <c r="R373">
        <v>8543.35</v>
      </c>
      <c r="S373">
        <v>0.5</v>
      </c>
      <c r="T373" s="118">
        <v>46282</v>
      </c>
    </row>
    <row r="374" spans="1:20" hidden="1">
      <c r="A374" t="s">
        <v>511</v>
      </c>
      <c r="B374" t="s">
        <v>478</v>
      </c>
      <c r="C374" t="s">
        <v>516</v>
      </c>
      <c r="D374" t="s">
        <v>1237</v>
      </c>
      <c r="E374" t="s">
        <v>1238</v>
      </c>
      <c r="F374">
        <v>74295.19</v>
      </c>
      <c r="G374">
        <v>297363355</v>
      </c>
      <c r="H374" s="118">
        <v>44981</v>
      </c>
      <c r="I374">
        <v>25.057700000000001</v>
      </c>
      <c r="J374">
        <v>98</v>
      </c>
      <c r="K374">
        <v>18616.63</v>
      </c>
      <c r="L374">
        <v>17130.73</v>
      </c>
      <c r="M374">
        <v>-1485.9</v>
      </c>
      <c r="N374">
        <v>0</v>
      </c>
      <c r="P374" t="s">
        <v>707</v>
      </c>
      <c r="Q374" t="s">
        <v>170</v>
      </c>
      <c r="R374">
        <v>222</v>
      </c>
      <c r="S374">
        <v>0.5</v>
      </c>
      <c r="T374" s="118">
        <v>46475</v>
      </c>
    </row>
    <row r="375" spans="1:20" hidden="1">
      <c r="A375" t="s">
        <v>511</v>
      </c>
      <c r="B375" t="s">
        <v>478</v>
      </c>
      <c r="C375" t="s">
        <v>516</v>
      </c>
      <c r="D375" t="s">
        <v>1237</v>
      </c>
      <c r="E375" t="s">
        <v>1238</v>
      </c>
      <c r="F375">
        <v>74295.19</v>
      </c>
      <c r="G375">
        <v>297363535</v>
      </c>
      <c r="H375" s="118">
        <v>45180</v>
      </c>
      <c r="I375">
        <v>25.057700000000001</v>
      </c>
      <c r="J375">
        <v>98</v>
      </c>
      <c r="K375">
        <v>18616.63</v>
      </c>
      <c r="L375">
        <v>17130.73</v>
      </c>
      <c r="M375">
        <v>-1485.9</v>
      </c>
      <c r="N375">
        <v>0</v>
      </c>
      <c r="P375" t="s">
        <v>707</v>
      </c>
      <c r="Q375" t="s">
        <v>170</v>
      </c>
      <c r="R375">
        <v>222</v>
      </c>
      <c r="S375">
        <v>0.5</v>
      </c>
      <c r="T375" s="118">
        <v>46475</v>
      </c>
    </row>
    <row r="376" spans="1:20" hidden="1">
      <c r="A376" t="s">
        <v>511</v>
      </c>
      <c r="B376" t="s">
        <v>478</v>
      </c>
      <c r="C376" t="s">
        <v>516</v>
      </c>
      <c r="D376" t="s">
        <v>1237</v>
      </c>
      <c r="E376" t="s">
        <v>1238</v>
      </c>
      <c r="F376">
        <v>74295.19</v>
      </c>
      <c r="G376">
        <v>297363634</v>
      </c>
      <c r="H376" s="118">
        <v>45278</v>
      </c>
      <c r="I376">
        <v>25.057700000000001</v>
      </c>
      <c r="J376">
        <v>98</v>
      </c>
      <c r="K376">
        <v>18616.63</v>
      </c>
      <c r="L376">
        <v>17130.73</v>
      </c>
      <c r="M376">
        <v>-1485.9</v>
      </c>
      <c r="N376">
        <v>0</v>
      </c>
      <c r="P376" t="s">
        <v>707</v>
      </c>
      <c r="Q376" t="s">
        <v>170</v>
      </c>
      <c r="R376">
        <v>222</v>
      </c>
      <c r="S376">
        <v>0.5</v>
      </c>
      <c r="T376" s="118">
        <v>46475</v>
      </c>
    </row>
    <row r="377" spans="1:20" hidden="1">
      <c r="A377" t="s">
        <v>511</v>
      </c>
      <c r="B377" t="s">
        <v>478</v>
      </c>
      <c r="C377" t="s">
        <v>516</v>
      </c>
      <c r="D377" t="s">
        <v>1237</v>
      </c>
      <c r="E377" t="s">
        <v>1238</v>
      </c>
      <c r="F377">
        <v>74295.19</v>
      </c>
      <c r="G377">
        <v>297363793</v>
      </c>
      <c r="H377" s="118">
        <v>45345</v>
      </c>
      <c r="I377">
        <v>25.057700000000001</v>
      </c>
      <c r="J377">
        <v>98</v>
      </c>
      <c r="K377">
        <v>18616.63</v>
      </c>
      <c r="L377">
        <v>17130.73</v>
      </c>
      <c r="M377">
        <v>-1485.9</v>
      </c>
      <c r="N377">
        <v>0</v>
      </c>
      <c r="P377" t="s">
        <v>707</v>
      </c>
      <c r="Q377" t="s">
        <v>170</v>
      </c>
      <c r="R377">
        <v>222</v>
      </c>
      <c r="S377">
        <v>0.5</v>
      </c>
      <c r="T377" s="118">
        <v>46475</v>
      </c>
    </row>
    <row r="378" spans="1:20" hidden="1">
      <c r="A378" t="s">
        <v>511</v>
      </c>
      <c r="B378" t="s">
        <v>478</v>
      </c>
      <c r="C378" t="s">
        <v>516</v>
      </c>
      <c r="D378" t="s">
        <v>1237</v>
      </c>
      <c r="E378" t="s">
        <v>1238</v>
      </c>
      <c r="F378">
        <v>111442.79</v>
      </c>
      <c r="G378">
        <v>297363300</v>
      </c>
      <c r="H378" s="118">
        <v>44879</v>
      </c>
      <c r="I378">
        <v>25.057700000000001</v>
      </c>
      <c r="J378">
        <v>98</v>
      </c>
      <c r="K378">
        <v>27924.95</v>
      </c>
      <c r="L378">
        <v>25696.09</v>
      </c>
      <c r="M378">
        <v>-2228.86</v>
      </c>
      <c r="N378">
        <v>0</v>
      </c>
      <c r="P378" t="s">
        <v>1113</v>
      </c>
      <c r="Q378" t="s">
        <v>170</v>
      </c>
      <c r="R378">
        <v>333</v>
      </c>
      <c r="S378">
        <v>0.5</v>
      </c>
      <c r="T378" s="118">
        <v>46475</v>
      </c>
    </row>
    <row r="379" spans="1:20" hidden="1">
      <c r="A379" t="s">
        <v>511</v>
      </c>
      <c r="B379" t="s">
        <v>478</v>
      </c>
      <c r="C379" t="s">
        <v>516</v>
      </c>
      <c r="D379" t="s">
        <v>1237</v>
      </c>
      <c r="E379" t="s">
        <v>1238</v>
      </c>
      <c r="F379">
        <v>148590.39000000001</v>
      </c>
      <c r="G379">
        <v>297363323</v>
      </c>
      <c r="H379" s="118">
        <v>44925</v>
      </c>
      <c r="I379">
        <v>25.057700000000001</v>
      </c>
      <c r="J379">
        <v>98</v>
      </c>
      <c r="K379">
        <v>37233.269999999997</v>
      </c>
      <c r="L379">
        <v>34261.46</v>
      </c>
      <c r="M379">
        <v>-2971.81</v>
      </c>
      <c r="N379">
        <v>0</v>
      </c>
      <c r="P379" t="s">
        <v>1239</v>
      </c>
      <c r="Q379" t="s">
        <v>170</v>
      </c>
      <c r="R379">
        <v>444</v>
      </c>
      <c r="S379">
        <v>0.5</v>
      </c>
      <c r="T379" s="118">
        <v>46475</v>
      </c>
    </row>
    <row r="380" spans="1:20" hidden="1">
      <c r="A380" t="s">
        <v>511</v>
      </c>
      <c r="B380" t="s">
        <v>478</v>
      </c>
      <c r="C380" t="s">
        <v>516</v>
      </c>
      <c r="D380" t="s">
        <v>1237</v>
      </c>
      <c r="E380" t="s">
        <v>1238</v>
      </c>
      <c r="F380">
        <v>148590.39000000001</v>
      </c>
      <c r="G380">
        <v>297363426</v>
      </c>
      <c r="H380" s="118">
        <v>45058</v>
      </c>
      <c r="I380">
        <v>25.057700000000001</v>
      </c>
      <c r="J380">
        <v>98</v>
      </c>
      <c r="K380">
        <v>37233.269999999997</v>
      </c>
      <c r="L380">
        <v>34261.46</v>
      </c>
      <c r="M380">
        <v>-2971.81</v>
      </c>
      <c r="N380">
        <v>0</v>
      </c>
      <c r="P380" t="s">
        <v>1239</v>
      </c>
      <c r="Q380" t="s">
        <v>170</v>
      </c>
      <c r="R380">
        <v>444</v>
      </c>
      <c r="S380">
        <v>0.5</v>
      </c>
      <c r="T380" s="118">
        <v>46475</v>
      </c>
    </row>
    <row r="381" spans="1:20" hidden="1">
      <c r="A381" t="s">
        <v>511</v>
      </c>
      <c r="B381" t="s">
        <v>478</v>
      </c>
      <c r="C381" t="s">
        <v>516</v>
      </c>
      <c r="D381" t="s">
        <v>1237</v>
      </c>
      <c r="E381" t="s">
        <v>1238</v>
      </c>
      <c r="F381">
        <v>148590.39000000001</v>
      </c>
      <c r="G381">
        <v>297363579</v>
      </c>
      <c r="H381" s="118">
        <v>45219</v>
      </c>
      <c r="I381">
        <v>25.057700000000001</v>
      </c>
      <c r="J381">
        <v>98</v>
      </c>
      <c r="K381">
        <v>37233.269999999997</v>
      </c>
      <c r="L381">
        <v>34261.46</v>
      </c>
      <c r="M381">
        <v>-2971.81</v>
      </c>
      <c r="N381">
        <v>0</v>
      </c>
      <c r="P381" t="s">
        <v>1239</v>
      </c>
      <c r="Q381" t="s">
        <v>170</v>
      </c>
      <c r="R381">
        <v>444</v>
      </c>
      <c r="S381">
        <v>0.5</v>
      </c>
      <c r="T381" s="118">
        <v>46475</v>
      </c>
    </row>
    <row r="382" spans="1:20" hidden="1">
      <c r="A382" t="s">
        <v>511</v>
      </c>
      <c r="B382" t="s">
        <v>478</v>
      </c>
      <c r="C382" t="s">
        <v>516</v>
      </c>
      <c r="D382" t="s">
        <v>1237</v>
      </c>
      <c r="E382" t="s">
        <v>1238</v>
      </c>
      <c r="F382">
        <v>148590.39000000001</v>
      </c>
      <c r="G382">
        <v>297363601</v>
      </c>
      <c r="H382" s="118">
        <v>45232</v>
      </c>
      <c r="I382">
        <v>25.057700000000001</v>
      </c>
      <c r="J382">
        <v>98</v>
      </c>
      <c r="K382">
        <v>37233.269999999997</v>
      </c>
      <c r="L382">
        <v>34261.46</v>
      </c>
      <c r="M382">
        <v>-2971.81</v>
      </c>
      <c r="N382">
        <v>0</v>
      </c>
      <c r="P382" t="s">
        <v>1239</v>
      </c>
      <c r="Q382" t="s">
        <v>170</v>
      </c>
      <c r="R382">
        <v>444</v>
      </c>
      <c r="S382">
        <v>0.5</v>
      </c>
      <c r="T382" s="118">
        <v>46475</v>
      </c>
    </row>
    <row r="383" spans="1:20" hidden="1">
      <c r="A383" t="s">
        <v>511</v>
      </c>
      <c r="B383" t="s">
        <v>478</v>
      </c>
      <c r="C383" t="s">
        <v>516</v>
      </c>
      <c r="D383" t="s">
        <v>1237</v>
      </c>
      <c r="E383" t="s">
        <v>1238</v>
      </c>
      <c r="F383">
        <v>148590.39000000001</v>
      </c>
      <c r="G383">
        <v>297363683</v>
      </c>
      <c r="H383" s="118">
        <v>45310</v>
      </c>
      <c r="I383">
        <v>25.057700000000001</v>
      </c>
      <c r="J383">
        <v>98</v>
      </c>
      <c r="K383">
        <v>37233.269999999997</v>
      </c>
      <c r="L383">
        <v>34261.46</v>
      </c>
      <c r="M383">
        <v>-2971.81</v>
      </c>
      <c r="N383">
        <v>0</v>
      </c>
      <c r="P383" t="s">
        <v>1239</v>
      </c>
      <c r="Q383" t="s">
        <v>170</v>
      </c>
      <c r="R383">
        <v>444</v>
      </c>
      <c r="S383">
        <v>0.5</v>
      </c>
      <c r="T383" s="118">
        <v>46475</v>
      </c>
    </row>
    <row r="384" spans="1:20" hidden="1">
      <c r="A384" t="s">
        <v>511</v>
      </c>
      <c r="B384" t="s">
        <v>478</v>
      </c>
      <c r="C384" t="s">
        <v>516</v>
      </c>
      <c r="D384" t="s">
        <v>1237</v>
      </c>
      <c r="E384" t="s">
        <v>1238</v>
      </c>
      <c r="F384">
        <v>185737.98</v>
      </c>
      <c r="G384">
        <v>297363512</v>
      </c>
      <c r="H384" s="118">
        <v>45142</v>
      </c>
      <c r="I384">
        <v>25.057700000000001</v>
      </c>
      <c r="J384">
        <v>98</v>
      </c>
      <c r="K384">
        <v>46541.58</v>
      </c>
      <c r="L384">
        <v>42826.82</v>
      </c>
      <c r="M384">
        <v>-3714.76</v>
      </c>
      <c r="N384">
        <v>0</v>
      </c>
      <c r="P384" t="s">
        <v>1240</v>
      </c>
      <c r="Q384" t="s">
        <v>170</v>
      </c>
      <c r="R384">
        <v>555.01</v>
      </c>
      <c r="S384">
        <v>0.5</v>
      </c>
      <c r="T384" s="118">
        <v>46475</v>
      </c>
    </row>
    <row r="385" spans="1:20" hidden="1">
      <c r="A385" t="s">
        <v>511</v>
      </c>
      <c r="B385" t="s">
        <v>478</v>
      </c>
      <c r="C385" t="s">
        <v>516</v>
      </c>
      <c r="D385" t="s">
        <v>1237</v>
      </c>
      <c r="E385" t="s">
        <v>1238</v>
      </c>
      <c r="F385">
        <v>222885.58</v>
      </c>
      <c r="G385">
        <v>297363436</v>
      </c>
      <c r="H385" s="118">
        <v>45076</v>
      </c>
      <c r="I385">
        <v>25.057700000000001</v>
      </c>
      <c r="J385">
        <v>98</v>
      </c>
      <c r="K385">
        <v>55849.9</v>
      </c>
      <c r="L385">
        <v>51392.19</v>
      </c>
      <c r="M385">
        <v>-4457.71</v>
      </c>
      <c r="N385">
        <v>0</v>
      </c>
      <c r="P385" t="s">
        <v>1241</v>
      </c>
      <c r="Q385" t="s">
        <v>170</v>
      </c>
      <c r="R385">
        <v>666</v>
      </c>
      <c r="S385">
        <v>0.5</v>
      </c>
      <c r="T385" s="118">
        <v>46475</v>
      </c>
    </row>
    <row r="386" spans="1:20" hidden="1">
      <c r="A386" t="s">
        <v>511</v>
      </c>
      <c r="B386" t="s">
        <v>478</v>
      </c>
      <c r="C386" t="s">
        <v>516</v>
      </c>
      <c r="D386" t="s">
        <v>1237</v>
      </c>
      <c r="E386" t="s">
        <v>1238</v>
      </c>
      <c r="F386">
        <v>297180.78000000003</v>
      </c>
      <c r="G386">
        <v>297363613</v>
      </c>
      <c r="H386" s="118">
        <v>45257</v>
      </c>
      <c r="I386">
        <v>25.057700000000001</v>
      </c>
      <c r="J386">
        <v>98</v>
      </c>
      <c r="K386">
        <v>74466.539999999994</v>
      </c>
      <c r="L386">
        <v>68522.92</v>
      </c>
      <c r="M386">
        <v>-5943.62</v>
      </c>
      <c r="N386">
        <v>0</v>
      </c>
      <c r="P386" t="s">
        <v>1016</v>
      </c>
      <c r="Q386" t="s">
        <v>170</v>
      </c>
      <c r="R386">
        <v>888</v>
      </c>
      <c r="S386">
        <v>0.5</v>
      </c>
      <c r="T386" s="118">
        <v>46475</v>
      </c>
    </row>
    <row r="387" spans="1:20" hidden="1">
      <c r="A387" t="s">
        <v>511</v>
      </c>
      <c r="B387" t="s">
        <v>478</v>
      </c>
      <c r="C387" t="s">
        <v>516</v>
      </c>
      <c r="D387" t="s">
        <v>1237</v>
      </c>
      <c r="E387" t="s">
        <v>1238</v>
      </c>
      <c r="F387">
        <v>371475.97</v>
      </c>
      <c r="G387">
        <v>297363570</v>
      </c>
      <c r="H387" s="118">
        <v>45212</v>
      </c>
      <c r="I387">
        <v>25.057700000000001</v>
      </c>
      <c r="J387">
        <v>98</v>
      </c>
      <c r="K387">
        <v>93083.16</v>
      </c>
      <c r="L387">
        <v>85653.64</v>
      </c>
      <c r="M387">
        <v>-7429.52</v>
      </c>
      <c r="N387">
        <v>0</v>
      </c>
      <c r="P387" t="s">
        <v>1242</v>
      </c>
      <c r="Q387" t="s">
        <v>170</v>
      </c>
      <c r="R387">
        <v>1110</v>
      </c>
      <c r="S387">
        <v>0.5</v>
      </c>
      <c r="T387" s="118">
        <v>46475</v>
      </c>
    </row>
    <row r="388" spans="1:20" hidden="1">
      <c r="A388" t="s">
        <v>511</v>
      </c>
      <c r="B388" t="s">
        <v>478</v>
      </c>
      <c r="C388" t="s">
        <v>516</v>
      </c>
      <c r="D388" t="s">
        <v>1243</v>
      </c>
      <c r="E388" t="s">
        <v>1244</v>
      </c>
      <c r="F388">
        <v>9090.9</v>
      </c>
      <c r="G388">
        <v>297363033</v>
      </c>
      <c r="H388" s="118">
        <v>43635</v>
      </c>
      <c r="I388">
        <v>100</v>
      </c>
      <c r="J388">
        <v>100</v>
      </c>
      <c r="K388">
        <v>0</v>
      </c>
      <c r="L388">
        <v>0</v>
      </c>
      <c r="M388">
        <v>0</v>
      </c>
      <c r="N388">
        <v>0</v>
      </c>
      <c r="P388" t="s">
        <v>1245</v>
      </c>
      <c r="Q388" t="s">
        <v>170</v>
      </c>
      <c r="R388">
        <v>3.03</v>
      </c>
      <c r="S388">
        <v>0.375</v>
      </c>
      <c r="T388" s="118">
        <v>46559</v>
      </c>
    </row>
    <row r="389" spans="1:20" hidden="1">
      <c r="A389" t="s">
        <v>511</v>
      </c>
      <c r="B389" t="s">
        <v>478</v>
      </c>
      <c r="C389" t="s">
        <v>516</v>
      </c>
      <c r="D389" t="s">
        <v>1243</v>
      </c>
      <c r="E389" t="s">
        <v>1244</v>
      </c>
      <c r="F389">
        <v>18181.82</v>
      </c>
      <c r="G389">
        <v>297363611</v>
      </c>
      <c r="H389" s="118">
        <v>45257</v>
      </c>
      <c r="I389">
        <v>100</v>
      </c>
      <c r="J389">
        <v>100</v>
      </c>
      <c r="K389">
        <v>0</v>
      </c>
      <c r="L389">
        <v>0</v>
      </c>
      <c r="M389">
        <v>0</v>
      </c>
      <c r="N389">
        <v>0</v>
      </c>
      <c r="P389" t="s">
        <v>1246</v>
      </c>
      <c r="Q389" t="s">
        <v>170</v>
      </c>
      <c r="R389">
        <v>6.06</v>
      </c>
      <c r="S389">
        <v>0.375</v>
      </c>
      <c r="T389" s="118">
        <v>46559</v>
      </c>
    </row>
    <row r="390" spans="1:20" hidden="1">
      <c r="A390" t="s">
        <v>511</v>
      </c>
      <c r="B390" t="s">
        <v>478</v>
      </c>
      <c r="C390" t="s">
        <v>516</v>
      </c>
      <c r="D390" t="s">
        <v>1243</v>
      </c>
      <c r="E390" t="s">
        <v>1244</v>
      </c>
      <c r="F390">
        <v>27272.73</v>
      </c>
      <c r="G390">
        <v>297363595</v>
      </c>
      <c r="H390" s="118">
        <v>45226</v>
      </c>
      <c r="I390">
        <v>100</v>
      </c>
      <c r="J390">
        <v>100</v>
      </c>
      <c r="K390">
        <v>0</v>
      </c>
      <c r="L390">
        <v>0</v>
      </c>
      <c r="M390">
        <v>0</v>
      </c>
      <c r="N390">
        <v>0</v>
      </c>
      <c r="P390" t="s">
        <v>957</v>
      </c>
      <c r="Q390" t="s">
        <v>170</v>
      </c>
      <c r="R390">
        <v>9.09</v>
      </c>
      <c r="S390">
        <v>0.375</v>
      </c>
      <c r="T390" s="118">
        <v>46559</v>
      </c>
    </row>
    <row r="391" spans="1:20" hidden="1">
      <c r="A391" t="s">
        <v>511</v>
      </c>
      <c r="B391" t="s">
        <v>478</v>
      </c>
      <c r="C391" t="s">
        <v>516</v>
      </c>
      <c r="D391" t="s">
        <v>1243</v>
      </c>
      <c r="E391" t="s">
        <v>1244</v>
      </c>
      <c r="F391">
        <v>36363.64</v>
      </c>
      <c r="G391">
        <v>297363524</v>
      </c>
      <c r="H391" s="118">
        <v>45166</v>
      </c>
      <c r="I391">
        <v>100</v>
      </c>
      <c r="J391">
        <v>100</v>
      </c>
      <c r="K391">
        <v>0</v>
      </c>
      <c r="L391">
        <v>0</v>
      </c>
      <c r="M391">
        <v>0</v>
      </c>
      <c r="N391">
        <v>0</v>
      </c>
      <c r="P391" t="s">
        <v>1247</v>
      </c>
      <c r="Q391" t="s">
        <v>170</v>
      </c>
      <c r="R391">
        <v>12.12</v>
      </c>
      <c r="S391">
        <v>0.375</v>
      </c>
      <c r="T391" s="118">
        <v>46559</v>
      </c>
    </row>
    <row r="392" spans="1:20" hidden="1">
      <c r="A392" t="s">
        <v>511</v>
      </c>
      <c r="B392" t="s">
        <v>478</v>
      </c>
      <c r="C392" t="s">
        <v>516</v>
      </c>
      <c r="D392" t="s">
        <v>1243</v>
      </c>
      <c r="E392" t="s">
        <v>1244</v>
      </c>
      <c r="F392">
        <v>36363.64</v>
      </c>
      <c r="G392">
        <v>297363764</v>
      </c>
      <c r="H392" s="118">
        <v>45322</v>
      </c>
      <c r="I392">
        <v>100</v>
      </c>
      <c r="J392">
        <v>100</v>
      </c>
      <c r="K392">
        <v>0</v>
      </c>
      <c r="L392">
        <v>0</v>
      </c>
      <c r="M392">
        <v>0</v>
      </c>
      <c r="N392">
        <v>0</v>
      </c>
      <c r="P392" t="s">
        <v>1247</v>
      </c>
      <c r="Q392" t="s">
        <v>170</v>
      </c>
      <c r="R392">
        <v>12.12</v>
      </c>
      <c r="S392">
        <v>0.375</v>
      </c>
      <c r="T392" s="118">
        <v>46559</v>
      </c>
    </row>
    <row r="393" spans="1:20" hidden="1">
      <c r="A393" t="s">
        <v>511</v>
      </c>
      <c r="B393" t="s">
        <v>478</v>
      </c>
      <c r="C393" t="s">
        <v>516</v>
      </c>
      <c r="D393" t="s">
        <v>1243</v>
      </c>
      <c r="E393" t="s">
        <v>1244</v>
      </c>
      <c r="F393">
        <v>54545.45</v>
      </c>
      <c r="G393">
        <v>297363648</v>
      </c>
      <c r="H393" s="118">
        <v>45289</v>
      </c>
      <c r="I393">
        <v>100</v>
      </c>
      <c r="J393">
        <v>100</v>
      </c>
      <c r="K393">
        <v>0</v>
      </c>
      <c r="L393">
        <v>0</v>
      </c>
      <c r="M393">
        <v>0</v>
      </c>
      <c r="N393">
        <v>0</v>
      </c>
      <c r="P393" t="s">
        <v>564</v>
      </c>
      <c r="Q393" t="s">
        <v>170</v>
      </c>
      <c r="R393">
        <v>18.18</v>
      </c>
      <c r="S393">
        <v>0.375</v>
      </c>
      <c r="T393" s="118">
        <v>46559</v>
      </c>
    </row>
    <row r="394" spans="1:20" hidden="1">
      <c r="A394" t="s">
        <v>511</v>
      </c>
      <c r="B394" t="s">
        <v>478</v>
      </c>
      <c r="C394" t="s">
        <v>516</v>
      </c>
      <c r="D394" t="s">
        <v>1243</v>
      </c>
      <c r="E394" t="s">
        <v>1244</v>
      </c>
      <c r="F394">
        <v>181818.18</v>
      </c>
      <c r="G394">
        <v>297363052</v>
      </c>
      <c r="H394" s="118">
        <v>44001</v>
      </c>
      <c r="I394">
        <v>100</v>
      </c>
      <c r="J394">
        <v>100</v>
      </c>
      <c r="K394">
        <v>0</v>
      </c>
      <c r="L394">
        <v>0</v>
      </c>
      <c r="M394">
        <v>0</v>
      </c>
      <c r="N394">
        <v>0</v>
      </c>
      <c r="P394" t="s">
        <v>1248</v>
      </c>
      <c r="Q394" t="s">
        <v>170</v>
      </c>
      <c r="R394">
        <v>60.61</v>
      </c>
      <c r="S394">
        <v>0.375</v>
      </c>
      <c r="T394" s="118">
        <v>46559</v>
      </c>
    </row>
    <row r="395" spans="1:20" hidden="1">
      <c r="A395" t="s">
        <v>511</v>
      </c>
      <c r="B395" t="s">
        <v>478</v>
      </c>
      <c r="C395" t="s">
        <v>516</v>
      </c>
      <c r="D395" t="s">
        <v>1249</v>
      </c>
      <c r="E395" t="s">
        <v>1250</v>
      </c>
      <c r="F395">
        <v>49.09</v>
      </c>
      <c r="G395">
        <v>297363089</v>
      </c>
      <c r="H395" s="118">
        <v>44348</v>
      </c>
      <c r="I395">
        <v>98.961100000000002</v>
      </c>
      <c r="J395">
        <v>101</v>
      </c>
      <c r="K395">
        <v>48.98</v>
      </c>
      <c r="L395">
        <v>49.58</v>
      </c>
      <c r="M395">
        <v>0.6</v>
      </c>
      <c r="N395">
        <v>0</v>
      </c>
      <c r="P395" t="s">
        <v>939</v>
      </c>
      <c r="Q395" t="s">
        <v>170</v>
      </c>
      <c r="R395">
        <v>0.02</v>
      </c>
      <c r="S395">
        <v>0</v>
      </c>
      <c r="T395" s="118">
        <v>47058</v>
      </c>
    </row>
    <row r="396" spans="1:20" hidden="1">
      <c r="A396" t="s">
        <v>511</v>
      </c>
      <c r="B396" t="s">
        <v>478</v>
      </c>
      <c r="C396" t="s">
        <v>516</v>
      </c>
      <c r="D396" t="s">
        <v>1249</v>
      </c>
      <c r="E396" t="s">
        <v>1250</v>
      </c>
      <c r="F396">
        <v>1918.63</v>
      </c>
      <c r="G396">
        <v>297363090</v>
      </c>
      <c r="H396" s="118">
        <v>44348</v>
      </c>
      <c r="I396">
        <v>98.999799999999993</v>
      </c>
      <c r="J396">
        <v>101</v>
      </c>
      <c r="K396">
        <v>1911.41</v>
      </c>
      <c r="L396">
        <v>1937.82</v>
      </c>
      <c r="M396">
        <v>26.41</v>
      </c>
      <c r="N396">
        <v>0</v>
      </c>
      <c r="P396" t="s">
        <v>939</v>
      </c>
      <c r="Q396" t="s">
        <v>170</v>
      </c>
      <c r="R396">
        <v>0.96</v>
      </c>
      <c r="S396">
        <v>0</v>
      </c>
      <c r="T396" s="118">
        <v>47058</v>
      </c>
    </row>
    <row r="397" spans="1:20" hidden="1">
      <c r="A397" t="s">
        <v>511</v>
      </c>
      <c r="B397" t="s">
        <v>478</v>
      </c>
      <c r="C397" t="s">
        <v>516</v>
      </c>
      <c r="D397" t="s">
        <v>1251</v>
      </c>
      <c r="E397" t="s">
        <v>1252</v>
      </c>
      <c r="F397">
        <v>99357.13</v>
      </c>
      <c r="G397">
        <v>297363057</v>
      </c>
      <c r="H397" s="118">
        <v>44032</v>
      </c>
      <c r="I397">
        <v>100</v>
      </c>
      <c r="J397">
        <v>100</v>
      </c>
      <c r="K397">
        <v>0</v>
      </c>
      <c r="L397">
        <v>0</v>
      </c>
      <c r="M397">
        <v>0</v>
      </c>
      <c r="N397">
        <v>0</v>
      </c>
      <c r="P397" t="s">
        <v>1253</v>
      </c>
      <c r="Q397" t="s">
        <v>170</v>
      </c>
      <c r="R397">
        <v>44.16</v>
      </c>
      <c r="S397">
        <v>0.5</v>
      </c>
      <c r="T397" s="118">
        <v>47058</v>
      </c>
    </row>
    <row r="398" spans="1:20" hidden="1">
      <c r="A398" t="s">
        <v>511</v>
      </c>
      <c r="B398" t="s">
        <v>478</v>
      </c>
      <c r="C398" t="s">
        <v>516</v>
      </c>
      <c r="D398" t="s">
        <v>1251</v>
      </c>
      <c r="E398" t="s">
        <v>1252</v>
      </c>
      <c r="F398">
        <v>254452.87</v>
      </c>
      <c r="G398">
        <v>297363091</v>
      </c>
      <c r="H398" s="118">
        <v>44348</v>
      </c>
      <c r="I398">
        <v>100</v>
      </c>
      <c r="J398">
        <v>100</v>
      </c>
      <c r="K398">
        <v>0</v>
      </c>
      <c r="L398">
        <v>0</v>
      </c>
      <c r="M398">
        <v>0</v>
      </c>
      <c r="N398">
        <v>0</v>
      </c>
      <c r="P398" t="s">
        <v>1254</v>
      </c>
      <c r="Q398" t="s">
        <v>170</v>
      </c>
      <c r="R398">
        <v>113.09</v>
      </c>
      <c r="S398">
        <v>0.5</v>
      </c>
      <c r="T398" s="118">
        <v>47058</v>
      </c>
    </row>
    <row r="399" spans="1:20" hidden="1">
      <c r="A399" t="s">
        <v>511</v>
      </c>
      <c r="B399" t="s">
        <v>478</v>
      </c>
      <c r="C399" t="s">
        <v>516</v>
      </c>
      <c r="D399" t="s">
        <v>1251</v>
      </c>
      <c r="E399" t="s">
        <v>1252</v>
      </c>
      <c r="F399">
        <v>254650.7</v>
      </c>
      <c r="G399">
        <v>297363414</v>
      </c>
      <c r="H399" s="118">
        <v>45044</v>
      </c>
      <c r="I399">
        <v>100</v>
      </c>
      <c r="J399">
        <v>100</v>
      </c>
      <c r="K399">
        <v>0</v>
      </c>
      <c r="L399">
        <v>0</v>
      </c>
      <c r="M399">
        <v>0</v>
      </c>
      <c r="N399">
        <v>0</v>
      </c>
      <c r="P399" t="s">
        <v>1254</v>
      </c>
      <c r="Q399" t="s">
        <v>170</v>
      </c>
      <c r="R399">
        <v>113.18</v>
      </c>
      <c r="S399">
        <v>0.5</v>
      </c>
      <c r="T399" s="118">
        <v>47058</v>
      </c>
    </row>
    <row r="400" spans="1:20" hidden="1">
      <c r="A400" t="s">
        <v>511</v>
      </c>
      <c r="B400" t="s">
        <v>478</v>
      </c>
      <c r="C400" t="s">
        <v>516</v>
      </c>
      <c r="D400" t="s">
        <v>1255</v>
      </c>
      <c r="E400" t="s">
        <v>1256</v>
      </c>
      <c r="F400">
        <v>189677.41</v>
      </c>
      <c r="G400">
        <v>297363038</v>
      </c>
      <c r="H400" s="118">
        <v>43749</v>
      </c>
      <c r="I400">
        <v>100</v>
      </c>
      <c r="J400">
        <v>100</v>
      </c>
      <c r="K400">
        <v>0</v>
      </c>
      <c r="L400">
        <v>0</v>
      </c>
      <c r="M400">
        <v>0</v>
      </c>
      <c r="N400">
        <v>0</v>
      </c>
      <c r="P400" t="s">
        <v>1257</v>
      </c>
      <c r="Q400" t="s">
        <v>170</v>
      </c>
      <c r="R400">
        <v>84.3</v>
      </c>
      <c r="S400">
        <v>0.5</v>
      </c>
      <c r="T400" s="118">
        <v>46152</v>
      </c>
    </row>
    <row r="401" spans="1:20" hidden="1">
      <c r="A401" t="s">
        <v>511</v>
      </c>
      <c r="B401" t="s">
        <v>478</v>
      </c>
      <c r="C401" t="s">
        <v>516</v>
      </c>
      <c r="D401" t="s">
        <v>1255</v>
      </c>
      <c r="E401" t="s">
        <v>1256</v>
      </c>
      <c r="F401">
        <v>216774.2</v>
      </c>
      <c r="G401">
        <v>297363045</v>
      </c>
      <c r="H401" s="118">
        <v>43832</v>
      </c>
      <c r="I401">
        <v>100</v>
      </c>
      <c r="J401">
        <v>100</v>
      </c>
      <c r="K401">
        <v>0</v>
      </c>
      <c r="L401">
        <v>0</v>
      </c>
      <c r="M401">
        <v>0</v>
      </c>
      <c r="N401">
        <v>0</v>
      </c>
      <c r="P401" t="s">
        <v>1258</v>
      </c>
      <c r="Q401" t="s">
        <v>170</v>
      </c>
      <c r="R401">
        <v>96.34</v>
      </c>
      <c r="S401">
        <v>0.5</v>
      </c>
      <c r="T401" s="118">
        <v>46152</v>
      </c>
    </row>
    <row r="402" spans="1:20" hidden="1">
      <c r="A402" t="s">
        <v>511</v>
      </c>
      <c r="B402" t="s">
        <v>478</v>
      </c>
      <c r="C402" t="s">
        <v>516</v>
      </c>
      <c r="D402" t="s">
        <v>1255</v>
      </c>
      <c r="E402" t="s">
        <v>1256</v>
      </c>
      <c r="F402">
        <v>270967.74</v>
      </c>
      <c r="G402">
        <v>297363095</v>
      </c>
      <c r="H402" s="118">
        <v>44386</v>
      </c>
      <c r="I402">
        <v>100</v>
      </c>
      <c r="J402">
        <v>100</v>
      </c>
      <c r="K402">
        <v>0</v>
      </c>
      <c r="L402">
        <v>0</v>
      </c>
      <c r="M402">
        <v>0</v>
      </c>
      <c r="N402">
        <v>0</v>
      </c>
      <c r="P402" t="s">
        <v>1259</v>
      </c>
      <c r="Q402" t="s">
        <v>170</v>
      </c>
      <c r="R402">
        <v>120.43</v>
      </c>
      <c r="S402">
        <v>0.5</v>
      </c>
      <c r="T402" s="118">
        <v>46152</v>
      </c>
    </row>
    <row r="403" spans="1:20" hidden="1">
      <c r="A403" t="s">
        <v>511</v>
      </c>
      <c r="B403" t="s">
        <v>478</v>
      </c>
      <c r="C403" t="s">
        <v>516</v>
      </c>
      <c r="D403" t="s">
        <v>1255</v>
      </c>
      <c r="E403" t="s">
        <v>1256</v>
      </c>
      <c r="F403">
        <v>270967.74</v>
      </c>
      <c r="G403">
        <v>297363112</v>
      </c>
      <c r="H403" s="118">
        <v>44442</v>
      </c>
      <c r="I403">
        <v>100</v>
      </c>
      <c r="J403">
        <v>100</v>
      </c>
      <c r="K403">
        <v>0</v>
      </c>
      <c r="L403">
        <v>0</v>
      </c>
      <c r="M403">
        <v>0</v>
      </c>
      <c r="N403">
        <v>0</v>
      </c>
      <c r="P403" t="s">
        <v>1259</v>
      </c>
      <c r="Q403" t="s">
        <v>170</v>
      </c>
      <c r="R403">
        <v>120.43</v>
      </c>
      <c r="S403">
        <v>0.5</v>
      </c>
      <c r="T403" s="118">
        <v>46152</v>
      </c>
    </row>
    <row r="404" spans="1:20" hidden="1">
      <c r="A404" t="s">
        <v>511</v>
      </c>
      <c r="B404" t="s">
        <v>478</v>
      </c>
      <c r="C404" t="s">
        <v>516</v>
      </c>
      <c r="D404" t="s">
        <v>1255</v>
      </c>
      <c r="E404" t="s">
        <v>1256</v>
      </c>
      <c r="F404">
        <v>270967.74</v>
      </c>
      <c r="G404">
        <v>297363203</v>
      </c>
      <c r="H404" s="118">
        <v>44701</v>
      </c>
      <c r="I404">
        <v>100</v>
      </c>
      <c r="J404">
        <v>100</v>
      </c>
      <c r="K404">
        <v>0</v>
      </c>
      <c r="L404">
        <v>0</v>
      </c>
      <c r="M404">
        <v>0</v>
      </c>
      <c r="N404">
        <v>0</v>
      </c>
      <c r="P404" t="s">
        <v>1259</v>
      </c>
      <c r="Q404" t="s">
        <v>170</v>
      </c>
      <c r="R404">
        <v>120.43</v>
      </c>
      <c r="S404">
        <v>0.5</v>
      </c>
      <c r="T404" s="118">
        <v>46152</v>
      </c>
    </row>
    <row r="405" spans="1:20" hidden="1">
      <c r="A405" t="s">
        <v>511</v>
      </c>
      <c r="B405" t="s">
        <v>478</v>
      </c>
      <c r="C405" t="s">
        <v>516</v>
      </c>
      <c r="D405" t="s">
        <v>1255</v>
      </c>
      <c r="E405" t="s">
        <v>1256</v>
      </c>
      <c r="F405">
        <v>270967.74</v>
      </c>
      <c r="G405">
        <v>297363255</v>
      </c>
      <c r="H405" s="118">
        <v>44781</v>
      </c>
      <c r="I405">
        <v>100</v>
      </c>
      <c r="J405">
        <v>100</v>
      </c>
      <c r="K405">
        <v>0</v>
      </c>
      <c r="L405">
        <v>0</v>
      </c>
      <c r="M405">
        <v>0</v>
      </c>
      <c r="N405">
        <v>0</v>
      </c>
      <c r="P405" t="s">
        <v>1259</v>
      </c>
      <c r="Q405" t="s">
        <v>170</v>
      </c>
      <c r="R405">
        <v>120.43</v>
      </c>
      <c r="S405">
        <v>0.5</v>
      </c>
      <c r="T405" s="118">
        <v>46152</v>
      </c>
    </row>
    <row r="406" spans="1:20" hidden="1">
      <c r="A406" t="s">
        <v>511</v>
      </c>
      <c r="B406" t="s">
        <v>478</v>
      </c>
      <c r="C406" t="s">
        <v>516</v>
      </c>
      <c r="D406" t="s">
        <v>1255</v>
      </c>
      <c r="E406" t="s">
        <v>1256</v>
      </c>
      <c r="F406">
        <v>270967.74</v>
      </c>
      <c r="G406">
        <v>297363527</v>
      </c>
      <c r="H406" s="118">
        <v>45169</v>
      </c>
      <c r="I406">
        <v>100</v>
      </c>
      <c r="J406">
        <v>100</v>
      </c>
      <c r="K406">
        <v>0</v>
      </c>
      <c r="L406">
        <v>0</v>
      </c>
      <c r="M406">
        <v>0</v>
      </c>
      <c r="N406">
        <v>0</v>
      </c>
      <c r="P406" t="s">
        <v>1259</v>
      </c>
      <c r="Q406" t="s">
        <v>170</v>
      </c>
      <c r="R406">
        <v>120.43</v>
      </c>
      <c r="S406">
        <v>0.5</v>
      </c>
      <c r="T406" s="118">
        <v>46152</v>
      </c>
    </row>
    <row r="407" spans="1:20" hidden="1">
      <c r="A407" t="s">
        <v>511</v>
      </c>
      <c r="B407" t="s">
        <v>478</v>
      </c>
      <c r="C407" t="s">
        <v>516</v>
      </c>
      <c r="D407" t="s">
        <v>1255</v>
      </c>
      <c r="E407" t="s">
        <v>1256</v>
      </c>
      <c r="F407">
        <v>406451.61</v>
      </c>
      <c r="G407">
        <v>297363124</v>
      </c>
      <c r="H407" s="118">
        <v>44469</v>
      </c>
      <c r="I407">
        <v>100</v>
      </c>
      <c r="J407">
        <v>100</v>
      </c>
      <c r="K407">
        <v>0</v>
      </c>
      <c r="L407">
        <v>0</v>
      </c>
      <c r="M407">
        <v>0</v>
      </c>
      <c r="N407">
        <v>0</v>
      </c>
      <c r="P407" t="s">
        <v>1260</v>
      </c>
      <c r="Q407" t="s">
        <v>170</v>
      </c>
      <c r="R407">
        <v>180.65</v>
      </c>
      <c r="S407">
        <v>0.5</v>
      </c>
      <c r="T407" s="118">
        <v>46152</v>
      </c>
    </row>
    <row r="408" spans="1:20" hidden="1">
      <c r="A408" t="s">
        <v>511</v>
      </c>
      <c r="B408" t="s">
        <v>478</v>
      </c>
      <c r="C408" t="s">
        <v>516</v>
      </c>
      <c r="D408" t="s">
        <v>1255</v>
      </c>
      <c r="E408" t="s">
        <v>1256</v>
      </c>
      <c r="F408">
        <v>541935.49</v>
      </c>
      <c r="G408">
        <v>297363688</v>
      </c>
      <c r="H408" s="118">
        <v>45317</v>
      </c>
      <c r="I408">
        <v>100</v>
      </c>
      <c r="J408">
        <v>100</v>
      </c>
      <c r="K408">
        <v>0</v>
      </c>
      <c r="L408">
        <v>0</v>
      </c>
      <c r="M408">
        <v>0</v>
      </c>
      <c r="N408">
        <v>0</v>
      </c>
      <c r="P408" t="s">
        <v>1261</v>
      </c>
      <c r="Q408" t="s">
        <v>170</v>
      </c>
      <c r="R408">
        <v>240.86</v>
      </c>
      <c r="S408">
        <v>0.5</v>
      </c>
      <c r="T408" s="118">
        <v>46152</v>
      </c>
    </row>
    <row r="409" spans="1:20" hidden="1">
      <c r="A409" t="s">
        <v>511</v>
      </c>
      <c r="B409" t="s">
        <v>478</v>
      </c>
      <c r="C409" t="s">
        <v>516</v>
      </c>
      <c r="D409" t="s">
        <v>1255</v>
      </c>
      <c r="E409" t="s">
        <v>1256</v>
      </c>
      <c r="F409">
        <v>677419.36</v>
      </c>
      <c r="G409">
        <v>297363150</v>
      </c>
      <c r="H409" s="118">
        <v>44547</v>
      </c>
      <c r="I409">
        <v>100</v>
      </c>
      <c r="J409">
        <v>100</v>
      </c>
      <c r="K409">
        <v>0</v>
      </c>
      <c r="L409">
        <v>0</v>
      </c>
      <c r="M409">
        <v>0</v>
      </c>
      <c r="N409">
        <v>0</v>
      </c>
      <c r="P409" t="s">
        <v>1262</v>
      </c>
      <c r="Q409" t="s">
        <v>170</v>
      </c>
      <c r="R409">
        <v>301.08</v>
      </c>
      <c r="S409">
        <v>0.5</v>
      </c>
      <c r="T409" s="118">
        <v>46152</v>
      </c>
    </row>
    <row r="410" spans="1:20" hidden="1">
      <c r="A410" t="s">
        <v>511</v>
      </c>
      <c r="B410" t="s">
        <v>478</v>
      </c>
      <c r="C410" t="s">
        <v>516</v>
      </c>
      <c r="D410" t="s">
        <v>1263</v>
      </c>
      <c r="E410" t="s">
        <v>1264</v>
      </c>
      <c r="F410">
        <v>272015.43</v>
      </c>
      <c r="G410">
        <v>297363067</v>
      </c>
      <c r="H410" s="118">
        <v>44144</v>
      </c>
      <c r="I410">
        <v>100</v>
      </c>
      <c r="J410">
        <v>100</v>
      </c>
      <c r="K410">
        <v>0</v>
      </c>
      <c r="L410">
        <v>0</v>
      </c>
      <c r="M410">
        <v>0</v>
      </c>
      <c r="N410">
        <v>0</v>
      </c>
      <c r="P410" t="s">
        <v>849</v>
      </c>
      <c r="Q410" t="s">
        <v>170</v>
      </c>
      <c r="R410">
        <v>120.9</v>
      </c>
      <c r="S410">
        <v>0.5</v>
      </c>
      <c r="T410" s="118">
        <v>46056</v>
      </c>
    </row>
    <row r="411" spans="1:20" hidden="1">
      <c r="A411" t="s">
        <v>511</v>
      </c>
      <c r="B411" t="s">
        <v>478</v>
      </c>
      <c r="C411" t="s">
        <v>516</v>
      </c>
      <c r="D411" t="s">
        <v>1263</v>
      </c>
      <c r="E411" t="s">
        <v>1264</v>
      </c>
      <c r="F411">
        <v>388593.46</v>
      </c>
      <c r="G411">
        <v>297363108</v>
      </c>
      <c r="H411" s="118">
        <v>44439</v>
      </c>
      <c r="I411">
        <v>100</v>
      </c>
      <c r="J411">
        <v>100</v>
      </c>
      <c r="K411">
        <v>0</v>
      </c>
      <c r="L411">
        <v>0</v>
      </c>
      <c r="M411">
        <v>0</v>
      </c>
      <c r="N411">
        <v>0</v>
      </c>
      <c r="P411" t="s">
        <v>1265</v>
      </c>
      <c r="Q411" t="s">
        <v>170</v>
      </c>
      <c r="R411">
        <v>172.71</v>
      </c>
      <c r="S411">
        <v>0.5</v>
      </c>
      <c r="T411" s="118">
        <v>46056</v>
      </c>
    </row>
    <row r="412" spans="1:20" hidden="1">
      <c r="A412" t="s">
        <v>511</v>
      </c>
      <c r="B412" t="s">
        <v>478</v>
      </c>
      <c r="C412" t="s">
        <v>516</v>
      </c>
      <c r="D412" t="s">
        <v>1263</v>
      </c>
      <c r="E412" t="s">
        <v>1264</v>
      </c>
      <c r="F412">
        <v>505171.5</v>
      </c>
      <c r="G412">
        <v>297363363</v>
      </c>
      <c r="H412" s="118">
        <v>44993</v>
      </c>
      <c r="I412">
        <v>100</v>
      </c>
      <c r="J412">
        <v>100</v>
      </c>
      <c r="K412">
        <v>0</v>
      </c>
      <c r="L412">
        <v>0</v>
      </c>
      <c r="M412">
        <v>0</v>
      </c>
      <c r="N412">
        <v>0</v>
      </c>
      <c r="P412" t="s">
        <v>1266</v>
      </c>
      <c r="Q412" t="s">
        <v>170</v>
      </c>
      <c r="R412">
        <v>224.52</v>
      </c>
      <c r="S412">
        <v>0.5</v>
      </c>
      <c r="T412" s="118">
        <v>46056</v>
      </c>
    </row>
    <row r="413" spans="1:20" hidden="1">
      <c r="A413" t="s">
        <v>511</v>
      </c>
      <c r="B413" t="s">
        <v>478</v>
      </c>
      <c r="C413" t="s">
        <v>516</v>
      </c>
      <c r="D413" t="s">
        <v>1267</v>
      </c>
      <c r="E413" t="s">
        <v>1268</v>
      </c>
      <c r="F413">
        <v>101626.02</v>
      </c>
      <c r="G413">
        <v>297363061</v>
      </c>
      <c r="H413" s="118">
        <v>44075</v>
      </c>
      <c r="I413">
        <v>40</v>
      </c>
      <c r="J413">
        <v>100</v>
      </c>
      <c r="K413">
        <v>40650.410000000003</v>
      </c>
      <c r="L413">
        <v>40650.410000000003</v>
      </c>
      <c r="M413">
        <v>0</v>
      </c>
      <c r="N413">
        <v>0</v>
      </c>
      <c r="P413" t="s">
        <v>1269</v>
      </c>
      <c r="Q413" t="s">
        <v>170</v>
      </c>
      <c r="R413">
        <v>395.72</v>
      </c>
      <c r="S413">
        <v>0.5</v>
      </c>
      <c r="T413" s="118">
        <v>46210</v>
      </c>
    </row>
    <row r="414" spans="1:20" hidden="1">
      <c r="A414" t="s">
        <v>511</v>
      </c>
      <c r="B414" t="s">
        <v>478</v>
      </c>
      <c r="C414" t="s">
        <v>516</v>
      </c>
      <c r="D414" t="s">
        <v>1267</v>
      </c>
      <c r="E414" t="s">
        <v>1268</v>
      </c>
      <c r="F414">
        <v>101626.02</v>
      </c>
      <c r="G414">
        <v>297363063</v>
      </c>
      <c r="H414" s="118">
        <v>44095</v>
      </c>
      <c r="I414">
        <v>40</v>
      </c>
      <c r="J414">
        <v>100</v>
      </c>
      <c r="K414">
        <v>40650.410000000003</v>
      </c>
      <c r="L414">
        <v>40650.410000000003</v>
      </c>
      <c r="M414">
        <v>0</v>
      </c>
      <c r="N414">
        <v>0</v>
      </c>
      <c r="P414" t="s">
        <v>1269</v>
      </c>
      <c r="Q414" t="s">
        <v>170</v>
      </c>
      <c r="R414">
        <v>395.72</v>
      </c>
      <c r="S414">
        <v>0.5</v>
      </c>
      <c r="T414" s="118">
        <v>46210</v>
      </c>
    </row>
    <row r="415" spans="1:20" hidden="1">
      <c r="A415" t="s">
        <v>511</v>
      </c>
      <c r="B415" t="s">
        <v>478</v>
      </c>
      <c r="C415" t="s">
        <v>516</v>
      </c>
      <c r="D415" t="s">
        <v>1267</v>
      </c>
      <c r="E415" t="s">
        <v>1268</v>
      </c>
      <c r="F415">
        <v>203252.03</v>
      </c>
      <c r="G415">
        <v>297363051</v>
      </c>
      <c r="H415" s="118">
        <v>43980</v>
      </c>
      <c r="I415">
        <v>40</v>
      </c>
      <c r="J415">
        <v>100</v>
      </c>
      <c r="K415">
        <v>81300.81</v>
      </c>
      <c r="L415">
        <v>81300.81</v>
      </c>
      <c r="M415">
        <v>0</v>
      </c>
      <c r="N415">
        <v>0</v>
      </c>
      <c r="P415" t="s">
        <v>1270</v>
      </c>
      <c r="Q415" t="s">
        <v>170</v>
      </c>
      <c r="R415">
        <v>791.44</v>
      </c>
      <c r="S415">
        <v>0.5</v>
      </c>
      <c r="T415" s="118">
        <v>46210</v>
      </c>
    </row>
    <row r="416" spans="1:20" hidden="1">
      <c r="A416" t="s">
        <v>511</v>
      </c>
      <c r="B416" t="s">
        <v>478</v>
      </c>
      <c r="C416" t="s">
        <v>516</v>
      </c>
      <c r="D416" t="s">
        <v>1267</v>
      </c>
      <c r="E416" t="s">
        <v>1268</v>
      </c>
      <c r="F416">
        <v>203252.03</v>
      </c>
      <c r="G416">
        <v>297363060</v>
      </c>
      <c r="H416" s="118">
        <v>44074</v>
      </c>
      <c r="I416">
        <v>40</v>
      </c>
      <c r="J416">
        <v>100</v>
      </c>
      <c r="K416">
        <v>81300.81</v>
      </c>
      <c r="L416">
        <v>81300.81</v>
      </c>
      <c r="M416">
        <v>0</v>
      </c>
      <c r="N416">
        <v>0</v>
      </c>
      <c r="P416" t="s">
        <v>1270</v>
      </c>
      <c r="Q416" t="s">
        <v>170</v>
      </c>
      <c r="R416">
        <v>791.44</v>
      </c>
      <c r="S416">
        <v>0.5</v>
      </c>
      <c r="T416" s="118">
        <v>46210</v>
      </c>
    </row>
    <row r="417" spans="1:20" hidden="1">
      <c r="A417" t="s">
        <v>511</v>
      </c>
      <c r="B417" t="s">
        <v>478</v>
      </c>
      <c r="C417" t="s">
        <v>516</v>
      </c>
      <c r="D417" t="s">
        <v>1271</v>
      </c>
      <c r="E417" t="s">
        <v>1272</v>
      </c>
      <c r="F417">
        <v>505.1</v>
      </c>
      <c r="G417">
        <v>297363080</v>
      </c>
      <c r="H417" s="118">
        <v>44286</v>
      </c>
      <c r="I417">
        <v>100</v>
      </c>
      <c r="J417">
        <v>95</v>
      </c>
      <c r="K417">
        <v>505.1</v>
      </c>
      <c r="L417">
        <v>479.84</v>
      </c>
      <c r="M417">
        <v>-25.26</v>
      </c>
      <c r="N417">
        <v>0</v>
      </c>
      <c r="P417" t="s">
        <v>939</v>
      </c>
      <c r="Q417" t="s">
        <v>170</v>
      </c>
      <c r="R417">
        <v>0.28999999999999998</v>
      </c>
      <c r="S417">
        <v>0</v>
      </c>
      <c r="T417" s="118">
        <v>46477</v>
      </c>
    </row>
    <row r="418" spans="1:20" hidden="1">
      <c r="A418" t="s">
        <v>511</v>
      </c>
      <c r="B418" t="s">
        <v>478</v>
      </c>
      <c r="C418" t="s">
        <v>516</v>
      </c>
      <c r="D418" t="s">
        <v>1271</v>
      </c>
      <c r="E418" t="s">
        <v>1272</v>
      </c>
      <c r="F418">
        <v>612.61</v>
      </c>
      <c r="G418">
        <v>297363092</v>
      </c>
      <c r="H418" s="118">
        <v>44377</v>
      </c>
      <c r="I418">
        <v>100</v>
      </c>
      <c r="J418">
        <v>95</v>
      </c>
      <c r="K418">
        <v>612.61</v>
      </c>
      <c r="L418">
        <v>581.98</v>
      </c>
      <c r="M418">
        <v>-30.63</v>
      </c>
      <c r="N418">
        <v>0</v>
      </c>
      <c r="P418" t="s">
        <v>939</v>
      </c>
      <c r="Q418" t="s">
        <v>170</v>
      </c>
      <c r="R418">
        <v>0.35</v>
      </c>
      <c r="S418">
        <v>0</v>
      </c>
      <c r="T418" s="118">
        <v>46477</v>
      </c>
    </row>
    <row r="419" spans="1:20" hidden="1">
      <c r="A419" t="s">
        <v>511</v>
      </c>
      <c r="B419" t="s">
        <v>478</v>
      </c>
      <c r="C419" t="s">
        <v>516</v>
      </c>
      <c r="D419" t="s">
        <v>1271</v>
      </c>
      <c r="E419" t="s">
        <v>1272</v>
      </c>
      <c r="F419">
        <v>617.01</v>
      </c>
      <c r="G419">
        <v>297363122</v>
      </c>
      <c r="H419" s="118">
        <v>44469</v>
      </c>
      <c r="I419">
        <v>100</v>
      </c>
      <c r="J419">
        <v>95</v>
      </c>
      <c r="K419">
        <v>617.01</v>
      </c>
      <c r="L419">
        <v>586.16</v>
      </c>
      <c r="M419">
        <v>-30.85</v>
      </c>
      <c r="N419">
        <v>0</v>
      </c>
      <c r="P419" t="s">
        <v>939</v>
      </c>
      <c r="Q419" t="s">
        <v>170</v>
      </c>
      <c r="R419">
        <v>0.35</v>
      </c>
      <c r="S419">
        <v>0</v>
      </c>
      <c r="T419" s="118">
        <v>46477</v>
      </c>
    </row>
    <row r="420" spans="1:20" hidden="1">
      <c r="A420" t="s">
        <v>511</v>
      </c>
      <c r="B420" t="s">
        <v>478</v>
      </c>
      <c r="C420" t="s">
        <v>516</v>
      </c>
      <c r="D420" t="s">
        <v>1271</v>
      </c>
      <c r="E420" t="s">
        <v>1272</v>
      </c>
      <c r="F420">
        <v>616.5</v>
      </c>
      <c r="G420">
        <v>297363160</v>
      </c>
      <c r="H420" s="118">
        <v>44561</v>
      </c>
      <c r="I420">
        <v>100</v>
      </c>
      <c r="J420">
        <v>95</v>
      </c>
      <c r="K420">
        <v>616.5</v>
      </c>
      <c r="L420">
        <v>585.66999999999996</v>
      </c>
      <c r="M420">
        <v>-30.83</v>
      </c>
      <c r="N420">
        <v>0</v>
      </c>
      <c r="P420" t="s">
        <v>939</v>
      </c>
      <c r="Q420" t="s">
        <v>170</v>
      </c>
      <c r="R420">
        <v>0.35</v>
      </c>
      <c r="S420">
        <v>0</v>
      </c>
      <c r="T420" s="118">
        <v>46477</v>
      </c>
    </row>
    <row r="421" spans="1:20" hidden="1">
      <c r="A421" t="s">
        <v>511</v>
      </c>
      <c r="B421" t="s">
        <v>478</v>
      </c>
      <c r="C421" t="s">
        <v>516</v>
      </c>
      <c r="D421" t="s">
        <v>1271</v>
      </c>
      <c r="E421" t="s">
        <v>1272</v>
      </c>
      <c r="F421">
        <v>604.63</v>
      </c>
      <c r="G421">
        <v>297363208</v>
      </c>
      <c r="H421" s="118">
        <v>44651</v>
      </c>
      <c r="I421">
        <v>100</v>
      </c>
      <c r="J421">
        <v>95</v>
      </c>
      <c r="K421">
        <v>604.63</v>
      </c>
      <c r="L421">
        <v>574.4</v>
      </c>
      <c r="M421">
        <v>-30.23</v>
      </c>
      <c r="N421">
        <v>0</v>
      </c>
      <c r="P421" t="s">
        <v>939</v>
      </c>
      <c r="Q421" t="s">
        <v>170</v>
      </c>
      <c r="R421">
        <v>0.35</v>
      </c>
      <c r="S421">
        <v>0</v>
      </c>
      <c r="T421" s="118">
        <v>46477</v>
      </c>
    </row>
    <row r="422" spans="1:20" hidden="1">
      <c r="A422" t="s">
        <v>511</v>
      </c>
      <c r="B422" t="s">
        <v>478</v>
      </c>
      <c r="C422" t="s">
        <v>516</v>
      </c>
      <c r="D422" t="s">
        <v>1271</v>
      </c>
      <c r="E422" t="s">
        <v>1272</v>
      </c>
      <c r="F422">
        <v>527.51</v>
      </c>
      <c r="G422">
        <v>297363244</v>
      </c>
      <c r="H422" s="118">
        <v>44742</v>
      </c>
      <c r="I422">
        <v>100</v>
      </c>
      <c r="J422">
        <v>95</v>
      </c>
      <c r="K422">
        <v>527.51</v>
      </c>
      <c r="L422">
        <v>501.13</v>
      </c>
      <c r="M422">
        <v>-26.38</v>
      </c>
      <c r="N422">
        <v>0</v>
      </c>
      <c r="P422" t="s">
        <v>939</v>
      </c>
      <c r="Q422" t="s">
        <v>170</v>
      </c>
      <c r="R422">
        <v>0.3</v>
      </c>
      <c r="S422">
        <v>0</v>
      </c>
      <c r="T422" s="118">
        <v>46477</v>
      </c>
    </row>
    <row r="423" spans="1:20" hidden="1">
      <c r="A423" t="s">
        <v>511</v>
      </c>
      <c r="B423" t="s">
        <v>478</v>
      </c>
      <c r="C423" t="s">
        <v>516</v>
      </c>
      <c r="D423" t="s">
        <v>1271</v>
      </c>
      <c r="E423" t="s">
        <v>1272</v>
      </c>
      <c r="F423">
        <v>455.81</v>
      </c>
      <c r="G423">
        <v>297363284</v>
      </c>
      <c r="H423" s="118">
        <v>44834</v>
      </c>
      <c r="I423">
        <v>100</v>
      </c>
      <c r="J423">
        <v>95</v>
      </c>
      <c r="K423">
        <v>455.81</v>
      </c>
      <c r="L423">
        <v>433.02</v>
      </c>
      <c r="M423">
        <v>-22.79</v>
      </c>
      <c r="N423">
        <v>0</v>
      </c>
      <c r="P423" t="s">
        <v>939</v>
      </c>
      <c r="Q423" t="s">
        <v>170</v>
      </c>
      <c r="R423">
        <v>0.26</v>
      </c>
      <c r="S423">
        <v>0</v>
      </c>
      <c r="T423" s="118">
        <v>46477</v>
      </c>
    </row>
    <row r="424" spans="1:20" hidden="1">
      <c r="A424" t="s">
        <v>511</v>
      </c>
      <c r="B424" t="s">
        <v>478</v>
      </c>
      <c r="C424" t="s">
        <v>516</v>
      </c>
      <c r="D424" t="s">
        <v>1271</v>
      </c>
      <c r="E424" t="s">
        <v>1272</v>
      </c>
      <c r="F424">
        <v>450.27</v>
      </c>
      <c r="G424">
        <v>297363325</v>
      </c>
      <c r="H424" s="118">
        <v>44925</v>
      </c>
      <c r="I424">
        <v>100</v>
      </c>
      <c r="J424">
        <v>95</v>
      </c>
      <c r="K424">
        <v>450.27</v>
      </c>
      <c r="L424">
        <v>427.76</v>
      </c>
      <c r="M424">
        <v>-22.51</v>
      </c>
      <c r="N424">
        <v>0</v>
      </c>
      <c r="P424" t="s">
        <v>939</v>
      </c>
      <c r="Q424" t="s">
        <v>170</v>
      </c>
      <c r="R424">
        <v>0.26</v>
      </c>
      <c r="S424">
        <v>0</v>
      </c>
      <c r="T424" s="118">
        <v>46477</v>
      </c>
    </row>
    <row r="425" spans="1:20" hidden="1">
      <c r="A425" t="s">
        <v>511</v>
      </c>
      <c r="B425" t="s">
        <v>478</v>
      </c>
      <c r="C425" t="s">
        <v>516</v>
      </c>
      <c r="D425" t="s">
        <v>1271</v>
      </c>
      <c r="E425" t="s">
        <v>1272</v>
      </c>
      <c r="F425">
        <v>158.13999999999999</v>
      </c>
      <c r="G425">
        <v>297363337</v>
      </c>
      <c r="H425" s="118">
        <v>44957</v>
      </c>
      <c r="I425">
        <v>100</v>
      </c>
      <c r="J425">
        <v>95</v>
      </c>
      <c r="K425">
        <v>158.13999999999999</v>
      </c>
      <c r="L425">
        <v>150.22999999999999</v>
      </c>
      <c r="M425">
        <v>-7.91</v>
      </c>
      <c r="N425">
        <v>0</v>
      </c>
      <c r="P425" t="s">
        <v>939</v>
      </c>
      <c r="Q425" t="s">
        <v>170</v>
      </c>
      <c r="R425">
        <v>0.09</v>
      </c>
      <c r="S425">
        <v>0</v>
      </c>
      <c r="T425" s="118">
        <v>46477</v>
      </c>
    </row>
    <row r="426" spans="1:20" hidden="1">
      <c r="A426" t="s">
        <v>511</v>
      </c>
      <c r="B426" t="s">
        <v>478</v>
      </c>
      <c r="C426" t="s">
        <v>516</v>
      </c>
      <c r="D426" t="s">
        <v>1271</v>
      </c>
      <c r="E426" t="s">
        <v>1272</v>
      </c>
      <c r="F426">
        <v>138.44</v>
      </c>
      <c r="G426">
        <v>297363359</v>
      </c>
      <c r="H426" s="118">
        <v>44985</v>
      </c>
      <c r="I426">
        <v>100</v>
      </c>
      <c r="J426">
        <v>95</v>
      </c>
      <c r="K426">
        <v>138.44</v>
      </c>
      <c r="L426">
        <v>131.52000000000001</v>
      </c>
      <c r="M426">
        <v>-6.92</v>
      </c>
      <c r="N426">
        <v>0</v>
      </c>
      <c r="P426" t="s">
        <v>939</v>
      </c>
      <c r="Q426" t="s">
        <v>170</v>
      </c>
      <c r="R426">
        <v>0.08</v>
      </c>
      <c r="S426">
        <v>0</v>
      </c>
      <c r="T426" s="118">
        <v>46477</v>
      </c>
    </row>
    <row r="427" spans="1:20" hidden="1">
      <c r="A427" t="s">
        <v>511</v>
      </c>
      <c r="B427" t="s">
        <v>478</v>
      </c>
      <c r="C427" t="s">
        <v>516</v>
      </c>
      <c r="D427" t="s">
        <v>1271</v>
      </c>
      <c r="E427" t="s">
        <v>1272</v>
      </c>
      <c r="F427">
        <v>153.33000000000001</v>
      </c>
      <c r="G427">
        <v>297363386</v>
      </c>
      <c r="H427" s="118">
        <v>45016</v>
      </c>
      <c r="I427">
        <v>100</v>
      </c>
      <c r="J427">
        <v>95</v>
      </c>
      <c r="K427">
        <v>153.33000000000001</v>
      </c>
      <c r="L427">
        <v>145.66</v>
      </c>
      <c r="M427">
        <v>-7.67</v>
      </c>
      <c r="N427">
        <v>0</v>
      </c>
      <c r="P427" t="s">
        <v>939</v>
      </c>
      <c r="Q427" t="s">
        <v>170</v>
      </c>
      <c r="R427">
        <v>0.09</v>
      </c>
      <c r="S427">
        <v>0</v>
      </c>
      <c r="T427" s="118">
        <v>46477</v>
      </c>
    </row>
    <row r="428" spans="1:20" hidden="1">
      <c r="A428" t="s">
        <v>511</v>
      </c>
      <c r="B428" t="s">
        <v>478</v>
      </c>
      <c r="C428" t="s">
        <v>516</v>
      </c>
      <c r="D428" t="s">
        <v>1271</v>
      </c>
      <c r="E428" t="s">
        <v>1272</v>
      </c>
      <c r="F428">
        <v>138.21</v>
      </c>
      <c r="G428">
        <v>297363411</v>
      </c>
      <c r="H428" s="118">
        <v>45044</v>
      </c>
      <c r="I428">
        <v>100</v>
      </c>
      <c r="J428">
        <v>95</v>
      </c>
      <c r="K428">
        <v>138.21</v>
      </c>
      <c r="L428">
        <v>131.30000000000001</v>
      </c>
      <c r="M428">
        <v>-6.91</v>
      </c>
      <c r="N428">
        <v>0</v>
      </c>
      <c r="P428" t="s">
        <v>939</v>
      </c>
      <c r="Q428" t="s">
        <v>170</v>
      </c>
      <c r="R428">
        <v>0.08</v>
      </c>
      <c r="S428">
        <v>0</v>
      </c>
      <c r="T428" s="118">
        <v>46477</v>
      </c>
    </row>
    <row r="429" spans="1:20" hidden="1">
      <c r="A429" t="s">
        <v>511</v>
      </c>
      <c r="B429" t="s">
        <v>478</v>
      </c>
      <c r="C429" t="s">
        <v>516</v>
      </c>
      <c r="D429" t="s">
        <v>1271</v>
      </c>
      <c r="E429" t="s">
        <v>1272</v>
      </c>
      <c r="F429">
        <v>271.56</v>
      </c>
      <c r="G429">
        <v>297363441</v>
      </c>
      <c r="H429" s="118">
        <v>45077</v>
      </c>
      <c r="I429">
        <v>100</v>
      </c>
      <c r="J429">
        <v>95</v>
      </c>
      <c r="K429">
        <v>271.56</v>
      </c>
      <c r="L429">
        <v>257.98</v>
      </c>
      <c r="M429">
        <v>-13.58</v>
      </c>
      <c r="N429">
        <v>0</v>
      </c>
      <c r="P429" t="s">
        <v>939</v>
      </c>
      <c r="Q429" t="s">
        <v>170</v>
      </c>
      <c r="R429">
        <v>0.15</v>
      </c>
      <c r="S429">
        <v>0</v>
      </c>
      <c r="T429" s="118">
        <v>46477</v>
      </c>
    </row>
    <row r="430" spans="1:20" hidden="1">
      <c r="A430" t="s">
        <v>511</v>
      </c>
      <c r="B430" t="s">
        <v>478</v>
      </c>
      <c r="C430" t="s">
        <v>516</v>
      </c>
      <c r="D430" t="s">
        <v>1271</v>
      </c>
      <c r="E430" t="s">
        <v>1272</v>
      </c>
      <c r="F430">
        <v>296.47000000000003</v>
      </c>
      <c r="G430">
        <v>297363477</v>
      </c>
      <c r="H430" s="118">
        <v>45107</v>
      </c>
      <c r="I430">
        <v>100</v>
      </c>
      <c r="J430">
        <v>95</v>
      </c>
      <c r="K430">
        <v>296.47000000000003</v>
      </c>
      <c r="L430">
        <v>281.64999999999998</v>
      </c>
      <c r="M430">
        <v>-14.82</v>
      </c>
      <c r="N430">
        <v>0</v>
      </c>
      <c r="P430" t="s">
        <v>939</v>
      </c>
      <c r="Q430" t="s">
        <v>170</v>
      </c>
      <c r="R430">
        <v>0.17</v>
      </c>
      <c r="S430">
        <v>0</v>
      </c>
      <c r="T430" s="118">
        <v>46477</v>
      </c>
    </row>
    <row r="431" spans="1:20" hidden="1">
      <c r="A431" t="s">
        <v>511</v>
      </c>
      <c r="B431" t="s">
        <v>478</v>
      </c>
      <c r="C431" t="s">
        <v>516</v>
      </c>
      <c r="D431" t="s">
        <v>1271</v>
      </c>
      <c r="E431" t="s">
        <v>1272</v>
      </c>
      <c r="F431">
        <v>305.83</v>
      </c>
      <c r="G431">
        <v>297363496</v>
      </c>
      <c r="H431" s="118">
        <v>45138</v>
      </c>
      <c r="I431">
        <v>100</v>
      </c>
      <c r="J431">
        <v>95</v>
      </c>
      <c r="K431">
        <v>305.83</v>
      </c>
      <c r="L431">
        <v>290.54000000000002</v>
      </c>
      <c r="M431">
        <v>-15.29</v>
      </c>
      <c r="N431">
        <v>0</v>
      </c>
      <c r="P431" t="s">
        <v>939</v>
      </c>
      <c r="Q431" t="s">
        <v>170</v>
      </c>
      <c r="R431">
        <v>0.17</v>
      </c>
      <c r="S431">
        <v>0</v>
      </c>
      <c r="T431" s="118">
        <v>46477</v>
      </c>
    </row>
    <row r="432" spans="1:20" hidden="1">
      <c r="A432" t="s">
        <v>511</v>
      </c>
      <c r="B432" t="s">
        <v>478</v>
      </c>
      <c r="C432" t="s">
        <v>516</v>
      </c>
      <c r="D432" t="s">
        <v>1271</v>
      </c>
      <c r="E432" t="s">
        <v>1272</v>
      </c>
      <c r="F432">
        <v>907.64</v>
      </c>
      <c r="G432">
        <v>297363592</v>
      </c>
      <c r="H432" s="118">
        <v>45230</v>
      </c>
      <c r="I432">
        <v>100</v>
      </c>
      <c r="J432">
        <v>95</v>
      </c>
      <c r="K432">
        <v>907.64</v>
      </c>
      <c r="L432">
        <v>862.26</v>
      </c>
      <c r="M432">
        <v>-45.38</v>
      </c>
      <c r="N432">
        <v>0</v>
      </c>
      <c r="P432" t="s">
        <v>939</v>
      </c>
      <c r="Q432" t="s">
        <v>170</v>
      </c>
      <c r="R432">
        <v>0.52</v>
      </c>
      <c r="S432">
        <v>0</v>
      </c>
      <c r="T432" s="118">
        <v>46477</v>
      </c>
    </row>
    <row r="433" spans="1:20" hidden="1">
      <c r="A433" t="s">
        <v>511</v>
      </c>
      <c r="B433" t="s">
        <v>478</v>
      </c>
      <c r="C433" t="s">
        <v>516</v>
      </c>
      <c r="D433" t="s">
        <v>1271</v>
      </c>
      <c r="E433" t="s">
        <v>1272</v>
      </c>
      <c r="F433">
        <v>907.63</v>
      </c>
      <c r="G433">
        <v>297363800</v>
      </c>
      <c r="H433" s="118">
        <v>45322</v>
      </c>
      <c r="I433">
        <v>100</v>
      </c>
      <c r="J433">
        <v>95</v>
      </c>
      <c r="K433">
        <v>907.63</v>
      </c>
      <c r="L433">
        <v>862.25</v>
      </c>
      <c r="M433">
        <v>-45.38</v>
      </c>
      <c r="N433">
        <v>0</v>
      </c>
      <c r="P433" t="s">
        <v>939</v>
      </c>
      <c r="Q433" t="s">
        <v>170</v>
      </c>
      <c r="R433">
        <v>0.52</v>
      </c>
      <c r="S433">
        <v>0</v>
      </c>
      <c r="T433" s="118">
        <v>46477</v>
      </c>
    </row>
    <row r="434" spans="1:20" hidden="1">
      <c r="A434" t="s">
        <v>511</v>
      </c>
      <c r="B434" t="s">
        <v>478</v>
      </c>
      <c r="C434" t="s">
        <v>516</v>
      </c>
      <c r="D434" t="s">
        <v>1271</v>
      </c>
      <c r="E434" t="s">
        <v>1272</v>
      </c>
      <c r="F434">
        <v>286.36</v>
      </c>
      <c r="G434">
        <v>297363808</v>
      </c>
      <c r="H434" s="118">
        <v>45351</v>
      </c>
      <c r="I434">
        <v>100</v>
      </c>
      <c r="J434">
        <v>95</v>
      </c>
      <c r="K434">
        <v>286.36</v>
      </c>
      <c r="L434">
        <v>272.04000000000002</v>
      </c>
      <c r="M434">
        <v>-14.32</v>
      </c>
      <c r="N434">
        <v>0</v>
      </c>
      <c r="P434" t="s">
        <v>939</v>
      </c>
      <c r="Q434" t="s">
        <v>170</v>
      </c>
      <c r="R434">
        <v>0.16</v>
      </c>
      <c r="S434">
        <v>0</v>
      </c>
      <c r="T434" s="118">
        <v>46477</v>
      </c>
    </row>
    <row r="435" spans="1:20" hidden="1">
      <c r="A435" t="s">
        <v>511</v>
      </c>
      <c r="B435" t="s">
        <v>478</v>
      </c>
      <c r="C435" t="s">
        <v>516</v>
      </c>
      <c r="D435" t="s">
        <v>1271</v>
      </c>
      <c r="E435" t="s">
        <v>1272</v>
      </c>
      <c r="F435">
        <v>34447.660000000003</v>
      </c>
      <c r="G435">
        <v>297363039</v>
      </c>
      <c r="H435" s="118">
        <v>43762</v>
      </c>
      <c r="I435">
        <v>98.664199999999994</v>
      </c>
      <c r="J435">
        <v>95</v>
      </c>
      <c r="K435">
        <v>34396</v>
      </c>
      <c r="L435">
        <v>32725.279999999999</v>
      </c>
      <c r="M435">
        <v>-1670.72</v>
      </c>
      <c r="N435">
        <v>0</v>
      </c>
      <c r="P435" t="s">
        <v>1245</v>
      </c>
      <c r="Q435" t="s">
        <v>170</v>
      </c>
      <c r="R435">
        <v>19.66</v>
      </c>
      <c r="S435">
        <v>0</v>
      </c>
      <c r="T435" s="118">
        <v>46477</v>
      </c>
    </row>
    <row r="436" spans="1:20" hidden="1">
      <c r="A436" t="s">
        <v>511</v>
      </c>
      <c r="B436" t="s">
        <v>478</v>
      </c>
      <c r="C436" t="s">
        <v>516</v>
      </c>
      <c r="D436" t="s">
        <v>1271</v>
      </c>
      <c r="E436" t="s">
        <v>1272</v>
      </c>
      <c r="F436">
        <v>78370.39</v>
      </c>
      <c r="G436">
        <v>297363048</v>
      </c>
      <c r="H436" s="118">
        <v>43880</v>
      </c>
      <c r="I436">
        <v>98.753200000000007</v>
      </c>
      <c r="J436">
        <v>95</v>
      </c>
      <c r="K436">
        <v>78255.360000000001</v>
      </c>
      <c r="L436">
        <v>74451.87</v>
      </c>
      <c r="M436">
        <v>-3803.49</v>
      </c>
      <c r="N436">
        <v>0</v>
      </c>
      <c r="P436" t="s">
        <v>1273</v>
      </c>
      <c r="Q436" t="s">
        <v>170</v>
      </c>
      <c r="R436">
        <v>44.72</v>
      </c>
      <c r="S436">
        <v>0</v>
      </c>
      <c r="T436" s="118">
        <v>46477</v>
      </c>
    </row>
    <row r="437" spans="1:20" hidden="1">
      <c r="A437" t="s">
        <v>511</v>
      </c>
      <c r="B437" t="s">
        <v>478</v>
      </c>
      <c r="C437" t="s">
        <v>516</v>
      </c>
      <c r="D437" t="s">
        <v>1271</v>
      </c>
      <c r="E437" t="s">
        <v>1272</v>
      </c>
      <c r="F437">
        <v>114723.94</v>
      </c>
      <c r="G437">
        <v>297363199</v>
      </c>
      <c r="H437" s="118">
        <v>44691</v>
      </c>
      <c r="I437">
        <v>98.664199999999994</v>
      </c>
      <c r="J437">
        <v>95</v>
      </c>
      <c r="K437">
        <v>114343.07</v>
      </c>
      <c r="L437">
        <v>108987.74</v>
      </c>
      <c r="M437">
        <v>-5355.33</v>
      </c>
      <c r="N437">
        <v>0</v>
      </c>
      <c r="P437" t="s">
        <v>1274</v>
      </c>
      <c r="Q437" t="s">
        <v>170</v>
      </c>
      <c r="R437">
        <v>65.47</v>
      </c>
      <c r="S437">
        <v>0</v>
      </c>
      <c r="T437" s="118">
        <v>46477</v>
      </c>
    </row>
    <row r="438" spans="1:20" hidden="1">
      <c r="A438" t="s">
        <v>511</v>
      </c>
      <c r="B438" t="s">
        <v>478</v>
      </c>
      <c r="C438" t="s">
        <v>516</v>
      </c>
      <c r="D438" t="s">
        <v>1271</v>
      </c>
      <c r="E438" t="s">
        <v>1272</v>
      </c>
      <c r="F438">
        <v>120274.81</v>
      </c>
      <c r="G438">
        <v>297363035</v>
      </c>
      <c r="H438" s="118">
        <v>43648</v>
      </c>
      <c r="I438">
        <v>98.664299999999997</v>
      </c>
      <c r="J438">
        <v>95</v>
      </c>
      <c r="K438">
        <v>120101.82</v>
      </c>
      <c r="L438">
        <v>114261.07</v>
      </c>
      <c r="M438">
        <v>-5840.75</v>
      </c>
      <c r="N438">
        <v>0</v>
      </c>
      <c r="P438" t="s">
        <v>1247</v>
      </c>
      <c r="Q438" t="s">
        <v>170</v>
      </c>
      <c r="R438">
        <v>68.64</v>
      </c>
      <c r="S438">
        <v>0</v>
      </c>
      <c r="T438" s="118">
        <v>46477</v>
      </c>
    </row>
    <row r="439" spans="1:20" hidden="1">
      <c r="A439" t="s">
        <v>511</v>
      </c>
      <c r="B439" t="s">
        <v>478</v>
      </c>
      <c r="C439" t="s">
        <v>516</v>
      </c>
      <c r="D439" t="s">
        <v>1275</v>
      </c>
      <c r="E439" t="s">
        <v>1276</v>
      </c>
      <c r="F439">
        <v>34.69</v>
      </c>
      <c r="G439">
        <v>297363078</v>
      </c>
      <c r="H439" s="118">
        <v>44286</v>
      </c>
      <c r="I439">
        <v>100</v>
      </c>
      <c r="J439">
        <v>95</v>
      </c>
      <c r="K439">
        <v>34.69</v>
      </c>
      <c r="L439">
        <v>32.96</v>
      </c>
      <c r="M439">
        <v>-1.73</v>
      </c>
      <c r="N439">
        <v>0</v>
      </c>
      <c r="P439" t="s">
        <v>939</v>
      </c>
      <c r="Q439" t="s">
        <v>170</v>
      </c>
      <c r="R439">
        <v>0.02</v>
      </c>
      <c r="S439">
        <v>0.5</v>
      </c>
      <c r="T439" s="118">
        <v>46217</v>
      </c>
    </row>
    <row r="440" spans="1:20" hidden="1">
      <c r="A440" t="s">
        <v>511</v>
      </c>
      <c r="B440" t="s">
        <v>478</v>
      </c>
      <c r="C440" t="s">
        <v>516</v>
      </c>
      <c r="D440" t="s">
        <v>1275</v>
      </c>
      <c r="E440" t="s">
        <v>1276</v>
      </c>
      <c r="F440">
        <v>34.69</v>
      </c>
      <c r="G440">
        <v>297363088</v>
      </c>
      <c r="H440" s="118">
        <v>44286</v>
      </c>
      <c r="I440">
        <v>100</v>
      </c>
      <c r="J440">
        <v>95</v>
      </c>
      <c r="K440">
        <v>34.69</v>
      </c>
      <c r="L440">
        <v>32.96</v>
      </c>
      <c r="M440">
        <v>-1.73</v>
      </c>
      <c r="N440">
        <v>0</v>
      </c>
      <c r="P440" t="s">
        <v>939</v>
      </c>
      <c r="Q440" t="s">
        <v>170</v>
      </c>
      <c r="R440">
        <v>0.02</v>
      </c>
      <c r="S440">
        <v>0.5</v>
      </c>
      <c r="T440" s="118">
        <v>46217</v>
      </c>
    </row>
    <row r="441" spans="1:20" hidden="1">
      <c r="A441" t="s">
        <v>511</v>
      </c>
      <c r="B441" t="s">
        <v>478</v>
      </c>
      <c r="C441" t="s">
        <v>516</v>
      </c>
      <c r="D441" t="s">
        <v>1275</v>
      </c>
      <c r="E441" t="s">
        <v>1276</v>
      </c>
      <c r="F441">
        <v>42.21</v>
      </c>
      <c r="G441">
        <v>297363094</v>
      </c>
      <c r="H441" s="118">
        <v>44377</v>
      </c>
      <c r="I441">
        <v>100</v>
      </c>
      <c r="J441">
        <v>95</v>
      </c>
      <c r="K441">
        <v>42.21</v>
      </c>
      <c r="L441">
        <v>40.1</v>
      </c>
      <c r="M441">
        <v>-2.11</v>
      </c>
      <c r="N441">
        <v>0</v>
      </c>
      <c r="P441" t="s">
        <v>939</v>
      </c>
      <c r="Q441" t="s">
        <v>170</v>
      </c>
      <c r="R441">
        <v>0.02</v>
      </c>
      <c r="S441">
        <v>0.5</v>
      </c>
      <c r="T441" s="118">
        <v>46217</v>
      </c>
    </row>
    <row r="442" spans="1:20" hidden="1">
      <c r="A442" t="s">
        <v>511</v>
      </c>
      <c r="B442" t="s">
        <v>478</v>
      </c>
      <c r="C442" t="s">
        <v>516</v>
      </c>
      <c r="D442" t="s">
        <v>1275</v>
      </c>
      <c r="E442" t="s">
        <v>1276</v>
      </c>
      <c r="F442">
        <v>217.09</v>
      </c>
      <c r="G442">
        <v>297363120</v>
      </c>
      <c r="H442" s="118">
        <v>44469</v>
      </c>
      <c r="I442">
        <v>100</v>
      </c>
      <c r="J442">
        <v>95</v>
      </c>
      <c r="K442">
        <v>217.09</v>
      </c>
      <c r="L442">
        <v>206.24</v>
      </c>
      <c r="M442">
        <v>-10.85</v>
      </c>
      <c r="N442">
        <v>0</v>
      </c>
      <c r="P442" t="s">
        <v>939</v>
      </c>
      <c r="Q442" t="s">
        <v>170</v>
      </c>
      <c r="R442">
        <v>0.12</v>
      </c>
      <c r="S442">
        <v>0.5</v>
      </c>
      <c r="T442" s="118">
        <v>46217</v>
      </c>
    </row>
    <row r="443" spans="1:20" hidden="1">
      <c r="A443" t="s">
        <v>511</v>
      </c>
      <c r="B443" t="s">
        <v>478</v>
      </c>
      <c r="C443" t="s">
        <v>516</v>
      </c>
      <c r="D443" t="s">
        <v>1275</v>
      </c>
      <c r="E443" t="s">
        <v>1276</v>
      </c>
      <c r="F443">
        <v>48.29</v>
      </c>
      <c r="G443">
        <v>297363121</v>
      </c>
      <c r="H443" s="118">
        <v>44469</v>
      </c>
      <c r="I443">
        <v>100</v>
      </c>
      <c r="J443">
        <v>95</v>
      </c>
      <c r="K443">
        <v>48.29</v>
      </c>
      <c r="L443">
        <v>45.88</v>
      </c>
      <c r="M443">
        <v>-2.41</v>
      </c>
      <c r="N443">
        <v>0</v>
      </c>
      <c r="P443" t="s">
        <v>939</v>
      </c>
      <c r="Q443" t="s">
        <v>170</v>
      </c>
      <c r="R443">
        <v>0.03</v>
      </c>
      <c r="S443">
        <v>0.5</v>
      </c>
      <c r="T443" s="118">
        <v>46217</v>
      </c>
    </row>
    <row r="444" spans="1:20" hidden="1">
      <c r="A444" t="s">
        <v>511</v>
      </c>
      <c r="B444" t="s">
        <v>478</v>
      </c>
      <c r="C444" t="s">
        <v>516</v>
      </c>
      <c r="D444" t="s">
        <v>1275</v>
      </c>
      <c r="E444" t="s">
        <v>1276</v>
      </c>
      <c r="F444">
        <v>66.5</v>
      </c>
      <c r="G444">
        <v>297363158</v>
      </c>
      <c r="H444" s="118">
        <v>44561</v>
      </c>
      <c r="I444">
        <v>100</v>
      </c>
      <c r="J444">
        <v>95</v>
      </c>
      <c r="K444">
        <v>66.5</v>
      </c>
      <c r="L444">
        <v>63.18</v>
      </c>
      <c r="M444">
        <v>-3.32</v>
      </c>
      <c r="N444">
        <v>0</v>
      </c>
      <c r="P444" t="s">
        <v>939</v>
      </c>
      <c r="Q444" t="s">
        <v>170</v>
      </c>
      <c r="R444">
        <v>0.04</v>
      </c>
      <c r="S444">
        <v>0.5</v>
      </c>
      <c r="T444" s="118">
        <v>46217</v>
      </c>
    </row>
    <row r="445" spans="1:20" hidden="1">
      <c r="A445" t="s">
        <v>511</v>
      </c>
      <c r="B445" t="s">
        <v>478</v>
      </c>
      <c r="C445" t="s">
        <v>516</v>
      </c>
      <c r="D445" t="s">
        <v>1275</v>
      </c>
      <c r="E445" t="s">
        <v>1276</v>
      </c>
      <c r="F445">
        <v>14.25</v>
      </c>
      <c r="G445">
        <v>297363338</v>
      </c>
      <c r="H445" s="118">
        <v>44957</v>
      </c>
      <c r="I445">
        <v>100</v>
      </c>
      <c r="J445">
        <v>95</v>
      </c>
      <c r="K445">
        <v>14.25</v>
      </c>
      <c r="L445">
        <v>13.54</v>
      </c>
      <c r="M445">
        <v>-0.71</v>
      </c>
      <c r="N445">
        <v>0</v>
      </c>
      <c r="P445" t="s">
        <v>939</v>
      </c>
      <c r="Q445" t="s">
        <v>170</v>
      </c>
      <c r="R445">
        <v>0.01</v>
      </c>
      <c r="S445">
        <v>0.5</v>
      </c>
      <c r="T445" s="118">
        <v>46217</v>
      </c>
    </row>
    <row r="446" spans="1:20" hidden="1">
      <c r="A446" t="s">
        <v>511</v>
      </c>
      <c r="B446" t="s">
        <v>478</v>
      </c>
      <c r="C446" t="s">
        <v>516</v>
      </c>
      <c r="D446" t="s">
        <v>1275</v>
      </c>
      <c r="E446" t="s">
        <v>1276</v>
      </c>
      <c r="F446">
        <v>12.46</v>
      </c>
      <c r="G446">
        <v>297363358</v>
      </c>
      <c r="H446" s="118">
        <v>44985</v>
      </c>
      <c r="I446">
        <v>100</v>
      </c>
      <c r="J446">
        <v>95</v>
      </c>
      <c r="K446">
        <v>12.46</v>
      </c>
      <c r="L446">
        <v>11.84</v>
      </c>
      <c r="M446">
        <v>-0.62</v>
      </c>
      <c r="N446">
        <v>0</v>
      </c>
      <c r="P446" t="s">
        <v>939</v>
      </c>
      <c r="Q446" t="s">
        <v>170</v>
      </c>
      <c r="R446">
        <v>0.01</v>
      </c>
      <c r="S446">
        <v>0.5</v>
      </c>
      <c r="T446" s="118">
        <v>46217</v>
      </c>
    </row>
    <row r="447" spans="1:20" hidden="1">
      <c r="A447" t="s">
        <v>511</v>
      </c>
      <c r="B447" t="s">
        <v>478</v>
      </c>
      <c r="C447" t="s">
        <v>516</v>
      </c>
      <c r="D447" t="s">
        <v>1275</v>
      </c>
      <c r="E447" t="s">
        <v>1276</v>
      </c>
      <c r="F447">
        <v>13.81</v>
      </c>
      <c r="G447">
        <v>297363385</v>
      </c>
      <c r="H447" s="118">
        <v>45016</v>
      </c>
      <c r="I447">
        <v>100</v>
      </c>
      <c r="J447">
        <v>95</v>
      </c>
      <c r="K447">
        <v>13.81</v>
      </c>
      <c r="L447">
        <v>13.12</v>
      </c>
      <c r="M447">
        <v>-0.69</v>
      </c>
      <c r="N447">
        <v>0</v>
      </c>
      <c r="P447" t="s">
        <v>939</v>
      </c>
      <c r="Q447" t="s">
        <v>170</v>
      </c>
      <c r="R447">
        <v>0.01</v>
      </c>
      <c r="S447">
        <v>0.5</v>
      </c>
      <c r="T447" s="118">
        <v>46217</v>
      </c>
    </row>
    <row r="448" spans="1:20" hidden="1">
      <c r="A448" t="s">
        <v>511</v>
      </c>
      <c r="B448" t="s">
        <v>478</v>
      </c>
      <c r="C448" t="s">
        <v>516</v>
      </c>
      <c r="D448" t="s">
        <v>1275</v>
      </c>
      <c r="E448" t="s">
        <v>1276</v>
      </c>
      <c r="F448">
        <v>15.51</v>
      </c>
      <c r="G448">
        <v>297363409</v>
      </c>
      <c r="H448" s="118">
        <v>45044</v>
      </c>
      <c r="I448">
        <v>100</v>
      </c>
      <c r="J448">
        <v>95</v>
      </c>
      <c r="K448">
        <v>15.51</v>
      </c>
      <c r="L448">
        <v>14.73</v>
      </c>
      <c r="M448">
        <v>-0.78</v>
      </c>
      <c r="N448">
        <v>0</v>
      </c>
      <c r="P448" t="s">
        <v>939</v>
      </c>
      <c r="Q448" t="s">
        <v>170</v>
      </c>
      <c r="R448">
        <v>0.01</v>
      </c>
      <c r="S448">
        <v>0.5</v>
      </c>
      <c r="T448" s="118">
        <v>46217</v>
      </c>
    </row>
    <row r="449" spans="1:20" hidden="1">
      <c r="A449" t="s">
        <v>511</v>
      </c>
      <c r="B449" t="s">
        <v>478</v>
      </c>
      <c r="C449" t="s">
        <v>516</v>
      </c>
      <c r="D449" t="s">
        <v>1275</v>
      </c>
      <c r="E449" t="s">
        <v>1276</v>
      </c>
      <c r="F449">
        <v>24.5</v>
      </c>
      <c r="G449">
        <v>297363440</v>
      </c>
      <c r="H449" s="118">
        <v>45077</v>
      </c>
      <c r="I449">
        <v>100</v>
      </c>
      <c r="J449">
        <v>95</v>
      </c>
      <c r="K449">
        <v>24.5</v>
      </c>
      <c r="L449">
        <v>23.28</v>
      </c>
      <c r="M449">
        <v>-1.22</v>
      </c>
      <c r="N449">
        <v>0</v>
      </c>
      <c r="P449" t="s">
        <v>939</v>
      </c>
      <c r="Q449" t="s">
        <v>170</v>
      </c>
      <c r="R449">
        <v>0.01</v>
      </c>
      <c r="S449">
        <v>0.5</v>
      </c>
      <c r="T449" s="118">
        <v>46217</v>
      </c>
    </row>
    <row r="450" spans="1:20" hidden="1">
      <c r="A450" t="s">
        <v>511</v>
      </c>
      <c r="B450" t="s">
        <v>478</v>
      </c>
      <c r="C450" t="s">
        <v>516</v>
      </c>
      <c r="D450" t="s">
        <v>1275</v>
      </c>
      <c r="E450" t="s">
        <v>1276</v>
      </c>
      <c r="F450">
        <v>26.73</v>
      </c>
      <c r="G450">
        <v>297363479</v>
      </c>
      <c r="H450" s="118">
        <v>45107</v>
      </c>
      <c r="I450">
        <v>100</v>
      </c>
      <c r="J450">
        <v>95</v>
      </c>
      <c r="K450">
        <v>26.73</v>
      </c>
      <c r="L450">
        <v>25.39</v>
      </c>
      <c r="M450">
        <v>-1.34</v>
      </c>
      <c r="N450">
        <v>0</v>
      </c>
      <c r="P450" t="s">
        <v>939</v>
      </c>
      <c r="Q450" t="s">
        <v>170</v>
      </c>
      <c r="R450">
        <v>0.02</v>
      </c>
      <c r="S450">
        <v>0.5</v>
      </c>
      <c r="T450" s="118">
        <v>46217</v>
      </c>
    </row>
    <row r="451" spans="1:20" hidden="1">
      <c r="A451" t="s">
        <v>511</v>
      </c>
      <c r="B451" t="s">
        <v>478</v>
      </c>
      <c r="C451" t="s">
        <v>516</v>
      </c>
      <c r="D451" t="s">
        <v>1275</v>
      </c>
      <c r="E451" t="s">
        <v>1276</v>
      </c>
      <c r="F451">
        <v>27.65</v>
      </c>
      <c r="G451">
        <v>297363495</v>
      </c>
      <c r="H451" s="118">
        <v>45138</v>
      </c>
      <c r="I451">
        <v>100</v>
      </c>
      <c r="J451">
        <v>95</v>
      </c>
      <c r="K451">
        <v>27.65</v>
      </c>
      <c r="L451">
        <v>26.27</v>
      </c>
      <c r="M451">
        <v>-1.38</v>
      </c>
      <c r="N451">
        <v>0</v>
      </c>
      <c r="P451" t="s">
        <v>939</v>
      </c>
      <c r="Q451" t="s">
        <v>170</v>
      </c>
      <c r="R451">
        <v>0.02</v>
      </c>
      <c r="S451">
        <v>0.5</v>
      </c>
      <c r="T451" s="118">
        <v>46217</v>
      </c>
    </row>
    <row r="452" spans="1:20" hidden="1">
      <c r="A452" t="s">
        <v>511</v>
      </c>
      <c r="B452" t="s">
        <v>478</v>
      </c>
      <c r="C452" t="s">
        <v>516</v>
      </c>
      <c r="D452" t="s">
        <v>1275</v>
      </c>
      <c r="E452" t="s">
        <v>1276</v>
      </c>
      <c r="F452">
        <v>82.13</v>
      </c>
      <c r="G452">
        <v>297363590</v>
      </c>
      <c r="H452" s="118">
        <v>45230</v>
      </c>
      <c r="I452">
        <v>100</v>
      </c>
      <c r="J452">
        <v>95</v>
      </c>
      <c r="K452">
        <v>82.13</v>
      </c>
      <c r="L452">
        <v>78.02</v>
      </c>
      <c r="M452">
        <v>-4.1100000000000003</v>
      </c>
      <c r="N452">
        <v>0</v>
      </c>
      <c r="P452" t="s">
        <v>939</v>
      </c>
      <c r="Q452" t="s">
        <v>170</v>
      </c>
      <c r="R452">
        <v>0.05</v>
      </c>
      <c r="S452">
        <v>0.5</v>
      </c>
      <c r="T452" s="118">
        <v>46217</v>
      </c>
    </row>
    <row r="453" spans="1:20" hidden="1">
      <c r="A453" t="s">
        <v>511</v>
      </c>
      <c r="B453" t="s">
        <v>478</v>
      </c>
      <c r="C453" t="s">
        <v>516</v>
      </c>
      <c r="D453" t="s">
        <v>1275</v>
      </c>
      <c r="E453" t="s">
        <v>1276</v>
      </c>
      <c r="F453">
        <v>82.32</v>
      </c>
      <c r="G453">
        <v>297363798</v>
      </c>
      <c r="H453" s="118">
        <v>45322</v>
      </c>
      <c r="I453">
        <v>100</v>
      </c>
      <c r="J453">
        <v>95</v>
      </c>
      <c r="K453">
        <v>82.32</v>
      </c>
      <c r="L453">
        <v>78.2</v>
      </c>
      <c r="M453">
        <v>-4.12</v>
      </c>
      <c r="N453">
        <v>0</v>
      </c>
      <c r="P453" t="s">
        <v>939</v>
      </c>
      <c r="Q453" t="s">
        <v>170</v>
      </c>
      <c r="R453">
        <v>0.05</v>
      </c>
      <c r="S453">
        <v>0.5</v>
      </c>
      <c r="T453" s="118">
        <v>46217</v>
      </c>
    </row>
    <row r="454" spans="1:20" hidden="1">
      <c r="A454" t="s">
        <v>511</v>
      </c>
      <c r="B454" t="s">
        <v>478</v>
      </c>
      <c r="C454" t="s">
        <v>516</v>
      </c>
      <c r="D454" t="s">
        <v>1275</v>
      </c>
      <c r="E454" t="s">
        <v>1276</v>
      </c>
      <c r="F454">
        <v>26.02</v>
      </c>
      <c r="G454">
        <v>297363809</v>
      </c>
      <c r="H454" s="118">
        <v>45351</v>
      </c>
      <c r="I454">
        <v>100</v>
      </c>
      <c r="J454">
        <v>95</v>
      </c>
      <c r="K454">
        <v>26.02</v>
      </c>
      <c r="L454">
        <v>24.72</v>
      </c>
      <c r="M454">
        <v>-1.3</v>
      </c>
      <c r="N454">
        <v>0</v>
      </c>
      <c r="P454" t="s">
        <v>939</v>
      </c>
      <c r="Q454" t="s">
        <v>170</v>
      </c>
      <c r="R454">
        <v>0.01</v>
      </c>
      <c r="S454">
        <v>0.5</v>
      </c>
      <c r="T454" s="118">
        <v>46217</v>
      </c>
    </row>
    <row r="455" spans="1:20" hidden="1">
      <c r="A455" t="s">
        <v>511</v>
      </c>
      <c r="B455" t="s">
        <v>478</v>
      </c>
      <c r="C455" t="s">
        <v>516</v>
      </c>
      <c r="D455" t="s">
        <v>1275</v>
      </c>
      <c r="E455" t="s">
        <v>1276</v>
      </c>
      <c r="F455">
        <v>745.24</v>
      </c>
      <c r="G455">
        <v>297363054</v>
      </c>
      <c r="H455" s="118">
        <v>44012</v>
      </c>
      <c r="I455">
        <v>100</v>
      </c>
      <c r="J455">
        <v>95</v>
      </c>
      <c r="K455">
        <v>745.24</v>
      </c>
      <c r="L455">
        <v>707.98</v>
      </c>
      <c r="M455">
        <v>-37.26</v>
      </c>
      <c r="N455">
        <v>0</v>
      </c>
      <c r="P455" t="s">
        <v>713</v>
      </c>
      <c r="Q455" t="s">
        <v>170</v>
      </c>
      <c r="R455">
        <v>0.43</v>
      </c>
      <c r="S455">
        <v>0.5</v>
      </c>
      <c r="T455" s="118">
        <v>46217</v>
      </c>
    </row>
    <row r="456" spans="1:20" hidden="1">
      <c r="A456" t="s">
        <v>511</v>
      </c>
      <c r="B456" t="s">
        <v>478</v>
      </c>
      <c r="C456" t="s">
        <v>516</v>
      </c>
      <c r="D456" t="s">
        <v>1275</v>
      </c>
      <c r="E456" t="s">
        <v>1276</v>
      </c>
      <c r="F456">
        <v>861.63</v>
      </c>
      <c r="G456">
        <v>297363341</v>
      </c>
      <c r="H456" s="118">
        <v>44925</v>
      </c>
      <c r="I456">
        <v>100</v>
      </c>
      <c r="J456">
        <v>95</v>
      </c>
      <c r="K456">
        <v>861.63</v>
      </c>
      <c r="L456">
        <v>818.55</v>
      </c>
      <c r="M456">
        <v>-43.08</v>
      </c>
      <c r="N456">
        <v>0</v>
      </c>
      <c r="P456" t="s">
        <v>713</v>
      </c>
      <c r="Q456" t="s">
        <v>170</v>
      </c>
      <c r="R456">
        <v>0.49</v>
      </c>
      <c r="S456">
        <v>0.5</v>
      </c>
      <c r="T456" s="118">
        <v>46217</v>
      </c>
    </row>
    <row r="457" spans="1:20" hidden="1">
      <c r="A457" t="s">
        <v>511</v>
      </c>
      <c r="B457" t="s">
        <v>478</v>
      </c>
      <c r="C457" t="s">
        <v>516</v>
      </c>
      <c r="D457" t="s">
        <v>1275</v>
      </c>
      <c r="E457" t="s">
        <v>1276</v>
      </c>
      <c r="F457">
        <v>430.33</v>
      </c>
      <c r="G457">
        <v>297363662</v>
      </c>
      <c r="H457" s="118">
        <v>45291</v>
      </c>
      <c r="I457">
        <v>100</v>
      </c>
      <c r="J457">
        <v>95</v>
      </c>
      <c r="K457">
        <v>430.33</v>
      </c>
      <c r="L457">
        <v>408.81</v>
      </c>
      <c r="M457">
        <v>-21.52</v>
      </c>
      <c r="N457">
        <v>0</v>
      </c>
      <c r="P457" t="s">
        <v>713</v>
      </c>
      <c r="Q457" t="s">
        <v>170</v>
      </c>
      <c r="R457">
        <v>0.25</v>
      </c>
      <c r="S457">
        <v>0.5</v>
      </c>
      <c r="T457" s="118">
        <v>46217</v>
      </c>
    </row>
    <row r="458" spans="1:20" hidden="1">
      <c r="A458" t="s">
        <v>511</v>
      </c>
      <c r="B458" t="s">
        <v>478</v>
      </c>
      <c r="C458" t="s">
        <v>516</v>
      </c>
      <c r="D458" t="s">
        <v>1275</v>
      </c>
      <c r="E458" t="s">
        <v>1276</v>
      </c>
      <c r="F458">
        <v>6318.68</v>
      </c>
      <c r="G458">
        <v>297363151</v>
      </c>
      <c r="H458" s="118">
        <v>44551</v>
      </c>
      <c r="I458">
        <v>100</v>
      </c>
      <c r="J458">
        <v>95</v>
      </c>
      <c r="K458">
        <v>6318.68</v>
      </c>
      <c r="L458">
        <v>6002.75</v>
      </c>
      <c r="M458">
        <v>-315.93</v>
      </c>
      <c r="N458">
        <v>0</v>
      </c>
      <c r="P458" t="s">
        <v>580</v>
      </c>
      <c r="Q458" t="s">
        <v>170</v>
      </c>
      <c r="R458">
        <v>3.61</v>
      </c>
      <c r="S458">
        <v>0.5</v>
      </c>
      <c r="T458" s="118">
        <v>46217</v>
      </c>
    </row>
    <row r="459" spans="1:20" hidden="1">
      <c r="A459" t="s">
        <v>511</v>
      </c>
      <c r="B459" t="s">
        <v>478</v>
      </c>
      <c r="C459" t="s">
        <v>516</v>
      </c>
      <c r="D459" t="s">
        <v>1275</v>
      </c>
      <c r="E459" t="s">
        <v>1276</v>
      </c>
      <c r="F459">
        <v>8616.39</v>
      </c>
      <c r="G459">
        <v>297363113</v>
      </c>
      <c r="H459" s="118">
        <v>44446</v>
      </c>
      <c r="I459">
        <v>100</v>
      </c>
      <c r="J459">
        <v>95</v>
      </c>
      <c r="K459">
        <v>8616.39</v>
      </c>
      <c r="L459">
        <v>8185.57</v>
      </c>
      <c r="M459">
        <v>-430.82</v>
      </c>
      <c r="N459">
        <v>0</v>
      </c>
      <c r="P459" t="s">
        <v>957</v>
      </c>
      <c r="Q459" t="s">
        <v>170</v>
      </c>
      <c r="R459">
        <v>4.92</v>
      </c>
      <c r="S459">
        <v>0.5</v>
      </c>
      <c r="T459" s="118">
        <v>46217</v>
      </c>
    </row>
    <row r="460" spans="1:20" hidden="1">
      <c r="A460" t="s">
        <v>511</v>
      </c>
      <c r="B460" t="s">
        <v>478</v>
      </c>
      <c r="C460" t="s">
        <v>516</v>
      </c>
      <c r="D460" t="s">
        <v>1275</v>
      </c>
      <c r="E460" t="s">
        <v>1276</v>
      </c>
      <c r="F460">
        <v>16658.330000000002</v>
      </c>
      <c r="G460">
        <v>297363050</v>
      </c>
      <c r="H460" s="118">
        <v>43922</v>
      </c>
      <c r="I460">
        <v>100</v>
      </c>
      <c r="J460">
        <v>95</v>
      </c>
      <c r="K460">
        <v>16658.330000000002</v>
      </c>
      <c r="L460">
        <v>15825.41</v>
      </c>
      <c r="M460">
        <v>-832.92</v>
      </c>
      <c r="N460">
        <v>0</v>
      </c>
      <c r="P460" t="s">
        <v>1277</v>
      </c>
      <c r="Q460" t="s">
        <v>170</v>
      </c>
      <c r="R460">
        <v>9.51</v>
      </c>
      <c r="S460">
        <v>0.5</v>
      </c>
      <c r="T460" s="118">
        <v>46217</v>
      </c>
    </row>
    <row r="461" spans="1:20" hidden="1">
      <c r="A461" t="s">
        <v>511</v>
      </c>
      <c r="B461" t="s">
        <v>478</v>
      </c>
      <c r="C461" t="s">
        <v>516</v>
      </c>
      <c r="D461" t="s">
        <v>1278</v>
      </c>
      <c r="E461" t="s">
        <v>1279</v>
      </c>
      <c r="F461">
        <v>262.20999999999998</v>
      </c>
      <c r="G461">
        <v>297363043</v>
      </c>
      <c r="H461" s="118">
        <v>43774</v>
      </c>
      <c r="I461">
        <v>100</v>
      </c>
      <c r="J461">
        <v>95</v>
      </c>
      <c r="K461">
        <v>0</v>
      </c>
      <c r="L461">
        <v>-13.11</v>
      </c>
      <c r="M461">
        <v>-13.11</v>
      </c>
      <c r="N461">
        <v>0</v>
      </c>
      <c r="P461" t="s">
        <v>1280</v>
      </c>
      <c r="Q461" t="s">
        <v>170</v>
      </c>
      <c r="R461">
        <v>1.4</v>
      </c>
      <c r="S461">
        <v>6</v>
      </c>
      <c r="T461" s="118">
        <v>46217</v>
      </c>
    </row>
    <row r="462" spans="1:20" hidden="1">
      <c r="A462" t="s">
        <v>511</v>
      </c>
      <c r="B462" t="s">
        <v>478</v>
      </c>
      <c r="C462" t="s">
        <v>516</v>
      </c>
      <c r="D462" t="s">
        <v>1278</v>
      </c>
      <c r="E462" t="s">
        <v>1279</v>
      </c>
      <c r="F462">
        <v>1681.06</v>
      </c>
      <c r="G462">
        <v>297363083</v>
      </c>
      <c r="H462" s="118">
        <v>44321</v>
      </c>
      <c r="I462">
        <v>100</v>
      </c>
      <c r="J462">
        <v>95</v>
      </c>
      <c r="K462">
        <v>0</v>
      </c>
      <c r="L462">
        <v>-84.05</v>
      </c>
      <c r="M462">
        <v>-84.05</v>
      </c>
      <c r="N462">
        <v>0</v>
      </c>
      <c r="P462" t="s">
        <v>1274</v>
      </c>
      <c r="Q462" t="s">
        <v>170</v>
      </c>
      <c r="R462">
        <v>8.9700000000000006</v>
      </c>
      <c r="S462">
        <v>6</v>
      </c>
      <c r="T462" s="118">
        <v>46217</v>
      </c>
    </row>
    <row r="463" spans="1:20" hidden="1">
      <c r="A463" t="s">
        <v>511</v>
      </c>
      <c r="B463" t="s">
        <v>478</v>
      </c>
      <c r="C463" t="s">
        <v>516</v>
      </c>
      <c r="D463" t="s">
        <v>1278</v>
      </c>
      <c r="E463" t="s">
        <v>1279</v>
      </c>
      <c r="F463">
        <v>3511.32</v>
      </c>
      <c r="G463">
        <v>297363041</v>
      </c>
      <c r="H463" s="118">
        <v>43756</v>
      </c>
      <c r="I463">
        <v>100</v>
      </c>
      <c r="J463">
        <v>95</v>
      </c>
      <c r="K463">
        <v>0</v>
      </c>
      <c r="L463">
        <v>-175.57</v>
      </c>
      <c r="M463">
        <v>-175.57</v>
      </c>
      <c r="N463">
        <v>0</v>
      </c>
      <c r="P463" t="s">
        <v>1281</v>
      </c>
      <c r="Q463" t="s">
        <v>170</v>
      </c>
      <c r="R463">
        <v>18.73</v>
      </c>
      <c r="S463">
        <v>6</v>
      </c>
      <c r="T463" s="118">
        <v>46217</v>
      </c>
    </row>
    <row r="464" spans="1:20" hidden="1">
      <c r="A464" t="s">
        <v>511</v>
      </c>
      <c r="B464" t="s">
        <v>478</v>
      </c>
      <c r="C464" t="s">
        <v>516</v>
      </c>
      <c r="D464" t="s">
        <v>1282</v>
      </c>
      <c r="E464" t="s">
        <v>1283</v>
      </c>
      <c r="F464">
        <v>1428571.43</v>
      </c>
      <c r="G464">
        <v>310627242</v>
      </c>
      <c r="H464" s="118">
        <v>45489</v>
      </c>
      <c r="I464">
        <v>99.625</v>
      </c>
      <c r="J464">
        <v>99.5</v>
      </c>
      <c r="K464">
        <v>1425703.28</v>
      </c>
      <c r="L464">
        <v>1421428.57</v>
      </c>
      <c r="M464">
        <v>-4274.71</v>
      </c>
      <c r="N464">
        <v>0</v>
      </c>
      <c r="P464" t="s">
        <v>637</v>
      </c>
      <c r="Q464" t="s">
        <v>170</v>
      </c>
      <c r="R464">
        <v>1026.07</v>
      </c>
      <c r="S464">
        <v>0</v>
      </c>
      <c r="T464" s="118">
        <v>46741</v>
      </c>
    </row>
    <row r="465" spans="1:20" hidden="1">
      <c r="A465" t="s">
        <v>511</v>
      </c>
      <c r="B465" t="s">
        <v>478</v>
      </c>
      <c r="C465" t="s">
        <v>516</v>
      </c>
      <c r="D465" t="s">
        <v>1282</v>
      </c>
      <c r="E465" t="s">
        <v>1283</v>
      </c>
      <c r="F465">
        <v>2000000</v>
      </c>
      <c r="G465">
        <v>303228978</v>
      </c>
      <c r="H465" s="118">
        <v>45408</v>
      </c>
      <c r="I465">
        <v>99.875</v>
      </c>
      <c r="J465">
        <v>99.5</v>
      </c>
      <c r="K465">
        <v>1999399.97</v>
      </c>
      <c r="L465">
        <v>1990000</v>
      </c>
      <c r="M465">
        <v>-9399.9699999999993</v>
      </c>
      <c r="N465">
        <v>0</v>
      </c>
      <c r="P465" t="s">
        <v>649</v>
      </c>
      <c r="Q465" t="s">
        <v>170</v>
      </c>
      <c r="R465">
        <v>1436.49</v>
      </c>
      <c r="S465">
        <v>0</v>
      </c>
      <c r="T465" s="118">
        <v>46741</v>
      </c>
    </row>
    <row r="466" spans="1:20" hidden="1">
      <c r="A466" t="s">
        <v>511</v>
      </c>
      <c r="B466" t="s">
        <v>478</v>
      </c>
      <c r="C466" t="s">
        <v>516</v>
      </c>
      <c r="D466" t="s">
        <v>1284</v>
      </c>
      <c r="E466" t="s">
        <v>1285</v>
      </c>
      <c r="F466">
        <v>210000</v>
      </c>
      <c r="G466">
        <v>297363553</v>
      </c>
      <c r="H466" s="118">
        <v>45198</v>
      </c>
      <c r="I466">
        <v>100</v>
      </c>
      <c r="J466">
        <v>100</v>
      </c>
      <c r="K466">
        <v>0</v>
      </c>
      <c r="L466">
        <v>0</v>
      </c>
      <c r="M466">
        <v>0</v>
      </c>
      <c r="N466">
        <v>0</v>
      </c>
      <c r="P466" t="s">
        <v>1286</v>
      </c>
      <c r="Q466" t="s">
        <v>170</v>
      </c>
      <c r="R466">
        <v>87.5</v>
      </c>
      <c r="S466">
        <v>0.5</v>
      </c>
      <c r="T466" s="118">
        <v>46374</v>
      </c>
    </row>
    <row r="467" spans="1:20" hidden="1">
      <c r="A467" t="s">
        <v>511</v>
      </c>
      <c r="B467" t="s">
        <v>478</v>
      </c>
      <c r="C467" t="s">
        <v>516</v>
      </c>
      <c r="D467" t="s">
        <v>1284</v>
      </c>
      <c r="E467" t="s">
        <v>1285</v>
      </c>
      <c r="F467">
        <v>315000</v>
      </c>
      <c r="G467">
        <v>297363123</v>
      </c>
      <c r="H467" s="118">
        <v>44466</v>
      </c>
      <c r="I467">
        <v>100</v>
      </c>
      <c r="J467">
        <v>100</v>
      </c>
      <c r="K467">
        <v>0</v>
      </c>
      <c r="L467">
        <v>0</v>
      </c>
      <c r="M467">
        <v>0</v>
      </c>
      <c r="N467">
        <v>0</v>
      </c>
      <c r="P467" t="s">
        <v>1287</v>
      </c>
      <c r="Q467" t="s">
        <v>170</v>
      </c>
      <c r="R467">
        <v>131.25</v>
      </c>
      <c r="S467">
        <v>0.5</v>
      </c>
      <c r="T467" s="118">
        <v>46374</v>
      </c>
    </row>
    <row r="468" spans="1:20" hidden="1">
      <c r="A468" t="s">
        <v>511</v>
      </c>
      <c r="B468" t="s">
        <v>478</v>
      </c>
      <c r="C468" t="s">
        <v>516</v>
      </c>
      <c r="D468" t="s">
        <v>1288</v>
      </c>
      <c r="E468" t="s">
        <v>1285</v>
      </c>
      <c r="F468">
        <v>2150130.48</v>
      </c>
      <c r="G468">
        <v>326419658</v>
      </c>
      <c r="H468" s="118">
        <v>45646</v>
      </c>
      <c r="I468">
        <v>100</v>
      </c>
      <c r="J468">
        <v>100</v>
      </c>
      <c r="K468">
        <v>0</v>
      </c>
      <c r="L468">
        <v>0</v>
      </c>
      <c r="M468">
        <v>0</v>
      </c>
      <c r="N468">
        <v>0</v>
      </c>
      <c r="P468" t="s">
        <v>1289</v>
      </c>
      <c r="Q468" t="s">
        <v>170</v>
      </c>
      <c r="R468">
        <v>895.89</v>
      </c>
      <c r="S468">
        <v>0.5</v>
      </c>
      <c r="T468" s="118">
        <v>47299</v>
      </c>
    </row>
    <row r="469" spans="1:20" hidden="1">
      <c r="A469" t="s">
        <v>511</v>
      </c>
      <c r="B469" t="s">
        <v>478</v>
      </c>
      <c r="C469" t="s">
        <v>516</v>
      </c>
      <c r="D469" t="s">
        <v>1290</v>
      </c>
      <c r="E469" t="s">
        <v>1291</v>
      </c>
      <c r="F469">
        <v>25000</v>
      </c>
      <c r="G469">
        <v>297363472</v>
      </c>
      <c r="H469" s="118">
        <v>45107</v>
      </c>
      <c r="I469">
        <v>100</v>
      </c>
      <c r="J469">
        <v>95</v>
      </c>
      <c r="K469">
        <v>25000</v>
      </c>
      <c r="L469">
        <v>23750</v>
      </c>
      <c r="M469">
        <v>-1250</v>
      </c>
      <c r="N469">
        <v>0</v>
      </c>
      <c r="P469" t="s">
        <v>1292</v>
      </c>
      <c r="Q469" t="s">
        <v>170</v>
      </c>
      <c r="R469">
        <v>12.88</v>
      </c>
      <c r="S469">
        <v>0.5</v>
      </c>
      <c r="T469" s="118">
        <v>46387</v>
      </c>
    </row>
    <row r="470" spans="1:20" hidden="1">
      <c r="A470" t="s">
        <v>511</v>
      </c>
      <c r="B470" t="s">
        <v>478</v>
      </c>
      <c r="C470" t="s">
        <v>516</v>
      </c>
      <c r="D470" t="s">
        <v>1290</v>
      </c>
      <c r="E470" t="s">
        <v>1291</v>
      </c>
      <c r="F470">
        <v>40000</v>
      </c>
      <c r="G470">
        <v>297363306</v>
      </c>
      <c r="H470" s="118">
        <v>44909</v>
      </c>
      <c r="I470">
        <v>100</v>
      </c>
      <c r="J470">
        <v>95</v>
      </c>
      <c r="K470">
        <v>40000</v>
      </c>
      <c r="L470">
        <v>38000</v>
      </c>
      <c r="M470">
        <v>-2000</v>
      </c>
      <c r="N470">
        <v>0</v>
      </c>
      <c r="P470" t="s">
        <v>1223</v>
      </c>
      <c r="Q470" t="s">
        <v>170</v>
      </c>
      <c r="R470">
        <v>20.6</v>
      </c>
      <c r="S470">
        <v>0.5</v>
      </c>
      <c r="T470" s="118">
        <v>46387</v>
      </c>
    </row>
    <row r="471" spans="1:20" hidden="1">
      <c r="A471" t="s">
        <v>511</v>
      </c>
      <c r="B471" t="s">
        <v>478</v>
      </c>
      <c r="C471" t="s">
        <v>516</v>
      </c>
      <c r="D471" t="s">
        <v>1290</v>
      </c>
      <c r="E471" t="s">
        <v>1291</v>
      </c>
      <c r="F471">
        <v>50000</v>
      </c>
      <c r="G471">
        <v>297363520</v>
      </c>
      <c r="H471" s="118">
        <v>45159</v>
      </c>
      <c r="I471">
        <v>100</v>
      </c>
      <c r="J471">
        <v>95</v>
      </c>
      <c r="K471">
        <v>50000</v>
      </c>
      <c r="L471">
        <v>47500</v>
      </c>
      <c r="M471">
        <v>-2500</v>
      </c>
      <c r="N471">
        <v>0</v>
      </c>
      <c r="P471" t="s">
        <v>1293</v>
      </c>
      <c r="Q471" t="s">
        <v>170</v>
      </c>
      <c r="R471">
        <v>25.76</v>
      </c>
      <c r="S471">
        <v>0.5</v>
      </c>
      <c r="T471" s="118">
        <v>46387</v>
      </c>
    </row>
    <row r="472" spans="1:20" hidden="1">
      <c r="A472" t="s">
        <v>511</v>
      </c>
      <c r="B472" t="s">
        <v>478</v>
      </c>
      <c r="C472" t="s">
        <v>516</v>
      </c>
      <c r="D472" t="s">
        <v>1290</v>
      </c>
      <c r="E472" t="s">
        <v>1291</v>
      </c>
      <c r="F472">
        <v>50000</v>
      </c>
      <c r="G472">
        <v>297363551</v>
      </c>
      <c r="H472" s="118">
        <v>45198</v>
      </c>
      <c r="I472">
        <v>100</v>
      </c>
      <c r="J472">
        <v>95</v>
      </c>
      <c r="K472">
        <v>50000</v>
      </c>
      <c r="L472">
        <v>47500</v>
      </c>
      <c r="M472">
        <v>-2500</v>
      </c>
      <c r="N472">
        <v>0</v>
      </c>
      <c r="P472" t="s">
        <v>1293</v>
      </c>
      <c r="Q472" t="s">
        <v>170</v>
      </c>
      <c r="R472">
        <v>25.76</v>
      </c>
      <c r="S472">
        <v>0.5</v>
      </c>
      <c r="T472" s="118">
        <v>46387</v>
      </c>
    </row>
    <row r="473" spans="1:20" hidden="1">
      <c r="A473" t="s">
        <v>511</v>
      </c>
      <c r="B473" t="s">
        <v>478</v>
      </c>
      <c r="C473" t="s">
        <v>516</v>
      </c>
      <c r="D473" t="s">
        <v>1290</v>
      </c>
      <c r="E473" t="s">
        <v>1291</v>
      </c>
      <c r="F473">
        <v>50000</v>
      </c>
      <c r="G473">
        <v>297363805</v>
      </c>
      <c r="H473" s="118">
        <v>45351</v>
      </c>
      <c r="I473">
        <v>100</v>
      </c>
      <c r="J473">
        <v>95</v>
      </c>
      <c r="K473">
        <v>50000</v>
      </c>
      <c r="L473">
        <v>47500</v>
      </c>
      <c r="M473">
        <v>-2500</v>
      </c>
      <c r="N473">
        <v>0</v>
      </c>
      <c r="P473" t="s">
        <v>1293</v>
      </c>
      <c r="Q473" t="s">
        <v>170</v>
      </c>
      <c r="R473">
        <v>25.76</v>
      </c>
      <c r="S473">
        <v>0.5</v>
      </c>
      <c r="T473" s="118">
        <v>46387</v>
      </c>
    </row>
    <row r="474" spans="1:20" hidden="1">
      <c r="A474" t="s">
        <v>511</v>
      </c>
      <c r="B474" t="s">
        <v>478</v>
      </c>
      <c r="C474" t="s">
        <v>516</v>
      </c>
      <c r="D474" t="s">
        <v>1290</v>
      </c>
      <c r="E474" t="s">
        <v>1291</v>
      </c>
      <c r="F474">
        <v>85000</v>
      </c>
      <c r="G474">
        <v>297363192</v>
      </c>
      <c r="H474" s="118">
        <v>44686</v>
      </c>
      <c r="I474">
        <v>100</v>
      </c>
      <c r="J474">
        <v>95</v>
      </c>
      <c r="K474">
        <v>85000</v>
      </c>
      <c r="L474">
        <v>80750</v>
      </c>
      <c r="M474">
        <v>-4250</v>
      </c>
      <c r="N474">
        <v>0</v>
      </c>
      <c r="P474" t="s">
        <v>1294</v>
      </c>
      <c r="Q474" t="s">
        <v>170</v>
      </c>
      <c r="R474">
        <v>43.78</v>
      </c>
      <c r="S474">
        <v>0.5</v>
      </c>
      <c r="T474" s="118">
        <v>46387</v>
      </c>
    </row>
    <row r="475" spans="1:20" hidden="1">
      <c r="A475" t="s">
        <v>511</v>
      </c>
      <c r="B475" t="s">
        <v>478</v>
      </c>
      <c r="C475" t="s">
        <v>516</v>
      </c>
      <c r="D475" t="s">
        <v>1290</v>
      </c>
      <c r="E475" t="s">
        <v>1291</v>
      </c>
      <c r="F475">
        <v>200000</v>
      </c>
      <c r="G475">
        <v>297363417</v>
      </c>
      <c r="H475" s="118">
        <v>45049</v>
      </c>
      <c r="I475">
        <v>100</v>
      </c>
      <c r="J475">
        <v>95</v>
      </c>
      <c r="K475">
        <v>200000</v>
      </c>
      <c r="L475">
        <v>190000</v>
      </c>
      <c r="M475">
        <v>-10000</v>
      </c>
      <c r="N475">
        <v>0</v>
      </c>
      <c r="P475" t="s">
        <v>1295</v>
      </c>
      <c r="Q475" t="s">
        <v>170</v>
      </c>
      <c r="R475">
        <v>103.02</v>
      </c>
      <c r="S475">
        <v>0.5</v>
      </c>
      <c r="T475" s="118">
        <v>46387</v>
      </c>
    </row>
    <row r="476" spans="1:20" hidden="1">
      <c r="A476" t="s">
        <v>511</v>
      </c>
      <c r="B476" t="s">
        <v>478</v>
      </c>
      <c r="C476" t="s">
        <v>516</v>
      </c>
      <c r="D476" t="s">
        <v>1290</v>
      </c>
      <c r="E476" t="s">
        <v>1291</v>
      </c>
      <c r="F476">
        <v>250000</v>
      </c>
      <c r="G476">
        <v>297363667</v>
      </c>
      <c r="H476" s="118">
        <v>45293</v>
      </c>
      <c r="I476">
        <v>100</v>
      </c>
      <c r="J476">
        <v>95</v>
      </c>
      <c r="K476">
        <v>250000</v>
      </c>
      <c r="L476">
        <v>237500</v>
      </c>
      <c r="M476">
        <v>-12500</v>
      </c>
      <c r="N476">
        <v>0</v>
      </c>
      <c r="P476" t="s">
        <v>1296</v>
      </c>
      <c r="Q476" t="s">
        <v>170</v>
      </c>
      <c r="R476">
        <v>128.78</v>
      </c>
      <c r="S476">
        <v>0.5</v>
      </c>
      <c r="T476" s="118">
        <v>46387</v>
      </c>
    </row>
    <row r="477" spans="1:20" hidden="1">
      <c r="A477" t="s">
        <v>511</v>
      </c>
      <c r="B477" t="s">
        <v>478</v>
      </c>
      <c r="C477" t="s">
        <v>516</v>
      </c>
      <c r="D477" t="s">
        <v>1297</v>
      </c>
      <c r="E477" t="s">
        <v>1298</v>
      </c>
      <c r="F477">
        <v>2853945.89</v>
      </c>
      <c r="G477">
        <v>297363201</v>
      </c>
      <c r="H477" s="118">
        <v>44694</v>
      </c>
      <c r="I477">
        <v>97.5</v>
      </c>
      <c r="J477">
        <v>99</v>
      </c>
      <c r="K477">
        <v>2788127.28</v>
      </c>
      <c r="L477">
        <v>2825406.43</v>
      </c>
      <c r="M477">
        <v>37279.15</v>
      </c>
      <c r="N477">
        <v>0</v>
      </c>
      <c r="P477" t="s">
        <v>1299</v>
      </c>
      <c r="Q477" t="s">
        <v>170</v>
      </c>
      <c r="R477">
        <v>1596.93</v>
      </c>
      <c r="S477">
        <v>0</v>
      </c>
      <c r="T477" s="118">
        <v>46741</v>
      </c>
    </row>
    <row r="478" spans="1:20" hidden="1">
      <c r="A478" t="s">
        <v>511</v>
      </c>
      <c r="B478" t="s">
        <v>478</v>
      </c>
      <c r="C478" t="s">
        <v>516</v>
      </c>
      <c r="D478" t="s">
        <v>1297</v>
      </c>
      <c r="E478" t="s">
        <v>1298</v>
      </c>
      <c r="F478">
        <v>4230896.3</v>
      </c>
      <c r="G478">
        <v>354714698</v>
      </c>
      <c r="H478" s="118">
        <v>45936</v>
      </c>
      <c r="I478">
        <v>99</v>
      </c>
      <c r="J478">
        <v>99</v>
      </c>
      <c r="K478">
        <v>4188587.34</v>
      </c>
      <c r="L478">
        <v>4188587.34</v>
      </c>
      <c r="M478">
        <v>0</v>
      </c>
      <c r="N478">
        <v>0</v>
      </c>
      <c r="P478" t="s">
        <v>1300</v>
      </c>
      <c r="Q478" t="s">
        <v>170</v>
      </c>
      <c r="R478">
        <v>2367.4</v>
      </c>
      <c r="S478">
        <v>0</v>
      </c>
      <c r="T478" s="118">
        <v>46741</v>
      </c>
    </row>
    <row r="479" spans="1:20" hidden="1">
      <c r="A479" t="s">
        <v>511</v>
      </c>
      <c r="B479" t="s">
        <v>478</v>
      </c>
      <c r="C479" t="s">
        <v>516</v>
      </c>
      <c r="D479" t="s">
        <v>1301</v>
      </c>
      <c r="E479" t="s">
        <v>1302</v>
      </c>
      <c r="F479">
        <v>2211221.67</v>
      </c>
      <c r="G479">
        <v>297363640</v>
      </c>
      <c r="H479" s="118">
        <v>45286</v>
      </c>
      <c r="I479">
        <v>100</v>
      </c>
      <c r="J479">
        <v>99</v>
      </c>
      <c r="K479">
        <v>0</v>
      </c>
      <c r="L479">
        <v>-22112.22</v>
      </c>
      <c r="M479">
        <v>-22112.22</v>
      </c>
      <c r="N479">
        <v>0</v>
      </c>
      <c r="P479" t="s">
        <v>1303</v>
      </c>
      <c r="Q479" t="s">
        <v>170</v>
      </c>
      <c r="R479">
        <v>982.77</v>
      </c>
      <c r="S479">
        <v>0.5</v>
      </c>
      <c r="T479" s="118">
        <v>46741</v>
      </c>
    </row>
    <row r="480" spans="1:20" hidden="1">
      <c r="A480" t="s">
        <v>511</v>
      </c>
      <c r="B480" t="s">
        <v>478</v>
      </c>
      <c r="C480" t="s">
        <v>516</v>
      </c>
      <c r="D480" t="s">
        <v>1301</v>
      </c>
      <c r="E480" t="s">
        <v>1302</v>
      </c>
      <c r="F480">
        <v>368536.95</v>
      </c>
      <c r="G480">
        <v>297363786</v>
      </c>
      <c r="H480" s="118">
        <v>45344</v>
      </c>
      <c r="I480">
        <v>100</v>
      </c>
      <c r="J480">
        <v>99</v>
      </c>
      <c r="K480">
        <v>0</v>
      </c>
      <c r="L480">
        <v>-3685.37</v>
      </c>
      <c r="M480">
        <v>-3685.37</v>
      </c>
      <c r="N480">
        <v>0</v>
      </c>
      <c r="P480" t="s">
        <v>1304</v>
      </c>
      <c r="Q480" t="s">
        <v>170</v>
      </c>
      <c r="R480">
        <v>163.79</v>
      </c>
      <c r="S480">
        <v>0.5</v>
      </c>
      <c r="T480" s="118">
        <v>46741</v>
      </c>
    </row>
    <row r="481" spans="1:20" hidden="1">
      <c r="A481" t="s">
        <v>511</v>
      </c>
      <c r="B481" t="s">
        <v>478</v>
      </c>
      <c r="C481" t="s">
        <v>516</v>
      </c>
      <c r="D481" t="s">
        <v>1301</v>
      </c>
      <c r="E481" t="s">
        <v>1302</v>
      </c>
      <c r="F481">
        <v>552805.38</v>
      </c>
      <c r="G481">
        <v>297363141</v>
      </c>
      <c r="H481" s="118">
        <v>44530</v>
      </c>
      <c r="I481">
        <v>100</v>
      </c>
      <c r="J481">
        <v>99</v>
      </c>
      <c r="K481">
        <v>0</v>
      </c>
      <c r="L481">
        <v>-5528.05</v>
      </c>
      <c r="M481">
        <v>-5528.05</v>
      </c>
      <c r="N481">
        <v>0</v>
      </c>
      <c r="P481" t="s">
        <v>1305</v>
      </c>
      <c r="Q481" t="s">
        <v>170</v>
      </c>
      <c r="R481">
        <v>245.69</v>
      </c>
      <c r="S481">
        <v>0.5</v>
      </c>
      <c r="T481" s="118">
        <v>46741</v>
      </c>
    </row>
    <row r="482" spans="1:20" hidden="1">
      <c r="A482" t="s">
        <v>511</v>
      </c>
      <c r="B482" t="s">
        <v>478</v>
      </c>
      <c r="C482" t="s">
        <v>516</v>
      </c>
      <c r="D482" t="s">
        <v>1301</v>
      </c>
      <c r="E482" t="s">
        <v>1302</v>
      </c>
      <c r="F482">
        <v>552805.42000000004</v>
      </c>
      <c r="G482">
        <v>297363514</v>
      </c>
      <c r="H482" s="118">
        <v>45142</v>
      </c>
      <c r="I482">
        <v>100</v>
      </c>
      <c r="J482">
        <v>99</v>
      </c>
      <c r="K482">
        <v>0</v>
      </c>
      <c r="L482">
        <v>-5528.05</v>
      </c>
      <c r="M482">
        <v>-5528.05</v>
      </c>
      <c r="N482">
        <v>0</v>
      </c>
      <c r="P482" t="s">
        <v>1305</v>
      </c>
      <c r="Q482" t="s">
        <v>170</v>
      </c>
      <c r="R482">
        <v>245.69</v>
      </c>
      <c r="S482">
        <v>0.5</v>
      </c>
      <c r="T482" s="118">
        <v>46741</v>
      </c>
    </row>
    <row r="483" spans="1:20" hidden="1">
      <c r="A483" t="s">
        <v>511</v>
      </c>
      <c r="B483" t="s">
        <v>478</v>
      </c>
      <c r="C483" t="s">
        <v>516</v>
      </c>
      <c r="D483" t="s">
        <v>1306</v>
      </c>
      <c r="E483" t="s">
        <v>1307</v>
      </c>
      <c r="F483">
        <v>4494517.9800000004</v>
      </c>
      <c r="G483">
        <v>309977934</v>
      </c>
      <c r="H483" s="118">
        <v>45474</v>
      </c>
      <c r="I483">
        <v>4.7523999999999997</v>
      </c>
      <c r="J483">
        <v>100</v>
      </c>
      <c r="K483">
        <v>213595.26</v>
      </c>
      <c r="L483">
        <v>213595.26</v>
      </c>
      <c r="M483">
        <v>0</v>
      </c>
      <c r="N483">
        <v>0</v>
      </c>
      <c r="P483" t="s">
        <v>654</v>
      </c>
      <c r="Q483" t="s">
        <v>170</v>
      </c>
      <c r="R483">
        <v>4860.0600000000004</v>
      </c>
      <c r="S483">
        <v>1</v>
      </c>
      <c r="T483" s="118">
        <v>46486</v>
      </c>
    </row>
    <row r="484" spans="1:20" hidden="1">
      <c r="A484" t="s">
        <v>511</v>
      </c>
      <c r="B484" t="s">
        <v>478</v>
      </c>
      <c r="C484" t="s">
        <v>516</v>
      </c>
      <c r="D484" t="s">
        <v>1308</v>
      </c>
      <c r="E484" t="s">
        <v>1309</v>
      </c>
      <c r="F484">
        <v>83333.33</v>
      </c>
      <c r="G484">
        <v>297363776</v>
      </c>
      <c r="H484" s="118">
        <v>45334</v>
      </c>
      <c r="I484">
        <v>100</v>
      </c>
      <c r="J484">
        <v>100</v>
      </c>
      <c r="K484">
        <v>0</v>
      </c>
      <c r="L484">
        <v>0</v>
      </c>
      <c r="M484">
        <v>0</v>
      </c>
      <c r="N484">
        <v>0</v>
      </c>
      <c r="P484" t="s">
        <v>942</v>
      </c>
      <c r="Q484" t="s">
        <v>170</v>
      </c>
      <c r="R484">
        <v>37.04</v>
      </c>
      <c r="S484">
        <v>0.5</v>
      </c>
      <c r="T484" s="118">
        <v>46493</v>
      </c>
    </row>
    <row r="485" spans="1:20" hidden="1">
      <c r="A485" t="s">
        <v>511</v>
      </c>
      <c r="B485" t="s">
        <v>478</v>
      </c>
      <c r="C485" t="s">
        <v>516</v>
      </c>
      <c r="D485" t="s">
        <v>1308</v>
      </c>
      <c r="E485" t="s">
        <v>1309</v>
      </c>
      <c r="F485">
        <v>111111.11</v>
      </c>
      <c r="G485">
        <v>297363560</v>
      </c>
      <c r="H485" s="118">
        <v>45201</v>
      </c>
      <c r="I485">
        <v>100</v>
      </c>
      <c r="J485">
        <v>100</v>
      </c>
      <c r="K485">
        <v>0</v>
      </c>
      <c r="L485">
        <v>0</v>
      </c>
      <c r="M485">
        <v>0</v>
      </c>
      <c r="N485">
        <v>0</v>
      </c>
      <c r="P485" t="s">
        <v>1310</v>
      </c>
      <c r="Q485" t="s">
        <v>170</v>
      </c>
      <c r="R485">
        <v>49.38</v>
      </c>
      <c r="S485">
        <v>0.5</v>
      </c>
      <c r="T485" s="118">
        <v>46493</v>
      </c>
    </row>
    <row r="486" spans="1:20" hidden="1">
      <c r="A486" t="s">
        <v>511</v>
      </c>
      <c r="B486" t="s">
        <v>478</v>
      </c>
      <c r="C486" t="s">
        <v>516</v>
      </c>
      <c r="D486" t="s">
        <v>1308</v>
      </c>
      <c r="E486" t="s">
        <v>1309</v>
      </c>
      <c r="F486">
        <v>166666.67000000001</v>
      </c>
      <c r="G486">
        <v>297363082</v>
      </c>
      <c r="H486" s="118">
        <v>44300</v>
      </c>
      <c r="I486">
        <v>100</v>
      </c>
      <c r="J486">
        <v>100</v>
      </c>
      <c r="K486">
        <v>0</v>
      </c>
      <c r="L486">
        <v>0</v>
      </c>
      <c r="M486">
        <v>0</v>
      </c>
      <c r="N486">
        <v>0</v>
      </c>
      <c r="P486" t="s">
        <v>1311</v>
      </c>
      <c r="Q486" t="s">
        <v>170</v>
      </c>
      <c r="R486">
        <v>74.069999999999993</v>
      </c>
      <c r="S486">
        <v>0.5</v>
      </c>
      <c r="T486" s="118">
        <v>46493</v>
      </c>
    </row>
    <row r="487" spans="1:20" hidden="1">
      <c r="A487" t="s">
        <v>511</v>
      </c>
      <c r="B487" t="s">
        <v>478</v>
      </c>
      <c r="C487" t="s">
        <v>516</v>
      </c>
      <c r="D487" t="s">
        <v>1308</v>
      </c>
      <c r="E487" t="s">
        <v>1309</v>
      </c>
      <c r="F487">
        <v>333333.33</v>
      </c>
      <c r="G487">
        <v>297363664</v>
      </c>
      <c r="H487" s="118">
        <v>45299</v>
      </c>
      <c r="I487">
        <v>100</v>
      </c>
      <c r="J487">
        <v>100</v>
      </c>
      <c r="K487">
        <v>0</v>
      </c>
      <c r="L487">
        <v>0</v>
      </c>
      <c r="M487">
        <v>0</v>
      </c>
      <c r="N487">
        <v>0</v>
      </c>
      <c r="P487" t="s">
        <v>1312</v>
      </c>
      <c r="Q487" t="s">
        <v>170</v>
      </c>
      <c r="R487">
        <v>148.15</v>
      </c>
      <c r="S487">
        <v>0.5</v>
      </c>
      <c r="T487" s="118">
        <v>46493</v>
      </c>
    </row>
    <row r="488" spans="1:20" hidden="1">
      <c r="A488" t="s">
        <v>511</v>
      </c>
      <c r="B488" t="s">
        <v>478</v>
      </c>
      <c r="C488" t="s">
        <v>516</v>
      </c>
      <c r="D488" t="s">
        <v>1313</v>
      </c>
      <c r="E488" t="s">
        <v>1314</v>
      </c>
      <c r="F488">
        <v>3390630.19</v>
      </c>
      <c r="G488">
        <v>310254326</v>
      </c>
      <c r="H488" s="118">
        <v>45484</v>
      </c>
      <c r="I488">
        <v>88</v>
      </c>
      <c r="J488">
        <v>84.957999999999998</v>
      </c>
      <c r="K488">
        <v>3079703.17</v>
      </c>
      <c r="L488">
        <v>2880611.6</v>
      </c>
      <c r="M488">
        <v>-199091.57</v>
      </c>
      <c r="N488">
        <v>0</v>
      </c>
      <c r="P488" t="s">
        <v>1315</v>
      </c>
      <c r="Q488" t="s">
        <v>170</v>
      </c>
      <c r="R488">
        <v>24664.35</v>
      </c>
      <c r="S488">
        <v>0</v>
      </c>
      <c r="T488" s="118">
        <v>47350</v>
      </c>
    </row>
    <row r="489" spans="1:20" hidden="1">
      <c r="A489" t="s">
        <v>511</v>
      </c>
      <c r="B489" t="s">
        <v>478</v>
      </c>
      <c r="C489" t="s">
        <v>516</v>
      </c>
      <c r="D489" t="s">
        <v>1316</v>
      </c>
      <c r="E489" t="s">
        <v>1317</v>
      </c>
      <c r="F489">
        <v>7500000</v>
      </c>
      <c r="G489">
        <v>297363109</v>
      </c>
      <c r="H489" s="118">
        <v>44414</v>
      </c>
      <c r="I489">
        <v>99</v>
      </c>
      <c r="J489">
        <v>91</v>
      </c>
      <c r="K489">
        <v>7456946</v>
      </c>
      <c r="L489">
        <v>6825000</v>
      </c>
      <c r="M489">
        <v>-631946</v>
      </c>
      <c r="N489">
        <v>0</v>
      </c>
      <c r="P489" t="s">
        <v>1318</v>
      </c>
      <c r="Q489" t="s">
        <v>170</v>
      </c>
      <c r="R489">
        <v>76223.67</v>
      </c>
      <c r="S489">
        <v>0</v>
      </c>
      <c r="T489" s="118">
        <v>47349</v>
      </c>
    </row>
    <row r="490" spans="1:20" hidden="1">
      <c r="A490" t="s">
        <v>511</v>
      </c>
      <c r="B490" t="s">
        <v>478</v>
      </c>
      <c r="C490" t="s">
        <v>516</v>
      </c>
      <c r="D490" t="s">
        <v>1319</v>
      </c>
      <c r="E490" t="s">
        <v>1320</v>
      </c>
      <c r="F490">
        <v>6405.28</v>
      </c>
      <c r="G490">
        <v>297363500</v>
      </c>
      <c r="H490" s="118">
        <v>45138</v>
      </c>
      <c r="I490">
        <v>100</v>
      </c>
      <c r="J490">
        <v>97.75</v>
      </c>
      <c r="K490">
        <v>0</v>
      </c>
      <c r="L490">
        <v>-144.12</v>
      </c>
      <c r="M490">
        <v>-144.12</v>
      </c>
      <c r="N490">
        <v>0</v>
      </c>
      <c r="P490" t="s">
        <v>575</v>
      </c>
      <c r="Q490" t="s">
        <v>170</v>
      </c>
      <c r="R490">
        <v>2.85</v>
      </c>
      <c r="S490">
        <v>0.5</v>
      </c>
      <c r="T490" s="118">
        <v>46609</v>
      </c>
    </row>
    <row r="491" spans="1:20" hidden="1">
      <c r="A491" t="s">
        <v>511</v>
      </c>
      <c r="B491" t="s">
        <v>478</v>
      </c>
      <c r="C491" t="s">
        <v>516</v>
      </c>
      <c r="D491" t="s">
        <v>1319</v>
      </c>
      <c r="E491" t="s">
        <v>1320</v>
      </c>
      <c r="F491">
        <v>10573.84</v>
      </c>
      <c r="G491">
        <v>297363443</v>
      </c>
      <c r="H491" s="118">
        <v>45077</v>
      </c>
      <c r="I491">
        <v>100</v>
      </c>
      <c r="J491">
        <v>97.75</v>
      </c>
      <c r="K491">
        <v>0</v>
      </c>
      <c r="L491">
        <v>-237.91</v>
      </c>
      <c r="M491">
        <v>-237.91</v>
      </c>
      <c r="N491">
        <v>0</v>
      </c>
      <c r="P491" t="s">
        <v>1321</v>
      </c>
      <c r="Q491" t="s">
        <v>170</v>
      </c>
      <c r="R491">
        <v>4.7</v>
      </c>
      <c r="S491">
        <v>0.5</v>
      </c>
      <c r="T491" s="118">
        <v>46609</v>
      </c>
    </row>
    <row r="492" spans="1:20" hidden="1">
      <c r="A492" t="s">
        <v>511</v>
      </c>
      <c r="B492" t="s">
        <v>478</v>
      </c>
      <c r="C492" t="s">
        <v>516</v>
      </c>
      <c r="D492" t="s">
        <v>1319</v>
      </c>
      <c r="E492" t="s">
        <v>1320</v>
      </c>
      <c r="F492">
        <v>24340.06</v>
      </c>
      <c r="G492">
        <v>297363340</v>
      </c>
      <c r="H492" s="118">
        <v>44957</v>
      </c>
      <c r="I492">
        <v>100</v>
      </c>
      <c r="J492">
        <v>97.75</v>
      </c>
      <c r="K492">
        <v>0</v>
      </c>
      <c r="L492">
        <v>-547.65</v>
      </c>
      <c r="M492">
        <v>-547.65</v>
      </c>
      <c r="N492">
        <v>0</v>
      </c>
      <c r="P492" t="s">
        <v>1322</v>
      </c>
      <c r="Q492" t="s">
        <v>170</v>
      </c>
      <c r="R492">
        <v>10.82</v>
      </c>
      <c r="S492">
        <v>0.5</v>
      </c>
      <c r="T492" s="118">
        <v>46609</v>
      </c>
    </row>
    <row r="493" spans="1:20" hidden="1">
      <c r="A493" t="s">
        <v>511</v>
      </c>
      <c r="B493" t="s">
        <v>478</v>
      </c>
      <c r="C493" t="s">
        <v>516</v>
      </c>
      <c r="D493" t="s">
        <v>1319</v>
      </c>
      <c r="E493" t="s">
        <v>1320</v>
      </c>
      <c r="F493">
        <v>22733.62</v>
      </c>
      <c r="G493">
        <v>297363399</v>
      </c>
      <c r="H493" s="118">
        <v>45034</v>
      </c>
      <c r="I493">
        <v>100</v>
      </c>
      <c r="J493">
        <v>97.75</v>
      </c>
      <c r="K493">
        <v>0</v>
      </c>
      <c r="L493">
        <v>-511.51</v>
      </c>
      <c r="M493">
        <v>-511.51</v>
      </c>
      <c r="N493">
        <v>0</v>
      </c>
      <c r="P493" t="s">
        <v>1322</v>
      </c>
      <c r="Q493" t="s">
        <v>170</v>
      </c>
      <c r="R493">
        <v>10.1</v>
      </c>
      <c r="S493">
        <v>0.5</v>
      </c>
      <c r="T493" s="118">
        <v>46609</v>
      </c>
    </row>
    <row r="494" spans="1:20" hidden="1">
      <c r="A494" t="s">
        <v>511</v>
      </c>
      <c r="B494" t="s">
        <v>478</v>
      </c>
      <c r="C494" t="s">
        <v>516</v>
      </c>
      <c r="D494" t="s">
        <v>1319</v>
      </c>
      <c r="E494" t="s">
        <v>1320</v>
      </c>
      <c r="F494">
        <v>25621.119999999999</v>
      </c>
      <c r="G494">
        <v>297363687</v>
      </c>
      <c r="H494" s="118">
        <v>45317</v>
      </c>
      <c r="I494">
        <v>100</v>
      </c>
      <c r="J494">
        <v>97.75</v>
      </c>
      <c r="K494">
        <v>0</v>
      </c>
      <c r="L494">
        <v>-576.48</v>
      </c>
      <c r="M494">
        <v>-576.48</v>
      </c>
      <c r="N494">
        <v>0</v>
      </c>
      <c r="P494" t="s">
        <v>1246</v>
      </c>
      <c r="Q494" t="s">
        <v>170</v>
      </c>
      <c r="R494">
        <v>11.39</v>
      </c>
      <c r="S494">
        <v>0.5</v>
      </c>
      <c r="T494" s="118">
        <v>46609</v>
      </c>
    </row>
    <row r="495" spans="1:20" hidden="1">
      <c r="A495" t="s">
        <v>511</v>
      </c>
      <c r="B495" t="s">
        <v>478</v>
      </c>
      <c r="C495" t="s">
        <v>516</v>
      </c>
      <c r="D495" t="s">
        <v>1319</v>
      </c>
      <c r="E495" t="s">
        <v>1320</v>
      </c>
      <c r="F495">
        <v>38431.68</v>
      </c>
      <c r="G495">
        <v>297363554</v>
      </c>
      <c r="H495" s="118">
        <v>45198</v>
      </c>
      <c r="I495">
        <v>100</v>
      </c>
      <c r="J495">
        <v>97.75</v>
      </c>
      <c r="K495">
        <v>0</v>
      </c>
      <c r="L495">
        <v>-864.71</v>
      </c>
      <c r="M495">
        <v>-864.71</v>
      </c>
      <c r="N495">
        <v>0</v>
      </c>
      <c r="P495" t="s">
        <v>887</v>
      </c>
      <c r="Q495" t="s">
        <v>170</v>
      </c>
      <c r="R495">
        <v>17.079999999999998</v>
      </c>
      <c r="S495">
        <v>0.5</v>
      </c>
      <c r="T495" s="118">
        <v>46609</v>
      </c>
    </row>
    <row r="496" spans="1:20" hidden="1">
      <c r="A496" t="s">
        <v>511</v>
      </c>
      <c r="B496" t="s">
        <v>478</v>
      </c>
      <c r="C496" t="s">
        <v>516</v>
      </c>
      <c r="D496" t="s">
        <v>1319</v>
      </c>
      <c r="E496" t="s">
        <v>1320</v>
      </c>
      <c r="F496">
        <v>51242.239999999998</v>
      </c>
      <c r="G496">
        <v>297363290</v>
      </c>
      <c r="H496" s="118">
        <v>44859</v>
      </c>
      <c r="I496">
        <v>100</v>
      </c>
      <c r="J496">
        <v>97.75</v>
      </c>
      <c r="K496">
        <v>0</v>
      </c>
      <c r="L496">
        <v>-1152.95</v>
      </c>
      <c r="M496">
        <v>-1152.95</v>
      </c>
      <c r="N496">
        <v>0</v>
      </c>
      <c r="P496" t="s">
        <v>1274</v>
      </c>
      <c r="Q496" t="s">
        <v>170</v>
      </c>
      <c r="R496">
        <v>22.77</v>
      </c>
      <c r="S496">
        <v>0.5</v>
      </c>
      <c r="T496" s="118">
        <v>46609</v>
      </c>
    </row>
    <row r="497" spans="1:20" hidden="1">
      <c r="A497" t="s">
        <v>511</v>
      </c>
      <c r="B497" t="s">
        <v>478</v>
      </c>
      <c r="C497" t="s">
        <v>516</v>
      </c>
      <c r="D497" t="s">
        <v>1319</v>
      </c>
      <c r="E497" t="s">
        <v>1320</v>
      </c>
      <c r="F497">
        <v>51242.23</v>
      </c>
      <c r="G497">
        <v>297363454</v>
      </c>
      <c r="H497" s="118">
        <v>45077</v>
      </c>
      <c r="I497">
        <v>100</v>
      </c>
      <c r="J497">
        <v>97.75</v>
      </c>
      <c r="K497">
        <v>0</v>
      </c>
      <c r="L497">
        <v>-1152.95</v>
      </c>
      <c r="M497">
        <v>-1152.95</v>
      </c>
      <c r="N497">
        <v>0</v>
      </c>
      <c r="P497" t="s">
        <v>1274</v>
      </c>
      <c r="Q497" t="s">
        <v>170</v>
      </c>
      <c r="R497">
        <v>22.77</v>
      </c>
      <c r="S497">
        <v>0.5</v>
      </c>
      <c r="T497" s="118">
        <v>46609</v>
      </c>
    </row>
    <row r="498" spans="1:20" hidden="1">
      <c r="A498" t="s">
        <v>511</v>
      </c>
      <c r="B498" t="s">
        <v>478</v>
      </c>
      <c r="C498" t="s">
        <v>516</v>
      </c>
      <c r="D498" t="s">
        <v>1319</v>
      </c>
      <c r="E498" t="s">
        <v>1320</v>
      </c>
      <c r="F498">
        <v>64052.800000000003</v>
      </c>
      <c r="G498">
        <v>297363499</v>
      </c>
      <c r="H498" s="118">
        <v>45138</v>
      </c>
      <c r="I498">
        <v>100</v>
      </c>
      <c r="J498">
        <v>97.75</v>
      </c>
      <c r="K498">
        <v>0</v>
      </c>
      <c r="L498">
        <v>-1441.19</v>
      </c>
      <c r="M498">
        <v>-1441.19</v>
      </c>
      <c r="N498">
        <v>0</v>
      </c>
      <c r="P498" t="s">
        <v>1323</v>
      </c>
      <c r="Q498" t="s">
        <v>170</v>
      </c>
      <c r="R498">
        <v>28.47</v>
      </c>
      <c r="S498">
        <v>0.5</v>
      </c>
      <c r="T498" s="118">
        <v>46609</v>
      </c>
    </row>
    <row r="499" spans="1:20" hidden="1">
      <c r="A499" t="s">
        <v>511</v>
      </c>
      <c r="B499" t="s">
        <v>478</v>
      </c>
      <c r="C499" t="s">
        <v>516</v>
      </c>
      <c r="D499" t="s">
        <v>1319</v>
      </c>
      <c r="E499" t="s">
        <v>1320</v>
      </c>
      <c r="F499">
        <v>89673.91</v>
      </c>
      <c r="G499">
        <v>297363775</v>
      </c>
      <c r="H499" s="118">
        <v>45331</v>
      </c>
      <c r="I499">
        <v>100</v>
      </c>
      <c r="J499">
        <v>97.75</v>
      </c>
      <c r="K499">
        <v>0</v>
      </c>
      <c r="L499">
        <v>-2017.66</v>
      </c>
      <c r="M499">
        <v>-2017.66</v>
      </c>
      <c r="N499">
        <v>0</v>
      </c>
      <c r="P499" t="s">
        <v>1324</v>
      </c>
      <c r="Q499" t="s">
        <v>170</v>
      </c>
      <c r="R499">
        <v>39.86</v>
      </c>
      <c r="S499">
        <v>0.5</v>
      </c>
      <c r="T499" s="118">
        <v>46609</v>
      </c>
    </row>
    <row r="500" spans="1:20" hidden="1">
      <c r="A500" t="s">
        <v>511</v>
      </c>
      <c r="B500" t="s">
        <v>478</v>
      </c>
      <c r="C500" t="s">
        <v>516</v>
      </c>
      <c r="D500" t="s">
        <v>1319</v>
      </c>
      <c r="E500" t="s">
        <v>1320</v>
      </c>
      <c r="F500">
        <v>102484.47</v>
      </c>
      <c r="G500">
        <v>297363594</v>
      </c>
      <c r="H500" s="118">
        <v>45230</v>
      </c>
      <c r="I500">
        <v>100</v>
      </c>
      <c r="J500">
        <v>97.75</v>
      </c>
      <c r="K500">
        <v>0</v>
      </c>
      <c r="L500">
        <v>-2305.9</v>
      </c>
      <c r="M500">
        <v>-2305.9</v>
      </c>
      <c r="N500">
        <v>0</v>
      </c>
      <c r="P500" t="s">
        <v>1325</v>
      </c>
      <c r="Q500" t="s">
        <v>170</v>
      </c>
      <c r="R500">
        <v>45.55</v>
      </c>
      <c r="S500">
        <v>0.5</v>
      </c>
      <c r="T500" s="118">
        <v>46609</v>
      </c>
    </row>
    <row r="501" spans="1:20" hidden="1">
      <c r="A501" t="s">
        <v>511</v>
      </c>
      <c r="B501" t="s">
        <v>478</v>
      </c>
      <c r="C501" t="s">
        <v>516</v>
      </c>
      <c r="D501" t="s">
        <v>1319</v>
      </c>
      <c r="E501" t="s">
        <v>1320</v>
      </c>
      <c r="F501">
        <v>128105.59</v>
      </c>
      <c r="G501">
        <v>297363639</v>
      </c>
      <c r="H501" s="118">
        <v>45282</v>
      </c>
      <c r="I501">
        <v>100</v>
      </c>
      <c r="J501">
        <v>97.75</v>
      </c>
      <c r="K501">
        <v>0</v>
      </c>
      <c r="L501">
        <v>-2882.38</v>
      </c>
      <c r="M501">
        <v>-2882.38</v>
      </c>
      <c r="N501">
        <v>0</v>
      </c>
      <c r="P501" t="s">
        <v>1326</v>
      </c>
      <c r="Q501" t="s">
        <v>170</v>
      </c>
      <c r="R501">
        <v>56.94</v>
      </c>
      <c r="S501">
        <v>0.5</v>
      </c>
      <c r="T501" s="118">
        <v>46609</v>
      </c>
    </row>
    <row r="502" spans="1:20" hidden="1">
      <c r="A502" t="s">
        <v>511</v>
      </c>
      <c r="B502" t="s">
        <v>478</v>
      </c>
      <c r="C502" t="s">
        <v>516</v>
      </c>
      <c r="D502" t="s">
        <v>1319</v>
      </c>
      <c r="E502" t="s">
        <v>1320</v>
      </c>
      <c r="F502">
        <v>153726.71</v>
      </c>
      <c r="G502">
        <v>297363669</v>
      </c>
      <c r="H502" s="118">
        <v>45301</v>
      </c>
      <c r="I502">
        <v>100</v>
      </c>
      <c r="J502">
        <v>97.75</v>
      </c>
      <c r="K502">
        <v>0</v>
      </c>
      <c r="L502">
        <v>-3458.85</v>
      </c>
      <c r="M502">
        <v>-3458.85</v>
      </c>
      <c r="N502">
        <v>0</v>
      </c>
      <c r="P502" t="s">
        <v>722</v>
      </c>
      <c r="Q502" t="s">
        <v>170</v>
      </c>
      <c r="R502">
        <v>68.319999999999993</v>
      </c>
      <c r="S502">
        <v>0.5</v>
      </c>
      <c r="T502" s="118">
        <v>46609</v>
      </c>
    </row>
    <row r="503" spans="1:20" hidden="1">
      <c r="A503" t="s">
        <v>511</v>
      </c>
      <c r="B503" t="s">
        <v>478</v>
      </c>
      <c r="C503" t="s">
        <v>516</v>
      </c>
      <c r="D503" t="s">
        <v>1327</v>
      </c>
      <c r="E503" t="s">
        <v>1328</v>
      </c>
      <c r="F503">
        <v>244417.58</v>
      </c>
      <c r="G503">
        <v>312854067</v>
      </c>
      <c r="H503" s="118">
        <v>45516</v>
      </c>
      <c r="I503">
        <v>99.25</v>
      </c>
      <c r="J503">
        <v>97.75</v>
      </c>
      <c r="K503">
        <v>243438.87</v>
      </c>
      <c r="L503">
        <v>238918.18</v>
      </c>
      <c r="M503">
        <v>-4520.6899999999996</v>
      </c>
      <c r="N503">
        <v>0</v>
      </c>
      <c r="P503" t="s">
        <v>609</v>
      </c>
      <c r="Q503" t="s">
        <v>170</v>
      </c>
      <c r="R503">
        <v>3231.64</v>
      </c>
      <c r="S503">
        <v>0</v>
      </c>
      <c r="T503" s="118">
        <v>46609</v>
      </c>
    </row>
    <row r="504" spans="1:20" hidden="1">
      <c r="A504" t="s">
        <v>511</v>
      </c>
      <c r="B504" t="s">
        <v>478</v>
      </c>
      <c r="C504" t="s">
        <v>516</v>
      </c>
      <c r="D504" t="s">
        <v>1329</v>
      </c>
      <c r="E504" t="s">
        <v>1330</v>
      </c>
      <c r="F504">
        <v>435297.79</v>
      </c>
      <c r="G504">
        <v>306645620</v>
      </c>
      <c r="H504" s="118">
        <v>45453</v>
      </c>
      <c r="I504">
        <v>100</v>
      </c>
      <c r="J504">
        <v>99.25</v>
      </c>
      <c r="K504">
        <v>0</v>
      </c>
      <c r="L504">
        <v>-3264.73</v>
      </c>
      <c r="M504">
        <v>-3264.73</v>
      </c>
      <c r="N504">
        <v>0</v>
      </c>
      <c r="P504" t="s">
        <v>1331</v>
      </c>
      <c r="Q504" t="s">
        <v>170</v>
      </c>
      <c r="R504">
        <v>193.47</v>
      </c>
      <c r="S504">
        <v>0.5</v>
      </c>
      <c r="T504" s="118">
        <v>46615</v>
      </c>
    </row>
    <row r="505" spans="1:20" hidden="1">
      <c r="A505" t="s">
        <v>511</v>
      </c>
      <c r="B505" t="s">
        <v>478</v>
      </c>
      <c r="C505" t="s">
        <v>516</v>
      </c>
      <c r="D505" t="s">
        <v>1332</v>
      </c>
      <c r="E505" t="s">
        <v>1333</v>
      </c>
      <c r="F505">
        <v>103689.98</v>
      </c>
      <c r="G505">
        <v>301605837</v>
      </c>
      <c r="H505" s="118">
        <v>45390</v>
      </c>
      <c r="I505">
        <v>99</v>
      </c>
      <c r="J505">
        <v>99.5</v>
      </c>
      <c r="K505">
        <v>102993.16</v>
      </c>
      <c r="L505">
        <v>103171.53</v>
      </c>
      <c r="M505">
        <v>178.37</v>
      </c>
      <c r="N505">
        <v>0</v>
      </c>
      <c r="P505" t="s">
        <v>1281</v>
      </c>
      <c r="Q505" t="s">
        <v>170</v>
      </c>
      <c r="R505">
        <v>49.93</v>
      </c>
      <c r="S505">
        <v>0</v>
      </c>
      <c r="T505" s="118">
        <v>47018</v>
      </c>
    </row>
    <row r="506" spans="1:20" hidden="1">
      <c r="A506" t="s">
        <v>511</v>
      </c>
      <c r="B506" t="s">
        <v>478</v>
      </c>
      <c r="C506" t="s">
        <v>516</v>
      </c>
      <c r="D506" t="s">
        <v>1334</v>
      </c>
      <c r="E506" t="s">
        <v>1335</v>
      </c>
      <c r="F506">
        <v>33.82</v>
      </c>
      <c r="G506">
        <v>297363794</v>
      </c>
      <c r="H506" s="118">
        <v>45244</v>
      </c>
      <c r="I506">
        <v>100</v>
      </c>
      <c r="J506">
        <v>99.5</v>
      </c>
      <c r="K506">
        <v>0</v>
      </c>
      <c r="L506">
        <v>-0.17</v>
      </c>
      <c r="M506">
        <v>-0.17</v>
      </c>
      <c r="N506">
        <v>0</v>
      </c>
      <c r="P506" t="s">
        <v>939</v>
      </c>
      <c r="Q506" t="s">
        <v>170</v>
      </c>
      <c r="R506">
        <v>0.15</v>
      </c>
      <c r="S506">
        <v>5</v>
      </c>
      <c r="T506" s="118">
        <v>46652</v>
      </c>
    </row>
    <row r="507" spans="1:20" hidden="1">
      <c r="A507" t="s">
        <v>511</v>
      </c>
      <c r="B507" t="s">
        <v>478</v>
      </c>
      <c r="C507" t="s">
        <v>516</v>
      </c>
      <c r="D507" t="s">
        <v>1334</v>
      </c>
      <c r="E507" t="s">
        <v>1335</v>
      </c>
      <c r="F507">
        <v>286.06</v>
      </c>
      <c r="G507">
        <v>352560752</v>
      </c>
      <c r="H507" s="118">
        <v>45909</v>
      </c>
      <c r="I507">
        <v>100</v>
      </c>
      <c r="J507">
        <v>99.5</v>
      </c>
      <c r="K507">
        <v>0</v>
      </c>
      <c r="L507">
        <v>-1.43</v>
      </c>
      <c r="M507">
        <v>-1.43</v>
      </c>
      <c r="N507">
        <v>0</v>
      </c>
      <c r="P507" t="s">
        <v>939</v>
      </c>
      <c r="Q507" t="s">
        <v>170</v>
      </c>
      <c r="R507">
        <v>1.27</v>
      </c>
      <c r="S507">
        <v>5</v>
      </c>
      <c r="T507" s="118">
        <v>46652</v>
      </c>
    </row>
    <row r="508" spans="1:20" hidden="1">
      <c r="A508" t="s">
        <v>511</v>
      </c>
      <c r="B508" t="s">
        <v>478</v>
      </c>
      <c r="C508" t="s">
        <v>516</v>
      </c>
      <c r="D508" t="s">
        <v>1334</v>
      </c>
      <c r="E508" t="s">
        <v>1335</v>
      </c>
      <c r="F508">
        <v>1550.7</v>
      </c>
      <c r="G508">
        <v>362229555</v>
      </c>
      <c r="H508" s="118">
        <v>46008</v>
      </c>
      <c r="I508">
        <v>100</v>
      </c>
      <c r="J508">
        <v>99.5</v>
      </c>
      <c r="K508">
        <v>0</v>
      </c>
      <c r="L508">
        <v>-7.75</v>
      </c>
      <c r="M508">
        <v>-7.75</v>
      </c>
      <c r="N508">
        <v>0</v>
      </c>
      <c r="P508" t="s">
        <v>713</v>
      </c>
      <c r="Q508" t="s">
        <v>170</v>
      </c>
      <c r="R508">
        <v>6.89</v>
      </c>
      <c r="S508">
        <v>5</v>
      </c>
      <c r="T508" s="118">
        <v>46652</v>
      </c>
    </row>
    <row r="509" spans="1:20" hidden="1">
      <c r="A509" t="s">
        <v>511</v>
      </c>
      <c r="B509" t="s">
        <v>478</v>
      </c>
      <c r="C509" t="s">
        <v>516</v>
      </c>
      <c r="D509" t="s">
        <v>1334</v>
      </c>
      <c r="E509" t="s">
        <v>1335</v>
      </c>
      <c r="F509">
        <v>4010.23</v>
      </c>
      <c r="G509">
        <v>304440069</v>
      </c>
      <c r="H509" s="118">
        <v>45390</v>
      </c>
      <c r="I509">
        <v>100</v>
      </c>
      <c r="J509">
        <v>99.5</v>
      </c>
      <c r="K509">
        <v>0</v>
      </c>
      <c r="L509">
        <v>-20.05</v>
      </c>
      <c r="M509">
        <v>-20.05</v>
      </c>
      <c r="N509">
        <v>0</v>
      </c>
      <c r="P509" t="s">
        <v>1280</v>
      </c>
      <c r="Q509" t="s">
        <v>170</v>
      </c>
      <c r="R509">
        <v>17.82</v>
      </c>
      <c r="S509">
        <v>5</v>
      </c>
      <c r="T509" s="118">
        <v>46652</v>
      </c>
    </row>
    <row r="510" spans="1:20" hidden="1">
      <c r="A510" t="s">
        <v>511</v>
      </c>
      <c r="B510" t="s">
        <v>478</v>
      </c>
      <c r="C510" t="s">
        <v>516</v>
      </c>
      <c r="D510" t="s">
        <v>1334</v>
      </c>
      <c r="E510" t="s">
        <v>1335</v>
      </c>
      <c r="F510">
        <v>10096.01</v>
      </c>
      <c r="G510">
        <v>297363661</v>
      </c>
      <c r="H510" s="118">
        <v>45198</v>
      </c>
      <c r="I510">
        <v>100</v>
      </c>
      <c r="J510">
        <v>99.5</v>
      </c>
      <c r="K510">
        <v>0</v>
      </c>
      <c r="L510">
        <v>-50.48</v>
      </c>
      <c r="M510">
        <v>-50.48</v>
      </c>
      <c r="N510">
        <v>0</v>
      </c>
      <c r="P510" t="s">
        <v>1336</v>
      </c>
      <c r="Q510" t="s">
        <v>170</v>
      </c>
      <c r="R510">
        <v>44.87</v>
      </c>
      <c r="S510">
        <v>5</v>
      </c>
      <c r="T510" s="118">
        <v>46652</v>
      </c>
    </row>
    <row r="511" spans="1:20" hidden="1">
      <c r="A511" t="s">
        <v>511</v>
      </c>
      <c r="B511" t="s">
        <v>478</v>
      </c>
      <c r="C511" t="s">
        <v>516</v>
      </c>
      <c r="D511" t="s">
        <v>1334</v>
      </c>
      <c r="E511" t="s">
        <v>1335</v>
      </c>
      <c r="F511">
        <v>22930.46</v>
      </c>
      <c r="G511">
        <v>297363660</v>
      </c>
      <c r="H511" s="118">
        <v>45107</v>
      </c>
      <c r="I511">
        <v>100</v>
      </c>
      <c r="J511">
        <v>99.5</v>
      </c>
      <c r="K511">
        <v>0</v>
      </c>
      <c r="L511">
        <v>-114.65</v>
      </c>
      <c r="M511">
        <v>-114.65</v>
      </c>
      <c r="N511">
        <v>0</v>
      </c>
      <c r="P511" t="s">
        <v>1274</v>
      </c>
      <c r="Q511" t="s">
        <v>170</v>
      </c>
      <c r="R511">
        <v>101.91</v>
      </c>
      <c r="S511">
        <v>5</v>
      </c>
      <c r="T511" s="118">
        <v>46652</v>
      </c>
    </row>
    <row r="512" spans="1:20" hidden="1">
      <c r="A512" t="s">
        <v>511</v>
      </c>
      <c r="B512" t="s">
        <v>478</v>
      </c>
      <c r="C512" t="s">
        <v>516</v>
      </c>
      <c r="D512" t="s">
        <v>1337</v>
      </c>
      <c r="E512" t="s">
        <v>1338</v>
      </c>
      <c r="F512">
        <v>413.53</v>
      </c>
      <c r="G512">
        <v>297363240</v>
      </c>
      <c r="H512" s="118">
        <v>44753</v>
      </c>
      <c r="I512">
        <v>100</v>
      </c>
      <c r="J512">
        <v>99.5</v>
      </c>
      <c r="K512">
        <v>0</v>
      </c>
      <c r="L512">
        <v>-2.0699999999999998</v>
      </c>
      <c r="M512">
        <v>-2.0699999999999998</v>
      </c>
      <c r="N512">
        <v>0</v>
      </c>
      <c r="P512" t="s">
        <v>939</v>
      </c>
      <c r="Q512" t="s">
        <v>170</v>
      </c>
      <c r="R512">
        <v>0.18</v>
      </c>
      <c r="S512">
        <v>0.5</v>
      </c>
      <c r="T512" s="118">
        <v>47018</v>
      </c>
    </row>
    <row r="513" spans="1:20" hidden="1">
      <c r="A513" t="s">
        <v>511</v>
      </c>
      <c r="B513" t="s">
        <v>478</v>
      </c>
      <c r="C513" t="s">
        <v>516</v>
      </c>
      <c r="D513" t="s">
        <v>1337</v>
      </c>
      <c r="E513" t="s">
        <v>1338</v>
      </c>
      <c r="F513">
        <v>37919.879999999997</v>
      </c>
      <c r="G513">
        <v>297363247</v>
      </c>
      <c r="H513" s="118">
        <v>44763</v>
      </c>
      <c r="I513">
        <v>100</v>
      </c>
      <c r="J513">
        <v>99.5</v>
      </c>
      <c r="K513">
        <v>0</v>
      </c>
      <c r="L513">
        <v>-189.6</v>
      </c>
      <c r="M513">
        <v>-189.6</v>
      </c>
      <c r="N513">
        <v>0</v>
      </c>
      <c r="P513" t="s">
        <v>713</v>
      </c>
      <c r="Q513" t="s">
        <v>170</v>
      </c>
      <c r="R513">
        <v>16.850000000000001</v>
      </c>
      <c r="S513">
        <v>0.5</v>
      </c>
      <c r="T513" s="118">
        <v>47018</v>
      </c>
    </row>
    <row r="514" spans="1:20" hidden="1">
      <c r="A514" t="s">
        <v>511</v>
      </c>
      <c r="B514" t="s">
        <v>478</v>
      </c>
      <c r="C514" t="s">
        <v>516</v>
      </c>
      <c r="D514" t="s">
        <v>1337</v>
      </c>
      <c r="E514" t="s">
        <v>1338</v>
      </c>
      <c r="F514">
        <v>18959.939999999999</v>
      </c>
      <c r="G514">
        <v>297363261</v>
      </c>
      <c r="H514" s="118">
        <v>44790</v>
      </c>
      <c r="I514">
        <v>100</v>
      </c>
      <c r="J514">
        <v>99.5</v>
      </c>
      <c r="K514">
        <v>0</v>
      </c>
      <c r="L514">
        <v>-94.8</v>
      </c>
      <c r="M514">
        <v>-94.8</v>
      </c>
      <c r="N514">
        <v>0</v>
      </c>
      <c r="P514" t="s">
        <v>713</v>
      </c>
      <c r="Q514" t="s">
        <v>170</v>
      </c>
      <c r="R514">
        <v>8.43</v>
      </c>
      <c r="S514">
        <v>0.5</v>
      </c>
      <c r="T514" s="118">
        <v>47018</v>
      </c>
    </row>
    <row r="515" spans="1:20" hidden="1">
      <c r="A515" t="s">
        <v>511</v>
      </c>
      <c r="B515" t="s">
        <v>478</v>
      </c>
      <c r="C515" t="s">
        <v>516</v>
      </c>
      <c r="D515" t="s">
        <v>1337</v>
      </c>
      <c r="E515" t="s">
        <v>1338</v>
      </c>
      <c r="F515">
        <v>18959.93</v>
      </c>
      <c r="G515">
        <v>297363269</v>
      </c>
      <c r="H515" s="118">
        <v>44791</v>
      </c>
      <c r="I515">
        <v>100</v>
      </c>
      <c r="J515">
        <v>99.5</v>
      </c>
      <c r="K515">
        <v>0</v>
      </c>
      <c r="L515">
        <v>-94.8</v>
      </c>
      <c r="M515">
        <v>-94.8</v>
      </c>
      <c r="N515">
        <v>0</v>
      </c>
      <c r="P515" t="s">
        <v>713</v>
      </c>
      <c r="Q515" t="s">
        <v>170</v>
      </c>
      <c r="R515">
        <v>8.43</v>
      </c>
      <c r="S515">
        <v>0.5</v>
      </c>
      <c r="T515" s="118">
        <v>47018</v>
      </c>
    </row>
    <row r="516" spans="1:20" hidden="1">
      <c r="A516" t="s">
        <v>511</v>
      </c>
      <c r="B516" t="s">
        <v>478</v>
      </c>
      <c r="C516" t="s">
        <v>516</v>
      </c>
      <c r="D516" t="s">
        <v>1337</v>
      </c>
      <c r="E516" t="s">
        <v>1338</v>
      </c>
      <c r="F516">
        <v>18959.939999999999</v>
      </c>
      <c r="G516">
        <v>297363288</v>
      </c>
      <c r="H516" s="118">
        <v>44854</v>
      </c>
      <c r="I516">
        <v>100</v>
      </c>
      <c r="J516">
        <v>99.5</v>
      </c>
      <c r="K516">
        <v>0</v>
      </c>
      <c r="L516">
        <v>-94.8</v>
      </c>
      <c r="M516">
        <v>-94.8</v>
      </c>
      <c r="N516">
        <v>0</v>
      </c>
      <c r="P516" t="s">
        <v>713</v>
      </c>
      <c r="Q516" t="s">
        <v>170</v>
      </c>
      <c r="R516">
        <v>8.43</v>
      </c>
      <c r="S516">
        <v>0.5</v>
      </c>
      <c r="T516" s="118">
        <v>47018</v>
      </c>
    </row>
    <row r="517" spans="1:20" hidden="1">
      <c r="A517" t="s">
        <v>511</v>
      </c>
      <c r="B517" t="s">
        <v>478</v>
      </c>
      <c r="C517" t="s">
        <v>516</v>
      </c>
      <c r="D517" t="s">
        <v>1337</v>
      </c>
      <c r="E517" t="s">
        <v>1338</v>
      </c>
      <c r="F517">
        <v>18959.93</v>
      </c>
      <c r="G517">
        <v>297363289</v>
      </c>
      <c r="H517" s="118">
        <v>44858</v>
      </c>
      <c r="I517">
        <v>100</v>
      </c>
      <c r="J517">
        <v>99.5</v>
      </c>
      <c r="K517">
        <v>0</v>
      </c>
      <c r="L517">
        <v>-94.8</v>
      </c>
      <c r="M517">
        <v>-94.8</v>
      </c>
      <c r="N517">
        <v>0</v>
      </c>
      <c r="P517" t="s">
        <v>713</v>
      </c>
      <c r="Q517" t="s">
        <v>170</v>
      </c>
      <c r="R517">
        <v>8.43</v>
      </c>
      <c r="S517">
        <v>0.5</v>
      </c>
      <c r="T517" s="118">
        <v>47018</v>
      </c>
    </row>
    <row r="518" spans="1:20" hidden="1">
      <c r="A518" t="s">
        <v>511</v>
      </c>
      <c r="B518" t="s">
        <v>478</v>
      </c>
      <c r="C518" t="s">
        <v>516</v>
      </c>
      <c r="D518" t="s">
        <v>1337</v>
      </c>
      <c r="E518" t="s">
        <v>1338</v>
      </c>
      <c r="F518">
        <v>18959.939999999999</v>
      </c>
      <c r="G518">
        <v>297363291</v>
      </c>
      <c r="H518" s="118">
        <v>44860</v>
      </c>
      <c r="I518">
        <v>100</v>
      </c>
      <c r="J518">
        <v>99.5</v>
      </c>
      <c r="K518">
        <v>0</v>
      </c>
      <c r="L518">
        <v>-94.8</v>
      </c>
      <c r="M518">
        <v>-94.8</v>
      </c>
      <c r="N518">
        <v>0</v>
      </c>
      <c r="P518" t="s">
        <v>713</v>
      </c>
      <c r="Q518" t="s">
        <v>170</v>
      </c>
      <c r="R518">
        <v>8.43</v>
      </c>
      <c r="S518">
        <v>0.5</v>
      </c>
      <c r="T518" s="118">
        <v>47018</v>
      </c>
    </row>
    <row r="519" spans="1:20" hidden="1">
      <c r="A519" t="s">
        <v>511</v>
      </c>
      <c r="B519" t="s">
        <v>478</v>
      </c>
      <c r="C519" t="s">
        <v>516</v>
      </c>
      <c r="D519" t="s">
        <v>1337</v>
      </c>
      <c r="E519" t="s">
        <v>1338</v>
      </c>
      <c r="F519">
        <v>18959.93</v>
      </c>
      <c r="G519">
        <v>297363345</v>
      </c>
      <c r="H519" s="118">
        <v>44960</v>
      </c>
      <c r="I519">
        <v>100</v>
      </c>
      <c r="J519">
        <v>99.5</v>
      </c>
      <c r="K519">
        <v>0</v>
      </c>
      <c r="L519">
        <v>-94.8</v>
      </c>
      <c r="M519">
        <v>-94.8</v>
      </c>
      <c r="N519">
        <v>0</v>
      </c>
      <c r="P519" t="s">
        <v>713</v>
      </c>
      <c r="Q519" t="s">
        <v>170</v>
      </c>
      <c r="R519">
        <v>8.43</v>
      </c>
      <c r="S519">
        <v>0.5</v>
      </c>
      <c r="T519" s="118">
        <v>47018</v>
      </c>
    </row>
    <row r="520" spans="1:20" hidden="1">
      <c r="A520" t="s">
        <v>511</v>
      </c>
      <c r="B520" t="s">
        <v>478</v>
      </c>
      <c r="C520" t="s">
        <v>516</v>
      </c>
      <c r="D520" t="s">
        <v>1337</v>
      </c>
      <c r="E520" t="s">
        <v>1338</v>
      </c>
      <c r="F520">
        <v>37919.879999999997</v>
      </c>
      <c r="G520">
        <v>297363351</v>
      </c>
      <c r="H520" s="118">
        <v>44967</v>
      </c>
      <c r="I520">
        <v>100</v>
      </c>
      <c r="J520">
        <v>99.5</v>
      </c>
      <c r="K520">
        <v>0</v>
      </c>
      <c r="L520">
        <v>-189.6</v>
      </c>
      <c r="M520">
        <v>-189.6</v>
      </c>
      <c r="N520">
        <v>0</v>
      </c>
      <c r="P520" t="s">
        <v>713</v>
      </c>
      <c r="Q520" t="s">
        <v>170</v>
      </c>
      <c r="R520">
        <v>16.850000000000001</v>
      </c>
      <c r="S520">
        <v>0.5</v>
      </c>
      <c r="T520" s="118">
        <v>47018</v>
      </c>
    </row>
    <row r="521" spans="1:20" hidden="1">
      <c r="A521" t="s">
        <v>511</v>
      </c>
      <c r="B521" t="s">
        <v>478</v>
      </c>
      <c r="C521" t="s">
        <v>516</v>
      </c>
      <c r="D521" t="s">
        <v>1337</v>
      </c>
      <c r="E521" t="s">
        <v>1338</v>
      </c>
      <c r="F521">
        <v>37919.879999999997</v>
      </c>
      <c r="G521">
        <v>297363615</v>
      </c>
      <c r="H521" s="118">
        <v>45260</v>
      </c>
      <c r="I521">
        <v>100</v>
      </c>
      <c r="J521">
        <v>99.5</v>
      </c>
      <c r="K521">
        <v>0</v>
      </c>
      <c r="L521">
        <v>-189.6</v>
      </c>
      <c r="M521">
        <v>-189.6</v>
      </c>
      <c r="N521">
        <v>0</v>
      </c>
      <c r="P521" t="s">
        <v>713</v>
      </c>
      <c r="Q521" t="s">
        <v>170</v>
      </c>
      <c r="R521">
        <v>16.850000000000001</v>
      </c>
      <c r="S521">
        <v>0.5</v>
      </c>
      <c r="T521" s="118">
        <v>47018</v>
      </c>
    </row>
    <row r="522" spans="1:20" hidden="1">
      <c r="A522" t="s">
        <v>511</v>
      </c>
      <c r="B522" t="s">
        <v>478</v>
      </c>
      <c r="C522" t="s">
        <v>516</v>
      </c>
      <c r="D522" t="s">
        <v>1337</v>
      </c>
      <c r="E522" t="s">
        <v>1338</v>
      </c>
      <c r="F522">
        <v>37919.879999999997</v>
      </c>
      <c r="G522">
        <v>297363659</v>
      </c>
      <c r="H522" s="118">
        <v>45289</v>
      </c>
      <c r="I522">
        <v>100</v>
      </c>
      <c r="J522">
        <v>99.5</v>
      </c>
      <c r="K522">
        <v>0</v>
      </c>
      <c r="L522">
        <v>-189.6</v>
      </c>
      <c r="M522">
        <v>-189.6</v>
      </c>
      <c r="N522">
        <v>0</v>
      </c>
      <c r="P522" t="s">
        <v>713</v>
      </c>
      <c r="Q522" t="s">
        <v>170</v>
      </c>
      <c r="R522">
        <v>16.850000000000001</v>
      </c>
      <c r="S522">
        <v>0.5</v>
      </c>
      <c r="T522" s="118">
        <v>47018</v>
      </c>
    </row>
    <row r="523" spans="1:20" hidden="1">
      <c r="A523" t="s">
        <v>511</v>
      </c>
      <c r="B523" t="s">
        <v>478</v>
      </c>
      <c r="C523" t="s">
        <v>516</v>
      </c>
      <c r="D523" t="s">
        <v>1337</v>
      </c>
      <c r="E523" t="s">
        <v>1338</v>
      </c>
      <c r="F523">
        <v>18959.939999999999</v>
      </c>
      <c r="G523">
        <v>297363708</v>
      </c>
      <c r="H523" s="118">
        <v>45321</v>
      </c>
      <c r="I523">
        <v>100</v>
      </c>
      <c r="J523">
        <v>99.5</v>
      </c>
      <c r="K523">
        <v>0</v>
      </c>
      <c r="L523">
        <v>-94.8</v>
      </c>
      <c r="M523">
        <v>-94.8</v>
      </c>
      <c r="N523">
        <v>0</v>
      </c>
      <c r="P523" t="s">
        <v>713</v>
      </c>
      <c r="Q523" t="s">
        <v>170</v>
      </c>
      <c r="R523">
        <v>8.43</v>
      </c>
      <c r="S523">
        <v>0.5</v>
      </c>
      <c r="T523" s="118">
        <v>47018</v>
      </c>
    </row>
    <row r="524" spans="1:20" hidden="1">
      <c r="A524" t="s">
        <v>511</v>
      </c>
      <c r="B524" t="s">
        <v>478</v>
      </c>
      <c r="C524" t="s">
        <v>516</v>
      </c>
      <c r="D524" t="s">
        <v>1337</v>
      </c>
      <c r="E524" t="s">
        <v>1338</v>
      </c>
      <c r="F524">
        <v>37919.879999999997</v>
      </c>
      <c r="G524">
        <v>297363769</v>
      </c>
      <c r="H524" s="118">
        <v>45324</v>
      </c>
      <c r="I524">
        <v>100</v>
      </c>
      <c r="J524">
        <v>99.5</v>
      </c>
      <c r="K524">
        <v>0</v>
      </c>
      <c r="L524">
        <v>-189.6</v>
      </c>
      <c r="M524">
        <v>-189.6</v>
      </c>
      <c r="N524">
        <v>0</v>
      </c>
      <c r="P524" t="s">
        <v>713</v>
      </c>
      <c r="Q524" t="s">
        <v>170</v>
      </c>
      <c r="R524">
        <v>16.850000000000001</v>
      </c>
      <c r="S524">
        <v>0.5</v>
      </c>
      <c r="T524" s="118">
        <v>47018</v>
      </c>
    </row>
    <row r="525" spans="1:20" hidden="1">
      <c r="A525" t="s">
        <v>511</v>
      </c>
      <c r="B525" t="s">
        <v>478</v>
      </c>
      <c r="C525" t="s">
        <v>516</v>
      </c>
      <c r="D525" t="s">
        <v>1337</v>
      </c>
      <c r="E525" t="s">
        <v>1338</v>
      </c>
      <c r="F525">
        <v>18959.93</v>
      </c>
      <c r="G525">
        <v>297363796</v>
      </c>
      <c r="H525" s="118">
        <v>45349</v>
      </c>
      <c r="I525">
        <v>100</v>
      </c>
      <c r="J525">
        <v>99.5</v>
      </c>
      <c r="K525">
        <v>0</v>
      </c>
      <c r="L525">
        <v>-94.8</v>
      </c>
      <c r="M525">
        <v>-94.8</v>
      </c>
      <c r="N525">
        <v>0</v>
      </c>
      <c r="P525" t="s">
        <v>713</v>
      </c>
      <c r="Q525" t="s">
        <v>170</v>
      </c>
      <c r="R525">
        <v>8.43</v>
      </c>
      <c r="S525">
        <v>0.5</v>
      </c>
      <c r="T525" s="118">
        <v>47018</v>
      </c>
    </row>
    <row r="526" spans="1:20" hidden="1">
      <c r="A526" t="s">
        <v>511</v>
      </c>
      <c r="B526" t="s">
        <v>478</v>
      </c>
      <c r="C526" t="s">
        <v>516</v>
      </c>
      <c r="D526" t="s">
        <v>1337</v>
      </c>
      <c r="E526" t="s">
        <v>1338</v>
      </c>
      <c r="F526">
        <v>37919.879999999997</v>
      </c>
      <c r="G526">
        <v>297363806</v>
      </c>
      <c r="H526" s="118">
        <v>45351</v>
      </c>
      <c r="I526">
        <v>100</v>
      </c>
      <c r="J526">
        <v>99.5</v>
      </c>
      <c r="K526">
        <v>0</v>
      </c>
      <c r="L526">
        <v>-189.6</v>
      </c>
      <c r="M526">
        <v>-189.6</v>
      </c>
      <c r="N526">
        <v>0</v>
      </c>
      <c r="P526" t="s">
        <v>713</v>
      </c>
      <c r="Q526" t="s">
        <v>170</v>
      </c>
      <c r="R526">
        <v>16.850000000000001</v>
      </c>
      <c r="S526">
        <v>0.5</v>
      </c>
      <c r="T526" s="118">
        <v>47018</v>
      </c>
    </row>
    <row r="527" spans="1:20" hidden="1">
      <c r="A527" t="s">
        <v>511</v>
      </c>
      <c r="B527" t="s">
        <v>478</v>
      </c>
      <c r="C527" t="s">
        <v>516</v>
      </c>
      <c r="D527" t="s">
        <v>1337</v>
      </c>
      <c r="E527" t="s">
        <v>1338</v>
      </c>
      <c r="F527">
        <v>56879.82</v>
      </c>
      <c r="G527">
        <v>297363424</v>
      </c>
      <c r="H527" s="118">
        <v>45058</v>
      </c>
      <c r="I527">
        <v>100</v>
      </c>
      <c r="J527">
        <v>99.5</v>
      </c>
      <c r="K527">
        <v>0</v>
      </c>
      <c r="L527">
        <v>-284.39999999999998</v>
      </c>
      <c r="M527">
        <v>-284.39999999999998</v>
      </c>
      <c r="N527">
        <v>0</v>
      </c>
      <c r="P527" t="s">
        <v>575</v>
      </c>
      <c r="Q527" t="s">
        <v>170</v>
      </c>
      <c r="R527">
        <v>25.28</v>
      </c>
      <c r="S527">
        <v>0.5</v>
      </c>
      <c r="T527" s="118">
        <v>47018</v>
      </c>
    </row>
    <row r="528" spans="1:20" hidden="1">
      <c r="A528" t="s">
        <v>511</v>
      </c>
      <c r="B528" t="s">
        <v>478</v>
      </c>
      <c r="C528" t="s">
        <v>516</v>
      </c>
      <c r="D528" t="s">
        <v>1337</v>
      </c>
      <c r="E528" t="s">
        <v>1338</v>
      </c>
      <c r="F528">
        <v>56879.82</v>
      </c>
      <c r="G528">
        <v>297363447</v>
      </c>
      <c r="H528" s="118">
        <v>45082</v>
      </c>
      <c r="I528">
        <v>100</v>
      </c>
      <c r="J528">
        <v>99.5</v>
      </c>
      <c r="K528">
        <v>0</v>
      </c>
      <c r="L528">
        <v>-284.39999999999998</v>
      </c>
      <c r="M528">
        <v>-284.39999999999998</v>
      </c>
      <c r="N528">
        <v>0</v>
      </c>
      <c r="P528" t="s">
        <v>575</v>
      </c>
      <c r="Q528" t="s">
        <v>170</v>
      </c>
      <c r="R528">
        <v>25.28</v>
      </c>
      <c r="S528">
        <v>0.5</v>
      </c>
      <c r="T528" s="118">
        <v>47018</v>
      </c>
    </row>
    <row r="529" spans="1:20" hidden="1">
      <c r="A529" t="s">
        <v>511</v>
      </c>
      <c r="B529" t="s">
        <v>478</v>
      </c>
      <c r="C529" t="s">
        <v>516</v>
      </c>
      <c r="D529" t="s">
        <v>1337</v>
      </c>
      <c r="E529" t="s">
        <v>1338</v>
      </c>
      <c r="F529">
        <v>189599.39</v>
      </c>
      <c r="G529">
        <v>297363332</v>
      </c>
      <c r="H529" s="118">
        <v>44953</v>
      </c>
      <c r="I529">
        <v>100</v>
      </c>
      <c r="J529">
        <v>99.5</v>
      </c>
      <c r="K529">
        <v>0</v>
      </c>
      <c r="L529">
        <v>-948</v>
      </c>
      <c r="M529">
        <v>-948</v>
      </c>
      <c r="N529">
        <v>0</v>
      </c>
      <c r="P529" t="s">
        <v>1336</v>
      </c>
      <c r="Q529" t="s">
        <v>170</v>
      </c>
      <c r="R529">
        <v>84.27</v>
      </c>
      <c r="S529">
        <v>0.5</v>
      </c>
      <c r="T529" s="118">
        <v>47018</v>
      </c>
    </row>
    <row r="530" spans="1:20" hidden="1">
      <c r="A530" t="s">
        <v>511</v>
      </c>
      <c r="B530" t="s">
        <v>478</v>
      </c>
      <c r="C530" t="s">
        <v>516</v>
      </c>
      <c r="D530" t="s">
        <v>1339</v>
      </c>
      <c r="E530" t="s">
        <v>1340</v>
      </c>
      <c r="F530">
        <v>188041.39</v>
      </c>
      <c r="G530">
        <v>297363530</v>
      </c>
      <c r="H530" s="118">
        <v>45177</v>
      </c>
      <c r="I530">
        <v>15</v>
      </c>
      <c r="J530">
        <v>100</v>
      </c>
      <c r="K530">
        <v>28206.21</v>
      </c>
      <c r="L530">
        <v>28206.21</v>
      </c>
      <c r="M530">
        <v>0</v>
      </c>
      <c r="N530">
        <v>0</v>
      </c>
      <c r="P530" t="s">
        <v>663</v>
      </c>
      <c r="Q530" t="s">
        <v>170</v>
      </c>
      <c r="R530">
        <v>346.15</v>
      </c>
      <c r="S530">
        <v>0.5</v>
      </c>
      <c r="T530" s="118">
        <v>46661</v>
      </c>
    </row>
    <row r="531" spans="1:20" hidden="1">
      <c r="A531" t="s">
        <v>511</v>
      </c>
      <c r="B531" t="s">
        <v>478</v>
      </c>
      <c r="C531" t="s">
        <v>516</v>
      </c>
      <c r="D531" t="s">
        <v>1339</v>
      </c>
      <c r="E531" t="s">
        <v>1340</v>
      </c>
      <c r="F531">
        <v>188041.39</v>
      </c>
      <c r="G531">
        <v>297363543</v>
      </c>
      <c r="H531" s="118">
        <v>45191</v>
      </c>
      <c r="I531">
        <v>15</v>
      </c>
      <c r="J531">
        <v>100</v>
      </c>
      <c r="K531">
        <v>28206.21</v>
      </c>
      <c r="L531">
        <v>28206.21</v>
      </c>
      <c r="M531">
        <v>0</v>
      </c>
      <c r="N531">
        <v>0</v>
      </c>
      <c r="P531" t="s">
        <v>663</v>
      </c>
      <c r="Q531" t="s">
        <v>170</v>
      </c>
      <c r="R531">
        <v>346.15</v>
      </c>
      <c r="S531">
        <v>0.5</v>
      </c>
      <c r="T531" s="118">
        <v>46661</v>
      </c>
    </row>
    <row r="532" spans="1:20" hidden="1">
      <c r="A532" t="s">
        <v>511</v>
      </c>
      <c r="B532" t="s">
        <v>478</v>
      </c>
      <c r="C532" t="s">
        <v>516</v>
      </c>
      <c r="D532" t="s">
        <v>1339</v>
      </c>
      <c r="E532" t="s">
        <v>1340</v>
      </c>
      <c r="F532">
        <v>188041.38</v>
      </c>
      <c r="G532">
        <v>297363571</v>
      </c>
      <c r="H532" s="118">
        <v>45205</v>
      </c>
      <c r="I532">
        <v>15</v>
      </c>
      <c r="J532">
        <v>100</v>
      </c>
      <c r="K532">
        <v>28206.2</v>
      </c>
      <c r="L532">
        <v>28206.2</v>
      </c>
      <c r="M532">
        <v>0</v>
      </c>
      <c r="N532">
        <v>0</v>
      </c>
      <c r="P532" t="s">
        <v>663</v>
      </c>
      <c r="Q532" t="s">
        <v>170</v>
      </c>
      <c r="R532">
        <v>346.15</v>
      </c>
      <c r="S532">
        <v>0.5</v>
      </c>
      <c r="T532" s="118">
        <v>46661</v>
      </c>
    </row>
    <row r="533" spans="1:20" hidden="1">
      <c r="A533" t="s">
        <v>511</v>
      </c>
      <c r="B533" t="s">
        <v>478</v>
      </c>
      <c r="C533" t="s">
        <v>516</v>
      </c>
      <c r="D533" t="s">
        <v>1339</v>
      </c>
      <c r="E533" t="s">
        <v>1340</v>
      </c>
      <c r="F533">
        <v>188041.38</v>
      </c>
      <c r="G533">
        <v>297363578</v>
      </c>
      <c r="H533" s="118">
        <v>45219</v>
      </c>
      <c r="I533">
        <v>15</v>
      </c>
      <c r="J533">
        <v>100</v>
      </c>
      <c r="K533">
        <v>28206.2</v>
      </c>
      <c r="L533">
        <v>28206.2</v>
      </c>
      <c r="M533">
        <v>0</v>
      </c>
      <c r="N533">
        <v>0</v>
      </c>
      <c r="P533" t="s">
        <v>663</v>
      </c>
      <c r="Q533" t="s">
        <v>170</v>
      </c>
      <c r="R533">
        <v>346.15</v>
      </c>
      <c r="S533">
        <v>0.5</v>
      </c>
      <c r="T533" s="118">
        <v>46661</v>
      </c>
    </row>
    <row r="534" spans="1:20" hidden="1">
      <c r="A534" t="s">
        <v>511</v>
      </c>
      <c r="B534" t="s">
        <v>478</v>
      </c>
      <c r="C534" t="s">
        <v>516</v>
      </c>
      <c r="D534" t="s">
        <v>1339</v>
      </c>
      <c r="E534" t="s">
        <v>1340</v>
      </c>
      <c r="F534">
        <v>188041.38</v>
      </c>
      <c r="G534">
        <v>297363603</v>
      </c>
      <c r="H534" s="118">
        <v>45233</v>
      </c>
      <c r="I534">
        <v>15</v>
      </c>
      <c r="J534">
        <v>100</v>
      </c>
      <c r="K534">
        <v>28206.2</v>
      </c>
      <c r="L534">
        <v>28206.2</v>
      </c>
      <c r="M534">
        <v>0</v>
      </c>
      <c r="N534">
        <v>0</v>
      </c>
      <c r="P534" t="s">
        <v>663</v>
      </c>
      <c r="Q534" t="s">
        <v>170</v>
      </c>
      <c r="R534">
        <v>346.15</v>
      </c>
      <c r="S534">
        <v>0.5</v>
      </c>
      <c r="T534" s="118">
        <v>46661</v>
      </c>
    </row>
    <row r="535" spans="1:20" hidden="1">
      <c r="A535" t="s">
        <v>511</v>
      </c>
      <c r="B535" t="s">
        <v>478</v>
      </c>
      <c r="C535" t="s">
        <v>516</v>
      </c>
      <c r="D535" t="s">
        <v>1339</v>
      </c>
      <c r="E535" t="s">
        <v>1340</v>
      </c>
      <c r="F535">
        <v>188041.38</v>
      </c>
      <c r="G535">
        <v>297363614</v>
      </c>
      <c r="H535" s="118">
        <v>45260</v>
      </c>
      <c r="I535">
        <v>15</v>
      </c>
      <c r="J535">
        <v>100</v>
      </c>
      <c r="K535">
        <v>28206.2</v>
      </c>
      <c r="L535">
        <v>28206.2</v>
      </c>
      <c r="M535">
        <v>0</v>
      </c>
      <c r="N535">
        <v>0</v>
      </c>
      <c r="P535" t="s">
        <v>663</v>
      </c>
      <c r="Q535" t="s">
        <v>170</v>
      </c>
      <c r="R535">
        <v>346.15</v>
      </c>
      <c r="S535">
        <v>0.5</v>
      </c>
      <c r="T535" s="118">
        <v>46661</v>
      </c>
    </row>
    <row r="536" spans="1:20" hidden="1">
      <c r="A536" t="s">
        <v>511</v>
      </c>
      <c r="B536" t="s">
        <v>478</v>
      </c>
      <c r="C536" t="s">
        <v>516</v>
      </c>
      <c r="D536" t="s">
        <v>1339</v>
      </c>
      <c r="E536" t="s">
        <v>1340</v>
      </c>
      <c r="F536">
        <v>319670.34999999998</v>
      </c>
      <c r="G536">
        <v>297363375</v>
      </c>
      <c r="H536" s="118">
        <v>45006</v>
      </c>
      <c r="I536">
        <v>15</v>
      </c>
      <c r="J536">
        <v>100</v>
      </c>
      <c r="K536">
        <v>47950.55</v>
      </c>
      <c r="L536">
        <v>47950.55</v>
      </c>
      <c r="M536">
        <v>0</v>
      </c>
      <c r="N536">
        <v>0</v>
      </c>
      <c r="P536" t="s">
        <v>1341</v>
      </c>
      <c r="Q536" t="s">
        <v>170</v>
      </c>
      <c r="R536">
        <v>588.45000000000005</v>
      </c>
      <c r="S536">
        <v>0.5</v>
      </c>
      <c r="T536" s="118">
        <v>46661</v>
      </c>
    </row>
    <row r="537" spans="1:20" hidden="1">
      <c r="A537" t="s">
        <v>511</v>
      </c>
      <c r="B537" t="s">
        <v>478</v>
      </c>
      <c r="C537" t="s">
        <v>516</v>
      </c>
      <c r="D537" t="s">
        <v>1339</v>
      </c>
      <c r="E537" t="s">
        <v>1340</v>
      </c>
      <c r="F537">
        <v>47010.49</v>
      </c>
      <c r="G537">
        <v>297363329</v>
      </c>
      <c r="H537" s="118">
        <v>44945</v>
      </c>
      <c r="I537">
        <v>15</v>
      </c>
      <c r="J537">
        <v>100</v>
      </c>
      <c r="K537">
        <v>7051.57</v>
      </c>
      <c r="L537">
        <v>7051.57</v>
      </c>
      <c r="M537">
        <v>0</v>
      </c>
      <c r="N537">
        <v>0</v>
      </c>
      <c r="P537" t="s">
        <v>1342</v>
      </c>
      <c r="Q537" t="s">
        <v>170</v>
      </c>
      <c r="R537">
        <v>86.54</v>
      </c>
      <c r="S537">
        <v>0.5</v>
      </c>
      <c r="T537" s="118">
        <v>46661</v>
      </c>
    </row>
    <row r="538" spans="1:20" hidden="1">
      <c r="A538" t="s">
        <v>511</v>
      </c>
      <c r="B538" t="s">
        <v>478</v>
      </c>
      <c r="C538" t="s">
        <v>516</v>
      </c>
      <c r="D538" t="s">
        <v>1339</v>
      </c>
      <c r="E538" t="s">
        <v>1340</v>
      </c>
      <c r="F538">
        <v>385484.84</v>
      </c>
      <c r="G538">
        <v>297363460</v>
      </c>
      <c r="H538" s="118">
        <v>45100</v>
      </c>
      <c r="I538">
        <v>15</v>
      </c>
      <c r="J538">
        <v>100</v>
      </c>
      <c r="K538">
        <v>57822.73</v>
      </c>
      <c r="L538">
        <v>57822.73</v>
      </c>
      <c r="M538">
        <v>0</v>
      </c>
      <c r="N538">
        <v>0</v>
      </c>
      <c r="P538" t="s">
        <v>1343</v>
      </c>
      <c r="Q538" t="s">
        <v>170</v>
      </c>
      <c r="R538">
        <v>709.61</v>
      </c>
      <c r="S538">
        <v>0.5</v>
      </c>
      <c r="T538" s="118">
        <v>46661</v>
      </c>
    </row>
    <row r="539" spans="1:20" hidden="1">
      <c r="A539" t="s">
        <v>511</v>
      </c>
      <c r="B539" t="s">
        <v>478</v>
      </c>
      <c r="C539" t="s">
        <v>516</v>
      </c>
      <c r="D539" t="s">
        <v>1344</v>
      </c>
      <c r="E539" t="s">
        <v>1345</v>
      </c>
      <c r="F539">
        <v>573279.88</v>
      </c>
      <c r="G539">
        <v>297363641</v>
      </c>
      <c r="H539" s="118">
        <v>45287</v>
      </c>
      <c r="I539">
        <v>100</v>
      </c>
      <c r="J539">
        <v>80.5</v>
      </c>
      <c r="K539">
        <v>573279.88</v>
      </c>
      <c r="L539">
        <v>461490.3</v>
      </c>
      <c r="M539">
        <v>-111789.58</v>
      </c>
      <c r="N539">
        <v>0</v>
      </c>
      <c r="P539" t="s">
        <v>1346</v>
      </c>
      <c r="Q539" t="s">
        <v>170</v>
      </c>
      <c r="R539">
        <v>5769.46</v>
      </c>
      <c r="S539">
        <v>0.5</v>
      </c>
      <c r="T539" s="118">
        <v>46335</v>
      </c>
    </row>
    <row r="540" spans="1:20" hidden="1">
      <c r="A540" t="s">
        <v>511</v>
      </c>
      <c r="B540" t="s">
        <v>478</v>
      </c>
      <c r="C540" t="s">
        <v>516</v>
      </c>
      <c r="D540" t="s">
        <v>1344</v>
      </c>
      <c r="E540" t="s">
        <v>1345</v>
      </c>
      <c r="F540">
        <v>143319.96</v>
      </c>
      <c r="G540">
        <v>297363788</v>
      </c>
      <c r="H540" s="118">
        <v>45289</v>
      </c>
      <c r="I540">
        <v>100</v>
      </c>
      <c r="J540">
        <v>80.5</v>
      </c>
      <c r="K540">
        <v>143319.96</v>
      </c>
      <c r="L540">
        <v>115372.57</v>
      </c>
      <c r="M540">
        <v>-27947.39</v>
      </c>
      <c r="N540">
        <v>0</v>
      </c>
      <c r="P540" t="s">
        <v>1347</v>
      </c>
      <c r="Q540" t="s">
        <v>170</v>
      </c>
      <c r="R540">
        <v>1442.36</v>
      </c>
      <c r="S540">
        <v>0.5</v>
      </c>
      <c r="T540" s="118">
        <v>46335</v>
      </c>
    </row>
    <row r="541" spans="1:20" hidden="1">
      <c r="A541" t="s">
        <v>511</v>
      </c>
      <c r="B541" t="s">
        <v>478</v>
      </c>
      <c r="C541" t="s">
        <v>516</v>
      </c>
      <c r="D541" t="s">
        <v>1344</v>
      </c>
      <c r="E541" t="s">
        <v>1345</v>
      </c>
      <c r="F541">
        <v>286639.94</v>
      </c>
      <c r="G541">
        <v>297363428</v>
      </c>
      <c r="H541" s="118">
        <v>45058</v>
      </c>
      <c r="I541">
        <v>100</v>
      </c>
      <c r="J541">
        <v>80.5</v>
      </c>
      <c r="K541">
        <v>286639.94</v>
      </c>
      <c r="L541">
        <v>230745.15</v>
      </c>
      <c r="M541">
        <v>-55894.79</v>
      </c>
      <c r="N541">
        <v>0</v>
      </c>
      <c r="P541" t="s">
        <v>1348</v>
      </c>
      <c r="Q541" t="s">
        <v>170</v>
      </c>
      <c r="R541">
        <v>2884.73</v>
      </c>
      <c r="S541">
        <v>0.5</v>
      </c>
      <c r="T541" s="118">
        <v>46335</v>
      </c>
    </row>
    <row r="542" spans="1:20" hidden="1">
      <c r="A542" t="s">
        <v>511</v>
      </c>
      <c r="B542" t="s">
        <v>478</v>
      </c>
      <c r="C542" t="s">
        <v>516</v>
      </c>
      <c r="D542" t="s">
        <v>1344</v>
      </c>
      <c r="E542" t="s">
        <v>1345</v>
      </c>
      <c r="F542">
        <v>286639.94</v>
      </c>
      <c r="G542">
        <v>297363580</v>
      </c>
      <c r="H542" s="118">
        <v>45219</v>
      </c>
      <c r="I542">
        <v>100</v>
      </c>
      <c r="J542">
        <v>80.5</v>
      </c>
      <c r="K542">
        <v>286639.94</v>
      </c>
      <c r="L542">
        <v>230745.15</v>
      </c>
      <c r="M542">
        <v>-55894.79</v>
      </c>
      <c r="N542">
        <v>0</v>
      </c>
      <c r="P542" t="s">
        <v>1348</v>
      </c>
      <c r="Q542" t="s">
        <v>170</v>
      </c>
      <c r="R542">
        <v>2884.73</v>
      </c>
      <c r="S542">
        <v>0.5</v>
      </c>
      <c r="T542" s="118">
        <v>46335</v>
      </c>
    </row>
    <row r="543" spans="1:20" hidden="1">
      <c r="A543" t="s">
        <v>511</v>
      </c>
      <c r="B543" t="s">
        <v>478</v>
      </c>
      <c r="C543" t="s">
        <v>516</v>
      </c>
      <c r="D543" t="s">
        <v>1344</v>
      </c>
      <c r="E543" t="s">
        <v>1345</v>
      </c>
      <c r="F543">
        <v>429959.92</v>
      </c>
      <c r="G543">
        <v>297363610</v>
      </c>
      <c r="H543" s="118">
        <v>45252</v>
      </c>
      <c r="I543">
        <v>100</v>
      </c>
      <c r="J543">
        <v>80.5</v>
      </c>
      <c r="K543">
        <v>429959.92</v>
      </c>
      <c r="L543">
        <v>346117.74</v>
      </c>
      <c r="M543">
        <v>-83842.179999999993</v>
      </c>
      <c r="N543">
        <v>0</v>
      </c>
      <c r="P543" t="s">
        <v>1349</v>
      </c>
      <c r="Q543" t="s">
        <v>170</v>
      </c>
      <c r="R543">
        <v>4327.09</v>
      </c>
      <c r="S543">
        <v>0.5</v>
      </c>
      <c r="T543" s="118">
        <v>46335</v>
      </c>
    </row>
    <row r="544" spans="1:20" hidden="1">
      <c r="A544" t="s">
        <v>511</v>
      </c>
      <c r="B544" t="s">
        <v>478</v>
      </c>
      <c r="C544" t="s">
        <v>516</v>
      </c>
      <c r="D544" t="s">
        <v>1350</v>
      </c>
      <c r="E544" t="s">
        <v>1351</v>
      </c>
      <c r="F544">
        <v>9547565.3300000001</v>
      </c>
      <c r="G544">
        <v>297363129</v>
      </c>
      <c r="H544" s="118">
        <v>44504</v>
      </c>
      <c r="I544">
        <v>98.135499999999993</v>
      </c>
      <c r="J544">
        <v>80.5</v>
      </c>
      <c r="K544">
        <v>9514443.1999999993</v>
      </c>
      <c r="L544">
        <v>7685790.0899999999</v>
      </c>
      <c r="M544">
        <v>-1828653.11</v>
      </c>
      <c r="N544">
        <v>0</v>
      </c>
      <c r="P544" t="s">
        <v>1352</v>
      </c>
      <c r="Q544" t="s">
        <v>170</v>
      </c>
      <c r="R544">
        <v>96086.19</v>
      </c>
      <c r="S544">
        <v>0</v>
      </c>
      <c r="T544" s="118">
        <v>46335</v>
      </c>
    </row>
    <row r="545" spans="1:20" hidden="1">
      <c r="A545" t="s">
        <v>511</v>
      </c>
      <c r="B545" t="s">
        <v>478</v>
      </c>
      <c r="C545" t="s">
        <v>516</v>
      </c>
      <c r="D545" t="s">
        <v>1353</v>
      </c>
      <c r="E545" t="s">
        <v>1354</v>
      </c>
      <c r="F545">
        <v>3098759.98</v>
      </c>
      <c r="G545">
        <v>297363242</v>
      </c>
      <c r="H545" s="118">
        <v>44750</v>
      </c>
      <c r="I545">
        <v>96</v>
      </c>
      <c r="J545">
        <v>81.25</v>
      </c>
      <c r="K545">
        <v>3051733.22</v>
      </c>
      <c r="L545">
        <v>2517742.48</v>
      </c>
      <c r="M545">
        <v>-533990.74</v>
      </c>
      <c r="N545">
        <v>0</v>
      </c>
      <c r="P545" t="s">
        <v>1355</v>
      </c>
      <c r="Q545" t="s">
        <v>170</v>
      </c>
      <c r="R545">
        <v>27054.080000000002</v>
      </c>
      <c r="S545">
        <v>0</v>
      </c>
      <c r="T545" s="118">
        <v>46701</v>
      </c>
    </row>
    <row r="546" spans="1:20">
      <c r="A546" t="s">
        <v>511</v>
      </c>
      <c r="B546" t="s">
        <v>478</v>
      </c>
      <c r="C546" t="s">
        <v>516</v>
      </c>
      <c r="D546" t="s">
        <v>1356</v>
      </c>
      <c r="E546" t="s">
        <v>1357</v>
      </c>
      <c r="F546">
        <v>519.97</v>
      </c>
      <c r="G546">
        <v>314817551</v>
      </c>
      <c r="H546" s="118">
        <v>45471</v>
      </c>
      <c r="I546">
        <v>98.996099999999998</v>
      </c>
      <c r="J546">
        <v>100</v>
      </c>
      <c r="K546">
        <v>516.98</v>
      </c>
      <c r="L546">
        <v>519.97</v>
      </c>
      <c r="M546">
        <v>2.99</v>
      </c>
      <c r="N546">
        <v>0</v>
      </c>
      <c r="P546" t="s">
        <v>939</v>
      </c>
      <c r="Q546" t="s">
        <v>170</v>
      </c>
      <c r="R546">
        <v>4.3099999999999996</v>
      </c>
      <c r="S546">
        <v>0</v>
      </c>
      <c r="T546" s="118">
        <v>46731</v>
      </c>
    </row>
    <row r="547" spans="1:20">
      <c r="A547" t="s">
        <v>511</v>
      </c>
      <c r="B547" t="s">
        <v>478</v>
      </c>
      <c r="C547" t="s">
        <v>516</v>
      </c>
      <c r="D547" t="s">
        <v>1356</v>
      </c>
      <c r="E547" t="s">
        <v>1357</v>
      </c>
      <c r="F547">
        <v>58826.39</v>
      </c>
      <c r="G547">
        <v>297363156</v>
      </c>
      <c r="H547" s="118">
        <v>44560</v>
      </c>
      <c r="I547">
        <v>99</v>
      </c>
      <c r="J547">
        <v>100</v>
      </c>
      <c r="K547">
        <v>58555.85</v>
      </c>
      <c r="L547">
        <v>58826.39</v>
      </c>
      <c r="M547">
        <v>270.54000000000002</v>
      </c>
      <c r="N547">
        <v>0</v>
      </c>
      <c r="P547" t="s">
        <v>1358</v>
      </c>
      <c r="Q547" t="s">
        <v>170</v>
      </c>
      <c r="R547">
        <v>487.45</v>
      </c>
      <c r="S547">
        <v>0</v>
      </c>
      <c r="T547" s="118">
        <v>46731</v>
      </c>
    </row>
    <row r="548" spans="1:20">
      <c r="A548" t="s">
        <v>511</v>
      </c>
      <c r="B548" t="s">
        <v>478</v>
      </c>
      <c r="C548" t="s">
        <v>516</v>
      </c>
      <c r="D548" t="s">
        <v>1356</v>
      </c>
      <c r="E548" t="s">
        <v>1357</v>
      </c>
      <c r="F548">
        <v>620236.53</v>
      </c>
      <c r="G548">
        <v>297363349</v>
      </c>
      <c r="H548" s="118">
        <v>44964</v>
      </c>
      <c r="I548">
        <v>99</v>
      </c>
      <c r="J548">
        <v>100</v>
      </c>
      <c r="K548">
        <v>617383.78</v>
      </c>
      <c r="L548">
        <v>620236.53</v>
      </c>
      <c r="M548">
        <v>2852.75</v>
      </c>
      <c r="N548">
        <v>0</v>
      </c>
      <c r="P548" t="s">
        <v>1359</v>
      </c>
      <c r="Q548" t="s">
        <v>170</v>
      </c>
      <c r="R548">
        <v>5139.38</v>
      </c>
      <c r="S548">
        <v>0</v>
      </c>
      <c r="T548" s="118">
        <v>46731</v>
      </c>
    </row>
    <row r="549" spans="1:20">
      <c r="A549" t="s">
        <v>511</v>
      </c>
      <c r="B549" t="s">
        <v>478</v>
      </c>
      <c r="C549" t="s">
        <v>516</v>
      </c>
      <c r="D549" t="s">
        <v>1356</v>
      </c>
      <c r="E549" t="s">
        <v>1357</v>
      </c>
      <c r="F549">
        <v>1218343.6200000001</v>
      </c>
      <c r="G549">
        <v>297363278</v>
      </c>
      <c r="H549" s="118">
        <v>44805</v>
      </c>
      <c r="I549">
        <v>99</v>
      </c>
      <c r="J549">
        <v>100</v>
      </c>
      <c r="K549">
        <v>1212739.95</v>
      </c>
      <c r="L549">
        <v>1218343.6200000001</v>
      </c>
      <c r="M549">
        <v>5603.67</v>
      </c>
      <c r="N549">
        <v>0</v>
      </c>
      <c r="P549" t="s">
        <v>1300</v>
      </c>
      <c r="Q549" t="s">
        <v>170</v>
      </c>
      <c r="R549">
        <v>10095.4</v>
      </c>
      <c r="S549">
        <v>0</v>
      </c>
      <c r="T549" s="118">
        <v>46731</v>
      </c>
    </row>
    <row r="550" spans="1:20">
      <c r="A550" t="s">
        <v>511</v>
      </c>
      <c r="B550" t="s">
        <v>478</v>
      </c>
      <c r="C550" t="s">
        <v>516</v>
      </c>
      <c r="D550" t="s">
        <v>1360</v>
      </c>
      <c r="E550" t="s">
        <v>1361</v>
      </c>
      <c r="F550">
        <v>1684842.6</v>
      </c>
      <c r="G550">
        <v>297363146</v>
      </c>
      <c r="H550" s="118">
        <v>44539</v>
      </c>
      <c r="I550">
        <v>20</v>
      </c>
      <c r="J550">
        <v>100</v>
      </c>
      <c r="K550">
        <v>336968.52</v>
      </c>
      <c r="L550">
        <v>336968.52</v>
      </c>
      <c r="M550">
        <v>0</v>
      </c>
      <c r="N550">
        <v>0</v>
      </c>
      <c r="P550" t="s">
        <v>1362</v>
      </c>
      <c r="Q550" t="s">
        <v>170</v>
      </c>
      <c r="R550">
        <v>3391.24</v>
      </c>
      <c r="S550">
        <v>0.5</v>
      </c>
      <c r="T550" s="118">
        <v>46731</v>
      </c>
    </row>
    <row r="551" spans="1:20" hidden="1">
      <c r="A551" t="s">
        <v>511</v>
      </c>
      <c r="B551" t="s">
        <v>478</v>
      </c>
      <c r="C551" t="s">
        <v>516</v>
      </c>
      <c r="D551" t="s">
        <v>1363</v>
      </c>
      <c r="E551" t="s">
        <v>1364</v>
      </c>
      <c r="F551">
        <v>96254.52</v>
      </c>
      <c r="G551">
        <v>356351889</v>
      </c>
      <c r="H551" s="118">
        <v>45967</v>
      </c>
      <c r="I551">
        <v>99.25</v>
      </c>
      <c r="J551">
        <v>100</v>
      </c>
      <c r="K551">
        <v>95850.68</v>
      </c>
      <c r="L551">
        <v>96254.52</v>
      </c>
      <c r="M551">
        <v>403.84</v>
      </c>
      <c r="N551">
        <v>0</v>
      </c>
      <c r="P551" t="s">
        <v>582</v>
      </c>
      <c r="Q551" t="s">
        <v>170</v>
      </c>
      <c r="R551">
        <v>849.91</v>
      </c>
      <c r="S551">
        <v>0</v>
      </c>
      <c r="T551" s="118">
        <v>46148</v>
      </c>
    </row>
    <row r="552" spans="1:20" hidden="1">
      <c r="A552" t="s">
        <v>511</v>
      </c>
      <c r="B552" t="s">
        <v>478</v>
      </c>
      <c r="C552" t="s">
        <v>516</v>
      </c>
      <c r="D552" t="s">
        <v>1365</v>
      </c>
      <c r="E552" t="s">
        <v>1366</v>
      </c>
      <c r="F552">
        <v>383038.53</v>
      </c>
      <c r="G552">
        <v>357556150</v>
      </c>
      <c r="H552" s="118">
        <v>45986</v>
      </c>
      <c r="I552">
        <v>99.5</v>
      </c>
      <c r="J552">
        <v>100</v>
      </c>
      <c r="K552">
        <v>381231.51</v>
      </c>
      <c r="L552">
        <v>383038.53</v>
      </c>
      <c r="M552">
        <v>1807.02</v>
      </c>
      <c r="N552">
        <v>0</v>
      </c>
      <c r="P552" t="s">
        <v>1367</v>
      </c>
      <c r="Q552" t="s">
        <v>170</v>
      </c>
      <c r="R552">
        <v>6532.35</v>
      </c>
      <c r="S552">
        <v>0</v>
      </c>
      <c r="T552" s="118">
        <v>46811</v>
      </c>
    </row>
    <row r="553" spans="1:20" hidden="1">
      <c r="A553" t="s">
        <v>511</v>
      </c>
      <c r="B553" t="s">
        <v>478</v>
      </c>
      <c r="C553" t="s">
        <v>516</v>
      </c>
      <c r="D553" t="s">
        <v>1368</v>
      </c>
      <c r="E553" t="s">
        <v>1369</v>
      </c>
      <c r="F553">
        <v>149431.57</v>
      </c>
      <c r="G553">
        <v>297363116</v>
      </c>
      <c r="H553" s="118">
        <v>44440</v>
      </c>
      <c r="I553">
        <v>100</v>
      </c>
      <c r="J553">
        <v>78</v>
      </c>
      <c r="K553">
        <v>149431.57</v>
      </c>
      <c r="L553">
        <v>116556.62</v>
      </c>
      <c r="M553">
        <v>-32874.949999999997</v>
      </c>
      <c r="N553">
        <v>0</v>
      </c>
      <c r="P553" t="s">
        <v>1370</v>
      </c>
      <c r="Q553" t="s">
        <v>170</v>
      </c>
      <c r="R553">
        <v>155.97999999999999</v>
      </c>
      <c r="S553">
        <v>0.5</v>
      </c>
      <c r="T553" s="118">
        <v>46638</v>
      </c>
    </row>
    <row r="554" spans="1:20" hidden="1">
      <c r="A554" t="s">
        <v>511</v>
      </c>
      <c r="B554" t="s">
        <v>478</v>
      </c>
      <c r="C554" t="s">
        <v>516</v>
      </c>
      <c r="D554" t="s">
        <v>1371</v>
      </c>
      <c r="E554" t="s">
        <v>1372</v>
      </c>
      <c r="F554">
        <v>27762.31</v>
      </c>
      <c r="G554">
        <v>297363791</v>
      </c>
      <c r="H554" s="118">
        <v>45345</v>
      </c>
      <c r="I554">
        <v>40</v>
      </c>
      <c r="J554">
        <v>99.4</v>
      </c>
      <c r="K554">
        <v>11104.92</v>
      </c>
      <c r="L554">
        <v>10938.35</v>
      </c>
      <c r="M554">
        <v>-166.57</v>
      </c>
      <c r="N554">
        <v>0</v>
      </c>
      <c r="P554" t="s">
        <v>1373</v>
      </c>
      <c r="Q554" t="s">
        <v>170</v>
      </c>
      <c r="R554">
        <v>54.23</v>
      </c>
      <c r="S554">
        <v>0.5</v>
      </c>
      <c r="T554" s="118">
        <v>46629</v>
      </c>
    </row>
    <row r="555" spans="1:20" hidden="1">
      <c r="A555" t="s">
        <v>511</v>
      </c>
      <c r="B555" t="s">
        <v>478</v>
      </c>
      <c r="C555" t="s">
        <v>516</v>
      </c>
      <c r="D555" t="s">
        <v>1371</v>
      </c>
      <c r="E555" t="s">
        <v>1372</v>
      </c>
      <c r="F555">
        <v>44419.7</v>
      </c>
      <c r="G555">
        <v>297363335</v>
      </c>
      <c r="H555" s="118">
        <v>44956</v>
      </c>
      <c r="I555">
        <v>40</v>
      </c>
      <c r="J555">
        <v>99.4</v>
      </c>
      <c r="K555">
        <v>17767.87</v>
      </c>
      <c r="L555">
        <v>17501.349999999999</v>
      </c>
      <c r="M555">
        <v>-266.52</v>
      </c>
      <c r="N555">
        <v>0</v>
      </c>
      <c r="P555" t="s">
        <v>1374</v>
      </c>
      <c r="Q555" t="s">
        <v>170</v>
      </c>
      <c r="R555">
        <v>86.77</v>
      </c>
      <c r="S555">
        <v>0.5</v>
      </c>
      <c r="T555" s="118">
        <v>46629</v>
      </c>
    </row>
    <row r="556" spans="1:20" hidden="1">
      <c r="A556" t="s">
        <v>511</v>
      </c>
      <c r="B556" t="s">
        <v>478</v>
      </c>
      <c r="C556" t="s">
        <v>516</v>
      </c>
      <c r="D556" t="s">
        <v>1371</v>
      </c>
      <c r="E556" t="s">
        <v>1372</v>
      </c>
      <c r="F556">
        <v>55524.62</v>
      </c>
      <c r="G556">
        <v>297363446</v>
      </c>
      <c r="H556" s="118">
        <v>45079</v>
      </c>
      <c r="I556">
        <v>40</v>
      </c>
      <c r="J556">
        <v>99.4</v>
      </c>
      <c r="K556">
        <v>22209.85</v>
      </c>
      <c r="L556">
        <v>21876.7</v>
      </c>
      <c r="M556">
        <v>-333.15</v>
      </c>
      <c r="N556">
        <v>0</v>
      </c>
      <c r="P556" t="s">
        <v>1375</v>
      </c>
      <c r="Q556" t="s">
        <v>170</v>
      </c>
      <c r="R556">
        <v>108.47</v>
      </c>
      <c r="S556">
        <v>0.5</v>
      </c>
      <c r="T556" s="118">
        <v>46629</v>
      </c>
    </row>
    <row r="557" spans="1:20" hidden="1">
      <c r="A557" t="s">
        <v>511</v>
      </c>
      <c r="B557" t="s">
        <v>478</v>
      </c>
      <c r="C557" t="s">
        <v>516</v>
      </c>
      <c r="D557" t="s">
        <v>1371</v>
      </c>
      <c r="E557" t="s">
        <v>1372</v>
      </c>
      <c r="F557">
        <v>83286.929999999993</v>
      </c>
      <c r="G557">
        <v>297363678</v>
      </c>
      <c r="H557" s="118">
        <v>45308</v>
      </c>
      <c r="I557">
        <v>40</v>
      </c>
      <c r="J557">
        <v>99.4</v>
      </c>
      <c r="K557">
        <v>33314.78</v>
      </c>
      <c r="L557">
        <v>32815.06</v>
      </c>
      <c r="M557">
        <v>-499.72</v>
      </c>
      <c r="N557">
        <v>0</v>
      </c>
      <c r="P557" t="s">
        <v>570</v>
      </c>
      <c r="Q557" t="s">
        <v>170</v>
      </c>
      <c r="R557">
        <v>162.69999999999999</v>
      </c>
      <c r="S557">
        <v>0.5</v>
      </c>
      <c r="T557" s="118">
        <v>46629</v>
      </c>
    </row>
    <row r="558" spans="1:20" hidden="1">
      <c r="A558" t="s">
        <v>511</v>
      </c>
      <c r="B558" t="s">
        <v>478</v>
      </c>
      <c r="C558" t="s">
        <v>516</v>
      </c>
      <c r="D558" t="s">
        <v>1371</v>
      </c>
      <c r="E558" t="s">
        <v>1372</v>
      </c>
      <c r="F558">
        <v>148065.65</v>
      </c>
      <c r="G558">
        <v>297363258</v>
      </c>
      <c r="H558" s="118">
        <v>44784</v>
      </c>
      <c r="I558">
        <v>40</v>
      </c>
      <c r="J558">
        <v>99.4</v>
      </c>
      <c r="K558">
        <v>59226.26</v>
      </c>
      <c r="L558">
        <v>58337.87</v>
      </c>
      <c r="M558">
        <v>-888.39</v>
      </c>
      <c r="N558">
        <v>0</v>
      </c>
      <c r="P558" t="s">
        <v>1241</v>
      </c>
      <c r="Q558" t="s">
        <v>170</v>
      </c>
      <c r="R558">
        <v>289.25</v>
      </c>
      <c r="S558">
        <v>0.5</v>
      </c>
      <c r="T558" s="118">
        <v>46629</v>
      </c>
    </row>
    <row r="559" spans="1:20" hidden="1">
      <c r="A559" t="s">
        <v>511</v>
      </c>
      <c r="B559" t="s">
        <v>478</v>
      </c>
      <c r="C559" t="s">
        <v>516</v>
      </c>
      <c r="D559" t="s">
        <v>1371</v>
      </c>
      <c r="E559" t="s">
        <v>1372</v>
      </c>
      <c r="F559">
        <v>381269.05</v>
      </c>
      <c r="G559">
        <v>297363106</v>
      </c>
      <c r="H559" s="118">
        <v>44433</v>
      </c>
      <c r="I559">
        <v>40</v>
      </c>
      <c r="J559">
        <v>99.4</v>
      </c>
      <c r="K559">
        <v>152507.63</v>
      </c>
      <c r="L559">
        <v>150220.01999999999</v>
      </c>
      <c r="M559">
        <v>-2287.61</v>
      </c>
      <c r="N559">
        <v>0</v>
      </c>
      <c r="P559" t="s">
        <v>1236</v>
      </c>
      <c r="Q559" t="s">
        <v>170</v>
      </c>
      <c r="R559">
        <v>744.81</v>
      </c>
      <c r="S559">
        <v>0.5</v>
      </c>
      <c r="T559" s="118">
        <v>46629</v>
      </c>
    </row>
    <row r="560" spans="1:20" hidden="1">
      <c r="A560" t="s">
        <v>511</v>
      </c>
      <c r="B560" t="s">
        <v>478</v>
      </c>
      <c r="C560" t="s">
        <v>516</v>
      </c>
      <c r="D560" t="s">
        <v>1371</v>
      </c>
      <c r="E560" t="s">
        <v>1372</v>
      </c>
      <c r="F560">
        <v>3228312.8</v>
      </c>
      <c r="G560">
        <v>320930356</v>
      </c>
      <c r="H560" s="118">
        <v>45600</v>
      </c>
      <c r="I560">
        <v>40</v>
      </c>
      <c r="J560">
        <v>99.4</v>
      </c>
      <c r="K560">
        <v>1291325.21</v>
      </c>
      <c r="L560">
        <v>1271955.33</v>
      </c>
      <c r="M560">
        <v>-19369.88</v>
      </c>
      <c r="N560">
        <v>0</v>
      </c>
      <c r="P560" t="s">
        <v>1376</v>
      </c>
      <c r="Q560" t="s">
        <v>170</v>
      </c>
      <c r="R560">
        <v>6306.59</v>
      </c>
      <c r="S560">
        <v>0.5</v>
      </c>
      <c r="T560" s="118">
        <v>46629</v>
      </c>
    </row>
    <row r="561" spans="1:20" hidden="1">
      <c r="A561" t="s">
        <v>511</v>
      </c>
      <c r="B561" t="s">
        <v>478</v>
      </c>
      <c r="C561" t="s">
        <v>516</v>
      </c>
      <c r="D561" t="s">
        <v>1377</v>
      </c>
      <c r="E561" t="s">
        <v>1378</v>
      </c>
      <c r="F561">
        <v>8000000</v>
      </c>
      <c r="G561">
        <v>297363252</v>
      </c>
      <c r="H561" s="118">
        <v>44768</v>
      </c>
      <c r="I561">
        <v>96</v>
      </c>
      <c r="J561">
        <v>100</v>
      </c>
      <c r="K561">
        <v>7760188.0599999996</v>
      </c>
      <c r="L561">
        <v>8000000</v>
      </c>
      <c r="M561">
        <v>239811.94</v>
      </c>
      <c r="N561">
        <v>0</v>
      </c>
      <c r="P561" t="s">
        <v>1379</v>
      </c>
      <c r="Q561" t="s">
        <v>170</v>
      </c>
      <c r="R561">
        <v>5674.15</v>
      </c>
      <c r="S561">
        <v>0</v>
      </c>
      <c r="T561" s="118">
        <v>47689</v>
      </c>
    </row>
    <row r="562" spans="1:20" hidden="1">
      <c r="A562" t="s">
        <v>511</v>
      </c>
      <c r="B562" t="s">
        <v>478</v>
      </c>
      <c r="C562" t="s">
        <v>516</v>
      </c>
      <c r="D562" t="s">
        <v>1380</v>
      </c>
      <c r="E562" t="s">
        <v>1381</v>
      </c>
      <c r="F562">
        <v>15933404.42</v>
      </c>
      <c r="G562">
        <v>297363211</v>
      </c>
      <c r="H562" s="118">
        <v>44713</v>
      </c>
      <c r="I562">
        <v>98</v>
      </c>
      <c r="J562">
        <v>100</v>
      </c>
      <c r="K562">
        <v>15784473.66</v>
      </c>
      <c r="L562">
        <v>15933404.42</v>
      </c>
      <c r="M562">
        <v>148930.76</v>
      </c>
      <c r="N562">
        <v>0</v>
      </c>
      <c r="P562" t="s">
        <v>1382</v>
      </c>
      <c r="Q562" t="s">
        <v>170</v>
      </c>
      <c r="R562">
        <v>136983.94</v>
      </c>
      <c r="S562">
        <v>0</v>
      </c>
      <c r="T562" s="118">
        <v>46918</v>
      </c>
    </row>
    <row r="563" spans="1:20" hidden="1">
      <c r="A563" t="s">
        <v>511</v>
      </c>
      <c r="B563" t="s">
        <v>478</v>
      </c>
      <c r="C563" t="s">
        <v>516</v>
      </c>
      <c r="D563" t="s">
        <v>1383</v>
      </c>
      <c r="E563" t="s">
        <v>1384</v>
      </c>
      <c r="F563">
        <v>1265400</v>
      </c>
      <c r="G563">
        <v>297363219</v>
      </c>
      <c r="H563" s="118">
        <v>44726</v>
      </c>
      <c r="I563">
        <v>100</v>
      </c>
      <c r="J563">
        <v>100</v>
      </c>
      <c r="K563">
        <v>0</v>
      </c>
      <c r="L563">
        <v>0</v>
      </c>
      <c r="M563">
        <v>0</v>
      </c>
      <c r="N563">
        <v>0</v>
      </c>
      <c r="P563" t="s">
        <v>1385</v>
      </c>
      <c r="Q563" t="s">
        <v>170</v>
      </c>
      <c r="R563">
        <v>562.4</v>
      </c>
      <c r="S563">
        <v>0.5</v>
      </c>
      <c r="T563" s="118">
        <v>46918</v>
      </c>
    </row>
    <row r="564" spans="1:20" hidden="1">
      <c r="A564" t="s">
        <v>511</v>
      </c>
      <c r="B564" t="s">
        <v>478</v>
      </c>
      <c r="C564" t="s">
        <v>516</v>
      </c>
      <c r="D564" t="s">
        <v>1383</v>
      </c>
      <c r="E564" t="s">
        <v>1384</v>
      </c>
      <c r="F564">
        <v>2297100</v>
      </c>
      <c r="G564">
        <v>297363212</v>
      </c>
      <c r="H564" s="118">
        <v>44713</v>
      </c>
      <c r="I564">
        <v>100</v>
      </c>
      <c r="J564">
        <v>100</v>
      </c>
      <c r="K564">
        <v>0</v>
      </c>
      <c r="L564">
        <v>0</v>
      </c>
      <c r="M564">
        <v>0</v>
      </c>
      <c r="N564">
        <v>0</v>
      </c>
      <c r="P564" t="s">
        <v>1386</v>
      </c>
      <c r="Q564" t="s">
        <v>170</v>
      </c>
      <c r="R564">
        <v>1020.93</v>
      </c>
      <c r="S564">
        <v>0.5</v>
      </c>
      <c r="T564" s="118">
        <v>46918</v>
      </c>
    </row>
    <row r="565" spans="1:20" hidden="1">
      <c r="A565" t="s">
        <v>511</v>
      </c>
      <c r="B565" t="s">
        <v>478</v>
      </c>
      <c r="C565" t="s">
        <v>516</v>
      </c>
      <c r="D565" t="s">
        <v>1387</v>
      </c>
      <c r="E565" t="s">
        <v>1388</v>
      </c>
      <c r="F565">
        <v>4644000</v>
      </c>
      <c r="G565">
        <v>297363216</v>
      </c>
      <c r="H565" s="118">
        <v>44720</v>
      </c>
      <c r="I565">
        <v>98.5</v>
      </c>
      <c r="J565">
        <v>95.5</v>
      </c>
      <c r="K565">
        <v>4603886.01</v>
      </c>
      <c r="L565">
        <v>4435020</v>
      </c>
      <c r="M565">
        <v>-168866.01</v>
      </c>
      <c r="N565">
        <v>0</v>
      </c>
      <c r="P565" t="s">
        <v>1389</v>
      </c>
      <c r="Q565" t="s">
        <v>170</v>
      </c>
      <c r="R565">
        <v>40544.97</v>
      </c>
      <c r="S565">
        <v>0</v>
      </c>
      <c r="T565" s="118">
        <v>47282</v>
      </c>
    </row>
    <row r="566" spans="1:20" hidden="1">
      <c r="A566" t="s">
        <v>511</v>
      </c>
      <c r="B566" t="s">
        <v>478</v>
      </c>
      <c r="C566" t="s">
        <v>516</v>
      </c>
      <c r="D566" t="s">
        <v>1390</v>
      </c>
      <c r="E566" t="s">
        <v>1391</v>
      </c>
      <c r="F566">
        <v>104210.53</v>
      </c>
      <c r="G566">
        <v>297363273</v>
      </c>
      <c r="H566" s="118">
        <v>44796</v>
      </c>
      <c r="I566">
        <v>93.333299999999994</v>
      </c>
      <c r="J566">
        <v>95.5</v>
      </c>
      <c r="K566">
        <v>97263.16</v>
      </c>
      <c r="L566">
        <v>92573.69</v>
      </c>
      <c r="M566">
        <v>-4689.47</v>
      </c>
      <c r="N566">
        <v>0</v>
      </c>
      <c r="P566" t="s">
        <v>1392</v>
      </c>
      <c r="Q566" t="s">
        <v>170</v>
      </c>
      <c r="R566">
        <v>871.5</v>
      </c>
      <c r="S566">
        <v>0.5</v>
      </c>
      <c r="T566" s="118">
        <v>47282</v>
      </c>
    </row>
    <row r="567" spans="1:20" hidden="1">
      <c r="A567" t="s">
        <v>511</v>
      </c>
      <c r="B567" t="s">
        <v>478</v>
      </c>
      <c r="C567" t="s">
        <v>516</v>
      </c>
      <c r="D567" t="s">
        <v>1390</v>
      </c>
      <c r="E567" t="s">
        <v>1391</v>
      </c>
      <c r="F567">
        <v>104210.53</v>
      </c>
      <c r="G567">
        <v>297363466</v>
      </c>
      <c r="H567" s="118">
        <v>45106</v>
      </c>
      <c r="I567">
        <v>93.333299999999994</v>
      </c>
      <c r="J567">
        <v>95.5</v>
      </c>
      <c r="K567">
        <v>97263.16</v>
      </c>
      <c r="L567">
        <v>92573.69</v>
      </c>
      <c r="M567">
        <v>-4689.47</v>
      </c>
      <c r="N567">
        <v>0</v>
      </c>
      <c r="P567" t="s">
        <v>1392</v>
      </c>
      <c r="Q567" t="s">
        <v>170</v>
      </c>
      <c r="R567">
        <v>871.5</v>
      </c>
      <c r="S567">
        <v>0.5</v>
      </c>
      <c r="T567" s="118">
        <v>47282</v>
      </c>
    </row>
    <row r="568" spans="1:20" hidden="1">
      <c r="A568" t="s">
        <v>511</v>
      </c>
      <c r="B568" t="s">
        <v>478</v>
      </c>
      <c r="C568" t="s">
        <v>516</v>
      </c>
      <c r="D568" t="s">
        <v>1390</v>
      </c>
      <c r="E568" t="s">
        <v>1391</v>
      </c>
      <c r="F568">
        <v>208421.05</v>
      </c>
      <c r="G568">
        <v>297363549</v>
      </c>
      <c r="H568" s="118">
        <v>45198</v>
      </c>
      <c r="I568">
        <v>93.333299999999994</v>
      </c>
      <c r="J568">
        <v>95.5</v>
      </c>
      <c r="K568">
        <v>194526.31</v>
      </c>
      <c r="L568">
        <v>185147.36</v>
      </c>
      <c r="M568">
        <v>-9378.9500000000007</v>
      </c>
      <c r="N568">
        <v>0</v>
      </c>
      <c r="P568" t="s">
        <v>1393</v>
      </c>
      <c r="Q568" t="s">
        <v>170</v>
      </c>
      <c r="R568">
        <v>1743.01</v>
      </c>
      <c r="S568">
        <v>0.5</v>
      </c>
      <c r="T568" s="118">
        <v>47282</v>
      </c>
    </row>
    <row r="569" spans="1:20" hidden="1">
      <c r="A569" t="s">
        <v>511</v>
      </c>
      <c r="B569" t="s">
        <v>478</v>
      </c>
      <c r="C569" t="s">
        <v>516</v>
      </c>
      <c r="D569" t="s">
        <v>1390</v>
      </c>
      <c r="E569" t="s">
        <v>1391</v>
      </c>
      <c r="F569">
        <v>208421.05</v>
      </c>
      <c r="G569">
        <v>297363582</v>
      </c>
      <c r="H569" s="118">
        <v>45223</v>
      </c>
      <c r="I569">
        <v>93.333299999999994</v>
      </c>
      <c r="J569">
        <v>95.5</v>
      </c>
      <c r="K569">
        <v>194526.31</v>
      </c>
      <c r="L569">
        <v>185147.36</v>
      </c>
      <c r="M569">
        <v>-9378.9500000000007</v>
      </c>
      <c r="N569">
        <v>0</v>
      </c>
      <c r="P569" t="s">
        <v>1393</v>
      </c>
      <c r="Q569" t="s">
        <v>170</v>
      </c>
      <c r="R569">
        <v>1743.01</v>
      </c>
      <c r="S569">
        <v>0.5</v>
      </c>
      <c r="T569" s="118">
        <v>47282</v>
      </c>
    </row>
    <row r="570" spans="1:20" hidden="1">
      <c r="A570" t="s">
        <v>511</v>
      </c>
      <c r="B570" t="s">
        <v>478</v>
      </c>
      <c r="C570" t="s">
        <v>516</v>
      </c>
      <c r="D570" t="s">
        <v>1390</v>
      </c>
      <c r="E570" t="s">
        <v>1391</v>
      </c>
      <c r="F570">
        <v>208421.05</v>
      </c>
      <c r="G570">
        <v>297363583</v>
      </c>
      <c r="H570" s="118">
        <v>45223</v>
      </c>
      <c r="I570">
        <v>93.333299999999994</v>
      </c>
      <c r="J570">
        <v>95.5</v>
      </c>
      <c r="K570">
        <v>194526.31</v>
      </c>
      <c r="L570">
        <v>185147.36</v>
      </c>
      <c r="M570">
        <v>-9378.9500000000007</v>
      </c>
      <c r="N570">
        <v>0</v>
      </c>
      <c r="P570" t="s">
        <v>1393</v>
      </c>
      <c r="Q570" t="s">
        <v>170</v>
      </c>
      <c r="R570">
        <v>1743.01</v>
      </c>
      <c r="S570">
        <v>0.5</v>
      </c>
      <c r="T570" s="118">
        <v>47282</v>
      </c>
    </row>
    <row r="571" spans="1:20" hidden="1">
      <c r="A571" t="s">
        <v>511</v>
      </c>
      <c r="B571" t="s">
        <v>478</v>
      </c>
      <c r="C571" t="s">
        <v>516</v>
      </c>
      <c r="D571" t="s">
        <v>1390</v>
      </c>
      <c r="E571" t="s">
        <v>1391</v>
      </c>
      <c r="F571">
        <v>2292631.58</v>
      </c>
      <c r="G571">
        <v>297363217</v>
      </c>
      <c r="H571" s="118">
        <v>44720</v>
      </c>
      <c r="I571">
        <v>93.333299999999994</v>
      </c>
      <c r="J571">
        <v>95.5</v>
      </c>
      <c r="K571">
        <v>2139789.48</v>
      </c>
      <c r="L571">
        <v>2036621.06</v>
      </c>
      <c r="M571">
        <v>-103168.42</v>
      </c>
      <c r="N571">
        <v>0</v>
      </c>
      <c r="P571" t="s">
        <v>1394</v>
      </c>
      <c r="Q571" t="s">
        <v>170</v>
      </c>
      <c r="R571">
        <v>19173.09</v>
      </c>
      <c r="S571">
        <v>0.5</v>
      </c>
      <c r="T571" s="118">
        <v>47282</v>
      </c>
    </row>
    <row r="572" spans="1:20" hidden="1">
      <c r="A572" t="s">
        <v>511</v>
      </c>
      <c r="B572" t="s">
        <v>478</v>
      </c>
      <c r="C572" t="s">
        <v>516</v>
      </c>
      <c r="D572" t="s">
        <v>1395</v>
      </c>
      <c r="E572" t="s">
        <v>1396</v>
      </c>
      <c r="F572">
        <v>2889478.87</v>
      </c>
      <c r="G572">
        <v>345548516</v>
      </c>
      <c r="H572" s="118">
        <v>45849</v>
      </c>
      <c r="I572">
        <v>98.375</v>
      </c>
      <c r="J572">
        <v>99</v>
      </c>
      <c r="K572">
        <v>2848052.7</v>
      </c>
      <c r="L572">
        <v>2860584.08</v>
      </c>
      <c r="M572">
        <v>12531.38</v>
      </c>
      <c r="N572">
        <v>0</v>
      </c>
      <c r="P572" t="s">
        <v>646</v>
      </c>
      <c r="Q572" t="s">
        <v>170</v>
      </c>
      <c r="R572">
        <v>24199.55</v>
      </c>
      <c r="S572">
        <v>0</v>
      </c>
      <c r="T572" s="118">
        <v>47301</v>
      </c>
    </row>
    <row r="573" spans="1:20" hidden="1">
      <c r="A573" t="s">
        <v>511</v>
      </c>
      <c r="B573" t="s">
        <v>478</v>
      </c>
      <c r="C573" t="s">
        <v>516</v>
      </c>
      <c r="D573" t="s">
        <v>1395</v>
      </c>
      <c r="E573" t="s">
        <v>1396</v>
      </c>
      <c r="F573">
        <v>2889478.87</v>
      </c>
      <c r="G573">
        <v>346759014</v>
      </c>
      <c r="H573" s="118">
        <v>45855</v>
      </c>
      <c r="I573">
        <v>98.75</v>
      </c>
      <c r="J573">
        <v>99</v>
      </c>
      <c r="K573">
        <v>2857704.38</v>
      </c>
      <c r="L573">
        <v>2860584.08</v>
      </c>
      <c r="M573">
        <v>2879.7</v>
      </c>
      <c r="N573">
        <v>0</v>
      </c>
      <c r="P573" t="s">
        <v>646</v>
      </c>
      <c r="Q573" t="s">
        <v>170</v>
      </c>
      <c r="R573">
        <v>24199.55</v>
      </c>
      <c r="S573">
        <v>0</v>
      </c>
      <c r="T573" s="118">
        <v>47301</v>
      </c>
    </row>
    <row r="574" spans="1:20" hidden="1">
      <c r="A574" t="s">
        <v>511</v>
      </c>
      <c r="B574" t="s">
        <v>478</v>
      </c>
      <c r="C574" t="s">
        <v>516</v>
      </c>
      <c r="D574" t="s">
        <v>1395</v>
      </c>
      <c r="E574" t="s">
        <v>1396</v>
      </c>
      <c r="F574">
        <v>4837500</v>
      </c>
      <c r="G574">
        <v>297363234</v>
      </c>
      <c r="H574" s="118">
        <v>44740</v>
      </c>
      <c r="I574">
        <v>98</v>
      </c>
      <c r="J574">
        <v>99</v>
      </c>
      <c r="K574">
        <v>4785596.55</v>
      </c>
      <c r="L574">
        <v>4789125</v>
      </c>
      <c r="M574">
        <v>3528.45</v>
      </c>
      <c r="N574">
        <v>0</v>
      </c>
      <c r="P574" t="s">
        <v>1293</v>
      </c>
      <c r="Q574" t="s">
        <v>170</v>
      </c>
      <c r="R574">
        <v>40514.339999999997</v>
      </c>
      <c r="S574">
        <v>0</v>
      </c>
      <c r="T574" s="118">
        <v>47301</v>
      </c>
    </row>
    <row r="575" spans="1:20" hidden="1">
      <c r="A575" t="s">
        <v>511</v>
      </c>
      <c r="B575" t="s">
        <v>478</v>
      </c>
      <c r="C575" t="s">
        <v>516</v>
      </c>
      <c r="D575" t="s">
        <v>1395</v>
      </c>
      <c r="E575" t="s">
        <v>1396</v>
      </c>
      <c r="F575">
        <v>5000000</v>
      </c>
      <c r="G575">
        <v>364011657</v>
      </c>
      <c r="H575" s="118">
        <v>46024</v>
      </c>
      <c r="I575">
        <v>98</v>
      </c>
      <c r="J575">
        <v>99</v>
      </c>
      <c r="K575">
        <v>4900000</v>
      </c>
      <c r="L575">
        <v>4950000</v>
      </c>
      <c r="M575">
        <v>50000</v>
      </c>
      <c r="N575">
        <v>0</v>
      </c>
      <c r="P575" t="s">
        <v>1397</v>
      </c>
      <c r="S575">
        <v>0</v>
      </c>
      <c r="T575" s="118">
        <v>47301</v>
      </c>
    </row>
    <row r="576" spans="1:20" hidden="1">
      <c r="A576" t="s">
        <v>511</v>
      </c>
      <c r="B576" t="s">
        <v>478</v>
      </c>
      <c r="C576" t="s">
        <v>516</v>
      </c>
      <c r="D576" t="s">
        <v>1398</v>
      </c>
      <c r="E576" t="s">
        <v>1399</v>
      </c>
      <c r="F576">
        <v>363374.06</v>
      </c>
      <c r="G576">
        <v>362118528</v>
      </c>
      <c r="H576" s="118">
        <v>46022</v>
      </c>
      <c r="I576">
        <v>0</v>
      </c>
      <c r="J576">
        <v>60.75</v>
      </c>
      <c r="K576">
        <v>0</v>
      </c>
      <c r="L576">
        <v>220749.74</v>
      </c>
      <c r="M576">
        <v>220749.74</v>
      </c>
      <c r="N576">
        <v>0</v>
      </c>
      <c r="P576" t="s">
        <v>1400</v>
      </c>
      <c r="S576">
        <v>0</v>
      </c>
      <c r="T576" s="118">
        <v>47570</v>
      </c>
    </row>
    <row r="577" spans="1:20" hidden="1">
      <c r="A577" t="s">
        <v>511</v>
      </c>
      <c r="B577" t="s">
        <v>478</v>
      </c>
      <c r="C577" t="s">
        <v>516</v>
      </c>
      <c r="D577" t="s">
        <v>1398</v>
      </c>
      <c r="E577" t="s">
        <v>1399</v>
      </c>
      <c r="F577">
        <v>14964989.5</v>
      </c>
      <c r="G577">
        <v>336417666</v>
      </c>
      <c r="H577" s="118">
        <v>45744</v>
      </c>
      <c r="I577">
        <v>100</v>
      </c>
      <c r="J577">
        <v>60.75</v>
      </c>
      <c r="K577">
        <v>14964989.5</v>
      </c>
      <c r="L577">
        <v>9091231.1199999992</v>
      </c>
      <c r="M577">
        <v>-5873758.3799999999</v>
      </c>
      <c r="N577">
        <v>0</v>
      </c>
      <c r="P577" t="s">
        <v>1401</v>
      </c>
      <c r="S577">
        <v>0</v>
      </c>
      <c r="T577" s="118">
        <v>47570</v>
      </c>
    </row>
    <row r="578" spans="1:20" hidden="1">
      <c r="A578" t="s">
        <v>511</v>
      </c>
      <c r="B578" t="s">
        <v>478</v>
      </c>
      <c r="C578" t="s">
        <v>516</v>
      </c>
      <c r="D578" t="s">
        <v>1402</v>
      </c>
      <c r="E578" t="s">
        <v>1403</v>
      </c>
      <c r="F578">
        <v>87727.679999999993</v>
      </c>
      <c r="G578">
        <v>297363292</v>
      </c>
      <c r="H578" s="118">
        <v>44862</v>
      </c>
      <c r="I578">
        <v>100</v>
      </c>
      <c r="J578">
        <v>100</v>
      </c>
      <c r="K578">
        <v>87727.679999999993</v>
      </c>
      <c r="L578">
        <v>87727.679999999993</v>
      </c>
      <c r="M578">
        <v>0</v>
      </c>
      <c r="N578">
        <v>0</v>
      </c>
      <c r="P578" t="s">
        <v>1404</v>
      </c>
      <c r="Q578" t="s">
        <v>170</v>
      </c>
      <c r="R578">
        <v>853.53</v>
      </c>
      <c r="S578">
        <v>0</v>
      </c>
      <c r="T578" s="118">
        <v>46959</v>
      </c>
    </row>
    <row r="579" spans="1:20" hidden="1">
      <c r="A579" t="s">
        <v>511</v>
      </c>
      <c r="B579" t="s">
        <v>478</v>
      </c>
      <c r="C579" t="s">
        <v>516</v>
      </c>
      <c r="D579" t="s">
        <v>1402</v>
      </c>
      <c r="E579" t="s">
        <v>1403</v>
      </c>
      <c r="F579">
        <v>701821.43999999994</v>
      </c>
      <c r="G579">
        <v>297363418</v>
      </c>
      <c r="H579" s="118">
        <v>45055</v>
      </c>
      <c r="I579">
        <v>100</v>
      </c>
      <c r="J579">
        <v>100</v>
      </c>
      <c r="K579">
        <v>701821.43999999994</v>
      </c>
      <c r="L579">
        <v>701821.43999999994</v>
      </c>
      <c r="M579">
        <v>0</v>
      </c>
      <c r="N579">
        <v>0</v>
      </c>
      <c r="P579" t="s">
        <v>1405</v>
      </c>
      <c r="Q579" t="s">
        <v>170</v>
      </c>
      <c r="R579">
        <v>6828.33</v>
      </c>
      <c r="S579">
        <v>0</v>
      </c>
      <c r="T579" s="118">
        <v>46959</v>
      </c>
    </row>
    <row r="580" spans="1:20" hidden="1">
      <c r="A580" t="s">
        <v>511</v>
      </c>
      <c r="B580" t="s">
        <v>478</v>
      </c>
      <c r="C580" t="s">
        <v>516</v>
      </c>
      <c r="D580" t="s">
        <v>1402</v>
      </c>
      <c r="E580" t="s">
        <v>1403</v>
      </c>
      <c r="F580">
        <v>760306.57</v>
      </c>
      <c r="G580">
        <v>297363296</v>
      </c>
      <c r="H580" s="118">
        <v>44872</v>
      </c>
      <c r="I580">
        <v>100</v>
      </c>
      <c r="J580">
        <v>100</v>
      </c>
      <c r="K580">
        <v>760306.57</v>
      </c>
      <c r="L580">
        <v>760306.57</v>
      </c>
      <c r="M580">
        <v>0</v>
      </c>
      <c r="N580">
        <v>0</v>
      </c>
      <c r="P580" t="s">
        <v>1406</v>
      </c>
      <c r="Q580" t="s">
        <v>170</v>
      </c>
      <c r="R580">
        <v>7397.35</v>
      </c>
      <c r="S580">
        <v>0</v>
      </c>
      <c r="T580" s="118">
        <v>46959</v>
      </c>
    </row>
    <row r="581" spans="1:20" hidden="1">
      <c r="A581" t="s">
        <v>511</v>
      </c>
      <c r="B581" t="s">
        <v>478</v>
      </c>
      <c r="C581" t="s">
        <v>516</v>
      </c>
      <c r="D581" t="s">
        <v>1407</v>
      </c>
      <c r="E581" t="s">
        <v>1408</v>
      </c>
      <c r="F581">
        <v>733737.39</v>
      </c>
      <c r="G581">
        <v>297363097</v>
      </c>
      <c r="H581" s="118">
        <v>44399</v>
      </c>
      <c r="I581">
        <v>100</v>
      </c>
      <c r="J581">
        <v>100</v>
      </c>
      <c r="K581">
        <v>0</v>
      </c>
      <c r="L581">
        <v>0</v>
      </c>
      <c r="M581">
        <v>0</v>
      </c>
      <c r="N581">
        <v>0</v>
      </c>
      <c r="P581" t="s">
        <v>1409</v>
      </c>
      <c r="Q581" t="s">
        <v>170</v>
      </c>
      <c r="R581">
        <v>326.11</v>
      </c>
      <c r="S581">
        <v>0.5</v>
      </c>
      <c r="T581" s="118">
        <v>46230</v>
      </c>
    </row>
    <row r="582" spans="1:20" hidden="1">
      <c r="A582" t="s">
        <v>511</v>
      </c>
      <c r="B582" t="s">
        <v>478</v>
      </c>
      <c r="C582" t="s">
        <v>516</v>
      </c>
      <c r="D582" t="s">
        <v>1410</v>
      </c>
      <c r="E582" t="s">
        <v>1230</v>
      </c>
      <c r="F582">
        <v>194935.22</v>
      </c>
      <c r="G582">
        <v>297363294</v>
      </c>
      <c r="H582" s="118">
        <v>44868</v>
      </c>
      <c r="I582">
        <v>99.502899999999997</v>
      </c>
      <c r="J582">
        <v>98</v>
      </c>
      <c r="K582">
        <v>194752.7</v>
      </c>
      <c r="L582">
        <v>191036.52</v>
      </c>
      <c r="M582">
        <v>-3716.18</v>
      </c>
      <c r="N582">
        <v>0</v>
      </c>
      <c r="P582" t="s">
        <v>1411</v>
      </c>
      <c r="Q582" t="s">
        <v>170</v>
      </c>
      <c r="R582">
        <v>1571.95</v>
      </c>
      <c r="S582">
        <v>0</v>
      </c>
      <c r="T582" s="118">
        <v>46282</v>
      </c>
    </row>
    <row r="583" spans="1:20" hidden="1">
      <c r="A583" t="s">
        <v>511</v>
      </c>
      <c r="B583" t="s">
        <v>478</v>
      </c>
      <c r="C583" t="s">
        <v>516</v>
      </c>
      <c r="D583" t="s">
        <v>1412</v>
      </c>
      <c r="E583" t="s">
        <v>1413</v>
      </c>
      <c r="F583">
        <v>64593.3</v>
      </c>
      <c r="G583">
        <v>297363515</v>
      </c>
      <c r="H583" s="118">
        <v>45148</v>
      </c>
      <c r="I583">
        <v>100</v>
      </c>
      <c r="J583">
        <v>100</v>
      </c>
      <c r="K583">
        <v>0</v>
      </c>
      <c r="L583">
        <v>0</v>
      </c>
      <c r="M583">
        <v>0</v>
      </c>
      <c r="N583">
        <v>0</v>
      </c>
      <c r="P583" t="s">
        <v>1414</v>
      </c>
      <c r="Q583" t="s">
        <v>170</v>
      </c>
      <c r="R583">
        <v>27.7</v>
      </c>
      <c r="S583">
        <v>0.5</v>
      </c>
      <c r="T583" s="118">
        <v>47128</v>
      </c>
    </row>
    <row r="584" spans="1:20" hidden="1">
      <c r="A584" t="s">
        <v>511</v>
      </c>
      <c r="B584" t="s">
        <v>478</v>
      </c>
      <c r="C584" t="s">
        <v>516</v>
      </c>
      <c r="D584" t="s">
        <v>1412</v>
      </c>
      <c r="E584" t="s">
        <v>1413</v>
      </c>
      <c r="F584">
        <v>96889.95</v>
      </c>
      <c r="G584">
        <v>297363425</v>
      </c>
      <c r="H584" s="118">
        <v>45058</v>
      </c>
      <c r="I584">
        <v>100</v>
      </c>
      <c r="J584">
        <v>100</v>
      </c>
      <c r="K584">
        <v>0</v>
      </c>
      <c r="L584">
        <v>0</v>
      </c>
      <c r="M584">
        <v>0</v>
      </c>
      <c r="N584">
        <v>0</v>
      </c>
      <c r="P584" t="s">
        <v>1415</v>
      </c>
      <c r="Q584" t="s">
        <v>170</v>
      </c>
      <c r="R584">
        <v>41.54</v>
      </c>
      <c r="S584">
        <v>0.5</v>
      </c>
      <c r="T584" s="118">
        <v>47128</v>
      </c>
    </row>
    <row r="585" spans="1:20" hidden="1">
      <c r="A585" t="s">
        <v>511</v>
      </c>
      <c r="B585" t="s">
        <v>478</v>
      </c>
      <c r="C585" t="s">
        <v>516</v>
      </c>
      <c r="D585" t="s">
        <v>1412</v>
      </c>
      <c r="E585" t="s">
        <v>1413</v>
      </c>
      <c r="F585">
        <v>1130382.78</v>
      </c>
      <c r="G585">
        <v>297363318</v>
      </c>
      <c r="H585" s="118">
        <v>44916</v>
      </c>
      <c r="I585">
        <v>100</v>
      </c>
      <c r="J585">
        <v>100</v>
      </c>
      <c r="K585">
        <v>0</v>
      </c>
      <c r="L585">
        <v>0</v>
      </c>
      <c r="M585">
        <v>0</v>
      </c>
      <c r="N585">
        <v>0</v>
      </c>
      <c r="P585" t="s">
        <v>1416</v>
      </c>
      <c r="Q585" t="s">
        <v>170</v>
      </c>
      <c r="R585">
        <v>484.73</v>
      </c>
      <c r="S585">
        <v>0.5</v>
      </c>
      <c r="T585" s="118">
        <v>47128</v>
      </c>
    </row>
    <row r="586" spans="1:20" hidden="1">
      <c r="A586" t="s">
        <v>511</v>
      </c>
      <c r="B586" t="s">
        <v>478</v>
      </c>
      <c r="C586" t="s">
        <v>516</v>
      </c>
      <c r="D586" t="s">
        <v>1417</v>
      </c>
      <c r="E586" t="s">
        <v>1418</v>
      </c>
      <c r="F586">
        <v>570737</v>
      </c>
      <c r="G586">
        <v>297363344</v>
      </c>
      <c r="H586" s="118">
        <v>44944</v>
      </c>
      <c r="I586">
        <v>100</v>
      </c>
      <c r="J586">
        <v>100</v>
      </c>
      <c r="K586">
        <v>0</v>
      </c>
      <c r="L586">
        <v>0</v>
      </c>
      <c r="M586">
        <v>0</v>
      </c>
      <c r="N586">
        <v>0</v>
      </c>
      <c r="P586" t="s">
        <v>592</v>
      </c>
      <c r="Q586" t="s">
        <v>170</v>
      </c>
      <c r="R586">
        <v>253.66</v>
      </c>
      <c r="S586">
        <v>0.5</v>
      </c>
      <c r="T586" s="118">
        <v>47514</v>
      </c>
    </row>
    <row r="587" spans="1:20" hidden="1">
      <c r="A587" t="s">
        <v>511</v>
      </c>
      <c r="B587" t="s">
        <v>478</v>
      </c>
      <c r="C587" t="s">
        <v>516</v>
      </c>
      <c r="D587" t="s">
        <v>1417</v>
      </c>
      <c r="E587" t="s">
        <v>1418</v>
      </c>
      <c r="F587">
        <v>287242.46000000002</v>
      </c>
      <c r="G587">
        <v>349778724</v>
      </c>
      <c r="H587" s="118">
        <v>45880</v>
      </c>
      <c r="I587">
        <v>100</v>
      </c>
      <c r="J587">
        <v>100</v>
      </c>
      <c r="K587">
        <v>0</v>
      </c>
      <c r="L587">
        <v>0</v>
      </c>
      <c r="M587">
        <v>0</v>
      </c>
      <c r="N587">
        <v>0</v>
      </c>
      <c r="P587" t="s">
        <v>1419</v>
      </c>
      <c r="Q587" t="s">
        <v>170</v>
      </c>
      <c r="R587">
        <v>127.66</v>
      </c>
      <c r="S587">
        <v>0.5</v>
      </c>
      <c r="T587" s="118">
        <v>47514</v>
      </c>
    </row>
    <row r="588" spans="1:20" hidden="1">
      <c r="A588" t="s">
        <v>511</v>
      </c>
      <c r="B588" t="s">
        <v>478</v>
      </c>
      <c r="C588" t="s">
        <v>516</v>
      </c>
      <c r="D588" t="s">
        <v>1420</v>
      </c>
      <c r="E588" t="s">
        <v>1421</v>
      </c>
      <c r="F588">
        <v>550422.21</v>
      </c>
      <c r="G588">
        <v>335333174</v>
      </c>
      <c r="H588" s="118">
        <v>45747</v>
      </c>
      <c r="I588">
        <v>99.375</v>
      </c>
      <c r="J588">
        <v>100</v>
      </c>
      <c r="K588">
        <v>547342.78</v>
      </c>
      <c r="L588">
        <v>550422.21</v>
      </c>
      <c r="M588">
        <v>3079.43</v>
      </c>
      <c r="N588">
        <v>0</v>
      </c>
      <c r="P588" t="s">
        <v>1422</v>
      </c>
      <c r="Q588" t="s">
        <v>170</v>
      </c>
      <c r="R588">
        <v>265.18</v>
      </c>
      <c r="S588">
        <v>0</v>
      </c>
      <c r="T588" s="118">
        <v>47267</v>
      </c>
    </row>
    <row r="589" spans="1:20" hidden="1">
      <c r="A589" t="s">
        <v>511</v>
      </c>
      <c r="B589" t="s">
        <v>478</v>
      </c>
      <c r="C589" t="s">
        <v>516</v>
      </c>
      <c r="D589" t="s">
        <v>1423</v>
      </c>
      <c r="E589" t="s">
        <v>1424</v>
      </c>
      <c r="F589">
        <v>2533333.33</v>
      </c>
      <c r="G589">
        <v>297363502</v>
      </c>
      <c r="H589" s="118">
        <v>45133</v>
      </c>
      <c r="I589">
        <v>100</v>
      </c>
      <c r="J589">
        <v>100</v>
      </c>
      <c r="K589">
        <v>0</v>
      </c>
      <c r="L589">
        <v>0</v>
      </c>
      <c r="M589">
        <v>0</v>
      </c>
      <c r="N589">
        <v>0</v>
      </c>
      <c r="P589" t="s">
        <v>1425</v>
      </c>
      <c r="Q589" t="s">
        <v>170</v>
      </c>
      <c r="R589">
        <v>1055.56</v>
      </c>
      <c r="S589">
        <v>0.5</v>
      </c>
      <c r="T589" s="118">
        <v>47331</v>
      </c>
    </row>
    <row r="590" spans="1:20" hidden="1">
      <c r="A590" t="s">
        <v>511</v>
      </c>
      <c r="B590" t="s">
        <v>478</v>
      </c>
      <c r="C590" t="s">
        <v>516</v>
      </c>
      <c r="D590" t="s">
        <v>1426</v>
      </c>
      <c r="E590" t="s">
        <v>895</v>
      </c>
      <c r="F590">
        <v>356707.26</v>
      </c>
      <c r="G590">
        <v>360557940</v>
      </c>
      <c r="H590" s="118">
        <v>46010</v>
      </c>
      <c r="I590">
        <v>100</v>
      </c>
      <c r="J590">
        <v>100</v>
      </c>
      <c r="K590">
        <v>0</v>
      </c>
      <c r="L590">
        <v>0</v>
      </c>
      <c r="M590">
        <v>0</v>
      </c>
      <c r="N590">
        <v>0</v>
      </c>
      <c r="P590" t="s">
        <v>1427</v>
      </c>
      <c r="Q590" t="s">
        <v>170</v>
      </c>
      <c r="R590">
        <v>158.54</v>
      </c>
      <c r="S590">
        <v>0.5</v>
      </c>
      <c r="T590" s="118">
        <v>47787</v>
      </c>
    </row>
    <row r="591" spans="1:20" hidden="1">
      <c r="A591" t="s">
        <v>511</v>
      </c>
      <c r="B591" t="s">
        <v>478</v>
      </c>
      <c r="C591" t="s">
        <v>516</v>
      </c>
      <c r="D591" t="s">
        <v>1428</v>
      </c>
      <c r="E591" t="s">
        <v>1429</v>
      </c>
      <c r="F591">
        <v>2358115.34</v>
      </c>
      <c r="G591">
        <v>297363576</v>
      </c>
      <c r="H591" s="118">
        <v>45215</v>
      </c>
      <c r="I591">
        <v>100</v>
      </c>
      <c r="J591">
        <v>100</v>
      </c>
      <c r="K591">
        <v>0</v>
      </c>
      <c r="L591">
        <v>0</v>
      </c>
      <c r="M591">
        <v>0</v>
      </c>
      <c r="N591">
        <v>0</v>
      </c>
      <c r="P591" t="s">
        <v>1430</v>
      </c>
      <c r="Q591" t="s">
        <v>170</v>
      </c>
      <c r="R591">
        <v>1048.05</v>
      </c>
      <c r="S591">
        <v>0.5</v>
      </c>
      <c r="T591" s="118">
        <v>47046</v>
      </c>
    </row>
    <row r="592" spans="1:20" hidden="1">
      <c r="A592" t="s">
        <v>511</v>
      </c>
      <c r="B592" t="s">
        <v>478</v>
      </c>
      <c r="C592" t="s">
        <v>516</v>
      </c>
      <c r="D592" t="s">
        <v>1428</v>
      </c>
      <c r="E592" t="s">
        <v>1429</v>
      </c>
      <c r="F592">
        <v>416138</v>
      </c>
      <c r="G592">
        <v>297363577</v>
      </c>
      <c r="H592" s="118">
        <v>45215</v>
      </c>
      <c r="I592">
        <v>100</v>
      </c>
      <c r="J592">
        <v>100</v>
      </c>
      <c r="K592">
        <v>0</v>
      </c>
      <c r="L592">
        <v>0</v>
      </c>
      <c r="M592">
        <v>0</v>
      </c>
      <c r="N592">
        <v>0</v>
      </c>
      <c r="P592" t="s">
        <v>1431</v>
      </c>
      <c r="Q592" t="s">
        <v>170</v>
      </c>
      <c r="R592">
        <v>184.95</v>
      </c>
      <c r="S592">
        <v>0.5</v>
      </c>
      <c r="T592" s="118">
        <v>47046</v>
      </c>
    </row>
    <row r="593" spans="1:20" hidden="1">
      <c r="A593" t="s">
        <v>511</v>
      </c>
      <c r="B593" t="s">
        <v>478</v>
      </c>
      <c r="C593" t="s">
        <v>516</v>
      </c>
      <c r="D593" t="s">
        <v>1432</v>
      </c>
      <c r="E593" t="s">
        <v>518</v>
      </c>
      <c r="F593">
        <v>248688.56</v>
      </c>
      <c r="G593">
        <v>302325553</v>
      </c>
      <c r="H593" s="118">
        <v>45398</v>
      </c>
      <c r="I593">
        <v>98.75</v>
      </c>
      <c r="J593">
        <v>100</v>
      </c>
      <c r="K593">
        <v>246550.08</v>
      </c>
      <c r="L593">
        <v>248688.56</v>
      </c>
      <c r="M593">
        <v>2138.48</v>
      </c>
      <c r="N593">
        <v>0</v>
      </c>
      <c r="P593" t="s">
        <v>1433</v>
      </c>
      <c r="Q593" t="s">
        <v>170</v>
      </c>
      <c r="R593">
        <v>2138.0500000000002</v>
      </c>
      <c r="S593">
        <v>0</v>
      </c>
      <c r="T593" s="118">
        <v>47115</v>
      </c>
    </row>
    <row r="594" spans="1:20" hidden="1">
      <c r="A594" t="s">
        <v>511</v>
      </c>
      <c r="B594" t="s">
        <v>478</v>
      </c>
      <c r="C594" t="s">
        <v>516</v>
      </c>
      <c r="D594" t="s">
        <v>1432</v>
      </c>
      <c r="E594" t="s">
        <v>518</v>
      </c>
      <c r="F594">
        <v>467534.45</v>
      </c>
      <c r="G594">
        <v>303842026</v>
      </c>
      <c r="H594" s="118">
        <v>45422</v>
      </c>
      <c r="I594">
        <v>98.75</v>
      </c>
      <c r="J594">
        <v>100</v>
      </c>
      <c r="K594">
        <v>463481.62</v>
      </c>
      <c r="L594">
        <v>467534.45</v>
      </c>
      <c r="M594">
        <v>4052.83</v>
      </c>
      <c r="N594">
        <v>0</v>
      </c>
      <c r="P594" t="s">
        <v>1434</v>
      </c>
      <c r="Q594" t="s">
        <v>170</v>
      </c>
      <c r="R594">
        <v>4019.52</v>
      </c>
      <c r="S594">
        <v>0</v>
      </c>
      <c r="T594" s="118">
        <v>47115</v>
      </c>
    </row>
    <row r="595" spans="1:20" hidden="1">
      <c r="A595" t="s">
        <v>511</v>
      </c>
      <c r="B595" t="s">
        <v>478</v>
      </c>
      <c r="C595" t="s">
        <v>516</v>
      </c>
      <c r="D595" t="s">
        <v>1435</v>
      </c>
      <c r="E595" t="s">
        <v>518</v>
      </c>
      <c r="F595">
        <v>841126.92</v>
      </c>
      <c r="G595">
        <v>309867608</v>
      </c>
      <c r="H595" s="118">
        <v>45474</v>
      </c>
      <c r="I595">
        <v>98.75</v>
      </c>
      <c r="J595">
        <v>100</v>
      </c>
      <c r="K595">
        <v>833685.66</v>
      </c>
      <c r="L595">
        <v>841126.92</v>
      </c>
      <c r="M595">
        <v>7441.26</v>
      </c>
      <c r="N595">
        <v>0</v>
      </c>
      <c r="P595" t="s">
        <v>519</v>
      </c>
      <c r="Q595" t="s">
        <v>170</v>
      </c>
      <c r="R595">
        <v>7231.4</v>
      </c>
      <c r="S595">
        <v>0</v>
      </c>
      <c r="T595" s="118">
        <v>47115</v>
      </c>
    </row>
    <row r="596" spans="1:20" hidden="1">
      <c r="A596" t="s">
        <v>511</v>
      </c>
      <c r="B596" t="s">
        <v>478</v>
      </c>
      <c r="C596" t="s">
        <v>516</v>
      </c>
      <c r="D596" t="s">
        <v>1436</v>
      </c>
      <c r="E596" t="s">
        <v>518</v>
      </c>
      <c r="F596">
        <v>804335.37</v>
      </c>
      <c r="G596">
        <v>313801682</v>
      </c>
      <c r="H596" s="118">
        <v>45527</v>
      </c>
      <c r="I596">
        <v>98.75</v>
      </c>
      <c r="J596">
        <v>100</v>
      </c>
      <c r="K596">
        <v>796839.71</v>
      </c>
      <c r="L596">
        <v>804335.37</v>
      </c>
      <c r="M596">
        <v>7495.66</v>
      </c>
      <c r="N596">
        <v>0</v>
      </c>
      <c r="P596" t="s">
        <v>519</v>
      </c>
      <c r="Q596" t="s">
        <v>170</v>
      </c>
      <c r="R596">
        <v>6915.1</v>
      </c>
      <c r="S596">
        <v>0</v>
      </c>
      <c r="T596" s="118">
        <v>47115</v>
      </c>
    </row>
    <row r="597" spans="1:20" hidden="1">
      <c r="A597" t="s">
        <v>511</v>
      </c>
      <c r="B597" t="s">
        <v>478</v>
      </c>
      <c r="C597" t="s">
        <v>516</v>
      </c>
      <c r="D597" t="s">
        <v>1437</v>
      </c>
      <c r="E597" t="s">
        <v>518</v>
      </c>
      <c r="F597">
        <v>2448536.13</v>
      </c>
      <c r="G597">
        <v>319126608</v>
      </c>
      <c r="H597" s="118">
        <v>45569</v>
      </c>
      <c r="I597">
        <v>98.75</v>
      </c>
      <c r="J597">
        <v>100</v>
      </c>
      <c r="K597">
        <v>2427264.86</v>
      </c>
      <c r="L597">
        <v>2448536.13</v>
      </c>
      <c r="M597">
        <v>21271.27</v>
      </c>
      <c r="N597">
        <v>0</v>
      </c>
      <c r="P597" t="s">
        <v>519</v>
      </c>
      <c r="Q597" t="s">
        <v>170</v>
      </c>
      <c r="R597">
        <v>21050.75</v>
      </c>
      <c r="S597">
        <v>0</v>
      </c>
      <c r="T597" s="118">
        <v>47115</v>
      </c>
    </row>
    <row r="598" spans="1:20" hidden="1">
      <c r="A598" t="s">
        <v>511</v>
      </c>
      <c r="B598" t="s">
        <v>478</v>
      </c>
      <c r="C598" t="s">
        <v>516</v>
      </c>
      <c r="D598" t="s">
        <v>1438</v>
      </c>
      <c r="E598" t="s">
        <v>518</v>
      </c>
      <c r="F598">
        <v>4141477.99</v>
      </c>
      <c r="G598">
        <v>321177157</v>
      </c>
      <c r="H598" s="118">
        <v>45604</v>
      </c>
      <c r="I598">
        <v>98.75</v>
      </c>
      <c r="J598">
        <v>100</v>
      </c>
      <c r="K598">
        <v>4102922.42</v>
      </c>
      <c r="L598">
        <v>4141477.99</v>
      </c>
      <c r="M598">
        <v>38555.57</v>
      </c>
      <c r="N598">
        <v>0</v>
      </c>
      <c r="P598" t="s">
        <v>519</v>
      </c>
      <c r="Q598" t="s">
        <v>170</v>
      </c>
      <c r="R598">
        <v>35605.449999999997</v>
      </c>
      <c r="S598">
        <v>0</v>
      </c>
      <c r="T598" s="118">
        <v>47115</v>
      </c>
    </row>
    <row r="599" spans="1:20" hidden="1">
      <c r="A599" t="s">
        <v>511</v>
      </c>
      <c r="B599" t="s">
        <v>478</v>
      </c>
      <c r="C599" t="s">
        <v>516</v>
      </c>
      <c r="D599" t="s">
        <v>1439</v>
      </c>
      <c r="E599" t="s">
        <v>1440</v>
      </c>
      <c r="F599">
        <v>546037.98</v>
      </c>
      <c r="G599">
        <v>304437080</v>
      </c>
      <c r="H599" s="118">
        <v>45413</v>
      </c>
      <c r="I599">
        <v>99</v>
      </c>
      <c r="J599">
        <v>98</v>
      </c>
      <c r="K599">
        <v>544523.56999999995</v>
      </c>
      <c r="L599">
        <v>535117.22</v>
      </c>
      <c r="M599">
        <v>-9406.35</v>
      </c>
      <c r="N599">
        <v>0</v>
      </c>
      <c r="P599" t="s">
        <v>1441</v>
      </c>
      <c r="Q599" t="s">
        <v>170</v>
      </c>
      <c r="R599">
        <v>4403.22</v>
      </c>
      <c r="S599">
        <v>0</v>
      </c>
      <c r="T599" s="118">
        <v>46282</v>
      </c>
    </row>
    <row r="600" spans="1:20" hidden="1">
      <c r="A600" t="s">
        <v>511</v>
      </c>
      <c r="B600" t="s">
        <v>478</v>
      </c>
      <c r="C600" t="s">
        <v>516</v>
      </c>
      <c r="D600" t="s">
        <v>1442</v>
      </c>
      <c r="E600" t="s">
        <v>1443</v>
      </c>
      <c r="F600">
        <v>1762224.05</v>
      </c>
      <c r="G600">
        <v>298062206</v>
      </c>
      <c r="H600" s="118">
        <v>45352</v>
      </c>
      <c r="I600">
        <v>100</v>
      </c>
      <c r="J600">
        <v>100.5</v>
      </c>
      <c r="K600">
        <v>0</v>
      </c>
      <c r="L600">
        <v>8811.1200000000008</v>
      </c>
      <c r="M600">
        <v>8811.1200000000008</v>
      </c>
      <c r="N600">
        <v>0</v>
      </c>
      <c r="P600" t="s">
        <v>1444</v>
      </c>
      <c r="Q600" t="s">
        <v>170</v>
      </c>
      <c r="R600">
        <v>783.21</v>
      </c>
      <c r="S600">
        <v>0.5</v>
      </c>
      <c r="T600" s="118">
        <v>47543</v>
      </c>
    </row>
    <row r="601" spans="1:20" hidden="1">
      <c r="A601" t="s">
        <v>511</v>
      </c>
      <c r="B601" t="s">
        <v>478</v>
      </c>
      <c r="C601" t="s">
        <v>516</v>
      </c>
      <c r="D601" t="s">
        <v>1445</v>
      </c>
      <c r="E601" t="s">
        <v>1446</v>
      </c>
      <c r="F601">
        <v>1190339.6599999999</v>
      </c>
      <c r="G601">
        <v>325773021</v>
      </c>
      <c r="H601" s="118">
        <v>45643</v>
      </c>
      <c r="I601">
        <v>99</v>
      </c>
      <c r="J601">
        <v>96</v>
      </c>
      <c r="K601">
        <v>1181159.18</v>
      </c>
      <c r="L601">
        <v>1142726.07</v>
      </c>
      <c r="M601">
        <v>-38433.11</v>
      </c>
      <c r="N601">
        <v>0</v>
      </c>
      <c r="P601" t="s">
        <v>1447</v>
      </c>
      <c r="Q601" t="s">
        <v>170</v>
      </c>
      <c r="R601">
        <v>9969.16</v>
      </c>
      <c r="S601">
        <v>0</v>
      </c>
      <c r="T601" s="118">
        <v>47295</v>
      </c>
    </row>
    <row r="602" spans="1:20" hidden="1">
      <c r="A602" t="s">
        <v>511</v>
      </c>
      <c r="B602" t="s">
        <v>478</v>
      </c>
      <c r="C602" t="s">
        <v>516</v>
      </c>
      <c r="D602" t="s">
        <v>1448</v>
      </c>
      <c r="E602" t="s">
        <v>1446</v>
      </c>
      <c r="F602">
        <v>146969.26999999999</v>
      </c>
      <c r="G602">
        <v>330401517</v>
      </c>
      <c r="H602" s="118">
        <v>45691</v>
      </c>
      <c r="I602">
        <v>99</v>
      </c>
      <c r="J602">
        <v>96</v>
      </c>
      <c r="K602">
        <v>145767.9</v>
      </c>
      <c r="L602">
        <v>141090.5</v>
      </c>
      <c r="M602">
        <v>-4677.3999999999996</v>
      </c>
      <c r="N602">
        <v>0</v>
      </c>
      <c r="P602" t="s">
        <v>1447</v>
      </c>
      <c r="Q602" t="s">
        <v>170</v>
      </c>
      <c r="R602">
        <v>1230.8800000000001</v>
      </c>
      <c r="S602">
        <v>0</v>
      </c>
      <c r="T602" s="118">
        <v>47295</v>
      </c>
    </row>
    <row r="603" spans="1:20" hidden="1">
      <c r="A603" t="s">
        <v>511</v>
      </c>
      <c r="B603" t="s">
        <v>478</v>
      </c>
      <c r="C603" t="s">
        <v>516</v>
      </c>
      <c r="D603" t="s">
        <v>1449</v>
      </c>
      <c r="E603" t="s">
        <v>1446</v>
      </c>
      <c r="F603">
        <v>3064620</v>
      </c>
      <c r="G603">
        <v>337449134</v>
      </c>
      <c r="H603" s="118">
        <v>45748</v>
      </c>
      <c r="I603">
        <v>99</v>
      </c>
      <c r="J603">
        <v>96</v>
      </c>
      <c r="K603">
        <v>3038515.48</v>
      </c>
      <c r="L603">
        <v>2942035.2</v>
      </c>
      <c r="M603">
        <v>-96480.28</v>
      </c>
      <c r="N603">
        <v>0</v>
      </c>
      <c r="P603" t="s">
        <v>1447</v>
      </c>
      <c r="Q603" t="s">
        <v>170</v>
      </c>
      <c r="R603">
        <v>25666.37</v>
      </c>
      <c r="S603">
        <v>0</v>
      </c>
      <c r="T603" s="118">
        <v>47295</v>
      </c>
    </row>
    <row r="604" spans="1:20" hidden="1">
      <c r="A604" t="s">
        <v>511</v>
      </c>
      <c r="B604" t="s">
        <v>478</v>
      </c>
      <c r="C604" t="s">
        <v>516</v>
      </c>
      <c r="D604" t="s">
        <v>1450</v>
      </c>
      <c r="E604" t="s">
        <v>1446</v>
      </c>
      <c r="F604">
        <v>117870</v>
      </c>
      <c r="G604">
        <v>338369966</v>
      </c>
      <c r="H604" s="118">
        <v>45777</v>
      </c>
      <c r="I604">
        <v>99</v>
      </c>
      <c r="J604">
        <v>96</v>
      </c>
      <c r="K604">
        <v>116847.69</v>
      </c>
      <c r="L604">
        <v>113155.2</v>
      </c>
      <c r="M604">
        <v>-3692.49</v>
      </c>
      <c r="N604">
        <v>0</v>
      </c>
      <c r="P604" t="s">
        <v>1447</v>
      </c>
      <c r="Q604" t="s">
        <v>170</v>
      </c>
      <c r="R604">
        <v>987.17</v>
      </c>
      <c r="S604">
        <v>0</v>
      </c>
      <c r="T604" s="118">
        <v>47295</v>
      </c>
    </row>
    <row r="605" spans="1:20" hidden="1">
      <c r="A605" t="s">
        <v>511</v>
      </c>
      <c r="B605" t="s">
        <v>478</v>
      </c>
      <c r="C605" t="s">
        <v>516</v>
      </c>
      <c r="D605" t="s">
        <v>1451</v>
      </c>
      <c r="E605" t="s">
        <v>1446</v>
      </c>
      <c r="F605">
        <v>1326037.5</v>
      </c>
      <c r="G605">
        <v>339256425</v>
      </c>
      <c r="H605" s="118">
        <v>45778</v>
      </c>
      <c r="I605">
        <v>99</v>
      </c>
      <c r="J605">
        <v>96</v>
      </c>
      <c r="K605">
        <v>1314530.79</v>
      </c>
      <c r="L605">
        <v>1272996</v>
      </c>
      <c r="M605">
        <v>-41534.79</v>
      </c>
      <c r="N605">
        <v>0</v>
      </c>
      <c r="P605" t="s">
        <v>1447</v>
      </c>
      <c r="Q605" t="s">
        <v>170</v>
      </c>
      <c r="R605">
        <v>11105.64</v>
      </c>
      <c r="S605">
        <v>0</v>
      </c>
      <c r="T605" s="118">
        <v>47295</v>
      </c>
    </row>
    <row r="606" spans="1:20" hidden="1">
      <c r="A606" t="s">
        <v>511</v>
      </c>
      <c r="B606" t="s">
        <v>478</v>
      </c>
      <c r="C606" t="s">
        <v>516</v>
      </c>
      <c r="D606" t="s">
        <v>1452</v>
      </c>
      <c r="E606" t="s">
        <v>1453</v>
      </c>
      <c r="F606">
        <v>2939517.38</v>
      </c>
      <c r="G606">
        <v>363061810</v>
      </c>
      <c r="H606" s="118">
        <v>46036</v>
      </c>
      <c r="I606">
        <v>99</v>
      </c>
      <c r="J606">
        <v>100</v>
      </c>
      <c r="K606">
        <v>2910669.57</v>
      </c>
      <c r="L606">
        <v>2939517.38</v>
      </c>
      <c r="M606">
        <v>28847.81</v>
      </c>
      <c r="N606">
        <v>0</v>
      </c>
      <c r="P606" t="s">
        <v>1454</v>
      </c>
      <c r="Q606" t="s">
        <v>170</v>
      </c>
      <c r="R606">
        <v>14215.42</v>
      </c>
      <c r="S606">
        <v>0</v>
      </c>
      <c r="T606" s="118">
        <v>47330</v>
      </c>
    </row>
    <row r="607" spans="1:20" hidden="1">
      <c r="A607" t="s">
        <v>511</v>
      </c>
      <c r="B607" t="s">
        <v>478</v>
      </c>
      <c r="C607" t="s">
        <v>516</v>
      </c>
      <c r="D607" t="s">
        <v>1455</v>
      </c>
      <c r="E607" t="s">
        <v>1456</v>
      </c>
      <c r="F607">
        <v>2988348.68</v>
      </c>
      <c r="G607">
        <v>343305973</v>
      </c>
      <c r="H607" s="118">
        <v>45835</v>
      </c>
      <c r="I607">
        <v>99</v>
      </c>
      <c r="J607">
        <v>96.9</v>
      </c>
      <c r="K607">
        <v>2961223.76</v>
      </c>
      <c r="L607">
        <v>2895709.87</v>
      </c>
      <c r="M607">
        <v>-65513.89</v>
      </c>
      <c r="N607">
        <v>0</v>
      </c>
      <c r="P607" t="s">
        <v>1457</v>
      </c>
      <c r="Q607" t="s">
        <v>170</v>
      </c>
      <c r="R607">
        <v>23699.439999999999</v>
      </c>
      <c r="S607">
        <v>0</v>
      </c>
      <c r="T607" s="118">
        <v>47345</v>
      </c>
    </row>
    <row r="608" spans="1:20" hidden="1">
      <c r="A608" t="s">
        <v>511</v>
      </c>
      <c r="B608" t="s">
        <v>478</v>
      </c>
      <c r="C608" t="s">
        <v>516</v>
      </c>
      <c r="D608" t="s">
        <v>1458</v>
      </c>
      <c r="E608" t="s">
        <v>1456</v>
      </c>
      <c r="F608">
        <v>3830862.61</v>
      </c>
      <c r="G608">
        <v>354857864</v>
      </c>
      <c r="H608" s="118">
        <v>45947</v>
      </c>
      <c r="I608">
        <v>99</v>
      </c>
      <c r="J608">
        <v>96.9</v>
      </c>
      <c r="K608">
        <v>3794569.64</v>
      </c>
      <c r="L608">
        <v>3712105.87</v>
      </c>
      <c r="M608">
        <v>-82463.77</v>
      </c>
      <c r="N608">
        <v>0</v>
      </c>
      <c r="P608" t="s">
        <v>1457</v>
      </c>
      <c r="Q608" t="s">
        <v>170</v>
      </c>
      <c r="R608">
        <v>30381.09</v>
      </c>
      <c r="S608">
        <v>0</v>
      </c>
      <c r="T608" s="118">
        <v>47345</v>
      </c>
    </row>
    <row r="609" spans="1:21" hidden="1">
      <c r="A609" t="s">
        <v>511</v>
      </c>
      <c r="B609" t="s">
        <v>478</v>
      </c>
      <c r="C609" t="s">
        <v>516</v>
      </c>
      <c r="D609" t="s">
        <v>1459</v>
      </c>
      <c r="E609" t="s">
        <v>1460</v>
      </c>
      <c r="F609">
        <v>4943318.91</v>
      </c>
      <c r="G609">
        <v>337451556</v>
      </c>
      <c r="H609" s="118">
        <v>45757</v>
      </c>
      <c r="I609">
        <v>99</v>
      </c>
      <c r="J609">
        <v>101</v>
      </c>
      <c r="K609">
        <v>4899057.4400000004</v>
      </c>
      <c r="L609">
        <v>4992752.0999999996</v>
      </c>
      <c r="M609">
        <v>93694.66</v>
      </c>
      <c r="N609">
        <v>0</v>
      </c>
      <c r="P609" t="s">
        <v>1461</v>
      </c>
      <c r="Q609" t="s">
        <v>170</v>
      </c>
      <c r="R609">
        <v>7557.17</v>
      </c>
      <c r="S609">
        <v>0</v>
      </c>
      <c r="T609" s="118">
        <v>47469</v>
      </c>
    </row>
    <row r="610" spans="1:21" hidden="1">
      <c r="A610" t="s">
        <v>511</v>
      </c>
      <c r="B610" t="s">
        <v>478</v>
      </c>
      <c r="C610" t="s">
        <v>516</v>
      </c>
      <c r="D610" t="s">
        <v>1462</v>
      </c>
      <c r="E610" t="s">
        <v>1463</v>
      </c>
      <c r="F610">
        <v>18000000</v>
      </c>
      <c r="G610">
        <v>329262692</v>
      </c>
      <c r="H610" s="118">
        <v>45685</v>
      </c>
      <c r="I610">
        <v>98</v>
      </c>
      <c r="J610">
        <v>99</v>
      </c>
      <c r="K610">
        <v>17661637.710000001</v>
      </c>
      <c r="L610">
        <v>17820000</v>
      </c>
      <c r="M610">
        <v>158362.29</v>
      </c>
      <c r="N610">
        <v>0</v>
      </c>
      <c r="P610" t="s">
        <v>1464</v>
      </c>
      <c r="Q610" t="s">
        <v>170</v>
      </c>
      <c r="R610">
        <v>12671.92</v>
      </c>
      <c r="S610">
        <v>0.5</v>
      </c>
      <c r="T610" s="118">
        <v>47872</v>
      </c>
    </row>
    <row r="611" spans="1:21" hidden="1">
      <c r="A611" t="s">
        <v>511</v>
      </c>
      <c r="B611" t="s">
        <v>478</v>
      </c>
      <c r="C611" t="s">
        <v>516</v>
      </c>
      <c r="D611" t="s">
        <v>1465</v>
      </c>
      <c r="E611" t="s">
        <v>1466</v>
      </c>
      <c r="F611">
        <v>80708.149999999994</v>
      </c>
      <c r="G611">
        <v>363033691</v>
      </c>
      <c r="H611" s="118">
        <v>46030</v>
      </c>
      <c r="I611">
        <v>0</v>
      </c>
      <c r="J611">
        <v>85</v>
      </c>
      <c r="K611">
        <v>0</v>
      </c>
      <c r="L611">
        <v>68601.929999999993</v>
      </c>
      <c r="M611">
        <v>68601.929999999993</v>
      </c>
      <c r="N611">
        <v>0</v>
      </c>
      <c r="P611" t="s">
        <v>1321</v>
      </c>
      <c r="S611">
        <v>0</v>
      </c>
      <c r="T611" s="118">
        <v>47394</v>
      </c>
    </row>
    <row r="612" spans="1:21" hidden="1">
      <c r="A612" t="s">
        <v>511</v>
      </c>
      <c r="B612" t="s">
        <v>478</v>
      </c>
      <c r="C612" t="s">
        <v>516</v>
      </c>
      <c r="D612" t="s">
        <v>1465</v>
      </c>
      <c r="E612" t="s">
        <v>1466</v>
      </c>
      <c r="F612">
        <v>1159273.25</v>
      </c>
      <c r="G612">
        <v>320688534</v>
      </c>
      <c r="H612" s="118">
        <v>45568</v>
      </c>
      <c r="I612">
        <v>99.071600000000004</v>
      </c>
      <c r="J612">
        <v>85</v>
      </c>
      <c r="K612">
        <v>1150594.3600000001</v>
      </c>
      <c r="L612">
        <v>985382.26</v>
      </c>
      <c r="M612">
        <v>-165212.1</v>
      </c>
      <c r="N612">
        <v>0</v>
      </c>
      <c r="P612" t="s">
        <v>1375</v>
      </c>
      <c r="S612">
        <v>0</v>
      </c>
      <c r="T612" s="118">
        <v>47394</v>
      </c>
    </row>
    <row r="613" spans="1:21" hidden="1">
      <c r="A613" t="s">
        <v>511</v>
      </c>
      <c r="B613" t="s">
        <v>478</v>
      </c>
      <c r="C613" t="s">
        <v>516</v>
      </c>
      <c r="D613" t="s">
        <v>1465</v>
      </c>
      <c r="E613" t="s">
        <v>1466</v>
      </c>
      <c r="F613">
        <v>3196790.3</v>
      </c>
      <c r="G613">
        <v>318694060</v>
      </c>
      <c r="H613" s="118">
        <v>45572</v>
      </c>
      <c r="I613">
        <v>93.080200000000005</v>
      </c>
      <c r="J613">
        <v>85</v>
      </c>
      <c r="K613">
        <v>3006897.11</v>
      </c>
      <c r="L613">
        <v>2717271.76</v>
      </c>
      <c r="M613">
        <v>-289625.34999999998</v>
      </c>
      <c r="N613">
        <v>0</v>
      </c>
      <c r="P613" t="s">
        <v>1467</v>
      </c>
      <c r="S613">
        <v>0</v>
      </c>
      <c r="T613" s="118">
        <v>47394</v>
      </c>
    </row>
    <row r="614" spans="1:21" hidden="1">
      <c r="A614" t="s">
        <v>511</v>
      </c>
      <c r="B614" t="s">
        <v>478</v>
      </c>
      <c r="C614" t="s">
        <v>516</v>
      </c>
      <c r="D614" t="s">
        <v>1468</v>
      </c>
      <c r="E614" t="s">
        <v>1469</v>
      </c>
      <c r="F614">
        <v>56865.9</v>
      </c>
      <c r="G614">
        <v>345177930</v>
      </c>
      <c r="H614" s="118">
        <v>45845</v>
      </c>
      <c r="I614">
        <v>0</v>
      </c>
      <c r="J614">
        <v>7.5</v>
      </c>
      <c r="K614">
        <v>0</v>
      </c>
      <c r="L614">
        <v>4264.9399999999996</v>
      </c>
      <c r="M614">
        <v>4264.9399999999996</v>
      </c>
      <c r="N614">
        <v>0</v>
      </c>
      <c r="P614" t="s">
        <v>713</v>
      </c>
      <c r="S614">
        <v>0</v>
      </c>
      <c r="T614" s="118">
        <v>47394</v>
      </c>
    </row>
    <row r="615" spans="1:21" hidden="1">
      <c r="A615" t="s">
        <v>511</v>
      </c>
      <c r="B615" t="s">
        <v>478</v>
      </c>
      <c r="C615" t="s">
        <v>516</v>
      </c>
      <c r="D615" t="s">
        <v>1468</v>
      </c>
      <c r="E615" t="s">
        <v>1469</v>
      </c>
      <c r="F615">
        <v>55407.13</v>
      </c>
      <c r="G615">
        <v>347388882</v>
      </c>
      <c r="H615" s="118">
        <v>45876</v>
      </c>
      <c r="I615">
        <v>0</v>
      </c>
      <c r="J615">
        <v>7.5</v>
      </c>
      <c r="K615">
        <v>0</v>
      </c>
      <c r="L615">
        <v>4155.53</v>
      </c>
      <c r="M615">
        <v>4155.53</v>
      </c>
      <c r="N615">
        <v>0</v>
      </c>
      <c r="P615" t="s">
        <v>713</v>
      </c>
      <c r="S615">
        <v>0</v>
      </c>
      <c r="T615" s="118">
        <v>47394</v>
      </c>
    </row>
    <row r="616" spans="1:21" hidden="1">
      <c r="A616" t="s">
        <v>511</v>
      </c>
      <c r="B616" t="s">
        <v>478</v>
      </c>
      <c r="C616" t="s">
        <v>516</v>
      </c>
      <c r="D616" t="s">
        <v>1468</v>
      </c>
      <c r="E616" t="s">
        <v>1469</v>
      </c>
      <c r="F616">
        <v>57514.58</v>
      </c>
      <c r="G616">
        <v>350075422</v>
      </c>
      <c r="H616" s="118">
        <v>45908</v>
      </c>
      <c r="I616">
        <v>0</v>
      </c>
      <c r="J616">
        <v>7.5</v>
      </c>
      <c r="K616">
        <v>0</v>
      </c>
      <c r="L616">
        <v>4313.59</v>
      </c>
      <c r="M616">
        <v>4313.59</v>
      </c>
      <c r="N616">
        <v>0</v>
      </c>
      <c r="P616" t="s">
        <v>713</v>
      </c>
      <c r="S616">
        <v>0</v>
      </c>
      <c r="T616" s="118">
        <v>47394</v>
      </c>
    </row>
    <row r="617" spans="1:21" hidden="1">
      <c r="A617" t="s">
        <v>511</v>
      </c>
      <c r="B617" t="s">
        <v>478</v>
      </c>
      <c r="C617" t="s">
        <v>516</v>
      </c>
      <c r="D617" t="s">
        <v>1468</v>
      </c>
      <c r="E617" t="s">
        <v>1469</v>
      </c>
      <c r="F617">
        <v>54231.46</v>
      </c>
      <c r="G617">
        <v>354715082</v>
      </c>
      <c r="H617" s="118">
        <v>45938</v>
      </c>
      <c r="I617">
        <v>0</v>
      </c>
      <c r="J617">
        <v>7.5</v>
      </c>
      <c r="K617">
        <v>0</v>
      </c>
      <c r="L617">
        <v>4067.36</v>
      </c>
      <c r="M617">
        <v>4067.36</v>
      </c>
      <c r="N617">
        <v>0</v>
      </c>
      <c r="P617" t="s">
        <v>713</v>
      </c>
      <c r="S617">
        <v>0</v>
      </c>
      <c r="T617" s="118">
        <v>47394</v>
      </c>
    </row>
    <row r="618" spans="1:21" hidden="1">
      <c r="A618" t="s">
        <v>511</v>
      </c>
      <c r="B618" t="s">
        <v>478</v>
      </c>
      <c r="C618" t="s">
        <v>516</v>
      </c>
      <c r="D618" t="s">
        <v>1468</v>
      </c>
      <c r="E618" t="s">
        <v>1469</v>
      </c>
      <c r="F618">
        <v>167210.66</v>
      </c>
      <c r="G618">
        <v>363033697</v>
      </c>
      <c r="H618" s="118">
        <v>46030</v>
      </c>
      <c r="I618">
        <v>0</v>
      </c>
      <c r="J618">
        <v>7.5</v>
      </c>
      <c r="K618">
        <v>0</v>
      </c>
      <c r="L618">
        <v>12540.8</v>
      </c>
      <c r="M618">
        <v>12540.8</v>
      </c>
      <c r="N618">
        <v>0</v>
      </c>
      <c r="P618" t="s">
        <v>1280</v>
      </c>
      <c r="S618">
        <v>0</v>
      </c>
      <c r="T618" s="118">
        <v>47394</v>
      </c>
    </row>
    <row r="619" spans="1:21" hidden="1">
      <c r="A619" t="s">
        <v>511</v>
      </c>
      <c r="B619" t="s">
        <v>478</v>
      </c>
      <c r="C619" t="s">
        <v>516</v>
      </c>
      <c r="D619" t="s">
        <v>1468</v>
      </c>
      <c r="E619" t="s">
        <v>1469</v>
      </c>
      <c r="F619">
        <v>9842186.2599999998</v>
      </c>
      <c r="G619">
        <v>320686164</v>
      </c>
      <c r="H619" s="118">
        <v>45568</v>
      </c>
      <c r="I619">
        <v>54.071399999999997</v>
      </c>
      <c r="J619">
        <v>7.5</v>
      </c>
      <c r="K619">
        <v>5654499.1100000003</v>
      </c>
      <c r="L619">
        <v>738163.97</v>
      </c>
      <c r="M619">
        <v>-4916335.1399999997</v>
      </c>
      <c r="N619">
        <v>0</v>
      </c>
      <c r="P619" t="s">
        <v>1231</v>
      </c>
      <c r="S619">
        <v>0</v>
      </c>
      <c r="T619" s="118">
        <v>47394</v>
      </c>
    </row>
    <row r="620" spans="1:21" hidden="1">
      <c r="A620" t="s">
        <v>511</v>
      </c>
      <c r="B620" t="s">
        <v>478</v>
      </c>
      <c r="C620" t="s">
        <v>516</v>
      </c>
      <c r="D620" t="s">
        <v>1470</v>
      </c>
      <c r="E620" t="s">
        <v>1471</v>
      </c>
      <c r="F620">
        <v>10302425.439999999</v>
      </c>
      <c r="G620">
        <v>360557947</v>
      </c>
      <c r="H620" s="118">
        <v>46010</v>
      </c>
      <c r="I620">
        <v>99</v>
      </c>
      <c r="J620">
        <v>100</v>
      </c>
      <c r="K620">
        <v>10200221.43</v>
      </c>
      <c r="L620">
        <v>10302425.439999999</v>
      </c>
      <c r="M620">
        <v>102204.01</v>
      </c>
      <c r="N620">
        <v>0</v>
      </c>
      <c r="P620" t="s">
        <v>1472</v>
      </c>
      <c r="Q620" t="s">
        <v>170</v>
      </c>
      <c r="R620">
        <v>5535.79</v>
      </c>
      <c r="S620">
        <v>0</v>
      </c>
      <c r="T620" s="118">
        <v>47787</v>
      </c>
      <c r="U620" t="s">
        <v>1470</v>
      </c>
    </row>
    <row r="621" spans="1:21" hidden="1">
      <c r="A621" t="s">
        <v>511</v>
      </c>
      <c r="B621" t="s">
        <v>478</v>
      </c>
      <c r="C621" t="s">
        <v>516</v>
      </c>
      <c r="D621" t="s">
        <v>1473</v>
      </c>
      <c r="E621" t="s">
        <v>1474</v>
      </c>
      <c r="F621">
        <v>506.39</v>
      </c>
      <c r="G621">
        <v>350805573</v>
      </c>
      <c r="H621" s="118">
        <v>45869</v>
      </c>
      <c r="I621">
        <v>100</v>
      </c>
      <c r="J621">
        <v>121.5</v>
      </c>
      <c r="K621">
        <v>506.39</v>
      </c>
      <c r="L621">
        <v>615.26</v>
      </c>
      <c r="M621">
        <v>108.87</v>
      </c>
      <c r="N621">
        <v>0</v>
      </c>
      <c r="P621" t="s">
        <v>939</v>
      </c>
      <c r="Q621" t="s">
        <v>170</v>
      </c>
      <c r="R621">
        <v>0.27</v>
      </c>
      <c r="S621">
        <v>0</v>
      </c>
      <c r="T621" s="118">
        <v>47330</v>
      </c>
    </row>
    <row r="622" spans="1:21" hidden="1">
      <c r="A622" t="s">
        <v>511</v>
      </c>
      <c r="B622" t="s">
        <v>478</v>
      </c>
      <c r="C622" t="s">
        <v>516</v>
      </c>
      <c r="D622" t="s">
        <v>1473</v>
      </c>
      <c r="E622" t="s">
        <v>1474</v>
      </c>
      <c r="F622">
        <v>59621.87</v>
      </c>
      <c r="G622">
        <v>350805464</v>
      </c>
      <c r="H622" s="118">
        <v>45869</v>
      </c>
      <c r="I622">
        <v>97.0488</v>
      </c>
      <c r="J622">
        <v>121.5</v>
      </c>
      <c r="K622">
        <v>58022.080000000002</v>
      </c>
      <c r="L622">
        <v>72440.570000000007</v>
      </c>
      <c r="M622">
        <v>14418.49</v>
      </c>
      <c r="N622">
        <v>0</v>
      </c>
      <c r="P622" t="s">
        <v>1046</v>
      </c>
      <c r="Q622" t="s">
        <v>170</v>
      </c>
      <c r="R622">
        <v>31.83</v>
      </c>
      <c r="S622">
        <v>0</v>
      </c>
      <c r="T622" s="118">
        <v>47330</v>
      </c>
    </row>
    <row r="623" spans="1:21" hidden="1">
      <c r="A623" t="s">
        <v>511</v>
      </c>
      <c r="B623" t="s">
        <v>478</v>
      </c>
      <c r="C623" t="s">
        <v>516</v>
      </c>
      <c r="D623" t="s">
        <v>1475</v>
      </c>
      <c r="E623" t="s">
        <v>1476</v>
      </c>
      <c r="F623">
        <v>679.15</v>
      </c>
      <c r="G623">
        <v>350805452</v>
      </c>
      <c r="H623" s="118">
        <v>45869</v>
      </c>
      <c r="I623">
        <v>100</v>
      </c>
      <c r="J623">
        <v>121.5</v>
      </c>
      <c r="K623">
        <v>679.15</v>
      </c>
      <c r="L623">
        <v>825.17</v>
      </c>
      <c r="M623">
        <v>146.02000000000001</v>
      </c>
      <c r="N623">
        <v>0</v>
      </c>
      <c r="P623" t="s">
        <v>939</v>
      </c>
      <c r="Q623" t="s">
        <v>170</v>
      </c>
      <c r="R623">
        <v>0.36</v>
      </c>
      <c r="S623">
        <v>0</v>
      </c>
      <c r="T623" s="118">
        <v>47330</v>
      </c>
    </row>
    <row r="624" spans="1:21" hidden="1">
      <c r="A624" t="s">
        <v>511</v>
      </c>
      <c r="B624" t="s">
        <v>478</v>
      </c>
      <c r="C624" t="s">
        <v>516</v>
      </c>
      <c r="D624" t="s">
        <v>1475</v>
      </c>
      <c r="E624" t="s">
        <v>1476</v>
      </c>
      <c r="F624">
        <v>79966.080000000002</v>
      </c>
      <c r="G624">
        <v>350805451</v>
      </c>
      <c r="H624" s="118">
        <v>45869</v>
      </c>
      <c r="I624">
        <v>96.164699999999996</v>
      </c>
      <c r="J624">
        <v>121.5</v>
      </c>
      <c r="K624">
        <v>77184.710000000006</v>
      </c>
      <c r="L624">
        <v>97158.79</v>
      </c>
      <c r="M624">
        <v>19974.080000000002</v>
      </c>
      <c r="N624">
        <v>0</v>
      </c>
      <c r="P624" t="s">
        <v>1046</v>
      </c>
      <c r="Q624" t="s">
        <v>170</v>
      </c>
      <c r="R624">
        <v>42.69</v>
      </c>
      <c r="S624">
        <v>0</v>
      </c>
      <c r="T624" s="118">
        <v>47330</v>
      </c>
    </row>
    <row r="625" spans="1:20" hidden="1">
      <c r="A625" t="s">
        <v>511</v>
      </c>
      <c r="B625" t="s">
        <v>478</v>
      </c>
      <c r="C625" t="s">
        <v>513</v>
      </c>
      <c r="D625" t="s">
        <v>1477</v>
      </c>
      <c r="E625" t="s">
        <v>1478</v>
      </c>
      <c r="F625">
        <v>16766163.140000001</v>
      </c>
      <c r="G625">
        <v>361124593</v>
      </c>
      <c r="H625" s="118">
        <v>46017</v>
      </c>
      <c r="I625">
        <v>100</v>
      </c>
      <c r="J625">
        <v>100</v>
      </c>
      <c r="K625">
        <v>16766163.140000001</v>
      </c>
      <c r="L625">
        <v>16766163.140000001</v>
      </c>
      <c r="M625">
        <v>0</v>
      </c>
      <c r="N625">
        <v>0</v>
      </c>
      <c r="S625">
        <v>0</v>
      </c>
      <c r="T625" s="118">
        <v>406941</v>
      </c>
    </row>
    <row r="626" spans="1:20" hidden="1">
      <c r="A626" t="s">
        <v>511</v>
      </c>
      <c r="B626" t="s">
        <v>478</v>
      </c>
      <c r="C626" t="s">
        <v>513</v>
      </c>
      <c r="D626" t="s">
        <v>1477</v>
      </c>
      <c r="E626" t="s">
        <v>1478</v>
      </c>
      <c r="F626">
        <v>10163256.35</v>
      </c>
      <c r="G626">
        <v>363013202</v>
      </c>
      <c r="H626" s="118">
        <v>46038</v>
      </c>
      <c r="I626">
        <v>100</v>
      </c>
      <c r="J626">
        <v>100</v>
      </c>
      <c r="K626">
        <v>10163256.35</v>
      </c>
      <c r="L626">
        <v>10163256.35</v>
      </c>
      <c r="M626">
        <v>0</v>
      </c>
      <c r="N626">
        <v>0</v>
      </c>
      <c r="S626">
        <v>0</v>
      </c>
      <c r="T626" s="118">
        <v>406941</v>
      </c>
    </row>
    <row r="627" spans="1:20" hidden="1">
      <c r="A627" t="s">
        <v>511</v>
      </c>
      <c r="B627" t="s">
        <v>478</v>
      </c>
      <c r="C627" t="s">
        <v>513</v>
      </c>
      <c r="D627" t="s">
        <v>1477</v>
      </c>
      <c r="E627" t="s">
        <v>1478</v>
      </c>
      <c r="F627">
        <v>1952722.19</v>
      </c>
      <c r="G627">
        <v>363568330</v>
      </c>
      <c r="H627" s="118">
        <v>46043</v>
      </c>
      <c r="I627">
        <v>100</v>
      </c>
      <c r="J627">
        <v>100</v>
      </c>
      <c r="K627">
        <v>1952722.19</v>
      </c>
      <c r="L627">
        <v>1952722.19</v>
      </c>
      <c r="M627">
        <v>0</v>
      </c>
      <c r="N627">
        <v>0</v>
      </c>
      <c r="S627">
        <v>0</v>
      </c>
      <c r="T627" s="118">
        <v>406941</v>
      </c>
    </row>
    <row r="628" spans="1:20" hidden="1">
      <c r="A628" t="s">
        <v>511</v>
      </c>
      <c r="B628" t="s">
        <v>478</v>
      </c>
      <c r="C628" t="s">
        <v>513</v>
      </c>
      <c r="D628" t="s">
        <v>1477</v>
      </c>
      <c r="E628" t="s">
        <v>1478</v>
      </c>
      <c r="F628">
        <v>1648387.68</v>
      </c>
      <c r="G628">
        <v>364718155</v>
      </c>
      <c r="H628" s="118">
        <v>46052</v>
      </c>
      <c r="I628">
        <v>100</v>
      </c>
      <c r="J628">
        <v>100</v>
      </c>
      <c r="K628">
        <v>1648387.68</v>
      </c>
      <c r="L628">
        <v>1648387.68</v>
      </c>
      <c r="M628">
        <v>0</v>
      </c>
      <c r="N628">
        <v>0</v>
      </c>
      <c r="S628">
        <v>0</v>
      </c>
      <c r="T628" s="118">
        <v>406941</v>
      </c>
    </row>
    <row r="629" spans="1:20" hidden="1">
      <c r="A629" t="s">
        <v>511</v>
      </c>
      <c r="B629" t="s">
        <v>478</v>
      </c>
      <c r="C629" t="s">
        <v>539</v>
      </c>
      <c r="D629" s="129" t="s">
        <v>1479</v>
      </c>
      <c r="E629" t="s">
        <v>1480</v>
      </c>
      <c r="F629">
        <v>181494.66</v>
      </c>
      <c r="G629">
        <v>297364053</v>
      </c>
      <c r="H629" s="118">
        <v>45077</v>
      </c>
      <c r="I629">
        <v>11.24</v>
      </c>
      <c r="J629">
        <v>13.3294</v>
      </c>
      <c r="K629">
        <v>2040000</v>
      </c>
      <c r="L629">
        <v>2419210.66</v>
      </c>
      <c r="M629">
        <v>379210.66</v>
      </c>
      <c r="N629">
        <v>0</v>
      </c>
    </row>
    <row r="630" spans="1:20" hidden="1">
      <c r="A630" t="s">
        <v>511</v>
      </c>
      <c r="B630" t="s">
        <v>478</v>
      </c>
      <c r="C630" t="s">
        <v>539</v>
      </c>
      <c r="D630">
        <v>201199000</v>
      </c>
      <c r="E630" t="s">
        <v>1481</v>
      </c>
      <c r="F630">
        <v>540</v>
      </c>
      <c r="G630">
        <v>297363890</v>
      </c>
      <c r="H630" s="118">
        <v>43606</v>
      </c>
      <c r="I630">
        <v>0</v>
      </c>
      <c r="J630">
        <v>0</v>
      </c>
      <c r="K630">
        <v>0</v>
      </c>
      <c r="L630">
        <v>0</v>
      </c>
      <c r="M630">
        <v>0</v>
      </c>
      <c r="N630">
        <v>0</v>
      </c>
    </row>
    <row r="631" spans="1:20" hidden="1">
      <c r="A631" t="s">
        <v>511</v>
      </c>
      <c r="B631" t="s">
        <v>478</v>
      </c>
      <c r="C631" t="s">
        <v>539</v>
      </c>
      <c r="D631" t="s">
        <v>1482</v>
      </c>
      <c r="E631" t="s">
        <v>1483</v>
      </c>
      <c r="F631">
        <v>184049.08</v>
      </c>
      <c r="G631">
        <v>309871088</v>
      </c>
      <c r="H631" s="118">
        <v>45485</v>
      </c>
      <c r="I631">
        <v>3.26</v>
      </c>
      <c r="J631">
        <v>4.0738000000000003</v>
      </c>
      <c r="K631">
        <v>600000</v>
      </c>
      <c r="L631">
        <v>749774.74</v>
      </c>
      <c r="M631">
        <v>149774.74</v>
      </c>
      <c r="N631">
        <v>0</v>
      </c>
    </row>
    <row r="632" spans="1:20" hidden="1">
      <c r="A632" t="s">
        <v>511</v>
      </c>
      <c r="B632" t="s">
        <v>478</v>
      </c>
      <c r="C632" t="s">
        <v>539</v>
      </c>
      <c r="D632">
        <v>600532311</v>
      </c>
      <c r="E632" t="s">
        <v>1484</v>
      </c>
      <c r="F632">
        <v>22500</v>
      </c>
      <c r="G632">
        <v>297363879</v>
      </c>
      <c r="H632" s="118">
        <v>43355</v>
      </c>
      <c r="I632">
        <v>100</v>
      </c>
      <c r="J632">
        <v>87.1631</v>
      </c>
      <c r="K632">
        <v>2250000</v>
      </c>
      <c r="L632">
        <v>1961169.75</v>
      </c>
      <c r="M632">
        <v>-288830.25</v>
      </c>
      <c r="N632">
        <v>0</v>
      </c>
    </row>
    <row r="633" spans="1:20" hidden="1">
      <c r="A633" t="s">
        <v>511</v>
      </c>
      <c r="B633" t="s">
        <v>478</v>
      </c>
      <c r="C633" t="s">
        <v>539</v>
      </c>
      <c r="D633">
        <v>600532311</v>
      </c>
      <c r="E633" t="s">
        <v>1484</v>
      </c>
      <c r="F633">
        <v>3860</v>
      </c>
      <c r="G633">
        <v>297363984</v>
      </c>
      <c r="H633" s="118">
        <v>44629</v>
      </c>
      <c r="I633">
        <v>137.80779999999999</v>
      </c>
      <c r="J633">
        <v>87.1631</v>
      </c>
      <c r="K633">
        <v>531938</v>
      </c>
      <c r="L633">
        <v>336449.57</v>
      </c>
      <c r="M633">
        <v>-195488.43</v>
      </c>
      <c r="N633">
        <v>0</v>
      </c>
    </row>
    <row r="634" spans="1:20" hidden="1">
      <c r="A634" t="s">
        <v>511</v>
      </c>
      <c r="B634" t="s">
        <v>478</v>
      </c>
      <c r="C634" t="s">
        <v>539</v>
      </c>
      <c r="D634">
        <v>600532311</v>
      </c>
      <c r="E634" t="s">
        <v>1484</v>
      </c>
      <c r="F634">
        <v>1418</v>
      </c>
      <c r="G634">
        <v>297364040</v>
      </c>
      <c r="H634" s="118">
        <v>45013</v>
      </c>
      <c r="I634">
        <v>164.04</v>
      </c>
      <c r="J634">
        <v>87.1631</v>
      </c>
      <c r="K634">
        <v>232608.72</v>
      </c>
      <c r="L634">
        <v>123597.28</v>
      </c>
      <c r="M634">
        <v>-109011.44</v>
      </c>
      <c r="N634">
        <v>0</v>
      </c>
    </row>
    <row r="635" spans="1:20" hidden="1">
      <c r="A635" t="s">
        <v>511</v>
      </c>
      <c r="B635" t="s">
        <v>478</v>
      </c>
      <c r="C635" t="s">
        <v>539</v>
      </c>
      <c r="D635" t="s">
        <v>1485</v>
      </c>
      <c r="E635" t="s">
        <v>1486</v>
      </c>
      <c r="F635">
        <v>840000</v>
      </c>
      <c r="G635">
        <v>313295519</v>
      </c>
      <c r="H635" s="118">
        <v>45520</v>
      </c>
      <c r="I635">
        <v>2</v>
      </c>
      <c r="J635">
        <v>2.2509000000000001</v>
      </c>
      <c r="K635">
        <v>1680000</v>
      </c>
      <c r="L635">
        <v>1890756</v>
      </c>
      <c r="M635">
        <v>210756</v>
      </c>
      <c r="N635">
        <v>0</v>
      </c>
    </row>
    <row r="636" spans="1:20" hidden="1">
      <c r="A636" t="s">
        <v>511</v>
      </c>
      <c r="B636" t="s">
        <v>478</v>
      </c>
      <c r="C636" t="s">
        <v>539</v>
      </c>
      <c r="D636" t="s">
        <v>1487</v>
      </c>
      <c r="E636" t="s">
        <v>1488</v>
      </c>
      <c r="F636">
        <v>289700</v>
      </c>
      <c r="G636">
        <v>328564563</v>
      </c>
      <c r="H636" s="118">
        <v>45673</v>
      </c>
      <c r="I636">
        <v>1</v>
      </c>
      <c r="J636">
        <v>1.3985000000000001</v>
      </c>
      <c r="K636">
        <v>289700</v>
      </c>
      <c r="L636">
        <v>405145.45</v>
      </c>
      <c r="M636">
        <v>115445.45</v>
      </c>
      <c r="N636">
        <v>0</v>
      </c>
    </row>
    <row r="637" spans="1:20" hidden="1">
      <c r="A637" t="s">
        <v>511</v>
      </c>
      <c r="B637" t="s">
        <v>478</v>
      </c>
      <c r="C637" t="s">
        <v>539</v>
      </c>
      <c r="D637" t="s">
        <v>1489</v>
      </c>
      <c r="E637" t="s">
        <v>1490</v>
      </c>
      <c r="F637">
        <v>553591.6</v>
      </c>
      <c r="G637">
        <v>354586314</v>
      </c>
      <c r="H637" s="118">
        <v>45931</v>
      </c>
      <c r="I637">
        <v>1</v>
      </c>
      <c r="J637">
        <v>1.05</v>
      </c>
      <c r="K637">
        <v>553591.6</v>
      </c>
      <c r="L637">
        <v>581271.18000000005</v>
      </c>
      <c r="M637">
        <v>27679.58</v>
      </c>
      <c r="N637">
        <v>0</v>
      </c>
    </row>
    <row r="638" spans="1:20" hidden="1">
      <c r="A638" t="s">
        <v>511</v>
      </c>
      <c r="B638" t="s">
        <v>478</v>
      </c>
      <c r="C638" t="s">
        <v>539</v>
      </c>
      <c r="D638">
        <v>868885000</v>
      </c>
      <c r="E638" t="s">
        <v>1491</v>
      </c>
      <c r="F638">
        <v>23600</v>
      </c>
      <c r="G638">
        <v>297363871</v>
      </c>
      <c r="H638" s="118">
        <v>42054</v>
      </c>
      <c r="I638">
        <v>100</v>
      </c>
      <c r="J638">
        <v>0</v>
      </c>
      <c r="K638">
        <v>2360000</v>
      </c>
      <c r="L638">
        <v>0</v>
      </c>
      <c r="M638">
        <v>-2360000</v>
      </c>
      <c r="N638">
        <v>0</v>
      </c>
    </row>
    <row r="639" spans="1:20" hidden="1">
      <c r="A639" t="s">
        <v>511</v>
      </c>
      <c r="B639" t="s">
        <v>478</v>
      </c>
      <c r="C639" t="s">
        <v>539</v>
      </c>
      <c r="D639">
        <v>868885000</v>
      </c>
      <c r="E639" t="s">
        <v>1491</v>
      </c>
      <c r="F639">
        <v>781.93</v>
      </c>
      <c r="G639">
        <v>297363872</v>
      </c>
      <c r="H639" s="118">
        <v>42704</v>
      </c>
      <c r="I639">
        <v>203.2269</v>
      </c>
      <c r="J639">
        <v>0</v>
      </c>
      <c r="K639">
        <v>158909.18</v>
      </c>
      <c r="L639">
        <v>0</v>
      </c>
      <c r="M639">
        <v>-158909.18</v>
      </c>
      <c r="N639">
        <v>0</v>
      </c>
    </row>
    <row r="640" spans="1:20" hidden="1">
      <c r="A640" t="s">
        <v>511</v>
      </c>
      <c r="B640" t="s">
        <v>478</v>
      </c>
      <c r="C640" t="s">
        <v>539</v>
      </c>
      <c r="D640">
        <v>868885000</v>
      </c>
      <c r="E640" t="s">
        <v>1491</v>
      </c>
      <c r="F640">
        <v>9519.1779999999999</v>
      </c>
      <c r="G640">
        <v>297363875</v>
      </c>
      <c r="H640" s="118">
        <v>43193</v>
      </c>
      <c r="I640">
        <v>35</v>
      </c>
      <c r="J640">
        <v>0</v>
      </c>
      <c r="K640">
        <v>333171.24</v>
      </c>
      <c r="L640">
        <v>0</v>
      </c>
      <c r="M640">
        <v>-333171.24</v>
      </c>
      <c r="N640">
        <v>0</v>
      </c>
    </row>
    <row r="641" spans="1:14" hidden="1">
      <c r="A641" t="s">
        <v>511</v>
      </c>
      <c r="B641" t="s">
        <v>478</v>
      </c>
      <c r="C641" t="s">
        <v>539</v>
      </c>
      <c r="D641">
        <v>868885000</v>
      </c>
      <c r="E641" t="s">
        <v>1491</v>
      </c>
      <c r="F641">
        <v>7410445.4000000004</v>
      </c>
      <c r="G641">
        <v>297364003</v>
      </c>
      <c r="H641" s="118">
        <v>44708</v>
      </c>
      <c r="I641">
        <v>0</v>
      </c>
      <c r="J641">
        <v>0</v>
      </c>
      <c r="K641">
        <v>0</v>
      </c>
      <c r="L641">
        <v>0</v>
      </c>
      <c r="M641">
        <v>0</v>
      </c>
      <c r="N641">
        <v>0</v>
      </c>
    </row>
    <row r="642" spans="1:14" hidden="1">
      <c r="A642" t="s">
        <v>511</v>
      </c>
      <c r="B642" t="s">
        <v>478</v>
      </c>
      <c r="C642" t="s">
        <v>539</v>
      </c>
      <c r="D642" t="s">
        <v>1492</v>
      </c>
      <c r="E642" t="s">
        <v>1493</v>
      </c>
      <c r="F642">
        <v>489789.06</v>
      </c>
      <c r="G642">
        <v>345328890</v>
      </c>
      <c r="H642" s="118">
        <v>45854</v>
      </c>
      <c r="I642">
        <v>1</v>
      </c>
      <c r="J642">
        <v>0.96</v>
      </c>
      <c r="K642">
        <v>489789.06</v>
      </c>
      <c r="L642">
        <v>470197.5</v>
      </c>
      <c r="M642">
        <v>-19591.560000000001</v>
      </c>
      <c r="N642">
        <v>0</v>
      </c>
    </row>
    <row r="643" spans="1:14" hidden="1">
      <c r="A643" t="s">
        <v>511</v>
      </c>
      <c r="B643" t="s">
        <v>478</v>
      </c>
      <c r="C643" t="s">
        <v>539</v>
      </c>
      <c r="D643" t="s">
        <v>1494</v>
      </c>
      <c r="E643" t="s">
        <v>1495</v>
      </c>
      <c r="F643">
        <v>287.24700000000001</v>
      </c>
      <c r="G643">
        <v>360414130</v>
      </c>
      <c r="H643" s="118">
        <v>46007</v>
      </c>
      <c r="I643">
        <v>0</v>
      </c>
      <c r="J643">
        <v>0</v>
      </c>
      <c r="K643">
        <v>0</v>
      </c>
      <c r="L643">
        <v>0</v>
      </c>
      <c r="M643">
        <v>0</v>
      </c>
      <c r="N643">
        <v>0</v>
      </c>
    </row>
    <row r="644" spans="1:14" hidden="1">
      <c r="A644" t="s">
        <v>511</v>
      </c>
      <c r="B644" t="s">
        <v>478</v>
      </c>
      <c r="C644" t="s">
        <v>539</v>
      </c>
      <c r="D644" t="s">
        <v>1496</v>
      </c>
      <c r="E644" t="s">
        <v>1497</v>
      </c>
      <c r="F644">
        <v>813376.43</v>
      </c>
      <c r="G644">
        <v>346269096</v>
      </c>
      <c r="H644" s="118">
        <v>45869</v>
      </c>
      <c r="I644">
        <v>1</v>
      </c>
      <c r="J644">
        <v>0.97</v>
      </c>
      <c r="K644">
        <v>813376.43</v>
      </c>
      <c r="L644">
        <v>788975.14</v>
      </c>
      <c r="M644">
        <v>-24401.29</v>
      </c>
      <c r="N644">
        <v>0</v>
      </c>
    </row>
    <row r="645" spans="1:14" hidden="1">
      <c r="A645" t="s">
        <v>511</v>
      </c>
      <c r="B645" t="s">
        <v>478</v>
      </c>
      <c r="C645" t="s">
        <v>539</v>
      </c>
      <c r="D645" t="s">
        <v>1498</v>
      </c>
      <c r="E645" t="s">
        <v>1499</v>
      </c>
      <c r="F645">
        <v>173570.93</v>
      </c>
      <c r="G645">
        <v>363242773</v>
      </c>
      <c r="H645" s="118">
        <v>46038</v>
      </c>
      <c r="I645">
        <v>1.49</v>
      </c>
      <c r="J645">
        <v>1.49</v>
      </c>
      <c r="K645">
        <v>258620.69</v>
      </c>
      <c r="L645">
        <v>258620.69</v>
      </c>
      <c r="M645">
        <v>0</v>
      </c>
      <c r="N645">
        <v>0</v>
      </c>
    </row>
    <row r="646" spans="1:14" hidden="1">
      <c r="A646" t="s">
        <v>511</v>
      </c>
      <c r="B646" t="s">
        <v>478</v>
      </c>
      <c r="C646" t="s">
        <v>539</v>
      </c>
      <c r="D646" t="s">
        <v>1500</v>
      </c>
      <c r="E646" t="s">
        <v>1501</v>
      </c>
      <c r="F646">
        <v>105311.23</v>
      </c>
      <c r="G646">
        <v>363061713</v>
      </c>
      <c r="H646" s="118">
        <v>46036</v>
      </c>
      <c r="I646">
        <v>1</v>
      </c>
      <c r="J646">
        <v>1</v>
      </c>
      <c r="K646">
        <v>105311.23</v>
      </c>
      <c r="L646">
        <v>105311.23</v>
      </c>
      <c r="M646">
        <v>0</v>
      </c>
      <c r="N646">
        <v>0</v>
      </c>
    </row>
    <row r="647" spans="1:14" hidden="1">
      <c r="A647" t="s">
        <v>511</v>
      </c>
      <c r="B647" t="s">
        <v>478</v>
      </c>
      <c r="C647" t="s">
        <v>539</v>
      </c>
      <c r="D647" t="s">
        <v>1502</v>
      </c>
      <c r="E647" t="s">
        <v>1503</v>
      </c>
      <c r="F647">
        <v>40941.81</v>
      </c>
      <c r="G647">
        <v>363061714</v>
      </c>
      <c r="H647" s="118">
        <v>46036</v>
      </c>
      <c r="I647">
        <v>1</v>
      </c>
      <c r="J647">
        <v>1</v>
      </c>
      <c r="K647">
        <v>40941.81</v>
      </c>
      <c r="L647">
        <v>40941.81</v>
      </c>
      <c r="M647">
        <v>0</v>
      </c>
      <c r="N647">
        <v>0</v>
      </c>
    </row>
    <row r="648" spans="1:14" hidden="1">
      <c r="A648" t="s">
        <v>511</v>
      </c>
      <c r="B648" t="s">
        <v>478</v>
      </c>
      <c r="C648" t="s">
        <v>539</v>
      </c>
      <c r="D648" t="s">
        <v>1504</v>
      </c>
      <c r="E648" t="s">
        <v>1505</v>
      </c>
      <c r="F648">
        <v>1429480.2</v>
      </c>
      <c r="G648">
        <v>297364076</v>
      </c>
      <c r="H648" s="118">
        <v>45215</v>
      </c>
      <c r="I648">
        <v>1</v>
      </c>
      <c r="J648">
        <v>1.9692000000000001</v>
      </c>
      <c r="K648">
        <v>1429480.2</v>
      </c>
      <c r="L648">
        <v>2814949.63</v>
      </c>
      <c r="M648">
        <v>1385469.43</v>
      </c>
      <c r="N648">
        <v>0</v>
      </c>
    </row>
    <row r="649" spans="1:14" hidden="1">
      <c r="A649" t="s">
        <v>511</v>
      </c>
      <c r="B649" t="s">
        <v>478</v>
      </c>
      <c r="C649" t="s">
        <v>539</v>
      </c>
      <c r="D649" t="s">
        <v>1506</v>
      </c>
      <c r="E649" t="s">
        <v>1507</v>
      </c>
      <c r="F649">
        <v>655714.28</v>
      </c>
      <c r="G649">
        <v>297364037</v>
      </c>
      <c r="H649" s="118">
        <v>44978</v>
      </c>
      <c r="I649">
        <v>1</v>
      </c>
      <c r="J649">
        <v>0</v>
      </c>
      <c r="K649">
        <v>655714.28</v>
      </c>
      <c r="L649">
        <v>0</v>
      </c>
      <c r="M649">
        <v>-655714.28</v>
      </c>
      <c r="N649">
        <v>0</v>
      </c>
    </row>
    <row r="650" spans="1:14" hidden="1">
      <c r="A650" t="s">
        <v>511</v>
      </c>
      <c r="B650" t="s">
        <v>478</v>
      </c>
      <c r="C650" t="s">
        <v>539</v>
      </c>
      <c r="D650" t="s">
        <v>1508</v>
      </c>
      <c r="E650" t="s">
        <v>1509</v>
      </c>
      <c r="F650">
        <v>1855.35</v>
      </c>
      <c r="G650">
        <v>297363930</v>
      </c>
      <c r="H650" s="118">
        <v>44327</v>
      </c>
      <c r="I650">
        <v>436.29939999999999</v>
      </c>
      <c r="J650">
        <v>266.97149999999999</v>
      </c>
      <c r="K650">
        <v>809488</v>
      </c>
      <c r="L650">
        <v>495325.56</v>
      </c>
      <c r="M650">
        <v>-314162.44</v>
      </c>
      <c r="N650">
        <v>0</v>
      </c>
    </row>
    <row r="651" spans="1:14" hidden="1">
      <c r="A651" t="s">
        <v>511</v>
      </c>
      <c r="B651" t="s">
        <v>478</v>
      </c>
      <c r="C651" t="s">
        <v>539</v>
      </c>
      <c r="D651" t="s">
        <v>1508</v>
      </c>
      <c r="E651" t="s">
        <v>1509</v>
      </c>
      <c r="F651">
        <v>334.20299999999997</v>
      </c>
      <c r="G651">
        <v>297363960</v>
      </c>
      <c r="H651" s="118">
        <v>44547</v>
      </c>
      <c r="I651">
        <v>333.84949999999998</v>
      </c>
      <c r="J651">
        <v>266.97149999999999</v>
      </c>
      <c r="K651">
        <v>111573.51</v>
      </c>
      <c r="L651">
        <v>89222.67</v>
      </c>
      <c r="M651">
        <v>-22350.84</v>
      </c>
      <c r="N651">
        <v>0</v>
      </c>
    </row>
    <row r="652" spans="1:14" hidden="1">
      <c r="A652" t="s">
        <v>511</v>
      </c>
      <c r="B652" t="s">
        <v>478</v>
      </c>
      <c r="C652" t="s">
        <v>539</v>
      </c>
      <c r="D652" t="s">
        <v>1508</v>
      </c>
      <c r="E652" t="s">
        <v>1509</v>
      </c>
      <c r="F652">
        <v>244.10400000000001</v>
      </c>
      <c r="G652">
        <v>297363968</v>
      </c>
      <c r="H652" s="118">
        <v>44551</v>
      </c>
      <c r="I652">
        <v>333.85</v>
      </c>
      <c r="J652">
        <v>266.97149999999999</v>
      </c>
      <c r="K652">
        <v>81494.13</v>
      </c>
      <c r="L652">
        <v>65168.81</v>
      </c>
      <c r="M652">
        <v>-16325.32</v>
      </c>
      <c r="N652">
        <v>0</v>
      </c>
    </row>
    <row r="653" spans="1:14" hidden="1">
      <c r="A653" t="s">
        <v>511</v>
      </c>
      <c r="B653" t="s">
        <v>478</v>
      </c>
      <c r="C653" t="s">
        <v>539</v>
      </c>
      <c r="D653" t="s">
        <v>1510</v>
      </c>
      <c r="E653" t="s">
        <v>1511</v>
      </c>
      <c r="F653">
        <v>750399.36</v>
      </c>
      <c r="G653">
        <v>297364056</v>
      </c>
      <c r="H653" s="118">
        <v>45085</v>
      </c>
      <c r="I653">
        <v>1</v>
      </c>
      <c r="J653">
        <v>2.5399999999999999E-2</v>
      </c>
      <c r="K653">
        <v>750399.36</v>
      </c>
      <c r="L653">
        <v>19062.98</v>
      </c>
      <c r="M653">
        <v>-731336.38</v>
      </c>
      <c r="N653">
        <v>0</v>
      </c>
    </row>
    <row r="654" spans="1:14" hidden="1">
      <c r="A654" t="s">
        <v>511</v>
      </c>
      <c r="B654" t="s">
        <v>478</v>
      </c>
      <c r="C654" t="s">
        <v>539</v>
      </c>
      <c r="D654" t="s">
        <v>1512</v>
      </c>
      <c r="E654" t="s">
        <v>1513</v>
      </c>
      <c r="F654">
        <v>273207</v>
      </c>
      <c r="G654">
        <v>297363936</v>
      </c>
      <c r="H654" s="118">
        <v>44385</v>
      </c>
      <c r="I654">
        <v>2.3117000000000001</v>
      </c>
      <c r="J654">
        <v>1.0192000000000001</v>
      </c>
      <c r="K654">
        <v>631576</v>
      </c>
      <c r="L654">
        <v>278446.68</v>
      </c>
      <c r="M654">
        <v>-353129.32</v>
      </c>
      <c r="N654">
        <v>0</v>
      </c>
    </row>
    <row r="655" spans="1:14" hidden="1">
      <c r="A655" t="s">
        <v>511</v>
      </c>
      <c r="B655" t="s">
        <v>478</v>
      </c>
      <c r="C655" t="s">
        <v>539</v>
      </c>
      <c r="D655" t="s">
        <v>1514</v>
      </c>
      <c r="E655" t="s">
        <v>1515</v>
      </c>
      <c r="F655">
        <v>12618.56</v>
      </c>
      <c r="G655">
        <v>297364007</v>
      </c>
      <c r="H655" s="118">
        <v>44761</v>
      </c>
      <c r="I655">
        <v>100</v>
      </c>
      <c r="J655">
        <v>97.82</v>
      </c>
      <c r="K655">
        <v>1261855.67</v>
      </c>
      <c r="L655">
        <v>1234347.54</v>
      </c>
      <c r="M655">
        <v>-27508.13</v>
      </c>
      <c r="N655">
        <v>0</v>
      </c>
    </row>
    <row r="656" spans="1:14" hidden="1">
      <c r="A656" t="s">
        <v>511</v>
      </c>
      <c r="B656" t="s">
        <v>478</v>
      </c>
      <c r="C656" t="s">
        <v>539</v>
      </c>
      <c r="D656" t="s">
        <v>1514</v>
      </c>
      <c r="E656" t="s">
        <v>1515</v>
      </c>
      <c r="F656">
        <v>6641.35</v>
      </c>
      <c r="G656">
        <v>297364013</v>
      </c>
      <c r="H656" s="118">
        <v>44804</v>
      </c>
      <c r="I656">
        <v>100.5992</v>
      </c>
      <c r="J656">
        <v>97.82</v>
      </c>
      <c r="K656">
        <v>668114.75</v>
      </c>
      <c r="L656">
        <v>649656.86</v>
      </c>
      <c r="M656">
        <v>-18457.89</v>
      </c>
      <c r="N656">
        <v>0</v>
      </c>
    </row>
    <row r="657" spans="1:14" hidden="1">
      <c r="A657" t="s">
        <v>511</v>
      </c>
      <c r="B657" t="s">
        <v>478</v>
      </c>
      <c r="C657" t="s">
        <v>539</v>
      </c>
      <c r="D657" t="s">
        <v>1516</v>
      </c>
      <c r="E657" t="s">
        <v>1517</v>
      </c>
      <c r="F657">
        <v>11651.65</v>
      </c>
      <c r="G657">
        <v>297364022</v>
      </c>
      <c r="H657" s="118">
        <v>44867</v>
      </c>
      <c r="I657">
        <v>100</v>
      </c>
      <c r="J657">
        <v>97.82</v>
      </c>
      <c r="K657">
        <v>1165165</v>
      </c>
      <c r="L657">
        <v>1139764.3999999999</v>
      </c>
      <c r="M657">
        <v>-25400.6</v>
      </c>
      <c r="N657">
        <v>0</v>
      </c>
    </row>
    <row r="658" spans="1:14" hidden="1">
      <c r="A658" t="s">
        <v>511</v>
      </c>
      <c r="B658" t="s">
        <v>478</v>
      </c>
      <c r="C658" t="s">
        <v>539</v>
      </c>
      <c r="D658" t="s">
        <v>1516</v>
      </c>
      <c r="E658" t="s">
        <v>1517</v>
      </c>
      <c r="F658">
        <v>81.03</v>
      </c>
      <c r="G658">
        <v>297364023</v>
      </c>
      <c r="H658" s="118">
        <v>44883</v>
      </c>
      <c r="I658">
        <v>99.994100000000003</v>
      </c>
      <c r="J658">
        <v>97.82</v>
      </c>
      <c r="K658">
        <v>8102.52</v>
      </c>
      <c r="L658">
        <v>7926.35</v>
      </c>
      <c r="M658">
        <v>-176.17</v>
      </c>
      <c r="N658">
        <v>0</v>
      </c>
    </row>
    <row r="659" spans="1:14" hidden="1">
      <c r="A659" t="s">
        <v>511</v>
      </c>
      <c r="B659" t="s">
        <v>478</v>
      </c>
      <c r="C659" t="s">
        <v>539</v>
      </c>
      <c r="D659" t="s">
        <v>1516</v>
      </c>
      <c r="E659" t="s">
        <v>1517</v>
      </c>
      <c r="F659">
        <v>907.58</v>
      </c>
      <c r="G659">
        <v>330407396</v>
      </c>
      <c r="H659" s="118">
        <v>45691</v>
      </c>
      <c r="I659">
        <v>146.22460000000001</v>
      </c>
      <c r="J659">
        <v>97.82</v>
      </c>
      <c r="K659">
        <v>132710.51</v>
      </c>
      <c r="L659">
        <v>88779.48</v>
      </c>
      <c r="M659">
        <v>-43931.03</v>
      </c>
      <c r="N659">
        <v>0</v>
      </c>
    </row>
    <row r="660" spans="1:14" hidden="1">
      <c r="A660" t="s">
        <v>511</v>
      </c>
      <c r="B660" t="s">
        <v>478</v>
      </c>
      <c r="C660" t="s">
        <v>539</v>
      </c>
      <c r="D660" t="s">
        <v>1516</v>
      </c>
      <c r="E660" t="s">
        <v>1517</v>
      </c>
      <c r="F660">
        <v>4.2</v>
      </c>
      <c r="G660">
        <v>332905508</v>
      </c>
      <c r="H660" s="118">
        <v>45720</v>
      </c>
      <c r="I660">
        <v>131.90479999999999</v>
      </c>
      <c r="J660">
        <v>97.82</v>
      </c>
      <c r="K660">
        <v>554</v>
      </c>
      <c r="L660">
        <v>410.84</v>
      </c>
      <c r="M660">
        <v>-143.16</v>
      </c>
      <c r="N660">
        <v>0</v>
      </c>
    </row>
    <row r="661" spans="1:14" hidden="1">
      <c r="A661" t="s">
        <v>511</v>
      </c>
      <c r="B661" t="s">
        <v>478</v>
      </c>
      <c r="C661" t="s">
        <v>539</v>
      </c>
      <c r="D661" t="s">
        <v>1518</v>
      </c>
      <c r="E661" t="s">
        <v>1519</v>
      </c>
      <c r="F661">
        <v>680</v>
      </c>
      <c r="G661">
        <v>297364006</v>
      </c>
      <c r="H661" s="118">
        <v>44763</v>
      </c>
      <c r="I661">
        <v>1000</v>
      </c>
      <c r="J661">
        <v>1078.1600000000001</v>
      </c>
      <c r="K661">
        <v>680000</v>
      </c>
      <c r="L661">
        <v>733148.8</v>
      </c>
      <c r="M661">
        <v>53148.800000000003</v>
      </c>
      <c r="N661">
        <v>0</v>
      </c>
    </row>
    <row r="662" spans="1:14" hidden="1">
      <c r="A662" t="s">
        <v>511</v>
      </c>
      <c r="B662" t="s">
        <v>478</v>
      </c>
      <c r="C662" t="s">
        <v>539</v>
      </c>
      <c r="D662" t="s">
        <v>1518</v>
      </c>
      <c r="E662" t="s">
        <v>1519</v>
      </c>
      <c r="F662">
        <v>84.32</v>
      </c>
      <c r="G662">
        <v>312851472</v>
      </c>
      <c r="H662" s="118">
        <v>45513</v>
      </c>
      <c r="I662">
        <v>1150</v>
      </c>
      <c r="J662">
        <v>1078.1600000000001</v>
      </c>
      <c r="K662">
        <v>96968</v>
      </c>
      <c r="L662">
        <v>90910.45</v>
      </c>
      <c r="M662">
        <v>-6057.55</v>
      </c>
      <c r="N662">
        <v>0</v>
      </c>
    </row>
    <row r="663" spans="1:14" hidden="1">
      <c r="A663" t="s">
        <v>511</v>
      </c>
      <c r="B663" t="s">
        <v>478</v>
      </c>
      <c r="C663" t="s">
        <v>539</v>
      </c>
      <c r="D663" t="s">
        <v>1520</v>
      </c>
      <c r="E663" t="s">
        <v>1521</v>
      </c>
      <c r="F663">
        <v>24192</v>
      </c>
      <c r="G663">
        <v>297364009</v>
      </c>
      <c r="H663" s="118">
        <v>44770</v>
      </c>
      <c r="I663">
        <v>100</v>
      </c>
      <c r="J663">
        <v>133.53360000000001</v>
      </c>
      <c r="K663">
        <v>2419200</v>
      </c>
      <c r="L663">
        <v>3230444.01</v>
      </c>
      <c r="M663">
        <v>811244.01</v>
      </c>
      <c r="N663">
        <v>0</v>
      </c>
    </row>
    <row r="664" spans="1:14" hidden="1">
      <c r="A664" t="s">
        <v>511</v>
      </c>
      <c r="B664" t="s">
        <v>478</v>
      </c>
      <c r="C664" t="s">
        <v>539</v>
      </c>
      <c r="D664" t="s">
        <v>1520</v>
      </c>
      <c r="E664" t="s">
        <v>1521</v>
      </c>
      <c r="F664">
        <v>705.77</v>
      </c>
      <c r="G664">
        <v>297364025</v>
      </c>
      <c r="H664" s="118">
        <v>44893</v>
      </c>
      <c r="I664">
        <v>100.0005</v>
      </c>
      <c r="J664">
        <v>133.53360000000001</v>
      </c>
      <c r="K664">
        <v>70577.36</v>
      </c>
      <c r="L664">
        <v>94243.98</v>
      </c>
      <c r="M664">
        <v>23666.62</v>
      </c>
      <c r="N664">
        <v>0</v>
      </c>
    </row>
    <row r="665" spans="1:14" hidden="1">
      <c r="A665" t="s">
        <v>511</v>
      </c>
      <c r="B665" t="s">
        <v>478</v>
      </c>
      <c r="C665" t="s">
        <v>539</v>
      </c>
      <c r="D665" t="s">
        <v>1522</v>
      </c>
      <c r="E665" t="s">
        <v>1523</v>
      </c>
      <c r="F665">
        <v>8099.0460000000003</v>
      </c>
      <c r="G665">
        <v>297363942</v>
      </c>
      <c r="H665" s="118">
        <v>44434</v>
      </c>
      <c r="I665">
        <v>28.855499999999999</v>
      </c>
      <c r="J665">
        <v>138.36580000000001</v>
      </c>
      <c r="K665">
        <v>233701.76000000001</v>
      </c>
      <c r="L665">
        <v>1120630.67</v>
      </c>
      <c r="M665">
        <v>886928.91</v>
      </c>
      <c r="N665">
        <v>0</v>
      </c>
    </row>
    <row r="666" spans="1:14" hidden="1">
      <c r="A666" t="s">
        <v>511</v>
      </c>
      <c r="B666" t="s">
        <v>478</v>
      </c>
      <c r="C666" t="s">
        <v>539</v>
      </c>
      <c r="D666" t="s">
        <v>1522</v>
      </c>
      <c r="E666" t="s">
        <v>1523</v>
      </c>
      <c r="F666">
        <v>6087.22</v>
      </c>
      <c r="G666">
        <v>297363967</v>
      </c>
      <c r="H666" s="118">
        <v>44552</v>
      </c>
      <c r="I666">
        <v>28.855499999999999</v>
      </c>
      <c r="J666">
        <v>138.36580000000001</v>
      </c>
      <c r="K666">
        <v>175649.52</v>
      </c>
      <c r="L666">
        <v>842262.83</v>
      </c>
      <c r="M666">
        <v>666613.31000000006</v>
      </c>
      <c r="N666">
        <v>0</v>
      </c>
    </row>
    <row r="667" spans="1:14" hidden="1">
      <c r="A667" t="s">
        <v>511</v>
      </c>
      <c r="B667" t="s">
        <v>478</v>
      </c>
      <c r="C667" t="s">
        <v>539</v>
      </c>
      <c r="D667" t="s">
        <v>1522</v>
      </c>
      <c r="E667" t="s">
        <v>1523</v>
      </c>
      <c r="F667">
        <v>391.63</v>
      </c>
      <c r="G667">
        <v>297364060</v>
      </c>
      <c r="H667" s="118">
        <v>45091</v>
      </c>
      <c r="I667">
        <v>108.9816</v>
      </c>
      <c r="J667">
        <v>138.36580000000001</v>
      </c>
      <c r="K667">
        <v>42680.47</v>
      </c>
      <c r="L667">
        <v>54188.18</v>
      </c>
      <c r="M667">
        <v>11507.71</v>
      </c>
      <c r="N667">
        <v>0</v>
      </c>
    </row>
    <row r="668" spans="1:14" hidden="1">
      <c r="A668" t="s">
        <v>511</v>
      </c>
      <c r="B668" t="s">
        <v>478</v>
      </c>
      <c r="C668" t="s">
        <v>539</v>
      </c>
      <c r="D668" t="s">
        <v>1522</v>
      </c>
      <c r="E668" t="s">
        <v>1523</v>
      </c>
      <c r="F668">
        <v>676.80899999999997</v>
      </c>
      <c r="G668">
        <v>321177263</v>
      </c>
      <c r="H668" s="118">
        <v>45601</v>
      </c>
      <c r="I668">
        <v>137.58000000000001</v>
      </c>
      <c r="J668">
        <v>138.36580000000001</v>
      </c>
      <c r="K668">
        <v>93115.38</v>
      </c>
      <c r="L668">
        <v>93647.19</v>
      </c>
      <c r="M668">
        <v>531.80999999999995</v>
      </c>
      <c r="N668">
        <v>0</v>
      </c>
    </row>
    <row r="669" spans="1:14" hidden="1">
      <c r="A669" t="s">
        <v>511</v>
      </c>
      <c r="B669" t="s">
        <v>478</v>
      </c>
      <c r="C669" t="s">
        <v>539</v>
      </c>
      <c r="D669" t="s">
        <v>1524</v>
      </c>
      <c r="E669" t="s">
        <v>1525</v>
      </c>
      <c r="F669">
        <v>438.29</v>
      </c>
      <c r="G669">
        <v>297363943</v>
      </c>
      <c r="H669" s="118">
        <v>44434</v>
      </c>
      <c r="I669">
        <v>35.9878</v>
      </c>
      <c r="J669">
        <v>138.36580000000001</v>
      </c>
      <c r="K669">
        <v>15773.1</v>
      </c>
      <c r="L669">
        <v>60644.33</v>
      </c>
      <c r="M669">
        <v>44871.23</v>
      </c>
      <c r="N669">
        <v>0</v>
      </c>
    </row>
    <row r="670" spans="1:14" hidden="1">
      <c r="A670" t="s">
        <v>511</v>
      </c>
      <c r="B670" t="s">
        <v>478</v>
      </c>
      <c r="C670" t="s">
        <v>539</v>
      </c>
      <c r="D670" t="s">
        <v>1524</v>
      </c>
      <c r="E670" t="s">
        <v>1525</v>
      </c>
      <c r="F670">
        <v>2027.71</v>
      </c>
      <c r="G670">
        <v>297363977</v>
      </c>
      <c r="H670" s="118">
        <v>44572</v>
      </c>
      <c r="I670">
        <v>35.987900000000003</v>
      </c>
      <c r="J670">
        <v>138.36580000000001</v>
      </c>
      <c r="K670">
        <v>72973</v>
      </c>
      <c r="L670">
        <v>280565.64</v>
      </c>
      <c r="M670">
        <v>207592.64</v>
      </c>
      <c r="N670">
        <v>0</v>
      </c>
    </row>
    <row r="671" spans="1:14" hidden="1">
      <c r="A671" t="s">
        <v>511</v>
      </c>
      <c r="B671" t="s">
        <v>478</v>
      </c>
      <c r="C671" t="s">
        <v>539</v>
      </c>
      <c r="D671" t="s">
        <v>1526</v>
      </c>
      <c r="E671" t="s">
        <v>1527</v>
      </c>
      <c r="F671">
        <v>1298.701</v>
      </c>
      <c r="G671">
        <v>297363922</v>
      </c>
      <c r="H671" s="118">
        <v>44223</v>
      </c>
      <c r="I671">
        <v>962.64160000000004</v>
      </c>
      <c r="J671">
        <v>261.07</v>
      </c>
      <c r="K671">
        <v>1250183.6200000001</v>
      </c>
      <c r="L671">
        <v>339051.87</v>
      </c>
      <c r="M671">
        <v>-911131.75</v>
      </c>
      <c r="N671">
        <v>0</v>
      </c>
    </row>
    <row r="672" spans="1:14" hidden="1">
      <c r="A672" t="s">
        <v>511</v>
      </c>
      <c r="B672" t="s">
        <v>478</v>
      </c>
      <c r="C672" t="s">
        <v>539</v>
      </c>
      <c r="D672" t="s">
        <v>1528</v>
      </c>
      <c r="E672" t="s">
        <v>1529</v>
      </c>
      <c r="F672">
        <v>2180</v>
      </c>
      <c r="G672">
        <v>297363885</v>
      </c>
      <c r="H672" s="118">
        <v>43522</v>
      </c>
      <c r="I672">
        <v>1</v>
      </c>
      <c r="J672">
        <v>0</v>
      </c>
      <c r="K672">
        <v>2180</v>
      </c>
      <c r="L672">
        <v>0</v>
      </c>
      <c r="M672">
        <v>-2180</v>
      </c>
      <c r="N672">
        <v>0</v>
      </c>
    </row>
    <row r="673" spans="1:14" hidden="1">
      <c r="A673" t="s">
        <v>511</v>
      </c>
      <c r="B673" t="s">
        <v>478</v>
      </c>
      <c r="C673" t="s">
        <v>539</v>
      </c>
      <c r="D673" t="s">
        <v>1528</v>
      </c>
      <c r="E673" t="s">
        <v>1529</v>
      </c>
      <c r="F673">
        <v>1081.318</v>
      </c>
      <c r="G673">
        <v>297363925</v>
      </c>
      <c r="H673" s="118">
        <v>44273</v>
      </c>
      <c r="I673">
        <v>1</v>
      </c>
      <c r="J673">
        <v>0</v>
      </c>
      <c r="K673">
        <v>1081.32</v>
      </c>
      <c r="L673">
        <v>0</v>
      </c>
      <c r="M673">
        <v>-1081.32</v>
      </c>
      <c r="N673">
        <v>0</v>
      </c>
    </row>
    <row r="674" spans="1:14" hidden="1">
      <c r="A674" t="s">
        <v>511</v>
      </c>
      <c r="B674" t="s">
        <v>478</v>
      </c>
      <c r="C674" t="s">
        <v>539</v>
      </c>
      <c r="D674" t="s">
        <v>1528</v>
      </c>
      <c r="E674" t="s">
        <v>1529</v>
      </c>
      <c r="F674">
        <v>2752.71</v>
      </c>
      <c r="G674">
        <v>309977684</v>
      </c>
      <c r="H674" s="118">
        <v>45474</v>
      </c>
      <c r="I674">
        <v>37.33</v>
      </c>
      <c r="J674">
        <v>0</v>
      </c>
      <c r="K674">
        <v>102758.7</v>
      </c>
      <c r="L674">
        <v>0</v>
      </c>
      <c r="M674">
        <v>-102758.7</v>
      </c>
      <c r="N674">
        <v>0</v>
      </c>
    </row>
    <row r="675" spans="1:14" hidden="1">
      <c r="A675" t="s">
        <v>511</v>
      </c>
      <c r="B675" t="s">
        <v>478</v>
      </c>
      <c r="C675" t="s">
        <v>539</v>
      </c>
      <c r="D675" t="s">
        <v>1528</v>
      </c>
      <c r="E675" t="s">
        <v>1529</v>
      </c>
      <c r="F675">
        <v>2174.21</v>
      </c>
      <c r="G675">
        <v>309977701</v>
      </c>
      <c r="H675" s="118">
        <v>45474</v>
      </c>
      <c r="I675">
        <v>1</v>
      </c>
      <c r="J675">
        <v>0</v>
      </c>
      <c r="K675">
        <v>2174.21</v>
      </c>
      <c r="L675">
        <v>0</v>
      </c>
      <c r="M675">
        <v>-2174.21</v>
      </c>
      <c r="N675">
        <v>0</v>
      </c>
    </row>
    <row r="676" spans="1:14" hidden="1">
      <c r="A676" t="s">
        <v>511</v>
      </c>
      <c r="B676" t="s">
        <v>478</v>
      </c>
      <c r="C676" t="s">
        <v>539</v>
      </c>
      <c r="D676" t="s">
        <v>1530</v>
      </c>
      <c r="E676" t="s">
        <v>1531</v>
      </c>
      <c r="F676">
        <v>1593513.52</v>
      </c>
      <c r="G676">
        <v>297363947</v>
      </c>
      <c r="H676" s="118">
        <v>44467</v>
      </c>
      <c r="I676">
        <v>1</v>
      </c>
      <c r="J676">
        <v>2.2999999999999998</v>
      </c>
      <c r="K676">
        <v>1593513.52</v>
      </c>
      <c r="L676">
        <v>3665081.1</v>
      </c>
      <c r="M676">
        <v>2071567.58</v>
      </c>
      <c r="N676">
        <v>0</v>
      </c>
    </row>
    <row r="677" spans="1:14" hidden="1">
      <c r="A677" t="s">
        <v>511</v>
      </c>
      <c r="B677" t="s">
        <v>478</v>
      </c>
      <c r="C677" t="s">
        <v>539</v>
      </c>
      <c r="D677" t="s">
        <v>1530</v>
      </c>
      <c r="E677" t="s">
        <v>1531</v>
      </c>
      <c r="F677">
        <v>2326631.2799999998</v>
      </c>
      <c r="G677">
        <v>297363955</v>
      </c>
      <c r="H677" s="118">
        <v>44509</v>
      </c>
      <c r="I677">
        <v>1.0274000000000001</v>
      </c>
      <c r="J677">
        <v>2.2999999999999998</v>
      </c>
      <c r="K677">
        <v>2390270.2799999998</v>
      </c>
      <c r="L677">
        <v>5351251.9400000004</v>
      </c>
      <c r="M677">
        <v>2960981.66</v>
      </c>
      <c r="N677">
        <v>0</v>
      </c>
    </row>
    <row r="678" spans="1:14" hidden="1">
      <c r="A678" t="s">
        <v>511</v>
      </c>
      <c r="B678" t="s">
        <v>478</v>
      </c>
      <c r="C678" t="s">
        <v>539</v>
      </c>
      <c r="D678" t="s">
        <v>1532</v>
      </c>
      <c r="E678" t="s">
        <v>1533</v>
      </c>
      <c r="F678">
        <v>6500</v>
      </c>
      <c r="G678">
        <v>297363881</v>
      </c>
      <c r="H678" s="118">
        <v>43409</v>
      </c>
      <c r="I678">
        <v>100</v>
      </c>
      <c r="J678">
        <v>7.9535</v>
      </c>
      <c r="K678">
        <v>650000</v>
      </c>
      <c r="L678">
        <v>51698.02</v>
      </c>
      <c r="M678">
        <v>-598301.98</v>
      </c>
      <c r="N678">
        <v>0</v>
      </c>
    </row>
    <row r="679" spans="1:14" hidden="1">
      <c r="A679" t="s">
        <v>511</v>
      </c>
      <c r="B679" t="s">
        <v>478</v>
      </c>
      <c r="C679" t="s">
        <v>539</v>
      </c>
      <c r="D679" t="s">
        <v>1532</v>
      </c>
      <c r="E679" t="s">
        <v>1533</v>
      </c>
      <c r="F679">
        <v>646.52</v>
      </c>
      <c r="G679">
        <v>297363887</v>
      </c>
      <c r="H679" s="118">
        <v>43581</v>
      </c>
      <c r="I679">
        <v>100</v>
      </c>
      <c r="J679">
        <v>7.9535</v>
      </c>
      <c r="K679">
        <v>64652</v>
      </c>
      <c r="L679">
        <v>5142.12</v>
      </c>
      <c r="M679">
        <v>-59509.88</v>
      </c>
      <c r="N679">
        <v>0</v>
      </c>
    </row>
    <row r="680" spans="1:14" hidden="1">
      <c r="A680" t="s">
        <v>511</v>
      </c>
      <c r="B680" t="s">
        <v>478</v>
      </c>
      <c r="C680" t="s">
        <v>539</v>
      </c>
      <c r="D680" t="s">
        <v>1532</v>
      </c>
      <c r="E680" t="s">
        <v>1533</v>
      </c>
      <c r="F680">
        <v>905.12</v>
      </c>
      <c r="G680">
        <v>297363898</v>
      </c>
      <c r="H680" s="118">
        <v>43852</v>
      </c>
      <c r="I680">
        <v>100</v>
      </c>
      <c r="J680">
        <v>7.9535</v>
      </c>
      <c r="K680">
        <v>90512</v>
      </c>
      <c r="L680">
        <v>7198.91</v>
      </c>
      <c r="M680">
        <v>-83313.09</v>
      </c>
      <c r="N680">
        <v>0</v>
      </c>
    </row>
    <row r="681" spans="1:14" hidden="1">
      <c r="A681" t="s">
        <v>511</v>
      </c>
      <c r="B681" t="s">
        <v>478</v>
      </c>
      <c r="C681" t="s">
        <v>539</v>
      </c>
      <c r="D681" t="s">
        <v>1534</v>
      </c>
      <c r="E681" t="s">
        <v>1535</v>
      </c>
      <c r="F681">
        <v>1948.36</v>
      </c>
      <c r="G681">
        <v>297363883</v>
      </c>
      <c r="H681" s="118">
        <v>43409</v>
      </c>
      <c r="I681">
        <v>100</v>
      </c>
      <c r="J681">
        <v>7.9535</v>
      </c>
      <c r="K681">
        <v>194836</v>
      </c>
      <c r="L681">
        <v>15496.36</v>
      </c>
      <c r="M681">
        <v>-179339.64</v>
      </c>
      <c r="N681">
        <v>0</v>
      </c>
    </row>
    <row r="682" spans="1:14" hidden="1">
      <c r="A682" t="s">
        <v>511</v>
      </c>
      <c r="B682" t="s">
        <v>478</v>
      </c>
      <c r="C682" t="s">
        <v>539</v>
      </c>
      <c r="D682" t="s">
        <v>1536</v>
      </c>
      <c r="E682" t="s">
        <v>1537</v>
      </c>
      <c r="F682">
        <v>1308814</v>
      </c>
      <c r="G682">
        <v>297363953</v>
      </c>
      <c r="H682" s="118">
        <v>44508</v>
      </c>
      <c r="I682">
        <v>1</v>
      </c>
      <c r="J682">
        <v>0</v>
      </c>
      <c r="K682">
        <v>1308814</v>
      </c>
      <c r="L682">
        <v>0</v>
      </c>
      <c r="M682">
        <v>-1308814</v>
      </c>
      <c r="N682">
        <v>0</v>
      </c>
    </row>
    <row r="683" spans="1:14" hidden="1">
      <c r="A683" t="s">
        <v>511</v>
      </c>
      <c r="B683" t="s">
        <v>478</v>
      </c>
      <c r="C683" t="s">
        <v>539</v>
      </c>
      <c r="D683" t="s">
        <v>1538</v>
      </c>
      <c r="E683" t="s">
        <v>1539</v>
      </c>
      <c r="F683">
        <v>1043.9659999999999</v>
      </c>
      <c r="G683">
        <v>297363956</v>
      </c>
      <c r="H683" s="118">
        <v>44505</v>
      </c>
      <c r="I683">
        <v>1000</v>
      </c>
      <c r="J683">
        <v>0</v>
      </c>
      <c r="K683">
        <v>1043966.05</v>
      </c>
      <c r="L683">
        <v>0</v>
      </c>
      <c r="M683">
        <v>-1043966.05</v>
      </c>
      <c r="N683">
        <v>0</v>
      </c>
    </row>
    <row r="684" spans="1:14" hidden="1">
      <c r="A684" t="s">
        <v>511</v>
      </c>
      <c r="B684" t="s">
        <v>478</v>
      </c>
      <c r="C684" t="s">
        <v>539</v>
      </c>
      <c r="D684" t="s">
        <v>1540</v>
      </c>
      <c r="E684" t="s">
        <v>1541</v>
      </c>
      <c r="F684">
        <v>937500</v>
      </c>
      <c r="G684">
        <v>297364031</v>
      </c>
      <c r="H684" s="118">
        <v>44914</v>
      </c>
      <c r="I684">
        <v>1</v>
      </c>
      <c r="J684">
        <v>1.9491000000000001</v>
      </c>
      <c r="K684">
        <v>937500</v>
      </c>
      <c r="L684">
        <v>1827281.25</v>
      </c>
      <c r="M684">
        <v>889781.25</v>
      </c>
      <c r="N684">
        <v>0</v>
      </c>
    </row>
    <row r="685" spans="1:14" hidden="1">
      <c r="A685" t="s">
        <v>511</v>
      </c>
      <c r="B685" t="s">
        <v>478</v>
      </c>
      <c r="C685" t="s">
        <v>539</v>
      </c>
      <c r="D685" t="s">
        <v>1542</v>
      </c>
      <c r="E685" t="s">
        <v>1543</v>
      </c>
      <c r="F685">
        <v>335590.49</v>
      </c>
      <c r="G685">
        <v>297364021</v>
      </c>
      <c r="H685" s="118">
        <v>44883</v>
      </c>
      <c r="I685">
        <v>13.4985</v>
      </c>
      <c r="J685">
        <v>7.39</v>
      </c>
      <c r="K685">
        <v>4529984</v>
      </c>
      <c r="L685">
        <v>2480013.7200000002</v>
      </c>
      <c r="M685">
        <v>-2049970.28</v>
      </c>
      <c r="N685">
        <v>0</v>
      </c>
    </row>
    <row r="686" spans="1:14" hidden="1">
      <c r="A686" t="s">
        <v>511</v>
      </c>
      <c r="B686" t="s">
        <v>478</v>
      </c>
      <c r="C686" t="s">
        <v>539</v>
      </c>
      <c r="D686" t="s">
        <v>1544</v>
      </c>
      <c r="E686" t="s">
        <v>1545</v>
      </c>
      <c r="F686">
        <v>93603937</v>
      </c>
      <c r="G686">
        <v>358058888</v>
      </c>
      <c r="H686" s="118">
        <v>45965</v>
      </c>
      <c r="I686">
        <v>0</v>
      </c>
      <c r="J686">
        <v>0</v>
      </c>
      <c r="K686">
        <v>0</v>
      </c>
      <c r="L686">
        <v>0</v>
      </c>
      <c r="M686">
        <v>0</v>
      </c>
      <c r="N686">
        <v>0</v>
      </c>
    </row>
    <row r="687" spans="1:14" hidden="1">
      <c r="A687" t="s">
        <v>511</v>
      </c>
      <c r="B687" t="s">
        <v>478</v>
      </c>
      <c r="C687" t="s">
        <v>539</v>
      </c>
      <c r="D687" t="s">
        <v>1544</v>
      </c>
      <c r="E687" t="s">
        <v>1545</v>
      </c>
      <c r="F687">
        <v>34884415.310000002</v>
      </c>
      <c r="G687">
        <v>358058889</v>
      </c>
      <c r="H687" s="118">
        <v>45965</v>
      </c>
      <c r="I687">
        <v>1E-3</v>
      </c>
      <c r="J687">
        <v>0</v>
      </c>
      <c r="K687">
        <v>34884.42</v>
      </c>
      <c r="L687">
        <v>0</v>
      </c>
      <c r="M687">
        <v>-34884.42</v>
      </c>
      <c r="N687">
        <v>0</v>
      </c>
    </row>
    <row r="688" spans="1:14" hidden="1">
      <c r="A688" t="s">
        <v>511</v>
      </c>
      <c r="B688" t="s">
        <v>478</v>
      </c>
      <c r="C688" t="s">
        <v>539</v>
      </c>
      <c r="D688" t="s">
        <v>1546</v>
      </c>
      <c r="E688" t="s">
        <v>1547</v>
      </c>
      <c r="F688">
        <v>527377.9</v>
      </c>
      <c r="G688">
        <v>297363949</v>
      </c>
      <c r="H688" s="118">
        <v>44496</v>
      </c>
      <c r="I688">
        <v>0.20080000000000001</v>
      </c>
      <c r="J688">
        <v>0.63229999999999997</v>
      </c>
      <c r="K688">
        <v>105920.07</v>
      </c>
      <c r="L688">
        <v>333437.78000000003</v>
      </c>
      <c r="M688">
        <v>227517.71</v>
      </c>
      <c r="N688">
        <v>0</v>
      </c>
    </row>
    <row r="689" spans="1:14" hidden="1">
      <c r="A689" t="s">
        <v>511</v>
      </c>
      <c r="B689" t="s">
        <v>478</v>
      </c>
      <c r="C689" t="s">
        <v>539</v>
      </c>
      <c r="D689" t="s">
        <v>1546</v>
      </c>
      <c r="E689" t="s">
        <v>1547</v>
      </c>
      <c r="F689">
        <v>1305.0899999999999</v>
      </c>
      <c r="G689">
        <v>297363974</v>
      </c>
      <c r="H689" s="118">
        <v>44572</v>
      </c>
      <c r="I689">
        <v>0.2009</v>
      </c>
      <c r="J689">
        <v>0.63229999999999997</v>
      </c>
      <c r="K689">
        <v>262.13</v>
      </c>
      <c r="L689">
        <v>825.15</v>
      </c>
      <c r="M689">
        <v>563.02</v>
      </c>
      <c r="N689">
        <v>0</v>
      </c>
    </row>
    <row r="690" spans="1:14" hidden="1">
      <c r="A690" t="s">
        <v>511</v>
      </c>
      <c r="B690" t="s">
        <v>478</v>
      </c>
      <c r="C690" t="s">
        <v>539</v>
      </c>
      <c r="D690" t="s">
        <v>1546</v>
      </c>
      <c r="E690" t="s">
        <v>1547</v>
      </c>
      <c r="F690">
        <v>1305.0899999999999</v>
      </c>
      <c r="G690">
        <v>297363989</v>
      </c>
      <c r="H690" s="118">
        <v>44666</v>
      </c>
      <c r="I690">
        <v>0.20080000000000001</v>
      </c>
      <c r="J690">
        <v>0.63229999999999997</v>
      </c>
      <c r="K690">
        <v>262.10000000000002</v>
      </c>
      <c r="L690">
        <v>825.15</v>
      </c>
      <c r="M690">
        <v>563.04999999999995</v>
      </c>
      <c r="N690">
        <v>0</v>
      </c>
    </row>
    <row r="691" spans="1:14" hidden="1">
      <c r="A691" t="s">
        <v>511</v>
      </c>
      <c r="B691" t="s">
        <v>478</v>
      </c>
      <c r="C691" t="s">
        <v>539</v>
      </c>
      <c r="D691" t="s">
        <v>1546</v>
      </c>
      <c r="E691" t="s">
        <v>1547</v>
      </c>
      <c r="F691">
        <v>1305.0899999999999</v>
      </c>
      <c r="G691">
        <v>297364001</v>
      </c>
      <c r="H691" s="118">
        <v>44741</v>
      </c>
      <c r="I691">
        <v>0.2009</v>
      </c>
      <c r="J691">
        <v>0.63229999999999997</v>
      </c>
      <c r="K691">
        <v>262.13</v>
      </c>
      <c r="L691">
        <v>825.15</v>
      </c>
      <c r="M691">
        <v>563.02</v>
      </c>
      <c r="N691">
        <v>0</v>
      </c>
    </row>
    <row r="692" spans="1:14" hidden="1">
      <c r="A692" t="s">
        <v>511</v>
      </c>
      <c r="B692" t="s">
        <v>478</v>
      </c>
      <c r="C692" t="s">
        <v>539</v>
      </c>
      <c r="D692" t="s">
        <v>1546</v>
      </c>
      <c r="E692" t="s">
        <v>1547</v>
      </c>
      <c r="F692">
        <v>1305.0899999999999</v>
      </c>
      <c r="G692">
        <v>297364020</v>
      </c>
      <c r="H692" s="118">
        <v>44834</v>
      </c>
      <c r="I692">
        <v>0.24060000000000001</v>
      </c>
      <c r="J692">
        <v>0.63229999999999997</v>
      </c>
      <c r="K692">
        <v>313.94</v>
      </c>
      <c r="L692">
        <v>825.15</v>
      </c>
      <c r="M692">
        <v>511.21</v>
      </c>
      <c r="N692">
        <v>0</v>
      </c>
    </row>
    <row r="693" spans="1:14" hidden="1">
      <c r="A693" t="s">
        <v>511</v>
      </c>
      <c r="B693" t="s">
        <v>478</v>
      </c>
      <c r="C693" t="s">
        <v>539</v>
      </c>
      <c r="D693" t="s">
        <v>1546</v>
      </c>
      <c r="E693" t="s">
        <v>1547</v>
      </c>
      <c r="F693">
        <v>1305.0899999999999</v>
      </c>
      <c r="G693">
        <v>297364029</v>
      </c>
      <c r="H693" s="118">
        <v>44910</v>
      </c>
      <c r="I693">
        <v>0.24060000000000001</v>
      </c>
      <c r="J693">
        <v>0.63229999999999997</v>
      </c>
      <c r="K693">
        <v>313.98</v>
      </c>
      <c r="L693">
        <v>825.15</v>
      </c>
      <c r="M693">
        <v>511.17</v>
      </c>
      <c r="N693">
        <v>0</v>
      </c>
    </row>
    <row r="694" spans="1:14" hidden="1">
      <c r="A694" t="s">
        <v>511</v>
      </c>
      <c r="B694" t="s">
        <v>478</v>
      </c>
      <c r="C694" t="s">
        <v>539</v>
      </c>
      <c r="D694" t="s">
        <v>1546</v>
      </c>
      <c r="E694" t="s">
        <v>1547</v>
      </c>
      <c r="F694">
        <v>1305.0899999999999</v>
      </c>
      <c r="G694">
        <v>297364044</v>
      </c>
      <c r="H694" s="118">
        <v>45029</v>
      </c>
      <c r="I694">
        <v>0.2626</v>
      </c>
      <c r="J694">
        <v>0.63229999999999997</v>
      </c>
      <c r="K694">
        <v>342.71</v>
      </c>
      <c r="L694">
        <v>825.15</v>
      </c>
      <c r="M694">
        <v>482.44</v>
      </c>
      <c r="N694">
        <v>0</v>
      </c>
    </row>
    <row r="695" spans="1:14" hidden="1">
      <c r="A695" t="s">
        <v>511</v>
      </c>
      <c r="B695" t="s">
        <v>478</v>
      </c>
      <c r="C695" t="s">
        <v>539</v>
      </c>
      <c r="D695" t="s">
        <v>1546</v>
      </c>
      <c r="E695" t="s">
        <v>1547</v>
      </c>
      <c r="F695">
        <v>1305.0899999999999</v>
      </c>
      <c r="G695">
        <v>297364058</v>
      </c>
      <c r="H695" s="118">
        <v>45097</v>
      </c>
      <c r="I695">
        <v>0.2626</v>
      </c>
      <c r="J695">
        <v>0.63229999999999997</v>
      </c>
      <c r="K695">
        <v>342.74</v>
      </c>
      <c r="L695">
        <v>825.15</v>
      </c>
      <c r="M695">
        <v>482.41</v>
      </c>
      <c r="N695">
        <v>0</v>
      </c>
    </row>
    <row r="696" spans="1:14" hidden="1">
      <c r="A696" t="s">
        <v>511</v>
      </c>
      <c r="B696" t="s">
        <v>478</v>
      </c>
      <c r="C696" t="s">
        <v>539</v>
      </c>
      <c r="D696" t="s">
        <v>1546</v>
      </c>
      <c r="E696" t="s">
        <v>1547</v>
      </c>
      <c r="F696">
        <v>1305.0899999999999</v>
      </c>
      <c r="G696">
        <v>297364075</v>
      </c>
      <c r="H696" s="118">
        <v>45203</v>
      </c>
      <c r="I696">
        <v>0.2626</v>
      </c>
      <c r="J696">
        <v>0.63229999999999997</v>
      </c>
      <c r="K696">
        <v>342.71</v>
      </c>
      <c r="L696">
        <v>825.15</v>
      </c>
      <c r="M696">
        <v>482.44</v>
      </c>
      <c r="N696">
        <v>0</v>
      </c>
    </row>
    <row r="697" spans="1:14" hidden="1">
      <c r="A697" t="s">
        <v>511</v>
      </c>
      <c r="B697" t="s">
        <v>478</v>
      </c>
      <c r="C697" t="s">
        <v>539</v>
      </c>
      <c r="D697" t="s">
        <v>1546</v>
      </c>
      <c r="E697" t="s">
        <v>1547</v>
      </c>
      <c r="F697">
        <v>1463.27</v>
      </c>
      <c r="G697">
        <v>297364100</v>
      </c>
      <c r="H697" s="118">
        <v>45289</v>
      </c>
      <c r="I697">
        <v>0.2626</v>
      </c>
      <c r="J697">
        <v>0.63229999999999997</v>
      </c>
      <c r="K697">
        <v>384.26</v>
      </c>
      <c r="L697">
        <v>925.16</v>
      </c>
      <c r="M697">
        <v>540.9</v>
      </c>
      <c r="N697">
        <v>0</v>
      </c>
    </row>
    <row r="698" spans="1:14" hidden="1">
      <c r="A698" t="s">
        <v>511</v>
      </c>
      <c r="B698" t="s">
        <v>478</v>
      </c>
      <c r="C698" t="s">
        <v>539</v>
      </c>
      <c r="D698" t="s">
        <v>1546</v>
      </c>
      <c r="E698" t="s">
        <v>1547</v>
      </c>
      <c r="F698">
        <v>1305.0899999999999</v>
      </c>
      <c r="G698">
        <v>299170094</v>
      </c>
      <c r="H698" s="118">
        <v>45377</v>
      </c>
      <c r="I698">
        <v>0.2626</v>
      </c>
      <c r="J698">
        <v>0.63229999999999997</v>
      </c>
      <c r="K698">
        <v>342.74</v>
      </c>
      <c r="L698">
        <v>825.15</v>
      </c>
      <c r="M698">
        <v>482.41</v>
      </c>
      <c r="N698">
        <v>0</v>
      </c>
    </row>
    <row r="699" spans="1:14" hidden="1">
      <c r="A699" t="s">
        <v>511</v>
      </c>
      <c r="B699" t="s">
        <v>478</v>
      </c>
      <c r="C699" t="s">
        <v>539</v>
      </c>
      <c r="D699" t="s">
        <v>1546</v>
      </c>
      <c r="E699" t="s">
        <v>1547</v>
      </c>
      <c r="F699">
        <v>1412.85</v>
      </c>
      <c r="G699">
        <v>306655516</v>
      </c>
      <c r="H699" s="118">
        <v>45453</v>
      </c>
      <c r="I699">
        <v>0.73960000000000004</v>
      </c>
      <c r="J699">
        <v>0.63229999999999997</v>
      </c>
      <c r="K699">
        <v>1044.97</v>
      </c>
      <c r="L699">
        <v>893.28</v>
      </c>
      <c r="M699">
        <v>-151.69</v>
      </c>
      <c r="N699">
        <v>0</v>
      </c>
    </row>
    <row r="700" spans="1:14" hidden="1">
      <c r="A700" t="s">
        <v>511</v>
      </c>
      <c r="B700" t="s">
        <v>478</v>
      </c>
      <c r="C700" t="s">
        <v>539</v>
      </c>
      <c r="D700" t="s">
        <v>1546</v>
      </c>
      <c r="E700" t="s">
        <v>1547</v>
      </c>
      <c r="F700">
        <v>1766.14</v>
      </c>
      <c r="G700">
        <v>319715559</v>
      </c>
      <c r="H700" s="118">
        <v>45566</v>
      </c>
      <c r="I700">
        <v>0.73960000000000004</v>
      </c>
      <c r="J700">
        <v>0.63229999999999997</v>
      </c>
      <c r="K700">
        <v>1306.28</v>
      </c>
      <c r="L700">
        <v>1116.6500000000001</v>
      </c>
      <c r="M700">
        <v>-189.63</v>
      </c>
      <c r="N700">
        <v>0</v>
      </c>
    </row>
    <row r="701" spans="1:14" hidden="1">
      <c r="A701" t="s">
        <v>511</v>
      </c>
      <c r="B701" t="s">
        <v>478</v>
      </c>
      <c r="C701" t="s">
        <v>539</v>
      </c>
      <c r="D701" t="s">
        <v>1546</v>
      </c>
      <c r="E701" t="s">
        <v>1547</v>
      </c>
      <c r="F701">
        <v>1353.01</v>
      </c>
      <c r="G701">
        <v>325887890</v>
      </c>
      <c r="H701" s="118">
        <v>45644</v>
      </c>
      <c r="I701">
        <v>0.74719999999999998</v>
      </c>
      <c r="J701">
        <v>0.63229999999999997</v>
      </c>
      <c r="K701">
        <v>1011.01</v>
      </c>
      <c r="L701">
        <v>855.45</v>
      </c>
      <c r="M701">
        <v>-155.56</v>
      </c>
      <c r="N701">
        <v>0</v>
      </c>
    </row>
    <row r="702" spans="1:14" hidden="1">
      <c r="A702" t="s">
        <v>511</v>
      </c>
      <c r="B702" t="s">
        <v>478</v>
      </c>
      <c r="C702" t="s">
        <v>539</v>
      </c>
      <c r="D702" t="s">
        <v>1546</v>
      </c>
      <c r="E702" t="s">
        <v>1547</v>
      </c>
      <c r="F702">
        <v>1389.58</v>
      </c>
      <c r="G702">
        <v>334690567</v>
      </c>
      <c r="H702" s="118">
        <v>45741</v>
      </c>
      <c r="I702">
        <v>0.74719999999999998</v>
      </c>
      <c r="J702">
        <v>0.63229999999999997</v>
      </c>
      <c r="K702">
        <v>1038.3399999999999</v>
      </c>
      <c r="L702">
        <v>878.57</v>
      </c>
      <c r="M702">
        <v>-159.77000000000001</v>
      </c>
      <c r="N702">
        <v>0</v>
      </c>
    </row>
    <row r="703" spans="1:14" hidden="1">
      <c r="A703" t="s">
        <v>511</v>
      </c>
      <c r="B703" t="s">
        <v>478</v>
      </c>
      <c r="C703" t="s">
        <v>539</v>
      </c>
      <c r="D703" t="s">
        <v>1546</v>
      </c>
      <c r="E703" t="s">
        <v>1547</v>
      </c>
      <c r="F703">
        <v>1742.03</v>
      </c>
      <c r="G703">
        <v>345864796</v>
      </c>
      <c r="H703" s="118">
        <v>45841</v>
      </c>
      <c r="I703">
        <v>0.74719999999999998</v>
      </c>
      <c r="J703">
        <v>0.63229999999999997</v>
      </c>
      <c r="K703">
        <v>1301.7</v>
      </c>
      <c r="L703">
        <v>1101.4100000000001</v>
      </c>
      <c r="M703">
        <v>-200.29</v>
      </c>
      <c r="N703">
        <v>0</v>
      </c>
    </row>
    <row r="704" spans="1:14" hidden="1">
      <c r="A704" t="s">
        <v>511</v>
      </c>
      <c r="B704" t="s">
        <v>478</v>
      </c>
      <c r="C704" t="s">
        <v>539</v>
      </c>
      <c r="D704" t="s">
        <v>1546</v>
      </c>
      <c r="E704" t="s">
        <v>1547</v>
      </c>
      <c r="F704">
        <v>2081.09</v>
      </c>
      <c r="G704">
        <v>354878184</v>
      </c>
      <c r="H704" s="118">
        <v>45953</v>
      </c>
      <c r="I704">
        <v>0.74719999999999998</v>
      </c>
      <c r="J704">
        <v>0.63229999999999997</v>
      </c>
      <c r="K704">
        <v>1555.05</v>
      </c>
      <c r="L704">
        <v>1315.78</v>
      </c>
      <c r="M704">
        <v>-239.27</v>
      </c>
      <c r="N704">
        <v>0</v>
      </c>
    </row>
    <row r="705" spans="1:14" hidden="1">
      <c r="A705" t="s">
        <v>511</v>
      </c>
      <c r="B705" t="s">
        <v>478</v>
      </c>
      <c r="C705" t="s">
        <v>539</v>
      </c>
      <c r="D705" t="s">
        <v>1546</v>
      </c>
      <c r="E705" t="s">
        <v>1547</v>
      </c>
      <c r="F705">
        <v>1305.0899999999999</v>
      </c>
      <c r="G705">
        <v>362889123</v>
      </c>
      <c r="H705" s="118">
        <v>46028</v>
      </c>
      <c r="I705">
        <v>1</v>
      </c>
      <c r="J705">
        <v>0.63229999999999997</v>
      </c>
      <c r="K705">
        <v>1305.0899999999999</v>
      </c>
      <c r="L705">
        <v>825.15</v>
      </c>
      <c r="M705">
        <v>-479.94</v>
      </c>
      <c r="N705">
        <v>0</v>
      </c>
    </row>
    <row r="706" spans="1:14" hidden="1">
      <c r="A706" t="s">
        <v>511</v>
      </c>
      <c r="B706" t="s">
        <v>478</v>
      </c>
      <c r="C706" t="s">
        <v>539</v>
      </c>
      <c r="D706" t="s">
        <v>1548</v>
      </c>
      <c r="E706" t="s">
        <v>1549</v>
      </c>
      <c r="F706">
        <v>227394.84</v>
      </c>
      <c r="G706">
        <v>297363917</v>
      </c>
      <c r="H706" s="118">
        <v>44181</v>
      </c>
      <c r="I706">
        <v>1</v>
      </c>
      <c r="J706">
        <v>2.1276999999999999</v>
      </c>
      <c r="K706">
        <v>227394.84</v>
      </c>
      <c r="L706">
        <v>483820.29</v>
      </c>
      <c r="M706">
        <v>256425.45</v>
      </c>
      <c r="N706">
        <v>0</v>
      </c>
    </row>
    <row r="707" spans="1:14" hidden="1">
      <c r="A707" t="s">
        <v>511</v>
      </c>
      <c r="B707" t="s">
        <v>478</v>
      </c>
      <c r="C707" t="s">
        <v>539</v>
      </c>
      <c r="D707" t="s">
        <v>1550</v>
      </c>
      <c r="E707" t="s">
        <v>1551</v>
      </c>
      <c r="F707">
        <v>570521.84</v>
      </c>
      <c r="G707">
        <v>297363916</v>
      </c>
      <c r="H707" s="118">
        <v>44181</v>
      </c>
      <c r="I707">
        <v>0.94330000000000003</v>
      </c>
      <c r="J707">
        <v>2.1276999999999999</v>
      </c>
      <c r="K707">
        <v>538184.31999999995</v>
      </c>
      <c r="L707">
        <v>1213879.97</v>
      </c>
      <c r="M707">
        <v>675695.65</v>
      </c>
      <c r="N707">
        <v>0</v>
      </c>
    </row>
    <row r="708" spans="1:14" hidden="1">
      <c r="A708" t="s">
        <v>511</v>
      </c>
      <c r="B708" t="s">
        <v>478</v>
      </c>
      <c r="C708" t="s">
        <v>539</v>
      </c>
      <c r="D708" t="s">
        <v>1550</v>
      </c>
      <c r="E708" t="s">
        <v>1551</v>
      </c>
      <c r="F708">
        <v>128367</v>
      </c>
      <c r="G708">
        <v>297363958</v>
      </c>
      <c r="H708" s="118">
        <v>44529</v>
      </c>
      <c r="I708">
        <v>0.94330000000000003</v>
      </c>
      <c r="J708">
        <v>2.1276999999999999</v>
      </c>
      <c r="K708">
        <v>121091.08</v>
      </c>
      <c r="L708">
        <v>273122.11</v>
      </c>
      <c r="M708">
        <v>152031.03</v>
      </c>
      <c r="N708">
        <v>0</v>
      </c>
    </row>
    <row r="709" spans="1:14" hidden="1">
      <c r="A709" t="s">
        <v>511</v>
      </c>
      <c r="B709" t="s">
        <v>478</v>
      </c>
      <c r="C709" t="s">
        <v>539</v>
      </c>
      <c r="D709" t="s">
        <v>1550</v>
      </c>
      <c r="E709" t="s">
        <v>1551</v>
      </c>
      <c r="F709">
        <v>164410</v>
      </c>
      <c r="G709">
        <v>297364061</v>
      </c>
      <c r="H709" s="118">
        <v>45118</v>
      </c>
      <c r="I709">
        <v>0.96460000000000001</v>
      </c>
      <c r="J709">
        <v>2.1276999999999999</v>
      </c>
      <c r="K709">
        <v>158590.45000000001</v>
      </c>
      <c r="L709">
        <v>349809.58</v>
      </c>
      <c r="M709">
        <v>191219.13</v>
      </c>
      <c r="N709">
        <v>0</v>
      </c>
    </row>
    <row r="710" spans="1:14" hidden="1">
      <c r="A710" t="s">
        <v>511</v>
      </c>
      <c r="B710" t="s">
        <v>478</v>
      </c>
      <c r="C710" t="s">
        <v>539</v>
      </c>
      <c r="D710" t="s">
        <v>1550</v>
      </c>
      <c r="E710" t="s">
        <v>1551</v>
      </c>
      <c r="F710">
        <v>50350</v>
      </c>
      <c r="G710">
        <v>302479721</v>
      </c>
      <c r="H710" s="118">
        <v>45394</v>
      </c>
      <c r="I710">
        <v>0.96460000000000001</v>
      </c>
      <c r="J710">
        <v>2.1276999999999999</v>
      </c>
      <c r="K710">
        <v>48567.79</v>
      </c>
      <c r="L710">
        <v>107127.99</v>
      </c>
      <c r="M710">
        <v>58560.2</v>
      </c>
      <c r="N710">
        <v>0</v>
      </c>
    </row>
    <row r="711" spans="1:14" hidden="1">
      <c r="A711" t="s">
        <v>511</v>
      </c>
      <c r="B711" t="s">
        <v>478</v>
      </c>
      <c r="C711" t="s">
        <v>539</v>
      </c>
      <c r="D711" t="s">
        <v>1552</v>
      </c>
      <c r="E711" t="s">
        <v>1553</v>
      </c>
      <c r="F711">
        <v>2193038.0299999998</v>
      </c>
      <c r="G711">
        <v>297364026</v>
      </c>
      <c r="H711" s="118">
        <v>44914</v>
      </c>
      <c r="I711">
        <v>1</v>
      </c>
      <c r="J711">
        <v>2.2587000000000002</v>
      </c>
      <c r="K711">
        <v>2193038.0299999998</v>
      </c>
      <c r="L711">
        <v>4953330.75</v>
      </c>
      <c r="M711">
        <v>2760292.72</v>
      </c>
      <c r="N711">
        <v>0</v>
      </c>
    </row>
    <row r="712" spans="1:14" hidden="1">
      <c r="A712" t="s">
        <v>511</v>
      </c>
      <c r="B712" t="s">
        <v>478</v>
      </c>
      <c r="C712" t="s">
        <v>539</v>
      </c>
      <c r="D712" t="s">
        <v>1554</v>
      </c>
      <c r="E712" t="s">
        <v>1555</v>
      </c>
      <c r="F712">
        <v>4901.03</v>
      </c>
      <c r="G712">
        <v>325655947</v>
      </c>
      <c r="H712" s="118">
        <v>45642</v>
      </c>
      <c r="I712">
        <v>1</v>
      </c>
      <c r="J712">
        <v>0.62</v>
      </c>
      <c r="K712">
        <v>4901.03</v>
      </c>
      <c r="L712">
        <v>3038.64</v>
      </c>
      <c r="M712">
        <v>-1862.39</v>
      </c>
      <c r="N712">
        <v>0</v>
      </c>
    </row>
    <row r="713" spans="1:14" hidden="1">
      <c r="A713" t="s">
        <v>511</v>
      </c>
      <c r="B713" t="s">
        <v>478</v>
      </c>
      <c r="C713" t="s">
        <v>539</v>
      </c>
      <c r="D713" t="s">
        <v>1556</v>
      </c>
      <c r="E713" t="s">
        <v>1557</v>
      </c>
      <c r="F713">
        <v>1600000</v>
      </c>
      <c r="G713">
        <v>297363995</v>
      </c>
      <c r="H713" s="118">
        <v>44725</v>
      </c>
      <c r="I713">
        <v>1</v>
      </c>
      <c r="J713">
        <v>0</v>
      </c>
      <c r="K713">
        <v>1600000</v>
      </c>
      <c r="L713">
        <v>0</v>
      </c>
      <c r="M713">
        <v>-1600000</v>
      </c>
      <c r="N713">
        <v>0</v>
      </c>
    </row>
    <row r="714" spans="1:14" hidden="1">
      <c r="A714" t="s">
        <v>511</v>
      </c>
      <c r="B714" t="s">
        <v>478</v>
      </c>
      <c r="C714" t="s">
        <v>539</v>
      </c>
      <c r="D714" t="s">
        <v>1558</v>
      </c>
      <c r="E714" t="s">
        <v>1559</v>
      </c>
      <c r="F714">
        <v>1218045.1100000001</v>
      </c>
      <c r="G714">
        <v>297364030</v>
      </c>
      <c r="H714" s="118">
        <v>44916</v>
      </c>
      <c r="I714">
        <v>1</v>
      </c>
      <c r="J714">
        <v>1.32</v>
      </c>
      <c r="K714">
        <v>1218045.1100000001</v>
      </c>
      <c r="L714">
        <v>1607819.55</v>
      </c>
      <c r="M714">
        <v>389774.44</v>
      </c>
      <c r="N714">
        <v>0</v>
      </c>
    </row>
    <row r="715" spans="1:14" hidden="1">
      <c r="A715" t="s">
        <v>511</v>
      </c>
      <c r="B715" t="s">
        <v>478</v>
      </c>
      <c r="C715" t="s">
        <v>539</v>
      </c>
      <c r="D715" t="s">
        <v>1560</v>
      </c>
      <c r="E715" t="s">
        <v>1561</v>
      </c>
      <c r="F715">
        <v>351552.79</v>
      </c>
      <c r="G715">
        <v>297363982</v>
      </c>
      <c r="H715" s="118">
        <v>44617</v>
      </c>
      <c r="I715">
        <v>1</v>
      </c>
      <c r="J715">
        <v>1.18</v>
      </c>
      <c r="K715">
        <v>351552.79</v>
      </c>
      <c r="L715">
        <v>414832.29</v>
      </c>
      <c r="M715">
        <v>63279.5</v>
      </c>
      <c r="N715">
        <v>0</v>
      </c>
    </row>
    <row r="716" spans="1:14" hidden="1">
      <c r="A716" t="s">
        <v>511</v>
      </c>
      <c r="B716" t="s">
        <v>478</v>
      </c>
      <c r="C716" t="s">
        <v>539</v>
      </c>
      <c r="D716" t="s">
        <v>1562</v>
      </c>
      <c r="E716" t="s">
        <v>1563</v>
      </c>
      <c r="F716">
        <v>918300</v>
      </c>
      <c r="G716">
        <v>297364071</v>
      </c>
      <c r="H716" s="118">
        <v>45132</v>
      </c>
      <c r="I716">
        <v>0</v>
      </c>
      <c r="J716">
        <v>0</v>
      </c>
      <c r="K716">
        <v>0</v>
      </c>
      <c r="L716">
        <v>0</v>
      </c>
      <c r="M716">
        <v>0</v>
      </c>
      <c r="N716">
        <v>0</v>
      </c>
    </row>
    <row r="717" spans="1:14" hidden="1">
      <c r="A717" t="s">
        <v>511</v>
      </c>
      <c r="B717" t="s">
        <v>478</v>
      </c>
      <c r="C717" t="s">
        <v>539</v>
      </c>
      <c r="D717" t="s">
        <v>1562</v>
      </c>
      <c r="E717" t="s">
        <v>1563</v>
      </c>
      <c r="F717">
        <v>10899.7</v>
      </c>
      <c r="G717">
        <v>297364070</v>
      </c>
      <c r="H717" s="118">
        <v>45189</v>
      </c>
      <c r="I717">
        <v>0</v>
      </c>
      <c r="J717">
        <v>0</v>
      </c>
      <c r="K717">
        <v>0</v>
      </c>
      <c r="L717">
        <v>0</v>
      </c>
      <c r="M717">
        <v>0</v>
      </c>
      <c r="N717">
        <v>0</v>
      </c>
    </row>
    <row r="718" spans="1:14" hidden="1">
      <c r="A718" t="s">
        <v>511</v>
      </c>
      <c r="B718" t="s">
        <v>478</v>
      </c>
      <c r="C718" t="s">
        <v>539</v>
      </c>
      <c r="D718" t="s">
        <v>1562</v>
      </c>
      <c r="E718" t="s">
        <v>1563</v>
      </c>
      <c r="F718">
        <v>88639.83</v>
      </c>
      <c r="G718">
        <v>297364085</v>
      </c>
      <c r="H718" s="118">
        <v>45243</v>
      </c>
      <c r="I718">
        <v>0</v>
      </c>
      <c r="J718">
        <v>0</v>
      </c>
      <c r="K718">
        <v>0</v>
      </c>
      <c r="L718">
        <v>0</v>
      </c>
      <c r="M718">
        <v>0</v>
      </c>
      <c r="N718">
        <v>0</v>
      </c>
    </row>
    <row r="719" spans="1:14" hidden="1">
      <c r="A719" t="s">
        <v>511</v>
      </c>
      <c r="B719" t="s">
        <v>478</v>
      </c>
      <c r="C719" t="s">
        <v>539</v>
      </c>
      <c r="D719" t="s">
        <v>1564</v>
      </c>
      <c r="E719" t="s">
        <v>1565</v>
      </c>
      <c r="F719">
        <v>169229.75</v>
      </c>
      <c r="G719">
        <v>297364069</v>
      </c>
      <c r="H719" s="118">
        <v>45189</v>
      </c>
      <c r="I719">
        <v>0</v>
      </c>
      <c r="J719">
        <v>0</v>
      </c>
      <c r="K719">
        <v>0</v>
      </c>
      <c r="L719">
        <v>0</v>
      </c>
      <c r="M719">
        <v>0</v>
      </c>
      <c r="N719">
        <v>0</v>
      </c>
    </row>
    <row r="720" spans="1:14" hidden="1">
      <c r="A720" t="s">
        <v>511</v>
      </c>
      <c r="B720" t="s">
        <v>478</v>
      </c>
      <c r="C720" t="s">
        <v>539</v>
      </c>
      <c r="D720" t="s">
        <v>1564</v>
      </c>
      <c r="E720" t="s">
        <v>1565</v>
      </c>
      <c r="F720">
        <v>1376230.5</v>
      </c>
      <c r="G720">
        <v>297364083</v>
      </c>
      <c r="H720" s="118">
        <v>45243</v>
      </c>
      <c r="I720">
        <v>0</v>
      </c>
      <c r="J720">
        <v>0</v>
      </c>
      <c r="K720">
        <v>0</v>
      </c>
      <c r="L720">
        <v>0</v>
      </c>
      <c r="M720">
        <v>0</v>
      </c>
      <c r="N720">
        <v>0</v>
      </c>
    </row>
    <row r="721" spans="1:14" hidden="1">
      <c r="A721" t="s">
        <v>511</v>
      </c>
      <c r="B721" t="s">
        <v>478</v>
      </c>
      <c r="C721" t="s">
        <v>539</v>
      </c>
      <c r="D721" t="s">
        <v>1566</v>
      </c>
      <c r="E721" t="s">
        <v>1567</v>
      </c>
      <c r="F721">
        <v>5102.2299999999996</v>
      </c>
      <c r="G721">
        <v>297364011</v>
      </c>
      <c r="H721" s="118">
        <v>44770</v>
      </c>
      <c r="I721">
        <v>99.999899999999997</v>
      </c>
      <c r="J721">
        <v>133.53360000000001</v>
      </c>
      <c r="K721">
        <v>510222.64</v>
      </c>
      <c r="L721">
        <v>681318.96</v>
      </c>
      <c r="M721">
        <v>171096.32000000001</v>
      </c>
      <c r="N721">
        <v>0</v>
      </c>
    </row>
    <row r="722" spans="1:14" hidden="1">
      <c r="A722" t="s">
        <v>511</v>
      </c>
      <c r="B722" t="s">
        <v>478</v>
      </c>
      <c r="C722" t="s">
        <v>539</v>
      </c>
      <c r="D722" t="s">
        <v>1568</v>
      </c>
      <c r="E722" t="s">
        <v>1569</v>
      </c>
      <c r="F722">
        <v>343807.47</v>
      </c>
      <c r="G722">
        <v>297363950</v>
      </c>
      <c r="H722" s="118">
        <v>44496</v>
      </c>
      <c r="I722">
        <v>1</v>
      </c>
      <c r="J722">
        <v>0.63229999999999997</v>
      </c>
      <c r="K722">
        <v>343807.47</v>
      </c>
      <c r="L722">
        <v>217374.3</v>
      </c>
      <c r="M722">
        <v>-126433.17</v>
      </c>
      <c r="N722">
        <v>0</v>
      </c>
    </row>
    <row r="723" spans="1:14" hidden="1">
      <c r="A723" t="s">
        <v>511</v>
      </c>
      <c r="B723" t="s">
        <v>478</v>
      </c>
      <c r="C723" t="s">
        <v>539</v>
      </c>
      <c r="D723" t="s">
        <v>1570</v>
      </c>
      <c r="E723" t="s">
        <v>1571</v>
      </c>
      <c r="F723">
        <v>82894.736999999994</v>
      </c>
      <c r="G723">
        <v>297363981</v>
      </c>
      <c r="H723" s="118">
        <v>44608</v>
      </c>
      <c r="I723">
        <v>10.590400000000001</v>
      </c>
      <c r="J723">
        <v>25.789200000000001</v>
      </c>
      <c r="K723">
        <v>877887.05</v>
      </c>
      <c r="L723">
        <v>2137789.5299999998</v>
      </c>
      <c r="M723">
        <v>1259902.48</v>
      </c>
      <c r="N723">
        <v>0</v>
      </c>
    </row>
    <row r="724" spans="1:14" hidden="1">
      <c r="A724" t="s">
        <v>511</v>
      </c>
      <c r="B724" t="s">
        <v>478</v>
      </c>
      <c r="C724" t="s">
        <v>539</v>
      </c>
      <c r="D724" t="s">
        <v>1570</v>
      </c>
      <c r="E724" t="s">
        <v>1571</v>
      </c>
      <c r="F724">
        <v>30944.117999999999</v>
      </c>
      <c r="G724">
        <v>297364012</v>
      </c>
      <c r="H724" s="118">
        <v>44803</v>
      </c>
      <c r="I724">
        <v>10.590400000000001</v>
      </c>
      <c r="J724">
        <v>25.789200000000001</v>
      </c>
      <c r="K724">
        <v>327710.09000000003</v>
      </c>
      <c r="L724">
        <v>798024.26</v>
      </c>
      <c r="M724">
        <v>470314.17</v>
      </c>
      <c r="N724">
        <v>0</v>
      </c>
    </row>
    <row r="725" spans="1:14" hidden="1">
      <c r="A725" t="s">
        <v>511</v>
      </c>
      <c r="B725" t="s">
        <v>478</v>
      </c>
      <c r="C725" t="s">
        <v>539</v>
      </c>
      <c r="D725" t="s">
        <v>1570</v>
      </c>
      <c r="E725" t="s">
        <v>1571</v>
      </c>
      <c r="F725">
        <v>48606.400000000001</v>
      </c>
      <c r="G725">
        <v>297364024</v>
      </c>
      <c r="H725" s="118">
        <v>44893</v>
      </c>
      <c r="I725">
        <v>10.590400000000001</v>
      </c>
      <c r="J725">
        <v>25.789200000000001</v>
      </c>
      <c r="K725">
        <v>514760.41</v>
      </c>
      <c r="L725">
        <v>1253520.51</v>
      </c>
      <c r="M725">
        <v>738760.1</v>
      </c>
      <c r="N725">
        <v>0</v>
      </c>
    </row>
    <row r="726" spans="1:14" hidden="1">
      <c r="A726" t="s">
        <v>511</v>
      </c>
      <c r="B726" t="s">
        <v>478</v>
      </c>
      <c r="C726" t="s">
        <v>539</v>
      </c>
      <c r="D726" t="s">
        <v>1572</v>
      </c>
      <c r="E726" t="s">
        <v>1573</v>
      </c>
      <c r="F726">
        <v>9356.73</v>
      </c>
      <c r="G726">
        <v>297363979</v>
      </c>
      <c r="H726" s="118">
        <v>44596</v>
      </c>
      <c r="I726">
        <v>1068.7493999999999</v>
      </c>
      <c r="J726">
        <v>758.01300000000003</v>
      </c>
      <c r="K726">
        <v>10000000</v>
      </c>
      <c r="L726">
        <v>7092522.8499999996</v>
      </c>
      <c r="M726">
        <v>-2907477.15</v>
      </c>
      <c r="N726">
        <v>0</v>
      </c>
    </row>
    <row r="727" spans="1:14" hidden="1">
      <c r="A727" t="s">
        <v>511</v>
      </c>
      <c r="B727" t="s">
        <v>478</v>
      </c>
      <c r="C727" t="s">
        <v>539</v>
      </c>
      <c r="D727" t="s">
        <v>1574</v>
      </c>
      <c r="E727" t="s">
        <v>1575</v>
      </c>
      <c r="F727">
        <v>1458333.34</v>
      </c>
      <c r="G727">
        <v>297363985</v>
      </c>
      <c r="H727" s="118">
        <v>44630</v>
      </c>
      <c r="I727">
        <v>1</v>
      </c>
      <c r="J727">
        <v>0.41749999999999998</v>
      </c>
      <c r="K727">
        <v>1458333.34</v>
      </c>
      <c r="L727">
        <v>608847.31000000006</v>
      </c>
      <c r="M727">
        <v>-849486.03</v>
      </c>
      <c r="N727">
        <v>0</v>
      </c>
    </row>
    <row r="728" spans="1:14" hidden="1">
      <c r="A728" t="s">
        <v>511</v>
      </c>
      <c r="B728" t="s">
        <v>478</v>
      </c>
      <c r="C728" t="s">
        <v>539</v>
      </c>
      <c r="D728" t="s">
        <v>1576</v>
      </c>
      <c r="E728" t="s">
        <v>1577</v>
      </c>
      <c r="F728">
        <v>851086.95</v>
      </c>
      <c r="G728">
        <v>297364035</v>
      </c>
      <c r="H728" s="118">
        <v>44944</v>
      </c>
      <c r="I728">
        <v>1</v>
      </c>
      <c r="J728">
        <v>1.68</v>
      </c>
      <c r="K728">
        <v>851086.95</v>
      </c>
      <c r="L728">
        <v>1429826.08</v>
      </c>
      <c r="M728">
        <v>578739.13</v>
      </c>
      <c r="N728">
        <v>0</v>
      </c>
    </row>
    <row r="729" spans="1:14" hidden="1">
      <c r="A729" t="s">
        <v>511</v>
      </c>
      <c r="B729" t="s">
        <v>478</v>
      </c>
      <c r="C729" t="s">
        <v>539</v>
      </c>
      <c r="D729" t="s">
        <v>1578</v>
      </c>
      <c r="E729" t="s">
        <v>1579</v>
      </c>
      <c r="F729">
        <v>1312</v>
      </c>
      <c r="G729">
        <v>317552485</v>
      </c>
      <c r="H729" s="118">
        <v>45544</v>
      </c>
      <c r="I729">
        <v>0</v>
      </c>
      <c r="J729">
        <v>0</v>
      </c>
      <c r="K729">
        <v>0</v>
      </c>
      <c r="L729">
        <v>0</v>
      </c>
      <c r="M729">
        <v>0</v>
      </c>
      <c r="N729">
        <v>0</v>
      </c>
    </row>
    <row r="730" spans="1:14" hidden="1">
      <c r="A730" t="s">
        <v>511</v>
      </c>
      <c r="B730" t="s">
        <v>478</v>
      </c>
      <c r="C730" t="s">
        <v>539</v>
      </c>
      <c r="D730" t="s">
        <v>1580</v>
      </c>
      <c r="E730" t="s">
        <v>1581</v>
      </c>
      <c r="F730">
        <v>4833</v>
      </c>
      <c r="G730">
        <v>350805995</v>
      </c>
      <c r="H730" s="118">
        <v>45869</v>
      </c>
      <c r="I730">
        <v>76.3</v>
      </c>
      <c r="J730">
        <v>7.37</v>
      </c>
      <c r="K730">
        <v>368757.9</v>
      </c>
      <c r="L730">
        <v>35619.21</v>
      </c>
      <c r="M730">
        <v>-333138.69</v>
      </c>
      <c r="N730">
        <v>0</v>
      </c>
    </row>
    <row r="731" spans="1:14" hidden="1">
      <c r="A731" t="s">
        <v>511</v>
      </c>
      <c r="B731" t="s">
        <v>478</v>
      </c>
      <c r="C731" t="s">
        <v>539</v>
      </c>
      <c r="D731" t="s">
        <v>1582</v>
      </c>
      <c r="E731" t="s">
        <v>1583</v>
      </c>
      <c r="F731">
        <v>45000</v>
      </c>
      <c r="G731">
        <v>342806246</v>
      </c>
      <c r="H731" s="118">
        <v>45821</v>
      </c>
      <c r="I731">
        <v>10</v>
      </c>
      <c r="J731">
        <v>10.27</v>
      </c>
      <c r="K731">
        <v>450000</v>
      </c>
      <c r="L731">
        <v>462150</v>
      </c>
      <c r="M731">
        <v>12150</v>
      </c>
      <c r="N731">
        <v>0</v>
      </c>
    </row>
    <row r="732" spans="1:14" hidden="1">
      <c r="A732" t="s">
        <v>511</v>
      </c>
      <c r="B732" t="s">
        <v>478</v>
      </c>
      <c r="C732" t="s">
        <v>539</v>
      </c>
      <c r="D732" t="s">
        <v>1584</v>
      </c>
      <c r="E732" t="s">
        <v>1585</v>
      </c>
      <c r="F732">
        <v>1680300</v>
      </c>
      <c r="G732">
        <v>297364106</v>
      </c>
      <c r="H732" s="118">
        <v>45329</v>
      </c>
      <c r="I732">
        <v>0.95409999999999995</v>
      </c>
      <c r="J732">
        <v>0.72</v>
      </c>
      <c r="K732">
        <v>1603175.01</v>
      </c>
      <c r="L732">
        <v>1209816</v>
      </c>
      <c r="M732">
        <v>-393359.01</v>
      </c>
      <c r="N732">
        <v>0</v>
      </c>
    </row>
    <row r="733" spans="1:14" hidden="1">
      <c r="A733" t="s">
        <v>511</v>
      </c>
      <c r="B733" t="s">
        <v>478</v>
      </c>
      <c r="C733" t="s">
        <v>539</v>
      </c>
      <c r="D733" t="s">
        <v>1586</v>
      </c>
      <c r="E733" t="s">
        <v>1587</v>
      </c>
      <c r="F733">
        <v>514</v>
      </c>
      <c r="G733">
        <v>341255409</v>
      </c>
      <c r="H733" s="118">
        <v>45777</v>
      </c>
      <c r="I733">
        <v>1784.48</v>
      </c>
      <c r="J733">
        <v>1250.4100000000001</v>
      </c>
      <c r="K733">
        <v>917222.72</v>
      </c>
      <c r="L733">
        <v>642710.74</v>
      </c>
      <c r="M733">
        <v>-274511.98</v>
      </c>
      <c r="N733">
        <v>0</v>
      </c>
    </row>
    <row r="734" spans="1:14" hidden="1">
      <c r="A734" t="s">
        <v>511</v>
      </c>
      <c r="B734" t="s">
        <v>478</v>
      </c>
      <c r="C734" t="s">
        <v>539</v>
      </c>
      <c r="D734" t="s">
        <v>1588</v>
      </c>
      <c r="E734" t="s">
        <v>1589</v>
      </c>
      <c r="F734">
        <v>3562500</v>
      </c>
      <c r="G734">
        <v>297363993</v>
      </c>
      <c r="H734" s="118">
        <v>44713</v>
      </c>
      <c r="I734">
        <v>1</v>
      </c>
      <c r="J734">
        <v>3</v>
      </c>
      <c r="K734">
        <v>3562500</v>
      </c>
      <c r="L734">
        <v>10687500</v>
      </c>
      <c r="M734">
        <v>7125000</v>
      </c>
      <c r="N734">
        <v>0</v>
      </c>
    </row>
    <row r="735" spans="1:14" hidden="1">
      <c r="A735" t="s">
        <v>511</v>
      </c>
      <c r="B735" t="s">
        <v>478</v>
      </c>
      <c r="C735" t="s">
        <v>539</v>
      </c>
      <c r="D735" t="s">
        <v>1590</v>
      </c>
      <c r="E735" t="s">
        <v>1591</v>
      </c>
      <c r="F735">
        <v>3656.8449999999998</v>
      </c>
      <c r="G735">
        <v>297363998</v>
      </c>
      <c r="H735" s="118">
        <v>44739</v>
      </c>
      <c r="I735">
        <v>1026.5226</v>
      </c>
      <c r="J735">
        <v>1411.5187000000001</v>
      </c>
      <c r="K735">
        <v>3753834.21</v>
      </c>
      <c r="L735">
        <v>5161705</v>
      </c>
      <c r="M735">
        <v>1407870.79</v>
      </c>
      <c r="N735">
        <v>0</v>
      </c>
    </row>
    <row r="736" spans="1:14" hidden="1">
      <c r="A736" t="s">
        <v>511</v>
      </c>
      <c r="B736" t="s">
        <v>478</v>
      </c>
      <c r="C736" t="s">
        <v>539</v>
      </c>
      <c r="D736" t="s">
        <v>1590</v>
      </c>
      <c r="E736" t="s">
        <v>1591</v>
      </c>
      <c r="F736">
        <v>58.167000000000002</v>
      </c>
      <c r="G736">
        <v>297364045</v>
      </c>
      <c r="H736" s="118">
        <v>45043</v>
      </c>
      <c r="I736">
        <v>1015.9245</v>
      </c>
      <c r="J736">
        <v>1411.5187000000001</v>
      </c>
      <c r="K736">
        <v>59093.279999999999</v>
      </c>
      <c r="L736">
        <v>82103.81</v>
      </c>
      <c r="M736">
        <v>23010.53</v>
      </c>
      <c r="N736">
        <v>0</v>
      </c>
    </row>
    <row r="737" spans="1:14" hidden="1">
      <c r="A737" t="s">
        <v>511</v>
      </c>
      <c r="B737" t="s">
        <v>478</v>
      </c>
      <c r="C737" t="s">
        <v>539</v>
      </c>
      <c r="D737" t="s">
        <v>1590</v>
      </c>
      <c r="E737" t="s">
        <v>1591</v>
      </c>
      <c r="F737">
        <v>39.238999999999997</v>
      </c>
      <c r="G737">
        <v>303723120</v>
      </c>
      <c r="H737" s="118">
        <v>45419</v>
      </c>
      <c r="I737">
        <v>1015.9148</v>
      </c>
      <c r="J737">
        <v>1411.5187000000001</v>
      </c>
      <c r="K737">
        <v>39863.480000000003</v>
      </c>
      <c r="L737">
        <v>55386.58</v>
      </c>
      <c r="M737">
        <v>15523.1</v>
      </c>
      <c r="N737">
        <v>0</v>
      </c>
    </row>
    <row r="738" spans="1:14" hidden="1">
      <c r="A738" t="s">
        <v>511</v>
      </c>
      <c r="B738" t="s">
        <v>478</v>
      </c>
      <c r="C738" t="s">
        <v>539</v>
      </c>
      <c r="D738" t="s">
        <v>1592</v>
      </c>
      <c r="E738" t="s">
        <v>1593</v>
      </c>
      <c r="F738">
        <v>179.89099999999999</v>
      </c>
      <c r="G738">
        <v>297363999</v>
      </c>
      <c r="H738" s="118">
        <v>44739</v>
      </c>
      <c r="I738">
        <v>667.6499</v>
      </c>
      <c r="J738">
        <v>1411.5187000000001</v>
      </c>
      <c r="K738">
        <v>120104.2</v>
      </c>
      <c r="L738">
        <v>253919.51</v>
      </c>
      <c r="M738">
        <v>133815.31</v>
      </c>
      <c r="N738">
        <v>0</v>
      </c>
    </row>
    <row r="739" spans="1:14" hidden="1">
      <c r="A739" t="s">
        <v>511</v>
      </c>
      <c r="B739" t="s">
        <v>478</v>
      </c>
      <c r="C739" t="s">
        <v>539</v>
      </c>
      <c r="D739" t="s">
        <v>1592</v>
      </c>
      <c r="E739" t="s">
        <v>1593</v>
      </c>
      <c r="F739">
        <v>65.858999999999995</v>
      </c>
      <c r="G739">
        <v>297364046</v>
      </c>
      <c r="H739" s="118">
        <v>44834</v>
      </c>
      <c r="I739">
        <v>999.99609999999996</v>
      </c>
      <c r="J739">
        <v>1411.5187000000001</v>
      </c>
      <c r="K739">
        <v>65858.740000000005</v>
      </c>
      <c r="L739">
        <v>92961.21</v>
      </c>
      <c r="M739">
        <v>27102.47</v>
      </c>
      <c r="N739">
        <v>0</v>
      </c>
    </row>
    <row r="740" spans="1:14" hidden="1">
      <c r="A740" t="s">
        <v>511</v>
      </c>
      <c r="B740" t="s">
        <v>478</v>
      </c>
      <c r="C740" t="s">
        <v>539</v>
      </c>
      <c r="D740" t="s">
        <v>1594</v>
      </c>
      <c r="E740" t="s">
        <v>1595</v>
      </c>
      <c r="F740">
        <v>207.792</v>
      </c>
      <c r="G740">
        <v>299171173</v>
      </c>
      <c r="H740" s="118">
        <v>45371</v>
      </c>
      <c r="I740">
        <v>1000.001</v>
      </c>
      <c r="J740">
        <v>1411.5187000000001</v>
      </c>
      <c r="K740">
        <v>207792.21</v>
      </c>
      <c r="L740">
        <v>293302.28999999998</v>
      </c>
      <c r="M740">
        <v>85510.080000000002</v>
      </c>
      <c r="N740">
        <v>0</v>
      </c>
    </row>
    <row r="741" spans="1:14" hidden="1">
      <c r="A741" t="s">
        <v>511</v>
      </c>
      <c r="B741" t="s">
        <v>478</v>
      </c>
      <c r="C741" t="s">
        <v>539</v>
      </c>
      <c r="D741" t="s">
        <v>1596</v>
      </c>
      <c r="E741" t="s">
        <v>1597</v>
      </c>
      <c r="F741">
        <v>169230.77</v>
      </c>
      <c r="G741">
        <v>297364089</v>
      </c>
      <c r="H741" s="118">
        <v>45257</v>
      </c>
      <c r="I741">
        <v>1</v>
      </c>
      <c r="J741">
        <v>1.2299</v>
      </c>
      <c r="K741">
        <v>169230.77</v>
      </c>
      <c r="L741">
        <v>208136.92</v>
      </c>
      <c r="M741">
        <v>38906.15</v>
      </c>
      <c r="N741">
        <v>0</v>
      </c>
    </row>
    <row r="742" spans="1:14" hidden="1">
      <c r="A742" t="s">
        <v>511</v>
      </c>
      <c r="B742" t="s">
        <v>478</v>
      </c>
      <c r="C742" t="s">
        <v>539</v>
      </c>
      <c r="D742" t="s">
        <v>1596</v>
      </c>
      <c r="E742" t="s">
        <v>1597</v>
      </c>
      <c r="F742">
        <v>35224.44</v>
      </c>
      <c r="G742">
        <v>317054920</v>
      </c>
      <c r="H742" s="118">
        <v>45562</v>
      </c>
      <c r="I742">
        <v>1</v>
      </c>
      <c r="J742">
        <v>1.2299</v>
      </c>
      <c r="K742">
        <v>35224.44</v>
      </c>
      <c r="L742">
        <v>43322.54</v>
      </c>
      <c r="M742">
        <v>8098.1</v>
      </c>
      <c r="N742">
        <v>0</v>
      </c>
    </row>
    <row r="743" spans="1:14" hidden="1">
      <c r="A743" t="s">
        <v>511</v>
      </c>
      <c r="B743" t="s">
        <v>478</v>
      </c>
      <c r="C743" t="s">
        <v>539</v>
      </c>
      <c r="D743" t="s">
        <v>1598</v>
      </c>
      <c r="E743" t="s">
        <v>1599</v>
      </c>
      <c r="F743">
        <v>1644.7370000000001</v>
      </c>
      <c r="G743">
        <v>297364098</v>
      </c>
      <c r="H743" s="118">
        <v>45289</v>
      </c>
      <c r="I743">
        <v>999.99990000000003</v>
      </c>
      <c r="J743">
        <v>1717</v>
      </c>
      <c r="K743">
        <v>1644736.84</v>
      </c>
      <c r="L743">
        <v>2824013.43</v>
      </c>
      <c r="M743">
        <v>1179276.5900000001</v>
      </c>
      <c r="N743">
        <v>0</v>
      </c>
    </row>
    <row r="744" spans="1:14" hidden="1">
      <c r="A744" t="s">
        <v>511</v>
      </c>
      <c r="B744" t="s">
        <v>478</v>
      </c>
      <c r="C744" t="s">
        <v>539</v>
      </c>
      <c r="D744" t="s">
        <v>1600</v>
      </c>
      <c r="E744" t="s">
        <v>1601</v>
      </c>
      <c r="F744">
        <v>743825.8</v>
      </c>
      <c r="G744">
        <v>297363973</v>
      </c>
      <c r="H744" s="118">
        <v>44504</v>
      </c>
      <c r="I744">
        <v>0</v>
      </c>
      <c r="J744">
        <v>6.9599999999999995E-2</v>
      </c>
      <c r="K744">
        <v>0</v>
      </c>
      <c r="L744">
        <v>51775.9</v>
      </c>
      <c r="M744">
        <v>51775.9</v>
      </c>
      <c r="N744">
        <v>0</v>
      </c>
    </row>
    <row r="745" spans="1:14" hidden="1">
      <c r="A745" t="s">
        <v>511</v>
      </c>
      <c r="B745" t="s">
        <v>478</v>
      </c>
      <c r="C745" t="s">
        <v>539</v>
      </c>
      <c r="D745" t="s">
        <v>1602</v>
      </c>
      <c r="E745" t="s">
        <v>1603</v>
      </c>
      <c r="F745">
        <v>64967.33</v>
      </c>
      <c r="G745">
        <v>297364055</v>
      </c>
      <c r="H745" s="118">
        <v>45083</v>
      </c>
      <c r="I745">
        <v>5.4</v>
      </c>
      <c r="J745">
        <v>1.5281</v>
      </c>
      <c r="K745">
        <v>350823.58</v>
      </c>
      <c r="L745">
        <v>99275.95</v>
      </c>
      <c r="M745">
        <v>-251547.63</v>
      </c>
      <c r="N745">
        <v>0</v>
      </c>
    </row>
    <row r="746" spans="1:14" hidden="1">
      <c r="A746" t="s">
        <v>511</v>
      </c>
      <c r="B746" t="s">
        <v>478</v>
      </c>
      <c r="C746" t="s">
        <v>539</v>
      </c>
      <c r="D746" t="s">
        <v>1602</v>
      </c>
      <c r="E746" t="s">
        <v>1603</v>
      </c>
      <c r="F746">
        <v>130098.35</v>
      </c>
      <c r="G746">
        <v>338256242</v>
      </c>
      <c r="H746" s="118">
        <v>45775</v>
      </c>
      <c r="I746">
        <v>0.9</v>
      </c>
      <c r="J746">
        <v>1.5281</v>
      </c>
      <c r="K746">
        <v>117088.53</v>
      </c>
      <c r="L746">
        <v>198802.04</v>
      </c>
      <c r="M746">
        <v>81713.509999999995</v>
      </c>
      <c r="N746">
        <v>0</v>
      </c>
    </row>
    <row r="747" spans="1:14" hidden="1">
      <c r="A747" t="s">
        <v>511</v>
      </c>
      <c r="B747" t="s">
        <v>478</v>
      </c>
      <c r="C747" t="s">
        <v>539</v>
      </c>
      <c r="D747" t="s">
        <v>1604</v>
      </c>
      <c r="E747" t="s">
        <v>1605</v>
      </c>
      <c r="F747">
        <v>0.69899999999999995</v>
      </c>
      <c r="G747">
        <v>297363902</v>
      </c>
      <c r="H747" s="118">
        <v>43943</v>
      </c>
      <c r="I747">
        <v>999.92849999999999</v>
      </c>
      <c r="J747">
        <v>378.8886</v>
      </c>
      <c r="K747">
        <v>698.95</v>
      </c>
      <c r="L747">
        <v>264.83999999999997</v>
      </c>
      <c r="M747">
        <v>-434.11</v>
      </c>
      <c r="N747">
        <v>0</v>
      </c>
    </row>
    <row r="748" spans="1:14" hidden="1">
      <c r="A748" t="s">
        <v>511</v>
      </c>
      <c r="B748" t="s">
        <v>478</v>
      </c>
      <c r="C748" t="s">
        <v>539</v>
      </c>
      <c r="D748" t="s">
        <v>1604</v>
      </c>
      <c r="E748" t="s">
        <v>1605</v>
      </c>
      <c r="F748">
        <v>0.55700000000000005</v>
      </c>
      <c r="G748">
        <v>297364015</v>
      </c>
      <c r="H748" s="118">
        <v>44805</v>
      </c>
      <c r="I748">
        <v>1402.5672999999999</v>
      </c>
      <c r="J748">
        <v>378.8886</v>
      </c>
      <c r="K748">
        <v>781.23</v>
      </c>
      <c r="L748">
        <v>211.04</v>
      </c>
      <c r="M748">
        <v>-570.19000000000005</v>
      </c>
      <c r="N748">
        <v>0</v>
      </c>
    </row>
    <row r="749" spans="1:14" hidden="1">
      <c r="A749" t="s">
        <v>511</v>
      </c>
      <c r="B749" t="s">
        <v>478</v>
      </c>
      <c r="C749" t="s">
        <v>539</v>
      </c>
      <c r="D749" t="s">
        <v>1606</v>
      </c>
      <c r="E749" t="s">
        <v>1607</v>
      </c>
      <c r="F749">
        <v>12419.355</v>
      </c>
      <c r="G749">
        <v>297364091</v>
      </c>
      <c r="H749" s="118">
        <v>45259</v>
      </c>
      <c r="I749">
        <v>100</v>
      </c>
      <c r="J749">
        <v>113.03</v>
      </c>
      <c r="K749">
        <v>1241935.48</v>
      </c>
      <c r="L749">
        <v>1403759.7</v>
      </c>
      <c r="M749">
        <v>161824.22</v>
      </c>
      <c r="N749">
        <v>0</v>
      </c>
    </row>
    <row r="750" spans="1:14" hidden="1">
      <c r="A750" t="s">
        <v>511</v>
      </c>
      <c r="B750" t="s">
        <v>478</v>
      </c>
      <c r="C750" t="s">
        <v>539</v>
      </c>
      <c r="D750" t="s">
        <v>1608</v>
      </c>
      <c r="E750" t="s">
        <v>1609</v>
      </c>
      <c r="F750">
        <v>189273.89</v>
      </c>
      <c r="G750">
        <v>318706619</v>
      </c>
      <c r="H750" s="118">
        <v>45574</v>
      </c>
      <c r="I750">
        <v>0.245</v>
      </c>
      <c r="J750">
        <v>0</v>
      </c>
      <c r="K750">
        <v>46372.1</v>
      </c>
      <c r="L750">
        <v>0</v>
      </c>
      <c r="M750">
        <v>-46372.1</v>
      </c>
      <c r="N750">
        <v>0</v>
      </c>
    </row>
    <row r="751" spans="1:14" hidden="1">
      <c r="A751" t="s">
        <v>511</v>
      </c>
      <c r="B751" t="s">
        <v>478</v>
      </c>
      <c r="C751" t="s">
        <v>539</v>
      </c>
      <c r="D751" t="s">
        <v>1610</v>
      </c>
      <c r="E751" t="s">
        <v>1611</v>
      </c>
      <c r="F751">
        <v>773800</v>
      </c>
      <c r="G751">
        <v>297364116</v>
      </c>
      <c r="H751" s="118">
        <v>45351</v>
      </c>
      <c r="I751">
        <v>0.96099999999999997</v>
      </c>
      <c r="J751">
        <v>1.7522</v>
      </c>
      <c r="K751">
        <v>743625.48</v>
      </c>
      <c r="L751">
        <v>1355852.36</v>
      </c>
      <c r="M751">
        <v>612226.88</v>
      </c>
      <c r="N751">
        <v>0</v>
      </c>
    </row>
    <row r="752" spans="1:14" hidden="1">
      <c r="A752" t="s">
        <v>511</v>
      </c>
      <c r="B752" t="s">
        <v>478</v>
      </c>
      <c r="C752" t="s">
        <v>539</v>
      </c>
      <c r="D752" t="s">
        <v>1612</v>
      </c>
      <c r="E752" t="s">
        <v>1613</v>
      </c>
      <c r="F752">
        <v>595.35</v>
      </c>
      <c r="G752">
        <v>297363971</v>
      </c>
      <c r="H752" s="118">
        <v>44557</v>
      </c>
      <c r="I752">
        <v>0</v>
      </c>
      <c r="J752">
        <v>0</v>
      </c>
      <c r="K752">
        <v>0</v>
      </c>
      <c r="L752">
        <v>0</v>
      </c>
      <c r="M752">
        <v>0</v>
      </c>
      <c r="N752">
        <v>0</v>
      </c>
    </row>
    <row r="753" spans="1:14" hidden="1">
      <c r="A753" t="s">
        <v>511</v>
      </c>
      <c r="B753" t="s">
        <v>478</v>
      </c>
      <c r="C753" t="s">
        <v>539</v>
      </c>
      <c r="D753" t="s">
        <v>1614</v>
      </c>
      <c r="E753" t="s">
        <v>1615</v>
      </c>
      <c r="F753">
        <v>688</v>
      </c>
      <c r="G753">
        <v>297363904</v>
      </c>
      <c r="H753" s="118">
        <v>43952</v>
      </c>
      <c r="I753">
        <v>0</v>
      </c>
      <c r="J753">
        <v>138.44049999999999</v>
      </c>
      <c r="K753">
        <v>0</v>
      </c>
      <c r="L753">
        <v>95247.09</v>
      </c>
      <c r="M753">
        <v>95247.09</v>
      </c>
      <c r="N753">
        <v>0</v>
      </c>
    </row>
    <row r="754" spans="1:14" hidden="1">
      <c r="A754" t="s">
        <v>511</v>
      </c>
      <c r="B754" t="s">
        <v>478</v>
      </c>
      <c r="C754" t="s">
        <v>539</v>
      </c>
      <c r="D754" t="s">
        <v>1614</v>
      </c>
      <c r="E754" t="s">
        <v>1615</v>
      </c>
      <c r="F754">
        <v>11.667</v>
      </c>
      <c r="G754">
        <v>297363992</v>
      </c>
      <c r="H754" s="118">
        <v>44692</v>
      </c>
      <c r="I754">
        <v>0</v>
      </c>
      <c r="J754">
        <v>138.44049999999999</v>
      </c>
      <c r="K754">
        <v>0</v>
      </c>
      <c r="L754">
        <v>1615.19</v>
      </c>
      <c r="M754">
        <v>1615.19</v>
      </c>
      <c r="N754">
        <v>0</v>
      </c>
    </row>
    <row r="755" spans="1:14" hidden="1">
      <c r="A755" t="s">
        <v>511</v>
      </c>
      <c r="B755" t="s">
        <v>478</v>
      </c>
      <c r="C755" t="s">
        <v>539</v>
      </c>
      <c r="D755" t="s">
        <v>1616</v>
      </c>
      <c r="E755" t="s">
        <v>1617</v>
      </c>
      <c r="F755">
        <v>39.311</v>
      </c>
      <c r="G755">
        <v>297363923</v>
      </c>
      <c r="H755" s="118">
        <v>44229</v>
      </c>
      <c r="I755">
        <v>303.35399999999998</v>
      </c>
      <c r="J755">
        <v>173.05090000000001</v>
      </c>
      <c r="K755">
        <v>11925.15</v>
      </c>
      <c r="L755">
        <v>6802.81</v>
      </c>
      <c r="M755">
        <v>-5122.34</v>
      </c>
      <c r="N755">
        <v>0</v>
      </c>
    </row>
    <row r="756" spans="1:14" hidden="1">
      <c r="A756" t="s">
        <v>511</v>
      </c>
      <c r="B756" t="s">
        <v>478</v>
      </c>
      <c r="C756" t="s">
        <v>539</v>
      </c>
      <c r="D756" t="s">
        <v>1616</v>
      </c>
      <c r="E756" t="s">
        <v>1617</v>
      </c>
      <c r="F756">
        <v>0.91</v>
      </c>
      <c r="G756">
        <v>297363991</v>
      </c>
      <c r="H756" s="118">
        <v>44686</v>
      </c>
      <c r="I756">
        <v>444.0659</v>
      </c>
      <c r="J756">
        <v>173.05090000000001</v>
      </c>
      <c r="K756">
        <v>404.1</v>
      </c>
      <c r="L756">
        <v>157.47999999999999</v>
      </c>
      <c r="M756">
        <v>-246.62</v>
      </c>
      <c r="N756">
        <v>0</v>
      </c>
    </row>
    <row r="757" spans="1:14" hidden="1">
      <c r="A757" t="s">
        <v>511</v>
      </c>
      <c r="B757" t="s">
        <v>478</v>
      </c>
      <c r="C757" t="s">
        <v>539</v>
      </c>
      <c r="D757" t="s">
        <v>1618</v>
      </c>
      <c r="E757" t="s">
        <v>1619</v>
      </c>
      <c r="F757">
        <v>821.66600000000005</v>
      </c>
      <c r="G757">
        <v>297363905</v>
      </c>
      <c r="H757" s="118">
        <v>43952</v>
      </c>
      <c r="I757">
        <v>100</v>
      </c>
      <c r="J757">
        <v>138.44049999999999</v>
      </c>
      <c r="K757">
        <v>82166.63</v>
      </c>
      <c r="L757">
        <v>113751.88</v>
      </c>
      <c r="M757">
        <v>31585.25</v>
      </c>
      <c r="N757">
        <v>0</v>
      </c>
    </row>
    <row r="758" spans="1:14" hidden="1">
      <c r="A758" t="s">
        <v>511</v>
      </c>
      <c r="B758" t="s">
        <v>478</v>
      </c>
      <c r="C758" t="s">
        <v>539</v>
      </c>
      <c r="D758" t="s">
        <v>1618</v>
      </c>
      <c r="E758" t="s">
        <v>1619</v>
      </c>
      <c r="F758">
        <v>133.333</v>
      </c>
      <c r="G758">
        <v>297363911</v>
      </c>
      <c r="H758" s="118">
        <v>44047</v>
      </c>
      <c r="I758">
        <v>100.0003</v>
      </c>
      <c r="J758">
        <v>138.44049999999999</v>
      </c>
      <c r="K758">
        <v>13333.34</v>
      </c>
      <c r="L758">
        <v>18458.689999999999</v>
      </c>
      <c r="M758">
        <v>5125.3500000000004</v>
      </c>
      <c r="N758">
        <v>0</v>
      </c>
    </row>
    <row r="759" spans="1:14" hidden="1">
      <c r="A759" t="s">
        <v>511</v>
      </c>
      <c r="B759" t="s">
        <v>478</v>
      </c>
      <c r="C759" t="s">
        <v>539</v>
      </c>
      <c r="D759" t="s">
        <v>1620</v>
      </c>
      <c r="E759" t="s">
        <v>1621</v>
      </c>
      <c r="F759">
        <v>1157</v>
      </c>
      <c r="G759">
        <v>314995807</v>
      </c>
      <c r="H759" s="118">
        <v>45488</v>
      </c>
      <c r="I759">
        <v>17.5</v>
      </c>
      <c r="J759">
        <v>11.39</v>
      </c>
      <c r="K759">
        <v>20247.509999999998</v>
      </c>
      <c r="L759">
        <v>13178.23</v>
      </c>
      <c r="M759">
        <v>-7069.28</v>
      </c>
      <c r="N759">
        <v>0</v>
      </c>
    </row>
    <row r="760" spans="1:14" hidden="1">
      <c r="A760" t="s">
        <v>511</v>
      </c>
      <c r="B760" t="s">
        <v>478</v>
      </c>
      <c r="C760" t="s">
        <v>539</v>
      </c>
      <c r="D760" t="s">
        <v>1622</v>
      </c>
      <c r="E760" t="s">
        <v>1623</v>
      </c>
      <c r="F760">
        <v>115688</v>
      </c>
      <c r="G760">
        <v>337491231</v>
      </c>
      <c r="H760" s="118">
        <v>45749</v>
      </c>
      <c r="I760">
        <v>1.17</v>
      </c>
      <c r="J760">
        <v>0</v>
      </c>
      <c r="K760">
        <v>135355</v>
      </c>
      <c r="L760">
        <v>0</v>
      </c>
      <c r="M760">
        <v>-135355</v>
      </c>
      <c r="N760">
        <v>0</v>
      </c>
    </row>
    <row r="761" spans="1:14" hidden="1">
      <c r="A761" t="s">
        <v>511</v>
      </c>
      <c r="B761" t="s">
        <v>478</v>
      </c>
      <c r="C761" t="s">
        <v>539</v>
      </c>
      <c r="D761" t="s">
        <v>1624</v>
      </c>
      <c r="E761" t="s">
        <v>1625</v>
      </c>
      <c r="F761">
        <v>1257.002</v>
      </c>
      <c r="G761">
        <v>297364063</v>
      </c>
      <c r="H761" s="118">
        <v>45160</v>
      </c>
      <c r="I761">
        <v>992.4855</v>
      </c>
      <c r="J761">
        <v>233.15</v>
      </c>
      <c r="K761">
        <v>1247556.26</v>
      </c>
      <c r="L761">
        <v>293070.02</v>
      </c>
      <c r="M761">
        <v>-954486.24</v>
      </c>
      <c r="N761">
        <v>0</v>
      </c>
    </row>
    <row r="762" spans="1:14" hidden="1">
      <c r="A762" t="s">
        <v>511</v>
      </c>
      <c r="B762" t="s">
        <v>478</v>
      </c>
      <c r="C762" t="s">
        <v>539</v>
      </c>
      <c r="D762" t="s">
        <v>1626</v>
      </c>
      <c r="E762" t="s">
        <v>1627</v>
      </c>
      <c r="F762">
        <v>227.3</v>
      </c>
      <c r="G762">
        <v>304895571</v>
      </c>
      <c r="H762" s="118">
        <v>45435</v>
      </c>
      <c r="I762">
        <v>1000</v>
      </c>
      <c r="J762">
        <v>6.8440000000000003</v>
      </c>
      <c r="K762">
        <v>227300</v>
      </c>
      <c r="L762">
        <v>1555.64</v>
      </c>
      <c r="M762">
        <v>-225744.36</v>
      </c>
      <c r="N762">
        <v>0</v>
      </c>
    </row>
    <row r="763" spans="1:14" hidden="1">
      <c r="A763" t="s">
        <v>511</v>
      </c>
      <c r="B763" t="s">
        <v>478</v>
      </c>
      <c r="C763" t="s">
        <v>539</v>
      </c>
      <c r="D763" t="s">
        <v>1626</v>
      </c>
      <c r="E763" t="s">
        <v>1627</v>
      </c>
      <c r="F763">
        <v>17.327000000000002</v>
      </c>
      <c r="G763">
        <v>342311749</v>
      </c>
      <c r="H763" s="118">
        <v>45818</v>
      </c>
      <c r="I763">
        <v>1000.0098</v>
      </c>
      <c r="J763">
        <v>6.8440000000000003</v>
      </c>
      <c r="K763">
        <v>17327.169999999998</v>
      </c>
      <c r="L763">
        <v>118.59</v>
      </c>
      <c r="M763">
        <v>-17208.580000000002</v>
      </c>
      <c r="N763">
        <v>0</v>
      </c>
    </row>
    <row r="764" spans="1:14" hidden="1">
      <c r="A764" t="s">
        <v>511</v>
      </c>
      <c r="B764" t="s">
        <v>478</v>
      </c>
      <c r="C764" t="s">
        <v>539</v>
      </c>
      <c r="D764" t="s">
        <v>1628</v>
      </c>
      <c r="E764" t="s">
        <v>1629</v>
      </c>
      <c r="F764">
        <v>1165.7139999999999</v>
      </c>
      <c r="G764">
        <v>345291175</v>
      </c>
      <c r="H764" s="118">
        <v>45839</v>
      </c>
      <c r="I764">
        <v>1000</v>
      </c>
      <c r="J764">
        <v>1123.0999999999999</v>
      </c>
      <c r="K764">
        <v>1165714.02</v>
      </c>
      <c r="L764">
        <v>1309213.3899999999</v>
      </c>
      <c r="M764">
        <v>143499.37</v>
      </c>
      <c r="N764">
        <v>0</v>
      </c>
    </row>
    <row r="765" spans="1:14" hidden="1">
      <c r="A765" t="s">
        <v>511</v>
      </c>
      <c r="B765" t="s">
        <v>478</v>
      </c>
      <c r="C765" t="s">
        <v>539</v>
      </c>
      <c r="D765" t="s">
        <v>1630</v>
      </c>
      <c r="E765" t="s">
        <v>1631</v>
      </c>
      <c r="F765">
        <v>840</v>
      </c>
      <c r="G765">
        <v>305637149</v>
      </c>
      <c r="H765" s="118">
        <v>45443</v>
      </c>
      <c r="I765">
        <v>1012.9714</v>
      </c>
      <c r="J765">
        <v>1210</v>
      </c>
      <c r="K765">
        <v>850896</v>
      </c>
      <c r="L765">
        <v>1016400</v>
      </c>
      <c r="M765">
        <v>165504</v>
      </c>
      <c r="N765">
        <v>0</v>
      </c>
    </row>
    <row r="766" spans="1:14" hidden="1">
      <c r="A766" t="s">
        <v>511</v>
      </c>
      <c r="B766" t="s">
        <v>478</v>
      </c>
      <c r="C766" t="s">
        <v>539</v>
      </c>
      <c r="D766" t="s">
        <v>1632</v>
      </c>
      <c r="E766" t="s">
        <v>1633</v>
      </c>
      <c r="F766">
        <v>754200</v>
      </c>
      <c r="G766">
        <v>311490309</v>
      </c>
      <c r="H766" s="118">
        <v>45504</v>
      </c>
      <c r="I766">
        <v>1</v>
      </c>
      <c r="J766">
        <v>1.39</v>
      </c>
      <c r="K766">
        <v>754200</v>
      </c>
      <c r="L766">
        <v>1048338</v>
      </c>
      <c r="M766">
        <v>294138</v>
      </c>
      <c r="N766">
        <v>0</v>
      </c>
    </row>
    <row r="767" spans="1:14" hidden="1">
      <c r="A767" t="s">
        <v>511</v>
      </c>
      <c r="B767" t="s">
        <v>478</v>
      </c>
      <c r="C767" t="s">
        <v>539</v>
      </c>
      <c r="D767" t="s">
        <v>1634</v>
      </c>
      <c r="E767" t="s">
        <v>1635</v>
      </c>
      <c r="F767">
        <v>400</v>
      </c>
      <c r="G767">
        <v>297363933</v>
      </c>
      <c r="H767" s="118">
        <v>44361</v>
      </c>
      <c r="I767">
        <v>0</v>
      </c>
      <c r="J767">
        <v>282.08999999999997</v>
      </c>
      <c r="K767">
        <v>0</v>
      </c>
      <c r="L767">
        <v>112836</v>
      </c>
      <c r="M767">
        <v>112836</v>
      </c>
      <c r="N767">
        <v>0</v>
      </c>
    </row>
    <row r="768" spans="1:14" hidden="1">
      <c r="A768" t="s">
        <v>511</v>
      </c>
      <c r="B768" t="s">
        <v>478</v>
      </c>
      <c r="C768" t="s">
        <v>539</v>
      </c>
      <c r="D768" t="s">
        <v>1636</v>
      </c>
      <c r="E768" t="s">
        <v>1637</v>
      </c>
      <c r="F768">
        <v>2666.66</v>
      </c>
      <c r="G768">
        <v>297363929</v>
      </c>
      <c r="H768" s="118">
        <v>44320</v>
      </c>
      <c r="I768">
        <v>10</v>
      </c>
      <c r="J768">
        <v>0</v>
      </c>
      <c r="K768">
        <v>26666.63</v>
      </c>
      <c r="L768">
        <v>0</v>
      </c>
      <c r="M768">
        <v>-26666.63</v>
      </c>
      <c r="N768">
        <v>0</v>
      </c>
    </row>
    <row r="769" spans="1:14" hidden="1">
      <c r="A769" t="s">
        <v>511</v>
      </c>
      <c r="B769" t="s">
        <v>478</v>
      </c>
      <c r="C769" t="s">
        <v>539</v>
      </c>
      <c r="D769" t="s">
        <v>1636</v>
      </c>
      <c r="E769" t="s">
        <v>1637</v>
      </c>
      <c r="F769">
        <v>290.91000000000003</v>
      </c>
      <c r="G769">
        <v>356351706</v>
      </c>
      <c r="H769" s="118">
        <v>45967</v>
      </c>
      <c r="I769">
        <v>10</v>
      </c>
      <c r="J769">
        <v>0</v>
      </c>
      <c r="K769">
        <v>2909.1</v>
      </c>
      <c r="L769">
        <v>0</v>
      </c>
      <c r="M769">
        <v>-2909.1</v>
      </c>
      <c r="N769">
        <v>0</v>
      </c>
    </row>
    <row r="770" spans="1:14" hidden="1">
      <c r="A770" t="s">
        <v>511</v>
      </c>
      <c r="B770" t="s">
        <v>478</v>
      </c>
      <c r="C770" t="s">
        <v>539</v>
      </c>
      <c r="D770" t="s">
        <v>1638</v>
      </c>
      <c r="E770" t="s">
        <v>1639</v>
      </c>
      <c r="F770">
        <v>215.52</v>
      </c>
      <c r="G770">
        <v>319850795</v>
      </c>
      <c r="H770" s="118">
        <v>45594</v>
      </c>
      <c r="I770">
        <v>9684.6299999999992</v>
      </c>
      <c r="J770">
        <v>10574.489100000001</v>
      </c>
      <c r="K770">
        <v>2087231.45</v>
      </c>
      <c r="L770">
        <v>2279013.89</v>
      </c>
      <c r="M770">
        <v>191782.44</v>
      </c>
      <c r="N770">
        <v>0</v>
      </c>
    </row>
    <row r="771" spans="1:14" hidden="1">
      <c r="A771" t="s">
        <v>511</v>
      </c>
      <c r="B771" t="s">
        <v>478</v>
      </c>
      <c r="C771" t="s">
        <v>539</v>
      </c>
      <c r="D771" t="s">
        <v>1640</v>
      </c>
      <c r="E771" t="s">
        <v>1641</v>
      </c>
      <c r="F771">
        <v>32770.830999999998</v>
      </c>
      <c r="G771">
        <v>319968723</v>
      </c>
      <c r="H771" s="118">
        <v>45596</v>
      </c>
      <c r="I771">
        <v>25.318899999999999</v>
      </c>
      <c r="J771">
        <v>30.6126</v>
      </c>
      <c r="K771">
        <v>829720.03</v>
      </c>
      <c r="L771">
        <v>1003200.34</v>
      </c>
      <c r="M771">
        <v>173480.31</v>
      </c>
      <c r="N771">
        <v>0</v>
      </c>
    </row>
    <row r="772" spans="1:14" hidden="1">
      <c r="A772" t="s">
        <v>511</v>
      </c>
      <c r="B772" t="s">
        <v>478</v>
      </c>
      <c r="C772" t="s">
        <v>539</v>
      </c>
      <c r="D772" t="s">
        <v>1642</v>
      </c>
      <c r="E772" t="s">
        <v>1643</v>
      </c>
      <c r="F772">
        <v>47158.021999999997</v>
      </c>
      <c r="G772">
        <v>319968719</v>
      </c>
      <c r="H772" s="118">
        <v>45596</v>
      </c>
      <c r="I772">
        <v>25.951799999999999</v>
      </c>
      <c r="J772">
        <v>30.6126</v>
      </c>
      <c r="K772">
        <v>1223837.01</v>
      </c>
      <c r="L772">
        <v>1443629.66</v>
      </c>
      <c r="M772">
        <v>219792.65</v>
      </c>
      <c r="N772">
        <v>0</v>
      </c>
    </row>
    <row r="773" spans="1:14" hidden="1">
      <c r="A773" t="s">
        <v>511</v>
      </c>
      <c r="B773" t="s">
        <v>478</v>
      </c>
      <c r="C773" t="s">
        <v>539</v>
      </c>
      <c r="D773" t="s">
        <v>1642</v>
      </c>
      <c r="E773" t="s">
        <v>1643</v>
      </c>
      <c r="F773">
        <v>799.28899999999999</v>
      </c>
      <c r="G773">
        <v>325412343</v>
      </c>
      <c r="H773" s="118">
        <v>45617</v>
      </c>
      <c r="I773">
        <v>25.951799999999999</v>
      </c>
      <c r="J773">
        <v>30.6126</v>
      </c>
      <c r="K773">
        <v>20743</v>
      </c>
      <c r="L773">
        <v>24468.31</v>
      </c>
      <c r="M773">
        <v>3725.31</v>
      </c>
      <c r="N773">
        <v>0</v>
      </c>
    </row>
    <row r="774" spans="1:14" hidden="1">
      <c r="A774" t="s">
        <v>511</v>
      </c>
      <c r="B774" t="s">
        <v>478</v>
      </c>
      <c r="C774" t="s">
        <v>539</v>
      </c>
      <c r="D774" t="s">
        <v>1644</v>
      </c>
      <c r="E774" t="s">
        <v>1645</v>
      </c>
      <c r="F774">
        <v>14640</v>
      </c>
      <c r="G774">
        <v>326335238</v>
      </c>
      <c r="H774" s="118">
        <v>45645</v>
      </c>
      <c r="I774">
        <v>100</v>
      </c>
      <c r="J774">
        <v>129.7705</v>
      </c>
      <c r="K774">
        <v>1464000</v>
      </c>
      <c r="L774">
        <v>1899839.8</v>
      </c>
      <c r="M774">
        <v>435839.8</v>
      </c>
      <c r="N774">
        <v>0</v>
      </c>
    </row>
    <row r="775" spans="1:14" hidden="1">
      <c r="A775" t="s">
        <v>511</v>
      </c>
      <c r="B775" t="s">
        <v>478</v>
      </c>
      <c r="C775" t="s">
        <v>539</v>
      </c>
      <c r="D775" t="s">
        <v>1646</v>
      </c>
      <c r="E775" t="s">
        <v>1647</v>
      </c>
      <c r="F775">
        <v>382352.94</v>
      </c>
      <c r="G775">
        <v>297363937</v>
      </c>
      <c r="H775" s="118">
        <v>44393</v>
      </c>
      <c r="I775">
        <v>1.0107999999999999</v>
      </c>
      <c r="J775">
        <v>1.4100999999999999</v>
      </c>
      <c r="K775">
        <v>386490.94</v>
      </c>
      <c r="L775">
        <v>539161.9</v>
      </c>
      <c r="M775">
        <v>152670.96</v>
      </c>
      <c r="N775">
        <v>0</v>
      </c>
    </row>
    <row r="776" spans="1:14" hidden="1">
      <c r="A776" t="s">
        <v>511</v>
      </c>
      <c r="B776" t="s">
        <v>478</v>
      </c>
      <c r="C776" t="s">
        <v>539</v>
      </c>
      <c r="D776" t="s">
        <v>1648</v>
      </c>
      <c r="E776" t="s">
        <v>1649</v>
      </c>
      <c r="F776">
        <v>480</v>
      </c>
      <c r="G776">
        <v>336417670</v>
      </c>
      <c r="H776" s="118">
        <v>45744</v>
      </c>
      <c r="I776">
        <v>0</v>
      </c>
      <c r="J776">
        <v>0</v>
      </c>
      <c r="K776">
        <v>0</v>
      </c>
      <c r="L776">
        <v>0</v>
      </c>
      <c r="M776">
        <v>0</v>
      </c>
      <c r="N776">
        <v>0</v>
      </c>
    </row>
    <row r="777" spans="1:14" hidden="1">
      <c r="A777" t="s">
        <v>511</v>
      </c>
      <c r="B777" t="s">
        <v>478</v>
      </c>
      <c r="C777" t="s">
        <v>539</v>
      </c>
      <c r="D777" t="s">
        <v>1650</v>
      </c>
      <c r="E777" t="s">
        <v>1651</v>
      </c>
      <c r="F777">
        <v>232558.14</v>
      </c>
      <c r="G777">
        <v>297363924</v>
      </c>
      <c r="H777" s="118">
        <v>44251</v>
      </c>
      <c r="I777">
        <v>0.92049999999999998</v>
      </c>
      <c r="J777">
        <v>1.94</v>
      </c>
      <c r="K777">
        <v>214080.71</v>
      </c>
      <c r="L777">
        <v>451162.79</v>
      </c>
      <c r="M777">
        <v>237082.08</v>
      </c>
      <c r="N777">
        <v>0</v>
      </c>
    </row>
    <row r="778" spans="1:14" hidden="1">
      <c r="A778" t="s">
        <v>511</v>
      </c>
      <c r="B778" t="s">
        <v>478</v>
      </c>
      <c r="C778" t="s">
        <v>539</v>
      </c>
      <c r="D778" t="s">
        <v>1650</v>
      </c>
      <c r="E778" t="s">
        <v>1651</v>
      </c>
      <c r="F778">
        <v>21648.13</v>
      </c>
      <c r="G778">
        <v>297364041</v>
      </c>
      <c r="H778" s="118">
        <v>45012</v>
      </c>
      <c r="I778">
        <v>1.1505000000000001</v>
      </c>
      <c r="J778">
        <v>1.94</v>
      </c>
      <c r="K778">
        <v>24907.19</v>
      </c>
      <c r="L778">
        <v>41997.37</v>
      </c>
      <c r="M778">
        <v>17090.18</v>
      </c>
      <c r="N778">
        <v>0</v>
      </c>
    </row>
    <row r="779" spans="1:14" hidden="1">
      <c r="A779" t="s">
        <v>511</v>
      </c>
      <c r="B779" t="s">
        <v>478</v>
      </c>
      <c r="C779" t="s">
        <v>539</v>
      </c>
      <c r="D779" t="s">
        <v>1652</v>
      </c>
      <c r="E779" t="s">
        <v>1653</v>
      </c>
      <c r="F779">
        <v>450000</v>
      </c>
      <c r="G779">
        <v>297363921</v>
      </c>
      <c r="H779" s="118">
        <v>44188</v>
      </c>
      <c r="I779">
        <v>1</v>
      </c>
      <c r="J779">
        <v>0</v>
      </c>
      <c r="K779">
        <v>450000</v>
      </c>
      <c r="L779">
        <v>0</v>
      </c>
      <c r="M779">
        <v>-450000</v>
      </c>
      <c r="N779">
        <v>0</v>
      </c>
    </row>
    <row r="780" spans="1:14" hidden="1">
      <c r="A780" t="s">
        <v>511</v>
      </c>
      <c r="B780" t="s">
        <v>478</v>
      </c>
      <c r="C780" t="s">
        <v>539</v>
      </c>
      <c r="D780" t="s">
        <v>1654</v>
      </c>
      <c r="E780" t="s">
        <v>1655</v>
      </c>
      <c r="F780">
        <v>374443.63</v>
      </c>
      <c r="G780">
        <v>297364050</v>
      </c>
      <c r="H780" s="118">
        <v>45070</v>
      </c>
      <c r="I780">
        <v>1</v>
      </c>
      <c r="J780">
        <v>1</v>
      </c>
      <c r="K780">
        <v>374443.63</v>
      </c>
      <c r="L780">
        <v>374443.63</v>
      </c>
      <c r="M780">
        <v>0</v>
      </c>
      <c r="N780">
        <v>0</v>
      </c>
    </row>
    <row r="781" spans="1:14" hidden="1">
      <c r="A781" t="s">
        <v>511</v>
      </c>
      <c r="B781" t="s">
        <v>478</v>
      </c>
      <c r="C781" t="s">
        <v>539</v>
      </c>
      <c r="D781" t="s">
        <v>1656</v>
      </c>
      <c r="E781" t="s">
        <v>1657</v>
      </c>
      <c r="F781">
        <v>462826.92</v>
      </c>
      <c r="G781">
        <v>297364052</v>
      </c>
      <c r="H781" s="118">
        <v>45071</v>
      </c>
      <c r="I781">
        <v>1</v>
      </c>
      <c r="J781">
        <v>1.1870000000000001</v>
      </c>
      <c r="K781">
        <v>462826.92</v>
      </c>
      <c r="L781">
        <v>549375.55000000005</v>
      </c>
      <c r="M781">
        <v>86548.63</v>
      </c>
      <c r="N781">
        <v>0</v>
      </c>
    </row>
    <row r="782" spans="1:14" hidden="1">
      <c r="A782" t="s">
        <v>511</v>
      </c>
      <c r="B782" t="s">
        <v>478</v>
      </c>
      <c r="C782" t="s">
        <v>539</v>
      </c>
      <c r="D782" t="s">
        <v>1656</v>
      </c>
      <c r="E782" t="s">
        <v>1657</v>
      </c>
      <c r="F782">
        <v>80735.19</v>
      </c>
      <c r="G782">
        <v>310218746</v>
      </c>
      <c r="H782" s="118">
        <v>45485</v>
      </c>
      <c r="I782">
        <v>1</v>
      </c>
      <c r="J782">
        <v>1.1870000000000001</v>
      </c>
      <c r="K782">
        <v>80735.19</v>
      </c>
      <c r="L782">
        <v>95832.67</v>
      </c>
      <c r="M782">
        <v>15097.48</v>
      </c>
      <c r="N782">
        <v>0</v>
      </c>
    </row>
    <row r="783" spans="1:14" hidden="1">
      <c r="A783" t="s">
        <v>511</v>
      </c>
      <c r="B783" t="s">
        <v>478</v>
      </c>
      <c r="C783" t="s">
        <v>539</v>
      </c>
      <c r="D783" t="s">
        <v>1658</v>
      </c>
      <c r="E783" t="s">
        <v>1659</v>
      </c>
      <c r="F783">
        <v>594.29999999999995</v>
      </c>
      <c r="G783">
        <v>308426040</v>
      </c>
      <c r="H783" s="118">
        <v>45471</v>
      </c>
      <c r="I783">
        <v>100</v>
      </c>
      <c r="J783">
        <v>0</v>
      </c>
      <c r="K783">
        <v>59430</v>
      </c>
      <c r="L783">
        <v>0</v>
      </c>
      <c r="M783">
        <v>-59430</v>
      </c>
      <c r="N783">
        <v>0</v>
      </c>
    </row>
    <row r="784" spans="1:14" hidden="1">
      <c r="A784" t="s">
        <v>511</v>
      </c>
      <c r="B784" t="s">
        <v>478</v>
      </c>
      <c r="C784" t="s">
        <v>539</v>
      </c>
      <c r="D784" t="s">
        <v>1660</v>
      </c>
      <c r="E784" t="s">
        <v>1661</v>
      </c>
      <c r="F784">
        <v>3747469.88</v>
      </c>
      <c r="G784">
        <v>297364079</v>
      </c>
      <c r="H784" s="118">
        <v>45232</v>
      </c>
      <c r="I784">
        <v>1</v>
      </c>
      <c r="J784">
        <v>1.27</v>
      </c>
      <c r="K784">
        <v>3747469.88</v>
      </c>
      <c r="L784">
        <v>4759286.75</v>
      </c>
      <c r="M784">
        <v>1011816.87</v>
      </c>
      <c r="N784">
        <v>0</v>
      </c>
    </row>
    <row r="785" spans="1:14" hidden="1">
      <c r="A785" t="s">
        <v>511</v>
      </c>
      <c r="B785" t="s">
        <v>478</v>
      </c>
      <c r="C785" t="s">
        <v>539</v>
      </c>
      <c r="D785" t="s">
        <v>1662</v>
      </c>
      <c r="E785" t="s">
        <v>1663</v>
      </c>
      <c r="F785">
        <v>2420620.39</v>
      </c>
      <c r="G785">
        <v>297364017</v>
      </c>
      <c r="H785" s="118">
        <v>44837</v>
      </c>
      <c r="I785">
        <v>1.0093000000000001</v>
      </c>
      <c r="J785">
        <v>1.5935999999999999</v>
      </c>
      <c r="K785">
        <v>2443142.5</v>
      </c>
      <c r="L785">
        <v>3857519.54</v>
      </c>
      <c r="M785">
        <v>1414377.04</v>
      </c>
      <c r="N785">
        <v>0</v>
      </c>
    </row>
    <row r="786" spans="1:14" hidden="1">
      <c r="A786" t="s">
        <v>511</v>
      </c>
      <c r="B786" t="s">
        <v>478</v>
      </c>
      <c r="C786" t="s">
        <v>539</v>
      </c>
      <c r="D786" t="s">
        <v>1662</v>
      </c>
      <c r="E786" t="s">
        <v>1663</v>
      </c>
      <c r="F786">
        <v>186966.92</v>
      </c>
      <c r="G786">
        <v>297364038</v>
      </c>
      <c r="H786" s="118">
        <v>44993</v>
      </c>
      <c r="I786">
        <v>0.88139999999999996</v>
      </c>
      <c r="J786">
        <v>1.5935999999999999</v>
      </c>
      <c r="K786">
        <v>164801.51999999999</v>
      </c>
      <c r="L786">
        <v>297951.94</v>
      </c>
      <c r="M786">
        <v>133150.42000000001</v>
      </c>
      <c r="N786">
        <v>0</v>
      </c>
    </row>
    <row r="787" spans="1:14" hidden="1">
      <c r="A787" t="s">
        <v>511</v>
      </c>
      <c r="B787" t="s">
        <v>478</v>
      </c>
      <c r="C787" t="s">
        <v>539</v>
      </c>
      <c r="D787" t="s">
        <v>1664</v>
      </c>
      <c r="E787" t="s">
        <v>1665</v>
      </c>
      <c r="F787">
        <v>153846.15</v>
      </c>
      <c r="G787">
        <v>297363939</v>
      </c>
      <c r="H787" s="118">
        <v>44425</v>
      </c>
      <c r="I787">
        <v>1</v>
      </c>
      <c r="J787">
        <v>0.73</v>
      </c>
      <c r="K787">
        <v>153846.15</v>
      </c>
      <c r="L787">
        <v>112307.69</v>
      </c>
      <c r="M787">
        <v>-41538.46</v>
      </c>
      <c r="N787">
        <v>0</v>
      </c>
    </row>
    <row r="788" spans="1:14" hidden="1">
      <c r="A788" t="s">
        <v>511</v>
      </c>
      <c r="B788" t="s">
        <v>478</v>
      </c>
      <c r="C788" t="s">
        <v>539</v>
      </c>
      <c r="D788" t="s">
        <v>1666</v>
      </c>
      <c r="E788" t="s">
        <v>1667</v>
      </c>
      <c r="F788">
        <v>608.25</v>
      </c>
      <c r="G788">
        <v>297363941</v>
      </c>
      <c r="H788" s="118">
        <v>44433</v>
      </c>
      <c r="I788">
        <v>1</v>
      </c>
      <c r="J788">
        <v>19.53</v>
      </c>
      <c r="K788">
        <v>608.25</v>
      </c>
      <c r="L788">
        <v>11879.12</v>
      </c>
      <c r="M788">
        <v>11270.87</v>
      </c>
      <c r="N788">
        <v>0</v>
      </c>
    </row>
    <row r="789" spans="1:14" hidden="1">
      <c r="A789" t="s">
        <v>511</v>
      </c>
      <c r="B789" t="s">
        <v>478</v>
      </c>
      <c r="C789" t="s">
        <v>539</v>
      </c>
      <c r="D789" t="s">
        <v>1666</v>
      </c>
      <c r="E789" t="s">
        <v>1667</v>
      </c>
      <c r="F789">
        <v>61.281999999999996</v>
      </c>
      <c r="G789">
        <v>347786955</v>
      </c>
      <c r="H789" s="118">
        <v>45884</v>
      </c>
      <c r="I789">
        <v>41.186300000000003</v>
      </c>
      <c r="J789">
        <v>19.53</v>
      </c>
      <c r="K789">
        <v>2523.98</v>
      </c>
      <c r="L789">
        <v>1196.8399999999999</v>
      </c>
      <c r="M789">
        <v>-1327.14</v>
      </c>
      <c r="N789">
        <v>0</v>
      </c>
    </row>
    <row r="790" spans="1:14" hidden="1">
      <c r="A790" t="s">
        <v>511</v>
      </c>
      <c r="B790" t="s">
        <v>478</v>
      </c>
      <c r="C790" t="s">
        <v>539</v>
      </c>
      <c r="D790" t="s">
        <v>1668</v>
      </c>
      <c r="E790" t="s">
        <v>1669</v>
      </c>
      <c r="F790">
        <v>421303.66</v>
      </c>
      <c r="G790">
        <v>298062188</v>
      </c>
      <c r="H790" s="118">
        <v>45352</v>
      </c>
      <c r="I790">
        <v>1</v>
      </c>
      <c r="J790">
        <v>1.1000000000000001</v>
      </c>
      <c r="K790">
        <v>421303.66</v>
      </c>
      <c r="L790">
        <v>463434.03</v>
      </c>
      <c r="M790">
        <v>42130.37</v>
      </c>
      <c r="N790">
        <v>0</v>
      </c>
    </row>
    <row r="791" spans="1:14" hidden="1">
      <c r="A791" t="s">
        <v>511</v>
      </c>
      <c r="B791" t="s">
        <v>478</v>
      </c>
      <c r="C791" t="s">
        <v>539</v>
      </c>
      <c r="D791" t="s">
        <v>1670</v>
      </c>
      <c r="E791" t="s">
        <v>1671</v>
      </c>
      <c r="F791">
        <v>35.229999999999997</v>
      </c>
      <c r="G791">
        <v>297363877</v>
      </c>
      <c r="H791" s="118">
        <v>43292</v>
      </c>
      <c r="I791">
        <v>0</v>
      </c>
      <c r="J791">
        <v>66819.453800000003</v>
      </c>
      <c r="K791">
        <v>0</v>
      </c>
      <c r="L791">
        <v>2354062.7200000002</v>
      </c>
      <c r="M791">
        <v>2354062.7200000002</v>
      </c>
      <c r="N791">
        <v>0</v>
      </c>
    </row>
    <row r="792" spans="1:14" hidden="1">
      <c r="A792" t="s">
        <v>511</v>
      </c>
      <c r="B792" t="s">
        <v>478</v>
      </c>
      <c r="C792" t="s">
        <v>539</v>
      </c>
      <c r="D792" t="s">
        <v>1670</v>
      </c>
      <c r="E792" t="s">
        <v>1671</v>
      </c>
      <c r="F792">
        <v>1</v>
      </c>
      <c r="G792">
        <v>297363878</v>
      </c>
      <c r="H792" s="118">
        <v>43292</v>
      </c>
      <c r="I792">
        <v>0</v>
      </c>
      <c r="J792">
        <v>66819.453800000003</v>
      </c>
      <c r="K792">
        <v>0</v>
      </c>
      <c r="L792">
        <v>66819.45</v>
      </c>
      <c r="M792">
        <v>66819.45</v>
      </c>
      <c r="N792">
        <v>0</v>
      </c>
    </row>
    <row r="793" spans="1:14" hidden="1">
      <c r="A793" t="s">
        <v>511</v>
      </c>
      <c r="B793" t="s">
        <v>478</v>
      </c>
      <c r="C793" t="s">
        <v>539</v>
      </c>
      <c r="D793" t="s">
        <v>1672</v>
      </c>
      <c r="E793" t="s">
        <v>1673</v>
      </c>
      <c r="F793">
        <v>701149.43</v>
      </c>
      <c r="G793">
        <v>350658757</v>
      </c>
      <c r="H793" s="118">
        <v>45909</v>
      </c>
      <c r="I793">
        <v>1</v>
      </c>
      <c r="J793">
        <v>0.99</v>
      </c>
      <c r="K793">
        <v>701149.43</v>
      </c>
      <c r="L793">
        <v>694137.94</v>
      </c>
      <c r="M793">
        <v>-7011.49</v>
      </c>
      <c r="N793">
        <v>0</v>
      </c>
    </row>
    <row r="794" spans="1:14" hidden="1">
      <c r="A794" t="s">
        <v>511</v>
      </c>
      <c r="B794" t="s">
        <v>478</v>
      </c>
      <c r="C794" t="s">
        <v>539</v>
      </c>
      <c r="D794" t="s">
        <v>1674</v>
      </c>
      <c r="E794" t="s">
        <v>1675</v>
      </c>
      <c r="F794">
        <v>384799.3</v>
      </c>
      <c r="G794">
        <v>351933743</v>
      </c>
      <c r="H794" s="118">
        <v>45929</v>
      </c>
      <c r="I794">
        <v>1.3474999999999999</v>
      </c>
      <c r="J794">
        <v>1.4745999999999999</v>
      </c>
      <c r="K794">
        <v>518518.52</v>
      </c>
      <c r="L794">
        <v>567439.48</v>
      </c>
      <c r="M794">
        <v>48920.959999999999</v>
      </c>
      <c r="N794">
        <v>0</v>
      </c>
    </row>
    <row r="795" spans="1:14" hidden="1">
      <c r="A795" t="s">
        <v>511</v>
      </c>
      <c r="B795" t="s">
        <v>478</v>
      </c>
      <c r="C795" t="s">
        <v>539</v>
      </c>
      <c r="D795" t="s">
        <v>1676</v>
      </c>
      <c r="E795" t="s">
        <v>1677</v>
      </c>
      <c r="F795">
        <v>1045100</v>
      </c>
      <c r="G795">
        <v>326659260</v>
      </c>
      <c r="H795" s="118">
        <v>45653</v>
      </c>
      <c r="I795">
        <v>1</v>
      </c>
      <c r="J795">
        <v>1.5</v>
      </c>
      <c r="K795">
        <v>1045100</v>
      </c>
      <c r="L795">
        <v>1567650</v>
      </c>
      <c r="M795">
        <v>522550</v>
      </c>
      <c r="N795">
        <v>0</v>
      </c>
    </row>
    <row r="796" spans="1:14" hidden="1">
      <c r="A796" t="s">
        <v>511</v>
      </c>
      <c r="B796" t="s">
        <v>478</v>
      </c>
      <c r="C796" t="s">
        <v>539</v>
      </c>
      <c r="D796" t="s">
        <v>1678</v>
      </c>
      <c r="E796" t="s">
        <v>1679</v>
      </c>
      <c r="F796">
        <v>881965.76</v>
      </c>
      <c r="G796">
        <v>297363952</v>
      </c>
      <c r="H796" s="118">
        <v>44504</v>
      </c>
      <c r="I796">
        <v>1</v>
      </c>
      <c r="J796">
        <v>0</v>
      </c>
      <c r="K796">
        <v>881965.76</v>
      </c>
      <c r="L796">
        <v>0</v>
      </c>
      <c r="M796">
        <v>-881965.76</v>
      </c>
      <c r="N796">
        <v>0</v>
      </c>
    </row>
    <row r="797" spans="1:14" hidden="1">
      <c r="A797" t="s">
        <v>511</v>
      </c>
      <c r="B797" t="s">
        <v>478</v>
      </c>
      <c r="C797" t="s">
        <v>539</v>
      </c>
      <c r="D797" t="s">
        <v>1680</v>
      </c>
      <c r="E797" t="s">
        <v>1681</v>
      </c>
      <c r="F797">
        <v>2518.42</v>
      </c>
      <c r="G797">
        <v>297363994</v>
      </c>
      <c r="H797" s="118">
        <v>44720</v>
      </c>
      <c r="I797">
        <v>1000.0004</v>
      </c>
      <c r="J797">
        <v>301.45350000000002</v>
      </c>
      <c r="K797">
        <v>2518421.0499999998</v>
      </c>
      <c r="L797">
        <v>759186.47</v>
      </c>
      <c r="M797">
        <v>-1759234.58</v>
      </c>
      <c r="N797">
        <v>0</v>
      </c>
    </row>
    <row r="798" spans="1:14" hidden="1">
      <c r="A798" t="s">
        <v>511</v>
      </c>
      <c r="B798" t="s">
        <v>478</v>
      </c>
      <c r="C798" t="s">
        <v>539</v>
      </c>
      <c r="D798" t="s">
        <v>1680</v>
      </c>
      <c r="E798" t="s">
        <v>1681</v>
      </c>
      <c r="F798">
        <v>462.62</v>
      </c>
      <c r="G798">
        <v>297364016</v>
      </c>
      <c r="H798" s="118">
        <v>44832</v>
      </c>
      <c r="I798">
        <v>999.99279999999999</v>
      </c>
      <c r="J798">
        <v>301.45350000000002</v>
      </c>
      <c r="K798">
        <v>462616.67</v>
      </c>
      <c r="L798">
        <v>139458.41</v>
      </c>
      <c r="M798">
        <v>-323158.26</v>
      </c>
      <c r="N798">
        <v>0</v>
      </c>
    </row>
    <row r="799" spans="1:14" hidden="1">
      <c r="A799" t="s">
        <v>511</v>
      </c>
      <c r="B799" t="s">
        <v>478</v>
      </c>
      <c r="C799" t="s">
        <v>539</v>
      </c>
      <c r="D799" t="s">
        <v>1682</v>
      </c>
      <c r="E799" t="s">
        <v>1683</v>
      </c>
      <c r="F799">
        <v>20357.297999999999</v>
      </c>
      <c r="G799">
        <v>297363970</v>
      </c>
      <c r="H799" s="118">
        <v>44553</v>
      </c>
      <c r="I799">
        <v>104.0466</v>
      </c>
      <c r="J799">
        <v>143.35319999999999</v>
      </c>
      <c r="K799">
        <v>2118107.84</v>
      </c>
      <c r="L799">
        <v>2918283.99</v>
      </c>
      <c r="M799">
        <v>800176.15</v>
      </c>
      <c r="N799">
        <v>0</v>
      </c>
    </row>
    <row r="800" spans="1:14" hidden="1">
      <c r="A800" t="s">
        <v>511</v>
      </c>
      <c r="B800" t="s">
        <v>478</v>
      </c>
      <c r="C800" t="s">
        <v>539</v>
      </c>
      <c r="D800" t="s">
        <v>1682</v>
      </c>
      <c r="E800" t="s">
        <v>1683</v>
      </c>
      <c r="F800">
        <v>525.19000000000005</v>
      </c>
      <c r="G800">
        <v>297364059</v>
      </c>
      <c r="H800" s="118">
        <v>45098</v>
      </c>
      <c r="I800">
        <v>108.5455</v>
      </c>
      <c r="J800">
        <v>143.35319999999999</v>
      </c>
      <c r="K800">
        <v>57007.02</v>
      </c>
      <c r="L800">
        <v>75287.67</v>
      </c>
      <c r="M800">
        <v>18280.650000000001</v>
      </c>
      <c r="N800">
        <v>0</v>
      </c>
    </row>
    <row r="801" spans="1:14" hidden="1">
      <c r="A801" t="s">
        <v>511</v>
      </c>
      <c r="B801" t="s">
        <v>478</v>
      </c>
      <c r="C801" t="s">
        <v>539</v>
      </c>
      <c r="D801" t="s">
        <v>1684</v>
      </c>
      <c r="E801" t="s">
        <v>1685</v>
      </c>
      <c r="F801">
        <v>934.31</v>
      </c>
      <c r="G801">
        <v>321220898</v>
      </c>
      <c r="H801" s="118">
        <v>45602</v>
      </c>
      <c r="I801">
        <v>137.10919999999999</v>
      </c>
      <c r="J801">
        <v>143.35319999999999</v>
      </c>
      <c r="K801">
        <v>128102.46</v>
      </c>
      <c r="L801">
        <v>133936.34</v>
      </c>
      <c r="M801">
        <v>5833.88</v>
      </c>
      <c r="N801">
        <v>0</v>
      </c>
    </row>
    <row r="802" spans="1:14">
      <c r="A802" t="s">
        <v>511</v>
      </c>
      <c r="B802" t="s">
        <v>478</v>
      </c>
      <c r="C802" t="s">
        <v>539</v>
      </c>
      <c r="D802" t="s">
        <v>1686</v>
      </c>
      <c r="E802" t="s">
        <v>1687</v>
      </c>
      <c r="F802">
        <v>815384.62</v>
      </c>
      <c r="G802">
        <v>297363959</v>
      </c>
      <c r="H802" s="118">
        <v>44539</v>
      </c>
      <c r="I802">
        <v>0.98329999999999995</v>
      </c>
      <c r="J802">
        <v>0.4</v>
      </c>
      <c r="K802">
        <v>801743.62</v>
      </c>
      <c r="L802">
        <v>326153.84999999998</v>
      </c>
      <c r="M802">
        <v>-475589.77</v>
      </c>
      <c r="N802">
        <v>0</v>
      </c>
    </row>
    <row r="803" spans="1:14" hidden="1">
      <c r="A803" t="s">
        <v>511</v>
      </c>
      <c r="B803" t="s">
        <v>478</v>
      </c>
      <c r="C803" t="s">
        <v>539</v>
      </c>
      <c r="D803" t="s">
        <v>1688</v>
      </c>
      <c r="E803" t="s">
        <v>1689</v>
      </c>
      <c r="F803">
        <v>1087</v>
      </c>
      <c r="G803">
        <v>315281497</v>
      </c>
      <c r="H803" s="118">
        <v>45538</v>
      </c>
      <c r="I803">
        <v>1000</v>
      </c>
      <c r="J803">
        <v>867.35</v>
      </c>
      <c r="K803">
        <v>1087000</v>
      </c>
      <c r="L803">
        <v>942809.45</v>
      </c>
      <c r="M803">
        <v>-144190.54999999999</v>
      </c>
      <c r="N803">
        <v>0</v>
      </c>
    </row>
    <row r="804" spans="1:14" hidden="1">
      <c r="A804" t="s">
        <v>511</v>
      </c>
      <c r="B804" t="s">
        <v>478</v>
      </c>
      <c r="C804" t="s">
        <v>539</v>
      </c>
      <c r="D804" t="s">
        <v>1690</v>
      </c>
      <c r="E804" t="s">
        <v>1691</v>
      </c>
      <c r="F804">
        <v>718.51</v>
      </c>
      <c r="G804">
        <v>337743107</v>
      </c>
      <c r="H804" s="118">
        <v>45770</v>
      </c>
      <c r="I804">
        <v>1008.9936</v>
      </c>
      <c r="J804">
        <v>867.35</v>
      </c>
      <c r="K804">
        <v>724972</v>
      </c>
      <c r="L804">
        <v>623199.65</v>
      </c>
      <c r="M804">
        <v>-101772.35</v>
      </c>
      <c r="N804">
        <v>0</v>
      </c>
    </row>
    <row r="805" spans="1:14" hidden="1">
      <c r="A805" t="s">
        <v>511</v>
      </c>
      <c r="B805" t="s">
        <v>478</v>
      </c>
      <c r="C805" t="s">
        <v>539</v>
      </c>
      <c r="D805" t="s">
        <v>1692</v>
      </c>
      <c r="E805" t="s">
        <v>1693</v>
      </c>
      <c r="F805">
        <v>10684.08</v>
      </c>
      <c r="G805">
        <v>313180193</v>
      </c>
      <c r="H805" s="118">
        <v>45520</v>
      </c>
      <c r="I805">
        <v>100</v>
      </c>
      <c r="J805">
        <v>274.24</v>
      </c>
      <c r="K805">
        <v>1068408</v>
      </c>
      <c r="L805">
        <v>2930002.1</v>
      </c>
      <c r="M805">
        <v>1861594.1</v>
      </c>
      <c r="N805">
        <v>0</v>
      </c>
    </row>
    <row r="806" spans="1:14" hidden="1">
      <c r="A806" t="s">
        <v>511</v>
      </c>
      <c r="B806" t="s">
        <v>478</v>
      </c>
      <c r="C806" t="s">
        <v>539</v>
      </c>
      <c r="D806" t="s">
        <v>1694</v>
      </c>
      <c r="E806" t="s">
        <v>1695</v>
      </c>
      <c r="F806">
        <v>11312</v>
      </c>
      <c r="G806">
        <v>313180194</v>
      </c>
      <c r="H806" s="118">
        <v>45520</v>
      </c>
      <c r="I806">
        <v>100</v>
      </c>
      <c r="J806">
        <v>274.24</v>
      </c>
      <c r="K806">
        <v>1131200</v>
      </c>
      <c r="L806">
        <v>3102202.88</v>
      </c>
      <c r="M806">
        <v>1971002.88</v>
      </c>
      <c r="N806">
        <v>0</v>
      </c>
    </row>
    <row r="807" spans="1:14" hidden="1">
      <c r="A807" t="s">
        <v>511</v>
      </c>
      <c r="B807" t="s">
        <v>478</v>
      </c>
      <c r="C807" t="s">
        <v>539</v>
      </c>
      <c r="D807" t="s">
        <v>1694</v>
      </c>
      <c r="E807" t="s">
        <v>1695</v>
      </c>
      <c r="F807">
        <v>627.91999999999996</v>
      </c>
      <c r="G807">
        <v>319361935</v>
      </c>
      <c r="H807" s="118">
        <v>45581</v>
      </c>
      <c r="I807">
        <v>100</v>
      </c>
      <c r="J807">
        <v>274.24</v>
      </c>
      <c r="K807">
        <v>62792</v>
      </c>
      <c r="L807">
        <v>172200.78</v>
      </c>
      <c r="M807">
        <v>109408.78</v>
      </c>
      <c r="N807">
        <v>0</v>
      </c>
    </row>
    <row r="808" spans="1:14" hidden="1">
      <c r="A808" t="s">
        <v>511</v>
      </c>
      <c r="B808" t="s">
        <v>478</v>
      </c>
      <c r="C808" t="s">
        <v>539</v>
      </c>
      <c r="D808" t="s">
        <v>1696</v>
      </c>
      <c r="E808" t="s">
        <v>1697</v>
      </c>
      <c r="F808">
        <v>662983.43000000005</v>
      </c>
      <c r="G808">
        <v>316462727</v>
      </c>
      <c r="H808" s="118">
        <v>45548</v>
      </c>
      <c r="I808">
        <v>1</v>
      </c>
      <c r="J808">
        <v>1.5207999999999999</v>
      </c>
      <c r="K808">
        <v>662983.43000000005</v>
      </c>
      <c r="L808">
        <v>1008265.2</v>
      </c>
      <c r="M808">
        <v>345281.77</v>
      </c>
      <c r="N808">
        <v>0</v>
      </c>
    </row>
    <row r="809" spans="1:14" hidden="1">
      <c r="A809" t="s">
        <v>511</v>
      </c>
      <c r="B809" t="s">
        <v>478</v>
      </c>
      <c r="C809" t="s">
        <v>539</v>
      </c>
      <c r="D809" t="s">
        <v>1698</v>
      </c>
      <c r="E809" t="s">
        <v>1699</v>
      </c>
      <c r="F809">
        <v>473400</v>
      </c>
      <c r="G809">
        <v>308201239</v>
      </c>
      <c r="H809" s="118">
        <v>45469</v>
      </c>
      <c r="I809">
        <v>1</v>
      </c>
      <c r="J809">
        <v>0.73</v>
      </c>
      <c r="K809">
        <v>473400</v>
      </c>
      <c r="L809">
        <v>345582</v>
      </c>
      <c r="M809">
        <v>-127818</v>
      </c>
      <c r="N809">
        <v>0</v>
      </c>
    </row>
    <row r="810" spans="1:14" hidden="1">
      <c r="A810" t="s">
        <v>511</v>
      </c>
      <c r="B810" t="s">
        <v>478</v>
      </c>
      <c r="C810" t="s">
        <v>539</v>
      </c>
      <c r="D810" t="s">
        <v>1698</v>
      </c>
      <c r="E810" t="s">
        <v>1699</v>
      </c>
      <c r="F810">
        <v>34838.36</v>
      </c>
      <c r="G810">
        <v>327573181</v>
      </c>
      <c r="H810" s="118">
        <v>45643</v>
      </c>
      <c r="I810">
        <v>1</v>
      </c>
      <c r="J810">
        <v>0.73</v>
      </c>
      <c r="K810">
        <v>34838.36</v>
      </c>
      <c r="L810">
        <v>25432</v>
      </c>
      <c r="M810">
        <v>-9406.36</v>
      </c>
      <c r="N810">
        <v>0</v>
      </c>
    </row>
    <row r="811" spans="1:14" hidden="1">
      <c r="A811" t="s">
        <v>511</v>
      </c>
      <c r="B811" t="s">
        <v>478</v>
      </c>
      <c r="C811" t="s">
        <v>539</v>
      </c>
      <c r="D811" t="s">
        <v>1700</v>
      </c>
      <c r="E811" t="s">
        <v>1701</v>
      </c>
      <c r="F811">
        <v>24.815000000000001</v>
      </c>
      <c r="G811">
        <v>297364095</v>
      </c>
      <c r="H811" s="118">
        <v>45266</v>
      </c>
      <c r="I811">
        <v>8036.8918999999996</v>
      </c>
      <c r="J811">
        <v>24017.164400000001</v>
      </c>
      <c r="K811">
        <v>199431.55</v>
      </c>
      <c r="L811">
        <v>595974.21</v>
      </c>
      <c r="M811">
        <v>396542.66</v>
      </c>
      <c r="N811">
        <v>0</v>
      </c>
    </row>
    <row r="812" spans="1:14" hidden="1">
      <c r="A812" t="s">
        <v>511</v>
      </c>
      <c r="B812" t="s">
        <v>478</v>
      </c>
      <c r="C812" t="s">
        <v>539</v>
      </c>
      <c r="D812" t="s">
        <v>1702</v>
      </c>
      <c r="E812" t="s">
        <v>1703</v>
      </c>
      <c r="F812">
        <v>6475</v>
      </c>
      <c r="G812">
        <v>297364104</v>
      </c>
      <c r="H812" s="118">
        <v>45313</v>
      </c>
      <c r="I812">
        <v>193.28270000000001</v>
      </c>
      <c r="J812">
        <v>112.331</v>
      </c>
      <c r="K812">
        <v>1251505.27</v>
      </c>
      <c r="L812">
        <v>727343.23</v>
      </c>
      <c r="M812">
        <v>-524162.04</v>
      </c>
      <c r="N812">
        <v>0</v>
      </c>
    </row>
    <row r="813" spans="1:14" hidden="1">
      <c r="A813" t="s">
        <v>511</v>
      </c>
      <c r="B813" t="s">
        <v>478</v>
      </c>
      <c r="C813" t="s">
        <v>539</v>
      </c>
      <c r="D813" t="s">
        <v>1704</v>
      </c>
      <c r="E813" t="s">
        <v>1705</v>
      </c>
      <c r="F813">
        <v>870.54</v>
      </c>
      <c r="G813">
        <v>297364096</v>
      </c>
      <c r="H813" s="118">
        <v>45271</v>
      </c>
      <c r="I813">
        <v>999.99509999999998</v>
      </c>
      <c r="J813">
        <v>1144.8499999999999</v>
      </c>
      <c r="K813">
        <v>870535.71</v>
      </c>
      <c r="L813">
        <v>996637.72</v>
      </c>
      <c r="M813">
        <v>126102.01</v>
      </c>
      <c r="N813">
        <v>0</v>
      </c>
    </row>
    <row r="814" spans="1:14" hidden="1">
      <c r="A814" t="s">
        <v>511</v>
      </c>
      <c r="B814" t="s">
        <v>478</v>
      </c>
      <c r="C814" t="s">
        <v>539</v>
      </c>
      <c r="D814" t="s">
        <v>1706</v>
      </c>
      <c r="E814" t="s">
        <v>1707</v>
      </c>
      <c r="F814">
        <v>369.2</v>
      </c>
      <c r="G814">
        <v>326775901</v>
      </c>
      <c r="H814" s="118">
        <v>45657</v>
      </c>
      <c r="I814">
        <v>1000</v>
      </c>
      <c r="J814">
        <v>1062.462</v>
      </c>
      <c r="K814">
        <v>369200</v>
      </c>
      <c r="L814">
        <v>392260.97</v>
      </c>
      <c r="M814">
        <v>23060.97</v>
      </c>
      <c r="N814">
        <v>0</v>
      </c>
    </row>
    <row r="815" spans="1:14" hidden="1">
      <c r="A815" t="s">
        <v>511</v>
      </c>
      <c r="B815" t="s">
        <v>478</v>
      </c>
      <c r="C815" t="s">
        <v>539</v>
      </c>
      <c r="D815" t="s">
        <v>1708</v>
      </c>
      <c r="E815" t="s">
        <v>1709</v>
      </c>
      <c r="F815">
        <v>1222700</v>
      </c>
      <c r="G815">
        <v>317522006</v>
      </c>
      <c r="H815" s="118">
        <v>45562</v>
      </c>
      <c r="I815">
        <v>1</v>
      </c>
      <c r="J815">
        <v>1.3275999999999999</v>
      </c>
      <c r="K815">
        <v>1222700</v>
      </c>
      <c r="L815">
        <v>1623256.52</v>
      </c>
      <c r="M815">
        <v>400556.52</v>
      </c>
      <c r="N815">
        <v>0</v>
      </c>
    </row>
    <row r="816" spans="1:14" hidden="1">
      <c r="A816" t="s">
        <v>511</v>
      </c>
      <c r="B816" t="s">
        <v>478</v>
      </c>
      <c r="C816" t="s">
        <v>539</v>
      </c>
      <c r="D816" t="s">
        <v>1710</v>
      </c>
      <c r="E816" t="s">
        <v>1711</v>
      </c>
      <c r="F816">
        <v>201100</v>
      </c>
      <c r="G816">
        <v>325772835</v>
      </c>
      <c r="H816" s="118">
        <v>45643</v>
      </c>
      <c r="I816">
        <v>1</v>
      </c>
      <c r="J816">
        <v>1.1992</v>
      </c>
      <c r="K816">
        <v>201100</v>
      </c>
      <c r="L816">
        <v>241159.12</v>
      </c>
      <c r="M816">
        <v>40059.120000000003</v>
      </c>
      <c r="N816">
        <v>0</v>
      </c>
    </row>
    <row r="817" spans="1:14" hidden="1">
      <c r="A817" t="s">
        <v>511</v>
      </c>
      <c r="B817" t="s">
        <v>478</v>
      </c>
      <c r="C817" t="s">
        <v>539</v>
      </c>
      <c r="D817" t="s">
        <v>1710</v>
      </c>
      <c r="E817" t="s">
        <v>1711</v>
      </c>
      <c r="F817">
        <v>335166.67</v>
      </c>
      <c r="G817">
        <v>331235641</v>
      </c>
      <c r="H817" s="118">
        <v>45708</v>
      </c>
      <c r="I817">
        <v>1</v>
      </c>
      <c r="J817">
        <v>1.1992</v>
      </c>
      <c r="K817">
        <v>335166.67</v>
      </c>
      <c r="L817">
        <v>401931.87</v>
      </c>
      <c r="M817">
        <v>66765.2</v>
      </c>
      <c r="N817">
        <v>0</v>
      </c>
    </row>
    <row r="818" spans="1:14" hidden="1">
      <c r="A818" t="s">
        <v>511</v>
      </c>
      <c r="B818" t="s">
        <v>478</v>
      </c>
      <c r="C818" t="s">
        <v>539</v>
      </c>
      <c r="D818" t="s">
        <v>1712</v>
      </c>
      <c r="E818" t="s">
        <v>1713</v>
      </c>
      <c r="F818">
        <v>237.7</v>
      </c>
      <c r="G818">
        <v>326064743</v>
      </c>
      <c r="H818" s="118">
        <v>45646</v>
      </c>
      <c r="I818">
        <v>1179.6382000000001</v>
      </c>
      <c r="J818">
        <v>942.34</v>
      </c>
      <c r="K818">
        <v>280400</v>
      </c>
      <c r="L818">
        <v>223994.22</v>
      </c>
      <c r="M818">
        <v>-56405.78</v>
      </c>
      <c r="N818">
        <v>0</v>
      </c>
    </row>
    <row r="819" spans="1:14" hidden="1">
      <c r="A819" t="s">
        <v>511</v>
      </c>
      <c r="B819" t="s">
        <v>478</v>
      </c>
      <c r="C819" t="s">
        <v>539</v>
      </c>
      <c r="D819" t="s">
        <v>1712</v>
      </c>
      <c r="E819" t="s">
        <v>1713</v>
      </c>
      <c r="F819">
        <v>36.122</v>
      </c>
      <c r="G819">
        <v>337452775</v>
      </c>
      <c r="H819" s="118">
        <v>45757</v>
      </c>
      <c r="I819">
        <v>1940.6456000000001</v>
      </c>
      <c r="J819">
        <v>942.34</v>
      </c>
      <c r="K819">
        <v>70100</v>
      </c>
      <c r="L819">
        <v>34039.21</v>
      </c>
      <c r="M819">
        <v>-36060.79</v>
      </c>
      <c r="N819">
        <v>0</v>
      </c>
    </row>
    <row r="820" spans="1:14" hidden="1">
      <c r="A820" t="s">
        <v>511</v>
      </c>
      <c r="B820" t="s">
        <v>478</v>
      </c>
      <c r="C820" t="s">
        <v>539</v>
      </c>
      <c r="D820" t="s">
        <v>1714</v>
      </c>
      <c r="E820" t="s">
        <v>1715</v>
      </c>
      <c r="F820">
        <v>313.60000000000002</v>
      </c>
      <c r="G820">
        <v>317554512</v>
      </c>
      <c r="H820" s="118">
        <v>45565</v>
      </c>
      <c r="I820">
        <v>1000</v>
      </c>
      <c r="J820">
        <v>931.88</v>
      </c>
      <c r="K820">
        <v>313600</v>
      </c>
      <c r="L820">
        <v>292237.57</v>
      </c>
      <c r="M820">
        <v>-21362.43</v>
      </c>
      <c r="N820">
        <v>0</v>
      </c>
    </row>
    <row r="821" spans="1:14" hidden="1">
      <c r="A821" t="s">
        <v>511</v>
      </c>
      <c r="B821" t="s">
        <v>478</v>
      </c>
      <c r="C821" t="s">
        <v>539</v>
      </c>
      <c r="D821" t="s">
        <v>1716</v>
      </c>
      <c r="E821" t="s">
        <v>1717</v>
      </c>
      <c r="F821">
        <v>273143.01</v>
      </c>
      <c r="G821">
        <v>297363899</v>
      </c>
      <c r="H821" s="118">
        <v>43851</v>
      </c>
      <c r="I821">
        <v>1</v>
      </c>
      <c r="J821">
        <v>4.2110000000000003</v>
      </c>
      <c r="K821">
        <v>273143.01</v>
      </c>
      <c r="L821">
        <v>1150205.22</v>
      </c>
      <c r="M821">
        <v>877062.21</v>
      </c>
      <c r="N821">
        <v>0</v>
      </c>
    </row>
    <row r="822" spans="1:14" hidden="1">
      <c r="A822" t="s">
        <v>511</v>
      </c>
      <c r="B822" t="s">
        <v>478</v>
      </c>
      <c r="C822" t="s">
        <v>539</v>
      </c>
      <c r="D822" t="s">
        <v>1718</v>
      </c>
      <c r="E822" t="s">
        <v>1719</v>
      </c>
      <c r="F822">
        <v>652083.59</v>
      </c>
      <c r="G822">
        <v>297363894</v>
      </c>
      <c r="H822" s="118">
        <v>43803</v>
      </c>
      <c r="I822">
        <v>0</v>
      </c>
      <c r="J822">
        <v>1.5281</v>
      </c>
      <c r="K822">
        <v>0</v>
      </c>
      <c r="L822">
        <v>996442.66</v>
      </c>
      <c r="M822">
        <v>996442.66</v>
      </c>
      <c r="N822">
        <v>0</v>
      </c>
    </row>
    <row r="823" spans="1:14" hidden="1">
      <c r="A823" t="s">
        <v>511</v>
      </c>
      <c r="B823" t="s">
        <v>478</v>
      </c>
      <c r="C823" t="s">
        <v>539</v>
      </c>
      <c r="D823" t="s">
        <v>1718</v>
      </c>
      <c r="E823" t="s">
        <v>1719</v>
      </c>
      <c r="F823">
        <v>20945</v>
      </c>
      <c r="G823">
        <v>297363903</v>
      </c>
      <c r="H823" s="118">
        <v>43955</v>
      </c>
      <c r="I823">
        <v>0</v>
      </c>
      <c r="J823">
        <v>1.5281</v>
      </c>
      <c r="K823">
        <v>0</v>
      </c>
      <c r="L823">
        <v>32005.85</v>
      </c>
      <c r="M823">
        <v>32005.85</v>
      </c>
      <c r="N823">
        <v>0</v>
      </c>
    </row>
    <row r="824" spans="1:14" hidden="1">
      <c r="A824" t="s">
        <v>511</v>
      </c>
      <c r="B824" t="s">
        <v>478</v>
      </c>
      <c r="C824" t="s">
        <v>539</v>
      </c>
      <c r="D824" t="s">
        <v>1718</v>
      </c>
      <c r="E824" t="s">
        <v>1719</v>
      </c>
      <c r="F824">
        <v>216347.20499999999</v>
      </c>
      <c r="G824">
        <v>297363912</v>
      </c>
      <c r="H824" s="118">
        <v>44092</v>
      </c>
      <c r="I824">
        <v>0.62680000000000002</v>
      </c>
      <c r="J824">
        <v>1.5281</v>
      </c>
      <c r="K824">
        <v>135597.95000000001</v>
      </c>
      <c r="L824">
        <v>330598.08</v>
      </c>
      <c r="M824">
        <v>195000.13</v>
      </c>
      <c r="N824">
        <v>0</v>
      </c>
    </row>
    <row r="825" spans="1:14" hidden="1">
      <c r="A825" t="s">
        <v>511</v>
      </c>
      <c r="B825" t="s">
        <v>478</v>
      </c>
      <c r="C825" t="s">
        <v>539</v>
      </c>
      <c r="D825" t="s">
        <v>1718</v>
      </c>
      <c r="E825" t="s">
        <v>1719</v>
      </c>
      <c r="F825">
        <v>38448.639999999999</v>
      </c>
      <c r="G825">
        <v>298062143</v>
      </c>
      <c r="H825" s="118">
        <v>45358</v>
      </c>
      <c r="I825">
        <v>4.29</v>
      </c>
      <c r="J825">
        <v>1.5281</v>
      </c>
      <c r="K825">
        <v>164944.67000000001</v>
      </c>
      <c r="L825">
        <v>58753</v>
      </c>
      <c r="M825">
        <v>-106191.67</v>
      </c>
      <c r="N825">
        <v>0</v>
      </c>
    </row>
    <row r="826" spans="1:14" hidden="1">
      <c r="A826" t="s">
        <v>511</v>
      </c>
      <c r="B826" t="s">
        <v>478</v>
      </c>
      <c r="C826" t="s">
        <v>539</v>
      </c>
      <c r="D826" t="s">
        <v>1718</v>
      </c>
      <c r="E826" t="s">
        <v>1719</v>
      </c>
      <c r="F826">
        <v>108501.64</v>
      </c>
      <c r="G826">
        <v>311376177</v>
      </c>
      <c r="H826" s="118">
        <v>45503</v>
      </c>
      <c r="I826">
        <v>1.68</v>
      </c>
      <c r="J826">
        <v>1.5281</v>
      </c>
      <c r="K826">
        <v>182282.76</v>
      </c>
      <c r="L826">
        <v>165800.31</v>
      </c>
      <c r="M826">
        <v>-16482.45</v>
      </c>
      <c r="N826">
        <v>0</v>
      </c>
    </row>
    <row r="827" spans="1:14" hidden="1">
      <c r="A827" t="s">
        <v>511</v>
      </c>
      <c r="B827" t="s">
        <v>478</v>
      </c>
      <c r="C827" t="s">
        <v>539</v>
      </c>
      <c r="D827" t="s">
        <v>1720</v>
      </c>
      <c r="E827" t="s">
        <v>1721</v>
      </c>
      <c r="F827">
        <v>11526.95</v>
      </c>
      <c r="G827">
        <v>297363895</v>
      </c>
      <c r="H827" s="118">
        <v>43803</v>
      </c>
      <c r="I827">
        <v>1</v>
      </c>
      <c r="J827">
        <v>0</v>
      </c>
      <c r="K827">
        <v>11526.95</v>
      </c>
      <c r="L827">
        <v>0</v>
      </c>
      <c r="M827">
        <v>-11526.95</v>
      </c>
      <c r="N827">
        <v>0</v>
      </c>
    </row>
    <row r="828" spans="1:14" hidden="1">
      <c r="A828" t="s">
        <v>511</v>
      </c>
      <c r="B828" t="s">
        <v>478</v>
      </c>
      <c r="C828" t="s">
        <v>539</v>
      </c>
      <c r="D828" t="s">
        <v>1722</v>
      </c>
      <c r="E828" t="s">
        <v>1723</v>
      </c>
      <c r="F828">
        <v>98285.71</v>
      </c>
      <c r="G828">
        <v>300209204</v>
      </c>
      <c r="H828" s="118">
        <v>45379</v>
      </c>
      <c r="I828">
        <v>10</v>
      </c>
      <c r="J828">
        <v>13.47</v>
      </c>
      <c r="K828">
        <v>982857.1</v>
      </c>
      <c r="L828">
        <v>1323908.51</v>
      </c>
      <c r="M828">
        <v>341051.41</v>
      </c>
      <c r="N828">
        <v>0</v>
      </c>
    </row>
    <row r="829" spans="1:14" hidden="1">
      <c r="A829" t="s">
        <v>511</v>
      </c>
      <c r="B829" t="s">
        <v>478</v>
      </c>
      <c r="C829" t="s">
        <v>539</v>
      </c>
      <c r="D829" t="s">
        <v>1722</v>
      </c>
      <c r="E829" t="s">
        <v>1723</v>
      </c>
      <c r="F829">
        <v>21680.2</v>
      </c>
      <c r="G829">
        <v>330409001</v>
      </c>
      <c r="H829" s="118">
        <v>45695</v>
      </c>
      <c r="I829">
        <v>10</v>
      </c>
      <c r="J829">
        <v>13.47</v>
      </c>
      <c r="K829">
        <v>216802</v>
      </c>
      <c r="L829">
        <v>292032.28999999998</v>
      </c>
      <c r="M829">
        <v>75230.289999999994</v>
      </c>
      <c r="N829">
        <v>0</v>
      </c>
    </row>
    <row r="830" spans="1:14" hidden="1">
      <c r="A830" t="s">
        <v>511</v>
      </c>
      <c r="B830" t="s">
        <v>478</v>
      </c>
      <c r="C830" t="s">
        <v>539</v>
      </c>
      <c r="D830" t="s">
        <v>1724</v>
      </c>
      <c r="E830" t="s">
        <v>1725</v>
      </c>
      <c r="F830">
        <v>8.1969999999999992</v>
      </c>
      <c r="G830">
        <v>297363892</v>
      </c>
      <c r="H830" s="118">
        <v>43648</v>
      </c>
      <c r="I830">
        <v>999.96579999999994</v>
      </c>
      <c r="J830">
        <v>378.8886</v>
      </c>
      <c r="K830">
        <v>8196.7199999999993</v>
      </c>
      <c r="L830">
        <v>3105.75</v>
      </c>
      <c r="M830">
        <v>-5090.97</v>
      </c>
      <c r="N830">
        <v>0</v>
      </c>
    </row>
    <row r="831" spans="1:14" hidden="1">
      <c r="A831" t="s">
        <v>511</v>
      </c>
      <c r="B831" t="s">
        <v>478</v>
      </c>
      <c r="C831" t="s">
        <v>539</v>
      </c>
      <c r="D831" t="s">
        <v>1726</v>
      </c>
      <c r="E831" t="s">
        <v>1727</v>
      </c>
      <c r="F831">
        <v>36585.366000000002</v>
      </c>
      <c r="G831">
        <v>297363897</v>
      </c>
      <c r="H831" s="118">
        <v>43822</v>
      </c>
      <c r="I831">
        <v>10</v>
      </c>
      <c r="J831">
        <v>7.7462999999999997</v>
      </c>
      <c r="K831">
        <v>365853.66</v>
      </c>
      <c r="L831">
        <v>283402.05</v>
      </c>
      <c r="M831">
        <v>-82451.61</v>
      </c>
      <c r="N831">
        <v>0</v>
      </c>
    </row>
    <row r="832" spans="1:14" hidden="1">
      <c r="A832" t="s">
        <v>511</v>
      </c>
      <c r="B832" t="s">
        <v>478</v>
      </c>
      <c r="C832" t="s">
        <v>539</v>
      </c>
      <c r="D832" t="s">
        <v>1728</v>
      </c>
      <c r="E832" t="s">
        <v>1729</v>
      </c>
      <c r="F832">
        <v>1050000</v>
      </c>
      <c r="G832">
        <v>297363919</v>
      </c>
      <c r="H832" s="118">
        <v>44181</v>
      </c>
      <c r="I832">
        <v>1</v>
      </c>
      <c r="J832">
        <v>1.1718</v>
      </c>
      <c r="K832">
        <v>1050000</v>
      </c>
      <c r="L832">
        <v>1230370.8799999999</v>
      </c>
      <c r="M832">
        <v>180370.88</v>
      </c>
      <c r="N832">
        <v>0</v>
      </c>
    </row>
    <row r="833" spans="1:20" hidden="1">
      <c r="A833" t="s">
        <v>511</v>
      </c>
      <c r="B833" t="s">
        <v>478</v>
      </c>
      <c r="C833" t="s">
        <v>539</v>
      </c>
      <c r="D833" t="s">
        <v>1730</v>
      </c>
      <c r="E833" t="s">
        <v>1731</v>
      </c>
      <c r="F833">
        <v>113.074</v>
      </c>
      <c r="G833">
        <v>297363938</v>
      </c>
      <c r="H833" s="118">
        <v>44419</v>
      </c>
      <c r="I833">
        <v>919.75170000000003</v>
      </c>
      <c r="J833">
        <v>1871.9735000000001</v>
      </c>
      <c r="K833">
        <v>104000</v>
      </c>
      <c r="L833">
        <v>211671.53</v>
      </c>
      <c r="M833">
        <v>107671.53</v>
      </c>
      <c r="N833">
        <v>0</v>
      </c>
    </row>
    <row r="834" spans="1:20" hidden="1">
      <c r="A834" t="s">
        <v>511</v>
      </c>
      <c r="B834" t="s">
        <v>478</v>
      </c>
      <c r="C834" t="s">
        <v>539</v>
      </c>
      <c r="D834" t="s">
        <v>1732</v>
      </c>
      <c r="E834" t="s">
        <v>1733</v>
      </c>
      <c r="F834">
        <v>638.452</v>
      </c>
      <c r="G834">
        <v>297363946</v>
      </c>
      <c r="H834" s="118">
        <v>44440</v>
      </c>
      <c r="I834">
        <v>10</v>
      </c>
      <c r="J834">
        <v>0</v>
      </c>
      <c r="K834">
        <v>6384.52</v>
      </c>
      <c r="L834">
        <v>0</v>
      </c>
      <c r="M834">
        <v>-6384.52</v>
      </c>
      <c r="N834">
        <v>0</v>
      </c>
    </row>
    <row r="835" spans="1:20" hidden="1">
      <c r="A835" t="s">
        <v>511</v>
      </c>
      <c r="B835" t="s">
        <v>478</v>
      </c>
      <c r="C835" t="s">
        <v>539</v>
      </c>
      <c r="D835" t="s">
        <v>1734</v>
      </c>
      <c r="E835" t="s">
        <v>1555</v>
      </c>
      <c r="F835">
        <v>446250</v>
      </c>
      <c r="G835">
        <v>297363961</v>
      </c>
      <c r="H835" s="118">
        <v>44543</v>
      </c>
      <c r="I835">
        <v>1</v>
      </c>
      <c r="J835">
        <v>0.62</v>
      </c>
      <c r="K835">
        <v>446250</v>
      </c>
      <c r="L835">
        <v>276675</v>
      </c>
      <c r="M835">
        <v>-169575</v>
      </c>
      <c r="N835">
        <v>0</v>
      </c>
    </row>
    <row r="836" spans="1:20" hidden="1">
      <c r="A836" t="s">
        <v>511</v>
      </c>
      <c r="B836" t="s">
        <v>478</v>
      </c>
      <c r="C836" t="s">
        <v>539</v>
      </c>
      <c r="D836" t="s">
        <v>1734</v>
      </c>
      <c r="E836" t="s">
        <v>1555</v>
      </c>
      <c r="F836">
        <v>245415.85</v>
      </c>
      <c r="G836">
        <v>297364080</v>
      </c>
      <c r="H836" s="118">
        <v>45238</v>
      </c>
      <c r="I836">
        <v>1</v>
      </c>
      <c r="J836">
        <v>0.62</v>
      </c>
      <c r="K836">
        <v>245415.85</v>
      </c>
      <c r="L836">
        <v>152157.82999999999</v>
      </c>
      <c r="M836">
        <v>-93258.02</v>
      </c>
      <c r="N836">
        <v>0</v>
      </c>
    </row>
    <row r="837" spans="1:20" hidden="1">
      <c r="A837" t="s">
        <v>511</v>
      </c>
      <c r="B837" t="s">
        <v>478</v>
      </c>
      <c r="C837" t="s">
        <v>539</v>
      </c>
      <c r="D837" t="s">
        <v>1734</v>
      </c>
      <c r="E837" t="s">
        <v>1555</v>
      </c>
      <c r="F837">
        <v>3277.49</v>
      </c>
      <c r="G837">
        <v>307944178</v>
      </c>
      <c r="H837" s="118">
        <v>45456</v>
      </c>
      <c r="I837">
        <v>1</v>
      </c>
      <c r="J837">
        <v>0.62</v>
      </c>
      <c r="K837">
        <v>3277.49</v>
      </c>
      <c r="L837">
        <v>2032.04</v>
      </c>
      <c r="M837">
        <v>-1245.45</v>
      </c>
      <c r="N837">
        <v>0</v>
      </c>
    </row>
    <row r="838" spans="1:20" hidden="1">
      <c r="A838" t="s">
        <v>511</v>
      </c>
      <c r="B838" t="s">
        <v>478</v>
      </c>
      <c r="C838" t="s">
        <v>539</v>
      </c>
      <c r="D838" t="s">
        <v>1734</v>
      </c>
      <c r="E838" t="s">
        <v>1555</v>
      </c>
      <c r="F838">
        <v>7364.74</v>
      </c>
      <c r="G838">
        <v>356252704</v>
      </c>
      <c r="H838" s="118">
        <v>45973</v>
      </c>
      <c r="I838">
        <v>1</v>
      </c>
      <c r="J838">
        <v>0.62</v>
      </c>
      <c r="K838">
        <v>7364.74</v>
      </c>
      <c r="L838">
        <v>4566.1400000000003</v>
      </c>
      <c r="M838">
        <v>-2798.6</v>
      </c>
      <c r="N838">
        <v>0</v>
      </c>
    </row>
    <row r="839" spans="1:20" hidden="1">
      <c r="A839" t="s">
        <v>511</v>
      </c>
      <c r="B839" t="s">
        <v>478</v>
      </c>
      <c r="C839" t="s">
        <v>539</v>
      </c>
      <c r="D839" t="s">
        <v>1735</v>
      </c>
      <c r="E839" t="s">
        <v>1736</v>
      </c>
      <c r="F839">
        <v>42790.89</v>
      </c>
      <c r="G839">
        <v>297363963</v>
      </c>
      <c r="H839" s="118">
        <v>44543</v>
      </c>
      <c r="I839">
        <v>1</v>
      </c>
      <c r="J839">
        <v>0.62</v>
      </c>
      <c r="K839">
        <v>42790.89</v>
      </c>
      <c r="L839">
        <v>26530.35</v>
      </c>
      <c r="M839">
        <v>-16260.54</v>
      </c>
      <c r="N839">
        <v>0</v>
      </c>
    </row>
    <row r="840" spans="1:20" hidden="1">
      <c r="A840" t="s">
        <v>511</v>
      </c>
      <c r="B840" t="s">
        <v>478</v>
      </c>
      <c r="C840" t="s">
        <v>539</v>
      </c>
      <c r="D840" t="s">
        <v>1737</v>
      </c>
      <c r="E840" t="s">
        <v>1738</v>
      </c>
      <c r="F840">
        <v>1111111.1100000001</v>
      </c>
      <c r="G840">
        <v>297363964</v>
      </c>
      <c r="H840" s="118">
        <v>44550</v>
      </c>
      <c r="I840">
        <v>1</v>
      </c>
      <c r="J840">
        <v>0.74429999999999996</v>
      </c>
      <c r="K840">
        <v>1111081.58</v>
      </c>
      <c r="L840">
        <v>827000</v>
      </c>
      <c r="M840">
        <v>-284081.58</v>
      </c>
      <c r="N840">
        <v>0</v>
      </c>
    </row>
    <row r="841" spans="1:20" hidden="1">
      <c r="A841" t="s">
        <v>511</v>
      </c>
      <c r="B841" t="s">
        <v>478</v>
      </c>
      <c r="C841" t="s">
        <v>539</v>
      </c>
      <c r="D841" t="s">
        <v>1737</v>
      </c>
      <c r="E841" t="s">
        <v>1738</v>
      </c>
      <c r="F841">
        <v>7206.97</v>
      </c>
      <c r="G841">
        <v>297364039</v>
      </c>
      <c r="H841" s="118">
        <v>44994</v>
      </c>
      <c r="I841">
        <v>1</v>
      </c>
      <c r="J841">
        <v>0.74429999999999996</v>
      </c>
      <c r="K841">
        <v>7206.78</v>
      </c>
      <c r="L841">
        <v>5364.15</v>
      </c>
      <c r="M841">
        <v>-1842.63</v>
      </c>
      <c r="N841">
        <v>0</v>
      </c>
    </row>
    <row r="842" spans="1:20" hidden="1">
      <c r="A842" t="s">
        <v>511</v>
      </c>
      <c r="B842" t="s">
        <v>478</v>
      </c>
      <c r="C842" t="s">
        <v>539</v>
      </c>
      <c r="D842" t="s">
        <v>1737</v>
      </c>
      <c r="E842" t="s">
        <v>1738</v>
      </c>
      <c r="F842">
        <v>4230.7299999999996</v>
      </c>
      <c r="G842">
        <v>297364088</v>
      </c>
      <c r="H842" s="118">
        <v>45252</v>
      </c>
      <c r="I842">
        <v>1</v>
      </c>
      <c r="J842">
        <v>0.74429999999999996</v>
      </c>
      <c r="K842">
        <v>4230.62</v>
      </c>
      <c r="L842">
        <v>3148.93</v>
      </c>
      <c r="M842">
        <v>-1081.69</v>
      </c>
      <c r="N842">
        <v>0</v>
      </c>
    </row>
    <row r="843" spans="1:20" hidden="1">
      <c r="A843" t="s">
        <v>511</v>
      </c>
      <c r="B843" t="s">
        <v>478</v>
      </c>
      <c r="C843" t="s">
        <v>539</v>
      </c>
      <c r="D843" t="s">
        <v>1737</v>
      </c>
      <c r="E843" t="s">
        <v>1738</v>
      </c>
      <c r="F843">
        <v>8849.2099999999991</v>
      </c>
      <c r="G843">
        <v>320393684</v>
      </c>
      <c r="H843" s="118">
        <v>45573</v>
      </c>
      <c r="I843">
        <v>1</v>
      </c>
      <c r="J843">
        <v>0.74429999999999996</v>
      </c>
      <c r="K843">
        <v>8848.9699999999993</v>
      </c>
      <c r="L843">
        <v>6586.47</v>
      </c>
      <c r="M843">
        <v>-2262.5</v>
      </c>
      <c r="N843">
        <v>0</v>
      </c>
    </row>
    <row r="844" spans="1:20" hidden="1">
      <c r="A844" t="s">
        <v>511</v>
      </c>
      <c r="B844" t="s">
        <v>478</v>
      </c>
      <c r="C844" t="s">
        <v>539</v>
      </c>
      <c r="D844" t="s">
        <v>1737</v>
      </c>
      <c r="E844" t="s">
        <v>1738</v>
      </c>
      <c r="F844">
        <v>6209.54</v>
      </c>
      <c r="G844">
        <v>337577724</v>
      </c>
      <c r="H844" s="118">
        <v>45754</v>
      </c>
      <c r="I844">
        <v>1</v>
      </c>
      <c r="J844">
        <v>0.74429999999999996</v>
      </c>
      <c r="K844">
        <v>6209.37</v>
      </c>
      <c r="L844">
        <v>4621.76</v>
      </c>
      <c r="M844">
        <v>-1587.61</v>
      </c>
      <c r="N844">
        <v>0</v>
      </c>
    </row>
    <row r="845" spans="1:20" hidden="1">
      <c r="A845" t="s">
        <v>511</v>
      </c>
      <c r="B845" t="s">
        <v>478</v>
      </c>
      <c r="C845" t="s">
        <v>539</v>
      </c>
      <c r="D845" t="s">
        <v>1737</v>
      </c>
      <c r="E845" t="s">
        <v>1738</v>
      </c>
      <c r="F845">
        <v>63675.31</v>
      </c>
      <c r="G845">
        <v>348249485</v>
      </c>
      <c r="H845" s="118">
        <v>45888</v>
      </c>
      <c r="I845">
        <v>1</v>
      </c>
      <c r="J845">
        <v>0.74429999999999996</v>
      </c>
      <c r="K845">
        <v>63674.54</v>
      </c>
      <c r="L845">
        <v>47393.53</v>
      </c>
      <c r="M845">
        <v>-16281.01</v>
      </c>
      <c r="N845">
        <v>0</v>
      </c>
    </row>
    <row r="846" spans="1:20" hidden="1">
      <c r="A846" t="s">
        <v>511</v>
      </c>
      <c r="B846" t="s">
        <v>478</v>
      </c>
      <c r="C846" t="s">
        <v>539</v>
      </c>
      <c r="D846" t="s">
        <v>1739</v>
      </c>
      <c r="E846" t="s">
        <v>1740</v>
      </c>
      <c r="F846">
        <v>298717.13</v>
      </c>
      <c r="G846">
        <v>297363965</v>
      </c>
      <c r="H846" s="118">
        <v>44550</v>
      </c>
      <c r="I846">
        <v>1</v>
      </c>
      <c r="J846">
        <v>0.74429999999999996</v>
      </c>
      <c r="K846">
        <v>298717.13</v>
      </c>
      <c r="L846">
        <v>222335.16</v>
      </c>
      <c r="M846">
        <v>-76381.97</v>
      </c>
      <c r="N846">
        <v>0</v>
      </c>
    </row>
    <row r="847" spans="1:20" hidden="1">
      <c r="A847" t="s">
        <v>511</v>
      </c>
      <c r="B847" t="s">
        <v>478</v>
      </c>
      <c r="C847" t="s">
        <v>1741</v>
      </c>
      <c r="D847" t="s">
        <v>1742</v>
      </c>
      <c r="E847" t="s">
        <v>1743</v>
      </c>
      <c r="F847">
        <v>5686.41</v>
      </c>
      <c r="G847">
        <v>312858800</v>
      </c>
      <c r="H847" s="118">
        <v>45506</v>
      </c>
      <c r="I847">
        <v>100</v>
      </c>
      <c r="J847">
        <v>0</v>
      </c>
      <c r="K847">
        <v>5686.41</v>
      </c>
      <c r="L847">
        <v>0</v>
      </c>
      <c r="M847">
        <v>-5686.41</v>
      </c>
      <c r="N847">
        <v>0</v>
      </c>
      <c r="O847" t="s">
        <v>1744</v>
      </c>
      <c r="Q847" t="s">
        <v>170</v>
      </c>
      <c r="R847">
        <v>1558.08</v>
      </c>
      <c r="S847">
        <v>18</v>
      </c>
      <c r="T847" s="118">
        <v>46820</v>
      </c>
    </row>
    <row r="848" spans="1:20" hidden="1">
      <c r="A848" t="s">
        <v>511</v>
      </c>
      <c r="B848" t="s">
        <v>478</v>
      </c>
      <c r="C848" t="s">
        <v>1741</v>
      </c>
      <c r="D848" t="s">
        <v>1745</v>
      </c>
      <c r="E848" t="s">
        <v>1746</v>
      </c>
      <c r="F848">
        <v>5686.41</v>
      </c>
      <c r="G848">
        <v>312858804</v>
      </c>
      <c r="H848" s="118">
        <v>45506</v>
      </c>
      <c r="I848">
        <v>100</v>
      </c>
      <c r="J848">
        <v>0</v>
      </c>
      <c r="K848">
        <v>5686.41</v>
      </c>
      <c r="L848">
        <v>0</v>
      </c>
      <c r="M848">
        <v>-5686.41</v>
      </c>
      <c r="N848">
        <v>0</v>
      </c>
      <c r="O848" t="s">
        <v>1744</v>
      </c>
      <c r="S848">
        <v>0</v>
      </c>
      <c r="T848" s="118">
        <v>46820</v>
      </c>
    </row>
    <row r="849" spans="1:20" hidden="1">
      <c r="A849" t="s">
        <v>511</v>
      </c>
      <c r="B849" t="s">
        <v>478</v>
      </c>
      <c r="C849" t="s">
        <v>1741</v>
      </c>
      <c r="D849" t="s">
        <v>1747</v>
      </c>
      <c r="E849" t="s">
        <v>1748</v>
      </c>
      <c r="F849">
        <v>611650</v>
      </c>
      <c r="G849">
        <v>313564796</v>
      </c>
      <c r="H849" s="118">
        <v>45519</v>
      </c>
      <c r="I849">
        <v>100</v>
      </c>
      <c r="J849">
        <v>117.5</v>
      </c>
      <c r="K849">
        <v>611650</v>
      </c>
      <c r="L849">
        <v>718688.75</v>
      </c>
      <c r="M849">
        <v>107038.75</v>
      </c>
      <c r="N849">
        <v>0</v>
      </c>
      <c r="O849" t="s">
        <v>1749</v>
      </c>
      <c r="Q849" t="s">
        <v>170</v>
      </c>
      <c r="R849">
        <v>109077.58</v>
      </c>
      <c r="S849">
        <v>12</v>
      </c>
      <c r="T849" s="118">
        <v>46614</v>
      </c>
    </row>
    <row r="850" spans="1:20" hidden="1">
      <c r="A850" t="s">
        <v>511</v>
      </c>
      <c r="B850" t="s">
        <v>478</v>
      </c>
      <c r="C850" t="s">
        <v>1741</v>
      </c>
      <c r="D850" t="s">
        <v>1750</v>
      </c>
      <c r="E850" t="s">
        <v>1748</v>
      </c>
      <c r="F850">
        <v>305825</v>
      </c>
      <c r="G850">
        <v>330985048</v>
      </c>
      <c r="H850" s="118">
        <v>45706</v>
      </c>
      <c r="I850">
        <v>100</v>
      </c>
      <c r="J850">
        <v>117.5</v>
      </c>
      <c r="K850">
        <v>305825</v>
      </c>
      <c r="L850">
        <v>359344.38</v>
      </c>
      <c r="M850">
        <v>53519.38</v>
      </c>
      <c r="N850">
        <v>0</v>
      </c>
      <c r="O850" t="s">
        <v>1749</v>
      </c>
      <c r="Q850" t="s">
        <v>170</v>
      </c>
      <c r="R850">
        <v>35475.699999999997</v>
      </c>
      <c r="S850">
        <v>12</v>
      </c>
      <c r="T850" s="118">
        <v>46614</v>
      </c>
    </row>
    <row r="851" spans="1:20" hidden="1">
      <c r="A851" t="s">
        <v>511</v>
      </c>
      <c r="B851" t="s">
        <v>478</v>
      </c>
      <c r="C851" t="s">
        <v>1741</v>
      </c>
      <c r="D851" t="s">
        <v>1751</v>
      </c>
      <c r="E851" t="s">
        <v>1748</v>
      </c>
      <c r="F851">
        <v>305825</v>
      </c>
      <c r="G851">
        <v>354855822</v>
      </c>
      <c r="H851" s="118">
        <v>45944</v>
      </c>
      <c r="I851">
        <v>100</v>
      </c>
      <c r="J851">
        <v>117.5</v>
      </c>
      <c r="K851">
        <v>305825</v>
      </c>
      <c r="L851">
        <v>359344.38</v>
      </c>
      <c r="M851">
        <v>53519.38</v>
      </c>
      <c r="N851">
        <v>0</v>
      </c>
      <c r="O851" t="s">
        <v>1749</v>
      </c>
      <c r="Q851" t="s">
        <v>170</v>
      </c>
      <c r="R851">
        <v>11213.58</v>
      </c>
      <c r="S851">
        <v>12</v>
      </c>
      <c r="T851" s="118">
        <v>46614</v>
      </c>
    </row>
    <row r="852" spans="1:20" hidden="1">
      <c r="A852" t="s">
        <v>511</v>
      </c>
      <c r="B852" t="s">
        <v>478</v>
      </c>
      <c r="C852" t="s">
        <v>1741</v>
      </c>
      <c r="D852" t="s">
        <v>1752</v>
      </c>
      <c r="E852" t="s">
        <v>1753</v>
      </c>
      <c r="F852">
        <v>23730.1</v>
      </c>
      <c r="G852">
        <v>327117781</v>
      </c>
      <c r="H852" s="118">
        <v>45602</v>
      </c>
      <c r="I852">
        <v>1000</v>
      </c>
      <c r="J852">
        <v>1144.8499999999999</v>
      </c>
      <c r="K852">
        <v>237301</v>
      </c>
      <c r="L852">
        <v>271674.05</v>
      </c>
      <c r="M852">
        <v>34373.050000000003</v>
      </c>
      <c r="N852">
        <v>0</v>
      </c>
      <c r="O852" t="s">
        <v>1754</v>
      </c>
      <c r="Q852" t="s">
        <v>170</v>
      </c>
      <c r="R852">
        <v>3124.46</v>
      </c>
      <c r="S852">
        <v>12</v>
      </c>
      <c r="T852" s="118">
        <v>46389</v>
      </c>
    </row>
    <row r="853" spans="1:20" hidden="1">
      <c r="A853" t="s">
        <v>511</v>
      </c>
      <c r="B853" t="s">
        <v>478</v>
      </c>
      <c r="C853" t="s">
        <v>178</v>
      </c>
      <c r="D853">
        <v>999359731</v>
      </c>
      <c r="E853" t="s">
        <v>1755</v>
      </c>
      <c r="F853">
        <v>33221176.399999999</v>
      </c>
      <c r="G853">
        <v>297363908</v>
      </c>
      <c r="H853" s="118">
        <v>44043</v>
      </c>
      <c r="I853">
        <v>1</v>
      </c>
      <c r="J853">
        <v>0.74929999999999997</v>
      </c>
      <c r="K853">
        <v>33221176.399999999</v>
      </c>
      <c r="L853">
        <v>24894214.489999998</v>
      </c>
      <c r="M853">
        <v>-8326961.9100000001</v>
      </c>
      <c r="N853">
        <v>0</v>
      </c>
    </row>
    <row r="854" spans="1:20" hidden="1">
      <c r="A854" t="s">
        <v>511</v>
      </c>
      <c r="B854" t="s">
        <v>478</v>
      </c>
      <c r="C854" t="s">
        <v>178</v>
      </c>
      <c r="D854">
        <v>999359731</v>
      </c>
      <c r="E854" t="s">
        <v>1755</v>
      </c>
      <c r="F854">
        <v>608828.21400000004</v>
      </c>
      <c r="G854">
        <v>297363915</v>
      </c>
      <c r="H854" s="118">
        <v>44134</v>
      </c>
      <c r="I854">
        <v>1.1032</v>
      </c>
      <c r="J854">
        <v>0.74929999999999997</v>
      </c>
      <c r="K854">
        <v>671646.5</v>
      </c>
      <c r="L854">
        <v>456224.07</v>
      </c>
      <c r="M854">
        <v>-215422.43</v>
      </c>
      <c r="N854">
        <v>0</v>
      </c>
    </row>
    <row r="855" spans="1:20" hidden="1">
      <c r="A855" t="s">
        <v>511</v>
      </c>
      <c r="B855" t="s">
        <v>478</v>
      </c>
      <c r="C855" t="s">
        <v>178</v>
      </c>
      <c r="D855">
        <v>999359731</v>
      </c>
      <c r="E855" t="s">
        <v>1755</v>
      </c>
      <c r="F855">
        <v>7734392</v>
      </c>
      <c r="G855">
        <v>297363988</v>
      </c>
      <c r="H855" s="118">
        <v>44638</v>
      </c>
      <c r="I855">
        <v>1</v>
      </c>
      <c r="J855">
        <v>0.74929999999999997</v>
      </c>
      <c r="K855">
        <v>7734392</v>
      </c>
      <c r="L855">
        <v>5795749.4100000001</v>
      </c>
      <c r="M855">
        <v>-1938642.59</v>
      </c>
      <c r="N855">
        <v>0</v>
      </c>
    </row>
    <row r="856" spans="1:20" hidden="1">
      <c r="A856" t="s">
        <v>511</v>
      </c>
      <c r="B856" t="s">
        <v>478</v>
      </c>
      <c r="C856" t="s">
        <v>178</v>
      </c>
      <c r="D856">
        <v>999359731</v>
      </c>
      <c r="E856" t="s">
        <v>1755</v>
      </c>
      <c r="F856">
        <v>7734392</v>
      </c>
      <c r="G856">
        <v>297363996</v>
      </c>
      <c r="H856" s="118">
        <v>44729</v>
      </c>
      <c r="I856">
        <v>1</v>
      </c>
      <c r="J856">
        <v>0.74929999999999997</v>
      </c>
      <c r="K856">
        <v>7734392</v>
      </c>
      <c r="L856">
        <v>5795749.4100000001</v>
      </c>
      <c r="M856">
        <v>-1938642.59</v>
      </c>
      <c r="N856">
        <v>0</v>
      </c>
    </row>
    <row r="857" spans="1:20" hidden="1">
      <c r="A857" t="s">
        <v>511</v>
      </c>
      <c r="B857" t="s">
        <v>478</v>
      </c>
      <c r="C857" t="s">
        <v>178</v>
      </c>
      <c r="D857">
        <v>999359731</v>
      </c>
      <c r="E857" t="s">
        <v>1755</v>
      </c>
      <c r="F857">
        <v>4759626</v>
      </c>
      <c r="G857">
        <v>297364019</v>
      </c>
      <c r="H857" s="118">
        <v>44854</v>
      </c>
      <c r="I857">
        <v>1</v>
      </c>
      <c r="J857">
        <v>0.74929999999999997</v>
      </c>
      <c r="K857">
        <v>4759626</v>
      </c>
      <c r="L857">
        <v>3566615.13</v>
      </c>
      <c r="M857">
        <v>-1193010.8700000001</v>
      </c>
      <c r="N857">
        <v>0</v>
      </c>
    </row>
    <row r="858" spans="1:20" hidden="1">
      <c r="A858" t="s">
        <v>511</v>
      </c>
      <c r="B858" t="s">
        <v>478</v>
      </c>
      <c r="C858" t="s">
        <v>178</v>
      </c>
      <c r="D858">
        <v>999359731</v>
      </c>
      <c r="E858" t="s">
        <v>1755</v>
      </c>
      <c r="F858">
        <v>4521645</v>
      </c>
      <c r="G858">
        <v>297364049</v>
      </c>
      <c r="H858" s="118">
        <v>45069</v>
      </c>
      <c r="I858">
        <v>1</v>
      </c>
      <c r="J858">
        <v>0.74929999999999997</v>
      </c>
      <c r="K858">
        <v>4521645</v>
      </c>
      <c r="L858">
        <v>3388284.6</v>
      </c>
      <c r="M858">
        <v>-1133360.3999999999</v>
      </c>
      <c r="N858">
        <v>0</v>
      </c>
    </row>
    <row r="859" spans="1:20" hidden="1">
      <c r="A859" t="s">
        <v>511</v>
      </c>
      <c r="B859" t="s">
        <v>478</v>
      </c>
      <c r="C859" t="s">
        <v>178</v>
      </c>
      <c r="D859">
        <v>999359731</v>
      </c>
      <c r="E859" t="s">
        <v>1755</v>
      </c>
      <c r="F859">
        <v>8793259</v>
      </c>
      <c r="G859">
        <v>297364108</v>
      </c>
      <c r="H859" s="118">
        <v>45331</v>
      </c>
      <c r="I859">
        <v>1</v>
      </c>
      <c r="J859">
        <v>0.74929999999999997</v>
      </c>
      <c r="K859">
        <v>8793259</v>
      </c>
      <c r="L859">
        <v>6589209.0300000003</v>
      </c>
      <c r="M859">
        <v>-2204049.9700000002</v>
      </c>
      <c r="N859">
        <v>0</v>
      </c>
    </row>
    <row r="860" spans="1:20" hidden="1">
      <c r="A860" t="s">
        <v>511</v>
      </c>
      <c r="B860" t="s">
        <v>478</v>
      </c>
      <c r="C860" t="s">
        <v>178</v>
      </c>
      <c r="D860">
        <v>999359731</v>
      </c>
      <c r="E860" t="s">
        <v>1755</v>
      </c>
      <c r="F860">
        <v>9880143.4580000006</v>
      </c>
      <c r="G860">
        <v>318939631</v>
      </c>
      <c r="H860" s="118">
        <v>45581</v>
      </c>
      <c r="I860">
        <v>1.0082</v>
      </c>
      <c r="J860">
        <v>0.74929999999999997</v>
      </c>
      <c r="K860">
        <v>9960812</v>
      </c>
      <c r="L860">
        <v>7403663.4800000004</v>
      </c>
      <c r="M860">
        <v>-2557148.52</v>
      </c>
      <c r="N860">
        <v>0</v>
      </c>
    </row>
    <row r="861" spans="1:20" hidden="1">
      <c r="A861" t="s">
        <v>511</v>
      </c>
      <c r="B861" t="s">
        <v>478</v>
      </c>
      <c r="C861" t="s">
        <v>178</v>
      </c>
      <c r="D861">
        <v>999359731</v>
      </c>
      <c r="E861" t="s">
        <v>1755</v>
      </c>
      <c r="F861">
        <v>4923117.3099999996</v>
      </c>
      <c r="G861">
        <v>330758054</v>
      </c>
      <c r="H861" s="118">
        <v>45707</v>
      </c>
      <c r="I861">
        <v>1.0077</v>
      </c>
      <c r="J861">
        <v>0.74929999999999997</v>
      </c>
      <c r="K861">
        <v>4960876</v>
      </c>
      <c r="L861">
        <v>3689126.98</v>
      </c>
      <c r="M861">
        <v>-1271749.02</v>
      </c>
      <c r="N861">
        <v>0</v>
      </c>
    </row>
    <row r="862" spans="1:20" hidden="1">
      <c r="A862" t="s">
        <v>511</v>
      </c>
      <c r="B862" t="s">
        <v>478</v>
      </c>
      <c r="C862" t="s">
        <v>178</v>
      </c>
      <c r="D862">
        <v>999359741</v>
      </c>
      <c r="E862" t="s">
        <v>1756</v>
      </c>
      <c r="F862">
        <v>2187906.1</v>
      </c>
      <c r="G862">
        <v>297363975</v>
      </c>
      <c r="H862" s="118">
        <v>44568</v>
      </c>
      <c r="I862">
        <v>1</v>
      </c>
      <c r="J862">
        <v>0.79159999999999997</v>
      </c>
      <c r="K862">
        <v>2187906.1</v>
      </c>
      <c r="L862">
        <v>1731893.09</v>
      </c>
      <c r="M862">
        <v>-456013.01</v>
      </c>
      <c r="N862">
        <v>0</v>
      </c>
    </row>
    <row r="863" spans="1:20" hidden="1">
      <c r="A863" t="s">
        <v>511</v>
      </c>
      <c r="B863" t="s">
        <v>478</v>
      </c>
      <c r="C863" t="s">
        <v>178</v>
      </c>
      <c r="D863">
        <v>999359741</v>
      </c>
      <c r="E863" t="s">
        <v>1756</v>
      </c>
      <c r="F863">
        <v>2307692.31</v>
      </c>
      <c r="G863">
        <v>297363980</v>
      </c>
      <c r="H863" s="118">
        <v>44600</v>
      </c>
      <c r="I863">
        <v>1</v>
      </c>
      <c r="J863">
        <v>0.79159999999999997</v>
      </c>
      <c r="K863">
        <v>2307692.31</v>
      </c>
      <c r="L863">
        <v>1826712.94</v>
      </c>
      <c r="M863">
        <v>-480979.37</v>
      </c>
      <c r="N863">
        <v>0</v>
      </c>
    </row>
    <row r="864" spans="1:20" hidden="1">
      <c r="A864" t="s">
        <v>511</v>
      </c>
      <c r="B864" t="s">
        <v>478</v>
      </c>
      <c r="C864" t="s">
        <v>178</v>
      </c>
      <c r="D864">
        <v>999359741</v>
      </c>
      <c r="E864" t="s">
        <v>1756</v>
      </c>
      <c r="F864">
        <v>3620195.86</v>
      </c>
      <c r="G864">
        <v>297363990</v>
      </c>
      <c r="H864" s="118">
        <v>44687</v>
      </c>
      <c r="I864">
        <v>1</v>
      </c>
      <c r="J864">
        <v>0.79159999999999997</v>
      </c>
      <c r="K864">
        <v>3620195.86</v>
      </c>
      <c r="L864">
        <v>2865658.73</v>
      </c>
      <c r="M864">
        <v>-754537.13</v>
      </c>
      <c r="N864">
        <v>0</v>
      </c>
    </row>
    <row r="865" spans="1:20" hidden="1">
      <c r="A865" t="s">
        <v>511</v>
      </c>
      <c r="B865" t="s">
        <v>478</v>
      </c>
      <c r="C865" t="s">
        <v>178</v>
      </c>
      <c r="D865" t="s">
        <v>1757</v>
      </c>
      <c r="E865" t="s">
        <v>1758</v>
      </c>
      <c r="F865">
        <v>63000000</v>
      </c>
      <c r="G865">
        <v>297363909</v>
      </c>
      <c r="H865" s="118">
        <v>44043</v>
      </c>
      <c r="I865">
        <v>100</v>
      </c>
      <c r="J865">
        <v>100</v>
      </c>
      <c r="K865">
        <v>63000000</v>
      </c>
      <c r="L865">
        <v>63000000</v>
      </c>
      <c r="M865">
        <v>0</v>
      </c>
      <c r="N865">
        <v>0</v>
      </c>
      <c r="O865" t="s">
        <v>1759</v>
      </c>
      <c r="Q865" t="s">
        <v>170</v>
      </c>
      <c r="R865">
        <v>1927021.85</v>
      </c>
      <c r="S865">
        <v>11.840400000000001</v>
      </c>
      <c r="T865" s="118">
        <v>46599</v>
      </c>
    </row>
    <row r="866" spans="1:20" hidden="1">
      <c r="A866" t="s">
        <v>511</v>
      </c>
      <c r="B866" t="s">
        <v>478</v>
      </c>
      <c r="C866" t="s">
        <v>178</v>
      </c>
      <c r="D866" t="s">
        <v>1757</v>
      </c>
      <c r="E866" t="s">
        <v>1758</v>
      </c>
      <c r="F866">
        <v>1154570</v>
      </c>
      <c r="G866">
        <v>297363914</v>
      </c>
      <c r="H866" s="118">
        <v>44134</v>
      </c>
      <c r="I866">
        <v>100</v>
      </c>
      <c r="J866">
        <v>100</v>
      </c>
      <c r="K866">
        <v>1154570.1200000001</v>
      </c>
      <c r="L866">
        <v>1154570</v>
      </c>
      <c r="M866">
        <v>-0.12</v>
      </c>
      <c r="N866">
        <v>0</v>
      </c>
      <c r="O866" t="s">
        <v>1759</v>
      </c>
      <c r="Q866" t="s">
        <v>170</v>
      </c>
      <c r="R866">
        <v>35315.58</v>
      </c>
      <c r="S866">
        <v>11.840400000000001</v>
      </c>
      <c r="T866" s="118">
        <v>46599</v>
      </c>
    </row>
    <row r="867" spans="1:20" hidden="1">
      <c r="A867" t="s">
        <v>511</v>
      </c>
      <c r="B867" t="s">
        <v>478</v>
      </c>
      <c r="C867" t="s">
        <v>178</v>
      </c>
      <c r="D867" t="s">
        <v>1757</v>
      </c>
      <c r="E867" t="s">
        <v>1758</v>
      </c>
      <c r="F867">
        <v>11928108</v>
      </c>
      <c r="G867">
        <v>297363987</v>
      </c>
      <c r="H867" s="118">
        <v>44638</v>
      </c>
      <c r="I867">
        <v>100</v>
      </c>
      <c r="J867">
        <v>100</v>
      </c>
      <c r="K867">
        <v>11928108</v>
      </c>
      <c r="L867">
        <v>11928108</v>
      </c>
      <c r="M867">
        <v>0</v>
      </c>
      <c r="N867">
        <v>0</v>
      </c>
      <c r="O867" t="s">
        <v>1759</v>
      </c>
      <c r="Q867" t="s">
        <v>170</v>
      </c>
      <c r="R867">
        <v>364852.77</v>
      </c>
      <c r="S867">
        <v>11.840400000000001</v>
      </c>
      <c r="T867" s="118">
        <v>46599</v>
      </c>
    </row>
    <row r="868" spans="1:20" hidden="1">
      <c r="A868" t="s">
        <v>511</v>
      </c>
      <c r="B868" t="s">
        <v>478</v>
      </c>
      <c r="C868" t="s">
        <v>178</v>
      </c>
      <c r="D868" t="s">
        <v>1757</v>
      </c>
      <c r="E868" t="s">
        <v>1758</v>
      </c>
      <c r="F868">
        <v>11928108</v>
      </c>
      <c r="G868">
        <v>297363997</v>
      </c>
      <c r="H868" s="118">
        <v>44729</v>
      </c>
      <c r="I868">
        <v>100</v>
      </c>
      <c r="J868">
        <v>100</v>
      </c>
      <c r="K868">
        <v>11928108</v>
      </c>
      <c r="L868">
        <v>11928108</v>
      </c>
      <c r="M868">
        <v>0</v>
      </c>
      <c r="N868">
        <v>0</v>
      </c>
      <c r="O868" t="s">
        <v>1759</v>
      </c>
      <c r="Q868" t="s">
        <v>170</v>
      </c>
      <c r="R868">
        <v>364852.77</v>
      </c>
      <c r="S868">
        <v>11.840400000000001</v>
      </c>
      <c r="T868" s="118">
        <v>46599</v>
      </c>
    </row>
    <row r="869" spans="1:20" hidden="1">
      <c r="A869" t="s">
        <v>511</v>
      </c>
      <c r="B869" t="s">
        <v>478</v>
      </c>
      <c r="C869" t="s">
        <v>178</v>
      </c>
      <c r="D869" t="s">
        <v>1757</v>
      </c>
      <c r="E869" t="s">
        <v>1758</v>
      </c>
      <c r="F869">
        <v>7340374</v>
      </c>
      <c r="G869">
        <v>297364018</v>
      </c>
      <c r="H869" s="118">
        <v>44854</v>
      </c>
      <c r="I869">
        <v>100</v>
      </c>
      <c r="J869">
        <v>100</v>
      </c>
      <c r="K869">
        <v>7340374</v>
      </c>
      <c r="L869">
        <v>7340374</v>
      </c>
      <c r="M869">
        <v>0</v>
      </c>
      <c r="N869">
        <v>0</v>
      </c>
      <c r="O869" t="s">
        <v>1759</v>
      </c>
      <c r="Q869" t="s">
        <v>170</v>
      </c>
      <c r="R869">
        <v>224524.78</v>
      </c>
      <c r="S869">
        <v>11.840400000000001</v>
      </c>
      <c r="T869" s="118">
        <v>46599</v>
      </c>
    </row>
    <row r="870" spans="1:20" hidden="1">
      <c r="A870" t="s">
        <v>511</v>
      </c>
      <c r="B870" t="s">
        <v>478</v>
      </c>
      <c r="C870" t="s">
        <v>178</v>
      </c>
      <c r="D870" t="s">
        <v>1757</v>
      </c>
      <c r="E870" t="s">
        <v>1758</v>
      </c>
      <c r="F870">
        <v>6973355</v>
      </c>
      <c r="G870">
        <v>297364048</v>
      </c>
      <c r="H870" s="118">
        <v>45069</v>
      </c>
      <c r="I870">
        <v>100</v>
      </c>
      <c r="J870">
        <v>100</v>
      </c>
      <c r="K870">
        <v>6973355</v>
      </c>
      <c r="L870">
        <v>6973355</v>
      </c>
      <c r="M870">
        <v>0</v>
      </c>
      <c r="N870">
        <v>0</v>
      </c>
      <c r="O870" t="s">
        <v>1759</v>
      </c>
      <c r="Q870" t="s">
        <v>170</v>
      </c>
      <c r="R870">
        <v>213298.53</v>
      </c>
      <c r="S870">
        <v>11.840400000000001</v>
      </c>
      <c r="T870" s="118">
        <v>46599</v>
      </c>
    </row>
    <row r="871" spans="1:20" hidden="1">
      <c r="A871" t="s">
        <v>511</v>
      </c>
      <c r="B871" t="s">
        <v>478</v>
      </c>
      <c r="C871" t="s">
        <v>178</v>
      </c>
      <c r="D871" t="s">
        <v>1757</v>
      </c>
      <c r="E871" t="s">
        <v>1758</v>
      </c>
      <c r="F871">
        <v>13561108</v>
      </c>
      <c r="G871">
        <v>297364109</v>
      </c>
      <c r="H871" s="118">
        <v>45331</v>
      </c>
      <c r="I871">
        <v>100</v>
      </c>
      <c r="J871">
        <v>100</v>
      </c>
      <c r="K871">
        <v>13561108</v>
      </c>
      <c r="L871">
        <v>13561108</v>
      </c>
      <c r="M871">
        <v>0</v>
      </c>
      <c r="N871">
        <v>0</v>
      </c>
      <c r="O871" t="s">
        <v>1759</v>
      </c>
      <c r="Q871" t="s">
        <v>170</v>
      </c>
      <c r="R871">
        <v>414802.4</v>
      </c>
      <c r="S871">
        <v>11.840400000000001</v>
      </c>
      <c r="T871" s="118">
        <v>46599</v>
      </c>
    </row>
    <row r="872" spans="1:20" hidden="1">
      <c r="A872" t="s">
        <v>511</v>
      </c>
      <c r="B872" t="s">
        <v>478</v>
      </c>
      <c r="C872" t="s">
        <v>178</v>
      </c>
      <c r="D872" t="s">
        <v>1757</v>
      </c>
      <c r="E872" t="s">
        <v>1758</v>
      </c>
      <c r="F872">
        <v>16289188</v>
      </c>
      <c r="G872">
        <v>318939623</v>
      </c>
      <c r="H872" s="118">
        <v>45581</v>
      </c>
      <c r="I872">
        <v>100</v>
      </c>
      <c r="J872">
        <v>100</v>
      </c>
      <c r="K872">
        <v>16289188</v>
      </c>
      <c r="L872">
        <v>16289188</v>
      </c>
      <c r="M872">
        <v>0</v>
      </c>
      <c r="N872">
        <v>0</v>
      </c>
      <c r="O872" t="s">
        <v>1759</v>
      </c>
      <c r="Q872" t="s">
        <v>170</v>
      </c>
      <c r="R872">
        <v>498247.95</v>
      </c>
      <c r="S872">
        <v>11.840400000000001</v>
      </c>
      <c r="T872" s="118">
        <v>46599</v>
      </c>
    </row>
    <row r="873" spans="1:20" hidden="1">
      <c r="A873" t="s">
        <v>511</v>
      </c>
      <c r="B873" t="s">
        <v>478</v>
      </c>
      <c r="C873" t="s">
        <v>178</v>
      </c>
      <c r="D873" t="s">
        <v>1757</v>
      </c>
      <c r="E873" t="s">
        <v>1758</v>
      </c>
      <c r="F873">
        <v>8112654</v>
      </c>
      <c r="G873">
        <v>330755878</v>
      </c>
      <c r="H873" s="118">
        <v>45707</v>
      </c>
      <c r="I873">
        <v>100</v>
      </c>
      <c r="J873">
        <v>100</v>
      </c>
      <c r="K873">
        <v>8112654</v>
      </c>
      <c r="L873">
        <v>8112654</v>
      </c>
      <c r="M873">
        <v>0</v>
      </c>
      <c r="N873">
        <v>0</v>
      </c>
      <c r="O873" t="s">
        <v>1759</v>
      </c>
      <c r="Q873" t="s">
        <v>170</v>
      </c>
      <c r="R873">
        <v>248147.01</v>
      </c>
      <c r="S873">
        <v>11.840400000000001</v>
      </c>
      <c r="T873" s="118">
        <v>46599</v>
      </c>
    </row>
    <row r="874" spans="1:20" hidden="1">
      <c r="A874" t="s">
        <v>511</v>
      </c>
      <c r="B874" t="s">
        <v>478</v>
      </c>
      <c r="C874" t="s">
        <v>1760</v>
      </c>
      <c r="D874">
        <v>201199001</v>
      </c>
      <c r="E874" t="s">
        <v>1761</v>
      </c>
      <c r="F874">
        <v>540</v>
      </c>
      <c r="G874">
        <v>297363891</v>
      </c>
      <c r="H874" s="118">
        <v>43606</v>
      </c>
      <c r="I874">
        <v>1000</v>
      </c>
      <c r="J874">
        <v>1089.3113000000001</v>
      </c>
      <c r="K874">
        <v>540000</v>
      </c>
      <c r="L874">
        <v>588228.09</v>
      </c>
      <c r="M874">
        <v>48228.09</v>
      </c>
      <c r="N874">
        <v>0</v>
      </c>
    </row>
    <row r="875" spans="1:20" hidden="1">
      <c r="A875" t="s">
        <v>511</v>
      </c>
      <c r="B875" t="s">
        <v>478</v>
      </c>
      <c r="C875" t="s">
        <v>1760</v>
      </c>
      <c r="D875" t="s">
        <v>1762</v>
      </c>
      <c r="E875" t="s">
        <v>1763</v>
      </c>
      <c r="F875">
        <v>356200</v>
      </c>
      <c r="G875">
        <v>314374699</v>
      </c>
      <c r="H875" s="118">
        <v>45513</v>
      </c>
      <c r="I875">
        <v>1</v>
      </c>
      <c r="J875">
        <v>1</v>
      </c>
      <c r="K875">
        <v>356200</v>
      </c>
      <c r="L875">
        <v>356200</v>
      </c>
      <c r="M875">
        <v>0</v>
      </c>
      <c r="N875">
        <v>0</v>
      </c>
    </row>
    <row r="876" spans="1:20" hidden="1">
      <c r="A876" t="s">
        <v>511</v>
      </c>
      <c r="B876" t="s">
        <v>478</v>
      </c>
      <c r="C876" t="s">
        <v>1760</v>
      </c>
      <c r="D876">
        <v>868887000</v>
      </c>
      <c r="E876" t="s">
        <v>1764</v>
      </c>
      <c r="F876">
        <v>5887236</v>
      </c>
      <c r="G876">
        <v>297364002</v>
      </c>
      <c r="H876" s="118">
        <v>44708</v>
      </c>
      <c r="I876">
        <v>5.5698999999999996</v>
      </c>
      <c r="J876">
        <v>0</v>
      </c>
      <c r="K876">
        <v>32791087.370000001</v>
      </c>
      <c r="L876">
        <v>0</v>
      </c>
      <c r="M876">
        <v>-32791087.370000001</v>
      </c>
      <c r="N876">
        <v>0</v>
      </c>
    </row>
    <row r="877" spans="1:20" hidden="1">
      <c r="A877" t="s">
        <v>511</v>
      </c>
      <c r="B877" t="s">
        <v>478</v>
      </c>
      <c r="C877" t="s">
        <v>1760</v>
      </c>
      <c r="D877">
        <v>868889000</v>
      </c>
      <c r="E877" t="s">
        <v>1765</v>
      </c>
      <c r="F877">
        <v>819.18600000000004</v>
      </c>
      <c r="G877">
        <v>297364028</v>
      </c>
      <c r="H877" s="118">
        <v>44916</v>
      </c>
      <c r="I877">
        <v>1000</v>
      </c>
      <c r="J877">
        <v>1907.7218</v>
      </c>
      <c r="K877">
        <v>819186</v>
      </c>
      <c r="L877">
        <v>1562778.99</v>
      </c>
      <c r="M877">
        <v>743592.99</v>
      </c>
      <c r="N877">
        <v>0</v>
      </c>
    </row>
    <row r="878" spans="1:20" hidden="1">
      <c r="A878" t="s">
        <v>511</v>
      </c>
      <c r="B878" t="s">
        <v>478</v>
      </c>
      <c r="C878" t="s">
        <v>1760</v>
      </c>
      <c r="D878">
        <v>868889000</v>
      </c>
      <c r="E878" t="s">
        <v>1765</v>
      </c>
      <c r="F878">
        <v>98.81</v>
      </c>
      <c r="G878">
        <v>297364065</v>
      </c>
      <c r="H878" s="118">
        <v>45184</v>
      </c>
      <c r="I878">
        <v>999.99599999999998</v>
      </c>
      <c r="J878">
        <v>1907.7218</v>
      </c>
      <c r="K878">
        <v>98809.600000000006</v>
      </c>
      <c r="L878">
        <v>188501.99</v>
      </c>
      <c r="M878">
        <v>89692.39</v>
      </c>
      <c r="N878">
        <v>0</v>
      </c>
    </row>
    <row r="879" spans="1:20" hidden="1">
      <c r="A879" t="s">
        <v>511</v>
      </c>
      <c r="B879" t="s">
        <v>478</v>
      </c>
      <c r="C879" t="s">
        <v>1760</v>
      </c>
      <c r="D879" t="s">
        <v>1766</v>
      </c>
      <c r="E879" t="s">
        <v>1767</v>
      </c>
      <c r="F879">
        <v>287.24700000000001</v>
      </c>
      <c r="G879">
        <v>360414162</v>
      </c>
      <c r="H879" s="118">
        <v>46007</v>
      </c>
      <c r="I879">
        <v>1000</v>
      </c>
      <c r="J879">
        <v>1020.79</v>
      </c>
      <c r="K879">
        <v>287247</v>
      </c>
      <c r="L879">
        <v>293218.87</v>
      </c>
      <c r="M879">
        <v>5971.87</v>
      </c>
      <c r="N879">
        <v>0</v>
      </c>
    </row>
    <row r="880" spans="1:20" hidden="1">
      <c r="A880" t="s">
        <v>511</v>
      </c>
      <c r="B880" t="s">
        <v>478</v>
      </c>
      <c r="C880" t="s">
        <v>1760</v>
      </c>
      <c r="D880" t="s">
        <v>1768</v>
      </c>
      <c r="E880" t="s">
        <v>1769</v>
      </c>
      <c r="F880">
        <v>265.01</v>
      </c>
      <c r="G880">
        <v>364177437</v>
      </c>
      <c r="H880" s="118">
        <v>46049</v>
      </c>
      <c r="I880">
        <v>439.45</v>
      </c>
      <c r="J880">
        <v>439.45</v>
      </c>
      <c r="K880">
        <v>116458.64</v>
      </c>
      <c r="L880">
        <v>116458.64</v>
      </c>
      <c r="M880">
        <v>0</v>
      </c>
      <c r="N880">
        <v>0</v>
      </c>
    </row>
    <row r="881" spans="1:14" hidden="1">
      <c r="A881" t="s">
        <v>511</v>
      </c>
      <c r="B881" t="s">
        <v>478</v>
      </c>
      <c r="C881" t="s">
        <v>1760</v>
      </c>
      <c r="D881" t="s">
        <v>1770</v>
      </c>
      <c r="E881" t="s">
        <v>1771</v>
      </c>
      <c r="F881">
        <v>52353.120000000003</v>
      </c>
      <c r="G881">
        <v>350889410</v>
      </c>
      <c r="H881" s="118">
        <v>45918</v>
      </c>
      <c r="I881">
        <v>1</v>
      </c>
      <c r="J881">
        <v>1</v>
      </c>
      <c r="K881">
        <v>52353.120000000003</v>
      </c>
      <c r="L881">
        <v>52353.120000000003</v>
      </c>
      <c r="M881">
        <v>0</v>
      </c>
      <c r="N881">
        <v>0</v>
      </c>
    </row>
    <row r="882" spans="1:14" hidden="1">
      <c r="A882" t="s">
        <v>511</v>
      </c>
      <c r="B882" t="s">
        <v>478</v>
      </c>
      <c r="C882" t="s">
        <v>1760</v>
      </c>
      <c r="D882" t="s">
        <v>1772</v>
      </c>
      <c r="E882" t="s">
        <v>1773</v>
      </c>
      <c r="F882">
        <v>107</v>
      </c>
      <c r="G882">
        <v>297363886</v>
      </c>
      <c r="H882" s="118">
        <v>43522</v>
      </c>
      <c r="I882">
        <v>998.34320000000002</v>
      </c>
      <c r="J882">
        <v>731.04</v>
      </c>
      <c r="K882">
        <v>106822.72</v>
      </c>
      <c r="L882">
        <v>78221.279999999999</v>
      </c>
      <c r="M882">
        <v>-28601.439999999999</v>
      </c>
      <c r="N882">
        <v>0</v>
      </c>
    </row>
    <row r="883" spans="1:14" hidden="1">
      <c r="A883" t="s">
        <v>511</v>
      </c>
      <c r="B883" t="s">
        <v>478</v>
      </c>
      <c r="C883" t="s">
        <v>1760</v>
      </c>
      <c r="D883" t="s">
        <v>1772</v>
      </c>
      <c r="E883" t="s">
        <v>1773</v>
      </c>
      <c r="F883">
        <v>52.984999999999999</v>
      </c>
      <c r="G883">
        <v>297363926</v>
      </c>
      <c r="H883" s="118">
        <v>44273</v>
      </c>
      <c r="I883">
        <v>1000</v>
      </c>
      <c r="J883">
        <v>731.04</v>
      </c>
      <c r="K883">
        <v>52985</v>
      </c>
      <c r="L883">
        <v>38734.15</v>
      </c>
      <c r="M883">
        <v>-14250.85</v>
      </c>
      <c r="N883">
        <v>0</v>
      </c>
    </row>
    <row r="884" spans="1:14" hidden="1">
      <c r="A884" t="s">
        <v>511</v>
      </c>
      <c r="B884" t="s">
        <v>478</v>
      </c>
      <c r="C884" t="s">
        <v>1760</v>
      </c>
      <c r="D884" t="s">
        <v>1772</v>
      </c>
      <c r="E884" t="s">
        <v>1773</v>
      </c>
      <c r="F884">
        <v>261.96499999999997</v>
      </c>
      <c r="G884">
        <v>309977664</v>
      </c>
      <c r="H884" s="118">
        <v>45474</v>
      </c>
      <c r="I884">
        <v>1000.0013</v>
      </c>
      <c r="J884">
        <v>731.04</v>
      </c>
      <c r="K884">
        <v>261965.34</v>
      </c>
      <c r="L884">
        <v>191506.89</v>
      </c>
      <c r="M884">
        <v>-70458.45</v>
      </c>
      <c r="N884">
        <v>0</v>
      </c>
    </row>
    <row r="885" spans="1:14" hidden="1">
      <c r="A885" t="s">
        <v>511</v>
      </c>
      <c r="B885" t="s">
        <v>478</v>
      </c>
      <c r="C885" t="s">
        <v>1760</v>
      </c>
      <c r="D885" t="s">
        <v>1774</v>
      </c>
      <c r="E885" t="s">
        <v>1775</v>
      </c>
      <c r="F885">
        <v>36.630000000000003</v>
      </c>
      <c r="G885">
        <v>321901840</v>
      </c>
      <c r="H885" s="118">
        <v>45618</v>
      </c>
      <c r="I885">
        <v>1000.0106</v>
      </c>
      <c r="J885">
        <v>0</v>
      </c>
      <c r="K885">
        <v>36630.39</v>
      </c>
      <c r="L885">
        <v>0</v>
      </c>
      <c r="M885">
        <v>-36630.39</v>
      </c>
      <c r="N885">
        <v>0</v>
      </c>
    </row>
    <row r="886" spans="1:14" hidden="1">
      <c r="A886" t="s">
        <v>511</v>
      </c>
      <c r="B886" t="s">
        <v>478</v>
      </c>
      <c r="C886" t="s">
        <v>1760</v>
      </c>
      <c r="D886" t="s">
        <v>1776</v>
      </c>
      <c r="E886" t="s">
        <v>1777</v>
      </c>
      <c r="F886">
        <v>595.35</v>
      </c>
      <c r="G886">
        <v>297363972</v>
      </c>
      <c r="H886" s="118">
        <v>44557</v>
      </c>
      <c r="I886">
        <v>1000</v>
      </c>
      <c r="J886">
        <v>1089.3113000000001</v>
      </c>
      <c r="K886">
        <v>595350</v>
      </c>
      <c r="L886">
        <v>648521.46</v>
      </c>
      <c r="M886">
        <v>53171.46</v>
      </c>
      <c r="N886">
        <v>0</v>
      </c>
    </row>
    <row r="887" spans="1:14" hidden="1">
      <c r="A887" t="s">
        <v>511</v>
      </c>
      <c r="B887" t="s">
        <v>478</v>
      </c>
      <c r="C887" t="s">
        <v>1760</v>
      </c>
      <c r="D887" t="s">
        <v>1778</v>
      </c>
      <c r="E887" t="s">
        <v>1779</v>
      </c>
      <c r="F887">
        <v>169.23</v>
      </c>
      <c r="G887">
        <v>297364067</v>
      </c>
      <c r="H887" s="118">
        <v>45189</v>
      </c>
      <c r="I887">
        <v>1000</v>
      </c>
      <c r="J887">
        <v>125.04</v>
      </c>
      <c r="K887">
        <v>169230</v>
      </c>
      <c r="L887">
        <v>21160.52</v>
      </c>
      <c r="M887">
        <v>-148069.48000000001</v>
      </c>
      <c r="N887">
        <v>0</v>
      </c>
    </row>
    <row r="888" spans="1:14" hidden="1">
      <c r="A888" t="s">
        <v>511</v>
      </c>
      <c r="B888" t="s">
        <v>478</v>
      </c>
      <c r="C888" t="s">
        <v>1760</v>
      </c>
      <c r="D888" t="s">
        <v>1778</v>
      </c>
      <c r="E888" t="s">
        <v>1779</v>
      </c>
      <c r="F888">
        <v>1376.23</v>
      </c>
      <c r="G888">
        <v>297364082</v>
      </c>
      <c r="H888" s="118">
        <v>45243</v>
      </c>
      <c r="I888">
        <v>1000</v>
      </c>
      <c r="J888">
        <v>125.04</v>
      </c>
      <c r="K888">
        <v>1376230</v>
      </c>
      <c r="L888">
        <v>172083.8</v>
      </c>
      <c r="M888">
        <v>-1204146.2</v>
      </c>
      <c r="N888">
        <v>0</v>
      </c>
    </row>
    <row r="889" spans="1:14" hidden="1">
      <c r="A889" t="s">
        <v>511</v>
      </c>
      <c r="B889" t="s">
        <v>478</v>
      </c>
      <c r="C889" t="s">
        <v>1760</v>
      </c>
      <c r="D889" t="s">
        <v>1780</v>
      </c>
      <c r="E889" t="s">
        <v>1781</v>
      </c>
      <c r="F889">
        <v>918.3</v>
      </c>
      <c r="G889">
        <v>297364072</v>
      </c>
      <c r="H889" s="118">
        <v>45132</v>
      </c>
      <c r="I889">
        <v>591.37540000000001</v>
      </c>
      <c r="J889">
        <v>0</v>
      </c>
      <c r="K889">
        <v>543060</v>
      </c>
      <c r="L889">
        <v>0</v>
      </c>
      <c r="M889">
        <v>-543060</v>
      </c>
      <c r="N889">
        <v>0</v>
      </c>
    </row>
    <row r="890" spans="1:14" hidden="1">
      <c r="A890" t="s">
        <v>511</v>
      </c>
      <c r="B890" t="s">
        <v>478</v>
      </c>
      <c r="C890" t="s">
        <v>1760</v>
      </c>
      <c r="D890" t="s">
        <v>1780</v>
      </c>
      <c r="E890" t="s">
        <v>1781</v>
      </c>
      <c r="F890">
        <v>10.9</v>
      </c>
      <c r="G890">
        <v>297364068</v>
      </c>
      <c r="H890" s="118">
        <v>45189</v>
      </c>
      <c r="I890">
        <v>1000</v>
      </c>
      <c r="J890">
        <v>0</v>
      </c>
      <c r="K890">
        <v>10900</v>
      </c>
      <c r="L890">
        <v>0</v>
      </c>
      <c r="M890">
        <v>-10900</v>
      </c>
      <c r="N890">
        <v>0</v>
      </c>
    </row>
    <row r="891" spans="1:14" hidden="1">
      <c r="A891" t="s">
        <v>511</v>
      </c>
      <c r="B891" t="s">
        <v>478</v>
      </c>
      <c r="C891" t="s">
        <v>1760</v>
      </c>
      <c r="D891" t="s">
        <v>1780</v>
      </c>
      <c r="E891" t="s">
        <v>1781</v>
      </c>
      <c r="F891">
        <v>88.64</v>
      </c>
      <c r="G891">
        <v>297364084</v>
      </c>
      <c r="H891" s="118">
        <v>45243</v>
      </c>
      <c r="I891">
        <v>1000</v>
      </c>
      <c r="J891">
        <v>0</v>
      </c>
      <c r="K891">
        <v>88640</v>
      </c>
      <c r="L891">
        <v>0</v>
      </c>
      <c r="M891">
        <v>-88640</v>
      </c>
      <c r="N891">
        <v>0</v>
      </c>
    </row>
    <row r="892" spans="1:14" hidden="1">
      <c r="A892" t="s">
        <v>511</v>
      </c>
      <c r="B892" t="s">
        <v>478</v>
      </c>
      <c r="C892" t="s">
        <v>1760</v>
      </c>
      <c r="D892" t="s">
        <v>1782</v>
      </c>
      <c r="E892" t="s">
        <v>1783</v>
      </c>
      <c r="F892">
        <v>1312</v>
      </c>
      <c r="G892">
        <v>297364034</v>
      </c>
      <c r="H892" s="118">
        <v>44956</v>
      </c>
      <c r="I892">
        <v>1000</v>
      </c>
      <c r="J892">
        <v>1000.9765</v>
      </c>
      <c r="K892">
        <v>1312000</v>
      </c>
      <c r="L892">
        <v>1313281.17</v>
      </c>
      <c r="M892">
        <v>1281.17</v>
      </c>
      <c r="N892">
        <v>0</v>
      </c>
    </row>
    <row r="893" spans="1:14" hidden="1">
      <c r="A893" t="s">
        <v>511</v>
      </c>
      <c r="B893" t="s">
        <v>478</v>
      </c>
      <c r="C893" t="s">
        <v>1760</v>
      </c>
      <c r="D893" t="s">
        <v>1784</v>
      </c>
      <c r="E893" t="s">
        <v>1785</v>
      </c>
      <c r="F893">
        <v>743825.8</v>
      </c>
      <c r="G893">
        <v>297363957</v>
      </c>
      <c r="H893" s="118">
        <v>44504</v>
      </c>
      <c r="I893">
        <v>1</v>
      </c>
      <c r="J893">
        <v>1.3939999999999999</v>
      </c>
      <c r="K893">
        <v>743825.8</v>
      </c>
      <c r="L893">
        <v>1036893.17</v>
      </c>
      <c r="M893">
        <v>293067.37</v>
      </c>
      <c r="N893">
        <v>0</v>
      </c>
    </row>
    <row r="894" spans="1:14" hidden="1">
      <c r="A894" t="s">
        <v>511</v>
      </c>
      <c r="B894" t="s">
        <v>478</v>
      </c>
      <c r="C894" t="s">
        <v>1760</v>
      </c>
      <c r="D894" t="s">
        <v>1786</v>
      </c>
      <c r="E894" t="s">
        <v>1787</v>
      </c>
      <c r="F894">
        <v>1.3029999999999999</v>
      </c>
      <c r="G894">
        <v>297364051</v>
      </c>
      <c r="H894" s="118">
        <v>45070</v>
      </c>
      <c r="I894">
        <v>999.84649999999999</v>
      </c>
      <c r="J894">
        <v>378.8886</v>
      </c>
      <c r="K894">
        <v>1302.8</v>
      </c>
      <c r="L894">
        <v>493.69</v>
      </c>
      <c r="M894">
        <v>-809.11</v>
      </c>
      <c r="N894">
        <v>0</v>
      </c>
    </row>
    <row r="895" spans="1:14" hidden="1">
      <c r="A895" t="s">
        <v>511</v>
      </c>
      <c r="B895" t="s">
        <v>478</v>
      </c>
      <c r="C895" t="s">
        <v>1760</v>
      </c>
      <c r="D895" t="s">
        <v>1788</v>
      </c>
      <c r="E895" t="s">
        <v>1789</v>
      </c>
      <c r="F895">
        <v>5409091</v>
      </c>
      <c r="G895">
        <v>301903776</v>
      </c>
      <c r="H895" s="118">
        <v>45401</v>
      </c>
      <c r="I895">
        <v>3.5714000000000001</v>
      </c>
      <c r="J895">
        <v>2.1642999999999999</v>
      </c>
      <c r="K895">
        <v>19318182.140000001</v>
      </c>
      <c r="L895">
        <v>11706909.17</v>
      </c>
      <c r="M895">
        <v>-7611272.9699999997</v>
      </c>
      <c r="N895">
        <v>0</v>
      </c>
    </row>
    <row r="896" spans="1:14" hidden="1">
      <c r="A896" t="s">
        <v>511</v>
      </c>
      <c r="B896" t="s">
        <v>478</v>
      </c>
      <c r="C896" t="s">
        <v>1760</v>
      </c>
      <c r="D896" t="s">
        <v>1790</v>
      </c>
      <c r="E896" t="s">
        <v>1791</v>
      </c>
      <c r="F896">
        <v>2047727</v>
      </c>
      <c r="G896">
        <v>305961070</v>
      </c>
      <c r="H896" s="118">
        <v>45401</v>
      </c>
      <c r="I896">
        <v>3.5714000000000001</v>
      </c>
      <c r="J896">
        <v>9.3340999999999994</v>
      </c>
      <c r="K896">
        <v>7313310.71</v>
      </c>
      <c r="L896">
        <v>19113716.890000001</v>
      </c>
      <c r="M896">
        <v>11800406.18</v>
      </c>
      <c r="N896">
        <v>0</v>
      </c>
    </row>
    <row r="897" spans="1:14" hidden="1">
      <c r="A897" t="s">
        <v>511</v>
      </c>
      <c r="B897" t="s">
        <v>478</v>
      </c>
      <c r="C897" t="s">
        <v>1760</v>
      </c>
      <c r="D897" t="s">
        <v>1792</v>
      </c>
      <c r="E897" t="s">
        <v>1793</v>
      </c>
      <c r="F897">
        <v>10623.66</v>
      </c>
      <c r="G897">
        <v>303729147</v>
      </c>
      <c r="H897" s="118">
        <v>45415</v>
      </c>
      <c r="I897">
        <v>65.83</v>
      </c>
      <c r="J897">
        <v>141.03739999999999</v>
      </c>
      <c r="K897">
        <v>699355.71</v>
      </c>
      <c r="L897">
        <v>1498333.67</v>
      </c>
      <c r="M897">
        <v>798977.96</v>
      </c>
      <c r="N897">
        <v>0</v>
      </c>
    </row>
    <row r="898" spans="1:14" hidden="1">
      <c r="A898" t="s">
        <v>511</v>
      </c>
      <c r="B898" t="s">
        <v>478</v>
      </c>
      <c r="C898" t="s">
        <v>1760</v>
      </c>
      <c r="D898" t="s">
        <v>1794</v>
      </c>
      <c r="E898" t="s">
        <v>1795</v>
      </c>
      <c r="F898">
        <v>11276.28</v>
      </c>
      <c r="G898">
        <v>303729142</v>
      </c>
      <c r="H898" s="118">
        <v>45415</v>
      </c>
      <c r="I898">
        <v>10</v>
      </c>
      <c r="J898">
        <v>14.1843</v>
      </c>
      <c r="K898">
        <v>112762.77</v>
      </c>
      <c r="L898">
        <v>159945.78</v>
      </c>
      <c r="M898">
        <v>47183.01</v>
      </c>
      <c r="N898">
        <v>0</v>
      </c>
    </row>
    <row r="899" spans="1:14" hidden="1">
      <c r="A899" t="s">
        <v>511</v>
      </c>
      <c r="B899" t="s">
        <v>478</v>
      </c>
      <c r="C899" t="s">
        <v>1760</v>
      </c>
      <c r="D899" t="s">
        <v>1796</v>
      </c>
      <c r="E899" t="s">
        <v>1797</v>
      </c>
      <c r="F899">
        <v>5.28</v>
      </c>
      <c r="G899">
        <v>303729127</v>
      </c>
      <c r="H899" s="118">
        <v>45415</v>
      </c>
      <c r="I899">
        <v>1000.2879</v>
      </c>
      <c r="J899">
        <v>26.6037</v>
      </c>
      <c r="K899">
        <v>5281.52</v>
      </c>
      <c r="L899">
        <v>140.47</v>
      </c>
      <c r="M899">
        <v>-5141.05</v>
      </c>
      <c r="N899">
        <v>0</v>
      </c>
    </row>
    <row r="900" spans="1:14" hidden="1">
      <c r="A900" t="s">
        <v>511</v>
      </c>
      <c r="B900" t="s">
        <v>478</v>
      </c>
      <c r="C900" t="s">
        <v>1760</v>
      </c>
      <c r="D900" t="s">
        <v>1798</v>
      </c>
      <c r="E900" t="s">
        <v>1799</v>
      </c>
      <c r="F900">
        <v>36.630000000000003</v>
      </c>
      <c r="G900">
        <v>297364054</v>
      </c>
      <c r="H900" s="118">
        <v>45077</v>
      </c>
      <c r="I900">
        <v>1000.0106</v>
      </c>
      <c r="J900">
        <v>0</v>
      </c>
      <c r="K900">
        <v>36630.39</v>
      </c>
      <c r="L900">
        <v>0</v>
      </c>
      <c r="M900">
        <v>-36630.39</v>
      </c>
      <c r="N900">
        <v>0</v>
      </c>
    </row>
    <row r="901" spans="1:14" hidden="1">
      <c r="A901" t="s">
        <v>511</v>
      </c>
      <c r="B901" t="s">
        <v>478</v>
      </c>
      <c r="C901" t="s">
        <v>1760</v>
      </c>
      <c r="D901" t="s">
        <v>1800</v>
      </c>
      <c r="E901" t="s">
        <v>1801</v>
      </c>
      <c r="F901">
        <v>782890.62</v>
      </c>
      <c r="G901">
        <v>297364073</v>
      </c>
      <c r="H901" s="118">
        <v>45201</v>
      </c>
      <c r="I901">
        <v>0.94910000000000005</v>
      </c>
      <c r="J901">
        <v>0.69</v>
      </c>
      <c r="K901">
        <v>743040.25</v>
      </c>
      <c r="L901">
        <v>540194.53</v>
      </c>
      <c r="M901">
        <v>-202845.72</v>
      </c>
      <c r="N901">
        <v>0</v>
      </c>
    </row>
    <row r="902" spans="1:14" hidden="1">
      <c r="A902" t="s">
        <v>511</v>
      </c>
      <c r="B902" t="s">
        <v>478</v>
      </c>
      <c r="C902" t="s">
        <v>1760</v>
      </c>
      <c r="D902" t="s">
        <v>1802</v>
      </c>
      <c r="E902" t="s">
        <v>1803</v>
      </c>
      <c r="F902">
        <v>104000</v>
      </c>
      <c r="G902">
        <v>311490306</v>
      </c>
      <c r="H902" s="118">
        <v>45504</v>
      </c>
      <c r="I902">
        <v>1</v>
      </c>
      <c r="J902">
        <v>1.04</v>
      </c>
      <c r="K902">
        <v>104000</v>
      </c>
      <c r="L902">
        <v>108160</v>
      </c>
      <c r="M902">
        <v>4160</v>
      </c>
      <c r="N902">
        <v>0</v>
      </c>
    </row>
    <row r="903" spans="1:14" hidden="1">
      <c r="A903" t="s">
        <v>511</v>
      </c>
      <c r="B903" t="s">
        <v>478</v>
      </c>
      <c r="C903" t="s">
        <v>1760</v>
      </c>
      <c r="D903" t="s">
        <v>1804</v>
      </c>
      <c r="E903" t="s">
        <v>1805</v>
      </c>
      <c r="F903">
        <v>7966.79</v>
      </c>
      <c r="G903">
        <v>318686710</v>
      </c>
      <c r="H903" s="118">
        <v>45573</v>
      </c>
      <c r="I903">
        <v>1</v>
      </c>
      <c r="J903">
        <v>1.2455000000000001</v>
      </c>
      <c r="K903">
        <v>7966.79</v>
      </c>
      <c r="L903">
        <v>9922.4699999999993</v>
      </c>
      <c r="M903">
        <v>1955.68</v>
      </c>
      <c r="N903">
        <v>0</v>
      </c>
    </row>
    <row r="904" spans="1:14" hidden="1">
      <c r="A904" t="s">
        <v>511</v>
      </c>
      <c r="B904" t="s">
        <v>478</v>
      </c>
      <c r="C904" t="s">
        <v>1760</v>
      </c>
      <c r="D904" t="s">
        <v>1806</v>
      </c>
      <c r="E904" t="s">
        <v>1807</v>
      </c>
      <c r="F904">
        <v>2400</v>
      </c>
      <c r="G904">
        <v>297363935</v>
      </c>
      <c r="H904" s="118">
        <v>44320</v>
      </c>
      <c r="I904">
        <v>100</v>
      </c>
      <c r="J904">
        <v>66.845600000000005</v>
      </c>
      <c r="K904">
        <v>240000</v>
      </c>
      <c r="L904">
        <v>160429.54</v>
      </c>
      <c r="M904">
        <v>-79570.460000000006</v>
      </c>
      <c r="N904">
        <v>0</v>
      </c>
    </row>
    <row r="905" spans="1:14" hidden="1">
      <c r="A905" t="s">
        <v>511</v>
      </c>
      <c r="B905" t="s">
        <v>478</v>
      </c>
      <c r="C905" t="s">
        <v>1760</v>
      </c>
      <c r="D905" t="s">
        <v>1806</v>
      </c>
      <c r="E905" t="s">
        <v>1807</v>
      </c>
      <c r="F905">
        <v>261.82</v>
      </c>
      <c r="G905">
        <v>356351713</v>
      </c>
      <c r="H905" s="118">
        <v>45967</v>
      </c>
      <c r="I905">
        <v>100</v>
      </c>
      <c r="J905">
        <v>66.845600000000005</v>
      </c>
      <c r="K905">
        <v>26182</v>
      </c>
      <c r="L905">
        <v>17501.53</v>
      </c>
      <c r="M905">
        <v>-8680.4699999999993</v>
      </c>
      <c r="N905">
        <v>0</v>
      </c>
    </row>
    <row r="906" spans="1:14" hidden="1">
      <c r="A906" t="s">
        <v>511</v>
      </c>
      <c r="B906" t="s">
        <v>478</v>
      </c>
      <c r="C906" t="s">
        <v>1760</v>
      </c>
      <c r="D906" t="s">
        <v>1808</v>
      </c>
      <c r="E906" t="s">
        <v>1809</v>
      </c>
      <c r="F906">
        <v>38504.25</v>
      </c>
      <c r="G906">
        <v>302887657</v>
      </c>
      <c r="H906" s="118">
        <v>45412</v>
      </c>
      <c r="I906">
        <v>0.65200000000000002</v>
      </c>
      <c r="J906">
        <v>0</v>
      </c>
      <c r="K906">
        <v>25104.44</v>
      </c>
      <c r="L906">
        <v>0</v>
      </c>
      <c r="M906">
        <v>-25104.44</v>
      </c>
      <c r="N906">
        <v>0</v>
      </c>
    </row>
    <row r="907" spans="1:14" hidden="1">
      <c r="A907" t="s">
        <v>511</v>
      </c>
      <c r="B907" t="s">
        <v>478</v>
      </c>
      <c r="C907" t="s">
        <v>1760</v>
      </c>
      <c r="D907" t="s">
        <v>1808</v>
      </c>
      <c r="E907" t="s">
        <v>1809</v>
      </c>
      <c r="F907">
        <v>9544.5</v>
      </c>
      <c r="G907">
        <v>308042467</v>
      </c>
      <c r="H907" s="118">
        <v>45467</v>
      </c>
      <c r="I907">
        <v>0.65200000000000002</v>
      </c>
      <c r="J907">
        <v>0</v>
      </c>
      <c r="K907">
        <v>6222.92</v>
      </c>
      <c r="L907">
        <v>0</v>
      </c>
      <c r="M907">
        <v>-6222.92</v>
      </c>
      <c r="N907">
        <v>0</v>
      </c>
    </row>
    <row r="908" spans="1:14" hidden="1">
      <c r="A908" t="s">
        <v>511</v>
      </c>
      <c r="B908" t="s">
        <v>478</v>
      </c>
      <c r="C908" t="s">
        <v>1760</v>
      </c>
      <c r="D908" t="s">
        <v>1808</v>
      </c>
      <c r="E908" t="s">
        <v>1809</v>
      </c>
      <c r="F908">
        <v>68539.05</v>
      </c>
      <c r="G908">
        <v>310342296</v>
      </c>
      <c r="H908" s="118">
        <v>45490</v>
      </c>
      <c r="I908">
        <v>0.65200000000000002</v>
      </c>
      <c r="J908">
        <v>0</v>
      </c>
      <c r="K908">
        <v>44686.9</v>
      </c>
      <c r="L908">
        <v>0</v>
      </c>
      <c r="M908">
        <v>-44686.9</v>
      </c>
      <c r="N908">
        <v>0</v>
      </c>
    </row>
    <row r="909" spans="1:14" hidden="1">
      <c r="A909" t="s">
        <v>511</v>
      </c>
      <c r="B909" t="s">
        <v>478</v>
      </c>
      <c r="C909" t="s">
        <v>1760</v>
      </c>
      <c r="D909" t="s">
        <v>1810</v>
      </c>
      <c r="E909" t="s">
        <v>1811</v>
      </c>
      <c r="F909">
        <v>5348.7</v>
      </c>
      <c r="G909">
        <v>308426041</v>
      </c>
      <c r="H909" s="118">
        <v>45471</v>
      </c>
      <c r="I909">
        <v>100</v>
      </c>
      <c r="J909">
        <v>112.3</v>
      </c>
      <c r="K909">
        <v>534870</v>
      </c>
      <c r="L909">
        <v>600659.01</v>
      </c>
      <c r="M909">
        <v>65789.009999999995</v>
      </c>
      <c r="N909">
        <v>0</v>
      </c>
    </row>
    <row r="910" spans="1:14" hidden="1">
      <c r="A910" t="s">
        <v>511</v>
      </c>
      <c r="B910" t="s">
        <v>478</v>
      </c>
      <c r="C910" t="s">
        <v>1760</v>
      </c>
      <c r="D910" t="s">
        <v>1812</v>
      </c>
      <c r="E910" t="s">
        <v>1813</v>
      </c>
      <c r="F910">
        <v>29.803999999999998</v>
      </c>
      <c r="G910">
        <v>297363940</v>
      </c>
      <c r="H910" s="118">
        <v>44433</v>
      </c>
      <c r="I910">
        <v>990.33690000000001</v>
      </c>
      <c r="J910">
        <v>1458.56</v>
      </c>
      <c r="K910">
        <v>29516</v>
      </c>
      <c r="L910">
        <v>43470.92</v>
      </c>
      <c r="M910">
        <v>13954.92</v>
      </c>
      <c r="N910">
        <v>0</v>
      </c>
    </row>
    <row r="911" spans="1:14" hidden="1">
      <c r="A911" t="s">
        <v>511</v>
      </c>
      <c r="B911" t="s">
        <v>478</v>
      </c>
      <c r="C911" t="s">
        <v>1760</v>
      </c>
      <c r="D911" t="s">
        <v>1812</v>
      </c>
      <c r="E911" t="s">
        <v>1813</v>
      </c>
      <c r="F911">
        <v>3.5390000000000001</v>
      </c>
      <c r="G911">
        <v>347786957</v>
      </c>
      <c r="H911" s="118">
        <v>45884</v>
      </c>
      <c r="I911">
        <v>999.87570000000005</v>
      </c>
      <c r="J911">
        <v>1458.56</v>
      </c>
      <c r="K911">
        <v>3538.56</v>
      </c>
      <c r="L911">
        <v>5161.84</v>
      </c>
      <c r="M911">
        <v>1623.28</v>
      </c>
      <c r="N911">
        <v>0</v>
      </c>
    </row>
    <row r="912" spans="1:14" hidden="1">
      <c r="A912" t="s">
        <v>511</v>
      </c>
      <c r="B912" t="s">
        <v>478</v>
      </c>
      <c r="C912" t="s">
        <v>1760</v>
      </c>
      <c r="D912" t="s">
        <v>1814</v>
      </c>
      <c r="E912" t="s">
        <v>1815</v>
      </c>
      <c r="F912">
        <v>272771.08</v>
      </c>
      <c r="G912">
        <v>303905797</v>
      </c>
      <c r="H912" s="118">
        <v>45422</v>
      </c>
      <c r="I912">
        <v>1.66</v>
      </c>
      <c r="J912">
        <v>1.49</v>
      </c>
      <c r="K912">
        <v>452800</v>
      </c>
      <c r="L912">
        <v>406428.91</v>
      </c>
      <c r="M912">
        <v>-46371.09</v>
      </c>
      <c r="N912">
        <v>0</v>
      </c>
    </row>
    <row r="913" spans="1:20" hidden="1">
      <c r="A913" t="s">
        <v>511</v>
      </c>
      <c r="B913" t="s">
        <v>478</v>
      </c>
      <c r="C913" t="s">
        <v>1760</v>
      </c>
      <c r="D913" t="s">
        <v>1816</v>
      </c>
      <c r="E913" t="s">
        <v>1817</v>
      </c>
      <c r="F913">
        <v>383.84300000000002</v>
      </c>
      <c r="G913">
        <v>346861386</v>
      </c>
      <c r="H913" s="118">
        <v>45847</v>
      </c>
      <c r="I913">
        <v>100</v>
      </c>
      <c r="J913">
        <v>279.315</v>
      </c>
      <c r="K913">
        <v>38384.300000000003</v>
      </c>
      <c r="L913">
        <v>107213.11</v>
      </c>
      <c r="M913">
        <v>68828.81</v>
      </c>
      <c r="N913">
        <v>0</v>
      </c>
    </row>
    <row r="914" spans="1:20" hidden="1">
      <c r="A914" t="s">
        <v>511</v>
      </c>
      <c r="B914" t="s">
        <v>478</v>
      </c>
      <c r="C914" t="s">
        <v>1760</v>
      </c>
      <c r="D914" t="s">
        <v>1818</v>
      </c>
      <c r="E914" t="s">
        <v>1819</v>
      </c>
      <c r="F914">
        <v>331229.31</v>
      </c>
      <c r="G914">
        <v>318686998</v>
      </c>
      <c r="H914" s="118">
        <v>45574</v>
      </c>
      <c r="I914">
        <v>0.245</v>
      </c>
      <c r="J914">
        <v>0</v>
      </c>
      <c r="K914">
        <v>81151.179999999993</v>
      </c>
      <c r="L914">
        <v>0</v>
      </c>
      <c r="M914">
        <v>-81151.179999999993</v>
      </c>
      <c r="N914">
        <v>0</v>
      </c>
    </row>
    <row r="915" spans="1:20" hidden="1">
      <c r="A915" t="s">
        <v>511</v>
      </c>
      <c r="B915" t="s">
        <v>478</v>
      </c>
      <c r="C915" t="s">
        <v>1760</v>
      </c>
      <c r="D915" t="s">
        <v>1820</v>
      </c>
      <c r="E915" t="s">
        <v>1821</v>
      </c>
      <c r="F915">
        <v>489.62</v>
      </c>
      <c r="G915">
        <v>297364093</v>
      </c>
      <c r="H915" s="118">
        <v>45267</v>
      </c>
      <c r="I915">
        <v>1530.0913</v>
      </c>
      <c r="J915">
        <v>1402.08</v>
      </c>
      <c r="K915">
        <v>749163.32</v>
      </c>
      <c r="L915">
        <v>686486.41</v>
      </c>
      <c r="M915">
        <v>-62676.91</v>
      </c>
      <c r="N915">
        <v>0</v>
      </c>
    </row>
    <row r="916" spans="1:20" hidden="1">
      <c r="A916" t="s">
        <v>511</v>
      </c>
      <c r="B916" t="s">
        <v>478</v>
      </c>
      <c r="C916" t="s">
        <v>1760</v>
      </c>
      <c r="D916" t="s">
        <v>1822</v>
      </c>
      <c r="E916" t="s">
        <v>1823</v>
      </c>
      <c r="F916">
        <v>10.816000000000001</v>
      </c>
      <c r="G916">
        <v>302911394</v>
      </c>
      <c r="H916" s="118">
        <v>45412</v>
      </c>
      <c r="I916">
        <v>1703.1953000000001</v>
      </c>
      <c r="J916">
        <v>1511.12</v>
      </c>
      <c r="K916">
        <v>18421.759999999998</v>
      </c>
      <c r="L916">
        <v>16344.27</v>
      </c>
      <c r="M916">
        <v>-2077.4899999999998</v>
      </c>
      <c r="N916">
        <v>0</v>
      </c>
    </row>
    <row r="917" spans="1:20" hidden="1">
      <c r="A917" t="s">
        <v>511</v>
      </c>
      <c r="B917" t="s">
        <v>478</v>
      </c>
      <c r="C917" t="s">
        <v>1760</v>
      </c>
      <c r="D917" t="s">
        <v>1824</v>
      </c>
      <c r="E917" t="s">
        <v>1825</v>
      </c>
      <c r="F917">
        <v>6.1580000000000004</v>
      </c>
      <c r="G917">
        <v>307584521</v>
      </c>
      <c r="H917" s="118">
        <v>45463</v>
      </c>
      <c r="I917">
        <v>1965.2240999999999</v>
      </c>
      <c r="J917">
        <v>1722.17</v>
      </c>
      <c r="K917">
        <v>12101.85</v>
      </c>
      <c r="L917">
        <v>10605.12</v>
      </c>
      <c r="M917">
        <v>-1496.73</v>
      </c>
      <c r="N917">
        <v>0</v>
      </c>
    </row>
    <row r="918" spans="1:20" hidden="1">
      <c r="A918" t="s">
        <v>511</v>
      </c>
      <c r="B918" t="s">
        <v>478</v>
      </c>
      <c r="C918" t="s">
        <v>1760</v>
      </c>
      <c r="D918" t="s">
        <v>1826</v>
      </c>
      <c r="E918" t="s">
        <v>1827</v>
      </c>
      <c r="F918">
        <v>10.128</v>
      </c>
      <c r="G918">
        <v>344061164</v>
      </c>
      <c r="H918" s="118">
        <v>45835</v>
      </c>
      <c r="I918">
        <v>2002.4051999999999</v>
      </c>
      <c r="J918">
        <v>1621.02</v>
      </c>
      <c r="K918">
        <v>20280.36</v>
      </c>
      <c r="L918">
        <v>16417.689999999999</v>
      </c>
      <c r="M918">
        <v>-3862.67</v>
      </c>
      <c r="N918">
        <v>0</v>
      </c>
    </row>
    <row r="919" spans="1:20" hidden="1">
      <c r="A919" t="s">
        <v>511</v>
      </c>
      <c r="B919" t="s">
        <v>478</v>
      </c>
      <c r="C919" t="s">
        <v>1760</v>
      </c>
      <c r="D919" t="s">
        <v>1828</v>
      </c>
      <c r="E919" t="s">
        <v>1829</v>
      </c>
      <c r="F919">
        <v>219.012</v>
      </c>
      <c r="G919">
        <v>297363896</v>
      </c>
      <c r="H919" s="118">
        <v>43803</v>
      </c>
      <c r="I919">
        <v>1000.0001999999999</v>
      </c>
      <c r="J919">
        <v>1092.9100000000001</v>
      </c>
      <c r="K919">
        <v>219012.05</v>
      </c>
      <c r="L919">
        <v>239360.4</v>
      </c>
      <c r="M919">
        <v>20348.349999999999</v>
      </c>
      <c r="N919">
        <v>0</v>
      </c>
    </row>
    <row r="920" spans="1:20" hidden="1">
      <c r="A920" t="s">
        <v>511</v>
      </c>
      <c r="B920" t="s">
        <v>478</v>
      </c>
      <c r="C920" t="s">
        <v>1760</v>
      </c>
      <c r="D920" t="s">
        <v>1830</v>
      </c>
      <c r="E920" t="s">
        <v>1831</v>
      </c>
      <c r="F920">
        <v>530.09199999999998</v>
      </c>
      <c r="G920">
        <v>337491210</v>
      </c>
      <c r="H920" s="118">
        <v>45757</v>
      </c>
      <c r="I920">
        <v>999.99969999999996</v>
      </c>
      <c r="J920">
        <v>2000</v>
      </c>
      <c r="K920">
        <v>530091.82999999996</v>
      </c>
      <c r="L920">
        <v>1060184</v>
      </c>
      <c r="M920">
        <v>530092.17000000004</v>
      </c>
      <c r="N920">
        <v>0</v>
      </c>
    </row>
    <row r="921" spans="1:20" hidden="1">
      <c r="A921" t="s">
        <v>511</v>
      </c>
      <c r="B921" t="s">
        <v>478</v>
      </c>
      <c r="C921" t="s">
        <v>1760</v>
      </c>
      <c r="D921" t="s">
        <v>1832</v>
      </c>
      <c r="E921" t="s">
        <v>1833</v>
      </c>
      <c r="F921">
        <v>5.61</v>
      </c>
      <c r="G921">
        <v>337491207</v>
      </c>
      <c r="H921" s="118">
        <v>45756</v>
      </c>
      <c r="I921">
        <v>2052.7451000000001</v>
      </c>
      <c r="J921">
        <v>1690.88</v>
      </c>
      <c r="K921">
        <v>11515.9</v>
      </c>
      <c r="L921">
        <v>9485.84</v>
      </c>
      <c r="M921">
        <v>-2030.06</v>
      </c>
      <c r="N921">
        <v>0</v>
      </c>
    </row>
    <row r="922" spans="1:20" hidden="1">
      <c r="A922" t="s">
        <v>511</v>
      </c>
      <c r="B922" t="s">
        <v>478</v>
      </c>
      <c r="C922" t="s">
        <v>1760</v>
      </c>
      <c r="D922" t="s">
        <v>1834</v>
      </c>
      <c r="E922" t="s">
        <v>1835</v>
      </c>
      <c r="F922">
        <v>574.60500000000002</v>
      </c>
      <c r="G922">
        <v>297363945</v>
      </c>
      <c r="H922" s="118">
        <v>44440</v>
      </c>
      <c r="I922">
        <v>100.0001</v>
      </c>
      <c r="J922">
        <v>0</v>
      </c>
      <c r="K922">
        <v>57460.54</v>
      </c>
      <c r="L922">
        <v>0</v>
      </c>
      <c r="M922">
        <v>-57460.54</v>
      </c>
      <c r="N922">
        <v>0</v>
      </c>
    </row>
    <row r="923" spans="1:20" hidden="1">
      <c r="A923" t="s">
        <v>511</v>
      </c>
      <c r="B923" t="s">
        <v>478</v>
      </c>
      <c r="C923" t="s">
        <v>1836</v>
      </c>
      <c r="D923" t="s">
        <v>1837</v>
      </c>
      <c r="E923" t="s">
        <v>1838</v>
      </c>
      <c r="F923">
        <v>356.4</v>
      </c>
      <c r="G923">
        <v>297364113</v>
      </c>
      <c r="H923" s="118">
        <v>45343</v>
      </c>
      <c r="I923">
        <v>100</v>
      </c>
      <c r="J923">
        <v>100</v>
      </c>
      <c r="K923">
        <v>356.4</v>
      </c>
      <c r="L923">
        <v>356.4</v>
      </c>
      <c r="M923">
        <v>0</v>
      </c>
      <c r="N923">
        <v>0</v>
      </c>
      <c r="O923" t="s">
        <v>1839</v>
      </c>
      <c r="Q923" t="s">
        <v>170</v>
      </c>
      <c r="R923">
        <v>67.08</v>
      </c>
      <c r="S923">
        <v>12.3423</v>
      </c>
      <c r="T923" s="118">
        <v>46660</v>
      </c>
    </row>
    <row r="924" spans="1:20" hidden="1">
      <c r="A924" t="s">
        <v>511</v>
      </c>
      <c r="B924" t="s">
        <v>478</v>
      </c>
      <c r="C924" t="s">
        <v>1836</v>
      </c>
      <c r="D924" t="s">
        <v>1837</v>
      </c>
      <c r="E924" t="s">
        <v>1838</v>
      </c>
      <c r="F924">
        <v>0.98</v>
      </c>
      <c r="G924">
        <v>312962020</v>
      </c>
      <c r="H924" s="118">
        <v>45352</v>
      </c>
      <c r="I924">
        <v>100</v>
      </c>
      <c r="J924">
        <v>100</v>
      </c>
      <c r="K924">
        <v>0.98</v>
      </c>
      <c r="L924">
        <v>0.98</v>
      </c>
      <c r="M924">
        <v>0</v>
      </c>
      <c r="N924">
        <v>0</v>
      </c>
      <c r="O924" t="s">
        <v>1839</v>
      </c>
      <c r="Q924" t="s">
        <v>170</v>
      </c>
      <c r="R924">
        <v>0.18</v>
      </c>
      <c r="S924">
        <v>12.3423</v>
      </c>
      <c r="T924" s="118">
        <v>46660</v>
      </c>
    </row>
    <row r="925" spans="1:20" hidden="1">
      <c r="A925" t="s">
        <v>511</v>
      </c>
      <c r="B925" t="s">
        <v>478</v>
      </c>
      <c r="C925" t="s">
        <v>1836</v>
      </c>
      <c r="D925" t="s">
        <v>1837</v>
      </c>
      <c r="E925" t="s">
        <v>1838</v>
      </c>
      <c r="F925">
        <v>3.79</v>
      </c>
      <c r="G925">
        <v>312962021</v>
      </c>
      <c r="H925" s="118">
        <v>45383</v>
      </c>
      <c r="I925">
        <v>100</v>
      </c>
      <c r="J925">
        <v>100</v>
      </c>
      <c r="K925">
        <v>3.79</v>
      </c>
      <c r="L925">
        <v>3.79</v>
      </c>
      <c r="M925">
        <v>0</v>
      </c>
      <c r="N925">
        <v>0</v>
      </c>
      <c r="O925" t="s">
        <v>1839</v>
      </c>
      <c r="Q925" t="s">
        <v>170</v>
      </c>
      <c r="R925">
        <v>0.71</v>
      </c>
      <c r="S925">
        <v>12.3423</v>
      </c>
      <c r="T925" s="118">
        <v>46660</v>
      </c>
    </row>
    <row r="926" spans="1:20" hidden="1">
      <c r="A926" t="s">
        <v>511</v>
      </c>
      <c r="B926" t="s">
        <v>478</v>
      </c>
      <c r="C926" t="s">
        <v>1836</v>
      </c>
      <c r="D926" t="s">
        <v>1837</v>
      </c>
      <c r="E926" t="s">
        <v>1838</v>
      </c>
      <c r="F926">
        <v>3.71</v>
      </c>
      <c r="G926">
        <v>312962022</v>
      </c>
      <c r="H926" s="118">
        <v>45413</v>
      </c>
      <c r="I926">
        <v>100</v>
      </c>
      <c r="J926">
        <v>100</v>
      </c>
      <c r="K926">
        <v>3.71</v>
      </c>
      <c r="L926">
        <v>3.71</v>
      </c>
      <c r="M926">
        <v>0</v>
      </c>
      <c r="N926">
        <v>0</v>
      </c>
      <c r="O926" t="s">
        <v>1839</v>
      </c>
      <c r="Q926" t="s">
        <v>170</v>
      </c>
      <c r="R926">
        <v>0.7</v>
      </c>
      <c r="S926">
        <v>12.3423</v>
      </c>
      <c r="T926" s="118">
        <v>46660</v>
      </c>
    </row>
    <row r="927" spans="1:20" hidden="1">
      <c r="A927" t="s">
        <v>511</v>
      </c>
      <c r="B927" t="s">
        <v>478</v>
      </c>
      <c r="C927" t="s">
        <v>1836</v>
      </c>
      <c r="D927" t="s">
        <v>1837</v>
      </c>
      <c r="E927" t="s">
        <v>1838</v>
      </c>
      <c r="F927">
        <v>4.12</v>
      </c>
      <c r="G927">
        <v>312962023</v>
      </c>
      <c r="H927" s="118">
        <v>45446</v>
      </c>
      <c r="I927">
        <v>100</v>
      </c>
      <c r="J927">
        <v>100</v>
      </c>
      <c r="K927">
        <v>4.12</v>
      </c>
      <c r="L927">
        <v>4.12</v>
      </c>
      <c r="M927">
        <v>0</v>
      </c>
      <c r="N927">
        <v>0</v>
      </c>
      <c r="O927" t="s">
        <v>1839</v>
      </c>
      <c r="Q927" t="s">
        <v>170</v>
      </c>
      <c r="R927">
        <v>0.78</v>
      </c>
      <c r="S927">
        <v>12.3423</v>
      </c>
      <c r="T927" s="118">
        <v>46660</v>
      </c>
    </row>
    <row r="928" spans="1:20" hidden="1">
      <c r="A928" t="s">
        <v>511</v>
      </c>
      <c r="B928" t="s">
        <v>478</v>
      </c>
      <c r="C928" t="s">
        <v>1836</v>
      </c>
      <c r="D928" t="s">
        <v>1837</v>
      </c>
      <c r="E928" t="s">
        <v>1838</v>
      </c>
      <c r="F928">
        <v>3.54</v>
      </c>
      <c r="G928">
        <v>312962024</v>
      </c>
      <c r="H928" s="118">
        <v>45474</v>
      </c>
      <c r="I928">
        <v>100</v>
      </c>
      <c r="J928">
        <v>100</v>
      </c>
      <c r="K928">
        <v>3.54</v>
      </c>
      <c r="L928">
        <v>3.54</v>
      </c>
      <c r="M928">
        <v>0</v>
      </c>
      <c r="N928">
        <v>0</v>
      </c>
      <c r="O928" t="s">
        <v>1839</v>
      </c>
      <c r="Q928" t="s">
        <v>170</v>
      </c>
      <c r="R928">
        <v>0.67</v>
      </c>
      <c r="S928">
        <v>12.3423</v>
      </c>
      <c r="T928" s="118">
        <v>46660</v>
      </c>
    </row>
    <row r="929" spans="1:20" hidden="1">
      <c r="A929" t="s">
        <v>511</v>
      </c>
      <c r="B929" t="s">
        <v>478</v>
      </c>
      <c r="C929" t="s">
        <v>1836</v>
      </c>
      <c r="D929" t="s">
        <v>1837</v>
      </c>
      <c r="E929" t="s">
        <v>1838</v>
      </c>
      <c r="F929">
        <v>3.96</v>
      </c>
      <c r="G929">
        <v>312962026</v>
      </c>
      <c r="H929" s="118">
        <v>45505</v>
      </c>
      <c r="I929">
        <v>100</v>
      </c>
      <c r="J929">
        <v>100</v>
      </c>
      <c r="K929">
        <v>3.96</v>
      </c>
      <c r="L929">
        <v>3.96</v>
      </c>
      <c r="M929">
        <v>0</v>
      </c>
      <c r="N929">
        <v>0</v>
      </c>
      <c r="O929" t="s">
        <v>1839</v>
      </c>
      <c r="Q929" t="s">
        <v>170</v>
      </c>
      <c r="R929">
        <v>0.75</v>
      </c>
      <c r="S929">
        <v>12.3423</v>
      </c>
      <c r="T929" s="118">
        <v>46660</v>
      </c>
    </row>
    <row r="930" spans="1:20" hidden="1">
      <c r="A930" t="s">
        <v>511</v>
      </c>
      <c r="B930" t="s">
        <v>478</v>
      </c>
      <c r="C930" t="s">
        <v>1836</v>
      </c>
      <c r="D930" t="s">
        <v>1840</v>
      </c>
      <c r="E930" t="s">
        <v>1841</v>
      </c>
      <c r="F930">
        <v>958.12</v>
      </c>
      <c r="G930">
        <v>315280801</v>
      </c>
      <c r="H930" s="118">
        <v>45544</v>
      </c>
      <c r="I930">
        <v>100</v>
      </c>
      <c r="J930">
        <v>250</v>
      </c>
      <c r="K930">
        <v>958.12</v>
      </c>
      <c r="L930">
        <v>2395.3000000000002</v>
      </c>
      <c r="M930">
        <v>1437.18</v>
      </c>
      <c r="N930">
        <v>0</v>
      </c>
      <c r="O930" t="s">
        <v>1839</v>
      </c>
      <c r="S930">
        <v>0</v>
      </c>
      <c r="T930" s="118">
        <v>46660</v>
      </c>
    </row>
    <row r="931" spans="1:20" hidden="1">
      <c r="A931" t="s">
        <v>511</v>
      </c>
      <c r="B931" t="s">
        <v>478</v>
      </c>
      <c r="C931" t="s">
        <v>1836</v>
      </c>
      <c r="D931" t="s">
        <v>1842</v>
      </c>
      <c r="E931" t="s">
        <v>1843</v>
      </c>
      <c r="F931">
        <v>214919.66</v>
      </c>
      <c r="G931">
        <v>297364062</v>
      </c>
      <c r="H931" s="118">
        <v>45070</v>
      </c>
      <c r="I931">
        <v>100</v>
      </c>
      <c r="J931">
        <v>100</v>
      </c>
      <c r="K931">
        <v>214919.66</v>
      </c>
      <c r="L931">
        <v>214919.66</v>
      </c>
      <c r="M931">
        <v>0</v>
      </c>
      <c r="N931">
        <v>0</v>
      </c>
      <c r="O931" t="s">
        <v>1844</v>
      </c>
      <c r="Q931" t="s">
        <v>170</v>
      </c>
      <c r="R931">
        <v>11697.36</v>
      </c>
      <c r="S931">
        <v>12.56</v>
      </c>
      <c r="T931" s="118">
        <v>47257</v>
      </c>
    </row>
    <row r="932" spans="1:20" hidden="1">
      <c r="A932" t="s">
        <v>511</v>
      </c>
      <c r="B932" t="s">
        <v>478</v>
      </c>
      <c r="C932" t="s">
        <v>1836</v>
      </c>
      <c r="D932" t="s">
        <v>1842</v>
      </c>
      <c r="E932" t="s">
        <v>1843</v>
      </c>
      <c r="F932">
        <v>44945.37</v>
      </c>
      <c r="G932">
        <v>332494502</v>
      </c>
      <c r="H932" s="118">
        <v>45625</v>
      </c>
      <c r="I932">
        <v>100</v>
      </c>
      <c r="J932">
        <v>100</v>
      </c>
      <c r="K932">
        <v>44945.37</v>
      </c>
      <c r="L932">
        <v>44945.37</v>
      </c>
      <c r="M932">
        <v>0</v>
      </c>
      <c r="N932">
        <v>0</v>
      </c>
      <c r="O932" t="s">
        <v>1844</v>
      </c>
      <c r="Q932" t="s">
        <v>170</v>
      </c>
      <c r="R932">
        <v>2446.23</v>
      </c>
      <c r="S932">
        <v>12.56</v>
      </c>
      <c r="T932" s="118">
        <v>47257</v>
      </c>
    </row>
    <row r="933" spans="1:20" hidden="1">
      <c r="A933" t="s">
        <v>511</v>
      </c>
      <c r="B933" t="s">
        <v>478</v>
      </c>
      <c r="C933" t="s">
        <v>1836</v>
      </c>
      <c r="D933" t="s">
        <v>1842</v>
      </c>
      <c r="E933" t="s">
        <v>1843</v>
      </c>
      <c r="F933">
        <v>8250.43</v>
      </c>
      <c r="G933">
        <v>332494506</v>
      </c>
      <c r="H933" s="118">
        <v>45716</v>
      </c>
      <c r="I933">
        <v>100</v>
      </c>
      <c r="J933">
        <v>100</v>
      </c>
      <c r="K933">
        <v>8250.43</v>
      </c>
      <c r="L933">
        <v>8250.43</v>
      </c>
      <c r="M933">
        <v>0</v>
      </c>
      <c r="N933">
        <v>0</v>
      </c>
      <c r="O933" t="s">
        <v>1844</v>
      </c>
      <c r="Q933" t="s">
        <v>170</v>
      </c>
      <c r="R933">
        <v>449.04</v>
      </c>
      <c r="S933">
        <v>12.56</v>
      </c>
      <c r="T933" s="118">
        <v>47257</v>
      </c>
    </row>
    <row r="934" spans="1:20" hidden="1">
      <c r="A934" t="s">
        <v>511</v>
      </c>
      <c r="B934" t="s">
        <v>478</v>
      </c>
      <c r="C934" t="s">
        <v>1836</v>
      </c>
      <c r="D934" t="s">
        <v>1842</v>
      </c>
      <c r="E934" t="s">
        <v>1843</v>
      </c>
      <c r="F934">
        <v>8512.3700000000008</v>
      </c>
      <c r="G934">
        <v>340764664</v>
      </c>
      <c r="H934" s="118">
        <v>45807</v>
      </c>
      <c r="I934">
        <v>100</v>
      </c>
      <c r="J934">
        <v>100</v>
      </c>
      <c r="K934">
        <v>8512.3700000000008</v>
      </c>
      <c r="L934">
        <v>8512.3700000000008</v>
      </c>
      <c r="M934">
        <v>0</v>
      </c>
      <c r="N934">
        <v>0</v>
      </c>
      <c r="O934" t="s">
        <v>1844</v>
      </c>
      <c r="Q934" t="s">
        <v>170</v>
      </c>
      <c r="R934">
        <v>463.3</v>
      </c>
      <c r="S934">
        <v>12.56</v>
      </c>
      <c r="T934" s="118">
        <v>47257</v>
      </c>
    </row>
    <row r="935" spans="1:20" hidden="1">
      <c r="A935" t="s">
        <v>511</v>
      </c>
      <c r="B935" t="s">
        <v>478</v>
      </c>
      <c r="C935" t="s">
        <v>1836</v>
      </c>
      <c r="D935" t="s">
        <v>1842</v>
      </c>
      <c r="E935" t="s">
        <v>1843</v>
      </c>
      <c r="F935">
        <v>8782.6299999999992</v>
      </c>
      <c r="G935">
        <v>349537602</v>
      </c>
      <c r="H935" s="118">
        <v>45898</v>
      </c>
      <c r="I935">
        <v>100</v>
      </c>
      <c r="J935">
        <v>100</v>
      </c>
      <c r="K935">
        <v>8782.6299999999992</v>
      </c>
      <c r="L935">
        <v>8782.6299999999992</v>
      </c>
      <c r="M935">
        <v>0</v>
      </c>
      <c r="N935">
        <v>0</v>
      </c>
      <c r="O935" t="s">
        <v>1844</v>
      </c>
      <c r="Q935" t="s">
        <v>170</v>
      </c>
      <c r="R935">
        <v>478.01</v>
      </c>
      <c r="S935">
        <v>12.56</v>
      </c>
      <c r="T935" s="118">
        <v>47257</v>
      </c>
    </row>
    <row r="936" spans="1:20" hidden="1">
      <c r="A936" t="s">
        <v>511</v>
      </c>
      <c r="B936" t="s">
        <v>478</v>
      </c>
      <c r="C936" t="s">
        <v>1845</v>
      </c>
      <c r="D936">
        <v>999703339</v>
      </c>
      <c r="E936" t="s">
        <v>1846</v>
      </c>
      <c r="F936">
        <v>161252</v>
      </c>
      <c r="G936">
        <v>297363888</v>
      </c>
      <c r="H936" s="118">
        <v>43571</v>
      </c>
      <c r="I936">
        <v>0</v>
      </c>
      <c r="J936">
        <v>10.8621</v>
      </c>
      <c r="K936">
        <v>0</v>
      </c>
      <c r="L936">
        <v>1751533.16</v>
      </c>
      <c r="M936">
        <v>1751533.16</v>
      </c>
      <c r="N936">
        <v>0</v>
      </c>
    </row>
    <row r="937" spans="1:20" hidden="1">
      <c r="A937" t="s">
        <v>1847</v>
      </c>
      <c r="B937" t="s">
        <v>512</v>
      </c>
      <c r="C937" t="s">
        <v>1848</v>
      </c>
      <c r="D937" t="s">
        <v>1849</v>
      </c>
      <c r="E937" t="s">
        <v>1850</v>
      </c>
      <c r="F937">
        <v>-2800000</v>
      </c>
      <c r="G937">
        <v>297364086</v>
      </c>
      <c r="H937" s="118">
        <v>45246</v>
      </c>
      <c r="I937">
        <v>100</v>
      </c>
      <c r="J937">
        <v>100</v>
      </c>
      <c r="K937">
        <v>-2036363.64</v>
      </c>
      <c r="L937">
        <v>-2067717.76</v>
      </c>
      <c r="M937">
        <v>0</v>
      </c>
      <c r="N937">
        <v>-31354.12</v>
      </c>
      <c r="Q937" t="s">
        <v>170</v>
      </c>
      <c r="R937">
        <v>-522.08000000000004</v>
      </c>
      <c r="S937">
        <v>4.6079999999999997</v>
      </c>
      <c r="T937" s="118">
        <v>48899</v>
      </c>
    </row>
    <row r="938" spans="1:20" hidden="1">
      <c r="A938" t="s">
        <v>1847</v>
      </c>
      <c r="B938" t="s">
        <v>525</v>
      </c>
      <c r="C938" t="s">
        <v>1848</v>
      </c>
      <c r="D938" t="s">
        <v>1851</v>
      </c>
      <c r="E938" t="s">
        <v>1852</v>
      </c>
      <c r="F938">
        <v>-28000000</v>
      </c>
      <c r="G938">
        <v>297363874</v>
      </c>
      <c r="H938" s="118">
        <v>43173</v>
      </c>
      <c r="I938">
        <v>100</v>
      </c>
      <c r="J938">
        <v>100</v>
      </c>
      <c r="K938">
        <v>-38751999.979999997</v>
      </c>
      <c r="L938">
        <v>-38423000</v>
      </c>
      <c r="M938">
        <v>0</v>
      </c>
      <c r="N938">
        <v>328999.98</v>
      </c>
      <c r="Q938" t="s">
        <v>170</v>
      </c>
      <c r="R938">
        <v>-213447.45</v>
      </c>
      <c r="S938">
        <v>6.3364000000000003</v>
      </c>
      <c r="T938" s="118">
        <v>46826</v>
      </c>
    </row>
    <row r="939" spans="1:20" hidden="1">
      <c r="A939" t="s">
        <v>1847</v>
      </c>
      <c r="B939" t="s">
        <v>525</v>
      </c>
      <c r="C939" t="s">
        <v>1848</v>
      </c>
      <c r="D939" t="s">
        <v>1851</v>
      </c>
      <c r="E939" t="s">
        <v>1852</v>
      </c>
      <c r="F939">
        <v>-1000000</v>
      </c>
      <c r="G939">
        <v>297363913</v>
      </c>
      <c r="H939" s="118">
        <v>44112</v>
      </c>
      <c r="I939">
        <v>100</v>
      </c>
      <c r="J939">
        <v>100</v>
      </c>
      <c r="K939">
        <v>-1292900</v>
      </c>
      <c r="L939">
        <v>-1372250</v>
      </c>
      <c r="M939">
        <v>0</v>
      </c>
      <c r="N939">
        <v>-79350</v>
      </c>
      <c r="Q939" t="s">
        <v>170</v>
      </c>
      <c r="R939">
        <v>-7623.12</v>
      </c>
      <c r="S939">
        <v>6.3364000000000003</v>
      </c>
      <c r="T939" s="118">
        <v>46826</v>
      </c>
    </row>
    <row r="940" spans="1:20" hidden="1">
      <c r="A940" t="s">
        <v>1847</v>
      </c>
      <c r="B940" t="s">
        <v>525</v>
      </c>
      <c r="C940" t="s">
        <v>1848</v>
      </c>
      <c r="D940" t="s">
        <v>1851</v>
      </c>
      <c r="E940" t="s">
        <v>1852</v>
      </c>
      <c r="F940">
        <v>-2000000</v>
      </c>
      <c r="G940">
        <v>297363954</v>
      </c>
      <c r="H940" s="118">
        <v>44512</v>
      </c>
      <c r="I940">
        <v>100</v>
      </c>
      <c r="J940">
        <v>100</v>
      </c>
      <c r="K940">
        <v>-2679000</v>
      </c>
      <c r="L940">
        <v>-2744500</v>
      </c>
      <c r="M940">
        <v>0</v>
      </c>
      <c r="N940">
        <v>-65500</v>
      </c>
      <c r="Q940" t="s">
        <v>170</v>
      </c>
      <c r="R940">
        <v>-15246.25</v>
      </c>
      <c r="S940">
        <v>6.3364000000000003</v>
      </c>
      <c r="T940" s="118">
        <v>46826</v>
      </c>
    </row>
    <row r="941" spans="1:20" hidden="1">
      <c r="A941" t="s">
        <v>1847</v>
      </c>
      <c r="B941" t="s">
        <v>525</v>
      </c>
      <c r="C941" t="s">
        <v>1848</v>
      </c>
      <c r="D941" t="s">
        <v>1851</v>
      </c>
      <c r="E941" t="s">
        <v>1852</v>
      </c>
      <c r="F941">
        <v>-5000000</v>
      </c>
      <c r="G941">
        <v>297363976</v>
      </c>
      <c r="H941" s="118">
        <v>44588</v>
      </c>
      <c r="I941">
        <v>100</v>
      </c>
      <c r="J941">
        <v>100</v>
      </c>
      <c r="K941">
        <v>-6696000</v>
      </c>
      <c r="L941">
        <v>-6861250</v>
      </c>
      <c r="M941">
        <v>0</v>
      </c>
      <c r="N941">
        <v>-165250</v>
      </c>
      <c r="Q941" t="s">
        <v>170</v>
      </c>
      <c r="R941">
        <v>-38115.620000000003</v>
      </c>
      <c r="S941">
        <v>6.3364000000000003</v>
      </c>
      <c r="T941" s="118">
        <v>46826</v>
      </c>
    </row>
    <row r="942" spans="1:20" hidden="1">
      <c r="A942" t="s">
        <v>1847</v>
      </c>
      <c r="B942" t="s">
        <v>478</v>
      </c>
      <c r="C942" t="s">
        <v>513</v>
      </c>
      <c r="D942" t="s">
        <v>549</v>
      </c>
      <c r="E942" t="s">
        <v>552</v>
      </c>
      <c r="F942">
        <v>-190183938.03</v>
      </c>
      <c r="I942">
        <v>1</v>
      </c>
      <c r="J942">
        <v>1</v>
      </c>
      <c r="K942">
        <v>-190183938.03</v>
      </c>
      <c r="L942">
        <v>-190183938.03</v>
      </c>
      <c r="M942">
        <v>0</v>
      </c>
      <c r="N942">
        <v>0</v>
      </c>
    </row>
    <row r="943" spans="1:20" hidden="1">
      <c r="A943" t="s">
        <v>1847</v>
      </c>
      <c r="B943" t="s">
        <v>478</v>
      </c>
      <c r="C943" t="s">
        <v>513</v>
      </c>
      <c r="D943" t="s">
        <v>549</v>
      </c>
      <c r="E943" t="s">
        <v>553</v>
      </c>
      <c r="F943">
        <v>24003.4</v>
      </c>
      <c r="I943">
        <v>1</v>
      </c>
      <c r="J943">
        <v>1</v>
      </c>
      <c r="K943">
        <v>24003.4</v>
      </c>
      <c r="L943">
        <v>24003.4</v>
      </c>
      <c r="M943">
        <v>0</v>
      </c>
      <c r="N943">
        <v>0</v>
      </c>
    </row>
    <row r="944" spans="1:20" hidden="1">
      <c r="A944" t="s">
        <v>1847</v>
      </c>
      <c r="B944" t="s">
        <v>478</v>
      </c>
      <c r="C944" t="s">
        <v>516</v>
      </c>
      <c r="D944" t="s">
        <v>1853</v>
      </c>
      <c r="E944" t="s">
        <v>1854</v>
      </c>
      <c r="F944">
        <v>-1527777.78</v>
      </c>
      <c r="G944">
        <v>318680460</v>
      </c>
      <c r="H944" s="118">
        <v>45566</v>
      </c>
      <c r="I944">
        <v>99.25</v>
      </c>
      <c r="J944">
        <v>99.25</v>
      </c>
      <c r="K944">
        <v>-1516319.45</v>
      </c>
      <c r="L944">
        <v>-1516319.45</v>
      </c>
      <c r="M944">
        <v>0</v>
      </c>
      <c r="N944">
        <v>0</v>
      </c>
      <c r="O944" t="s">
        <v>1855</v>
      </c>
      <c r="S944">
        <v>0</v>
      </c>
      <c r="T944" s="118">
        <v>46296</v>
      </c>
    </row>
    <row r="945" spans="1:20" hidden="1">
      <c r="A945" t="s">
        <v>1847</v>
      </c>
      <c r="B945" t="s">
        <v>478</v>
      </c>
      <c r="C945" t="s">
        <v>516</v>
      </c>
      <c r="D945" t="s">
        <v>1856</v>
      </c>
      <c r="E945" t="s">
        <v>1857</v>
      </c>
      <c r="F945">
        <v>-3562005.28</v>
      </c>
      <c r="G945">
        <v>320678998</v>
      </c>
      <c r="H945" s="118">
        <v>45596</v>
      </c>
      <c r="I945">
        <v>99.5</v>
      </c>
      <c r="J945">
        <v>99.5</v>
      </c>
      <c r="K945">
        <v>-3544195.25</v>
      </c>
      <c r="L945">
        <v>-3544195.25</v>
      </c>
      <c r="M945">
        <v>0</v>
      </c>
      <c r="N945">
        <v>0</v>
      </c>
      <c r="O945" t="s">
        <v>1087</v>
      </c>
      <c r="S945">
        <v>0</v>
      </c>
      <c r="T945" s="118">
        <v>46327</v>
      </c>
    </row>
    <row r="946" spans="1:20" hidden="1">
      <c r="A946" t="s">
        <v>1847</v>
      </c>
      <c r="B946" t="s">
        <v>478</v>
      </c>
      <c r="C946" t="s">
        <v>516</v>
      </c>
      <c r="D946" t="s">
        <v>1858</v>
      </c>
      <c r="E946" t="s">
        <v>1859</v>
      </c>
      <c r="F946">
        <v>-5190209.0999999996</v>
      </c>
      <c r="G946">
        <v>356351411</v>
      </c>
      <c r="H946" s="118">
        <v>45973</v>
      </c>
      <c r="I946">
        <v>99</v>
      </c>
      <c r="J946">
        <v>99</v>
      </c>
      <c r="K946">
        <v>-5138307.01</v>
      </c>
      <c r="L946">
        <v>-5138307.01</v>
      </c>
      <c r="M946">
        <v>0</v>
      </c>
      <c r="N946">
        <v>0</v>
      </c>
      <c r="O946" t="s">
        <v>561</v>
      </c>
      <c r="S946">
        <v>0</v>
      </c>
      <c r="T946" s="118">
        <v>47753</v>
      </c>
    </row>
    <row r="947" spans="1:20" hidden="1">
      <c r="A947" t="s">
        <v>1847</v>
      </c>
      <c r="B947" t="s">
        <v>478</v>
      </c>
      <c r="C947" t="s">
        <v>516</v>
      </c>
      <c r="D947" t="s">
        <v>1860</v>
      </c>
      <c r="E947" t="s">
        <v>1861</v>
      </c>
      <c r="F947">
        <v>-3337070.73</v>
      </c>
      <c r="G947">
        <v>312707349</v>
      </c>
      <c r="H947" s="118">
        <v>45519</v>
      </c>
      <c r="I947">
        <v>99</v>
      </c>
      <c r="J947">
        <v>99</v>
      </c>
      <c r="K947">
        <v>-3303700.02</v>
      </c>
      <c r="L947">
        <v>-3303700.02</v>
      </c>
      <c r="M947">
        <v>0</v>
      </c>
      <c r="N947">
        <v>0</v>
      </c>
      <c r="O947" t="s">
        <v>1862</v>
      </c>
      <c r="S947">
        <v>0</v>
      </c>
      <c r="T947" s="118">
        <v>46249</v>
      </c>
    </row>
    <row r="948" spans="1:20" hidden="1">
      <c r="A948" t="s">
        <v>1847</v>
      </c>
      <c r="B948" t="s">
        <v>478</v>
      </c>
      <c r="C948" t="s">
        <v>516</v>
      </c>
      <c r="D948" t="s">
        <v>1863</v>
      </c>
      <c r="E948" t="s">
        <v>1864</v>
      </c>
      <c r="F948">
        <v>-553800</v>
      </c>
      <c r="G948">
        <v>326776035</v>
      </c>
      <c r="H948" s="118">
        <v>45657</v>
      </c>
      <c r="I948">
        <v>99</v>
      </c>
      <c r="J948">
        <v>99</v>
      </c>
      <c r="K948">
        <v>-548262</v>
      </c>
      <c r="L948">
        <v>-548262</v>
      </c>
      <c r="M948">
        <v>0</v>
      </c>
      <c r="N948">
        <v>0</v>
      </c>
      <c r="O948" t="s">
        <v>1078</v>
      </c>
      <c r="S948">
        <v>0</v>
      </c>
      <c r="T948" s="118">
        <v>47848</v>
      </c>
    </row>
    <row r="949" spans="1:20" hidden="1">
      <c r="A949" t="s">
        <v>1847</v>
      </c>
      <c r="B949" t="s">
        <v>478</v>
      </c>
      <c r="C949" t="s">
        <v>516</v>
      </c>
      <c r="D949" t="s">
        <v>1865</v>
      </c>
      <c r="E949" t="s">
        <v>1866</v>
      </c>
      <c r="F949">
        <v>-5329062.5</v>
      </c>
      <c r="G949">
        <v>314272514</v>
      </c>
      <c r="H949" s="118">
        <v>45532</v>
      </c>
      <c r="I949">
        <v>99</v>
      </c>
      <c r="J949">
        <v>99</v>
      </c>
      <c r="K949">
        <v>-5275771.87</v>
      </c>
      <c r="L949">
        <v>-5275771.88</v>
      </c>
      <c r="M949">
        <v>-0.01</v>
      </c>
      <c r="N949">
        <v>0</v>
      </c>
      <c r="O949" t="s">
        <v>1084</v>
      </c>
      <c r="S949">
        <v>0</v>
      </c>
      <c r="T949" s="118">
        <v>46262</v>
      </c>
    </row>
    <row r="950" spans="1:20" hidden="1">
      <c r="A950" t="s">
        <v>1847</v>
      </c>
      <c r="B950" t="s">
        <v>478</v>
      </c>
      <c r="C950" t="s">
        <v>516</v>
      </c>
      <c r="D950" t="s">
        <v>1867</v>
      </c>
      <c r="E950" t="s">
        <v>1868</v>
      </c>
      <c r="F950">
        <v>-3915.2</v>
      </c>
      <c r="G950">
        <v>300119960</v>
      </c>
      <c r="H950" s="118">
        <v>45289</v>
      </c>
      <c r="I950">
        <v>100</v>
      </c>
      <c r="J950">
        <v>100</v>
      </c>
      <c r="K950">
        <v>-3915.2</v>
      </c>
      <c r="L950">
        <v>-3915.2</v>
      </c>
      <c r="M950">
        <v>0</v>
      </c>
      <c r="N950">
        <v>0</v>
      </c>
      <c r="O950" t="s">
        <v>1869</v>
      </c>
      <c r="S950">
        <v>0</v>
      </c>
      <c r="T950" s="118">
        <v>47514</v>
      </c>
    </row>
    <row r="951" spans="1:20" hidden="1">
      <c r="A951" t="s">
        <v>1847</v>
      </c>
      <c r="B951" t="s">
        <v>478</v>
      </c>
      <c r="C951" t="s">
        <v>516</v>
      </c>
      <c r="D951" t="s">
        <v>1867</v>
      </c>
      <c r="E951" t="s">
        <v>1868</v>
      </c>
      <c r="F951">
        <v>-8070.65</v>
      </c>
      <c r="G951">
        <v>308201675</v>
      </c>
      <c r="H951" s="118">
        <v>45435</v>
      </c>
      <c r="I951">
        <v>100</v>
      </c>
      <c r="J951">
        <v>100</v>
      </c>
      <c r="K951">
        <v>-8070.65</v>
      </c>
      <c r="L951">
        <v>-8070.65</v>
      </c>
      <c r="M951">
        <v>0</v>
      </c>
      <c r="N951">
        <v>0</v>
      </c>
      <c r="O951" t="s">
        <v>1869</v>
      </c>
      <c r="S951">
        <v>0</v>
      </c>
      <c r="T951" s="118">
        <v>47514</v>
      </c>
    </row>
    <row r="952" spans="1:20" hidden="1">
      <c r="A952" t="s">
        <v>1847</v>
      </c>
      <c r="B952" t="s">
        <v>478</v>
      </c>
      <c r="C952" t="s">
        <v>516</v>
      </c>
      <c r="D952" t="s">
        <v>1867</v>
      </c>
      <c r="E952" t="s">
        <v>1868</v>
      </c>
      <c r="F952">
        <v>-6364.74</v>
      </c>
      <c r="G952">
        <v>364014908</v>
      </c>
      <c r="H952" s="118">
        <v>45930</v>
      </c>
      <c r="I952">
        <v>100</v>
      </c>
      <c r="J952">
        <v>100</v>
      </c>
      <c r="K952">
        <v>-6364.74</v>
      </c>
      <c r="L952">
        <v>-6364.74</v>
      </c>
      <c r="M952">
        <v>0</v>
      </c>
      <c r="N952">
        <v>0</v>
      </c>
      <c r="O952" t="s">
        <v>1869</v>
      </c>
      <c r="S952">
        <v>0</v>
      </c>
      <c r="T952" s="118">
        <v>47514</v>
      </c>
    </row>
    <row r="953" spans="1:20" hidden="1">
      <c r="A953" t="s">
        <v>1847</v>
      </c>
      <c r="B953" t="s">
        <v>478</v>
      </c>
      <c r="C953" t="s">
        <v>516</v>
      </c>
      <c r="D953" t="s">
        <v>1870</v>
      </c>
      <c r="E953" t="s">
        <v>1871</v>
      </c>
      <c r="F953">
        <v>-418639.17</v>
      </c>
      <c r="G953">
        <v>338152193</v>
      </c>
      <c r="H953" s="118">
        <v>45747</v>
      </c>
      <c r="I953">
        <v>100</v>
      </c>
      <c r="J953">
        <v>100</v>
      </c>
      <c r="K953">
        <v>-418639.17</v>
      </c>
      <c r="L953">
        <v>-418639.17</v>
      </c>
      <c r="M953">
        <v>0</v>
      </c>
      <c r="N953">
        <v>0</v>
      </c>
      <c r="O953" t="s">
        <v>1095</v>
      </c>
      <c r="S953">
        <v>0</v>
      </c>
      <c r="T953" s="118">
        <v>46959</v>
      </c>
    </row>
    <row r="954" spans="1:20" hidden="1">
      <c r="A954" t="s">
        <v>1847</v>
      </c>
      <c r="B954" t="s">
        <v>478</v>
      </c>
      <c r="C954" t="s">
        <v>516</v>
      </c>
      <c r="D954" t="s">
        <v>1870</v>
      </c>
      <c r="E954" t="s">
        <v>1871</v>
      </c>
      <c r="F954">
        <v>-258309.28</v>
      </c>
      <c r="G954">
        <v>354878968</v>
      </c>
      <c r="H954" s="118">
        <v>45959</v>
      </c>
      <c r="I954">
        <v>100</v>
      </c>
      <c r="J954">
        <v>100</v>
      </c>
      <c r="K954">
        <v>-258309.28</v>
      </c>
      <c r="L954">
        <v>-258309.28</v>
      </c>
      <c r="M954">
        <v>0</v>
      </c>
      <c r="N954">
        <v>0</v>
      </c>
      <c r="O954" t="s">
        <v>1095</v>
      </c>
      <c r="S954">
        <v>0</v>
      </c>
      <c r="T954" s="118">
        <v>46959</v>
      </c>
    </row>
    <row r="955" spans="1:20" hidden="1">
      <c r="A955" t="s">
        <v>1847</v>
      </c>
      <c r="B955" t="s">
        <v>478</v>
      </c>
      <c r="C955" t="s">
        <v>516</v>
      </c>
      <c r="D955" t="s">
        <v>1872</v>
      </c>
      <c r="E955" t="s">
        <v>1873</v>
      </c>
      <c r="F955">
        <v>-4812500</v>
      </c>
      <c r="G955">
        <v>297512437</v>
      </c>
      <c r="H955" s="118">
        <v>45257</v>
      </c>
      <c r="I955">
        <v>99</v>
      </c>
      <c r="J955">
        <v>99</v>
      </c>
      <c r="K955">
        <v>-4764375</v>
      </c>
      <c r="L955">
        <v>-4764375</v>
      </c>
      <c r="M955">
        <v>0</v>
      </c>
      <c r="N955">
        <v>0</v>
      </c>
      <c r="O955" t="s">
        <v>1855</v>
      </c>
      <c r="S955">
        <v>0</v>
      </c>
      <c r="T955" s="118">
        <v>47455</v>
      </c>
    </row>
    <row r="956" spans="1:20" hidden="1">
      <c r="A956" t="s">
        <v>1847</v>
      </c>
      <c r="B956" t="s">
        <v>478</v>
      </c>
      <c r="C956" t="s">
        <v>516</v>
      </c>
      <c r="D956" t="s">
        <v>1874</v>
      </c>
      <c r="E956" t="s">
        <v>1875</v>
      </c>
      <c r="F956">
        <v>-1230661</v>
      </c>
      <c r="G956">
        <v>348767862</v>
      </c>
      <c r="H956" s="118">
        <v>45884</v>
      </c>
      <c r="I956">
        <v>99.5</v>
      </c>
      <c r="J956">
        <v>99.5</v>
      </c>
      <c r="K956">
        <v>-1224507.7</v>
      </c>
      <c r="L956">
        <v>-1224507.7</v>
      </c>
      <c r="M956">
        <v>0</v>
      </c>
      <c r="N956">
        <v>0</v>
      </c>
      <c r="S956">
        <v>0</v>
      </c>
      <c r="T956" s="118">
        <v>46614</v>
      </c>
    </row>
    <row r="957" spans="1:20" hidden="1">
      <c r="A957" t="s">
        <v>1847</v>
      </c>
      <c r="B957" t="s">
        <v>478</v>
      </c>
      <c r="C957" t="s">
        <v>516</v>
      </c>
      <c r="D957" t="s">
        <v>1876</v>
      </c>
      <c r="E957" t="s">
        <v>1877</v>
      </c>
      <c r="F957">
        <v>-2077812.75</v>
      </c>
      <c r="G957">
        <v>298062207</v>
      </c>
      <c r="H957" s="118">
        <v>45352</v>
      </c>
      <c r="I957">
        <v>99</v>
      </c>
      <c r="J957">
        <v>99</v>
      </c>
      <c r="K957">
        <v>-2057034.62</v>
      </c>
      <c r="L957">
        <v>-2057034.62</v>
      </c>
      <c r="M957">
        <v>0</v>
      </c>
      <c r="N957">
        <v>0</v>
      </c>
      <c r="O957" t="s">
        <v>1855</v>
      </c>
      <c r="S957">
        <v>0</v>
      </c>
      <c r="T957" s="118">
        <v>46082</v>
      </c>
    </row>
    <row r="958" spans="1:20" hidden="1">
      <c r="A958" t="s">
        <v>1847</v>
      </c>
      <c r="B958" t="s">
        <v>478</v>
      </c>
      <c r="C958" t="s">
        <v>516</v>
      </c>
      <c r="D958" t="s">
        <v>1878</v>
      </c>
      <c r="E958" t="s">
        <v>1879</v>
      </c>
      <c r="F958">
        <v>-7679776.6600000001</v>
      </c>
      <c r="G958">
        <v>297512438</v>
      </c>
      <c r="H958" s="118">
        <v>45329</v>
      </c>
      <c r="I958">
        <v>99</v>
      </c>
      <c r="J958">
        <v>99</v>
      </c>
      <c r="K958">
        <v>-7602978.8899999997</v>
      </c>
      <c r="L958">
        <v>-7602978.8899999997</v>
      </c>
      <c r="M958">
        <v>0</v>
      </c>
      <c r="N958">
        <v>0</v>
      </c>
      <c r="O958" t="s">
        <v>1124</v>
      </c>
      <c r="S958">
        <v>0</v>
      </c>
      <c r="T958" s="118">
        <v>46062</v>
      </c>
    </row>
    <row r="959" spans="1:20" hidden="1">
      <c r="A959" t="s">
        <v>1847</v>
      </c>
      <c r="B959" t="s">
        <v>478</v>
      </c>
      <c r="C959" t="s">
        <v>516</v>
      </c>
      <c r="D959" t="s">
        <v>1880</v>
      </c>
      <c r="E959" t="s">
        <v>1881</v>
      </c>
      <c r="F959">
        <v>-1049600</v>
      </c>
      <c r="G959">
        <v>322310952</v>
      </c>
      <c r="H959" s="118">
        <v>45621</v>
      </c>
      <c r="I959">
        <v>99.5</v>
      </c>
      <c r="J959">
        <v>99.5</v>
      </c>
      <c r="K959">
        <v>-1044352</v>
      </c>
      <c r="L959">
        <v>-1044352</v>
      </c>
      <c r="M959">
        <v>0</v>
      </c>
      <c r="N959">
        <v>0</v>
      </c>
      <c r="O959" t="s">
        <v>1882</v>
      </c>
      <c r="S959">
        <v>0</v>
      </c>
      <c r="T959" s="118">
        <v>46351</v>
      </c>
    </row>
    <row r="960" spans="1:20" hidden="1">
      <c r="A960" t="s">
        <v>1847</v>
      </c>
      <c r="B960" t="s">
        <v>478</v>
      </c>
      <c r="C960" t="s">
        <v>516</v>
      </c>
      <c r="D960" t="s">
        <v>1883</v>
      </c>
      <c r="E960" t="s">
        <v>1884</v>
      </c>
      <c r="F960">
        <v>-3291416.85</v>
      </c>
      <c r="G960">
        <v>345291264</v>
      </c>
      <c r="H960" s="118">
        <v>45839</v>
      </c>
      <c r="I960">
        <v>99.25</v>
      </c>
      <c r="J960">
        <v>99.25</v>
      </c>
      <c r="K960">
        <v>-3266731.22</v>
      </c>
      <c r="L960">
        <v>-3266731.22</v>
      </c>
      <c r="M960">
        <v>0</v>
      </c>
      <c r="N960">
        <v>0</v>
      </c>
      <c r="O960" t="s">
        <v>1110</v>
      </c>
      <c r="S960">
        <v>0</v>
      </c>
      <c r="T960" s="118">
        <v>48030</v>
      </c>
    </row>
    <row r="961" spans="1:20" hidden="1">
      <c r="A961" t="s">
        <v>1847</v>
      </c>
      <c r="B961" t="s">
        <v>478</v>
      </c>
      <c r="C961" t="s">
        <v>516</v>
      </c>
      <c r="D961" t="s">
        <v>1885</v>
      </c>
      <c r="E961" t="s">
        <v>1886</v>
      </c>
      <c r="F961">
        <v>-588960</v>
      </c>
      <c r="G961">
        <v>342493120</v>
      </c>
      <c r="H961" s="118">
        <v>45820</v>
      </c>
      <c r="I961">
        <v>99.5</v>
      </c>
      <c r="J961">
        <v>99.5</v>
      </c>
      <c r="K961">
        <v>-586015.19999999995</v>
      </c>
      <c r="L961">
        <v>-586015.19999999995</v>
      </c>
      <c r="M961">
        <v>0</v>
      </c>
      <c r="N961">
        <v>0</v>
      </c>
      <c r="O961" t="s">
        <v>1118</v>
      </c>
      <c r="S961">
        <v>0</v>
      </c>
      <c r="T961" s="118">
        <v>46550</v>
      </c>
    </row>
    <row r="962" spans="1:20" hidden="1">
      <c r="A962" t="s">
        <v>1847</v>
      </c>
      <c r="B962" t="s">
        <v>478</v>
      </c>
      <c r="C962" t="s">
        <v>516</v>
      </c>
      <c r="D962" t="s">
        <v>1887</v>
      </c>
      <c r="E962" t="s">
        <v>1888</v>
      </c>
      <c r="F962">
        <v>-300000</v>
      </c>
      <c r="G962">
        <v>305655325</v>
      </c>
      <c r="H962" s="118">
        <v>45443</v>
      </c>
      <c r="I962">
        <v>98.5</v>
      </c>
      <c r="J962">
        <v>98.5</v>
      </c>
      <c r="K962">
        <v>-295500</v>
      </c>
      <c r="L962">
        <v>-295500</v>
      </c>
      <c r="M962">
        <v>0</v>
      </c>
      <c r="N962">
        <v>0</v>
      </c>
      <c r="S962">
        <v>0</v>
      </c>
      <c r="T962" s="118">
        <v>46537</v>
      </c>
    </row>
    <row r="963" spans="1:20" hidden="1">
      <c r="A963" t="s">
        <v>1847</v>
      </c>
      <c r="B963" t="s">
        <v>478</v>
      </c>
      <c r="C963" t="s">
        <v>516</v>
      </c>
      <c r="D963" t="s">
        <v>1889</v>
      </c>
      <c r="E963" t="s">
        <v>1890</v>
      </c>
      <c r="F963">
        <v>-12627343.73</v>
      </c>
      <c r="G963">
        <v>352062275</v>
      </c>
      <c r="H963" s="118">
        <v>45926</v>
      </c>
      <c r="I963">
        <v>99</v>
      </c>
      <c r="J963">
        <v>99</v>
      </c>
      <c r="K963">
        <v>-12501070.289999999</v>
      </c>
      <c r="L963">
        <v>-12501070.289999999</v>
      </c>
      <c r="M963">
        <v>0</v>
      </c>
      <c r="N963">
        <v>0</v>
      </c>
      <c r="O963" t="s">
        <v>1124</v>
      </c>
      <c r="S963">
        <v>0</v>
      </c>
      <c r="T963" s="118">
        <v>46559</v>
      </c>
    </row>
    <row r="964" spans="1:20" hidden="1">
      <c r="A964" t="s">
        <v>1847</v>
      </c>
      <c r="B964" t="s">
        <v>478</v>
      </c>
      <c r="C964" t="s">
        <v>516</v>
      </c>
      <c r="D964" t="s">
        <v>1891</v>
      </c>
      <c r="E964" t="s">
        <v>1892</v>
      </c>
      <c r="F964">
        <v>-1389038.37</v>
      </c>
      <c r="G964">
        <v>325567043</v>
      </c>
      <c r="H964" s="118">
        <v>45639</v>
      </c>
      <c r="I964">
        <v>99</v>
      </c>
      <c r="J964">
        <v>99</v>
      </c>
      <c r="K964">
        <v>-1375147.99</v>
      </c>
      <c r="L964">
        <v>-1375147.99</v>
      </c>
      <c r="M964">
        <v>0</v>
      </c>
      <c r="N964">
        <v>0</v>
      </c>
      <c r="O964" t="s">
        <v>1893</v>
      </c>
      <c r="S964">
        <v>0</v>
      </c>
      <c r="T964" s="118">
        <v>46369</v>
      </c>
    </row>
    <row r="965" spans="1:20" hidden="1">
      <c r="A965" t="s">
        <v>1847</v>
      </c>
      <c r="B965" t="s">
        <v>478</v>
      </c>
      <c r="C965" t="s">
        <v>516</v>
      </c>
      <c r="D965" t="s">
        <v>1894</v>
      </c>
      <c r="E965" t="s">
        <v>1895</v>
      </c>
      <c r="F965">
        <v>-510728.8</v>
      </c>
      <c r="G965">
        <v>314379994</v>
      </c>
      <c r="H965" s="118">
        <v>45513</v>
      </c>
      <c r="I965">
        <v>99.125</v>
      </c>
      <c r="J965">
        <v>99.125</v>
      </c>
      <c r="K965">
        <v>-506259.92</v>
      </c>
      <c r="L965">
        <v>-506259.92</v>
      </c>
      <c r="M965">
        <v>0</v>
      </c>
      <c r="N965">
        <v>0</v>
      </c>
      <c r="O965" t="s">
        <v>1136</v>
      </c>
      <c r="S965">
        <v>0</v>
      </c>
      <c r="T965" s="118">
        <v>46062</v>
      </c>
    </row>
    <row r="966" spans="1:20" hidden="1">
      <c r="A966" t="s">
        <v>1847</v>
      </c>
      <c r="B966" t="s">
        <v>478</v>
      </c>
      <c r="C966" t="s">
        <v>516</v>
      </c>
      <c r="D966" t="s">
        <v>1896</v>
      </c>
      <c r="E966" t="s">
        <v>1897</v>
      </c>
      <c r="F966">
        <v>-4756394.04</v>
      </c>
      <c r="G966">
        <v>316462814</v>
      </c>
      <c r="H966" s="118">
        <v>45558</v>
      </c>
      <c r="I966">
        <v>99.25</v>
      </c>
      <c r="J966">
        <v>99.25</v>
      </c>
      <c r="K966">
        <v>-4720721.08</v>
      </c>
      <c r="L966">
        <v>-4720721.08</v>
      </c>
      <c r="M966">
        <v>0</v>
      </c>
      <c r="N966">
        <v>0</v>
      </c>
      <c r="O966" t="s">
        <v>1118</v>
      </c>
      <c r="S966">
        <v>0</v>
      </c>
      <c r="T966" s="118">
        <v>46288</v>
      </c>
    </row>
    <row r="967" spans="1:20" hidden="1">
      <c r="A967" t="s">
        <v>1847</v>
      </c>
      <c r="B967" t="s">
        <v>478</v>
      </c>
      <c r="C967" t="s">
        <v>516</v>
      </c>
      <c r="D967" t="s">
        <v>1898</v>
      </c>
      <c r="E967" t="s">
        <v>1899</v>
      </c>
      <c r="F967">
        <v>-74565.820000000007</v>
      </c>
      <c r="G967">
        <v>318694606</v>
      </c>
      <c r="H967" s="118">
        <v>45574</v>
      </c>
      <c r="I967">
        <v>81.5</v>
      </c>
      <c r="J967">
        <v>81.5</v>
      </c>
      <c r="K967">
        <v>-60771.15</v>
      </c>
      <c r="L967">
        <v>-60771.14</v>
      </c>
      <c r="M967">
        <v>0.01</v>
      </c>
      <c r="N967">
        <v>0</v>
      </c>
      <c r="O967" t="s">
        <v>1900</v>
      </c>
      <c r="S967">
        <v>0</v>
      </c>
      <c r="T967" s="118">
        <v>46581</v>
      </c>
    </row>
    <row r="968" spans="1:20" hidden="1">
      <c r="A968" t="s">
        <v>1847</v>
      </c>
      <c r="B968" t="s">
        <v>478</v>
      </c>
      <c r="C968" t="s">
        <v>516</v>
      </c>
      <c r="D968" t="s">
        <v>1901</v>
      </c>
      <c r="E968" t="s">
        <v>1902</v>
      </c>
      <c r="F968">
        <v>-9090909.0999999996</v>
      </c>
      <c r="G968">
        <v>319850739</v>
      </c>
      <c r="H968" s="118">
        <v>45589</v>
      </c>
      <c r="I968">
        <v>99.5</v>
      </c>
      <c r="J968">
        <v>99.5</v>
      </c>
      <c r="K968">
        <v>-9045454.5500000007</v>
      </c>
      <c r="L968">
        <v>-9045454.5500000007</v>
      </c>
      <c r="M968">
        <v>0</v>
      </c>
      <c r="N968">
        <v>0</v>
      </c>
      <c r="S968">
        <v>0</v>
      </c>
      <c r="T968" s="118">
        <v>47115</v>
      </c>
    </row>
    <row r="969" spans="1:20" hidden="1">
      <c r="A969" t="s">
        <v>1847</v>
      </c>
      <c r="B969" t="s">
        <v>478</v>
      </c>
      <c r="C969" t="s">
        <v>516</v>
      </c>
      <c r="D969" t="s">
        <v>1903</v>
      </c>
      <c r="E969" t="s">
        <v>1904</v>
      </c>
      <c r="F969">
        <v>-2042488.62</v>
      </c>
      <c r="G969">
        <v>317554483</v>
      </c>
      <c r="H969" s="118">
        <v>45565</v>
      </c>
      <c r="I969">
        <v>99</v>
      </c>
      <c r="J969">
        <v>99</v>
      </c>
      <c r="K969">
        <v>-2022063.73</v>
      </c>
      <c r="L969">
        <v>-2022063.73</v>
      </c>
      <c r="M969">
        <v>0</v>
      </c>
      <c r="N969">
        <v>0</v>
      </c>
      <c r="O969" t="s">
        <v>1145</v>
      </c>
      <c r="S969">
        <v>0</v>
      </c>
      <c r="T969" s="118">
        <v>46295</v>
      </c>
    </row>
    <row r="970" spans="1:20" hidden="1">
      <c r="A970" t="s">
        <v>1847</v>
      </c>
      <c r="B970" t="s">
        <v>478</v>
      </c>
      <c r="C970" t="s">
        <v>516</v>
      </c>
      <c r="D970" t="s">
        <v>1905</v>
      </c>
      <c r="E970" t="s">
        <v>1906</v>
      </c>
      <c r="F970">
        <v>-2615265.9</v>
      </c>
      <c r="G970">
        <v>326064857</v>
      </c>
      <c r="H970" s="118">
        <v>45646</v>
      </c>
      <c r="I970">
        <v>99.125</v>
      </c>
      <c r="J970">
        <v>99.125</v>
      </c>
      <c r="K970">
        <v>-2592382.33</v>
      </c>
      <c r="L970">
        <v>-2592382.3199999998</v>
      </c>
      <c r="M970">
        <v>0.01</v>
      </c>
      <c r="N970">
        <v>0</v>
      </c>
      <c r="O970" t="s">
        <v>1148</v>
      </c>
      <c r="S970">
        <v>0</v>
      </c>
      <c r="T970" s="118">
        <v>46376</v>
      </c>
    </row>
    <row r="971" spans="1:20" hidden="1">
      <c r="A971" t="s">
        <v>1847</v>
      </c>
      <c r="B971" t="s">
        <v>478</v>
      </c>
      <c r="C971" t="s">
        <v>516</v>
      </c>
      <c r="D971" t="s">
        <v>1907</v>
      </c>
      <c r="E971" t="s">
        <v>1908</v>
      </c>
      <c r="F971">
        <v>-1186986.02</v>
      </c>
      <c r="G971">
        <v>310221651</v>
      </c>
      <c r="H971" s="118">
        <v>45485</v>
      </c>
      <c r="I971">
        <v>99</v>
      </c>
      <c r="J971">
        <v>99</v>
      </c>
      <c r="K971">
        <v>-1175116.1599999999</v>
      </c>
      <c r="L971">
        <v>-1175116.1599999999</v>
      </c>
      <c r="M971">
        <v>0</v>
      </c>
      <c r="N971">
        <v>0</v>
      </c>
      <c r="O971" t="s">
        <v>1158</v>
      </c>
      <c r="S971">
        <v>0</v>
      </c>
      <c r="T971" s="118">
        <v>46215</v>
      </c>
    </row>
    <row r="972" spans="1:20" hidden="1">
      <c r="A972" t="s">
        <v>1847</v>
      </c>
      <c r="B972" t="s">
        <v>478</v>
      </c>
      <c r="C972" t="s">
        <v>516</v>
      </c>
      <c r="D972" t="s">
        <v>1909</v>
      </c>
      <c r="E972" t="s">
        <v>1910</v>
      </c>
      <c r="F972">
        <v>-1710549.52</v>
      </c>
      <c r="G972">
        <v>355009150</v>
      </c>
      <c r="H972" s="118">
        <v>45940</v>
      </c>
      <c r="I972">
        <v>99.5</v>
      </c>
      <c r="J972">
        <v>99.5</v>
      </c>
      <c r="K972">
        <v>-1701996.77</v>
      </c>
      <c r="L972">
        <v>-1701996.77</v>
      </c>
      <c r="M972">
        <v>0</v>
      </c>
      <c r="N972">
        <v>0</v>
      </c>
      <c r="O972" t="s">
        <v>1158</v>
      </c>
      <c r="S972">
        <v>0</v>
      </c>
      <c r="T972" s="118">
        <v>46899</v>
      </c>
    </row>
    <row r="973" spans="1:20" hidden="1">
      <c r="A973" t="s">
        <v>1847</v>
      </c>
      <c r="B973" t="s">
        <v>478</v>
      </c>
      <c r="C973" t="s">
        <v>516</v>
      </c>
      <c r="D973" t="s">
        <v>1911</v>
      </c>
      <c r="E973" t="s">
        <v>1912</v>
      </c>
      <c r="F973">
        <v>-2623872.61</v>
      </c>
      <c r="G973">
        <v>349778722</v>
      </c>
      <c r="H973" s="118">
        <v>45880</v>
      </c>
      <c r="I973">
        <v>99.5</v>
      </c>
      <c r="J973">
        <v>99.5</v>
      </c>
      <c r="K973">
        <v>-2610753.25</v>
      </c>
      <c r="L973">
        <v>-2610753.25</v>
      </c>
      <c r="M973">
        <v>0</v>
      </c>
      <c r="N973">
        <v>0</v>
      </c>
      <c r="O973" t="s">
        <v>1163</v>
      </c>
      <c r="S973">
        <v>0</v>
      </c>
      <c r="T973" s="118">
        <v>47513</v>
      </c>
    </row>
    <row r="974" spans="1:20" hidden="1">
      <c r="A974" t="s">
        <v>1847</v>
      </c>
      <c r="B974" t="s">
        <v>478</v>
      </c>
      <c r="C974" t="s">
        <v>516</v>
      </c>
      <c r="D974" t="s">
        <v>1913</v>
      </c>
      <c r="E974" t="s">
        <v>1914</v>
      </c>
      <c r="F974">
        <v>-654272.41</v>
      </c>
      <c r="G974">
        <v>329466417</v>
      </c>
      <c r="H974" s="118">
        <v>45646</v>
      </c>
      <c r="I974">
        <v>99.586600000000004</v>
      </c>
      <c r="J974">
        <v>99.586600000000004</v>
      </c>
      <c r="K974">
        <v>-651567.65</v>
      </c>
      <c r="L974">
        <v>-651567.65</v>
      </c>
      <c r="M974">
        <v>0</v>
      </c>
      <c r="N974">
        <v>0</v>
      </c>
      <c r="O974" t="s">
        <v>1166</v>
      </c>
      <c r="S974">
        <v>0</v>
      </c>
      <c r="T974" s="118">
        <v>46203</v>
      </c>
    </row>
    <row r="975" spans="1:20" hidden="1">
      <c r="A975" t="s">
        <v>1847</v>
      </c>
      <c r="B975" t="s">
        <v>478</v>
      </c>
      <c r="C975" t="s">
        <v>516</v>
      </c>
      <c r="D975" t="s">
        <v>1913</v>
      </c>
      <c r="E975" t="s">
        <v>1914</v>
      </c>
      <c r="F975">
        <v>-1300000</v>
      </c>
      <c r="G975">
        <v>339866112</v>
      </c>
      <c r="H975" s="118">
        <v>45748</v>
      </c>
      <c r="I975">
        <v>99.586600000000004</v>
      </c>
      <c r="J975">
        <v>99.586600000000004</v>
      </c>
      <c r="K975">
        <v>-1294625.8</v>
      </c>
      <c r="L975">
        <v>-1294625.8</v>
      </c>
      <c r="M975">
        <v>0</v>
      </c>
      <c r="N975">
        <v>0</v>
      </c>
      <c r="O975" t="s">
        <v>1166</v>
      </c>
      <c r="S975">
        <v>0</v>
      </c>
      <c r="T975" s="118">
        <v>46203</v>
      </c>
    </row>
    <row r="976" spans="1:20" hidden="1">
      <c r="A976" t="s">
        <v>1847</v>
      </c>
      <c r="B976" t="s">
        <v>478</v>
      </c>
      <c r="C976" t="s">
        <v>516</v>
      </c>
      <c r="D976" t="s">
        <v>1915</v>
      </c>
      <c r="E976" t="s">
        <v>1916</v>
      </c>
      <c r="F976">
        <v>-3806915.97</v>
      </c>
      <c r="G976">
        <v>317051451</v>
      </c>
      <c r="H976" s="118">
        <v>45565</v>
      </c>
      <c r="I976">
        <v>99.125</v>
      </c>
      <c r="J976">
        <v>99.125</v>
      </c>
      <c r="K976">
        <v>-3773605.46</v>
      </c>
      <c r="L976">
        <v>-3773605.46</v>
      </c>
      <c r="M976">
        <v>0</v>
      </c>
      <c r="N976">
        <v>0</v>
      </c>
      <c r="O976" t="s">
        <v>1166</v>
      </c>
      <c r="S976">
        <v>0</v>
      </c>
      <c r="T976" s="118">
        <v>46295</v>
      </c>
    </row>
    <row r="977" spans="1:20" hidden="1">
      <c r="A977" t="s">
        <v>1847</v>
      </c>
      <c r="B977" t="s">
        <v>478</v>
      </c>
      <c r="C977" t="s">
        <v>516</v>
      </c>
      <c r="D977" t="s">
        <v>1917</v>
      </c>
      <c r="E977" t="s">
        <v>1918</v>
      </c>
      <c r="F977">
        <v>-830728.48</v>
      </c>
      <c r="G977">
        <v>302903756</v>
      </c>
      <c r="H977" s="118">
        <v>45411</v>
      </c>
      <c r="I977">
        <v>99.25</v>
      </c>
      <c r="J977">
        <v>99.25</v>
      </c>
      <c r="K977">
        <v>-824498.02</v>
      </c>
      <c r="L977">
        <v>-824498.02</v>
      </c>
      <c r="M977">
        <v>0</v>
      </c>
      <c r="N977">
        <v>0</v>
      </c>
      <c r="O977" t="s">
        <v>1919</v>
      </c>
      <c r="S977">
        <v>0</v>
      </c>
      <c r="T977" s="118">
        <v>46141</v>
      </c>
    </row>
    <row r="978" spans="1:20" hidden="1">
      <c r="A978" t="s">
        <v>1847</v>
      </c>
      <c r="B978" t="s">
        <v>478</v>
      </c>
      <c r="C978" t="s">
        <v>516</v>
      </c>
      <c r="D978" t="s">
        <v>1920</v>
      </c>
      <c r="E978" t="s">
        <v>1921</v>
      </c>
      <c r="F978">
        <v>-3479168.6</v>
      </c>
      <c r="G978">
        <v>337743251</v>
      </c>
      <c r="H978" s="118">
        <v>45768</v>
      </c>
      <c r="I978">
        <v>99.5</v>
      </c>
      <c r="J978">
        <v>99.5</v>
      </c>
      <c r="K978">
        <v>-3461772.76</v>
      </c>
      <c r="L978">
        <v>-3461772.76</v>
      </c>
      <c r="M978">
        <v>0</v>
      </c>
      <c r="N978">
        <v>0</v>
      </c>
      <c r="O978" t="s">
        <v>1173</v>
      </c>
      <c r="S978">
        <v>0</v>
      </c>
      <c r="T978" s="118">
        <v>46498</v>
      </c>
    </row>
    <row r="979" spans="1:20" hidden="1">
      <c r="A979" t="s">
        <v>1847</v>
      </c>
      <c r="B979" t="s">
        <v>478</v>
      </c>
      <c r="C979" t="s">
        <v>516</v>
      </c>
      <c r="D979" t="s">
        <v>1922</v>
      </c>
      <c r="E979" t="s">
        <v>1923</v>
      </c>
      <c r="F979">
        <v>-4250000</v>
      </c>
      <c r="G979">
        <v>354714611</v>
      </c>
      <c r="H979" s="118">
        <v>45936</v>
      </c>
      <c r="I979">
        <v>99</v>
      </c>
      <c r="J979">
        <v>99</v>
      </c>
      <c r="K979">
        <v>-4207500</v>
      </c>
      <c r="L979">
        <v>-4207500</v>
      </c>
      <c r="M979">
        <v>0</v>
      </c>
      <c r="N979">
        <v>0</v>
      </c>
      <c r="O979" t="s">
        <v>1176</v>
      </c>
      <c r="S979">
        <v>0</v>
      </c>
      <c r="T979" s="118">
        <v>46739</v>
      </c>
    </row>
    <row r="980" spans="1:20" hidden="1">
      <c r="A980" t="s">
        <v>1847</v>
      </c>
      <c r="B980" t="s">
        <v>478</v>
      </c>
      <c r="C980" t="s">
        <v>516</v>
      </c>
      <c r="D980" t="s">
        <v>1924</v>
      </c>
      <c r="E980" t="s">
        <v>1925</v>
      </c>
      <c r="F980">
        <v>-4140067.72</v>
      </c>
      <c r="G980">
        <v>354858681</v>
      </c>
      <c r="H980" s="118">
        <v>45944</v>
      </c>
      <c r="I980">
        <v>99.125</v>
      </c>
      <c r="J980">
        <v>99.125</v>
      </c>
      <c r="K980">
        <v>-4103842.13</v>
      </c>
      <c r="L980">
        <v>-4103842.13</v>
      </c>
      <c r="M980">
        <v>0</v>
      </c>
      <c r="N980">
        <v>0</v>
      </c>
      <c r="S980">
        <v>0</v>
      </c>
      <c r="T980" s="118">
        <v>46674</v>
      </c>
    </row>
    <row r="981" spans="1:20" hidden="1">
      <c r="A981" t="s">
        <v>1847</v>
      </c>
      <c r="B981" t="s">
        <v>478</v>
      </c>
      <c r="C981" t="s">
        <v>516</v>
      </c>
      <c r="D981" t="s">
        <v>1926</v>
      </c>
      <c r="E981" t="s">
        <v>1927</v>
      </c>
      <c r="F981">
        <v>-9314464.3399999999</v>
      </c>
      <c r="G981">
        <v>359028868</v>
      </c>
      <c r="H981" s="118">
        <v>45996</v>
      </c>
      <c r="I981">
        <v>99.5</v>
      </c>
      <c r="J981">
        <v>99.5</v>
      </c>
      <c r="K981">
        <v>-9267892.0199999996</v>
      </c>
      <c r="L981">
        <v>-9267892.0199999996</v>
      </c>
      <c r="M981">
        <v>0</v>
      </c>
      <c r="N981">
        <v>0</v>
      </c>
      <c r="S981">
        <v>0</v>
      </c>
      <c r="T981" s="118">
        <v>46705</v>
      </c>
    </row>
    <row r="982" spans="1:20" hidden="1">
      <c r="A982" t="s">
        <v>1847</v>
      </c>
      <c r="B982" t="s">
        <v>478</v>
      </c>
      <c r="C982" t="s">
        <v>516</v>
      </c>
      <c r="D982" t="s">
        <v>1928</v>
      </c>
      <c r="E982" t="s">
        <v>1929</v>
      </c>
      <c r="F982">
        <v>-10226244.59</v>
      </c>
      <c r="G982">
        <v>348767941</v>
      </c>
      <c r="H982" s="118">
        <v>45887</v>
      </c>
      <c r="I982">
        <v>99.125</v>
      </c>
      <c r="J982">
        <v>99.125</v>
      </c>
      <c r="K982">
        <v>-10136764.949999999</v>
      </c>
      <c r="L982">
        <v>-10136764.949999999</v>
      </c>
      <c r="M982">
        <v>0</v>
      </c>
      <c r="N982">
        <v>0</v>
      </c>
      <c r="O982" t="s">
        <v>1145</v>
      </c>
      <c r="S982">
        <v>0</v>
      </c>
      <c r="T982" s="118">
        <v>46617</v>
      </c>
    </row>
    <row r="983" spans="1:20" hidden="1">
      <c r="A983" t="s">
        <v>1847</v>
      </c>
      <c r="B983" t="s">
        <v>478</v>
      </c>
      <c r="C983" t="s">
        <v>516</v>
      </c>
      <c r="D983" t="s">
        <v>1930</v>
      </c>
      <c r="E983" t="s">
        <v>1931</v>
      </c>
      <c r="F983">
        <v>-6067151.8399999999</v>
      </c>
      <c r="G983">
        <v>358197536</v>
      </c>
      <c r="H983" s="118">
        <v>45987</v>
      </c>
      <c r="I983">
        <v>99.25</v>
      </c>
      <c r="J983">
        <v>99.25</v>
      </c>
      <c r="K983">
        <v>-6021648.2000000002</v>
      </c>
      <c r="L983">
        <v>-6021648.2000000002</v>
      </c>
      <c r="M983">
        <v>0</v>
      </c>
      <c r="N983">
        <v>0</v>
      </c>
      <c r="S983">
        <v>0</v>
      </c>
      <c r="T983" s="118">
        <v>46717</v>
      </c>
    </row>
    <row r="984" spans="1:20" hidden="1">
      <c r="A984" t="s">
        <v>1847</v>
      </c>
      <c r="B984" t="s">
        <v>478</v>
      </c>
      <c r="C984" t="s">
        <v>516</v>
      </c>
      <c r="D984" t="s">
        <v>1932</v>
      </c>
      <c r="E984" t="s">
        <v>1933</v>
      </c>
      <c r="F984">
        <v>-4884157.3600000003</v>
      </c>
      <c r="G984">
        <v>363018856</v>
      </c>
      <c r="H984" s="118">
        <v>46024</v>
      </c>
      <c r="I984">
        <v>99.5</v>
      </c>
      <c r="J984">
        <v>99.5</v>
      </c>
      <c r="K984">
        <v>-4859736.57</v>
      </c>
      <c r="L984">
        <v>-4859736.57</v>
      </c>
      <c r="M984">
        <v>0</v>
      </c>
      <c r="N984">
        <v>0</v>
      </c>
      <c r="O984" t="s">
        <v>1187</v>
      </c>
      <c r="S984">
        <v>0</v>
      </c>
      <c r="T984" s="118">
        <v>48215</v>
      </c>
    </row>
    <row r="985" spans="1:20" hidden="1">
      <c r="A985" t="s">
        <v>1847</v>
      </c>
      <c r="B985" t="s">
        <v>478</v>
      </c>
      <c r="C985" t="s">
        <v>516</v>
      </c>
      <c r="D985" t="s">
        <v>1934</v>
      </c>
      <c r="E985" t="s">
        <v>1935</v>
      </c>
      <c r="F985">
        <v>-9172310.4900000002</v>
      </c>
      <c r="G985">
        <v>345883530</v>
      </c>
      <c r="H985" s="118">
        <v>45855</v>
      </c>
      <c r="I985">
        <v>99.375</v>
      </c>
      <c r="J985">
        <v>99.375</v>
      </c>
      <c r="K985">
        <v>-9114983.5500000007</v>
      </c>
      <c r="L985">
        <v>-9114983.5500000007</v>
      </c>
      <c r="M985">
        <v>0</v>
      </c>
      <c r="N985">
        <v>0</v>
      </c>
      <c r="S985">
        <v>0</v>
      </c>
      <c r="T985" s="118">
        <v>46584</v>
      </c>
    </row>
    <row r="986" spans="1:20" hidden="1">
      <c r="A986" t="s">
        <v>1847</v>
      </c>
      <c r="B986" t="s">
        <v>478</v>
      </c>
      <c r="C986" t="s">
        <v>516</v>
      </c>
      <c r="D986" t="s">
        <v>1936</v>
      </c>
      <c r="E986" t="s">
        <v>1937</v>
      </c>
      <c r="F986">
        <v>-1312511.3500000001</v>
      </c>
      <c r="G986">
        <v>363065767</v>
      </c>
      <c r="H986" s="118">
        <v>46034</v>
      </c>
      <c r="I986">
        <v>99.375</v>
      </c>
      <c r="J986">
        <v>99.375</v>
      </c>
      <c r="K986">
        <v>-1304308.1499999999</v>
      </c>
      <c r="L986">
        <v>-1304308.1499999999</v>
      </c>
      <c r="M986">
        <v>0</v>
      </c>
      <c r="N986">
        <v>0</v>
      </c>
      <c r="S986">
        <v>0</v>
      </c>
      <c r="T986" s="118">
        <v>47860</v>
      </c>
    </row>
    <row r="987" spans="1:20" hidden="1">
      <c r="A987" t="s">
        <v>1847</v>
      </c>
      <c r="B987" t="s">
        <v>478</v>
      </c>
      <c r="C987" t="s">
        <v>516</v>
      </c>
      <c r="D987" t="s">
        <v>1938</v>
      </c>
      <c r="E987" t="s">
        <v>1939</v>
      </c>
      <c r="F987">
        <v>-1482129.03</v>
      </c>
      <c r="G987">
        <v>363242781</v>
      </c>
      <c r="H987" s="118">
        <v>46038</v>
      </c>
      <c r="I987">
        <v>98</v>
      </c>
      <c r="J987">
        <v>98</v>
      </c>
      <c r="K987">
        <v>-1452486.45</v>
      </c>
      <c r="L987">
        <v>-1452486.45</v>
      </c>
      <c r="M987">
        <v>0</v>
      </c>
      <c r="N987">
        <v>0</v>
      </c>
      <c r="O987" t="s">
        <v>1194</v>
      </c>
      <c r="S987">
        <v>0</v>
      </c>
      <c r="T987" s="118">
        <v>47864</v>
      </c>
    </row>
    <row r="988" spans="1:20" hidden="1">
      <c r="A988" t="s">
        <v>1847</v>
      </c>
      <c r="B988" t="s">
        <v>478</v>
      </c>
      <c r="C988" t="s">
        <v>516</v>
      </c>
      <c r="D988" t="s">
        <v>1940</v>
      </c>
      <c r="E988" t="s">
        <v>1941</v>
      </c>
      <c r="F988">
        <v>-1379291.46</v>
      </c>
      <c r="G988">
        <v>348032052</v>
      </c>
      <c r="H988" s="118">
        <v>45881</v>
      </c>
      <c r="I988">
        <v>99</v>
      </c>
      <c r="J988">
        <v>99</v>
      </c>
      <c r="K988">
        <v>-1365498.54</v>
      </c>
      <c r="L988">
        <v>-1365498.55</v>
      </c>
      <c r="M988">
        <v>-0.01</v>
      </c>
      <c r="N988">
        <v>0</v>
      </c>
      <c r="S988">
        <v>0</v>
      </c>
      <c r="T988" s="118">
        <v>46598</v>
      </c>
    </row>
    <row r="989" spans="1:20" hidden="1">
      <c r="A989" t="s">
        <v>1847</v>
      </c>
      <c r="B989" t="s">
        <v>478</v>
      </c>
      <c r="C989" t="s">
        <v>516</v>
      </c>
      <c r="D989" t="s">
        <v>1942</v>
      </c>
      <c r="E989" t="s">
        <v>1943</v>
      </c>
      <c r="F989">
        <v>-2590766.61</v>
      </c>
      <c r="G989">
        <v>346287912</v>
      </c>
      <c r="H989" s="118">
        <v>45869</v>
      </c>
      <c r="I989">
        <v>99.5</v>
      </c>
      <c r="J989">
        <v>99.5</v>
      </c>
      <c r="K989">
        <v>-2577812.7799999998</v>
      </c>
      <c r="L989">
        <v>-2577812.7799999998</v>
      </c>
      <c r="M989">
        <v>0</v>
      </c>
      <c r="N989">
        <v>0</v>
      </c>
      <c r="S989">
        <v>0</v>
      </c>
      <c r="T989" s="118">
        <v>46599</v>
      </c>
    </row>
    <row r="990" spans="1:20" hidden="1">
      <c r="A990" t="s">
        <v>1847</v>
      </c>
      <c r="B990" t="s">
        <v>478</v>
      </c>
      <c r="C990" t="s">
        <v>516</v>
      </c>
      <c r="D990" t="s">
        <v>1944</v>
      </c>
      <c r="E990" t="s">
        <v>1945</v>
      </c>
      <c r="F990">
        <v>-2262737.27</v>
      </c>
      <c r="G990">
        <v>349023413</v>
      </c>
      <c r="H990" s="118">
        <v>45898</v>
      </c>
      <c r="I990">
        <v>99.5</v>
      </c>
      <c r="J990">
        <v>99.5</v>
      </c>
      <c r="K990">
        <v>-2251423.58</v>
      </c>
      <c r="L990">
        <v>-2251423.58</v>
      </c>
      <c r="M990">
        <v>0</v>
      </c>
      <c r="N990">
        <v>0</v>
      </c>
      <c r="S990">
        <v>0</v>
      </c>
      <c r="T990" s="118">
        <v>48089</v>
      </c>
    </row>
    <row r="991" spans="1:20" hidden="1">
      <c r="A991" t="s">
        <v>1847</v>
      </c>
      <c r="B991" t="s">
        <v>478</v>
      </c>
      <c r="C991" t="s">
        <v>516</v>
      </c>
      <c r="D991" t="s">
        <v>1946</v>
      </c>
      <c r="E991" t="s">
        <v>1947</v>
      </c>
      <c r="F991">
        <v>-1228240.74</v>
      </c>
      <c r="G991">
        <v>351933865</v>
      </c>
      <c r="H991" s="118">
        <v>45929</v>
      </c>
      <c r="I991">
        <v>99.375</v>
      </c>
      <c r="J991">
        <v>99.375</v>
      </c>
      <c r="K991">
        <v>-1220564.24</v>
      </c>
      <c r="L991">
        <v>-1220564.24</v>
      </c>
      <c r="M991">
        <v>0</v>
      </c>
      <c r="N991">
        <v>0</v>
      </c>
      <c r="S991">
        <v>0</v>
      </c>
      <c r="T991" s="118">
        <v>48120</v>
      </c>
    </row>
    <row r="992" spans="1:20" hidden="1">
      <c r="A992" t="s">
        <v>1847</v>
      </c>
      <c r="B992" t="s">
        <v>478</v>
      </c>
      <c r="C992" t="s">
        <v>516</v>
      </c>
      <c r="D992" t="s">
        <v>1948</v>
      </c>
      <c r="E992" t="s">
        <v>1949</v>
      </c>
      <c r="F992">
        <v>-24765695.920000002</v>
      </c>
      <c r="G992">
        <v>354620999</v>
      </c>
      <c r="H992" s="118">
        <v>45933</v>
      </c>
      <c r="I992">
        <v>99.375</v>
      </c>
      <c r="J992">
        <v>99.375</v>
      </c>
      <c r="K992">
        <v>-24610910.329999998</v>
      </c>
      <c r="L992">
        <v>-24610910.32</v>
      </c>
      <c r="M992">
        <v>0.01</v>
      </c>
      <c r="N992">
        <v>0</v>
      </c>
      <c r="O992" t="s">
        <v>1205</v>
      </c>
      <c r="S992">
        <v>0</v>
      </c>
      <c r="T992" s="118">
        <v>46663</v>
      </c>
    </row>
    <row r="993" spans="1:20" hidden="1">
      <c r="A993" t="s">
        <v>1847</v>
      </c>
      <c r="B993" t="s">
        <v>478</v>
      </c>
      <c r="C993" t="s">
        <v>516</v>
      </c>
      <c r="D993" t="s">
        <v>1950</v>
      </c>
      <c r="E993" t="s">
        <v>1951</v>
      </c>
      <c r="F993">
        <v>-6124473.2999999998</v>
      </c>
      <c r="G993">
        <v>297512441</v>
      </c>
      <c r="H993" s="118">
        <v>45300</v>
      </c>
      <c r="I993">
        <v>99</v>
      </c>
      <c r="J993">
        <v>99</v>
      </c>
      <c r="K993">
        <v>-6063228.5700000003</v>
      </c>
      <c r="L993">
        <v>-6063228.5700000003</v>
      </c>
      <c r="M993">
        <v>0</v>
      </c>
      <c r="N993">
        <v>0</v>
      </c>
      <c r="O993" t="s">
        <v>1208</v>
      </c>
      <c r="S993">
        <v>0</v>
      </c>
      <c r="T993" s="118">
        <v>47499</v>
      </c>
    </row>
    <row r="994" spans="1:20" hidden="1">
      <c r="A994" t="s">
        <v>1847</v>
      </c>
      <c r="B994" t="s">
        <v>478</v>
      </c>
      <c r="C994" t="s">
        <v>516</v>
      </c>
      <c r="D994" t="s">
        <v>1952</v>
      </c>
      <c r="E994" t="s">
        <v>1953</v>
      </c>
      <c r="F994">
        <v>-7513607.5899999999</v>
      </c>
      <c r="G994">
        <v>321650124</v>
      </c>
      <c r="H994" s="118">
        <v>45616</v>
      </c>
      <c r="I994">
        <v>99.25</v>
      </c>
      <c r="J994">
        <v>99.25</v>
      </c>
      <c r="K994">
        <v>-7457255.54</v>
      </c>
      <c r="L994">
        <v>-7457255.5300000003</v>
      </c>
      <c r="M994">
        <v>0.01</v>
      </c>
      <c r="N994">
        <v>0</v>
      </c>
      <c r="O994" t="s">
        <v>1211</v>
      </c>
      <c r="S994">
        <v>0</v>
      </c>
      <c r="T994" s="118">
        <v>46346</v>
      </c>
    </row>
    <row r="995" spans="1:20" hidden="1">
      <c r="A995" t="s">
        <v>1847</v>
      </c>
      <c r="B995" t="s">
        <v>478</v>
      </c>
      <c r="C995" t="s">
        <v>516</v>
      </c>
      <c r="D995" t="s">
        <v>1954</v>
      </c>
      <c r="E995" t="s">
        <v>1955</v>
      </c>
      <c r="F995">
        <v>-4686000</v>
      </c>
      <c r="G995">
        <v>334310311</v>
      </c>
      <c r="H995" s="118">
        <v>45737</v>
      </c>
      <c r="I995">
        <v>99.5</v>
      </c>
      <c r="J995">
        <v>99.5</v>
      </c>
      <c r="K995">
        <v>-4662570</v>
      </c>
      <c r="L995">
        <v>-4662570</v>
      </c>
      <c r="M995">
        <v>0</v>
      </c>
      <c r="N995">
        <v>0</v>
      </c>
      <c r="S995">
        <v>0</v>
      </c>
      <c r="T995" s="118">
        <v>46467</v>
      </c>
    </row>
    <row r="996" spans="1:20" hidden="1">
      <c r="A996" t="s">
        <v>1847</v>
      </c>
      <c r="B996" t="s">
        <v>478</v>
      </c>
      <c r="C996" t="s">
        <v>516</v>
      </c>
      <c r="D996" t="s">
        <v>1956</v>
      </c>
      <c r="E996" t="s">
        <v>1957</v>
      </c>
      <c r="F996">
        <v>-2820000</v>
      </c>
      <c r="G996">
        <v>342807283</v>
      </c>
      <c r="H996" s="118">
        <v>45821</v>
      </c>
      <c r="I996">
        <v>99</v>
      </c>
      <c r="J996">
        <v>99</v>
      </c>
      <c r="K996">
        <v>-2791800</v>
      </c>
      <c r="L996">
        <v>-2791800</v>
      </c>
      <c r="M996">
        <v>0</v>
      </c>
      <c r="N996">
        <v>0</v>
      </c>
      <c r="O996" t="s">
        <v>1081</v>
      </c>
      <c r="S996">
        <v>0</v>
      </c>
      <c r="T996" s="118">
        <v>46551</v>
      </c>
    </row>
    <row r="997" spans="1:20" hidden="1">
      <c r="A997" t="s">
        <v>1847</v>
      </c>
      <c r="B997" t="s">
        <v>478</v>
      </c>
      <c r="C997" t="s">
        <v>539</v>
      </c>
      <c r="D997" t="s">
        <v>1958</v>
      </c>
      <c r="E997" t="s">
        <v>1959</v>
      </c>
      <c r="F997">
        <v>-438.29</v>
      </c>
      <c r="G997">
        <v>297363944</v>
      </c>
      <c r="H997" s="118">
        <v>44434</v>
      </c>
      <c r="I997">
        <v>35.9878</v>
      </c>
      <c r="J997">
        <v>138.36580000000001</v>
      </c>
      <c r="K997">
        <v>-15773.1</v>
      </c>
      <c r="L997">
        <v>-60644.33</v>
      </c>
      <c r="M997">
        <v>-44871.23</v>
      </c>
      <c r="N997">
        <v>0</v>
      </c>
    </row>
    <row r="998" spans="1:20" hidden="1">
      <c r="A998" t="s">
        <v>1847</v>
      </c>
      <c r="B998" t="s">
        <v>478</v>
      </c>
      <c r="C998" t="s">
        <v>539</v>
      </c>
      <c r="D998" t="s">
        <v>1958</v>
      </c>
      <c r="E998" t="s">
        <v>1959</v>
      </c>
      <c r="F998">
        <v>-2027.71</v>
      </c>
      <c r="G998">
        <v>297363978</v>
      </c>
      <c r="H998" s="118">
        <v>44572</v>
      </c>
      <c r="I998">
        <v>35.987900000000003</v>
      </c>
      <c r="J998">
        <v>138.36580000000001</v>
      </c>
      <c r="K998">
        <v>-72973</v>
      </c>
      <c r="L998">
        <v>-280565.64</v>
      </c>
      <c r="M998">
        <v>-207592.64</v>
      </c>
      <c r="N998">
        <v>0</v>
      </c>
    </row>
    <row r="999" spans="1:20" hidden="1">
      <c r="A999" t="s">
        <v>1847</v>
      </c>
      <c r="B999" t="s">
        <v>478</v>
      </c>
      <c r="C999" t="s">
        <v>539</v>
      </c>
      <c r="D999" t="s">
        <v>1960</v>
      </c>
      <c r="E999" t="s">
        <v>1961</v>
      </c>
      <c r="F999">
        <v>-1948.36</v>
      </c>
      <c r="G999">
        <v>297363882</v>
      </c>
      <c r="H999" s="118">
        <v>43409</v>
      </c>
      <c r="I999">
        <v>100</v>
      </c>
      <c r="J999">
        <v>100</v>
      </c>
      <c r="K999">
        <v>-194836</v>
      </c>
      <c r="L999">
        <v>-194836</v>
      </c>
      <c r="M999">
        <v>0</v>
      </c>
      <c r="N999">
        <v>0</v>
      </c>
    </row>
    <row r="1000" spans="1:20" hidden="1">
      <c r="A1000" t="s">
        <v>1847</v>
      </c>
      <c r="B1000" t="s">
        <v>478</v>
      </c>
      <c r="C1000" t="s">
        <v>539</v>
      </c>
      <c r="D1000" t="s">
        <v>1962</v>
      </c>
      <c r="E1000" t="s">
        <v>1963</v>
      </c>
      <c r="F1000">
        <v>-227394.84</v>
      </c>
      <c r="G1000">
        <v>297363918</v>
      </c>
      <c r="H1000" s="118">
        <v>44181</v>
      </c>
      <c r="I1000">
        <v>1</v>
      </c>
      <c r="J1000">
        <v>2.1276999999999999</v>
      </c>
      <c r="K1000">
        <v>-227394.84</v>
      </c>
      <c r="L1000">
        <v>-483820.29</v>
      </c>
      <c r="M1000">
        <v>-256425.45</v>
      </c>
      <c r="N1000">
        <v>0</v>
      </c>
    </row>
    <row r="1001" spans="1:20" hidden="1">
      <c r="A1001" t="s">
        <v>1847</v>
      </c>
      <c r="B1001" t="s">
        <v>478</v>
      </c>
      <c r="C1001" t="s">
        <v>539</v>
      </c>
      <c r="D1001" t="s">
        <v>1964</v>
      </c>
      <c r="E1001" t="s">
        <v>1965</v>
      </c>
      <c r="F1001">
        <v>-5102.2299999999996</v>
      </c>
      <c r="G1001">
        <v>297364010</v>
      </c>
      <c r="H1001" s="118">
        <v>44770</v>
      </c>
      <c r="I1001">
        <v>99.999899999999997</v>
      </c>
      <c r="J1001">
        <v>133.53360000000001</v>
      </c>
      <c r="K1001">
        <v>-510222.64</v>
      </c>
      <c r="L1001">
        <v>-681318.96</v>
      </c>
      <c r="M1001">
        <v>-171096.32000000001</v>
      </c>
      <c r="N1001">
        <v>0</v>
      </c>
    </row>
    <row r="1002" spans="1:20" hidden="1">
      <c r="A1002" t="s">
        <v>1847</v>
      </c>
      <c r="B1002" t="s">
        <v>478</v>
      </c>
      <c r="C1002" t="s">
        <v>539</v>
      </c>
      <c r="D1002" t="s">
        <v>1966</v>
      </c>
      <c r="E1002" t="s">
        <v>1967</v>
      </c>
      <c r="F1002">
        <v>-343807.47</v>
      </c>
      <c r="G1002">
        <v>297363951</v>
      </c>
      <c r="H1002" s="118">
        <v>44496</v>
      </c>
      <c r="I1002">
        <v>1</v>
      </c>
      <c r="J1002">
        <v>1</v>
      </c>
      <c r="K1002">
        <v>-343807.47</v>
      </c>
      <c r="L1002">
        <v>-343807.47</v>
      </c>
      <c r="M1002">
        <v>0</v>
      </c>
      <c r="N1002">
        <v>0</v>
      </c>
    </row>
    <row r="1003" spans="1:20" hidden="1">
      <c r="A1003" t="s">
        <v>1847</v>
      </c>
      <c r="B1003" t="s">
        <v>478</v>
      </c>
      <c r="C1003" t="s">
        <v>539</v>
      </c>
      <c r="D1003" t="s">
        <v>1968</v>
      </c>
      <c r="E1003" t="s">
        <v>1969</v>
      </c>
      <c r="F1003">
        <v>-179.89099999999999</v>
      </c>
      <c r="G1003">
        <v>297364000</v>
      </c>
      <c r="H1003" s="118">
        <v>44739</v>
      </c>
      <c r="I1003">
        <v>667.6499</v>
      </c>
      <c r="J1003">
        <v>1411.5187000000001</v>
      </c>
      <c r="K1003">
        <v>-120104.2</v>
      </c>
      <c r="L1003">
        <v>-253919.51</v>
      </c>
      <c r="M1003">
        <v>-133815.31</v>
      </c>
      <c r="N1003">
        <v>0</v>
      </c>
    </row>
    <row r="1004" spans="1:20" hidden="1">
      <c r="A1004" t="s">
        <v>1847</v>
      </c>
      <c r="B1004" t="s">
        <v>478</v>
      </c>
      <c r="C1004" t="s">
        <v>539</v>
      </c>
      <c r="D1004" t="s">
        <v>1968</v>
      </c>
      <c r="E1004" t="s">
        <v>1969</v>
      </c>
      <c r="F1004">
        <v>-65.858999999999995</v>
      </c>
      <c r="G1004">
        <v>297364047</v>
      </c>
      <c r="H1004" s="118">
        <v>44834</v>
      </c>
      <c r="I1004">
        <v>999.99609999999996</v>
      </c>
      <c r="J1004">
        <v>1411.5187000000001</v>
      </c>
      <c r="K1004">
        <v>-65858.740000000005</v>
      </c>
      <c r="L1004">
        <v>-92961.21</v>
      </c>
      <c r="M1004">
        <v>-27102.47</v>
      </c>
      <c r="N1004">
        <v>0</v>
      </c>
    </row>
    <row r="1005" spans="1:20" hidden="1">
      <c r="A1005" t="s">
        <v>1847</v>
      </c>
      <c r="B1005" t="s">
        <v>478</v>
      </c>
      <c r="C1005" t="s">
        <v>539</v>
      </c>
      <c r="D1005" t="s">
        <v>1970</v>
      </c>
      <c r="E1005" t="s">
        <v>1971</v>
      </c>
      <c r="F1005">
        <v>-189273.89</v>
      </c>
      <c r="G1005">
        <v>318706617</v>
      </c>
      <c r="H1005" s="118">
        <v>45574</v>
      </c>
      <c r="I1005">
        <v>0.245</v>
      </c>
      <c r="J1005">
        <v>0.245</v>
      </c>
      <c r="K1005">
        <v>-46372.1</v>
      </c>
      <c r="L1005">
        <v>-46372.1</v>
      </c>
      <c r="M1005">
        <v>0</v>
      </c>
      <c r="N1005">
        <v>0</v>
      </c>
    </row>
    <row r="1006" spans="1:20" hidden="1">
      <c r="A1006" t="s">
        <v>1847</v>
      </c>
      <c r="B1006" t="s">
        <v>478</v>
      </c>
      <c r="C1006" t="s">
        <v>539</v>
      </c>
      <c r="D1006" t="s">
        <v>1972</v>
      </c>
      <c r="E1006" t="s">
        <v>1973</v>
      </c>
      <c r="F1006">
        <v>-821.66600000000005</v>
      </c>
      <c r="G1006">
        <v>297363906</v>
      </c>
      <c r="H1006" s="118">
        <v>43952</v>
      </c>
      <c r="I1006">
        <v>100</v>
      </c>
      <c r="J1006">
        <v>138.44049999999999</v>
      </c>
      <c r="K1006">
        <v>-82166.63</v>
      </c>
      <c r="L1006">
        <v>-113751.88</v>
      </c>
      <c r="M1006">
        <v>-31585.25</v>
      </c>
      <c r="N1006">
        <v>0</v>
      </c>
    </row>
    <row r="1007" spans="1:20" hidden="1">
      <c r="A1007" t="s">
        <v>1847</v>
      </c>
      <c r="B1007" t="s">
        <v>478</v>
      </c>
      <c r="C1007" t="s">
        <v>539</v>
      </c>
      <c r="D1007" t="s">
        <v>1972</v>
      </c>
      <c r="E1007" t="s">
        <v>1973</v>
      </c>
      <c r="F1007">
        <v>-133.333</v>
      </c>
      <c r="G1007">
        <v>297363910</v>
      </c>
      <c r="H1007" s="118">
        <v>44047</v>
      </c>
      <c r="I1007">
        <v>100.0003</v>
      </c>
      <c r="J1007">
        <v>138.44049999999999</v>
      </c>
      <c r="K1007">
        <v>-13333.34</v>
      </c>
      <c r="L1007">
        <v>-18458.689999999999</v>
      </c>
      <c r="M1007">
        <v>-5125.3500000000004</v>
      </c>
      <c r="N1007">
        <v>0</v>
      </c>
    </row>
    <row r="1008" spans="1:20" hidden="1">
      <c r="A1008" t="s">
        <v>1847</v>
      </c>
      <c r="B1008" t="s">
        <v>478</v>
      </c>
      <c r="C1008" t="s">
        <v>539</v>
      </c>
      <c r="D1008" t="s">
        <v>1974</v>
      </c>
      <c r="E1008" t="s">
        <v>1975</v>
      </c>
      <c r="F1008">
        <v>-47158.021999999997</v>
      </c>
      <c r="G1008">
        <v>319967697</v>
      </c>
      <c r="H1008" s="118">
        <v>45596</v>
      </c>
      <c r="I1008">
        <v>25.951799999999999</v>
      </c>
      <c r="J1008">
        <v>30.6126</v>
      </c>
      <c r="K1008">
        <v>-1223837.01</v>
      </c>
      <c r="L1008">
        <v>-1443629.66</v>
      </c>
      <c r="M1008">
        <v>-219792.65</v>
      </c>
      <c r="N1008">
        <v>0</v>
      </c>
    </row>
    <row r="1009" spans="1:20" hidden="1">
      <c r="A1009" t="s">
        <v>1847</v>
      </c>
      <c r="B1009" t="s">
        <v>478</v>
      </c>
      <c r="C1009" t="s">
        <v>539</v>
      </c>
      <c r="D1009" t="s">
        <v>1974</v>
      </c>
      <c r="E1009" t="s">
        <v>1975</v>
      </c>
      <c r="F1009">
        <v>-799.28899999999999</v>
      </c>
      <c r="G1009">
        <v>325412344</v>
      </c>
      <c r="H1009" s="118">
        <v>45617</v>
      </c>
      <c r="I1009">
        <v>25.951799999999999</v>
      </c>
      <c r="J1009">
        <v>30.6126</v>
      </c>
      <c r="K1009">
        <v>-20743</v>
      </c>
      <c r="L1009">
        <v>-24468.31</v>
      </c>
      <c r="M1009">
        <v>-3725.31</v>
      </c>
      <c r="N1009">
        <v>0</v>
      </c>
    </row>
    <row r="1010" spans="1:20" hidden="1">
      <c r="A1010" t="s">
        <v>1847</v>
      </c>
      <c r="B1010" t="s">
        <v>478</v>
      </c>
      <c r="C1010" t="s">
        <v>539</v>
      </c>
      <c r="D1010" t="s">
        <v>1976</v>
      </c>
      <c r="E1010" t="s">
        <v>1977</v>
      </c>
      <c r="F1010">
        <v>-11312</v>
      </c>
      <c r="G1010">
        <v>313180202</v>
      </c>
      <c r="H1010" s="118">
        <v>45520</v>
      </c>
      <c r="I1010">
        <v>100</v>
      </c>
      <c r="J1010">
        <v>274.24</v>
      </c>
      <c r="K1010">
        <v>-1131200</v>
      </c>
      <c r="L1010">
        <v>-3102202.88</v>
      </c>
      <c r="M1010">
        <v>-1971002.88</v>
      </c>
      <c r="N1010">
        <v>0</v>
      </c>
    </row>
    <row r="1011" spans="1:20" hidden="1">
      <c r="A1011" t="s">
        <v>1847</v>
      </c>
      <c r="B1011" t="s">
        <v>478</v>
      </c>
      <c r="C1011" t="s">
        <v>539</v>
      </c>
      <c r="D1011" t="s">
        <v>1976</v>
      </c>
      <c r="E1011" t="s">
        <v>1977</v>
      </c>
      <c r="F1011">
        <v>-627.91999999999996</v>
      </c>
      <c r="G1011">
        <v>319363601</v>
      </c>
      <c r="H1011" s="118">
        <v>45581</v>
      </c>
      <c r="I1011">
        <v>100</v>
      </c>
      <c r="J1011">
        <v>274.24</v>
      </c>
      <c r="K1011">
        <v>-62792</v>
      </c>
      <c r="L1011">
        <v>-172200.78</v>
      </c>
      <c r="M1011">
        <v>-109408.78</v>
      </c>
      <c r="N1011">
        <v>0</v>
      </c>
    </row>
    <row r="1012" spans="1:20" hidden="1">
      <c r="A1012" t="s">
        <v>1847</v>
      </c>
      <c r="B1012" t="s">
        <v>478</v>
      </c>
      <c r="C1012" t="s">
        <v>539</v>
      </c>
      <c r="D1012" t="s">
        <v>1978</v>
      </c>
      <c r="E1012" t="s">
        <v>1979</v>
      </c>
      <c r="F1012">
        <v>-42790.89</v>
      </c>
      <c r="G1012">
        <v>297363962</v>
      </c>
      <c r="H1012" s="118">
        <v>44543</v>
      </c>
      <c r="I1012">
        <v>1</v>
      </c>
      <c r="J1012">
        <v>1</v>
      </c>
      <c r="K1012">
        <v>-42790.89</v>
      </c>
      <c r="L1012">
        <v>-42790.89</v>
      </c>
      <c r="M1012">
        <v>0</v>
      </c>
      <c r="N1012">
        <v>0</v>
      </c>
    </row>
    <row r="1013" spans="1:20" hidden="1">
      <c r="A1013" t="s">
        <v>1847</v>
      </c>
      <c r="B1013" t="s">
        <v>478</v>
      </c>
      <c r="C1013" t="s">
        <v>539</v>
      </c>
      <c r="D1013" t="s">
        <v>1980</v>
      </c>
      <c r="E1013" t="s">
        <v>1981</v>
      </c>
      <c r="F1013">
        <v>-298717.13</v>
      </c>
      <c r="G1013">
        <v>297363966</v>
      </c>
      <c r="H1013" s="118">
        <v>44550</v>
      </c>
      <c r="I1013">
        <v>1</v>
      </c>
      <c r="J1013">
        <v>1</v>
      </c>
      <c r="K1013">
        <v>-298717.13</v>
      </c>
      <c r="L1013">
        <v>-298717.13</v>
      </c>
      <c r="M1013">
        <v>0</v>
      </c>
      <c r="N1013">
        <v>0</v>
      </c>
    </row>
    <row r="1014" spans="1:20" hidden="1">
      <c r="A1014" t="s">
        <v>1847</v>
      </c>
      <c r="B1014" t="s">
        <v>478</v>
      </c>
      <c r="C1014" t="s">
        <v>1741</v>
      </c>
      <c r="D1014" t="s">
        <v>1982</v>
      </c>
      <c r="E1014" t="s">
        <v>1983</v>
      </c>
      <c r="F1014">
        <v>-5686.41</v>
      </c>
      <c r="G1014">
        <v>312858805</v>
      </c>
      <c r="H1014" s="118">
        <v>45506</v>
      </c>
      <c r="I1014">
        <v>100</v>
      </c>
      <c r="J1014">
        <v>100</v>
      </c>
      <c r="K1014">
        <v>-5686.41</v>
      </c>
      <c r="L1014">
        <v>-5686.41</v>
      </c>
      <c r="M1014">
        <v>0</v>
      </c>
      <c r="N1014">
        <v>0</v>
      </c>
      <c r="O1014" t="s">
        <v>1744</v>
      </c>
      <c r="S1014">
        <v>0</v>
      </c>
      <c r="T1014" s="118">
        <v>46820</v>
      </c>
    </row>
    <row r="1015" spans="1:20" hidden="1">
      <c r="A1015" t="s">
        <v>1847</v>
      </c>
      <c r="B1015" t="s">
        <v>478</v>
      </c>
      <c r="C1015" t="s">
        <v>1984</v>
      </c>
      <c r="D1015" t="s">
        <v>46</v>
      </c>
      <c r="E1015" t="s">
        <v>1985</v>
      </c>
      <c r="F1015">
        <v>-75000000</v>
      </c>
      <c r="G1015">
        <v>365236343</v>
      </c>
      <c r="H1015" s="118">
        <v>46048</v>
      </c>
      <c r="I1015">
        <v>100</v>
      </c>
      <c r="J1015">
        <v>100</v>
      </c>
      <c r="K1015">
        <v>-75000000</v>
      </c>
      <c r="L1015">
        <v>-75000000</v>
      </c>
      <c r="M1015">
        <v>0</v>
      </c>
      <c r="N1015">
        <v>0</v>
      </c>
      <c r="O1015" t="s">
        <v>1986</v>
      </c>
      <c r="Q1015" t="s">
        <v>170</v>
      </c>
      <c r="R1015">
        <v>-14583.33</v>
      </c>
      <c r="S1015">
        <v>7</v>
      </c>
      <c r="T1015" s="118">
        <v>47150</v>
      </c>
    </row>
    <row r="1016" spans="1:20" hidden="1">
      <c r="A1016" t="s">
        <v>1847</v>
      </c>
      <c r="B1016" t="s">
        <v>478</v>
      </c>
      <c r="C1016" t="s">
        <v>1984</v>
      </c>
      <c r="D1016" t="s">
        <v>43</v>
      </c>
      <c r="E1016" t="s">
        <v>1987</v>
      </c>
      <c r="F1016">
        <v>-165000000</v>
      </c>
      <c r="G1016">
        <v>297363948</v>
      </c>
      <c r="H1016" s="118">
        <v>44490</v>
      </c>
      <c r="I1016">
        <v>100</v>
      </c>
      <c r="J1016">
        <v>100</v>
      </c>
      <c r="K1016">
        <v>-165000000</v>
      </c>
      <c r="L1016">
        <v>-165000000</v>
      </c>
      <c r="M1016">
        <v>0</v>
      </c>
      <c r="N1016">
        <v>0</v>
      </c>
      <c r="O1016" t="s">
        <v>1988</v>
      </c>
      <c r="Q1016" t="s">
        <v>170</v>
      </c>
      <c r="R1016">
        <v>-1650000</v>
      </c>
      <c r="S1016">
        <v>4</v>
      </c>
      <c r="T1016" s="118">
        <v>46327</v>
      </c>
    </row>
    <row r="1017" spans="1:20" hidden="1">
      <c r="A1017" t="s">
        <v>1847</v>
      </c>
      <c r="B1017" t="s">
        <v>478</v>
      </c>
      <c r="C1017" t="s">
        <v>1984</v>
      </c>
      <c r="D1017" t="s">
        <v>40</v>
      </c>
      <c r="E1017" t="s">
        <v>1989</v>
      </c>
      <c r="F1017">
        <v>-150000000</v>
      </c>
      <c r="G1017">
        <v>297363927</v>
      </c>
      <c r="H1017" s="118">
        <v>44300</v>
      </c>
      <c r="I1017">
        <v>100</v>
      </c>
      <c r="J1017">
        <v>100</v>
      </c>
      <c r="K1017">
        <v>-150000000</v>
      </c>
      <c r="L1017">
        <v>-150000000</v>
      </c>
      <c r="M1017">
        <v>0</v>
      </c>
      <c r="N1017">
        <v>0</v>
      </c>
      <c r="O1017" t="s">
        <v>1990</v>
      </c>
      <c r="Q1017" t="s">
        <v>170</v>
      </c>
      <c r="R1017">
        <v>-1687500</v>
      </c>
      <c r="S1017">
        <v>4.5</v>
      </c>
      <c r="T1017" s="118">
        <v>46143</v>
      </c>
    </row>
    <row r="1018" spans="1:20" hidden="1"/>
    <row r="1019" spans="1:20" hidden="1"/>
    <row r="1020" spans="1:20" hidden="1"/>
    <row r="1021" spans="1:20" hidden="1"/>
    <row r="1022" spans="1:20" hidden="1"/>
    <row r="1023" spans="1:20" hidden="1"/>
    <row r="1024" spans="1:20" hidden="1"/>
    <row r="1025" hidden="1"/>
    <row r="1026" hidden="1"/>
    <row r="1027" hidden="1"/>
    <row r="1028" hidden="1"/>
    <row r="1029" hidden="1"/>
    <row r="1030" hidden="1"/>
    <row r="1031" hidden="1"/>
    <row r="1032" hidden="1"/>
    <row r="1033" hidden="1"/>
    <row r="1034" hidden="1"/>
    <row r="1035" hidden="1"/>
    <row r="1036" hidden="1"/>
    <row r="1037" hidden="1"/>
    <row r="1038" hidden="1"/>
    <row r="1039" hidden="1"/>
    <row r="1040" hidden="1"/>
  </sheetData>
  <autoFilter ref="A1:U1040" xr:uid="{00000000-0001-0000-0400-000000000000}">
    <filterColumn colId="4">
      <filters>
        <filter val="Meadowlark Acquirer, LLC - Funded DDTL I"/>
        <filter val="Meadowlark Acquirer, LLC - Revolver"/>
        <filter val="Meadowlark Title, LLC (Common Equity)"/>
      </filters>
    </filterColumn>
  </autoFilter>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2E526-22DF-4A37-86A5-0A137EF715C8}">
  <dimension ref="A1:V89"/>
  <sheetViews>
    <sheetView topLeftCell="A39" workbookViewId="0">
      <selection activeCell="A47" sqref="A47:XFD48"/>
    </sheetView>
  </sheetViews>
  <sheetFormatPr defaultRowHeight="12.75"/>
  <cols>
    <col min="1" max="1" width="17.28515625" bestFit="1" customWidth="1"/>
    <col min="3" max="3" width="47.5703125" customWidth="1"/>
    <col min="6" max="6" width="11.140625" bestFit="1" customWidth="1"/>
    <col min="7" max="7" width="23" bestFit="1" customWidth="1"/>
    <col min="8" max="8" width="18.28515625" bestFit="1" customWidth="1"/>
    <col min="11" max="11" width="9.140625" style="117"/>
    <col min="12" max="12" width="15.140625" bestFit="1" customWidth="1"/>
    <col min="13" max="13" width="15.140625" style="66" bestFit="1" customWidth="1"/>
  </cols>
  <sheetData>
    <row r="1" spans="1:22" ht="15">
      <c r="A1" s="113"/>
      <c r="B1" s="113"/>
      <c r="C1" s="113"/>
      <c r="D1" s="113"/>
      <c r="E1" s="113"/>
      <c r="F1" s="113"/>
      <c r="G1" s="113"/>
      <c r="H1" s="113"/>
      <c r="I1" s="113"/>
      <c r="J1" s="113"/>
      <c r="K1" s="116"/>
      <c r="L1" s="152"/>
      <c r="M1" s="152"/>
      <c r="N1" s="113"/>
      <c r="O1" s="113"/>
      <c r="P1" s="113"/>
      <c r="Q1" s="113"/>
      <c r="R1" s="113"/>
      <c r="S1" s="113"/>
      <c r="T1" s="113"/>
      <c r="U1" s="113"/>
      <c r="V1" s="113"/>
    </row>
    <row r="2" spans="1:22" ht="15">
      <c r="A2" s="113"/>
      <c r="B2" s="113"/>
      <c r="C2" s="113"/>
      <c r="D2" s="113"/>
      <c r="E2" s="113"/>
      <c r="F2" s="113"/>
      <c r="G2" s="113"/>
      <c r="H2" s="113"/>
      <c r="I2" s="113"/>
      <c r="J2" s="113"/>
      <c r="K2" s="116"/>
      <c r="L2" s="152"/>
      <c r="M2" s="152"/>
      <c r="N2" s="113"/>
      <c r="O2" s="113"/>
      <c r="P2" s="113"/>
      <c r="Q2" s="113"/>
      <c r="R2" s="113"/>
      <c r="S2" s="113"/>
      <c r="T2" s="113"/>
      <c r="U2" s="113"/>
      <c r="V2" s="113"/>
    </row>
    <row r="3" spans="1:22" ht="15">
      <c r="A3" s="113"/>
      <c r="B3" s="113">
        <v>1</v>
      </c>
      <c r="C3" s="113" t="s">
        <v>1991</v>
      </c>
      <c r="D3" s="113"/>
      <c r="E3" s="113"/>
      <c r="F3" s="113"/>
      <c r="G3" s="113"/>
      <c r="H3" s="113"/>
      <c r="I3" s="113"/>
      <c r="J3" s="113"/>
      <c r="K3" s="116"/>
      <c r="L3" s="152"/>
      <c r="M3" s="152"/>
      <c r="N3" s="113"/>
      <c r="O3" s="113"/>
      <c r="P3" s="113"/>
      <c r="Q3" s="113"/>
      <c r="R3" s="113"/>
      <c r="S3" s="113"/>
      <c r="T3" s="113"/>
      <c r="U3" s="113"/>
      <c r="V3" s="113"/>
    </row>
    <row r="4" spans="1:22" ht="15">
      <c r="A4" s="113"/>
      <c r="B4" s="113">
        <v>2</v>
      </c>
      <c r="C4" s="113" t="s">
        <v>1992</v>
      </c>
      <c r="D4" s="113"/>
      <c r="E4" s="113"/>
      <c r="F4" s="113"/>
      <c r="G4" s="113"/>
      <c r="H4" s="113"/>
      <c r="I4" s="113"/>
      <c r="J4" s="113"/>
      <c r="K4" s="116"/>
      <c r="L4" s="152"/>
      <c r="M4" s="152"/>
      <c r="N4" s="113"/>
      <c r="O4" s="113"/>
      <c r="P4" s="113"/>
      <c r="Q4" s="113"/>
      <c r="R4" s="113"/>
      <c r="S4" s="113"/>
      <c r="T4" s="113"/>
      <c r="U4" s="113"/>
      <c r="V4" s="113"/>
    </row>
    <row r="5" spans="1:22" ht="15">
      <c r="A5" s="113"/>
      <c r="B5" s="113">
        <v>3</v>
      </c>
      <c r="C5" s="113" t="s">
        <v>1993</v>
      </c>
      <c r="D5" s="113"/>
      <c r="E5" s="113"/>
      <c r="F5" s="113"/>
      <c r="G5" s="113"/>
      <c r="H5" s="113"/>
      <c r="I5" s="113"/>
      <c r="J5" s="113"/>
      <c r="K5" s="116"/>
      <c r="L5" s="152"/>
      <c r="M5" s="152"/>
      <c r="N5" s="113"/>
      <c r="O5" s="113"/>
      <c r="P5" s="113"/>
      <c r="Q5" s="113"/>
      <c r="R5" s="113"/>
      <c r="S5" s="113"/>
      <c r="T5" s="113"/>
      <c r="U5" s="113"/>
      <c r="V5" s="113"/>
    </row>
    <row r="6" spans="1:22" ht="15">
      <c r="A6" s="113"/>
      <c r="B6" s="113">
        <v>4</v>
      </c>
      <c r="C6" s="113" t="s">
        <v>1994</v>
      </c>
      <c r="D6" s="113"/>
      <c r="E6" s="113"/>
      <c r="F6" s="113"/>
      <c r="G6" s="113"/>
      <c r="H6" s="113"/>
      <c r="I6" s="113"/>
      <c r="J6" s="113"/>
      <c r="K6" s="116"/>
      <c r="L6" s="152"/>
      <c r="M6" s="152"/>
      <c r="N6" s="113"/>
      <c r="O6" s="113"/>
      <c r="P6" s="113"/>
      <c r="Q6" s="113"/>
      <c r="R6" s="113"/>
      <c r="S6" s="113"/>
      <c r="T6" s="113"/>
      <c r="U6" s="113"/>
      <c r="V6" s="113"/>
    </row>
    <row r="7" spans="1:22" ht="15">
      <c r="A7" s="113"/>
      <c r="B7" s="113">
        <v>5</v>
      </c>
      <c r="C7" s="113" t="s">
        <v>1995</v>
      </c>
      <c r="D7" s="113"/>
      <c r="E7" s="113"/>
      <c r="F7" s="113"/>
      <c r="G7" s="113"/>
      <c r="H7" s="113"/>
      <c r="I7" s="113"/>
      <c r="J7" s="113"/>
      <c r="K7" s="116"/>
      <c r="L7" s="152"/>
      <c r="M7" s="152"/>
      <c r="N7" s="113"/>
      <c r="O7" s="113"/>
      <c r="P7" s="113"/>
      <c r="Q7" s="113"/>
      <c r="R7" s="113"/>
      <c r="S7" s="113"/>
      <c r="T7" s="113"/>
      <c r="U7" s="113"/>
      <c r="V7" s="113"/>
    </row>
    <row r="8" spans="1:22" ht="15">
      <c r="A8" s="113"/>
      <c r="B8" s="113"/>
      <c r="C8" s="113"/>
      <c r="D8" s="113"/>
      <c r="E8" s="113"/>
      <c r="F8" s="113"/>
      <c r="G8" s="113"/>
      <c r="H8" s="113"/>
      <c r="I8" s="113"/>
      <c r="J8" s="113"/>
      <c r="K8" s="116"/>
      <c r="L8" s="152"/>
      <c r="M8" s="152"/>
      <c r="N8" s="113"/>
      <c r="O8" s="113"/>
      <c r="P8" s="113"/>
      <c r="Q8" s="113"/>
      <c r="R8" s="113"/>
      <c r="S8" s="113"/>
      <c r="T8" s="113"/>
      <c r="U8" s="113"/>
      <c r="V8" s="113"/>
    </row>
    <row r="9" spans="1:22" ht="15">
      <c r="A9" s="113"/>
      <c r="B9" s="113"/>
      <c r="C9" s="113"/>
      <c r="D9" s="113"/>
      <c r="E9" s="113"/>
      <c r="F9" s="113"/>
      <c r="G9" s="113"/>
      <c r="H9" s="113"/>
      <c r="I9" s="113"/>
      <c r="J9" s="113"/>
      <c r="K9" s="116"/>
      <c r="L9" s="152"/>
      <c r="M9" s="152"/>
      <c r="N9" s="113"/>
      <c r="O9" s="113"/>
      <c r="P9" s="113"/>
      <c r="Q9" s="113"/>
      <c r="R9" s="113"/>
      <c r="S9" s="113"/>
      <c r="T9" s="113"/>
      <c r="U9" s="113"/>
      <c r="V9" s="113"/>
    </row>
    <row r="10" spans="1:22" ht="15">
      <c r="A10" s="113"/>
      <c r="B10" s="113"/>
      <c r="C10" s="113"/>
      <c r="D10" s="113"/>
      <c r="E10" s="113"/>
      <c r="F10" s="113"/>
      <c r="G10" s="113"/>
      <c r="H10" s="113"/>
      <c r="I10" s="113"/>
      <c r="J10" s="113"/>
      <c r="K10" s="116"/>
      <c r="L10" s="152"/>
      <c r="M10" s="152"/>
      <c r="N10" s="113"/>
      <c r="O10" s="113"/>
      <c r="P10" s="113"/>
      <c r="Q10" s="113"/>
      <c r="R10" s="113"/>
      <c r="S10" s="113"/>
      <c r="T10" s="113"/>
      <c r="U10" s="113"/>
      <c r="V10" s="113"/>
    </row>
    <row r="11" spans="1:22" ht="15">
      <c r="A11" s="113"/>
      <c r="B11" s="113"/>
      <c r="C11" s="113"/>
      <c r="D11" s="113"/>
      <c r="E11" s="113"/>
      <c r="F11" s="113"/>
      <c r="G11" s="113"/>
      <c r="H11" s="113"/>
      <c r="I11" s="113"/>
      <c r="J11" s="113"/>
      <c r="K11" s="116"/>
      <c r="L11" s="152"/>
      <c r="M11" s="152"/>
      <c r="N11" s="113"/>
      <c r="O11" s="113"/>
      <c r="P11" s="113"/>
      <c r="Q11" s="113"/>
      <c r="R11" s="113"/>
      <c r="S11" s="113"/>
      <c r="T11" s="113"/>
      <c r="U11" s="113"/>
      <c r="V11" s="113"/>
    </row>
    <row r="12" spans="1:22" ht="15">
      <c r="A12" s="113"/>
      <c r="B12" s="113"/>
      <c r="C12" s="113"/>
      <c r="D12" s="113"/>
      <c r="E12" s="113"/>
      <c r="F12" s="113"/>
      <c r="G12" s="113"/>
      <c r="H12" s="113"/>
      <c r="I12" s="113"/>
      <c r="J12" s="113"/>
      <c r="K12" s="116"/>
      <c r="L12" s="152"/>
      <c r="M12" s="152"/>
      <c r="N12" s="113"/>
      <c r="O12" s="113"/>
      <c r="P12" s="113"/>
      <c r="Q12" s="113"/>
      <c r="R12" s="113"/>
      <c r="S12" s="113"/>
      <c r="T12" s="113"/>
      <c r="U12" s="113"/>
      <c r="V12" s="113"/>
    </row>
    <row r="13" spans="1:22" ht="15">
      <c r="A13" s="113"/>
      <c r="B13" s="113"/>
      <c r="C13" s="113"/>
      <c r="D13" s="113"/>
      <c r="E13" s="113"/>
      <c r="F13" s="113"/>
      <c r="G13" s="113"/>
      <c r="H13" s="113"/>
      <c r="I13" s="113"/>
      <c r="J13" s="113"/>
      <c r="K13" s="116"/>
      <c r="L13" s="152"/>
      <c r="M13" s="152"/>
      <c r="N13" s="113"/>
      <c r="O13" s="113"/>
      <c r="P13" s="113"/>
      <c r="Q13" s="113"/>
      <c r="R13" s="113"/>
      <c r="S13" s="113"/>
      <c r="T13" s="113"/>
      <c r="U13" s="113"/>
      <c r="V13" s="113"/>
    </row>
    <row r="14" spans="1:22" ht="15">
      <c r="A14" s="114" t="s">
        <v>1996</v>
      </c>
      <c r="B14" s="114" t="s">
        <v>1997</v>
      </c>
      <c r="C14" s="114" t="s">
        <v>1998</v>
      </c>
      <c r="D14" s="114" t="s">
        <v>1999</v>
      </c>
      <c r="E14" s="114" t="s">
        <v>2000</v>
      </c>
      <c r="F14" s="115" t="s">
        <v>2001</v>
      </c>
      <c r="G14" s="115" t="s">
        <v>2002</v>
      </c>
      <c r="H14" s="115" t="s">
        <v>2003</v>
      </c>
      <c r="I14" s="114" t="s">
        <v>2004</v>
      </c>
      <c r="J14" s="114" t="s">
        <v>2005</v>
      </c>
      <c r="K14" s="116"/>
      <c r="L14" s="152" t="s">
        <v>2006</v>
      </c>
      <c r="M14" s="152" t="s">
        <v>2007</v>
      </c>
      <c r="N14" s="114" t="s">
        <v>2008</v>
      </c>
      <c r="O14" s="114" t="s">
        <v>2009</v>
      </c>
      <c r="P14" s="115" t="s">
        <v>2010</v>
      </c>
      <c r="Q14" s="114" t="s">
        <v>2011</v>
      </c>
      <c r="R14" s="114" t="s">
        <v>2012</v>
      </c>
      <c r="S14" s="114" t="s">
        <v>2013</v>
      </c>
      <c r="T14" s="114" t="s">
        <v>2014</v>
      </c>
      <c r="U14" s="114" t="s">
        <v>2015</v>
      </c>
      <c r="V14" s="114" t="s">
        <v>2016</v>
      </c>
    </row>
    <row r="15" spans="1:22">
      <c r="F15" s="118"/>
      <c r="G15" s="118"/>
      <c r="H15" s="118"/>
    </row>
    <row r="16" spans="1:22" ht="15">
      <c r="A16" t="s">
        <v>2017</v>
      </c>
      <c r="B16" t="s">
        <v>549</v>
      </c>
      <c r="C16" t="s">
        <v>2018</v>
      </c>
      <c r="D16" t="s">
        <v>2019</v>
      </c>
      <c r="F16" s="118">
        <v>46052</v>
      </c>
      <c r="G16" s="118">
        <v>46052</v>
      </c>
      <c r="H16" s="118">
        <v>46052</v>
      </c>
      <c r="I16">
        <v>365553948</v>
      </c>
      <c r="J16" t="s">
        <v>2020</v>
      </c>
      <c r="K16"/>
      <c r="L16">
        <v>381224.15</v>
      </c>
      <c r="M16">
        <v>381224.15</v>
      </c>
      <c r="N16" t="s">
        <v>2021</v>
      </c>
      <c r="O16" t="s">
        <v>2021</v>
      </c>
      <c r="P16" s="118">
        <v>46053</v>
      </c>
      <c r="Q16" t="s">
        <v>2022</v>
      </c>
      <c r="R16" t="s">
        <v>2023</v>
      </c>
      <c r="T16">
        <v>100</v>
      </c>
      <c r="U16">
        <v>364901759</v>
      </c>
      <c r="V16" s="130">
        <v>100</v>
      </c>
    </row>
    <row r="17" spans="1:22" ht="15">
      <c r="A17" t="s">
        <v>2017</v>
      </c>
      <c r="B17" t="s">
        <v>549</v>
      </c>
      <c r="C17" t="s">
        <v>2024</v>
      </c>
      <c r="D17" t="s">
        <v>2025</v>
      </c>
      <c r="F17" s="118">
        <v>46052</v>
      </c>
      <c r="G17" s="118">
        <v>46052</v>
      </c>
      <c r="H17" s="118">
        <v>46052</v>
      </c>
      <c r="I17">
        <v>365553949</v>
      </c>
      <c r="J17" t="s">
        <v>2020</v>
      </c>
      <c r="K17"/>
      <c r="L17">
        <v>5747694.75</v>
      </c>
      <c r="M17">
        <v>5747694.75</v>
      </c>
      <c r="N17" t="s">
        <v>2021</v>
      </c>
      <c r="O17" t="s">
        <v>2021</v>
      </c>
      <c r="P17" s="118">
        <v>46053</v>
      </c>
      <c r="Q17" t="s">
        <v>2022</v>
      </c>
      <c r="R17" t="s">
        <v>2023</v>
      </c>
      <c r="T17">
        <v>100</v>
      </c>
      <c r="U17">
        <v>364901769</v>
      </c>
      <c r="V17" s="130">
        <v>100</v>
      </c>
    </row>
    <row r="18" spans="1:22" ht="15">
      <c r="A18" t="s">
        <v>2017</v>
      </c>
      <c r="B18" t="s">
        <v>549</v>
      </c>
      <c r="C18" t="s">
        <v>2026</v>
      </c>
      <c r="D18" t="s">
        <v>2027</v>
      </c>
      <c r="F18" s="118">
        <v>46052</v>
      </c>
      <c r="G18" s="118">
        <v>46052</v>
      </c>
      <c r="H18" s="118">
        <v>46052</v>
      </c>
      <c r="I18">
        <v>365553950</v>
      </c>
      <c r="J18" t="s">
        <v>2020</v>
      </c>
      <c r="K18"/>
      <c r="L18">
        <v>2242811.86</v>
      </c>
      <c r="M18">
        <v>2242811.86</v>
      </c>
      <c r="N18" t="s">
        <v>2021</v>
      </c>
      <c r="O18" t="s">
        <v>2021</v>
      </c>
      <c r="P18" s="118">
        <v>46053</v>
      </c>
      <c r="Q18" t="s">
        <v>2022</v>
      </c>
      <c r="R18" t="s">
        <v>2023</v>
      </c>
      <c r="T18">
        <v>100</v>
      </c>
      <c r="U18">
        <v>364901778</v>
      </c>
      <c r="V18" s="130">
        <v>100</v>
      </c>
    </row>
    <row r="19" spans="1:22" ht="15">
      <c r="A19" t="s">
        <v>2017</v>
      </c>
      <c r="B19" t="s">
        <v>549</v>
      </c>
      <c r="C19" t="s">
        <v>1381</v>
      </c>
      <c r="D19" t="s">
        <v>1380</v>
      </c>
      <c r="F19" s="118">
        <v>46052</v>
      </c>
      <c r="G19" s="118">
        <v>46052</v>
      </c>
      <c r="H19" s="118">
        <v>46052</v>
      </c>
      <c r="I19">
        <v>365553952</v>
      </c>
      <c r="J19" t="s">
        <v>2020</v>
      </c>
      <c r="K19"/>
      <c r="L19">
        <v>7500000</v>
      </c>
      <c r="M19">
        <v>7500000</v>
      </c>
      <c r="N19" t="s">
        <v>2021</v>
      </c>
      <c r="O19" t="s">
        <v>2021</v>
      </c>
      <c r="P19" s="118">
        <v>46053</v>
      </c>
      <c r="Q19" t="s">
        <v>2022</v>
      </c>
      <c r="R19" t="s">
        <v>2023</v>
      </c>
      <c r="T19">
        <v>100</v>
      </c>
      <c r="U19">
        <v>364901785</v>
      </c>
      <c r="V19" s="130">
        <v>100</v>
      </c>
    </row>
    <row r="20" spans="1:22" ht="15">
      <c r="A20" t="s">
        <v>2017</v>
      </c>
      <c r="B20" t="s">
        <v>549</v>
      </c>
      <c r="C20" t="s">
        <v>933</v>
      </c>
      <c r="D20" t="s">
        <v>932</v>
      </c>
      <c r="F20" s="118">
        <v>46052</v>
      </c>
      <c r="G20" s="118">
        <v>46052</v>
      </c>
      <c r="H20" s="118">
        <v>46052</v>
      </c>
      <c r="I20">
        <v>365553953</v>
      </c>
      <c r="J20" t="s">
        <v>2020</v>
      </c>
      <c r="K20"/>
      <c r="L20">
        <v>7500000</v>
      </c>
      <c r="M20">
        <v>7500000</v>
      </c>
      <c r="N20" t="s">
        <v>2021</v>
      </c>
      <c r="O20" t="s">
        <v>2021</v>
      </c>
      <c r="P20" s="118">
        <v>46053</v>
      </c>
      <c r="Q20" t="s">
        <v>2022</v>
      </c>
      <c r="R20" t="s">
        <v>2023</v>
      </c>
      <c r="T20">
        <v>100</v>
      </c>
      <c r="U20">
        <v>364901787</v>
      </c>
      <c r="V20" s="130">
        <v>100</v>
      </c>
    </row>
    <row r="21" spans="1:22" ht="15">
      <c r="A21" t="s">
        <v>2017</v>
      </c>
      <c r="B21" t="s">
        <v>549</v>
      </c>
      <c r="C21" t="s">
        <v>822</v>
      </c>
      <c r="D21" t="s">
        <v>825</v>
      </c>
      <c r="F21" s="118">
        <v>46052</v>
      </c>
      <c r="G21" s="118">
        <v>46052</v>
      </c>
      <c r="H21" s="118">
        <v>46052</v>
      </c>
      <c r="I21">
        <v>365553954</v>
      </c>
      <c r="J21" t="s">
        <v>2020</v>
      </c>
      <c r="K21"/>
      <c r="L21">
        <v>5210471.16</v>
      </c>
      <c r="M21">
        <v>5210471.16</v>
      </c>
      <c r="N21" t="s">
        <v>2021</v>
      </c>
      <c r="O21" t="s">
        <v>2021</v>
      </c>
      <c r="P21" s="118">
        <v>46053</v>
      </c>
      <c r="Q21" t="s">
        <v>2022</v>
      </c>
      <c r="R21" t="s">
        <v>2023</v>
      </c>
      <c r="T21">
        <v>99.25</v>
      </c>
      <c r="U21">
        <v>364901795</v>
      </c>
      <c r="V21" s="130">
        <v>99.25</v>
      </c>
    </row>
    <row r="22" spans="1:22" ht="15">
      <c r="A22" t="s">
        <v>2017</v>
      </c>
      <c r="B22" t="s">
        <v>549</v>
      </c>
      <c r="C22" t="s">
        <v>1021</v>
      </c>
      <c r="D22" t="s">
        <v>1020</v>
      </c>
      <c r="F22" s="118">
        <v>46052</v>
      </c>
      <c r="G22" s="118">
        <v>46052</v>
      </c>
      <c r="H22" s="118">
        <v>46052</v>
      </c>
      <c r="I22">
        <v>365553956</v>
      </c>
      <c r="J22" t="s">
        <v>2020</v>
      </c>
      <c r="K22"/>
      <c r="L22">
        <v>2484375</v>
      </c>
      <c r="M22">
        <v>2484375</v>
      </c>
      <c r="N22" t="s">
        <v>2021</v>
      </c>
      <c r="O22" t="s">
        <v>2021</v>
      </c>
      <c r="P22" s="118">
        <v>46053</v>
      </c>
      <c r="Q22" t="s">
        <v>2022</v>
      </c>
      <c r="R22" t="s">
        <v>2023</v>
      </c>
      <c r="T22">
        <v>99.375</v>
      </c>
      <c r="U22">
        <v>364901805</v>
      </c>
      <c r="V22" s="130">
        <v>99.375</v>
      </c>
    </row>
    <row r="23" spans="1:22" ht="15">
      <c r="A23" t="s">
        <v>2017</v>
      </c>
      <c r="B23" t="s">
        <v>549</v>
      </c>
      <c r="C23" t="s">
        <v>2028</v>
      </c>
      <c r="D23" t="s">
        <v>2029</v>
      </c>
      <c r="F23" s="118">
        <v>46052</v>
      </c>
      <c r="G23" s="118">
        <v>46052</v>
      </c>
      <c r="H23" s="118">
        <v>46052</v>
      </c>
      <c r="I23">
        <v>365553997</v>
      </c>
      <c r="J23" t="s">
        <v>2020</v>
      </c>
      <c r="K23"/>
      <c r="L23">
        <v>4656663.93</v>
      </c>
      <c r="M23">
        <v>4656663.93</v>
      </c>
      <c r="N23" t="s">
        <v>2021</v>
      </c>
      <c r="O23" t="s">
        <v>2021</v>
      </c>
      <c r="P23" s="118">
        <v>46053</v>
      </c>
      <c r="Q23" t="s">
        <v>2022</v>
      </c>
      <c r="R23" t="s">
        <v>2023</v>
      </c>
      <c r="T23">
        <v>99.5</v>
      </c>
      <c r="U23">
        <v>364901811</v>
      </c>
      <c r="V23" s="130">
        <v>99.5</v>
      </c>
    </row>
    <row r="24" spans="1:22" ht="15">
      <c r="A24" t="s">
        <v>2017</v>
      </c>
      <c r="B24" t="s">
        <v>549</v>
      </c>
      <c r="C24" t="s">
        <v>703</v>
      </c>
      <c r="D24" t="s">
        <v>2030</v>
      </c>
      <c r="F24" s="118">
        <v>46052</v>
      </c>
      <c r="G24" s="118">
        <v>46052</v>
      </c>
      <c r="H24" s="118">
        <v>46052</v>
      </c>
      <c r="I24">
        <v>365554014</v>
      </c>
      <c r="J24" t="s">
        <v>2020</v>
      </c>
      <c r="K24"/>
      <c r="L24">
        <v>2327965.9300000002</v>
      </c>
      <c r="M24">
        <v>2327965.9300000002</v>
      </c>
      <c r="N24" t="s">
        <v>2021</v>
      </c>
      <c r="O24" t="s">
        <v>2021</v>
      </c>
      <c r="P24" s="118">
        <v>46053</v>
      </c>
      <c r="Q24" t="s">
        <v>2022</v>
      </c>
      <c r="R24" t="s">
        <v>2023</v>
      </c>
      <c r="T24">
        <v>99.5</v>
      </c>
      <c r="U24">
        <v>364901819</v>
      </c>
      <c r="V24" s="130">
        <v>99.5</v>
      </c>
    </row>
    <row r="25" spans="1:22" ht="15">
      <c r="A25" t="s">
        <v>2017</v>
      </c>
      <c r="B25" t="s">
        <v>549</v>
      </c>
      <c r="C25" t="s">
        <v>703</v>
      </c>
      <c r="D25" t="s">
        <v>702</v>
      </c>
      <c r="F25" s="118">
        <v>46052</v>
      </c>
      <c r="G25" s="118">
        <v>46052</v>
      </c>
      <c r="H25" s="118">
        <v>46052</v>
      </c>
      <c r="I25">
        <v>365554028</v>
      </c>
      <c r="J25" t="s">
        <v>2020</v>
      </c>
      <c r="K25"/>
      <c r="L25">
        <v>477870.03</v>
      </c>
      <c r="M25">
        <v>477870.03</v>
      </c>
      <c r="N25" t="s">
        <v>2021</v>
      </c>
      <c r="O25" t="s">
        <v>2021</v>
      </c>
      <c r="P25" s="118">
        <v>46053</v>
      </c>
      <c r="Q25" t="s">
        <v>2022</v>
      </c>
      <c r="R25" t="s">
        <v>2023</v>
      </c>
      <c r="T25">
        <v>99.5</v>
      </c>
      <c r="U25">
        <v>364901827</v>
      </c>
      <c r="V25" s="130">
        <v>99.5</v>
      </c>
    </row>
    <row r="26" spans="1:22" ht="15">
      <c r="A26" t="s">
        <v>2017</v>
      </c>
      <c r="B26" t="s">
        <v>549</v>
      </c>
      <c r="C26" t="s">
        <v>2031</v>
      </c>
      <c r="D26" t="s">
        <v>2032</v>
      </c>
      <c r="F26" s="118">
        <v>46052</v>
      </c>
      <c r="G26" s="118">
        <v>46052</v>
      </c>
      <c r="H26" s="118">
        <v>46052</v>
      </c>
      <c r="I26">
        <v>365554031</v>
      </c>
      <c r="J26" t="s">
        <v>2020</v>
      </c>
      <c r="K26"/>
      <c r="L26">
        <v>864328.55</v>
      </c>
      <c r="M26">
        <v>864328.55</v>
      </c>
      <c r="N26" t="s">
        <v>2021</v>
      </c>
      <c r="O26" t="s">
        <v>2021</v>
      </c>
      <c r="P26" s="118">
        <v>46053</v>
      </c>
      <c r="Q26" t="s">
        <v>2022</v>
      </c>
      <c r="R26" t="s">
        <v>2023</v>
      </c>
      <c r="T26">
        <v>100</v>
      </c>
      <c r="U26">
        <v>364901887</v>
      </c>
      <c r="V26" s="130">
        <v>100</v>
      </c>
    </row>
    <row r="27" spans="1:22" ht="15">
      <c r="A27" t="s">
        <v>2017</v>
      </c>
      <c r="B27" t="s">
        <v>549</v>
      </c>
      <c r="C27" t="s">
        <v>2031</v>
      </c>
      <c r="D27" t="s">
        <v>2033</v>
      </c>
      <c r="F27" s="118">
        <v>46052</v>
      </c>
      <c r="G27" s="118">
        <v>46052</v>
      </c>
      <c r="H27" s="118">
        <v>46052</v>
      </c>
      <c r="I27">
        <v>365554033</v>
      </c>
      <c r="J27" t="s">
        <v>2020</v>
      </c>
      <c r="K27"/>
      <c r="L27">
        <v>369190.21</v>
      </c>
      <c r="M27">
        <v>369190.21</v>
      </c>
      <c r="N27" t="s">
        <v>2021</v>
      </c>
      <c r="O27" t="s">
        <v>2021</v>
      </c>
      <c r="P27" s="118">
        <v>46053</v>
      </c>
      <c r="Q27" t="s">
        <v>2022</v>
      </c>
      <c r="R27" t="s">
        <v>2023</v>
      </c>
      <c r="T27">
        <v>100</v>
      </c>
      <c r="U27">
        <v>364902009</v>
      </c>
      <c r="V27" s="130">
        <v>100</v>
      </c>
    </row>
    <row r="28" spans="1:22" ht="15">
      <c r="A28" t="s">
        <v>2017</v>
      </c>
      <c r="B28" t="s">
        <v>549</v>
      </c>
      <c r="C28" t="s">
        <v>2031</v>
      </c>
      <c r="D28" t="s">
        <v>2034</v>
      </c>
      <c r="F28" s="118">
        <v>46052</v>
      </c>
      <c r="G28" s="118">
        <v>46052</v>
      </c>
      <c r="H28" s="118">
        <v>46052</v>
      </c>
      <c r="I28">
        <v>365554036</v>
      </c>
      <c r="J28" t="s">
        <v>2020</v>
      </c>
      <c r="K28"/>
      <c r="L28">
        <v>3113324.5</v>
      </c>
      <c r="M28">
        <v>3113324.5</v>
      </c>
      <c r="N28" t="s">
        <v>2021</v>
      </c>
      <c r="O28" t="s">
        <v>2021</v>
      </c>
      <c r="P28" s="118">
        <v>46053</v>
      </c>
      <c r="Q28" t="s">
        <v>2022</v>
      </c>
      <c r="R28" t="s">
        <v>2023</v>
      </c>
      <c r="T28">
        <v>100</v>
      </c>
      <c r="U28">
        <v>364902057</v>
      </c>
      <c r="V28" s="130">
        <v>100</v>
      </c>
    </row>
    <row r="29" spans="1:22" ht="15">
      <c r="A29" t="s">
        <v>2017</v>
      </c>
      <c r="B29" t="s">
        <v>549</v>
      </c>
      <c r="C29" t="s">
        <v>2035</v>
      </c>
      <c r="D29" t="s">
        <v>2036</v>
      </c>
      <c r="F29" s="118">
        <v>46052</v>
      </c>
      <c r="G29" s="118">
        <v>46052</v>
      </c>
      <c r="H29" s="118">
        <v>46052</v>
      </c>
      <c r="I29">
        <v>365554041</v>
      </c>
      <c r="J29" t="s">
        <v>2020</v>
      </c>
      <c r="K29"/>
      <c r="L29">
        <v>127091.68</v>
      </c>
      <c r="M29">
        <v>127091.68</v>
      </c>
      <c r="N29" t="s">
        <v>2021</v>
      </c>
      <c r="O29" t="s">
        <v>2021</v>
      </c>
      <c r="P29" s="118">
        <v>46053</v>
      </c>
      <c r="Q29" t="s">
        <v>2022</v>
      </c>
      <c r="R29" t="s">
        <v>2023</v>
      </c>
      <c r="T29">
        <v>100</v>
      </c>
      <c r="U29">
        <v>364902071</v>
      </c>
      <c r="V29" s="130">
        <v>100</v>
      </c>
    </row>
    <row r="30" spans="1:22" ht="15">
      <c r="A30" t="s">
        <v>2017</v>
      </c>
      <c r="B30" t="s">
        <v>549</v>
      </c>
      <c r="C30" t="s">
        <v>2035</v>
      </c>
      <c r="D30" t="s">
        <v>2037</v>
      </c>
      <c r="F30" s="118">
        <v>46052</v>
      </c>
      <c r="G30" s="118">
        <v>46052</v>
      </c>
      <c r="H30" s="118">
        <v>46052</v>
      </c>
      <c r="I30">
        <v>365554043</v>
      </c>
      <c r="J30" t="s">
        <v>2020</v>
      </c>
      <c r="K30"/>
      <c r="L30">
        <v>403987.5</v>
      </c>
      <c r="M30">
        <v>403987.5</v>
      </c>
      <c r="N30" t="s">
        <v>2021</v>
      </c>
      <c r="O30" t="s">
        <v>2021</v>
      </c>
      <c r="P30" s="118">
        <v>46053</v>
      </c>
      <c r="Q30" t="s">
        <v>2022</v>
      </c>
      <c r="R30" t="s">
        <v>2023</v>
      </c>
      <c r="T30">
        <v>100</v>
      </c>
      <c r="U30">
        <v>364902079</v>
      </c>
      <c r="V30" s="130">
        <v>100</v>
      </c>
    </row>
    <row r="31" spans="1:22" ht="15">
      <c r="A31" t="s">
        <v>2017</v>
      </c>
      <c r="B31" t="s">
        <v>549</v>
      </c>
      <c r="C31" t="s">
        <v>2035</v>
      </c>
      <c r="D31" t="s">
        <v>2038</v>
      </c>
      <c r="F31" s="118">
        <v>46052</v>
      </c>
      <c r="G31" s="118">
        <v>46052</v>
      </c>
      <c r="H31" s="118">
        <v>46052</v>
      </c>
      <c r="I31">
        <v>365554044</v>
      </c>
      <c r="J31" t="s">
        <v>2020</v>
      </c>
      <c r="K31"/>
      <c r="L31">
        <v>540794.63</v>
      </c>
      <c r="M31">
        <v>540794.63</v>
      </c>
      <c r="N31" t="s">
        <v>2021</v>
      </c>
      <c r="O31" t="s">
        <v>2021</v>
      </c>
      <c r="P31" s="118">
        <v>46053</v>
      </c>
      <c r="Q31" t="s">
        <v>2022</v>
      </c>
      <c r="R31" t="s">
        <v>2023</v>
      </c>
      <c r="T31">
        <v>100</v>
      </c>
      <c r="U31">
        <v>364902088</v>
      </c>
      <c r="V31" s="130">
        <v>100</v>
      </c>
    </row>
    <row r="32" spans="1:22" ht="15">
      <c r="A32" t="s">
        <v>2017</v>
      </c>
      <c r="B32" t="s">
        <v>549</v>
      </c>
      <c r="C32" t="s">
        <v>2035</v>
      </c>
      <c r="D32" t="s">
        <v>2039</v>
      </c>
      <c r="F32" s="118">
        <v>46052</v>
      </c>
      <c r="G32" s="118">
        <v>46052</v>
      </c>
      <c r="H32" s="118">
        <v>46052</v>
      </c>
      <c r="I32">
        <v>365554047</v>
      </c>
      <c r="J32" t="s">
        <v>2020</v>
      </c>
      <c r="K32"/>
      <c r="L32">
        <v>25376.19</v>
      </c>
      <c r="M32">
        <v>25376.19</v>
      </c>
      <c r="N32" t="s">
        <v>2021</v>
      </c>
      <c r="O32" t="s">
        <v>2021</v>
      </c>
      <c r="P32" s="118">
        <v>46053</v>
      </c>
      <c r="Q32" t="s">
        <v>2022</v>
      </c>
      <c r="R32" t="s">
        <v>2023</v>
      </c>
      <c r="T32">
        <v>100</v>
      </c>
      <c r="U32">
        <v>364902093</v>
      </c>
      <c r="V32" s="130">
        <v>100</v>
      </c>
    </row>
    <row r="33" spans="1:22" ht="15">
      <c r="A33" t="s">
        <v>2017</v>
      </c>
      <c r="B33" t="s">
        <v>549</v>
      </c>
      <c r="C33" t="s">
        <v>2040</v>
      </c>
      <c r="D33" t="s">
        <v>2041</v>
      </c>
      <c r="F33" s="118">
        <v>46052</v>
      </c>
      <c r="G33" s="118">
        <v>46052</v>
      </c>
      <c r="H33" s="118">
        <v>46052</v>
      </c>
      <c r="I33">
        <v>365554048</v>
      </c>
      <c r="J33" t="s">
        <v>2020</v>
      </c>
      <c r="K33"/>
      <c r="L33">
        <v>733868.32</v>
      </c>
      <c r="M33">
        <v>733868.32</v>
      </c>
      <c r="N33" t="s">
        <v>2021</v>
      </c>
      <c r="O33" t="s">
        <v>2021</v>
      </c>
      <c r="P33" s="118">
        <v>46053</v>
      </c>
      <c r="Q33" t="s">
        <v>2022</v>
      </c>
      <c r="R33" t="s">
        <v>2023</v>
      </c>
      <c r="T33">
        <v>100</v>
      </c>
      <c r="U33">
        <v>364902104</v>
      </c>
      <c r="V33" s="130">
        <v>100</v>
      </c>
    </row>
    <row r="34" spans="1:22" ht="15">
      <c r="A34" t="s">
        <v>2017</v>
      </c>
      <c r="B34" t="s">
        <v>549</v>
      </c>
      <c r="C34" t="s">
        <v>2042</v>
      </c>
      <c r="D34" t="s">
        <v>2043</v>
      </c>
      <c r="F34" s="118">
        <v>46052</v>
      </c>
      <c r="G34" s="118">
        <v>46052</v>
      </c>
      <c r="H34" s="118">
        <v>46052</v>
      </c>
      <c r="I34">
        <v>365554052</v>
      </c>
      <c r="J34" t="s">
        <v>2020</v>
      </c>
      <c r="K34"/>
      <c r="L34">
        <v>107448.94</v>
      </c>
      <c r="M34">
        <v>107448.94</v>
      </c>
      <c r="N34" t="s">
        <v>2021</v>
      </c>
      <c r="O34" t="s">
        <v>2021</v>
      </c>
      <c r="P34" s="118">
        <v>46053</v>
      </c>
      <c r="Q34" t="s">
        <v>2022</v>
      </c>
      <c r="R34" t="s">
        <v>2023</v>
      </c>
      <c r="T34">
        <v>100</v>
      </c>
      <c r="U34">
        <v>364902109</v>
      </c>
      <c r="V34" s="130">
        <v>100</v>
      </c>
    </row>
    <row r="35" spans="1:22" ht="15">
      <c r="A35" t="s">
        <v>2017</v>
      </c>
      <c r="B35" t="s">
        <v>549</v>
      </c>
      <c r="C35" t="s">
        <v>2042</v>
      </c>
      <c r="D35" t="s">
        <v>2044</v>
      </c>
      <c r="F35" s="118">
        <v>46052</v>
      </c>
      <c r="G35" s="118">
        <v>46052</v>
      </c>
      <c r="H35" s="118">
        <v>46052</v>
      </c>
      <c r="I35">
        <v>365554053</v>
      </c>
      <c r="J35" t="s">
        <v>2020</v>
      </c>
      <c r="K35"/>
      <c r="L35">
        <v>62214.45</v>
      </c>
      <c r="M35">
        <v>62214.45</v>
      </c>
      <c r="N35" t="s">
        <v>2021</v>
      </c>
      <c r="O35" t="s">
        <v>2021</v>
      </c>
      <c r="P35" s="118">
        <v>46053</v>
      </c>
      <c r="Q35" t="s">
        <v>2022</v>
      </c>
      <c r="R35" t="s">
        <v>2023</v>
      </c>
      <c r="T35">
        <v>100</v>
      </c>
      <c r="U35">
        <v>364902117</v>
      </c>
      <c r="V35" s="130">
        <v>100</v>
      </c>
    </row>
    <row r="36" spans="1:22" ht="15">
      <c r="A36" t="s">
        <v>2017</v>
      </c>
      <c r="B36" t="s">
        <v>549</v>
      </c>
      <c r="C36" t="s">
        <v>2042</v>
      </c>
      <c r="D36" t="s">
        <v>2045</v>
      </c>
      <c r="F36" s="118">
        <v>46052</v>
      </c>
      <c r="G36" s="118">
        <v>46052</v>
      </c>
      <c r="H36" s="118">
        <v>46052</v>
      </c>
      <c r="I36">
        <v>365554054</v>
      </c>
      <c r="J36" t="s">
        <v>2020</v>
      </c>
      <c r="K36"/>
      <c r="L36">
        <v>204486.91</v>
      </c>
      <c r="M36">
        <v>204486.91</v>
      </c>
      <c r="N36" t="s">
        <v>2021</v>
      </c>
      <c r="O36" t="s">
        <v>2021</v>
      </c>
      <c r="P36" s="118">
        <v>46053</v>
      </c>
      <c r="Q36" t="s">
        <v>2022</v>
      </c>
      <c r="R36" t="s">
        <v>2023</v>
      </c>
      <c r="T36">
        <v>100</v>
      </c>
      <c r="U36">
        <v>364902120</v>
      </c>
      <c r="V36" s="130">
        <v>100</v>
      </c>
    </row>
    <row r="37" spans="1:22" ht="15">
      <c r="A37" t="s">
        <v>2017</v>
      </c>
      <c r="B37" t="s">
        <v>549</v>
      </c>
      <c r="C37" t="s">
        <v>2042</v>
      </c>
      <c r="D37" t="s">
        <v>2046</v>
      </c>
      <c r="F37" s="118">
        <v>46052</v>
      </c>
      <c r="G37" s="118">
        <v>46052</v>
      </c>
      <c r="H37" s="118">
        <v>46052</v>
      </c>
      <c r="I37">
        <v>365554057</v>
      </c>
      <c r="J37" t="s">
        <v>2020</v>
      </c>
      <c r="K37"/>
      <c r="L37">
        <v>121975.15</v>
      </c>
      <c r="M37">
        <v>121975.15</v>
      </c>
      <c r="N37" t="s">
        <v>2021</v>
      </c>
      <c r="O37" t="s">
        <v>2021</v>
      </c>
      <c r="P37" s="118">
        <v>46053</v>
      </c>
      <c r="Q37" t="s">
        <v>2022</v>
      </c>
      <c r="R37" t="s">
        <v>2023</v>
      </c>
      <c r="T37">
        <v>100</v>
      </c>
      <c r="U37">
        <v>364902132</v>
      </c>
      <c r="V37" s="130">
        <v>100</v>
      </c>
    </row>
    <row r="38" spans="1:22" ht="15">
      <c r="A38" t="s">
        <v>2017</v>
      </c>
      <c r="B38" t="s">
        <v>549</v>
      </c>
      <c r="C38" t="s">
        <v>2047</v>
      </c>
      <c r="D38" t="s">
        <v>2048</v>
      </c>
      <c r="F38" s="118">
        <v>46052</v>
      </c>
      <c r="G38" s="118">
        <v>46052</v>
      </c>
      <c r="H38" s="118">
        <v>46052</v>
      </c>
      <c r="I38">
        <v>365554058</v>
      </c>
      <c r="J38" t="s">
        <v>2020</v>
      </c>
      <c r="K38"/>
      <c r="L38">
        <v>3979824.5</v>
      </c>
      <c r="M38">
        <v>3979824.5</v>
      </c>
      <c r="N38" t="s">
        <v>2021</v>
      </c>
      <c r="O38" t="s">
        <v>2021</v>
      </c>
      <c r="P38" s="118">
        <v>46053</v>
      </c>
      <c r="Q38" t="s">
        <v>2022</v>
      </c>
      <c r="R38" t="s">
        <v>2023</v>
      </c>
      <c r="T38">
        <v>99</v>
      </c>
      <c r="U38">
        <v>364902143</v>
      </c>
      <c r="V38" s="130">
        <v>99</v>
      </c>
    </row>
    <row r="39" spans="1:22" ht="15">
      <c r="A39" t="s">
        <v>2017</v>
      </c>
      <c r="B39" t="s">
        <v>549</v>
      </c>
      <c r="C39" t="s">
        <v>965</v>
      </c>
      <c r="D39" t="s">
        <v>964</v>
      </c>
      <c r="F39" s="118">
        <v>46052</v>
      </c>
      <c r="G39" s="118">
        <v>46052</v>
      </c>
      <c r="H39" s="118">
        <v>46052</v>
      </c>
      <c r="I39">
        <v>365554166</v>
      </c>
      <c r="J39" t="s">
        <v>2020</v>
      </c>
      <c r="K39"/>
      <c r="L39">
        <v>6120356.1900000004</v>
      </c>
      <c r="M39">
        <v>6120356.1900000004</v>
      </c>
      <c r="N39" t="s">
        <v>2021</v>
      </c>
      <c r="O39" t="s">
        <v>2021</v>
      </c>
      <c r="P39" s="118">
        <v>46053</v>
      </c>
      <c r="Q39" t="s">
        <v>2022</v>
      </c>
      <c r="R39" t="s">
        <v>2023</v>
      </c>
      <c r="T39">
        <v>99.375</v>
      </c>
      <c r="U39">
        <v>364902160</v>
      </c>
      <c r="V39" s="130">
        <v>99.375</v>
      </c>
    </row>
    <row r="40" spans="1:22">
      <c r="A40" t="s">
        <v>2017</v>
      </c>
      <c r="B40" t="s">
        <v>549</v>
      </c>
      <c r="C40" t="s">
        <v>1298</v>
      </c>
      <c r="D40" t="s">
        <v>1297</v>
      </c>
      <c r="F40" s="118">
        <v>46052</v>
      </c>
      <c r="G40" s="118">
        <v>46052</v>
      </c>
      <c r="H40" s="118">
        <v>46052</v>
      </c>
      <c r="I40">
        <v>365554167</v>
      </c>
      <c r="J40" t="s">
        <v>2020</v>
      </c>
      <c r="K40"/>
      <c r="L40">
        <v>4469230.26</v>
      </c>
      <c r="M40">
        <v>4469230.26</v>
      </c>
      <c r="N40" t="s">
        <v>2021</v>
      </c>
      <c r="O40" t="s">
        <v>2021</v>
      </c>
      <c r="P40" s="118">
        <v>46053</v>
      </c>
      <c r="Q40" t="s">
        <v>2022</v>
      </c>
      <c r="R40" t="s">
        <v>2023</v>
      </c>
      <c r="T40">
        <v>99</v>
      </c>
      <c r="U40">
        <v>364902181</v>
      </c>
      <c r="V40">
        <v>99</v>
      </c>
    </row>
    <row r="41" spans="1:22">
      <c r="A41" t="s">
        <v>2017</v>
      </c>
      <c r="B41" t="s">
        <v>549</v>
      </c>
      <c r="C41" t="s">
        <v>2049</v>
      </c>
      <c r="D41" t="s">
        <v>2050</v>
      </c>
      <c r="F41" s="118">
        <v>46052</v>
      </c>
      <c r="G41" s="118">
        <v>46052</v>
      </c>
      <c r="H41" s="118">
        <v>46052</v>
      </c>
      <c r="I41">
        <v>365554168</v>
      </c>
      <c r="J41" t="s">
        <v>2020</v>
      </c>
      <c r="K41"/>
      <c r="L41">
        <v>6372344.8399999999</v>
      </c>
      <c r="M41">
        <v>6372344.8399999999</v>
      </c>
      <c r="N41" t="s">
        <v>2021</v>
      </c>
      <c r="O41" t="s">
        <v>2021</v>
      </c>
      <c r="P41" s="118">
        <v>46053</v>
      </c>
      <c r="Q41" t="s">
        <v>2022</v>
      </c>
      <c r="R41" t="s">
        <v>2023</v>
      </c>
      <c r="T41">
        <v>99.7</v>
      </c>
      <c r="U41">
        <v>364902315</v>
      </c>
      <c r="V41">
        <v>99.7</v>
      </c>
    </row>
    <row r="42" spans="1:22">
      <c r="A42" t="s">
        <v>2017</v>
      </c>
      <c r="B42" t="s">
        <v>549</v>
      </c>
      <c r="C42" t="s">
        <v>2051</v>
      </c>
      <c r="D42" t="s">
        <v>2052</v>
      </c>
      <c r="F42" s="118">
        <v>46052</v>
      </c>
      <c r="G42" s="118">
        <v>46052</v>
      </c>
      <c r="H42" s="118">
        <v>46052</v>
      </c>
      <c r="I42">
        <v>365554169</v>
      </c>
      <c r="J42" t="s">
        <v>2020</v>
      </c>
      <c r="K42"/>
      <c r="L42">
        <v>663894.52</v>
      </c>
      <c r="M42">
        <v>663894.52</v>
      </c>
      <c r="N42" t="s">
        <v>2021</v>
      </c>
      <c r="O42" t="s">
        <v>2021</v>
      </c>
      <c r="P42" s="118">
        <v>46053</v>
      </c>
      <c r="Q42" t="s">
        <v>2022</v>
      </c>
      <c r="R42" t="s">
        <v>2023</v>
      </c>
      <c r="T42">
        <v>99.7</v>
      </c>
      <c r="U42">
        <v>364902321</v>
      </c>
      <c r="V42">
        <v>99.7</v>
      </c>
    </row>
    <row r="43" spans="1:22">
      <c r="A43" t="s">
        <v>2017</v>
      </c>
      <c r="B43" t="s">
        <v>549</v>
      </c>
      <c r="C43" t="s">
        <v>1112</v>
      </c>
      <c r="D43" t="s">
        <v>2053</v>
      </c>
      <c r="F43" s="118">
        <v>46052</v>
      </c>
      <c r="G43" s="118">
        <v>46052</v>
      </c>
      <c r="H43" s="118">
        <v>46052</v>
      </c>
      <c r="I43">
        <v>365554172</v>
      </c>
      <c r="J43" t="s">
        <v>2020</v>
      </c>
      <c r="K43"/>
      <c r="L43">
        <v>192859.68</v>
      </c>
      <c r="M43">
        <v>192859.68</v>
      </c>
      <c r="N43" t="s">
        <v>2021</v>
      </c>
      <c r="O43" t="s">
        <v>2021</v>
      </c>
      <c r="P43" s="118">
        <v>46053</v>
      </c>
      <c r="Q43" t="s">
        <v>2022</v>
      </c>
      <c r="R43" t="s">
        <v>2023</v>
      </c>
      <c r="T43">
        <v>99.7</v>
      </c>
      <c r="U43">
        <v>364902329</v>
      </c>
      <c r="V43">
        <v>99.7</v>
      </c>
    </row>
    <row r="44" spans="1:22">
      <c r="A44" t="s">
        <v>2017</v>
      </c>
      <c r="B44" t="s">
        <v>549</v>
      </c>
      <c r="C44" t="s">
        <v>1112</v>
      </c>
      <c r="D44" t="s">
        <v>1111</v>
      </c>
      <c r="F44" s="118">
        <v>46052</v>
      </c>
      <c r="G44" s="118">
        <v>46052</v>
      </c>
      <c r="H44" s="118">
        <v>46052</v>
      </c>
      <c r="I44">
        <v>365554173</v>
      </c>
      <c r="J44" t="s">
        <v>2020</v>
      </c>
      <c r="K44"/>
      <c r="L44">
        <v>248401</v>
      </c>
      <c r="M44">
        <v>248401</v>
      </c>
      <c r="N44" t="s">
        <v>2021</v>
      </c>
      <c r="O44" t="s">
        <v>2021</v>
      </c>
      <c r="P44" s="118">
        <v>46053</v>
      </c>
      <c r="Q44" t="s">
        <v>2022</v>
      </c>
      <c r="R44" t="s">
        <v>2023</v>
      </c>
      <c r="T44">
        <v>99.7</v>
      </c>
      <c r="U44">
        <v>364902333</v>
      </c>
      <c r="V44">
        <v>99.7</v>
      </c>
    </row>
    <row r="45" spans="1:22" ht="15">
      <c r="A45" s="125" t="s">
        <v>2017</v>
      </c>
      <c r="B45" s="125" t="s">
        <v>549</v>
      </c>
      <c r="C45" s="125" t="s">
        <v>2054</v>
      </c>
      <c r="D45" s="125" t="s">
        <v>2055</v>
      </c>
      <c r="E45" s="125"/>
      <c r="F45" s="126">
        <v>46052</v>
      </c>
      <c r="G45" s="126">
        <v>46052</v>
      </c>
      <c r="H45" s="126">
        <v>46052</v>
      </c>
      <c r="I45" s="125">
        <v>365554174</v>
      </c>
      <c r="J45" s="125" t="s">
        <v>2020</v>
      </c>
      <c r="K45" s="125"/>
      <c r="L45" s="127">
        <v>6401841.1399999997</v>
      </c>
      <c r="M45" s="127">
        <v>6401841.1399999997</v>
      </c>
      <c r="N45" s="125" t="s">
        <v>2021</v>
      </c>
      <c r="O45" s="125" t="s">
        <v>2021</v>
      </c>
      <c r="P45" s="126">
        <v>46053</v>
      </c>
      <c r="Q45" s="125" t="s">
        <v>2022</v>
      </c>
      <c r="R45" s="125" t="s">
        <v>2023</v>
      </c>
      <c r="S45" s="125"/>
      <c r="T45" s="125">
        <v>99.4</v>
      </c>
      <c r="U45" s="125">
        <v>364902357</v>
      </c>
      <c r="V45" s="125">
        <v>99.4</v>
      </c>
    </row>
    <row r="46" spans="1:22">
      <c r="A46" t="s">
        <v>2017</v>
      </c>
      <c r="B46" t="s">
        <v>549</v>
      </c>
      <c r="C46" t="s">
        <v>2056</v>
      </c>
      <c r="D46" t="s">
        <v>2057</v>
      </c>
      <c r="F46" s="118">
        <v>46052</v>
      </c>
      <c r="G46" s="118">
        <v>46052</v>
      </c>
      <c r="H46" s="118">
        <v>46052</v>
      </c>
      <c r="I46">
        <v>365554177</v>
      </c>
      <c r="J46" t="s">
        <v>2020</v>
      </c>
      <c r="K46"/>
      <c r="L46">
        <v>180219.99</v>
      </c>
      <c r="M46" s="66">
        <v>180219.99</v>
      </c>
      <c r="N46" t="s">
        <v>2021</v>
      </c>
      <c r="O46" t="s">
        <v>2021</v>
      </c>
      <c r="P46" s="118">
        <v>46053</v>
      </c>
      <c r="Q46" t="s">
        <v>2022</v>
      </c>
      <c r="R46" t="s">
        <v>2023</v>
      </c>
      <c r="T46">
        <v>99.4</v>
      </c>
      <c r="U46">
        <v>364902366</v>
      </c>
      <c r="V46">
        <v>99.4</v>
      </c>
    </row>
    <row r="47" spans="1:22">
      <c r="F47" s="118"/>
      <c r="G47" s="118"/>
      <c r="H47" s="118"/>
      <c r="K47"/>
      <c r="P47" s="118"/>
    </row>
    <row r="48" spans="1:22">
      <c r="F48" s="118"/>
      <c r="G48" s="118"/>
      <c r="H48" s="118"/>
      <c r="K48"/>
      <c r="P48" s="118"/>
    </row>
    <row r="49" spans="1:22">
      <c r="F49" s="118"/>
      <c r="G49" s="118"/>
      <c r="H49" s="118"/>
      <c r="K49"/>
      <c r="M49" s="66">
        <f>SUM(M16:M46)</f>
        <v>73832135.959999979</v>
      </c>
      <c r="P49" s="118"/>
    </row>
    <row r="50" spans="1:22">
      <c r="F50" s="118"/>
      <c r="G50" s="118"/>
      <c r="H50" s="118"/>
      <c r="K50"/>
      <c r="P50" s="118"/>
    </row>
    <row r="51" spans="1:22">
      <c r="F51" s="118"/>
      <c r="G51" s="118"/>
      <c r="H51" s="118"/>
      <c r="K51"/>
      <c r="L51" s="84"/>
      <c r="P51" s="118"/>
    </row>
    <row r="52" spans="1:22">
      <c r="F52" s="118"/>
      <c r="G52" s="118"/>
      <c r="H52" s="118"/>
      <c r="K52"/>
      <c r="L52" s="84"/>
      <c r="M52" s="84"/>
      <c r="P52" s="118"/>
    </row>
    <row r="53" spans="1:22">
      <c r="F53" s="118"/>
      <c r="G53" s="118"/>
      <c r="H53" s="118"/>
      <c r="K53"/>
      <c r="P53" s="118"/>
    </row>
    <row r="54" spans="1:22">
      <c r="F54" s="118"/>
      <c r="G54" s="118"/>
      <c r="H54" s="118"/>
      <c r="K54"/>
      <c r="P54" s="118"/>
    </row>
    <row r="55" spans="1:22">
      <c r="F55" s="118"/>
      <c r="G55" s="118"/>
      <c r="H55" s="118"/>
      <c r="K55"/>
      <c r="P55" s="118"/>
    </row>
    <row r="56" spans="1:22" ht="15">
      <c r="A56" s="130"/>
      <c r="B56" s="130"/>
      <c r="C56" s="130"/>
      <c r="D56" s="130"/>
      <c r="E56" s="130"/>
      <c r="F56" s="131"/>
      <c r="G56" s="131"/>
      <c r="H56" s="131"/>
      <c r="I56" s="130"/>
      <c r="J56" s="130"/>
      <c r="K56" s="130"/>
      <c r="L56" s="132"/>
      <c r="M56" s="132"/>
      <c r="N56" s="130"/>
      <c r="O56" s="130"/>
      <c r="P56" s="131"/>
      <c r="Q56" s="130"/>
      <c r="R56" s="130"/>
      <c r="S56" s="130"/>
      <c r="T56" s="130"/>
      <c r="U56" s="130"/>
      <c r="V56" s="130"/>
    </row>
    <row r="57" spans="1:22">
      <c r="F57" s="118"/>
      <c r="G57" s="118"/>
      <c r="H57" s="118"/>
      <c r="K57"/>
      <c r="P57" s="118"/>
    </row>
    <row r="58" spans="1:22">
      <c r="A58" t="s">
        <v>2058</v>
      </c>
      <c r="B58" t="s">
        <v>549</v>
      </c>
      <c r="C58" t="s">
        <v>1396</v>
      </c>
      <c r="D58" t="s">
        <v>1395</v>
      </c>
      <c r="F58" s="118">
        <v>46024</v>
      </c>
      <c r="G58" s="118">
        <v>46081</v>
      </c>
      <c r="H58" s="118">
        <v>46081</v>
      </c>
      <c r="I58">
        <v>364011657</v>
      </c>
      <c r="J58" t="s">
        <v>2059</v>
      </c>
      <c r="K58"/>
      <c r="L58">
        <v>-4900000</v>
      </c>
      <c r="M58">
        <v>-4900000</v>
      </c>
      <c r="N58" t="s">
        <v>2021</v>
      </c>
      <c r="O58" t="s">
        <v>2021</v>
      </c>
      <c r="P58" s="118">
        <v>46048</v>
      </c>
      <c r="Q58" t="s">
        <v>2022</v>
      </c>
      <c r="R58" t="s">
        <v>2023</v>
      </c>
      <c r="S58">
        <v>5000000</v>
      </c>
      <c r="T58">
        <v>98</v>
      </c>
    </row>
    <row r="59" spans="1:22">
      <c r="F59" s="118"/>
      <c r="G59" s="118"/>
      <c r="H59" s="118"/>
      <c r="K59"/>
      <c r="M59" s="66">
        <f>SUM(M51:M58)</f>
        <v>-4900000</v>
      </c>
      <c r="P59" s="118"/>
    </row>
    <row r="60" spans="1:22">
      <c r="F60" s="118"/>
      <c r="G60" s="118"/>
      <c r="H60" s="118"/>
      <c r="K60"/>
      <c r="P60" s="118"/>
    </row>
    <row r="61" spans="1:22">
      <c r="F61" s="118"/>
      <c r="G61" s="118"/>
      <c r="H61" s="118"/>
      <c r="K61"/>
      <c r="P61" s="118"/>
    </row>
    <row r="62" spans="1:22">
      <c r="F62" s="118"/>
      <c r="G62" s="118"/>
      <c r="H62" s="118"/>
      <c r="K62"/>
      <c r="P62" s="118"/>
    </row>
    <row r="63" spans="1:22">
      <c r="F63" s="118"/>
      <c r="G63" s="118"/>
      <c r="H63" s="118"/>
      <c r="K63"/>
      <c r="L63" s="84"/>
      <c r="P63" s="118"/>
    </row>
    <row r="64" spans="1:22">
      <c r="F64" s="118"/>
      <c r="G64" s="118"/>
      <c r="H64" s="118"/>
      <c r="K64"/>
      <c r="P64" s="118"/>
    </row>
    <row r="65" spans="6:16">
      <c r="F65" s="118"/>
      <c r="G65" s="118"/>
      <c r="H65" s="118"/>
      <c r="K65"/>
      <c r="P65" s="118"/>
    </row>
    <row r="66" spans="6:16">
      <c r="F66" s="118"/>
      <c r="G66" s="118"/>
      <c r="H66" s="118"/>
      <c r="K66"/>
      <c r="P66" s="118"/>
    </row>
    <row r="67" spans="6:16">
      <c r="F67" s="118"/>
      <c r="G67" s="118"/>
      <c r="H67" s="118"/>
      <c r="K67"/>
      <c r="P67" s="118"/>
    </row>
    <row r="68" spans="6:16">
      <c r="F68" s="118"/>
      <c r="G68" s="118"/>
      <c r="H68" s="118"/>
      <c r="K68"/>
      <c r="P68" s="118"/>
    </row>
    <row r="69" spans="6:16">
      <c r="F69" s="118"/>
      <c r="G69" s="118"/>
      <c r="H69" s="118"/>
      <c r="K69"/>
      <c r="M69" s="66">
        <f>SUM(M63:M68)</f>
        <v>0</v>
      </c>
      <c r="P69" s="118"/>
    </row>
    <row r="70" spans="6:16">
      <c r="F70" s="118"/>
      <c r="G70" s="118"/>
      <c r="H70" s="118"/>
      <c r="K70"/>
      <c r="P70" s="118"/>
    </row>
    <row r="71" spans="6:16">
      <c r="F71" s="118"/>
      <c r="G71" s="118"/>
      <c r="H71" s="118"/>
    </row>
    <row r="72" spans="6:16">
      <c r="F72" s="118"/>
      <c r="G72" s="118"/>
      <c r="H72" s="118"/>
    </row>
    <row r="73" spans="6:16">
      <c r="F73" s="118"/>
      <c r="G73" s="118"/>
      <c r="H73" s="118"/>
    </row>
    <row r="74" spans="6:16">
      <c r="F74" s="118"/>
      <c r="G74" s="118"/>
      <c r="H74" s="118"/>
    </row>
    <row r="75" spans="6:16">
      <c r="F75" s="118"/>
      <c r="G75" s="118"/>
      <c r="H75" s="118"/>
    </row>
    <row r="76" spans="6:16">
      <c r="F76" s="118"/>
      <c r="G76" s="118"/>
      <c r="H76" s="118"/>
    </row>
    <row r="77" spans="6:16">
      <c r="F77" s="118"/>
      <c r="G77" s="118"/>
      <c r="H77" s="118"/>
    </row>
    <row r="78" spans="6:16">
      <c r="F78" s="118"/>
      <c r="G78" s="118"/>
      <c r="H78" s="118"/>
      <c r="L78" t="s">
        <v>2060</v>
      </c>
      <c r="M78" s="66">
        <f>M49+M69</f>
        <v>73832135.959999979</v>
      </c>
    </row>
    <row r="79" spans="6:16">
      <c r="F79" s="118"/>
      <c r="G79" s="118"/>
      <c r="H79" s="118"/>
    </row>
    <row r="80" spans="6:16">
      <c r="F80" s="118"/>
      <c r="G80" s="118"/>
      <c r="H80" s="118"/>
    </row>
    <row r="81" spans="6:8">
      <c r="F81" s="118"/>
      <c r="G81" s="118"/>
      <c r="H81" s="118"/>
    </row>
    <row r="82" spans="6:8">
      <c r="F82" s="118"/>
      <c r="G82" s="118"/>
      <c r="H82" s="118"/>
    </row>
    <row r="83" spans="6:8">
      <c r="F83" s="118"/>
      <c r="G83" s="118"/>
      <c r="H83" s="118"/>
    </row>
    <row r="84" spans="6:8">
      <c r="F84" s="118"/>
      <c r="G84" s="118"/>
      <c r="H84" s="118"/>
    </row>
    <row r="85" spans="6:8">
      <c r="F85" s="118"/>
      <c r="G85" s="118"/>
      <c r="H85" s="118"/>
    </row>
    <row r="86" spans="6:8">
      <c r="F86" s="118"/>
      <c r="G86" s="118"/>
      <c r="H86" s="118"/>
    </row>
    <row r="87" spans="6:8">
      <c r="F87" s="118"/>
      <c r="G87" s="118"/>
      <c r="H87" s="118"/>
    </row>
    <row r="88" spans="6:8">
      <c r="F88" s="118"/>
      <c r="G88" s="118"/>
      <c r="H88" s="118"/>
    </row>
    <row r="89" spans="6:8">
      <c r="F89" s="118"/>
      <c r="G89" s="118"/>
      <c r="H89" s="118"/>
    </row>
  </sheetData>
  <sortState xmlns:xlrd2="http://schemas.microsoft.com/office/spreadsheetml/2017/richdata2" ref="A16:W18">
    <sortCondition ref="C16:C18"/>
  </sortState>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FF0000"/>
  </sheetPr>
  <dimension ref="A1:O67"/>
  <sheetViews>
    <sheetView zoomScale="85" zoomScaleNormal="85" workbookViewId="0">
      <selection activeCell="G31" sqref="G31"/>
    </sheetView>
  </sheetViews>
  <sheetFormatPr defaultRowHeight="12.75"/>
  <cols>
    <col min="1" max="1" width="9.28515625" style="67"/>
    <col min="2" max="2" width="30.7109375" style="67" customWidth="1"/>
    <col min="3" max="3" width="59" bestFit="1" customWidth="1"/>
    <col min="4" max="4" width="18.42578125" bestFit="1" customWidth="1"/>
    <col min="5" max="5" width="32.7109375" bestFit="1" customWidth="1"/>
    <col min="6" max="6" width="20.7109375" bestFit="1" customWidth="1"/>
    <col min="7" max="7" width="14.7109375" bestFit="1" customWidth="1"/>
    <col min="8" max="8" width="11.85546875" bestFit="1" customWidth="1"/>
    <col min="9" max="9" width="12.5703125" bestFit="1" customWidth="1"/>
    <col min="10" max="10" width="13.85546875" bestFit="1" customWidth="1"/>
    <col min="11" max="11" width="14.42578125" bestFit="1" customWidth="1"/>
    <col min="12" max="12" width="17.28515625" bestFit="1" customWidth="1"/>
    <col min="13" max="13" width="9.5703125" bestFit="1" customWidth="1"/>
    <col min="14" max="14" width="8.28515625" bestFit="1" customWidth="1"/>
  </cols>
  <sheetData>
    <row r="1" spans="3:14" ht="15">
      <c r="C1" s="110"/>
      <c r="D1" s="110"/>
      <c r="E1" s="110"/>
      <c r="F1" s="110"/>
      <c r="G1" s="110"/>
      <c r="H1" s="110"/>
      <c r="I1" s="110"/>
      <c r="J1" s="110"/>
      <c r="K1" s="110"/>
      <c r="L1" s="110"/>
      <c r="M1" s="110"/>
      <c r="N1" s="110"/>
    </row>
    <row r="2" spans="3:14" ht="15">
      <c r="C2" s="110"/>
      <c r="D2" s="110"/>
      <c r="E2" s="110"/>
      <c r="F2" s="110"/>
      <c r="G2" s="110"/>
      <c r="H2" s="110"/>
      <c r="I2" s="110"/>
      <c r="J2" s="110"/>
      <c r="K2" s="110"/>
      <c r="L2" s="110"/>
      <c r="M2" s="110"/>
      <c r="N2" s="110"/>
    </row>
    <row r="3" spans="3:14" ht="15">
      <c r="C3" s="110"/>
      <c r="D3" s="110"/>
      <c r="E3" s="110"/>
      <c r="F3" s="110"/>
      <c r="G3" s="110"/>
      <c r="H3" s="110"/>
      <c r="I3" s="110"/>
      <c r="J3" s="110"/>
      <c r="K3" s="110"/>
      <c r="L3" s="110"/>
      <c r="M3" s="110"/>
      <c r="N3" s="110"/>
    </row>
    <row r="4" spans="3:14" ht="15">
      <c r="C4" s="110"/>
      <c r="D4" s="110"/>
      <c r="E4" s="110"/>
      <c r="F4" s="110"/>
      <c r="G4" s="110"/>
      <c r="H4" s="110"/>
      <c r="I4" s="110"/>
      <c r="J4" s="110"/>
      <c r="K4" s="110"/>
      <c r="L4" s="110"/>
      <c r="M4" s="110"/>
      <c r="N4" s="110"/>
    </row>
    <row r="5" spans="3:14" ht="15">
      <c r="C5" s="110"/>
      <c r="D5" s="110"/>
      <c r="E5" s="110"/>
      <c r="F5" s="110"/>
      <c r="G5" s="110"/>
      <c r="H5" s="110"/>
      <c r="I5" s="110"/>
      <c r="J5" s="110"/>
      <c r="K5" s="110"/>
      <c r="L5" s="110"/>
      <c r="M5" s="110"/>
      <c r="N5" s="110"/>
    </row>
    <row r="6" spans="3:14" ht="15">
      <c r="C6" s="110"/>
      <c r="D6" s="110"/>
      <c r="E6" s="110"/>
      <c r="F6" s="110"/>
      <c r="G6" s="110"/>
      <c r="H6" s="110"/>
      <c r="I6" s="110"/>
      <c r="J6" s="110"/>
      <c r="K6" s="110"/>
      <c r="L6" s="110"/>
      <c r="M6" s="110"/>
      <c r="N6" s="110"/>
    </row>
    <row r="7" spans="3:14" ht="15">
      <c r="C7" s="110"/>
      <c r="D7" s="110"/>
      <c r="E7" s="110"/>
      <c r="F7" s="110"/>
      <c r="G7" s="110"/>
      <c r="H7" s="110"/>
      <c r="I7" s="110"/>
      <c r="J7" s="110"/>
      <c r="K7" s="110"/>
      <c r="L7" s="110"/>
      <c r="M7" s="110"/>
      <c r="N7" s="110"/>
    </row>
    <row r="8" spans="3:14" ht="15">
      <c r="C8" s="110"/>
      <c r="D8" s="110"/>
      <c r="E8" s="110"/>
      <c r="F8" s="110"/>
      <c r="G8" s="110"/>
      <c r="H8" s="110"/>
      <c r="I8" s="110"/>
      <c r="J8" s="110"/>
      <c r="K8" s="110"/>
      <c r="L8" s="110"/>
      <c r="M8" s="110"/>
      <c r="N8" s="110"/>
    </row>
    <row r="9" spans="3:14" ht="15">
      <c r="C9" s="110"/>
      <c r="D9" s="110"/>
      <c r="E9" s="110"/>
      <c r="F9" s="110"/>
      <c r="G9" s="110"/>
      <c r="H9" s="110"/>
      <c r="I9" s="110"/>
      <c r="J9" s="110"/>
      <c r="K9" s="110"/>
      <c r="L9" s="110"/>
      <c r="M9" s="110"/>
      <c r="N9" s="110"/>
    </row>
    <row r="10" spans="3:14" ht="15">
      <c r="C10" s="110"/>
      <c r="D10" s="110"/>
      <c r="E10" s="110"/>
      <c r="F10" s="110"/>
      <c r="G10" s="110"/>
      <c r="H10" s="110"/>
      <c r="I10" s="110"/>
      <c r="J10" s="110"/>
      <c r="K10" s="110"/>
      <c r="L10" s="110"/>
      <c r="M10" s="110"/>
      <c r="N10" s="110"/>
    </row>
    <row r="11" spans="3:14" ht="15">
      <c r="C11" s="110"/>
      <c r="D11" s="110"/>
      <c r="E11" s="110"/>
      <c r="F11" s="110"/>
      <c r="G11" s="110"/>
      <c r="H11" s="110"/>
      <c r="I11" s="110"/>
      <c r="J11" s="110"/>
      <c r="K11" s="110"/>
      <c r="L11" s="110"/>
      <c r="M11" s="110"/>
      <c r="N11" s="110"/>
    </row>
    <row r="12" spans="3:14" ht="15">
      <c r="C12" s="110"/>
      <c r="D12" s="110"/>
      <c r="E12" s="110"/>
      <c r="F12" s="110"/>
      <c r="G12" s="111"/>
      <c r="H12" s="110"/>
      <c r="I12" s="111"/>
      <c r="J12" s="110"/>
      <c r="K12" s="110"/>
      <c r="L12" s="110"/>
      <c r="M12" s="110"/>
      <c r="N12" s="110"/>
    </row>
    <row r="13" spans="3:14" ht="15">
      <c r="C13" s="110"/>
      <c r="D13" s="110"/>
      <c r="E13" s="110"/>
      <c r="F13" s="110"/>
      <c r="G13" s="111"/>
      <c r="H13" s="111"/>
      <c r="I13" s="110"/>
      <c r="J13" s="110"/>
      <c r="K13" s="110"/>
      <c r="L13" s="110"/>
      <c r="M13" s="110"/>
      <c r="N13" s="110"/>
    </row>
    <row r="14" spans="3:14" ht="15">
      <c r="C14" s="110"/>
      <c r="D14" s="110"/>
      <c r="E14" s="110"/>
      <c r="F14" s="110"/>
      <c r="G14" s="111"/>
      <c r="H14" s="110"/>
      <c r="I14" s="111"/>
      <c r="J14" s="111"/>
      <c r="K14" s="110"/>
      <c r="L14" s="110"/>
      <c r="M14" s="110"/>
      <c r="N14" s="110"/>
    </row>
    <row r="15" spans="3:14" ht="15">
      <c r="C15" s="110"/>
      <c r="D15" s="110"/>
      <c r="E15" s="110"/>
      <c r="F15" s="110"/>
      <c r="G15" s="111"/>
      <c r="H15" s="110"/>
      <c r="I15" s="111"/>
      <c r="J15" s="111"/>
      <c r="K15" s="110"/>
      <c r="L15" s="110"/>
      <c r="M15" s="110"/>
      <c r="N15" s="110"/>
    </row>
    <row r="16" spans="3:14" ht="15">
      <c r="C16" s="110"/>
      <c r="D16" s="110"/>
      <c r="E16" s="110"/>
      <c r="F16" s="110"/>
      <c r="G16" s="111"/>
      <c r="H16" s="110"/>
      <c r="I16" s="110"/>
      <c r="J16" s="111"/>
      <c r="K16" s="110"/>
      <c r="L16" s="110"/>
      <c r="M16" s="110"/>
      <c r="N16" s="110"/>
    </row>
    <row r="17" spans="3:14" ht="15">
      <c r="C17" s="110"/>
      <c r="D17" s="110"/>
      <c r="E17" s="110"/>
      <c r="F17" s="110"/>
      <c r="G17" s="111"/>
      <c r="H17" s="110"/>
      <c r="I17" s="110"/>
      <c r="J17" s="111"/>
      <c r="K17" s="110"/>
      <c r="L17" s="110"/>
      <c r="M17" s="110"/>
      <c r="N17" s="110"/>
    </row>
    <row r="18" spans="3:14" ht="15">
      <c r="C18" s="110"/>
      <c r="D18" s="110"/>
      <c r="E18" s="110"/>
      <c r="F18" s="110"/>
      <c r="G18" s="111"/>
      <c r="H18" s="111"/>
      <c r="I18" s="110"/>
      <c r="J18" s="111"/>
      <c r="K18" s="110"/>
      <c r="L18" s="110"/>
      <c r="M18" s="110"/>
      <c r="N18" s="110"/>
    </row>
    <row r="19" spans="3:14" ht="15">
      <c r="C19" s="110"/>
      <c r="D19" s="110"/>
      <c r="E19" s="110"/>
      <c r="F19" s="110"/>
      <c r="G19" s="111"/>
      <c r="H19" s="110"/>
      <c r="I19" s="110"/>
      <c r="J19" s="111"/>
      <c r="K19" s="110"/>
      <c r="L19" s="110"/>
      <c r="M19" s="110"/>
      <c r="N19" s="110"/>
    </row>
    <row r="20" spans="3:14" ht="15">
      <c r="C20" s="110"/>
      <c r="D20" s="110"/>
      <c r="E20" s="110"/>
      <c r="F20" s="110"/>
      <c r="G20" s="111"/>
      <c r="H20" s="110"/>
      <c r="I20" s="110"/>
      <c r="J20" s="111"/>
      <c r="K20" s="110"/>
      <c r="L20" s="110"/>
      <c r="M20" s="110"/>
      <c r="N20" s="110"/>
    </row>
    <row r="21" spans="3:14" ht="15">
      <c r="C21" s="110"/>
      <c r="D21" s="110"/>
      <c r="E21" s="110"/>
      <c r="F21" s="110"/>
      <c r="G21" s="111"/>
      <c r="H21" s="110"/>
      <c r="I21" s="111"/>
      <c r="J21" s="111"/>
      <c r="K21" s="110"/>
      <c r="L21" s="110"/>
      <c r="M21" s="110"/>
      <c r="N21" s="110"/>
    </row>
    <row r="22" spans="3:14" ht="15">
      <c r="C22" s="110"/>
      <c r="D22" s="110"/>
      <c r="E22" s="110"/>
      <c r="F22" s="110"/>
      <c r="G22" s="111"/>
      <c r="H22" s="110"/>
      <c r="I22" s="110"/>
      <c r="J22" s="111"/>
      <c r="K22" s="110"/>
      <c r="L22" s="110"/>
      <c r="M22" s="110"/>
      <c r="N22" s="110"/>
    </row>
    <row r="23" spans="3:14" ht="15">
      <c r="C23" s="110"/>
      <c r="D23" s="110"/>
      <c r="E23" s="110"/>
      <c r="F23" s="110"/>
      <c r="G23" s="111"/>
      <c r="H23" s="110"/>
      <c r="I23" s="110"/>
      <c r="J23" s="111"/>
      <c r="K23" s="110"/>
      <c r="L23" s="110"/>
      <c r="M23" s="110"/>
      <c r="N23" s="110"/>
    </row>
    <row r="24" spans="3:14" ht="15">
      <c r="C24" s="110"/>
      <c r="D24" s="110"/>
      <c r="E24" s="110"/>
      <c r="F24" s="110"/>
      <c r="G24" s="111"/>
      <c r="H24" s="110"/>
      <c r="I24" s="111"/>
      <c r="J24" s="111"/>
      <c r="K24" s="110"/>
      <c r="L24" s="110"/>
      <c r="M24" s="110"/>
      <c r="N24" s="110"/>
    </row>
    <row r="25" spans="3:14" ht="15">
      <c r="C25" s="110"/>
      <c r="D25" s="110"/>
      <c r="E25" s="110"/>
      <c r="F25" s="110"/>
      <c r="G25" s="111"/>
      <c r="H25" s="110"/>
      <c r="I25" s="110"/>
      <c r="J25" s="111"/>
      <c r="K25" s="110"/>
      <c r="L25" s="110"/>
      <c r="M25" s="110"/>
      <c r="N25" s="110"/>
    </row>
    <row r="26" spans="3:14" ht="15">
      <c r="C26" s="110"/>
      <c r="D26" s="110"/>
      <c r="E26" s="110"/>
      <c r="F26" s="110"/>
      <c r="G26" s="111"/>
      <c r="H26" s="110"/>
      <c r="I26" s="111"/>
      <c r="J26" s="111"/>
      <c r="K26" s="110"/>
      <c r="L26" s="110"/>
      <c r="M26" s="110"/>
      <c r="N26" s="110"/>
    </row>
    <row r="27" spans="3:14" ht="15">
      <c r="C27" s="110"/>
      <c r="D27" s="110"/>
      <c r="E27" s="110"/>
      <c r="F27" s="110"/>
      <c r="G27" s="111"/>
      <c r="H27" s="110"/>
      <c r="I27" s="111"/>
      <c r="J27" s="111"/>
      <c r="K27" s="110"/>
      <c r="L27" s="110"/>
      <c r="M27" s="110"/>
      <c r="N27" s="110"/>
    </row>
    <row r="28" spans="3:14" ht="15">
      <c r="C28" s="110"/>
      <c r="D28" s="110"/>
      <c r="E28" s="110"/>
      <c r="F28" s="110"/>
      <c r="G28" s="111"/>
      <c r="H28" s="110"/>
      <c r="I28" s="111"/>
      <c r="J28" s="110"/>
      <c r="K28" s="110"/>
      <c r="L28" s="110"/>
      <c r="M28" s="110"/>
      <c r="N28" s="110"/>
    </row>
    <row r="29" spans="3:14" ht="15">
      <c r="C29" s="110"/>
      <c r="D29" s="110"/>
      <c r="E29" s="110"/>
      <c r="F29" s="110"/>
      <c r="G29" s="111"/>
      <c r="H29" s="110"/>
      <c r="I29" s="111"/>
      <c r="J29" s="111"/>
      <c r="K29" s="110"/>
      <c r="L29" s="110"/>
      <c r="M29" s="110"/>
      <c r="N29" s="110"/>
    </row>
    <row r="30" spans="3:14" ht="15">
      <c r="C30" s="110"/>
      <c r="D30" s="110"/>
      <c r="E30" s="110"/>
      <c r="F30" s="110"/>
      <c r="G30" s="111"/>
      <c r="H30" s="110"/>
      <c r="I30" s="110"/>
      <c r="J30" s="111"/>
      <c r="K30" s="110"/>
      <c r="L30" s="110"/>
      <c r="M30" s="110"/>
      <c r="N30" s="110"/>
    </row>
    <row r="31" spans="3:14" ht="15">
      <c r="C31" s="110"/>
      <c r="D31" s="110"/>
      <c r="E31" s="110"/>
      <c r="F31" s="110"/>
      <c r="G31" s="111"/>
      <c r="H31" s="110"/>
      <c r="I31" s="110"/>
      <c r="J31" s="111"/>
      <c r="K31" s="110"/>
      <c r="L31" s="110"/>
      <c r="M31" s="110"/>
      <c r="N31" s="110"/>
    </row>
    <row r="32" spans="3:14" ht="15">
      <c r="C32" s="110"/>
      <c r="D32" s="110"/>
      <c r="E32" s="110"/>
      <c r="F32" s="110"/>
      <c r="G32" s="111"/>
      <c r="H32" s="110"/>
      <c r="I32" s="111"/>
      <c r="J32" s="111"/>
      <c r="K32" s="110"/>
      <c r="L32" s="110"/>
      <c r="M32" s="110"/>
      <c r="N32" s="110"/>
    </row>
    <row r="33" spans="3:14" ht="15">
      <c r="C33" s="110"/>
      <c r="D33" s="110"/>
      <c r="E33" s="110"/>
      <c r="F33" s="110"/>
      <c r="G33" s="110"/>
      <c r="H33" s="110"/>
      <c r="I33" s="110"/>
      <c r="J33" s="110"/>
      <c r="K33" s="110"/>
      <c r="L33" s="110"/>
      <c r="M33" s="110"/>
      <c r="N33" s="110"/>
    </row>
    <row r="34" spans="3:14" ht="15">
      <c r="C34" s="110"/>
      <c r="D34" s="110"/>
      <c r="E34" s="110"/>
      <c r="F34" s="110"/>
      <c r="G34" s="110"/>
      <c r="H34" s="110"/>
      <c r="I34" s="110"/>
      <c r="J34" s="110"/>
      <c r="K34" s="110"/>
      <c r="L34" s="110"/>
      <c r="M34" s="110"/>
      <c r="N34" s="110"/>
    </row>
    <row r="35" spans="3:14" ht="15">
      <c r="C35" s="110"/>
      <c r="D35" s="110"/>
      <c r="E35" s="110"/>
      <c r="F35" s="110"/>
      <c r="G35" s="110"/>
      <c r="H35" s="110"/>
      <c r="I35" s="110"/>
      <c r="J35" s="110"/>
      <c r="K35" s="110"/>
      <c r="L35" s="110"/>
      <c r="M35" s="110"/>
      <c r="N35" s="110"/>
    </row>
    <row r="36" spans="3:14" ht="15">
      <c r="C36" s="110"/>
      <c r="D36" s="110"/>
      <c r="E36" s="110"/>
      <c r="F36" s="110"/>
      <c r="G36" s="110"/>
      <c r="H36" s="110"/>
      <c r="I36" s="110"/>
      <c r="J36" s="110"/>
      <c r="K36" s="110"/>
      <c r="L36" s="110"/>
      <c r="M36" s="110"/>
      <c r="N36" s="110"/>
    </row>
    <row r="37" spans="3:14" ht="15">
      <c r="C37" s="110"/>
      <c r="D37" s="110"/>
      <c r="E37" s="110"/>
      <c r="F37" s="110"/>
      <c r="G37" s="110"/>
      <c r="H37" s="110"/>
      <c r="I37" s="110"/>
      <c r="J37" s="110"/>
      <c r="K37" s="110"/>
      <c r="L37" s="110"/>
      <c r="M37" s="110"/>
      <c r="N37" s="110"/>
    </row>
    <row r="38" spans="3:14" ht="15">
      <c r="C38" s="110"/>
      <c r="D38" s="110"/>
      <c r="E38" s="110"/>
      <c r="F38" s="110"/>
      <c r="G38" s="110"/>
      <c r="H38" s="110"/>
      <c r="I38" s="110"/>
      <c r="J38" s="110"/>
      <c r="K38" s="110"/>
      <c r="L38" s="110"/>
      <c r="M38" s="110"/>
      <c r="N38" s="110"/>
    </row>
    <row r="39" spans="3:14" ht="15">
      <c r="C39" s="110"/>
      <c r="D39" s="110"/>
      <c r="E39" s="110"/>
      <c r="F39" s="110"/>
      <c r="G39" s="110"/>
      <c r="H39" s="110"/>
      <c r="I39" s="110"/>
      <c r="J39" s="110"/>
      <c r="K39" s="110"/>
      <c r="L39" s="110"/>
      <c r="M39" s="110"/>
      <c r="N39" s="110"/>
    </row>
    <row r="40" spans="3:14" ht="15">
      <c r="C40" s="110"/>
      <c r="D40" s="110"/>
      <c r="E40" s="110"/>
      <c r="F40" s="110"/>
      <c r="G40" s="110"/>
      <c r="H40" s="110"/>
      <c r="I40" s="110"/>
      <c r="J40" s="110"/>
      <c r="K40" s="110"/>
      <c r="L40" s="110"/>
      <c r="M40" s="110"/>
      <c r="N40" s="110"/>
    </row>
    <row r="41" spans="3:14" ht="15">
      <c r="C41" s="110"/>
      <c r="D41" s="110"/>
      <c r="E41" s="110"/>
      <c r="F41" s="110"/>
      <c r="G41" s="110"/>
      <c r="H41" s="110"/>
      <c r="I41" s="110"/>
      <c r="J41" s="110"/>
      <c r="K41" s="110"/>
      <c r="L41" s="110"/>
      <c r="M41" s="110"/>
      <c r="N41" s="110"/>
    </row>
    <row r="42" spans="3:14" ht="15">
      <c r="C42" s="110"/>
      <c r="D42" s="110"/>
      <c r="E42" s="110"/>
      <c r="F42" s="110"/>
      <c r="G42" s="110"/>
      <c r="H42" s="110"/>
      <c r="I42" s="110"/>
      <c r="J42" s="110"/>
      <c r="K42" s="110"/>
      <c r="L42" s="110"/>
      <c r="M42" s="110"/>
      <c r="N42" s="110"/>
    </row>
    <row r="43" spans="3:14" ht="15">
      <c r="C43" s="110"/>
      <c r="D43" s="110"/>
      <c r="E43" s="110"/>
      <c r="F43" s="110"/>
      <c r="G43" s="110"/>
      <c r="H43" s="110"/>
      <c r="I43" s="110"/>
      <c r="J43" s="110"/>
      <c r="K43" s="110"/>
      <c r="L43" s="110"/>
      <c r="M43" s="110"/>
      <c r="N43" s="110"/>
    </row>
    <row r="44" spans="3:14" ht="15">
      <c r="C44" s="110"/>
      <c r="D44" s="110"/>
      <c r="E44" s="110"/>
      <c r="F44" s="110"/>
      <c r="G44" s="110"/>
      <c r="H44" s="110"/>
      <c r="I44" s="110"/>
      <c r="J44" s="110"/>
      <c r="K44" s="110"/>
      <c r="L44" s="110"/>
      <c r="M44" s="110"/>
      <c r="N44" s="110"/>
    </row>
    <row r="45" spans="3:14" ht="15">
      <c r="C45" s="110"/>
      <c r="D45" s="110"/>
      <c r="E45" s="110"/>
      <c r="F45" s="110"/>
      <c r="G45" s="110"/>
      <c r="H45" s="110"/>
      <c r="I45" s="110"/>
      <c r="J45" s="110"/>
      <c r="K45" s="110"/>
      <c r="L45" s="110"/>
      <c r="M45" s="110"/>
      <c r="N45" s="110"/>
    </row>
    <row r="46" spans="3:14" ht="15">
      <c r="C46" s="110"/>
      <c r="D46" s="110"/>
      <c r="E46" s="110"/>
      <c r="F46" s="110"/>
      <c r="G46" s="110"/>
      <c r="H46" s="110"/>
      <c r="I46" s="110"/>
      <c r="J46" s="110"/>
      <c r="K46" s="110"/>
      <c r="L46" s="110"/>
      <c r="M46" s="110"/>
      <c r="N46" s="110"/>
    </row>
    <row r="47" spans="3:14" ht="15">
      <c r="C47" s="110"/>
      <c r="D47" s="110"/>
      <c r="E47" s="110"/>
      <c r="F47" s="110"/>
      <c r="G47" s="110"/>
      <c r="H47" s="110"/>
      <c r="I47" s="110"/>
      <c r="J47" s="110"/>
      <c r="K47" s="110"/>
      <c r="L47" s="110"/>
      <c r="M47" s="110"/>
      <c r="N47" s="110"/>
    </row>
    <row r="48" spans="3:14" ht="15">
      <c r="C48" s="110"/>
      <c r="D48" s="110"/>
      <c r="E48" s="110"/>
      <c r="F48" s="110"/>
      <c r="G48" s="110"/>
      <c r="H48" s="110"/>
      <c r="I48" s="110"/>
      <c r="J48" s="110"/>
      <c r="K48" s="110"/>
      <c r="L48" s="110"/>
      <c r="M48" s="110"/>
      <c r="N48" s="110"/>
    </row>
    <row r="49" spans="3:15" ht="15">
      <c r="C49" s="110"/>
      <c r="D49" s="110"/>
      <c r="E49" s="110"/>
      <c r="F49" s="110"/>
      <c r="G49" s="110"/>
      <c r="H49" s="110"/>
      <c r="I49" s="110"/>
      <c r="J49" s="110"/>
      <c r="K49" s="110"/>
      <c r="L49" s="110"/>
      <c r="M49" s="110"/>
      <c r="N49" s="110"/>
    </row>
    <row r="50" spans="3:15" ht="15">
      <c r="C50" s="110"/>
      <c r="D50" s="110"/>
      <c r="E50" s="110"/>
      <c r="F50" s="110"/>
      <c r="G50" s="110"/>
      <c r="H50" s="110"/>
      <c r="I50" s="110"/>
      <c r="J50" s="110"/>
      <c r="K50" s="110"/>
      <c r="L50" s="110"/>
      <c r="M50" s="110"/>
      <c r="N50" s="110"/>
    </row>
    <row r="51" spans="3:15" ht="15">
      <c r="C51" s="110"/>
      <c r="D51" s="110"/>
      <c r="E51" s="110"/>
      <c r="F51" s="110"/>
      <c r="G51" s="110"/>
      <c r="H51" s="110"/>
      <c r="I51" s="110"/>
      <c r="J51" s="110"/>
      <c r="K51" s="110"/>
      <c r="L51" s="110"/>
      <c r="M51" s="110"/>
      <c r="N51" s="110"/>
    </row>
    <row r="52" spans="3:15" ht="15">
      <c r="C52" s="109"/>
      <c r="D52" s="109"/>
      <c r="E52" s="109"/>
      <c r="F52" s="109"/>
      <c r="G52" s="109"/>
      <c r="H52" s="109"/>
      <c r="I52" s="109"/>
      <c r="J52" s="109"/>
      <c r="K52" s="109"/>
      <c r="L52" s="109"/>
      <c r="M52" s="109"/>
      <c r="N52" s="109"/>
    </row>
    <row r="53" spans="3:15" ht="15">
      <c r="C53" s="109"/>
      <c r="D53" s="109"/>
      <c r="E53" s="109"/>
      <c r="F53" s="109"/>
      <c r="G53" s="109"/>
      <c r="H53" s="109"/>
      <c r="I53" s="109"/>
      <c r="J53" s="109"/>
      <c r="K53" s="109"/>
      <c r="L53" s="109"/>
      <c r="M53" s="109"/>
      <c r="N53" s="109"/>
    </row>
    <row r="54" spans="3:15" ht="15">
      <c r="C54" s="108"/>
      <c r="D54" s="108"/>
      <c r="E54" s="108"/>
      <c r="F54" s="108"/>
      <c r="G54" s="108"/>
      <c r="H54" s="108"/>
      <c r="I54" s="108"/>
      <c r="J54" s="108"/>
      <c r="K54" s="108"/>
      <c r="L54" s="108"/>
      <c r="M54" s="108"/>
      <c r="N54" s="108"/>
    </row>
    <row r="55" spans="3:15" ht="15">
      <c r="C55" s="108"/>
      <c r="D55" s="108"/>
      <c r="E55" s="108"/>
      <c r="F55" s="108"/>
      <c r="G55" s="108"/>
      <c r="H55" s="108"/>
      <c r="I55" s="108"/>
      <c r="J55" s="108"/>
      <c r="K55" s="108"/>
      <c r="L55" s="108"/>
      <c r="M55" s="108"/>
      <c r="N55" s="108"/>
    </row>
    <row r="56" spans="3:15" ht="15">
      <c r="C56" s="108"/>
      <c r="D56" s="108"/>
      <c r="E56" s="108"/>
      <c r="F56" s="108"/>
      <c r="G56" s="108"/>
      <c r="H56" s="108"/>
      <c r="I56" s="108"/>
      <c r="J56" s="108"/>
      <c r="K56" s="108"/>
      <c r="L56" s="108"/>
      <c r="M56" s="108"/>
      <c r="N56" s="108"/>
    </row>
    <row r="57" spans="3:15" ht="15">
      <c r="C57" s="108"/>
      <c r="D57" s="108"/>
      <c r="E57" s="108"/>
      <c r="F57" s="108"/>
      <c r="G57" s="108"/>
      <c r="H57" s="108"/>
      <c r="I57" s="108"/>
      <c r="J57" s="108"/>
      <c r="K57" s="108"/>
      <c r="L57" s="108"/>
      <c r="M57" s="108"/>
      <c r="N57" s="108"/>
    </row>
    <row r="58" spans="3:15" ht="15">
      <c r="C58" s="107"/>
      <c r="D58" s="107"/>
      <c r="E58" s="107"/>
      <c r="F58" s="107"/>
      <c r="G58" s="107"/>
      <c r="H58" s="107"/>
      <c r="I58" s="107"/>
      <c r="J58" s="107"/>
      <c r="K58" s="107"/>
      <c r="L58" s="107"/>
      <c r="M58" s="107"/>
      <c r="N58" s="107"/>
    </row>
    <row r="59" spans="3:15" ht="15">
      <c r="C59" s="107"/>
      <c r="D59" s="107"/>
      <c r="E59" s="107"/>
      <c r="F59" s="107"/>
      <c r="G59" s="107"/>
      <c r="H59" s="107"/>
      <c r="I59" s="107"/>
      <c r="J59" s="107"/>
      <c r="K59" s="107"/>
      <c r="L59" s="107"/>
      <c r="M59" s="107"/>
      <c r="N59" s="107"/>
      <c r="O59" s="93"/>
    </row>
    <row r="60" spans="3:15" ht="15">
      <c r="C60" s="106"/>
      <c r="D60" s="106"/>
      <c r="E60" s="106"/>
      <c r="F60" s="106"/>
      <c r="G60" s="106"/>
      <c r="H60" s="106"/>
      <c r="I60" s="106"/>
      <c r="J60" s="106"/>
      <c r="K60" s="106"/>
      <c r="L60" s="106"/>
      <c r="M60" s="106"/>
      <c r="N60" s="106"/>
      <c r="O60" s="84"/>
    </row>
    <row r="61" spans="3:15" ht="15">
      <c r="C61" s="106"/>
      <c r="D61" s="106"/>
      <c r="E61" s="106"/>
      <c r="F61" s="106"/>
      <c r="G61" s="106"/>
      <c r="H61" s="106"/>
      <c r="I61" s="106"/>
      <c r="J61" s="106"/>
      <c r="K61" s="106"/>
      <c r="L61" s="106"/>
      <c r="M61" s="106"/>
      <c r="N61" s="106"/>
      <c r="O61" s="84"/>
    </row>
    <row r="62" spans="3:15" ht="15">
      <c r="C62" s="106"/>
      <c r="D62" s="106"/>
      <c r="E62" s="106"/>
      <c r="F62" s="106"/>
      <c r="G62" s="106"/>
      <c r="H62" s="106"/>
      <c r="I62" s="106"/>
      <c r="J62" s="106"/>
      <c r="K62" s="106"/>
      <c r="L62" s="106"/>
      <c r="M62" s="106"/>
      <c r="N62" s="106"/>
    </row>
    <row r="63" spans="3:15" ht="15">
      <c r="C63" s="106"/>
      <c r="D63" s="106"/>
      <c r="E63" s="106"/>
      <c r="F63" s="106"/>
      <c r="G63" s="106"/>
      <c r="H63" s="106"/>
      <c r="I63" s="106"/>
      <c r="J63" s="106"/>
      <c r="K63" s="106"/>
      <c r="L63" s="106"/>
      <c r="M63" s="106"/>
      <c r="N63" s="106"/>
    </row>
    <row r="64" spans="3:15" ht="15">
      <c r="C64" s="106"/>
      <c r="D64" s="106"/>
      <c r="E64" s="106"/>
      <c r="F64" s="106"/>
      <c r="G64" s="106"/>
      <c r="H64" s="106"/>
      <c r="I64" s="106"/>
      <c r="J64" s="106"/>
      <c r="K64" s="106"/>
      <c r="L64" s="106"/>
      <c r="M64" s="106"/>
      <c r="N64" s="106"/>
    </row>
    <row r="65" spans="3:14" ht="15">
      <c r="C65" s="105"/>
      <c r="D65" s="105"/>
      <c r="E65" s="105"/>
      <c r="F65" s="105"/>
      <c r="G65" s="105"/>
      <c r="H65" s="105"/>
      <c r="I65" s="105"/>
      <c r="J65" s="105"/>
      <c r="K65" s="105"/>
      <c r="L65" s="105"/>
      <c r="M65" s="105"/>
      <c r="N65" s="105"/>
    </row>
    <row r="66" spans="3:14" ht="15">
      <c r="C66" s="105"/>
      <c r="D66" s="105"/>
      <c r="E66" s="105"/>
      <c r="F66" s="105"/>
      <c r="G66" s="105"/>
      <c r="H66" s="105"/>
      <c r="I66" s="105"/>
      <c r="J66" s="105"/>
      <c r="K66" s="105"/>
      <c r="L66" s="105"/>
      <c r="M66" s="105"/>
      <c r="N66" s="105"/>
    </row>
    <row r="67" spans="3:14" ht="15">
      <c r="C67" s="103"/>
      <c r="D67" s="103"/>
      <c r="E67" s="103"/>
      <c r="F67" s="103"/>
      <c r="G67" s="103"/>
      <c r="H67" s="103"/>
      <c r="I67" s="103"/>
      <c r="J67" s="103"/>
      <c r="K67" s="103"/>
      <c r="L67" s="103"/>
      <c r="M67" s="103"/>
      <c r="N67" s="103"/>
    </row>
  </sheetData>
  <phoneticPr fontId="0" type="noConversion"/>
  <pageMargins left="0.75" right="0.75" top="1" bottom="1" header="0.5" footer="0.5"/>
  <pageSetup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R67"/>
  <sheetViews>
    <sheetView workbookViewId="0">
      <selection sqref="A1:XFD1048576"/>
    </sheetView>
  </sheetViews>
  <sheetFormatPr defaultRowHeight="12.75"/>
  <cols>
    <col min="1" max="1" width="33.85546875" bestFit="1" customWidth="1"/>
    <col min="2" max="2" width="9.28515625"/>
    <col min="3" max="3" width="9.28515625" style="96"/>
    <col min="4" max="4" width="18.7109375" style="96" bestFit="1" customWidth="1"/>
    <col min="5" max="6" width="9.28515625" style="96"/>
    <col min="7" max="7" width="15.5703125" style="96" bestFit="1" customWidth="1"/>
    <col min="8" max="8" width="11.7109375" style="96" bestFit="1" customWidth="1"/>
    <col min="9" max="9" width="13" style="96" bestFit="1" customWidth="1"/>
    <col min="10" max="10" width="14" style="96" bestFit="1" customWidth="1"/>
    <col min="11" max="14" width="9.28515625" style="96"/>
    <col min="15" max="17" width="9.28515625"/>
    <col min="18" max="18" width="9.7109375" bestFit="1" customWidth="1"/>
    <col min="19" max="259" width="9.28515625"/>
    <col min="260" max="260" width="18.7109375" bestFit="1" customWidth="1"/>
    <col min="261" max="263" width="9.28515625"/>
    <col min="264" max="264" width="13.7109375" bestFit="1" customWidth="1"/>
    <col min="265" max="266" width="14.5703125" bestFit="1" customWidth="1"/>
    <col min="267" max="515" width="9.28515625"/>
    <col min="516" max="516" width="18.7109375" bestFit="1" customWidth="1"/>
    <col min="517" max="519" width="9.28515625"/>
    <col min="520" max="520" width="13.7109375" bestFit="1" customWidth="1"/>
    <col min="521" max="522" width="14.5703125" bestFit="1" customWidth="1"/>
    <col min="523" max="771" width="9.28515625"/>
    <col min="772" max="772" width="18.7109375" bestFit="1" customWidth="1"/>
    <col min="773" max="775" width="9.28515625"/>
    <col min="776" max="776" width="13.7109375" bestFit="1" customWidth="1"/>
    <col min="777" max="778" width="14.5703125" bestFit="1" customWidth="1"/>
    <col min="779" max="1027" width="9.28515625"/>
    <col min="1028" max="1028" width="18.7109375" bestFit="1" customWidth="1"/>
    <col min="1029" max="1031" width="9.28515625"/>
    <col min="1032" max="1032" width="13.7109375" bestFit="1" customWidth="1"/>
    <col min="1033" max="1034" width="14.5703125" bestFit="1" customWidth="1"/>
    <col min="1035" max="1283" width="9.28515625"/>
    <col min="1284" max="1284" width="18.7109375" bestFit="1" customWidth="1"/>
    <col min="1285" max="1287" width="9.28515625"/>
    <col min="1288" max="1288" width="13.7109375" bestFit="1" customWidth="1"/>
    <col min="1289" max="1290" width="14.5703125" bestFit="1" customWidth="1"/>
    <col min="1291" max="1539" width="9.28515625"/>
    <col min="1540" max="1540" width="18.7109375" bestFit="1" customWidth="1"/>
    <col min="1541" max="1543" width="9.28515625"/>
    <col min="1544" max="1544" width="13.7109375" bestFit="1" customWidth="1"/>
    <col min="1545" max="1546" width="14.5703125" bestFit="1" customWidth="1"/>
    <col min="1547" max="1795" width="9.28515625"/>
    <col min="1796" max="1796" width="18.7109375" bestFit="1" customWidth="1"/>
    <col min="1797" max="1799" width="9.28515625"/>
    <col min="1800" max="1800" width="13.7109375" bestFit="1" customWidth="1"/>
    <col min="1801" max="1802" width="14.5703125" bestFit="1" customWidth="1"/>
    <col min="1803" max="2051" width="9.28515625"/>
    <col min="2052" max="2052" width="18.7109375" bestFit="1" customWidth="1"/>
    <col min="2053" max="2055" width="9.28515625"/>
    <col min="2056" max="2056" width="13.7109375" bestFit="1" customWidth="1"/>
    <col min="2057" max="2058" width="14.5703125" bestFit="1" customWidth="1"/>
    <col min="2059" max="2307" width="9.28515625"/>
    <col min="2308" max="2308" width="18.7109375" bestFit="1" customWidth="1"/>
    <col min="2309" max="2311" width="9.28515625"/>
    <col min="2312" max="2312" width="13.7109375" bestFit="1" customWidth="1"/>
    <col min="2313" max="2314" width="14.5703125" bestFit="1" customWidth="1"/>
    <col min="2315" max="2563" width="9.28515625"/>
    <col min="2564" max="2564" width="18.7109375" bestFit="1" customWidth="1"/>
    <col min="2565" max="2567" width="9.28515625"/>
    <col min="2568" max="2568" width="13.7109375" bestFit="1" customWidth="1"/>
    <col min="2569" max="2570" width="14.5703125" bestFit="1" customWidth="1"/>
    <col min="2571" max="2819" width="9.28515625"/>
    <col min="2820" max="2820" width="18.7109375" bestFit="1" customWidth="1"/>
    <col min="2821" max="2823" width="9.28515625"/>
    <col min="2824" max="2824" width="13.7109375" bestFit="1" customWidth="1"/>
    <col min="2825" max="2826" width="14.5703125" bestFit="1" customWidth="1"/>
    <col min="2827" max="3075" width="9.28515625"/>
    <col min="3076" max="3076" width="18.7109375" bestFit="1" customWidth="1"/>
    <col min="3077" max="3079" width="9.28515625"/>
    <col min="3080" max="3080" width="13.7109375" bestFit="1" customWidth="1"/>
    <col min="3081" max="3082" width="14.5703125" bestFit="1" customWidth="1"/>
    <col min="3083" max="3331" width="9.28515625"/>
    <col min="3332" max="3332" width="18.7109375" bestFit="1" customWidth="1"/>
    <col min="3333" max="3335" width="9.28515625"/>
    <col min="3336" max="3336" width="13.7109375" bestFit="1" customWidth="1"/>
    <col min="3337" max="3338" width="14.5703125" bestFit="1" customWidth="1"/>
    <col min="3339" max="3587" width="9.28515625"/>
    <col min="3588" max="3588" width="18.7109375" bestFit="1" customWidth="1"/>
    <col min="3589" max="3591" width="9.28515625"/>
    <col min="3592" max="3592" width="13.7109375" bestFit="1" customWidth="1"/>
    <col min="3593" max="3594" width="14.5703125" bestFit="1" customWidth="1"/>
    <col min="3595" max="3843" width="9.28515625"/>
    <col min="3844" max="3844" width="18.7109375" bestFit="1" customWidth="1"/>
    <col min="3845" max="3847" width="9.28515625"/>
    <col min="3848" max="3848" width="13.7109375" bestFit="1" customWidth="1"/>
    <col min="3849" max="3850" width="14.5703125" bestFit="1" customWidth="1"/>
    <col min="3851" max="4099" width="9.28515625"/>
    <col min="4100" max="4100" width="18.7109375" bestFit="1" customWidth="1"/>
    <col min="4101" max="4103" width="9.28515625"/>
    <col min="4104" max="4104" width="13.7109375" bestFit="1" customWidth="1"/>
    <col min="4105" max="4106" width="14.5703125" bestFit="1" customWidth="1"/>
    <col min="4107" max="4355" width="9.28515625"/>
    <col min="4356" max="4356" width="18.7109375" bestFit="1" customWidth="1"/>
    <col min="4357" max="4359" width="9.28515625"/>
    <col min="4360" max="4360" width="13.7109375" bestFit="1" customWidth="1"/>
    <col min="4361" max="4362" width="14.5703125" bestFit="1" customWidth="1"/>
    <col min="4363" max="4611" width="9.28515625"/>
    <col min="4612" max="4612" width="18.7109375" bestFit="1" customWidth="1"/>
    <col min="4613" max="4615" width="9.28515625"/>
    <col min="4616" max="4616" width="13.7109375" bestFit="1" customWidth="1"/>
    <col min="4617" max="4618" width="14.5703125" bestFit="1" customWidth="1"/>
    <col min="4619" max="4867" width="9.28515625"/>
    <col min="4868" max="4868" width="18.7109375" bestFit="1" customWidth="1"/>
    <col min="4869" max="4871" width="9.28515625"/>
    <col min="4872" max="4872" width="13.7109375" bestFit="1" customWidth="1"/>
    <col min="4873" max="4874" width="14.5703125" bestFit="1" customWidth="1"/>
    <col min="4875" max="5123" width="9.28515625"/>
    <col min="5124" max="5124" width="18.7109375" bestFit="1" customWidth="1"/>
    <col min="5125" max="5127" width="9.28515625"/>
    <col min="5128" max="5128" width="13.7109375" bestFit="1" customWidth="1"/>
    <col min="5129" max="5130" width="14.5703125" bestFit="1" customWidth="1"/>
    <col min="5131" max="5379" width="9.28515625"/>
    <col min="5380" max="5380" width="18.7109375" bestFit="1" customWidth="1"/>
    <col min="5381" max="5383" width="9.28515625"/>
    <col min="5384" max="5384" width="13.7109375" bestFit="1" customWidth="1"/>
    <col min="5385" max="5386" width="14.5703125" bestFit="1" customWidth="1"/>
    <col min="5387" max="5635" width="9.28515625"/>
    <col min="5636" max="5636" width="18.7109375" bestFit="1" customWidth="1"/>
    <col min="5637" max="5639" width="9.28515625"/>
    <col min="5640" max="5640" width="13.7109375" bestFit="1" customWidth="1"/>
    <col min="5641" max="5642" width="14.5703125" bestFit="1" customWidth="1"/>
    <col min="5643" max="5891" width="9.28515625"/>
    <col min="5892" max="5892" width="18.7109375" bestFit="1" customWidth="1"/>
    <col min="5893" max="5895" width="9.28515625"/>
    <col min="5896" max="5896" width="13.7109375" bestFit="1" customWidth="1"/>
    <col min="5897" max="5898" width="14.5703125" bestFit="1" customWidth="1"/>
    <col min="5899" max="6147" width="9.28515625"/>
    <col min="6148" max="6148" width="18.7109375" bestFit="1" customWidth="1"/>
    <col min="6149" max="6151" width="9.28515625"/>
    <col min="6152" max="6152" width="13.7109375" bestFit="1" customWidth="1"/>
    <col min="6153" max="6154" width="14.5703125" bestFit="1" customWidth="1"/>
    <col min="6155" max="6403" width="9.28515625"/>
    <col min="6404" max="6404" width="18.7109375" bestFit="1" customWidth="1"/>
    <col min="6405" max="6407" width="9.28515625"/>
    <col min="6408" max="6408" width="13.7109375" bestFit="1" customWidth="1"/>
    <col min="6409" max="6410" width="14.5703125" bestFit="1" customWidth="1"/>
    <col min="6411" max="6659" width="9.28515625"/>
    <col min="6660" max="6660" width="18.7109375" bestFit="1" customWidth="1"/>
    <col min="6661" max="6663" width="9.28515625"/>
    <col min="6664" max="6664" width="13.7109375" bestFit="1" customWidth="1"/>
    <col min="6665" max="6666" width="14.5703125" bestFit="1" customWidth="1"/>
    <col min="6667" max="6915" width="9.28515625"/>
    <col min="6916" max="6916" width="18.7109375" bestFit="1" customWidth="1"/>
    <col min="6917" max="6919" width="9.28515625"/>
    <col min="6920" max="6920" width="13.7109375" bestFit="1" customWidth="1"/>
    <col min="6921" max="6922" width="14.5703125" bestFit="1" customWidth="1"/>
    <col min="6923" max="7171" width="9.28515625"/>
    <col min="7172" max="7172" width="18.7109375" bestFit="1" customWidth="1"/>
    <col min="7173" max="7175" width="9.28515625"/>
    <col min="7176" max="7176" width="13.7109375" bestFit="1" customWidth="1"/>
    <col min="7177" max="7178" width="14.5703125" bestFit="1" customWidth="1"/>
    <col min="7179" max="7427" width="9.28515625"/>
    <col min="7428" max="7428" width="18.7109375" bestFit="1" customWidth="1"/>
    <col min="7429" max="7431" width="9.28515625"/>
    <col min="7432" max="7432" width="13.7109375" bestFit="1" customWidth="1"/>
    <col min="7433" max="7434" width="14.5703125" bestFit="1" customWidth="1"/>
    <col min="7435" max="7683" width="9.28515625"/>
    <col min="7684" max="7684" width="18.7109375" bestFit="1" customWidth="1"/>
    <col min="7685" max="7687" width="9.28515625"/>
    <col min="7688" max="7688" width="13.7109375" bestFit="1" customWidth="1"/>
    <col min="7689" max="7690" width="14.5703125" bestFit="1" customWidth="1"/>
    <col min="7691" max="7939" width="9.28515625"/>
    <col min="7940" max="7940" width="18.7109375" bestFit="1" customWidth="1"/>
    <col min="7941" max="7943" width="9.28515625"/>
    <col min="7944" max="7944" width="13.7109375" bestFit="1" customWidth="1"/>
    <col min="7945" max="7946" width="14.5703125" bestFit="1" customWidth="1"/>
    <col min="7947" max="8195" width="9.28515625"/>
    <col min="8196" max="8196" width="18.7109375" bestFit="1" customWidth="1"/>
    <col min="8197" max="8199" width="9.28515625"/>
    <col min="8200" max="8200" width="13.7109375" bestFit="1" customWidth="1"/>
    <col min="8201" max="8202" width="14.5703125" bestFit="1" customWidth="1"/>
    <col min="8203" max="8451" width="9.28515625"/>
    <col min="8452" max="8452" width="18.7109375" bestFit="1" customWidth="1"/>
    <col min="8453" max="8455" width="9.28515625"/>
    <col min="8456" max="8456" width="13.7109375" bestFit="1" customWidth="1"/>
    <col min="8457" max="8458" width="14.5703125" bestFit="1" customWidth="1"/>
    <col min="8459" max="8707" width="9.28515625"/>
    <col min="8708" max="8708" width="18.7109375" bestFit="1" customWidth="1"/>
    <col min="8709" max="8711" width="9.28515625"/>
    <col min="8712" max="8712" width="13.7109375" bestFit="1" customWidth="1"/>
    <col min="8713" max="8714" width="14.5703125" bestFit="1" customWidth="1"/>
    <col min="8715" max="8963" width="9.28515625"/>
    <col min="8964" max="8964" width="18.7109375" bestFit="1" customWidth="1"/>
    <col min="8965" max="8967" width="9.28515625"/>
    <col min="8968" max="8968" width="13.7109375" bestFit="1" customWidth="1"/>
    <col min="8969" max="8970" width="14.5703125" bestFit="1" customWidth="1"/>
    <col min="8971" max="9219" width="9.28515625"/>
    <col min="9220" max="9220" width="18.7109375" bestFit="1" customWidth="1"/>
    <col min="9221" max="9223" width="9.28515625"/>
    <col min="9224" max="9224" width="13.7109375" bestFit="1" customWidth="1"/>
    <col min="9225" max="9226" width="14.5703125" bestFit="1" customWidth="1"/>
    <col min="9227" max="9475" width="9.28515625"/>
    <col min="9476" max="9476" width="18.7109375" bestFit="1" customWidth="1"/>
    <col min="9477" max="9479" width="9.28515625"/>
    <col min="9480" max="9480" width="13.7109375" bestFit="1" customWidth="1"/>
    <col min="9481" max="9482" width="14.5703125" bestFit="1" customWidth="1"/>
    <col min="9483" max="9731" width="9.28515625"/>
    <col min="9732" max="9732" width="18.7109375" bestFit="1" customWidth="1"/>
    <col min="9733" max="9735" width="9.28515625"/>
    <col min="9736" max="9736" width="13.7109375" bestFit="1" customWidth="1"/>
    <col min="9737" max="9738" width="14.5703125" bestFit="1" customWidth="1"/>
    <col min="9739" max="9987" width="9.28515625"/>
    <col min="9988" max="9988" width="18.7109375" bestFit="1" customWidth="1"/>
    <col min="9989" max="9991" width="9.28515625"/>
    <col min="9992" max="9992" width="13.7109375" bestFit="1" customWidth="1"/>
    <col min="9993" max="9994" width="14.5703125" bestFit="1" customWidth="1"/>
    <col min="9995" max="10243" width="9.28515625"/>
    <col min="10244" max="10244" width="18.7109375" bestFit="1" customWidth="1"/>
    <col min="10245" max="10247" width="9.28515625"/>
    <col min="10248" max="10248" width="13.7109375" bestFit="1" customWidth="1"/>
    <col min="10249" max="10250" width="14.5703125" bestFit="1" customWidth="1"/>
    <col min="10251" max="10499" width="9.28515625"/>
    <col min="10500" max="10500" width="18.7109375" bestFit="1" customWidth="1"/>
    <col min="10501" max="10503" width="9.28515625"/>
    <col min="10504" max="10504" width="13.7109375" bestFit="1" customWidth="1"/>
    <col min="10505" max="10506" width="14.5703125" bestFit="1" customWidth="1"/>
    <col min="10507" max="10755" width="9.28515625"/>
    <col min="10756" max="10756" width="18.7109375" bestFit="1" customWidth="1"/>
    <col min="10757" max="10759" width="9.28515625"/>
    <col min="10760" max="10760" width="13.7109375" bestFit="1" customWidth="1"/>
    <col min="10761" max="10762" width="14.5703125" bestFit="1" customWidth="1"/>
    <col min="10763" max="11011" width="9.28515625"/>
    <col min="11012" max="11012" width="18.7109375" bestFit="1" customWidth="1"/>
    <col min="11013" max="11015" width="9.28515625"/>
    <col min="11016" max="11016" width="13.7109375" bestFit="1" customWidth="1"/>
    <col min="11017" max="11018" width="14.5703125" bestFit="1" customWidth="1"/>
    <col min="11019" max="11267" width="9.28515625"/>
    <col min="11268" max="11268" width="18.7109375" bestFit="1" customWidth="1"/>
    <col min="11269" max="11271" width="9.28515625"/>
    <col min="11272" max="11272" width="13.7109375" bestFit="1" customWidth="1"/>
    <col min="11273" max="11274" width="14.5703125" bestFit="1" customWidth="1"/>
    <col min="11275" max="11523" width="9.28515625"/>
    <col min="11524" max="11524" width="18.7109375" bestFit="1" customWidth="1"/>
    <col min="11525" max="11527" width="9.28515625"/>
    <col min="11528" max="11528" width="13.7109375" bestFit="1" customWidth="1"/>
    <col min="11529" max="11530" width="14.5703125" bestFit="1" customWidth="1"/>
    <col min="11531" max="11779" width="9.28515625"/>
    <col min="11780" max="11780" width="18.7109375" bestFit="1" customWidth="1"/>
    <col min="11781" max="11783" width="9.28515625"/>
    <col min="11784" max="11784" width="13.7109375" bestFit="1" customWidth="1"/>
    <col min="11785" max="11786" width="14.5703125" bestFit="1" customWidth="1"/>
    <col min="11787" max="12035" width="9.28515625"/>
    <col min="12036" max="12036" width="18.7109375" bestFit="1" customWidth="1"/>
    <col min="12037" max="12039" width="9.28515625"/>
    <col min="12040" max="12040" width="13.7109375" bestFit="1" customWidth="1"/>
    <col min="12041" max="12042" width="14.5703125" bestFit="1" customWidth="1"/>
    <col min="12043" max="12291" width="9.28515625"/>
    <col min="12292" max="12292" width="18.7109375" bestFit="1" customWidth="1"/>
    <col min="12293" max="12295" width="9.28515625"/>
    <col min="12296" max="12296" width="13.7109375" bestFit="1" customWidth="1"/>
    <col min="12297" max="12298" width="14.5703125" bestFit="1" customWidth="1"/>
    <col min="12299" max="12547" width="9.28515625"/>
    <col min="12548" max="12548" width="18.7109375" bestFit="1" customWidth="1"/>
    <col min="12549" max="12551" width="9.28515625"/>
    <col min="12552" max="12552" width="13.7109375" bestFit="1" customWidth="1"/>
    <col min="12553" max="12554" width="14.5703125" bestFit="1" customWidth="1"/>
    <col min="12555" max="12803" width="9.28515625"/>
    <col min="12804" max="12804" width="18.7109375" bestFit="1" customWidth="1"/>
    <col min="12805" max="12807" width="9.28515625"/>
    <col min="12808" max="12808" width="13.7109375" bestFit="1" customWidth="1"/>
    <col min="12809" max="12810" width="14.5703125" bestFit="1" customWidth="1"/>
    <col min="12811" max="13059" width="9.28515625"/>
    <col min="13060" max="13060" width="18.7109375" bestFit="1" customWidth="1"/>
    <col min="13061" max="13063" width="9.28515625"/>
    <col min="13064" max="13064" width="13.7109375" bestFit="1" customWidth="1"/>
    <col min="13065" max="13066" width="14.5703125" bestFit="1" customWidth="1"/>
    <col min="13067" max="13315" width="9.28515625"/>
    <col min="13316" max="13316" width="18.7109375" bestFit="1" customWidth="1"/>
    <col min="13317" max="13319" width="9.28515625"/>
    <col min="13320" max="13320" width="13.7109375" bestFit="1" customWidth="1"/>
    <col min="13321" max="13322" width="14.5703125" bestFit="1" customWidth="1"/>
    <col min="13323" max="13571" width="9.28515625"/>
    <col min="13572" max="13572" width="18.7109375" bestFit="1" customWidth="1"/>
    <col min="13573" max="13575" width="9.28515625"/>
    <col min="13576" max="13576" width="13.7109375" bestFit="1" customWidth="1"/>
    <col min="13577" max="13578" width="14.5703125" bestFit="1" customWidth="1"/>
    <col min="13579" max="13827" width="9.28515625"/>
    <col min="13828" max="13828" width="18.7109375" bestFit="1" customWidth="1"/>
    <col min="13829" max="13831" width="9.28515625"/>
    <col min="13832" max="13832" width="13.7109375" bestFit="1" customWidth="1"/>
    <col min="13833" max="13834" width="14.5703125" bestFit="1" customWidth="1"/>
    <col min="13835" max="14083" width="9.28515625"/>
    <col min="14084" max="14084" width="18.7109375" bestFit="1" customWidth="1"/>
    <col min="14085" max="14087" width="9.28515625"/>
    <col min="14088" max="14088" width="13.7109375" bestFit="1" customWidth="1"/>
    <col min="14089" max="14090" width="14.5703125" bestFit="1" customWidth="1"/>
    <col min="14091" max="14339" width="9.28515625"/>
    <col min="14340" max="14340" width="18.7109375" bestFit="1" customWidth="1"/>
    <col min="14341" max="14343" width="9.28515625"/>
    <col min="14344" max="14344" width="13.7109375" bestFit="1" customWidth="1"/>
    <col min="14345" max="14346" width="14.5703125" bestFit="1" customWidth="1"/>
    <col min="14347" max="14595" width="9.28515625"/>
    <col min="14596" max="14596" width="18.7109375" bestFit="1" customWidth="1"/>
    <col min="14597" max="14599" width="9.28515625"/>
    <col min="14600" max="14600" width="13.7109375" bestFit="1" customWidth="1"/>
    <col min="14601" max="14602" width="14.5703125" bestFit="1" customWidth="1"/>
    <col min="14603" max="14851" width="9.28515625"/>
    <col min="14852" max="14852" width="18.7109375" bestFit="1" customWidth="1"/>
    <col min="14853" max="14855" width="9.28515625"/>
    <col min="14856" max="14856" width="13.7109375" bestFit="1" customWidth="1"/>
    <col min="14857" max="14858" width="14.5703125" bestFit="1" customWidth="1"/>
    <col min="14859" max="15107" width="9.28515625"/>
    <col min="15108" max="15108" width="18.7109375" bestFit="1" customWidth="1"/>
    <col min="15109" max="15111" width="9.28515625"/>
    <col min="15112" max="15112" width="13.7109375" bestFit="1" customWidth="1"/>
    <col min="15113" max="15114" width="14.5703125" bestFit="1" customWidth="1"/>
    <col min="15115" max="15363" width="9.28515625"/>
    <col min="15364" max="15364" width="18.7109375" bestFit="1" customWidth="1"/>
    <col min="15365" max="15367" width="9.28515625"/>
    <col min="15368" max="15368" width="13.7109375" bestFit="1" customWidth="1"/>
    <col min="15369" max="15370" width="14.5703125" bestFit="1" customWidth="1"/>
    <col min="15371" max="15619" width="9.28515625"/>
    <col min="15620" max="15620" width="18.7109375" bestFit="1" customWidth="1"/>
    <col min="15621" max="15623" width="9.28515625"/>
    <col min="15624" max="15624" width="13.7109375" bestFit="1" customWidth="1"/>
    <col min="15625" max="15626" width="14.5703125" bestFit="1" customWidth="1"/>
    <col min="15627" max="15875" width="9.28515625"/>
    <col min="15876" max="15876" width="18.7109375" bestFit="1" customWidth="1"/>
    <col min="15877" max="15879" width="9.28515625"/>
    <col min="15880" max="15880" width="13.7109375" bestFit="1" customWidth="1"/>
    <col min="15881" max="15882" width="14.5703125" bestFit="1" customWidth="1"/>
    <col min="15883" max="16131" width="9.28515625"/>
    <col min="16132" max="16132" width="18.7109375" bestFit="1" customWidth="1"/>
    <col min="16133" max="16135" width="9.28515625"/>
    <col min="16136" max="16136" width="13.7109375" bestFit="1" customWidth="1"/>
    <col min="16137" max="16138" width="14.5703125" bestFit="1" customWidth="1"/>
    <col min="16139" max="16384" width="9.28515625"/>
  </cols>
  <sheetData>
    <row r="1" spans="1:18" ht="15">
      <c r="C1" s="97"/>
      <c r="D1" s="97"/>
      <c r="E1" s="97"/>
      <c r="F1" s="97"/>
      <c r="G1" s="97"/>
      <c r="H1" s="97"/>
      <c r="I1" s="97"/>
      <c r="J1" s="97"/>
      <c r="K1" s="97"/>
      <c r="L1" s="97"/>
      <c r="M1" s="97"/>
      <c r="N1" s="97"/>
      <c r="P1" s="85"/>
    </row>
    <row r="2" spans="1:18" ht="15">
      <c r="C2" s="97"/>
      <c r="D2" s="97"/>
      <c r="E2" s="97"/>
      <c r="F2" s="97"/>
      <c r="G2" s="97"/>
      <c r="H2" s="97"/>
      <c r="I2" s="97"/>
      <c r="J2" s="97"/>
      <c r="K2" s="97"/>
      <c r="L2" s="97"/>
      <c r="M2" s="97"/>
      <c r="N2" s="97"/>
      <c r="P2" s="85"/>
    </row>
    <row r="3" spans="1:18" ht="15">
      <c r="C3" s="97"/>
      <c r="D3" s="97"/>
      <c r="E3" s="97"/>
      <c r="F3" s="97"/>
      <c r="G3" s="97"/>
      <c r="H3" s="97"/>
      <c r="I3" s="97"/>
      <c r="J3" s="97"/>
      <c r="K3" s="97"/>
      <c r="L3" s="97"/>
      <c r="M3" s="97"/>
      <c r="N3" s="97"/>
      <c r="P3" s="85"/>
    </row>
    <row r="4" spans="1:18" ht="15">
      <c r="C4" s="97"/>
      <c r="D4" s="97"/>
      <c r="E4" s="97"/>
      <c r="F4" s="97"/>
      <c r="G4" s="97"/>
      <c r="H4" s="97"/>
      <c r="I4" s="97"/>
      <c r="J4" s="97"/>
      <c r="K4" s="97"/>
      <c r="L4" s="97"/>
      <c r="M4" s="97"/>
      <c r="N4" s="97"/>
      <c r="P4" s="85"/>
    </row>
    <row r="5" spans="1:18" ht="15">
      <c r="C5" s="97"/>
      <c r="D5" s="97"/>
      <c r="E5" s="97"/>
      <c r="F5" s="97"/>
      <c r="G5" s="97"/>
      <c r="H5" s="97"/>
      <c r="I5" s="97"/>
      <c r="J5" s="97"/>
      <c r="K5" s="97"/>
      <c r="L5" s="97"/>
      <c r="M5" s="97"/>
      <c r="N5" s="97"/>
      <c r="P5" s="85"/>
    </row>
    <row r="6" spans="1:18" ht="15">
      <c r="C6" s="97"/>
      <c r="D6" s="97"/>
      <c r="E6" s="97"/>
      <c r="F6" s="97"/>
      <c r="G6" s="97"/>
      <c r="H6" s="97"/>
      <c r="I6" s="97"/>
      <c r="J6" s="97"/>
      <c r="K6" s="97"/>
      <c r="L6" s="97"/>
      <c r="M6" s="97"/>
      <c r="N6" s="97"/>
      <c r="P6" s="85"/>
    </row>
    <row r="7" spans="1:18" ht="15">
      <c r="C7" s="97"/>
      <c r="D7" s="97"/>
      <c r="E7" s="97"/>
      <c r="F7" s="97"/>
      <c r="G7" s="97"/>
      <c r="H7" s="97"/>
      <c r="I7" s="97"/>
      <c r="J7" s="97"/>
      <c r="K7" s="97"/>
      <c r="L7" s="97"/>
      <c r="M7" s="97"/>
      <c r="N7" s="97"/>
      <c r="P7" s="85"/>
    </row>
    <row r="8" spans="1:18" ht="15">
      <c r="C8" s="97"/>
      <c r="D8" s="97"/>
      <c r="E8" s="97"/>
      <c r="F8" s="97"/>
      <c r="G8" s="97"/>
      <c r="H8" s="97"/>
      <c r="I8" s="97"/>
      <c r="J8" s="97"/>
      <c r="K8" s="97"/>
      <c r="L8" s="97"/>
      <c r="M8" s="97"/>
      <c r="N8" s="97"/>
      <c r="P8" s="85"/>
    </row>
    <row r="9" spans="1:18" ht="15">
      <c r="C9" s="97"/>
      <c r="D9" s="97"/>
      <c r="E9" s="97"/>
      <c r="F9" s="97"/>
      <c r="G9" s="97"/>
      <c r="H9" s="97"/>
      <c r="I9" s="97"/>
      <c r="J9" s="97"/>
      <c r="K9" s="97"/>
      <c r="L9" s="97"/>
      <c r="M9" s="97"/>
      <c r="N9" s="97"/>
      <c r="P9" s="85"/>
    </row>
    <row r="10" spans="1:18" ht="15">
      <c r="C10" s="97"/>
      <c r="D10" s="97"/>
      <c r="E10" s="97"/>
      <c r="F10" s="97"/>
      <c r="G10" s="97"/>
      <c r="H10" s="97"/>
      <c r="I10" s="97"/>
      <c r="J10" s="97"/>
      <c r="K10" s="97"/>
      <c r="L10" s="97"/>
      <c r="M10" s="97"/>
      <c r="N10" s="97"/>
      <c r="P10" s="85"/>
    </row>
    <row r="11" spans="1:18" ht="15">
      <c r="C11" s="97"/>
      <c r="D11" s="97"/>
      <c r="E11" s="97"/>
      <c r="F11" s="97"/>
      <c r="G11" s="97"/>
      <c r="H11" s="97"/>
      <c r="I11" s="97"/>
      <c r="J11" s="97"/>
      <c r="K11" s="97"/>
      <c r="L11" s="97"/>
      <c r="M11" s="97"/>
      <c r="N11" s="97"/>
      <c r="P11" s="85"/>
    </row>
    <row r="12" spans="1:18" ht="15">
      <c r="A12" s="67"/>
      <c r="B12" s="67"/>
      <c r="C12" s="97"/>
      <c r="D12" s="97"/>
      <c r="E12" s="97"/>
      <c r="F12" s="97"/>
      <c r="G12" s="98"/>
      <c r="H12" s="97"/>
      <c r="I12" s="98"/>
      <c r="J12" s="98"/>
      <c r="K12" s="97"/>
      <c r="L12" s="97"/>
      <c r="M12" s="97"/>
      <c r="N12" s="97"/>
      <c r="P12" s="86"/>
      <c r="R12" s="84"/>
    </row>
    <row r="13" spans="1:18" ht="15">
      <c r="A13" s="67"/>
      <c r="B13" s="67"/>
      <c r="C13" s="97"/>
      <c r="D13" s="97"/>
      <c r="E13" s="97"/>
      <c r="F13" s="97"/>
      <c r="G13" s="98"/>
      <c r="H13" s="98"/>
      <c r="I13" s="97"/>
      <c r="J13" s="98"/>
      <c r="K13" s="97"/>
      <c r="L13" s="97"/>
      <c r="M13" s="97"/>
      <c r="N13" s="97"/>
      <c r="P13" s="86"/>
      <c r="R13" s="84"/>
    </row>
    <row r="14" spans="1:18" ht="15">
      <c r="A14" s="67"/>
      <c r="B14" s="67"/>
      <c r="C14" s="97"/>
      <c r="D14" s="97"/>
      <c r="E14" s="97"/>
      <c r="F14" s="97"/>
      <c r="G14" s="98"/>
      <c r="H14" s="97"/>
      <c r="I14" s="97"/>
      <c r="J14" s="98"/>
      <c r="K14" s="97"/>
      <c r="L14" s="97"/>
      <c r="M14" s="97"/>
      <c r="N14" s="97"/>
      <c r="P14" s="86"/>
      <c r="R14" s="84"/>
    </row>
    <row r="15" spans="1:18" ht="15">
      <c r="A15" s="67"/>
      <c r="B15" s="67"/>
      <c r="C15" s="97"/>
      <c r="D15" s="97"/>
      <c r="E15" s="97"/>
      <c r="F15" s="97"/>
      <c r="G15" s="98"/>
      <c r="H15" s="97"/>
      <c r="I15" s="98"/>
      <c r="J15" s="98"/>
      <c r="K15" s="97"/>
      <c r="L15" s="97"/>
      <c r="M15" s="97"/>
      <c r="N15" s="97"/>
      <c r="P15" s="86"/>
      <c r="R15" s="84"/>
    </row>
    <row r="16" spans="1:18" ht="15">
      <c r="A16" s="67"/>
      <c r="B16" s="67"/>
      <c r="C16" s="97"/>
      <c r="D16" s="97"/>
      <c r="E16" s="97"/>
      <c r="F16" s="97"/>
      <c r="G16" s="98"/>
      <c r="H16" s="98"/>
      <c r="I16" s="97"/>
      <c r="J16" s="98"/>
      <c r="K16" s="97"/>
      <c r="L16" s="97"/>
      <c r="M16" s="97"/>
      <c r="N16" s="97"/>
      <c r="P16" s="86"/>
      <c r="R16" s="84"/>
    </row>
    <row r="17" spans="1:18" ht="15">
      <c r="A17" s="67"/>
      <c r="B17" s="67"/>
      <c r="C17" s="97"/>
      <c r="D17" s="97"/>
      <c r="E17" s="97"/>
      <c r="F17" s="97"/>
      <c r="G17" s="98"/>
      <c r="H17" s="97"/>
      <c r="I17" s="98"/>
      <c r="J17" s="97"/>
      <c r="K17" s="97"/>
      <c r="L17" s="97"/>
      <c r="M17" s="97"/>
      <c r="N17" s="97"/>
      <c r="P17" s="86"/>
      <c r="R17" s="84"/>
    </row>
    <row r="18" spans="1:18" ht="15">
      <c r="A18" s="67"/>
      <c r="B18" s="67"/>
      <c r="C18" s="97"/>
      <c r="D18" s="97"/>
      <c r="E18" s="97"/>
      <c r="F18" s="97"/>
      <c r="G18" s="98"/>
      <c r="H18" s="98"/>
      <c r="I18" s="97"/>
      <c r="J18" s="98"/>
      <c r="K18" s="97"/>
      <c r="L18" s="97"/>
      <c r="M18" s="97"/>
      <c r="N18" s="97"/>
      <c r="P18" s="86"/>
      <c r="R18" s="84"/>
    </row>
    <row r="19" spans="1:18" ht="15">
      <c r="A19" s="67"/>
      <c r="B19" s="67"/>
      <c r="C19" s="97"/>
      <c r="D19" s="97"/>
      <c r="E19" s="97"/>
      <c r="F19" s="97"/>
      <c r="G19" s="98"/>
      <c r="H19" s="97"/>
      <c r="I19" s="98"/>
      <c r="J19" s="97"/>
      <c r="K19" s="97"/>
      <c r="L19" s="97"/>
      <c r="M19" s="97"/>
      <c r="N19" s="97"/>
      <c r="P19" s="86"/>
      <c r="R19" s="84"/>
    </row>
    <row r="20" spans="1:18" ht="15">
      <c r="A20" s="67"/>
      <c r="B20" s="67"/>
      <c r="C20" s="97"/>
      <c r="D20" s="97"/>
      <c r="E20" s="97"/>
      <c r="F20" s="97"/>
      <c r="G20" s="98"/>
      <c r="H20" s="97"/>
      <c r="I20" s="97"/>
      <c r="J20" s="98"/>
      <c r="K20" s="97"/>
      <c r="L20" s="97"/>
      <c r="M20" s="97"/>
      <c r="N20" s="97"/>
      <c r="P20" s="86"/>
      <c r="R20" s="84"/>
    </row>
    <row r="21" spans="1:18" ht="15">
      <c r="A21" s="67"/>
      <c r="B21" s="67"/>
      <c r="C21" s="97"/>
      <c r="D21" s="97"/>
      <c r="E21" s="97"/>
      <c r="F21" s="97"/>
      <c r="G21" s="98"/>
      <c r="H21" s="98"/>
      <c r="I21" s="97"/>
      <c r="J21" s="97"/>
      <c r="K21" s="97"/>
      <c r="L21" s="97"/>
      <c r="M21" s="97"/>
      <c r="N21" s="97"/>
      <c r="P21" s="86"/>
      <c r="R21" s="84"/>
    </row>
    <row r="22" spans="1:18" ht="15">
      <c r="A22" s="67"/>
      <c r="B22" s="67"/>
      <c r="C22" s="97"/>
      <c r="D22" s="97"/>
      <c r="E22" s="97"/>
      <c r="F22" s="97"/>
      <c r="G22" s="98"/>
      <c r="H22" s="98"/>
      <c r="I22" s="97"/>
      <c r="J22" s="97"/>
      <c r="K22" s="97"/>
      <c r="L22" s="97"/>
      <c r="M22" s="97"/>
      <c r="N22" s="97"/>
      <c r="P22" s="86"/>
      <c r="R22" s="84"/>
    </row>
    <row r="23" spans="1:18" ht="15">
      <c r="A23" s="67"/>
      <c r="B23" s="67"/>
      <c r="C23" s="97"/>
      <c r="D23" s="97"/>
      <c r="E23" s="97"/>
      <c r="F23" s="97"/>
      <c r="G23" s="98"/>
      <c r="H23" s="97"/>
      <c r="I23" s="98"/>
      <c r="J23" s="98"/>
      <c r="K23" s="97"/>
      <c r="L23" s="97"/>
      <c r="M23" s="97"/>
      <c r="N23" s="97"/>
      <c r="P23" s="86"/>
      <c r="R23" s="84"/>
    </row>
    <row r="24" spans="1:18" ht="15">
      <c r="A24" s="67"/>
      <c r="B24" s="67"/>
      <c r="C24" s="97"/>
      <c r="D24" s="97"/>
      <c r="E24" s="97"/>
      <c r="F24" s="97"/>
      <c r="G24" s="98"/>
      <c r="H24" s="97"/>
      <c r="I24" s="98"/>
      <c r="J24" s="98"/>
      <c r="K24" s="97"/>
      <c r="L24" s="97"/>
      <c r="M24" s="97"/>
      <c r="N24" s="97"/>
      <c r="P24" s="86"/>
      <c r="R24" s="84"/>
    </row>
    <row r="25" spans="1:18" ht="15">
      <c r="A25" s="67"/>
      <c r="B25" s="67"/>
      <c r="C25" s="97"/>
      <c r="D25" s="97"/>
      <c r="E25" s="97"/>
      <c r="F25" s="97"/>
      <c r="G25" s="98"/>
      <c r="H25" s="98"/>
      <c r="I25" s="97"/>
      <c r="J25" s="98"/>
      <c r="K25" s="97"/>
      <c r="L25" s="97"/>
      <c r="M25" s="97"/>
      <c r="N25" s="97"/>
      <c r="P25" s="86"/>
      <c r="R25" s="84"/>
    </row>
    <row r="26" spans="1:18" ht="15">
      <c r="A26" s="67"/>
      <c r="B26" s="67"/>
      <c r="C26" s="97"/>
      <c r="D26" s="97"/>
      <c r="E26" s="97"/>
      <c r="F26" s="97"/>
      <c r="G26" s="97"/>
      <c r="H26" s="98"/>
      <c r="I26" s="97"/>
      <c r="J26" s="98"/>
      <c r="K26" s="97"/>
      <c r="L26" s="97"/>
      <c r="M26" s="97"/>
      <c r="N26" s="97"/>
      <c r="P26" s="86"/>
      <c r="R26" s="84"/>
    </row>
    <row r="27" spans="1:18" ht="15">
      <c r="A27" s="67"/>
      <c r="B27" s="67"/>
      <c r="C27" s="97"/>
      <c r="D27" s="97"/>
      <c r="E27" s="97"/>
      <c r="F27" s="97"/>
      <c r="G27" s="98"/>
      <c r="H27" s="98"/>
      <c r="I27" s="98"/>
      <c r="J27" s="98"/>
      <c r="K27" s="97"/>
      <c r="L27" s="97"/>
      <c r="M27" s="97"/>
      <c r="N27" s="97"/>
      <c r="P27" s="86"/>
      <c r="R27" s="84"/>
    </row>
    <row r="28" spans="1:18" ht="15">
      <c r="A28" s="67"/>
      <c r="B28" s="67"/>
      <c r="C28" s="97"/>
      <c r="D28" s="97"/>
      <c r="E28" s="97"/>
      <c r="F28" s="97"/>
      <c r="G28" s="98"/>
      <c r="H28" s="98"/>
      <c r="I28" s="98"/>
      <c r="J28" s="98"/>
      <c r="K28" s="97"/>
      <c r="L28" s="97"/>
      <c r="M28" s="97"/>
      <c r="N28" s="97"/>
      <c r="P28" s="86"/>
      <c r="R28" s="84"/>
    </row>
    <row r="29" spans="1:18" ht="15">
      <c r="A29" s="67"/>
      <c r="B29" s="67"/>
      <c r="C29" s="97"/>
      <c r="D29" s="97"/>
      <c r="E29" s="97"/>
      <c r="F29" s="97"/>
      <c r="G29" s="98"/>
      <c r="H29" s="97"/>
      <c r="I29" s="97"/>
      <c r="J29" s="98"/>
      <c r="K29" s="97"/>
      <c r="L29" s="97"/>
      <c r="M29" s="97"/>
      <c r="N29" s="97"/>
      <c r="P29" s="86"/>
      <c r="R29" s="84"/>
    </row>
    <row r="30" spans="1:18" ht="15">
      <c r="A30" s="67"/>
      <c r="B30" s="67"/>
      <c r="C30" s="97"/>
      <c r="D30" s="97"/>
      <c r="E30" s="97"/>
      <c r="F30" s="97"/>
      <c r="G30" s="98"/>
      <c r="H30" s="97"/>
      <c r="I30" s="98"/>
      <c r="J30" s="98"/>
      <c r="K30" s="97"/>
      <c r="L30" s="97"/>
      <c r="M30" s="97"/>
      <c r="N30" s="97"/>
      <c r="P30" s="86"/>
      <c r="R30" s="84"/>
    </row>
    <row r="31" spans="1:18" ht="15">
      <c r="A31" s="67"/>
      <c r="B31" s="67"/>
      <c r="C31" s="97"/>
      <c r="D31" s="97"/>
      <c r="E31" s="97"/>
      <c r="F31" s="97"/>
      <c r="G31" s="98"/>
      <c r="H31" s="97"/>
      <c r="I31" s="98"/>
      <c r="J31" s="98"/>
      <c r="K31" s="97"/>
      <c r="L31" s="97"/>
      <c r="M31" s="97"/>
      <c r="N31" s="97"/>
      <c r="P31" s="86"/>
      <c r="R31" s="84"/>
    </row>
    <row r="32" spans="1:18" ht="15">
      <c r="A32" s="67"/>
      <c r="B32" s="67"/>
      <c r="C32" s="97"/>
      <c r="D32" s="97"/>
      <c r="E32" s="97"/>
      <c r="F32" s="97"/>
      <c r="G32" s="98"/>
      <c r="H32" s="97"/>
      <c r="I32" s="98"/>
      <c r="J32" s="98"/>
      <c r="K32" s="97"/>
      <c r="L32" s="97"/>
      <c r="M32" s="97"/>
      <c r="N32" s="97"/>
      <c r="P32" s="86"/>
      <c r="R32" s="84"/>
    </row>
    <row r="33" spans="1:18" ht="15">
      <c r="A33" s="67"/>
      <c r="B33" s="67"/>
      <c r="C33" s="97"/>
      <c r="D33" s="97"/>
      <c r="E33" s="97"/>
      <c r="F33" s="97"/>
      <c r="G33" s="98"/>
      <c r="H33" s="97"/>
      <c r="I33" s="97"/>
      <c r="J33" s="98"/>
      <c r="K33" s="97"/>
      <c r="L33" s="97"/>
      <c r="M33" s="97"/>
      <c r="N33" s="97"/>
      <c r="P33" s="86"/>
      <c r="R33" s="84"/>
    </row>
    <row r="34" spans="1:18" ht="15">
      <c r="A34" s="67"/>
      <c r="B34" s="67"/>
      <c r="C34" s="97"/>
      <c r="D34" s="97"/>
      <c r="E34" s="97"/>
      <c r="F34" s="97"/>
      <c r="G34" s="98"/>
      <c r="H34" s="97"/>
      <c r="I34" s="98"/>
      <c r="J34" s="98"/>
      <c r="K34" s="97"/>
      <c r="L34" s="97"/>
      <c r="M34" s="97"/>
      <c r="N34" s="97"/>
      <c r="P34" s="86"/>
      <c r="R34" s="84"/>
    </row>
    <row r="35" spans="1:18" ht="15">
      <c r="A35" s="67"/>
      <c r="B35" s="67"/>
      <c r="C35" s="97"/>
      <c r="D35" s="97"/>
      <c r="E35" s="97"/>
      <c r="F35" s="97"/>
      <c r="G35" s="98"/>
      <c r="H35" s="97"/>
      <c r="I35" s="97"/>
      <c r="J35" s="98"/>
      <c r="K35" s="97"/>
      <c r="L35" s="97"/>
      <c r="M35" s="97"/>
      <c r="N35" s="97"/>
      <c r="P35" s="86"/>
      <c r="R35" s="84"/>
    </row>
    <row r="36" spans="1:18" ht="15">
      <c r="A36" s="67"/>
      <c r="B36" s="67"/>
      <c r="C36" s="97"/>
      <c r="D36" s="97"/>
      <c r="E36" s="97"/>
      <c r="F36" s="97"/>
      <c r="G36" s="98"/>
      <c r="H36" s="97"/>
      <c r="I36" s="98"/>
      <c r="J36" s="98"/>
      <c r="K36" s="97"/>
      <c r="L36" s="97"/>
      <c r="M36" s="97"/>
      <c r="N36" s="97"/>
      <c r="P36" s="86"/>
      <c r="R36" s="84"/>
    </row>
    <row r="37" spans="1:18" ht="15">
      <c r="A37" s="67"/>
      <c r="B37" s="67"/>
      <c r="C37" s="97"/>
      <c r="D37" s="97"/>
      <c r="E37" s="97"/>
      <c r="F37" s="97"/>
      <c r="G37" s="98"/>
      <c r="H37" s="97"/>
      <c r="I37" s="97"/>
      <c r="J37" s="98"/>
      <c r="K37" s="97"/>
      <c r="L37" s="97"/>
      <c r="M37" s="97"/>
      <c r="N37" s="97"/>
      <c r="P37" s="86"/>
      <c r="R37" s="84"/>
    </row>
    <row r="38" spans="1:18" ht="15">
      <c r="A38" s="67"/>
      <c r="B38" s="67"/>
      <c r="C38" s="97"/>
      <c r="D38" s="97"/>
      <c r="E38" s="97"/>
      <c r="F38" s="97"/>
      <c r="G38" s="98"/>
      <c r="H38" s="98"/>
      <c r="I38" s="97"/>
      <c r="J38" s="98"/>
      <c r="K38" s="97"/>
      <c r="L38" s="97"/>
      <c r="M38" s="97"/>
      <c r="N38" s="97"/>
      <c r="P38" s="86"/>
      <c r="R38" s="84"/>
    </row>
    <row r="39" spans="1:18" ht="15">
      <c r="A39" s="67"/>
      <c r="B39" s="67"/>
      <c r="C39" s="97"/>
      <c r="D39" s="97"/>
      <c r="E39" s="97"/>
      <c r="F39" s="97"/>
      <c r="G39" s="98"/>
      <c r="H39" s="97"/>
      <c r="I39" s="98"/>
      <c r="J39" s="98"/>
      <c r="K39" s="97"/>
      <c r="L39" s="97"/>
      <c r="M39" s="97"/>
      <c r="N39" s="97"/>
      <c r="P39" s="85"/>
    </row>
    <row r="40" spans="1:18" ht="15">
      <c r="A40" s="67"/>
      <c r="B40" s="67"/>
      <c r="C40" s="97"/>
      <c r="D40" s="97"/>
      <c r="E40" s="97"/>
      <c r="F40" s="97"/>
      <c r="G40" s="98"/>
      <c r="H40" s="97"/>
      <c r="I40" s="97"/>
      <c r="J40" s="98"/>
      <c r="K40" s="97"/>
      <c r="L40" s="97"/>
      <c r="M40" s="97"/>
      <c r="N40" s="97"/>
      <c r="P40" s="85"/>
    </row>
    <row r="41" spans="1:18" ht="15">
      <c r="A41" s="67"/>
      <c r="B41" s="67"/>
      <c r="C41" s="97"/>
      <c r="D41" s="97"/>
      <c r="E41" s="97"/>
      <c r="F41" s="97"/>
      <c r="G41" s="98"/>
      <c r="H41" s="97"/>
      <c r="I41" s="97"/>
      <c r="J41" s="98"/>
      <c r="K41" s="97"/>
      <c r="L41" s="97"/>
      <c r="M41" s="97"/>
      <c r="N41" s="97"/>
      <c r="P41" s="85"/>
    </row>
    <row r="42" spans="1:18" ht="15">
      <c r="A42" s="67"/>
      <c r="B42" s="67"/>
      <c r="C42" s="97"/>
      <c r="D42" s="97"/>
      <c r="E42" s="97"/>
      <c r="F42" s="97"/>
      <c r="G42" s="98"/>
      <c r="H42" s="97"/>
      <c r="I42" s="98"/>
      <c r="J42" s="98"/>
      <c r="K42" s="97"/>
      <c r="L42" s="97"/>
      <c r="M42" s="97"/>
      <c r="N42" s="97"/>
      <c r="P42" s="85"/>
    </row>
    <row r="43" spans="1:18" ht="15">
      <c r="A43" s="67"/>
      <c r="B43" s="67"/>
      <c r="C43" s="97"/>
      <c r="D43" s="97"/>
      <c r="E43" s="97"/>
      <c r="F43" s="97"/>
      <c r="G43" s="98"/>
      <c r="H43" s="97"/>
      <c r="I43" s="97"/>
      <c r="J43" s="98"/>
      <c r="K43" s="97"/>
      <c r="L43" s="97"/>
      <c r="M43" s="97"/>
      <c r="N43" s="97"/>
      <c r="P43" s="85"/>
    </row>
    <row r="44" spans="1:18" ht="15">
      <c r="A44" s="67"/>
      <c r="B44" s="67"/>
      <c r="C44" s="97"/>
      <c r="D44" s="97"/>
      <c r="E44" s="97"/>
      <c r="F44" s="97"/>
      <c r="G44" s="98"/>
      <c r="H44" s="98"/>
      <c r="I44" s="97"/>
      <c r="J44" s="98"/>
      <c r="K44" s="97"/>
      <c r="L44" s="97"/>
      <c r="M44" s="97"/>
      <c r="N44" s="97"/>
      <c r="P44" s="85"/>
    </row>
    <row r="45" spans="1:18" ht="15">
      <c r="C45" s="97"/>
      <c r="D45" s="97"/>
      <c r="E45" s="97"/>
      <c r="F45" s="97"/>
      <c r="G45" s="97"/>
      <c r="H45" s="97"/>
      <c r="I45" s="97"/>
      <c r="J45" s="97"/>
      <c r="K45" s="97"/>
      <c r="L45" s="97"/>
      <c r="M45" s="97"/>
      <c r="N45" s="97"/>
      <c r="P45" s="85"/>
    </row>
    <row r="46" spans="1:18" ht="15">
      <c r="C46" s="97"/>
      <c r="D46" s="97"/>
      <c r="E46" s="97"/>
      <c r="F46" s="97"/>
      <c r="G46" s="97"/>
      <c r="H46" s="97"/>
      <c r="I46" s="97"/>
      <c r="J46" s="97"/>
      <c r="K46" s="97"/>
      <c r="L46" s="97"/>
      <c r="M46" s="97"/>
      <c r="N46" s="97"/>
      <c r="O46" s="84"/>
      <c r="P46" s="85"/>
    </row>
    <row r="47" spans="1:18" ht="15">
      <c r="C47" s="97"/>
      <c r="D47" s="98"/>
      <c r="E47" s="97"/>
      <c r="F47" s="97"/>
      <c r="G47" s="97"/>
      <c r="H47" s="97"/>
      <c r="I47" s="97"/>
      <c r="J47" s="97"/>
      <c r="K47" s="97"/>
      <c r="L47" s="97"/>
      <c r="M47" s="97"/>
      <c r="N47" s="97"/>
      <c r="O47" s="84"/>
      <c r="P47" s="85"/>
    </row>
    <row r="48" spans="1:18" ht="15">
      <c r="C48" s="97"/>
      <c r="D48" s="97"/>
      <c r="E48" s="97"/>
      <c r="F48" s="97"/>
      <c r="G48" s="97"/>
      <c r="H48" s="97"/>
      <c r="I48" s="97"/>
      <c r="J48" s="97"/>
      <c r="K48" s="97"/>
      <c r="L48" s="97"/>
      <c r="M48" s="97"/>
      <c r="N48" s="97"/>
      <c r="O48" s="84"/>
      <c r="P48" s="85"/>
    </row>
    <row r="49" spans="3:16" ht="15">
      <c r="C49" s="97"/>
      <c r="D49" s="97"/>
      <c r="E49" s="97"/>
      <c r="F49" s="97"/>
      <c r="G49" s="97"/>
      <c r="H49" s="97"/>
      <c r="I49" s="97"/>
      <c r="J49" s="97"/>
      <c r="K49" s="97"/>
      <c r="L49" s="97"/>
      <c r="M49" s="97"/>
      <c r="N49" s="97"/>
      <c r="O49" s="84"/>
      <c r="P49" s="85"/>
    </row>
    <row r="50" spans="3:16" ht="15">
      <c r="C50" s="97"/>
      <c r="D50" s="97"/>
      <c r="E50" s="97"/>
      <c r="F50" s="97"/>
      <c r="G50" s="97"/>
      <c r="H50" s="97"/>
      <c r="I50" s="97"/>
      <c r="J50" s="97"/>
      <c r="K50" s="97"/>
      <c r="L50" s="97"/>
      <c r="M50" s="97"/>
      <c r="N50" s="97"/>
      <c r="O50" s="84"/>
      <c r="P50" s="85"/>
    </row>
    <row r="51" spans="3:16" ht="15">
      <c r="C51" s="97"/>
      <c r="D51" s="97"/>
      <c r="E51" s="97"/>
      <c r="F51" s="97"/>
      <c r="G51" s="97"/>
      <c r="H51" s="97"/>
      <c r="I51" s="97"/>
      <c r="J51" s="97"/>
      <c r="K51" s="97"/>
      <c r="L51" s="97"/>
      <c r="M51" s="97"/>
      <c r="N51" s="97"/>
      <c r="O51" s="84"/>
      <c r="P51" s="85"/>
    </row>
    <row r="52" spans="3:16" ht="15">
      <c r="C52" s="97"/>
      <c r="D52" s="97"/>
      <c r="E52" s="97"/>
      <c r="F52" s="97"/>
      <c r="G52" s="97"/>
      <c r="H52" s="97"/>
      <c r="I52" s="97"/>
      <c r="J52" s="97"/>
      <c r="K52" s="97"/>
      <c r="L52" s="97"/>
      <c r="M52" s="97"/>
      <c r="N52" s="97"/>
      <c r="O52" s="84"/>
    </row>
    <row r="53" spans="3:16" ht="15">
      <c r="C53" s="97"/>
      <c r="D53" s="97"/>
      <c r="E53" s="97"/>
      <c r="F53" s="97"/>
      <c r="G53" s="97"/>
      <c r="H53" s="97"/>
      <c r="I53" s="97"/>
      <c r="J53" s="97"/>
      <c r="K53" s="97"/>
      <c r="L53" s="97"/>
      <c r="M53" s="97"/>
      <c r="N53" s="97"/>
    </row>
    <row r="54" spans="3:16" ht="15">
      <c r="C54" s="97"/>
      <c r="D54" s="97"/>
      <c r="E54" s="97"/>
      <c r="F54" s="97"/>
      <c r="G54" s="97"/>
      <c r="H54" s="97"/>
      <c r="I54" s="97"/>
      <c r="J54" s="97"/>
      <c r="K54" s="97"/>
      <c r="L54" s="97"/>
      <c r="M54" s="97"/>
      <c r="N54" s="97"/>
    </row>
    <row r="55" spans="3:16" ht="15">
      <c r="C55" s="97"/>
      <c r="D55" s="97"/>
      <c r="E55" s="97"/>
      <c r="F55" s="97"/>
      <c r="G55" s="97"/>
      <c r="H55" s="97"/>
      <c r="I55" s="97"/>
      <c r="J55" s="97"/>
      <c r="K55" s="97"/>
      <c r="L55" s="97"/>
      <c r="M55" s="97"/>
      <c r="N55" s="97"/>
    </row>
    <row r="56" spans="3:16" ht="15">
      <c r="C56" s="97"/>
      <c r="D56" s="97"/>
      <c r="E56" s="97"/>
      <c r="F56" s="97"/>
      <c r="G56" s="97"/>
      <c r="H56" s="97"/>
      <c r="I56" s="97"/>
      <c r="J56" s="97"/>
      <c r="K56" s="97"/>
      <c r="L56" s="97"/>
      <c r="M56" s="97"/>
      <c r="N56" s="97"/>
    </row>
    <row r="57" spans="3:16" ht="15">
      <c r="C57" s="97"/>
      <c r="D57" s="97"/>
      <c r="E57" s="97"/>
      <c r="F57" s="97"/>
      <c r="G57" s="97"/>
      <c r="H57" s="97"/>
      <c r="I57" s="97"/>
      <c r="J57" s="97"/>
      <c r="K57" s="97"/>
      <c r="L57" s="97"/>
      <c r="M57" s="97"/>
      <c r="N57" s="97"/>
    </row>
    <row r="58" spans="3:16" ht="15">
      <c r="C58" s="95"/>
      <c r="D58" s="95"/>
      <c r="E58" s="95"/>
      <c r="F58" s="95"/>
      <c r="G58" s="95"/>
      <c r="H58" s="95"/>
      <c r="I58" s="95"/>
      <c r="J58" s="95"/>
      <c r="K58" s="95"/>
      <c r="L58" s="95"/>
      <c r="M58" s="95"/>
      <c r="N58" s="95"/>
    </row>
    <row r="59" spans="3:16" ht="15">
      <c r="C59" s="95"/>
      <c r="D59" s="95"/>
      <c r="E59" s="95"/>
      <c r="F59" s="95"/>
      <c r="G59" s="95"/>
      <c r="H59" s="95"/>
      <c r="I59" s="95"/>
      <c r="J59" s="95"/>
      <c r="K59" s="95"/>
      <c r="L59" s="95"/>
      <c r="M59" s="95"/>
      <c r="N59" s="95"/>
    </row>
    <row r="60" spans="3:16" ht="15">
      <c r="C60" s="95"/>
      <c r="D60" s="95"/>
      <c r="E60" s="95"/>
      <c r="F60" s="95"/>
      <c r="G60" s="95"/>
      <c r="H60" s="95"/>
      <c r="I60" s="95"/>
      <c r="J60" s="95"/>
      <c r="K60" s="95"/>
      <c r="L60" s="95"/>
      <c r="M60" s="95"/>
      <c r="N60" s="95"/>
    </row>
    <row r="61" spans="3:16" ht="15">
      <c r="C61" s="95"/>
      <c r="D61" s="95"/>
      <c r="E61" s="95"/>
      <c r="F61" s="95"/>
      <c r="G61" s="95"/>
      <c r="H61" s="95"/>
      <c r="I61" s="95"/>
      <c r="J61" s="95"/>
      <c r="K61" s="95"/>
      <c r="L61" s="95"/>
      <c r="M61" s="95"/>
      <c r="N61" s="95"/>
    </row>
    <row r="62" spans="3:16" ht="15">
      <c r="C62" s="95"/>
      <c r="D62" s="95"/>
      <c r="E62" s="95"/>
      <c r="F62" s="95"/>
      <c r="G62" s="95"/>
      <c r="H62" s="95"/>
      <c r="I62" s="95"/>
      <c r="J62" s="95"/>
      <c r="K62" s="95"/>
      <c r="L62" s="95"/>
      <c r="M62" s="95"/>
      <c r="N62" s="95"/>
    </row>
    <row r="63" spans="3:16" ht="15">
      <c r="C63" s="95"/>
      <c r="D63" s="95"/>
      <c r="E63" s="95"/>
      <c r="F63" s="95"/>
      <c r="G63" s="95"/>
      <c r="H63" s="95"/>
      <c r="I63" s="95"/>
      <c r="J63" s="95"/>
      <c r="K63" s="95"/>
      <c r="L63" s="95"/>
      <c r="M63" s="95"/>
      <c r="N63" s="95"/>
    </row>
    <row r="64" spans="3:16" ht="15">
      <c r="C64" s="95"/>
      <c r="D64" s="95"/>
      <c r="E64" s="95"/>
      <c r="F64" s="95"/>
      <c r="G64" s="95"/>
      <c r="H64" s="95"/>
      <c r="I64" s="95"/>
      <c r="J64" s="95"/>
      <c r="K64" s="95"/>
      <c r="L64" s="95"/>
      <c r="M64" s="95"/>
      <c r="N64" s="95"/>
    </row>
    <row r="65" spans="3:14" ht="15">
      <c r="C65" s="95"/>
      <c r="D65" s="95"/>
      <c r="E65" s="95"/>
      <c r="F65" s="95"/>
      <c r="G65" s="95"/>
      <c r="H65" s="95"/>
      <c r="I65" s="95"/>
      <c r="J65" s="95"/>
      <c r="K65" s="95"/>
      <c r="L65" s="95"/>
      <c r="M65" s="95"/>
      <c r="N65" s="95"/>
    </row>
    <row r="66" spans="3:14" ht="15">
      <c r="C66" s="95"/>
      <c r="D66" s="95"/>
      <c r="E66" s="95"/>
      <c r="F66" s="95"/>
      <c r="G66" s="95"/>
      <c r="H66" s="95"/>
      <c r="I66" s="95"/>
      <c r="J66" s="95"/>
      <c r="K66" s="95"/>
      <c r="L66" s="95"/>
      <c r="M66" s="95"/>
      <c r="N66" s="95"/>
    </row>
    <row r="67" spans="3:14" ht="15">
      <c r="C67" s="95"/>
      <c r="D67" s="95"/>
      <c r="E67" s="95"/>
      <c r="F67" s="95"/>
      <c r="G67" s="95"/>
      <c r="H67" s="95"/>
      <c r="I67" s="95"/>
      <c r="J67" s="95"/>
      <c r="K67" s="95"/>
      <c r="L67" s="95"/>
      <c r="M67" s="95"/>
      <c r="N67" s="95"/>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A1:N71"/>
  <sheetViews>
    <sheetView zoomScale="80" zoomScaleNormal="80" workbookViewId="0">
      <selection activeCell="H49" sqref="H49"/>
    </sheetView>
  </sheetViews>
  <sheetFormatPr defaultColWidth="9.28515625" defaultRowHeight="12.75"/>
  <cols>
    <col min="1" max="1" width="9.28515625" style="67"/>
    <col min="2" max="2" width="30.7109375" style="67" customWidth="1"/>
    <col min="4" max="4" width="25.28515625" bestFit="1" customWidth="1"/>
    <col min="5" max="5" width="36.28515625" bestFit="1" customWidth="1"/>
    <col min="6" max="6" width="23.28515625" bestFit="1" customWidth="1"/>
    <col min="7" max="7" width="16" style="83" bestFit="1" customWidth="1"/>
    <col min="8" max="8" width="13.28515625" style="83" bestFit="1" customWidth="1"/>
    <col min="9" max="9" width="14" style="83" bestFit="1" customWidth="1"/>
    <col min="10" max="10" width="17" style="83" bestFit="1" customWidth="1"/>
    <col min="15" max="16384" width="9.28515625" style="67"/>
  </cols>
  <sheetData>
    <row r="1" spans="1:10" ht="13.5" customHeight="1">
      <c r="G1" s="66"/>
      <c r="H1" s="66"/>
      <c r="I1" s="66"/>
      <c r="J1" s="66"/>
    </row>
    <row r="2" spans="1:10">
      <c r="G2" s="66"/>
      <c r="H2" s="66"/>
      <c r="I2" s="66"/>
      <c r="J2" s="66"/>
    </row>
    <row r="3" spans="1:10">
      <c r="G3" s="66"/>
      <c r="H3" s="66"/>
      <c r="I3" s="66"/>
      <c r="J3" s="66"/>
    </row>
    <row r="4" spans="1:10">
      <c r="B4" s="67" t="str">
        <f>IF(C4="PennantPark SBIC, L.L.P."," ","Not SBIC")</f>
        <v>Not SBIC</v>
      </c>
      <c r="G4" s="66"/>
      <c r="H4" s="66"/>
      <c r="I4" s="66"/>
      <c r="J4" s="66"/>
    </row>
    <row r="5" spans="1:10">
      <c r="G5" s="66"/>
      <c r="H5" s="66"/>
      <c r="I5" s="66"/>
      <c r="J5" s="66"/>
    </row>
    <row r="6" spans="1:10">
      <c r="G6" s="66"/>
      <c r="H6" s="66"/>
      <c r="I6" s="66"/>
      <c r="J6" s="66"/>
    </row>
    <row r="7" spans="1:10">
      <c r="G7" s="66"/>
      <c r="H7" s="66"/>
      <c r="I7" s="66"/>
      <c r="J7" s="66"/>
    </row>
    <row r="8" spans="1:10">
      <c r="G8" s="66"/>
      <c r="H8" s="66"/>
      <c r="I8" s="66"/>
      <c r="J8" s="66"/>
    </row>
    <row r="9" spans="1:10">
      <c r="G9" s="66"/>
      <c r="H9" s="66"/>
      <c r="I9" s="66"/>
      <c r="J9" s="66"/>
    </row>
    <row r="10" spans="1:10">
      <c r="B10" s="67" t="str">
        <f>CONCATENATE(E10,F10)</f>
        <v/>
      </c>
      <c r="G10" s="66"/>
      <c r="H10" s="66"/>
      <c r="I10" s="66"/>
      <c r="J10" s="66"/>
    </row>
    <row r="11" spans="1:10">
      <c r="B11" s="67" t="str">
        <f t="shared" ref="B11:B56" si="0">CONCATENATE(E11,F11)</f>
        <v/>
      </c>
      <c r="G11" s="66"/>
      <c r="H11" s="66"/>
      <c r="I11" s="66"/>
      <c r="J11" s="66"/>
    </row>
    <row r="12" spans="1:10">
      <c r="A12" s="67" t="str">
        <f>VLOOKUP(B12,Summary!A:A,1,FALSE)</f>
        <v/>
      </c>
      <c r="B12" s="67" t="str">
        <f t="shared" si="0"/>
        <v/>
      </c>
      <c r="G12" s="66"/>
      <c r="H12" s="66"/>
      <c r="I12" s="66"/>
      <c r="J12" s="66"/>
    </row>
    <row r="13" spans="1:10">
      <c r="A13" s="67" t="str">
        <f>VLOOKUP(B13,Summary!A:A,1,FALSE)</f>
        <v/>
      </c>
      <c r="B13" s="67" t="str">
        <f t="shared" si="0"/>
        <v/>
      </c>
      <c r="G13" s="66"/>
      <c r="H13" s="66"/>
      <c r="I13" s="66"/>
      <c r="J13" s="66"/>
    </row>
    <row r="14" spans="1:10">
      <c r="A14" s="67" t="str">
        <f>VLOOKUP(B14,Summary!A:A,1,FALSE)</f>
        <v/>
      </c>
      <c r="B14" s="67" t="str">
        <f t="shared" si="0"/>
        <v/>
      </c>
      <c r="G14" s="66"/>
      <c r="H14" s="66"/>
      <c r="I14" s="66"/>
      <c r="J14" s="66"/>
    </row>
    <row r="15" spans="1:10">
      <c r="A15" s="67" t="str">
        <f>VLOOKUP(B15,Summary!A:A,1,FALSE)</f>
        <v/>
      </c>
      <c r="B15" s="67" t="str">
        <f t="shared" si="0"/>
        <v/>
      </c>
      <c r="G15" s="66"/>
      <c r="H15" s="66"/>
      <c r="I15" s="66"/>
      <c r="J15" s="66"/>
    </row>
    <row r="16" spans="1:10">
      <c r="A16" s="67" t="str">
        <f>VLOOKUP(B16,Summary!A:A,1,FALSE)</f>
        <v/>
      </c>
      <c r="B16" s="67" t="str">
        <f t="shared" si="0"/>
        <v/>
      </c>
      <c r="G16" s="66"/>
      <c r="H16" s="66"/>
      <c r="I16" s="66"/>
      <c r="J16" s="66"/>
    </row>
    <row r="17" spans="1:10">
      <c r="A17" s="67" t="str">
        <f>VLOOKUP(B17,Summary!A:A,1,FALSE)</f>
        <v/>
      </c>
      <c r="B17" s="67" t="str">
        <f t="shared" si="0"/>
        <v/>
      </c>
      <c r="G17" s="66"/>
      <c r="H17" s="66"/>
      <c r="I17" s="66"/>
      <c r="J17" s="66"/>
    </row>
    <row r="18" spans="1:10">
      <c r="A18" s="67" t="str">
        <f>VLOOKUP(B18,Summary!A:A,1,FALSE)</f>
        <v/>
      </c>
      <c r="B18" s="67" t="str">
        <f t="shared" si="0"/>
        <v/>
      </c>
      <c r="G18" s="66"/>
      <c r="H18" s="66"/>
      <c r="I18" s="66"/>
      <c r="J18" s="66"/>
    </row>
    <row r="19" spans="1:10">
      <c r="A19" s="67" t="str">
        <f>VLOOKUP(B19,Summary!A:A,1,FALSE)</f>
        <v/>
      </c>
      <c r="B19" s="67" t="str">
        <f t="shared" si="0"/>
        <v/>
      </c>
      <c r="G19" s="66"/>
      <c r="H19" s="66"/>
      <c r="I19" s="66"/>
      <c r="J19" s="66"/>
    </row>
    <row r="20" spans="1:10">
      <c r="A20" s="67" t="str">
        <f>VLOOKUP(B20,Summary!A:A,1,FALSE)</f>
        <v/>
      </c>
      <c r="B20" s="67" t="str">
        <f t="shared" si="0"/>
        <v/>
      </c>
      <c r="G20" s="66"/>
      <c r="H20" s="66"/>
      <c r="I20" s="66"/>
      <c r="J20" s="66"/>
    </row>
    <row r="21" spans="1:10">
      <c r="A21" s="67" t="str">
        <f>VLOOKUP(B21,Summary!A:A,1,FALSE)</f>
        <v/>
      </c>
      <c r="B21" s="67" t="str">
        <f t="shared" si="0"/>
        <v/>
      </c>
      <c r="G21" s="66"/>
      <c r="H21" s="66"/>
      <c r="I21" s="66"/>
      <c r="J21" s="66"/>
    </row>
    <row r="22" spans="1:10">
      <c r="A22" s="67" t="str">
        <f>VLOOKUP(B22,Summary!A:A,1,FALSE)</f>
        <v/>
      </c>
      <c r="B22" s="67" t="str">
        <f t="shared" si="0"/>
        <v/>
      </c>
      <c r="G22" s="66"/>
      <c r="H22" s="66"/>
      <c r="I22" s="66"/>
      <c r="J22" s="66"/>
    </row>
    <row r="23" spans="1:10">
      <c r="A23" s="67" t="str">
        <f>VLOOKUP(B23,Summary!A:A,1,FALSE)</f>
        <v/>
      </c>
      <c r="B23" s="67" t="str">
        <f t="shared" si="0"/>
        <v/>
      </c>
      <c r="G23" s="66"/>
      <c r="H23" s="66"/>
      <c r="I23" s="66"/>
      <c r="J23" s="66"/>
    </row>
    <row r="24" spans="1:10">
      <c r="A24" s="67" t="str">
        <f>VLOOKUP(B24,Summary!A:A,1,FALSE)</f>
        <v/>
      </c>
      <c r="B24" s="67" t="str">
        <f t="shared" si="0"/>
        <v/>
      </c>
      <c r="G24" s="66"/>
      <c r="H24" s="66"/>
      <c r="I24" s="66"/>
      <c r="J24" s="66"/>
    </row>
    <row r="25" spans="1:10">
      <c r="A25" s="67" t="str">
        <f>VLOOKUP(B25,Summary!A:A,1,FALSE)</f>
        <v/>
      </c>
      <c r="B25" s="67" t="str">
        <f t="shared" si="0"/>
        <v/>
      </c>
      <c r="G25" s="66"/>
      <c r="H25" s="66"/>
      <c r="I25" s="66"/>
      <c r="J25" s="66"/>
    </row>
    <row r="26" spans="1:10">
      <c r="A26" s="67" t="str">
        <f>VLOOKUP(B26,Summary!A:A,1,FALSE)</f>
        <v/>
      </c>
      <c r="B26" s="67" t="str">
        <f t="shared" si="0"/>
        <v/>
      </c>
      <c r="G26" s="66"/>
      <c r="H26" s="66"/>
      <c r="I26" s="66"/>
      <c r="J26" s="66"/>
    </row>
    <row r="27" spans="1:10">
      <c r="A27" s="67" t="str">
        <f>VLOOKUP(B27,Summary!A:A,1,FALSE)</f>
        <v/>
      </c>
      <c r="B27" s="67" t="str">
        <f t="shared" si="0"/>
        <v/>
      </c>
      <c r="G27" s="66"/>
      <c r="H27" s="66"/>
      <c r="I27" s="66"/>
      <c r="J27" s="66"/>
    </row>
    <row r="28" spans="1:10">
      <c r="A28" s="67" t="str">
        <f>VLOOKUP(B28,Summary!A:A,1,FALSE)</f>
        <v/>
      </c>
      <c r="B28" s="67" t="str">
        <f t="shared" si="0"/>
        <v/>
      </c>
      <c r="G28" s="66"/>
      <c r="H28" s="66"/>
      <c r="I28" s="66"/>
      <c r="J28" s="66"/>
    </row>
    <row r="29" spans="1:10">
      <c r="A29" s="67" t="str">
        <f>VLOOKUP(B29,Summary!A:A,1,FALSE)</f>
        <v/>
      </c>
      <c r="B29" s="67" t="str">
        <f t="shared" si="0"/>
        <v/>
      </c>
      <c r="G29" s="66"/>
      <c r="H29" s="66"/>
      <c r="I29" s="66"/>
      <c r="J29" s="66"/>
    </row>
    <row r="30" spans="1:10">
      <c r="A30" s="67" t="str">
        <f>VLOOKUP(B30,Summary!A:A,1,FALSE)</f>
        <v/>
      </c>
      <c r="B30" s="67" t="str">
        <f t="shared" si="0"/>
        <v/>
      </c>
      <c r="G30" s="66"/>
      <c r="H30" s="66"/>
      <c r="I30" s="66"/>
      <c r="J30" s="66"/>
    </row>
    <row r="31" spans="1:10">
      <c r="A31" s="67" t="str">
        <f>VLOOKUP(B31,Summary!A:A,1,FALSE)</f>
        <v/>
      </c>
      <c r="B31" s="67" t="str">
        <f t="shared" si="0"/>
        <v/>
      </c>
      <c r="G31" s="66"/>
      <c r="H31" s="66"/>
      <c r="I31" s="66"/>
      <c r="J31" s="66"/>
    </row>
    <row r="32" spans="1:10">
      <c r="A32" s="67" t="str">
        <f>VLOOKUP(B32,Summary!A:A,1,FALSE)</f>
        <v/>
      </c>
      <c r="B32" s="67" t="str">
        <f t="shared" si="0"/>
        <v/>
      </c>
      <c r="G32" s="66"/>
      <c r="H32" s="66"/>
      <c r="I32" s="66"/>
      <c r="J32" s="66"/>
    </row>
    <row r="33" spans="1:10">
      <c r="A33" s="67" t="str">
        <f>VLOOKUP(B33,Summary!A:A,1,FALSE)</f>
        <v/>
      </c>
      <c r="B33" s="67" t="str">
        <f t="shared" si="0"/>
        <v/>
      </c>
      <c r="G33" s="66"/>
      <c r="H33" s="66"/>
      <c r="I33" s="66"/>
      <c r="J33" s="66"/>
    </row>
    <row r="34" spans="1:10">
      <c r="A34" s="67" t="str">
        <f>VLOOKUP(B34,Summary!A:A,1,FALSE)</f>
        <v/>
      </c>
      <c r="B34" s="67" t="str">
        <f t="shared" si="0"/>
        <v/>
      </c>
      <c r="G34" s="66"/>
      <c r="H34" s="66"/>
      <c r="I34" s="66"/>
      <c r="J34" s="66"/>
    </row>
    <row r="35" spans="1:10">
      <c r="A35" s="67" t="str">
        <f>VLOOKUP(B35,Summary!A:A,1,FALSE)</f>
        <v/>
      </c>
      <c r="B35" s="67" t="str">
        <f t="shared" si="0"/>
        <v/>
      </c>
      <c r="G35" s="66"/>
      <c r="H35" s="66"/>
      <c r="I35" s="66"/>
      <c r="J35" s="66"/>
    </row>
    <row r="36" spans="1:10">
      <c r="A36" s="67" t="str">
        <f>VLOOKUP(B36,Summary!A:A,1,FALSE)</f>
        <v/>
      </c>
      <c r="B36" s="67" t="str">
        <f t="shared" si="0"/>
        <v/>
      </c>
      <c r="G36" s="66"/>
      <c r="H36" s="66"/>
      <c r="I36" s="66"/>
      <c r="J36" s="66"/>
    </row>
    <row r="37" spans="1:10">
      <c r="A37" s="67" t="str">
        <f>VLOOKUP(B37,Summary!A:A,1,FALSE)</f>
        <v/>
      </c>
      <c r="B37" s="67" t="str">
        <f t="shared" si="0"/>
        <v/>
      </c>
      <c r="G37" s="66"/>
      <c r="H37" s="66"/>
      <c r="I37" s="66"/>
      <c r="J37" s="66"/>
    </row>
    <row r="38" spans="1:10">
      <c r="A38" s="67" t="str">
        <f>VLOOKUP(B38,Summary!A:A,1,FALSE)</f>
        <v/>
      </c>
      <c r="B38" s="67" t="str">
        <f t="shared" si="0"/>
        <v/>
      </c>
      <c r="G38" s="66"/>
      <c r="H38" s="66"/>
      <c r="I38" s="66"/>
      <c r="J38" s="66"/>
    </row>
    <row r="39" spans="1:10">
      <c r="A39" s="67" t="str">
        <f>VLOOKUP(B39,Summary!A:A,1,FALSE)</f>
        <v/>
      </c>
      <c r="B39" s="67" t="str">
        <f t="shared" si="0"/>
        <v/>
      </c>
      <c r="G39" s="66"/>
      <c r="H39" s="66"/>
      <c r="I39" s="66"/>
      <c r="J39" s="66"/>
    </row>
    <row r="40" spans="1:10">
      <c r="A40" s="67" t="str">
        <f>VLOOKUP(B40,Summary!A:A,1,FALSE)</f>
        <v/>
      </c>
      <c r="B40" s="67" t="str">
        <f t="shared" si="0"/>
        <v/>
      </c>
      <c r="G40" s="66"/>
      <c r="H40" s="66"/>
      <c r="I40" s="66"/>
      <c r="J40" s="66"/>
    </row>
    <row r="41" spans="1:10">
      <c r="A41" s="67" t="str">
        <f>VLOOKUP(B41,Summary!A:A,1,FALSE)</f>
        <v/>
      </c>
      <c r="B41" s="67" t="str">
        <f t="shared" si="0"/>
        <v/>
      </c>
      <c r="G41" s="66"/>
      <c r="H41" s="66"/>
      <c r="I41" s="66"/>
      <c r="J41" s="66"/>
    </row>
    <row r="42" spans="1:10">
      <c r="A42" s="67" t="str">
        <f>VLOOKUP(B42,Summary!A:A,1,FALSE)</f>
        <v/>
      </c>
      <c r="B42" s="67" t="str">
        <f t="shared" si="0"/>
        <v/>
      </c>
      <c r="G42" s="66"/>
      <c r="H42" s="66"/>
      <c r="I42" s="66"/>
      <c r="J42" s="66"/>
    </row>
    <row r="43" spans="1:10">
      <c r="A43" s="67" t="str">
        <f>VLOOKUP(B43,Summary!A:A,1,FALSE)</f>
        <v/>
      </c>
      <c r="B43" s="67" t="str">
        <f t="shared" si="0"/>
        <v/>
      </c>
      <c r="G43" s="66"/>
      <c r="H43" s="66"/>
      <c r="I43" s="66"/>
      <c r="J43" s="66"/>
    </row>
    <row r="44" spans="1:10">
      <c r="A44" s="67" t="str">
        <f>VLOOKUP(B44,Summary!A:A,1,FALSE)</f>
        <v/>
      </c>
      <c r="B44" s="67" t="str">
        <f t="shared" si="0"/>
        <v/>
      </c>
      <c r="G44" s="66"/>
      <c r="H44" s="66"/>
      <c r="I44" s="66"/>
      <c r="J44" s="66"/>
    </row>
    <row r="45" spans="1:10">
      <c r="A45" s="67" t="str">
        <f>VLOOKUP(B45,Summary!A:A,1,FALSE)</f>
        <v/>
      </c>
      <c r="B45" s="67" t="str">
        <f t="shared" si="0"/>
        <v/>
      </c>
      <c r="G45" s="66"/>
      <c r="H45" s="66"/>
      <c r="I45" s="66"/>
      <c r="J45" s="66"/>
    </row>
    <row r="46" spans="1:10">
      <c r="A46" s="67" t="str">
        <f>VLOOKUP(B46,Summary!A:A,1,FALSE)</f>
        <v/>
      </c>
      <c r="B46" s="67" t="str">
        <f t="shared" si="0"/>
        <v/>
      </c>
      <c r="G46" s="66"/>
      <c r="H46" s="66"/>
      <c r="I46" s="66"/>
      <c r="J46" s="66"/>
    </row>
    <row r="47" spans="1:10">
      <c r="A47" s="67" t="str">
        <f>VLOOKUP(B47,Summary!A:A,1,FALSE)</f>
        <v/>
      </c>
      <c r="B47" s="67" t="str">
        <f t="shared" si="0"/>
        <v/>
      </c>
      <c r="G47" s="66"/>
      <c r="H47" s="66"/>
      <c r="I47" s="66"/>
      <c r="J47" s="66"/>
    </row>
    <row r="48" spans="1:10">
      <c r="A48" s="67" t="str">
        <f>VLOOKUP(B48,Summary!A:A,1,FALSE)</f>
        <v/>
      </c>
      <c r="B48" s="67" t="str">
        <f t="shared" si="0"/>
        <v/>
      </c>
      <c r="G48" s="66"/>
      <c r="H48" s="66"/>
      <c r="I48" s="66"/>
      <c r="J48" s="66"/>
    </row>
    <row r="49" spans="1:10">
      <c r="A49" s="67" t="str">
        <f>VLOOKUP(B49,Summary!A:A,1,FALSE)</f>
        <v/>
      </c>
      <c r="B49" s="67" t="str">
        <f t="shared" si="0"/>
        <v/>
      </c>
      <c r="G49" s="66"/>
      <c r="H49" s="66"/>
      <c r="I49" s="66"/>
      <c r="J49" s="66"/>
    </row>
    <row r="50" spans="1:10">
      <c r="A50" s="67" t="str">
        <f>VLOOKUP(B50,Summary!A:A,1,FALSE)</f>
        <v/>
      </c>
      <c r="B50" s="67" t="str">
        <f t="shared" si="0"/>
        <v/>
      </c>
      <c r="G50" s="66"/>
      <c r="H50" s="66"/>
      <c r="I50" s="66"/>
      <c r="J50" s="66"/>
    </row>
    <row r="51" spans="1:10">
      <c r="A51" s="67" t="str">
        <f>VLOOKUP(B51,Summary!A:A,1,FALSE)</f>
        <v/>
      </c>
      <c r="B51" s="67" t="str">
        <f t="shared" si="0"/>
        <v/>
      </c>
      <c r="G51" s="66"/>
      <c r="H51" s="66"/>
      <c r="I51" s="66"/>
      <c r="J51" s="66"/>
    </row>
    <row r="52" spans="1:10">
      <c r="A52" s="67" t="str">
        <f>VLOOKUP(B52,Summary!A:A,1,FALSE)</f>
        <v/>
      </c>
      <c r="B52" s="67" t="str">
        <f t="shared" si="0"/>
        <v/>
      </c>
      <c r="G52" s="66"/>
      <c r="H52" s="66"/>
      <c r="I52" s="66"/>
      <c r="J52" s="66"/>
    </row>
    <row r="53" spans="1:10">
      <c r="A53" s="67" t="str">
        <f>VLOOKUP(B53,Summary!A:A,1,FALSE)</f>
        <v/>
      </c>
      <c r="B53" s="67" t="str">
        <f t="shared" si="0"/>
        <v/>
      </c>
      <c r="G53" s="66"/>
      <c r="H53" s="66"/>
      <c r="I53" s="66"/>
      <c r="J53" s="66"/>
    </row>
    <row r="54" spans="1:10">
      <c r="A54" s="67" t="str">
        <f>VLOOKUP(B54,Summary!A:A,1,FALSE)</f>
        <v/>
      </c>
      <c r="B54" s="67" t="str">
        <f t="shared" si="0"/>
        <v/>
      </c>
      <c r="G54" s="66"/>
      <c r="H54" s="66"/>
      <c r="I54" s="66"/>
      <c r="J54" s="66"/>
    </row>
    <row r="55" spans="1:10">
      <c r="A55" s="67" t="str">
        <f>VLOOKUP(B55,Summary!A:A,1,FALSE)</f>
        <v/>
      </c>
      <c r="B55" s="67" t="str">
        <f t="shared" si="0"/>
        <v/>
      </c>
      <c r="G55" s="66"/>
      <c r="H55" s="66"/>
      <c r="I55" s="66"/>
      <c r="J55" s="66"/>
    </row>
    <row r="56" spans="1:10">
      <c r="A56" s="67" t="str">
        <f>VLOOKUP(B56,Summary!A:A,1,FALSE)</f>
        <v/>
      </c>
      <c r="B56" s="67" t="str">
        <f t="shared" si="0"/>
        <v/>
      </c>
      <c r="G56" s="66"/>
      <c r="H56" s="66"/>
      <c r="I56" s="66"/>
      <c r="J56" s="66"/>
    </row>
    <row r="57" spans="1:10">
      <c r="A57" s="67" t="str">
        <f>VLOOKUP(B57,Summary!A:A,1,FALSE)</f>
        <v/>
      </c>
      <c r="B57" s="67" t="str">
        <f t="shared" ref="B57:B70" si="1">CONCATENATE(E57,F57)</f>
        <v/>
      </c>
      <c r="G57" s="66"/>
      <c r="H57" s="66"/>
      <c r="I57" s="66"/>
      <c r="J57" s="66"/>
    </row>
    <row r="58" spans="1:10">
      <c r="A58" s="67" t="str">
        <f>VLOOKUP(B58,Summary!A:A,1,FALSE)</f>
        <v/>
      </c>
      <c r="B58" s="67" t="str">
        <f t="shared" si="1"/>
        <v/>
      </c>
      <c r="G58" s="66"/>
      <c r="H58" s="66"/>
      <c r="I58" s="66"/>
      <c r="J58" s="66"/>
    </row>
    <row r="59" spans="1:10">
      <c r="A59" s="67" t="str">
        <f>VLOOKUP(B59,Summary!A:A,1,FALSE)</f>
        <v/>
      </c>
      <c r="B59" s="67" t="str">
        <f t="shared" si="1"/>
        <v/>
      </c>
      <c r="G59" s="66"/>
      <c r="H59" s="66"/>
      <c r="I59" s="66"/>
      <c r="J59" s="66"/>
    </row>
    <row r="60" spans="1:10">
      <c r="A60" s="67" t="str">
        <f>VLOOKUP(B60,Summary!A:A,1,FALSE)</f>
        <v/>
      </c>
      <c r="B60" s="67" t="str">
        <f t="shared" si="1"/>
        <v/>
      </c>
      <c r="G60" s="66"/>
      <c r="H60" s="66"/>
      <c r="I60" s="66"/>
      <c r="J60" s="66"/>
    </row>
    <row r="61" spans="1:10">
      <c r="A61" s="67" t="str">
        <f>VLOOKUP(B61,Summary!A:A,1,FALSE)</f>
        <v/>
      </c>
      <c r="B61" s="67" t="str">
        <f t="shared" si="1"/>
        <v/>
      </c>
    </row>
    <row r="62" spans="1:10">
      <c r="A62" s="67" t="str">
        <f>VLOOKUP(B62,Summary!A:A,1,FALSE)</f>
        <v/>
      </c>
      <c r="B62" s="67" t="str">
        <f t="shared" si="1"/>
        <v/>
      </c>
    </row>
    <row r="63" spans="1:10">
      <c r="A63" s="67" t="str">
        <f>VLOOKUP(B63,Summary!A:A,1,FALSE)</f>
        <v/>
      </c>
      <c r="B63" s="67" t="str">
        <f t="shared" si="1"/>
        <v/>
      </c>
    </row>
    <row r="64" spans="1:10">
      <c r="A64" s="67" t="str">
        <f>VLOOKUP(B64,Summary!A:A,1,FALSE)</f>
        <v/>
      </c>
      <c r="B64" s="67" t="str">
        <f t="shared" si="1"/>
        <v/>
      </c>
      <c r="G64" s="66"/>
      <c r="H64" s="66"/>
      <c r="I64" s="66"/>
      <c r="J64" s="66"/>
    </row>
    <row r="65" spans="1:10">
      <c r="A65" s="67" t="str">
        <f>VLOOKUP(B65,Summary!A:A,1,FALSE)</f>
        <v/>
      </c>
      <c r="B65" s="67" t="str">
        <f t="shared" si="1"/>
        <v/>
      </c>
      <c r="G65" s="66"/>
      <c r="H65" s="66"/>
      <c r="I65" s="66"/>
      <c r="J65" s="66"/>
    </row>
    <row r="66" spans="1:10">
      <c r="A66" s="67" t="str">
        <f>VLOOKUP(B66,Summary!A:A,1,FALSE)</f>
        <v/>
      </c>
      <c r="B66" s="67" t="str">
        <f t="shared" si="1"/>
        <v/>
      </c>
      <c r="G66" s="66"/>
      <c r="H66" s="66"/>
      <c r="I66" s="66"/>
      <c r="J66" s="66"/>
    </row>
    <row r="67" spans="1:10">
      <c r="A67" s="67" t="str">
        <f>VLOOKUP(B67,Summary!A:A,1,FALSE)</f>
        <v/>
      </c>
      <c r="B67" s="67" t="str">
        <f t="shared" si="1"/>
        <v/>
      </c>
      <c r="G67" s="66"/>
      <c r="H67" s="66"/>
      <c r="I67" s="66"/>
      <c r="J67" s="66"/>
    </row>
    <row r="68" spans="1:10">
      <c r="A68" s="67" t="str">
        <f>VLOOKUP(B68,Summary!A:A,1,FALSE)</f>
        <v/>
      </c>
      <c r="B68" s="67" t="str">
        <f t="shared" si="1"/>
        <v/>
      </c>
      <c r="G68" s="66"/>
      <c r="H68" s="66"/>
      <c r="I68" s="66"/>
      <c r="J68" s="66"/>
    </row>
    <row r="69" spans="1:10">
      <c r="A69" s="67" t="str">
        <f>VLOOKUP(B69,Summary!A:A,1,FALSE)</f>
        <v/>
      </c>
      <c r="B69" s="67" t="str">
        <f t="shared" si="1"/>
        <v/>
      </c>
      <c r="G69" s="66"/>
      <c r="H69" s="66"/>
      <c r="I69" s="66"/>
      <c r="J69" s="66"/>
    </row>
    <row r="70" spans="1:10">
      <c r="A70" s="67" t="str">
        <f>VLOOKUP(B70,Summary!A:A,1,FALSE)</f>
        <v/>
      </c>
      <c r="B70" s="67" t="str">
        <f t="shared" si="1"/>
        <v/>
      </c>
    </row>
    <row r="71" spans="1:10" ht="15.75" customHeight="1"/>
  </sheetData>
  <phoneticPr fontId="0" type="noConversion"/>
  <pageMargins left="0.75" right="0.75" top="1" bottom="1" header="0.5" footer="0.5"/>
  <pageSetup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2D6C0B0299502459BE057F60D45F7A2" ma:contentTypeVersion="17" ma:contentTypeDescription="Create a new document." ma:contentTypeScope="" ma:versionID="6e23d62fb7150e11f984414b68c1227b">
  <xsd:schema xmlns:xsd="http://www.w3.org/2001/XMLSchema" xmlns:xs="http://www.w3.org/2001/XMLSchema" xmlns:p="http://schemas.microsoft.com/office/2006/metadata/properties" xmlns:ns2="ecf2865c-a0c0-4830-9c97-c878b24eefc5" xmlns:ns3="0c3f3349-3fde-44b2-91dd-1461469ae59c" targetNamespace="http://schemas.microsoft.com/office/2006/metadata/properties" ma:root="true" ma:fieldsID="a90d4b92e403bde2b0b8c8a97853fd2e" ns2:_="" ns3:_="">
    <xsd:import namespace="ecf2865c-a0c0-4830-9c97-c878b24eefc5"/>
    <xsd:import namespace="0c3f3349-3fde-44b2-91dd-1461469ae59c"/>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element ref="ns3:MediaServiceLocation" minOccurs="0"/>
                <xsd:element ref="ns3:MediaLengthInSeconds" minOccurs="0"/>
                <xsd:element ref="ns3:_Flow_SignoffStatu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f2865c-a0c0-4830-9c97-c878b24eefc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54104d38-e8e4-4984-a0bc-6afa79dcdd70}" ma:internalName="TaxCatchAll" ma:showField="CatchAllData" ma:web="ecf2865c-a0c0-4830-9c97-c878b24eefc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c3f3349-3fde-44b2-91dd-1461469ae59c"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3236efef-33c7-4880-a5c8-aa8024ac5528"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_Flow_SignoffStatus" ma:index="22" nillable="true" ma:displayName="Sign-off status" ma:internalName="Sign_x002d_off_x0020_status">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c3f3349-3fde-44b2-91dd-1461469ae59c">
      <Terms xmlns="http://schemas.microsoft.com/office/infopath/2007/PartnerControls"/>
    </lcf76f155ced4ddcb4097134ff3c332f>
    <_Flow_SignoffStatus xmlns="0c3f3349-3fde-44b2-91dd-1461469ae59c" xsi:nil="true"/>
    <TaxCatchAll xmlns="ecf2865c-a0c0-4830-9c97-c878b24eefc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CB11E44-83B9-40AA-BD4E-1CCE678821FC}"/>
</file>

<file path=customXml/itemProps2.xml><?xml version="1.0" encoding="utf-8"?>
<ds:datastoreItem xmlns:ds="http://schemas.openxmlformats.org/officeDocument/2006/customXml" ds:itemID="{1DFE4CA6-7EEC-46E1-8F72-8E79A17D45CF}"/>
</file>

<file path=customXml/itemProps3.xml><?xml version="1.0" encoding="utf-8"?>
<ds:datastoreItem xmlns:ds="http://schemas.openxmlformats.org/officeDocument/2006/customXml" ds:itemID="{8FE1EDF2-A3A3-40D9-8C01-B979378624ED}"/>
</file>

<file path=docProps/app.xml><?xml version="1.0" encoding="utf-8"?>
<Properties xmlns="http://schemas.openxmlformats.org/officeDocument/2006/extended-properties" xmlns:vt="http://schemas.openxmlformats.org/officeDocument/2006/docPropsVTypes">
  <Application>Microsoft Excel Online</Application>
  <Manager/>
  <Company>Bank of New York Mellon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Ashby, Steven</dc:creator>
  <cp:keywords/>
  <dc:description/>
  <cp:lastModifiedBy>Punit Suman</cp:lastModifiedBy>
  <cp:revision/>
  <dcterms:created xsi:type="dcterms:W3CDTF">2012-04-12T15:16:23Z</dcterms:created>
  <dcterms:modified xsi:type="dcterms:W3CDTF">2026-07-02T10:44:00Z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92fc23c-3ae3-46c5-b1a3-48f898c2d74a_Enabled">
    <vt:lpwstr>true</vt:lpwstr>
  </property>
  <property fmtid="{D5CDD505-2E9C-101B-9397-08002B2CF9AE}" pid="3" name="MSIP_Label_692fc23c-3ae3-46c5-b1a3-48f898c2d74a_SetDate">
    <vt:lpwstr>2020-09-20T00:05:41Z</vt:lpwstr>
  </property>
  <property fmtid="{D5CDD505-2E9C-101B-9397-08002B2CF9AE}" pid="4" name="MSIP_Label_692fc23c-3ae3-46c5-b1a3-48f898c2d74a_Method">
    <vt:lpwstr>Privileged</vt:lpwstr>
  </property>
  <property fmtid="{D5CDD505-2E9C-101B-9397-08002B2CF9AE}" pid="5" name="MSIP_Label_692fc23c-3ae3-46c5-b1a3-48f898c2d74a_Name">
    <vt:lpwstr>Highly Confidential</vt:lpwstr>
  </property>
  <property fmtid="{D5CDD505-2E9C-101B-9397-08002B2CF9AE}" pid="6" name="MSIP_Label_692fc23c-3ae3-46c5-b1a3-48f898c2d74a_SiteId">
    <vt:lpwstr>106bdeea-f616-4dfc-bc1d-6cbbf45e2011</vt:lpwstr>
  </property>
  <property fmtid="{D5CDD505-2E9C-101B-9397-08002B2CF9AE}" pid="7" name="MSIP_Label_692fc23c-3ae3-46c5-b1a3-48f898c2d74a_ActionId">
    <vt:lpwstr>b3692af4-64fe-41b6-b6c6-ab8256637c36</vt:lpwstr>
  </property>
  <property fmtid="{D5CDD505-2E9C-101B-9397-08002B2CF9AE}" pid="8" name="MSIP_Label_692fc23c-3ae3-46c5-b1a3-48f898c2d74a_ContentBits">
    <vt:lpwstr>0</vt:lpwstr>
  </property>
  <property fmtid="{D5CDD505-2E9C-101B-9397-08002B2CF9AE}" pid="9" name="ContentTypeId">
    <vt:lpwstr>0x010100E2D6C0B0299502459BE057F60D45F7A2</vt:lpwstr>
  </property>
  <property fmtid="{D5CDD505-2E9C-101B-9397-08002B2CF9AE}" pid="10" name="MediaServiceImageTags">
    <vt:lpwstr/>
  </property>
</Properties>
</file>