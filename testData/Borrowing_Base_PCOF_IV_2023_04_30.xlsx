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ocuments\Flairminds\fileupload-Onpeper\Upoladed Files\"/>
    </mc:Choice>
  </mc:AlternateContent>
  <xr:revisionPtr revIDLastSave="0" documentId="13_ncr:1_{6570A09F-951B-4ACA-8026-F526A77C5E41}" xr6:coauthVersionLast="47" xr6:coauthVersionMax="47" xr10:uidLastSave="{00000000-0000-0000-0000-000000000000}"/>
  <bookViews>
    <workbookView xWindow="-108" yWindow="-108" windowWidth="23256" windowHeight="12576" firstSheet="2" activeTab="3" xr2:uid="{00000000-000D-0000-FFFF-FFFF00000000}"/>
  </bookViews>
  <sheets>
    <sheet name="Availability Borrower" sheetId="19" r:id="rId1"/>
    <sheet name="Applicable Margin" sheetId="2" r:id="rId2"/>
    <sheet name="Subscription BB" sheetId="20" r:id="rId3"/>
    <sheet name="PL BB Build" sheetId="4" r:id="rId4"/>
    <sheet name="Principle Obligations" sheetId="21" r:id="rId5"/>
    <sheet name="PL BB Output" sheetId="5" r:id="rId6"/>
    <sheet name="PL_BB_Results_Concentrations" sheetId="11" r:id="rId7"/>
    <sheet name="PL_BB_Results_Security" sheetId="10" r:id="rId8"/>
    <sheet name="Obligors' Net Capital" sheetId="12" r:id="rId9"/>
    <sheet name="PL BB Results" sheetId="6" r:id="rId10"/>
    <sheet name="PL BB FMV Rollforward" sheetId="7" r:id="rId11"/>
    <sheet name="Inputs" sheetId="8" r:id="rId12"/>
    <sheet name="Pricing" sheetId="13" r:id="rId13"/>
    <sheet name="Advance Rates" sheetId="14" r:id="rId14"/>
    <sheet name="Portfolio LeverageBorrowingBase" sheetId="15" r:id="rId15"/>
    <sheet name="Concentration Limits" sheetId="16" r:id="rId16"/>
    <sheet name="Inputs Industries" sheetId="17" r:id="rId17"/>
    <sheet name="Other Metrics" sheetId="18" r:id="rId18"/>
    <sheet name="MV and BV 4.30" sheetId="9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3" hidden="1">'PL BB Build'!$A$1:$AQ$35</definedName>
    <definedName name="_Principal" localSheetId="1">'[1]Summary - All Debt'!#REF!</definedName>
    <definedName name="_Principal" localSheetId="10">'[1]Summary - All Debt'!#REF!</definedName>
    <definedName name="_Principal">'[1]Summary - All Debt'!#REF!</definedName>
    <definedName name="_Regression_Int">1</definedName>
    <definedName name="_Sr2">"Sr2"</definedName>
    <definedName name="AccountTotal1" localSheetId="1">#REF!</definedName>
    <definedName name="AccountTotal1">#REF!</definedName>
    <definedName name="AccountTotal2" localSheetId="1">#REF!</definedName>
    <definedName name="AccountTotal2">#REF!</definedName>
    <definedName name="AccountTotal3" localSheetId="1">#REF!</definedName>
    <definedName name="AccountTotal3">#REF!</definedName>
    <definedName name="AccountTotal4" localSheetId="1">#REF!</definedName>
    <definedName name="AccountTotal4">#REF!</definedName>
    <definedName name="AccountTotal5" localSheetId="1">#REF!</definedName>
    <definedName name="AccountTotal5">#REF!</definedName>
    <definedName name="AccountTotal6" localSheetId="1">#REF!</definedName>
    <definedName name="AccountTotal6">#REF!</definedName>
    <definedName name="AccountTotal7" localSheetId="1">#REF!</definedName>
    <definedName name="AccountTotal7">#REF!</definedName>
    <definedName name="AccountTotal8" localSheetId="1">#REF!</definedName>
    <definedName name="AccountTotal8">#REF!</definedName>
    <definedName name="AccountTotal9" localSheetId="1">#REF!</definedName>
    <definedName name="AccountTotal9">#REF!</definedName>
    <definedName name="AcctTotal" localSheetId="1">#REF!</definedName>
    <definedName name="AcctTotal">#REF!</definedName>
    <definedName name="ACPAAfter" localSheetId="1">#REF!</definedName>
    <definedName name="ACPAAfter" localSheetId="10">#REF!</definedName>
    <definedName name="ACPAAfter">#REF!</definedName>
    <definedName name="ACPABefore" localSheetId="1">#REF!</definedName>
    <definedName name="ACPABefore" localSheetId="10">#REF!</definedName>
    <definedName name="ACPABefore">#REF!</definedName>
    <definedName name="act_360">2</definedName>
    <definedName name="Actual12moChargeoffRatio" localSheetId="1">#REF!</definedName>
    <definedName name="Actual12moChargeoffRatio">#REF!</definedName>
    <definedName name="Actual3moChargeoffRatio" localSheetId="1">#REF!</definedName>
    <definedName name="Actual3moChargeoffRatio">#REF!</definedName>
    <definedName name="Actual3moDefaultRatio" localSheetId="1">#REF!</definedName>
    <definedName name="Actual3moDefaultRatio">#REF!</definedName>
    <definedName name="AdjAdvRate" localSheetId="1">#REF!</definedName>
    <definedName name="AdjAdvRate">#REF!</definedName>
    <definedName name="AdvancesOS" localSheetId="1">#REF!</definedName>
    <definedName name="AdvancesOS">#REF!</definedName>
    <definedName name="AfterTrade">'[2]Portfolio Information'!$M$9:$M$500</definedName>
    <definedName name="AggNetMarkMktAmount">'[3]Borrowing Base Certificate'!$H$95</definedName>
    <definedName name="AgingsDetail" localSheetId="1">#REF!</definedName>
    <definedName name="AgingsDetail">#REF!</definedName>
    <definedName name="Angle" localSheetId="1">#REF!</definedName>
    <definedName name="Angle" localSheetId="10">#REF!</definedName>
    <definedName name="Angle">#REF!</definedName>
    <definedName name="Annual">"Annual"</definedName>
    <definedName name="AOLB" localSheetId="1">#REF!</definedName>
    <definedName name="AOLB">#REF!</definedName>
    <definedName name="AOLBrange" localSheetId="1">#REF!</definedName>
    <definedName name="AOLBrange">#REF!</definedName>
    <definedName name="AOPBAfter" localSheetId="1">#REF!</definedName>
    <definedName name="AOPBAfter" localSheetId="10">#REF!</definedName>
    <definedName name="AOPBAfter">#REF!</definedName>
    <definedName name="asset_step_up_coupon" localSheetId="1">[4]Bonds!#REF!</definedName>
    <definedName name="asset_step_up_coupon" localSheetId="10">[4]Bonds!#REF!</definedName>
    <definedName name="asset_step_up_coupon">[4]Bonds!#REF!</definedName>
    <definedName name="AssetDataAfter" localSheetId="1">#REF!</definedName>
    <definedName name="AssetDataAfter" localSheetId="10">#REF!</definedName>
    <definedName name="AssetDataAfter">#REF!</definedName>
    <definedName name="AssetType">Inputs!$D$9:$D$500</definedName>
    <definedName name="Availablecapitalization" localSheetId="1">#REF!</definedName>
    <definedName name="Availablecapitalization" localSheetId="10">#REF!</definedName>
    <definedName name="Availablecapitalization">#REF!</definedName>
    <definedName name="AvailableClassCsec">'[3]Borrowing Base Certificate'!$H$93</definedName>
    <definedName name="AvailableCollections" localSheetId="1">#REF!</definedName>
    <definedName name="AvailableCollections">#REF!</definedName>
    <definedName name="AverageParAfter" localSheetId="1">#REF!</definedName>
    <definedName name="AverageParAfter" localSheetId="10">#REF!</definedName>
    <definedName name="AverageParAfter">#REF!</definedName>
    <definedName name="avg_commitment_fee">[4]Floaters!$F$8</definedName>
    <definedName name="avg_coupon_floaters">[4]Floaters!$D$5</definedName>
    <definedName name="avg_life_floaters" localSheetId="1">#REF!</definedName>
    <definedName name="avg_life_floaters" localSheetId="10">#REF!</definedName>
    <definedName name="avg_life_floaters">#REF!</definedName>
    <definedName name="avg_price_floaters" localSheetId="1">#REF!</definedName>
    <definedName name="avg_price_floaters" localSheetId="10">#REF!</definedName>
    <definedName name="avg_price_floaters">#REF!</definedName>
    <definedName name="avg_rating_factor_bonds">[4]Bonds!$C$6</definedName>
    <definedName name="avg_rating_factor_floaters">[4]Floaters!$D$7</definedName>
    <definedName name="avg_recovery_bonds" localSheetId="1">[4]Bonds!#REF!</definedName>
    <definedName name="avg_recovery_bonds" localSheetId="10">[4]Bonds!#REF!</definedName>
    <definedName name="avg_recovery_bonds">[4]Bonds!#REF!</definedName>
    <definedName name="avg_spread_floaters" localSheetId="1">#REF!</definedName>
    <definedName name="avg_spread_floaters" localSheetId="10">#REF!</definedName>
    <definedName name="avg_spread_floaters">#REF!</definedName>
    <definedName name="AvgObligorHaircut">'[3]Pool Concentration Report'!$F$33</definedName>
    <definedName name="BackupServiceFee" localSheetId="1">#REF!</definedName>
    <definedName name="BackupServiceFee">#REF!</definedName>
    <definedName name="BeforeTrade">'[2]Portfolio Information'!$J$9:$J$500</definedName>
    <definedName name="BegAOLB">'[3]Borrowing Base Certificate'!$H$16</definedName>
    <definedName name="BeginningBalance1" localSheetId="1">#REF!</definedName>
    <definedName name="BeginningBalance1">#REF!</definedName>
    <definedName name="BeginningBalance2" localSheetId="1">#REF!</definedName>
    <definedName name="BeginningBalance2">#REF!</definedName>
    <definedName name="BeginningBalance3" localSheetId="1">#REF!</definedName>
    <definedName name="BeginningBalance3">#REF!</definedName>
    <definedName name="BeginningBalance4" localSheetId="1">#REF!</definedName>
    <definedName name="BeginningBalance4">#REF!</definedName>
    <definedName name="BeginningBalance5" localSheetId="1">#REF!</definedName>
    <definedName name="BeginningBalance5">#REF!</definedName>
    <definedName name="BeginningBalance6" localSheetId="1">#REF!</definedName>
    <definedName name="BeginningBalance6">#REF!</definedName>
    <definedName name="BeginningBalance7" localSheetId="1">#REF!</definedName>
    <definedName name="BeginningBalance7">#REF!</definedName>
    <definedName name="BeginningBalance8" localSheetId="1">#REF!</definedName>
    <definedName name="BeginningBalance8">#REF!</definedName>
    <definedName name="BeginningBalance9" localSheetId="1">#REF!</definedName>
    <definedName name="BeginningBalance9">#REF!</definedName>
    <definedName name="BeginningCashBalance1" localSheetId="1">#REF!</definedName>
    <definedName name="BeginningCashBalance1">#REF!</definedName>
    <definedName name="BeginningCashBalance2" localSheetId="1">#REF!</definedName>
    <definedName name="BeginningCashBalance2">#REF!</definedName>
    <definedName name="BeginningCashBalance3" localSheetId="1">#REF!</definedName>
    <definedName name="BeginningCashBalance3">#REF!</definedName>
    <definedName name="BeginningCashBalance4" localSheetId="1">#REF!</definedName>
    <definedName name="BeginningCashBalance4">#REF!</definedName>
    <definedName name="BeginningCashBalance5" localSheetId="1">#REF!</definedName>
    <definedName name="BeginningCashBalance5">#REF!</definedName>
    <definedName name="BeginningTotBalance1" localSheetId="1">#REF!</definedName>
    <definedName name="BeginningTotBalance1">#REF!</definedName>
    <definedName name="BeginningTotBalance2" localSheetId="1">#REF!</definedName>
    <definedName name="BeginningTotBalance2">#REF!</definedName>
    <definedName name="BeginningTotBalance3" localSheetId="1">#REF!</definedName>
    <definedName name="BeginningTotBalance3">#REF!</definedName>
    <definedName name="BeginningTotBalance4" localSheetId="1">#REF!</definedName>
    <definedName name="BeginningTotBalance4">#REF!</definedName>
    <definedName name="BeginningTotBalance5" localSheetId="1">#REF!</definedName>
    <definedName name="BeginningTotBalance5">#REF!</definedName>
    <definedName name="BegOPLB" localSheetId="1">#REF!</definedName>
    <definedName name="BegOPLB">#REF!</definedName>
    <definedName name="BegPeriodDate" localSheetId="1">#REF!</definedName>
    <definedName name="BegPeriodDate">#REF!</definedName>
    <definedName name="BLT_vs_NonBLT" localSheetId="1">#REF!</definedName>
    <definedName name="BLT_vs_NonBLT">#REF!</definedName>
    <definedName name="Bonds" localSheetId="1">#REF!</definedName>
    <definedName name="Bonds" localSheetId="10">#REF!</definedName>
    <definedName name="Bonds">#REF!</definedName>
    <definedName name="bonds_dbase">[4]Bonds!$B$11:$R$413</definedName>
    <definedName name="BorrowingBase" localSheetId="1">#REF!</definedName>
    <definedName name="BorrowingBase">#REF!</definedName>
    <definedName name="Caa2AmountAfter" localSheetId="1">'[5]Moodys Caa2 or Lower'!#REF!</definedName>
    <definedName name="Caa2AmountAfter" localSheetId="10">'[5]Moodys Caa2 or Lower'!#REF!</definedName>
    <definedName name="Caa2AmountAfter">'[5]Moodys Caa2 or Lower'!#REF!</definedName>
    <definedName name="Caa2PercAfter" localSheetId="1">'[5]Moodys Caa2 or Lower'!#REF!</definedName>
    <definedName name="Caa2PercAfter" localSheetId="10">'[5]Moodys Caa2 or Lower'!#REF!</definedName>
    <definedName name="Caa2PercAfter">'[5]Moodys Caa2 or Lower'!#REF!</definedName>
    <definedName name="cash" localSheetId="1">#REF!</definedName>
    <definedName name="cash" localSheetId="10">#REF!</definedName>
    <definedName name="cash">#REF!</definedName>
    <definedName name="CashBalance1" localSheetId="1">#REF!</definedName>
    <definedName name="CashBalance1">#REF!</definedName>
    <definedName name="CashBalance2" localSheetId="1">#REF!</definedName>
    <definedName name="CashBalance2">#REF!</definedName>
    <definedName name="CashBalance3" localSheetId="1">#REF!</definedName>
    <definedName name="CashBalance3">#REF!</definedName>
    <definedName name="CashBalance4" localSheetId="1">#REF!</definedName>
    <definedName name="CashBalance4">#REF!</definedName>
    <definedName name="CashBalance5" localSheetId="1">#REF!</definedName>
    <definedName name="CashBalance5">#REF!</definedName>
    <definedName name="CashBalance6" localSheetId="1">#REF!</definedName>
    <definedName name="CashBalance6">#REF!</definedName>
    <definedName name="CashBalance7" localSheetId="1">#REF!</definedName>
    <definedName name="CashBalance7">#REF!</definedName>
    <definedName name="CashBalance8" localSheetId="1">#REF!</definedName>
    <definedName name="CashBalance8">#REF!</definedName>
    <definedName name="CashBalance9" localSheetId="1">#REF!</definedName>
    <definedName name="CashBalance9">#REF!</definedName>
    <definedName name="CIQWBGuid">"Portfolio 11.30.11.xlsx"</definedName>
    <definedName name="ClassStart" localSheetId="1">#REF!</definedName>
    <definedName name="ClassStart">#REF!</definedName>
    <definedName name="clearing" localSheetId="1">#REF!</definedName>
    <definedName name="clearing">#REF!</definedName>
    <definedName name="ClearTradeReport" localSheetId="1">[6]Compliance!#REF!</definedName>
    <definedName name="ClearTradeReport" localSheetId="10">[6]Compliance!#REF!</definedName>
    <definedName name="ClearTradeReport">[6]Compliance!#REF!</definedName>
    <definedName name="code_1">'[4]Lookup Tables'!$B$4:$B$5</definedName>
    <definedName name="Code_10">'[4]Lookup Tables'!$K$4:$K$5</definedName>
    <definedName name="Code_11">'[4]Lookup Tables'!$L$4:$L$5</definedName>
    <definedName name="Code_12">'[4]Lookup Tables'!$M$4:$M$5</definedName>
    <definedName name="Code_13">'[4]Lookup Tables'!$N$4:$N$5</definedName>
    <definedName name="Code_14">'[4]Lookup Tables'!$O$4:$O$5</definedName>
    <definedName name="Code_15">'[4]Lookup Tables'!$P$4:$P$5</definedName>
    <definedName name="Code_16">'[4]Lookup Tables'!$Q$4:$Q$5</definedName>
    <definedName name="Code_17">'[4]Lookup Tables'!$R$4:$R$5</definedName>
    <definedName name="Code_18">'[4]Lookup Tables'!$S$4:$S$5</definedName>
    <definedName name="Code_19">'[4]Lookup Tables'!$T$4:$T$5</definedName>
    <definedName name="code_2">'[4]Lookup Tables'!$C$4:$C$5</definedName>
    <definedName name="Code_20">'[4]Lookup Tables'!$U$4:$U$5</definedName>
    <definedName name="Code_21">'[4]Lookup Tables'!$V$4:$V$5</definedName>
    <definedName name="Code_22">'[4]Lookup Tables'!$W$4:$W$5</definedName>
    <definedName name="Code_23">'[4]Lookup Tables'!$X$4:$X$5</definedName>
    <definedName name="Code_24">'[4]Lookup Tables'!$Y$4:$Y$5</definedName>
    <definedName name="Code_25">'[4]Lookup Tables'!$Z$4:$Z$5</definedName>
    <definedName name="Code_26">'[4]Lookup Tables'!$AA$4:$AA$5</definedName>
    <definedName name="Code_27">'[4]Lookup Tables'!$AB$4:$AB$5</definedName>
    <definedName name="Code_28">'[4]Lookup Tables'!$AC$4:$AC$5</definedName>
    <definedName name="Code_29">'[4]Lookup Tables'!$AD$4:$AD$5</definedName>
    <definedName name="Code_3">'[4]Lookup Tables'!$D$4:$D$5</definedName>
    <definedName name="Code_30">'[4]Lookup Tables'!$AE$4:$AE$5</definedName>
    <definedName name="Code_31">'[4]Lookup Tables'!$AF$4:$AF$5</definedName>
    <definedName name="Code_32">'[4]Lookup Tables'!$AG$4:$AG$5</definedName>
    <definedName name="Code_4">'[4]Lookup Tables'!$E$4:$E$5</definedName>
    <definedName name="Code_5">'[4]Lookup Tables'!$F$4:$F$5</definedName>
    <definedName name="Code_6">'[4]Lookup Tables'!$G$4:$G$5</definedName>
    <definedName name="Code_7">'[4]Lookup Tables'!$H$4:$H$5</definedName>
    <definedName name="Code_8">'[4]Lookup Tables'!$I$4:$I$5</definedName>
    <definedName name="Code_9">'[4]Lookup Tables'!$J$4:$J$5</definedName>
    <definedName name="CollateralBalance" localSheetId="1">#REF!</definedName>
    <definedName name="CollateralBalance">#REF!</definedName>
    <definedName name="COMPANY">'[7]All Debt'!$B$19:$C$747</definedName>
    <definedName name="COMPANY_DPTMNT">'[7]All Debt'!$AJ$19:$AJ$747</definedName>
    <definedName name="Company_Name">Inputs!$B$1</definedName>
    <definedName name="COMPANY_OFFICE">'[7]All Debt'!$AK$19:$AK$747</definedName>
    <definedName name="CoNames" localSheetId="1">#REF!</definedName>
    <definedName name="CoNames">#REF!</definedName>
    <definedName name="ConcentrationExcess" localSheetId="1">#REF!</definedName>
    <definedName name="ConcentrationExcess">#REF!</definedName>
    <definedName name="ConcentrationExcesses" localSheetId="1">#REF!</definedName>
    <definedName name="ConcentrationExcesses">#REF!</definedName>
    <definedName name="corp30_360">0</definedName>
    <definedName name="Cost" localSheetId="1">#REF!</definedName>
    <definedName name="Cost" localSheetId="10">#REF!</definedName>
    <definedName name="Cost">#REF!</definedName>
    <definedName name="Country" localSheetId="1">#REF!</definedName>
    <definedName name="Country" localSheetId="10">#REF!</definedName>
    <definedName name="Country">#REF!</definedName>
    <definedName name="Coupon" localSheetId="1">#REF!</definedName>
    <definedName name="Coupon" localSheetId="10">#REF!</definedName>
    <definedName name="Coupon">#REF!</definedName>
    <definedName name="CPOAmountAfter" localSheetId="1">'[5]Current Pay Obligations'!#REF!</definedName>
    <definedName name="CPOAmountAfter" localSheetId="10">'[5]Current Pay Obligations'!#REF!</definedName>
    <definedName name="CPOAmountAfter">'[5]Current Pay Obligations'!#REF!</definedName>
    <definedName name="CPOPercAfter" localSheetId="1">'[5]Current Pay Obligations'!#REF!</definedName>
    <definedName name="CPOPercAfter" localSheetId="10">'[5]Current Pay Obligations'!#REF!</definedName>
    <definedName name="CPOPercAfter">'[5]Current Pay Obligations'!#REF!</definedName>
    <definedName name="Currency">Inputs!$U$9:$U$500</definedName>
    <definedName name="current" localSheetId="1">#REF!</definedName>
    <definedName name="current" localSheetId="10">#REF!</definedName>
    <definedName name="current">#REF!</definedName>
    <definedName name="CurrentDefaultRatio" localSheetId="1">#REF!</definedName>
    <definedName name="CurrentDefaultRatio">#REF!</definedName>
    <definedName name="CurrentPay?">Inputs!$Z$9:$Z$500</definedName>
    <definedName name="CustodianFee" localSheetId="1">#REF!</definedName>
    <definedName name="CustodianFee">#REF!</definedName>
    <definedName name="Custom">"C"</definedName>
    <definedName name="dbase_bond">[4]Bonds!$B$11:$R$413</definedName>
    <definedName name="dbase_diversity">[4]Diversity_Score!$C$11:$L$465</definedName>
    <definedName name="DBRS_Code">'[8]Source-Industries List'!$I$5:$I$45</definedName>
    <definedName name="DBRS_List">'[8]Source-Industries List'!$H$5:$H$45</definedName>
    <definedName name="Defaulted?">Inputs!$Y$9:$Y$500</definedName>
    <definedName name="DefaultedLoansTotal">'[3]Loan List'!$AX$89</definedName>
    <definedName name="DelDrawRev?">Inputs!$W$9:$W$500</definedName>
    <definedName name="Delete1" localSheetId="1">#REF!</definedName>
    <definedName name="Delete1">#REF!</definedName>
    <definedName name="Delete2" localSheetId="1">#REF!</definedName>
    <definedName name="Delete2">#REF!</definedName>
    <definedName name="DeleteRange3" localSheetId="1">#REF!</definedName>
    <definedName name="DeleteRange3">#REF!</definedName>
    <definedName name="DIPAmountAfter" localSheetId="1">[5]DIP!#REF!</definedName>
    <definedName name="DIPAmountAfter" localSheetId="10">[5]DIP!#REF!</definedName>
    <definedName name="DIPAmountAfter">[5]DIP!#REF!</definedName>
    <definedName name="DIPLoan?">Inputs!$X$9:$X$500</definedName>
    <definedName name="DIPPercAfter" localSheetId="1">[5]DIP!#REF!</definedName>
    <definedName name="DIPPercAfter" localSheetId="10">[5]DIP!#REF!</definedName>
    <definedName name="DIPPercAfter">[5]DIP!#REF!</definedName>
    <definedName name="DiscountBondsAmountAfter" localSheetId="1">[5]Discounts!#REF!</definedName>
    <definedName name="DiscountBondsAmountAfter" localSheetId="10">[5]Discounts!#REF!</definedName>
    <definedName name="DiscountBondsAmountAfter">[5]Discounts!#REF!</definedName>
    <definedName name="DiscountBondsPercAfter" localSheetId="1">[5]Discounts!#REF!</definedName>
    <definedName name="DiscountBondsPercAfter" localSheetId="10">[5]Discounts!#REF!</definedName>
    <definedName name="DiscountBondsPercAfter">[5]Discounts!#REF!</definedName>
    <definedName name="Discounted?">Inputs!$AA$9:$AA$500</definedName>
    <definedName name="DiscountsAmountAfter" localSheetId="1">[5]Discounts!#REF!</definedName>
    <definedName name="DiscountsAmountAfter" localSheetId="10">[5]Discounts!#REF!</definedName>
    <definedName name="DiscountsAmountAfter">[5]Discounts!#REF!</definedName>
    <definedName name="DiscountsPercAfter" localSheetId="1">[5]Discounts!#REF!</definedName>
    <definedName name="DiscountsPercAfter" localSheetId="10">[5]Discounts!#REF!</definedName>
    <definedName name="DiscountsPercAfter">[5]Discounts!#REF!</definedName>
    <definedName name="Diversity_Score">[4]Diversity_Score!$D$7</definedName>
    <definedName name="DiversityAfter" localSheetId="1">'[5]Diversity Test'!#REF!</definedName>
    <definedName name="DiversityAfter" localSheetId="10">'[5]Diversity Test'!#REF!</definedName>
    <definedName name="DiversityAfter">'[5]Diversity Test'!#REF!</definedName>
    <definedName name="DiversityScore" localSheetId="1">#REF!</definedName>
    <definedName name="DiversityScore" localSheetId="10">#REF!</definedName>
    <definedName name="DiversityScore">#REF!</definedName>
    <definedName name="ds_industry_cd_array">[4]Diversity_Score!$J$411:$J$626</definedName>
    <definedName name="Elig_Issuers_TLDL" localSheetId="1">'Applicable Margin'!#REF!</definedName>
    <definedName name="Elig_Issuers_TLDL">'PL BB Results'!$D$2</definedName>
    <definedName name="EM?">Inputs!$AB$9:$AB$500</definedName>
    <definedName name="EndingAOLB">'[3]Borrowing Base Certificate'!$H$25</definedName>
    <definedName name="EndPeriodDate" localSheetId="1">#REF!</definedName>
    <definedName name="EndPeriodDate">#REF!</definedName>
    <definedName name="EQUITY_CO_VLOOKUP" localSheetId="1">#REF!</definedName>
    <definedName name="EQUITY_CO_VLOOKUP">#REF!</definedName>
    <definedName name="EQUITY_DEPARTMENT" localSheetId="1">#REF!</definedName>
    <definedName name="EQUITY_DEPARTMENT">#REF!</definedName>
    <definedName name="EQUITY_FMV" localSheetId="1">#REF!</definedName>
    <definedName name="EQUITY_FMV">#REF!</definedName>
    <definedName name="EQUITY_OFFICE" localSheetId="1">#REF!</definedName>
    <definedName name="EQUITY_OFFICE">#REF!</definedName>
    <definedName name="EQUITY_PRINCIPAL_LN" localSheetId="1">#REF!</definedName>
    <definedName name="EQUITY_PRINCIPAL_LN">#REF!</definedName>
    <definedName name="EquityContribution" localSheetId="1">#REF!</definedName>
    <definedName name="EquityContribution">#REF!</definedName>
    <definedName name="equiv_industry_score_array">[4]Diversity_Score!$I$12:$I$626</definedName>
    <definedName name="EstimatedAmount" localSheetId="1">#REF!</definedName>
    <definedName name="EstimatedAmount">#REF!</definedName>
    <definedName name="EuroBal1" localSheetId="1">#REF!</definedName>
    <definedName name="EuroBal1">#REF!</definedName>
    <definedName name="EuroBal2" localSheetId="1">#REF!</definedName>
    <definedName name="EuroBal2">#REF!</definedName>
    <definedName name="EuroBal3" localSheetId="1">#REF!</definedName>
    <definedName name="EuroBal3">#REF!</definedName>
    <definedName name="EuroBal4" localSheetId="1">#REF!</definedName>
    <definedName name="EuroBal4">#REF!</definedName>
    <definedName name="EuroBal5" localSheetId="1">#REF!</definedName>
    <definedName name="EuroBal5">#REF!</definedName>
    <definedName name="EuroBal6" localSheetId="1">#REF!</definedName>
    <definedName name="EuroBal6">#REF!</definedName>
    <definedName name="EuroBal7" localSheetId="1">#REF!</definedName>
    <definedName name="EuroBal7">#REF!</definedName>
    <definedName name="EuroBal8" localSheetId="1">#REF!</definedName>
    <definedName name="EuroBal8">#REF!</definedName>
    <definedName name="EuroBal9" localSheetId="1">#REF!</definedName>
    <definedName name="EuroBal9">#REF!</definedName>
    <definedName name="EuroBuy1" localSheetId="1">#REF!</definedName>
    <definedName name="EuroBuy1">#REF!</definedName>
    <definedName name="EuroBuy2" localSheetId="1">#REF!</definedName>
    <definedName name="EuroBuy2">#REF!</definedName>
    <definedName name="EuroBuy3" localSheetId="1">#REF!</definedName>
    <definedName name="EuroBuy3">#REF!</definedName>
    <definedName name="EuroBuy4" localSheetId="1">#REF!</definedName>
    <definedName name="EuroBuy4">#REF!</definedName>
    <definedName name="EuroBuy5" localSheetId="1">#REF!</definedName>
    <definedName name="EuroBuy5">#REF!</definedName>
    <definedName name="EuroBuy6" localSheetId="1">#REF!</definedName>
    <definedName name="EuroBuy6">#REF!</definedName>
    <definedName name="EuroBuy7" localSheetId="1">#REF!</definedName>
    <definedName name="EuroBuy7">#REF!</definedName>
    <definedName name="EuroBuy8" localSheetId="1">#REF!</definedName>
    <definedName name="EuroBuy8">#REF!</definedName>
    <definedName name="EuroBuy9" localSheetId="1">#REF!</definedName>
    <definedName name="EuroBuy9">#REF!</definedName>
    <definedName name="EuroInt1" localSheetId="1">#REF!</definedName>
    <definedName name="EuroInt1">#REF!</definedName>
    <definedName name="EuroInt2" localSheetId="1">#REF!</definedName>
    <definedName name="EuroInt2">#REF!</definedName>
    <definedName name="EuroInt3" localSheetId="1">#REF!</definedName>
    <definedName name="EuroInt3">#REF!</definedName>
    <definedName name="EuroInt4" localSheetId="1">#REF!</definedName>
    <definedName name="EuroInt4">#REF!</definedName>
    <definedName name="EuroInt5" localSheetId="1">#REF!</definedName>
    <definedName name="EuroInt5">#REF!</definedName>
    <definedName name="EuroInt6" localSheetId="1">#REF!</definedName>
    <definedName name="EuroInt6">#REF!</definedName>
    <definedName name="EuroInt7" localSheetId="1">#REF!</definedName>
    <definedName name="EuroInt7">#REF!</definedName>
    <definedName name="EuroInt8" localSheetId="1">#REF!</definedName>
    <definedName name="EuroInt8">#REF!</definedName>
    <definedName name="EuroInt9" localSheetId="1">#REF!</definedName>
    <definedName name="EuroInt9">#REF!</definedName>
    <definedName name="FacilityAmount" localSheetId="1">#REF!</definedName>
    <definedName name="FacilityAmount">#REF!</definedName>
    <definedName name="FacilityFee" localSheetId="1">#REF!</definedName>
    <definedName name="FacilityFee">#REF!</definedName>
    <definedName name="final_period" localSheetId="1">#REF!</definedName>
    <definedName name="final_period" localSheetId="10">#REF!</definedName>
    <definedName name="final_period">#REF!</definedName>
    <definedName name="Fixed?" localSheetId="1">#REF!</definedName>
    <definedName name="Fixed?" localSheetId="10">#REF!</definedName>
    <definedName name="Fixed?">#REF!</definedName>
    <definedName name="FixedAmountAfter" localSheetId="1">'[5]Fixed Rate Assets'!#REF!</definedName>
    <definedName name="FixedAmountAfter" localSheetId="10">'[5]Fixed Rate Assets'!#REF!</definedName>
    <definedName name="FixedAmountAfter">'[5]Fixed Rate Assets'!#REF!</definedName>
    <definedName name="FixedPercAfter" localSheetId="1">'[5]Fixed Rate Assets'!#REF!</definedName>
    <definedName name="FixedPercAfter" localSheetId="10">'[5]Fixed Rate Assets'!#REF!</definedName>
    <definedName name="FixedPercAfter">'[5]Fixed Rate Assets'!#REF!</definedName>
    <definedName name="FixedRatePerct" localSheetId="1">#REF!</definedName>
    <definedName name="FixedRatePerct">#REF!</definedName>
    <definedName name="floaters_dbase">[4]Floaters!$B$17:$AC$234</definedName>
    <definedName name="FMV">'[7]All Debt'!$N$19:$N$747</definedName>
    <definedName name="Frequency" localSheetId="1">#REF!</definedName>
    <definedName name="Frequency" localSheetId="10">#REF!</definedName>
    <definedName name="Frequency">#REF!</definedName>
    <definedName name="fwd_libor_series">'[4]Lookup Tables'!$O$77:$Q$117</definedName>
    <definedName name="Gas_Solutions" localSheetId="1">#REF!</definedName>
    <definedName name="Gas_Solutions" localSheetId="10">#REF!</definedName>
    <definedName name="Gas_Solutions">#REF!</definedName>
    <definedName name="Grade2ExcessAmount" localSheetId="1">#REF!</definedName>
    <definedName name="Grade2ExcessAmount">#REF!</definedName>
    <definedName name="happy">[9]Tables!$P$4:$Q$24</definedName>
    <definedName name="HedgeAmount" localSheetId="1">#REF!</definedName>
    <definedName name="HedgeAmount">#REF!</definedName>
    <definedName name="Hedged?">Inputs!$Q$9:$Q$500</definedName>
    <definedName name="HedgeNotionalAmount" localSheetId="1">#REF!</definedName>
    <definedName name="HedgeNotionalAmount">#REF!</definedName>
    <definedName name="HedgePayments" localSheetId="1">#REF!</definedName>
    <definedName name="HedgePayments">#REF!</definedName>
    <definedName name="HedgePerct" localSheetId="1">#REF!</definedName>
    <definedName name="HedgePerct">#REF!</definedName>
    <definedName name="HedgeThresholdAmount" localSheetId="1">#REF!</definedName>
    <definedName name="HedgeThresholdAmount">#REF!</definedName>
    <definedName name="IncludeYN" localSheetId="1">#REF!</definedName>
    <definedName name="IncludeYN">#REF!</definedName>
    <definedName name="INDEX">'[7]All Debt'!$T$19:$T$747</definedName>
    <definedName name="Industry">'[10]Portfolio Information'!$AL$9:$AL$500</definedName>
    <definedName name="industry_code_array">'[4]Lookup Tables'!$F$10:$F$50</definedName>
    <definedName name="industry_name_array">'[4]Lookup Tables'!$G$10:$G$50</definedName>
    <definedName name="industry_table">'[4]Lookup Tables'!$F$10:$G$50</definedName>
    <definedName name="IndustryRange" localSheetId="1">#REF!</definedName>
    <definedName name="IndustryRange">#REF!</definedName>
    <definedName name="IndustryStart" localSheetId="1">#REF!</definedName>
    <definedName name="IndustryStart">#REF!</definedName>
    <definedName name="input" localSheetId="1">#REF!</definedName>
    <definedName name="input" localSheetId="10">#REF!</definedName>
    <definedName name="input">#REF!</definedName>
    <definedName name="IntCollections" localSheetId="1">#REF!</definedName>
    <definedName name="IntCollections">#REF!</definedName>
    <definedName name="interest_rate_series">'[4]Lookup Tables'!$B$76:$H$330</definedName>
    <definedName name="IntExpense" localSheetId="1">#REF!</definedName>
    <definedName name="IntExpense">#REF!</definedName>
    <definedName name="invnum">'[11]Table 2.1'!$H$25</definedName>
    <definedName name="iorder" localSheetId="1">#REF!</definedName>
    <definedName name="iorder">#REF!</definedName>
    <definedName name="IQ_ADDIN">"AUTO"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CH">110000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ONTRACTS_OTHER_COMMODITIES_EQUITIES._FDIC">"c6522"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Q">5000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Y">10000</definedName>
    <definedName name="IQ_DAILY">500000</definedName>
    <definedName name="IQ_DNTM">700000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XPENSE_CODE_">"raave"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FH">100000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OREIGN_BRANCHES_U.S._BANKS_LOANS_FDIC">"c6438"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LATESTK">1000</definedName>
    <definedName name="IQ_LATESTQ">500</definedName>
    <definedName name="IQ_LTM">2000</definedName>
    <definedName name="IQ_LTMMONTH">120000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ONTH">15000</definedName>
    <definedName name="IQ_MTD">800000</definedName>
    <definedName name="IQ_NAMES_REVISION_DATE_" localSheetId="10">42184.7092476852</definedName>
    <definedName name="IQ_NAMES_REVISION_DATE_">41525.6310763889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TM">6000</definedName>
    <definedName name="IQ_OPENED55">1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SHAREOUTSTANDING">"c1347"</definedName>
    <definedName name="IQ_TODAY">0</definedName>
    <definedName name="IQ_WEEK">50000</definedName>
    <definedName name="IQ_YTD">3000</definedName>
    <definedName name="IQ_YTDMONTH">130000</definedName>
    <definedName name="IssuerDataAfter" localSheetId="1">#REF!</definedName>
    <definedName name="IssuerDataAfter" localSheetId="10">#REF!</definedName>
    <definedName name="IssuerDataAfter">#REF!</definedName>
    <definedName name="JPMCFacilityFee">'[3]Priority of Payments'!$D$28</definedName>
    <definedName name="JPMCProgramFee">'[3]Priority of Payments'!$D$27</definedName>
    <definedName name="LargeLoanLimit" localSheetId="1">#REF!</definedName>
    <definedName name="LargeLoanLimit">#REF!</definedName>
    <definedName name="LeverageRatio" localSheetId="1">#REF!</definedName>
    <definedName name="LeverageRatio">#REF!</definedName>
    <definedName name="libor" localSheetId="1">#REF!</definedName>
    <definedName name="libor" localSheetId="10">#REF!</definedName>
    <definedName name="libor">#REF!</definedName>
    <definedName name="libor_series">'[4]Lookup Tables'!$O$77:$W$117</definedName>
    <definedName name="LIBOR1M" localSheetId="1">#REF!</definedName>
    <definedName name="LIBOR1M" localSheetId="10">#REF!</definedName>
    <definedName name="LIBOR1M">#REF!</definedName>
    <definedName name="LIBOR3M" localSheetId="1">#REF!</definedName>
    <definedName name="LIBOR3M" localSheetId="10">#REF!</definedName>
    <definedName name="LIBOR3M">#REF!</definedName>
    <definedName name="LIEN">'[7]All Debt'!$AF$19:$AF$747</definedName>
    <definedName name="Liquidity" localSheetId="1">#REF!</definedName>
    <definedName name="Liquidity" localSheetId="10">#REF!</definedName>
    <definedName name="Liquidity">#REF!</definedName>
    <definedName name="loan_fixed_rate_cr">'[4]Lookup Tables'!$L$24:$M$25</definedName>
    <definedName name="Loan_Grade">'[7]All Debt'!$P$19:$P$747</definedName>
    <definedName name="LoanAmount" localSheetId="1">#REF!</definedName>
    <definedName name="LoanAmount">#REF!</definedName>
    <definedName name="LoanCountSIC" localSheetId="1">#REF!</definedName>
    <definedName name="LoanCountSIC">#REF!</definedName>
    <definedName name="lookup_errorcodes">[11]SelectLists!$O$4:$P$13</definedName>
    <definedName name="LookupArrayAfter" localSheetId="1">#REF!</definedName>
    <definedName name="LookupArrayAfter" localSheetId="10">#REF!</definedName>
    <definedName name="LookupArrayAfter">#REF!</definedName>
    <definedName name="MacroStart" localSheetId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F42" i="7"/>
  <c r="F44" i="7" s="1"/>
  <c r="M38" i="7"/>
  <c r="L38" i="7"/>
  <c r="K38" i="7"/>
  <c r="J38" i="7"/>
  <c r="I38" i="7"/>
  <c r="H38" i="7"/>
  <c r="G38" i="7"/>
  <c r="F38" i="7"/>
  <c r="P37" i="7"/>
  <c r="R37" i="7" s="1"/>
  <c r="N37" i="7"/>
  <c r="E37" i="7"/>
  <c r="P33" i="7"/>
  <c r="N33" i="7"/>
  <c r="U33" i="7" s="1"/>
  <c r="P32" i="7"/>
  <c r="N32" i="7"/>
  <c r="U32" i="7" s="1"/>
  <c r="E32" i="7"/>
  <c r="D32" i="7"/>
  <c r="P31" i="7"/>
  <c r="N31" i="7"/>
  <c r="U31" i="7" s="1"/>
  <c r="E31" i="7"/>
  <c r="D31" i="7"/>
  <c r="P30" i="7"/>
  <c r="N30" i="7"/>
  <c r="U30" i="7" s="1"/>
  <c r="E30" i="7"/>
  <c r="D30" i="7"/>
  <c r="P29" i="7"/>
  <c r="N29" i="7"/>
  <c r="U29" i="7" s="1"/>
  <c r="E29" i="7"/>
  <c r="D29" i="7"/>
  <c r="P28" i="7"/>
  <c r="N28" i="7"/>
  <c r="U28" i="7" s="1"/>
  <c r="E28" i="7"/>
  <c r="D28" i="7"/>
  <c r="P27" i="7"/>
  <c r="N27" i="7"/>
  <c r="E27" i="7"/>
  <c r="D27" i="7"/>
  <c r="P26" i="7"/>
  <c r="N26" i="7"/>
  <c r="U26" i="7" s="1"/>
  <c r="E26" i="7"/>
  <c r="D26" i="7"/>
  <c r="P25" i="7"/>
  <c r="N25" i="7"/>
  <c r="U25" i="7" s="1"/>
  <c r="E25" i="7"/>
  <c r="D25" i="7"/>
  <c r="P24" i="7"/>
  <c r="N24" i="7"/>
  <c r="U24" i="7" s="1"/>
  <c r="E24" i="7"/>
  <c r="D24" i="7"/>
  <c r="P23" i="7"/>
  <c r="N23" i="7"/>
  <c r="U23" i="7" s="1"/>
  <c r="E23" i="7"/>
  <c r="D23" i="7"/>
  <c r="P22" i="7"/>
  <c r="N22" i="7"/>
  <c r="U22" i="7" s="1"/>
  <c r="E22" i="7"/>
  <c r="D22" i="7"/>
  <c r="P21" i="7"/>
  <c r="N21" i="7"/>
  <c r="U21" i="7" s="1"/>
  <c r="E21" i="7"/>
  <c r="D21" i="7"/>
  <c r="P20" i="7"/>
  <c r="N20" i="7"/>
  <c r="E20" i="7"/>
  <c r="D20" i="7"/>
  <c r="P19" i="7"/>
  <c r="N19" i="7"/>
  <c r="U19" i="7" s="1"/>
  <c r="E19" i="7"/>
  <c r="D19" i="7"/>
  <c r="P18" i="7"/>
  <c r="N18" i="7"/>
  <c r="U18" i="7" s="1"/>
  <c r="E18" i="7"/>
  <c r="D18" i="7"/>
  <c r="P17" i="7"/>
  <c r="N17" i="7"/>
  <c r="U17" i="7" s="1"/>
  <c r="E17" i="7"/>
  <c r="D17" i="7"/>
  <c r="P16" i="7"/>
  <c r="N16" i="7"/>
  <c r="U16" i="7" s="1"/>
  <c r="E16" i="7"/>
  <c r="D16" i="7"/>
  <c r="P15" i="7"/>
  <c r="N15" i="7"/>
  <c r="U15" i="7" s="1"/>
  <c r="E15" i="7"/>
  <c r="D15" i="7"/>
  <c r="P14" i="7"/>
  <c r="N14" i="7"/>
  <c r="U14" i="7" s="1"/>
  <c r="E14" i="7"/>
  <c r="D14" i="7"/>
  <c r="P13" i="7"/>
  <c r="N13" i="7"/>
  <c r="U13" i="7" s="1"/>
  <c r="E13" i="7"/>
  <c r="D13" i="7"/>
  <c r="P12" i="7"/>
  <c r="N12" i="7"/>
  <c r="U12" i="7" s="1"/>
  <c r="E12" i="7"/>
  <c r="D12" i="7"/>
  <c r="P11" i="7"/>
  <c r="N11" i="7"/>
  <c r="E11" i="7"/>
  <c r="D11" i="7"/>
  <c r="P10" i="7"/>
  <c r="N10" i="7"/>
  <c r="U10" i="7" s="1"/>
  <c r="E10" i="7"/>
  <c r="D10" i="7"/>
  <c r="P9" i="7"/>
  <c r="N9" i="7"/>
  <c r="U9" i="7" s="1"/>
  <c r="E9" i="7"/>
  <c r="D9" i="7"/>
  <c r="P8" i="7"/>
  <c r="N8" i="7"/>
  <c r="U8" i="7" s="1"/>
  <c r="E8" i="7"/>
  <c r="D8" i="7"/>
  <c r="C8" i="7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P7" i="7"/>
  <c r="P38" i="7" s="1"/>
  <c r="P42" i="7" s="1"/>
  <c r="N7" i="7"/>
  <c r="E7" i="7"/>
  <c r="D7" i="7"/>
  <c r="N6" i="7"/>
  <c r="F6" i="7" s="1"/>
  <c r="C3" i="7"/>
  <c r="B7" i="12"/>
  <c r="B2" i="12"/>
  <c r="B5" i="12" s="1"/>
  <c r="R33" i="5"/>
  <c r="P33" i="5"/>
  <c r="N33" i="5"/>
  <c r="M33" i="5"/>
  <c r="O33" i="5" s="1"/>
  <c r="K33" i="5"/>
  <c r="I33" i="5"/>
  <c r="H33" i="5"/>
  <c r="G33" i="5"/>
  <c r="E33" i="5"/>
  <c r="D33" i="5"/>
  <c r="R31" i="5"/>
  <c r="P31" i="5"/>
  <c r="N31" i="5"/>
  <c r="M31" i="5"/>
  <c r="K31" i="5"/>
  <c r="J31" i="5"/>
  <c r="I31" i="5"/>
  <c r="H31" i="5"/>
  <c r="G31" i="5"/>
  <c r="F31" i="5"/>
  <c r="E31" i="5"/>
  <c r="D31" i="5"/>
  <c r="R30" i="5"/>
  <c r="P30" i="5"/>
  <c r="N30" i="5"/>
  <c r="M30" i="5"/>
  <c r="K30" i="5"/>
  <c r="J30" i="5"/>
  <c r="I30" i="5"/>
  <c r="H30" i="5"/>
  <c r="G30" i="5"/>
  <c r="F30" i="5"/>
  <c r="E30" i="5"/>
  <c r="D30" i="5"/>
  <c r="R29" i="5"/>
  <c r="P29" i="5"/>
  <c r="N29" i="5"/>
  <c r="M29" i="5"/>
  <c r="K29" i="5"/>
  <c r="J29" i="5"/>
  <c r="I29" i="5"/>
  <c r="H29" i="5"/>
  <c r="G29" i="5"/>
  <c r="F29" i="5"/>
  <c r="E29" i="5"/>
  <c r="D29" i="5"/>
  <c r="R28" i="5"/>
  <c r="P28" i="5"/>
  <c r="N28" i="5"/>
  <c r="M28" i="5"/>
  <c r="K28" i="5"/>
  <c r="J28" i="5"/>
  <c r="I28" i="5"/>
  <c r="H28" i="5"/>
  <c r="G28" i="5"/>
  <c r="F28" i="5"/>
  <c r="E28" i="5"/>
  <c r="D28" i="5"/>
  <c r="R27" i="5"/>
  <c r="P27" i="5"/>
  <c r="N27" i="5"/>
  <c r="M27" i="5"/>
  <c r="K27" i="5"/>
  <c r="J27" i="5"/>
  <c r="I27" i="5"/>
  <c r="H27" i="5"/>
  <c r="G27" i="5"/>
  <c r="F27" i="5"/>
  <c r="E27" i="5"/>
  <c r="D27" i="5"/>
  <c r="R26" i="5"/>
  <c r="P26" i="5"/>
  <c r="N26" i="5"/>
  <c r="M26" i="5"/>
  <c r="K26" i="5"/>
  <c r="J26" i="5"/>
  <c r="I26" i="5"/>
  <c r="H26" i="5"/>
  <c r="G26" i="5"/>
  <c r="F26" i="5"/>
  <c r="E26" i="5"/>
  <c r="D26" i="5"/>
  <c r="R25" i="5"/>
  <c r="P25" i="5"/>
  <c r="N25" i="5"/>
  <c r="M25" i="5"/>
  <c r="K25" i="5"/>
  <c r="J25" i="5"/>
  <c r="I25" i="5"/>
  <c r="H25" i="5"/>
  <c r="G25" i="5"/>
  <c r="F25" i="5"/>
  <c r="E25" i="5"/>
  <c r="D25" i="5"/>
  <c r="R24" i="5"/>
  <c r="P24" i="5"/>
  <c r="N24" i="5"/>
  <c r="M24" i="5"/>
  <c r="K24" i="5"/>
  <c r="J24" i="5"/>
  <c r="I24" i="5"/>
  <c r="H24" i="5"/>
  <c r="G24" i="5"/>
  <c r="F24" i="5"/>
  <c r="E24" i="5"/>
  <c r="D24" i="5"/>
  <c r="R23" i="5"/>
  <c r="P23" i="5"/>
  <c r="N23" i="5"/>
  <c r="M23" i="5"/>
  <c r="K23" i="5"/>
  <c r="J23" i="5"/>
  <c r="I23" i="5"/>
  <c r="H23" i="5"/>
  <c r="G23" i="5"/>
  <c r="F23" i="5"/>
  <c r="E23" i="5"/>
  <c r="D23" i="5"/>
  <c r="R22" i="5"/>
  <c r="P22" i="5"/>
  <c r="N22" i="5"/>
  <c r="M22" i="5"/>
  <c r="K22" i="5"/>
  <c r="J22" i="5"/>
  <c r="I22" i="5"/>
  <c r="H22" i="5"/>
  <c r="G22" i="5"/>
  <c r="F22" i="5"/>
  <c r="E22" i="5"/>
  <c r="D22" i="5"/>
  <c r="R21" i="5"/>
  <c r="P21" i="5"/>
  <c r="N21" i="5"/>
  <c r="M21" i="5"/>
  <c r="K21" i="5"/>
  <c r="J21" i="5"/>
  <c r="I21" i="5"/>
  <c r="H21" i="5"/>
  <c r="G21" i="5"/>
  <c r="F21" i="5"/>
  <c r="E21" i="5"/>
  <c r="D21" i="5"/>
  <c r="R20" i="5"/>
  <c r="P20" i="5"/>
  <c r="N20" i="5"/>
  <c r="M20" i="5"/>
  <c r="K20" i="5"/>
  <c r="J20" i="5"/>
  <c r="I20" i="5"/>
  <c r="H20" i="5"/>
  <c r="G20" i="5"/>
  <c r="F20" i="5"/>
  <c r="E20" i="5"/>
  <c r="D20" i="5"/>
  <c r="R19" i="5"/>
  <c r="P19" i="5"/>
  <c r="N19" i="5"/>
  <c r="M19" i="5"/>
  <c r="K19" i="5"/>
  <c r="J19" i="5"/>
  <c r="I19" i="5"/>
  <c r="H19" i="5"/>
  <c r="G19" i="5"/>
  <c r="F19" i="5"/>
  <c r="E19" i="5"/>
  <c r="D19" i="5"/>
  <c r="R18" i="5"/>
  <c r="P18" i="5"/>
  <c r="N18" i="5"/>
  <c r="M18" i="5"/>
  <c r="K18" i="5"/>
  <c r="J18" i="5"/>
  <c r="I18" i="5"/>
  <c r="H18" i="5"/>
  <c r="G18" i="5"/>
  <c r="F18" i="5"/>
  <c r="E18" i="5"/>
  <c r="D18" i="5"/>
  <c r="R17" i="5"/>
  <c r="P17" i="5"/>
  <c r="N17" i="5"/>
  <c r="M17" i="5"/>
  <c r="K17" i="5"/>
  <c r="J17" i="5"/>
  <c r="I17" i="5"/>
  <c r="H17" i="5"/>
  <c r="G17" i="5"/>
  <c r="F17" i="5"/>
  <c r="E17" i="5"/>
  <c r="D17" i="5"/>
  <c r="R16" i="5"/>
  <c r="P16" i="5"/>
  <c r="N16" i="5"/>
  <c r="M16" i="5"/>
  <c r="K16" i="5"/>
  <c r="J16" i="5"/>
  <c r="I16" i="5"/>
  <c r="H16" i="5"/>
  <c r="G16" i="5"/>
  <c r="F16" i="5"/>
  <c r="E16" i="5"/>
  <c r="D16" i="5"/>
  <c r="R15" i="5"/>
  <c r="P15" i="5"/>
  <c r="N15" i="5"/>
  <c r="M15" i="5"/>
  <c r="K15" i="5"/>
  <c r="J15" i="5"/>
  <c r="I15" i="5"/>
  <c r="H15" i="5"/>
  <c r="G15" i="5"/>
  <c r="F15" i="5"/>
  <c r="E15" i="5"/>
  <c r="D15" i="5"/>
  <c r="R14" i="5"/>
  <c r="P14" i="5"/>
  <c r="N14" i="5"/>
  <c r="M14" i="5"/>
  <c r="K14" i="5"/>
  <c r="J14" i="5"/>
  <c r="I14" i="5"/>
  <c r="H14" i="5"/>
  <c r="G14" i="5"/>
  <c r="F14" i="5"/>
  <c r="E14" i="5"/>
  <c r="D14" i="5"/>
  <c r="R13" i="5"/>
  <c r="P13" i="5"/>
  <c r="N13" i="5"/>
  <c r="M13" i="5"/>
  <c r="K13" i="5"/>
  <c r="J13" i="5"/>
  <c r="I13" i="5"/>
  <c r="H13" i="5"/>
  <c r="G13" i="5"/>
  <c r="F13" i="5"/>
  <c r="E13" i="5"/>
  <c r="D13" i="5"/>
  <c r="R12" i="5"/>
  <c r="P12" i="5"/>
  <c r="N12" i="5"/>
  <c r="M12" i="5"/>
  <c r="K12" i="5"/>
  <c r="J12" i="5"/>
  <c r="I12" i="5"/>
  <c r="H12" i="5"/>
  <c r="G12" i="5"/>
  <c r="F12" i="5"/>
  <c r="E12" i="5"/>
  <c r="D12" i="5"/>
  <c r="R11" i="5"/>
  <c r="P11" i="5"/>
  <c r="N11" i="5"/>
  <c r="M11" i="5"/>
  <c r="K11" i="5"/>
  <c r="J11" i="5"/>
  <c r="I11" i="5"/>
  <c r="H11" i="5"/>
  <c r="G11" i="5"/>
  <c r="F11" i="5"/>
  <c r="E11" i="5"/>
  <c r="D11" i="5"/>
  <c r="R10" i="5"/>
  <c r="P10" i="5"/>
  <c r="N10" i="5"/>
  <c r="M10" i="5"/>
  <c r="K10" i="5"/>
  <c r="J10" i="5"/>
  <c r="I10" i="5"/>
  <c r="H10" i="5"/>
  <c r="G10" i="5"/>
  <c r="F10" i="5"/>
  <c r="E10" i="5"/>
  <c r="D10" i="5"/>
  <c r="R9" i="5"/>
  <c r="P9" i="5"/>
  <c r="N9" i="5"/>
  <c r="M9" i="5"/>
  <c r="K9" i="5"/>
  <c r="J9" i="5"/>
  <c r="I9" i="5"/>
  <c r="H9" i="5"/>
  <c r="G9" i="5"/>
  <c r="F9" i="5"/>
  <c r="E9" i="5"/>
  <c r="D9" i="5"/>
  <c r="R8" i="5"/>
  <c r="P8" i="5"/>
  <c r="N8" i="5"/>
  <c r="M8" i="5"/>
  <c r="K8" i="5"/>
  <c r="J8" i="5"/>
  <c r="I8" i="5"/>
  <c r="H8" i="5"/>
  <c r="G8" i="5"/>
  <c r="F8" i="5"/>
  <c r="E8" i="5"/>
  <c r="D8" i="5"/>
  <c r="R7" i="5"/>
  <c r="P7" i="5"/>
  <c r="N7" i="5"/>
  <c r="M7" i="5"/>
  <c r="K7" i="5"/>
  <c r="J7" i="5"/>
  <c r="I7" i="5"/>
  <c r="H7" i="5"/>
  <c r="G7" i="5"/>
  <c r="F7" i="5"/>
  <c r="E7" i="5"/>
  <c r="D7" i="5"/>
  <c r="R6" i="5"/>
  <c r="R34" i="5" s="1"/>
  <c r="R37" i="5" s="1"/>
  <c r="P6" i="5"/>
  <c r="N6" i="5"/>
  <c r="M6" i="5"/>
  <c r="K6" i="5"/>
  <c r="K34" i="5" s="1"/>
  <c r="K37" i="5" s="1"/>
  <c r="J6" i="5"/>
  <c r="I6" i="5"/>
  <c r="H6" i="5"/>
  <c r="G6" i="5"/>
  <c r="F6" i="5"/>
  <c r="E6" i="5"/>
  <c r="D6" i="5"/>
  <c r="C3" i="5"/>
  <c r="H27" i="4"/>
  <c r="J33" i="5" s="1"/>
  <c r="M21" i="4"/>
  <c r="M20" i="4"/>
  <c r="M19" i="4"/>
  <c r="M18" i="4"/>
  <c r="M17" i="4"/>
  <c r="M16" i="4"/>
  <c r="M13" i="4"/>
  <c r="M12" i="4"/>
  <c r="M11" i="4"/>
  <c r="M10" i="4"/>
  <c r="M9" i="4"/>
  <c r="M8" i="4"/>
  <c r="M7" i="4"/>
  <c r="M6" i="4"/>
  <c r="M5" i="4"/>
  <c r="AE4" i="4"/>
  <c r="M4" i="4"/>
  <c r="AE3" i="4"/>
  <c r="M3" i="4"/>
  <c r="AE2" i="4"/>
  <c r="M2" i="4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F2" i="20"/>
  <c r="D15" i="2"/>
  <c r="D16" i="2" s="1"/>
  <c r="D12" i="2"/>
  <c r="D6" i="2"/>
  <c r="D5" i="2"/>
  <c r="C3" i="2"/>
  <c r="L33" i="5" l="1"/>
  <c r="Q33" i="7" s="1"/>
  <c r="O21" i="7"/>
  <c r="D7" i="2"/>
  <c r="D18" i="2" s="1"/>
  <c r="D20" i="2" s="1"/>
  <c r="L8" i="5"/>
  <c r="Q9" i="7" s="1"/>
  <c r="R9" i="7" s="1"/>
  <c r="L12" i="5"/>
  <c r="Q13" i="7" s="1"/>
  <c r="R13" i="7" s="1"/>
  <c r="L16" i="5"/>
  <c r="Q17" i="7" s="1"/>
  <c r="L20" i="5"/>
  <c r="Q21" i="7" s="1"/>
  <c r="R21" i="7" s="1"/>
  <c r="L24" i="5"/>
  <c r="Q25" i="7" s="1"/>
  <c r="R25" i="7" s="1"/>
  <c r="L28" i="5"/>
  <c r="Q29" i="7" s="1"/>
  <c r="Q33" i="5"/>
  <c r="S33" i="5" s="1"/>
  <c r="O14" i="7"/>
  <c r="O32" i="7"/>
  <c r="O11" i="7"/>
  <c r="O27" i="7"/>
  <c r="O37" i="7"/>
  <c r="L9" i="5"/>
  <c r="Q10" i="7" s="1"/>
  <c r="R10" i="7" s="1"/>
  <c r="L13" i="5"/>
  <c r="Q14" i="7" s="1"/>
  <c r="R14" i="7" s="1"/>
  <c r="L17" i="5"/>
  <c r="Q18" i="7" s="1"/>
  <c r="L21" i="5"/>
  <c r="Q22" i="7" s="1"/>
  <c r="R22" i="7" s="1"/>
  <c r="L25" i="5"/>
  <c r="Q26" i="7" s="1"/>
  <c r="R26" i="7" s="1"/>
  <c r="L29" i="5"/>
  <c r="Q30" i="7" s="1"/>
  <c r="R30" i="7" s="1"/>
  <c r="R17" i="7"/>
  <c r="O20" i="7"/>
  <c r="O12" i="7"/>
  <c r="O23" i="7"/>
  <c r="N38" i="7"/>
  <c r="O10" i="7"/>
  <c r="L19" i="5"/>
  <c r="Q20" i="7" s="1"/>
  <c r="R20" i="7" s="1"/>
  <c r="L23" i="5"/>
  <c r="Q24" i="7" s="1"/>
  <c r="R24" i="7" s="1"/>
  <c r="L14" i="5"/>
  <c r="Q15" i="7" s="1"/>
  <c r="R15" i="7" s="1"/>
  <c r="L22" i="5"/>
  <c r="Q23" i="7" s="1"/>
  <c r="R23" i="7" s="1"/>
  <c r="L30" i="5"/>
  <c r="Q31" i="7" s="1"/>
  <c r="R31" i="7" s="1"/>
  <c r="N34" i="5"/>
  <c r="O7" i="7"/>
  <c r="O19" i="7"/>
  <c r="U37" i="7"/>
  <c r="L26" i="5"/>
  <c r="Q27" i="7" s="1"/>
  <c r="R27" i="7" s="1"/>
  <c r="L7" i="5"/>
  <c r="Q8" i="7" s="1"/>
  <c r="R8" i="7" s="1"/>
  <c r="L11" i="5"/>
  <c r="Q12" i="7" s="1"/>
  <c r="R12" i="7" s="1"/>
  <c r="L15" i="5"/>
  <c r="Q16" i="7" s="1"/>
  <c r="R16" i="7" s="1"/>
  <c r="L27" i="5"/>
  <c r="Q28" i="7" s="1"/>
  <c r="R28" i="7" s="1"/>
  <c r="L31" i="5"/>
  <c r="Q32" i="7" s="1"/>
  <c r="R32" i="7" s="1"/>
  <c r="O30" i="7"/>
  <c r="L10" i="5"/>
  <c r="Q11" i="7" s="1"/>
  <c r="R11" i="7" s="1"/>
  <c r="L18" i="5"/>
  <c r="Q19" i="7" s="1"/>
  <c r="R19" i="7" s="1"/>
  <c r="O17" i="7"/>
  <c r="J34" i="5"/>
  <c r="J37" i="5" s="1"/>
  <c r="O26" i="7"/>
  <c r="L6" i="5"/>
  <c r="Q7" i="7" s="1"/>
  <c r="D22" i="2"/>
  <c r="D24" i="2" s="1"/>
  <c r="N42" i="7"/>
  <c r="N41" i="7"/>
  <c r="U38" i="7"/>
  <c r="R29" i="7"/>
  <c r="R18" i="7"/>
  <c r="R33" i="7"/>
  <c r="O7" i="5"/>
  <c r="Q7" i="5" s="1"/>
  <c r="S7" i="5" s="1"/>
  <c r="O11" i="5"/>
  <c r="Q11" i="5" s="1"/>
  <c r="S11" i="5" s="1"/>
  <c r="O14" i="5"/>
  <c r="Q14" i="5" s="1"/>
  <c r="S14" i="5" s="1"/>
  <c r="O17" i="5"/>
  <c r="Q17" i="5" s="1"/>
  <c r="S17" i="5" s="1"/>
  <c r="O21" i="5"/>
  <c r="Q21" i="5" s="1"/>
  <c r="S21" i="5" s="1"/>
  <c r="O25" i="5"/>
  <c r="Q25" i="5" s="1"/>
  <c r="S25" i="5" s="1"/>
  <c r="O31" i="5"/>
  <c r="Q31" i="5" s="1"/>
  <c r="S31" i="5" s="1"/>
  <c r="O9" i="7"/>
  <c r="U7" i="7"/>
  <c r="O22" i="7"/>
  <c r="U11" i="7"/>
  <c r="O15" i="7"/>
  <c r="O31" i="7"/>
  <c r="O16" i="7"/>
  <c r="O6" i="5"/>
  <c r="O9" i="5"/>
  <c r="Q9" i="5" s="1"/>
  <c r="S9" i="5" s="1"/>
  <c r="O13" i="5"/>
  <c r="Q13" i="5" s="1"/>
  <c r="S13" i="5" s="1"/>
  <c r="O16" i="5"/>
  <c r="Q16" i="5" s="1"/>
  <c r="S16" i="5" s="1"/>
  <c r="O19" i="5"/>
  <c r="Q19" i="5" s="1"/>
  <c r="S19" i="5" s="1"/>
  <c r="O22" i="5"/>
  <c r="Q22" i="5" s="1"/>
  <c r="S22" i="5" s="1"/>
  <c r="O24" i="5"/>
  <c r="Q24" i="5" s="1"/>
  <c r="S24" i="5" s="1"/>
  <c r="O27" i="5"/>
  <c r="Q27" i="5" s="1"/>
  <c r="S27" i="5" s="1"/>
  <c r="O30" i="5"/>
  <c r="Q30" i="5" s="1"/>
  <c r="S30" i="5" s="1"/>
  <c r="O18" i="7"/>
  <c r="I27" i="4"/>
  <c r="J27" i="4" s="1"/>
  <c r="N44" i="7"/>
  <c r="O29" i="7"/>
  <c r="U27" i="7"/>
  <c r="M34" i="5"/>
  <c r="M37" i="5" s="1"/>
  <c r="O8" i="7"/>
  <c r="U20" i="7"/>
  <c r="O24" i="7"/>
  <c r="O8" i="5"/>
  <c r="Q8" i="5" s="1"/>
  <c r="S8" i="5" s="1"/>
  <c r="O12" i="5"/>
  <c r="Q12" i="5" s="1"/>
  <c r="S12" i="5" s="1"/>
  <c r="O15" i="5"/>
  <c r="Q15" i="5" s="1"/>
  <c r="S15" i="5" s="1"/>
  <c r="O18" i="5"/>
  <c r="Q18" i="5" s="1"/>
  <c r="S18" i="5" s="1"/>
  <c r="O20" i="5"/>
  <c r="Q20" i="5" s="1"/>
  <c r="S20" i="5" s="1"/>
  <c r="O23" i="5"/>
  <c r="Q23" i="5" s="1"/>
  <c r="S23" i="5" s="1"/>
  <c r="O26" i="5"/>
  <c r="Q26" i="5" s="1"/>
  <c r="S26" i="5" s="1"/>
  <c r="O29" i="5"/>
  <c r="Q29" i="5" s="1"/>
  <c r="S29" i="5" s="1"/>
  <c r="O25" i="7"/>
  <c r="O13" i="7"/>
  <c r="O33" i="7"/>
  <c r="O10" i="5"/>
  <c r="Q10" i="5" s="1"/>
  <c r="S10" i="5" s="1"/>
  <c r="O28" i="5"/>
  <c r="Q28" i="5" s="1"/>
  <c r="S28" i="5" s="1"/>
  <c r="O28" i="7"/>
  <c r="Q38" i="7" l="1"/>
  <c r="R7" i="7"/>
  <c r="R38" i="7" s="1"/>
  <c r="R44" i="7" s="1"/>
  <c r="L34" i="5"/>
  <c r="O34" i="5"/>
  <c r="O37" i="5" s="1"/>
  <c r="Q6" i="5"/>
  <c r="R42" i="7" l="1"/>
  <c r="Q34" i="5"/>
  <c r="Q37" i="5" s="1"/>
  <c r="S6" i="5"/>
  <c r="S34" i="5" s="1"/>
  <c r="S37" i="5" s="1"/>
  <c r="B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1"/>
            <color rgb="FF000000"/>
            <rFont val="ing me"/>
            <charset val="1"/>
            <scheme val="minor"/>
          </rPr>
          <t>======
ID#AAAAyLBFivA
Troxel, Richard    (2023-05-30 21:05:02)
Placeholder; to be updated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H1" authorId="0" shapeId="0" xr:uid="{00000000-0006-0000-0300-000001000000}">
      <text>
        <r>
          <rPr>
            <sz val="11"/>
            <color rgb="FF000000"/>
            <rFont val="ing me"/>
            <charset val="1"/>
            <scheme val="minor"/>
          </rPr>
          <t>======
ID#AAAAyLBFivU
Troxel, Richard    (2023-05-30 21:05:02)
Last Out Loans Only</t>
        </r>
      </text>
    </comment>
    <comment ref="AO1" authorId="0" shapeId="0" xr:uid="{00000000-0006-0000-0300-000002000000}">
      <text>
        <r>
          <rPr>
            <sz val="11"/>
            <color rgb="FF000000"/>
            <rFont val="ing me"/>
            <charset val="1"/>
            <scheme val="minor"/>
          </rPr>
          <t>======
ID#AAAAyLBFivI
Troxel, Richard    (2023-05-30 21:05:02)
If 8 or 9 Issuers, divide Adj. Contribution by 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6" authorId="0" shapeId="0" xr:uid="{00000000-0006-0000-0900-000001000000}">
      <text>
        <r>
          <rPr>
            <sz val="11"/>
            <color rgb="FF000000"/>
            <rFont val="ing me"/>
            <charset val="1"/>
            <scheme val="minor"/>
          </rPr>
          <t>======
ID#AAAAyLBFivM
Saunders, Grant    (2023-05-30 21:05:02)
As defined in the credit agreement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3" authorId="0" shapeId="0" xr:uid="{00000000-0006-0000-0A00-000001000000}">
      <text>
        <r>
          <rPr>
            <sz val="11"/>
            <color rgb="FF000000"/>
            <rFont val="ing me"/>
            <charset val="1"/>
            <scheme val="minor"/>
          </rPr>
          <t>======
ID#AAAAyLBFivE
Troxel, Richard    (2023-05-30 21:05:02)
Including Performing DIP</t>
        </r>
      </text>
    </comment>
    <comment ref="C48" authorId="0" shapeId="0" xr:uid="{00000000-0006-0000-0A00-000002000000}">
      <text>
        <r>
          <rPr>
            <sz val="11"/>
            <color rgb="FF000000"/>
            <rFont val="ing me"/>
            <charset val="1"/>
            <scheme val="minor"/>
          </rPr>
          <t>======
ID#AAAAyLBFiu8
Troxel, Richard    (2023-05-30 21:05:02)
Including Unsecured High Yield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D00-000001000000}">
      <text>
        <r>
          <rPr>
            <sz val="11"/>
            <color rgb="FF000000"/>
            <rFont val="ing me"/>
            <charset val="1"/>
            <scheme val="minor"/>
          </rPr>
          <t>======
ID#AAAAyLBFivE
Troxel, Richard    (2023-05-30 21:05:02)
Including Performing DIP</t>
        </r>
      </text>
    </comment>
    <comment ref="A10" authorId="0" shapeId="0" xr:uid="{00000000-0006-0000-0D00-000002000000}">
      <text>
        <r>
          <rPr>
            <sz val="11"/>
            <color rgb="FF000000"/>
            <rFont val="ing me"/>
            <charset val="1"/>
            <scheme val="minor"/>
          </rPr>
          <t>======
ID#AAAAyLBFiu8
Troxel, Richard    (2023-05-30 21:05:02)
Including Unsecured High Yield</t>
        </r>
      </text>
    </comment>
  </commentList>
</comments>
</file>

<file path=xl/sharedStrings.xml><?xml version="1.0" encoding="utf-8"?>
<sst xmlns="http://schemas.openxmlformats.org/spreadsheetml/2006/main" count="1144" uniqueCount="365">
  <si>
    <t>A</t>
  </si>
  <si>
    <t>B</t>
  </si>
  <si>
    <t>Borrower:</t>
  </si>
  <si>
    <t>PennantPark Credit Opportunities Fund IV</t>
  </si>
  <si>
    <t>Date of determination:</t>
  </si>
  <si>
    <t>Revolving Closing Date</t>
  </si>
  <si>
    <t>Commitment Period (3 years from Final Closing Date, as defined in LPA)</t>
  </si>
  <si>
    <t>Yes</t>
  </si>
  <si>
    <t>(b) Facility Size</t>
  </si>
  <si>
    <t>Loans (USD)</t>
  </si>
  <si>
    <t>Loans (CAD)</t>
  </si>
  <si>
    <t>Date of Determination</t>
  </si>
  <si>
    <t>Months since Revolving Closing Date</t>
  </si>
  <si>
    <t>Applicable Floor</t>
  </si>
  <si>
    <t>Subscription Percentage:</t>
  </si>
  <si>
    <t>(A) Subscription BB / Total BB</t>
  </si>
  <si>
    <t>(y) 100%</t>
  </si>
  <si>
    <t>(z) Subscription BB / Facility Commitments</t>
  </si>
  <si>
    <t>(B) lower of (y) and (z)</t>
  </si>
  <si>
    <t>Three years since Revolving Closing Date?</t>
  </si>
  <si>
    <t>Subscription Percentage (greater of (A) and (B) or 0% after 3 years)</t>
  </si>
  <si>
    <t>Portfolio Leverage Percentage (100% minus Subscription Percentage)</t>
  </si>
  <si>
    <t>Applicable Margin</t>
  </si>
  <si>
    <t>Investor</t>
  </si>
  <si>
    <t>Master/Feeder</t>
  </si>
  <si>
    <t>Ultimate Investor Parent</t>
  </si>
  <si>
    <t>Designation</t>
  </si>
  <si>
    <t>Commitment</t>
  </si>
  <si>
    <t>Capital Called</t>
  </si>
  <si>
    <t>Kemper Corporation</t>
  </si>
  <si>
    <t>Institutional Investors</t>
  </si>
  <si>
    <t>Teamsters 120</t>
  </si>
  <si>
    <t>Pompano General</t>
  </si>
  <si>
    <t>Miramar Police</t>
  </si>
  <si>
    <t>Plantation Police</t>
  </si>
  <si>
    <t>Lauderhill Police</t>
  </si>
  <si>
    <t>Hollywood Police</t>
  </si>
  <si>
    <t xml:space="preserve">Cape Coral Police </t>
  </si>
  <si>
    <t>Simpson Estates</t>
  </si>
  <si>
    <t>High Net Worth Investors</t>
  </si>
  <si>
    <t>[Reserved]</t>
  </si>
  <si>
    <t>Marc / Rosemary Reisch</t>
  </si>
  <si>
    <t>Dr. Ray Irani</t>
  </si>
  <si>
    <t>Kevin Mesmer</t>
  </si>
  <si>
    <t>Brandon Levin</t>
  </si>
  <si>
    <t>Excluded</t>
  </si>
  <si>
    <t>Investment Name</t>
  </si>
  <si>
    <t>Issuer</t>
  </si>
  <si>
    <t>Investment Investment Type</t>
  </si>
  <si>
    <t>Investment Industry</t>
  </si>
  <si>
    <t>Investment Closing Date</t>
  </si>
  <si>
    <t>Investment Maturity</t>
  </si>
  <si>
    <t>Investment Par</t>
  </si>
  <si>
    <t>Investment Cost</t>
  </si>
  <si>
    <t>Investment External Valuation</t>
  </si>
  <si>
    <t>Investment Internal Valuation</t>
  </si>
  <si>
    <t>Rates Fixed Coupon</t>
  </si>
  <si>
    <t>Rates Floating Cash Spread</t>
  </si>
  <si>
    <t>Rates Current LIBOR/Floor</t>
  </si>
  <si>
    <t>Rates PIK</t>
  </si>
  <si>
    <t>Rates Fixed / Floating</t>
  </si>
  <si>
    <t>Classifications Quoted / Unquoted</t>
  </si>
  <si>
    <t>Classifications Warehouse Asset</t>
  </si>
  <si>
    <t>Classifications Warehouse Asset Inclusion Date</t>
  </si>
  <si>
    <t>Classifications Warehouse Asset Expected Rating</t>
  </si>
  <si>
    <t>Classifications Approved Foreign Jurisdiction</t>
  </si>
  <si>
    <t>Classifications LTV Transaction</t>
  </si>
  <si>
    <t>Classifications Noteless Assigned Loan</t>
  </si>
  <si>
    <t>Classifications Undelivered Note</t>
  </si>
  <si>
    <t>Classifications Structured Finance Obligation</t>
  </si>
  <si>
    <t>Classifications Third Party Finance Company</t>
  </si>
  <si>
    <t>Classifications Affiliate Investment</t>
  </si>
  <si>
    <t>Classifications Defaulted / Restructured</t>
  </si>
  <si>
    <t>Financials LTM Revenue ($MMs)</t>
  </si>
  <si>
    <t>Financials LTM EBITDA ($MMs)</t>
  </si>
  <si>
    <t>Leverage Revolver Commitment</t>
  </si>
  <si>
    <t>Leverage Total Enterprise Value</t>
  </si>
  <si>
    <t>Leverage Total Leverage</t>
  </si>
  <si>
    <t>Leverage PCOF IV Leverage</t>
  </si>
  <si>
    <t>Leverage Attachment Point</t>
  </si>
  <si>
    <t>Leverage Total Capitalization</t>
  </si>
  <si>
    <t>Leverage LTV Thru PCOF IV</t>
  </si>
  <si>
    <t>Final Eligibility Override</t>
  </si>
  <si>
    <t>Final Comment</t>
  </si>
  <si>
    <t>Concentration Adjustment</t>
  </si>
  <si>
    <t>Concentration Comment</t>
  </si>
  <si>
    <t>Borrowing Base Other Adjustment</t>
  </si>
  <si>
    <t>Borrowing Base Industry Concentration</t>
  </si>
  <si>
    <t>Borrowing Base Comment</t>
  </si>
  <si>
    <t>Is Eligible Issuer</t>
  </si>
  <si>
    <t>A1 Garage Merger Sub, LLC First Lien</t>
  </si>
  <si>
    <t>A1 Garage</t>
  </si>
  <si>
    <t>First Lien</t>
  </si>
  <si>
    <t>Consumer Products</t>
  </si>
  <si>
    <t>Floating</t>
  </si>
  <si>
    <t>Unquoted</t>
  </si>
  <si>
    <t>No</t>
  </si>
  <si>
    <t>NA</t>
  </si>
  <si>
    <t>A1 Garage Merger Sub, LLC DDTL</t>
  </si>
  <si>
    <t>A1 Garage Merger Sub, LLC Revolver</t>
  </si>
  <si>
    <t>EDS Buyer LLC</t>
  </si>
  <si>
    <t>EDS</t>
  </si>
  <si>
    <t>Aerospace &amp; Defense</t>
  </si>
  <si>
    <t>EDS Buyer LLC DDTL</t>
  </si>
  <si>
    <t>EDS Buyer LLC Revolver</t>
  </si>
  <si>
    <t xml:space="preserve">Infinity Home Services </t>
  </si>
  <si>
    <t>Infinity Home Services</t>
  </si>
  <si>
    <t>Personal, Food &amp; Miscellaneous Services</t>
  </si>
  <si>
    <t>Infinity Home Services DDTL</t>
  </si>
  <si>
    <t>Infinity Home Services Revolver</t>
  </si>
  <si>
    <t>Ardurra</t>
  </si>
  <si>
    <t>Environmental Services</t>
  </si>
  <si>
    <t>Ardurra DDTL</t>
  </si>
  <si>
    <t>Ardurra Revolver</t>
  </si>
  <si>
    <t>BioDerm First Lien</t>
  </si>
  <si>
    <t>BioDerm</t>
  </si>
  <si>
    <t>Healthcare, Education &amp; Childcare</t>
  </si>
  <si>
    <t>BioDerm Revolver</t>
  </si>
  <si>
    <t>ECL Entertainment</t>
  </si>
  <si>
    <t>ECL</t>
  </si>
  <si>
    <t>Hotel, Motels, Inns &amp; Gaming</t>
  </si>
  <si>
    <t>Quoted</t>
  </si>
  <si>
    <t>Urology Management Holdings DDTL</t>
  </si>
  <si>
    <t>Solaris</t>
  </si>
  <si>
    <t>Urology Management Holdings</t>
  </si>
  <si>
    <t>Five Star Buyer</t>
  </si>
  <si>
    <t>Five Star</t>
  </si>
  <si>
    <t>Five Star Buyer DDTL</t>
  </si>
  <si>
    <t>Five Star Buyer Revolver</t>
  </si>
  <si>
    <t>Anteriad (FKA MeritDirect)</t>
  </si>
  <si>
    <t>MeritDirect</t>
  </si>
  <si>
    <t>Media</t>
  </si>
  <si>
    <t>Beta Plus Technologies, Inc.</t>
  </si>
  <si>
    <t>BetaPlus</t>
  </si>
  <si>
    <t>Business Services</t>
  </si>
  <si>
    <t>Simplicity Group First Lien</t>
  </si>
  <si>
    <t>Simplicity Group</t>
  </si>
  <si>
    <t>Financial Services</t>
  </si>
  <si>
    <t>Simplicity Group DDTL</t>
  </si>
  <si>
    <t>Simplicity Group Revolver</t>
  </si>
  <si>
    <t>Cash</t>
  </si>
  <si>
    <t>N/A</t>
  </si>
  <si>
    <t>EDS Topco Equity</t>
  </si>
  <si>
    <t>Equity</t>
  </si>
  <si>
    <t>A1  Garage Equity LLC</t>
  </si>
  <si>
    <t>Ardurra Equity</t>
  </si>
  <si>
    <t>BioDerm Equity</t>
  </si>
  <si>
    <t>Urology Partners Co</t>
  </si>
  <si>
    <t>Infinity Home Services Equity</t>
  </si>
  <si>
    <t>Principal Obligations</t>
  </si>
  <si>
    <t>Currency</t>
  </si>
  <si>
    <t>Amount</t>
  </si>
  <si>
    <t>Spot Rate</t>
  </si>
  <si>
    <t>Dollar Equivalent</t>
  </si>
  <si>
    <t>USD</t>
  </si>
  <si>
    <t>CAD</t>
  </si>
  <si>
    <t>Company</t>
  </si>
  <si>
    <t>Eligible</t>
  </si>
  <si>
    <t>Maturity</t>
  </si>
  <si>
    <t>Industry</t>
  </si>
  <si>
    <t>Quoted / Unquoted</t>
  </si>
  <si>
    <t>Security</t>
  </si>
  <si>
    <t>Cost</t>
  </si>
  <si>
    <t>FMV</t>
  </si>
  <si>
    <t>Ineligible Investments</t>
  </si>
  <si>
    <t>Eligible Investments</t>
  </si>
  <si>
    <t>Adjustments</t>
  </si>
  <si>
    <t>Adj. Eligible Investments</t>
  </si>
  <si>
    <t>Adj. Advance Rate</t>
  </si>
  <si>
    <t>Contribution</t>
  </si>
  <si>
    <t>Borrowing Base</t>
  </si>
  <si>
    <t>Adjustment Notes</t>
  </si>
  <si>
    <t>Total</t>
  </si>
  <si>
    <t>Concentration Tests</t>
  </si>
  <si>
    <t>Concentration Limit</t>
  </si>
  <si>
    <t>Min. Eligible Issuers (#)</t>
  </si>
  <si>
    <t>8 or 9 Issuers?</t>
  </si>
  <si>
    <t>Max. Issuer Concentration (% BB)</t>
  </si>
  <si>
    <t>Max. Industry Concentration (Largest Industry, % BB)</t>
  </si>
  <si>
    <t>Max. Industry Concentration (2nd Largest Industry, % BB)</t>
  </si>
  <si>
    <t>Max. Industry Concentration (All Other Industries, % BB)</t>
  </si>
  <si>
    <t>Max. Weighted Average Maturity (Years)</t>
  </si>
  <si>
    <t>Max. Contribution to BB with Maturity &gt; 8 years</t>
  </si>
  <si>
    <t>Max. Weighted Average Leverage thru Borrower</t>
  </si>
  <si>
    <t>Max. PIK, DIP</t>
  </si>
  <si>
    <t>Min. Cash, First Lien, and Cov-Lite</t>
  </si>
  <si>
    <t>Min. Senior Secured</t>
  </si>
  <si>
    <t>Min. Weighted Average Cash Fixed Coupon</t>
  </si>
  <si>
    <t>Min. Weighted Average Cash Floating Coupon</t>
  </si>
  <si>
    <t>Max. LTV Transactions</t>
  </si>
  <si>
    <t>Max. Third Party Finance Companies</t>
  </si>
  <si>
    <t>Max. Foreign Eligible Portfolio Investments</t>
  </si>
  <si>
    <t>Max. Affiliate Investments</t>
  </si>
  <si>
    <t>Max. Warehouse Assets</t>
  </si>
  <si>
    <t>Max. Preferred Stock</t>
  </si>
  <si>
    <t>Last Out</t>
  </si>
  <si>
    <t>Second Lien</t>
  </si>
  <si>
    <t>High Yield</t>
  </si>
  <si>
    <t>Mezzanine</t>
  </si>
  <si>
    <t>Cov-Lite</t>
  </si>
  <si>
    <t>PIK</t>
  </si>
  <si>
    <t>DIP</t>
  </si>
  <si>
    <t>Warehouse First Lien</t>
  </si>
  <si>
    <t>Obligors' Net Capital</t>
  </si>
  <si>
    <t>Values</t>
  </si>
  <si>
    <t>Equity Paid in Capital</t>
  </si>
  <si>
    <t>Distributions</t>
  </si>
  <si>
    <t>Retained Earnings</t>
  </si>
  <si>
    <t>(a) Partners' Capital</t>
  </si>
  <si>
    <t>(b) Uncalled Capital Commitments (excl. Defaulting Investors)</t>
  </si>
  <si>
    <t>Obligors' Net Capital ((a) + (b))</t>
  </si>
  <si>
    <t>Debt / Equity</t>
  </si>
  <si>
    <t>Net PIK</t>
  </si>
  <si>
    <t>Fee income</t>
  </si>
  <si>
    <t>OID</t>
  </si>
  <si>
    <t>Additions</t>
  </si>
  <si>
    <t>Valuation adjust</t>
  </si>
  <si>
    <t xml:space="preserve">Adjustment to </t>
  </si>
  <si>
    <t>Ineligible</t>
  </si>
  <si>
    <t>Income</t>
  </si>
  <si>
    <t>Paydown</t>
  </si>
  <si>
    <t>Activity</t>
  </si>
  <si>
    <t>Reversal</t>
  </si>
  <si>
    <t>(Uses)</t>
  </si>
  <si>
    <t>Amortization</t>
  </si>
  <si>
    <t>to GAAP FV</t>
  </si>
  <si>
    <t>BB "Value"</t>
  </si>
  <si>
    <t>"Value"</t>
  </si>
  <si>
    <t xml:space="preserve"> Investments</t>
  </si>
  <si>
    <t>Investments</t>
  </si>
  <si>
    <t>Check</t>
  </si>
  <si>
    <t>N.A</t>
  </si>
  <si>
    <t>Pricing</t>
  </si>
  <si>
    <t>Subscription Pricing</t>
  </si>
  <si>
    <t>Portfolio Leverage Pricing Step Down</t>
  </si>
  <si>
    <t>Min. First Lien / Last Out Contribution to PL BB for Stepdown</t>
  </si>
  <si>
    <t>Portfolio Leverage Pricing Otherwise</t>
  </si>
  <si>
    <t>Min. First Lien / Last Out Contribution to PL BB for 65% Effective A/R</t>
  </si>
  <si>
    <t>Lower Effective A/R</t>
  </si>
  <si>
    <t>Subscription Borrowing Base</t>
  </si>
  <si>
    <t>Advance Rates</t>
  </si>
  <si>
    <t>Investor Type</t>
  </si>
  <si>
    <t>Advance Rate</t>
  </si>
  <si>
    <t>HNW Investors</t>
  </si>
  <si>
    <t>Concentration Limits</t>
  </si>
  <si>
    <t>Rank</t>
  </si>
  <si>
    <t>Institutional Investors Investors</t>
  </si>
  <si>
    <t>HNW Investors Individual</t>
  </si>
  <si>
    <t>HNW Investors Aggregate</t>
  </si>
  <si>
    <t>Portfolio Leverage Borrowing Base</t>
  </si>
  <si>
    <t>Investment Type</t>
  </si>
  <si>
    <t>n/a</t>
  </si>
  <si>
    <t>Cash Equivalent</t>
  </si>
  <si>
    <t>LT US Debt</t>
  </si>
  <si>
    <t>Preferred Stock</t>
  </si>
  <si>
    <t>Investment Types</t>
  </si>
  <si>
    <t>Fixed / Floating</t>
  </si>
  <si>
    <t>Fixed</t>
  </si>
  <si>
    <t>Industries</t>
  </si>
  <si>
    <t>Moody's Industry Classifications</t>
  </si>
  <si>
    <t>Auto Sector</t>
  </si>
  <si>
    <t>Beverage, Food &amp; Tobacco</t>
  </si>
  <si>
    <t>Broadcasting &amp; Entertainment</t>
  </si>
  <si>
    <t>Building Materials</t>
  </si>
  <si>
    <t>Buildings &amp; Real Estate</t>
  </si>
  <si>
    <t>Cable Television</t>
  </si>
  <si>
    <t>Cargo Transport</t>
  </si>
  <si>
    <t>Chemicals, Plastics &amp; Rubber</t>
  </si>
  <si>
    <t>Communications</t>
  </si>
  <si>
    <t>Containers, Packaging &amp; Glass</t>
  </si>
  <si>
    <t>Distribution</t>
  </si>
  <si>
    <t>Diversified / Conglomerate Manufacturing</t>
  </si>
  <si>
    <t>Diversified / Conglomerate Services</t>
  </si>
  <si>
    <t>Diversified Natural Resources, Precious Metals &amp; Minerals</t>
  </si>
  <si>
    <t>Ecological</t>
  </si>
  <si>
    <t>Education</t>
  </si>
  <si>
    <t>Electronics</t>
  </si>
  <si>
    <t>Energy / Utilities</t>
  </si>
  <si>
    <t>Farming &amp; Agriculture</t>
  </si>
  <si>
    <t>Finance</t>
  </si>
  <si>
    <t>Food</t>
  </si>
  <si>
    <t>Grocery</t>
  </si>
  <si>
    <t>Home &amp; Office Furnishings, Housewares &amp; Durable Consumer Products</t>
  </si>
  <si>
    <t>Homebuilding</t>
  </si>
  <si>
    <t>Insurance</t>
  </si>
  <si>
    <t>Leisure, Amusement, Motion Pictures, Entertainment</t>
  </si>
  <si>
    <t>Lodging, Leisure, Resorts</t>
  </si>
  <si>
    <t>Machinery (Non-Agriculture, Non-Construction &amp; Non-Electronic</t>
  </si>
  <si>
    <t>Manufacturing / Basic Industry</t>
  </si>
  <si>
    <t>Mining, Steel, Iron &amp; Non-Precious Metals</t>
  </si>
  <si>
    <t>Oil &amp; Gas</t>
  </si>
  <si>
    <t>Other Media</t>
  </si>
  <si>
    <t>Packaging</t>
  </si>
  <si>
    <t>Personal &amp; Non-Durable Consumer Products (Manufacturing Only)</t>
  </si>
  <si>
    <t>Personal Transportation</t>
  </si>
  <si>
    <t>Printing &amp; Publishing</t>
  </si>
  <si>
    <t>Restaurants</t>
  </si>
  <si>
    <t>Retail</t>
  </si>
  <si>
    <t>Retail Store</t>
  </si>
  <si>
    <t>Telecommunications</t>
  </si>
  <si>
    <t>Textiles &amp; Leather</t>
  </si>
  <si>
    <t>Transportation</t>
  </si>
  <si>
    <t>Other Metrics</t>
  </si>
  <si>
    <t>First Lien Leverage Cut-Off Point</t>
  </si>
  <si>
    <t>Warehouse First Lien Leverage Cut-Off</t>
  </si>
  <si>
    <t>Last Out Attachment Point</t>
  </si>
  <si>
    <t>1 out of 2 Test</t>
  </si>
  <si>
    <t>Trailing 12-Month EBITDA</t>
  </si>
  <si>
    <t>Trailing 24-Month EBITDA</t>
  </si>
  <si>
    <t>Total Leverage</t>
  </si>
  <si>
    <t>LTV</t>
  </si>
  <si>
    <t>Concentration Test Threshold 1</t>
  </si>
  <si>
    <t>Threshold 1 Advance Rate</t>
  </si>
  <si>
    <t>Threshold 2 Advance Rate</t>
  </si>
  <si>
    <t>Yes / No / N/A</t>
  </si>
  <si>
    <t>percent</t>
  </si>
  <si>
    <t>Investors</t>
  </si>
  <si>
    <t>values</t>
  </si>
  <si>
    <t>MVMinusBV</t>
  </si>
  <si>
    <t>Portfolio_Name</t>
  </si>
  <si>
    <t>Issuer_Name</t>
  </si>
  <si>
    <t>Asset_Name</t>
  </si>
  <si>
    <t>Position_ID</t>
  </si>
  <si>
    <t>BookValue</t>
  </si>
  <si>
    <t>BVPrice</t>
  </si>
  <si>
    <t>MarketValue</t>
  </si>
  <si>
    <t>MarkPrice_MarkPrice</t>
  </si>
  <si>
    <t>Asset_AssetDetail_Type</t>
  </si>
  <si>
    <t>MVParity</t>
  </si>
  <si>
    <t>CurrencyType_Identifier</t>
  </si>
  <si>
    <t>Quantity</t>
  </si>
  <si>
    <t>Asset_Primary IDAssetID_Name</t>
  </si>
  <si>
    <t>PennantPark Credit Opportunities Fund IV Aggregator, LP</t>
  </si>
  <si>
    <t>A1 Garage Equity, LLC</t>
  </si>
  <si>
    <t>Common Equity</t>
  </si>
  <si>
    <t>A1 Garage Merger Sub, LLC</t>
  </si>
  <si>
    <t>First Lien - DDTL</t>
  </si>
  <si>
    <t>First Lien - Revolver</t>
  </si>
  <si>
    <t>Anteriad (f/k/a MeritDirect, LLC)</t>
  </si>
  <si>
    <t>First Lien - Term Loan - Incremental</t>
  </si>
  <si>
    <t>LX206113</t>
  </si>
  <si>
    <t>BioDerm Holdings, LP</t>
  </si>
  <si>
    <t>BIODERM, INC.</t>
  </si>
  <si>
    <t>ECL Entertainment, LLC</t>
  </si>
  <si>
    <t>LX193677</t>
  </si>
  <si>
    <t>EDS Buyer, LLC</t>
  </si>
  <si>
    <t>EDS TOPCO, LP</t>
  </si>
  <si>
    <t xml:space="preserve">Five Star Parent Holdings, LLC </t>
  </si>
  <si>
    <t>Five Star Parks &amp; Attractions, LLC</t>
  </si>
  <si>
    <t>First Lien - DDTL B</t>
  </si>
  <si>
    <t xml:space="preserve">Infinity Home Services Holdco, Inc. </t>
  </si>
  <si>
    <t>LX210065</t>
  </si>
  <si>
    <t>LX210066</t>
  </si>
  <si>
    <t>LX210067</t>
  </si>
  <si>
    <t>LEP PEQUOD HOLDINGS, LP</t>
  </si>
  <si>
    <t>LJ Avalon Holdings, LLC</t>
  </si>
  <si>
    <t>LX210725</t>
  </si>
  <si>
    <t>LJ Avalon, LP</t>
  </si>
  <si>
    <t>First Lien - DDTL - DDTL</t>
  </si>
  <si>
    <t>First Lien - Revolver - Revolver</t>
  </si>
  <si>
    <t>First Lien - Term Loan - First Lien</t>
  </si>
  <si>
    <t>UROLOGY MANAGEMENT HOLDINGS, INC.</t>
  </si>
  <si>
    <t>LX210840</t>
  </si>
  <si>
    <t>LX208887</t>
  </si>
  <si>
    <t>UROLOGY PARTNERS CO., L.P.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</si>
</sst>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&quot;$&quot;#,##0_);\(&quot;$&quot;#,##0\)"/>
    <numFmt numFmtId="165" formatCode="_(* #,##0.00_);_(* \(#,##0.00\);_(* &quot;-&quot;??_);_(@_)"/>
    <numFmt numFmtId="166" formatCode=";;"/>
    <numFmt numFmtId="167" formatCode="#,##0.0000000;\(#,##0.0000000\);\-"/>
    <numFmt numFmtId="168" formatCode="0.00\x;\(0.00\x\);\-"/>
    <numFmt numFmtId="169" formatCode="#,##0.0;\(#,##0.0\);\-"/>
    <numFmt numFmtId="170" formatCode="0.0%;\(0.0%\);\-"/>
    <numFmt numFmtId="171" formatCode="0.00%;\(0.00%\);\-"/>
    <numFmt numFmtId="172" formatCode="0.0%"/>
    <numFmt numFmtId="173" formatCode="#,##0.00;\(#,##0.00\);\-"/>
    <numFmt numFmtId="174" formatCode="#,##0;\(#,##0\);\-"/>
    <numFmt numFmtId="175" formatCode="mm/dd/yyyy"/>
    <numFmt numFmtId="176" formatCode="#,##0.0000;\(#,##0.0000\);\-"/>
    <numFmt numFmtId="177" formatCode="#,##0\ &quot;issuer(s)&quot;"/>
    <numFmt numFmtId="178" formatCode="#,##0.000000000;\(#,##0.000000000\);\-"/>
    <numFmt numFmtId="179" formatCode="0.0000000000%;\(0.0000000000%\);\-"/>
    <numFmt numFmtId="180" formatCode="#,##0.000000;\(#,##0.000000\);\-"/>
    <numFmt numFmtId="181" formatCode="_(* #,##0_);_(* \(#,##0\);_(* &quot;-&quot;??_);_(@_)"/>
    <numFmt numFmtId="182" formatCode="#,##0.00000000_);\(#,##0.00000000\)"/>
    <numFmt numFmtId="183" formatCode="#,##0.0000000000000_);\(#,##0.0000000000000\)"/>
    <numFmt numFmtId="184" formatCode="#,##0.0000_);\(#,##0.0000\)"/>
    <numFmt numFmtId="185" formatCode="0.0000000000000000%"/>
    <numFmt numFmtId="186" formatCode="#,##0.000;\(#,##0.000\);\-"/>
    <numFmt numFmtId="187" formatCode="#,##0.0000000000_);\(#,##0.0000000000\)"/>
    <numFmt numFmtId="188" formatCode="0.000000000%"/>
    <numFmt numFmtId="189" formatCode="_(* #,##0.0000_);_(* \(#,##0.0000\);_(* &quot;-&quot;??_);_(@_)"/>
    <numFmt numFmtId="190" formatCode="[$-409]mmm/yy"/>
    <numFmt numFmtId="191" formatCode="0.00\x"/>
    <numFmt numFmtId="192" formatCode="0.0"/>
  </numFmts>
  <fonts count="21">
    <font>
      <sz val="11"/>
      <color theme="1"/>
      <name val="ing me"/>
      <charset val="134"/>
      <scheme val="minor"/>
    </font>
    <font>
      <sz val="11"/>
      <color theme="1"/>
      <name val="Ing me"/>
      <charset val="134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theme="4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i/>
      <sz val="8"/>
      <color theme="1"/>
      <name val="Arial"/>
      <family val="2"/>
    </font>
    <font>
      <b/>
      <sz val="8"/>
      <color theme="9"/>
      <name val="Arial"/>
      <family val="2"/>
    </font>
    <font>
      <i/>
      <sz val="8"/>
      <color theme="1"/>
      <name val="Arial"/>
      <family val="2"/>
    </font>
    <font>
      <sz val="8"/>
      <color rgb="FF00B050"/>
      <name val="Arial"/>
      <family val="2"/>
    </font>
    <font>
      <b/>
      <sz val="11"/>
      <color theme="1"/>
      <name val="ing me"/>
      <charset val="134"/>
      <scheme val="minor"/>
    </font>
    <font>
      <sz val="8"/>
      <color rgb="FFFF0000"/>
      <name val="Arial"/>
      <family val="2"/>
    </font>
    <font>
      <b/>
      <sz val="8"/>
      <color rgb="FF9392C5"/>
      <name val="Arial"/>
      <family val="2"/>
    </font>
    <font>
      <sz val="8"/>
      <color rgb="FF9FC9E8"/>
      <name val="Arial"/>
      <family val="2"/>
    </font>
    <font>
      <u/>
      <sz val="8"/>
      <color theme="1"/>
      <name val="Arial"/>
      <family val="2"/>
    </font>
    <font>
      <b/>
      <sz val="8"/>
      <color rgb="FF0070C0"/>
      <name val="Arial"/>
      <family val="2"/>
    </font>
    <font>
      <sz val="11"/>
      <color rgb="FF000000"/>
      <name val="ing me"/>
      <charset val="1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FEDF7"/>
        <bgColor rgb="FFDFEDF7"/>
      </patternFill>
    </fill>
    <fill>
      <patternFill patternType="solid">
        <fgColor theme="9"/>
        <bgColor theme="9"/>
      </patternFill>
    </fill>
    <fill>
      <patternFill patternType="solid">
        <fgColor rgb="FFFF6200"/>
        <bgColor rgb="FFFF6200"/>
      </patternFill>
    </fill>
    <fill>
      <patternFill patternType="solid">
        <fgColor theme="6"/>
        <bgColor theme="6"/>
      </patternFill>
    </fill>
    <fill>
      <patternFill patternType="solid">
        <fgColor rgb="FFDCDCDC"/>
        <bgColor rgb="FFDCDCDC"/>
      </patternFill>
    </fill>
    <fill>
      <patternFill patternType="solid">
        <fgColor rgb="FFFEDFCB"/>
        <bgColor rgb="FFFEDFCB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1" fillId="2" borderId="0" xfId="0" applyNumberFormat="1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3" fillId="3" borderId="0" xfId="0" applyFont="1" applyFill="1"/>
    <xf numFmtId="168" fontId="4" fillId="4" borderId="2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/>
    </xf>
    <xf numFmtId="169" fontId="4" fillId="4" borderId="3" xfId="0" applyNumberFormat="1" applyFont="1" applyFill="1" applyBorder="1" applyAlignment="1">
      <alignment horizontal="right"/>
    </xf>
    <xf numFmtId="168" fontId="4" fillId="4" borderId="3" xfId="0" applyNumberFormat="1" applyFont="1" applyFill="1" applyBorder="1" applyAlignment="1">
      <alignment horizontal="right"/>
    </xf>
    <xf numFmtId="170" fontId="4" fillId="4" borderId="3" xfId="0" applyNumberFormat="1" applyFont="1" applyFill="1" applyBorder="1" applyAlignment="1">
      <alignment horizontal="right" wrapText="1"/>
    </xf>
    <xf numFmtId="0" fontId="3" fillId="0" borderId="0" xfId="0" applyFont="1"/>
    <xf numFmtId="0" fontId="2" fillId="5" borderId="4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2" fillId="0" borderId="1" xfId="0" applyFont="1" applyBorder="1"/>
    <xf numFmtId="9" fontId="4" fillId="4" borderId="5" xfId="0" applyNumberFormat="1" applyFont="1" applyFill="1" applyBorder="1" applyAlignment="1">
      <alignment horizontal="right"/>
    </xf>
    <xf numFmtId="9" fontId="4" fillId="4" borderId="2" xfId="0" applyNumberFormat="1" applyFont="1" applyFill="1" applyBorder="1"/>
    <xf numFmtId="170" fontId="4" fillId="4" borderId="2" xfId="0" applyNumberFormat="1" applyFont="1" applyFill="1" applyBorder="1" applyAlignment="1">
      <alignment horizontal="right" wrapText="1"/>
    </xf>
    <xf numFmtId="0" fontId="3" fillId="0" borderId="6" xfId="0" applyFont="1" applyBorder="1"/>
    <xf numFmtId="172" fontId="4" fillId="4" borderId="3" xfId="0" applyNumberFormat="1" applyFont="1" applyFill="1" applyBorder="1" applyAlignment="1">
      <alignment horizontal="right" vertical="top"/>
    </xf>
    <xf numFmtId="0" fontId="3" fillId="0" borderId="7" xfId="0" applyFont="1" applyBorder="1"/>
    <xf numFmtId="0" fontId="2" fillId="6" borderId="4" xfId="0" applyFont="1" applyFill="1" applyBorder="1"/>
    <xf numFmtId="0" fontId="3" fillId="6" borderId="4" xfId="0" applyFont="1" applyFill="1" applyBorder="1"/>
    <xf numFmtId="171" fontId="4" fillId="4" borderId="2" xfId="0" applyNumberFormat="1" applyFont="1" applyFill="1" applyBorder="1" applyAlignment="1">
      <alignment horizontal="right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171" fontId="4" fillId="4" borderId="3" xfId="0" applyNumberFormat="1" applyFont="1" applyFill="1" applyBorder="1" applyAlignment="1">
      <alignment horizontal="right" wrapText="1"/>
    </xf>
    <xf numFmtId="171" fontId="4" fillId="4" borderId="8" xfId="0" applyNumberFormat="1" applyFont="1" applyFill="1" applyBorder="1" applyAlignment="1">
      <alignment horizontal="right" wrapText="1"/>
    </xf>
    <xf numFmtId="0" fontId="3" fillId="0" borderId="9" xfId="0" applyFont="1" applyBorder="1"/>
    <xf numFmtId="171" fontId="4" fillId="4" borderId="10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horizontal="left"/>
    </xf>
    <xf numFmtId="171" fontId="4" fillId="4" borderId="11" xfId="0" applyNumberFormat="1" applyFont="1" applyFill="1" applyBorder="1" applyAlignment="1">
      <alignment horizontal="right" wrapText="1"/>
    </xf>
    <xf numFmtId="0" fontId="5" fillId="0" borderId="0" xfId="0" applyFont="1"/>
    <xf numFmtId="0" fontId="6" fillId="7" borderId="0" xfId="0" applyFont="1" applyFill="1"/>
    <xf numFmtId="0" fontId="7" fillId="7" borderId="0" xfId="0" applyFont="1" applyFill="1"/>
    <xf numFmtId="0" fontId="8" fillId="0" borderId="0" xfId="0" applyFont="1"/>
    <xf numFmtId="0" fontId="9" fillId="3" borderId="0" xfId="0" applyFont="1" applyFill="1"/>
    <xf numFmtId="0" fontId="10" fillId="3" borderId="0" xfId="0" applyFont="1" applyFill="1"/>
    <xf numFmtId="174" fontId="10" fillId="3" borderId="0" xfId="0" applyNumberFormat="1" applyFont="1" applyFill="1"/>
    <xf numFmtId="175" fontId="11" fillId="3" borderId="14" xfId="0" applyNumberFormat="1" applyFont="1" applyFill="1" applyBorder="1" applyAlignment="1">
      <alignment horizontal="center"/>
    </xf>
    <xf numFmtId="181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176" fontId="10" fillId="3" borderId="2" xfId="0" applyNumberFormat="1" applyFont="1" applyFill="1" applyBorder="1" applyAlignment="1">
      <alignment horizontal="center"/>
    </xf>
    <xf numFmtId="169" fontId="10" fillId="3" borderId="2" xfId="0" applyNumberFormat="1" applyFont="1" applyFill="1" applyBorder="1" applyAlignment="1">
      <alignment horizontal="center"/>
    </xf>
    <xf numFmtId="0" fontId="12" fillId="0" borderId="0" xfId="0" applyFont="1"/>
    <xf numFmtId="0" fontId="2" fillId="3" borderId="1" xfId="0" applyFont="1" applyFill="1" applyBorder="1" applyAlignment="1">
      <alignment horizontal="center"/>
    </xf>
    <xf numFmtId="174" fontId="4" fillId="4" borderId="2" xfId="0" applyNumberFormat="1" applyFont="1" applyFill="1" applyBorder="1" applyAlignment="1">
      <alignment horizontal="right"/>
    </xf>
    <xf numFmtId="0" fontId="13" fillId="3" borderId="0" xfId="0" applyFont="1" applyFill="1"/>
    <xf numFmtId="170" fontId="4" fillId="4" borderId="3" xfId="0" applyNumberFormat="1" applyFont="1" applyFill="1" applyBorder="1" applyAlignment="1">
      <alignment horizontal="right"/>
    </xf>
    <xf numFmtId="173" fontId="4" fillId="4" borderId="3" xfId="0" applyNumberFormat="1" applyFont="1" applyFill="1" applyBorder="1" applyAlignment="1">
      <alignment horizontal="right"/>
    </xf>
    <xf numFmtId="171" fontId="4" fillId="4" borderId="3" xfId="0" applyNumberFormat="1" applyFont="1" applyFill="1" applyBorder="1" applyAlignment="1">
      <alignment horizontal="right"/>
    </xf>
    <xf numFmtId="170" fontId="4" fillId="4" borderId="8" xfId="0" applyNumberFormat="1" applyFont="1" applyFill="1" applyBorder="1" applyAlignment="1">
      <alignment horizontal="right" wrapText="1"/>
    </xf>
    <xf numFmtId="170" fontId="4" fillId="4" borderId="15" xfId="0" applyNumberFormat="1" applyFont="1" applyFill="1" applyBorder="1" applyAlignment="1">
      <alignment horizontal="right" wrapText="1"/>
    </xf>
    <xf numFmtId="0" fontId="3" fillId="3" borderId="1" xfId="0" applyFont="1" applyFill="1" applyBorder="1"/>
    <xf numFmtId="170" fontId="4" fillId="4" borderId="11" xfId="0" applyNumberFormat="1" applyFont="1" applyFill="1" applyBorder="1" applyAlignment="1">
      <alignment horizontal="right" wrapText="1"/>
    </xf>
    <xf numFmtId="169" fontId="14" fillId="3" borderId="0" xfId="0" applyNumberFormat="1" applyFont="1" applyFill="1" applyAlignment="1">
      <alignment horizontal="right"/>
    </xf>
    <xf numFmtId="170" fontId="14" fillId="3" borderId="0" xfId="0" applyNumberFormat="1" applyFont="1" applyFill="1" applyAlignment="1">
      <alignment horizontal="right"/>
    </xf>
    <xf numFmtId="168" fontId="14" fillId="3" borderId="0" xfId="0" applyNumberFormat="1" applyFont="1" applyFill="1" applyAlignment="1">
      <alignment horizontal="right"/>
    </xf>
    <xf numFmtId="170" fontId="14" fillId="3" borderId="0" xfId="0" applyNumberFormat="1" applyFont="1" applyFill="1" applyAlignment="1">
      <alignment horizontal="right" wrapText="1"/>
    </xf>
    <xf numFmtId="179" fontId="14" fillId="3" borderId="0" xfId="0" applyNumberFormat="1" applyFont="1" applyFill="1" applyAlignment="1">
      <alignment horizontal="right"/>
    </xf>
    <xf numFmtId="0" fontId="2" fillId="3" borderId="13" xfId="0" applyFont="1" applyFill="1" applyBorder="1" applyAlignment="1">
      <alignment horizontal="center"/>
    </xf>
    <xf numFmtId="14" fontId="2" fillId="3" borderId="13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wrapText="1"/>
    </xf>
    <xf numFmtId="191" fontId="15" fillId="4" borderId="3" xfId="0" applyNumberFormat="1" applyFont="1" applyFill="1" applyBorder="1" applyAlignment="1">
      <alignment horizontal="right"/>
    </xf>
    <xf numFmtId="9" fontId="3" fillId="3" borderId="0" xfId="0" applyNumberFormat="1" applyFont="1" applyFill="1" applyAlignment="1">
      <alignment horizontal="right"/>
    </xf>
    <xf numFmtId="0" fontId="16" fillId="3" borderId="0" xfId="0" applyFont="1" applyFill="1"/>
    <xf numFmtId="174" fontId="10" fillId="3" borderId="0" xfId="0" applyNumberFormat="1" applyFont="1" applyFill="1" applyAlignment="1">
      <alignment horizontal="right"/>
    </xf>
    <xf numFmtId="14" fontId="4" fillId="4" borderId="3" xfId="0" applyNumberFormat="1" applyFont="1" applyFill="1" applyBorder="1" applyAlignment="1">
      <alignment horizontal="right" vertical="top"/>
    </xf>
    <xf numFmtId="0" fontId="4" fillId="4" borderId="15" xfId="0" applyFont="1" applyFill="1" applyBorder="1" applyAlignment="1">
      <alignment horizontal="right"/>
    </xf>
    <xf numFmtId="0" fontId="2" fillId="3" borderId="0" xfId="0" applyFont="1" applyFill="1"/>
    <xf numFmtId="181" fontId="17" fillId="4" borderId="3" xfId="0" applyNumberFormat="1" applyFont="1" applyFill="1" applyBorder="1" applyAlignment="1">
      <alignment horizontal="right"/>
    </xf>
    <xf numFmtId="181" fontId="4" fillId="4" borderId="2" xfId="0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vertical="top"/>
    </xf>
    <xf numFmtId="189" fontId="4" fillId="4" borderId="8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right"/>
    </xf>
    <xf numFmtId="0" fontId="20" fillId="10" borderId="0" xfId="0" applyFont="1" applyFill="1"/>
    <xf numFmtId="0" fontId="20" fillId="10" borderId="0" xfId="0" applyFont="1" applyFill="1" applyAlignment="1">
      <alignment horizontal="right"/>
    </xf>
    <xf numFmtId="0" fontId="20" fillId="10" borderId="0" xfId="0" applyFont="1" applyFill="1" applyAlignment="1">
      <alignment vertical="top"/>
    </xf>
    <xf numFmtId="0" fontId="20" fillId="10" borderId="21" xfId="0" applyFont="1" applyFill="1" applyBorder="1" applyAlignment="1">
      <alignment horizontal="right" vertical="top"/>
    </xf>
    <xf numFmtId="1" fontId="4" fillId="4" borderId="20" xfId="0" applyNumberFormat="1" applyFont="1" applyFill="1" applyBorder="1" applyAlignment="1">
      <alignment horizontal="right" vertical="top"/>
    </xf>
    <xf numFmtId="1" fontId="20" fillId="10" borderId="0" xfId="0" applyNumberFormat="1" applyFont="1" applyFill="1" applyAlignment="1">
      <alignment horizontal="right" vertical="top"/>
    </xf>
    <xf numFmtId="1" fontId="4" fillId="4" borderId="22" xfId="0" applyNumberFormat="1" applyFont="1" applyFill="1" applyBorder="1" applyAlignment="1">
      <alignment horizontal="right" vertical="top"/>
    </xf>
    <xf numFmtId="170" fontId="3" fillId="3" borderId="0" xfId="0" applyNumberFormat="1" applyFont="1" applyFill="1" applyAlignment="1">
      <alignment horizontal="right" wrapText="1"/>
    </xf>
    <xf numFmtId="0" fontId="3" fillId="3" borderId="12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14" fontId="3" fillId="3" borderId="0" xfId="0" applyNumberFormat="1" applyFont="1" applyFill="1"/>
    <xf numFmtId="174" fontId="3" fillId="3" borderId="0" xfId="0" applyNumberFormat="1" applyFont="1" applyFill="1" applyAlignment="1">
      <alignment horizontal="right" wrapText="1"/>
    </xf>
    <xf numFmtId="10" fontId="3" fillId="3" borderId="0" xfId="0" applyNumberFormat="1" applyFont="1" applyFill="1" applyAlignment="1">
      <alignment horizontal="right"/>
    </xf>
    <xf numFmtId="172" fontId="3" fillId="3" borderId="0" xfId="0" applyNumberFormat="1" applyFont="1" applyFill="1"/>
    <xf numFmtId="172" fontId="4" fillId="4" borderId="3" xfId="0" applyNumberFormat="1" applyFont="1" applyFill="1" applyBorder="1"/>
    <xf numFmtId="172" fontId="3" fillId="3" borderId="1" xfId="0" applyNumberFormat="1" applyFont="1" applyFill="1" applyBorder="1"/>
    <xf numFmtId="172" fontId="2" fillId="3" borderId="0" xfId="0" applyNumberFormat="1" applyFont="1" applyFill="1"/>
    <xf numFmtId="0" fontId="2" fillId="5" borderId="0" xfId="0" applyFont="1" applyFill="1"/>
    <xf numFmtId="10" fontId="2" fillId="5" borderId="0" xfId="0" applyNumberFormat="1" applyFont="1" applyFill="1"/>
    <xf numFmtId="10" fontId="3" fillId="3" borderId="0" xfId="0" applyNumberFormat="1" applyFont="1" applyFill="1"/>
    <xf numFmtId="0" fontId="2" fillId="0" borderId="1" xfId="0" applyFont="1" applyBorder="1" applyAlignment="1">
      <alignment horizontal="center" wrapText="1"/>
    </xf>
    <xf numFmtId="174" fontId="4" fillId="4" borderId="18" xfId="0" applyNumberFormat="1" applyFont="1" applyFill="1" applyBorder="1" applyAlignment="1">
      <alignment horizontal="left"/>
    </xf>
    <xf numFmtId="174" fontId="4" fillId="4" borderId="4" xfId="0" applyNumberFormat="1" applyFont="1" applyFill="1" applyBorder="1" applyAlignment="1">
      <alignment horizontal="left"/>
    </xf>
    <xf numFmtId="0" fontId="4" fillId="4" borderId="19" xfId="0" applyFont="1" applyFill="1" applyBorder="1" applyAlignment="1">
      <alignment horizontal="center"/>
    </xf>
    <xf numFmtId="181" fontId="4" fillId="4" borderId="3" xfId="0" applyNumberFormat="1" applyFont="1" applyFill="1" applyBorder="1" applyAlignment="1">
      <alignment horizontal="right"/>
    </xf>
    <xf numFmtId="0" fontId="4" fillId="4" borderId="3" xfId="0" applyFont="1" applyFill="1" applyBorder="1"/>
    <xf numFmtId="0" fontId="4" fillId="4" borderId="2" xfId="0" applyFont="1" applyFill="1" applyBorder="1"/>
    <xf numFmtId="0" fontId="4" fillId="4" borderId="19" xfId="0" applyFont="1" applyFill="1" applyBorder="1"/>
    <xf numFmtId="181" fontId="4" fillId="4" borderId="2" xfId="0" applyNumberFormat="1" applyFont="1" applyFill="1" applyBorder="1" applyAlignment="1">
      <alignment horizontal="right"/>
    </xf>
    <xf numFmtId="0" fontId="4" fillId="4" borderId="0" xfId="0" applyFont="1" applyFill="1"/>
    <xf numFmtId="0" fontId="2" fillId="3" borderId="16" xfId="0" applyFont="1" applyFill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3" borderId="13" xfId="0" applyFont="1" applyFill="1" applyBorder="1"/>
    <xf numFmtId="49" fontId="4" fillId="4" borderId="2" xfId="0" applyNumberFormat="1" applyFont="1" applyFill="1" applyBorder="1"/>
    <xf numFmtId="0" fontId="4" fillId="4" borderId="2" xfId="0" applyFont="1" applyFill="1" applyBorder="1" applyAlignment="1">
      <alignment horizontal="left"/>
    </xf>
    <xf numFmtId="175" fontId="4" fillId="4" borderId="2" xfId="0" applyNumberFormat="1" applyFont="1" applyFill="1" applyBorder="1" applyAlignment="1">
      <alignment horizontal="right"/>
    </xf>
    <xf numFmtId="186" fontId="4" fillId="4" borderId="3" xfId="0" applyNumberFormat="1" applyFont="1" applyFill="1" applyBorder="1" applyAlignment="1">
      <alignment horizontal="right"/>
    </xf>
    <xf numFmtId="171" fontId="4" fillId="4" borderId="3" xfId="0" applyNumberFormat="1" applyFont="1" applyFill="1" applyBorder="1" applyAlignment="1">
      <alignment horizontal="left" wrapText="1"/>
    </xf>
    <xf numFmtId="192" fontId="4" fillId="4" borderId="2" xfId="0" applyNumberFormat="1" applyFont="1" applyFill="1" applyBorder="1" applyAlignment="1">
      <alignment horizontal="right"/>
    </xf>
    <xf numFmtId="191" fontId="4" fillId="4" borderId="3" xfId="0" applyNumberFormat="1" applyFont="1" applyFill="1" applyBorder="1" applyAlignment="1">
      <alignment horizontal="right"/>
    </xf>
    <xf numFmtId="172" fontId="4" fillId="4" borderId="3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192" fontId="4" fillId="4" borderId="17" xfId="0" applyNumberFormat="1" applyFont="1" applyFill="1" applyBorder="1"/>
    <xf numFmtId="165" fontId="4" fillId="4" borderId="17" xfId="0" applyNumberFormat="1" applyFont="1" applyFill="1" applyBorder="1"/>
    <xf numFmtId="181" fontId="4" fillId="4" borderId="17" xfId="0" applyNumberFormat="1" applyFont="1" applyFill="1" applyBorder="1"/>
    <xf numFmtId="164" fontId="4" fillId="4" borderId="17" xfId="0" applyNumberFormat="1" applyFont="1" applyFill="1" applyBorder="1"/>
    <xf numFmtId="192" fontId="4" fillId="4" borderId="3" xfId="0" applyNumberFormat="1" applyFont="1" applyFill="1" applyBorder="1" applyAlignment="1">
      <alignment horizontal="right"/>
    </xf>
    <xf numFmtId="192" fontId="13" fillId="4" borderId="3" xfId="0" applyNumberFormat="1" applyFont="1" applyFill="1" applyBorder="1" applyAlignment="1">
      <alignment horizontal="right"/>
    </xf>
    <xf numFmtId="174" fontId="4" fillId="4" borderId="3" xfId="0" applyNumberFormat="1" applyFont="1" applyFill="1" applyBorder="1" applyAlignment="1">
      <alignment horizontal="right"/>
    </xf>
    <xf numFmtId="0" fontId="3" fillId="0" borderId="2" xfId="0" applyFont="1" applyBorder="1"/>
    <xf numFmtId="0" fontId="4" fillId="0" borderId="0" xfId="0" applyFont="1"/>
    <xf numFmtId="175" fontId="3" fillId="0" borderId="3" xfId="0" applyNumberFormat="1" applyFont="1" applyBorder="1" applyAlignment="1">
      <alignment horizontal="right"/>
    </xf>
    <xf numFmtId="174" fontId="3" fillId="0" borderId="3" xfId="0" applyNumberFormat="1" applyFont="1" applyBorder="1" applyAlignment="1">
      <alignment horizontal="right"/>
    </xf>
    <xf numFmtId="171" fontId="4" fillId="4" borderId="0" xfId="0" applyNumberFormat="1" applyFont="1" applyFill="1" applyAlignment="1">
      <alignment horizontal="left" wrapText="1"/>
    </xf>
    <xf numFmtId="166" fontId="3" fillId="0" borderId="0" xfId="0" applyNumberFormat="1" applyFont="1" applyAlignment="1">
      <alignment horizontal="left"/>
    </xf>
    <xf numFmtId="164" fontId="4" fillId="4" borderId="0" xfId="0" applyNumberFormat="1" applyFont="1" applyFill="1"/>
    <xf numFmtId="192" fontId="4" fillId="4" borderId="0" xfId="0" applyNumberFormat="1" applyFont="1" applyFill="1"/>
    <xf numFmtId="9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left" wrapText="1"/>
    </xf>
    <xf numFmtId="14" fontId="2" fillId="0" borderId="1" xfId="0" quotePrefix="1" applyNumberFormat="1" applyFont="1" applyBorder="1" applyAlignment="1">
      <alignment horizontal="center" wrapText="1"/>
    </xf>
    <xf numFmtId="0" fontId="2" fillId="9" borderId="13" xfId="0" applyFont="1" applyFill="1" applyBorder="1" applyAlignment="1">
      <alignment horizontal="center" wrapText="1"/>
    </xf>
    <xf numFmtId="49" fontId="3" fillId="3" borderId="0" xfId="0" applyNumberFormat="1" applyFont="1" applyFill="1" applyAlignment="1">
      <alignment horizontal="left"/>
    </xf>
    <xf numFmtId="175" fontId="3" fillId="3" borderId="0" xfId="0" applyNumberFormat="1" applyFont="1" applyFill="1" applyAlignment="1">
      <alignment horizontal="right"/>
    </xf>
    <xf numFmtId="169" fontId="3" fillId="3" borderId="0" xfId="0" applyNumberFormat="1" applyFont="1" applyFill="1" applyAlignment="1">
      <alignment horizontal="left"/>
    </xf>
    <xf numFmtId="181" fontId="3" fillId="3" borderId="0" xfId="0" applyNumberFormat="1" applyFont="1" applyFill="1" applyAlignment="1">
      <alignment horizontal="right"/>
    </xf>
    <xf numFmtId="172" fontId="3" fillId="3" borderId="0" xfId="0" applyNumberFormat="1" applyFont="1" applyFill="1" applyAlignment="1">
      <alignment horizontal="right" wrapText="1"/>
    </xf>
    <xf numFmtId="3" fontId="3" fillId="3" borderId="0" xfId="0" applyNumberFormat="1" applyFont="1" applyFill="1"/>
    <xf numFmtId="190" fontId="3" fillId="3" borderId="0" xfId="0" applyNumberFormat="1" applyFont="1" applyFill="1" applyAlignment="1">
      <alignment horizontal="left"/>
    </xf>
    <xf numFmtId="169" fontId="3" fillId="3" borderId="0" xfId="0" applyNumberFormat="1" applyFont="1" applyFill="1" applyAlignment="1">
      <alignment horizontal="right"/>
    </xf>
    <xf numFmtId="177" fontId="2" fillId="3" borderId="13" xfId="0" applyNumberFormat="1" applyFont="1" applyFill="1" applyBorder="1" applyAlignment="1">
      <alignment horizontal="left"/>
    </xf>
    <xf numFmtId="172" fontId="2" fillId="3" borderId="13" xfId="0" applyNumberFormat="1" applyFont="1" applyFill="1" applyBorder="1" applyAlignment="1">
      <alignment horizontal="center"/>
    </xf>
    <xf numFmtId="181" fontId="2" fillId="3" borderId="13" xfId="0" applyNumberFormat="1" applyFont="1" applyFill="1" applyBorder="1" applyAlignment="1">
      <alignment horizontal="right"/>
    </xf>
    <xf numFmtId="177" fontId="2" fillId="3" borderId="0" xfId="0" applyNumberFormat="1" applyFont="1" applyFill="1" applyAlignment="1">
      <alignment horizontal="left"/>
    </xf>
    <xf numFmtId="172" fontId="2" fillId="3" borderId="0" xfId="0" applyNumberFormat="1" applyFont="1" applyFill="1" applyAlignment="1">
      <alignment horizontal="center"/>
    </xf>
    <xf numFmtId="169" fontId="2" fillId="3" borderId="0" xfId="0" applyNumberFormat="1" applyFont="1" applyFill="1" applyAlignment="1">
      <alignment horizontal="right"/>
    </xf>
    <xf numFmtId="168" fontId="2" fillId="3" borderId="0" xfId="0" applyNumberFormat="1" applyFont="1" applyFill="1" applyAlignment="1">
      <alignment horizontal="right"/>
    </xf>
    <xf numFmtId="172" fontId="2" fillId="3" borderId="0" xfId="0" applyNumberFormat="1" applyFont="1" applyFill="1" applyAlignment="1">
      <alignment horizontal="right"/>
    </xf>
    <xf numFmtId="190" fontId="2" fillId="3" borderId="0" xfId="0" applyNumberFormat="1" applyFont="1" applyFill="1" applyAlignment="1">
      <alignment horizontal="right"/>
    </xf>
    <xf numFmtId="165" fontId="3" fillId="3" borderId="0" xfId="0" applyNumberFormat="1" applyFont="1" applyFill="1"/>
    <xf numFmtId="0" fontId="13" fillId="3" borderId="0" xfId="0" applyFont="1" applyFill="1" applyAlignment="1">
      <alignment horizontal="left"/>
    </xf>
    <xf numFmtId="188" fontId="3" fillId="3" borderId="0" xfId="0" applyNumberFormat="1" applyFont="1" applyFill="1"/>
    <xf numFmtId="185" fontId="3" fillId="3" borderId="0" xfId="0" applyNumberFormat="1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74" fontId="3" fillId="3" borderId="3" xfId="0" applyNumberFormat="1" applyFont="1" applyFill="1" applyBorder="1" applyAlignment="1">
      <alignment horizontal="right"/>
    </xf>
    <xf numFmtId="176" fontId="4" fillId="4" borderId="3" xfId="0" applyNumberFormat="1" applyFont="1" applyFill="1" applyBorder="1" applyAlignment="1">
      <alignment horizontal="right"/>
    </xf>
    <xf numFmtId="180" fontId="4" fillId="4" borderId="3" xfId="0" applyNumberFormat="1" applyFont="1" applyFill="1" applyBorder="1" applyAlignment="1">
      <alignment horizontal="right"/>
    </xf>
    <xf numFmtId="174" fontId="3" fillId="3" borderId="2" xfId="0" applyNumberFormat="1" applyFont="1" applyFill="1" applyBorder="1" applyAlignment="1">
      <alignment horizontal="right"/>
    </xf>
    <xf numFmtId="183" fontId="3" fillId="3" borderId="0" xfId="0" applyNumberFormat="1" applyFont="1" applyFill="1"/>
    <xf numFmtId="184" fontId="3" fillId="3" borderId="0" xfId="0" applyNumberFormat="1" applyFont="1" applyFill="1"/>
    <xf numFmtId="174" fontId="4" fillId="3" borderId="3" xfId="0" applyNumberFormat="1" applyFont="1" applyFill="1" applyBorder="1" applyAlignment="1">
      <alignment horizontal="right"/>
    </xf>
    <xf numFmtId="174" fontId="4" fillId="4" borderId="0" xfId="0" applyNumberFormat="1" applyFont="1" applyFill="1" applyAlignment="1">
      <alignment horizontal="right"/>
    </xf>
    <xf numFmtId="180" fontId="4" fillId="4" borderId="0" xfId="0" applyNumberFormat="1" applyFont="1" applyFill="1" applyAlignment="1">
      <alignment horizontal="right"/>
    </xf>
    <xf numFmtId="174" fontId="3" fillId="3" borderId="0" xfId="0" applyNumberFormat="1" applyFont="1" applyFill="1"/>
    <xf numFmtId="167" fontId="4" fillId="4" borderId="3" xfId="0" applyNumberFormat="1" applyFont="1" applyFill="1" applyBorder="1" applyAlignment="1">
      <alignment horizontal="right"/>
    </xf>
    <xf numFmtId="174" fontId="2" fillId="3" borderId="13" xfId="0" applyNumberFormat="1" applyFont="1" applyFill="1" applyBorder="1" applyAlignment="1">
      <alignment horizontal="right"/>
    </xf>
    <xf numFmtId="176" fontId="2" fillId="3" borderId="13" xfId="0" applyNumberFormat="1" applyFont="1" applyFill="1" applyBorder="1" applyAlignment="1">
      <alignment horizontal="right"/>
    </xf>
    <xf numFmtId="178" fontId="2" fillId="3" borderId="0" xfId="0" applyNumberFormat="1" applyFont="1" applyFill="1" applyAlignment="1">
      <alignment horizontal="right"/>
    </xf>
    <xf numFmtId="172" fontId="2" fillId="3" borderId="0" xfId="0" applyNumberFormat="1" applyFont="1" applyFill="1" applyAlignment="1">
      <alignment horizontal="right" wrapText="1"/>
    </xf>
    <xf numFmtId="17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182" fontId="3" fillId="3" borderId="0" xfId="0" applyNumberFormat="1" applyFont="1" applyFill="1"/>
    <xf numFmtId="181" fontId="3" fillId="3" borderId="0" xfId="0" applyNumberFormat="1" applyFont="1" applyFill="1"/>
    <xf numFmtId="186" fontId="3" fillId="3" borderId="0" xfId="0" applyNumberFormat="1" applyFont="1" applyFill="1"/>
    <xf numFmtId="187" fontId="3" fillId="3" borderId="0" xfId="0" applyNumberFormat="1" applyFont="1" applyFill="1"/>
    <xf numFmtId="0" fontId="3" fillId="0" borderId="12" xfId="0" applyFont="1" applyBorder="1"/>
    <xf numFmtId="0" fontId="3" fillId="0" borderId="1" xfId="0" applyFont="1" applyBorder="1"/>
    <xf numFmtId="0" fontId="2" fillId="0" borderId="0" xfId="0" applyFont="1"/>
    <xf numFmtId="0" fontId="2" fillId="8" borderId="4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center"/>
    </xf>
    <xf numFmtId="0" fontId="3" fillId="5" borderId="0" xfId="0" applyFont="1" applyFill="1"/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22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ill>
        <patternFill patternType="solid">
          <fgColor rgb="FFEFEFF7"/>
          <bgColor rgb="FFEFEFF7"/>
        </patternFill>
      </fill>
      <border>
        <top style="dotted">
          <color theme="6"/>
        </top>
        <bottom style="dotted">
          <color theme="6"/>
        </bottom>
      </border>
    </dxf>
    <dxf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none"/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ont>
        <color rgb="FFFF0000"/>
      </font>
      <fill>
        <patternFill patternType="none"/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ont>
        <color rgb="FFFF0000"/>
      </font>
      <fill>
        <patternFill patternType="none"/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ont>
        <color rgb="FFFF0000"/>
      </font>
      <fill>
        <patternFill patternType="none"/>
      </fill>
      <border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BDAEB"/>
          <bgColor rgb="FFDBDAEB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dc2\home\Documents%20and%20Settings\Art.Bykov\Local%20Settings\Temporary%20Internet%20Files\Content.Outlook\ATE98X5R\Unencumbered%20Pool%20-%20Analysis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Q/GSOCmp/WSO2NPS/DCF%20Eligibility%20Model%202007%2003-26-07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dc2\home\Treasury\Debt%20Servicing\ACS%20Funding%20Trust%20I\Servicer%20Reports\2006\September\ACS%20Funding%20Trust%20I%20Servicer%20Report%20September%20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D/CBO1998/PPM/November/Upsize/collateral/PPM_diversity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Z/Conduits/Servicer%20Reports/GSC%20Investment%20Funding%20I/2008/GSC%20Investment%20Funding%20LLC%20Monthly%20Report%202008-03-3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ittes/AppData/Local/Microsoft/Windows/Temporary%20Internet%20Files/Content.Outlook/SOTV1OY8/BKC%20Flash%20Report%2011%205%201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dc2\home\Treasury\Debt%20Servicing\Spreadsheets,%20Analysis,%20&amp;%20Presentations\Weekly%20Spreadsheets\Consolidated%20Tapes\Consolidated\Consolidated%20Tape%20-%2011.16.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losed%20Investments/#Reporting%20Templates\Industry%20Descriptions%20and%20Codes\All%20Industry%20Classifications%20-%20MAST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Q/1888%20FUND/MODEL/1888%20MODEL%200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/C/Q/Documents%20and%20Settings/mtieman.GSO/Desktop/Copy%20of%20DCF%20Eligibility%20Model%202007%2004-06-07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ndra%20Daisy/My%20Documents/My%20Documents/SBA%20Work/Exhibit%20F/F2%20-%20Valor;%20Complete1990;%20WM;%202003033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Onpepper%20borrowing%20base%20local/Borrowing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lides All Debt"/>
      <sheetName val="Industry &amp; Perf. Debt Slides"/>
      <sheetName val="Department Slides - Department"/>
      <sheetName val="Summary - All Debt"/>
      <sheetName val="Detail By Department"/>
      <sheetName val="Unencumbered Scenario Formulas"/>
      <sheetName val="Unencum Net Non Accrual Formula"/>
      <sheetName val="Unencum Excl NonAccrual Formula"/>
      <sheetName val="Unencumbered Debt Tape"/>
      <sheetName val="Equity Unencumbered Tape"/>
      <sheetName val="Net Non Accrual Tape"/>
      <sheetName val="Unencum Excl Non Accrual Tape"/>
      <sheetName val="Moodys Industry"/>
      <sheetName val="Sheet2"/>
      <sheetName val="Drop Down Inputs_TLDL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rowing Request"/>
      <sheetName val="Exhibit A - Excess Conc's"/>
      <sheetName val="Exhibit B - Asset Quality"/>
      <sheetName val="Schedule of CDOs"/>
      <sheetName val="Portfolio Information"/>
      <sheetName val="Inputs"/>
      <sheetName val="Swap Calculation"/>
      <sheetName val="Tables"/>
      <sheetName val="Leverage Grid"/>
      <sheetName val="Portfolio Analysis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rowing Base Certificate"/>
      <sheetName val="Aging Report"/>
      <sheetName val="Termination Event Report"/>
      <sheetName val="Pool Concentration Report"/>
      <sheetName val="Loan List"/>
      <sheetName val="Collections"/>
      <sheetName val="Priority of Paymen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aters"/>
      <sheetName val="Bonds"/>
      <sheetName val="Diversity_Score"/>
      <sheetName val="Lookup Tables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TVI Summary"/>
      <sheetName val="Borrowing Request"/>
      <sheetName val="Waterfall"/>
      <sheetName val="Exhibit A - Excess Conc's"/>
      <sheetName val="Exhibit B - Collateral Quality"/>
      <sheetName val="Schedule of CDOs"/>
      <sheetName val="Leverage Grid"/>
      <sheetName val="Credit Facility Summary"/>
      <sheetName val="Top 10 Issuers"/>
      <sheetName val="WA Floating Spread"/>
      <sheetName val="WA Fixed Coupon"/>
      <sheetName val="WA Spread"/>
      <sheetName val="WARF"/>
      <sheetName val="WARRT"/>
      <sheetName val="WAL"/>
      <sheetName val="Diversity Test"/>
      <sheetName val="Diversity Score Calcs"/>
      <sheetName val="Non-Senior Secured Loans"/>
      <sheetName val="Mezz Loans and Bonds"/>
      <sheetName val="Fixed Rate Assets"/>
      <sheetName val="Fixed Rate No Hedge"/>
      <sheetName val="Non-US Dollar"/>
      <sheetName val="Moodys Caa2 or Lower"/>
      <sheetName val="Moodys Unrated"/>
      <sheetName val="Revolvers"/>
      <sheetName val="PIK"/>
      <sheetName val="DIP"/>
      <sheetName val="SFO"/>
      <sheetName val="Real Estate"/>
      <sheetName val="Current Pay Obligations"/>
      <sheetName val="Discounts"/>
      <sheetName val="Unsecured"/>
      <sheetName val="Matrixes"/>
      <sheetName val="Asset Data"/>
      <sheetName val="Positions Input"/>
      <sheetName val="WSO Asset Data"/>
      <sheetName val="WSO Issuer Data"/>
      <sheetName val="AmortizationRawData"/>
      <sheetName val="Amortization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iance"/>
      <sheetName val="TradeSummary"/>
      <sheetName val="Borrowings"/>
      <sheetName val="HoldingsRpt"/>
      <sheetName val="Sales"/>
      <sheetName val="TrusteeInfo"/>
      <sheetName val="Legend"/>
      <sheetName val="Sentry Data"/>
      <sheetName val="DataPointsRPT"/>
      <sheetName val="BKC data points"/>
      <sheetName val="Pricing"/>
      <sheetName val="Trades"/>
      <sheetName val="Diversity"/>
      <sheetName val="Spread"/>
      <sheetName val="Settled"/>
      <sheetName val="WAS Ex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Debt"/>
      <sheetName val="All Equity"/>
      <sheetName val="All Buyouts - Debt"/>
      <sheetName val="All Buyouts - Equity"/>
      <sheetName val="Bethesda Buyouts"/>
      <sheetName val="Beth Buyouts Equity"/>
      <sheetName val="NY Buyouts"/>
      <sheetName val="NY Buyouts Equity"/>
      <sheetName val="DAL Buyouts"/>
      <sheetName val="DAL Buyouts Equity"/>
      <sheetName val="CHI Buyouts"/>
      <sheetName val="CHI Buyouts Equity"/>
      <sheetName val="LA Buyouts"/>
      <sheetName val="LA Buyouts Equity"/>
      <sheetName val="All Sponsored"/>
      <sheetName val="All Sposored Equity"/>
      <sheetName val="NY Sponsor"/>
      <sheetName val="NY Spons Equity"/>
      <sheetName val="LA Sponsor"/>
      <sheetName val="LA Spons Equity"/>
      <sheetName val="DAL Sponsor"/>
      <sheetName val="DAL Spons Equity"/>
      <sheetName val="CHI Sponsor"/>
      <sheetName val="CHI Spons Equ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"/>
      <sheetName val="Industry Classifications"/>
      <sheetName val="Source-Industries List"/>
      <sheetName val="Pivot"/>
      <sheetName val="Standardization"/>
      <sheetName val="List"/>
      <sheetName val="CF"/>
      <sheetName val="St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Calculation"/>
      <sheetName val="(1)Settlement Date"/>
      <sheetName val="(2)Paydown Chart"/>
      <sheetName val="(3) Moody Chart"/>
      <sheetName val="(4) WAS Chart"/>
      <sheetName val="(5) Weighted Avg. MV"/>
      <sheetName val="(6) ANALYSIS"/>
      <sheetName val="(7)Waterfall Summary"/>
      <sheetName val="(8) INTEREST COLLECTION CHART"/>
      <sheetName val="(9) Wtd Avg Moody Rating Factor"/>
      <sheetName val="Actual Bonds"/>
      <sheetName val="Eligibility Tests"/>
      <sheetName val="Industry Conc"/>
      <sheetName val="Coverage Tests"/>
      <sheetName val="View Bonds"/>
      <sheetName val="Diversity"/>
      <sheetName val="Loan Optimizer"/>
      <sheetName val="Tables"/>
      <sheetName val="Summary"/>
      <sheetName val="Plug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rowing Request"/>
      <sheetName val="Exhibit A - Excess Conc's"/>
      <sheetName val="Exhibit B - Asset Quality"/>
      <sheetName val="Schedule of CDOs"/>
      <sheetName val="Portfolio Information"/>
      <sheetName val="Inputs"/>
      <sheetName val="Swap Calculation"/>
      <sheetName val="Tables"/>
      <sheetName val="Leverage Grid"/>
      <sheetName val="Portfolio Analysis"/>
      <sheetName val="Par &amp;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2.1"/>
      <sheetName val="Table 2.2 (a)"/>
      <sheetName val="Table 2.2 (b)"/>
      <sheetName val="Table 2.2 (c)"/>
      <sheetName val="Table 2.2 (d)"/>
      <sheetName val="Table 2.2 (e)"/>
      <sheetName val="Table 2.3"/>
      <sheetName val="Table 2.4 (a)"/>
      <sheetName val="Table 2.4 (b)"/>
      <sheetName val="Table 2.4 (c)"/>
      <sheetName val="Table 2.4 (d)"/>
      <sheetName val="Table 2.4 (e)"/>
      <sheetName val="File Name Help"/>
      <sheetName val="Financings"/>
      <sheetName val="Proceeds"/>
      <sheetName val="Current"/>
      <sheetName val="all"/>
      <sheetName val="SelectLis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ilability"/>
      <sheetName val="Availability Borrower"/>
      <sheetName val="Applicable Margin"/>
      <sheetName val="Subscription BB"/>
      <sheetName val="PL BB Build"/>
      <sheetName val="PL BB Output"/>
      <sheetName val="PL BB Results"/>
      <sheetName val="PL_BB_Results_Concentrations"/>
      <sheetName val="PL_BB_Results_Security"/>
      <sheetName val="Obligors' Net Capital"/>
      <sheetName val="PL BB FMV Rollforward"/>
      <sheetName val="Inputs"/>
      <sheetName val="Pricing"/>
      <sheetName val="Advance Rates"/>
      <sheetName val="Portfolio LeverageBorrowingBase"/>
      <sheetName val="Concentration Limits"/>
      <sheetName val="Inputs Industries"/>
      <sheetName val="Other Metrics"/>
    </sheetNames>
    <sheetDataSet>
      <sheetData sheetId="0">
        <row r="11">
          <cell r="D11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6200"/>
      </a:accent1>
      <a:accent2>
        <a:srgbClr val="A8A8A8"/>
      </a:accent2>
      <a:accent3>
        <a:srgbClr val="525199"/>
      </a:accent3>
      <a:accent4>
        <a:srgbClr val="60A6DA"/>
      </a:accent4>
      <a:accent5>
        <a:srgbClr val="AB0066"/>
      </a:accent5>
      <a:accent6>
        <a:srgbClr val="D0D93C"/>
      </a:accent6>
      <a:hlink>
        <a:srgbClr val="525199"/>
      </a:hlink>
      <a:folHlink>
        <a:srgbClr val="525199"/>
      </a:folHlink>
    </a:clrScheme>
    <a:fontScheme name="Sheets">
      <a:majorFont>
        <a:latin typeface="ing me"/>
        <a:ea typeface="ing me"/>
        <a:cs typeface="ing me"/>
      </a:majorFont>
      <a:minorFont>
        <a:latin typeface="ing me"/>
        <a:ea typeface="ing me"/>
        <a:cs typeface="ing m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8"/>
  <sheetViews>
    <sheetView workbookViewId="0">
      <selection activeCell="E14" sqref="E14"/>
    </sheetView>
  </sheetViews>
  <sheetFormatPr defaultColWidth="9" defaultRowHeight="14.4"/>
  <cols>
    <col min="1" max="1" width="47" customWidth="1"/>
  </cols>
  <sheetData>
    <row r="1" spans="1:2">
      <c r="A1" s="48" t="s">
        <v>0</v>
      </c>
      <c r="B1" s="48" t="s">
        <v>1</v>
      </c>
    </row>
    <row r="2" spans="1:2">
      <c r="A2" s="6" t="s">
        <v>2</v>
      </c>
      <c r="B2" s="73" t="s">
        <v>3</v>
      </c>
    </row>
    <row r="3" spans="1:2">
      <c r="A3" s="26" t="s">
        <v>4</v>
      </c>
      <c r="B3" s="73">
        <v>45046</v>
      </c>
    </row>
    <row r="4" spans="1:2">
      <c r="A4" s="8" t="s">
        <v>5</v>
      </c>
      <c r="B4" s="73">
        <v>44914</v>
      </c>
    </row>
    <row r="5" spans="1:2">
      <c r="A5" s="6" t="s">
        <v>6</v>
      </c>
      <c r="B5" s="74" t="s">
        <v>7</v>
      </c>
    </row>
    <row r="6" spans="1:2">
      <c r="A6" s="75" t="s">
        <v>8</v>
      </c>
      <c r="B6" s="76">
        <v>60000000</v>
      </c>
    </row>
    <row r="7" spans="1:2">
      <c r="A7" s="6" t="s">
        <v>9</v>
      </c>
      <c r="B7" s="77">
        <v>48500000</v>
      </c>
    </row>
    <row r="8" spans="1:2">
      <c r="A8" s="78" t="s">
        <v>10</v>
      </c>
      <c r="B8" s="79">
        <v>0</v>
      </c>
    </row>
  </sheetData>
  <dataValidations count="1">
    <dataValidation type="list" allowBlank="1" showErrorMessage="1" sqref="B5" xr:uid="{00000000-0002-0000-0000-000000000000}">
      <formula1>#REF!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Z1000"/>
  <sheetViews>
    <sheetView workbookViewId="0">
      <selection activeCell="D5" sqref="D5"/>
    </sheetView>
  </sheetViews>
  <sheetFormatPr defaultColWidth="12.6640625" defaultRowHeight="15" customHeight="1"/>
  <cols>
    <col min="1" max="2" width="2.21875" customWidth="1"/>
    <col min="3" max="3" width="57.21875" customWidth="1"/>
    <col min="4" max="4" width="10.6640625" customWidth="1"/>
    <col min="5" max="5" width="2.21875" customWidth="1"/>
    <col min="6" max="6" width="9" customWidth="1"/>
    <col min="7" max="7" width="2" customWidth="1"/>
    <col min="8" max="8" width="16" customWidth="1"/>
    <col min="9" max="9" width="18.88671875" customWidth="1"/>
    <col min="10" max="11" width="9" customWidth="1"/>
    <col min="12" max="13" width="9.21875" customWidth="1"/>
    <col min="14" max="26" width="9" customWidth="1"/>
  </cols>
  <sheetData>
    <row r="1" spans="1:26" ht="11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1.25" customHeight="1">
      <c r="A2" s="6"/>
      <c r="B2" s="6"/>
      <c r="C2" s="91"/>
      <c r="D2" s="91"/>
      <c r="E2" s="6"/>
      <c r="F2" s="90"/>
      <c r="G2" s="90"/>
      <c r="H2" s="6"/>
      <c r="I2" s="6"/>
      <c r="J2" s="6"/>
      <c r="K2" s="6"/>
      <c r="L2" s="6"/>
      <c r="M2" s="6"/>
      <c r="N2" s="6"/>
      <c r="O2" s="6"/>
      <c r="P2" s="92"/>
      <c r="Q2" s="93"/>
      <c r="R2" s="93"/>
      <c r="S2" s="93"/>
      <c r="T2" s="93"/>
      <c r="U2" s="6"/>
      <c r="V2" s="6"/>
      <c r="W2" s="6"/>
      <c r="X2" s="6"/>
      <c r="Y2" s="6"/>
      <c r="Z2" s="6"/>
    </row>
    <row r="3" spans="1:26" ht="11.25" customHeight="1">
      <c r="A3" s="6"/>
      <c r="B3" s="6"/>
      <c r="C3" s="33" t="e">
        <f>TEXT(#REF!,0)&amp;" - Applicable Margin - "&amp;TEXT(#REF!,"mm/dd/yyyy")</f>
        <v>#REF!</v>
      </c>
      <c r="D3" s="6"/>
      <c r="E3" s="6"/>
      <c r="F3" s="90"/>
      <c r="G3" s="6"/>
      <c r="H3" s="6"/>
      <c r="I3" s="6"/>
      <c r="J3" s="6"/>
      <c r="K3" s="6"/>
      <c r="L3" s="6"/>
      <c r="M3" s="6"/>
      <c r="N3" s="6"/>
      <c r="O3" s="6"/>
      <c r="P3" s="92"/>
      <c r="Q3" s="93"/>
      <c r="R3" s="93"/>
      <c r="S3" s="93"/>
      <c r="T3" s="93"/>
      <c r="U3" s="6"/>
      <c r="V3" s="6"/>
      <c r="W3" s="6"/>
      <c r="X3" s="6"/>
      <c r="Y3" s="6"/>
      <c r="Z3" s="6"/>
    </row>
    <row r="4" spans="1:26" ht="11.25" customHeight="1">
      <c r="A4" s="6"/>
      <c r="B4" s="6"/>
      <c r="C4" s="6"/>
      <c r="D4" s="6"/>
      <c r="E4" s="6"/>
      <c r="F4" s="90"/>
      <c r="G4" s="6"/>
      <c r="H4" s="6"/>
      <c r="I4" s="6"/>
      <c r="J4" s="6"/>
      <c r="K4" s="6"/>
      <c r="L4" s="6"/>
      <c r="M4" s="6"/>
      <c r="N4" s="6"/>
      <c r="O4" s="6"/>
      <c r="P4" s="92"/>
      <c r="Q4" s="93"/>
      <c r="R4" s="93"/>
      <c r="S4" s="93"/>
      <c r="T4" s="93"/>
      <c r="U4" s="6"/>
      <c r="V4" s="6"/>
      <c r="W4" s="6"/>
      <c r="X4" s="6"/>
      <c r="Y4" s="6"/>
      <c r="Z4" s="6"/>
    </row>
    <row r="5" spans="1:26" ht="11.25" customHeight="1">
      <c r="A5" s="6"/>
      <c r="B5" s="6"/>
      <c r="C5" s="6" t="s">
        <v>5</v>
      </c>
      <c r="D5" s="94" t="e">
        <f>#REF!</f>
        <v>#REF!</v>
      </c>
      <c r="E5" s="6"/>
      <c r="F5" s="90"/>
      <c r="G5" s="6"/>
      <c r="H5" s="6"/>
      <c r="I5" s="6"/>
      <c r="J5" s="6"/>
      <c r="K5" s="6"/>
      <c r="L5" s="6"/>
      <c r="M5" s="6"/>
      <c r="N5" s="6"/>
      <c r="O5" s="6"/>
      <c r="P5" s="92"/>
      <c r="Q5" s="93"/>
      <c r="R5" s="93"/>
      <c r="S5" s="93"/>
      <c r="T5" s="93"/>
      <c r="U5" s="6"/>
      <c r="V5" s="6"/>
      <c r="W5" s="6"/>
      <c r="X5" s="6"/>
      <c r="Y5" s="6"/>
      <c r="Z5" s="6"/>
    </row>
    <row r="6" spans="1:26" ht="11.25" customHeight="1">
      <c r="A6" s="6"/>
      <c r="B6" s="6"/>
      <c r="C6" s="6" t="s">
        <v>11</v>
      </c>
      <c r="D6" s="94" t="e">
        <f>#REF!</f>
        <v>#REF!</v>
      </c>
      <c r="E6" s="6"/>
      <c r="F6" s="90"/>
      <c r="G6" s="6"/>
      <c r="H6" s="6"/>
      <c r="I6" s="6"/>
      <c r="J6" s="6"/>
      <c r="K6" s="6"/>
      <c r="L6" s="6"/>
      <c r="M6" s="6"/>
      <c r="N6" s="6"/>
      <c r="O6" s="6"/>
      <c r="P6" s="92"/>
      <c r="Q6" s="93"/>
      <c r="R6" s="93"/>
      <c r="S6" s="93"/>
      <c r="T6" s="93"/>
      <c r="U6" s="6"/>
      <c r="V6" s="6"/>
      <c r="W6" s="6"/>
      <c r="X6" s="6"/>
      <c r="Y6" s="6"/>
      <c r="Z6" s="6"/>
    </row>
    <row r="7" spans="1:26" ht="11.25" customHeight="1">
      <c r="A7" s="6"/>
      <c r="B7" s="6"/>
      <c r="C7" s="6" t="s">
        <v>12</v>
      </c>
      <c r="D7" s="95" t="e">
        <f>DATEDIF(D5,D6,"m")</f>
        <v>#REF!</v>
      </c>
      <c r="E7" s="6"/>
      <c r="F7" s="90"/>
      <c r="G7" s="6"/>
      <c r="H7" s="6"/>
      <c r="I7" s="6"/>
      <c r="J7" s="6"/>
      <c r="K7" s="6"/>
      <c r="L7" s="6"/>
      <c r="M7" s="6"/>
      <c r="N7" s="6"/>
      <c r="O7" s="6"/>
      <c r="P7" s="92"/>
      <c r="Q7" s="93"/>
      <c r="R7" s="93"/>
      <c r="S7" s="93"/>
      <c r="T7" s="93"/>
      <c r="U7" s="6"/>
      <c r="V7" s="6"/>
      <c r="W7" s="6"/>
      <c r="X7" s="6"/>
      <c r="Y7" s="6"/>
      <c r="Z7" s="6"/>
    </row>
    <row r="8" spans="1:26" ht="11.25" customHeight="1">
      <c r="A8" s="6"/>
      <c r="B8" s="6"/>
      <c r="C8" s="6"/>
      <c r="D8" s="6"/>
      <c r="E8" s="6"/>
      <c r="F8" s="90"/>
      <c r="G8" s="6"/>
      <c r="H8" s="6"/>
      <c r="I8" s="6"/>
      <c r="J8" s="6"/>
      <c r="K8" s="6"/>
      <c r="L8" s="6"/>
      <c r="M8" s="6"/>
      <c r="N8" s="6"/>
      <c r="O8" s="6"/>
      <c r="P8" s="92"/>
      <c r="Q8" s="93"/>
      <c r="R8" s="93"/>
      <c r="S8" s="93"/>
      <c r="T8" s="93"/>
      <c r="U8" s="6"/>
      <c r="V8" s="6"/>
      <c r="W8" s="6"/>
      <c r="X8" s="6"/>
      <c r="Y8" s="6"/>
      <c r="Z8" s="6"/>
    </row>
    <row r="9" spans="1:26" ht="11.25" customHeight="1">
      <c r="A9" s="6"/>
      <c r="B9" s="6"/>
      <c r="C9" s="6" t="s">
        <v>13</v>
      </c>
      <c r="D9" s="96">
        <v>0</v>
      </c>
      <c r="E9" s="6"/>
      <c r="F9" s="90"/>
      <c r="G9" s="6"/>
      <c r="H9" s="6"/>
      <c r="I9" s="6"/>
      <c r="J9" s="6"/>
      <c r="K9" s="6"/>
      <c r="L9" s="6"/>
      <c r="M9" s="6"/>
      <c r="N9" s="6"/>
      <c r="O9" s="6"/>
      <c r="P9" s="92"/>
      <c r="Q9" s="93"/>
      <c r="R9" s="93"/>
      <c r="S9" s="93"/>
      <c r="T9" s="93"/>
      <c r="U9" s="6"/>
      <c r="V9" s="6"/>
      <c r="W9" s="6"/>
      <c r="X9" s="6"/>
      <c r="Y9" s="6"/>
      <c r="Z9" s="6"/>
    </row>
    <row r="10" spans="1:26" ht="11.25" customHeight="1">
      <c r="A10" s="6"/>
      <c r="B10" s="6"/>
      <c r="C10" s="6"/>
      <c r="D10" s="6"/>
      <c r="E10" s="6"/>
      <c r="F10" s="90"/>
      <c r="G10" s="6"/>
      <c r="H10" s="6"/>
      <c r="I10" s="6"/>
      <c r="J10" s="6"/>
      <c r="K10" s="6"/>
      <c r="L10" s="6"/>
      <c r="M10" s="6"/>
      <c r="N10" s="6"/>
      <c r="O10" s="6"/>
      <c r="P10" s="92"/>
      <c r="Q10" s="93"/>
      <c r="R10" s="93"/>
      <c r="S10" s="93"/>
      <c r="T10" s="93"/>
      <c r="U10" s="6"/>
      <c r="V10" s="6"/>
      <c r="W10" s="6"/>
      <c r="X10" s="6"/>
      <c r="Y10" s="6"/>
      <c r="Z10" s="6"/>
    </row>
    <row r="11" spans="1:26" ht="11.25" customHeight="1">
      <c r="A11" s="6"/>
      <c r="B11" s="6"/>
      <c r="C11" s="71" t="s">
        <v>14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92"/>
      <c r="Q11" s="93"/>
      <c r="R11" s="93"/>
      <c r="S11" s="93"/>
      <c r="T11" s="93"/>
      <c r="U11" s="6"/>
      <c r="V11" s="6"/>
      <c r="W11" s="6"/>
      <c r="X11" s="6"/>
      <c r="Y11" s="6"/>
      <c r="Z11" s="6"/>
    </row>
    <row r="12" spans="1:26" ht="11.25" customHeight="1">
      <c r="A12" s="6"/>
      <c r="B12" s="6"/>
      <c r="C12" s="6" t="s">
        <v>15</v>
      </c>
      <c r="D12" s="97" t="e">
        <f>#REF!/#REF!</f>
        <v>#REF!</v>
      </c>
      <c r="E12" s="6"/>
      <c r="F12" s="6"/>
      <c r="G12" s="6"/>
      <c r="H12" s="90"/>
      <c r="I12" s="90"/>
      <c r="J12" s="90"/>
      <c r="K12" s="95"/>
      <c r="L12" s="95"/>
      <c r="M12" s="90"/>
      <c r="N12" s="6"/>
      <c r="O12" s="72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1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1.25" customHeight="1">
      <c r="A14" s="6"/>
      <c r="B14" s="6"/>
      <c r="C14" s="6" t="s">
        <v>16</v>
      </c>
      <c r="D14" s="98">
        <v>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1.25" customHeight="1">
      <c r="A15" s="6"/>
      <c r="B15" s="6"/>
      <c r="C15" s="57" t="s">
        <v>17</v>
      </c>
      <c r="D15" s="99" t="e">
        <f>#REF!/#REF!</f>
        <v>#REF!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1.25" customHeight="1">
      <c r="A16" s="6"/>
      <c r="B16" s="6"/>
      <c r="C16" s="6" t="s">
        <v>18</v>
      </c>
      <c r="D16" s="97" t="e">
        <f>MIN(D14:D15)</f>
        <v>#REF!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6"/>
      <c r="B18" s="6"/>
      <c r="C18" s="6" t="s">
        <v>19</v>
      </c>
      <c r="D18" s="93" t="e">
        <f>IF(D7&gt;=36,"Yes","No")</f>
        <v>#REF!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75"/>
      <c r="B20" s="75"/>
      <c r="C20" s="75" t="s">
        <v>20</v>
      </c>
      <c r="D20" s="100" t="e">
        <f>IF(D18="Yes",0,MAX(D12,D16))</f>
        <v>#REF!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1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6"/>
      <c r="B22" s="6"/>
      <c r="C22" s="75" t="s">
        <v>21</v>
      </c>
      <c r="D22" s="100" t="e">
        <f>1-D20</f>
        <v>#REF!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6"/>
      <c r="B24" s="6"/>
      <c r="C24" s="101" t="s">
        <v>22</v>
      </c>
      <c r="D24" s="102" t="e">
        <f>MAX(((D20*Inputs!D6)+(D22*IF(SUM('PL BB Results'!#REF!)&gt;Inputs!D9,Inputs!D8,Inputs!D10))),D9)</f>
        <v>#REF!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1.25" customHeight="1">
      <c r="A27" s="6"/>
      <c r="B27" s="6"/>
      <c r="C27" s="6"/>
      <c r="D27" s="103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1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1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1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1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1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1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1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1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1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1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1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1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1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1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1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1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1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1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1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1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1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1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1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1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1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1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1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1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1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1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1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1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1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1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1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1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1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1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1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1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1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1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1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1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1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1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1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1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1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1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1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1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1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1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1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1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1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1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1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1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1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1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1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1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1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1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1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1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1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1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1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1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1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1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1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1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1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1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1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1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1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1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1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1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1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1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1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1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1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1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1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1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1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1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1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1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1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1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1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1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1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1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1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1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1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1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1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1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1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1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1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1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1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1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1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1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1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1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1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1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1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1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1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1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1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1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1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1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1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1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1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1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1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1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1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1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1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1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1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1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1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1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1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1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1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1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1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1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1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1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1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1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1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1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1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1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1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1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1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1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1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1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1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1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1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1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1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1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1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1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1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1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1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1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1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1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1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1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1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1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1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1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1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1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1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1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1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1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1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1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1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1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1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1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1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1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1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1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1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1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1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1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1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1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1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1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1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1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1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1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1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1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1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1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1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1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1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1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1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1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1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1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1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1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1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1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1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1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1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1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1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1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1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1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1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1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1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1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1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1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1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1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1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1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1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1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1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1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1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1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1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1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1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1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1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1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1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1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1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1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1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1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1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1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1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1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1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1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1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1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1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1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1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1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1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1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1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1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1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1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1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1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1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1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1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1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1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1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1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1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1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1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1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1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1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1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1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1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1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1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1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1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1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1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H4:H8">
    <cfRule type="cellIs" dxfId="21" priority="1" operator="lessThan">
      <formula>#REF!</formula>
    </cfRule>
  </conditionalFormatting>
  <pageMargins left="0.7" right="0.7" top="0.75" bottom="0.75" header="0" footer="0"/>
  <pageSetup scale="64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I14" sqref="I14"/>
    </sheetView>
  </sheetViews>
  <sheetFormatPr defaultColWidth="9" defaultRowHeight="14.4"/>
  <sheetData>
    <row r="1" spans="1:6" ht="31.2">
      <c r="A1" s="104" t="s">
        <v>23</v>
      </c>
      <c r="B1" s="104" t="s">
        <v>24</v>
      </c>
      <c r="C1" s="104" t="s">
        <v>25</v>
      </c>
      <c r="D1" s="104" t="s">
        <v>26</v>
      </c>
      <c r="E1" s="104" t="s">
        <v>27</v>
      </c>
      <c r="F1" s="104" t="s">
        <v>28</v>
      </c>
    </row>
    <row r="2" spans="1:6">
      <c r="A2" s="105" t="s">
        <v>29</v>
      </c>
      <c r="B2" s="105"/>
      <c r="C2" s="106"/>
      <c r="D2" s="107" t="s">
        <v>30</v>
      </c>
      <c r="E2" s="108">
        <v>15000000</v>
      </c>
      <c r="F2" s="108">
        <f t="shared" ref="F2:F16" si="0">E2*$J$4</f>
        <v>0</v>
      </c>
    </row>
    <row r="3" spans="1:6">
      <c r="A3" s="109" t="s">
        <v>31</v>
      </c>
      <c r="B3" s="110"/>
      <c r="C3" s="111"/>
      <c r="D3" s="107" t="s">
        <v>30</v>
      </c>
      <c r="E3" s="108">
        <v>20000000</v>
      </c>
      <c r="F3" s="108">
        <f t="shared" si="0"/>
        <v>0</v>
      </c>
    </row>
    <row r="4" spans="1:6">
      <c r="A4" s="109" t="s">
        <v>32</v>
      </c>
      <c r="B4" s="110"/>
      <c r="C4" s="111"/>
      <c r="D4" s="107" t="s">
        <v>30</v>
      </c>
      <c r="E4" s="108">
        <v>5000000</v>
      </c>
      <c r="F4" s="108">
        <f t="shared" si="0"/>
        <v>0</v>
      </c>
    </row>
    <row r="5" spans="1:6">
      <c r="A5" s="109" t="s">
        <v>33</v>
      </c>
      <c r="B5" s="110"/>
      <c r="C5" s="111"/>
      <c r="D5" s="107" t="s">
        <v>30</v>
      </c>
      <c r="E5" s="108">
        <v>5000000</v>
      </c>
      <c r="F5" s="108">
        <f t="shared" si="0"/>
        <v>0</v>
      </c>
    </row>
    <row r="6" spans="1:6">
      <c r="A6" s="109" t="s">
        <v>34</v>
      </c>
      <c r="B6" s="110"/>
      <c r="C6" s="111"/>
      <c r="D6" s="107" t="s">
        <v>30</v>
      </c>
      <c r="E6" s="108">
        <v>3000000</v>
      </c>
      <c r="F6" s="108">
        <f t="shared" si="0"/>
        <v>0</v>
      </c>
    </row>
    <row r="7" spans="1:6">
      <c r="A7" s="109" t="s">
        <v>35</v>
      </c>
      <c r="B7" s="110"/>
      <c r="C7" s="111"/>
      <c r="D7" s="107" t="s">
        <v>30</v>
      </c>
      <c r="E7" s="108">
        <v>4000000</v>
      </c>
      <c r="F7" s="108">
        <f t="shared" si="0"/>
        <v>0</v>
      </c>
    </row>
    <row r="8" spans="1:6">
      <c r="A8" s="109" t="s">
        <v>36</v>
      </c>
      <c r="B8" s="110"/>
      <c r="C8" s="111"/>
      <c r="D8" s="107" t="s">
        <v>30</v>
      </c>
      <c r="E8" s="108">
        <v>4000000</v>
      </c>
      <c r="F8" s="108">
        <f t="shared" si="0"/>
        <v>0</v>
      </c>
    </row>
    <row r="9" spans="1:6">
      <c r="A9" s="109" t="s">
        <v>37</v>
      </c>
      <c r="B9" s="110"/>
      <c r="C9" s="111"/>
      <c r="D9" s="107" t="s">
        <v>30</v>
      </c>
      <c r="E9" s="112">
        <v>5000000</v>
      </c>
      <c r="F9" s="108">
        <f t="shared" si="0"/>
        <v>0</v>
      </c>
    </row>
    <row r="10" spans="1:6">
      <c r="A10" s="109" t="s">
        <v>38</v>
      </c>
      <c r="B10" s="110"/>
      <c r="C10" s="111"/>
      <c r="D10" s="107" t="s">
        <v>39</v>
      </c>
      <c r="E10" s="112">
        <v>5000000</v>
      </c>
      <c r="F10" s="112">
        <f t="shared" si="0"/>
        <v>0</v>
      </c>
    </row>
    <row r="11" spans="1:6">
      <c r="A11" s="109" t="s">
        <v>40</v>
      </c>
      <c r="B11" s="110"/>
      <c r="C11" s="111"/>
      <c r="D11" s="107" t="s">
        <v>39</v>
      </c>
      <c r="E11" s="112">
        <v>0</v>
      </c>
      <c r="F11" s="112">
        <f t="shared" si="0"/>
        <v>0</v>
      </c>
    </row>
    <row r="12" spans="1:6">
      <c r="A12" s="109" t="s">
        <v>41</v>
      </c>
      <c r="B12" s="110"/>
      <c r="C12" s="111"/>
      <c r="D12" s="107" t="s">
        <v>39</v>
      </c>
      <c r="E12" s="112">
        <v>1500000</v>
      </c>
      <c r="F12" s="112">
        <f t="shared" si="0"/>
        <v>0</v>
      </c>
    </row>
    <row r="13" spans="1:6">
      <c r="A13" s="109" t="s">
        <v>42</v>
      </c>
      <c r="B13" s="110"/>
      <c r="C13" s="111"/>
      <c r="D13" s="107" t="s">
        <v>39</v>
      </c>
      <c r="E13" s="112">
        <v>8000000</v>
      </c>
      <c r="F13" s="112">
        <f t="shared" si="0"/>
        <v>0</v>
      </c>
    </row>
    <row r="14" spans="1:6">
      <c r="A14" s="109" t="s">
        <v>43</v>
      </c>
      <c r="B14" s="110"/>
      <c r="C14" s="111"/>
      <c r="D14" s="107" t="s">
        <v>39</v>
      </c>
      <c r="E14" s="108">
        <v>500000</v>
      </c>
      <c r="F14" s="112">
        <f t="shared" si="0"/>
        <v>0</v>
      </c>
    </row>
    <row r="15" spans="1:6">
      <c r="A15" s="109" t="s">
        <v>44</v>
      </c>
      <c r="B15" s="110"/>
      <c r="C15" s="111"/>
      <c r="D15" s="107" t="s">
        <v>39</v>
      </c>
      <c r="E15" s="108">
        <v>250000</v>
      </c>
      <c r="F15" s="112">
        <f t="shared" si="0"/>
        <v>0</v>
      </c>
    </row>
    <row r="16" spans="1:6">
      <c r="A16" s="109"/>
      <c r="B16" s="113"/>
      <c r="C16" s="113"/>
      <c r="D16" s="107" t="s">
        <v>45</v>
      </c>
      <c r="E16" s="77"/>
      <c r="F16" s="112">
        <f t="shared" si="0"/>
        <v>0</v>
      </c>
    </row>
  </sheetData>
  <conditionalFormatting sqref="A2:C2">
    <cfRule type="expression" dxfId="20" priority="187">
      <formula>IF(AND(#REF!=0,#REF!&lt;&gt;""),TRUE,FALSE)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Inputs!$C$19:$C$21</xm:f>
          </x14:formula1>
          <xm:sqref>D16 D2:D9 D10:D15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AS461"/>
  <sheetViews>
    <sheetView tabSelected="1" workbookViewId="0">
      <pane xSplit="1" topLeftCell="D1" activePane="topRight" state="frozen"/>
      <selection pane="topRight" activeCell="F3" sqref="F3"/>
    </sheetView>
  </sheetViews>
  <sheetFormatPr defaultColWidth="12.6640625" defaultRowHeight="15" customHeight="1"/>
  <cols>
    <col min="1" max="1" width="38.33203125" customWidth="1"/>
    <col min="2" max="2" width="30.33203125" customWidth="1"/>
    <col min="3" max="3" width="23.44140625" customWidth="1"/>
    <col min="4" max="4" width="33.6640625" customWidth="1"/>
    <col min="5" max="6" width="16.44140625" customWidth="1"/>
    <col min="7" max="8" width="10.33203125" customWidth="1"/>
    <col min="9" max="9" width="12.88671875" customWidth="1"/>
    <col min="10" max="10" width="10.33203125" customWidth="1"/>
    <col min="11" max="11" width="11.6640625" customWidth="1"/>
    <col min="12" max="14" width="10" customWidth="1"/>
    <col min="15" max="15" width="15.33203125" customWidth="1"/>
    <col min="16" max="26" width="12.21875" customWidth="1"/>
    <col min="27" max="27" width="13.77734375" customWidth="1"/>
    <col min="28" max="29" width="14.44140625" customWidth="1"/>
    <col min="30" max="30" width="11.44140625" customWidth="1"/>
    <col min="31" max="31" width="11.77734375" customWidth="1"/>
    <col min="32" max="32" width="12.33203125" customWidth="1"/>
    <col min="33" max="33" width="14.21875" customWidth="1"/>
    <col min="34" max="34" width="10.33203125" customWidth="1"/>
    <col min="35" max="36" width="12.21875" customWidth="1"/>
    <col min="37" max="37" width="11" customWidth="1"/>
    <col min="38" max="38" width="29.33203125" customWidth="1"/>
    <col min="39" max="39" width="12.44140625" customWidth="1"/>
    <col min="40" max="40" width="27.88671875" customWidth="1"/>
    <col min="41" max="42" width="12.44140625" customWidth="1"/>
    <col min="43" max="43" width="9.44140625" customWidth="1"/>
    <col min="44" max="44" width="4.44140625" customWidth="1"/>
    <col min="45" max="45" width="2" customWidth="1"/>
  </cols>
  <sheetData>
    <row r="1" spans="1:45" ht="35.25" customHeight="1">
      <c r="A1" s="80" t="s">
        <v>46</v>
      </c>
      <c r="B1" s="49" t="s">
        <v>47</v>
      </c>
      <c r="C1" s="64" t="s">
        <v>48</v>
      </c>
      <c r="D1" s="49" t="s">
        <v>49</v>
      </c>
      <c r="E1" s="49" t="s">
        <v>50</v>
      </c>
      <c r="F1" s="49" t="s">
        <v>51</v>
      </c>
      <c r="G1" s="65" t="s">
        <v>52</v>
      </c>
      <c r="H1" s="66" t="s">
        <v>53</v>
      </c>
      <c r="I1" s="67" t="s">
        <v>54</v>
      </c>
      <c r="J1" s="67" t="s">
        <v>55</v>
      </c>
      <c r="K1" s="64" t="s">
        <v>56</v>
      </c>
      <c r="L1" s="68" t="s">
        <v>57</v>
      </c>
      <c r="M1" s="68" t="s">
        <v>58</v>
      </c>
      <c r="N1" s="64" t="s">
        <v>59</v>
      </c>
      <c r="O1" s="49" t="s">
        <v>60</v>
      </c>
      <c r="P1" s="68" t="s">
        <v>61</v>
      </c>
      <c r="Q1" s="68" t="s">
        <v>62</v>
      </c>
      <c r="R1" s="68" t="s">
        <v>63</v>
      </c>
      <c r="S1" s="68" t="s">
        <v>64</v>
      </c>
      <c r="T1" s="68" t="s">
        <v>65</v>
      </c>
      <c r="U1" s="68" t="s">
        <v>66</v>
      </c>
      <c r="V1" s="68" t="s">
        <v>67</v>
      </c>
      <c r="W1" s="68" t="s">
        <v>68</v>
      </c>
      <c r="X1" s="68" t="s">
        <v>69</v>
      </c>
      <c r="Y1" s="68" t="s">
        <v>70</v>
      </c>
      <c r="Z1" s="68" t="s">
        <v>71</v>
      </c>
      <c r="AA1" s="68" t="s">
        <v>72</v>
      </c>
      <c r="AB1" s="68" t="s">
        <v>73</v>
      </c>
      <c r="AC1" s="68" t="s">
        <v>74</v>
      </c>
      <c r="AD1" s="68" t="s">
        <v>75</v>
      </c>
      <c r="AE1" s="68" t="s">
        <v>76</v>
      </c>
      <c r="AF1" s="68" t="s">
        <v>77</v>
      </c>
      <c r="AG1" s="68" t="s">
        <v>78</v>
      </c>
      <c r="AH1" s="68" t="s">
        <v>79</v>
      </c>
      <c r="AI1" s="68" t="s">
        <v>80</v>
      </c>
      <c r="AJ1" s="68" t="s">
        <v>81</v>
      </c>
      <c r="AK1" s="114" t="s">
        <v>82</v>
      </c>
      <c r="AL1" s="68" t="s">
        <v>83</v>
      </c>
      <c r="AM1" s="68" t="s">
        <v>84</v>
      </c>
      <c r="AN1" s="68" t="s">
        <v>85</v>
      </c>
      <c r="AO1" s="68" t="s">
        <v>86</v>
      </c>
      <c r="AP1" s="115" t="s">
        <v>87</v>
      </c>
      <c r="AQ1" s="68" t="s">
        <v>88</v>
      </c>
      <c r="AR1" s="116" t="s">
        <v>89</v>
      </c>
      <c r="AS1" s="75"/>
    </row>
    <row r="2" spans="1:45" ht="11.25" customHeight="1">
      <c r="A2" s="117" t="s">
        <v>90</v>
      </c>
      <c r="B2" s="110" t="s">
        <v>91</v>
      </c>
      <c r="C2" s="110" t="s">
        <v>92</v>
      </c>
      <c r="D2" s="118" t="s">
        <v>93</v>
      </c>
      <c r="E2" s="119">
        <v>44917</v>
      </c>
      <c r="F2" s="119">
        <v>48570</v>
      </c>
      <c r="G2" s="50">
        <v>4987500</v>
      </c>
      <c r="H2" s="120">
        <v>4893665.83</v>
      </c>
      <c r="I2" s="120">
        <v>4912687.5</v>
      </c>
      <c r="J2" s="120"/>
      <c r="K2" s="27"/>
      <c r="L2" s="27">
        <v>6.5000000000000002E-2</v>
      </c>
      <c r="M2" s="27">
        <f t="shared" ref="M2:M4" si="0">MAX(4.62356,1)/100</f>
        <v>4.6235600000000002E-2</v>
      </c>
      <c r="N2" s="27"/>
      <c r="O2" s="14" t="s">
        <v>94</v>
      </c>
      <c r="P2" s="121" t="s">
        <v>95</v>
      </c>
      <c r="Q2" s="121" t="s">
        <v>96</v>
      </c>
      <c r="R2" s="119"/>
      <c r="S2" s="121"/>
      <c r="T2" s="109" t="s">
        <v>97</v>
      </c>
      <c r="U2" s="109" t="s">
        <v>96</v>
      </c>
      <c r="V2" s="109" t="s">
        <v>96</v>
      </c>
      <c r="W2" s="109" t="s">
        <v>96</v>
      </c>
      <c r="X2" s="109" t="s">
        <v>96</v>
      </c>
      <c r="Y2" s="109" t="s">
        <v>96</v>
      </c>
      <c r="Z2" s="109" t="s">
        <v>96</v>
      </c>
      <c r="AA2" s="109" t="s">
        <v>96</v>
      </c>
      <c r="AB2" s="9">
        <v>117.6</v>
      </c>
      <c r="AC2" s="9">
        <v>26.5</v>
      </c>
      <c r="AD2" s="122">
        <v>0</v>
      </c>
      <c r="AE2" s="9">
        <f t="shared" ref="AE2:AE4" si="1">26.5*19.46</f>
        <v>515.69000000000005</v>
      </c>
      <c r="AF2" s="123">
        <v>4.92</v>
      </c>
      <c r="AG2" s="123">
        <v>4.92</v>
      </c>
      <c r="AH2" s="123"/>
      <c r="AI2" s="123"/>
      <c r="AJ2" s="124">
        <v>0.252</v>
      </c>
      <c r="AK2" s="125"/>
      <c r="AL2" s="126"/>
      <c r="AM2" s="127"/>
      <c r="AN2" s="126"/>
      <c r="AO2" s="128"/>
      <c r="AP2" s="129"/>
      <c r="AQ2" s="126"/>
      <c r="AR2" s="90" t="s">
        <v>7</v>
      </c>
      <c r="AS2" s="90"/>
    </row>
    <row r="3" spans="1:45" ht="11.25" customHeight="1">
      <c r="A3" s="117" t="s">
        <v>98</v>
      </c>
      <c r="B3" s="110" t="s">
        <v>91</v>
      </c>
      <c r="C3" s="110" t="s">
        <v>92</v>
      </c>
      <c r="D3" s="118" t="s">
        <v>93</v>
      </c>
      <c r="E3" s="119">
        <v>44917</v>
      </c>
      <c r="F3" s="119">
        <v>47109</v>
      </c>
      <c r="G3" s="50">
        <v>3478875.88</v>
      </c>
      <c r="H3" s="50">
        <v>852609.97</v>
      </c>
      <c r="I3" s="120">
        <v>800426.83</v>
      </c>
      <c r="J3" s="120"/>
      <c r="K3" s="27"/>
      <c r="L3" s="27">
        <v>6.5000000000000002E-2</v>
      </c>
      <c r="M3" s="27">
        <f t="shared" si="0"/>
        <v>4.6235600000000002E-2</v>
      </c>
      <c r="N3" s="27"/>
      <c r="O3" s="14" t="s">
        <v>94</v>
      </c>
      <c r="P3" s="121" t="s">
        <v>95</v>
      </c>
      <c r="Q3" s="121" t="s">
        <v>96</v>
      </c>
      <c r="R3" s="119"/>
      <c r="S3" s="121"/>
      <c r="T3" s="109" t="s">
        <v>97</v>
      </c>
      <c r="U3" s="109" t="s">
        <v>96</v>
      </c>
      <c r="V3" s="109" t="s">
        <v>96</v>
      </c>
      <c r="W3" s="109" t="s">
        <v>96</v>
      </c>
      <c r="X3" s="109" t="s">
        <v>96</v>
      </c>
      <c r="Y3" s="109" t="s">
        <v>96</v>
      </c>
      <c r="Z3" s="109" t="s">
        <v>96</v>
      </c>
      <c r="AA3" s="109" t="s">
        <v>96</v>
      </c>
      <c r="AB3" s="9">
        <v>117.6</v>
      </c>
      <c r="AC3" s="9">
        <v>26.5</v>
      </c>
      <c r="AD3" s="130">
        <v>0</v>
      </c>
      <c r="AE3" s="9">
        <f t="shared" si="1"/>
        <v>515.69000000000005</v>
      </c>
      <c r="AF3" s="123">
        <v>4.92</v>
      </c>
      <c r="AG3" s="123">
        <v>4.92</v>
      </c>
      <c r="AH3" s="123"/>
      <c r="AI3" s="123"/>
      <c r="AJ3" s="124">
        <v>0.252</v>
      </c>
      <c r="AK3" s="125"/>
      <c r="AL3" s="126"/>
      <c r="AM3" s="127"/>
      <c r="AN3" s="126"/>
      <c r="AO3" s="128"/>
      <c r="AP3" s="129"/>
      <c r="AQ3" s="126"/>
      <c r="AR3" s="90" t="s">
        <v>7</v>
      </c>
      <c r="AS3" s="90"/>
    </row>
    <row r="4" spans="1:45" ht="11.25" customHeight="1">
      <c r="A4" s="117" t="s">
        <v>99</v>
      </c>
      <c r="B4" s="110" t="s">
        <v>91</v>
      </c>
      <c r="C4" s="110" t="s">
        <v>92</v>
      </c>
      <c r="D4" s="118" t="s">
        <v>93</v>
      </c>
      <c r="E4" s="119">
        <v>44917</v>
      </c>
      <c r="F4" s="119">
        <v>47109</v>
      </c>
      <c r="G4" s="50">
        <v>1265822.79</v>
      </c>
      <c r="H4" s="50">
        <v>0</v>
      </c>
      <c r="I4" s="120">
        <v>-18987.34</v>
      </c>
      <c r="J4" s="120"/>
      <c r="K4" s="27"/>
      <c r="L4" s="27">
        <v>6.5000000000000002E-2</v>
      </c>
      <c r="M4" s="27">
        <f t="shared" si="0"/>
        <v>4.6235600000000002E-2</v>
      </c>
      <c r="N4" s="27"/>
      <c r="O4" s="14" t="s">
        <v>94</v>
      </c>
      <c r="P4" s="121" t="s">
        <v>95</v>
      </c>
      <c r="Q4" s="121" t="s">
        <v>96</v>
      </c>
      <c r="R4" s="119"/>
      <c r="S4" s="121"/>
      <c r="T4" s="109" t="s">
        <v>97</v>
      </c>
      <c r="U4" s="109" t="s">
        <v>96</v>
      </c>
      <c r="V4" s="109" t="s">
        <v>96</v>
      </c>
      <c r="W4" s="109" t="s">
        <v>96</v>
      </c>
      <c r="X4" s="109" t="s">
        <v>96</v>
      </c>
      <c r="Y4" s="109" t="s">
        <v>96</v>
      </c>
      <c r="Z4" s="109" t="s">
        <v>96</v>
      </c>
      <c r="AA4" s="109" t="s">
        <v>96</v>
      </c>
      <c r="AB4" s="9">
        <v>117.6</v>
      </c>
      <c r="AC4" s="9">
        <v>26.5</v>
      </c>
      <c r="AD4" s="130">
        <v>0</v>
      </c>
      <c r="AE4" s="9">
        <f t="shared" si="1"/>
        <v>515.69000000000005</v>
      </c>
      <c r="AF4" s="123">
        <v>4.92</v>
      </c>
      <c r="AG4" s="123">
        <v>4.92</v>
      </c>
      <c r="AH4" s="123"/>
      <c r="AI4" s="123"/>
      <c r="AJ4" s="124">
        <v>0.252</v>
      </c>
      <c r="AK4" s="125"/>
      <c r="AL4" s="126"/>
      <c r="AM4" s="127"/>
      <c r="AN4" s="126"/>
      <c r="AO4" s="128"/>
      <c r="AP4" s="129"/>
      <c r="AQ4" s="126"/>
      <c r="AR4" s="90" t="s">
        <v>7</v>
      </c>
      <c r="AS4" s="90"/>
    </row>
    <row r="5" spans="1:45" ht="11.25" customHeight="1">
      <c r="A5" s="117" t="s">
        <v>100</v>
      </c>
      <c r="B5" s="110" t="s">
        <v>101</v>
      </c>
      <c r="C5" s="110" t="s">
        <v>202</v>
      </c>
      <c r="D5" s="118" t="s">
        <v>102</v>
      </c>
      <c r="E5" s="119">
        <v>44924</v>
      </c>
      <c r="F5" s="119">
        <v>47128</v>
      </c>
      <c r="G5" s="50">
        <v>3500000</v>
      </c>
      <c r="H5" s="120">
        <v>3450173.17</v>
      </c>
      <c r="I5" s="120">
        <v>3412500</v>
      </c>
      <c r="J5" s="120"/>
      <c r="K5" s="27"/>
      <c r="L5" s="27">
        <v>6.25E-2</v>
      </c>
      <c r="M5" s="27">
        <f t="shared" ref="M5:M7" si="2">MAX(4.65554,1)/100</f>
        <v>4.6555400000000004E-2</v>
      </c>
      <c r="N5" s="27"/>
      <c r="O5" s="14" t="s">
        <v>94</v>
      </c>
      <c r="P5" s="121" t="s">
        <v>95</v>
      </c>
      <c r="Q5" s="121" t="s">
        <v>96</v>
      </c>
      <c r="R5" s="119"/>
      <c r="S5" s="121"/>
      <c r="T5" s="109" t="s">
        <v>97</v>
      </c>
      <c r="U5" s="109" t="s">
        <v>96</v>
      </c>
      <c r="V5" s="109" t="s">
        <v>96</v>
      </c>
      <c r="W5" s="109" t="s">
        <v>96</v>
      </c>
      <c r="X5" s="109" t="s">
        <v>96</v>
      </c>
      <c r="Y5" s="109" t="s">
        <v>96</v>
      </c>
      <c r="Z5" s="109" t="s">
        <v>96</v>
      </c>
      <c r="AA5" s="109" t="s">
        <v>96</v>
      </c>
      <c r="AB5" s="9">
        <v>33.299999999999997</v>
      </c>
      <c r="AC5" s="9">
        <v>12</v>
      </c>
      <c r="AD5" s="130">
        <v>0</v>
      </c>
      <c r="AE5" s="9">
        <v>208.7</v>
      </c>
      <c r="AF5" s="123">
        <v>4.17</v>
      </c>
      <c r="AG5" s="123">
        <v>4.17</v>
      </c>
      <c r="AH5" s="123"/>
      <c r="AI5" s="123"/>
      <c r="AJ5" s="124">
        <v>0.24</v>
      </c>
      <c r="AK5" s="125"/>
      <c r="AL5" s="126"/>
      <c r="AM5" s="127"/>
      <c r="AN5" s="126"/>
      <c r="AO5" s="128"/>
      <c r="AP5" s="129"/>
      <c r="AQ5" s="126"/>
      <c r="AR5" s="90" t="s">
        <v>7</v>
      </c>
      <c r="AS5" s="90"/>
    </row>
    <row r="6" spans="1:45" ht="11.25" customHeight="1">
      <c r="A6" s="117" t="s">
        <v>103</v>
      </c>
      <c r="B6" s="110" t="s">
        <v>101</v>
      </c>
      <c r="C6" s="110" t="s">
        <v>202</v>
      </c>
      <c r="D6" s="118" t="s">
        <v>102</v>
      </c>
      <c r="E6" s="119">
        <v>44924</v>
      </c>
      <c r="F6" s="119">
        <v>47128</v>
      </c>
      <c r="G6" s="50">
        <v>2625000</v>
      </c>
      <c r="H6" s="50">
        <v>0</v>
      </c>
      <c r="I6" s="120">
        <v>-65625</v>
      </c>
      <c r="J6" s="120"/>
      <c r="K6" s="27"/>
      <c r="L6" s="27">
        <v>6.25E-2</v>
      </c>
      <c r="M6" s="27">
        <f t="shared" si="2"/>
        <v>4.6555400000000004E-2</v>
      </c>
      <c r="N6" s="27"/>
      <c r="O6" s="14" t="s">
        <v>94</v>
      </c>
      <c r="P6" s="121" t="s">
        <v>95</v>
      </c>
      <c r="Q6" s="121" t="s">
        <v>96</v>
      </c>
      <c r="R6" s="119"/>
      <c r="S6" s="121"/>
      <c r="T6" s="109" t="s">
        <v>97</v>
      </c>
      <c r="U6" s="109" t="s">
        <v>96</v>
      </c>
      <c r="V6" s="109" t="s">
        <v>96</v>
      </c>
      <c r="W6" s="109" t="s">
        <v>96</v>
      </c>
      <c r="X6" s="109" t="s">
        <v>96</v>
      </c>
      <c r="Y6" s="109" t="s">
        <v>96</v>
      </c>
      <c r="Z6" s="109" t="s">
        <v>96</v>
      </c>
      <c r="AA6" s="109" t="s">
        <v>96</v>
      </c>
      <c r="AB6" s="9">
        <v>33.299999999999997</v>
      </c>
      <c r="AC6" s="9">
        <v>12</v>
      </c>
      <c r="AD6" s="131">
        <v>0</v>
      </c>
      <c r="AE6" s="9">
        <v>208.7</v>
      </c>
      <c r="AF6" s="123">
        <v>4.17</v>
      </c>
      <c r="AG6" s="123">
        <v>4.17</v>
      </c>
      <c r="AH6" s="123"/>
      <c r="AI6" s="69"/>
      <c r="AJ6" s="124">
        <v>0.24</v>
      </c>
      <c r="AK6" s="125"/>
      <c r="AL6" s="126"/>
      <c r="AM6" s="127"/>
      <c r="AN6" s="126"/>
      <c r="AO6" s="128"/>
      <c r="AP6" s="129"/>
      <c r="AQ6" s="126"/>
      <c r="AR6" s="90" t="s">
        <v>7</v>
      </c>
      <c r="AS6" s="90"/>
    </row>
    <row r="7" spans="1:45" ht="11.25" customHeight="1">
      <c r="A7" s="117" t="s">
        <v>104</v>
      </c>
      <c r="B7" s="110" t="s">
        <v>101</v>
      </c>
      <c r="C7" s="110" t="s">
        <v>202</v>
      </c>
      <c r="D7" s="118" t="s">
        <v>102</v>
      </c>
      <c r="E7" s="119">
        <v>44924</v>
      </c>
      <c r="F7" s="119">
        <v>47128</v>
      </c>
      <c r="G7" s="50">
        <v>787500</v>
      </c>
      <c r="H7" s="50">
        <v>0</v>
      </c>
      <c r="I7" s="120">
        <v>-19687.5</v>
      </c>
      <c r="J7" s="120"/>
      <c r="K7" s="27"/>
      <c r="L7" s="27">
        <v>6.25E-2</v>
      </c>
      <c r="M7" s="27">
        <f t="shared" si="2"/>
        <v>4.6555400000000004E-2</v>
      </c>
      <c r="N7" s="27"/>
      <c r="O7" s="14" t="s">
        <v>94</v>
      </c>
      <c r="P7" s="121" t="s">
        <v>95</v>
      </c>
      <c r="Q7" s="121" t="s">
        <v>96</v>
      </c>
      <c r="R7" s="119"/>
      <c r="S7" s="121"/>
      <c r="T7" s="109" t="s">
        <v>97</v>
      </c>
      <c r="U7" s="109" t="s">
        <v>96</v>
      </c>
      <c r="V7" s="109" t="s">
        <v>96</v>
      </c>
      <c r="W7" s="109" t="s">
        <v>96</v>
      </c>
      <c r="X7" s="109" t="s">
        <v>96</v>
      </c>
      <c r="Y7" s="109" t="s">
        <v>96</v>
      </c>
      <c r="Z7" s="109" t="s">
        <v>96</v>
      </c>
      <c r="AA7" s="109" t="s">
        <v>96</v>
      </c>
      <c r="AB7" s="9">
        <v>33.299999999999997</v>
      </c>
      <c r="AC7" s="9">
        <v>12</v>
      </c>
      <c r="AD7" s="130">
        <v>7.5</v>
      </c>
      <c r="AE7" s="9">
        <v>208.7</v>
      </c>
      <c r="AF7" s="123">
        <v>4.17</v>
      </c>
      <c r="AG7" s="123">
        <v>4.17</v>
      </c>
      <c r="AH7" s="123"/>
      <c r="AI7" s="123"/>
      <c r="AJ7" s="124">
        <v>0.24</v>
      </c>
      <c r="AK7" s="125"/>
      <c r="AL7" s="126"/>
      <c r="AM7" s="127"/>
      <c r="AN7" s="126"/>
      <c r="AO7" s="128"/>
      <c r="AP7" s="129"/>
      <c r="AQ7" s="126"/>
      <c r="AR7" s="90" t="s">
        <v>7</v>
      </c>
      <c r="AS7" s="90"/>
    </row>
    <row r="8" spans="1:45" ht="11.25" customHeight="1">
      <c r="A8" s="117" t="s">
        <v>105</v>
      </c>
      <c r="B8" s="110" t="s">
        <v>106</v>
      </c>
      <c r="C8" s="110" t="s">
        <v>92</v>
      </c>
      <c r="D8" s="118" t="s">
        <v>107</v>
      </c>
      <c r="E8" s="119">
        <v>44923</v>
      </c>
      <c r="F8" s="119">
        <v>47115</v>
      </c>
      <c r="G8" s="50">
        <v>5000000</v>
      </c>
      <c r="H8" s="50">
        <v>4905656.93</v>
      </c>
      <c r="I8" s="120">
        <v>4899999</v>
      </c>
      <c r="J8" s="120"/>
      <c r="K8" s="27"/>
      <c r="L8" s="27">
        <v>6.7500000000000004E-2</v>
      </c>
      <c r="M8" s="27">
        <f t="shared" ref="M8:M10" si="3">MAX(4.62356,1)/100</f>
        <v>4.6235600000000002E-2</v>
      </c>
      <c r="N8" s="27"/>
      <c r="O8" s="14" t="s">
        <v>94</v>
      </c>
      <c r="P8" s="121" t="s">
        <v>95</v>
      </c>
      <c r="Q8" s="121" t="s">
        <v>96</v>
      </c>
      <c r="R8" s="119"/>
      <c r="S8" s="121"/>
      <c r="T8" s="109" t="s">
        <v>97</v>
      </c>
      <c r="U8" s="109" t="s">
        <v>96</v>
      </c>
      <c r="V8" s="109" t="s">
        <v>96</v>
      </c>
      <c r="W8" s="109" t="s">
        <v>96</v>
      </c>
      <c r="X8" s="109" t="s">
        <v>96</v>
      </c>
      <c r="Y8" s="109" t="s">
        <v>96</v>
      </c>
      <c r="Z8" s="109" t="s">
        <v>96</v>
      </c>
      <c r="AA8" s="109" t="s">
        <v>96</v>
      </c>
      <c r="AB8" s="9">
        <v>218.7</v>
      </c>
      <c r="AC8" s="9">
        <v>37</v>
      </c>
      <c r="AD8" s="130">
        <v>0</v>
      </c>
      <c r="AE8" s="9">
        <v>544</v>
      </c>
      <c r="AF8" s="123">
        <v>4.2699999999999996</v>
      </c>
      <c r="AG8" s="123">
        <v>4.2699999999999996</v>
      </c>
      <c r="AH8" s="123"/>
      <c r="AI8" s="123"/>
      <c r="AJ8" s="124">
        <v>0.25</v>
      </c>
      <c r="AK8" s="125"/>
      <c r="AL8" s="126"/>
      <c r="AM8" s="127"/>
      <c r="AN8" s="126"/>
      <c r="AO8" s="128"/>
      <c r="AP8" s="129"/>
      <c r="AQ8" s="126"/>
      <c r="AR8" s="90" t="s">
        <v>7</v>
      </c>
      <c r="AS8" s="90"/>
    </row>
    <row r="9" spans="1:45" ht="11.25" customHeight="1">
      <c r="A9" s="117" t="s">
        <v>108</v>
      </c>
      <c r="B9" s="110" t="s">
        <v>106</v>
      </c>
      <c r="C9" s="110" t="s">
        <v>92</v>
      </c>
      <c r="D9" s="118" t="s">
        <v>107</v>
      </c>
      <c r="E9" s="119">
        <v>44923</v>
      </c>
      <c r="F9" s="119">
        <v>47115</v>
      </c>
      <c r="G9" s="50">
        <v>2631578.9500000002</v>
      </c>
      <c r="H9" s="50">
        <v>873684.21</v>
      </c>
      <c r="I9" s="120">
        <v>821052.32</v>
      </c>
      <c r="J9" s="120"/>
      <c r="K9" s="27"/>
      <c r="L9" s="27">
        <v>6.7500000000000004E-2</v>
      </c>
      <c r="M9" s="27">
        <f t="shared" si="3"/>
        <v>4.6235600000000002E-2</v>
      </c>
      <c r="N9" s="27"/>
      <c r="O9" s="14" t="s">
        <v>94</v>
      </c>
      <c r="P9" s="121" t="s">
        <v>95</v>
      </c>
      <c r="Q9" s="121" t="s">
        <v>96</v>
      </c>
      <c r="R9" s="119"/>
      <c r="S9" s="121"/>
      <c r="T9" s="109" t="s">
        <v>97</v>
      </c>
      <c r="U9" s="109" t="s">
        <v>96</v>
      </c>
      <c r="V9" s="109" t="s">
        <v>96</v>
      </c>
      <c r="W9" s="109" t="s">
        <v>96</v>
      </c>
      <c r="X9" s="109" t="s">
        <v>96</v>
      </c>
      <c r="Y9" s="109" t="s">
        <v>96</v>
      </c>
      <c r="Z9" s="109" t="s">
        <v>96</v>
      </c>
      <c r="AA9" s="109" t="s">
        <v>96</v>
      </c>
      <c r="AB9" s="9">
        <v>218.7</v>
      </c>
      <c r="AC9" s="9">
        <v>37</v>
      </c>
      <c r="AD9" s="130">
        <v>0</v>
      </c>
      <c r="AE9" s="9">
        <v>544</v>
      </c>
      <c r="AF9" s="123">
        <v>4.2699999999999996</v>
      </c>
      <c r="AG9" s="123">
        <v>4.2699999999999996</v>
      </c>
      <c r="AH9" s="123"/>
      <c r="AI9" s="123"/>
      <c r="AJ9" s="124">
        <v>0.25</v>
      </c>
      <c r="AK9" s="125"/>
      <c r="AL9" s="126"/>
      <c r="AM9" s="127"/>
      <c r="AN9" s="126"/>
      <c r="AO9" s="128"/>
      <c r="AP9" s="129"/>
      <c r="AQ9" s="126"/>
      <c r="AR9" s="90" t="s">
        <v>7</v>
      </c>
      <c r="AS9" s="90"/>
    </row>
    <row r="10" spans="1:45" ht="11.25" customHeight="1">
      <c r="A10" s="117" t="s">
        <v>109</v>
      </c>
      <c r="B10" s="110" t="s">
        <v>106</v>
      </c>
      <c r="C10" s="110" t="s">
        <v>92</v>
      </c>
      <c r="D10" s="118" t="s">
        <v>107</v>
      </c>
      <c r="E10" s="119">
        <v>44923</v>
      </c>
      <c r="F10" s="119">
        <v>47115</v>
      </c>
      <c r="G10" s="50">
        <v>1052631.58</v>
      </c>
      <c r="H10" s="50">
        <v>78947.37</v>
      </c>
      <c r="I10" s="120">
        <v>57894.91</v>
      </c>
      <c r="J10" s="120"/>
      <c r="K10" s="27"/>
      <c r="L10" s="27">
        <v>6.7500000000000004E-2</v>
      </c>
      <c r="M10" s="27">
        <f t="shared" si="3"/>
        <v>4.6235600000000002E-2</v>
      </c>
      <c r="N10" s="27"/>
      <c r="O10" s="14" t="s">
        <v>94</v>
      </c>
      <c r="P10" s="121" t="s">
        <v>95</v>
      </c>
      <c r="Q10" s="121" t="s">
        <v>96</v>
      </c>
      <c r="R10" s="119"/>
      <c r="S10" s="121"/>
      <c r="T10" s="109" t="s">
        <v>97</v>
      </c>
      <c r="U10" s="109" t="s">
        <v>96</v>
      </c>
      <c r="V10" s="109" t="s">
        <v>96</v>
      </c>
      <c r="W10" s="109" t="s">
        <v>96</v>
      </c>
      <c r="X10" s="109" t="s">
        <v>96</v>
      </c>
      <c r="Y10" s="109" t="s">
        <v>96</v>
      </c>
      <c r="Z10" s="109" t="s">
        <v>96</v>
      </c>
      <c r="AA10" s="109" t="s">
        <v>96</v>
      </c>
      <c r="AB10" s="9">
        <v>218.7</v>
      </c>
      <c r="AC10" s="9">
        <v>37</v>
      </c>
      <c r="AD10" s="130">
        <v>20</v>
      </c>
      <c r="AE10" s="9">
        <v>544</v>
      </c>
      <c r="AF10" s="123">
        <v>4.2699999999999996</v>
      </c>
      <c r="AG10" s="123">
        <v>4.2699999999999996</v>
      </c>
      <c r="AH10" s="123"/>
      <c r="AI10" s="123"/>
      <c r="AJ10" s="124">
        <v>0.25</v>
      </c>
      <c r="AK10" s="125"/>
      <c r="AL10" s="126"/>
      <c r="AM10" s="127"/>
      <c r="AN10" s="126"/>
      <c r="AO10" s="128"/>
      <c r="AP10" s="129"/>
      <c r="AQ10" s="126"/>
      <c r="AR10" s="90" t="s">
        <v>7</v>
      </c>
      <c r="AS10" s="90"/>
    </row>
    <row r="11" spans="1:45" ht="11.25" customHeight="1">
      <c r="A11" s="117" t="s">
        <v>110</v>
      </c>
      <c r="B11" s="110" t="s">
        <v>110</v>
      </c>
      <c r="C11" s="110" t="s">
        <v>92</v>
      </c>
      <c r="D11" s="118" t="s">
        <v>111</v>
      </c>
      <c r="E11" s="119">
        <v>44957</v>
      </c>
      <c r="F11" s="119">
        <v>47149</v>
      </c>
      <c r="G11" s="50">
        <v>2000000</v>
      </c>
      <c r="H11" s="50">
        <v>1961407.9</v>
      </c>
      <c r="I11" s="120">
        <v>1960007</v>
      </c>
      <c r="J11" s="120"/>
      <c r="K11" s="27"/>
      <c r="L11" s="27">
        <v>6.5000000000000002E-2</v>
      </c>
      <c r="M11" s="27">
        <f t="shared" ref="M11:M13" si="4">MAX(4.78,1)/100</f>
        <v>4.7800000000000002E-2</v>
      </c>
      <c r="N11" s="27"/>
      <c r="O11" s="14" t="s">
        <v>94</v>
      </c>
      <c r="P11" s="121" t="s">
        <v>95</v>
      </c>
      <c r="Q11" s="121" t="s">
        <v>96</v>
      </c>
      <c r="R11" s="119"/>
      <c r="S11" s="121"/>
      <c r="T11" s="109" t="s">
        <v>97</v>
      </c>
      <c r="U11" s="109" t="s">
        <v>96</v>
      </c>
      <c r="V11" s="109" t="s">
        <v>96</v>
      </c>
      <c r="W11" s="109" t="s">
        <v>96</v>
      </c>
      <c r="X11" s="109" t="s">
        <v>96</v>
      </c>
      <c r="Y11" s="109" t="s">
        <v>96</v>
      </c>
      <c r="Z11" s="109" t="s">
        <v>96</v>
      </c>
      <c r="AA11" s="109" t="s">
        <v>96</v>
      </c>
      <c r="AB11" s="9">
        <v>192.4</v>
      </c>
      <c r="AC11" s="9">
        <v>38.299999999999997</v>
      </c>
      <c r="AD11" s="130">
        <v>0</v>
      </c>
      <c r="AE11" s="9">
        <v>460</v>
      </c>
      <c r="AF11" s="123">
        <v>4.83</v>
      </c>
      <c r="AG11" s="123">
        <v>4.83</v>
      </c>
      <c r="AH11" s="123"/>
      <c r="AI11" s="123"/>
      <c r="AJ11" s="124">
        <v>0.4</v>
      </c>
      <c r="AK11" s="125"/>
      <c r="AL11" s="126"/>
      <c r="AM11" s="127"/>
      <c r="AN11" s="126"/>
      <c r="AO11" s="128"/>
      <c r="AP11" s="129"/>
      <c r="AQ11" s="126"/>
      <c r="AR11" s="90" t="s">
        <v>7</v>
      </c>
      <c r="AS11" s="90"/>
    </row>
    <row r="12" spans="1:45" ht="11.25" customHeight="1">
      <c r="A12" s="117" t="s">
        <v>112</v>
      </c>
      <c r="B12" s="110" t="s">
        <v>110</v>
      </c>
      <c r="C12" s="110" t="s">
        <v>92</v>
      </c>
      <c r="D12" s="118" t="s">
        <v>111</v>
      </c>
      <c r="E12" s="119">
        <v>44957</v>
      </c>
      <c r="F12" s="119">
        <v>47149</v>
      </c>
      <c r="G12" s="50">
        <v>2173913.04</v>
      </c>
      <c r="H12" s="50">
        <v>0</v>
      </c>
      <c r="I12" s="120">
        <v>-43470.73</v>
      </c>
      <c r="J12" s="120"/>
      <c r="K12" s="27"/>
      <c r="L12" s="27">
        <v>6.5000000000000002E-2</v>
      </c>
      <c r="M12" s="27">
        <f t="shared" si="4"/>
        <v>4.7800000000000002E-2</v>
      </c>
      <c r="N12" s="27"/>
      <c r="O12" s="14" t="s">
        <v>94</v>
      </c>
      <c r="P12" s="121" t="s">
        <v>95</v>
      </c>
      <c r="Q12" s="121" t="s">
        <v>96</v>
      </c>
      <c r="R12" s="119"/>
      <c r="S12" s="121"/>
      <c r="T12" s="109" t="s">
        <v>97</v>
      </c>
      <c r="U12" s="109" t="s">
        <v>96</v>
      </c>
      <c r="V12" s="109" t="s">
        <v>96</v>
      </c>
      <c r="W12" s="109" t="s">
        <v>96</v>
      </c>
      <c r="X12" s="109" t="s">
        <v>96</v>
      </c>
      <c r="Y12" s="109" t="s">
        <v>96</v>
      </c>
      <c r="Z12" s="109" t="s">
        <v>96</v>
      </c>
      <c r="AA12" s="109" t="s">
        <v>96</v>
      </c>
      <c r="AB12" s="9">
        <v>192.4</v>
      </c>
      <c r="AC12" s="9">
        <v>38.299999999999997</v>
      </c>
      <c r="AD12" s="130">
        <v>0</v>
      </c>
      <c r="AE12" s="9">
        <v>460</v>
      </c>
      <c r="AF12" s="123">
        <v>4.83</v>
      </c>
      <c r="AG12" s="123">
        <v>4.83</v>
      </c>
      <c r="AH12" s="123"/>
      <c r="AI12" s="123"/>
      <c r="AJ12" s="124">
        <v>0.4</v>
      </c>
      <c r="AK12" s="125"/>
      <c r="AL12" s="126"/>
      <c r="AM12" s="127"/>
      <c r="AN12" s="126"/>
      <c r="AO12" s="128"/>
      <c r="AP12" s="129"/>
      <c r="AQ12" s="126"/>
      <c r="AR12" s="90" t="s">
        <v>7</v>
      </c>
      <c r="AS12" s="90"/>
    </row>
    <row r="13" spans="1:45" ht="11.25" customHeight="1">
      <c r="A13" s="117" t="s">
        <v>113</v>
      </c>
      <c r="B13" s="110" t="s">
        <v>110</v>
      </c>
      <c r="C13" s="110" t="s">
        <v>92</v>
      </c>
      <c r="D13" s="118" t="s">
        <v>111</v>
      </c>
      <c r="E13" s="119">
        <v>44957</v>
      </c>
      <c r="F13" s="119">
        <v>47149</v>
      </c>
      <c r="G13" s="50">
        <v>869565.22</v>
      </c>
      <c r="H13" s="50">
        <v>0</v>
      </c>
      <c r="I13" s="120">
        <v>-17388.29</v>
      </c>
      <c r="J13" s="120"/>
      <c r="K13" s="27"/>
      <c r="L13" s="27">
        <v>6.5000000000000002E-2</v>
      </c>
      <c r="M13" s="27">
        <f t="shared" si="4"/>
        <v>4.7800000000000002E-2</v>
      </c>
      <c r="N13" s="27"/>
      <c r="O13" s="14" t="s">
        <v>94</v>
      </c>
      <c r="P13" s="121" t="s">
        <v>95</v>
      </c>
      <c r="Q13" s="121" t="s">
        <v>96</v>
      </c>
      <c r="R13" s="119"/>
      <c r="S13" s="121"/>
      <c r="T13" s="109" t="s">
        <v>97</v>
      </c>
      <c r="U13" s="109" t="s">
        <v>96</v>
      </c>
      <c r="V13" s="109" t="s">
        <v>96</v>
      </c>
      <c r="W13" s="109" t="s">
        <v>96</v>
      </c>
      <c r="X13" s="109" t="s">
        <v>96</v>
      </c>
      <c r="Y13" s="109" t="s">
        <v>96</v>
      </c>
      <c r="Z13" s="109" t="s">
        <v>96</v>
      </c>
      <c r="AA13" s="109" t="s">
        <v>96</v>
      </c>
      <c r="AB13" s="9">
        <v>192.4</v>
      </c>
      <c r="AC13" s="9">
        <v>38.299999999999997</v>
      </c>
      <c r="AD13" s="130">
        <v>30</v>
      </c>
      <c r="AE13" s="9">
        <v>460</v>
      </c>
      <c r="AF13" s="123">
        <v>4.83</v>
      </c>
      <c r="AG13" s="123">
        <v>4.83</v>
      </c>
      <c r="AH13" s="123"/>
      <c r="AI13" s="123"/>
      <c r="AJ13" s="124">
        <v>0.4</v>
      </c>
      <c r="AK13" s="125"/>
      <c r="AL13" s="126"/>
      <c r="AM13" s="127"/>
      <c r="AN13" s="126"/>
      <c r="AO13" s="128"/>
      <c r="AP13" s="129"/>
      <c r="AQ13" s="126"/>
      <c r="AR13" s="90" t="s">
        <v>7</v>
      </c>
      <c r="AS13" s="90"/>
    </row>
    <row r="14" spans="1:45" ht="11.25" customHeight="1">
      <c r="A14" s="117" t="s">
        <v>114</v>
      </c>
      <c r="B14" s="110" t="s">
        <v>115</v>
      </c>
      <c r="C14" s="110" t="s">
        <v>92</v>
      </c>
      <c r="D14" s="118" t="s">
        <v>116</v>
      </c>
      <c r="E14" s="119">
        <v>44957</v>
      </c>
      <c r="F14" s="119">
        <v>46783</v>
      </c>
      <c r="G14" s="50">
        <v>3000000</v>
      </c>
      <c r="H14" s="50">
        <v>2964348.3</v>
      </c>
      <c r="I14" s="120">
        <v>2955000</v>
      </c>
      <c r="J14" s="120"/>
      <c r="K14" s="27"/>
      <c r="L14" s="27">
        <v>6.5000000000000002E-2</v>
      </c>
      <c r="M14" s="27">
        <v>0.01</v>
      </c>
      <c r="N14" s="27"/>
      <c r="O14" s="14" t="s">
        <v>94</v>
      </c>
      <c r="P14" s="121" t="s">
        <v>95</v>
      </c>
      <c r="Q14" s="121" t="s">
        <v>96</v>
      </c>
      <c r="R14" s="119"/>
      <c r="S14" s="121"/>
      <c r="T14" s="109" t="s">
        <v>97</v>
      </c>
      <c r="U14" s="109" t="s">
        <v>96</v>
      </c>
      <c r="V14" s="109" t="s">
        <v>96</v>
      </c>
      <c r="W14" s="109" t="s">
        <v>96</v>
      </c>
      <c r="X14" s="109" t="s">
        <v>96</v>
      </c>
      <c r="Y14" s="109" t="s">
        <v>96</v>
      </c>
      <c r="Z14" s="109" t="s">
        <v>96</v>
      </c>
      <c r="AA14" s="109" t="s">
        <v>96</v>
      </c>
      <c r="AB14" s="9">
        <v>57.9</v>
      </c>
      <c r="AC14" s="9">
        <v>19.5</v>
      </c>
      <c r="AD14" s="130">
        <v>0</v>
      </c>
      <c r="AE14" s="9">
        <v>227.4</v>
      </c>
      <c r="AF14" s="123">
        <v>4.84</v>
      </c>
      <c r="AG14" s="123">
        <v>4.84</v>
      </c>
      <c r="AH14" s="123"/>
      <c r="AI14" s="123"/>
      <c r="AJ14" s="124">
        <v>0.41599999999999998</v>
      </c>
      <c r="AK14" s="125"/>
      <c r="AL14" s="126"/>
      <c r="AM14" s="127"/>
      <c r="AN14" s="126"/>
      <c r="AO14" s="128"/>
      <c r="AP14" s="129"/>
      <c r="AQ14" s="126"/>
      <c r="AR14" s="90" t="s">
        <v>7</v>
      </c>
      <c r="AS14" s="90"/>
    </row>
    <row r="15" spans="1:45" ht="11.25" customHeight="1">
      <c r="A15" s="117" t="s">
        <v>117</v>
      </c>
      <c r="B15" s="110" t="s">
        <v>115</v>
      </c>
      <c r="C15" s="110" t="s">
        <v>92</v>
      </c>
      <c r="D15" s="118" t="s">
        <v>116</v>
      </c>
      <c r="E15" s="119">
        <v>44957</v>
      </c>
      <c r="F15" s="119">
        <v>46783</v>
      </c>
      <c r="G15" s="50">
        <v>357142.86</v>
      </c>
      <c r="H15" s="50">
        <v>0</v>
      </c>
      <c r="I15" s="120">
        <v>-5357.14</v>
      </c>
      <c r="J15" s="120"/>
      <c r="K15" s="27"/>
      <c r="L15" s="27">
        <v>6.5000000000000002E-2</v>
      </c>
      <c r="M15" s="27">
        <v>0.01</v>
      </c>
      <c r="N15" s="27"/>
      <c r="O15" s="14" t="s">
        <v>94</v>
      </c>
      <c r="P15" s="121" t="s">
        <v>95</v>
      </c>
      <c r="Q15" s="121" t="s">
        <v>96</v>
      </c>
      <c r="R15" s="119"/>
      <c r="S15" s="121"/>
      <c r="T15" s="109" t="s">
        <v>97</v>
      </c>
      <c r="U15" s="109" t="s">
        <v>96</v>
      </c>
      <c r="V15" s="109" t="s">
        <v>96</v>
      </c>
      <c r="W15" s="109" t="s">
        <v>96</v>
      </c>
      <c r="X15" s="109" t="s">
        <v>96</v>
      </c>
      <c r="Y15" s="109" t="s">
        <v>96</v>
      </c>
      <c r="Z15" s="109" t="s">
        <v>96</v>
      </c>
      <c r="AA15" s="109" t="s">
        <v>96</v>
      </c>
      <c r="AB15" s="9">
        <v>57.9</v>
      </c>
      <c r="AC15" s="9">
        <v>19.5</v>
      </c>
      <c r="AD15" s="130">
        <v>0</v>
      </c>
      <c r="AE15" s="9">
        <v>227.4</v>
      </c>
      <c r="AF15" s="123">
        <v>4.84</v>
      </c>
      <c r="AG15" s="123">
        <v>4.84</v>
      </c>
      <c r="AH15" s="123"/>
      <c r="AI15" s="123"/>
      <c r="AJ15" s="124">
        <v>0.41599999999999998</v>
      </c>
      <c r="AK15" s="125"/>
      <c r="AL15" s="126"/>
      <c r="AM15" s="127"/>
      <c r="AN15" s="126"/>
      <c r="AO15" s="128"/>
      <c r="AP15" s="129"/>
      <c r="AQ15" s="126"/>
      <c r="AR15" s="90" t="s">
        <v>7</v>
      </c>
      <c r="AS15" s="90"/>
    </row>
    <row r="16" spans="1:45" ht="11.25" customHeight="1">
      <c r="A16" s="117" t="s">
        <v>118</v>
      </c>
      <c r="B16" s="110" t="s">
        <v>119</v>
      </c>
      <c r="C16" s="110" t="s">
        <v>92</v>
      </c>
      <c r="D16" s="14" t="s">
        <v>120</v>
      </c>
      <c r="E16" s="119">
        <v>44595</v>
      </c>
      <c r="F16" s="119">
        <v>46843</v>
      </c>
      <c r="G16" s="50">
        <v>3491116.75</v>
      </c>
      <c r="H16" s="50">
        <v>3457792.45</v>
      </c>
      <c r="I16" s="50">
        <v>3458404.99</v>
      </c>
      <c r="J16" s="50"/>
      <c r="K16" s="27"/>
      <c r="L16" s="27">
        <v>7.4999999999999997E-2</v>
      </c>
      <c r="M16" s="27">
        <f>MAX(4.5561,1)/100</f>
        <v>4.5560999999999997E-2</v>
      </c>
      <c r="N16" s="27"/>
      <c r="O16" s="14" t="s">
        <v>94</v>
      </c>
      <c r="P16" s="121" t="s">
        <v>121</v>
      </c>
      <c r="Q16" s="121" t="s">
        <v>96</v>
      </c>
      <c r="R16" s="119"/>
      <c r="S16" s="121"/>
      <c r="T16" s="109" t="s">
        <v>97</v>
      </c>
      <c r="U16" s="109" t="s">
        <v>96</v>
      </c>
      <c r="V16" s="109" t="s">
        <v>96</v>
      </c>
      <c r="W16" s="109" t="s">
        <v>96</v>
      </c>
      <c r="X16" s="109" t="s">
        <v>96</v>
      </c>
      <c r="Y16" s="109" t="s">
        <v>96</v>
      </c>
      <c r="Z16" s="109" t="s">
        <v>96</v>
      </c>
      <c r="AA16" s="109" t="s">
        <v>96</v>
      </c>
      <c r="AB16" s="9">
        <v>185.7</v>
      </c>
      <c r="AC16" s="9">
        <v>81.400000000000006</v>
      </c>
      <c r="AD16" s="130">
        <v>20</v>
      </c>
      <c r="AE16" s="9">
        <v>403</v>
      </c>
      <c r="AF16" s="123">
        <v>2.95</v>
      </c>
      <c r="AG16" s="123">
        <v>2.95</v>
      </c>
      <c r="AH16" s="123"/>
      <c r="AI16" s="123"/>
      <c r="AJ16" s="124">
        <v>0.437</v>
      </c>
      <c r="AK16" s="125"/>
      <c r="AL16" s="126"/>
      <c r="AM16" s="127"/>
      <c r="AN16" s="126"/>
      <c r="AO16" s="128"/>
      <c r="AP16" s="129"/>
      <c r="AQ16" s="126"/>
      <c r="AR16" s="90" t="s">
        <v>7</v>
      </c>
      <c r="AS16" s="90"/>
    </row>
    <row r="17" spans="1:45" ht="11.25" customHeight="1">
      <c r="A17" s="117" t="s">
        <v>122</v>
      </c>
      <c r="B17" s="110" t="s">
        <v>123</v>
      </c>
      <c r="C17" s="110" t="s">
        <v>92</v>
      </c>
      <c r="D17" s="118" t="s">
        <v>116</v>
      </c>
      <c r="E17" s="119">
        <v>44958</v>
      </c>
      <c r="F17" s="119">
        <v>46188</v>
      </c>
      <c r="G17" s="50">
        <v>1111111.1100000001</v>
      </c>
      <c r="H17" s="50">
        <v>0</v>
      </c>
      <c r="I17" s="120">
        <v>-33222.080000000002</v>
      </c>
      <c r="J17" s="120"/>
      <c r="K17" s="27"/>
      <c r="L17" s="27">
        <v>6.25E-2</v>
      </c>
      <c r="M17" s="27">
        <f t="shared" ref="M17:M18" si="5">MAX(5.012,1)/100</f>
        <v>5.0119999999999998E-2</v>
      </c>
      <c r="N17" s="27"/>
      <c r="O17" s="14" t="s">
        <v>94</v>
      </c>
      <c r="P17" s="121" t="s">
        <v>95</v>
      </c>
      <c r="Q17" s="121" t="s">
        <v>96</v>
      </c>
      <c r="R17" s="119"/>
      <c r="S17" s="121"/>
      <c r="T17" s="109" t="s">
        <v>97</v>
      </c>
      <c r="U17" s="109" t="s">
        <v>96</v>
      </c>
      <c r="V17" s="109" t="s">
        <v>96</v>
      </c>
      <c r="W17" s="109" t="s">
        <v>96</v>
      </c>
      <c r="X17" s="109" t="s">
        <v>96</v>
      </c>
      <c r="Y17" s="109" t="s">
        <v>96</v>
      </c>
      <c r="Z17" s="109" t="s">
        <v>96</v>
      </c>
      <c r="AA17" s="109" t="s">
        <v>96</v>
      </c>
      <c r="AB17" s="9">
        <v>937.6</v>
      </c>
      <c r="AC17" s="9">
        <v>86.6</v>
      </c>
      <c r="AD17" s="130">
        <v>0</v>
      </c>
      <c r="AE17" s="9">
        <v>958.3</v>
      </c>
      <c r="AF17" s="123">
        <v>5.51</v>
      </c>
      <c r="AG17" s="123">
        <v>5.51</v>
      </c>
      <c r="AH17" s="123"/>
      <c r="AI17" s="123"/>
      <c r="AJ17" s="124">
        <v>0.498</v>
      </c>
      <c r="AK17" s="125"/>
      <c r="AL17" s="126"/>
      <c r="AM17" s="127"/>
      <c r="AN17" s="126"/>
      <c r="AO17" s="128"/>
      <c r="AP17" s="129"/>
      <c r="AQ17" s="126"/>
      <c r="AR17" s="90" t="s">
        <v>7</v>
      </c>
      <c r="AS17" s="90"/>
    </row>
    <row r="18" spans="1:45" ht="11.25" customHeight="1">
      <c r="A18" s="117" t="s">
        <v>124</v>
      </c>
      <c r="B18" s="110" t="s">
        <v>123</v>
      </c>
      <c r="C18" s="110" t="s">
        <v>92</v>
      </c>
      <c r="D18" s="118" t="s">
        <v>116</v>
      </c>
      <c r="E18" s="119">
        <v>44958</v>
      </c>
      <c r="F18" s="119">
        <v>46188</v>
      </c>
      <c r="G18" s="50">
        <v>1662500</v>
      </c>
      <c r="H18" s="50">
        <v>1631655.9</v>
      </c>
      <c r="I18" s="120">
        <v>1612791.46</v>
      </c>
      <c r="J18" s="120"/>
      <c r="K18" s="27"/>
      <c r="L18" s="27">
        <v>6.25E-2</v>
      </c>
      <c r="M18" s="27">
        <f t="shared" si="5"/>
        <v>5.0119999999999998E-2</v>
      </c>
      <c r="N18" s="27"/>
      <c r="O18" s="14" t="s">
        <v>94</v>
      </c>
      <c r="P18" s="121" t="s">
        <v>95</v>
      </c>
      <c r="Q18" s="121" t="s">
        <v>96</v>
      </c>
      <c r="R18" s="119"/>
      <c r="S18" s="121"/>
      <c r="T18" s="109" t="s">
        <v>97</v>
      </c>
      <c r="U18" s="109" t="s">
        <v>96</v>
      </c>
      <c r="V18" s="109" t="s">
        <v>96</v>
      </c>
      <c r="W18" s="109" t="s">
        <v>96</v>
      </c>
      <c r="X18" s="109" t="s">
        <v>96</v>
      </c>
      <c r="Y18" s="109" t="s">
        <v>96</v>
      </c>
      <c r="Z18" s="109" t="s">
        <v>96</v>
      </c>
      <c r="AA18" s="109" t="s">
        <v>96</v>
      </c>
      <c r="AB18" s="9">
        <v>937.6</v>
      </c>
      <c r="AC18" s="9">
        <v>86.6</v>
      </c>
      <c r="AD18" s="130">
        <v>0</v>
      </c>
      <c r="AE18" s="9">
        <v>958.3</v>
      </c>
      <c r="AF18" s="123">
        <v>5.51</v>
      </c>
      <c r="AG18" s="123">
        <v>5.51</v>
      </c>
      <c r="AH18" s="123"/>
      <c r="AI18" s="123"/>
      <c r="AJ18" s="124">
        <v>0.498</v>
      </c>
      <c r="AK18" s="125"/>
      <c r="AL18" s="126"/>
      <c r="AM18" s="127"/>
      <c r="AN18" s="126"/>
      <c r="AO18" s="128"/>
      <c r="AP18" s="129"/>
      <c r="AQ18" s="126"/>
      <c r="AR18" s="90" t="s">
        <v>7</v>
      </c>
      <c r="AS18" s="90"/>
    </row>
    <row r="19" spans="1:45" ht="11.25" customHeight="1">
      <c r="A19" s="117" t="s">
        <v>125</v>
      </c>
      <c r="B19" s="110" t="s">
        <v>126</v>
      </c>
      <c r="C19" s="110" t="s">
        <v>92</v>
      </c>
      <c r="D19" s="118" t="s">
        <v>120</v>
      </c>
      <c r="E19" s="119">
        <v>44980</v>
      </c>
      <c r="F19" s="119">
        <v>46806</v>
      </c>
      <c r="G19" s="50">
        <v>3000000</v>
      </c>
      <c r="H19" s="120">
        <v>2942201.53</v>
      </c>
      <c r="I19" s="120">
        <v>2939999.49</v>
      </c>
      <c r="J19" s="120"/>
      <c r="K19" s="27"/>
      <c r="L19" s="27">
        <v>7.0000000000000007E-2</v>
      </c>
      <c r="M19" s="27">
        <f t="shared" ref="M19:M21" si="6">MAX(4.66356,1)/100</f>
        <v>4.6635600000000006E-2</v>
      </c>
      <c r="N19" s="27"/>
      <c r="O19" s="14" t="s">
        <v>94</v>
      </c>
      <c r="P19" s="121" t="s">
        <v>95</v>
      </c>
      <c r="Q19" s="121" t="s">
        <v>96</v>
      </c>
      <c r="R19" s="119"/>
      <c r="S19" s="121"/>
      <c r="T19" s="109" t="s">
        <v>97</v>
      </c>
      <c r="U19" s="109" t="s">
        <v>96</v>
      </c>
      <c r="V19" s="109" t="s">
        <v>96</v>
      </c>
      <c r="W19" s="109" t="s">
        <v>96</v>
      </c>
      <c r="X19" s="109" t="s">
        <v>96</v>
      </c>
      <c r="Y19" s="109" t="s">
        <v>96</v>
      </c>
      <c r="Z19" s="109" t="s">
        <v>96</v>
      </c>
      <c r="AA19" s="109" t="s">
        <v>96</v>
      </c>
      <c r="AB19" s="9">
        <v>71.3</v>
      </c>
      <c r="AC19" s="9">
        <v>21.5</v>
      </c>
      <c r="AD19" s="130">
        <v>0</v>
      </c>
      <c r="AE19" s="9">
        <v>350</v>
      </c>
      <c r="AF19" s="123">
        <v>2.58</v>
      </c>
      <c r="AG19" s="123">
        <v>2.58</v>
      </c>
      <c r="AH19" s="123"/>
      <c r="AI19" s="123"/>
      <c r="AJ19" s="124">
        <v>0.36399999999999999</v>
      </c>
      <c r="AK19" s="125"/>
      <c r="AL19" s="126"/>
      <c r="AM19" s="127"/>
      <c r="AN19" s="126"/>
      <c r="AO19" s="128"/>
      <c r="AP19" s="129"/>
      <c r="AQ19" s="126"/>
      <c r="AR19" s="90" t="s">
        <v>7</v>
      </c>
      <c r="AS19" s="90"/>
    </row>
    <row r="20" spans="1:45" ht="11.25" customHeight="1">
      <c r="A20" s="117" t="s">
        <v>127</v>
      </c>
      <c r="B20" s="110" t="s">
        <v>126</v>
      </c>
      <c r="C20" s="110" t="s">
        <v>92</v>
      </c>
      <c r="D20" s="118" t="s">
        <v>120</v>
      </c>
      <c r="E20" s="119">
        <v>44980</v>
      </c>
      <c r="F20" s="119">
        <v>46806</v>
      </c>
      <c r="G20" s="50">
        <v>728571.43</v>
      </c>
      <c r="H20" s="50">
        <v>0</v>
      </c>
      <c r="I20" s="120">
        <v>-14571.55</v>
      </c>
      <c r="J20" s="120"/>
      <c r="K20" s="27"/>
      <c r="L20" s="27">
        <v>7.0000000000000007E-2</v>
      </c>
      <c r="M20" s="27">
        <f t="shared" si="6"/>
        <v>4.6635600000000006E-2</v>
      </c>
      <c r="N20" s="27"/>
      <c r="O20" s="14" t="s">
        <v>94</v>
      </c>
      <c r="P20" s="121" t="s">
        <v>95</v>
      </c>
      <c r="Q20" s="121" t="s">
        <v>96</v>
      </c>
      <c r="R20" s="119"/>
      <c r="S20" s="121"/>
      <c r="T20" s="109" t="s">
        <v>97</v>
      </c>
      <c r="U20" s="109" t="s">
        <v>96</v>
      </c>
      <c r="V20" s="109" t="s">
        <v>96</v>
      </c>
      <c r="W20" s="109" t="s">
        <v>96</v>
      </c>
      <c r="X20" s="109" t="s">
        <v>96</v>
      </c>
      <c r="Y20" s="109" t="s">
        <v>96</v>
      </c>
      <c r="Z20" s="109" t="s">
        <v>96</v>
      </c>
      <c r="AA20" s="109" t="s">
        <v>96</v>
      </c>
      <c r="AB20" s="9">
        <v>71.3</v>
      </c>
      <c r="AC20" s="9">
        <v>21.5</v>
      </c>
      <c r="AD20" s="130">
        <v>0</v>
      </c>
      <c r="AE20" s="9">
        <v>350</v>
      </c>
      <c r="AF20" s="123">
        <v>2.58</v>
      </c>
      <c r="AG20" s="123">
        <v>2.58</v>
      </c>
      <c r="AH20" s="123"/>
      <c r="AI20" s="123"/>
      <c r="AJ20" s="124">
        <v>0.36399999999999999</v>
      </c>
      <c r="AK20" s="125"/>
      <c r="AL20" s="126"/>
      <c r="AM20" s="127"/>
      <c r="AN20" s="126"/>
      <c r="AO20" s="128"/>
      <c r="AP20" s="129"/>
      <c r="AQ20" s="126"/>
      <c r="AR20" s="90" t="s">
        <v>7</v>
      </c>
      <c r="AS20" s="90"/>
    </row>
    <row r="21" spans="1:45" ht="11.25" customHeight="1">
      <c r="A21" s="117" t="s">
        <v>128</v>
      </c>
      <c r="B21" s="110" t="s">
        <v>126</v>
      </c>
      <c r="C21" s="110" t="s">
        <v>92</v>
      </c>
      <c r="D21" s="118" t="s">
        <v>120</v>
      </c>
      <c r="E21" s="119">
        <v>44980</v>
      </c>
      <c r="F21" s="119">
        <v>46806</v>
      </c>
      <c r="G21" s="50">
        <v>342857.14</v>
      </c>
      <c r="H21" s="50">
        <v>0</v>
      </c>
      <c r="I21" s="120">
        <v>-6857.2</v>
      </c>
      <c r="J21" s="120"/>
      <c r="K21" s="27"/>
      <c r="L21" s="27">
        <v>7.0000000000000007E-2</v>
      </c>
      <c r="M21" s="27">
        <f t="shared" si="6"/>
        <v>4.6635600000000006E-2</v>
      </c>
      <c r="N21" s="27"/>
      <c r="O21" s="14" t="s">
        <v>94</v>
      </c>
      <c r="P21" s="121" t="s">
        <v>95</v>
      </c>
      <c r="Q21" s="121" t="s">
        <v>96</v>
      </c>
      <c r="R21" s="119"/>
      <c r="S21" s="121"/>
      <c r="T21" s="109" t="s">
        <v>97</v>
      </c>
      <c r="U21" s="109" t="s">
        <v>96</v>
      </c>
      <c r="V21" s="109" t="s">
        <v>96</v>
      </c>
      <c r="W21" s="109" t="s">
        <v>96</v>
      </c>
      <c r="X21" s="109" t="s">
        <v>96</v>
      </c>
      <c r="Y21" s="109" t="s">
        <v>96</v>
      </c>
      <c r="Z21" s="109" t="s">
        <v>96</v>
      </c>
      <c r="AA21" s="109" t="s">
        <v>96</v>
      </c>
      <c r="AB21" s="9">
        <v>71.3</v>
      </c>
      <c r="AC21" s="9">
        <v>21.5</v>
      </c>
      <c r="AD21" s="130">
        <v>8</v>
      </c>
      <c r="AE21" s="9">
        <v>350</v>
      </c>
      <c r="AF21" s="123">
        <v>2.58</v>
      </c>
      <c r="AG21" s="123">
        <v>2.58</v>
      </c>
      <c r="AH21" s="123"/>
      <c r="AI21" s="123"/>
      <c r="AJ21" s="124">
        <v>0.36399999999999999</v>
      </c>
      <c r="AK21" s="125"/>
      <c r="AL21" s="126"/>
      <c r="AM21" s="127"/>
      <c r="AN21" s="126"/>
      <c r="AO21" s="128"/>
      <c r="AP21" s="129"/>
      <c r="AQ21" s="126"/>
      <c r="AR21" s="90" t="s">
        <v>7</v>
      </c>
      <c r="AS21" s="90"/>
    </row>
    <row r="22" spans="1:45" ht="11.25" customHeight="1">
      <c r="A22" s="117" t="s">
        <v>129</v>
      </c>
      <c r="B22" s="117" t="s">
        <v>130</v>
      </c>
      <c r="C22" s="110" t="s">
        <v>92</v>
      </c>
      <c r="D22" s="118" t="s">
        <v>131</v>
      </c>
      <c r="E22" s="119">
        <v>45016</v>
      </c>
      <c r="F22" s="119">
        <v>47054</v>
      </c>
      <c r="G22" s="50">
        <v>3000000</v>
      </c>
      <c r="H22" s="50">
        <v>2944439.14</v>
      </c>
      <c r="I22" s="50">
        <v>2939999.84</v>
      </c>
      <c r="J22" s="120"/>
      <c r="K22" s="27"/>
      <c r="L22" s="27">
        <v>6.5000000000000002E-2</v>
      </c>
      <c r="M22" s="27">
        <v>4.9570200000000002E-2</v>
      </c>
      <c r="N22" s="27"/>
      <c r="O22" s="14" t="s">
        <v>94</v>
      </c>
      <c r="P22" s="121" t="s">
        <v>95</v>
      </c>
      <c r="Q22" s="121" t="s">
        <v>96</v>
      </c>
      <c r="R22" s="119"/>
      <c r="S22" s="121"/>
      <c r="T22" s="109" t="s">
        <v>97</v>
      </c>
      <c r="U22" s="109" t="s">
        <v>96</v>
      </c>
      <c r="V22" s="109" t="s">
        <v>96</v>
      </c>
      <c r="W22" s="109" t="s">
        <v>96</v>
      </c>
      <c r="X22" s="109" t="s">
        <v>96</v>
      </c>
      <c r="Y22" s="109" t="s">
        <v>96</v>
      </c>
      <c r="Z22" s="109" t="s">
        <v>96</v>
      </c>
      <c r="AA22" s="109" t="s">
        <v>96</v>
      </c>
      <c r="AB22" s="9">
        <v>117.9</v>
      </c>
      <c r="AC22" s="9">
        <v>30.4</v>
      </c>
      <c r="AD22" s="130">
        <v>7</v>
      </c>
      <c r="AE22" s="9">
        <v>132.80000000000001</v>
      </c>
      <c r="AF22" s="123">
        <v>4.54</v>
      </c>
      <c r="AG22" s="123">
        <v>4.54</v>
      </c>
      <c r="AH22" s="123"/>
      <c r="AI22" s="123"/>
      <c r="AJ22" s="124">
        <v>0.49399999999999999</v>
      </c>
      <c r="AK22" s="125"/>
      <c r="AL22" s="126"/>
      <c r="AM22" s="127"/>
      <c r="AN22" s="126"/>
      <c r="AO22" s="128"/>
      <c r="AP22" s="129"/>
      <c r="AQ22" s="126"/>
      <c r="AR22" s="90" t="s">
        <v>7</v>
      </c>
      <c r="AS22" s="90"/>
    </row>
    <row r="23" spans="1:45" ht="11.25" customHeight="1">
      <c r="A23" s="117" t="s">
        <v>132</v>
      </c>
      <c r="B23" s="117" t="s">
        <v>133</v>
      </c>
      <c r="C23" s="110" t="s">
        <v>92</v>
      </c>
      <c r="D23" s="118" t="s">
        <v>134</v>
      </c>
      <c r="E23" s="119">
        <v>45021</v>
      </c>
      <c r="F23" s="119">
        <v>47301</v>
      </c>
      <c r="G23" s="50">
        <v>2992481.2</v>
      </c>
      <c r="H23" s="50">
        <v>2636699.66</v>
      </c>
      <c r="I23" s="132">
        <v>2633383.46</v>
      </c>
      <c r="J23" s="120"/>
      <c r="K23" s="27"/>
      <c r="L23" s="27">
        <v>5.7500000000000002E-2</v>
      </c>
      <c r="M23" s="27">
        <v>4.8034100000000003E-2</v>
      </c>
      <c r="N23" s="27"/>
      <c r="O23" s="14" t="s">
        <v>94</v>
      </c>
      <c r="P23" s="121" t="s">
        <v>95</v>
      </c>
      <c r="Q23" s="121" t="s">
        <v>96</v>
      </c>
      <c r="R23" s="119"/>
      <c r="S23" s="121"/>
      <c r="T23" s="109" t="s">
        <v>97</v>
      </c>
      <c r="U23" s="109" t="s">
        <v>96</v>
      </c>
      <c r="V23" s="109" t="s">
        <v>96</v>
      </c>
      <c r="W23" s="109" t="s">
        <v>96</v>
      </c>
      <c r="X23" s="109" t="s">
        <v>96</v>
      </c>
      <c r="Y23" s="109" t="s">
        <v>96</v>
      </c>
      <c r="Z23" s="109" t="s">
        <v>96</v>
      </c>
      <c r="AA23" s="109" t="s">
        <v>96</v>
      </c>
      <c r="AB23" s="9">
        <v>321</v>
      </c>
      <c r="AC23" s="9">
        <v>150</v>
      </c>
      <c r="AD23" s="130">
        <v>100</v>
      </c>
      <c r="AE23" s="9">
        <v>1270</v>
      </c>
      <c r="AF23" s="123">
        <v>4.99</v>
      </c>
      <c r="AG23" s="123">
        <v>4.99</v>
      </c>
      <c r="AH23" s="123"/>
      <c r="AI23" s="123"/>
      <c r="AJ23" s="124">
        <v>0.59</v>
      </c>
      <c r="AK23" s="125"/>
      <c r="AL23" s="126"/>
      <c r="AM23" s="126"/>
      <c r="AN23" s="126"/>
      <c r="AO23" s="128"/>
      <c r="AP23" s="129"/>
      <c r="AQ23" s="126"/>
      <c r="AR23" s="90" t="s">
        <v>7</v>
      </c>
      <c r="AS23" s="90"/>
    </row>
    <row r="24" spans="1:45" ht="11.25" customHeight="1">
      <c r="A24" s="117" t="s">
        <v>135</v>
      </c>
      <c r="B24" s="117" t="s">
        <v>136</v>
      </c>
      <c r="C24" s="110" t="s">
        <v>92</v>
      </c>
      <c r="D24" s="118" t="s">
        <v>137</v>
      </c>
      <c r="E24" s="119">
        <v>45021</v>
      </c>
      <c r="F24" s="119">
        <v>46358</v>
      </c>
      <c r="G24" s="50">
        <v>3603603.6</v>
      </c>
      <c r="H24" s="50">
        <v>3532933.08</v>
      </c>
      <c r="I24" s="132">
        <v>3531531.5279999999</v>
      </c>
      <c r="J24" s="120"/>
      <c r="K24" s="27"/>
      <c r="L24" s="27">
        <v>6.25E-2</v>
      </c>
      <c r="M24" s="27">
        <v>5.0706300000000003E-2</v>
      </c>
      <c r="N24" s="27"/>
      <c r="O24" s="14" t="s">
        <v>94</v>
      </c>
      <c r="P24" s="121" t="s">
        <v>95</v>
      </c>
      <c r="Q24" s="121" t="s">
        <v>96</v>
      </c>
      <c r="R24" s="119"/>
      <c r="S24" s="121"/>
      <c r="T24" s="109" t="s">
        <v>97</v>
      </c>
      <c r="U24" s="109" t="s">
        <v>96</v>
      </c>
      <c r="V24" s="109" t="s">
        <v>96</v>
      </c>
      <c r="W24" s="109" t="s">
        <v>96</v>
      </c>
      <c r="X24" s="109" t="s">
        <v>96</v>
      </c>
      <c r="Y24" s="109" t="s">
        <v>96</v>
      </c>
      <c r="Z24" s="109" t="s">
        <v>96</v>
      </c>
      <c r="AA24" s="109" t="s">
        <v>96</v>
      </c>
      <c r="AB24" s="9">
        <v>489</v>
      </c>
      <c r="AC24" s="9">
        <v>103.2</v>
      </c>
      <c r="AD24" s="130">
        <v>23.5</v>
      </c>
      <c r="AE24" s="9">
        <v>774.7</v>
      </c>
      <c r="AF24" s="123">
        <v>5.13</v>
      </c>
      <c r="AG24" s="123">
        <v>5.13</v>
      </c>
      <c r="AH24" s="123"/>
      <c r="AI24" s="123"/>
      <c r="AJ24" s="124">
        <v>0.61</v>
      </c>
      <c r="AK24" s="125"/>
      <c r="AL24" s="126"/>
      <c r="AM24" s="126"/>
      <c r="AN24" s="126"/>
      <c r="AO24" s="128"/>
      <c r="AP24" s="129"/>
      <c r="AQ24" s="126"/>
      <c r="AR24" s="90" t="s">
        <v>7</v>
      </c>
      <c r="AS24" s="90"/>
    </row>
    <row r="25" spans="1:45" ht="11.25" customHeight="1">
      <c r="A25" s="117" t="s">
        <v>138</v>
      </c>
      <c r="B25" s="117" t="s">
        <v>136</v>
      </c>
      <c r="C25" s="110" t="s">
        <v>92</v>
      </c>
      <c r="D25" s="118" t="s">
        <v>137</v>
      </c>
      <c r="E25" s="119">
        <v>45021</v>
      </c>
      <c r="F25" s="119">
        <v>46358</v>
      </c>
      <c r="G25" s="50">
        <v>889639.64</v>
      </c>
      <c r="H25" s="50"/>
      <c r="I25" s="132">
        <v>-889639.64</v>
      </c>
      <c r="J25" s="120"/>
      <c r="K25" s="27"/>
      <c r="L25" s="27">
        <v>6.25E-2</v>
      </c>
      <c r="M25" s="27">
        <v>5.0706300000000003E-2</v>
      </c>
      <c r="N25" s="27"/>
      <c r="O25" s="14" t="s">
        <v>94</v>
      </c>
      <c r="P25" s="121" t="s">
        <v>95</v>
      </c>
      <c r="Q25" s="121" t="s">
        <v>96</v>
      </c>
      <c r="R25" s="119"/>
      <c r="S25" s="121"/>
      <c r="T25" s="109" t="s">
        <v>97</v>
      </c>
      <c r="U25" s="109" t="s">
        <v>96</v>
      </c>
      <c r="V25" s="109" t="s">
        <v>96</v>
      </c>
      <c r="W25" s="109" t="s">
        <v>96</v>
      </c>
      <c r="X25" s="109" t="s">
        <v>96</v>
      </c>
      <c r="Y25" s="109" t="s">
        <v>96</v>
      </c>
      <c r="Z25" s="109" t="s">
        <v>96</v>
      </c>
      <c r="AA25" s="109" t="s">
        <v>96</v>
      </c>
      <c r="AB25" s="9">
        <v>489</v>
      </c>
      <c r="AC25" s="9">
        <v>103.2</v>
      </c>
      <c r="AD25" s="130">
        <v>23.5</v>
      </c>
      <c r="AE25" s="9">
        <v>774.7</v>
      </c>
      <c r="AF25" s="123">
        <v>5.13</v>
      </c>
      <c r="AG25" s="123">
        <v>5.13</v>
      </c>
      <c r="AH25" s="123"/>
      <c r="AI25" s="123"/>
      <c r="AJ25" s="124">
        <v>0.61</v>
      </c>
      <c r="AK25" s="125"/>
      <c r="AL25" s="126"/>
      <c r="AM25" s="126"/>
      <c r="AN25" s="126"/>
      <c r="AO25" s="128"/>
      <c r="AP25" s="129"/>
      <c r="AQ25" s="126"/>
      <c r="AR25" s="90" t="s">
        <v>7</v>
      </c>
      <c r="AS25" s="90"/>
    </row>
    <row r="26" spans="1:45" ht="11.25" customHeight="1">
      <c r="A26" s="117" t="s">
        <v>139</v>
      </c>
      <c r="B26" s="117" t="s">
        <v>136</v>
      </c>
      <c r="C26" s="110" t="s">
        <v>92</v>
      </c>
      <c r="D26" s="118" t="s">
        <v>137</v>
      </c>
      <c r="E26" s="119">
        <v>45021</v>
      </c>
      <c r="F26" s="119">
        <v>46358</v>
      </c>
      <c r="G26" s="50">
        <v>236486.49</v>
      </c>
      <c r="H26" s="50"/>
      <c r="I26" s="132">
        <v>-236486.49</v>
      </c>
      <c r="J26" s="120"/>
      <c r="K26" s="27"/>
      <c r="L26" s="27">
        <v>6.25E-2</v>
      </c>
      <c r="M26" s="27">
        <v>5.0706300000000003E-2</v>
      </c>
      <c r="N26" s="27"/>
      <c r="O26" s="14" t="s">
        <v>94</v>
      </c>
      <c r="P26" s="121" t="s">
        <v>95</v>
      </c>
      <c r="Q26" s="121" t="s">
        <v>96</v>
      </c>
      <c r="R26" s="119"/>
      <c r="S26" s="121"/>
      <c r="T26" s="109" t="s">
        <v>97</v>
      </c>
      <c r="U26" s="109" t="s">
        <v>96</v>
      </c>
      <c r="V26" s="109" t="s">
        <v>96</v>
      </c>
      <c r="W26" s="109" t="s">
        <v>96</v>
      </c>
      <c r="X26" s="109" t="s">
        <v>96</v>
      </c>
      <c r="Y26" s="109" t="s">
        <v>96</v>
      </c>
      <c r="Z26" s="109" t="s">
        <v>96</v>
      </c>
      <c r="AA26" s="109" t="s">
        <v>96</v>
      </c>
      <c r="AB26" s="9">
        <v>489</v>
      </c>
      <c r="AC26" s="9">
        <v>103.2</v>
      </c>
      <c r="AD26" s="130">
        <v>23.5</v>
      </c>
      <c r="AE26" s="9">
        <v>774.7</v>
      </c>
      <c r="AF26" s="123">
        <v>5.13</v>
      </c>
      <c r="AG26" s="123">
        <v>5.13</v>
      </c>
      <c r="AH26" s="123"/>
      <c r="AI26" s="123"/>
      <c r="AJ26" s="124">
        <v>0.61</v>
      </c>
      <c r="AK26" s="125"/>
      <c r="AL26" s="126"/>
      <c r="AM26" s="126"/>
      <c r="AN26" s="126"/>
      <c r="AO26" s="128"/>
      <c r="AP26" s="129"/>
      <c r="AQ26" s="126"/>
      <c r="AR26" s="90" t="s">
        <v>7</v>
      </c>
      <c r="AS26" s="90"/>
    </row>
    <row r="27" spans="1:45" ht="11.25" customHeight="1">
      <c r="A27" s="133" t="s">
        <v>140</v>
      </c>
      <c r="B27" s="134" t="s">
        <v>140</v>
      </c>
      <c r="C27" s="133" t="s">
        <v>140</v>
      </c>
      <c r="D27" s="133" t="s">
        <v>140</v>
      </c>
      <c r="E27" s="135"/>
      <c r="F27" s="135"/>
      <c r="G27" s="50">
        <v>4456822.24</v>
      </c>
      <c r="H27" s="136">
        <f t="shared" ref="H27:J27" si="7">G27</f>
        <v>4456822.24</v>
      </c>
      <c r="I27" s="136">
        <f t="shared" si="7"/>
        <v>4456822.24</v>
      </c>
      <c r="J27" s="136">
        <f t="shared" si="7"/>
        <v>4456822.24</v>
      </c>
      <c r="K27" s="93"/>
      <c r="L27" s="93"/>
      <c r="M27" s="93"/>
      <c r="N27" s="93"/>
      <c r="O27" s="93"/>
      <c r="P27" s="110" t="s">
        <v>121</v>
      </c>
      <c r="Q27" s="121"/>
      <c r="R27" s="137"/>
      <c r="S27" s="110"/>
      <c r="T27" s="109" t="s">
        <v>141</v>
      </c>
      <c r="U27" s="109" t="s">
        <v>96</v>
      </c>
      <c r="V27" s="109" t="s">
        <v>96</v>
      </c>
      <c r="W27" s="109" t="s">
        <v>96</v>
      </c>
      <c r="X27" s="109" t="s">
        <v>96</v>
      </c>
      <c r="Y27" s="109" t="s">
        <v>96</v>
      </c>
      <c r="Z27" s="109" t="s">
        <v>96</v>
      </c>
      <c r="AA27" s="109" t="s">
        <v>96</v>
      </c>
      <c r="AB27" s="9"/>
      <c r="AC27" s="9"/>
      <c r="AD27" s="130"/>
      <c r="AE27" s="123"/>
      <c r="AF27" s="123"/>
      <c r="AG27" s="123"/>
      <c r="AH27" s="123"/>
      <c r="AI27" s="123"/>
      <c r="AJ27" s="123"/>
      <c r="AK27" s="6" t="s">
        <v>141</v>
      </c>
      <c r="AL27" s="138"/>
      <c r="AM27" s="127"/>
      <c r="AN27" s="126"/>
      <c r="AO27" s="128"/>
      <c r="AP27" s="139"/>
      <c r="AQ27" s="140"/>
      <c r="AR27" s="90" t="s">
        <v>7</v>
      </c>
      <c r="AS27" s="90"/>
    </row>
    <row r="28" spans="1:45" ht="11.25" customHeight="1">
      <c r="A28" s="117" t="s">
        <v>142</v>
      </c>
      <c r="B28" s="110" t="s">
        <v>101</v>
      </c>
      <c r="C28" s="110" t="s">
        <v>143</v>
      </c>
      <c r="D28" s="118" t="s">
        <v>102</v>
      </c>
      <c r="E28" s="119">
        <v>44924</v>
      </c>
      <c r="F28" s="119">
        <v>47116</v>
      </c>
      <c r="G28" s="50"/>
      <c r="H28" s="50">
        <v>437500</v>
      </c>
      <c r="I28" s="120">
        <v>437500</v>
      </c>
      <c r="J28" s="120"/>
      <c r="K28" s="27"/>
      <c r="L28" s="27"/>
      <c r="M28" s="27"/>
      <c r="N28" s="27"/>
      <c r="O28" s="14"/>
      <c r="P28" s="121" t="s">
        <v>95</v>
      </c>
      <c r="Q28" s="121" t="s">
        <v>96</v>
      </c>
      <c r="R28" s="119"/>
      <c r="S28" s="121"/>
      <c r="T28" s="109" t="s">
        <v>97</v>
      </c>
      <c r="U28" s="109" t="s">
        <v>96</v>
      </c>
      <c r="V28" s="109" t="s">
        <v>96</v>
      </c>
      <c r="W28" s="109" t="s">
        <v>96</v>
      </c>
      <c r="X28" s="109" t="s">
        <v>96</v>
      </c>
      <c r="Y28" s="109" t="s">
        <v>96</v>
      </c>
      <c r="Z28" s="109" t="s">
        <v>96</v>
      </c>
      <c r="AA28" s="109" t="s">
        <v>96</v>
      </c>
      <c r="AB28" s="9"/>
      <c r="AC28" s="9"/>
      <c r="AD28" s="130"/>
      <c r="AE28" s="9"/>
      <c r="AF28" s="123"/>
      <c r="AG28" s="123"/>
      <c r="AH28" s="123"/>
      <c r="AI28" s="123"/>
      <c r="AJ28" s="124"/>
      <c r="AK28" s="125"/>
      <c r="AL28" s="126"/>
      <c r="AM28" s="127"/>
      <c r="AN28" s="126"/>
      <c r="AO28" s="128"/>
      <c r="AP28" s="129"/>
      <c r="AQ28" s="126"/>
      <c r="AR28" s="70" t="s">
        <v>96</v>
      </c>
      <c r="AS28" s="141"/>
    </row>
    <row r="29" spans="1:45" ht="11.25" customHeight="1">
      <c r="A29" s="117" t="s">
        <v>144</v>
      </c>
      <c r="B29" s="110" t="s">
        <v>91</v>
      </c>
      <c r="C29" s="110" t="s">
        <v>143</v>
      </c>
      <c r="D29" s="118" t="s">
        <v>107</v>
      </c>
      <c r="E29" s="119">
        <v>44917</v>
      </c>
      <c r="F29" s="119">
        <v>47109</v>
      </c>
      <c r="G29" s="50"/>
      <c r="H29" s="50">
        <v>1096519.02</v>
      </c>
      <c r="I29" s="120">
        <v>1096519.02</v>
      </c>
      <c r="J29" s="120"/>
      <c r="K29" s="27"/>
      <c r="L29" s="27"/>
      <c r="M29" s="27"/>
      <c r="N29" s="27"/>
      <c r="O29" s="14"/>
      <c r="P29" s="121" t="s">
        <v>95</v>
      </c>
      <c r="Q29" s="121" t="s">
        <v>96</v>
      </c>
      <c r="R29" s="119"/>
      <c r="S29" s="121"/>
      <c r="T29" s="109" t="s">
        <v>97</v>
      </c>
      <c r="U29" s="109" t="s">
        <v>96</v>
      </c>
      <c r="V29" s="109" t="s">
        <v>96</v>
      </c>
      <c r="W29" s="109" t="s">
        <v>96</v>
      </c>
      <c r="X29" s="109" t="s">
        <v>96</v>
      </c>
      <c r="Y29" s="109" t="s">
        <v>96</v>
      </c>
      <c r="Z29" s="109" t="s">
        <v>96</v>
      </c>
      <c r="AA29" s="109" t="s">
        <v>96</v>
      </c>
      <c r="AB29" s="9"/>
      <c r="AC29" s="9"/>
      <c r="AD29" s="130"/>
      <c r="AE29" s="9"/>
      <c r="AF29" s="123"/>
      <c r="AG29" s="123"/>
      <c r="AH29" s="123"/>
      <c r="AI29" s="123"/>
      <c r="AJ29" s="124"/>
      <c r="AK29" s="125"/>
      <c r="AL29" s="126"/>
      <c r="AM29" s="126"/>
      <c r="AN29" s="126"/>
      <c r="AO29" s="128"/>
      <c r="AP29" s="129"/>
      <c r="AQ29" s="126"/>
      <c r="AR29" s="70" t="s">
        <v>96</v>
      </c>
      <c r="AS29" s="141"/>
    </row>
    <row r="30" spans="1:45" ht="11.25" customHeight="1">
      <c r="A30" s="117" t="s">
        <v>145</v>
      </c>
      <c r="B30" s="110" t="s">
        <v>110</v>
      </c>
      <c r="C30" s="110" t="s">
        <v>143</v>
      </c>
      <c r="D30" s="118" t="s">
        <v>111</v>
      </c>
      <c r="E30" s="119">
        <v>44957</v>
      </c>
      <c r="F30" s="119">
        <v>47149</v>
      </c>
      <c r="G30" s="50"/>
      <c r="H30" s="50">
        <v>1260869.57</v>
      </c>
      <c r="I30" s="50">
        <v>1260869.57</v>
      </c>
      <c r="J30" s="120"/>
      <c r="K30" s="27"/>
      <c r="L30" s="27"/>
      <c r="M30" s="27"/>
      <c r="N30" s="27"/>
      <c r="O30" s="14"/>
      <c r="P30" s="121" t="s">
        <v>95</v>
      </c>
      <c r="Q30" s="121" t="s">
        <v>96</v>
      </c>
      <c r="R30" s="119"/>
      <c r="S30" s="121"/>
      <c r="T30" s="109" t="s">
        <v>97</v>
      </c>
      <c r="U30" s="109" t="s">
        <v>96</v>
      </c>
      <c r="V30" s="109" t="s">
        <v>96</v>
      </c>
      <c r="W30" s="109" t="s">
        <v>96</v>
      </c>
      <c r="X30" s="109" t="s">
        <v>96</v>
      </c>
      <c r="Y30" s="109" t="s">
        <v>96</v>
      </c>
      <c r="Z30" s="109" t="s">
        <v>96</v>
      </c>
      <c r="AA30" s="109" t="s">
        <v>96</v>
      </c>
      <c r="AB30" s="9"/>
      <c r="AC30" s="9"/>
      <c r="AD30" s="130"/>
      <c r="AE30" s="9"/>
      <c r="AF30" s="123"/>
      <c r="AG30" s="123"/>
      <c r="AH30" s="123"/>
      <c r="AI30" s="123"/>
      <c r="AJ30" s="124"/>
      <c r="AK30" s="125"/>
      <c r="AL30" s="126"/>
      <c r="AM30" s="127"/>
      <c r="AN30" s="126"/>
      <c r="AO30" s="128"/>
      <c r="AP30" s="129"/>
      <c r="AQ30" s="126"/>
      <c r="AR30" s="70" t="s">
        <v>96</v>
      </c>
      <c r="AS30" s="141"/>
    </row>
    <row r="31" spans="1:45" ht="11.25" customHeight="1">
      <c r="A31" s="117" t="s">
        <v>146</v>
      </c>
      <c r="B31" s="110" t="s">
        <v>115</v>
      </c>
      <c r="C31" s="110" t="s">
        <v>143</v>
      </c>
      <c r="D31" s="118" t="s">
        <v>116</v>
      </c>
      <c r="E31" s="119">
        <v>44957</v>
      </c>
      <c r="F31" s="119">
        <v>47149</v>
      </c>
      <c r="G31" s="50"/>
      <c r="H31" s="50">
        <v>437000</v>
      </c>
      <c r="I31" s="120">
        <v>437000</v>
      </c>
      <c r="J31" s="120"/>
      <c r="K31" s="27"/>
      <c r="L31" s="27"/>
      <c r="M31" s="27"/>
      <c r="N31" s="27"/>
      <c r="O31" s="14"/>
      <c r="P31" s="121" t="s">
        <v>95</v>
      </c>
      <c r="Q31" s="121" t="s">
        <v>96</v>
      </c>
      <c r="R31" s="119"/>
      <c r="S31" s="121"/>
      <c r="T31" s="109" t="s">
        <v>97</v>
      </c>
      <c r="U31" s="109" t="s">
        <v>96</v>
      </c>
      <c r="V31" s="109" t="s">
        <v>96</v>
      </c>
      <c r="W31" s="109" t="s">
        <v>96</v>
      </c>
      <c r="X31" s="109" t="s">
        <v>96</v>
      </c>
      <c r="Y31" s="109" t="s">
        <v>96</v>
      </c>
      <c r="Z31" s="109" t="s">
        <v>96</v>
      </c>
      <c r="AA31" s="109" t="s">
        <v>96</v>
      </c>
      <c r="AB31" s="9"/>
      <c r="AC31" s="9"/>
      <c r="AD31" s="130"/>
      <c r="AE31" s="9"/>
      <c r="AF31" s="123"/>
      <c r="AG31" s="123"/>
      <c r="AH31" s="123"/>
      <c r="AI31" s="123"/>
      <c r="AJ31" s="124"/>
      <c r="AK31" s="125"/>
      <c r="AL31" s="126"/>
      <c r="AM31" s="127"/>
      <c r="AN31" s="126"/>
      <c r="AO31" s="128"/>
      <c r="AP31" s="129"/>
      <c r="AQ31" s="126"/>
      <c r="AR31" s="70" t="s">
        <v>96</v>
      </c>
      <c r="AS31" s="141"/>
    </row>
    <row r="32" spans="1:45" ht="11.25" customHeight="1">
      <c r="A32" s="117" t="s">
        <v>147</v>
      </c>
      <c r="B32" s="110" t="s">
        <v>123</v>
      </c>
      <c r="C32" s="110" t="s">
        <v>143</v>
      </c>
      <c r="D32" s="118" t="s">
        <v>116</v>
      </c>
      <c r="E32" s="119">
        <v>44958</v>
      </c>
      <c r="F32" s="119">
        <v>46188</v>
      </c>
      <c r="G32" s="50"/>
      <c r="H32" s="50">
        <v>277777.78000000003</v>
      </c>
      <c r="I32" s="50">
        <v>277777.78000000003</v>
      </c>
      <c r="J32" s="50"/>
      <c r="K32" s="27"/>
      <c r="L32" s="27"/>
      <c r="M32" s="27"/>
      <c r="N32" s="27"/>
      <c r="O32" s="14"/>
      <c r="P32" s="121" t="s">
        <v>95</v>
      </c>
      <c r="Q32" s="121" t="s">
        <v>96</v>
      </c>
      <c r="R32" s="119"/>
      <c r="S32" s="121"/>
      <c r="T32" s="109" t="s">
        <v>97</v>
      </c>
      <c r="U32" s="109" t="s">
        <v>96</v>
      </c>
      <c r="V32" s="109" t="s">
        <v>96</v>
      </c>
      <c r="W32" s="109" t="s">
        <v>96</v>
      </c>
      <c r="X32" s="109" t="s">
        <v>96</v>
      </c>
      <c r="Y32" s="109" t="s">
        <v>96</v>
      </c>
      <c r="Z32" s="109" t="s">
        <v>96</v>
      </c>
      <c r="AA32" s="109" t="s">
        <v>96</v>
      </c>
      <c r="AB32" s="9"/>
      <c r="AC32" s="9"/>
      <c r="AD32" s="130"/>
      <c r="AE32" s="9"/>
      <c r="AF32" s="123"/>
      <c r="AG32" s="123"/>
      <c r="AH32" s="123"/>
      <c r="AI32" s="123"/>
      <c r="AJ32" s="124"/>
      <c r="AK32" s="125"/>
      <c r="AL32" s="126"/>
      <c r="AM32" s="127"/>
      <c r="AN32" s="126"/>
      <c r="AO32" s="128"/>
      <c r="AP32" s="129"/>
      <c r="AQ32" s="126"/>
      <c r="AR32" s="70" t="s">
        <v>96</v>
      </c>
      <c r="AS32" s="141"/>
    </row>
    <row r="33" spans="1:45" ht="11.25" customHeight="1">
      <c r="A33" s="117" t="s">
        <v>125</v>
      </c>
      <c r="B33" s="110" t="s">
        <v>126</v>
      </c>
      <c r="C33" s="110" t="s">
        <v>143</v>
      </c>
      <c r="D33" s="118" t="s">
        <v>120</v>
      </c>
      <c r="E33" s="119">
        <v>44980</v>
      </c>
      <c r="F33" s="119">
        <v>46806</v>
      </c>
      <c r="G33" s="50"/>
      <c r="H33" s="50">
        <v>488571.43</v>
      </c>
      <c r="I33" s="120">
        <v>488571.43</v>
      </c>
      <c r="J33" s="120"/>
      <c r="K33" s="27"/>
      <c r="L33" s="27"/>
      <c r="M33" s="27"/>
      <c r="N33" s="27"/>
      <c r="O33" s="14"/>
      <c r="P33" s="121" t="s">
        <v>95</v>
      </c>
      <c r="Q33" s="121" t="s">
        <v>96</v>
      </c>
      <c r="R33" s="119"/>
      <c r="S33" s="121"/>
      <c r="T33" s="109" t="s">
        <v>97</v>
      </c>
      <c r="U33" s="109" t="s">
        <v>96</v>
      </c>
      <c r="V33" s="109" t="s">
        <v>96</v>
      </c>
      <c r="W33" s="109" t="s">
        <v>96</v>
      </c>
      <c r="X33" s="109" t="s">
        <v>96</v>
      </c>
      <c r="Y33" s="109" t="s">
        <v>96</v>
      </c>
      <c r="Z33" s="109" t="s">
        <v>96</v>
      </c>
      <c r="AA33" s="109" t="s">
        <v>96</v>
      </c>
      <c r="AB33" s="9"/>
      <c r="AC33" s="9"/>
      <c r="AD33" s="130"/>
      <c r="AE33" s="9"/>
      <c r="AF33" s="123"/>
      <c r="AG33" s="123"/>
      <c r="AH33" s="123"/>
      <c r="AI33" s="123"/>
      <c r="AJ33" s="124"/>
      <c r="AK33" s="125"/>
      <c r="AL33" s="126"/>
      <c r="AM33" s="127"/>
      <c r="AN33" s="126"/>
      <c r="AO33" s="128"/>
      <c r="AP33" s="129"/>
      <c r="AQ33" s="126"/>
      <c r="AR33" s="70" t="s">
        <v>96</v>
      </c>
      <c r="AS33" s="90"/>
    </row>
    <row r="34" spans="1:45" ht="11.25" customHeight="1">
      <c r="A34" s="117" t="s">
        <v>136</v>
      </c>
      <c r="B34" s="117" t="s">
        <v>136</v>
      </c>
      <c r="C34" s="110" t="s">
        <v>143</v>
      </c>
      <c r="D34" s="118" t="s">
        <v>137</v>
      </c>
      <c r="E34" s="119">
        <v>45021</v>
      </c>
      <c r="F34" s="119">
        <v>46358</v>
      </c>
      <c r="G34" s="50"/>
      <c r="H34" s="50">
        <v>270270</v>
      </c>
      <c r="I34" s="132">
        <v>270270</v>
      </c>
      <c r="J34" s="120"/>
      <c r="K34" s="27"/>
      <c r="L34" s="27"/>
      <c r="M34" s="27"/>
      <c r="N34" s="27"/>
      <c r="O34" s="14"/>
      <c r="P34" s="121" t="s">
        <v>95</v>
      </c>
      <c r="Q34" s="121" t="s">
        <v>96</v>
      </c>
      <c r="R34" s="119"/>
      <c r="S34" s="121"/>
      <c r="T34" s="109" t="s">
        <v>97</v>
      </c>
      <c r="U34" s="109" t="s">
        <v>96</v>
      </c>
      <c r="V34" s="109" t="s">
        <v>96</v>
      </c>
      <c r="W34" s="109" t="s">
        <v>96</v>
      </c>
      <c r="X34" s="109" t="s">
        <v>96</v>
      </c>
      <c r="Y34" s="109" t="s">
        <v>96</v>
      </c>
      <c r="Z34" s="109" t="s">
        <v>96</v>
      </c>
      <c r="AA34" s="109" t="s">
        <v>96</v>
      </c>
      <c r="AB34" s="9"/>
      <c r="AC34" s="9"/>
      <c r="AD34" s="130"/>
      <c r="AE34" s="9"/>
      <c r="AF34" s="123"/>
      <c r="AG34" s="123"/>
      <c r="AH34" s="123"/>
      <c r="AI34" s="123"/>
      <c r="AJ34" s="124"/>
      <c r="AK34" s="125"/>
      <c r="AL34" s="126"/>
      <c r="AM34" s="126"/>
      <c r="AN34" s="126"/>
      <c r="AO34" s="128"/>
      <c r="AP34" s="129"/>
      <c r="AQ34" s="126"/>
      <c r="AR34" s="70" t="s">
        <v>96</v>
      </c>
      <c r="AS34" s="90"/>
    </row>
    <row r="35" spans="1:45" ht="11.25" customHeight="1">
      <c r="A35" s="117" t="s">
        <v>148</v>
      </c>
      <c r="B35" s="110" t="s">
        <v>106</v>
      </c>
      <c r="C35" s="110" t="s">
        <v>143</v>
      </c>
      <c r="D35" s="118" t="s">
        <v>107</v>
      </c>
      <c r="E35" s="119">
        <v>44923</v>
      </c>
      <c r="F35" s="119">
        <v>47115</v>
      </c>
      <c r="G35" s="50"/>
      <c r="H35" s="50">
        <v>992481.21</v>
      </c>
      <c r="I35" s="120">
        <v>992481.21</v>
      </c>
      <c r="J35" s="120"/>
      <c r="K35" s="27"/>
      <c r="L35" s="27"/>
      <c r="M35" s="27"/>
      <c r="N35" s="27"/>
      <c r="O35" s="14"/>
      <c r="P35" s="121" t="s">
        <v>95</v>
      </c>
      <c r="Q35" s="121" t="s">
        <v>96</v>
      </c>
      <c r="R35" s="119"/>
      <c r="S35" s="121"/>
      <c r="T35" s="109" t="s">
        <v>97</v>
      </c>
      <c r="U35" s="109" t="s">
        <v>96</v>
      </c>
      <c r="V35" s="109" t="s">
        <v>96</v>
      </c>
      <c r="W35" s="109" t="s">
        <v>96</v>
      </c>
      <c r="X35" s="109" t="s">
        <v>96</v>
      </c>
      <c r="Y35" s="109" t="s">
        <v>96</v>
      </c>
      <c r="Z35" s="109" t="s">
        <v>96</v>
      </c>
      <c r="AA35" s="109" t="s">
        <v>96</v>
      </c>
      <c r="AB35" s="9"/>
      <c r="AC35" s="9"/>
      <c r="AD35" s="130"/>
      <c r="AE35" s="9"/>
      <c r="AF35" s="123"/>
      <c r="AG35" s="123"/>
      <c r="AH35" s="123"/>
      <c r="AI35" s="123"/>
      <c r="AJ35" s="124"/>
      <c r="AK35" s="125"/>
      <c r="AL35" s="126"/>
      <c r="AM35" s="127"/>
      <c r="AN35" s="126"/>
      <c r="AO35" s="128"/>
      <c r="AP35" s="129"/>
      <c r="AQ35" s="126"/>
      <c r="AR35" s="70" t="s">
        <v>96</v>
      </c>
      <c r="AS35" s="141"/>
    </row>
    <row r="36" spans="1:45" ht="11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93"/>
      <c r="L36" s="93"/>
      <c r="M36" s="93"/>
      <c r="N36" s="9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ht="11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93"/>
      <c r="L37" s="93"/>
      <c r="M37" s="93"/>
      <c r="N37" s="93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ht="11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93"/>
      <c r="L38" s="93"/>
      <c r="M38" s="93"/>
      <c r="N38" s="93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ht="11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93"/>
      <c r="L39" s="93"/>
      <c r="M39" s="93"/>
      <c r="N39" s="93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ht="11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93"/>
      <c r="L40" s="93"/>
      <c r="M40" s="93"/>
      <c r="N40" s="9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ht="11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93"/>
      <c r="L41" s="93"/>
      <c r="M41" s="93"/>
      <c r="N41" s="93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ht="11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93"/>
      <c r="L42" s="93"/>
      <c r="M42" s="93"/>
      <c r="N42" s="93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ht="11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93"/>
      <c r="L43" s="93"/>
      <c r="M43" s="93"/>
      <c r="N43" s="93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ht="11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93"/>
      <c r="L44" s="93"/>
      <c r="M44" s="93"/>
      <c r="N44" s="93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ht="11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93"/>
      <c r="L45" s="93"/>
      <c r="M45" s="93"/>
      <c r="N45" s="93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ht="11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93"/>
      <c r="L46" s="93"/>
      <c r="M46" s="93"/>
      <c r="N46" s="93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ht="11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93"/>
      <c r="L47" s="93"/>
      <c r="M47" s="93"/>
      <c r="N47" s="93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ht="11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93"/>
      <c r="L48" s="93"/>
      <c r="M48" s="93"/>
      <c r="N48" s="93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ht="11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93"/>
      <c r="L49" s="93"/>
      <c r="M49" s="93"/>
      <c r="N49" s="93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ht="11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93"/>
      <c r="L50" s="93"/>
      <c r="M50" s="93"/>
      <c r="N50" s="93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ht="11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93"/>
      <c r="L51" s="93"/>
      <c r="M51" s="93"/>
      <c r="N51" s="93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ht="11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93"/>
      <c r="L52" s="93"/>
      <c r="M52" s="93"/>
      <c r="N52" s="93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ht="11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93"/>
      <c r="L53" s="93"/>
      <c r="M53" s="93"/>
      <c r="N53" s="93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ht="11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93"/>
      <c r="L54" s="93"/>
      <c r="M54" s="93"/>
      <c r="N54" s="93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ht="11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93"/>
      <c r="L55" s="93"/>
      <c r="M55" s="93"/>
      <c r="N55" s="93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ht="11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93"/>
      <c r="L56" s="93"/>
      <c r="M56" s="93"/>
      <c r="N56" s="93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ht="11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93"/>
      <c r="L57" s="93"/>
      <c r="M57" s="93"/>
      <c r="N57" s="93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ht="11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93"/>
      <c r="L58" s="93"/>
      <c r="M58" s="93"/>
      <c r="N58" s="93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ht="11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93"/>
      <c r="L59" s="93"/>
      <c r="M59" s="93"/>
      <c r="N59" s="93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ht="11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93"/>
      <c r="L60" s="93"/>
      <c r="M60" s="93"/>
      <c r="N60" s="93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ht="11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93"/>
      <c r="L61" s="93"/>
      <c r="M61" s="93"/>
      <c r="N61" s="93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ht="11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93"/>
      <c r="L62" s="93"/>
      <c r="M62" s="93"/>
      <c r="N62" s="93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ht="11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93"/>
      <c r="L63" s="93"/>
      <c r="M63" s="93"/>
      <c r="N63" s="93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ht="11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93"/>
      <c r="L64" s="93"/>
      <c r="M64" s="93"/>
      <c r="N64" s="93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ht="11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93"/>
      <c r="L65" s="93"/>
      <c r="M65" s="93"/>
      <c r="N65" s="93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ht="11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93"/>
      <c r="L66" s="93"/>
      <c r="M66" s="93"/>
      <c r="N66" s="93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ht="11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93"/>
      <c r="L67" s="93"/>
      <c r="M67" s="93"/>
      <c r="N67" s="93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ht="11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93"/>
      <c r="L68" s="93"/>
      <c r="M68" s="93"/>
      <c r="N68" s="93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ht="11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93"/>
      <c r="L69" s="93"/>
      <c r="M69" s="93"/>
      <c r="N69" s="93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ht="11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93"/>
      <c r="L70" s="93"/>
      <c r="M70" s="93"/>
      <c r="N70" s="93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ht="11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93"/>
      <c r="L71" s="93"/>
      <c r="M71" s="93"/>
      <c r="N71" s="93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ht="11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93"/>
      <c r="L72" s="93"/>
      <c r="M72" s="93"/>
      <c r="N72" s="93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ht="11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93"/>
      <c r="L73" s="93"/>
      <c r="M73" s="93"/>
      <c r="N73" s="93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ht="11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93"/>
      <c r="L74" s="93"/>
      <c r="M74" s="93"/>
      <c r="N74" s="93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ht="11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93"/>
      <c r="L75" s="93"/>
      <c r="M75" s="93"/>
      <c r="N75" s="93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ht="11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93"/>
      <c r="L76" s="93"/>
      <c r="M76" s="93"/>
      <c r="N76" s="93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ht="11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93"/>
      <c r="L77" s="93"/>
      <c r="M77" s="93"/>
      <c r="N77" s="93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ht="11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93"/>
      <c r="L78" s="93"/>
      <c r="M78" s="93"/>
      <c r="N78" s="93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ht="11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93"/>
      <c r="L79" s="93"/>
      <c r="M79" s="93"/>
      <c r="N79" s="93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ht="11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93"/>
      <c r="L80" s="93"/>
      <c r="M80" s="93"/>
      <c r="N80" s="93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ht="11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93"/>
      <c r="L81" s="93"/>
      <c r="M81" s="93"/>
      <c r="N81" s="93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ht="11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93"/>
      <c r="L82" s="93"/>
      <c r="M82" s="93"/>
      <c r="N82" s="9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ht="11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93"/>
      <c r="L83" s="93"/>
      <c r="M83" s="93"/>
      <c r="N83" s="93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ht="11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93"/>
      <c r="L84" s="93"/>
      <c r="M84" s="93"/>
      <c r="N84" s="93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ht="11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93"/>
      <c r="L85" s="93"/>
      <c r="M85" s="93"/>
      <c r="N85" s="93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ht="11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93"/>
      <c r="L86" s="93"/>
      <c r="M86" s="93"/>
      <c r="N86" s="93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ht="11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93"/>
      <c r="L87" s="93"/>
      <c r="M87" s="93"/>
      <c r="N87" s="93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ht="11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93"/>
      <c r="L88" s="93"/>
      <c r="M88" s="93"/>
      <c r="N88" s="93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ht="11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93"/>
      <c r="L89" s="93"/>
      <c r="M89" s="93"/>
      <c r="N89" s="93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ht="11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93"/>
      <c r="L90" s="93"/>
      <c r="M90" s="93"/>
      <c r="N90" s="9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ht="11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93"/>
      <c r="L91" s="93"/>
      <c r="M91" s="93"/>
      <c r="N91" s="93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ht="11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93"/>
      <c r="L92" s="93"/>
      <c r="M92" s="93"/>
      <c r="N92" s="93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ht="11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93"/>
      <c r="L93" s="93"/>
      <c r="M93" s="93"/>
      <c r="N93" s="93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ht="11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93"/>
      <c r="L94" s="93"/>
      <c r="M94" s="93"/>
      <c r="N94" s="93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ht="11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93"/>
      <c r="L95" s="93"/>
      <c r="M95" s="93"/>
      <c r="N95" s="93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ht="11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93"/>
      <c r="L96" s="93"/>
      <c r="M96" s="93"/>
      <c r="N96" s="93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ht="11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93"/>
      <c r="L97" s="93"/>
      <c r="M97" s="93"/>
      <c r="N97" s="93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ht="11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93"/>
      <c r="L98" s="93"/>
      <c r="M98" s="93"/>
      <c r="N98" s="93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ht="11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93"/>
      <c r="L99" s="93"/>
      <c r="M99" s="93"/>
      <c r="N99" s="93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ht="11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93"/>
      <c r="L100" s="93"/>
      <c r="M100" s="93"/>
      <c r="N100" s="93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ht="11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93"/>
      <c r="L101" s="93"/>
      <c r="M101" s="93"/>
      <c r="N101" s="93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ht="11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93"/>
      <c r="L102" s="93"/>
      <c r="M102" s="93"/>
      <c r="N102" s="93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ht="11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93"/>
      <c r="L103" s="93"/>
      <c r="M103" s="93"/>
      <c r="N103" s="93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ht="11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93"/>
      <c r="L104" s="93"/>
      <c r="M104" s="93"/>
      <c r="N104" s="93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ht="11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93"/>
      <c r="L105" s="93"/>
      <c r="M105" s="93"/>
      <c r="N105" s="93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ht="11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93"/>
      <c r="L106" s="93"/>
      <c r="M106" s="93"/>
      <c r="N106" s="93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ht="11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93"/>
      <c r="L107" s="93"/>
      <c r="M107" s="93"/>
      <c r="N107" s="93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ht="11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93"/>
      <c r="L108" s="93"/>
      <c r="M108" s="93"/>
      <c r="N108" s="93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ht="11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93"/>
      <c r="L109" s="93"/>
      <c r="M109" s="93"/>
      <c r="N109" s="93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ht="11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93"/>
      <c r="L110" s="93"/>
      <c r="M110" s="93"/>
      <c r="N110" s="93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ht="11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93"/>
      <c r="L111" s="93"/>
      <c r="M111" s="93"/>
      <c r="N111" s="93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ht="11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93"/>
      <c r="L112" s="93"/>
      <c r="M112" s="93"/>
      <c r="N112" s="93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ht="11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93"/>
      <c r="L113" s="93"/>
      <c r="M113" s="93"/>
      <c r="N113" s="93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ht="11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93"/>
      <c r="L114" s="93"/>
      <c r="M114" s="93"/>
      <c r="N114" s="9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ht="11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93"/>
      <c r="L115" s="93"/>
      <c r="M115" s="93"/>
      <c r="N115" s="93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ht="11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93"/>
      <c r="L116" s="93"/>
      <c r="M116" s="93"/>
      <c r="N116" s="9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ht="11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93"/>
      <c r="L117" s="93"/>
      <c r="M117" s="93"/>
      <c r="N117" s="93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ht="11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93"/>
      <c r="L118" s="93"/>
      <c r="M118" s="93"/>
      <c r="N118" s="93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ht="11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93"/>
      <c r="L119" s="93"/>
      <c r="M119" s="93"/>
      <c r="N119" s="93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ht="11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93"/>
      <c r="L120" s="93"/>
      <c r="M120" s="93"/>
      <c r="N120" s="93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ht="11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93"/>
      <c r="L121" s="93"/>
      <c r="M121" s="93"/>
      <c r="N121" s="93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ht="11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93"/>
      <c r="L122" s="93"/>
      <c r="M122" s="93"/>
      <c r="N122" s="93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ht="11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93"/>
      <c r="L123" s="93"/>
      <c r="M123" s="93"/>
      <c r="N123" s="93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ht="11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93"/>
      <c r="L124" s="93"/>
      <c r="M124" s="93"/>
      <c r="N124" s="93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ht="11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93"/>
      <c r="L125" s="93"/>
      <c r="M125" s="93"/>
      <c r="N125" s="93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ht="11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93"/>
      <c r="L126" s="93"/>
      <c r="M126" s="93"/>
      <c r="N126" s="93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ht="11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93"/>
      <c r="L127" s="93"/>
      <c r="M127" s="93"/>
      <c r="N127" s="93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ht="11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93"/>
      <c r="L128" s="93"/>
      <c r="M128" s="93"/>
      <c r="N128" s="93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ht="11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93"/>
      <c r="L129" s="93"/>
      <c r="M129" s="93"/>
      <c r="N129" s="93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ht="11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93"/>
      <c r="L130" s="93"/>
      <c r="M130" s="93"/>
      <c r="N130" s="93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ht="11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93"/>
      <c r="L131" s="93"/>
      <c r="M131" s="93"/>
      <c r="N131" s="93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ht="11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93"/>
      <c r="L132" s="93"/>
      <c r="M132" s="93"/>
      <c r="N132" s="93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ht="11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93"/>
      <c r="L133" s="93"/>
      <c r="M133" s="93"/>
      <c r="N133" s="93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ht="11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93"/>
      <c r="L134" s="93"/>
      <c r="M134" s="93"/>
      <c r="N134" s="93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ht="11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93"/>
      <c r="L135" s="93"/>
      <c r="M135" s="93"/>
      <c r="N135" s="93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ht="11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93"/>
      <c r="L136" s="93"/>
      <c r="M136" s="93"/>
      <c r="N136" s="93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ht="11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93"/>
      <c r="L137" s="93"/>
      <c r="M137" s="93"/>
      <c r="N137" s="93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ht="11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93"/>
      <c r="L138" s="93"/>
      <c r="M138" s="93"/>
      <c r="N138" s="93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ht="11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93"/>
      <c r="L139" s="93"/>
      <c r="M139" s="93"/>
      <c r="N139" s="93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ht="11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93"/>
      <c r="L140" s="93"/>
      <c r="M140" s="93"/>
      <c r="N140" s="93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ht="11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93"/>
      <c r="L141" s="93"/>
      <c r="M141" s="93"/>
      <c r="N141" s="93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ht="11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93"/>
      <c r="L142" s="93"/>
      <c r="M142" s="93"/>
      <c r="N142" s="93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ht="11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93"/>
      <c r="L143" s="93"/>
      <c r="M143" s="93"/>
      <c r="N143" s="93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ht="11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93"/>
      <c r="L144" s="93"/>
      <c r="M144" s="93"/>
      <c r="N144" s="93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ht="11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93"/>
      <c r="L145" s="93"/>
      <c r="M145" s="93"/>
      <c r="N145" s="93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ht="11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93"/>
      <c r="L146" s="93"/>
      <c r="M146" s="93"/>
      <c r="N146" s="93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ht="11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93"/>
      <c r="L147" s="93"/>
      <c r="M147" s="93"/>
      <c r="N147" s="93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ht="11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93"/>
      <c r="L148" s="93"/>
      <c r="M148" s="93"/>
      <c r="N148" s="93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ht="11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93"/>
      <c r="L149" s="93"/>
      <c r="M149" s="93"/>
      <c r="N149" s="93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ht="11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93"/>
      <c r="L150" s="93"/>
      <c r="M150" s="93"/>
      <c r="N150" s="93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ht="11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93"/>
      <c r="L151" s="93"/>
      <c r="M151" s="93"/>
      <c r="N151" s="93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ht="11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93"/>
      <c r="L152" s="93"/>
      <c r="M152" s="93"/>
      <c r="N152" s="93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ht="11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93"/>
      <c r="L153" s="93"/>
      <c r="M153" s="93"/>
      <c r="N153" s="93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ht="11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93"/>
      <c r="L154" s="93"/>
      <c r="M154" s="93"/>
      <c r="N154" s="9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ht="11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93"/>
      <c r="L155" s="93"/>
      <c r="M155" s="93"/>
      <c r="N155" s="93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ht="11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93"/>
      <c r="L156" s="93"/>
      <c r="M156" s="93"/>
      <c r="N156" s="93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ht="11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93"/>
      <c r="L157" s="93"/>
      <c r="M157" s="93"/>
      <c r="N157" s="9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ht="11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93"/>
      <c r="L158" s="93"/>
      <c r="M158" s="93"/>
      <c r="N158" s="9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ht="11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93"/>
      <c r="L159" s="93"/>
      <c r="M159" s="93"/>
      <c r="N159" s="9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ht="11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93"/>
      <c r="L160" s="93"/>
      <c r="M160" s="93"/>
      <c r="N160" s="9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ht="11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93"/>
      <c r="L161" s="93"/>
      <c r="M161" s="93"/>
      <c r="N161" s="9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ht="11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93"/>
      <c r="L162" s="93"/>
      <c r="M162" s="93"/>
      <c r="N162" s="9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ht="11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93"/>
      <c r="L163" s="93"/>
      <c r="M163" s="93"/>
      <c r="N163" s="93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ht="11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93"/>
      <c r="L164" s="93"/>
      <c r="M164" s="93"/>
      <c r="N164" s="93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ht="11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93"/>
      <c r="L165" s="93"/>
      <c r="M165" s="93"/>
      <c r="N165" s="93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ht="11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93"/>
      <c r="L166" s="93"/>
      <c r="M166" s="93"/>
      <c r="N166" s="9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ht="11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93"/>
      <c r="L167" s="93"/>
      <c r="M167" s="93"/>
      <c r="N167" s="9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ht="11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93"/>
      <c r="L168" s="93"/>
      <c r="M168" s="93"/>
      <c r="N168" s="93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ht="11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93"/>
      <c r="L169" s="93"/>
      <c r="M169" s="93"/>
      <c r="N169" s="93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ht="11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93"/>
      <c r="L170" s="93"/>
      <c r="M170" s="93"/>
      <c r="N170" s="9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ht="11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93"/>
      <c r="L171" s="93"/>
      <c r="M171" s="93"/>
      <c r="N171" s="9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ht="11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93"/>
      <c r="L172" s="93"/>
      <c r="M172" s="93"/>
      <c r="N172" s="9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  <row r="173" spans="1:45" ht="11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93"/>
      <c r="L173" s="93"/>
      <c r="M173" s="93"/>
      <c r="N173" s="9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</row>
    <row r="174" spans="1:45" ht="11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93"/>
      <c r="L174" s="93"/>
      <c r="M174" s="93"/>
      <c r="N174" s="9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</row>
    <row r="175" spans="1:45" ht="11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93"/>
      <c r="L175" s="93"/>
      <c r="M175" s="93"/>
      <c r="N175" s="9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</row>
    <row r="176" spans="1:45" ht="11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93"/>
      <c r="L176" s="93"/>
      <c r="M176" s="93"/>
      <c r="N176" s="9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</row>
    <row r="177" spans="1:45" ht="11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93"/>
      <c r="L177" s="93"/>
      <c r="M177" s="93"/>
      <c r="N177" s="93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</row>
    <row r="178" spans="1:45" ht="11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93"/>
      <c r="L178" s="93"/>
      <c r="M178" s="93"/>
      <c r="N178" s="93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</row>
    <row r="179" spans="1:45" ht="11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93"/>
      <c r="L179" s="93"/>
      <c r="M179" s="93"/>
      <c r="N179" s="93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</row>
    <row r="180" spans="1:45" ht="11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93"/>
      <c r="L180" s="93"/>
      <c r="M180" s="93"/>
      <c r="N180" s="93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</row>
    <row r="181" spans="1:45" ht="11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93"/>
      <c r="L181" s="93"/>
      <c r="M181" s="93"/>
      <c r="N181" s="93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</row>
    <row r="182" spans="1:45" ht="11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93"/>
      <c r="L182" s="93"/>
      <c r="M182" s="93"/>
      <c r="N182" s="9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</row>
    <row r="183" spans="1:45" ht="11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93"/>
      <c r="L183" s="93"/>
      <c r="M183" s="93"/>
      <c r="N183" s="93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</row>
    <row r="184" spans="1:45" ht="11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93"/>
      <c r="L184" s="93"/>
      <c r="M184" s="93"/>
      <c r="N184" s="9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</row>
    <row r="185" spans="1:45" ht="11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93"/>
      <c r="L185" s="93"/>
      <c r="M185" s="93"/>
      <c r="N185" s="93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</row>
    <row r="186" spans="1:45" ht="11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93"/>
      <c r="L186" s="93"/>
      <c r="M186" s="93"/>
      <c r="N186" s="9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</row>
    <row r="187" spans="1:45" ht="11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93"/>
      <c r="L187" s="93"/>
      <c r="M187" s="93"/>
      <c r="N187" s="93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</row>
    <row r="188" spans="1:45" ht="11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93"/>
      <c r="L188" s="93"/>
      <c r="M188" s="93"/>
      <c r="N188" s="9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</row>
    <row r="189" spans="1:45" ht="11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93"/>
      <c r="L189" s="93"/>
      <c r="M189" s="93"/>
      <c r="N189" s="93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</row>
    <row r="190" spans="1:45" ht="11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93"/>
      <c r="L190" s="93"/>
      <c r="M190" s="93"/>
      <c r="N190" s="9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</row>
    <row r="191" spans="1:45" ht="11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93"/>
      <c r="L191" s="93"/>
      <c r="M191" s="93"/>
      <c r="N191" s="93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</row>
    <row r="192" spans="1:45" ht="11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93"/>
      <c r="L192" s="93"/>
      <c r="M192" s="93"/>
      <c r="N192" s="93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</row>
    <row r="193" spans="1:45" ht="11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93"/>
      <c r="L193" s="93"/>
      <c r="M193" s="93"/>
      <c r="N193" s="93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</row>
    <row r="194" spans="1:45" ht="11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93"/>
      <c r="L194" s="93"/>
      <c r="M194" s="93"/>
      <c r="N194" s="9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</row>
    <row r="195" spans="1:45" ht="11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93"/>
      <c r="L195" s="93"/>
      <c r="M195" s="93"/>
      <c r="N195" s="93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</row>
    <row r="196" spans="1:45" ht="11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93"/>
      <c r="L196" s="93"/>
      <c r="M196" s="93"/>
      <c r="N196" s="9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</row>
    <row r="197" spans="1:45" ht="11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93"/>
      <c r="L197" s="93"/>
      <c r="M197" s="93"/>
      <c r="N197" s="93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</row>
    <row r="198" spans="1:45" ht="11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93"/>
      <c r="L198" s="93"/>
      <c r="M198" s="93"/>
      <c r="N198" s="9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</row>
    <row r="199" spans="1:45" ht="11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93"/>
      <c r="L199" s="93"/>
      <c r="M199" s="93"/>
      <c r="N199" s="93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</row>
    <row r="200" spans="1:45" ht="11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93"/>
      <c r="L200" s="93"/>
      <c r="M200" s="93"/>
      <c r="N200" s="9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</row>
    <row r="201" spans="1:45" ht="11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93"/>
      <c r="L201" s="93"/>
      <c r="M201" s="93"/>
      <c r="N201" s="93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</row>
    <row r="202" spans="1:45" ht="11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93"/>
      <c r="L202" s="93"/>
      <c r="M202" s="93"/>
      <c r="N202" s="9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</row>
    <row r="203" spans="1:45" ht="11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93"/>
      <c r="L203" s="93"/>
      <c r="M203" s="93"/>
      <c r="N203" s="93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</row>
    <row r="204" spans="1:45" ht="11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93"/>
      <c r="L204" s="93"/>
      <c r="M204" s="93"/>
      <c r="N204" s="9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</row>
    <row r="205" spans="1:45" ht="11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93"/>
      <c r="L205" s="93"/>
      <c r="M205" s="93"/>
      <c r="N205" s="93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</row>
    <row r="206" spans="1:45" ht="11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93"/>
      <c r="L206" s="93"/>
      <c r="M206" s="93"/>
      <c r="N206" s="9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</row>
    <row r="207" spans="1:45" ht="11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93"/>
      <c r="L207" s="93"/>
      <c r="M207" s="93"/>
      <c r="N207" s="93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</row>
    <row r="208" spans="1:45" ht="11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93"/>
      <c r="L208" s="93"/>
      <c r="M208" s="93"/>
      <c r="N208" s="9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</row>
    <row r="209" spans="1:45" ht="11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93"/>
      <c r="L209" s="93"/>
      <c r="M209" s="93"/>
      <c r="N209" s="93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</row>
    <row r="210" spans="1:45" ht="11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93"/>
      <c r="L210" s="93"/>
      <c r="M210" s="93"/>
      <c r="N210" s="9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</row>
    <row r="211" spans="1:45" ht="11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93"/>
      <c r="L211" s="93"/>
      <c r="M211" s="93"/>
      <c r="N211" s="93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</row>
    <row r="212" spans="1:45" ht="11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93"/>
      <c r="L212" s="93"/>
      <c r="M212" s="93"/>
      <c r="N212" s="9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</row>
    <row r="213" spans="1:45" ht="11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93"/>
      <c r="L213" s="93"/>
      <c r="M213" s="93"/>
      <c r="N213" s="93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</row>
    <row r="214" spans="1:45" ht="11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93"/>
      <c r="L214" s="93"/>
      <c r="M214" s="93"/>
      <c r="N214" s="9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</row>
    <row r="215" spans="1:45" ht="11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93"/>
      <c r="L215" s="93"/>
      <c r="M215" s="93"/>
      <c r="N215" s="93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</row>
    <row r="216" spans="1:45" ht="11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93"/>
      <c r="L216" s="93"/>
      <c r="M216" s="93"/>
      <c r="N216" s="9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</row>
    <row r="217" spans="1:45" ht="11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93"/>
      <c r="L217" s="93"/>
      <c r="M217" s="93"/>
      <c r="N217" s="93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</row>
    <row r="218" spans="1:45" ht="11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93"/>
      <c r="L218" s="93"/>
      <c r="M218" s="93"/>
      <c r="N218" s="9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</row>
    <row r="219" spans="1:45" ht="11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93"/>
      <c r="L219" s="93"/>
      <c r="M219" s="93"/>
      <c r="N219" s="93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</row>
    <row r="220" spans="1:45" ht="11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93"/>
      <c r="L220" s="93"/>
      <c r="M220" s="93"/>
      <c r="N220" s="9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</row>
    <row r="221" spans="1:45" ht="11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93"/>
      <c r="L221" s="93"/>
      <c r="M221" s="93"/>
      <c r="N221" s="93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</row>
    <row r="222" spans="1:45" ht="11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93"/>
      <c r="L222" s="93"/>
      <c r="M222" s="93"/>
      <c r="N222" s="9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</row>
    <row r="223" spans="1:45" ht="11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93"/>
      <c r="L223" s="93"/>
      <c r="M223" s="93"/>
      <c r="N223" s="93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</row>
    <row r="224" spans="1:45" ht="11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93"/>
      <c r="L224" s="93"/>
      <c r="M224" s="93"/>
      <c r="N224" s="9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</row>
    <row r="225" spans="1:45" ht="11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93"/>
      <c r="L225" s="93"/>
      <c r="M225" s="93"/>
      <c r="N225" s="93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</row>
    <row r="226" spans="1:45" ht="11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93"/>
      <c r="L226" s="93"/>
      <c r="M226" s="93"/>
      <c r="N226" s="9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</row>
    <row r="227" spans="1:45" ht="11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93"/>
      <c r="L227" s="93"/>
      <c r="M227" s="93"/>
      <c r="N227" s="93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</row>
    <row r="228" spans="1:45" ht="11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93"/>
      <c r="L228" s="93"/>
      <c r="M228" s="93"/>
      <c r="N228" s="9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</row>
    <row r="229" spans="1:45" ht="11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93"/>
      <c r="L229" s="93"/>
      <c r="M229" s="93"/>
      <c r="N229" s="93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</row>
    <row r="230" spans="1:45" ht="11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93"/>
      <c r="L230" s="93"/>
      <c r="M230" s="93"/>
      <c r="N230" s="9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</row>
    <row r="231" spans="1:45" ht="11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93"/>
      <c r="L231" s="93"/>
      <c r="M231" s="93"/>
      <c r="N231" s="93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</row>
    <row r="232" spans="1:45" ht="11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93"/>
      <c r="L232" s="93"/>
      <c r="M232" s="93"/>
      <c r="N232" s="9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</row>
    <row r="233" spans="1:45" ht="11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93"/>
      <c r="L233" s="93"/>
      <c r="M233" s="93"/>
      <c r="N233" s="93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</row>
    <row r="234" spans="1:45" ht="11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93"/>
      <c r="L234" s="93"/>
      <c r="M234" s="93"/>
      <c r="N234" s="9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</row>
    <row r="235" spans="1:45" ht="11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93"/>
      <c r="L235" s="93"/>
      <c r="M235" s="93"/>
      <c r="N235" s="93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</row>
    <row r="236" spans="1:45" ht="11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93"/>
      <c r="L236" s="93"/>
      <c r="M236" s="93"/>
      <c r="N236" s="9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</row>
    <row r="237" spans="1:45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93"/>
      <c r="L237" s="93"/>
      <c r="M237" s="93"/>
      <c r="N237" s="93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</row>
    <row r="238" spans="1:45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93"/>
      <c r="L238" s="93"/>
      <c r="M238" s="93"/>
      <c r="N238" s="9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</row>
    <row r="239" spans="1:45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93"/>
      <c r="L239" s="93"/>
      <c r="M239" s="93"/>
      <c r="N239" s="9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</row>
    <row r="240" spans="1:45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93"/>
      <c r="L240" s="93"/>
      <c r="M240" s="93"/>
      <c r="N240" s="9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</row>
    <row r="241" spans="1:45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93"/>
      <c r="L241" s="93"/>
      <c r="M241" s="93"/>
      <c r="N241" s="93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</row>
    <row r="242" spans="1:45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93"/>
      <c r="L242" s="93"/>
      <c r="M242" s="93"/>
      <c r="N242" s="9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</row>
    <row r="243" spans="1:45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93"/>
      <c r="L243" s="93"/>
      <c r="M243" s="93"/>
      <c r="N243" s="93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</row>
    <row r="244" spans="1:45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93"/>
      <c r="L244" s="93"/>
      <c r="M244" s="93"/>
      <c r="N244" s="9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</row>
    <row r="245" spans="1:45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93"/>
      <c r="L245" s="93"/>
      <c r="M245" s="93"/>
      <c r="N245" s="93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</row>
    <row r="246" spans="1:45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93"/>
      <c r="L246" s="93"/>
      <c r="M246" s="93"/>
      <c r="N246" s="9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</row>
    <row r="247" spans="1:45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93"/>
      <c r="L247" s="93"/>
      <c r="M247" s="93"/>
      <c r="N247" s="93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</row>
    <row r="248" spans="1:45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93"/>
      <c r="L248" s="93"/>
      <c r="M248" s="93"/>
      <c r="N248" s="9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</row>
    <row r="249" spans="1:45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93"/>
      <c r="L249" s="93"/>
      <c r="M249" s="93"/>
      <c r="N249" s="93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</row>
    <row r="250" spans="1:45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93"/>
      <c r="L250" s="93"/>
      <c r="M250" s="93"/>
      <c r="N250" s="9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</row>
    <row r="251" spans="1:45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93"/>
      <c r="L251" s="93"/>
      <c r="M251" s="93"/>
      <c r="N251" s="93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</row>
    <row r="252" spans="1:45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93"/>
      <c r="L252" s="93"/>
      <c r="M252" s="93"/>
      <c r="N252" s="9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</row>
    <row r="253" spans="1:45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93"/>
      <c r="L253" s="93"/>
      <c r="M253" s="93"/>
      <c r="N253" s="93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</row>
    <row r="254" spans="1:45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93"/>
      <c r="L254" s="93"/>
      <c r="M254" s="93"/>
      <c r="N254" s="9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</row>
    <row r="255" spans="1:45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93"/>
      <c r="L255" s="93"/>
      <c r="M255" s="93"/>
      <c r="N255" s="93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</row>
    <row r="256" spans="1:45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93"/>
      <c r="L256" s="93"/>
      <c r="M256" s="93"/>
      <c r="N256" s="9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</row>
    <row r="257" spans="1:45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93"/>
      <c r="L257" s="93"/>
      <c r="M257" s="93"/>
      <c r="N257" s="93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</row>
    <row r="258" spans="1:45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93"/>
      <c r="L258" s="93"/>
      <c r="M258" s="93"/>
      <c r="N258" s="9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</row>
    <row r="259" spans="1:45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93"/>
      <c r="L259" s="93"/>
      <c r="M259" s="93"/>
      <c r="N259" s="93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</row>
    <row r="260" spans="1:45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93"/>
      <c r="L260" s="93"/>
      <c r="M260" s="93"/>
      <c r="N260" s="9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</row>
    <row r="261" spans="1:45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93"/>
      <c r="L261" s="93"/>
      <c r="M261" s="93"/>
      <c r="N261" s="93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 spans="1:45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93"/>
      <c r="L262" s="93"/>
      <c r="M262" s="93"/>
      <c r="N262" s="9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 spans="1:45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93"/>
      <c r="L263" s="93"/>
      <c r="M263" s="93"/>
      <c r="N263" s="93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 spans="1:45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93"/>
      <c r="L264" s="93"/>
      <c r="M264" s="93"/>
      <c r="N264" s="9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 spans="1:45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93"/>
      <c r="L265" s="93"/>
      <c r="M265" s="93"/>
      <c r="N265" s="93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 spans="1:45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93"/>
      <c r="L266" s="93"/>
      <c r="M266" s="93"/>
      <c r="N266" s="93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 spans="1:45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93"/>
      <c r="L267" s="93"/>
      <c r="M267" s="93"/>
      <c r="N267" s="93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 spans="1:45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93"/>
      <c r="L268" s="93"/>
      <c r="M268" s="93"/>
      <c r="N268" s="93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 spans="1:45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93"/>
      <c r="L269" s="93"/>
      <c r="M269" s="93"/>
      <c r="N269" s="93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 spans="1:45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93"/>
      <c r="L270" s="93"/>
      <c r="M270" s="93"/>
      <c r="N270" s="9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 spans="1:45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93"/>
      <c r="L271" s="93"/>
      <c r="M271" s="93"/>
      <c r="N271" s="93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 spans="1:45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93"/>
      <c r="L272" s="93"/>
      <c r="M272" s="93"/>
      <c r="N272" s="93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 spans="1:45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93"/>
      <c r="L273" s="93"/>
      <c r="M273" s="93"/>
      <c r="N273" s="93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 spans="1:45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93"/>
      <c r="L274" s="93"/>
      <c r="M274" s="93"/>
      <c r="N274" s="9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 spans="1:45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93"/>
      <c r="L275" s="93"/>
      <c r="M275" s="93"/>
      <c r="N275" s="9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 spans="1:45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93"/>
      <c r="L276" s="93"/>
      <c r="M276" s="93"/>
      <c r="N276" s="9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 spans="1:45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93"/>
      <c r="L277" s="93"/>
      <c r="M277" s="93"/>
      <c r="N277" s="9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 spans="1:45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93"/>
      <c r="L278" s="93"/>
      <c r="M278" s="93"/>
      <c r="N278" s="9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 spans="1:45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93"/>
      <c r="L279" s="93"/>
      <c r="M279" s="93"/>
      <c r="N279" s="93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 spans="1:45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93"/>
      <c r="L280" s="93"/>
      <c r="M280" s="93"/>
      <c r="N280" s="9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 spans="1:45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93"/>
      <c r="L281" s="93"/>
      <c r="M281" s="93"/>
      <c r="N281" s="93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 spans="1:45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93"/>
      <c r="L282" s="93"/>
      <c r="M282" s="93"/>
      <c r="N282" s="9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 spans="1:45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93"/>
      <c r="L283" s="93"/>
      <c r="M283" s="93"/>
      <c r="N283" s="93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 spans="1:45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93"/>
      <c r="L284" s="93"/>
      <c r="M284" s="93"/>
      <c r="N284" s="93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 spans="1:45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93"/>
      <c r="L285" s="93"/>
      <c r="M285" s="93"/>
      <c r="N285" s="93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 spans="1:45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93"/>
      <c r="L286" s="93"/>
      <c r="M286" s="93"/>
      <c r="N286" s="9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 spans="1:45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93"/>
      <c r="L287" s="93"/>
      <c r="M287" s="93"/>
      <c r="N287" s="93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 spans="1:45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93"/>
      <c r="L288" s="93"/>
      <c r="M288" s="93"/>
      <c r="N288" s="9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 spans="1:45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93"/>
      <c r="L289" s="93"/>
      <c r="M289" s="93"/>
      <c r="N289" s="93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 spans="1:45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93"/>
      <c r="L290" s="93"/>
      <c r="M290" s="93"/>
      <c r="N290" s="9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 spans="1:45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93"/>
      <c r="L291" s="93"/>
      <c r="M291" s="93"/>
      <c r="N291" s="93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 spans="1:45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93"/>
      <c r="L292" s="93"/>
      <c r="M292" s="93"/>
      <c r="N292" s="9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 spans="1:45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93"/>
      <c r="L293" s="93"/>
      <c r="M293" s="93"/>
      <c r="N293" s="93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 spans="1:45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93"/>
      <c r="L294" s="93"/>
      <c r="M294" s="93"/>
      <c r="N294" s="9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 spans="1:45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93"/>
      <c r="L295" s="93"/>
      <c r="M295" s="93"/>
      <c r="N295" s="93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 spans="1:45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93"/>
      <c r="L296" s="93"/>
      <c r="M296" s="93"/>
      <c r="N296" s="9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 spans="1:45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93"/>
      <c r="L297" s="93"/>
      <c r="M297" s="93"/>
      <c r="N297" s="93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 spans="1:45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93"/>
      <c r="L298" s="93"/>
      <c r="M298" s="93"/>
      <c r="N298" s="9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 spans="1:45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93"/>
      <c r="L299" s="93"/>
      <c r="M299" s="93"/>
      <c r="N299" s="93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 spans="1:45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93"/>
      <c r="L300" s="93"/>
      <c r="M300" s="93"/>
      <c r="N300" s="9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 spans="1:45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93"/>
      <c r="L301" s="93"/>
      <c r="M301" s="93"/>
      <c r="N301" s="93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 spans="1:45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93"/>
      <c r="L302" s="93"/>
      <c r="M302" s="93"/>
      <c r="N302" s="9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 spans="1:45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93"/>
      <c r="L303" s="93"/>
      <c r="M303" s="93"/>
      <c r="N303" s="93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 spans="1:45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93"/>
      <c r="L304" s="93"/>
      <c r="M304" s="93"/>
      <c r="N304" s="9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 spans="1:45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93"/>
      <c r="L305" s="93"/>
      <c r="M305" s="93"/>
      <c r="N305" s="93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 spans="1:45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93"/>
      <c r="L306" s="93"/>
      <c r="M306" s="93"/>
      <c r="N306" s="9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 spans="1:45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93"/>
      <c r="L307" s="93"/>
      <c r="M307" s="93"/>
      <c r="N307" s="93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 spans="1:45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93"/>
      <c r="L308" s="93"/>
      <c r="M308" s="93"/>
      <c r="N308" s="93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 spans="1:45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93"/>
      <c r="L309" s="93"/>
      <c r="M309" s="93"/>
      <c r="N309" s="93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 spans="1:45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93"/>
      <c r="L310" s="93"/>
      <c r="M310" s="93"/>
      <c r="N310" s="9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 spans="1:45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93"/>
      <c r="L311" s="93"/>
      <c r="M311" s="93"/>
      <c r="N311" s="93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 spans="1:45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93"/>
      <c r="L312" s="93"/>
      <c r="M312" s="93"/>
      <c r="N312" s="9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 spans="1:45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93"/>
      <c r="L313" s="93"/>
      <c r="M313" s="93"/>
      <c r="N313" s="93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 spans="1:45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93"/>
      <c r="L314" s="93"/>
      <c r="M314" s="93"/>
      <c r="N314" s="93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 spans="1:45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93"/>
      <c r="L315" s="93"/>
      <c r="M315" s="93"/>
      <c r="N315" s="93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 spans="1:45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93"/>
      <c r="L316" s="93"/>
      <c r="M316" s="93"/>
      <c r="N316" s="93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 spans="1:45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93"/>
      <c r="L317" s="93"/>
      <c r="M317" s="93"/>
      <c r="N317" s="93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 spans="1:45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93"/>
      <c r="L318" s="93"/>
      <c r="M318" s="93"/>
      <c r="N318" s="93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 spans="1:45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93"/>
      <c r="L319" s="93"/>
      <c r="M319" s="93"/>
      <c r="N319" s="93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 spans="1:45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93"/>
      <c r="L320" s="93"/>
      <c r="M320" s="93"/>
      <c r="N320" s="93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 spans="1:45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93"/>
      <c r="L321" s="93"/>
      <c r="M321" s="93"/>
      <c r="N321" s="93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 spans="1:45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93"/>
      <c r="L322" s="93"/>
      <c r="M322" s="93"/>
      <c r="N322" s="93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 spans="1:45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93"/>
      <c r="L323" s="93"/>
      <c r="M323" s="93"/>
      <c r="N323" s="93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 spans="1:45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93"/>
      <c r="L324" s="93"/>
      <c r="M324" s="93"/>
      <c r="N324" s="9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 spans="1:45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93"/>
      <c r="L325" s="93"/>
      <c r="M325" s="93"/>
      <c r="N325" s="93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 spans="1:45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93"/>
      <c r="L326" s="93"/>
      <c r="M326" s="93"/>
      <c r="N326" s="93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 spans="1:45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93"/>
      <c r="L327" s="93"/>
      <c r="M327" s="93"/>
      <c r="N327" s="93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 spans="1:45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93"/>
      <c r="L328" s="93"/>
      <c r="M328" s="93"/>
      <c r="N328" s="9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 spans="1:45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93"/>
      <c r="L329" s="93"/>
      <c r="M329" s="93"/>
      <c r="N329" s="93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 spans="1:45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93"/>
      <c r="L330" s="93"/>
      <c r="M330" s="93"/>
      <c r="N330" s="9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 spans="1:45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93"/>
      <c r="L331" s="93"/>
      <c r="M331" s="93"/>
      <c r="N331" s="93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 spans="1:45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93"/>
      <c r="L332" s="93"/>
      <c r="M332" s="93"/>
      <c r="N332" s="9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 spans="1:45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93"/>
      <c r="L333" s="93"/>
      <c r="M333" s="93"/>
      <c r="N333" s="93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 spans="1:45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93"/>
      <c r="L334" s="93"/>
      <c r="M334" s="93"/>
      <c r="N334" s="9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 spans="1:45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93"/>
      <c r="L335" s="93"/>
      <c r="M335" s="93"/>
      <c r="N335" s="93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 spans="1:45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93"/>
      <c r="L336" s="93"/>
      <c r="M336" s="93"/>
      <c r="N336" s="93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 spans="1:45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93"/>
      <c r="L337" s="93"/>
      <c r="M337" s="93"/>
      <c r="N337" s="93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 spans="1:45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93"/>
      <c r="L338" s="93"/>
      <c r="M338" s="93"/>
      <c r="N338" s="9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 spans="1:45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93"/>
      <c r="L339" s="93"/>
      <c r="M339" s="93"/>
      <c r="N339" s="93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 spans="1:45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93"/>
      <c r="L340" s="93"/>
      <c r="M340" s="93"/>
      <c r="N340" s="9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 spans="1:45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93"/>
      <c r="L341" s="93"/>
      <c r="M341" s="93"/>
      <c r="N341" s="93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 spans="1:45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93"/>
      <c r="L342" s="93"/>
      <c r="M342" s="93"/>
      <c r="N342" s="9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 spans="1:45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93"/>
      <c r="L343" s="93"/>
      <c r="M343" s="93"/>
      <c r="N343" s="93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 spans="1:45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93"/>
      <c r="L344" s="93"/>
      <c r="M344" s="93"/>
      <c r="N344" s="9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 spans="1:45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93"/>
      <c r="L345" s="93"/>
      <c r="M345" s="93"/>
      <c r="N345" s="93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 spans="1:45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93"/>
      <c r="L346" s="93"/>
      <c r="M346" s="93"/>
      <c r="N346" s="9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 spans="1:45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93"/>
      <c r="L347" s="93"/>
      <c r="M347" s="93"/>
      <c r="N347" s="93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 spans="1:45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93"/>
      <c r="L348" s="93"/>
      <c r="M348" s="93"/>
      <c r="N348" s="9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 spans="1:45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93"/>
      <c r="L349" s="93"/>
      <c r="M349" s="93"/>
      <c r="N349" s="93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 spans="1:45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93"/>
      <c r="L350" s="93"/>
      <c r="M350" s="93"/>
      <c r="N350" s="93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 spans="1:45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93"/>
      <c r="L351" s="93"/>
      <c r="M351" s="93"/>
      <c r="N351" s="93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 spans="1:45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93"/>
      <c r="L352" s="93"/>
      <c r="M352" s="93"/>
      <c r="N352" s="9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 spans="1:45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93"/>
      <c r="L353" s="93"/>
      <c r="M353" s="93"/>
      <c r="N353" s="93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 spans="1:45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93"/>
      <c r="L354" s="93"/>
      <c r="M354" s="93"/>
      <c r="N354" s="9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 spans="1:45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93"/>
      <c r="L355" s="93"/>
      <c r="M355" s="93"/>
      <c r="N355" s="93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 spans="1:45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93"/>
      <c r="L356" s="93"/>
      <c r="M356" s="93"/>
      <c r="N356" s="9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 spans="1:45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93"/>
      <c r="L357" s="93"/>
      <c r="M357" s="93"/>
      <c r="N357" s="93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 spans="1:45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93"/>
      <c r="L358" s="93"/>
      <c r="M358" s="93"/>
      <c r="N358" s="93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 spans="1:45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93"/>
      <c r="L359" s="93"/>
      <c r="M359" s="93"/>
      <c r="N359" s="93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 spans="1:45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93"/>
      <c r="L360" s="93"/>
      <c r="M360" s="93"/>
      <c r="N360" s="9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 spans="1:45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93"/>
      <c r="L361" s="93"/>
      <c r="M361" s="93"/>
      <c r="N361" s="93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 spans="1:45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93"/>
      <c r="L362" s="93"/>
      <c r="M362" s="93"/>
      <c r="N362" s="9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 spans="1:45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93"/>
      <c r="L363" s="93"/>
      <c r="M363" s="93"/>
      <c r="N363" s="93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 spans="1:45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93"/>
      <c r="L364" s="93"/>
      <c r="M364" s="93"/>
      <c r="N364" s="9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 spans="1:45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93"/>
      <c r="L365" s="93"/>
      <c r="M365" s="93"/>
      <c r="N365" s="93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 spans="1:45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93"/>
      <c r="L366" s="93"/>
      <c r="M366" s="93"/>
      <c r="N366" s="9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 spans="1:45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93"/>
      <c r="L367" s="93"/>
      <c r="M367" s="93"/>
      <c r="N367" s="93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 spans="1:45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93"/>
      <c r="L368" s="93"/>
      <c r="M368" s="93"/>
      <c r="N368" s="9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 spans="1:45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93"/>
      <c r="L369" s="93"/>
      <c r="M369" s="93"/>
      <c r="N369" s="93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 spans="1:45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93"/>
      <c r="L370" s="93"/>
      <c r="M370" s="93"/>
      <c r="N370" s="9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 spans="1:45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93"/>
      <c r="L371" s="93"/>
      <c r="M371" s="93"/>
      <c r="N371" s="93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 spans="1:45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93"/>
      <c r="L372" s="93"/>
      <c r="M372" s="93"/>
      <c r="N372" s="9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 spans="1:45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93"/>
      <c r="L373" s="93"/>
      <c r="M373" s="93"/>
      <c r="N373" s="93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 spans="1:45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93"/>
      <c r="L374" s="93"/>
      <c r="M374" s="93"/>
      <c r="N374" s="9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 spans="1:45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93"/>
      <c r="L375" s="93"/>
      <c r="M375" s="93"/>
      <c r="N375" s="93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 spans="1:45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93"/>
      <c r="L376" s="93"/>
      <c r="M376" s="93"/>
      <c r="N376" s="9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 spans="1:45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93"/>
      <c r="L377" s="93"/>
      <c r="M377" s="93"/>
      <c r="N377" s="93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 spans="1:45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93"/>
      <c r="L378" s="93"/>
      <c r="M378" s="93"/>
      <c r="N378" s="9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 spans="1:45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93"/>
      <c r="L379" s="93"/>
      <c r="M379" s="93"/>
      <c r="N379" s="93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 spans="1:45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93"/>
      <c r="L380" s="93"/>
      <c r="M380" s="93"/>
      <c r="N380" s="93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 spans="1:45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93"/>
      <c r="L381" s="93"/>
      <c r="M381" s="93"/>
      <c r="N381" s="93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 spans="1:45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93"/>
      <c r="L382" s="93"/>
      <c r="M382" s="93"/>
      <c r="N382" s="93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 spans="1:45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93"/>
      <c r="L383" s="93"/>
      <c r="M383" s="93"/>
      <c r="N383" s="93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 spans="1:45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93"/>
      <c r="L384" s="93"/>
      <c r="M384" s="93"/>
      <c r="N384" s="93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 spans="1:45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93"/>
      <c r="L385" s="93"/>
      <c r="M385" s="93"/>
      <c r="N385" s="93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 spans="1:45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93"/>
      <c r="L386" s="93"/>
      <c r="M386" s="93"/>
      <c r="N386" s="93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 spans="1:45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93"/>
      <c r="L387" s="93"/>
      <c r="M387" s="93"/>
      <c r="N387" s="93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 spans="1:45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93"/>
      <c r="L388" s="93"/>
      <c r="M388" s="93"/>
      <c r="N388" s="93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 spans="1:45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93"/>
      <c r="L389" s="93"/>
      <c r="M389" s="93"/>
      <c r="N389" s="93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 spans="1:45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93"/>
      <c r="L390" s="93"/>
      <c r="M390" s="93"/>
      <c r="N390" s="93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 spans="1:45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93"/>
      <c r="L391" s="93"/>
      <c r="M391" s="93"/>
      <c r="N391" s="93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 spans="1:45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93"/>
      <c r="L392" s="93"/>
      <c r="M392" s="93"/>
      <c r="N392" s="93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 spans="1:45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93"/>
      <c r="L393" s="93"/>
      <c r="M393" s="93"/>
      <c r="N393" s="93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 spans="1:45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93"/>
      <c r="L394" s="93"/>
      <c r="M394" s="93"/>
      <c r="N394" s="93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 spans="1:45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93"/>
      <c r="L395" s="93"/>
      <c r="M395" s="93"/>
      <c r="N395" s="93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 spans="1:45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93"/>
      <c r="L396" s="93"/>
      <c r="M396" s="93"/>
      <c r="N396" s="93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 spans="1:45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93"/>
      <c r="L397" s="93"/>
      <c r="M397" s="93"/>
      <c r="N397" s="93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 spans="1:45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93"/>
      <c r="L398" s="93"/>
      <c r="M398" s="93"/>
      <c r="N398" s="93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 spans="1:45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93"/>
      <c r="L399" s="93"/>
      <c r="M399" s="93"/>
      <c r="N399" s="93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 spans="1:45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93"/>
      <c r="L400" s="93"/>
      <c r="M400" s="93"/>
      <c r="N400" s="93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 spans="1:45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93"/>
      <c r="L401" s="93"/>
      <c r="M401" s="93"/>
      <c r="N401" s="93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 spans="1:45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93"/>
      <c r="L402" s="93"/>
      <c r="M402" s="93"/>
      <c r="N402" s="93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 spans="1:45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93"/>
      <c r="L403" s="93"/>
      <c r="M403" s="93"/>
      <c r="N403" s="93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 spans="1:45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93"/>
      <c r="L404" s="93"/>
      <c r="M404" s="93"/>
      <c r="N404" s="93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 spans="1:45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93"/>
      <c r="L405" s="93"/>
      <c r="M405" s="93"/>
      <c r="N405" s="93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 spans="1:45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93"/>
      <c r="L406" s="93"/>
      <c r="M406" s="93"/>
      <c r="N406" s="93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 spans="1:45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93"/>
      <c r="L407" s="93"/>
      <c r="M407" s="93"/>
      <c r="N407" s="93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 spans="1:45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93"/>
      <c r="L408" s="93"/>
      <c r="M408" s="93"/>
      <c r="N408" s="93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 spans="1:45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93"/>
      <c r="L409" s="93"/>
      <c r="M409" s="93"/>
      <c r="N409" s="93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 spans="1:45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93"/>
      <c r="L410" s="93"/>
      <c r="M410" s="93"/>
      <c r="N410" s="93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 spans="1:45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93"/>
      <c r="L411" s="93"/>
      <c r="M411" s="93"/>
      <c r="N411" s="93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 spans="1:45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93"/>
      <c r="L412" s="93"/>
      <c r="M412" s="93"/>
      <c r="N412" s="93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 spans="1:45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93"/>
      <c r="L413" s="93"/>
      <c r="M413" s="93"/>
      <c r="N413" s="93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 spans="1:45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93"/>
      <c r="L414" s="93"/>
      <c r="M414" s="93"/>
      <c r="N414" s="93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 spans="1:45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93"/>
      <c r="L415" s="93"/>
      <c r="M415" s="93"/>
      <c r="N415" s="93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 spans="1:45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93"/>
      <c r="L416" s="93"/>
      <c r="M416" s="93"/>
      <c r="N416" s="93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 spans="1:45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93"/>
      <c r="L417" s="93"/>
      <c r="M417" s="93"/>
      <c r="N417" s="93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 spans="1:45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93"/>
      <c r="L418" s="93"/>
      <c r="M418" s="93"/>
      <c r="N418" s="93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 spans="1:45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93"/>
      <c r="L419" s="93"/>
      <c r="M419" s="93"/>
      <c r="N419" s="93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 spans="1:45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93"/>
      <c r="L420" s="93"/>
      <c r="M420" s="93"/>
      <c r="N420" s="93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 spans="1:45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93"/>
      <c r="L421" s="93"/>
      <c r="M421" s="93"/>
      <c r="N421" s="93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 spans="1:45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93"/>
      <c r="L422" s="93"/>
      <c r="M422" s="93"/>
      <c r="N422" s="93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 spans="1:45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93"/>
      <c r="L423" s="93"/>
      <c r="M423" s="93"/>
      <c r="N423" s="93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 spans="1:45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93"/>
      <c r="L424" s="93"/>
      <c r="M424" s="93"/>
      <c r="N424" s="93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 spans="1:45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93"/>
      <c r="L425" s="93"/>
      <c r="M425" s="93"/>
      <c r="N425" s="93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 spans="1:45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93"/>
      <c r="L426" s="93"/>
      <c r="M426" s="93"/>
      <c r="N426" s="9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 spans="1:45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93"/>
      <c r="L427" s="93"/>
      <c r="M427" s="93"/>
      <c r="N427" s="93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 spans="1:45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93"/>
      <c r="L428" s="93"/>
      <c r="M428" s="93"/>
      <c r="N428" s="9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 spans="1:45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93"/>
      <c r="L429" s="93"/>
      <c r="M429" s="93"/>
      <c r="N429" s="9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 spans="1:45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93"/>
      <c r="L430" s="93"/>
      <c r="M430" s="93"/>
      <c r="N430" s="9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 spans="1:45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93"/>
      <c r="L431" s="93"/>
      <c r="M431" s="93"/>
      <c r="N431" s="9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 spans="1:45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93"/>
      <c r="L432" s="93"/>
      <c r="M432" s="93"/>
      <c r="N432" s="93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 spans="1:45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93"/>
      <c r="L433" s="93"/>
      <c r="M433" s="93"/>
      <c r="N433" s="93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 spans="1:45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93"/>
      <c r="L434" s="93"/>
      <c r="M434" s="93"/>
      <c r="N434" s="93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 spans="1:45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93"/>
      <c r="L435" s="93"/>
      <c r="M435" s="93"/>
      <c r="N435" s="93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 spans="1:45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93"/>
      <c r="L436" s="93"/>
      <c r="M436" s="93"/>
      <c r="N436" s="93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  <row r="437" spans="1:45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93"/>
      <c r="L437" s="93"/>
      <c r="M437" s="93"/>
      <c r="N437" s="93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</row>
    <row r="438" spans="1:45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93"/>
      <c r="L438" s="93"/>
      <c r="M438" s="93"/>
      <c r="N438" s="93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</row>
    <row r="439" spans="1:45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93"/>
      <c r="L439" s="93"/>
      <c r="M439" s="93"/>
      <c r="N439" s="93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</row>
    <row r="440" spans="1:45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93"/>
      <c r="L440" s="93"/>
      <c r="M440" s="93"/>
      <c r="N440" s="93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</row>
    <row r="441" spans="1:45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93"/>
      <c r="L441" s="93"/>
      <c r="M441" s="93"/>
      <c r="N441" s="93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</row>
    <row r="442" spans="1:45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93"/>
      <c r="L442" s="93"/>
      <c r="M442" s="93"/>
      <c r="N442" s="93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</row>
    <row r="443" spans="1:45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93"/>
      <c r="L443" s="93"/>
      <c r="M443" s="93"/>
      <c r="N443" s="93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</row>
    <row r="444" spans="1:45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93"/>
      <c r="L444" s="93"/>
      <c r="M444" s="93"/>
      <c r="N444" s="93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</row>
    <row r="445" spans="1:45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93"/>
      <c r="L445" s="93"/>
      <c r="M445" s="93"/>
      <c r="N445" s="93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</row>
    <row r="446" spans="1:45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93"/>
      <c r="L446" s="93"/>
      <c r="M446" s="93"/>
      <c r="N446" s="93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 spans="1:45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93"/>
      <c r="L447" s="93"/>
      <c r="M447" s="93"/>
      <c r="N447" s="93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</row>
    <row r="448" spans="1:45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93"/>
      <c r="L448" s="93"/>
      <c r="M448" s="93"/>
      <c r="N448" s="93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</row>
    <row r="449" spans="1:45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93"/>
      <c r="L449" s="93"/>
      <c r="M449" s="93"/>
      <c r="N449" s="93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</row>
    <row r="450" spans="1:45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93"/>
      <c r="L450" s="93"/>
      <c r="M450" s="93"/>
      <c r="N450" s="93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</row>
    <row r="451" spans="1:45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93"/>
      <c r="L451" s="93"/>
      <c r="M451" s="93"/>
      <c r="N451" s="93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</row>
    <row r="452" spans="1:45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93"/>
      <c r="L452" s="93"/>
      <c r="M452" s="93"/>
      <c r="N452" s="93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</row>
    <row r="453" spans="1:45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93"/>
      <c r="L453" s="93"/>
      <c r="M453" s="93"/>
      <c r="N453" s="93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</row>
    <row r="454" spans="1:45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93"/>
      <c r="L454" s="93"/>
      <c r="M454" s="93"/>
      <c r="N454" s="93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</row>
    <row r="455" spans="1:45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93"/>
      <c r="L455" s="93"/>
      <c r="M455" s="93"/>
      <c r="N455" s="93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</row>
    <row r="456" spans="1:45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93"/>
      <c r="L456" s="93"/>
      <c r="M456" s="93"/>
      <c r="N456" s="93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</row>
    <row r="457" spans="1:45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93"/>
      <c r="L457" s="93"/>
      <c r="M457" s="93"/>
      <c r="N457" s="93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</row>
    <row r="458" spans="1:45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93"/>
      <c r="L458" s="93"/>
      <c r="M458" s="93"/>
      <c r="N458" s="93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</row>
    <row r="459" spans="1:45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93"/>
      <c r="L459" s="93"/>
      <c r="M459" s="93"/>
      <c r="N459" s="93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</row>
    <row r="460" spans="1:45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93"/>
      <c r="L460" s="93"/>
      <c r="M460" s="93"/>
      <c r="N460" s="93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</row>
    <row r="461" spans="1:45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93"/>
      <c r="L461" s="93"/>
      <c r="M461" s="93"/>
      <c r="N461" s="93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</row>
  </sheetData>
  <autoFilter ref="A1:AQ35" xr:uid="{00000000-0009-0000-0000-000003000000}"/>
  <conditionalFormatting sqref="T2:AA35">
    <cfRule type="cellIs" dxfId="19" priority="10" operator="equal">
      <formula>"Yes"</formula>
    </cfRule>
  </conditionalFormatting>
  <conditionalFormatting sqref="AG5:AG7 AG18">
    <cfRule type="cellIs" dxfId="18" priority="31" operator="greaterThan">
      <formula>"5.36x"</formula>
    </cfRule>
    <cfRule type="cellIs" dxfId="17" priority="32" operator="greaterThan">
      <formula>"5.5x"</formula>
    </cfRule>
  </conditionalFormatting>
  <conditionalFormatting sqref="AG28">
    <cfRule type="cellIs" dxfId="16" priority="50" operator="greaterThan">
      <formula>"5.36x"</formula>
    </cfRule>
    <cfRule type="cellIs" dxfId="15" priority="51" operator="greaterThan">
      <formula>"5.5x"</formula>
    </cfRule>
  </conditionalFormatting>
  <conditionalFormatting sqref="AG30:AG32">
    <cfRule type="cellIs" dxfId="14" priority="83" operator="greaterThan">
      <formula>"5.36x"</formula>
    </cfRule>
    <cfRule type="cellIs" dxfId="13" priority="84" operator="greaterThan">
      <formula>"5.5x"</formula>
    </cfRule>
  </conditionalFormatting>
  <conditionalFormatting sqref="AG35">
    <cfRule type="cellIs" dxfId="12" priority="71" operator="greaterThan">
      <formula>"5.36x"</formula>
    </cfRule>
    <cfRule type="cellIs" dxfId="11" priority="72" operator="greaterThan">
      <formula>"5.5x"</formula>
    </cfRule>
  </conditionalFormatting>
  <conditionalFormatting sqref="AK2:AQ26">
    <cfRule type="cellIs" dxfId="10" priority="1" operator="equal">
      <formula>"No"</formula>
    </cfRule>
  </conditionalFormatting>
  <conditionalFormatting sqref="AK28:AQ35">
    <cfRule type="cellIs" dxfId="9" priority="41" operator="equal">
      <formula>"No"</formula>
    </cfRule>
  </conditionalFormatting>
  <conditionalFormatting sqref="AL27:AQ27">
    <cfRule type="cellIs" dxfId="8" priority="15" operator="equal">
      <formula>"No"</formula>
    </cfRule>
  </conditionalFormatting>
  <conditionalFormatting sqref="AO35">
    <cfRule type="cellIs" dxfId="7" priority="61" operator="equal">
      <formula>"No"</formula>
    </cfRule>
  </conditionalFormatting>
  <dataValidations count="1">
    <dataValidation type="list" allowBlank="1" showErrorMessage="1" sqref="T27:AA27 Q33:Q34 AK33:AK34 AK2:AK27 Q2:Q27" xr:uid="{00000000-0002-0000-0300-000001000000}">
      <formula1>#REF!</formula1>
    </dataValidation>
  </dataValidations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300-000000000000}">
          <x14:formula1>
            <xm:f>Inputs!$C$60:$C$61</xm:f>
          </x14:formula1>
          <xm:sqref>O28:O35 O2:O26</xm:sqref>
        </x14:dataValidation>
        <x14:dataValidation type="list" allowBlank="1" showErrorMessage="1" xr:uid="{00000000-0002-0000-0300-000002000000}">
          <x14:formula1>
            <xm:f>Inputs!$C$56:$C$57</xm:f>
          </x14:formula1>
          <xm:sqref>S27 P2:P35</xm:sqref>
        </x14:dataValidation>
        <x14:dataValidation type="list" allowBlank="1" showErrorMessage="1" xr:uid="{00000000-0002-0000-0300-000003000000}">
          <x14:formula1>
            <xm:f>Inputs!$C$40:$C$52</xm:f>
          </x14:formula1>
          <xm:sqref>C28:C35 C2:C26</xm:sqref>
        </x14:dataValidation>
        <x14:dataValidation type="list" allowBlank="1" showErrorMessage="1" xr:uid="{00000000-0002-0000-0300-000004000000}">
          <x14:formula1>
            <xm:f>Inputs!$C$134:$C$136</xm:f>
          </x14:formula1>
          <xm:sqref>Q35 Q28:Q32</xm:sqref>
        </x14:dataValidation>
        <x14:dataValidation type="list" allowBlank="1" showErrorMessage="1" xr:uid="{00000000-0002-0000-0300-000005000000}">
          <x14:formula1>
            <xm:f>Inputs!$C$135:$C$136</xm:f>
          </x14:formula1>
          <xm:sqref>AK35 AK28:AK32</xm:sqref>
        </x14:dataValidation>
        <x14:dataValidation type="list" allowBlank="1" showErrorMessage="1" xr:uid="{00000000-0002-0000-0300-000006000000}">
          <x14:formula1>
            <xm:f>Inputs!$C$65:$C$116</xm:f>
          </x14:formula1>
          <xm:sqref>D28:D35 D2:D26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FF2B-4F9C-4C83-8518-6FEEBD6DCC29}">
  <sheetPr>
    <tabColor theme="9"/>
  </sheetPr>
  <dimension ref="A1:E3"/>
  <sheetViews>
    <sheetView workbookViewId="0">
      <selection activeCell="C12" sqref="C12"/>
    </sheetView>
  </sheetViews>
  <sheetFormatPr defaultRowHeight="14.4"/>
  <cols>
    <col min="1" max="1" width="17.44140625" customWidth="1"/>
    <col min="3" max="3" width="17.44140625" customWidth="1"/>
    <col min="4" max="4" width="16.77734375" customWidth="1"/>
    <col min="5" max="5" width="17.77734375" customWidth="1"/>
  </cols>
  <sheetData>
    <row r="1" spans="1:5">
      <c r="A1" s="81" t="s">
        <v>149</v>
      </c>
      <c r="B1" s="82" t="s">
        <v>150</v>
      </c>
      <c r="C1" s="82" t="s">
        <v>151</v>
      </c>
      <c r="D1" s="82" t="s">
        <v>152</v>
      </c>
      <c r="E1" s="82" t="s">
        <v>153</v>
      </c>
    </row>
    <row r="2" spans="1:5">
      <c r="A2" s="83" t="s">
        <v>9</v>
      </c>
      <c r="B2" s="84" t="s">
        <v>154</v>
      </c>
      <c r="C2" s="87">
        <v>48500000</v>
      </c>
      <c r="D2" s="87">
        <v>1</v>
      </c>
      <c r="E2" s="88">
        <v>48500000</v>
      </c>
    </row>
    <row r="3" spans="1:5">
      <c r="A3" s="85" t="s">
        <v>10</v>
      </c>
      <c r="B3" s="86" t="s">
        <v>155</v>
      </c>
      <c r="C3" s="89"/>
      <c r="D3" s="89"/>
      <c r="E3" s="8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Z1000"/>
  <sheetViews>
    <sheetView topLeftCell="D1" workbookViewId="0"/>
  </sheetViews>
  <sheetFormatPr defaultColWidth="12.6640625" defaultRowHeight="15" customHeight="1"/>
  <cols>
    <col min="1" max="2" width="2.21875" customWidth="1"/>
    <col min="3" max="3" width="2.77734375" customWidth="1"/>
    <col min="4" max="4" width="39.88671875" customWidth="1"/>
    <col min="5" max="5" width="6.44140625" customWidth="1"/>
    <col min="6" max="6" width="9.88671875" customWidth="1"/>
    <col min="7" max="7" width="30.6640625" customWidth="1"/>
    <col min="8" max="8" width="8.44140625" customWidth="1"/>
    <col min="9" max="9" width="9.44140625" customWidth="1"/>
    <col min="10" max="15" width="10.88671875" customWidth="1"/>
    <col min="16" max="16" width="13.33203125" customWidth="1"/>
    <col min="17" max="19" width="10.88671875" customWidth="1"/>
    <col min="20" max="20" width="2" customWidth="1"/>
    <col min="21" max="21" width="38.88671875" customWidth="1"/>
    <col min="22" max="26" width="9" customWidth="1"/>
  </cols>
  <sheetData>
    <row r="1" spans="1:26" ht="12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1.25" customHeight="1">
      <c r="A2" s="6"/>
      <c r="B2" s="6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6"/>
      <c r="U2" s="6"/>
      <c r="V2" s="6"/>
      <c r="W2" s="6"/>
      <c r="X2" s="6"/>
      <c r="Y2" s="6"/>
      <c r="Z2" s="6"/>
    </row>
    <row r="3" spans="1:26" ht="11.25" customHeight="1">
      <c r="A3" s="6"/>
      <c r="B3" s="6"/>
      <c r="C3" s="33" t="e">
        <f>TEXT(#REF!,0)&amp;" - Portfolio Leverage Borrowing Base - "&amp;TEXT(#REF!,"mm/dd/yyyy")</f>
        <v>#REF!</v>
      </c>
      <c r="D3" s="75"/>
      <c r="E3" s="75"/>
      <c r="F3" s="75"/>
      <c r="G3" s="75"/>
      <c r="H3" s="75"/>
      <c r="I3" s="75"/>
      <c r="J3" s="37"/>
      <c r="K3" s="37"/>
      <c r="L3" s="75"/>
      <c r="M3" s="75"/>
      <c r="N3" s="75"/>
      <c r="O3" s="75"/>
      <c r="P3" s="37"/>
      <c r="Q3" s="37"/>
      <c r="R3" s="75"/>
      <c r="S3" s="37"/>
      <c r="T3" s="6"/>
      <c r="U3" s="6"/>
      <c r="V3" s="6"/>
      <c r="W3" s="6"/>
      <c r="X3" s="6"/>
      <c r="Y3" s="6"/>
      <c r="Z3" s="6"/>
    </row>
    <row r="4" spans="1:26" ht="11.25" customHeight="1">
      <c r="A4" s="6"/>
      <c r="B4" s="6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6"/>
      <c r="U4" s="6"/>
      <c r="V4" s="6"/>
      <c r="W4" s="6"/>
      <c r="X4" s="6"/>
      <c r="Y4" s="6"/>
      <c r="Z4" s="6"/>
    </row>
    <row r="5" spans="1:26" ht="11.25" customHeight="1">
      <c r="A5" s="6"/>
      <c r="B5" s="6"/>
      <c r="C5" s="142"/>
      <c r="D5" s="104" t="s">
        <v>156</v>
      </c>
      <c r="E5" s="104" t="s">
        <v>157</v>
      </c>
      <c r="F5" s="104" t="s">
        <v>158</v>
      </c>
      <c r="G5" s="104" t="s">
        <v>159</v>
      </c>
      <c r="H5" s="104" t="s">
        <v>160</v>
      </c>
      <c r="I5" s="104" t="s">
        <v>161</v>
      </c>
      <c r="J5" s="104" t="s">
        <v>162</v>
      </c>
      <c r="K5" s="143" t="s">
        <v>163</v>
      </c>
      <c r="L5" s="104" t="s">
        <v>164</v>
      </c>
      <c r="M5" s="104" t="s">
        <v>165</v>
      </c>
      <c r="N5" s="104" t="s">
        <v>166</v>
      </c>
      <c r="O5" s="104" t="s">
        <v>167</v>
      </c>
      <c r="P5" s="104" t="s">
        <v>168</v>
      </c>
      <c r="Q5" s="104" t="s">
        <v>169</v>
      </c>
      <c r="R5" s="104" t="s">
        <v>166</v>
      </c>
      <c r="S5" s="104" t="s">
        <v>170</v>
      </c>
      <c r="T5" s="6"/>
      <c r="U5" s="144" t="s">
        <v>171</v>
      </c>
      <c r="V5" s="6"/>
      <c r="W5" s="6"/>
      <c r="X5" s="6"/>
      <c r="Y5" s="6"/>
      <c r="Z5" s="6"/>
    </row>
    <row r="6" spans="1:26" ht="11.25" customHeight="1">
      <c r="A6" s="6"/>
      <c r="B6" s="6"/>
      <c r="C6" s="6"/>
      <c r="D6" s="145" t="str">
        <f>'PL BB Build'!A2</f>
        <v>A1 Garage Merger Sub, LLC First Lien</v>
      </c>
      <c r="E6" s="8" t="e">
        <f>'PL BB Build'!#REF!</f>
        <v>#REF!</v>
      </c>
      <c r="F6" s="146">
        <f>'PL BB Build'!F2</f>
        <v>48570</v>
      </c>
      <c r="G6" s="147" t="str">
        <f>'PL BB Build'!D2</f>
        <v>Consumer Products</v>
      </c>
      <c r="H6" s="147" t="str">
        <f>'PL BB Build'!P2</f>
        <v>Unquoted</v>
      </c>
      <c r="I6" s="147" t="e">
        <f>'PL BB Build'!#REF!</f>
        <v>#REF!</v>
      </c>
      <c r="J6" s="148">
        <f>'PL BB Build'!H2</f>
        <v>4893665.83</v>
      </c>
      <c r="K6" s="148" t="e">
        <f>'PL BB Build'!#REF!</f>
        <v>#REF!</v>
      </c>
      <c r="L6" s="148" t="e">
        <f t="shared" ref="L6:L31" si="0">M6-K6</f>
        <v>#REF!</v>
      </c>
      <c r="M6" s="148" t="e">
        <f>'PL BB Build'!#REF!</f>
        <v>#REF!</v>
      </c>
      <c r="N6" s="148">
        <f>'PL BB Build'!AM2</f>
        <v>0</v>
      </c>
      <c r="O6" s="148" t="e">
        <f t="shared" ref="O6:O31" si="1">SUM(M6:N6)</f>
        <v>#REF!</v>
      </c>
      <c r="P6" s="149" t="e">
        <f>'PL BB Build'!#REF!</f>
        <v>#REF!</v>
      </c>
      <c r="Q6" s="148">
        <f t="shared" ref="Q6:Q31" si="2">IFERROR(O6*P6,0)</f>
        <v>0</v>
      </c>
      <c r="R6" s="148" t="e">
        <f>'PL BB Build'!#REF!+'PL BB Build'!AO2+'PL BB Build'!AP2</f>
        <v>#REF!</v>
      </c>
      <c r="S6" s="148" t="e">
        <f t="shared" ref="S6:S31" si="3">SUM(Q6:R6)</f>
        <v>#REF!</v>
      </c>
      <c r="T6" s="6"/>
      <c r="U6" s="150"/>
      <c r="V6" s="6"/>
      <c r="W6" s="6"/>
      <c r="X6" s="6"/>
      <c r="Y6" s="6"/>
      <c r="Z6" s="6"/>
    </row>
    <row r="7" spans="1:26" ht="11.25" customHeight="1">
      <c r="A7" s="6"/>
      <c r="B7" s="6"/>
      <c r="C7" s="6"/>
      <c r="D7" s="145" t="str">
        <f>'PL BB Build'!A3</f>
        <v>A1 Garage Merger Sub, LLC DDTL</v>
      </c>
      <c r="E7" s="8" t="e">
        <f>'PL BB Build'!#REF!</f>
        <v>#REF!</v>
      </c>
      <c r="F7" s="146">
        <f>'PL BB Build'!F3</f>
        <v>47109</v>
      </c>
      <c r="G7" s="147" t="str">
        <f>'PL BB Build'!D3</f>
        <v>Consumer Products</v>
      </c>
      <c r="H7" s="147" t="str">
        <f>'PL BB Build'!P3</f>
        <v>Unquoted</v>
      </c>
      <c r="I7" s="147" t="e">
        <f>'PL BB Build'!#REF!</f>
        <v>#REF!</v>
      </c>
      <c r="J7" s="148">
        <f>'PL BB Build'!H3</f>
        <v>852609.97</v>
      </c>
      <c r="K7" s="148" t="e">
        <f>'PL BB Build'!#REF!</f>
        <v>#REF!</v>
      </c>
      <c r="L7" s="148" t="e">
        <f t="shared" si="0"/>
        <v>#REF!</v>
      </c>
      <c r="M7" s="148" t="e">
        <f>'PL BB Build'!#REF!</f>
        <v>#REF!</v>
      </c>
      <c r="N7" s="148">
        <f>'PL BB Build'!AM3</f>
        <v>0</v>
      </c>
      <c r="O7" s="148" t="e">
        <f t="shared" si="1"/>
        <v>#REF!</v>
      </c>
      <c r="P7" s="149" t="e">
        <f>'PL BB Build'!#REF!</f>
        <v>#REF!</v>
      </c>
      <c r="Q7" s="148">
        <f t="shared" si="2"/>
        <v>0</v>
      </c>
      <c r="R7" s="148" t="e">
        <f>'PL BB Build'!#REF!+'PL BB Build'!AO3+'PL BB Build'!AP3</f>
        <v>#REF!</v>
      </c>
      <c r="S7" s="148" t="e">
        <f t="shared" si="3"/>
        <v>#REF!</v>
      </c>
      <c r="T7" s="6"/>
      <c r="U7" s="150"/>
      <c r="V7" s="6"/>
      <c r="W7" s="6"/>
      <c r="X7" s="6"/>
      <c r="Y7" s="6"/>
      <c r="Z7" s="6"/>
    </row>
    <row r="8" spans="1:26" ht="11.25" customHeight="1">
      <c r="A8" s="6"/>
      <c r="B8" s="6"/>
      <c r="C8" s="6"/>
      <c r="D8" s="145" t="str">
        <f>'PL BB Build'!A4</f>
        <v>A1 Garage Merger Sub, LLC Revolver</v>
      </c>
      <c r="E8" s="8" t="e">
        <f>'PL BB Build'!#REF!</f>
        <v>#REF!</v>
      </c>
      <c r="F8" s="146">
        <f>'PL BB Build'!F4</f>
        <v>47109</v>
      </c>
      <c r="G8" s="147" t="str">
        <f>'PL BB Build'!D4</f>
        <v>Consumer Products</v>
      </c>
      <c r="H8" s="147" t="str">
        <f>'PL BB Build'!P4</f>
        <v>Unquoted</v>
      </c>
      <c r="I8" s="147" t="e">
        <f>'PL BB Build'!#REF!</f>
        <v>#REF!</v>
      </c>
      <c r="J8" s="148">
        <f>'PL BB Build'!H4</f>
        <v>0</v>
      </c>
      <c r="K8" s="148" t="e">
        <f>'PL BB Build'!#REF!</f>
        <v>#REF!</v>
      </c>
      <c r="L8" s="148" t="e">
        <f t="shared" si="0"/>
        <v>#REF!</v>
      </c>
      <c r="M8" s="148" t="e">
        <f>'PL BB Build'!#REF!</f>
        <v>#REF!</v>
      </c>
      <c r="N8" s="148">
        <f>'PL BB Build'!AM4</f>
        <v>0</v>
      </c>
      <c r="O8" s="148" t="e">
        <f t="shared" si="1"/>
        <v>#REF!</v>
      </c>
      <c r="P8" s="149" t="e">
        <f>'PL BB Build'!#REF!</f>
        <v>#REF!</v>
      </c>
      <c r="Q8" s="148">
        <f t="shared" si="2"/>
        <v>0</v>
      </c>
      <c r="R8" s="148" t="e">
        <f>'PL BB Build'!#REF!+'PL BB Build'!AO4+'PL BB Build'!AP4</f>
        <v>#REF!</v>
      </c>
      <c r="S8" s="148" t="e">
        <f t="shared" si="3"/>
        <v>#REF!</v>
      </c>
      <c r="T8" s="6"/>
      <c r="U8" s="150"/>
      <c r="V8" s="6"/>
      <c r="W8" s="6"/>
      <c r="X8" s="6"/>
      <c r="Y8" s="6"/>
      <c r="Z8" s="6"/>
    </row>
    <row r="9" spans="1:26" ht="11.25" customHeight="1">
      <c r="A9" s="6"/>
      <c r="B9" s="6"/>
      <c r="C9" s="6"/>
      <c r="D9" s="145" t="str">
        <f>'PL BB Build'!A5</f>
        <v>EDS Buyer LLC</v>
      </c>
      <c r="E9" s="8" t="e">
        <f>'PL BB Build'!#REF!</f>
        <v>#REF!</v>
      </c>
      <c r="F9" s="146">
        <f>'PL BB Build'!F5</f>
        <v>47128</v>
      </c>
      <c r="G9" s="147" t="str">
        <f>'PL BB Build'!D5</f>
        <v>Aerospace &amp; Defense</v>
      </c>
      <c r="H9" s="147" t="str">
        <f>'PL BB Build'!P5</f>
        <v>Unquoted</v>
      </c>
      <c r="I9" s="147" t="e">
        <f>'PL BB Build'!#REF!</f>
        <v>#REF!</v>
      </c>
      <c r="J9" s="148">
        <f>'PL BB Build'!H5</f>
        <v>3450173.17</v>
      </c>
      <c r="K9" s="148" t="e">
        <f>'PL BB Build'!#REF!</f>
        <v>#REF!</v>
      </c>
      <c r="L9" s="148" t="e">
        <f t="shared" si="0"/>
        <v>#REF!</v>
      </c>
      <c r="M9" s="148" t="e">
        <f>'PL BB Build'!#REF!</f>
        <v>#REF!</v>
      </c>
      <c r="N9" s="148">
        <f>'PL BB Build'!AM5</f>
        <v>0</v>
      </c>
      <c r="O9" s="148" t="e">
        <f t="shared" si="1"/>
        <v>#REF!</v>
      </c>
      <c r="P9" s="149" t="e">
        <f>'PL BB Build'!#REF!</f>
        <v>#REF!</v>
      </c>
      <c r="Q9" s="148">
        <f t="shared" si="2"/>
        <v>0</v>
      </c>
      <c r="R9" s="148" t="e">
        <f>'PL BB Build'!#REF!+'PL BB Build'!AO5+'PL BB Build'!AP5</f>
        <v>#REF!</v>
      </c>
      <c r="S9" s="148" t="e">
        <f t="shared" si="3"/>
        <v>#REF!</v>
      </c>
      <c r="T9" s="6"/>
      <c r="U9" s="150"/>
      <c r="V9" s="6"/>
      <c r="W9" s="6"/>
      <c r="X9" s="6"/>
      <c r="Y9" s="6"/>
      <c r="Z9" s="6"/>
    </row>
    <row r="10" spans="1:26" ht="11.25" customHeight="1">
      <c r="A10" s="6"/>
      <c r="B10" s="6"/>
      <c r="C10" s="6"/>
      <c r="D10" s="145" t="str">
        <f>'PL BB Build'!A6</f>
        <v>EDS Buyer LLC DDTL</v>
      </c>
      <c r="E10" s="8" t="e">
        <f>'PL BB Build'!#REF!</f>
        <v>#REF!</v>
      </c>
      <c r="F10" s="146">
        <f>'PL BB Build'!F6</f>
        <v>47128</v>
      </c>
      <c r="G10" s="147" t="str">
        <f>'PL BB Build'!D6</f>
        <v>Aerospace &amp; Defense</v>
      </c>
      <c r="H10" s="147" t="str">
        <f>'PL BB Build'!P6</f>
        <v>Unquoted</v>
      </c>
      <c r="I10" s="147" t="e">
        <f>'PL BB Build'!#REF!</f>
        <v>#REF!</v>
      </c>
      <c r="J10" s="148">
        <f>'PL BB Build'!H6</f>
        <v>0</v>
      </c>
      <c r="K10" s="148" t="e">
        <f>'PL BB Build'!#REF!</f>
        <v>#REF!</v>
      </c>
      <c r="L10" s="148" t="e">
        <f t="shared" si="0"/>
        <v>#REF!</v>
      </c>
      <c r="M10" s="148" t="e">
        <f>'PL BB Build'!#REF!</f>
        <v>#REF!</v>
      </c>
      <c r="N10" s="148">
        <f>'PL BB Build'!AM6</f>
        <v>0</v>
      </c>
      <c r="O10" s="148" t="e">
        <f t="shared" si="1"/>
        <v>#REF!</v>
      </c>
      <c r="P10" s="149" t="e">
        <f>'PL BB Build'!#REF!</f>
        <v>#REF!</v>
      </c>
      <c r="Q10" s="148">
        <f t="shared" si="2"/>
        <v>0</v>
      </c>
      <c r="R10" s="148" t="e">
        <f>'PL BB Build'!#REF!+'PL BB Build'!AO6+'PL BB Build'!AP6</f>
        <v>#REF!</v>
      </c>
      <c r="S10" s="148" t="e">
        <f t="shared" si="3"/>
        <v>#REF!</v>
      </c>
      <c r="T10" s="6"/>
      <c r="U10" s="150"/>
      <c r="V10" s="6"/>
      <c r="W10" s="6"/>
      <c r="X10" s="6"/>
      <c r="Y10" s="6"/>
      <c r="Z10" s="6"/>
    </row>
    <row r="11" spans="1:26" ht="11.25" customHeight="1">
      <c r="A11" s="6"/>
      <c r="B11" s="6"/>
      <c r="C11" s="6"/>
      <c r="D11" s="145" t="str">
        <f>'PL BB Build'!A7</f>
        <v>EDS Buyer LLC Revolver</v>
      </c>
      <c r="E11" s="8" t="e">
        <f>'PL BB Build'!#REF!</f>
        <v>#REF!</v>
      </c>
      <c r="F11" s="146">
        <f>'PL BB Build'!F7</f>
        <v>47128</v>
      </c>
      <c r="G11" s="147" t="str">
        <f>'PL BB Build'!D7</f>
        <v>Aerospace &amp; Defense</v>
      </c>
      <c r="H11" s="147" t="str">
        <f>'PL BB Build'!P7</f>
        <v>Unquoted</v>
      </c>
      <c r="I11" s="147" t="e">
        <f>'PL BB Build'!#REF!</f>
        <v>#REF!</v>
      </c>
      <c r="J11" s="148">
        <f>'PL BB Build'!H7</f>
        <v>0</v>
      </c>
      <c r="K11" s="148" t="e">
        <f>'PL BB Build'!#REF!</f>
        <v>#REF!</v>
      </c>
      <c r="L11" s="148" t="e">
        <f t="shared" si="0"/>
        <v>#REF!</v>
      </c>
      <c r="M11" s="148" t="e">
        <f>'PL BB Build'!#REF!</f>
        <v>#REF!</v>
      </c>
      <c r="N11" s="148">
        <f>'PL BB Build'!AM7</f>
        <v>0</v>
      </c>
      <c r="O11" s="148" t="e">
        <f t="shared" si="1"/>
        <v>#REF!</v>
      </c>
      <c r="P11" s="149" t="e">
        <f>'PL BB Build'!#REF!</f>
        <v>#REF!</v>
      </c>
      <c r="Q11" s="148">
        <f t="shared" si="2"/>
        <v>0</v>
      </c>
      <c r="R11" s="148" t="e">
        <f>'PL BB Build'!#REF!+'PL BB Build'!AO7+'PL BB Build'!AP7</f>
        <v>#REF!</v>
      </c>
      <c r="S11" s="148" t="e">
        <f t="shared" si="3"/>
        <v>#REF!</v>
      </c>
      <c r="T11" s="6"/>
      <c r="U11" s="150"/>
      <c r="V11" s="6"/>
      <c r="W11" s="6"/>
      <c r="X11" s="6"/>
      <c r="Y11" s="6"/>
      <c r="Z11" s="6"/>
    </row>
    <row r="12" spans="1:26" ht="11.25" customHeight="1">
      <c r="A12" s="6"/>
      <c r="B12" s="6"/>
      <c r="C12" s="6"/>
      <c r="D12" s="145" t="str">
        <f>'PL BB Build'!A8</f>
        <v xml:space="preserve">Infinity Home Services </v>
      </c>
      <c r="E12" s="8" t="e">
        <f>'PL BB Build'!#REF!</f>
        <v>#REF!</v>
      </c>
      <c r="F12" s="146">
        <f>'PL BB Build'!F8</f>
        <v>47115</v>
      </c>
      <c r="G12" s="147" t="str">
        <f>'PL BB Build'!D8</f>
        <v>Personal, Food &amp; Miscellaneous Services</v>
      </c>
      <c r="H12" s="147" t="str">
        <f>'PL BB Build'!P8</f>
        <v>Unquoted</v>
      </c>
      <c r="I12" s="147" t="e">
        <f>'PL BB Build'!#REF!</f>
        <v>#REF!</v>
      </c>
      <c r="J12" s="148">
        <f>'PL BB Build'!H8</f>
        <v>4905656.93</v>
      </c>
      <c r="K12" s="148" t="e">
        <f>'PL BB Build'!#REF!</f>
        <v>#REF!</v>
      </c>
      <c r="L12" s="148" t="e">
        <f t="shared" si="0"/>
        <v>#REF!</v>
      </c>
      <c r="M12" s="148" t="e">
        <f>'PL BB Build'!#REF!</f>
        <v>#REF!</v>
      </c>
      <c r="N12" s="148">
        <f>'PL BB Build'!AM8</f>
        <v>0</v>
      </c>
      <c r="O12" s="148" t="e">
        <f t="shared" si="1"/>
        <v>#REF!</v>
      </c>
      <c r="P12" s="149" t="e">
        <f>'PL BB Build'!#REF!</f>
        <v>#REF!</v>
      </c>
      <c r="Q12" s="148">
        <f t="shared" si="2"/>
        <v>0</v>
      </c>
      <c r="R12" s="148" t="e">
        <f>'PL BB Build'!#REF!+'PL BB Build'!AO8+'PL BB Build'!AP8</f>
        <v>#REF!</v>
      </c>
      <c r="S12" s="148" t="e">
        <f t="shared" si="3"/>
        <v>#REF!</v>
      </c>
      <c r="T12" s="6"/>
      <c r="U12" s="150"/>
      <c r="V12" s="6"/>
      <c r="W12" s="6"/>
      <c r="X12" s="6"/>
      <c r="Y12" s="6"/>
      <c r="Z12" s="6"/>
    </row>
    <row r="13" spans="1:26" ht="11.25" customHeight="1">
      <c r="A13" s="6"/>
      <c r="B13" s="6"/>
      <c r="C13" s="6"/>
      <c r="D13" s="145" t="str">
        <f>'PL BB Build'!A9</f>
        <v>Infinity Home Services DDTL</v>
      </c>
      <c r="E13" s="8" t="e">
        <f>'PL BB Build'!#REF!</f>
        <v>#REF!</v>
      </c>
      <c r="F13" s="146">
        <f>'PL BB Build'!F9</f>
        <v>47115</v>
      </c>
      <c r="G13" s="147" t="str">
        <f>'PL BB Build'!D9</f>
        <v>Personal, Food &amp; Miscellaneous Services</v>
      </c>
      <c r="H13" s="147" t="str">
        <f>'PL BB Build'!P9</f>
        <v>Unquoted</v>
      </c>
      <c r="I13" s="147" t="e">
        <f>'PL BB Build'!#REF!</f>
        <v>#REF!</v>
      </c>
      <c r="J13" s="148">
        <f>'PL BB Build'!H9</f>
        <v>873684.21</v>
      </c>
      <c r="K13" s="148" t="e">
        <f>'PL BB Build'!#REF!</f>
        <v>#REF!</v>
      </c>
      <c r="L13" s="148" t="e">
        <f t="shared" si="0"/>
        <v>#REF!</v>
      </c>
      <c r="M13" s="148" t="e">
        <f>'PL BB Build'!#REF!</f>
        <v>#REF!</v>
      </c>
      <c r="N13" s="148">
        <f>'PL BB Build'!AM9</f>
        <v>0</v>
      </c>
      <c r="O13" s="148" t="e">
        <f t="shared" si="1"/>
        <v>#REF!</v>
      </c>
      <c r="P13" s="149" t="e">
        <f>'PL BB Build'!#REF!</f>
        <v>#REF!</v>
      </c>
      <c r="Q13" s="148">
        <f t="shared" si="2"/>
        <v>0</v>
      </c>
      <c r="R13" s="148" t="e">
        <f>'PL BB Build'!#REF!+'PL BB Build'!AO9+'PL BB Build'!AP9</f>
        <v>#REF!</v>
      </c>
      <c r="S13" s="148" t="e">
        <f t="shared" si="3"/>
        <v>#REF!</v>
      </c>
      <c r="T13" s="6"/>
      <c r="U13" s="150"/>
      <c r="V13" s="6"/>
      <c r="W13" s="6"/>
      <c r="X13" s="6"/>
      <c r="Y13" s="6"/>
      <c r="Z13" s="6"/>
    </row>
    <row r="14" spans="1:26" ht="11.25" customHeight="1">
      <c r="A14" s="6"/>
      <c r="B14" s="6"/>
      <c r="C14" s="6"/>
      <c r="D14" s="145" t="str">
        <f>'PL BB Build'!A10</f>
        <v>Infinity Home Services Revolver</v>
      </c>
      <c r="E14" s="8" t="e">
        <f>'PL BB Build'!#REF!</f>
        <v>#REF!</v>
      </c>
      <c r="F14" s="146">
        <f>'PL BB Build'!F10</f>
        <v>47115</v>
      </c>
      <c r="G14" s="147" t="str">
        <f>'PL BB Build'!D10</f>
        <v>Personal, Food &amp; Miscellaneous Services</v>
      </c>
      <c r="H14" s="147" t="str">
        <f>'PL BB Build'!P10</f>
        <v>Unquoted</v>
      </c>
      <c r="I14" s="147" t="e">
        <f>'PL BB Build'!#REF!</f>
        <v>#REF!</v>
      </c>
      <c r="J14" s="148">
        <f>'PL BB Build'!H10</f>
        <v>78947.37</v>
      </c>
      <c r="K14" s="148" t="e">
        <f>'PL BB Build'!#REF!</f>
        <v>#REF!</v>
      </c>
      <c r="L14" s="148" t="e">
        <f t="shared" si="0"/>
        <v>#REF!</v>
      </c>
      <c r="M14" s="148" t="e">
        <f>'PL BB Build'!#REF!</f>
        <v>#REF!</v>
      </c>
      <c r="N14" s="148">
        <f>'PL BB Build'!AM10</f>
        <v>0</v>
      </c>
      <c r="O14" s="148" t="e">
        <f t="shared" si="1"/>
        <v>#REF!</v>
      </c>
      <c r="P14" s="149" t="e">
        <f>'PL BB Build'!#REF!</f>
        <v>#REF!</v>
      </c>
      <c r="Q14" s="148">
        <f t="shared" si="2"/>
        <v>0</v>
      </c>
      <c r="R14" s="148" t="e">
        <f>'PL BB Build'!#REF!+'PL BB Build'!AO10+'PL BB Build'!AP10</f>
        <v>#REF!</v>
      </c>
      <c r="S14" s="148" t="e">
        <f t="shared" si="3"/>
        <v>#REF!</v>
      </c>
      <c r="T14" s="6"/>
      <c r="U14" s="150"/>
      <c r="V14" s="6"/>
      <c r="W14" s="6"/>
      <c r="X14" s="6"/>
      <c r="Y14" s="6"/>
      <c r="Z14" s="6"/>
    </row>
    <row r="15" spans="1:26" ht="11.25" customHeight="1">
      <c r="A15" s="6"/>
      <c r="B15" s="6"/>
      <c r="C15" s="6"/>
      <c r="D15" s="145" t="str">
        <f>'PL BB Build'!A11</f>
        <v>Ardurra</v>
      </c>
      <c r="E15" s="8" t="e">
        <f>'PL BB Build'!#REF!</f>
        <v>#REF!</v>
      </c>
      <c r="F15" s="146">
        <f>'PL BB Build'!F11</f>
        <v>47149</v>
      </c>
      <c r="G15" s="147" t="str">
        <f>'PL BB Build'!D11</f>
        <v>Environmental Services</v>
      </c>
      <c r="H15" s="147" t="str">
        <f>'PL BB Build'!P11</f>
        <v>Unquoted</v>
      </c>
      <c r="I15" s="147" t="e">
        <f>'PL BB Build'!#REF!</f>
        <v>#REF!</v>
      </c>
      <c r="J15" s="148">
        <f>'PL BB Build'!H11</f>
        <v>1961407.9</v>
      </c>
      <c r="K15" s="148" t="e">
        <f>'PL BB Build'!#REF!</f>
        <v>#REF!</v>
      </c>
      <c r="L15" s="148" t="e">
        <f t="shared" si="0"/>
        <v>#REF!</v>
      </c>
      <c r="M15" s="148" t="e">
        <f>'PL BB Build'!#REF!</f>
        <v>#REF!</v>
      </c>
      <c r="N15" s="148">
        <f>'PL BB Build'!AM11</f>
        <v>0</v>
      </c>
      <c r="O15" s="148" t="e">
        <f t="shared" si="1"/>
        <v>#REF!</v>
      </c>
      <c r="P15" s="149" t="e">
        <f>'PL BB Build'!#REF!</f>
        <v>#REF!</v>
      </c>
      <c r="Q15" s="148">
        <f t="shared" si="2"/>
        <v>0</v>
      </c>
      <c r="R15" s="148" t="e">
        <f>'PL BB Build'!#REF!+'PL BB Build'!AO11+'PL BB Build'!AP11</f>
        <v>#REF!</v>
      </c>
      <c r="S15" s="148" t="e">
        <f t="shared" si="3"/>
        <v>#REF!</v>
      </c>
      <c r="T15" s="6"/>
      <c r="U15" s="150"/>
      <c r="V15" s="6"/>
      <c r="W15" s="6"/>
      <c r="X15" s="6"/>
      <c r="Y15" s="6"/>
      <c r="Z15" s="6"/>
    </row>
    <row r="16" spans="1:26" ht="11.25" customHeight="1">
      <c r="A16" s="6"/>
      <c r="B16" s="6"/>
      <c r="C16" s="6"/>
      <c r="D16" s="145" t="str">
        <f>'PL BB Build'!A12</f>
        <v>Ardurra DDTL</v>
      </c>
      <c r="E16" s="8" t="e">
        <f>'PL BB Build'!#REF!</f>
        <v>#REF!</v>
      </c>
      <c r="F16" s="146">
        <f>'PL BB Build'!F12</f>
        <v>47149</v>
      </c>
      <c r="G16" s="147" t="str">
        <f>'PL BB Build'!D12</f>
        <v>Environmental Services</v>
      </c>
      <c r="H16" s="147" t="str">
        <f>'PL BB Build'!P12</f>
        <v>Unquoted</v>
      </c>
      <c r="I16" s="147" t="e">
        <f>'PL BB Build'!#REF!</f>
        <v>#REF!</v>
      </c>
      <c r="J16" s="148">
        <f>'PL BB Build'!H12</f>
        <v>0</v>
      </c>
      <c r="K16" s="148" t="e">
        <f>'PL BB Build'!#REF!</f>
        <v>#REF!</v>
      </c>
      <c r="L16" s="148" t="e">
        <f t="shared" si="0"/>
        <v>#REF!</v>
      </c>
      <c r="M16" s="148" t="e">
        <f>'PL BB Build'!#REF!</f>
        <v>#REF!</v>
      </c>
      <c r="N16" s="148">
        <f>'PL BB Build'!AM12</f>
        <v>0</v>
      </c>
      <c r="O16" s="148" t="e">
        <f t="shared" si="1"/>
        <v>#REF!</v>
      </c>
      <c r="P16" s="149" t="e">
        <f>'PL BB Build'!#REF!</f>
        <v>#REF!</v>
      </c>
      <c r="Q16" s="148">
        <f t="shared" si="2"/>
        <v>0</v>
      </c>
      <c r="R16" s="148" t="e">
        <f>'PL BB Build'!#REF!+'PL BB Build'!AO12+'PL BB Build'!AP12</f>
        <v>#REF!</v>
      </c>
      <c r="S16" s="148" t="e">
        <f t="shared" si="3"/>
        <v>#REF!</v>
      </c>
      <c r="T16" s="6"/>
      <c r="U16" s="150"/>
      <c r="V16" s="6"/>
      <c r="W16" s="6"/>
      <c r="X16" s="6"/>
      <c r="Y16" s="6"/>
      <c r="Z16" s="6"/>
    </row>
    <row r="17" spans="1:26" ht="11.25" customHeight="1">
      <c r="A17" s="6"/>
      <c r="B17" s="6"/>
      <c r="C17" s="6"/>
      <c r="D17" s="145" t="str">
        <f>'PL BB Build'!A13</f>
        <v>Ardurra Revolver</v>
      </c>
      <c r="E17" s="8" t="e">
        <f>'PL BB Build'!#REF!</f>
        <v>#REF!</v>
      </c>
      <c r="F17" s="146">
        <f>'PL BB Build'!F13</f>
        <v>47149</v>
      </c>
      <c r="G17" s="147" t="str">
        <f>'PL BB Build'!D13</f>
        <v>Environmental Services</v>
      </c>
      <c r="H17" s="147" t="str">
        <f>'PL BB Build'!P13</f>
        <v>Unquoted</v>
      </c>
      <c r="I17" s="147" t="e">
        <f>'PL BB Build'!#REF!</f>
        <v>#REF!</v>
      </c>
      <c r="J17" s="148">
        <f>'PL BB Build'!H13</f>
        <v>0</v>
      </c>
      <c r="K17" s="148" t="e">
        <f>'PL BB Build'!#REF!</f>
        <v>#REF!</v>
      </c>
      <c r="L17" s="148" t="e">
        <f t="shared" si="0"/>
        <v>#REF!</v>
      </c>
      <c r="M17" s="148" t="e">
        <f>'PL BB Build'!#REF!</f>
        <v>#REF!</v>
      </c>
      <c r="N17" s="148">
        <f>'PL BB Build'!AM13</f>
        <v>0</v>
      </c>
      <c r="O17" s="148" t="e">
        <f t="shared" si="1"/>
        <v>#REF!</v>
      </c>
      <c r="P17" s="149" t="e">
        <f>'PL BB Build'!#REF!</f>
        <v>#REF!</v>
      </c>
      <c r="Q17" s="148">
        <f t="shared" si="2"/>
        <v>0</v>
      </c>
      <c r="R17" s="148" t="e">
        <f>'PL BB Build'!#REF!+'PL BB Build'!AO13+'PL BB Build'!AP13</f>
        <v>#REF!</v>
      </c>
      <c r="S17" s="148" t="e">
        <f t="shared" si="3"/>
        <v>#REF!</v>
      </c>
      <c r="T17" s="6"/>
      <c r="U17" s="150"/>
      <c r="V17" s="6"/>
      <c r="W17" s="6"/>
      <c r="X17" s="6"/>
      <c r="Y17" s="6"/>
      <c r="Z17" s="6"/>
    </row>
    <row r="18" spans="1:26" ht="11.25" customHeight="1">
      <c r="A18" s="6"/>
      <c r="B18" s="6"/>
      <c r="C18" s="6"/>
      <c r="D18" s="145" t="str">
        <f>'PL BB Build'!A14</f>
        <v>BioDerm First Lien</v>
      </c>
      <c r="E18" s="8" t="e">
        <f>'PL BB Build'!#REF!</f>
        <v>#REF!</v>
      </c>
      <c r="F18" s="146">
        <f>'PL BB Build'!F14</f>
        <v>46783</v>
      </c>
      <c r="G18" s="147" t="str">
        <f>'PL BB Build'!D14</f>
        <v>Healthcare, Education &amp; Childcare</v>
      </c>
      <c r="H18" s="147" t="str">
        <f>'PL BB Build'!P14</f>
        <v>Unquoted</v>
      </c>
      <c r="I18" s="147" t="e">
        <f>'PL BB Build'!#REF!</f>
        <v>#REF!</v>
      </c>
      <c r="J18" s="148">
        <f>'PL BB Build'!H14</f>
        <v>2964348.3</v>
      </c>
      <c r="K18" s="148" t="e">
        <f>'PL BB Build'!#REF!</f>
        <v>#REF!</v>
      </c>
      <c r="L18" s="148" t="e">
        <f t="shared" si="0"/>
        <v>#REF!</v>
      </c>
      <c r="M18" s="148" t="e">
        <f>'PL BB Build'!#REF!</f>
        <v>#REF!</v>
      </c>
      <c r="N18" s="148">
        <f>'PL BB Build'!AM14</f>
        <v>0</v>
      </c>
      <c r="O18" s="148" t="e">
        <f t="shared" si="1"/>
        <v>#REF!</v>
      </c>
      <c r="P18" s="149" t="e">
        <f>'PL BB Build'!#REF!</f>
        <v>#REF!</v>
      </c>
      <c r="Q18" s="148">
        <f t="shared" si="2"/>
        <v>0</v>
      </c>
      <c r="R18" s="148" t="e">
        <f>'PL BB Build'!#REF!+'PL BB Build'!AO14+'PL BB Build'!AP14</f>
        <v>#REF!</v>
      </c>
      <c r="S18" s="148" t="e">
        <f t="shared" si="3"/>
        <v>#REF!</v>
      </c>
      <c r="T18" s="6"/>
      <c r="U18" s="150"/>
      <c r="V18" s="6"/>
      <c r="W18" s="6"/>
      <c r="X18" s="6"/>
      <c r="Y18" s="6"/>
      <c r="Z18" s="6"/>
    </row>
    <row r="19" spans="1:26" ht="11.25" customHeight="1">
      <c r="A19" s="6"/>
      <c r="B19" s="6"/>
      <c r="C19" s="6"/>
      <c r="D19" s="145" t="str">
        <f>'PL BB Build'!A15</f>
        <v>BioDerm Revolver</v>
      </c>
      <c r="E19" s="8" t="e">
        <f>'PL BB Build'!#REF!</f>
        <v>#REF!</v>
      </c>
      <c r="F19" s="146">
        <f>'PL BB Build'!F15</f>
        <v>46783</v>
      </c>
      <c r="G19" s="147" t="str">
        <f>'PL BB Build'!D15</f>
        <v>Healthcare, Education &amp; Childcare</v>
      </c>
      <c r="H19" s="147" t="str">
        <f>'PL BB Build'!P15</f>
        <v>Unquoted</v>
      </c>
      <c r="I19" s="147" t="e">
        <f>'PL BB Build'!#REF!</f>
        <v>#REF!</v>
      </c>
      <c r="J19" s="148">
        <f>'PL BB Build'!H15</f>
        <v>0</v>
      </c>
      <c r="K19" s="148" t="e">
        <f>'PL BB Build'!#REF!</f>
        <v>#REF!</v>
      </c>
      <c r="L19" s="148" t="e">
        <f t="shared" si="0"/>
        <v>#REF!</v>
      </c>
      <c r="M19" s="148" t="e">
        <f>'PL BB Build'!#REF!</f>
        <v>#REF!</v>
      </c>
      <c r="N19" s="148">
        <f>'PL BB Build'!AM15</f>
        <v>0</v>
      </c>
      <c r="O19" s="148" t="e">
        <f t="shared" si="1"/>
        <v>#REF!</v>
      </c>
      <c r="P19" s="149" t="e">
        <f>'PL BB Build'!#REF!</f>
        <v>#REF!</v>
      </c>
      <c r="Q19" s="148">
        <f t="shared" si="2"/>
        <v>0</v>
      </c>
      <c r="R19" s="148" t="e">
        <f>'PL BB Build'!#REF!+'PL BB Build'!AO15+'PL BB Build'!AP15</f>
        <v>#REF!</v>
      </c>
      <c r="S19" s="148" t="e">
        <f t="shared" si="3"/>
        <v>#REF!</v>
      </c>
      <c r="T19" s="6"/>
      <c r="U19" s="150"/>
      <c r="V19" s="6"/>
      <c r="W19" s="6"/>
      <c r="X19" s="6"/>
      <c r="Y19" s="6"/>
      <c r="Z19" s="6"/>
    </row>
    <row r="20" spans="1:26" ht="11.25" customHeight="1">
      <c r="A20" s="6"/>
      <c r="B20" s="6"/>
      <c r="C20" s="6"/>
      <c r="D20" s="145" t="str">
        <f>'PL BB Build'!A16</f>
        <v>ECL Entertainment</v>
      </c>
      <c r="E20" s="8" t="e">
        <f>'PL BB Build'!#REF!</f>
        <v>#REF!</v>
      </c>
      <c r="F20" s="146">
        <f>'PL BB Build'!F16</f>
        <v>46843</v>
      </c>
      <c r="G20" s="147" t="str">
        <f>'PL BB Build'!D16</f>
        <v>Hotel, Motels, Inns &amp; Gaming</v>
      </c>
      <c r="H20" s="147" t="str">
        <f>'PL BB Build'!P16</f>
        <v>Quoted</v>
      </c>
      <c r="I20" s="147" t="e">
        <f>'PL BB Build'!#REF!</f>
        <v>#REF!</v>
      </c>
      <c r="J20" s="148">
        <f>'PL BB Build'!H16</f>
        <v>3457792.45</v>
      </c>
      <c r="K20" s="148" t="e">
        <f>'PL BB Build'!#REF!</f>
        <v>#REF!</v>
      </c>
      <c r="L20" s="148" t="e">
        <f t="shared" si="0"/>
        <v>#REF!</v>
      </c>
      <c r="M20" s="148" t="e">
        <f>'PL BB Build'!#REF!</f>
        <v>#REF!</v>
      </c>
      <c r="N20" s="148">
        <f>'PL BB Build'!AM16</f>
        <v>0</v>
      </c>
      <c r="O20" s="148" t="e">
        <f t="shared" si="1"/>
        <v>#REF!</v>
      </c>
      <c r="P20" s="149" t="e">
        <f>'PL BB Build'!#REF!</f>
        <v>#REF!</v>
      </c>
      <c r="Q20" s="148">
        <f t="shared" si="2"/>
        <v>0</v>
      </c>
      <c r="R20" s="148" t="e">
        <f>'PL BB Build'!#REF!+'PL BB Build'!AO16+'PL BB Build'!AP16</f>
        <v>#REF!</v>
      </c>
      <c r="S20" s="148" t="e">
        <f t="shared" si="3"/>
        <v>#REF!</v>
      </c>
      <c r="T20" s="6"/>
      <c r="U20" s="150"/>
      <c r="V20" s="6"/>
      <c r="W20" s="6"/>
      <c r="X20" s="6"/>
      <c r="Y20" s="6"/>
      <c r="Z20" s="6"/>
    </row>
    <row r="21" spans="1:26" ht="11.25" customHeight="1">
      <c r="A21" s="6"/>
      <c r="B21" s="6"/>
      <c r="C21" s="6"/>
      <c r="D21" s="145" t="str">
        <f>'PL BB Build'!A17</f>
        <v>Urology Management Holdings DDTL</v>
      </c>
      <c r="E21" s="8" t="e">
        <f>'PL BB Build'!#REF!</f>
        <v>#REF!</v>
      </c>
      <c r="F21" s="146">
        <f>'PL BB Build'!F17</f>
        <v>46188</v>
      </c>
      <c r="G21" s="147" t="str">
        <f>'PL BB Build'!D17</f>
        <v>Healthcare, Education &amp; Childcare</v>
      </c>
      <c r="H21" s="147" t="str">
        <f>'PL BB Build'!P17</f>
        <v>Unquoted</v>
      </c>
      <c r="I21" s="147" t="e">
        <f>'PL BB Build'!#REF!</f>
        <v>#REF!</v>
      </c>
      <c r="J21" s="148">
        <f>'PL BB Build'!H17</f>
        <v>0</v>
      </c>
      <c r="K21" s="148" t="e">
        <f>'PL BB Build'!#REF!</f>
        <v>#REF!</v>
      </c>
      <c r="L21" s="148" t="e">
        <f t="shared" si="0"/>
        <v>#REF!</v>
      </c>
      <c r="M21" s="148" t="e">
        <f>'PL BB Build'!#REF!</f>
        <v>#REF!</v>
      </c>
      <c r="N21" s="148">
        <f>'PL BB Build'!AM17</f>
        <v>0</v>
      </c>
      <c r="O21" s="148" t="e">
        <f t="shared" si="1"/>
        <v>#REF!</v>
      </c>
      <c r="P21" s="149" t="e">
        <f>'PL BB Build'!#REF!</f>
        <v>#REF!</v>
      </c>
      <c r="Q21" s="148">
        <f t="shared" si="2"/>
        <v>0</v>
      </c>
      <c r="R21" s="148" t="e">
        <f>'PL BB Build'!#REF!+'PL BB Build'!AO17+'PL BB Build'!AP17</f>
        <v>#REF!</v>
      </c>
      <c r="S21" s="148" t="e">
        <f t="shared" si="3"/>
        <v>#REF!</v>
      </c>
      <c r="T21" s="6"/>
      <c r="U21" s="150"/>
      <c r="V21" s="6"/>
      <c r="W21" s="6"/>
      <c r="X21" s="6"/>
      <c r="Y21" s="6"/>
      <c r="Z21" s="6"/>
    </row>
    <row r="22" spans="1:26" ht="11.25" customHeight="1">
      <c r="A22" s="6"/>
      <c r="B22" s="6"/>
      <c r="C22" s="6"/>
      <c r="D22" s="145" t="str">
        <f>'PL BB Build'!A18</f>
        <v>Urology Management Holdings</v>
      </c>
      <c r="E22" s="8" t="e">
        <f>'PL BB Build'!#REF!</f>
        <v>#REF!</v>
      </c>
      <c r="F22" s="146">
        <f>'PL BB Build'!F18</f>
        <v>46188</v>
      </c>
      <c r="G22" s="147" t="str">
        <f>'PL BB Build'!D18</f>
        <v>Healthcare, Education &amp; Childcare</v>
      </c>
      <c r="H22" s="147" t="str">
        <f>'PL BB Build'!P18</f>
        <v>Unquoted</v>
      </c>
      <c r="I22" s="147" t="e">
        <f>'PL BB Build'!#REF!</f>
        <v>#REF!</v>
      </c>
      <c r="J22" s="148">
        <f>'PL BB Build'!H18</f>
        <v>1631655.9</v>
      </c>
      <c r="K22" s="148" t="e">
        <f>'PL BB Build'!#REF!</f>
        <v>#REF!</v>
      </c>
      <c r="L22" s="148" t="e">
        <f t="shared" si="0"/>
        <v>#REF!</v>
      </c>
      <c r="M22" s="148" t="e">
        <f>'PL BB Build'!#REF!</f>
        <v>#REF!</v>
      </c>
      <c r="N22" s="148">
        <f>'PL BB Build'!AM18</f>
        <v>0</v>
      </c>
      <c r="O22" s="148" t="e">
        <f t="shared" si="1"/>
        <v>#REF!</v>
      </c>
      <c r="P22" s="149" t="e">
        <f>'PL BB Build'!#REF!</f>
        <v>#REF!</v>
      </c>
      <c r="Q22" s="148">
        <f t="shared" si="2"/>
        <v>0</v>
      </c>
      <c r="R22" s="148" t="e">
        <f>'PL BB Build'!#REF!+'PL BB Build'!AO18+'PL BB Build'!AP18</f>
        <v>#REF!</v>
      </c>
      <c r="S22" s="148" t="e">
        <f t="shared" si="3"/>
        <v>#REF!</v>
      </c>
      <c r="T22" s="6"/>
      <c r="U22" s="150"/>
      <c r="V22" s="6"/>
      <c r="W22" s="6"/>
      <c r="X22" s="6"/>
      <c r="Y22" s="6"/>
      <c r="Z22" s="6"/>
    </row>
    <row r="23" spans="1:26" ht="11.25" customHeight="1">
      <c r="A23" s="6"/>
      <c r="B23" s="6"/>
      <c r="C23" s="6"/>
      <c r="D23" s="145" t="str">
        <f>'PL BB Build'!A19</f>
        <v>Five Star Buyer</v>
      </c>
      <c r="E23" s="8" t="e">
        <f>'PL BB Build'!#REF!</f>
        <v>#REF!</v>
      </c>
      <c r="F23" s="146">
        <f>'PL BB Build'!F19</f>
        <v>46806</v>
      </c>
      <c r="G23" s="147" t="str">
        <f>'PL BB Build'!D19</f>
        <v>Hotel, Motels, Inns &amp; Gaming</v>
      </c>
      <c r="H23" s="147" t="str">
        <f>'PL BB Build'!P19</f>
        <v>Unquoted</v>
      </c>
      <c r="I23" s="147" t="e">
        <f>'PL BB Build'!#REF!</f>
        <v>#REF!</v>
      </c>
      <c r="J23" s="148">
        <f>'PL BB Build'!H19</f>
        <v>2942201.53</v>
      </c>
      <c r="K23" s="148" t="e">
        <f>'PL BB Build'!#REF!</f>
        <v>#REF!</v>
      </c>
      <c r="L23" s="148" t="e">
        <f t="shared" si="0"/>
        <v>#REF!</v>
      </c>
      <c r="M23" s="148" t="e">
        <f>'PL BB Build'!#REF!</f>
        <v>#REF!</v>
      </c>
      <c r="N23" s="148">
        <f>'PL BB Build'!AM19</f>
        <v>0</v>
      </c>
      <c r="O23" s="148" t="e">
        <f t="shared" si="1"/>
        <v>#REF!</v>
      </c>
      <c r="P23" s="149" t="e">
        <f>'PL BB Build'!#REF!</f>
        <v>#REF!</v>
      </c>
      <c r="Q23" s="148">
        <f t="shared" si="2"/>
        <v>0</v>
      </c>
      <c r="R23" s="148" t="e">
        <f>'PL BB Build'!#REF!+'PL BB Build'!AO19+'PL BB Build'!AP19</f>
        <v>#REF!</v>
      </c>
      <c r="S23" s="148" t="e">
        <f t="shared" si="3"/>
        <v>#REF!</v>
      </c>
      <c r="T23" s="6"/>
      <c r="U23" s="150"/>
      <c r="V23" s="6"/>
      <c r="W23" s="6"/>
      <c r="X23" s="6"/>
      <c r="Y23" s="6"/>
      <c r="Z23" s="6"/>
    </row>
    <row r="24" spans="1:26" ht="11.25" customHeight="1">
      <c r="A24" s="6"/>
      <c r="B24" s="6"/>
      <c r="C24" s="6"/>
      <c r="D24" s="145" t="str">
        <f>'PL BB Build'!A20</f>
        <v>Five Star Buyer DDTL</v>
      </c>
      <c r="E24" s="8" t="e">
        <f>'PL BB Build'!#REF!</f>
        <v>#REF!</v>
      </c>
      <c r="F24" s="146">
        <f>'PL BB Build'!F20</f>
        <v>46806</v>
      </c>
      <c r="G24" s="147" t="str">
        <f>'PL BB Build'!D20</f>
        <v>Hotel, Motels, Inns &amp; Gaming</v>
      </c>
      <c r="H24" s="147" t="str">
        <f>'PL BB Build'!P20</f>
        <v>Unquoted</v>
      </c>
      <c r="I24" s="147" t="e">
        <f>'PL BB Build'!#REF!</f>
        <v>#REF!</v>
      </c>
      <c r="J24" s="148">
        <f>'PL BB Build'!H20</f>
        <v>0</v>
      </c>
      <c r="K24" s="148" t="e">
        <f>'PL BB Build'!#REF!</f>
        <v>#REF!</v>
      </c>
      <c r="L24" s="148" t="e">
        <f t="shared" si="0"/>
        <v>#REF!</v>
      </c>
      <c r="M24" s="148" t="e">
        <f>'PL BB Build'!#REF!</f>
        <v>#REF!</v>
      </c>
      <c r="N24" s="148">
        <f>'PL BB Build'!AM20</f>
        <v>0</v>
      </c>
      <c r="O24" s="148" t="e">
        <f t="shared" si="1"/>
        <v>#REF!</v>
      </c>
      <c r="P24" s="149" t="e">
        <f>'PL BB Build'!#REF!</f>
        <v>#REF!</v>
      </c>
      <c r="Q24" s="148">
        <f t="shared" si="2"/>
        <v>0</v>
      </c>
      <c r="R24" s="148" t="e">
        <f>'PL BB Build'!#REF!+'PL BB Build'!AO20+'PL BB Build'!AP20</f>
        <v>#REF!</v>
      </c>
      <c r="S24" s="148" t="e">
        <f t="shared" si="3"/>
        <v>#REF!</v>
      </c>
      <c r="T24" s="6"/>
      <c r="U24" s="150"/>
      <c r="V24" s="6"/>
      <c r="W24" s="6"/>
      <c r="X24" s="6"/>
      <c r="Y24" s="6"/>
      <c r="Z24" s="6"/>
    </row>
    <row r="25" spans="1:26" ht="11.25" customHeight="1">
      <c r="A25" s="6"/>
      <c r="B25" s="6"/>
      <c r="C25" s="6"/>
      <c r="D25" s="145" t="str">
        <f>'PL BB Build'!A21</f>
        <v>Five Star Buyer Revolver</v>
      </c>
      <c r="E25" s="8" t="e">
        <f>'PL BB Build'!#REF!</f>
        <v>#REF!</v>
      </c>
      <c r="F25" s="146">
        <f>'PL BB Build'!F21</f>
        <v>46806</v>
      </c>
      <c r="G25" s="147" t="str">
        <f>'PL BB Build'!D21</f>
        <v>Hotel, Motels, Inns &amp; Gaming</v>
      </c>
      <c r="H25" s="147" t="str">
        <f>'PL BB Build'!P21</f>
        <v>Unquoted</v>
      </c>
      <c r="I25" s="147" t="e">
        <f>'PL BB Build'!#REF!</f>
        <v>#REF!</v>
      </c>
      <c r="J25" s="148">
        <f>'PL BB Build'!H21</f>
        <v>0</v>
      </c>
      <c r="K25" s="148" t="e">
        <f>'PL BB Build'!#REF!</f>
        <v>#REF!</v>
      </c>
      <c r="L25" s="148" t="e">
        <f t="shared" si="0"/>
        <v>#REF!</v>
      </c>
      <c r="M25" s="148" t="e">
        <f>'PL BB Build'!#REF!</f>
        <v>#REF!</v>
      </c>
      <c r="N25" s="148">
        <f>'PL BB Build'!AM21</f>
        <v>0</v>
      </c>
      <c r="O25" s="148" t="e">
        <f t="shared" si="1"/>
        <v>#REF!</v>
      </c>
      <c r="P25" s="149" t="e">
        <f>'PL BB Build'!#REF!</f>
        <v>#REF!</v>
      </c>
      <c r="Q25" s="148">
        <f t="shared" si="2"/>
        <v>0</v>
      </c>
      <c r="R25" s="148" t="e">
        <f>'PL BB Build'!#REF!+'PL BB Build'!AO21+'PL BB Build'!AP21</f>
        <v>#REF!</v>
      </c>
      <c r="S25" s="148" t="e">
        <f t="shared" si="3"/>
        <v>#REF!</v>
      </c>
      <c r="T25" s="6"/>
      <c r="U25" s="150"/>
      <c r="V25" s="6"/>
      <c r="W25" s="6"/>
      <c r="X25" s="6"/>
      <c r="Y25" s="6"/>
      <c r="Z25" s="6"/>
    </row>
    <row r="26" spans="1:26" ht="11.25" customHeight="1">
      <c r="A26" s="6"/>
      <c r="B26" s="6"/>
      <c r="C26" s="6"/>
      <c r="D26" s="145" t="str">
        <f>'PL BB Build'!A22</f>
        <v>Anteriad (FKA MeritDirect)</v>
      </c>
      <c r="E26" s="8" t="e">
        <f>'PL BB Build'!#REF!</f>
        <v>#REF!</v>
      </c>
      <c r="F26" s="146">
        <f>'PL BB Build'!F22</f>
        <v>47054</v>
      </c>
      <c r="G26" s="147" t="str">
        <f>'PL BB Build'!D22</f>
        <v>Media</v>
      </c>
      <c r="H26" s="147" t="str">
        <f>'PL BB Build'!P22</f>
        <v>Unquoted</v>
      </c>
      <c r="I26" s="147" t="e">
        <f>'PL BB Build'!#REF!</f>
        <v>#REF!</v>
      </c>
      <c r="J26" s="148">
        <f>'PL BB Build'!H22</f>
        <v>2944439.14</v>
      </c>
      <c r="K26" s="148" t="e">
        <f>'PL BB Build'!#REF!</f>
        <v>#REF!</v>
      </c>
      <c r="L26" s="148" t="e">
        <f t="shared" si="0"/>
        <v>#REF!</v>
      </c>
      <c r="M26" s="148" t="e">
        <f>'PL BB Build'!#REF!</f>
        <v>#REF!</v>
      </c>
      <c r="N26" s="148">
        <f>'PL BB Build'!AM22</f>
        <v>0</v>
      </c>
      <c r="O26" s="148" t="e">
        <f t="shared" si="1"/>
        <v>#REF!</v>
      </c>
      <c r="P26" s="149" t="e">
        <f>'PL BB Build'!#REF!</f>
        <v>#REF!</v>
      </c>
      <c r="Q26" s="148">
        <f t="shared" si="2"/>
        <v>0</v>
      </c>
      <c r="R26" s="148" t="e">
        <f>'PL BB Build'!#REF!+'PL BB Build'!AO22+'PL BB Build'!AP22</f>
        <v>#REF!</v>
      </c>
      <c r="S26" s="148" t="e">
        <f t="shared" si="3"/>
        <v>#REF!</v>
      </c>
      <c r="T26" s="6"/>
      <c r="U26" s="150"/>
      <c r="V26" s="6"/>
      <c r="W26" s="6"/>
      <c r="X26" s="6"/>
      <c r="Y26" s="6"/>
      <c r="Z26" s="6"/>
    </row>
    <row r="27" spans="1:26" ht="11.25" customHeight="1">
      <c r="A27" s="6"/>
      <c r="B27" s="6"/>
      <c r="C27" s="6"/>
      <c r="D27" s="145" t="str">
        <f>'PL BB Build'!A23</f>
        <v>Beta Plus Technologies, Inc.</v>
      </c>
      <c r="E27" s="8" t="e">
        <f>'PL BB Build'!#REF!</f>
        <v>#REF!</v>
      </c>
      <c r="F27" s="146">
        <f>'PL BB Build'!F23</f>
        <v>47301</v>
      </c>
      <c r="G27" s="147" t="str">
        <f>'PL BB Build'!D23</f>
        <v>Business Services</v>
      </c>
      <c r="H27" s="147" t="str">
        <f>'PL BB Build'!P23</f>
        <v>Unquoted</v>
      </c>
      <c r="I27" s="147" t="e">
        <f>'PL BB Build'!#REF!</f>
        <v>#REF!</v>
      </c>
      <c r="J27" s="148">
        <f>'PL BB Build'!H23</f>
        <v>2636699.66</v>
      </c>
      <c r="K27" s="148" t="e">
        <f>'PL BB Build'!#REF!</f>
        <v>#REF!</v>
      </c>
      <c r="L27" s="148" t="e">
        <f t="shared" si="0"/>
        <v>#REF!</v>
      </c>
      <c r="M27" s="148" t="e">
        <f>'PL BB Build'!#REF!</f>
        <v>#REF!</v>
      </c>
      <c r="N27" s="148">
        <f>'PL BB Build'!AM23</f>
        <v>0</v>
      </c>
      <c r="O27" s="148" t="e">
        <f t="shared" si="1"/>
        <v>#REF!</v>
      </c>
      <c r="P27" s="149" t="e">
        <f>'PL BB Build'!#REF!</f>
        <v>#REF!</v>
      </c>
      <c r="Q27" s="148">
        <f t="shared" si="2"/>
        <v>0</v>
      </c>
      <c r="R27" s="148" t="e">
        <f>'PL BB Build'!#REF!+'PL BB Build'!AO23+'PL BB Build'!AP23</f>
        <v>#REF!</v>
      </c>
      <c r="S27" s="148" t="e">
        <f t="shared" si="3"/>
        <v>#REF!</v>
      </c>
      <c r="T27" s="6"/>
      <c r="U27" s="150"/>
      <c r="V27" s="6"/>
      <c r="W27" s="6"/>
      <c r="X27" s="6"/>
      <c r="Y27" s="6"/>
      <c r="Z27" s="6"/>
    </row>
    <row r="28" spans="1:26" ht="11.25" customHeight="1">
      <c r="A28" s="6"/>
      <c r="B28" s="6"/>
      <c r="C28" s="6"/>
      <c r="D28" s="145" t="str">
        <f>'PL BB Build'!A24</f>
        <v>Simplicity Group First Lien</v>
      </c>
      <c r="E28" s="8" t="e">
        <f>'PL BB Build'!#REF!</f>
        <v>#REF!</v>
      </c>
      <c r="F28" s="146">
        <f>'PL BB Build'!F24</f>
        <v>46358</v>
      </c>
      <c r="G28" s="147" t="str">
        <f>'PL BB Build'!D24</f>
        <v>Financial Services</v>
      </c>
      <c r="H28" s="147" t="str">
        <f>'PL BB Build'!P24</f>
        <v>Unquoted</v>
      </c>
      <c r="I28" s="147" t="e">
        <f>'PL BB Build'!#REF!</f>
        <v>#REF!</v>
      </c>
      <c r="J28" s="148">
        <f>'PL BB Build'!H24</f>
        <v>3532933.08</v>
      </c>
      <c r="K28" s="148" t="e">
        <f>'PL BB Build'!#REF!</f>
        <v>#REF!</v>
      </c>
      <c r="L28" s="148" t="e">
        <f t="shared" si="0"/>
        <v>#REF!</v>
      </c>
      <c r="M28" s="148" t="e">
        <f>'PL BB Build'!#REF!</f>
        <v>#REF!</v>
      </c>
      <c r="N28" s="148">
        <f>'PL BB Build'!AM24</f>
        <v>0</v>
      </c>
      <c r="O28" s="148" t="e">
        <f t="shared" si="1"/>
        <v>#REF!</v>
      </c>
      <c r="P28" s="149" t="e">
        <f>'PL BB Build'!#REF!</f>
        <v>#REF!</v>
      </c>
      <c r="Q28" s="148">
        <f t="shared" si="2"/>
        <v>0</v>
      </c>
      <c r="R28" s="148" t="e">
        <f>'PL BB Build'!#REF!+'PL BB Build'!AO24+'PL BB Build'!AP24</f>
        <v>#REF!</v>
      </c>
      <c r="S28" s="148" t="e">
        <f t="shared" si="3"/>
        <v>#REF!</v>
      </c>
      <c r="T28" s="6"/>
      <c r="U28" s="150"/>
      <c r="V28" s="6"/>
      <c r="W28" s="6"/>
      <c r="X28" s="6"/>
      <c r="Y28" s="6"/>
      <c r="Z28" s="6"/>
    </row>
    <row r="29" spans="1:26" ht="11.25" customHeight="1">
      <c r="A29" s="6"/>
      <c r="B29" s="6"/>
      <c r="C29" s="6"/>
      <c r="D29" s="145" t="str">
        <f>'PL BB Build'!A25</f>
        <v>Simplicity Group DDTL</v>
      </c>
      <c r="E29" s="8" t="e">
        <f>'PL BB Build'!#REF!</f>
        <v>#REF!</v>
      </c>
      <c r="F29" s="146">
        <f>'PL BB Build'!F25</f>
        <v>46358</v>
      </c>
      <c r="G29" s="147" t="str">
        <f>'PL BB Build'!D25</f>
        <v>Financial Services</v>
      </c>
      <c r="H29" s="147" t="str">
        <f>'PL BB Build'!P25</f>
        <v>Unquoted</v>
      </c>
      <c r="I29" s="147" t="e">
        <f>'PL BB Build'!#REF!</f>
        <v>#REF!</v>
      </c>
      <c r="J29" s="148">
        <f>'PL BB Build'!H25</f>
        <v>0</v>
      </c>
      <c r="K29" s="148" t="e">
        <f>'PL BB Build'!#REF!</f>
        <v>#REF!</v>
      </c>
      <c r="L29" s="148" t="e">
        <f t="shared" si="0"/>
        <v>#REF!</v>
      </c>
      <c r="M29" s="148" t="e">
        <f>'PL BB Build'!#REF!</f>
        <v>#REF!</v>
      </c>
      <c r="N29" s="148">
        <f>'PL BB Build'!AM25</f>
        <v>0</v>
      </c>
      <c r="O29" s="148" t="e">
        <f t="shared" si="1"/>
        <v>#REF!</v>
      </c>
      <c r="P29" s="149" t="e">
        <f>'PL BB Build'!#REF!</f>
        <v>#REF!</v>
      </c>
      <c r="Q29" s="148">
        <f t="shared" si="2"/>
        <v>0</v>
      </c>
      <c r="R29" s="148" t="e">
        <f>'PL BB Build'!#REF!+'PL BB Build'!AO25+'PL BB Build'!AP25</f>
        <v>#REF!</v>
      </c>
      <c r="S29" s="148" t="e">
        <f t="shared" si="3"/>
        <v>#REF!</v>
      </c>
      <c r="T29" s="6"/>
      <c r="U29" s="150"/>
      <c r="V29" s="6"/>
      <c r="W29" s="6"/>
      <c r="X29" s="6"/>
      <c r="Y29" s="6"/>
      <c r="Z29" s="6"/>
    </row>
    <row r="30" spans="1:26" ht="11.25" customHeight="1">
      <c r="A30" s="6"/>
      <c r="B30" s="6"/>
      <c r="C30" s="6"/>
      <c r="D30" s="145" t="e">
        <f>'PL BB Build'!#REF!</f>
        <v>#REF!</v>
      </c>
      <c r="E30" s="8" t="e">
        <f>'PL BB Build'!#REF!</f>
        <v>#REF!</v>
      </c>
      <c r="F30" s="146" t="e">
        <f>'PL BB Build'!#REF!</f>
        <v>#REF!</v>
      </c>
      <c r="G30" s="147" t="e">
        <f>'PL BB Build'!#REF!</f>
        <v>#REF!</v>
      </c>
      <c r="H30" s="147" t="e">
        <f>'PL BB Build'!#REF!</f>
        <v>#REF!</v>
      </c>
      <c r="I30" s="147" t="e">
        <f>'PL BB Build'!#REF!</f>
        <v>#REF!</v>
      </c>
      <c r="J30" s="148" t="e">
        <f>'PL BB Build'!#REF!</f>
        <v>#REF!</v>
      </c>
      <c r="K30" s="148" t="e">
        <f>'PL BB Build'!#REF!</f>
        <v>#REF!</v>
      </c>
      <c r="L30" s="148" t="e">
        <f t="shared" si="0"/>
        <v>#REF!</v>
      </c>
      <c r="M30" s="148" t="e">
        <f>'PL BB Build'!#REF!</f>
        <v>#REF!</v>
      </c>
      <c r="N30" s="148" t="e">
        <f>'PL BB Build'!#REF!</f>
        <v>#REF!</v>
      </c>
      <c r="O30" s="148" t="e">
        <f t="shared" si="1"/>
        <v>#REF!</v>
      </c>
      <c r="P30" s="149" t="e">
        <f>'PL BB Build'!#REF!</f>
        <v>#REF!</v>
      </c>
      <c r="Q30" s="148">
        <f t="shared" si="2"/>
        <v>0</v>
      </c>
      <c r="R30" s="148" t="e">
        <f>'PL BB Build'!#REF!+'PL BB Build'!#REF!+'PL BB Build'!#REF!</f>
        <v>#REF!</v>
      </c>
      <c r="S30" s="148" t="e">
        <f t="shared" si="3"/>
        <v>#REF!</v>
      </c>
      <c r="T30" s="6"/>
      <c r="U30" s="150"/>
      <c r="V30" s="6"/>
      <c r="W30" s="6"/>
      <c r="X30" s="6"/>
      <c r="Y30" s="6"/>
      <c r="Z30" s="6"/>
    </row>
    <row r="31" spans="1:26" ht="11.25" customHeight="1">
      <c r="A31" s="6"/>
      <c r="B31" s="6"/>
      <c r="C31" s="6"/>
      <c r="D31" s="145" t="e">
        <f>'PL BB Build'!#REF!</f>
        <v>#REF!</v>
      </c>
      <c r="E31" s="8" t="e">
        <f>'PL BB Build'!#REF!</f>
        <v>#REF!</v>
      </c>
      <c r="F31" s="146" t="e">
        <f>'PL BB Build'!#REF!</f>
        <v>#REF!</v>
      </c>
      <c r="G31" s="147" t="e">
        <f>'PL BB Build'!#REF!</f>
        <v>#REF!</v>
      </c>
      <c r="H31" s="147" t="e">
        <f>'PL BB Build'!#REF!</f>
        <v>#REF!</v>
      </c>
      <c r="I31" s="147" t="e">
        <f>'PL BB Build'!#REF!</f>
        <v>#REF!</v>
      </c>
      <c r="J31" s="148" t="e">
        <f>'PL BB Build'!#REF!</f>
        <v>#REF!</v>
      </c>
      <c r="K31" s="148" t="e">
        <f>'PL BB Build'!#REF!</f>
        <v>#REF!</v>
      </c>
      <c r="L31" s="148" t="e">
        <f t="shared" si="0"/>
        <v>#REF!</v>
      </c>
      <c r="M31" s="148" t="e">
        <f>'PL BB Build'!#REF!</f>
        <v>#REF!</v>
      </c>
      <c r="N31" s="148" t="e">
        <f>'PL BB Build'!#REF!</f>
        <v>#REF!</v>
      </c>
      <c r="O31" s="148" t="e">
        <f t="shared" si="1"/>
        <v>#REF!</v>
      </c>
      <c r="P31" s="149" t="e">
        <f>'PL BB Build'!#REF!</f>
        <v>#REF!</v>
      </c>
      <c r="Q31" s="148">
        <f t="shared" si="2"/>
        <v>0</v>
      </c>
      <c r="R31" s="148" t="e">
        <f>'PL BB Build'!#REF!+'PL BB Build'!#REF!+'PL BB Build'!#REF!</f>
        <v>#REF!</v>
      </c>
      <c r="S31" s="148" t="e">
        <f t="shared" si="3"/>
        <v>#REF!</v>
      </c>
      <c r="T31" s="6"/>
      <c r="U31" s="150"/>
      <c r="V31" s="6"/>
      <c r="W31" s="6"/>
      <c r="X31" s="6"/>
      <c r="Y31" s="6"/>
      <c r="Z31" s="6"/>
    </row>
    <row r="32" spans="1:26" ht="11.25" customHeight="1">
      <c r="A32" s="6"/>
      <c r="B32" s="6"/>
      <c r="C32" s="6"/>
      <c r="D32" s="8"/>
      <c r="E32" s="8"/>
      <c r="F32" s="146"/>
      <c r="G32" s="147"/>
      <c r="H32" s="151"/>
      <c r="I32" s="151"/>
      <c r="J32" s="148"/>
      <c r="K32" s="148"/>
      <c r="L32" s="148"/>
      <c r="M32" s="148"/>
      <c r="N32" s="148"/>
      <c r="O32" s="148"/>
      <c r="P32" s="149"/>
      <c r="Q32" s="148"/>
      <c r="R32" s="148"/>
      <c r="S32" s="148"/>
      <c r="T32" s="6"/>
      <c r="U32" s="150"/>
      <c r="V32" s="6"/>
      <c r="W32" s="6"/>
      <c r="X32" s="6"/>
      <c r="Y32" s="6"/>
      <c r="Z32" s="6"/>
    </row>
    <row r="33" spans="1:26" ht="11.25" customHeight="1">
      <c r="A33" s="6"/>
      <c r="B33" s="6"/>
      <c r="C33" s="6"/>
      <c r="D33" s="8" t="str">
        <f>'PL BB Build'!A27</f>
        <v>Cash</v>
      </c>
      <c r="E33" s="6" t="e">
        <f>'PL BB Build'!#REF!</f>
        <v>#REF!</v>
      </c>
      <c r="F33" s="152"/>
      <c r="G33" s="147" t="str">
        <f>'PL BB Build'!D27</f>
        <v>Cash</v>
      </c>
      <c r="H33" s="151" t="str">
        <f>'PL BB Build'!P27</f>
        <v>Quoted</v>
      </c>
      <c r="I33" s="151" t="e">
        <f>'PL BB Build'!#REF!</f>
        <v>#REF!</v>
      </c>
      <c r="J33" s="148">
        <f>'PL BB Build'!H27</f>
        <v>4456822.24</v>
      </c>
      <c r="K33" s="148" t="e">
        <f>'PL BB Build'!#REF!</f>
        <v>#REF!</v>
      </c>
      <c r="L33" s="148" t="e">
        <f>M33-K33</f>
        <v>#REF!</v>
      </c>
      <c r="M33" s="148" t="e">
        <f>'PL BB Build'!#REF!</f>
        <v>#REF!</v>
      </c>
      <c r="N33" s="148">
        <f>'PL BB Build'!AM27</f>
        <v>0</v>
      </c>
      <c r="O33" s="148" t="e">
        <f>SUM(M33:N33)</f>
        <v>#REF!</v>
      </c>
      <c r="P33" s="149" t="e">
        <f>'PL BB Build'!#REF!</f>
        <v>#REF!</v>
      </c>
      <c r="Q33" s="148">
        <f>IFERROR(O33*P33,0)</f>
        <v>0</v>
      </c>
      <c r="R33" s="148" t="e">
        <f>'PL BB Build'!#REF!+'PL BB Build'!AO27+'PL BB Build'!AP27</f>
        <v>#REF!</v>
      </c>
      <c r="S33" s="148" t="e">
        <f>SUM(Q33:R33)</f>
        <v>#REF!</v>
      </c>
      <c r="T33" s="6"/>
      <c r="U33" s="6"/>
      <c r="V33" s="6"/>
      <c r="W33" s="6"/>
      <c r="X33" s="6"/>
      <c r="Y33" s="6"/>
      <c r="Z33" s="6"/>
    </row>
    <row r="34" spans="1:26" ht="11.25" customHeight="1">
      <c r="A34" s="6"/>
      <c r="B34" s="6"/>
      <c r="C34" s="116" t="s">
        <v>172</v>
      </c>
      <c r="D34" s="153"/>
      <c r="E34" s="153"/>
      <c r="F34" s="116"/>
      <c r="G34" s="116"/>
      <c r="H34" s="154"/>
      <c r="I34" s="154"/>
      <c r="J34" s="155" t="e">
        <f t="shared" ref="J34:O34" si="4">SUM(J6:J33)</f>
        <v>#REF!</v>
      </c>
      <c r="K34" s="155" t="e">
        <f t="shared" si="4"/>
        <v>#REF!</v>
      </c>
      <c r="L34" s="155" t="e">
        <f t="shared" si="4"/>
        <v>#REF!</v>
      </c>
      <c r="M34" s="155" t="e">
        <f t="shared" si="4"/>
        <v>#REF!</v>
      </c>
      <c r="N34" s="155" t="e">
        <f t="shared" si="4"/>
        <v>#REF!</v>
      </c>
      <c r="O34" s="155" t="e">
        <f t="shared" si="4"/>
        <v>#REF!</v>
      </c>
      <c r="P34" s="155"/>
      <c r="Q34" s="155">
        <f t="shared" ref="Q34:S34" si="5">SUM(Q6:Q33)</f>
        <v>0</v>
      </c>
      <c r="R34" s="155" t="e">
        <f t="shared" si="5"/>
        <v>#REF!</v>
      </c>
      <c r="S34" s="155" t="e">
        <f t="shared" si="5"/>
        <v>#REF!</v>
      </c>
      <c r="T34" s="6"/>
      <c r="U34" s="6"/>
      <c r="V34" s="6"/>
      <c r="W34" s="6"/>
      <c r="X34" s="6"/>
      <c r="Y34" s="6"/>
      <c r="Z34" s="6"/>
    </row>
    <row r="35" spans="1:26" ht="11.25" customHeight="1">
      <c r="A35" s="6"/>
      <c r="B35" s="6"/>
      <c r="C35" s="75"/>
      <c r="D35" s="156"/>
      <c r="E35" s="156"/>
      <c r="F35" s="75"/>
      <c r="G35" s="75"/>
      <c r="H35" s="157"/>
      <c r="I35" s="157"/>
      <c r="J35" s="158"/>
      <c r="K35" s="158"/>
      <c r="L35" s="159"/>
      <c r="M35" s="159"/>
      <c r="N35" s="159"/>
      <c r="O35" s="159"/>
      <c r="P35" s="141"/>
      <c r="Q35" s="160"/>
      <c r="R35" s="159"/>
      <c r="S35" s="160"/>
      <c r="T35" s="6"/>
      <c r="U35" s="6"/>
      <c r="V35" s="6"/>
      <c r="W35" s="6"/>
      <c r="X35" s="6"/>
      <c r="Y35" s="6"/>
      <c r="Z35" s="6"/>
    </row>
    <row r="36" spans="1:26" ht="11.25" customHeight="1">
      <c r="A36" s="6"/>
      <c r="B36" s="6"/>
      <c r="C36" s="75"/>
      <c r="D36" s="156"/>
      <c r="E36" s="156"/>
      <c r="F36" s="75"/>
      <c r="G36" s="75"/>
      <c r="H36" s="161"/>
      <c r="I36" s="161"/>
      <c r="J36" s="158"/>
      <c r="K36" s="158"/>
      <c r="L36" s="159"/>
      <c r="M36" s="159"/>
      <c r="N36" s="159"/>
      <c r="O36" s="159"/>
      <c r="P36" s="141"/>
      <c r="Q36" s="158"/>
      <c r="R36" s="159"/>
      <c r="S36" s="158"/>
      <c r="T36" s="6"/>
      <c r="U36" s="6"/>
      <c r="V36" s="6"/>
      <c r="W36" s="6"/>
      <c r="X36" s="6"/>
      <c r="Y36" s="6"/>
      <c r="Z36" s="6"/>
    </row>
    <row r="37" spans="1:26" ht="11.25" customHeight="1">
      <c r="A37" s="6"/>
      <c r="B37" s="6"/>
      <c r="C37" s="6"/>
      <c r="D37" s="6"/>
      <c r="E37" s="6"/>
      <c r="F37" s="6"/>
      <c r="G37" s="6"/>
      <c r="H37" s="6"/>
      <c r="I37" s="6"/>
      <c r="J37" s="6" t="e">
        <f>J34='PL BB Build'!#REF!</f>
        <v>#REF!</v>
      </c>
      <c r="K37" s="6" t="e">
        <f>K34='PL BB Build'!#REF!</f>
        <v>#REF!</v>
      </c>
      <c r="L37" s="6"/>
      <c r="M37" s="6" t="e">
        <f>M34='PL BB Build'!#REF!</f>
        <v>#REF!</v>
      </c>
      <c r="N37" s="6"/>
      <c r="O37" s="6" t="e">
        <f>O34='PL BB Build'!#REF!</f>
        <v>#REF!</v>
      </c>
      <c r="P37" s="6"/>
      <c r="Q37" s="6" t="e">
        <f>Q34='PL BB Build'!#REF!</f>
        <v>#REF!</v>
      </c>
      <c r="R37" s="6" t="e">
        <f>R34='PL BB Build'!#REF!+'PL BB Build'!#REF!</f>
        <v>#REF!</v>
      </c>
      <c r="S37" s="6" t="e">
        <f>S34='PL BB Build'!#REF!</f>
        <v>#REF!</v>
      </c>
      <c r="T37" s="6"/>
      <c r="U37" s="6"/>
      <c r="V37" s="6"/>
      <c r="W37" s="6"/>
      <c r="X37" s="6"/>
      <c r="Y37" s="6"/>
      <c r="Z37" s="6"/>
    </row>
    <row r="38" spans="1:26" ht="11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1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1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1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1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162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1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162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1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162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1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162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1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162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1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162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1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162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1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162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1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162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1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162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1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162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1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162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1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162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1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162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1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162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1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162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1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162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1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162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1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162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1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162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1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162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1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162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1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162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1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1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1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1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1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1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1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1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1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1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1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1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1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1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1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1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1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1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1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1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1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1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1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1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1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1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1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1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1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1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1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1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1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1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1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1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1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1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1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1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1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1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1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1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1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1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1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1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1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1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1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1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1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1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1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1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1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1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1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1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1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1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1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1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1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1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1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1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1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1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1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1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1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1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1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1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1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1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1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1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1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1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1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1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1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1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1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1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1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1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1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1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1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1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1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1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1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1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1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1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1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1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1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1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1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1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1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1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1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1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1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1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1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1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1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1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1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1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1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1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1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1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1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1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1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1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1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1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1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1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1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1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1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1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1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1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1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1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1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1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1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1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1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1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1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1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1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1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1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1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1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1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1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1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1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1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1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1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1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1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1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1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1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1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1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1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1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1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1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1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1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1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1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1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1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1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1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1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1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1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1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1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1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1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1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1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1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1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1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1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1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1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1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1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1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1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1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1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1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1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1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1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1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1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1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1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1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1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1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1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1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1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1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1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1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1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1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1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1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1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1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1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1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1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1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1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1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1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1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1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1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1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1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1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1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1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1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1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1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1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1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1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1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1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1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1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1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1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1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1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1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1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1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1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1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1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1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1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1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1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1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1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1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1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1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1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1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1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C6:S31">
    <cfRule type="expression" dxfId="6" priority="6">
      <formula>ISODD(ROW())</formula>
    </cfRule>
  </conditionalFormatting>
  <conditionalFormatting sqref="C6:S32">
    <cfRule type="expression" dxfId="5" priority="5">
      <formula>#REF!="No"</formula>
    </cfRule>
  </conditionalFormatting>
  <conditionalFormatting sqref="E33">
    <cfRule type="cellIs" dxfId="4" priority="2" operator="equal">
      <formula>"No"</formula>
    </cfRule>
  </conditionalFormatting>
  <conditionalFormatting sqref="L35:O36">
    <cfRule type="cellIs" dxfId="3" priority="1" operator="greaterThan">
      <formula>5</formula>
    </cfRule>
  </conditionalFormatting>
  <conditionalFormatting sqref="R35:R36">
    <cfRule type="cellIs" dxfId="2" priority="4" operator="greaterThan">
      <formula>5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21"/>
  <sheetViews>
    <sheetView workbookViewId="0">
      <selection activeCell="F17" sqref="F17"/>
    </sheetView>
  </sheetViews>
  <sheetFormatPr defaultColWidth="9" defaultRowHeight="14.4"/>
  <sheetData>
    <row r="1" spans="1:2">
      <c r="A1" s="4" t="s">
        <v>173</v>
      </c>
      <c r="B1" s="49" t="s">
        <v>174</v>
      </c>
    </row>
    <row r="2" spans="1:2">
      <c r="A2" s="6" t="s">
        <v>175</v>
      </c>
      <c r="B2" s="50">
        <v>8</v>
      </c>
    </row>
    <row r="3" spans="1:2">
      <c r="A3" s="6" t="s">
        <v>176</v>
      </c>
      <c r="B3" s="51"/>
    </row>
    <row r="4" spans="1:2">
      <c r="A4" s="6" t="s">
        <v>177</v>
      </c>
      <c r="B4" s="52">
        <v>0.1</v>
      </c>
    </row>
    <row r="5" spans="1:2">
      <c r="A5" s="6" t="s">
        <v>178</v>
      </c>
      <c r="B5" s="52">
        <v>0.25</v>
      </c>
    </row>
    <row r="6" spans="1:2">
      <c r="A6" s="8" t="s">
        <v>179</v>
      </c>
      <c r="B6" s="52">
        <v>0.2</v>
      </c>
    </row>
    <row r="7" spans="1:2">
      <c r="A7" s="8" t="s">
        <v>180</v>
      </c>
      <c r="B7" s="52">
        <v>0.15</v>
      </c>
    </row>
    <row r="8" spans="1:2">
      <c r="A8" s="6" t="s">
        <v>181</v>
      </c>
      <c r="B8" s="53">
        <v>6.5</v>
      </c>
    </row>
    <row r="9" spans="1:2">
      <c r="A9" s="6" t="s">
        <v>182</v>
      </c>
      <c r="B9" s="52">
        <v>0.15</v>
      </c>
    </row>
    <row r="10" spans="1:2">
      <c r="A10" s="6" t="s">
        <v>183</v>
      </c>
      <c r="B10" s="10">
        <v>5</v>
      </c>
    </row>
    <row r="11" spans="1:2">
      <c r="A11" s="6" t="s">
        <v>184</v>
      </c>
      <c r="B11" s="52">
        <v>0.15</v>
      </c>
    </row>
    <row r="12" spans="1:2">
      <c r="A12" s="6" t="s">
        <v>185</v>
      </c>
      <c r="B12" s="54">
        <v>0.25</v>
      </c>
    </row>
    <row r="13" spans="1:2">
      <c r="A13" s="6" t="s">
        <v>186</v>
      </c>
      <c r="B13" s="52">
        <v>0.8</v>
      </c>
    </row>
    <row r="14" spans="1:2">
      <c r="A14" s="6" t="s">
        <v>187</v>
      </c>
      <c r="B14" s="11">
        <v>0.08</v>
      </c>
    </row>
    <row r="15" spans="1:2">
      <c r="A15" s="6" t="s">
        <v>188</v>
      </c>
      <c r="B15" s="11">
        <v>4.4999999999999998E-2</v>
      </c>
    </row>
    <row r="16" spans="1:2">
      <c r="A16" s="6" t="s">
        <v>189</v>
      </c>
      <c r="B16" s="55">
        <v>0.15</v>
      </c>
    </row>
    <row r="17" spans="1:2">
      <c r="A17" s="6" t="s">
        <v>190</v>
      </c>
      <c r="B17" s="55">
        <v>0.1</v>
      </c>
    </row>
    <row r="18" spans="1:2">
      <c r="A18" s="6" t="s">
        <v>191</v>
      </c>
      <c r="B18" s="55">
        <v>0.15</v>
      </c>
    </row>
    <row r="19" spans="1:2">
      <c r="A19" s="6" t="s">
        <v>192</v>
      </c>
      <c r="B19" s="55">
        <v>0.2</v>
      </c>
    </row>
    <row r="20" spans="1:2">
      <c r="A20" s="6" t="s">
        <v>193</v>
      </c>
      <c r="B20" s="56">
        <v>0.3</v>
      </c>
    </row>
    <row r="21" spans="1:2">
      <c r="A21" s="57" t="s">
        <v>194</v>
      </c>
      <c r="B21" s="58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A12"/>
  <sheetViews>
    <sheetView workbookViewId="0">
      <selection activeCell="N30" sqref="N29:N30"/>
    </sheetView>
  </sheetViews>
  <sheetFormatPr defaultColWidth="9" defaultRowHeight="14.4"/>
  <sheetData>
    <row r="1" spans="1:1">
      <c r="A1" s="48" t="s">
        <v>161</v>
      </c>
    </row>
    <row r="2" spans="1:1">
      <c r="A2" t="s">
        <v>140</v>
      </c>
    </row>
    <row r="3" spans="1:1">
      <c r="A3" t="s">
        <v>92</v>
      </c>
    </row>
    <row r="4" spans="1:1">
      <c r="A4" t="s">
        <v>195</v>
      </c>
    </row>
    <row r="5" spans="1:1">
      <c r="A5" t="s">
        <v>196</v>
      </c>
    </row>
    <row r="6" spans="1:1">
      <c r="A6" t="s">
        <v>197</v>
      </c>
    </row>
    <row r="7" spans="1:1">
      <c r="A7" t="s">
        <v>198</v>
      </c>
    </row>
    <row r="8" spans="1:1">
      <c r="A8" t="s">
        <v>199</v>
      </c>
    </row>
    <row r="9" spans="1:1">
      <c r="A9" t="s">
        <v>200</v>
      </c>
    </row>
    <row r="10" spans="1:1">
      <c r="A10" t="s">
        <v>201</v>
      </c>
    </row>
    <row r="11" spans="1:1">
      <c r="A11" t="s">
        <v>202</v>
      </c>
    </row>
    <row r="12" spans="1:1">
      <c r="A12" t="s">
        <v>143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selection activeCell="B6" sqref="B6"/>
    </sheetView>
  </sheetViews>
  <sheetFormatPr defaultColWidth="9" defaultRowHeight="14.4"/>
  <cols>
    <col min="1" max="1" width="54.77734375" customWidth="1"/>
    <col min="2" max="2" width="7.33203125" customWidth="1"/>
  </cols>
  <sheetData>
    <row r="1" spans="1:2" s="48" customFormat="1">
      <c r="A1" s="48" t="s">
        <v>203</v>
      </c>
      <c r="B1" s="48" t="s">
        <v>204</v>
      </c>
    </row>
    <row r="2" spans="1:2">
      <c r="A2" t="s">
        <v>205</v>
      </c>
      <c r="B2">
        <f>'[12]Subscription BB'!I69</f>
        <v>0</v>
      </c>
    </row>
    <row r="3" spans="1:2">
      <c r="A3" t="s">
        <v>206</v>
      </c>
      <c r="B3">
        <v>0</v>
      </c>
    </row>
    <row r="4" spans="1:2">
      <c r="A4" t="s">
        <v>207</v>
      </c>
      <c r="B4">
        <v>0</v>
      </c>
    </row>
    <row r="5" spans="1:2">
      <c r="A5" t="s">
        <v>208</v>
      </c>
      <c r="B5">
        <f>SUM(B2:B4)</f>
        <v>0</v>
      </c>
    </row>
    <row r="7" spans="1:2">
      <c r="A7" t="s">
        <v>209</v>
      </c>
      <c r="B7">
        <f>IF([12]Availability!D11="Yes",'[12]Subscription BB'!J69,0)</f>
        <v>0</v>
      </c>
    </row>
    <row r="9" spans="1:2">
      <c r="A9" t="s">
        <v>210</v>
      </c>
      <c r="B9">
        <f>SUM(B5:B7)</f>
        <v>0</v>
      </c>
    </row>
    <row r="11" spans="1:2">
      <c r="A11" t="s">
        <v>211</v>
      </c>
      <c r="B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X904"/>
  <sheetViews>
    <sheetView showGridLines="0" workbookViewId="0">
      <selection activeCell="I33" sqref="I33"/>
    </sheetView>
  </sheetViews>
  <sheetFormatPr defaultColWidth="12.6640625" defaultRowHeight="15" customHeight="1"/>
  <cols>
    <col min="1" max="1" width="9" customWidth="1"/>
    <col min="2" max="2" width="30.6640625" customWidth="1"/>
    <col min="3" max="3" width="9.88671875" customWidth="1"/>
    <col min="4" max="4" width="16.6640625" customWidth="1"/>
    <col min="5" max="5" width="11" customWidth="1"/>
    <col min="6" max="6" width="13" customWidth="1"/>
    <col min="7" max="7" width="2" customWidth="1"/>
    <col min="8" max="8" width="16" customWidth="1"/>
    <col min="9" max="9" width="18.88671875" customWidth="1"/>
    <col min="10" max="10" width="9.77734375" customWidth="1"/>
    <col min="11" max="11" width="9" customWidth="1"/>
    <col min="12" max="12" width="13.88671875" customWidth="1"/>
    <col min="13" max="13" width="9.21875" customWidth="1"/>
    <col min="14" max="24" width="9" customWidth="1"/>
  </cols>
  <sheetData>
    <row r="1" spans="1:24" ht="11.25" customHeight="1">
      <c r="A1" s="4" t="s">
        <v>173</v>
      </c>
      <c r="B1" s="57"/>
      <c r="C1" s="57"/>
      <c r="D1" s="49" t="s">
        <v>174</v>
      </c>
      <c r="E1" s="6"/>
      <c r="F1" s="6"/>
      <c r="G1" s="6"/>
      <c r="H1" s="59"/>
      <c r="I1" s="6"/>
      <c r="J1" s="6"/>
      <c r="K1" s="6"/>
      <c r="L1" s="6"/>
      <c r="M1" s="6"/>
      <c r="N1" s="6"/>
      <c r="O1" s="6"/>
      <c r="P1" s="92"/>
      <c r="Q1" s="93"/>
      <c r="R1" s="93"/>
      <c r="S1" s="93"/>
      <c r="T1" s="93"/>
      <c r="U1" s="6"/>
      <c r="V1" s="6"/>
      <c r="W1" s="6"/>
      <c r="X1" s="6"/>
    </row>
    <row r="2" spans="1:24" ht="11.25" customHeight="1">
      <c r="A2" s="6" t="s">
        <v>175</v>
      </c>
      <c r="B2" s="51"/>
      <c r="C2" s="51"/>
      <c r="D2" s="50">
        <v>8</v>
      </c>
      <c r="E2" s="6"/>
      <c r="F2" s="60"/>
      <c r="G2" s="6"/>
      <c r="H2" s="61"/>
      <c r="I2" s="6"/>
      <c r="J2" s="6"/>
      <c r="K2" s="6"/>
      <c r="L2" s="6"/>
      <c r="M2" s="6"/>
      <c r="N2" s="6"/>
      <c r="O2" s="6"/>
      <c r="P2" s="92"/>
      <c r="Q2" s="93"/>
      <c r="R2" s="93"/>
      <c r="S2" s="93"/>
      <c r="T2" s="93"/>
      <c r="U2" s="6"/>
      <c r="V2" s="6"/>
      <c r="W2" s="6"/>
      <c r="X2" s="6"/>
    </row>
    <row r="3" spans="1:24" ht="11.25" customHeight="1">
      <c r="A3" s="6" t="s">
        <v>176</v>
      </c>
      <c r="B3" s="51"/>
      <c r="C3" s="51"/>
      <c r="D3" s="51"/>
      <c r="E3" s="6"/>
      <c r="F3" s="60"/>
      <c r="G3" s="6"/>
      <c r="H3" s="61"/>
      <c r="I3" s="6"/>
      <c r="J3" s="6"/>
      <c r="K3" s="6"/>
      <c r="L3" s="6"/>
      <c r="M3" s="6"/>
      <c r="N3" s="6"/>
      <c r="O3" s="6"/>
      <c r="P3" s="92"/>
      <c r="Q3" s="93"/>
      <c r="R3" s="93"/>
      <c r="S3" s="93"/>
      <c r="T3" s="93"/>
      <c r="U3" s="6"/>
      <c r="V3" s="6"/>
      <c r="W3" s="6"/>
      <c r="X3" s="6"/>
    </row>
    <row r="4" spans="1:24" ht="11.25" customHeight="1">
      <c r="A4" s="6" t="s">
        <v>177</v>
      </c>
      <c r="B4" s="6"/>
      <c r="C4" s="6"/>
      <c r="D4" s="52">
        <v>0.1</v>
      </c>
      <c r="E4" s="6"/>
      <c r="F4" s="60"/>
      <c r="G4" s="6"/>
      <c r="H4" s="61"/>
      <c r="I4" s="6"/>
      <c r="J4" s="6"/>
      <c r="K4" s="6"/>
      <c r="L4" s="6"/>
      <c r="M4" s="6"/>
      <c r="N4" s="6"/>
      <c r="O4" s="6"/>
      <c r="P4" s="92"/>
      <c r="Q4" s="93"/>
      <c r="R4" s="93"/>
      <c r="S4" s="93"/>
      <c r="T4" s="93"/>
      <c r="U4" s="6"/>
      <c r="V4" s="6"/>
      <c r="W4" s="6"/>
      <c r="X4" s="6"/>
    </row>
    <row r="5" spans="1:24" ht="11.25" customHeight="1">
      <c r="A5" s="6" t="s">
        <v>178</v>
      </c>
      <c r="B5" s="6"/>
      <c r="C5" s="6"/>
      <c r="D5" s="52">
        <v>0.25</v>
      </c>
      <c r="E5" s="6"/>
      <c r="F5" s="60"/>
      <c r="G5" s="6"/>
      <c r="H5" s="61"/>
      <c r="I5" s="6"/>
      <c r="J5" s="6"/>
      <c r="K5" s="6"/>
      <c r="L5" s="6"/>
      <c r="M5" s="6"/>
      <c r="N5" s="6"/>
      <c r="O5" s="6"/>
      <c r="P5" s="92"/>
      <c r="Q5" s="93"/>
      <c r="R5" s="93"/>
      <c r="S5" s="93"/>
      <c r="T5" s="93"/>
      <c r="U5" s="6"/>
      <c r="V5" s="6"/>
      <c r="W5" s="6"/>
      <c r="X5" s="6"/>
    </row>
    <row r="6" spans="1:24" ht="11.25" customHeight="1">
      <c r="A6" s="8" t="s">
        <v>179</v>
      </c>
      <c r="B6" s="6"/>
      <c r="C6" s="6"/>
      <c r="D6" s="52">
        <v>0.2</v>
      </c>
      <c r="E6" s="51"/>
      <c r="F6" s="60"/>
      <c r="G6" s="6"/>
      <c r="H6" s="60"/>
      <c r="I6" s="6"/>
      <c r="J6" s="6"/>
      <c r="K6" s="6"/>
      <c r="L6" s="6"/>
      <c r="M6" s="6"/>
      <c r="N6" s="6"/>
      <c r="O6" s="6"/>
      <c r="P6" s="92"/>
      <c r="Q6" s="93"/>
      <c r="R6" s="93"/>
      <c r="S6" s="93"/>
      <c r="T6" s="93"/>
      <c r="U6" s="6"/>
      <c r="V6" s="6"/>
      <c r="W6" s="6"/>
      <c r="X6" s="6"/>
    </row>
    <row r="7" spans="1:24" ht="11.25" customHeight="1">
      <c r="A7" s="8" t="s">
        <v>180</v>
      </c>
      <c r="B7" s="6"/>
      <c r="C7" s="6"/>
      <c r="D7" s="52">
        <v>0.15</v>
      </c>
      <c r="E7" s="51"/>
      <c r="F7" s="60"/>
      <c r="G7" s="6"/>
      <c r="H7" s="60"/>
      <c r="I7" s="6"/>
      <c r="J7" s="6"/>
      <c r="K7" s="6"/>
      <c r="L7" s="6"/>
      <c r="M7" s="6"/>
      <c r="N7" s="6"/>
      <c r="O7" s="6"/>
      <c r="P7" s="92"/>
      <c r="Q7" s="93"/>
      <c r="R7" s="93"/>
      <c r="S7" s="93"/>
      <c r="T7" s="93"/>
      <c r="U7" s="6"/>
      <c r="V7" s="6"/>
      <c r="W7" s="6"/>
      <c r="X7" s="6"/>
    </row>
    <row r="8" spans="1:24" ht="11.25" customHeight="1">
      <c r="A8" s="6" t="s">
        <v>181</v>
      </c>
      <c r="B8" s="6"/>
      <c r="C8" s="6"/>
      <c r="D8" s="53">
        <v>6.5</v>
      </c>
      <c r="E8" s="6"/>
      <c r="F8" s="59"/>
      <c r="G8" s="6"/>
      <c r="H8" s="60"/>
      <c r="I8" s="6"/>
      <c r="J8" s="6"/>
      <c r="K8" s="6"/>
      <c r="L8" s="6"/>
      <c r="M8" s="6"/>
      <c r="N8" s="6"/>
      <c r="O8" s="6"/>
      <c r="P8" s="92"/>
      <c r="Q8" s="93"/>
      <c r="R8" s="93"/>
      <c r="S8" s="93"/>
      <c r="T8" s="93"/>
      <c r="U8" s="6"/>
      <c r="V8" s="6"/>
      <c r="W8" s="6"/>
      <c r="X8" s="6"/>
    </row>
    <row r="9" spans="1:24" ht="11.25" customHeight="1">
      <c r="A9" s="6" t="s">
        <v>182</v>
      </c>
      <c r="B9" s="6"/>
      <c r="C9" s="6"/>
      <c r="D9" s="52">
        <v>0.15</v>
      </c>
      <c r="E9" s="6"/>
      <c r="F9" s="60"/>
      <c r="G9" s="6"/>
      <c r="H9" s="62"/>
      <c r="I9" s="6"/>
      <c r="J9" s="6"/>
      <c r="K9" s="6"/>
      <c r="L9" s="6"/>
      <c r="M9" s="6"/>
      <c r="N9" s="6"/>
      <c r="O9" s="6"/>
      <c r="P9" s="92"/>
      <c r="Q9" s="93"/>
      <c r="R9" s="93"/>
      <c r="S9" s="93"/>
      <c r="T9" s="93"/>
      <c r="U9" s="6"/>
      <c r="V9" s="6"/>
      <c r="W9" s="6"/>
      <c r="X9" s="6"/>
    </row>
    <row r="10" spans="1:24" ht="11.25" customHeight="1">
      <c r="A10" s="6" t="s">
        <v>183</v>
      </c>
      <c r="B10" s="6"/>
      <c r="C10" s="6"/>
      <c r="D10" s="10">
        <v>5</v>
      </c>
      <c r="E10" s="6"/>
      <c r="F10" s="163"/>
      <c r="G10" s="6"/>
      <c r="H10" s="62"/>
      <c r="I10" s="6"/>
      <c r="J10" s="6"/>
      <c r="K10" s="6"/>
      <c r="L10" s="6"/>
      <c r="M10" s="6"/>
      <c r="N10" s="6"/>
      <c r="O10" s="6"/>
      <c r="P10" s="92"/>
      <c r="Q10" s="93"/>
      <c r="R10" s="93"/>
      <c r="S10" s="93"/>
      <c r="T10" s="93"/>
      <c r="U10" s="6"/>
      <c r="V10" s="6"/>
      <c r="W10" s="6"/>
      <c r="X10" s="6"/>
    </row>
    <row r="11" spans="1:24" ht="11.25" customHeight="1">
      <c r="A11" s="6" t="s">
        <v>184</v>
      </c>
      <c r="B11" s="6"/>
      <c r="C11" s="6"/>
      <c r="D11" s="52">
        <v>0.15</v>
      </c>
      <c r="E11" s="6"/>
      <c r="F11" s="6"/>
      <c r="G11" s="6"/>
      <c r="H11" s="97"/>
      <c r="I11" s="6"/>
      <c r="J11" s="6"/>
      <c r="K11" s="6"/>
      <c r="L11" s="6"/>
      <c r="M11" s="6"/>
      <c r="N11" s="6"/>
      <c r="O11" s="6"/>
      <c r="P11" s="92"/>
      <c r="Q11" s="93"/>
      <c r="R11" s="93"/>
      <c r="S11" s="93"/>
      <c r="T11" s="93"/>
      <c r="U11" s="6"/>
      <c r="V11" s="6"/>
      <c r="W11" s="6"/>
      <c r="X11" s="6"/>
    </row>
    <row r="12" spans="1:24" ht="11.25" customHeight="1">
      <c r="A12" s="6" t="s">
        <v>185</v>
      </c>
      <c r="B12" s="6"/>
      <c r="C12" s="6"/>
      <c r="D12" s="54">
        <v>0.25</v>
      </c>
      <c r="E12" s="51"/>
      <c r="F12" s="63"/>
      <c r="G12" s="6"/>
      <c r="H12" s="164"/>
      <c r="I12" s="165"/>
      <c r="J12" s="6"/>
      <c r="K12" s="6"/>
      <c r="L12" s="6"/>
      <c r="M12" s="6"/>
      <c r="N12" s="6"/>
      <c r="O12" s="6"/>
      <c r="P12" s="92"/>
      <c r="Q12" s="93"/>
      <c r="R12" s="93"/>
      <c r="S12" s="93"/>
      <c r="T12" s="93"/>
      <c r="U12" s="6"/>
      <c r="V12" s="6"/>
      <c r="W12" s="6"/>
      <c r="X12" s="6"/>
    </row>
    <row r="13" spans="1:24" ht="11.25" customHeight="1">
      <c r="A13" s="6" t="s">
        <v>186</v>
      </c>
      <c r="B13" s="6"/>
      <c r="C13" s="6"/>
      <c r="D13" s="52">
        <v>0.8</v>
      </c>
      <c r="E13" s="6"/>
      <c r="F13" s="60"/>
      <c r="G13" s="6"/>
      <c r="H13" s="6"/>
      <c r="I13" s="6"/>
      <c r="J13" s="6"/>
      <c r="K13" s="6"/>
      <c r="L13" s="6"/>
      <c r="M13" s="6"/>
      <c r="N13" s="6"/>
      <c r="O13" s="6"/>
      <c r="P13" s="92"/>
      <c r="Q13" s="93"/>
      <c r="R13" s="93"/>
      <c r="S13" s="93"/>
      <c r="T13" s="93"/>
      <c r="U13" s="6"/>
      <c r="V13" s="6"/>
      <c r="W13" s="6"/>
      <c r="X13" s="6"/>
    </row>
    <row r="14" spans="1:24" ht="11.25" customHeight="1">
      <c r="A14" s="6" t="s">
        <v>187</v>
      </c>
      <c r="B14" s="6"/>
      <c r="C14" s="6"/>
      <c r="D14" s="11">
        <v>0.08</v>
      </c>
      <c r="E14" s="6"/>
      <c r="F14" s="62"/>
      <c r="G14" s="6"/>
      <c r="H14" s="6"/>
      <c r="I14" s="6"/>
      <c r="J14" s="6"/>
      <c r="K14" s="6"/>
      <c r="L14" s="6"/>
      <c r="M14" s="6"/>
      <c r="N14" s="6"/>
      <c r="O14" s="6"/>
      <c r="P14" s="92"/>
      <c r="Q14" s="93"/>
      <c r="R14" s="93"/>
      <c r="S14" s="93"/>
      <c r="T14" s="93"/>
      <c r="U14" s="6"/>
      <c r="V14" s="6"/>
      <c r="W14" s="6"/>
      <c r="X14" s="6"/>
    </row>
    <row r="15" spans="1:24" ht="11.25" customHeight="1">
      <c r="A15" s="6" t="s">
        <v>188</v>
      </c>
      <c r="B15" s="6"/>
      <c r="C15" s="6"/>
      <c r="D15" s="11">
        <v>4.4999999999999998E-2</v>
      </c>
      <c r="E15" s="6"/>
      <c r="F15" s="62"/>
      <c r="G15" s="6"/>
      <c r="H15" s="6"/>
      <c r="I15" s="6"/>
      <c r="J15" s="6"/>
      <c r="K15" s="6"/>
      <c r="L15" s="6"/>
      <c r="M15" s="6"/>
      <c r="N15" s="6"/>
      <c r="O15" s="6"/>
      <c r="P15" s="92"/>
      <c r="Q15" s="93"/>
      <c r="R15" s="93"/>
      <c r="S15" s="93"/>
      <c r="T15" s="93"/>
      <c r="U15" s="6"/>
      <c r="V15" s="6"/>
      <c r="W15" s="6"/>
      <c r="X15" s="6"/>
    </row>
    <row r="16" spans="1:24" ht="11.25" customHeight="1">
      <c r="A16" s="6" t="s">
        <v>189</v>
      </c>
      <c r="B16" s="6"/>
      <c r="C16" s="6"/>
      <c r="D16" s="55">
        <v>0.15</v>
      </c>
      <c r="E16" s="6"/>
      <c r="F16" s="62"/>
      <c r="G16" s="6"/>
      <c r="H16" s="6"/>
      <c r="I16" s="6"/>
      <c r="J16" s="6"/>
      <c r="K16" s="6"/>
      <c r="L16" s="6"/>
      <c r="M16" s="6"/>
      <c r="N16" s="6"/>
      <c r="O16" s="6"/>
      <c r="P16" s="92"/>
      <c r="Q16" s="93"/>
      <c r="R16" s="93"/>
      <c r="S16" s="93"/>
      <c r="T16" s="93"/>
      <c r="U16" s="6"/>
      <c r="V16" s="6"/>
      <c r="W16" s="6"/>
      <c r="X16" s="6"/>
    </row>
    <row r="17" spans="1:24" ht="11.25" customHeight="1">
      <c r="A17" s="6" t="s">
        <v>190</v>
      </c>
      <c r="B17" s="6"/>
      <c r="C17" s="6"/>
      <c r="D17" s="55">
        <v>0.1</v>
      </c>
      <c r="E17" s="6"/>
      <c r="F17" s="62"/>
      <c r="G17" s="6"/>
      <c r="H17" s="6"/>
      <c r="I17" s="6"/>
      <c r="J17" s="6"/>
      <c r="K17" s="6"/>
      <c r="L17" s="6"/>
      <c r="M17" s="6"/>
      <c r="N17" s="6"/>
      <c r="O17" s="6"/>
      <c r="P17" s="92"/>
      <c r="Q17" s="93"/>
      <c r="R17" s="93"/>
      <c r="S17" s="93"/>
      <c r="T17" s="93"/>
      <c r="U17" s="6"/>
      <c r="V17" s="6"/>
      <c r="W17" s="6"/>
      <c r="X17" s="6"/>
    </row>
    <row r="18" spans="1:24" ht="11.25" customHeight="1">
      <c r="A18" s="6" t="s">
        <v>191</v>
      </c>
      <c r="B18" s="6"/>
      <c r="C18" s="6"/>
      <c r="D18" s="55">
        <v>0.15</v>
      </c>
      <c r="E18" s="6"/>
      <c r="F18" s="62"/>
      <c r="G18" s="6"/>
      <c r="H18" s="6"/>
      <c r="I18" s="6"/>
      <c r="J18" s="6"/>
      <c r="K18" s="6"/>
      <c r="L18" s="6"/>
      <c r="M18" s="6"/>
      <c r="N18" s="6"/>
      <c r="O18" s="6"/>
      <c r="P18" s="92"/>
      <c r="Q18" s="93"/>
      <c r="R18" s="93"/>
      <c r="S18" s="93"/>
      <c r="T18" s="93"/>
      <c r="U18" s="6"/>
      <c r="V18" s="6"/>
      <c r="W18" s="6"/>
      <c r="X18" s="6"/>
    </row>
    <row r="19" spans="1:24" ht="11.25" customHeight="1">
      <c r="A19" s="6" t="s">
        <v>192</v>
      </c>
      <c r="B19" s="6"/>
      <c r="C19" s="6"/>
      <c r="D19" s="55">
        <v>0.2</v>
      </c>
      <c r="E19" s="6"/>
      <c r="F19" s="62"/>
      <c r="G19" s="6"/>
      <c r="H19" s="6"/>
      <c r="I19" s="6"/>
      <c r="J19" s="6"/>
      <c r="K19" s="6"/>
      <c r="L19" s="6"/>
      <c r="M19" s="6"/>
      <c r="N19" s="6"/>
      <c r="O19" s="6"/>
      <c r="P19" s="92"/>
      <c r="Q19" s="93"/>
      <c r="R19" s="93"/>
      <c r="S19" s="93"/>
      <c r="T19" s="93"/>
      <c r="U19" s="6"/>
      <c r="V19" s="6"/>
      <c r="W19" s="6"/>
      <c r="X19" s="6"/>
    </row>
    <row r="20" spans="1:24" ht="11.25" customHeight="1">
      <c r="A20" s="6" t="s">
        <v>193</v>
      </c>
      <c r="B20" s="6"/>
      <c r="C20" s="6"/>
      <c r="D20" s="56">
        <v>0.3</v>
      </c>
      <c r="E20" s="51"/>
      <c r="F20" s="62"/>
      <c r="G20" s="6"/>
      <c r="H20" s="6"/>
      <c r="I20" s="6"/>
      <c r="J20" s="6"/>
      <c r="K20" s="6"/>
      <c r="L20" s="6"/>
      <c r="M20" s="6"/>
      <c r="N20" s="6"/>
      <c r="O20" s="6"/>
      <c r="P20" s="92"/>
      <c r="Q20" s="93"/>
      <c r="R20" s="93"/>
      <c r="S20" s="93"/>
      <c r="T20" s="93"/>
      <c r="U20" s="6"/>
      <c r="V20" s="6"/>
      <c r="W20" s="6"/>
      <c r="X20" s="6"/>
    </row>
    <row r="21" spans="1:24" ht="11.25" customHeight="1">
      <c r="A21" s="57" t="s">
        <v>194</v>
      </c>
      <c r="B21" s="57"/>
      <c r="C21" s="57"/>
      <c r="D21" s="58">
        <v>0.05</v>
      </c>
      <c r="E21" s="6"/>
      <c r="F21" s="90"/>
      <c r="G21" s="90"/>
      <c r="H21" s="6"/>
      <c r="I21" s="6"/>
      <c r="J21" s="6"/>
      <c r="K21" s="6"/>
      <c r="L21" s="6"/>
      <c r="M21" s="6"/>
      <c r="N21" s="6"/>
      <c r="O21" s="6"/>
      <c r="P21" s="92"/>
      <c r="Q21" s="93"/>
      <c r="R21" s="93"/>
      <c r="S21" s="93"/>
      <c r="T21" s="93"/>
      <c r="U21" s="6"/>
      <c r="V21" s="6"/>
      <c r="W21" s="6"/>
      <c r="X21" s="6"/>
    </row>
    <row r="22" spans="1:24" ht="11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1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1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1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1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1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1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1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1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1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1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1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1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1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1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1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1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1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1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1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1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1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1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1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1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1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1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1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1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1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1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1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1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1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1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1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1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1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1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1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1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1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1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1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1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1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1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1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1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1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1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1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1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1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1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1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1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1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1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1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1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1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1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1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1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1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1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1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1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1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1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1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1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1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1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1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1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1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1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1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1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1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1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1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1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1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1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1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1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1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1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1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1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1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1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1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1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1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1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1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1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1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1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1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1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1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1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1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1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1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1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1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1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1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1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1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1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1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1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1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1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1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1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1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1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1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1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1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1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1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1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1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1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1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1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1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1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1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1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1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1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1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1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1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1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1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1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1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1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1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1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1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1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1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1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1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1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1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1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1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1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1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1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1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1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1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1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1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1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1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1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1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1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1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1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1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1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1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1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1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1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1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1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1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1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1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1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1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1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1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1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1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1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1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1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1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1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1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1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1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1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1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1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1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1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1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1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1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1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1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1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1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1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1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</sheetData>
  <pageMargins left="0.7" right="0.7" top="0.75" bottom="0.75" header="0" footer="0"/>
  <pageSetup scale="53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Z1000"/>
  <sheetViews>
    <sheetView topLeftCell="CB1" workbookViewId="0"/>
  </sheetViews>
  <sheetFormatPr defaultColWidth="12.6640625" defaultRowHeight="15" customHeight="1"/>
  <cols>
    <col min="1" max="2" width="2.21875" customWidth="1"/>
    <col min="3" max="3" width="4.6640625" customWidth="1"/>
    <col min="4" max="4" width="37.88671875" customWidth="1"/>
    <col min="5" max="5" width="16.44140625" customWidth="1"/>
    <col min="6" max="6" width="14" customWidth="1"/>
    <col min="7" max="7" width="10.88671875" customWidth="1"/>
    <col min="8" max="8" width="12.21875" customWidth="1"/>
    <col min="9" max="9" width="13" customWidth="1"/>
    <col min="10" max="10" width="12.6640625" customWidth="1"/>
    <col min="11" max="11" width="14.33203125" customWidth="1"/>
    <col min="12" max="12" width="13.6640625" customWidth="1"/>
    <col min="13" max="13" width="16.6640625" customWidth="1"/>
    <col min="14" max="14" width="14" customWidth="1"/>
    <col min="15" max="15" width="21.44140625" customWidth="1"/>
    <col min="16" max="18" width="16.6640625" customWidth="1"/>
    <col min="19" max="20" width="1.6640625" customWidth="1"/>
    <col min="21" max="21" width="16.6640625" customWidth="1"/>
    <col min="22" max="22" width="16.88671875" customWidth="1"/>
    <col min="23" max="23" width="16" customWidth="1"/>
    <col min="24" max="26" width="9" customWidth="1"/>
  </cols>
  <sheetData>
    <row r="1" spans="1:26" ht="12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42"/>
      <c r="V1" s="6"/>
      <c r="W1" s="6"/>
      <c r="X1" s="6"/>
      <c r="Y1" s="6"/>
      <c r="Z1" s="6"/>
    </row>
    <row r="2" spans="1:26" ht="11.25" customHeight="1">
      <c r="A2" s="6"/>
      <c r="B2" s="6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6"/>
      <c r="T2" s="6"/>
      <c r="U2" s="42"/>
      <c r="V2" s="6"/>
      <c r="W2" s="6"/>
      <c r="X2" s="6"/>
      <c r="Y2" s="6"/>
      <c r="Z2" s="6"/>
    </row>
    <row r="3" spans="1:26" ht="11.25" customHeight="1">
      <c r="A3" s="6"/>
      <c r="B3" s="6"/>
      <c r="C3" s="33" t="e">
        <f>TEXT(#REF!,0)&amp;" - Portfolio Leverage Borrowing Base Rollforward - "&amp;TEXT(#REF!,"mm/dd/yyyy")</f>
        <v>#REF!</v>
      </c>
      <c r="D3" s="75"/>
      <c r="E3" s="75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75"/>
      <c r="R3" s="37"/>
      <c r="S3" s="6"/>
      <c r="T3" s="6"/>
      <c r="U3" s="42"/>
      <c r="V3" s="6"/>
      <c r="W3" s="6"/>
      <c r="X3" s="6"/>
      <c r="Y3" s="6"/>
      <c r="Z3" s="6"/>
    </row>
    <row r="4" spans="1:26" ht="11.25" customHeight="1">
      <c r="A4" s="6"/>
      <c r="B4" s="6"/>
      <c r="C4" s="33"/>
      <c r="D4" s="75"/>
      <c r="E4" s="75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75"/>
      <c r="R4" s="37"/>
      <c r="S4" s="6"/>
      <c r="T4" s="6"/>
      <c r="U4" s="42"/>
      <c r="V4" s="6"/>
      <c r="W4" s="6"/>
      <c r="X4" s="6"/>
      <c r="Y4" s="6"/>
      <c r="Z4" s="6"/>
    </row>
    <row r="5" spans="1:26" ht="11.25" customHeight="1">
      <c r="A5" s="6"/>
      <c r="B5" s="6"/>
      <c r="C5" s="166"/>
      <c r="D5" s="167"/>
      <c r="E5" s="167"/>
      <c r="F5" s="167" t="s">
        <v>163</v>
      </c>
      <c r="G5" s="167" t="s">
        <v>212</v>
      </c>
      <c r="H5" s="167"/>
      <c r="I5" s="167" t="s">
        <v>213</v>
      </c>
      <c r="J5" s="167" t="s">
        <v>214</v>
      </c>
      <c r="K5" s="167" t="s">
        <v>215</v>
      </c>
      <c r="L5" s="167"/>
      <c r="M5" s="167" t="s">
        <v>216</v>
      </c>
      <c r="N5" s="167" t="s">
        <v>163</v>
      </c>
      <c r="O5" s="167" t="s">
        <v>217</v>
      </c>
      <c r="P5" s="167"/>
      <c r="Q5" s="167" t="s">
        <v>218</v>
      </c>
      <c r="R5" s="167" t="s">
        <v>157</v>
      </c>
      <c r="S5" s="6"/>
      <c r="T5" s="6"/>
      <c r="U5" s="43"/>
      <c r="V5" s="6"/>
      <c r="W5" s="6"/>
      <c r="X5" s="6"/>
      <c r="Y5" s="6"/>
      <c r="Z5" s="6"/>
    </row>
    <row r="6" spans="1:26" ht="11.25" customHeight="1">
      <c r="A6" s="6"/>
      <c r="B6" s="6"/>
      <c r="C6" s="168"/>
      <c r="D6" s="49" t="s">
        <v>156</v>
      </c>
      <c r="E6" s="49" t="s">
        <v>161</v>
      </c>
      <c r="F6" s="169" t="e">
        <f>N6-31</f>
        <v>#REF!</v>
      </c>
      <c r="G6" s="49" t="s">
        <v>219</v>
      </c>
      <c r="H6" s="49" t="s">
        <v>220</v>
      </c>
      <c r="I6" s="49" t="s">
        <v>221</v>
      </c>
      <c r="J6" s="49" t="s">
        <v>222</v>
      </c>
      <c r="K6" s="49" t="s">
        <v>223</v>
      </c>
      <c r="L6" s="49" t="s">
        <v>224</v>
      </c>
      <c r="M6" s="49" t="s">
        <v>225</v>
      </c>
      <c r="N6" s="40" t="e">
        <f>#REF!</f>
        <v>#REF!</v>
      </c>
      <c r="O6" s="49" t="s">
        <v>226</v>
      </c>
      <c r="P6" s="170" t="s">
        <v>227</v>
      </c>
      <c r="Q6" s="49" t="s">
        <v>228</v>
      </c>
      <c r="R6" s="49" t="s">
        <v>229</v>
      </c>
      <c r="S6" s="44"/>
      <c r="T6" s="44"/>
      <c r="U6" s="45" t="s">
        <v>230</v>
      </c>
      <c r="V6" s="6"/>
      <c r="W6" s="6"/>
      <c r="X6" s="6"/>
      <c r="Y6" s="6"/>
      <c r="Z6" s="6"/>
    </row>
    <row r="7" spans="1:26" ht="11.25" customHeight="1">
      <c r="A7" s="6"/>
      <c r="B7" s="6"/>
      <c r="C7" s="171">
        <v>1</v>
      </c>
      <c r="D7" s="145" t="str">
        <f>'PL BB Build'!A2</f>
        <v>A1 Garage Merger Sub, LLC First Lien</v>
      </c>
      <c r="E7" s="6" t="str">
        <f>+'PL BB Build'!C2</f>
        <v>First Lien</v>
      </c>
      <c r="F7" s="132">
        <v>4912687.5</v>
      </c>
      <c r="G7" s="132"/>
      <c r="H7" s="172"/>
      <c r="I7" s="132"/>
      <c r="J7" s="132"/>
      <c r="K7" s="53"/>
      <c r="L7" s="173"/>
      <c r="M7" s="173"/>
      <c r="N7" s="174">
        <f t="shared" ref="N7:N33" si="0">SUM(F7:M7)</f>
        <v>4912687.5</v>
      </c>
      <c r="O7" s="174" t="e">
        <f t="shared" ref="O7:O33" si="1">P7-N7</f>
        <v>#REF!</v>
      </c>
      <c r="P7" s="174" t="e">
        <f>+'PL BB Build'!#REF!</f>
        <v>#REF!</v>
      </c>
      <c r="Q7" s="174" t="e">
        <f>+'PL BB Output'!L6</f>
        <v>#REF!</v>
      </c>
      <c r="R7" s="174" t="e">
        <f t="shared" ref="R7:R33" si="2">+P7+Q7</f>
        <v>#REF!</v>
      </c>
      <c r="S7" s="6"/>
      <c r="T7" s="6"/>
      <c r="U7" s="46" t="e">
        <f>+N7-'PL BB Build'!#REF!</f>
        <v>#REF!</v>
      </c>
      <c r="V7" s="175"/>
      <c r="W7" s="176"/>
      <c r="X7" s="6"/>
      <c r="Y7" s="6"/>
      <c r="Z7" s="6"/>
    </row>
    <row r="8" spans="1:26" ht="11.25" customHeight="1">
      <c r="A8" s="6"/>
      <c r="B8" s="6"/>
      <c r="C8" s="171">
        <f t="shared" ref="C8:C32" si="3">C7+1</f>
        <v>2</v>
      </c>
      <c r="D8" s="145" t="str">
        <f>'PL BB Build'!A3</f>
        <v>A1 Garage Merger Sub, LLC DDTL</v>
      </c>
      <c r="E8" s="6" t="str">
        <f>+'PL BB Build'!C3</f>
        <v>First Lien</v>
      </c>
      <c r="F8" s="132">
        <v>800426.83</v>
      </c>
      <c r="G8" s="132"/>
      <c r="H8" s="172"/>
      <c r="I8" s="132"/>
      <c r="J8" s="132"/>
      <c r="K8" s="53"/>
      <c r="L8" s="173"/>
      <c r="M8" s="173"/>
      <c r="N8" s="174">
        <f t="shared" si="0"/>
        <v>800426.83</v>
      </c>
      <c r="O8" s="174" t="e">
        <f t="shared" si="1"/>
        <v>#REF!</v>
      </c>
      <c r="P8" s="174" t="e">
        <f>+'PL BB Build'!#REF!</f>
        <v>#REF!</v>
      </c>
      <c r="Q8" s="174" t="e">
        <f>+'PL BB Output'!L7</f>
        <v>#REF!</v>
      </c>
      <c r="R8" s="174" t="e">
        <f t="shared" si="2"/>
        <v>#REF!</v>
      </c>
      <c r="S8" s="6"/>
      <c r="T8" s="6"/>
      <c r="U8" s="46" t="e">
        <f>+N8-'PL BB Build'!#REF!</f>
        <v>#REF!</v>
      </c>
      <c r="V8" s="175"/>
      <c r="W8" s="6"/>
      <c r="X8" s="6"/>
      <c r="Y8" s="6"/>
      <c r="Z8" s="6"/>
    </row>
    <row r="9" spans="1:26" ht="11.25" customHeight="1">
      <c r="A9" s="6"/>
      <c r="B9" s="6"/>
      <c r="C9" s="171">
        <f t="shared" si="3"/>
        <v>3</v>
      </c>
      <c r="D9" s="145" t="str">
        <f>'PL BB Build'!A4</f>
        <v>A1 Garage Merger Sub, LLC Revolver</v>
      </c>
      <c r="E9" s="6" t="str">
        <f>+'PL BB Build'!C4</f>
        <v>First Lien</v>
      </c>
      <c r="F9" s="132">
        <v>-18987.34</v>
      </c>
      <c r="G9" s="132"/>
      <c r="H9" s="172"/>
      <c r="I9" s="132"/>
      <c r="J9" s="132"/>
      <c r="K9" s="53"/>
      <c r="L9" s="173"/>
      <c r="M9" s="173"/>
      <c r="N9" s="174">
        <f t="shared" si="0"/>
        <v>-18987.34</v>
      </c>
      <c r="O9" s="174" t="e">
        <f t="shared" si="1"/>
        <v>#REF!</v>
      </c>
      <c r="P9" s="174" t="e">
        <f>+'PL BB Build'!#REF!</f>
        <v>#REF!</v>
      </c>
      <c r="Q9" s="174" t="e">
        <f>+'PL BB Output'!L8</f>
        <v>#REF!</v>
      </c>
      <c r="R9" s="174" t="e">
        <f t="shared" si="2"/>
        <v>#REF!</v>
      </c>
      <c r="S9" s="6"/>
      <c r="T9" s="6"/>
      <c r="U9" s="46" t="e">
        <f>+N9-'PL BB Build'!#REF!</f>
        <v>#REF!</v>
      </c>
      <c r="V9" s="175"/>
      <c r="W9" s="176"/>
      <c r="X9" s="6"/>
      <c r="Y9" s="6"/>
      <c r="Z9" s="6"/>
    </row>
    <row r="10" spans="1:26" ht="11.25" customHeight="1">
      <c r="A10" s="6"/>
      <c r="B10" s="6"/>
      <c r="C10" s="171">
        <f t="shared" si="3"/>
        <v>4</v>
      </c>
      <c r="D10" s="145" t="str">
        <f>'PL BB Build'!A5</f>
        <v>EDS Buyer LLC</v>
      </c>
      <c r="E10" s="6" t="str">
        <f>+'PL BB Build'!C5</f>
        <v>Warehouse First Lien</v>
      </c>
      <c r="F10" s="132">
        <v>3412500</v>
      </c>
      <c r="G10" s="132"/>
      <c r="H10" s="172"/>
      <c r="I10" s="132"/>
      <c r="J10" s="132"/>
      <c r="K10" s="53"/>
      <c r="L10" s="173"/>
      <c r="M10" s="173"/>
      <c r="N10" s="174">
        <f t="shared" si="0"/>
        <v>3412500</v>
      </c>
      <c r="O10" s="174" t="e">
        <f t="shared" si="1"/>
        <v>#REF!</v>
      </c>
      <c r="P10" s="174" t="e">
        <f>+'PL BB Build'!#REF!</f>
        <v>#REF!</v>
      </c>
      <c r="Q10" s="174" t="e">
        <f>+'PL BB Output'!L9</f>
        <v>#REF!</v>
      </c>
      <c r="R10" s="174" t="e">
        <f t="shared" si="2"/>
        <v>#REF!</v>
      </c>
      <c r="S10" s="6"/>
      <c r="T10" s="6"/>
      <c r="U10" s="46" t="e">
        <f>+N10-'PL BB Build'!#REF!</f>
        <v>#REF!</v>
      </c>
      <c r="V10" s="175"/>
      <c r="W10" s="176"/>
      <c r="X10" s="6"/>
      <c r="Y10" s="6"/>
      <c r="Z10" s="6"/>
    </row>
    <row r="11" spans="1:26" ht="11.25" customHeight="1">
      <c r="A11" s="6"/>
      <c r="B11" s="6"/>
      <c r="C11" s="171">
        <f t="shared" si="3"/>
        <v>5</v>
      </c>
      <c r="D11" s="145" t="str">
        <f>'PL BB Build'!A6</f>
        <v>EDS Buyer LLC DDTL</v>
      </c>
      <c r="E11" s="6" t="str">
        <f>+'PL BB Build'!C6</f>
        <v>Warehouse First Lien</v>
      </c>
      <c r="F11" s="132">
        <v>-65625</v>
      </c>
      <c r="G11" s="132"/>
      <c r="H11" s="172"/>
      <c r="I11" s="132"/>
      <c r="J11" s="132"/>
      <c r="K11" s="53"/>
      <c r="L11" s="173"/>
      <c r="M11" s="173"/>
      <c r="N11" s="174">
        <f t="shared" si="0"/>
        <v>-65625</v>
      </c>
      <c r="O11" s="174" t="e">
        <f t="shared" si="1"/>
        <v>#REF!</v>
      </c>
      <c r="P11" s="174" t="e">
        <f>+'PL BB Build'!#REF!</f>
        <v>#REF!</v>
      </c>
      <c r="Q11" s="174" t="e">
        <f>+'PL BB Output'!L10</f>
        <v>#REF!</v>
      </c>
      <c r="R11" s="174" t="e">
        <f t="shared" si="2"/>
        <v>#REF!</v>
      </c>
      <c r="S11" s="6"/>
      <c r="T11" s="6"/>
      <c r="U11" s="46" t="e">
        <f>+N11-'PL BB Build'!#REF!</f>
        <v>#REF!</v>
      </c>
      <c r="V11" s="175"/>
      <c r="W11" s="176"/>
      <c r="X11" s="6"/>
      <c r="Y11" s="6"/>
      <c r="Z11" s="6"/>
    </row>
    <row r="12" spans="1:26" ht="11.25" customHeight="1">
      <c r="A12" s="6"/>
      <c r="B12" s="6"/>
      <c r="C12" s="171">
        <f t="shared" si="3"/>
        <v>6</v>
      </c>
      <c r="D12" s="145" t="str">
        <f>'PL BB Build'!A7</f>
        <v>EDS Buyer LLC Revolver</v>
      </c>
      <c r="E12" s="6" t="str">
        <f>+'PL BB Build'!C7</f>
        <v>Warehouse First Lien</v>
      </c>
      <c r="F12" s="132">
        <v>-19687.5</v>
      </c>
      <c r="G12" s="132"/>
      <c r="H12" s="172"/>
      <c r="I12" s="132"/>
      <c r="J12" s="132"/>
      <c r="K12" s="53"/>
      <c r="L12" s="173"/>
      <c r="M12" s="173"/>
      <c r="N12" s="174">
        <f t="shared" si="0"/>
        <v>-19687.5</v>
      </c>
      <c r="O12" s="174" t="e">
        <f t="shared" si="1"/>
        <v>#REF!</v>
      </c>
      <c r="P12" s="174" t="e">
        <f>+'PL BB Build'!#REF!</f>
        <v>#REF!</v>
      </c>
      <c r="Q12" s="174" t="e">
        <f>+'PL BB Output'!L11</f>
        <v>#REF!</v>
      </c>
      <c r="R12" s="174" t="e">
        <f t="shared" si="2"/>
        <v>#REF!</v>
      </c>
      <c r="S12" s="6"/>
      <c r="T12" s="6"/>
      <c r="U12" s="46" t="e">
        <f>+N12-'PL BB Build'!#REF!</f>
        <v>#REF!</v>
      </c>
      <c r="V12" s="175"/>
      <c r="W12" s="176"/>
      <c r="X12" s="6"/>
      <c r="Y12" s="6"/>
      <c r="Z12" s="6"/>
    </row>
    <row r="13" spans="1:26" ht="11.25" customHeight="1">
      <c r="A13" s="6"/>
      <c r="B13" s="6"/>
      <c r="C13" s="171">
        <f t="shared" si="3"/>
        <v>7</v>
      </c>
      <c r="D13" s="145" t="str">
        <f>'PL BB Build'!A8</f>
        <v xml:space="preserve">Infinity Home Services </v>
      </c>
      <c r="E13" s="6" t="str">
        <f>+'PL BB Build'!C8</f>
        <v>First Lien</v>
      </c>
      <c r="F13" s="132">
        <v>4899999</v>
      </c>
      <c r="G13" s="132"/>
      <c r="H13" s="172"/>
      <c r="I13" s="132"/>
      <c r="J13" s="132"/>
      <c r="K13" s="53"/>
      <c r="L13" s="173"/>
      <c r="M13" s="173"/>
      <c r="N13" s="174">
        <f t="shared" si="0"/>
        <v>4899999</v>
      </c>
      <c r="O13" s="174" t="e">
        <f t="shared" si="1"/>
        <v>#REF!</v>
      </c>
      <c r="P13" s="174" t="e">
        <f>+'PL BB Build'!#REF!</f>
        <v>#REF!</v>
      </c>
      <c r="Q13" s="174" t="e">
        <f>+'PL BB Output'!L12</f>
        <v>#REF!</v>
      </c>
      <c r="R13" s="174" t="e">
        <f t="shared" si="2"/>
        <v>#REF!</v>
      </c>
      <c r="S13" s="6"/>
      <c r="T13" s="6"/>
      <c r="U13" s="46" t="e">
        <f>+N13-'PL BB Build'!#REF!</f>
        <v>#REF!</v>
      </c>
      <c r="V13" s="175"/>
      <c r="W13" s="176"/>
      <c r="X13" s="6"/>
      <c r="Y13" s="6"/>
      <c r="Z13" s="6"/>
    </row>
    <row r="14" spans="1:26" ht="11.25" customHeight="1">
      <c r="A14" s="6"/>
      <c r="B14" s="6"/>
      <c r="C14" s="171">
        <f t="shared" si="3"/>
        <v>8</v>
      </c>
      <c r="D14" s="145" t="str">
        <f>'PL BB Build'!A9</f>
        <v>Infinity Home Services DDTL</v>
      </c>
      <c r="E14" s="6" t="str">
        <f>+'PL BB Build'!C9</f>
        <v>First Lien</v>
      </c>
      <c r="F14" s="132">
        <v>368421</v>
      </c>
      <c r="G14" s="132"/>
      <c r="H14" s="172"/>
      <c r="I14" s="132"/>
      <c r="J14" s="132"/>
      <c r="K14" s="53">
        <v>452631</v>
      </c>
      <c r="L14" s="173"/>
      <c r="M14" s="173"/>
      <c r="N14" s="174">
        <f t="shared" si="0"/>
        <v>821052</v>
      </c>
      <c r="O14" s="174" t="e">
        <f t="shared" si="1"/>
        <v>#REF!</v>
      </c>
      <c r="P14" s="174" t="e">
        <f>+'PL BB Build'!#REF!</f>
        <v>#REF!</v>
      </c>
      <c r="Q14" s="174" t="e">
        <f>+'PL BB Output'!L13</f>
        <v>#REF!</v>
      </c>
      <c r="R14" s="174" t="e">
        <f t="shared" si="2"/>
        <v>#REF!</v>
      </c>
      <c r="S14" s="6"/>
      <c r="T14" s="6"/>
      <c r="U14" s="46" t="e">
        <f>+N14-'PL BB Build'!#REF!</f>
        <v>#REF!</v>
      </c>
      <c r="V14" s="175"/>
      <c r="W14" s="176"/>
      <c r="X14" s="6"/>
      <c r="Y14" s="6"/>
      <c r="Z14" s="6"/>
    </row>
    <row r="15" spans="1:26" ht="11.25" customHeight="1">
      <c r="A15" s="6"/>
      <c r="B15" s="6"/>
      <c r="C15" s="171">
        <f t="shared" si="3"/>
        <v>9</v>
      </c>
      <c r="D15" s="145" t="str">
        <f>'PL BB Build'!A10</f>
        <v>Infinity Home Services Revolver</v>
      </c>
      <c r="E15" s="6" t="str">
        <f>+'PL BB Build'!C10</f>
        <v>First Lien</v>
      </c>
      <c r="F15" s="132">
        <v>57894.91</v>
      </c>
      <c r="G15" s="132"/>
      <c r="H15" s="172"/>
      <c r="I15" s="132"/>
      <c r="J15" s="132"/>
      <c r="K15" s="53"/>
      <c r="L15" s="173"/>
      <c r="M15" s="173"/>
      <c r="N15" s="174">
        <f t="shared" si="0"/>
        <v>57894.91</v>
      </c>
      <c r="O15" s="174" t="e">
        <f t="shared" si="1"/>
        <v>#REF!</v>
      </c>
      <c r="P15" s="174" t="e">
        <f>+'PL BB Build'!#REF!</f>
        <v>#REF!</v>
      </c>
      <c r="Q15" s="174" t="e">
        <f>+'PL BB Output'!L14</f>
        <v>#REF!</v>
      </c>
      <c r="R15" s="174" t="e">
        <f t="shared" si="2"/>
        <v>#REF!</v>
      </c>
      <c r="S15" s="6"/>
      <c r="T15" s="6"/>
      <c r="U15" s="46" t="e">
        <f>+N15-'PL BB Build'!#REF!</f>
        <v>#REF!</v>
      </c>
      <c r="V15" s="175"/>
      <c r="W15" s="176"/>
      <c r="X15" s="6"/>
      <c r="Y15" s="6"/>
      <c r="Z15" s="6"/>
    </row>
    <row r="16" spans="1:26" ht="11.25" customHeight="1">
      <c r="A16" s="6"/>
      <c r="B16" s="6"/>
      <c r="C16" s="171">
        <f t="shared" si="3"/>
        <v>10</v>
      </c>
      <c r="D16" s="145" t="str">
        <f>'PL BB Build'!A11</f>
        <v>Ardurra</v>
      </c>
      <c r="E16" s="6" t="str">
        <f>+'PL BB Build'!C11</f>
        <v>First Lien</v>
      </c>
      <c r="F16" s="132">
        <v>1960007</v>
      </c>
      <c r="G16" s="132"/>
      <c r="H16" s="172"/>
      <c r="I16" s="132"/>
      <c r="J16" s="132"/>
      <c r="K16" s="53"/>
      <c r="L16" s="173"/>
      <c r="M16" s="173"/>
      <c r="N16" s="174">
        <f t="shared" si="0"/>
        <v>1960007</v>
      </c>
      <c r="O16" s="174" t="e">
        <f t="shared" si="1"/>
        <v>#REF!</v>
      </c>
      <c r="P16" s="174" t="e">
        <f>+'PL BB Build'!#REF!</f>
        <v>#REF!</v>
      </c>
      <c r="Q16" s="174" t="e">
        <f>+'PL BB Output'!L15</f>
        <v>#REF!</v>
      </c>
      <c r="R16" s="174" t="e">
        <f t="shared" si="2"/>
        <v>#REF!</v>
      </c>
      <c r="S16" s="6"/>
      <c r="T16" s="6"/>
      <c r="U16" s="46" t="e">
        <f>+N16-'PL BB Build'!#REF!</f>
        <v>#REF!</v>
      </c>
      <c r="V16" s="175"/>
      <c r="W16" s="176"/>
      <c r="X16" s="6"/>
      <c r="Y16" s="6"/>
      <c r="Z16" s="6"/>
    </row>
    <row r="17" spans="1:26" ht="11.25" customHeight="1">
      <c r="A17" s="6"/>
      <c r="B17" s="6"/>
      <c r="C17" s="171">
        <f t="shared" si="3"/>
        <v>11</v>
      </c>
      <c r="D17" s="145" t="str">
        <f>'PL BB Build'!A12</f>
        <v>Ardurra DDTL</v>
      </c>
      <c r="E17" s="6" t="str">
        <f>+'PL BB Build'!C12</f>
        <v>First Lien</v>
      </c>
      <c r="F17" s="132">
        <v>-43470.73</v>
      </c>
      <c r="G17" s="132"/>
      <c r="H17" s="172"/>
      <c r="I17" s="132"/>
      <c r="J17" s="132"/>
      <c r="K17" s="53"/>
      <c r="L17" s="173"/>
      <c r="M17" s="173"/>
      <c r="N17" s="174">
        <f t="shared" si="0"/>
        <v>-43470.73</v>
      </c>
      <c r="O17" s="174" t="e">
        <f t="shared" si="1"/>
        <v>#REF!</v>
      </c>
      <c r="P17" s="174" t="e">
        <f>+'PL BB Build'!#REF!</f>
        <v>#REF!</v>
      </c>
      <c r="Q17" s="174" t="e">
        <f>+'PL BB Output'!L16</f>
        <v>#REF!</v>
      </c>
      <c r="R17" s="174" t="e">
        <f t="shared" si="2"/>
        <v>#REF!</v>
      </c>
      <c r="S17" s="6"/>
      <c r="T17" s="6"/>
      <c r="U17" s="46" t="e">
        <f>+N17-'PL BB Build'!#REF!</f>
        <v>#REF!</v>
      </c>
      <c r="V17" s="175"/>
      <c r="W17" s="176"/>
      <c r="X17" s="6"/>
      <c r="Y17" s="6"/>
      <c r="Z17" s="6"/>
    </row>
    <row r="18" spans="1:26" ht="11.25" customHeight="1">
      <c r="A18" s="6"/>
      <c r="B18" s="6"/>
      <c r="C18" s="171">
        <f t="shared" si="3"/>
        <v>12</v>
      </c>
      <c r="D18" s="145" t="str">
        <f>'PL BB Build'!A13</f>
        <v>Ardurra Revolver</v>
      </c>
      <c r="E18" s="6" t="str">
        <f>+'PL BB Build'!C13</f>
        <v>First Lien</v>
      </c>
      <c r="F18" s="132">
        <v>-17388.29</v>
      </c>
      <c r="G18" s="132"/>
      <c r="H18" s="172"/>
      <c r="I18" s="132"/>
      <c r="J18" s="132"/>
      <c r="K18" s="53"/>
      <c r="L18" s="173"/>
      <c r="M18" s="173"/>
      <c r="N18" s="174">
        <f t="shared" si="0"/>
        <v>-17388.29</v>
      </c>
      <c r="O18" s="174" t="e">
        <f t="shared" si="1"/>
        <v>#REF!</v>
      </c>
      <c r="P18" s="174" t="e">
        <f>+'PL BB Build'!#REF!</f>
        <v>#REF!</v>
      </c>
      <c r="Q18" s="174" t="e">
        <f>+'PL BB Output'!L17</f>
        <v>#REF!</v>
      </c>
      <c r="R18" s="174" t="e">
        <f t="shared" si="2"/>
        <v>#REF!</v>
      </c>
      <c r="S18" s="6"/>
      <c r="T18" s="6"/>
      <c r="U18" s="46" t="e">
        <f>+N18-'PL BB Build'!#REF!</f>
        <v>#REF!</v>
      </c>
      <c r="V18" s="175"/>
      <c r="W18" s="176"/>
      <c r="X18" s="6"/>
      <c r="Y18" s="6"/>
      <c r="Z18" s="6"/>
    </row>
    <row r="19" spans="1:26" ht="11.25" customHeight="1">
      <c r="A19" s="6"/>
      <c r="B19" s="6"/>
      <c r="C19" s="171">
        <f t="shared" si="3"/>
        <v>13</v>
      </c>
      <c r="D19" s="145" t="str">
        <f>'PL BB Build'!A14</f>
        <v>BioDerm First Lien</v>
      </c>
      <c r="E19" s="6" t="str">
        <f>+'PL BB Build'!C14</f>
        <v>First Lien</v>
      </c>
      <c r="F19" s="132">
        <v>2955000</v>
      </c>
      <c r="G19" s="132"/>
      <c r="H19" s="172"/>
      <c r="I19" s="132"/>
      <c r="J19" s="132"/>
      <c r="K19" s="53"/>
      <c r="L19" s="173"/>
      <c r="M19" s="173"/>
      <c r="N19" s="174">
        <f t="shared" si="0"/>
        <v>2955000</v>
      </c>
      <c r="O19" s="174" t="e">
        <f t="shared" si="1"/>
        <v>#REF!</v>
      </c>
      <c r="P19" s="174" t="e">
        <f>+'PL BB Build'!#REF!</f>
        <v>#REF!</v>
      </c>
      <c r="Q19" s="174" t="e">
        <f>+'PL BB Output'!L18</f>
        <v>#REF!</v>
      </c>
      <c r="R19" s="174" t="e">
        <f t="shared" si="2"/>
        <v>#REF!</v>
      </c>
      <c r="S19" s="6"/>
      <c r="T19" s="6"/>
      <c r="U19" s="46" t="e">
        <f>+N19-'PL BB Build'!#REF!</f>
        <v>#REF!</v>
      </c>
      <c r="V19" s="175"/>
      <c r="W19" s="176"/>
      <c r="X19" s="6"/>
      <c r="Y19" s="6"/>
      <c r="Z19" s="6"/>
    </row>
    <row r="20" spans="1:26" ht="11.25" customHeight="1">
      <c r="A20" s="6"/>
      <c r="B20" s="6"/>
      <c r="C20" s="171">
        <f t="shared" si="3"/>
        <v>14</v>
      </c>
      <c r="D20" s="145" t="str">
        <f>'PL BB Build'!A15</f>
        <v>BioDerm Revolver</v>
      </c>
      <c r="E20" s="6" t="str">
        <f>+'PL BB Build'!C15</f>
        <v>First Lien</v>
      </c>
      <c r="F20" s="132">
        <v>-5357.14</v>
      </c>
      <c r="G20" s="132"/>
      <c r="H20" s="172"/>
      <c r="I20" s="132"/>
      <c r="J20" s="132"/>
      <c r="K20" s="53"/>
      <c r="L20" s="173"/>
      <c r="M20" s="173"/>
      <c r="N20" s="174">
        <f t="shared" si="0"/>
        <v>-5357.14</v>
      </c>
      <c r="O20" s="174" t="e">
        <f t="shared" si="1"/>
        <v>#REF!</v>
      </c>
      <c r="P20" s="174" t="e">
        <f>+'PL BB Build'!#REF!</f>
        <v>#REF!</v>
      </c>
      <c r="Q20" s="174" t="e">
        <f>+'PL BB Output'!L19</f>
        <v>#REF!</v>
      </c>
      <c r="R20" s="174" t="e">
        <f t="shared" si="2"/>
        <v>#REF!</v>
      </c>
      <c r="S20" s="6"/>
      <c r="T20" s="6"/>
      <c r="U20" s="46" t="e">
        <f>+N20-'PL BB Build'!#REF!</f>
        <v>#REF!</v>
      </c>
      <c r="V20" s="175"/>
      <c r="W20" s="176"/>
      <c r="X20" s="6"/>
      <c r="Y20" s="6"/>
      <c r="Z20" s="6"/>
    </row>
    <row r="21" spans="1:26" ht="11.25" customHeight="1">
      <c r="A21" s="6"/>
      <c r="B21" s="6"/>
      <c r="C21" s="171">
        <f t="shared" si="3"/>
        <v>15</v>
      </c>
      <c r="D21" s="145" t="str">
        <f>'PL BB Build'!A16</f>
        <v>ECL Entertainment</v>
      </c>
      <c r="E21" s="6" t="str">
        <f>+'PL BB Build'!C16</f>
        <v>First Lien</v>
      </c>
      <c r="F21" s="132">
        <v>3467205</v>
      </c>
      <c r="G21" s="132"/>
      <c r="H21" s="172">
        <v>-8800</v>
      </c>
      <c r="I21" s="132"/>
      <c r="J21" s="132"/>
      <c r="K21" s="53"/>
      <c r="L21" s="173"/>
      <c r="M21" s="173"/>
      <c r="N21" s="174">
        <f t="shared" si="0"/>
        <v>3458405</v>
      </c>
      <c r="O21" s="174" t="e">
        <f t="shared" si="1"/>
        <v>#REF!</v>
      </c>
      <c r="P21" s="174" t="e">
        <f>+'PL BB Build'!#REF!</f>
        <v>#REF!</v>
      </c>
      <c r="Q21" s="174" t="e">
        <f>+'PL BB Output'!L20</f>
        <v>#REF!</v>
      </c>
      <c r="R21" s="174" t="e">
        <f t="shared" si="2"/>
        <v>#REF!</v>
      </c>
      <c r="S21" s="6"/>
      <c r="T21" s="6"/>
      <c r="U21" s="46" t="e">
        <f>+N21-'PL BB Build'!#REF!</f>
        <v>#REF!</v>
      </c>
      <c r="V21" s="175"/>
      <c r="W21" s="176"/>
      <c r="X21" s="6"/>
      <c r="Y21" s="6"/>
      <c r="Z21" s="6"/>
    </row>
    <row r="22" spans="1:26" ht="11.25" customHeight="1">
      <c r="A22" s="6"/>
      <c r="B22" s="6"/>
      <c r="C22" s="171">
        <f t="shared" si="3"/>
        <v>16</v>
      </c>
      <c r="D22" s="145" t="str">
        <f>'PL BB Build'!A17</f>
        <v>Urology Management Holdings DDTL</v>
      </c>
      <c r="E22" s="6" t="str">
        <f>+'PL BB Build'!C17</f>
        <v>First Lien</v>
      </c>
      <c r="F22" s="132">
        <v>-33222.080000000002</v>
      </c>
      <c r="G22" s="132"/>
      <c r="H22" s="172"/>
      <c r="I22" s="132"/>
      <c r="J22" s="132"/>
      <c r="K22" s="53"/>
      <c r="L22" s="173"/>
      <c r="M22" s="173"/>
      <c r="N22" s="174">
        <f t="shared" si="0"/>
        <v>-33222.080000000002</v>
      </c>
      <c r="O22" s="174" t="e">
        <f t="shared" si="1"/>
        <v>#REF!</v>
      </c>
      <c r="P22" s="174" t="e">
        <f>+'PL BB Build'!#REF!</f>
        <v>#REF!</v>
      </c>
      <c r="Q22" s="174" t="e">
        <f>+'PL BB Output'!L21</f>
        <v>#REF!</v>
      </c>
      <c r="R22" s="174" t="e">
        <f t="shared" si="2"/>
        <v>#REF!</v>
      </c>
      <c r="S22" s="6"/>
      <c r="T22" s="6"/>
      <c r="U22" s="46" t="e">
        <f>+N22-'PL BB Build'!#REF!</f>
        <v>#REF!</v>
      </c>
      <c r="V22" s="175"/>
      <c r="W22" s="176"/>
      <c r="X22" s="6"/>
      <c r="Y22" s="6"/>
      <c r="Z22" s="6"/>
    </row>
    <row r="23" spans="1:26" ht="11.25" customHeight="1">
      <c r="A23" s="6"/>
      <c r="B23" s="6"/>
      <c r="C23" s="171">
        <f t="shared" si="3"/>
        <v>17</v>
      </c>
      <c r="D23" s="145" t="str">
        <f>'PL BB Build'!A18</f>
        <v>Urology Management Holdings</v>
      </c>
      <c r="E23" s="6" t="str">
        <f>+'PL BB Build'!C18</f>
        <v>First Lien</v>
      </c>
      <c r="F23" s="132">
        <v>1612791.46</v>
      </c>
      <c r="G23" s="132"/>
      <c r="H23" s="172"/>
      <c r="I23" s="132"/>
      <c r="J23" s="132"/>
      <c r="K23" s="53"/>
      <c r="L23" s="173"/>
      <c r="M23" s="173"/>
      <c r="N23" s="174">
        <f t="shared" si="0"/>
        <v>1612791.46</v>
      </c>
      <c r="O23" s="174" t="e">
        <f t="shared" si="1"/>
        <v>#REF!</v>
      </c>
      <c r="P23" s="174" t="e">
        <f>+'PL BB Build'!#REF!</f>
        <v>#REF!</v>
      </c>
      <c r="Q23" s="174" t="e">
        <f>+'PL BB Output'!L22</f>
        <v>#REF!</v>
      </c>
      <c r="R23" s="174" t="e">
        <f t="shared" si="2"/>
        <v>#REF!</v>
      </c>
      <c r="S23" s="6"/>
      <c r="T23" s="6"/>
      <c r="U23" s="46" t="e">
        <f>+N23-'PL BB Build'!#REF!</f>
        <v>#REF!</v>
      </c>
      <c r="V23" s="175"/>
      <c r="W23" s="176"/>
      <c r="X23" s="6"/>
      <c r="Y23" s="6"/>
      <c r="Z23" s="6"/>
    </row>
    <row r="24" spans="1:26" ht="11.25" customHeight="1">
      <c r="A24" s="6"/>
      <c r="B24" s="6"/>
      <c r="C24" s="171">
        <f t="shared" si="3"/>
        <v>18</v>
      </c>
      <c r="D24" s="145" t="str">
        <f>'PL BB Build'!A19</f>
        <v>Five Star Buyer</v>
      </c>
      <c r="E24" s="6" t="str">
        <f>+'PL BB Build'!C19</f>
        <v>First Lien</v>
      </c>
      <c r="F24" s="132">
        <v>2939999.49</v>
      </c>
      <c r="G24" s="132"/>
      <c r="H24" s="172"/>
      <c r="I24" s="132"/>
      <c r="J24" s="132"/>
      <c r="K24" s="53"/>
      <c r="L24" s="173"/>
      <c r="M24" s="173"/>
      <c r="N24" s="174">
        <f t="shared" si="0"/>
        <v>2939999.49</v>
      </c>
      <c r="O24" s="174" t="e">
        <f t="shared" si="1"/>
        <v>#REF!</v>
      </c>
      <c r="P24" s="174" t="e">
        <f>+'PL BB Build'!#REF!</f>
        <v>#REF!</v>
      </c>
      <c r="Q24" s="174" t="e">
        <f>+'PL BB Output'!L23</f>
        <v>#REF!</v>
      </c>
      <c r="R24" s="174" t="e">
        <f t="shared" si="2"/>
        <v>#REF!</v>
      </c>
      <c r="S24" s="6"/>
      <c r="T24" s="6"/>
      <c r="U24" s="46" t="e">
        <f>+N24-'PL BB Build'!#REF!</f>
        <v>#REF!</v>
      </c>
      <c r="V24" s="175"/>
      <c r="W24" s="176"/>
      <c r="X24" s="6"/>
      <c r="Y24" s="6"/>
      <c r="Z24" s="6"/>
    </row>
    <row r="25" spans="1:26" ht="11.25" customHeight="1">
      <c r="A25" s="6"/>
      <c r="B25" s="6"/>
      <c r="C25" s="171">
        <f t="shared" si="3"/>
        <v>19</v>
      </c>
      <c r="D25" s="145" t="str">
        <f>'PL BB Build'!A20</f>
        <v>Five Star Buyer DDTL</v>
      </c>
      <c r="E25" s="6" t="str">
        <f>+'PL BB Build'!C20</f>
        <v>First Lien</v>
      </c>
      <c r="F25" s="132">
        <v>-14571.55</v>
      </c>
      <c r="G25" s="132"/>
      <c r="H25" s="172"/>
      <c r="I25" s="132"/>
      <c r="J25" s="132"/>
      <c r="K25" s="53"/>
      <c r="L25" s="173"/>
      <c r="M25" s="173"/>
      <c r="N25" s="174">
        <f t="shared" si="0"/>
        <v>-14571.55</v>
      </c>
      <c r="O25" s="174" t="e">
        <f t="shared" si="1"/>
        <v>#REF!</v>
      </c>
      <c r="P25" s="174" t="e">
        <f>+'PL BB Build'!#REF!</f>
        <v>#REF!</v>
      </c>
      <c r="Q25" s="174" t="e">
        <f>+'PL BB Output'!L24</f>
        <v>#REF!</v>
      </c>
      <c r="R25" s="174" t="e">
        <f t="shared" si="2"/>
        <v>#REF!</v>
      </c>
      <c r="S25" s="6"/>
      <c r="T25" s="6"/>
      <c r="U25" s="46" t="e">
        <f>+N25-'PL BB Build'!#REF!</f>
        <v>#REF!</v>
      </c>
      <c r="V25" s="175"/>
      <c r="W25" s="176"/>
      <c r="X25" s="6"/>
      <c r="Y25" s="6"/>
      <c r="Z25" s="6"/>
    </row>
    <row r="26" spans="1:26" ht="11.25" customHeight="1">
      <c r="A26" s="6"/>
      <c r="B26" s="6"/>
      <c r="C26" s="171">
        <f t="shared" si="3"/>
        <v>20</v>
      </c>
      <c r="D26" s="145" t="str">
        <f>'PL BB Build'!A21</f>
        <v>Five Star Buyer Revolver</v>
      </c>
      <c r="E26" s="6" t="str">
        <f>+'PL BB Build'!C21</f>
        <v>First Lien</v>
      </c>
      <c r="F26" s="132">
        <v>-6857.2</v>
      </c>
      <c r="G26" s="132"/>
      <c r="H26" s="172"/>
      <c r="I26" s="132"/>
      <c r="J26" s="132"/>
      <c r="K26" s="53"/>
      <c r="L26" s="173"/>
      <c r="M26" s="173"/>
      <c r="N26" s="174">
        <f t="shared" si="0"/>
        <v>-6857.2</v>
      </c>
      <c r="O26" s="174" t="e">
        <f t="shared" si="1"/>
        <v>#REF!</v>
      </c>
      <c r="P26" s="174" t="e">
        <f>+'PL BB Build'!#REF!</f>
        <v>#REF!</v>
      </c>
      <c r="Q26" s="174" t="e">
        <f>+'PL BB Output'!L25</f>
        <v>#REF!</v>
      </c>
      <c r="R26" s="174" t="e">
        <f t="shared" si="2"/>
        <v>#REF!</v>
      </c>
      <c r="S26" s="6"/>
      <c r="T26" s="6"/>
      <c r="U26" s="46" t="e">
        <f>+N26-'PL BB Build'!#REF!</f>
        <v>#REF!</v>
      </c>
      <c r="V26" s="175"/>
      <c r="W26" s="176"/>
      <c r="X26" s="6"/>
      <c r="Y26" s="6"/>
      <c r="Z26" s="6"/>
    </row>
    <row r="27" spans="1:26" ht="11.25" customHeight="1">
      <c r="A27" s="6"/>
      <c r="B27" s="6"/>
      <c r="C27" s="171">
        <f t="shared" si="3"/>
        <v>21</v>
      </c>
      <c r="D27" s="145" t="str">
        <f>'PL BB Build'!A22</f>
        <v>Anteriad (FKA MeritDirect)</v>
      </c>
      <c r="E27" s="6" t="str">
        <f>+'PL BB Build'!C22</f>
        <v>First Lien</v>
      </c>
      <c r="F27" s="132">
        <v>2939999.84</v>
      </c>
      <c r="G27" s="132"/>
      <c r="H27" s="172"/>
      <c r="I27" s="132"/>
      <c r="J27" s="132"/>
      <c r="K27" s="53"/>
      <c r="L27" s="173"/>
      <c r="M27" s="173"/>
      <c r="N27" s="174">
        <f t="shared" si="0"/>
        <v>2939999.84</v>
      </c>
      <c r="O27" s="174" t="e">
        <f t="shared" si="1"/>
        <v>#REF!</v>
      </c>
      <c r="P27" s="174" t="e">
        <f>+'PL BB Build'!#REF!</f>
        <v>#REF!</v>
      </c>
      <c r="Q27" s="174" t="e">
        <f>+'PL BB Output'!L26</f>
        <v>#REF!</v>
      </c>
      <c r="R27" s="174" t="e">
        <f t="shared" si="2"/>
        <v>#REF!</v>
      </c>
      <c r="S27" s="6"/>
      <c r="T27" s="6"/>
      <c r="U27" s="46" t="e">
        <f>+N27-'PL BB Build'!#REF!</f>
        <v>#REF!</v>
      </c>
      <c r="V27" s="175"/>
      <c r="W27" s="176"/>
      <c r="X27" s="6"/>
      <c r="Y27" s="6"/>
      <c r="Z27" s="6"/>
    </row>
    <row r="28" spans="1:26" ht="11.25" customHeight="1">
      <c r="A28" s="6"/>
      <c r="B28" s="6"/>
      <c r="C28" s="171">
        <f t="shared" si="3"/>
        <v>22</v>
      </c>
      <c r="D28" s="145" t="str">
        <f>'PL BB Build'!A23</f>
        <v>Beta Plus Technologies, Inc.</v>
      </c>
      <c r="E28" s="6" t="str">
        <f>+'PL BB Build'!C23</f>
        <v>First Lien</v>
      </c>
      <c r="F28" s="132" t="s">
        <v>231</v>
      </c>
      <c r="G28" s="132"/>
      <c r="H28" s="172"/>
      <c r="I28" s="132"/>
      <c r="J28" s="132"/>
      <c r="K28" s="53"/>
      <c r="L28" s="173"/>
      <c r="M28" s="173"/>
      <c r="N28" s="174">
        <f t="shared" si="0"/>
        <v>0</v>
      </c>
      <c r="O28" s="174" t="e">
        <f t="shared" si="1"/>
        <v>#REF!</v>
      </c>
      <c r="P28" s="174" t="e">
        <f>+'PL BB Build'!#REF!</f>
        <v>#REF!</v>
      </c>
      <c r="Q28" s="174" t="e">
        <f>+'PL BB Output'!L27</f>
        <v>#REF!</v>
      </c>
      <c r="R28" s="174" t="e">
        <f t="shared" si="2"/>
        <v>#REF!</v>
      </c>
      <c r="S28" s="6"/>
      <c r="T28" s="6"/>
      <c r="U28" s="46" t="e">
        <f>+N28-'PL BB Build'!#REF!</f>
        <v>#REF!</v>
      </c>
      <c r="V28" s="175"/>
      <c r="W28" s="176"/>
      <c r="X28" s="6"/>
      <c r="Y28" s="6"/>
      <c r="Z28" s="6"/>
    </row>
    <row r="29" spans="1:26" ht="11.25" customHeight="1">
      <c r="A29" s="6"/>
      <c r="B29" s="6"/>
      <c r="C29" s="171">
        <f t="shared" si="3"/>
        <v>23</v>
      </c>
      <c r="D29" s="145" t="str">
        <f>'PL BB Build'!A24</f>
        <v>Simplicity Group First Lien</v>
      </c>
      <c r="E29" s="6" t="str">
        <f>+'PL BB Build'!C24</f>
        <v>First Lien</v>
      </c>
      <c r="F29" s="132" t="s">
        <v>231</v>
      </c>
      <c r="G29" s="132"/>
      <c r="H29" s="172"/>
      <c r="I29" s="132"/>
      <c r="J29" s="132"/>
      <c r="K29" s="53"/>
      <c r="L29" s="173"/>
      <c r="M29" s="173"/>
      <c r="N29" s="174">
        <f t="shared" si="0"/>
        <v>0</v>
      </c>
      <c r="O29" s="174" t="e">
        <f t="shared" si="1"/>
        <v>#REF!</v>
      </c>
      <c r="P29" s="174" t="e">
        <f>+'PL BB Build'!#REF!</f>
        <v>#REF!</v>
      </c>
      <c r="Q29" s="174" t="e">
        <f>+'PL BB Output'!L28</f>
        <v>#REF!</v>
      </c>
      <c r="R29" s="174" t="e">
        <f t="shared" si="2"/>
        <v>#REF!</v>
      </c>
      <c r="S29" s="6"/>
      <c r="T29" s="6"/>
      <c r="U29" s="46" t="e">
        <f>+N29-'PL BB Build'!#REF!</f>
        <v>#REF!</v>
      </c>
      <c r="V29" s="175"/>
      <c r="W29" s="176"/>
      <c r="X29" s="6"/>
      <c r="Y29" s="6"/>
      <c r="Z29" s="6"/>
    </row>
    <row r="30" spans="1:26" ht="11.25" customHeight="1">
      <c r="A30" s="6"/>
      <c r="B30" s="6"/>
      <c r="C30" s="171">
        <f t="shared" si="3"/>
        <v>24</v>
      </c>
      <c r="D30" s="145" t="str">
        <f>'PL BB Build'!A25</f>
        <v>Simplicity Group DDTL</v>
      </c>
      <c r="E30" s="6" t="str">
        <f>+'PL BB Build'!C25</f>
        <v>First Lien</v>
      </c>
      <c r="F30" s="132" t="s">
        <v>231</v>
      </c>
      <c r="G30" s="132"/>
      <c r="H30" s="172"/>
      <c r="I30" s="132"/>
      <c r="J30" s="132"/>
      <c r="K30" s="53"/>
      <c r="L30" s="173"/>
      <c r="M30" s="173"/>
      <c r="N30" s="174">
        <f t="shared" si="0"/>
        <v>0</v>
      </c>
      <c r="O30" s="174" t="e">
        <f t="shared" si="1"/>
        <v>#REF!</v>
      </c>
      <c r="P30" s="174" t="e">
        <f>+'PL BB Build'!#REF!</f>
        <v>#REF!</v>
      </c>
      <c r="Q30" s="174" t="e">
        <f>+'PL BB Output'!L29</f>
        <v>#REF!</v>
      </c>
      <c r="R30" s="174" t="e">
        <f t="shared" si="2"/>
        <v>#REF!</v>
      </c>
      <c r="S30" s="6"/>
      <c r="T30" s="6"/>
      <c r="U30" s="46" t="e">
        <f>+N30-'PL BB Build'!#REF!</f>
        <v>#REF!</v>
      </c>
      <c r="V30" s="175"/>
      <c r="W30" s="176"/>
      <c r="X30" s="6"/>
      <c r="Y30" s="6"/>
      <c r="Z30" s="6"/>
    </row>
    <row r="31" spans="1:26" ht="11.25" customHeight="1">
      <c r="A31" s="6"/>
      <c r="B31" s="6"/>
      <c r="C31" s="171">
        <f t="shared" si="3"/>
        <v>25</v>
      </c>
      <c r="D31" s="145" t="e">
        <f>'PL BB Build'!#REF!</f>
        <v>#REF!</v>
      </c>
      <c r="E31" s="6" t="e">
        <f>+'PL BB Build'!#REF!</f>
        <v>#REF!</v>
      </c>
      <c r="F31" s="132" t="s">
        <v>231</v>
      </c>
      <c r="G31" s="132"/>
      <c r="H31" s="172"/>
      <c r="I31" s="132"/>
      <c r="J31" s="132"/>
      <c r="K31" s="53"/>
      <c r="L31" s="173"/>
      <c r="M31" s="173"/>
      <c r="N31" s="174">
        <f t="shared" si="0"/>
        <v>0</v>
      </c>
      <c r="O31" s="174" t="e">
        <f t="shared" si="1"/>
        <v>#REF!</v>
      </c>
      <c r="P31" s="174" t="e">
        <f>+'PL BB Build'!#REF!</f>
        <v>#REF!</v>
      </c>
      <c r="Q31" s="174" t="e">
        <f>+'PL BB Output'!L30</f>
        <v>#REF!</v>
      </c>
      <c r="R31" s="174" t="e">
        <f t="shared" si="2"/>
        <v>#REF!</v>
      </c>
      <c r="S31" s="6"/>
      <c r="T31" s="6"/>
      <c r="U31" s="46" t="e">
        <f>+N31-'PL BB Build'!#REF!</f>
        <v>#REF!</v>
      </c>
      <c r="V31" s="175"/>
      <c r="W31" s="176"/>
      <c r="X31" s="6"/>
      <c r="Y31" s="6"/>
      <c r="Z31" s="6"/>
    </row>
    <row r="32" spans="1:26" ht="11.25" customHeight="1">
      <c r="A32" s="6"/>
      <c r="B32" s="6"/>
      <c r="C32" s="171">
        <f t="shared" si="3"/>
        <v>26</v>
      </c>
      <c r="D32" s="145" t="e">
        <f>'PL BB Build'!#REF!</f>
        <v>#REF!</v>
      </c>
      <c r="E32" s="6" t="e">
        <f>+'PL BB Build'!#REF!</f>
        <v>#REF!</v>
      </c>
      <c r="F32" s="132"/>
      <c r="G32" s="132"/>
      <c r="H32" s="172"/>
      <c r="I32" s="132"/>
      <c r="J32" s="132"/>
      <c r="K32" s="53"/>
      <c r="L32" s="173"/>
      <c r="M32" s="173"/>
      <c r="N32" s="174">
        <f t="shared" si="0"/>
        <v>0</v>
      </c>
      <c r="O32" s="174" t="e">
        <f t="shared" si="1"/>
        <v>#REF!</v>
      </c>
      <c r="P32" s="174" t="e">
        <f>+'PL BB Build'!#REF!</f>
        <v>#REF!</v>
      </c>
      <c r="Q32" s="174" t="e">
        <f>+'PL BB Output'!L31</f>
        <v>#REF!</v>
      </c>
      <c r="R32" s="174" t="e">
        <f t="shared" si="2"/>
        <v>#REF!</v>
      </c>
      <c r="S32" s="6"/>
      <c r="T32" s="6"/>
      <c r="U32" s="46" t="e">
        <f>+N32-'PL BB Build'!#REF!</f>
        <v>#REF!</v>
      </c>
      <c r="V32" s="175"/>
      <c r="W32" s="176"/>
      <c r="X32" s="6"/>
      <c r="Y32" s="6"/>
      <c r="Z32" s="6"/>
    </row>
    <row r="33" spans="1:26" ht="11.25" customHeight="1">
      <c r="A33" s="6"/>
      <c r="B33" s="6"/>
      <c r="C33" s="171"/>
      <c r="D33" s="145"/>
      <c r="E33" s="6"/>
      <c r="F33" s="132"/>
      <c r="G33" s="132"/>
      <c r="H33" s="172"/>
      <c r="I33" s="132"/>
      <c r="J33" s="132"/>
      <c r="K33" s="53"/>
      <c r="L33" s="173"/>
      <c r="M33" s="173"/>
      <c r="N33" s="174">
        <f t="shared" si="0"/>
        <v>0</v>
      </c>
      <c r="O33" s="174" t="e">
        <f t="shared" si="1"/>
        <v>#REF!</v>
      </c>
      <c r="P33" s="174" t="e">
        <f>+'PL BB Build'!#REF!</f>
        <v>#REF!</v>
      </c>
      <c r="Q33" s="174" t="e">
        <f>+'PL BB Output'!L33</f>
        <v>#REF!</v>
      </c>
      <c r="R33" s="174" t="e">
        <f t="shared" si="2"/>
        <v>#REF!</v>
      </c>
      <c r="S33" s="6"/>
      <c r="T33" s="6"/>
      <c r="U33" s="46" t="e">
        <f>+N33-'PL BB Build'!#REF!</f>
        <v>#REF!</v>
      </c>
      <c r="V33" s="175"/>
      <c r="W33" s="176"/>
      <c r="X33" s="6"/>
      <c r="Y33" s="6"/>
      <c r="Z33" s="6"/>
    </row>
    <row r="34" spans="1:26" ht="11.25" customHeight="1">
      <c r="A34" s="6"/>
      <c r="B34" s="6"/>
      <c r="C34" s="177"/>
      <c r="D34" s="145"/>
      <c r="E34" s="6"/>
      <c r="F34" s="53"/>
      <c r="G34" s="132"/>
      <c r="H34" s="132"/>
      <c r="I34" s="132"/>
      <c r="J34" s="132"/>
      <c r="K34" s="132"/>
      <c r="L34" s="173"/>
      <c r="M34" s="173"/>
      <c r="N34" s="174"/>
      <c r="O34" s="174"/>
      <c r="P34" s="174"/>
      <c r="Q34" s="174"/>
      <c r="R34" s="174"/>
      <c r="S34" s="6"/>
      <c r="T34" s="6"/>
      <c r="U34" s="46"/>
      <c r="V34" s="175"/>
      <c r="W34" s="6"/>
      <c r="X34" s="6"/>
      <c r="Y34" s="6"/>
      <c r="Z34" s="6"/>
    </row>
    <row r="35" spans="1:26" ht="11.25" customHeight="1">
      <c r="A35" s="6"/>
      <c r="B35" s="6"/>
      <c r="C35" s="177"/>
      <c r="D35" s="8"/>
      <c r="E35" s="6"/>
      <c r="F35" s="53"/>
      <c r="G35" s="178"/>
      <c r="H35" s="178"/>
      <c r="I35" s="178"/>
      <c r="J35" s="178"/>
      <c r="K35" s="178"/>
      <c r="L35" s="179"/>
      <c r="M35" s="179"/>
      <c r="N35" s="174"/>
      <c r="O35" s="174"/>
      <c r="P35" s="174"/>
      <c r="Q35" s="174"/>
      <c r="R35" s="174"/>
      <c r="S35" s="6"/>
      <c r="T35" s="6"/>
      <c r="U35" s="46"/>
      <c r="V35" s="175"/>
      <c r="W35" s="6"/>
      <c r="X35" s="6"/>
      <c r="Y35" s="6"/>
      <c r="Z35" s="6"/>
    </row>
    <row r="36" spans="1:26" ht="11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74"/>
      <c r="O36" s="180"/>
      <c r="P36" s="174"/>
      <c r="Q36" s="174"/>
      <c r="R36" s="174"/>
      <c r="S36" s="6"/>
      <c r="T36" s="6"/>
      <c r="U36" s="46"/>
      <c r="V36" s="175"/>
      <c r="W36" s="6"/>
      <c r="X36" s="6"/>
      <c r="Y36" s="6"/>
      <c r="Z36" s="6"/>
    </row>
    <row r="37" spans="1:26" ht="11.25" customHeight="1">
      <c r="A37" s="6"/>
      <c r="B37" s="6"/>
      <c r="C37" s="136"/>
      <c r="D37" s="8" t="s">
        <v>140</v>
      </c>
      <c r="E37" s="6" t="str">
        <f>D37</f>
        <v>Cash</v>
      </c>
      <c r="F37" s="132">
        <v>14957539.73</v>
      </c>
      <c r="G37" s="132"/>
      <c r="H37" s="132"/>
      <c r="I37" s="132"/>
      <c r="J37" s="132"/>
      <c r="K37" s="132"/>
      <c r="L37" s="181"/>
      <c r="M37" s="132"/>
      <c r="N37" s="174">
        <f>SUM(F37:M37)</f>
        <v>14957539.73</v>
      </c>
      <c r="O37" s="174" t="e">
        <f>+N37-P37</f>
        <v>#REF!</v>
      </c>
      <c r="P37" s="174" t="e">
        <f>+'PL BB Build'!#REF!</f>
        <v>#REF!</v>
      </c>
      <c r="Q37" s="174"/>
      <c r="R37" s="174" t="e">
        <f>+P37+Q37</f>
        <v>#REF!</v>
      </c>
      <c r="S37" s="6"/>
      <c r="T37" s="6"/>
      <c r="U37" s="47" t="e">
        <f>+N37-'PL BB Build'!#REF!</f>
        <v>#REF!</v>
      </c>
      <c r="V37" s="176"/>
      <c r="W37" s="176"/>
      <c r="X37" s="6"/>
      <c r="Y37" s="6"/>
      <c r="Z37" s="6"/>
    </row>
    <row r="38" spans="1:26" ht="11.25" customHeight="1">
      <c r="A38" s="6"/>
      <c r="B38" s="6"/>
      <c r="C38" s="116" t="s">
        <v>172</v>
      </c>
      <c r="D38" s="153"/>
      <c r="E38" s="153"/>
      <c r="F38" s="182">
        <f t="shared" ref="F38:N38" si="4">SUM(F7:F37)</f>
        <v>45059304.930000007</v>
      </c>
      <c r="G38" s="182">
        <f t="shared" si="4"/>
        <v>0</v>
      </c>
      <c r="H38" s="182">
        <f t="shared" si="4"/>
        <v>-8800</v>
      </c>
      <c r="I38" s="182">
        <f t="shared" si="4"/>
        <v>0</v>
      </c>
      <c r="J38" s="182">
        <f t="shared" si="4"/>
        <v>0</v>
      </c>
      <c r="K38" s="182">
        <f t="shared" si="4"/>
        <v>452631</v>
      </c>
      <c r="L38" s="182">
        <f t="shared" si="4"/>
        <v>0</v>
      </c>
      <c r="M38" s="183">
        <f t="shared" si="4"/>
        <v>0</v>
      </c>
      <c r="N38" s="182">
        <f t="shared" si="4"/>
        <v>45503135.930000007</v>
      </c>
      <c r="O38" s="182"/>
      <c r="P38" s="182" t="e">
        <f t="shared" ref="P38:R38" si="5">SUM(P7:P37)</f>
        <v>#REF!</v>
      </c>
      <c r="Q38" s="182" t="e">
        <f t="shared" si="5"/>
        <v>#REF!</v>
      </c>
      <c r="R38" s="182" t="e">
        <f t="shared" si="5"/>
        <v>#REF!</v>
      </c>
      <c r="S38" s="6"/>
      <c r="T38" s="6"/>
      <c r="U38" s="46" t="e">
        <f>+N38-'PL BB Build'!#REF!</f>
        <v>#REF!</v>
      </c>
      <c r="V38" s="6"/>
      <c r="W38" s="6"/>
      <c r="X38" s="6"/>
      <c r="Y38" s="6"/>
      <c r="Z38" s="6"/>
    </row>
    <row r="39" spans="1:26" ht="11.25" customHeight="1">
      <c r="A39" s="6"/>
      <c r="B39" s="6"/>
      <c r="C39" s="75"/>
      <c r="D39" s="156"/>
      <c r="E39" s="156"/>
      <c r="F39" s="184"/>
      <c r="G39" s="158"/>
      <c r="H39" s="158"/>
      <c r="I39" s="158"/>
      <c r="J39" s="158"/>
      <c r="K39" s="158"/>
      <c r="L39" s="141"/>
      <c r="M39" s="160"/>
      <c r="N39" s="141"/>
      <c r="O39" s="141"/>
      <c r="P39" s="141"/>
      <c r="Q39" s="185"/>
      <c r="R39" s="141"/>
      <c r="S39" s="6"/>
      <c r="T39" s="6"/>
      <c r="U39" s="42"/>
      <c r="V39" s="6"/>
      <c r="W39" s="6"/>
      <c r="X39" s="6"/>
      <c r="Y39" s="6"/>
      <c r="Z39" s="6"/>
    </row>
    <row r="40" spans="1:26" ht="11.25" customHeight="1">
      <c r="A40" s="6"/>
      <c r="B40" s="6"/>
      <c r="C40" s="75"/>
      <c r="D40" s="156"/>
      <c r="E40" s="156"/>
      <c r="F40" s="158"/>
      <c r="G40" s="158"/>
      <c r="H40" s="158"/>
      <c r="I40" s="158"/>
      <c r="J40" s="158"/>
      <c r="K40" s="158"/>
      <c r="L40" s="75"/>
      <c r="M40" s="186"/>
      <c r="N40" s="141"/>
      <c r="O40" s="187"/>
      <c r="P40" s="141"/>
      <c r="Q40" s="185"/>
      <c r="R40" s="141"/>
      <c r="S40" s="6"/>
      <c r="T40" s="6"/>
      <c r="U40" s="42"/>
      <c r="V40" s="6"/>
      <c r="W40" s="6"/>
      <c r="X40" s="6"/>
      <c r="Y40" s="6"/>
      <c r="Z40" s="6"/>
    </row>
    <row r="41" spans="1:26" ht="11.25" customHeight="1">
      <c r="A41" s="6"/>
      <c r="B41" s="6"/>
      <c r="C41" s="6"/>
      <c r="D41" s="6"/>
      <c r="E41" s="6"/>
      <c r="F41" s="6"/>
      <c r="G41" s="6"/>
      <c r="H41" s="6"/>
      <c r="I41" s="6"/>
      <c r="J41" s="188"/>
      <c r="K41" s="158"/>
      <c r="L41" s="6"/>
      <c r="M41" s="6"/>
      <c r="N41" s="189" t="e">
        <f>N38-'PL BB Build'!#REF!</f>
        <v>#REF!</v>
      </c>
      <c r="O41" s="6"/>
      <c r="P41" s="6"/>
      <c r="Q41" s="6"/>
      <c r="R41" s="6"/>
      <c r="S41" s="6"/>
      <c r="T41" s="6"/>
      <c r="U41" s="42"/>
      <c r="V41" s="6"/>
      <c r="W41" s="6"/>
      <c r="X41" s="6"/>
      <c r="Y41" s="6"/>
      <c r="Z41" s="6"/>
    </row>
    <row r="42" spans="1:26" ht="11.25" customHeight="1">
      <c r="A42" s="38"/>
      <c r="B42" s="38"/>
      <c r="C42" s="38"/>
      <c r="D42" s="38"/>
      <c r="E42" s="38"/>
      <c r="F42" s="39">
        <f>SUM(F7:F35)</f>
        <v>30101765.200000007</v>
      </c>
      <c r="G42" s="38"/>
      <c r="H42" s="38"/>
      <c r="I42" s="38"/>
      <c r="J42" s="38"/>
      <c r="K42" s="158"/>
      <c r="L42" s="38"/>
      <c r="M42" s="38"/>
      <c r="N42" s="41" t="e">
        <f>+N38='PL BB Build'!#REF!</f>
        <v>#REF!</v>
      </c>
      <c r="O42" s="38"/>
      <c r="P42" s="38" t="e">
        <f>+P38='PL BB Build'!#REF!</f>
        <v>#REF!</v>
      </c>
      <c r="Q42" s="38"/>
      <c r="R42" s="38" t="e">
        <f>+R38='PL BB Build'!#REF!</f>
        <v>#REF!</v>
      </c>
      <c r="S42" s="38"/>
      <c r="T42" s="38"/>
      <c r="U42" s="42"/>
      <c r="V42" s="38"/>
      <c r="W42" s="38"/>
      <c r="X42" s="38"/>
      <c r="Y42" s="38"/>
      <c r="Z42" s="38"/>
    </row>
    <row r="43" spans="1:26" ht="11.25" customHeight="1">
      <c r="A43" s="6"/>
      <c r="B43" s="6"/>
      <c r="C43" s="6"/>
      <c r="D43" s="6"/>
      <c r="E43" s="38"/>
      <c r="F43" s="180">
        <v>74174280.680000007</v>
      </c>
      <c r="G43" s="6"/>
      <c r="H43" s="6"/>
      <c r="I43" s="6"/>
      <c r="J43" s="6"/>
      <c r="K43" s="158"/>
      <c r="L43" s="6"/>
      <c r="M43" s="6"/>
      <c r="N43" s="189"/>
      <c r="O43" s="6"/>
      <c r="P43" s="6"/>
      <c r="Q43" s="6"/>
      <c r="R43" s="6"/>
      <c r="S43" s="6"/>
      <c r="T43" s="6"/>
      <c r="U43" s="42"/>
      <c r="V43" s="6"/>
      <c r="W43" s="6"/>
      <c r="X43" s="6"/>
      <c r="Y43" s="6"/>
      <c r="Z43" s="6"/>
    </row>
    <row r="44" spans="1:26" ht="11.25" customHeight="1">
      <c r="A44" s="6"/>
      <c r="B44" s="6"/>
      <c r="C44" s="6"/>
      <c r="D44" s="6"/>
      <c r="E44" s="38" t="s">
        <v>230</v>
      </c>
      <c r="F44" s="180">
        <f>F42-F43</f>
        <v>-44072515.480000004</v>
      </c>
      <c r="G44" s="6"/>
      <c r="H44" s="6"/>
      <c r="I44" s="6"/>
      <c r="J44" s="6"/>
      <c r="K44" s="6"/>
      <c r="L44" s="6"/>
      <c r="M44" s="6"/>
      <c r="N44" s="189">
        <f>SUM(N7:N35)</f>
        <v>30545596.200000007</v>
      </c>
      <c r="O44" s="6"/>
      <c r="P44" s="6"/>
      <c r="Q44" s="6"/>
      <c r="R44" s="190" t="e">
        <f>+R38-'PL BB Build'!#REF!</f>
        <v>#REF!</v>
      </c>
      <c r="S44" s="6"/>
      <c r="T44" s="6"/>
      <c r="U44" s="42"/>
      <c r="V44" s="6"/>
      <c r="W44" s="6"/>
      <c r="X44" s="6"/>
      <c r="Y44" s="6"/>
      <c r="Z44" s="6"/>
    </row>
    <row r="45" spans="1:26" ht="11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2"/>
      <c r="V45" s="6"/>
      <c r="W45" s="6"/>
      <c r="X45" s="6"/>
      <c r="Y45" s="6"/>
      <c r="Z45" s="6"/>
    </row>
    <row r="46" spans="1:26" ht="11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2"/>
      <c r="V46" s="6"/>
      <c r="W46" s="6"/>
      <c r="X46" s="6"/>
      <c r="Y46" s="6"/>
      <c r="Z46" s="6"/>
    </row>
    <row r="47" spans="1:26" ht="11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191"/>
      <c r="R47" s="6"/>
      <c r="S47" s="6"/>
      <c r="T47" s="6"/>
      <c r="U47" s="42"/>
      <c r="V47" s="6"/>
      <c r="W47" s="6"/>
      <c r="X47" s="6"/>
      <c r="Y47" s="6"/>
      <c r="Z47" s="6"/>
    </row>
    <row r="48" spans="1:26" ht="11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2"/>
      <c r="V48" s="6"/>
      <c r="W48" s="6"/>
      <c r="X48" s="6"/>
      <c r="Y48" s="6"/>
      <c r="Z48" s="6"/>
    </row>
    <row r="49" spans="1:26" ht="11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2"/>
      <c r="V49" s="6"/>
      <c r="W49" s="6"/>
      <c r="X49" s="6"/>
      <c r="Y49" s="6"/>
      <c r="Z49" s="6"/>
    </row>
    <row r="50" spans="1:26" ht="11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2"/>
      <c r="V50" s="6"/>
      <c r="W50" s="6"/>
      <c r="X50" s="6"/>
      <c r="Y50" s="6"/>
      <c r="Z50" s="6"/>
    </row>
    <row r="51" spans="1:26" ht="11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2"/>
      <c r="V51" s="6"/>
      <c r="W51" s="6"/>
      <c r="X51" s="6"/>
      <c r="Y51" s="6"/>
      <c r="Z51" s="6"/>
    </row>
    <row r="52" spans="1:26" ht="11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42"/>
      <c r="V52" s="6"/>
      <c r="W52" s="6"/>
      <c r="X52" s="6"/>
      <c r="Y52" s="6"/>
      <c r="Z52" s="6"/>
    </row>
    <row r="53" spans="1:26" ht="11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42"/>
      <c r="V53" s="6"/>
      <c r="W53" s="6"/>
      <c r="X53" s="6"/>
      <c r="Y53" s="6"/>
      <c r="Z53" s="6"/>
    </row>
    <row r="54" spans="1:26" ht="11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42"/>
      <c r="V54" s="6"/>
      <c r="W54" s="6"/>
      <c r="X54" s="6"/>
      <c r="Y54" s="6"/>
      <c r="Z54" s="6"/>
    </row>
    <row r="55" spans="1:26" ht="11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42"/>
      <c r="V55" s="6"/>
      <c r="W55" s="6"/>
      <c r="X55" s="6"/>
      <c r="Y55" s="6"/>
      <c r="Z55" s="6"/>
    </row>
    <row r="56" spans="1:26" ht="11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42"/>
      <c r="V56" s="6"/>
      <c r="W56" s="6"/>
      <c r="X56" s="6"/>
      <c r="Y56" s="6"/>
      <c r="Z56" s="6"/>
    </row>
    <row r="57" spans="1:26" ht="11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42"/>
      <c r="V57" s="6"/>
      <c r="W57" s="6"/>
      <c r="X57" s="6"/>
      <c r="Y57" s="6"/>
      <c r="Z57" s="6"/>
    </row>
    <row r="58" spans="1:26" ht="11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42"/>
      <c r="V58" s="6"/>
      <c r="W58" s="6"/>
      <c r="X58" s="6"/>
      <c r="Y58" s="6"/>
      <c r="Z58" s="6"/>
    </row>
    <row r="59" spans="1:26" ht="11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42"/>
      <c r="V59" s="6"/>
      <c r="W59" s="6"/>
      <c r="X59" s="6"/>
      <c r="Y59" s="6"/>
      <c r="Z59" s="6"/>
    </row>
    <row r="60" spans="1:26" ht="11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2"/>
      <c r="V60" s="6"/>
      <c r="W60" s="6"/>
      <c r="X60" s="6"/>
      <c r="Y60" s="6"/>
      <c r="Z60" s="6"/>
    </row>
    <row r="61" spans="1:26" ht="11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42"/>
      <c r="V61" s="6"/>
      <c r="W61" s="6"/>
      <c r="X61" s="6"/>
      <c r="Y61" s="6"/>
      <c r="Z61" s="6"/>
    </row>
    <row r="62" spans="1:26" ht="11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42"/>
      <c r="V62" s="6"/>
      <c r="W62" s="6"/>
      <c r="X62" s="6"/>
      <c r="Y62" s="6"/>
      <c r="Z62" s="6"/>
    </row>
    <row r="63" spans="1:26" ht="11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42"/>
      <c r="V63" s="6"/>
      <c r="W63" s="6"/>
      <c r="X63" s="6"/>
      <c r="Y63" s="6"/>
      <c r="Z63" s="6"/>
    </row>
    <row r="64" spans="1:26" ht="11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42"/>
      <c r="V64" s="6"/>
      <c r="W64" s="6"/>
      <c r="X64" s="6"/>
      <c r="Y64" s="6"/>
      <c r="Z64" s="6"/>
    </row>
    <row r="65" spans="1:26" ht="11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42"/>
      <c r="V65" s="6"/>
      <c r="W65" s="6"/>
      <c r="X65" s="6"/>
      <c r="Y65" s="6"/>
      <c r="Z65" s="6"/>
    </row>
    <row r="66" spans="1:26" ht="11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42"/>
      <c r="V66" s="6"/>
      <c r="W66" s="6"/>
      <c r="X66" s="6"/>
      <c r="Y66" s="6"/>
      <c r="Z66" s="6"/>
    </row>
    <row r="67" spans="1:26" ht="11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42"/>
      <c r="V67" s="6"/>
      <c r="W67" s="6"/>
      <c r="X67" s="6"/>
      <c r="Y67" s="6"/>
      <c r="Z67" s="6"/>
    </row>
    <row r="68" spans="1:26" ht="11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42"/>
      <c r="V68" s="6"/>
      <c r="W68" s="6"/>
      <c r="X68" s="6"/>
      <c r="Y68" s="6"/>
      <c r="Z68" s="6"/>
    </row>
    <row r="69" spans="1:26" ht="11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42"/>
      <c r="V69" s="6"/>
      <c r="W69" s="6"/>
      <c r="X69" s="6"/>
      <c r="Y69" s="6"/>
      <c r="Z69" s="6"/>
    </row>
    <row r="70" spans="1:26" ht="11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42"/>
      <c r="V70" s="6"/>
      <c r="W70" s="6"/>
      <c r="X70" s="6"/>
      <c r="Y70" s="6"/>
      <c r="Z70" s="6"/>
    </row>
    <row r="71" spans="1:26" ht="11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42"/>
      <c r="V71" s="6"/>
      <c r="W71" s="6"/>
      <c r="X71" s="6"/>
      <c r="Y71" s="6"/>
      <c r="Z71" s="6"/>
    </row>
    <row r="72" spans="1:26" ht="11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42"/>
      <c r="V72" s="6"/>
      <c r="W72" s="6"/>
      <c r="X72" s="6"/>
      <c r="Y72" s="6"/>
      <c r="Z72" s="6"/>
    </row>
    <row r="73" spans="1:26" ht="11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42"/>
      <c r="V73" s="6"/>
      <c r="W73" s="6"/>
      <c r="X73" s="6"/>
      <c r="Y73" s="6"/>
      <c r="Z73" s="6"/>
    </row>
    <row r="74" spans="1:26" ht="11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42"/>
      <c r="V74" s="6"/>
      <c r="W74" s="6"/>
      <c r="X74" s="6"/>
      <c r="Y74" s="6"/>
      <c r="Z74" s="6"/>
    </row>
    <row r="75" spans="1:26" ht="11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42"/>
      <c r="V75" s="6"/>
      <c r="W75" s="6"/>
      <c r="X75" s="6"/>
      <c r="Y75" s="6"/>
      <c r="Z75" s="6"/>
    </row>
    <row r="76" spans="1:26" ht="11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42"/>
      <c r="V76" s="6"/>
      <c r="W76" s="6"/>
      <c r="X76" s="6"/>
      <c r="Y76" s="6"/>
      <c r="Z76" s="6"/>
    </row>
    <row r="77" spans="1:26" ht="11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42"/>
      <c r="V77" s="6"/>
      <c r="W77" s="6"/>
      <c r="X77" s="6"/>
      <c r="Y77" s="6"/>
      <c r="Z77" s="6"/>
    </row>
    <row r="78" spans="1:26" ht="11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42"/>
      <c r="V78" s="6"/>
      <c r="W78" s="6"/>
      <c r="X78" s="6"/>
      <c r="Y78" s="6"/>
      <c r="Z78" s="6"/>
    </row>
    <row r="79" spans="1:26" ht="11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42"/>
      <c r="V79" s="6"/>
      <c r="W79" s="6"/>
      <c r="X79" s="6"/>
      <c r="Y79" s="6"/>
      <c r="Z79" s="6"/>
    </row>
    <row r="80" spans="1:26" ht="11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42"/>
      <c r="V80" s="6"/>
      <c r="W80" s="6"/>
      <c r="X80" s="6"/>
      <c r="Y80" s="6"/>
      <c r="Z80" s="6"/>
    </row>
    <row r="81" spans="1:26" ht="11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42"/>
      <c r="V81" s="6"/>
      <c r="W81" s="6"/>
      <c r="X81" s="6"/>
      <c r="Y81" s="6"/>
      <c r="Z81" s="6"/>
    </row>
    <row r="82" spans="1:26" ht="11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42"/>
      <c r="V82" s="6"/>
      <c r="W82" s="6"/>
      <c r="X82" s="6"/>
      <c r="Y82" s="6"/>
      <c r="Z82" s="6"/>
    </row>
    <row r="83" spans="1:26" ht="11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42"/>
      <c r="V83" s="6"/>
      <c r="W83" s="6"/>
      <c r="X83" s="6"/>
      <c r="Y83" s="6"/>
      <c r="Z83" s="6"/>
    </row>
    <row r="84" spans="1:26" ht="11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42"/>
      <c r="V84" s="6"/>
      <c r="W84" s="6"/>
      <c r="X84" s="6"/>
      <c r="Y84" s="6"/>
      <c r="Z84" s="6"/>
    </row>
    <row r="85" spans="1:26" ht="11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42"/>
      <c r="V85" s="6"/>
      <c r="W85" s="6"/>
      <c r="X85" s="6"/>
      <c r="Y85" s="6"/>
      <c r="Z85" s="6"/>
    </row>
    <row r="86" spans="1:26" ht="11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42"/>
      <c r="V86" s="6"/>
      <c r="W86" s="6"/>
      <c r="X86" s="6"/>
      <c r="Y86" s="6"/>
      <c r="Z86" s="6"/>
    </row>
    <row r="87" spans="1:26" ht="11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42"/>
      <c r="V87" s="6"/>
      <c r="W87" s="6"/>
      <c r="X87" s="6"/>
      <c r="Y87" s="6"/>
      <c r="Z87" s="6"/>
    </row>
    <row r="88" spans="1:26" ht="11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42"/>
      <c r="V88" s="6"/>
      <c r="W88" s="6"/>
      <c r="X88" s="6"/>
      <c r="Y88" s="6"/>
      <c r="Z88" s="6"/>
    </row>
    <row r="89" spans="1:26" ht="11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42"/>
      <c r="V89" s="6"/>
      <c r="W89" s="6"/>
      <c r="X89" s="6"/>
      <c r="Y89" s="6"/>
      <c r="Z89" s="6"/>
    </row>
    <row r="90" spans="1:26" ht="11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42"/>
      <c r="V90" s="6"/>
      <c r="W90" s="6"/>
      <c r="X90" s="6"/>
      <c r="Y90" s="6"/>
      <c r="Z90" s="6"/>
    </row>
    <row r="91" spans="1:26" ht="11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42"/>
      <c r="V91" s="6"/>
      <c r="W91" s="6"/>
      <c r="X91" s="6"/>
      <c r="Y91" s="6"/>
      <c r="Z91" s="6"/>
    </row>
    <row r="92" spans="1:26" ht="11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42"/>
      <c r="V92" s="6"/>
      <c r="W92" s="6"/>
      <c r="X92" s="6"/>
      <c r="Y92" s="6"/>
      <c r="Z92" s="6"/>
    </row>
    <row r="93" spans="1:26" ht="11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42"/>
      <c r="V93" s="6"/>
      <c r="W93" s="6"/>
      <c r="X93" s="6"/>
      <c r="Y93" s="6"/>
      <c r="Z93" s="6"/>
    </row>
    <row r="94" spans="1:26" ht="11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42"/>
      <c r="V94" s="6"/>
      <c r="W94" s="6"/>
      <c r="X94" s="6"/>
      <c r="Y94" s="6"/>
      <c r="Z94" s="6"/>
    </row>
    <row r="95" spans="1:26" ht="11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42"/>
      <c r="V95" s="6"/>
      <c r="W95" s="6"/>
      <c r="X95" s="6"/>
      <c r="Y95" s="6"/>
      <c r="Z95" s="6"/>
    </row>
    <row r="96" spans="1:26" ht="11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42"/>
      <c r="V96" s="6"/>
      <c r="W96" s="6"/>
      <c r="X96" s="6"/>
      <c r="Y96" s="6"/>
      <c r="Z96" s="6"/>
    </row>
    <row r="97" spans="1:26" ht="11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42"/>
      <c r="V97" s="6"/>
      <c r="W97" s="6"/>
      <c r="X97" s="6"/>
      <c r="Y97" s="6"/>
      <c r="Z97" s="6"/>
    </row>
    <row r="98" spans="1:26" ht="11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42"/>
      <c r="V98" s="6"/>
      <c r="W98" s="6"/>
      <c r="X98" s="6"/>
      <c r="Y98" s="6"/>
      <c r="Z98" s="6"/>
    </row>
    <row r="99" spans="1:26" ht="11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42"/>
      <c r="V99" s="6"/>
      <c r="W99" s="6"/>
      <c r="X99" s="6"/>
      <c r="Y99" s="6"/>
      <c r="Z99" s="6"/>
    </row>
    <row r="100" spans="1:26" ht="11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42"/>
      <c r="V100" s="6"/>
      <c r="W100" s="6"/>
      <c r="X100" s="6"/>
      <c r="Y100" s="6"/>
      <c r="Z100" s="6"/>
    </row>
    <row r="101" spans="1:26" ht="11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42"/>
      <c r="V101" s="6"/>
      <c r="W101" s="6"/>
      <c r="X101" s="6"/>
      <c r="Y101" s="6"/>
      <c r="Z101" s="6"/>
    </row>
    <row r="102" spans="1:26" ht="11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42"/>
      <c r="V102" s="6"/>
      <c r="W102" s="6"/>
      <c r="X102" s="6"/>
      <c r="Y102" s="6"/>
      <c r="Z102" s="6"/>
    </row>
    <row r="103" spans="1:26" ht="11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42"/>
      <c r="V103" s="6"/>
      <c r="W103" s="6"/>
      <c r="X103" s="6"/>
      <c r="Y103" s="6"/>
      <c r="Z103" s="6"/>
    </row>
    <row r="104" spans="1:26" ht="11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42"/>
      <c r="V104" s="6"/>
      <c r="W104" s="6"/>
      <c r="X104" s="6"/>
      <c r="Y104" s="6"/>
      <c r="Z104" s="6"/>
    </row>
    <row r="105" spans="1:26" ht="11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42"/>
      <c r="V105" s="6"/>
      <c r="W105" s="6"/>
      <c r="X105" s="6"/>
      <c r="Y105" s="6"/>
      <c r="Z105" s="6"/>
    </row>
    <row r="106" spans="1:26" ht="11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42"/>
      <c r="V106" s="6"/>
      <c r="W106" s="6"/>
      <c r="X106" s="6"/>
      <c r="Y106" s="6"/>
      <c r="Z106" s="6"/>
    </row>
    <row r="107" spans="1:26" ht="11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42"/>
      <c r="V107" s="6"/>
      <c r="W107" s="6"/>
      <c r="X107" s="6"/>
      <c r="Y107" s="6"/>
      <c r="Z107" s="6"/>
    </row>
    <row r="108" spans="1:26" ht="11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42"/>
      <c r="V108" s="6"/>
      <c r="W108" s="6"/>
      <c r="X108" s="6"/>
      <c r="Y108" s="6"/>
      <c r="Z108" s="6"/>
    </row>
    <row r="109" spans="1:26" ht="11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42"/>
      <c r="V109" s="6"/>
      <c r="W109" s="6"/>
      <c r="X109" s="6"/>
      <c r="Y109" s="6"/>
      <c r="Z109" s="6"/>
    </row>
    <row r="110" spans="1:26" ht="11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42"/>
      <c r="V110" s="6"/>
      <c r="W110" s="6"/>
      <c r="X110" s="6"/>
      <c r="Y110" s="6"/>
      <c r="Z110" s="6"/>
    </row>
    <row r="111" spans="1:26" ht="11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42"/>
      <c r="V111" s="6"/>
      <c r="W111" s="6"/>
      <c r="X111" s="6"/>
      <c r="Y111" s="6"/>
      <c r="Z111" s="6"/>
    </row>
    <row r="112" spans="1:26" ht="11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42"/>
      <c r="V112" s="6"/>
      <c r="W112" s="6"/>
      <c r="X112" s="6"/>
      <c r="Y112" s="6"/>
      <c r="Z112" s="6"/>
    </row>
    <row r="113" spans="1:26" ht="11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42"/>
      <c r="V113" s="6"/>
      <c r="W113" s="6"/>
      <c r="X113" s="6"/>
      <c r="Y113" s="6"/>
      <c r="Z113" s="6"/>
    </row>
    <row r="114" spans="1:26" ht="11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42"/>
      <c r="V114" s="6"/>
      <c r="W114" s="6"/>
      <c r="X114" s="6"/>
      <c r="Y114" s="6"/>
      <c r="Z114" s="6"/>
    </row>
    <row r="115" spans="1:26" ht="11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42"/>
      <c r="V115" s="6"/>
      <c r="W115" s="6"/>
      <c r="X115" s="6"/>
      <c r="Y115" s="6"/>
      <c r="Z115" s="6"/>
    </row>
    <row r="116" spans="1:26" ht="11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42"/>
      <c r="V116" s="6"/>
      <c r="W116" s="6"/>
      <c r="X116" s="6"/>
      <c r="Y116" s="6"/>
      <c r="Z116" s="6"/>
    </row>
    <row r="117" spans="1:26" ht="11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42"/>
      <c r="V117" s="6"/>
      <c r="W117" s="6"/>
      <c r="X117" s="6"/>
      <c r="Y117" s="6"/>
      <c r="Z117" s="6"/>
    </row>
    <row r="118" spans="1:26" ht="11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42"/>
      <c r="V118" s="6"/>
      <c r="W118" s="6"/>
      <c r="X118" s="6"/>
      <c r="Y118" s="6"/>
      <c r="Z118" s="6"/>
    </row>
    <row r="119" spans="1:26" ht="11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42"/>
      <c r="V119" s="6"/>
      <c r="W119" s="6"/>
      <c r="X119" s="6"/>
      <c r="Y119" s="6"/>
      <c r="Z119" s="6"/>
    </row>
    <row r="120" spans="1:26" ht="11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42"/>
      <c r="V120" s="6"/>
      <c r="W120" s="6"/>
      <c r="X120" s="6"/>
      <c r="Y120" s="6"/>
      <c r="Z120" s="6"/>
    </row>
    <row r="121" spans="1:26" ht="11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42"/>
      <c r="V121" s="6"/>
      <c r="W121" s="6"/>
      <c r="X121" s="6"/>
      <c r="Y121" s="6"/>
      <c r="Z121" s="6"/>
    </row>
    <row r="122" spans="1:26" ht="11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42"/>
      <c r="V122" s="6"/>
      <c r="W122" s="6"/>
      <c r="X122" s="6"/>
      <c r="Y122" s="6"/>
      <c r="Z122" s="6"/>
    </row>
    <row r="123" spans="1:26" ht="11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42"/>
      <c r="V123" s="6"/>
      <c r="W123" s="6"/>
      <c r="X123" s="6"/>
      <c r="Y123" s="6"/>
      <c r="Z123" s="6"/>
    </row>
    <row r="124" spans="1:26" ht="11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42"/>
      <c r="V124" s="6"/>
      <c r="W124" s="6"/>
      <c r="X124" s="6"/>
      <c r="Y124" s="6"/>
      <c r="Z124" s="6"/>
    </row>
    <row r="125" spans="1:26" ht="11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42"/>
      <c r="V125" s="6"/>
      <c r="W125" s="6"/>
      <c r="X125" s="6"/>
      <c r="Y125" s="6"/>
      <c r="Z125" s="6"/>
    </row>
    <row r="126" spans="1:26" ht="11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42"/>
      <c r="V126" s="6"/>
      <c r="W126" s="6"/>
      <c r="X126" s="6"/>
      <c r="Y126" s="6"/>
      <c r="Z126" s="6"/>
    </row>
    <row r="127" spans="1:26" ht="11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42"/>
      <c r="V127" s="6"/>
      <c r="W127" s="6"/>
      <c r="X127" s="6"/>
      <c r="Y127" s="6"/>
      <c r="Z127" s="6"/>
    </row>
    <row r="128" spans="1:26" ht="11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42"/>
      <c r="V128" s="6"/>
      <c r="W128" s="6"/>
      <c r="X128" s="6"/>
      <c r="Y128" s="6"/>
      <c r="Z128" s="6"/>
    </row>
    <row r="129" spans="1:26" ht="11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42"/>
      <c r="V129" s="6"/>
      <c r="W129" s="6"/>
      <c r="X129" s="6"/>
      <c r="Y129" s="6"/>
      <c r="Z129" s="6"/>
    </row>
    <row r="130" spans="1:26" ht="11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42"/>
      <c r="V130" s="6"/>
      <c r="W130" s="6"/>
      <c r="X130" s="6"/>
      <c r="Y130" s="6"/>
      <c r="Z130" s="6"/>
    </row>
    <row r="131" spans="1:26" ht="11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42"/>
      <c r="V131" s="6"/>
      <c r="W131" s="6"/>
      <c r="X131" s="6"/>
      <c r="Y131" s="6"/>
      <c r="Z131" s="6"/>
    </row>
    <row r="132" spans="1:26" ht="11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42"/>
      <c r="V132" s="6"/>
      <c r="W132" s="6"/>
      <c r="X132" s="6"/>
      <c r="Y132" s="6"/>
      <c r="Z132" s="6"/>
    </row>
    <row r="133" spans="1:26" ht="11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42"/>
      <c r="V133" s="6"/>
      <c r="W133" s="6"/>
      <c r="X133" s="6"/>
      <c r="Y133" s="6"/>
      <c r="Z133" s="6"/>
    </row>
    <row r="134" spans="1:26" ht="11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42"/>
      <c r="V134" s="6"/>
      <c r="W134" s="6"/>
      <c r="X134" s="6"/>
      <c r="Y134" s="6"/>
      <c r="Z134" s="6"/>
    </row>
    <row r="135" spans="1:26" ht="11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42"/>
      <c r="V135" s="6"/>
      <c r="W135" s="6"/>
      <c r="X135" s="6"/>
      <c r="Y135" s="6"/>
      <c r="Z135" s="6"/>
    </row>
    <row r="136" spans="1:26" ht="11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42"/>
      <c r="V136" s="6"/>
      <c r="W136" s="6"/>
      <c r="X136" s="6"/>
      <c r="Y136" s="6"/>
      <c r="Z136" s="6"/>
    </row>
    <row r="137" spans="1:26" ht="11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42"/>
      <c r="V137" s="6"/>
      <c r="W137" s="6"/>
      <c r="X137" s="6"/>
      <c r="Y137" s="6"/>
      <c r="Z137" s="6"/>
    </row>
    <row r="138" spans="1:26" ht="11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42"/>
      <c r="V138" s="6"/>
      <c r="W138" s="6"/>
      <c r="X138" s="6"/>
      <c r="Y138" s="6"/>
      <c r="Z138" s="6"/>
    </row>
    <row r="139" spans="1:26" ht="11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42"/>
      <c r="V139" s="6"/>
      <c r="W139" s="6"/>
      <c r="X139" s="6"/>
      <c r="Y139" s="6"/>
      <c r="Z139" s="6"/>
    </row>
    <row r="140" spans="1:26" ht="11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42"/>
      <c r="V140" s="6"/>
      <c r="W140" s="6"/>
      <c r="X140" s="6"/>
      <c r="Y140" s="6"/>
      <c r="Z140" s="6"/>
    </row>
    <row r="141" spans="1:26" ht="11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42"/>
      <c r="V141" s="6"/>
      <c r="W141" s="6"/>
      <c r="X141" s="6"/>
      <c r="Y141" s="6"/>
      <c r="Z141" s="6"/>
    </row>
    <row r="142" spans="1:26" ht="11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42"/>
      <c r="V142" s="6"/>
      <c r="W142" s="6"/>
      <c r="X142" s="6"/>
      <c r="Y142" s="6"/>
      <c r="Z142" s="6"/>
    </row>
    <row r="143" spans="1:26" ht="11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42"/>
      <c r="V143" s="6"/>
      <c r="W143" s="6"/>
      <c r="X143" s="6"/>
      <c r="Y143" s="6"/>
      <c r="Z143" s="6"/>
    </row>
    <row r="144" spans="1:26" ht="11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42"/>
      <c r="V144" s="6"/>
      <c r="W144" s="6"/>
      <c r="X144" s="6"/>
      <c r="Y144" s="6"/>
      <c r="Z144" s="6"/>
    </row>
    <row r="145" spans="1:26" ht="11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42"/>
      <c r="V145" s="6"/>
      <c r="W145" s="6"/>
      <c r="X145" s="6"/>
      <c r="Y145" s="6"/>
      <c r="Z145" s="6"/>
    </row>
    <row r="146" spans="1:26" ht="11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42"/>
      <c r="V146" s="6"/>
      <c r="W146" s="6"/>
      <c r="X146" s="6"/>
      <c r="Y146" s="6"/>
      <c r="Z146" s="6"/>
    </row>
    <row r="147" spans="1:26" ht="11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42"/>
      <c r="V147" s="6"/>
      <c r="W147" s="6"/>
      <c r="X147" s="6"/>
      <c r="Y147" s="6"/>
      <c r="Z147" s="6"/>
    </row>
    <row r="148" spans="1:26" ht="11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42"/>
      <c r="V148" s="6"/>
      <c r="W148" s="6"/>
      <c r="X148" s="6"/>
      <c r="Y148" s="6"/>
      <c r="Z148" s="6"/>
    </row>
    <row r="149" spans="1:26" ht="11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42"/>
      <c r="V149" s="6"/>
      <c r="W149" s="6"/>
      <c r="X149" s="6"/>
      <c r="Y149" s="6"/>
      <c r="Z149" s="6"/>
    </row>
    <row r="150" spans="1:26" ht="11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42"/>
      <c r="V150" s="6"/>
      <c r="W150" s="6"/>
      <c r="X150" s="6"/>
      <c r="Y150" s="6"/>
      <c r="Z150" s="6"/>
    </row>
    <row r="151" spans="1:26" ht="11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42"/>
      <c r="V151" s="6"/>
      <c r="W151" s="6"/>
      <c r="X151" s="6"/>
      <c r="Y151" s="6"/>
      <c r="Z151" s="6"/>
    </row>
    <row r="152" spans="1:26" ht="11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42"/>
      <c r="V152" s="6"/>
      <c r="W152" s="6"/>
      <c r="X152" s="6"/>
      <c r="Y152" s="6"/>
      <c r="Z152" s="6"/>
    </row>
    <row r="153" spans="1:26" ht="11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42"/>
      <c r="V153" s="6"/>
      <c r="W153" s="6"/>
      <c r="X153" s="6"/>
      <c r="Y153" s="6"/>
      <c r="Z153" s="6"/>
    </row>
    <row r="154" spans="1:26" ht="11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42"/>
      <c r="V154" s="6"/>
      <c r="W154" s="6"/>
      <c r="X154" s="6"/>
      <c r="Y154" s="6"/>
      <c r="Z154" s="6"/>
    </row>
    <row r="155" spans="1:26" ht="11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42"/>
      <c r="V155" s="6"/>
      <c r="W155" s="6"/>
      <c r="X155" s="6"/>
      <c r="Y155" s="6"/>
      <c r="Z155" s="6"/>
    </row>
    <row r="156" spans="1:26" ht="11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42"/>
      <c r="V156" s="6"/>
      <c r="W156" s="6"/>
      <c r="X156" s="6"/>
      <c r="Y156" s="6"/>
      <c r="Z156" s="6"/>
    </row>
    <row r="157" spans="1:26" ht="11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42"/>
      <c r="V157" s="6"/>
      <c r="W157" s="6"/>
      <c r="X157" s="6"/>
      <c r="Y157" s="6"/>
      <c r="Z157" s="6"/>
    </row>
    <row r="158" spans="1:26" ht="11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42"/>
      <c r="V158" s="6"/>
      <c r="W158" s="6"/>
      <c r="X158" s="6"/>
      <c r="Y158" s="6"/>
      <c r="Z158" s="6"/>
    </row>
    <row r="159" spans="1:26" ht="11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42"/>
      <c r="V159" s="6"/>
      <c r="W159" s="6"/>
      <c r="X159" s="6"/>
      <c r="Y159" s="6"/>
      <c r="Z159" s="6"/>
    </row>
    <row r="160" spans="1:26" ht="11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42"/>
      <c r="V160" s="6"/>
      <c r="W160" s="6"/>
      <c r="X160" s="6"/>
      <c r="Y160" s="6"/>
      <c r="Z160" s="6"/>
    </row>
    <row r="161" spans="1:26" ht="11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42"/>
      <c r="V161" s="6"/>
      <c r="W161" s="6"/>
      <c r="X161" s="6"/>
      <c r="Y161" s="6"/>
      <c r="Z161" s="6"/>
    </row>
    <row r="162" spans="1:26" ht="11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42"/>
      <c r="V162" s="6"/>
      <c r="W162" s="6"/>
      <c r="X162" s="6"/>
      <c r="Y162" s="6"/>
      <c r="Z162" s="6"/>
    </row>
    <row r="163" spans="1:26" ht="11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42"/>
      <c r="V163" s="6"/>
      <c r="W163" s="6"/>
      <c r="X163" s="6"/>
      <c r="Y163" s="6"/>
      <c r="Z163" s="6"/>
    </row>
    <row r="164" spans="1:26" ht="11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42"/>
      <c r="V164" s="6"/>
      <c r="W164" s="6"/>
      <c r="X164" s="6"/>
      <c r="Y164" s="6"/>
      <c r="Z164" s="6"/>
    </row>
    <row r="165" spans="1:26" ht="11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42"/>
      <c r="V165" s="6"/>
      <c r="W165" s="6"/>
      <c r="X165" s="6"/>
      <c r="Y165" s="6"/>
      <c r="Z165" s="6"/>
    </row>
    <row r="166" spans="1:26" ht="11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42"/>
      <c r="V166" s="6"/>
      <c r="W166" s="6"/>
      <c r="X166" s="6"/>
      <c r="Y166" s="6"/>
      <c r="Z166" s="6"/>
    </row>
    <row r="167" spans="1:26" ht="11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42"/>
      <c r="V167" s="6"/>
      <c r="W167" s="6"/>
      <c r="X167" s="6"/>
      <c r="Y167" s="6"/>
      <c r="Z167" s="6"/>
    </row>
    <row r="168" spans="1:26" ht="11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42"/>
      <c r="V168" s="6"/>
      <c r="W168" s="6"/>
      <c r="X168" s="6"/>
      <c r="Y168" s="6"/>
      <c r="Z168" s="6"/>
    </row>
    <row r="169" spans="1:26" ht="11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42"/>
      <c r="V169" s="6"/>
      <c r="W169" s="6"/>
      <c r="X169" s="6"/>
      <c r="Y169" s="6"/>
      <c r="Z169" s="6"/>
    </row>
    <row r="170" spans="1:26" ht="11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42"/>
      <c r="V170" s="6"/>
      <c r="W170" s="6"/>
      <c r="X170" s="6"/>
      <c r="Y170" s="6"/>
      <c r="Z170" s="6"/>
    </row>
    <row r="171" spans="1:26" ht="11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42"/>
      <c r="V171" s="6"/>
      <c r="W171" s="6"/>
      <c r="X171" s="6"/>
      <c r="Y171" s="6"/>
      <c r="Z171" s="6"/>
    </row>
    <row r="172" spans="1:26" ht="11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42"/>
      <c r="V172" s="6"/>
      <c r="W172" s="6"/>
      <c r="X172" s="6"/>
      <c r="Y172" s="6"/>
      <c r="Z172" s="6"/>
    </row>
    <row r="173" spans="1:26" ht="11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42"/>
      <c r="V173" s="6"/>
      <c r="W173" s="6"/>
      <c r="X173" s="6"/>
      <c r="Y173" s="6"/>
      <c r="Z173" s="6"/>
    </row>
    <row r="174" spans="1:26" ht="11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42"/>
      <c r="V174" s="6"/>
      <c r="W174" s="6"/>
      <c r="X174" s="6"/>
      <c r="Y174" s="6"/>
      <c r="Z174" s="6"/>
    </row>
    <row r="175" spans="1:26" ht="11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42"/>
      <c r="V175" s="6"/>
      <c r="W175" s="6"/>
      <c r="X175" s="6"/>
      <c r="Y175" s="6"/>
      <c r="Z175" s="6"/>
    </row>
    <row r="176" spans="1:26" ht="11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42"/>
      <c r="V176" s="6"/>
      <c r="W176" s="6"/>
      <c r="X176" s="6"/>
      <c r="Y176" s="6"/>
      <c r="Z176" s="6"/>
    </row>
    <row r="177" spans="1:26" ht="11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42"/>
      <c r="V177" s="6"/>
      <c r="W177" s="6"/>
      <c r="X177" s="6"/>
      <c r="Y177" s="6"/>
      <c r="Z177" s="6"/>
    </row>
    <row r="178" spans="1:26" ht="11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42"/>
      <c r="V178" s="6"/>
      <c r="W178" s="6"/>
      <c r="X178" s="6"/>
      <c r="Y178" s="6"/>
      <c r="Z178" s="6"/>
    </row>
    <row r="179" spans="1:26" ht="11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42"/>
      <c r="V179" s="6"/>
      <c r="W179" s="6"/>
      <c r="X179" s="6"/>
      <c r="Y179" s="6"/>
      <c r="Z179" s="6"/>
    </row>
    <row r="180" spans="1:26" ht="11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42"/>
      <c r="V180" s="6"/>
      <c r="W180" s="6"/>
      <c r="X180" s="6"/>
      <c r="Y180" s="6"/>
      <c r="Z180" s="6"/>
    </row>
    <row r="181" spans="1:26" ht="11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42"/>
      <c r="V181" s="6"/>
      <c r="W181" s="6"/>
      <c r="X181" s="6"/>
      <c r="Y181" s="6"/>
      <c r="Z181" s="6"/>
    </row>
    <row r="182" spans="1:26" ht="11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42"/>
      <c r="V182" s="6"/>
      <c r="W182" s="6"/>
      <c r="X182" s="6"/>
      <c r="Y182" s="6"/>
      <c r="Z182" s="6"/>
    </row>
    <row r="183" spans="1:26" ht="11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42"/>
      <c r="V183" s="6"/>
      <c r="W183" s="6"/>
      <c r="X183" s="6"/>
      <c r="Y183" s="6"/>
      <c r="Z183" s="6"/>
    </row>
    <row r="184" spans="1:26" ht="11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42"/>
      <c r="V184" s="6"/>
      <c r="W184" s="6"/>
      <c r="X184" s="6"/>
      <c r="Y184" s="6"/>
      <c r="Z184" s="6"/>
    </row>
    <row r="185" spans="1:26" ht="11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42"/>
      <c r="V185" s="6"/>
      <c r="W185" s="6"/>
      <c r="X185" s="6"/>
      <c r="Y185" s="6"/>
      <c r="Z185" s="6"/>
    </row>
    <row r="186" spans="1:26" ht="11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42"/>
      <c r="V186" s="6"/>
      <c r="W186" s="6"/>
      <c r="X186" s="6"/>
      <c r="Y186" s="6"/>
      <c r="Z186" s="6"/>
    </row>
    <row r="187" spans="1:26" ht="11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42"/>
      <c r="V187" s="6"/>
      <c r="W187" s="6"/>
      <c r="X187" s="6"/>
      <c r="Y187" s="6"/>
      <c r="Z187" s="6"/>
    </row>
    <row r="188" spans="1:26" ht="11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42"/>
      <c r="V188" s="6"/>
      <c r="W188" s="6"/>
      <c r="X188" s="6"/>
      <c r="Y188" s="6"/>
      <c r="Z188" s="6"/>
    </row>
    <row r="189" spans="1:26" ht="11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42"/>
      <c r="V189" s="6"/>
      <c r="W189" s="6"/>
      <c r="X189" s="6"/>
      <c r="Y189" s="6"/>
      <c r="Z189" s="6"/>
    </row>
    <row r="190" spans="1:26" ht="11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42"/>
      <c r="V190" s="6"/>
      <c r="W190" s="6"/>
      <c r="X190" s="6"/>
      <c r="Y190" s="6"/>
      <c r="Z190" s="6"/>
    </row>
    <row r="191" spans="1:26" ht="11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42"/>
      <c r="V191" s="6"/>
      <c r="W191" s="6"/>
      <c r="X191" s="6"/>
      <c r="Y191" s="6"/>
      <c r="Z191" s="6"/>
    </row>
    <row r="192" spans="1:26" ht="11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42"/>
      <c r="V192" s="6"/>
      <c r="W192" s="6"/>
      <c r="X192" s="6"/>
      <c r="Y192" s="6"/>
      <c r="Z192" s="6"/>
    </row>
    <row r="193" spans="1:26" ht="11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42"/>
      <c r="V193" s="6"/>
      <c r="W193" s="6"/>
      <c r="X193" s="6"/>
      <c r="Y193" s="6"/>
      <c r="Z193" s="6"/>
    </row>
    <row r="194" spans="1:26" ht="11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42"/>
      <c r="V194" s="6"/>
      <c r="W194" s="6"/>
      <c r="X194" s="6"/>
      <c r="Y194" s="6"/>
      <c r="Z194" s="6"/>
    </row>
    <row r="195" spans="1:26" ht="11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42"/>
      <c r="V195" s="6"/>
      <c r="W195" s="6"/>
      <c r="X195" s="6"/>
      <c r="Y195" s="6"/>
      <c r="Z195" s="6"/>
    </row>
    <row r="196" spans="1:26" ht="11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42"/>
      <c r="V196" s="6"/>
      <c r="W196" s="6"/>
      <c r="X196" s="6"/>
      <c r="Y196" s="6"/>
      <c r="Z196" s="6"/>
    </row>
    <row r="197" spans="1:26" ht="11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42"/>
      <c r="V197" s="6"/>
      <c r="W197" s="6"/>
      <c r="X197" s="6"/>
      <c r="Y197" s="6"/>
      <c r="Z197" s="6"/>
    </row>
    <row r="198" spans="1:26" ht="11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42"/>
      <c r="V198" s="6"/>
      <c r="W198" s="6"/>
      <c r="X198" s="6"/>
      <c r="Y198" s="6"/>
      <c r="Z198" s="6"/>
    </row>
    <row r="199" spans="1:26" ht="11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42"/>
      <c r="V199" s="6"/>
      <c r="W199" s="6"/>
      <c r="X199" s="6"/>
      <c r="Y199" s="6"/>
      <c r="Z199" s="6"/>
    </row>
    <row r="200" spans="1:26" ht="11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42"/>
      <c r="V200" s="6"/>
      <c r="W200" s="6"/>
      <c r="X200" s="6"/>
      <c r="Y200" s="6"/>
      <c r="Z200" s="6"/>
    </row>
    <row r="201" spans="1:26" ht="11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42"/>
      <c r="V201" s="6"/>
      <c r="W201" s="6"/>
      <c r="X201" s="6"/>
      <c r="Y201" s="6"/>
      <c r="Z201" s="6"/>
    </row>
    <row r="202" spans="1:26" ht="11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42"/>
      <c r="V202" s="6"/>
      <c r="W202" s="6"/>
      <c r="X202" s="6"/>
      <c r="Y202" s="6"/>
      <c r="Z202" s="6"/>
    </row>
    <row r="203" spans="1:26" ht="11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42"/>
      <c r="V203" s="6"/>
      <c r="W203" s="6"/>
      <c r="X203" s="6"/>
      <c r="Y203" s="6"/>
      <c r="Z203" s="6"/>
    </row>
    <row r="204" spans="1:26" ht="11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42"/>
      <c r="V204" s="6"/>
      <c r="W204" s="6"/>
      <c r="X204" s="6"/>
      <c r="Y204" s="6"/>
      <c r="Z204" s="6"/>
    </row>
    <row r="205" spans="1:26" ht="11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42"/>
      <c r="V205" s="6"/>
      <c r="W205" s="6"/>
      <c r="X205" s="6"/>
      <c r="Y205" s="6"/>
      <c r="Z205" s="6"/>
    </row>
    <row r="206" spans="1:26" ht="11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42"/>
      <c r="V206" s="6"/>
      <c r="W206" s="6"/>
      <c r="X206" s="6"/>
      <c r="Y206" s="6"/>
      <c r="Z206" s="6"/>
    </row>
    <row r="207" spans="1:26" ht="11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42"/>
      <c r="V207" s="6"/>
      <c r="W207" s="6"/>
      <c r="X207" s="6"/>
      <c r="Y207" s="6"/>
      <c r="Z207" s="6"/>
    </row>
    <row r="208" spans="1:26" ht="11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42"/>
      <c r="V208" s="6"/>
      <c r="W208" s="6"/>
      <c r="X208" s="6"/>
      <c r="Y208" s="6"/>
      <c r="Z208" s="6"/>
    </row>
    <row r="209" spans="1:26" ht="11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42"/>
      <c r="V209" s="6"/>
      <c r="W209" s="6"/>
      <c r="X209" s="6"/>
      <c r="Y209" s="6"/>
      <c r="Z209" s="6"/>
    </row>
    <row r="210" spans="1:26" ht="11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42"/>
      <c r="V210" s="6"/>
      <c r="W210" s="6"/>
      <c r="X210" s="6"/>
      <c r="Y210" s="6"/>
      <c r="Z210" s="6"/>
    </row>
    <row r="211" spans="1:26" ht="11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42"/>
      <c r="V211" s="6"/>
      <c r="W211" s="6"/>
      <c r="X211" s="6"/>
      <c r="Y211" s="6"/>
      <c r="Z211" s="6"/>
    </row>
    <row r="212" spans="1:26" ht="11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42"/>
      <c r="V212" s="6"/>
      <c r="W212" s="6"/>
      <c r="X212" s="6"/>
      <c r="Y212" s="6"/>
      <c r="Z212" s="6"/>
    </row>
    <row r="213" spans="1:26" ht="11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42"/>
      <c r="V213" s="6"/>
      <c r="W213" s="6"/>
      <c r="X213" s="6"/>
      <c r="Y213" s="6"/>
      <c r="Z213" s="6"/>
    </row>
    <row r="214" spans="1:26" ht="11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42"/>
      <c r="V214" s="6"/>
      <c r="W214" s="6"/>
      <c r="X214" s="6"/>
      <c r="Y214" s="6"/>
      <c r="Z214" s="6"/>
    </row>
    <row r="215" spans="1:26" ht="11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42"/>
      <c r="V215" s="6"/>
      <c r="W215" s="6"/>
      <c r="X215" s="6"/>
      <c r="Y215" s="6"/>
      <c r="Z215" s="6"/>
    </row>
    <row r="216" spans="1:26" ht="11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42"/>
      <c r="V216" s="6"/>
      <c r="W216" s="6"/>
      <c r="X216" s="6"/>
      <c r="Y216" s="6"/>
      <c r="Z216" s="6"/>
    </row>
    <row r="217" spans="1:26" ht="11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42"/>
      <c r="V217" s="6"/>
      <c r="W217" s="6"/>
      <c r="X217" s="6"/>
      <c r="Y217" s="6"/>
      <c r="Z217" s="6"/>
    </row>
    <row r="218" spans="1:26" ht="11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42"/>
      <c r="V218" s="6"/>
      <c r="W218" s="6"/>
      <c r="X218" s="6"/>
      <c r="Y218" s="6"/>
      <c r="Z218" s="6"/>
    </row>
    <row r="219" spans="1:26" ht="11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42"/>
      <c r="V219" s="6"/>
      <c r="W219" s="6"/>
      <c r="X219" s="6"/>
      <c r="Y219" s="6"/>
      <c r="Z219" s="6"/>
    </row>
    <row r="220" spans="1:26" ht="11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42"/>
      <c r="V220" s="6"/>
      <c r="W220" s="6"/>
      <c r="X220" s="6"/>
      <c r="Y220" s="6"/>
      <c r="Z220" s="6"/>
    </row>
    <row r="221" spans="1:26" ht="11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42"/>
      <c r="V221" s="6"/>
      <c r="W221" s="6"/>
      <c r="X221" s="6"/>
      <c r="Y221" s="6"/>
      <c r="Z221" s="6"/>
    </row>
    <row r="222" spans="1:26" ht="11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42"/>
      <c r="V222" s="6"/>
      <c r="W222" s="6"/>
      <c r="X222" s="6"/>
      <c r="Y222" s="6"/>
      <c r="Z222" s="6"/>
    </row>
    <row r="223" spans="1:26" ht="11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42"/>
      <c r="V223" s="6"/>
      <c r="W223" s="6"/>
      <c r="X223" s="6"/>
      <c r="Y223" s="6"/>
      <c r="Z223" s="6"/>
    </row>
    <row r="224" spans="1:26" ht="11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42"/>
      <c r="V224" s="6"/>
      <c r="W224" s="6"/>
      <c r="X224" s="6"/>
      <c r="Y224" s="6"/>
      <c r="Z224" s="6"/>
    </row>
    <row r="225" spans="1:26" ht="11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42"/>
      <c r="V225" s="6"/>
      <c r="W225" s="6"/>
      <c r="X225" s="6"/>
      <c r="Y225" s="6"/>
      <c r="Z225" s="6"/>
    </row>
    <row r="226" spans="1:26" ht="11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42"/>
      <c r="V226" s="6"/>
      <c r="W226" s="6"/>
      <c r="X226" s="6"/>
      <c r="Y226" s="6"/>
      <c r="Z226" s="6"/>
    </row>
    <row r="227" spans="1:26" ht="11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42"/>
      <c r="V227" s="6"/>
      <c r="W227" s="6"/>
      <c r="X227" s="6"/>
      <c r="Y227" s="6"/>
      <c r="Z227" s="6"/>
    </row>
    <row r="228" spans="1:26" ht="11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42"/>
      <c r="V228" s="6"/>
      <c r="W228" s="6"/>
      <c r="X228" s="6"/>
      <c r="Y228" s="6"/>
      <c r="Z228" s="6"/>
    </row>
    <row r="229" spans="1:26" ht="11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42"/>
      <c r="V229" s="6"/>
      <c r="W229" s="6"/>
      <c r="X229" s="6"/>
      <c r="Y229" s="6"/>
      <c r="Z229" s="6"/>
    </row>
    <row r="230" spans="1:26" ht="11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42"/>
      <c r="V230" s="6"/>
      <c r="W230" s="6"/>
      <c r="X230" s="6"/>
      <c r="Y230" s="6"/>
      <c r="Z230" s="6"/>
    </row>
    <row r="231" spans="1:26" ht="11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42"/>
      <c r="V231" s="6"/>
      <c r="W231" s="6"/>
      <c r="X231" s="6"/>
      <c r="Y231" s="6"/>
      <c r="Z231" s="6"/>
    </row>
    <row r="232" spans="1:26" ht="11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42"/>
      <c r="V232" s="6"/>
      <c r="W232" s="6"/>
      <c r="X232" s="6"/>
      <c r="Y232" s="6"/>
      <c r="Z232" s="6"/>
    </row>
    <row r="233" spans="1:26" ht="11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42"/>
      <c r="V233" s="6"/>
      <c r="W233" s="6"/>
      <c r="X233" s="6"/>
      <c r="Y233" s="6"/>
      <c r="Z233" s="6"/>
    </row>
    <row r="234" spans="1:26" ht="11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42"/>
      <c r="V234" s="6"/>
      <c r="W234" s="6"/>
      <c r="X234" s="6"/>
      <c r="Y234" s="6"/>
      <c r="Z234" s="6"/>
    </row>
    <row r="235" spans="1:26" ht="11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42"/>
      <c r="V235" s="6"/>
      <c r="W235" s="6"/>
      <c r="X235" s="6"/>
      <c r="Y235" s="6"/>
      <c r="Z235" s="6"/>
    </row>
    <row r="236" spans="1:26" ht="11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42"/>
      <c r="V236" s="6"/>
      <c r="W236" s="6"/>
      <c r="X236" s="6"/>
      <c r="Y236" s="6"/>
      <c r="Z236" s="6"/>
    </row>
    <row r="237" spans="1:26" ht="11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42"/>
      <c r="V237" s="6"/>
      <c r="W237" s="6"/>
      <c r="X237" s="6"/>
      <c r="Y237" s="6"/>
      <c r="Z237" s="6"/>
    </row>
    <row r="238" spans="1:26" ht="11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42"/>
      <c r="V238" s="6"/>
      <c r="W238" s="6"/>
      <c r="X238" s="6"/>
      <c r="Y238" s="6"/>
      <c r="Z238" s="6"/>
    </row>
    <row r="239" spans="1:26" ht="11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42"/>
      <c r="V239" s="6"/>
      <c r="W239" s="6"/>
      <c r="X239" s="6"/>
      <c r="Y239" s="6"/>
      <c r="Z239" s="6"/>
    </row>
    <row r="240" spans="1:26" ht="11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42"/>
      <c r="V240" s="6"/>
      <c r="W240" s="6"/>
      <c r="X240" s="6"/>
      <c r="Y240" s="6"/>
      <c r="Z240" s="6"/>
    </row>
    <row r="241" spans="1:26" ht="11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42"/>
      <c r="V241" s="6"/>
      <c r="W241" s="6"/>
      <c r="X241" s="6"/>
      <c r="Y241" s="6"/>
      <c r="Z241" s="6"/>
    </row>
    <row r="242" spans="1:26" ht="11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42"/>
      <c r="V242" s="6"/>
      <c r="W242" s="6"/>
      <c r="X242" s="6"/>
      <c r="Y242" s="6"/>
      <c r="Z242" s="6"/>
    </row>
    <row r="243" spans="1:26" ht="11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42"/>
      <c r="V243" s="6"/>
      <c r="W243" s="6"/>
      <c r="X243" s="6"/>
      <c r="Y243" s="6"/>
      <c r="Z243" s="6"/>
    </row>
    <row r="244" spans="1:26" ht="11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42"/>
      <c r="V244" s="6"/>
      <c r="W244" s="6"/>
      <c r="X244" s="6"/>
      <c r="Y244" s="6"/>
      <c r="Z244" s="6"/>
    </row>
    <row r="245" spans="1:26" ht="11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42"/>
      <c r="V245" s="6"/>
      <c r="W245" s="6"/>
      <c r="X245" s="6"/>
      <c r="Y245" s="6"/>
      <c r="Z245" s="6"/>
    </row>
    <row r="246" spans="1:26" ht="11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42"/>
      <c r="V246" s="6"/>
      <c r="W246" s="6"/>
      <c r="X246" s="6"/>
      <c r="Y246" s="6"/>
      <c r="Z246" s="6"/>
    </row>
    <row r="247" spans="1:26" ht="11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42"/>
      <c r="V247" s="6"/>
      <c r="W247" s="6"/>
      <c r="X247" s="6"/>
      <c r="Y247" s="6"/>
      <c r="Z247" s="6"/>
    </row>
    <row r="248" spans="1:26" ht="11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42"/>
      <c r="V248" s="6"/>
      <c r="W248" s="6"/>
      <c r="X248" s="6"/>
      <c r="Y248" s="6"/>
      <c r="Z248" s="6"/>
    </row>
    <row r="249" spans="1:26" ht="11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42"/>
      <c r="V249" s="6"/>
      <c r="W249" s="6"/>
      <c r="X249" s="6"/>
      <c r="Y249" s="6"/>
      <c r="Z249" s="6"/>
    </row>
    <row r="250" spans="1:26" ht="11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42"/>
      <c r="V250" s="6"/>
      <c r="W250" s="6"/>
      <c r="X250" s="6"/>
      <c r="Y250" s="6"/>
      <c r="Z250" s="6"/>
    </row>
    <row r="251" spans="1:26" ht="11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42"/>
      <c r="V251" s="6"/>
      <c r="W251" s="6"/>
      <c r="X251" s="6"/>
      <c r="Y251" s="6"/>
      <c r="Z251" s="6"/>
    </row>
    <row r="252" spans="1:26" ht="11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42"/>
      <c r="V252" s="6"/>
      <c r="W252" s="6"/>
      <c r="X252" s="6"/>
      <c r="Y252" s="6"/>
      <c r="Z252" s="6"/>
    </row>
    <row r="253" spans="1:26" ht="11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42"/>
      <c r="V253" s="6"/>
      <c r="W253" s="6"/>
      <c r="X253" s="6"/>
      <c r="Y253" s="6"/>
      <c r="Z253" s="6"/>
    </row>
    <row r="254" spans="1:26" ht="11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42"/>
      <c r="V254" s="6"/>
      <c r="W254" s="6"/>
      <c r="X254" s="6"/>
      <c r="Y254" s="6"/>
      <c r="Z254" s="6"/>
    </row>
    <row r="255" spans="1:26" ht="11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42"/>
      <c r="V255" s="6"/>
      <c r="W255" s="6"/>
      <c r="X255" s="6"/>
      <c r="Y255" s="6"/>
      <c r="Z255" s="6"/>
    </row>
    <row r="256" spans="1:26" ht="11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42"/>
      <c r="V256" s="6"/>
      <c r="W256" s="6"/>
      <c r="X256" s="6"/>
      <c r="Y256" s="6"/>
      <c r="Z256" s="6"/>
    </row>
    <row r="257" spans="1:26" ht="11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42"/>
      <c r="V257" s="6"/>
      <c r="W257" s="6"/>
      <c r="X257" s="6"/>
      <c r="Y257" s="6"/>
      <c r="Z257" s="6"/>
    </row>
    <row r="258" spans="1:26" ht="11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42"/>
      <c r="V258" s="6"/>
      <c r="W258" s="6"/>
      <c r="X258" s="6"/>
      <c r="Y258" s="6"/>
      <c r="Z258" s="6"/>
    </row>
    <row r="259" spans="1:26" ht="11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42"/>
      <c r="V259" s="6"/>
      <c r="W259" s="6"/>
      <c r="X259" s="6"/>
      <c r="Y259" s="6"/>
      <c r="Z259" s="6"/>
    </row>
    <row r="260" spans="1:26" ht="11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42"/>
      <c r="V260" s="6"/>
      <c r="W260" s="6"/>
      <c r="X260" s="6"/>
      <c r="Y260" s="6"/>
      <c r="Z260" s="6"/>
    </row>
    <row r="261" spans="1:26" ht="11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42"/>
      <c r="V261" s="6"/>
      <c r="W261" s="6"/>
      <c r="X261" s="6"/>
      <c r="Y261" s="6"/>
      <c r="Z261" s="6"/>
    </row>
    <row r="262" spans="1:26" ht="11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42"/>
      <c r="V262" s="6"/>
      <c r="W262" s="6"/>
      <c r="X262" s="6"/>
      <c r="Y262" s="6"/>
      <c r="Z262" s="6"/>
    </row>
    <row r="263" spans="1:26" ht="11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42"/>
      <c r="V263" s="6"/>
      <c r="W263" s="6"/>
      <c r="X263" s="6"/>
      <c r="Y263" s="6"/>
      <c r="Z263" s="6"/>
    </row>
    <row r="264" spans="1:26" ht="11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42"/>
      <c r="V264" s="6"/>
      <c r="W264" s="6"/>
      <c r="X264" s="6"/>
      <c r="Y264" s="6"/>
      <c r="Z264" s="6"/>
    </row>
    <row r="265" spans="1:26" ht="11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42"/>
      <c r="V265" s="6"/>
      <c r="W265" s="6"/>
      <c r="X265" s="6"/>
      <c r="Y265" s="6"/>
      <c r="Z265" s="6"/>
    </row>
    <row r="266" spans="1:26" ht="11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42"/>
      <c r="V266" s="6"/>
      <c r="W266" s="6"/>
      <c r="X266" s="6"/>
      <c r="Y266" s="6"/>
      <c r="Z266" s="6"/>
    </row>
    <row r="267" spans="1:26" ht="11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42"/>
      <c r="V267" s="6"/>
      <c r="W267" s="6"/>
      <c r="X267" s="6"/>
      <c r="Y267" s="6"/>
      <c r="Z267" s="6"/>
    </row>
    <row r="268" spans="1:26" ht="11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42"/>
      <c r="V268" s="6"/>
      <c r="W268" s="6"/>
      <c r="X268" s="6"/>
      <c r="Y268" s="6"/>
      <c r="Z268" s="6"/>
    </row>
    <row r="269" spans="1:26" ht="11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42"/>
      <c r="V269" s="6"/>
      <c r="W269" s="6"/>
      <c r="X269" s="6"/>
      <c r="Y269" s="6"/>
      <c r="Z269" s="6"/>
    </row>
    <row r="270" spans="1:26" ht="11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42"/>
      <c r="V270" s="6"/>
      <c r="W270" s="6"/>
      <c r="X270" s="6"/>
      <c r="Y270" s="6"/>
      <c r="Z270" s="6"/>
    </row>
    <row r="271" spans="1:26" ht="11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42"/>
      <c r="V271" s="6"/>
      <c r="W271" s="6"/>
      <c r="X271" s="6"/>
      <c r="Y271" s="6"/>
      <c r="Z271" s="6"/>
    </row>
    <row r="272" spans="1:26" ht="11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42"/>
      <c r="V272" s="6"/>
      <c r="W272" s="6"/>
      <c r="X272" s="6"/>
      <c r="Y272" s="6"/>
      <c r="Z272" s="6"/>
    </row>
    <row r="273" spans="1:26" ht="11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42"/>
      <c r="V273" s="6"/>
      <c r="W273" s="6"/>
      <c r="X273" s="6"/>
      <c r="Y273" s="6"/>
      <c r="Z273" s="6"/>
    </row>
    <row r="274" spans="1:26" ht="11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42"/>
      <c r="V274" s="6"/>
      <c r="W274" s="6"/>
      <c r="X274" s="6"/>
      <c r="Y274" s="6"/>
      <c r="Z274" s="6"/>
    </row>
    <row r="275" spans="1:26" ht="11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42"/>
      <c r="V275" s="6"/>
      <c r="W275" s="6"/>
      <c r="X275" s="6"/>
      <c r="Y275" s="6"/>
      <c r="Z275" s="6"/>
    </row>
    <row r="276" spans="1:26" ht="11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42"/>
      <c r="V276" s="6"/>
      <c r="W276" s="6"/>
      <c r="X276" s="6"/>
      <c r="Y276" s="6"/>
      <c r="Z276" s="6"/>
    </row>
    <row r="277" spans="1:26" ht="11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42"/>
      <c r="V277" s="6"/>
      <c r="W277" s="6"/>
      <c r="X277" s="6"/>
      <c r="Y277" s="6"/>
      <c r="Z277" s="6"/>
    </row>
    <row r="278" spans="1:26" ht="11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42"/>
      <c r="V278" s="6"/>
      <c r="W278" s="6"/>
      <c r="X278" s="6"/>
      <c r="Y278" s="6"/>
      <c r="Z278" s="6"/>
    </row>
    <row r="279" spans="1:26" ht="11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42"/>
      <c r="V279" s="6"/>
      <c r="W279" s="6"/>
      <c r="X279" s="6"/>
      <c r="Y279" s="6"/>
      <c r="Z279" s="6"/>
    </row>
    <row r="280" spans="1:26" ht="11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42"/>
      <c r="V280" s="6"/>
      <c r="W280" s="6"/>
      <c r="X280" s="6"/>
      <c r="Y280" s="6"/>
      <c r="Z280" s="6"/>
    </row>
    <row r="281" spans="1:26" ht="11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42"/>
      <c r="V281" s="6"/>
      <c r="W281" s="6"/>
      <c r="X281" s="6"/>
      <c r="Y281" s="6"/>
      <c r="Z281" s="6"/>
    </row>
    <row r="282" spans="1:26" ht="11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42"/>
      <c r="V282" s="6"/>
      <c r="W282" s="6"/>
      <c r="X282" s="6"/>
      <c r="Y282" s="6"/>
      <c r="Z282" s="6"/>
    </row>
    <row r="283" spans="1:26" ht="11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42"/>
      <c r="V283" s="6"/>
      <c r="W283" s="6"/>
      <c r="X283" s="6"/>
      <c r="Y283" s="6"/>
      <c r="Z283" s="6"/>
    </row>
    <row r="284" spans="1:26" ht="11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42"/>
      <c r="V284" s="6"/>
      <c r="W284" s="6"/>
      <c r="X284" s="6"/>
      <c r="Y284" s="6"/>
      <c r="Z284" s="6"/>
    </row>
    <row r="285" spans="1:26" ht="11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42"/>
      <c r="V285" s="6"/>
      <c r="W285" s="6"/>
      <c r="X285" s="6"/>
      <c r="Y285" s="6"/>
      <c r="Z285" s="6"/>
    </row>
    <row r="286" spans="1:26" ht="11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42"/>
      <c r="V286" s="6"/>
      <c r="W286" s="6"/>
      <c r="X286" s="6"/>
      <c r="Y286" s="6"/>
      <c r="Z286" s="6"/>
    </row>
    <row r="287" spans="1:26" ht="11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42"/>
      <c r="V287" s="6"/>
      <c r="W287" s="6"/>
      <c r="X287" s="6"/>
      <c r="Y287" s="6"/>
      <c r="Z287" s="6"/>
    </row>
    <row r="288" spans="1:26" ht="11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42"/>
      <c r="V288" s="6"/>
      <c r="W288" s="6"/>
      <c r="X288" s="6"/>
      <c r="Y288" s="6"/>
      <c r="Z288" s="6"/>
    </row>
    <row r="289" spans="1:26" ht="11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42"/>
      <c r="V289" s="6"/>
      <c r="W289" s="6"/>
      <c r="X289" s="6"/>
      <c r="Y289" s="6"/>
      <c r="Z289" s="6"/>
    </row>
    <row r="290" spans="1:26" ht="11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42"/>
      <c r="V290" s="6"/>
      <c r="W290" s="6"/>
      <c r="X290" s="6"/>
      <c r="Y290" s="6"/>
      <c r="Z290" s="6"/>
    </row>
    <row r="291" spans="1:26" ht="11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42"/>
      <c r="V291" s="6"/>
      <c r="W291" s="6"/>
      <c r="X291" s="6"/>
      <c r="Y291" s="6"/>
      <c r="Z291" s="6"/>
    </row>
    <row r="292" spans="1:26" ht="11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42"/>
      <c r="V292" s="6"/>
      <c r="W292" s="6"/>
      <c r="X292" s="6"/>
      <c r="Y292" s="6"/>
      <c r="Z292" s="6"/>
    </row>
    <row r="293" spans="1:26" ht="11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42"/>
      <c r="V293" s="6"/>
      <c r="W293" s="6"/>
      <c r="X293" s="6"/>
      <c r="Y293" s="6"/>
      <c r="Z293" s="6"/>
    </row>
    <row r="294" spans="1:26" ht="11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42"/>
      <c r="V294" s="6"/>
      <c r="W294" s="6"/>
      <c r="X294" s="6"/>
      <c r="Y294" s="6"/>
      <c r="Z294" s="6"/>
    </row>
    <row r="295" spans="1:26" ht="11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42"/>
      <c r="V295" s="6"/>
      <c r="W295" s="6"/>
      <c r="X295" s="6"/>
      <c r="Y295" s="6"/>
      <c r="Z295" s="6"/>
    </row>
    <row r="296" spans="1:26" ht="11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42"/>
      <c r="V296" s="6"/>
      <c r="W296" s="6"/>
      <c r="X296" s="6"/>
      <c r="Y296" s="6"/>
      <c r="Z296" s="6"/>
    </row>
    <row r="297" spans="1:26" ht="11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42"/>
      <c r="V297" s="6"/>
      <c r="W297" s="6"/>
      <c r="X297" s="6"/>
      <c r="Y297" s="6"/>
      <c r="Z297" s="6"/>
    </row>
    <row r="298" spans="1:26" ht="11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42"/>
      <c r="V298" s="6"/>
      <c r="W298" s="6"/>
      <c r="X298" s="6"/>
      <c r="Y298" s="6"/>
      <c r="Z298" s="6"/>
    </row>
    <row r="299" spans="1:26" ht="11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42"/>
      <c r="V299" s="6"/>
      <c r="W299" s="6"/>
      <c r="X299" s="6"/>
      <c r="Y299" s="6"/>
      <c r="Z299" s="6"/>
    </row>
    <row r="300" spans="1:26" ht="11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42"/>
      <c r="V300" s="6"/>
      <c r="W300" s="6"/>
      <c r="X300" s="6"/>
      <c r="Y300" s="6"/>
      <c r="Z300" s="6"/>
    </row>
    <row r="301" spans="1:26" ht="11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42"/>
      <c r="V301" s="6"/>
      <c r="W301" s="6"/>
      <c r="X301" s="6"/>
      <c r="Y301" s="6"/>
      <c r="Z301" s="6"/>
    </row>
    <row r="302" spans="1:26" ht="11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42"/>
      <c r="V302" s="6"/>
      <c r="W302" s="6"/>
      <c r="X302" s="6"/>
      <c r="Y302" s="6"/>
      <c r="Z302" s="6"/>
    </row>
    <row r="303" spans="1:26" ht="11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42"/>
      <c r="V303" s="6"/>
      <c r="W303" s="6"/>
      <c r="X303" s="6"/>
      <c r="Y303" s="6"/>
      <c r="Z303" s="6"/>
    </row>
    <row r="304" spans="1:26" ht="11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42"/>
      <c r="V304" s="6"/>
      <c r="W304" s="6"/>
      <c r="X304" s="6"/>
      <c r="Y304" s="6"/>
      <c r="Z304" s="6"/>
    </row>
    <row r="305" spans="1:26" ht="11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42"/>
      <c r="V305" s="6"/>
      <c r="W305" s="6"/>
      <c r="X305" s="6"/>
      <c r="Y305" s="6"/>
      <c r="Z305" s="6"/>
    </row>
    <row r="306" spans="1:26" ht="11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42"/>
      <c r="V306" s="6"/>
      <c r="W306" s="6"/>
      <c r="X306" s="6"/>
      <c r="Y306" s="6"/>
      <c r="Z306" s="6"/>
    </row>
    <row r="307" spans="1:26" ht="11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42"/>
      <c r="V307" s="6"/>
      <c r="W307" s="6"/>
      <c r="X307" s="6"/>
      <c r="Y307" s="6"/>
      <c r="Z307" s="6"/>
    </row>
    <row r="308" spans="1:26" ht="11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42"/>
      <c r="V308" s="6"/>
      <c r="W308" s="6"/>
      <c r="X308" s="6"/>
      <c r="Y308" s="6"/>
      <c r="Z308" s="6"/>
    </row>
    <row r="309" spans="1:26" ht="11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42"/>
      <c r="V309" s="6"/>
      <c r="W309" s="6"/>
      <c r="X309" s="6"/>
      <c r="Y309" s="6"/>
      <c r="Z309" s="6"/>
    </row>
    <row r="310" spans="1:26" ht="11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42"/>
      <c r="V310" s="6"/>
      <c r="W310" s="6"/>
      <c r="X310" s="6"/>
      <c r="Y310" s="6"/>
      <c r="Z310" s="6"/>
    </row>
    <row r="311" spans="1:26" ht="11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42"/>
      <c r="V311" s="6"/>
      <c r="W311" s="6"/>
      <c r="X311" s="6"/>
      <c r="Y311" s="6"/>
      <c r="Z311" s="6"/>
    </row>
    <row r="312" spans="1:26" ht="11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42"/>
      <c r="V312" s="6"/>
      <c r="W312" s="6"/>
      <c r="X312" s="6"/>
      <c r="Y312" s="6"/>
      <c r="Z312" s="6"/>
    </row>
    <row r="313" spans="1:26" ht="11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42"/>
      <c r="V313" s="6"/>
      <c r="W313" s="6"/>
      <c r="X313" s="6"/>
      <c r="Y313" s="6"/>
      <c r="Z313" s="6"/>
    </row>
    <row r="314" spans="1:26" ht="11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42"/>
      <c r="V314" s="6"/>
      <c r="W314" s="6"/>
      <c r="X314" s="6"/>
      <c r="Y314" s="6"/>
      <c r="Z314" s="6"/>
    </row>
    <row r="315" spans="1:26" ht="11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42"/>
      <c r="V315" s="6"/>
      <c r="W315" s="6"/>
      <c r="X315" s="6"/>
      <c r="Y315" s="6"/>
      <c r="Z315" s="6"/>
    </row>
    <row r="316" spans="1:26" ht="11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42"/>
      <c r="V316" s="6"/>
      <c r="W316" s="6"/>
      <c r="X316" s="6"/>
      <c r="Y316" s="6"/>
      <c r="Z316" s="6"/>
    </row>
    <row r="317" spans="1:26" ht="11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42"/>
      <c r="V317" s="6"/>
      <c r="W317" s="6"/>
      <c r="X317" s="6"/>
      <c r="Y317" s="6"/>
      <c r="Z317" s="6"/>
    </row>
    <row r="318" spans="1:26" ht="11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42"/>
      <c r="V318" s="6"/>
      <c r="W318" s="6"/>
      <c r="X318" s="6"/>
      <c r="Y318" s="6"/>
      <c r="Z318" s="6"/>
    </row>
    <row r="319" spans="1:26" ht="11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42"/>
      <c r="V319" s="6"/>
      <c r="W319" s="6"/>
      <c r="X319" s="6"/>
      <c r="Y319" s="6"/>
      <c r="Z319" s="6"/>
    </row>
    <row r="320" spans="1:26" ht="11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42"/>
      <c r="V320" s="6"/>
      <c r="W320" s="6"/>
      <c r="X320" s="6"/>
      <c r="Y320" s="6"/>
      <c r="Z320" s="6"/>
    </row>
    <row r="321" spans="1:26" ht="11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42"/>
      <c r="V321" s="6"/>
      <c r="W321" s="6"/>
      <c r="X321" s="6"/>
      <c r="Y321" s="6"/>
      <c r="Z321" s="6"/>
    </row>
    <row r="322" spans="1:26" ht="11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42"/>
      <c r="V322" s="6"/>
      <c r="W322" s="6"/>
      <c r="X322" s="6"/>
      <c r="Y322" s="6"/>
      <c r="Z322" s="6"/>
    </row>
    <row r="323" spans="1:26" ht="11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42"/>
      <c r="V323" s="6"/>
      <c r="W323" s="6"/>
      <c r="X323" s="6"/>
      <c r="Y323" s="6"/>
      <c r="Z323" s="6"/>
    </row>
    <row r="324" spans="1:26" ht="11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42"/>
      <c r="V324" s="6"/>
      <c r="W324" s="6"/>
      <c r="X324" s="6"/>
      <c r="Y324" s="6"/>
      <c r="Z324" s="6"/>
    </row>
    <row r="325" spans="1:26" ht="11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42"/>
      <c r="V325" s="6"/>
      <c r="W325" s="6"/>
      <c r="X325" s="6"/>
      <c r="Y325" s="6"/>
      <c r="Z325" s="6"/>
    </row>
    <row r="326" spans="1:26" ht="11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42"/>
      <c r="V326" s="6"/>
      <c r="W326" s="6"/>
      <c r="X326" s="6"/>
      <c r="Y326" s="6"/>
      <c r="Z326" s="6"/>
    </row>
    <row r="327" spans="1:26" ht="11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42"/>
      <c r="V327" s="6"/>
      <c r="W327" s="6"/>
      <c r="X327" s="6"/>
      <c r="Y327" s="6"/>
      <c r="Z327" s="6"/>
    </row>
    <row r="328" spans="1:26" ht="11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42"/>
      <c r="V328" s="6"/>
      <c r="W328" s="6"/>
      <c r="X328" s="6"/>
      <c r="Y328" s="6"/>
      <c r="Z328" s="6"/>
    </row>
    <row r="329" spans="1:26" ht="11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42"/>
      <c r="V329" s="6"/>
      <c r="W329" s="6"/>
      <c r="X329" s="6"/>
      <c r="Y329" s="6"/>
      <c r="Z329" s="6"/>
    </row>
    <row r="330" spans="1:26" ht="11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42"/>
      <c r="V330" s="6"/>
      <c r="W330" s="6"/>
      <c r="X330" s="6"/>
      <c r="Y330" s="6"/>
      <c r="Z330" s="6"/>
    </row>
    <row r="331" spans="1:26" ht="11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42"/>
      <c r="V331" s="6"/>
      <c r="W331" s="6"/>
      <c r="X331" s="6"/>
      <c r="Y331" s="6"/>
      <c r="Z331" s="6"/>
    </row>
    <row r="332" spans="1:26" ht="11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42"/>
      <c r="V332" s="6"/>
      <c r="W332" s="6"/>
      <c r="X332" s="6"/>
      <c r="Y332" s="6"/>
      <c r="Z332" s="6"/>
    </row>
    <row r="333" spans="1:26" ht="11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42"/>
      <c r="V333" s="6"/>
      <c r="W333" s="6"/>
      <c r="X333" s="6"/>
      <c r="Y333" s="6"/>
      <c r="Z333" s="6"/>
    </row>
    <row r="334" spans="1:26" ht="11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42"/>
      <c r="V334" s="6"/>
      <c r="W334" s="6"/>
      <c r="X334" s="6"/>
      <c r="Y334" s="6"/>
      <c r="Z334" s="6"/>
    </row>
    <row r="335" spans="1:26" ht="11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42"/>
      <c r="V335" s="6"/>
      <c r="W335" s="6"/>
      <c r="X335" s="6"/>
      <c r="Y335" s="6"/>
      <c r="Z335" s="6"/>
    </row>
    <row r="336" spans="1:26" ht="11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42"/>
      <c r="V336" s="6"/>
      <c r="W336" s="6"/>
      <c r="X336" s="6"/>
      <c r="Y336" s="6"/>
      <c r="Z336" s="6"/>
    </row>
    <row r="337" spans="1:26" ht="11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42"/>
      <c r="V337" s="6"/>
      <c r="W337" s="6"/>
      <c r="X337" s="6"/>
      <c r="Y337" s="6"/>
      <c r="Z337" s="6"/>
    </row>
    <row r="338" spans="1:26" ht="11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42"/>
      <c r="V338" s="6"/>
      <c r="W338" s="6"/>
      <c r="X338" s="6"/>
      <c r="Y338" s="6"/>
      <c r="Z338" s="6"/>
    </row>
    <row r="339" spans="1:26" ht="11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42"/>
      <c r="V339" s="6"/>
      <c r="W339" s="6"/>
      <c r="X339" s="6"/>
      <c r="Y339" s="6"/>
      <c r="Z339" s="6"/>
    </row>
    <row r="340" spans="1:26" ht="11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42"/>
      <c r="V340" s="6"/>
      <c r="W340" s="6"/>
      <c r="X340" s="6"/>
      <c r="Y340" s="6"/>
      <c r="Z340" s="6"/>
    </row>
    <row r="341" spans="1:26" ht="11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42"/>
      <c r="V341" s="6"/>
      <c r="W341" s="6"/>
      <c r="X341" s="6"/>
      <c r="Y341" s="6"/>
      <c r="Z341" s="6"/>
    </row>
    <row r="342" spans="1:26" ht="11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42"/>
      <c r="V342" s="6"/>
      <c r="W342" s="6"/>
      <c r="X342" s="6"/>
      <c r="Y342" s="6"/>
      <c r="Z342" s="6"/>
    </row>
    <row r="343" spans="1:26" ht="11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42"/>
      <c r="V343" s="6"/>
      <c r="W343" s="6"/>
      <c r="X343" s="6"/>
      <c r="Y343" s="6"/>
      <c r="Z343" s="6"/>
    </row>
    <row r="344" spans="1:26" ht="11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42"/>
      <c r="V344" s="6"/>
      <c r="W344" s="6"/>
      <c r="X344" s="6"/>
      <c r="Y344" s="6"/>
      <c r="Z344" s="6"/>
    </row>
    <row r="345" spans="1:26" ht="11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42"/>
      <c r="V345" s="6"/>
      <c r="W345" s="6"/>
      <c r="X345" s="6"/>
      <c r="Y345" s="6"/>
      <c r="Z345" s="6"/>
    </row>
    <row r="346" spans="1:26" ht="11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42"/>
      <c r="V346" s="6"/>
      <c r="W346" s="6"/>
      <c r="X346" s="6"/>
      <c r="Y346" s="6"/>
      <c r="Z346" s="6"/>
    </row>
    <row r="347" spans="1:26" ht="11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42"/>
      <c r="V347" s="6"/>
      <c r="W347" s="6"/>
      <c r="X347" s="6"/>
      <c r="Y347" s="6"/>
      <c r="Z347" s="6"/>
    </row>
    <row r="348" spans="1:26" ht="11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42"/>
      <c r="V348" s="6"/>
      <c r="W348" s="6"/>
      <c r="X348" s="6"/>
      <c r="Y348" s="6"/>
      <c r="Z348" s="6"/>
    </row>
    <row r="349" spans="1:26" ht="11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42"/>
      <c r="V349" s="6"/>
      <c r="W349" s="6"/>
      <c r="X349" s="6"/>
      <c r="Y349" s="6"/>
      <c r="Z349" s="6"/>
    </row>
    <row r="350" spans="1:26" ht="11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42"/>
      <c r="V350" s="6"/>
      <c r="W350" s="6"/>
      <c r="X350" s="6"/>
      <c r="Y350" s="6"/>
      <c r="Z350" s="6"/>
    </row>
    <row r="351" spans="1:26" ht="11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42"/>
      <c r="V351" s="6"/>
      <c r="W351" s="6"/>
      <c r="X351" s="6"/>
      <c r="Y351" s="6"/>
      <c r="Z351" s="6"/>
    </row>
    <row r="352" spans="1:26" ht="11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42"/>
      <c r="V352" s="6"/>
      <c r="W352" s="6"/>
      <c r="X352" s="6"/>
      <c r="Y352" s="6"/>
      <c r="Z352" s="6"/>
    </row>
    <row r="353" spans="1:26" ht="11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42"/>
      <c r="V353" s="6"/>
      <c r="W353" s="6"/>
      <c r="X353" s="6"/>
      <c r="Y353" s="6"/>
      <c r="Z353" s="6"/>
    </row>
    <row r="354" spans="1:26" ht="11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42"/>
      <c r="V354" s="6"/>
      <c r="W354" s="6"/>
      <c r="X354" s="6"/>
      <c r="Y354" s="6"/>
      <c r="Z354" s="6"/>
    </row>
    <row r="355" spans="1:26" ht="11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42"/>
      <c r="V355" s="6"/>
      <c r="W355" s="6"/>
      <c r="X355" s="6"/>
      <c r="Y355" s="6"/>
      <c r="Z355" s="6"/>
    </row>
    <row r="356" spans="1:26" ht="11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42"/>
      <c r="V356" s="6"/>
      <c r="W356" s="6"/>
      <c r="X356" s="6"/>
      <c r="Y356" s="6"/>
      <c r="Z356" s="6"/>
    </row>
    <row r="357" spans="1:26" ht="11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42"/>
      <c r="V357" s="6"/>
      <c r="W357" s="6"/>
      <c r="X357" s="6"/>
      <c r="Y357" s="6"/>
      <c r="Z357" s="6"/>
    </row>
    <row r="358" spans="1:26" ht="11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42"/>
      <c r="V358" s="6"/>
      <c r="W358" s="6"/>
      <c r="X358" s="6"/>
      <c r="Y358" s="6"/>
      <c r="Z358" s="6"/>
    </row>
    <row r="359" spans="1:26" ht="11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42"/>
      <c r="V359" s="6"/>
      <c r="W359" s="6"/>
      <c r="X359" s="6"/>
      <c r="Y359" s="6"/>
      <c r="Z359" s="6"/>
    </row>
    <row r="360" spans="1:26" ht="11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42"/>
      <c r="V360" s="6"/>
      <c r="W360" s="6"/>
      <c r="X360" s="6"/>
      <c r="Y360" s="6"/>
      <c r="Z360" s="6"/>
    </row>
    <row r="361" spans="1:26" ht="11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42"/>
      <c r="V361" s="6"/>
      <c r="W361" s="6"/>
      <c r="X361" s="6"/>
      <c r="Y361" s="6"/>
      <c r="Z361" s="6"/>
    </row>
    <row r="362" spans="1:26" ht="11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42"/>
      <c r="V362" s="6"/>
      <c r="W362" s="6"/>
      <c r="X362" s="6"/>
      <c r="Y362" s="6"/>
      <c r="Z362" s="6"/>
    </row>
    <row r="363" spans="1:26" ht="11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42"/>
      <c r="V363" s="6"/>
      <c r="W363" s="6"/>
      <c r="X363" s="6"/>
      <c r="Y363" s="6"/>
      <c r="Z363" s="6"/>
    </row>
    <row r="364" spans="1:26" ht="11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42"/>
      <c r="V364" s="6"/>
      <c r="W364" s="6"/>
      <c r="X364" s="6"/>
      <c r="Y364" s="6"/>
      <c r="Z364" s="6"/>
    </row>
    <row r="365" spans="1:26" ht="11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42"/>
      <c r="V365" s="6"/>
      <c r="W365" s="6"/>
      <c r="X365" s="6"/>
      <c r="Y365" s="6"/>
      <c r="Z365" s="6"/>
    </row>
    <row r="366" spans="1:26" ht="11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42"/>
      <c r="V366" s="6"/>
      <c r="W366" s="6"/>
      <c r="X366" s="6"/>
      <c r="Y366" s="6"/>
      <c r="Z366" s="6"/>
    </row>
    <row r="367" spans="1:26" ht="11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42"/>
      <c r="V367" s="6"/>
      <c r="W367" s="6"/>
      <c r="X367" s="6"/>
      <c r="Y367" s="6"/>
      <c r="Z367" s="6"/>
    </row>
    <row r="368" spans="1:26" ht="11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42"/>
      <c r="V368" s="6"/>
      <c r="W368" s="6"/>
      <c r="X368" s="6"/>
      <c r="Y368" s="6"/>
      <c r="Z368" s="6"/>
    </row>
    <row r="369" spans="1:26" ht="11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42"/>
      <c r="V369" s="6"/>
      <c r="W369" s="6"/>
      <c r="X369" s="6"/>
      <c r="Y369" s="6"/>
      <c r="Z369" s="6"/>
    </row>
    <row r="370" spans="1:26" ht="11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42"/>
      <c r="V370" s="6"/>
      <c r="W370" s="6"/>
      <c r="X370" s="6"/>
      <c r="Y370" s="6"/>
      <c r="Z370" s="6"/>
    </row>
    <row r="371" spans="1:26" ht="11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42"/>
      <c r="V371" s="6"/>
      <c r="W371" s="6"/>
      <c r="X371" s="6"/>
      <c r="Y371" s="6"/>
      <c r="Z371" s="6"/>
    </row>
    <row r="372" spans="1:26" ht="11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42"/>
      <c r="V372" s="6"/>
      <c r="W372" s="6"/>
      <c r="X372" s="6"/>
      <c r="Y372" s="6"/>
      <c r="Z372" s="6"/>
    </row>
    <row r="373" spans="1:26" ht="11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42"/>
      <c r="V373" s="6"/>
      <c r="W373" s="6"/>
      <c r="X373" s="6"/>
      <c r="Y373" s="6"/>
      <c r="Z373" s="6"/>
    </row>
    <row r="374" spans="1:26" ht="11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42"/>
      <c r="V374" s="6"/>
      <c r="W374" s="6"/>
      <c r="X374" s="6"/>
      <c r="Y374" s="6"/>
      <c r="Z374" s="6"/>
    </row>
    <row r="375" spans="1:26" ht="11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42"/>
      <c r="V375" s="6"/>
      <c r="W375" s="6"/>
      <c r="X375" s="6"/>
      <c r="Y375" s="6"/>
      <c r="Z375" s="6"/>
    </row>
    <row r="376" spans="1:26" ht="11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42"/>
      <c r="V376" s="6"/>
      <c r="W376" s="6"/>
      <c r="X376" s="6"/>
      <c r="Y376" s="6"/>
      <c r="Z376" s="6"/>
    </row>
    <row r="377" spans="1:26" ht="11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42"/>
      <c r="V377" s="6"/>
      <c r="W377" s="6"/>
      <c r="X377" s="6"/>
      <c r="Y377" s="6"/>
      <c r="Z377" s="6"/>
    </row>
    <row r="378" spans="1:26" ht="11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42"/>
      <c r="V378" s="6"/>
      <c r="W378" s="6"/>
      <c r="X378" s="6"/>
      <c r="Y378" s="6"/>
      <c r="Z378" s="6"/>
    </row>
    <row r="379" spans="1:26" ht="11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42"/>
      <c r="V379" s="6"/>
      <c r="W379" s="6"/>
      <c r="X379" s="6"/>
      <c r="Y379" s="6"/>
      <c r="Z379" s="6"/>
    </row>
    <row r="380" spans="1:26" ht="11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42"/>
      <c r="V380" s="6"/>
      <c r="W380" s="6"/>
      <c r="X380" s="6"/>
      <c r="Y380" s="6"/>
      <c r="Z380" s="6"/>
    </row>
    <row r="381" spans="1:26" ht="11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42"/>
      <c r="V381" s="6"/>
      <c r="W381" s="6"/>
      <c r="X381" s="6"/>
      <c r="Y381" s="6"/>
      <c r="Z381" s="6"/>
    </row>
    <row r="382" spans="1:26" ht="11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42"/>
      <c r="V382" s="6"/>
      <c r="W382" s="6"/>
      <c r="X382" s="6"/>
      <c r="Y382" s="6"/>
      <c r="Z382" s="6"/>
    </row>
    <row r="383" spans="1:26" ht="11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42"/>
      <c r="V383" s="6"/>
      <c r="W383" s="6"/>
      <c r="X383" s="6"/>
      <c r="Y383" s="6"/>
      <c r="Z383" s="6"/>
    </row>
    <row r="384" spans="1:26" ht="11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42"/>
      <c r="V384" s="6"/>
      <c r="W384" s="6"/>
      <c r="X384" s="6"/>
      <c r="Y384" s="6"/>
      <c r="Z384" s="6"/>
    </row>
    <row r="385" spans="1:26" ht="11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42"/>
      <c r="V385" s="6"/>
      <c r="W385" s="6"/>
      <c r="X385" s="6"/>
      <c r="Y385" s="6"/>
      <c r="Z385" s="6"/>
    </row>
    <row r="386" spans="1:26" ht="11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42"/>
      <c r="V386" s="6"/>
      <c r="W386" s="6"/>
      <c r="X386" s="6"/>
      <c r="Y386" s="6"/>
      <c r="Z386" s="6"/>
    </row>
    <row r="387" spans="1:26" ht="11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42"/>
      <c r="V387" s="6"/>
      <c r="W387" s="6"/>
      <c r="X387" s="6"/>
      <c r="Y387" s="6"/>
      <c r="Z387" s="6"/>
    </row>
    <row r="388" spans="1:26" ht="11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42"/>
      <c r="V388" s="6"/>
      <c r="W388" s="6"/>
      <c r="X388" s="6"/>
      <c r="Y388" s="6"/>
      <c r="Z388" s="6"/>
    </row>
    <row r="389" spans="1:26" ht="11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42"/>
      <c r="V389" s="6"/>
      <c r="W389" s="6"/>
      <c r="X389" s="6"/>
      <c r="Y389" s="6"/>
      <c r="Z389" s="6"/>
    </row>
    <row r="390" spans="1:26" ht="11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42"/>
      <c r="V390" s="6"/>
      <c r="W390" s="6"/>
      <c r="X390" s="6"/>
      <c r="Y390" s="6"/>
      <c r="Z390" s="6"/>
    </row>
    <row r="391" spans="1:26" ht="11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42"/>
      <c r="V391" s="6"/>
      <c r="W391" s="6"/>
      <c r="X391" s="6"/>
      <c r="Y391" s="6"/>
      <c r="Z391" s="6"/>
    </row>
    <row r="392" spans="1:26" ht="11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42"/>
      <c r="V392" s="6"/>
      <c r="W392" s="6"/>
      <c r="X392" s="6"/>
      <c r="Y392" s="6"/>
      <c r="Z392" s="6"/>
    </row>
    <row r="393" spans="1:26" ht="11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42"/>
      <c r="V393" s="6"/>
      <c r="W393" s="6"/>
      <c r="X393" s="6"/>
      <c r="Y393" s="6"/>
      <c r="Z393" s="6"/>
    </row>
    <row r="394" spans="1:26" ht="11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42"/>
      <c r="V394" s="6"/>
      <c r="W394" s="6"/>
      <c r="X394" s="6"/>
      <c r="Y394" s="6"/>
      <c r="Z394" s="6"/>
    </row>
    <row r="395" spans="1:26" ht="11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42"/>
      <c r="V395" s="6"/>
      <c r="W395" s="6"/>
      <c r="X395" s="6"/>
      <c r="Y395" s="6"/>
      <c r="Z395" s="6"/>
    </row>
    <row r="396" spans="1:26" ht="11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42"/>
      <c r="V396" s="6"/>
      <c r="W396" s="6"/>
      <c r="X396" s="6"/>
      <c r="Y396" s="6"/>
      <c r="Z396" s="6"/>
    </row>
    <row r="397" spans="1:26" ht="11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42"/>
      <c r="V397" s="6"/>
      <c r="W397" s="6"/>
      <c r="X397" s="6"/>
      <c r="Y397" s="6"/>
      <c r="Z397" s="6"/>
    </row>
    <row r="398" spans="1:26" ht="11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42"/>
      <c r="V398" s="6"/>
      <c r="W398" s="6"/>
      <c r="X398" s="6"/>
      <c r="Y398" s="6"/>
      <c r="Z398" s="6"/>
    </row>
    <row r="399" spans="1:26" ht="11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42"/>
      <c r="V399" s="6"/>
      <c r="W399" s="6"/>
      <c r="X399" s="6"/>
      <c r="Y399" s="6"/>
      <c r="Z399" s="6"/>
    </row>
    <row r="400" spans="1:26" ht="11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42"/>
      <c r="V400" s="6"/>
      <c r="W400" s="6"/>
      <c r="X400" s="6"/>
      <c r="Y400" s="6"/>
      <c r="Z400" s="6"/>
    </row>
    <row r="401" spans="1:26" ht="11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42"/>
      <c r="V401" s="6"/>
      <c r="W401" s="6"/>
      <c r="X401" s="6"/>
      <c r="Y401" s="6"/>
      <c r="Z401" s="6"/>
    </row>
    <row r="402" spans="1:26" ht="11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42"/>
      <c r="V402" s="6"/>
      <c r="W402" s="6"/>
      <c r="X402" s="6"/>
      <c r="Y402" s="6"/>
      <c r="Z402" s="6"/>
    </row>
    <row r="403" spans="1:26" ht="11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42"/>
      <c r="V403" s="6"/>
      <c r="W403" s="6"/>
      <c r="X403" s="6"/>
      <c r="Y403" s="6"/>
      <c r="Z403" s="6"/>
    </row>
    <row r="404" spans="1:26" ht="11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42"/>
      <c r="V404" s="6"/>
      <c r="W404" s="6"/>
      <c r="X404" s="6"/>
      <c r="Y404" s="6"/>
      <c r="Z404" s="6"/>
    </row>
    <row r="405" spans="1:26" ht="11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42"/>
      <c r="V405" s="6"/>
      <c r="W405" s="6"/>
      <c r="X405" s="6"/>
      <c r="Y405" s="6"/>
      <c r="Z405" s="6"/>
    </row>
    <row r="406" spans="1:26" ht="11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42"/>
      <c r="V406" s="6"/>
      <c r="W406" s="6"/>
      <c r="X406" s="6"/>
      <c r="Y406" s="6"/>
      <c r="Z406" s="6"/>
    </row>
    <row r="407" spans="1:26" ht="11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42"/>
      <c r="V407" s="6"/>
      <c r="W407" s="6"/>
      <c r="X407" s="6"/>
      <c r="Y407" s="6"/>
      <c r="Z407" s="6"/>
    </row>
    <row r="408" spans="1:26" ht="11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42"/>
      <c r="V408" s="6"/>
      <c r="W408" s="6"/>
      <c r="X408" s="6"/>
      <c r="Y408" s="6"/>
      <c r="Z408" s="6"/>
    </row>
    <row r="409" spans="1:26" ht="11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42"/>
      <c r="V409" s="6"/>
      <c r="W409" s="6"/>
      <c r="X409" s="6"/>
      <c r="Y409" s="6"/>
      <c r="Z409" s="6"/>
    </row>
    <row r="410" spans="1:26" ht="11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42"/>
      <c r="V410" s="6"/>
      <c r="W410" s="6"/>
      <c r="X410" s="6"/>
      <c r="Y410" s="6"/>
      <c r="Z410" s="6"/>
    </row>
    <row r="411" spans="1:26" ht="11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42"/>
      <c r="V411" s="6"/>
      <c r="W411" s="6"/>
      <c r="X411" s="6"/>
      <c r="Y411" s="6"/>
      <c r="Z411" s="6"/>
    </row>
    <row r="412" spans="1:26" ht="11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42"/>
      <c r="V412" s="6"/>
      <c r="W412" s="6"/>
      <c r="X412" s="6"/>
      <c r="Y412" s="6"/>
      <c r="Z412" s="6"/>
    </row>
    <row r="413" spans="1:26" ht="11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42"/>
      <c r="V413" s="6"/>
      <c r="W413" s="6"/>
      <c r="X413" s="6"/>
      <c r="Y413" s="6"/>
      <c r="Z413" s="6"/>
    </row>
    <row r="414" spans="1:26" ht="11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42"/>
      <c r="V414" s="6"/>
      <c r="W414" s="6"/>
      <c r="X414" s="6"/>
      <c r="Y414" s="6"/>
      <c r="Z414" s="6"/>
    </row>
    <row r="415" spans="1:26" ht="11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42"/>
      <c r="V415" s="6"/>
      <c r="W415" s="6"/>
      <c r="X415" s="6"/>
      <c r="Y415" s="6"/>
      <c r="Z415" s="6"/>
    </row>
    <row r="416" spans="1:26" ht="11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42"/>
      <c r="V416" s="6"/>
      <c r="W416" s="6"/>
      <c r="X416" s="6"/>
      <c r="Y416" s="6"/>
      <c r="Z416" s="6"/>
    </row>
    <row r="417" spans="1:26" ht="11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42"/>
      <c r="V417" s="6"/>
      <c r="W417" s="6"/>
      <c r="X417" s="6"/>
      <c r="Y417" s="6"/>
      <c r="Z417" s="6"/>
    </row>
    <row r="418" spans="1:26" ht="11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42"/>
      <c r="V418" s="6"/>
      <c r="W418" s="6"/>
      <c r="X418" s="6"/>
      <c r="Y418" s="6"/>
      <c r="Z418" s="6"/>
    </row>
    <row r="419" spans="1:26" ht="11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42"/>
      <c r="V419" s="6"/>
      <c r="W419" s="6"/>
      <c r="X419" s="6"/>
      <c r="Y419" s="6"/>
      <c r="Z419" s="6"/>
    </row>
    <row r="420" spans="1:26" ht="11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42"/>
      <c r="V420" s="6"/>
      <c r="W420" s="6"/>
      <c r="X420" s="6"/>
      <c r="Y420" s="6"/>
      <c r="Z420" s="6"/>
    </row>
    <row r="421" spans="1:26" ht="11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42"/>
      <c r="V421" s="6"/>
      <c r="W421" s="6"/>
      <c r="X421" s="6"/>
      <c r="Y421" s="6"/>
      <c r="Z421" s="6"/>
    </row>
    <row r="422" spans="1:26" ht="11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42"/>
      <c r="V422" s="6"/>
      <c r="W422" s="6"/>
      <c r="X422" s="6"/>
      <c r="Y422" s="6"/>
      <c r="Z422" s="6"/>
    </row>
    <row r="423" spans="1:26" ht="11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42"/>
      <c r="V423" s="6"/>
      <c r="W423" s="6"/>
      <c r="X423" s="6"/>
      <c r="Y423" s="6"/>
      <c r="Z423" s="6"/>
    </row>
    <row r="424" spans="1:26" ht="11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42"/>
      <c r="V424" s="6"/>
      <c r="W424" s="6"/>
      <c r="X424" s="6"/>
      <c r="Y424" s="6"/>
      <c r="Z424" s="6"/>
    </row>
    <row r="425" spans="1:26" ht="11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42"/>
      <c r="V425" s="6"/>
      <c r="W425" s="6"/>
      <c r="X425" s="6"/>
      <c r="Y425" s="6"/>
      <c r="Z425" s="6"/>
    </row>
    <row r="426" spans="1:26" ht="11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42"/>
      <c r="V426" s="6"/>
      <c r="W426" s="6"/>
      <c r="X426" s="6"/>
      <c r="Y426" s="6"/>
      <c r="Z426" s="6"/>
    </row>
    <row r="427" spans="1:26" ht="11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42"/>
      <c r="V427" s="6"/>
      <c r="W427" s="6"/>
      <c r="X427" s="6"/>
      <c r="Y427" s="6"/>
      <c r="Z427" s="6"/>
    </row>
    <row r="428" spans="1:26" ht="11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42"/>
      <c r="V428" s="6"/>
      <c r="W428" s="6"/>
      <c r="X428" s="6"/>
      <c r="Y428" s="6"/>
      <c r="Z428" s="6"/>
    </row>
    <row r="429" spans="1:26" ht="11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42"/>
      <c r="V429" s="6"/>
      <c r="W429" s="6"/>
      <c r="X429" s="6"/>
      <c r="Y429" s="6"/>
      <c r="Z429" s="6"/>
    </row>
    <row r="430" spans="1:26" ht="11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42"/>
      <c r="V430" s="6"/>
      <c r="W430" s="6"/>
      <c r="X430" s="6"/>
      <c r="Y430" s="6"/>
      <c r="Z430" s="6"/>
    </row>
    <row r="431" spans="1:26" ht="11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42"/>
      <c r="V431" s="6"/>
      <c r="W431" s="6"/>
      <c r="X431" s="6"/>
      <c r="Y431" s="6"/>
      <c r="Z431" s="6"/>
    </row>
    <row r="432" spans="1:26" ht="11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42"/>
      <c r="V432" s="6"/>
      <c r="W432" s="6"/>
      <c r="X432" s="6"/>
      <c r="Y432" s="6"/>
      <c r="Z432" s="6"/>
    </row>
    <row r="433" spans="1:26" ht="11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42"/>
      <c r="V433" s="6"/>
      <c r="W433" s="6"/>
      <c r="X433" s="6"/>
      <c r="Y433" s="6"/>
      <c r="Z433" s="6"/>
    </row>
    <row r="434" spans="1:26" ht="11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42"/>
      <c r="V434" s="6"/>
      <c r="W434" s="6"/>
      <c r="X434" s="6"/>
      <c r="Y434" s="6"/>
      <c r="Z434" s="6"/>
    </row>
    <row r="435" spans="1:26" ht="11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42"/>
      <c r="V435" s="6"/>
      <c r="W435" s="6"/>
      <c r="X435" s="6"/>
      <c r="Y435" s="6"/>
      <c r="Z435" s="6"/>
    </row>
    <row r="436" spans="1:26" ht="11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42"/>
      <c r="V436" s="6"/>
      <c r="W436" s="6"/>
      <c r="X436" s="6"/>
      <c r="Y436" s="6"/>
      <c r="Z436" s="6"/>
    </row>
    <row r="437" spans="1:26" ht="11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42"/>
      <c r="V437" s="6"/>
      <c r="W437" s="6"/>
      <c r="X437" s="6"/>
      <c r="Y437" s="6"/>
      <c r="Z437" s="6"/>
    </row>
    <row r="438" spans="1:26" ht="11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42"/>
      <c r="V438" s="6"/>
      <c r="W438" s="6"/>
      <c r="X438" s="6"/>
      <c r="Y438" s="6"/>
      <c r="Z438" s="6"/>
    </row>
    <row r="439" spans="1:26" ht="11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42"/>
      <c r="V439" s="6"/>
      <c r="W439" s="6"/>
      <c r="X439" s="6"/>
      <c r="Y439" s="6"/>
      <c r="Z439" s="6"/>
    </row>
    <row r="440" spans="1:26" ht="11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42"/>
      <c r="V440" s="6"/>
      <c r="W440" s="6"/>
      <c r="X440" s="6"/>
      <c r="Y440" s="6"/>
      <c r="Z440" s="6"/>
    </row>
    <row r="441" spans="1:26" ht="11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42"/>
      <c r="V441" s="6"/>
      <c r="W441" s="6"/>
      <c r="X441" s="6"/>
      <c r="Y441" s="6"/>
      <c r="Z441" s="6"/>
    </row>
    <row r="442" spans="1:26" ht="11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42"/>
      <c r="V442" s="6"/>
      <c r="W442" s="6"/>
      <c r="X442" s="6"/>
      <c r="Y442" s="6"/>
      <c r="Z442" s="6"/>
    </row>
    <row r="443" spans="1:26" ht="11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42"/>
      <c r="V443" s="6"/>
      <c r="W443" s="6"/>
      <c r="X443" s="6"/>
      <c r="Y443" s="6"/>
      <c r="Z443" s="6"/>
    </row>
    <row r="444" spans="1:26" ht="11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42"/>
      <c r="V444" s="6"/>
      <c r="W444" s="6"/>
      <c r="X444" s="6"/>
      <c r="Y444" s="6"/>
      <c r="Z444" s="6"/>
    </row>
    <row r="445" spans="1:26" ht="11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42"/>
      <c r="V445" s="6"/>
      <c r="W445" s="6"/>
      <c r="X445" s="6"/>
      <c r="Y445" s="6"/>
      <c r="Z445" s="6"/>
    </row>
    <row r="446" spans="1:26" ht="11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42"/>
      <c r="V446" s="6"/>
      <c r="W446" s="6"/>
      <c r="X446" s="6"/>
      <c r="Y446" s="6"/>
      <c r="Z446" s="6"/>
    </row>
    <row r="447" spans="1:26" ht="11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42"/>
      <c r="V447" s="6"/>
      <c r="W447" s="6"/>
      <c r="X447" s="6"/>
      <c r="Y447" s="6"/>
      <c r="Z447" s="6"/>
    </row>
    <row r="448" spans="1:26" ht="11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42"/>
      <c r="V448" s="6"/>
      <c r="W448" s="6"/>
      <c r="X448" s="6"/>
      <c r="Y448" s="6"/>
      <c r="Z448" s="6"/>
    </row>
    <row r="449" spans="1:26" ht="11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42"/>
      <c r="V449" s="6"/>
      <c r="W449" s="6"/>
      <c r="X449" s="6"/>
      <c r="Y449" s="6"/>
      <c r="Z449" s="6"/>
    </row>
    <row r="450" spans="1:26" ht="11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42"/>
      <c r="V450" s="6"/>
      <c r="W450" s="6"/>
      <c r="X450" s="6"/>
      <c r="Y450" s="6"/>
      <c r="Z450" s="6"/>
    </row>
    <row r="451" spans="1:26" ht="11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42"/>
      <c r="V451" s="6"/>
      <c r="W451" s="6"/>
      <c r="X451" s="6"/>
      <c r="Y451" s="6"/>
      <c r="Z451" s="6"/>
    </row>
    <row r="452" spans="1:26" ht="11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42"/>
      <c r="V452" s="6"/>
      <c r="W452" s="6"/>
      <c r="X452" s="6"/>
      <c r="Y452" s="6"/>
      <c r="Z452" s="6"/>
    </row>
    <row r="453" spans="1:26" ht="11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42"/>
      <c r="V453" s="6"/>
      <c r="W453" s="6"/>
      <c r="X453" s="6"/>
      <c r="Y453" s="6"/>
      <c r="Z453" s="6"/>
    </row>
    <row r="454" spans="1:26" ht="11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42"/>
      <c r="V454" s="6"/>
      <c r="W454" s="6"/>
      <c r="X454" s="6"/>
      <c r="Y454" s="6"/>
      <c r="Z454" s="6"/>
    </row>
    <row r="455" spans="1:26" ht="11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42"/>
      <c r="V455" s="6"/>
      <c r="W455" s="6"/>
      <c r="X455" s="6"/>
      <c r="Y455" s="6"/>
      <c r="Z455" s="6"/>
    </row>
    <row r="456" spans="1:26" ht="11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42"/>
      <c r="V456" s="6"/>
      <c r="W456" s="6"/>
      <c r="X456" s="6"/>
      <c r="Y456" s="6"/>
      <c r="Z456" s="6"/>
    </row>
    <row r="457" spans="1:26" ht="11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42"/>
      <c r="V457" s="6"/>
      <c r="W457" s="6"/>
      <c r="X457" s="6"/>
      <c r="Y457" s="6"/>
      <c r="Z457" s="6"/>
    </row>
    <row r="458" spans="1:26" ht="11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42"/>
      <c r="V458" s="6"/>
      <c r="W458" s="6"/>
      <c r="X458" s="6"/>
      <c r="Y458" s="6"/>
      <c r="Z458" s="6"/>
    </row>
    <row r="459" spans="1:26" ht="11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42"/>
      <c r="V459" s="6"/>
      <c r="W459" s="6"/>
      <c r="X459" s="6"/>
      <c r="Y459" s="6"/>
      <c r="Z459" s="6"/>
    </row>
    <row r="460" spans="1:26" ht="11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42"/>
      <c r="V460" s="6"/>
      <c r="W460" s="6"/>
      <c r="X460" s="6"/>
      <c r="Y460" s="6"/>
      <c r="Z460" s="6"/>
    </row>
    <row r="461" spans="1:26" ht="11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42"/>
      <c r="V461" s="6"/>
      <c r="W461" s="6"/>
      <c r="X461" s="6"/>
      <c r="Y461" s="6"/>
      <c r="Z461" s="6"/>
    </row>
    <row r="462" spans="1:26" ht="11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42"/>
      <c r="V462" s="6"/>
      <c r="W462" s="6"/>
      <c r="X462" s="6"/>
      <c r="Y462" s="6"/>
      <c r="Z462" s="6"/>
    </row>
    <row r="463" spans="1:26" ht="11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42"/>
      <c r="V463" s="6"/>
      <c r="W463" s="6"/>
      <c r="X463" s="6"/>
      <c r="Y463" s="6"/>
      <c r="Z463" s="6"/>
    </row>
    <row r="464" spans="1:26" ht="11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42"/>
      <c r="V464" s="6"/>
      <c r="W464" s="6"/>
      <c r="X464" s="6"/>
      <c r="Y464" s="6"/>
      <c r="Z464" s="6"/>
    </row>
    <row r="465" spans="1:26" ht="11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42"/>
      <c r="V465" s="6"/>
      <c r="W465" s="6"/>
      <c r="X465" s="6"/>
      <c r="Y465" s="6"/>
      <c r="Z465" s="6"/>
    </row>
    <row r="466" spans="1:26" ht="11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42"/>
      <c r="V466" s="6"/>
      <c r="W466" s="6"/>
      <c r="X466" s="6"/>
      <c r="Y466" s="6"/>
      <c r="Z466" s="6"/>
    </row>
    <row r="467" spans="1:26" ht="11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42"/>
      <c r="V467" s="6"/>
      <c r="W467" s="6"/>
      <c r="X467" s="6"/>
      <c r="Y467" s="6"/>
      <c r="Z467" s="6"/>
    </row>
    <row r="468" spans="1:26" ht="11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42"/>
      <c r="V468" s="6"/>
      <c r="W468" s="6"/>
      <c r="X468" s="6"/>
      <c r="Y468" s="6"/>
      <c r="Z468" s="6"/>
    </row>
    <row r="469" spans="1:26" ht="11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42"/>
      <c r="V469" s="6"/>
      <c r="W469" s="6"/>
      <c r="X469" s="6"/>
      <c r="Y469" s="6"/>
      <c r="Z469" s="6"/>
    </row>
    <row r="470" spans="1:26" ht="11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42"/>
      <c r="V470" s="6"/>
      <c r="W470" s="6"/>
      <c r="X470" s="6"/>
      <c r="Y470" s="6"/>
      <c r="Z470" s="6"/>
    </row>
    <row r="471" spans="1:26" ht="11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42"/>
      <c r="V471" s="6"/>
      <c r="W471" s="6"/>
      <c r="X471" s="6"/>
      <c r="Y471" s="6"/>
      <c r="Z471" s="6"/>
    </row>
    <row r="472" spans="1:26" ht="11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42"/>
      <c r="V472" s="6"/>
      <c r="W472" s="6"/>
      <c r="X472" s="6"/>
      <c r="Y472" s="6"/>
      <c r="Z472" s="6"/>
    </row>
    <row r="473" spans="1:26" ht="11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42"/>
      <c r="V473" s="6"/>
      <c r="W473" s="6"/>
      <c r="X473" s="6"/>
      <c r="Y473" s="6"/>
      <c r="Z473" s="6"/>
    </row>
    <row r="474" spans="1:26" ht="11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42"/>
      <c r="V474" s="6"/>
      <c r="W474" s="6"/>
      <c r="X474" s="6"/>
      <c r="Y474" s="6"/>
      <c r="Z474" s="6"/>
    </row>
    <row r="475" spans="1:26" ht="11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42"/>
      <c r="V475" s="6"/>
      <c r="W475" s="6"/>
      <c r="X475" s="6"/>
      <c r="Y475" s="6"/>
      <c r="Z475" s="6"/>
    </row>
    <row r="476" spans="1:26" ht="11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42"/>
      <c r="V476" s="6"/>
      <c r="W476" s="6"/>
      <c r="X476" s="6"/>
      <c r="Y476" s="6"/>
      <c r="Z476" s="6"/>
    </row>
    <row r="477" spans="1:26" ht="11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42"/>
      <c r="V477" s="6"/>
      <c r="W477" s="6"/>
      <c r="X477" s="6"/>
      <c r="Y477" s="6"/>
      <c r="Z477" s="6"/>
    </row>
    <row r="478" spans="1:26" ht="11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42"/>
      <c r="V478" s="6"/>
      <c r="W478" s="6"/>
      <c r="X478" s="6"/>
      <c r="Y478" s="6"/>
      <c r="Z478" s="6"/>
    </row>
    <row r="479" spans="1:26" ht="11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42"/>
      <c r="V479" s="6"/>
      <c r="W479" s="6"/>
      <c r="X479" s="6"/>
      <c r="Y479" s="6"/>
      <c r="Z479" s="6"/>
    </row>
    <row r="480" spans="1:26" ht="11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42"/>
      <c r="V480" s="6"/>
      <c r="W480" s="6"/>
      <c r="X480" s="6"/>
      <c r="Y480" s="6"/>
      <c r="Z480" s="6"/>
    </row>
    <row r="481" spans="1:26" ht="11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42"/>
      <c r="V481" s="6"/>
      <c r="W481" s="6"/>
      <c r="X481" s="6"/>
      <c r="Y481" s="6"/>
      <c r="Z481" s="6"/>
    </row>
    <row r="482" spans="1:26" ht="11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42"/>
      <c r="V482" s="6"/>
      <c r="W482" s="6"/>
      <c r="X482" s="6"/>
      <c r="Y482" s="6"/>
      <c r="Z482" s="6"/>
    </row>
    <row r="483" spans="1:26" ht="11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42"/>
      <c r="V483" s="6"/>
      <c r="W483" s="6"/>
      <c r="X483" s="6"/>
      <c r="Y483" s="6"/>
      <c r="Z483" s="6"/>
    </row>
    <row r="484" spans="1:26" ht="11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42"/>
      <c r="V484" s="6"/>
      <c r="W484" s="6"/>
      <c r="X484" s="6"/>
      <c r="Y484" s="6"/>
      <c r="Z484" s="6"/>
    </row>
    <row r="485" spans="1:26" ht="11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42"/>
      <c r="V485" s="6"/>
      <c r="W485" s="6"/>
      <c r="X485" s="6"/>
      <c r="Y485" s="6"/>
      <c r="Z485" s="6"/>
    </row>
    <row r="486" spans="1:26" ht="11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42"/>
      <c r="V486" s="6"/>
      <c r="W486" s="6"/>
      <c r="X486" s="6"/>
      <c r="Y486" s="6"/>
      <c r="Z486" s="6"/>
    </row>
    <row r="487" spans="1:26" ht="11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42"/>
      <c r="V487" s="6"/>
      <c r="W487" s="6"/>
      <c r="X487" s="6"/>
      <c r="Y487" s="6"/>
      <c r="Z487" s="6"/>
    </row>
    <row r="488" spans="1:26" ht="11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42"/>
      <c r="V488" s="6"/>
      <c r="W488" s="6"/>
      <c r="X488" s="6"/>
      <c r="Y488" s="6"/>
      <c r="Z488" s="6"/>
    </row>
    <row r="489" spans="1:26" ht="11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42"/>
      <c r="V489" s="6"/>
      <c r="W489" s="6"/>
      <c r="X489" s="6"/>
      <c r="Y489" s="6"/>
      <c r="Z489" s="6"/>
    </row>
    <row r="490" spans="1:26" ht="11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42"/>
      <c r="V490" s="6"/>
      <c r="W490" s="6"/>
      <c r="X490" s="6"/>
      <c r="Y490" s="6"/>
      <c r="Z490" s="6"/>
    </row>
    <row r="491" spans="1:26" ht="11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42"/>
      <c r="V491" s="6"/>
      <c r="W491" s="6"/>
      <c r="X491" s="6"/>
      <c r="Y491" s="6"/>
      <c r="Z491" s="6"/>
    </row>
    <row r="492" spans="1:26" ht="11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42"/>
      <c r="V492" s="6"/>
      <c r="W492" s="6"/>
      <c r="X492" s="6"/>
      <c r="Y492" s="6"/>
      <c r="Z492" s="6"/>
    </row>
    <row r="493" spans="1:26" ht="11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42"/>
      <c r="V493" s="6"/>
      <c r="W493" s="6"/>
      <c r="X493" s="6"/>
      <c r="Y493" s="6"/>
      <c r="Z493" s="6"/>
    </row>
    <row r="494" spans="1:26" ht="11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42"/>
      <c r="V494" s="6"/>
      <c r="W494" s="6"/>
      <c r="X494" s="6"/>
      <c r="Y494" s="6"/>
      <c r="Z494" s="6"/>
    </row>
    <row r="495" spans="1:26" ht="11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42"/>
      <c r="V495" s="6"/>
      <c r="W495" s="6"/>
      <c r="X495" s="6"/>
      <c r="Y495" s="6"/>
      <c r="Z495" s="6"/>
    </row>
    <row r="496" spans="1:26" ht="11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42"/>
      <c r="V496" s="6"/>
      <c r="W496" s="6"/>
      <c r="X496" s="6"/>
      <c r="Y496" s="6"/>
      <c r="Z496" s="6"/>
    </row>
    <row r="497" spans="1:26" ht="11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42"/>
      <c r="V497" s="6"/>
      <c r="W497" s="6"/>
      <c r="X497" s="6"/>
      <c r="Y497" s="6"/>
      <c r="Z497" s="6"/>
    </row>
    <row r="498" spans="1:26" ht="11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42"/>
      <c r="V498" s="6"/>
      <c r="W498" s="6"/>
      <c r="X498" s="6"/>
      <c r="Y498" s="6"/>
      <c r="Z498" s="6"/>
    </row>
    <row r="499" spans="1:26" ht="11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42"/>
      <c r="V499" s="6"/>
      <c r="W499" s="6"/>
      <c r="X499" s="6"/>
      <c r="Y499" s="6"/>
      <c r="Z499" s="6"/>
    </row>
    <row r="500" spans="1:26" ht="11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42"/>
      <c r="V500" s="6"/>
      <c r="W500" s="6"/>
      <c r="X500" s="6"/>
      <c r="Y500" s="6"/>
      <c r="Z500" s="6"/>
    </row>
    <row r="501" spans="1:26" ht="11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42"/>
      <c r="V501" s="6"/>
      <c r="W501" s="6"/>
      <c r="X501" s="6"/>
      <c r="Y501" s="6"/>
      <c r="Z501" s="6"/>
    </row>
    <row r="502" spans="1:26" ht="11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42"/>
      <c r="V502" s="6"/>
      <c r="W502" s="6"/>
      <c r="X502" s="6"/>
      <c r="Y502" s="6"/>
      <c r="Z502" s="6"/>
    </row>
    <row r="503" spans="1:26" ht="11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42"/>
      <c r="V503" s="6"/>
      <c r="W503" s="6"/>
      <c r="X503" s="6"/>
      <c r="Y503" s="6"/>
      <c r="Z503" s="6"/>
    </row>
    <row r="504" spans="1:26" ht="11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42"/>
      <c r="V504" s="6"/>
      <c r="W504" s="6"/>
      <c r="X504" s="6"/>
      <c r="Y504" s="6"/>
      <c r="Z504" s="6"/>
    </row>
    <row r="505" spans="1:26" ht="11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42"/>
      <c r="V505" s="6"/>
      <c r="W505" s="6"/>
      <c r="X505" s="6"/>
      <c r="Y505" s="6"/>
      <c r="Z505" s="6"/>
    </row>
    <row r="506" spans="1:26" ht="11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42"/>
      <c r="V506" s="6"/>
      <c r="W506" s="6"/>
      <c r="X506" s="6"/>
      <c r="Y506" s="6"/>
      <c r="Z506" s="6"/>
    </row>
    <row r="507" spans="1:26" ht="11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42"/>
      <c r="V507" s="6"/>
      <c r="W507" s="6"/>
      <c r="X507" s="6"/>
      <c r="Y507" s="6"/>
      <c r="Z507" s="6"/>
    </row>
    <row r="508" spans="1:26" ht="11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42"/>
      <c r="V508" s="6"/>
      <c r="W508" s="6"/>
      <c r="X508" s="6"/>
      <c r="Y508" s="6"/>
      <c r="Z508" s="6"/>
    </row>
    <row r="509" spans="1:26" ht="11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42"/>
      <c r="V509" s="6"/>
      <c r="W509" s="6"/>
      <c r="X509" s="6"/>
      <c r="Y509" s="6"/>
      <c r="Z509" s="6"/>
    </row>
    <row r="510" spans="1:26" ht="11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42"/>
      <c r="V510" s="6"/>
      <c r="W510" s="6"/>
      <c r="X510" s="6"/>
      <c r="Y510" s="6"/>
      <c r="Z510" s="6"/>
    </row>
    <row r="511" spans="1:26" ht="11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42"/>
      <c r="V511" s="6"/>
      <c r="W511" s="6"/>
      <c r="X511" s="6"/>
      <c r="Y511" s="6"/>
      <c r="Z511" s="6"/>
    </row>
    <row r="512" spans="1:26" ht="11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42"/>
      <c r="V512" s="6"/>
      <c r="W512" s="6"/>
      <c r="X512" s="6"/>
      <c r="Y512" s="6"/>
      <c r="Z512" s="6"/>
    </row>
    <row r="513" spans="1:26" ht="11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42"/>
      <c r="V513" s="6"/>
      <c r="W513" s="6"/>
      <c r="X513" s="6"/>
      <c r="Y513" s="6"/>
      <c r="Z513" s="6"/>
    </row>
    <row r="514" spans="1:26" ht="11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42"/>
      <c r="V514" s="6"/>
      <c r="W514" s="6"/>
      <c r="X514" s="6"/>
      <c r="Y514" s="6"/>
      <c r="Z514" s="6"/>
    </row>
    <row r="515" spans="1:26" ht="11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42"/>
      <c r="V515" s="6"/>
      <c r="W515" s="6"/>
      <c r="X515" s="6"/>
      <c r="Y515" s="6"/>
      <c r="Z515" s="6"/>
    </row>
    <row r="516" spans="1:26" ht="11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42"/>
      <c r="V516" s="6"/>
      <c r="W516" s="6"/>
      <c r="X516" s="6"/>
      <c r="Y516" s="6"/>
      <c r="Z516" s="6"/>
    </row>
    <row r="517" spans="1:26" ht="11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42"/>
      <c r="V517" s="6"/>
      <c r="W517" s="6"/>
      <c r="X517" s="6"/>
      <c r="Y517" s="6"/>
      <c r="Z517" s="6"/>
    </row>
    <row r="518" spans="1:26" ht="11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42"/>
      <c r="V518" s="6"/>
      <c r="W518" s="6"/>
      <c r="X518" s="6"/>
      <c r="Y518" s="6"/>
      <c r="Z518" s="6"/>
    </row>
    <row r="519" spans="1:26" ht="11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42"/>
      <c r="V519" s="6"/>
      <c r="W519" s="6"/>
      <c r="X519" s="6"/>
      <c r="Y519" s="6"/>
      <c r="Z519" s="6"/>
    </row>
    <row r="520" spans="1:26" ht="11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42"/>
      <c r="V520" s="6"/>
      <c r="W520" s="6"/>
      <c r="X520" s="6"/>
      <c r="Y520" s="6"/>
      <c r="Z520" s="6"/>
    </row>
    <row r="521" spans="1:26" ht="11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42"/>
      <c r="V521" s="6"/>
      <c r="W521" s="6"/>
      <c r="X521" s="6"/>
      <c r="Y521" s="6"/>
      <c r="Z521" s="6"/>
    </row>
    <row r="522" spans="1:26" ht="11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42"/>
      <c r="V522" s="6"/>
      <c r="W522" s="6"/>
      <c r="X522" s="6"/>
      <c r="Y522" s="6"/>
      <c r="Z522" s="6"/>
    </row>
    <row r="523" spans="1:26" ht="11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42"/>
      <c r="V523" s="6"/>
      <c r="W523" s="6"/>
      <c r="X523" s="6"/>
      <c r="Y523" s="6"/>
      <c r="Z523" s="6"/>
    </row>
    <row r="524" spans="1:26" ht="11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42"/>
      <c r="V524" s="6"/>
      <c r="W524" s="6"/>
      <c r="X524" s="6"/>
      <c r="Y524" s="6"/>
      <c r="Z524" s="6"/>
    </row>
    <row r="525" spans="1:26" ht="11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42"/>
      <c r="V525" s="6"/>
      <c r="W525" s="6"/>
      <c r="X525" s="6"/>
      <c r="Y525" s="6"/>
      <c r="Z525" s="6"/>
    </row>
    <row r="526" spans="1:26" ht="11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42"/>
      <c r="V526" s="6"/>
      <c r="W526" s="6"/>
      <c r="X526" s="6"/>
      <c r="Y526" s="6"/>
      <c r="Z526" s="6"/>
    </row>
    <row r="527" spans="1:26" ht="11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42"/>
      <c r="V527" s="6"/>
      <c r="W527" s="6"/>
      <c r="X527" s="6"/>
      <c r="Y527" s="6"/>
      <c r="Z527" s="6"/>
    </row>
    <row r="528" spans="1:26" ht="11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42"/>
      <c r="V528" s="6"/>
      <c r="W528" s="6"/>
      <c r="X528" s="6"/>
      <c r="Y528" s="6"/>
      <c r="Z528" s="6"/>
    </row>
    <row r="529" spans="1:26" ht="11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42"/>
      <c r="V529" s="6"/>
      <c r="W529" s="6"/>
      <c r="X529" s="6"/>
      <c r="Y529" s="6"/>
      <c r="Z529" s="6"/>
    </row>
    <row r="530" spans="1:26" ht="11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42"/>
      <c r="V530" s="6"/>
      <c r="W530" s="6"/>
      <c r="X530" s="6"/>
      <c r="Y530" s="6"/>
      <c r="Z530" s="6"/>
    </row>
    <row r="531" spans="1:26" ht="11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42"/>
      <c r="V531" s="6"/>
      <c r="W531" s="6"/>
      <c r="X531" s="6"/>
      <c r="Y531" s="6"/>
      <c r="Z531" s="6"/>
    </row>
    <row r="532" spans="1:26" ht="11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42"/>
      <c r="V532" s="6"/>
      <c r="W532" s="6"/>
      <c r="X532" s="6"/>
      <c r="Y532" s="6"/>
      <c r="Z532" s="6"/>
    </row>
    <row r="533" spans="1:26" ht="11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42"/>
      <c r="V533" s="6"/>
      <c r="W533" s="6"/>
      <c r="X533" s="6"/>
      <c r="Y533" s="6"/>
      <c r="Z533" s="6"/>
    </row>
    <row r="534" spans="1:26" ht="11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42"/>
      <c r="V534" s="6"/>
      <c r="W534" s="6"/>
      <c r="X534" s="6"/>
      <c r="Y534" s="6"/>
      <c r="Z534" s="6"/>
    </row>
    <row r="535" spans="1:26" ht="11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42"/>
      <c r="V535" s="6"/>
      <c r="W535" s="6"/>
      <c r="X535" s="6"/>
      <c r="Y535" s="6"/>
      <c r="Z535" s="6"/>
    </row>
    <row r="536" spans="1:26" ht="11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42"/>
      <c r="V536" s="6"/>
      <c r="W536" s="6"/>
      <c r="X536" s="6"/>
      <c r="Y536" s="6"/>
      <c r="Z536" s="6"/>
    </row>
    <row r="537" spans="1:26" ht="11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42"/>
      <c r="V537" s="6"/>
      <c r="W537" s="6"/>
      <c r="X537" s="6"/>
      <c r="Y537" s="6"/>
      <c r="Z537" s="6"/>
    </row>
    <row r="538" spans="1:26" ht="11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42"/>
      <c r="V538" s="6"/>
      <c r="W538" s="6"/>
      <c r="X538" s="6"/>
      <c r="Y538" s="6"/>
      <c r="Z538" s="6"/>
    </row>
    <row r="539" spans="1:26" ht="11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42"/>
      <c r="V539" s="6"/>
      <c r="W539" s="6"/>
      <c r="X539" s="6"/>
      <c r="Y539" s="6"/>
      <c r="Z539" s="6"/>
    </row>
    <row r="540" spans="1:26" ht="11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42"/>
      <c r="V540" s="6"/>
      <c r="W540" s="6"/>
      <c r="X540" s="6"/>
      <c r="Y540" s="6"/>
      <c r="Z540" s="6"/>
    </row>
    <row r="541" spans="1:26" ht="11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42"/>
      <c r="V541" s="6"/>
      <c r="W541" s="6"/>
      <c r="X541" s="6"/>
      <c r="Y541" s="6"/>
      <c r="Z541" s="6"/>
    </row>
    <row r="542" spans="1:26" ht="11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42"/>
      <c r="V542" s="6"/>
      <c r="W542" s="6"/>
      <c r="X542" s="6"/>
      <c r="Y542" s="6"/>
      <c r="Z542" s="6"/>
    </row>
    <row r="543" spans="1:26" ht="11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42"/>
      <c r="V543" s="6"/>
      <c r="W543" s="6"/>
      <c r="X543" s="6"/>
      <c r="Y543" s="6"/>
      <c r="Z543" s="6"/>
    </row>
    <row r="544" spans="1:26" ht="11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42"/>
      <c r="V544" s="6"/>
      <c r="W544" s="6"/>
      <c r="X544" s="6"/>
      <c r="Y544" s="6"/>
      <c r="Z544" s="6"/>
    </row>
    <row r="545" spans="1:26" ht="11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42"/>
      <c r="V545" s="6"/>
      <c r="W545" s="6"/>
      <c r="X545" s="6"/>
      <c r="Y545" s="6"/>
      <c r="Z545" s="6"/>
    </row>
    <row r="546" spans="1:26" ht="11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42"/>
      <c r="V546" s="6"/>
      <c r="W546" s="6"/>
      <c r="X546" s="6"/>
      <c r="Y546" s="6"/>
      <c r="Z546" s="6"/>
    </row>
    <row r="547" spans="1:26" ht="11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42"/>
      <c r="V547" s="6"/>
      <c r="W547" s="6"/>
      <c r="X547" s="6"/>
      <c r="Y547" s="6"/>
      <c r="Z547" s="6"/>
    </row>
    <row r="548" spans="1:26" ht="11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42"/>
      <c r="V548" s="6"/>
      <c r="W548" s="6"/>
      <c r="X548" s="6"/>
      <c r="Y548" s="6"/>
      <c r="Z548" s="6"/>
    </row>
    <row r="549" spans="1:26" ht="11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42"/>
      <c r="V549" s="6"/>
      <c r="W549" s="6"/>
      <c r="X549" s="6"/>
      <c r="Y549" s="6"/>
      <c r="Z549" s="6"/>
    </row>
    <row r="550" spans="1:26" ht="11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42"/>
      <c r="V550" s="6"/>
      <c r="W550" s="6"/>
      <c r="X550" s="6"/>
      <c r="Y550" s="6"/>
      <c r="Z550" s="6"/>
    </row>
    <row r="551" spans="1:26" ht="11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42"/>
      <c r="V551" s="6"/>
      <c r="W551" s="6"/>
      <c r="X551" s="6"/>
      <c r="Y551" s="6"/>
      <c r="Z551" s="6"/>
    </row>
    <row r="552" spans="1:26" ht="11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42"/>
      <c r="V552" s="6"/>
      <c r="W552" s="6"/>
      <c r="X552" s="6"/>
      <c r="Y552" s="6"/>
      <c r="Z552" s="6"/>
    </row>
    <row r="553" spans="1:26" ht="11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42"/>
      <c r="V553" s="6"/>
      <c r="W553" s="6"/>
      <c r="X553" s="6"/>
      <c r="Y553" s="6"/>
      <c r="Z553" s="6"/>
    </row>
    <row r="554" spans="1:26" ht="11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42"/>
      <c r="V554" s="6"/>
      <c r="W554" s="6"/>
      <c r="X554" s="6"/>
      <c r="Y554" s="6"/>
      <c r="Z554" s="6"/>
    </row>
    <row r="555" spans="1:26" ht="11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42"/>
      <c r="V555" s="6"/>
      <c r="W555" s="6"/>
      <c r="X555" s="6"/>
      <c r="Y555" s="6"/>
      <c r="Z555" s="6"/>
    </row>
    <row r="556" spans="1:26" ht="11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42"/>
      <c r="V556" s="6"/>
      <c r="W556" s="6"/>
      <c r="X556" s="6"/>
      <c r="Y556" s="6"/>
      <c r="Z556" s="6"/>
    </row>
    <row r="557" spans="1:26" ht="11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42"/>
      <c r="V557" s="6"/>
      <c r="W557" s="6"/>
      <c r="X557" s="6"/>
      <c r="Y557" s="6"/>
      <c r="Z557" s="6"/>
    </row>
    <row r="558" spans="1:26" ht="11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42"/>
      <c r="V558" s="6"/>
      <c r="W558" s="6"/>
      <c r="X558" s="6"/>
      <c r="Y558" s="6"/>
      <c r="Z558" s="6"/>
    </row>
    <row r="559" spans="1:26" ht="11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42"/>
      <c r="V559" s="6"/>
      <c r="W559" s="6"/>
      <c r="X559" s="6"/>
      <c r="Y559" s="6"/>
      <c r="Z559" s="6"/>
    </row>
    <row r="560" spans="1:26" ht="11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42"/>
      <c r="V560" s="6"/>
      <c r="W560" s="6"/>
      <c r="X560" s="6"/>
      <c r="Y560" s="6"/>
      <c r="Z560" s="6"/>
    </row>
    <row r="561" spans="1:26" ht="11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42"/>
      <c r="V561" s="6"/>
      <c r="W561" s="6"/>
      <c r="X561" s="6"/>
      <c r="Y561" s="6"/>
      <c r="Z561" s="6"/>
    </row>
    <row r="562" spans="1:26" ht="11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42"/>
      <c r="V562" s="6"/>
      <c r="W562" s="6"/>
      <c r="X562" s="6"/>
      <c r="Y562" s="6"/>
      <c r="Z562" s="6"/>
    </row>
    <row r="563" spans="1:26" ht="11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42"/>
      <c r="V563" s="6"/>
      <c r="W563" s="6"/>
      <c r="X563" s="6"/>
      <c r="Y563" s="6"/>
      <c r="Z563" s="6"/>
    </row>
    <row r="564" spans="1:26" ht="11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42"/>
      <c r="V564" s="6"/>
      <c r="W564" s="6"/>
      <c r="X564" s="6"/>
      <c r="Y564" s="6"/>
      <c r="Z564" s="6"/>
    </row>
    <row r="565" spans="1:26" ht="11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42"/>
      <c r="V565" s="6"/>
      <c r="W565" s="6"/>
      <c r="X565" s="6"/>
      <c r="Y565" s="6"/>
      <c r="Z565" s="6"/>
    </row>
    <row r="566" spans="1:26" ht="11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42"/>
      <c r="V566" s="6"/>
      <c r="W566" s="6"/>
      <c r="X566" s="6"/>
      <c r="Y566" s="6"/>
      <c r="Z566" s="6"/>
    </row>
    <row r="567" spans="1:26" ht="11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42"/>
      <c r="V567" s="6"/>
      <c r="W567" s="6"/>
      <c r="X567" s="6"/>
      <c r="Y567" s="6"/>
      <c r="Z567" s="6"/>
    </row>
    <row r="568" spans="1:26" ht="11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42"/>
      <c r="V568" s="6"/>
      <c r="W568" s="6"/>
      <c r="X568" s="6"/>
      <c r="Y568" s="6"/>
      <c r="Z568" s="6"/>
    </row>
    <row r="569" spans="1:26" ht="11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42"/>
      <c r="V569" s="6"/>
      <c r="W569" s="6"/>
      <c r="X569" s="6"/>
      <c r="Y569" s="6"/>
      <c r="Z569" s="6"/>
    </row>
    <row r="570" spans="1:26" ht="11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42"/>
      <c r="V570" s="6"/>
      <c r="W570" s="6"/>
      <c r="X570" s="6"/>
      <c r="Y570" s="6"/>
      <c r="Z570" s="6"/>
    </row>
    <row r="571" spans="1:26" ht="11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42"/>
      <c r="V571" s="6"/>
      <c r="W571" s="6"/>
      <c r="X571" s="6"/>
      <c r="Y571" s="6"/>
      <c r="Z571" s="6"/>
    </row>
    <row r="572" spans="1:26" ht="11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42"/>
      <c r="V572" s="6"/>
      <c r="W572" s="6"/>
      <c r="X572" s="6"/>
      <c r="Y572" s="6"/>
      <c r="Z572" s="6"/>
    </row>
    <row r="573" spans="1:26" ht="11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42"/>
      <c r="V573" s="6"/>
      <c r="W573" s="6"/>
      <c r="X573" s="6"/>
      <c r="Y573" s="6"/>
      <c r="Z573" s="6"/>
    </row>
    <row r="574" spans="1:26" ht="11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42"/>
      <c r="V574" s="6"/>
      <c r="W574" s="6"/>
      <c r="X574" s="6"/>
      <c r="Y574" s="6"/>
      <c r="Z574" s="6"/>
    </row>
    <row r="575" spans="1:26" ht="11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42"/>
      <c r="V575" s="6"/>
      <c r="W575" s="6"/>
      <c r="X575" s="6"/>
      <c r="Y575" s="6"/>
      <c r="Z575" s="6"/>
    </row>
    <row r="576" spans="1:26" ht="11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42"/>
      <c r="V576" s="6"/>
      <c r="W576" s="6"/>
      <c r="X576" s="6"/>
      <c r="Y576" s="6"/>
      <c r="Z576" s="6"/>
    </row>
    <row r="577" spans="1:26" ht="11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42"/>
      <c r="V577" s="6"/>
      <c r="W577" s="6"/>
      <c r="X577" s="6"/>
      <c r="Y577" s="6"/>
      <c r="Z577" s="6"/>
    </row>
    <row r="578" spans="1:26" ht="11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42"/>
      <c r="V578" s="6"/>
      <c r="W578" s="6"/>
      <c r="X578" s="6"/>
      <c r="Y578" s="6"/>
      <c r="Z578" s="6"/>
    </row>
    <row r="579" spans="1:26" ht="11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42"/>
      <c r="V579" s="6"/>
      <c r="W579" s="6"/>
      <c r="X579" s="6"/>
      <c r="Y579" s="6"/>
      <c r="Z579" s="6"/>
    </row>
    <row r="580" spans="1:26" ht="11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42"/>
      <c r="V580" s="6"/>
      <c r="W580" s="6"/>
      <c r="X580" s="6"/>
      <c r="Y580" s="6"/>
      <c r="Z580" s="6"/>
    </row>
    <row r="581" spans="1:26" ht="11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42"/>
      <c r="V581" s="6"/>
      <c r="W581" s="6"/>
      <c r="X581" s="6"/>
      <c r="Y581" s="6"/>
      <c r="Z581" s="6"/>
    </row>
    <row r="582" spans="1:26" ht="11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42"/>
      <c r="V582" s="6"/>
      <c r="W582" s="6"/>
      <c r="X582" s="6"/>
      <c r="Y582" s="6"/>
      <c r="Z582" s="6"/>
    </row>
    <row r="583" spans="1:26" ht="11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42"/>
      <c r="V583" s="6"/>
      <c r="W583" s="6"/>
      <c r="X583" s="6"/>
      <c r="Y583" s="6"/>
      <c r="Z583" s="6"/>
    </row>
    <row r="584" spans="1:26" ht="11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42"/>
      <c r="V584" s="6"/>
      <c r="W584" s="6"/>
      <c r="X584" s="6"/>
      <c r="Y584" s="6"/>
      <c r="Z584" s="6"/>
    </row>
    <row r="585" spans="1:26" ht="11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42"/>
      <c r="V585" s="6"/>
      <c r="W585" s="6"/>
      <c r="X585" s="6"/>
      <c r="Y585" s="6"/>
      <c r="Z585" s="6"/>
    </row>
    <row r="586" spans="1:26" ht="11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42"/>
      <c r="V586" s="6"/>
      <c r="W586" s="6"/>
      <c r="X586" s="6"/>
      <c r="Y586" s="6"/>
      <c r="Z586" s="6"/>
    </row>
    <row r="587" spans="1:26" ht="11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42"/>
      <c r="V587" s="6"/>
      <c r="W587" s="6"/>
      <c r="X587" s="6"/>
      <c r="Y587" s="6"/>
      <c r="Z587" s="6"/>
    </row>
    <row r="588" spans="1:26" ht="11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42"/>
      <c r="V588" s="6"/>
      <c r="W588" s="6"/>
      <c r="X588" s="6"/>
      <c r="Y588" s="6"/>
      <c r="Z588" s="6"/>
    </row>
    <row r="589" spans="1:26" ht="11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42"/>
      <c r="V589" s="6"/>
      <c r="W589" s="6"/>
      <c r="X589" s="6"/>
      <c r="Y589" s="6"/>
      <c r="Z589" s="6"/>
    </row>
    <row r="590" spans="1:26" ht="11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42"/>
      <c r="V590" s="6"/>
      <c r="W590" s="6"/>
      <c r="X590" s="6"/>
      <c r="Y590" s="6"/>
      <c r="Z590" s="6"/>
    </row>
    <row r="591" spans="1:26" ht="11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42"/>
      <c r="V591" s="6"/>
      <c r="W591" s="6"/>
      <c r="X591" s="6"/>
      <c r="Y591" s="6"/>
      <c r="Z591" s="6"/>
    </row>
    <row r="592" spans="1:26" ht="11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42"/>
      <c r="V592" s="6"/>
      <c r="W592" s="6"/>
      <c r="X592" s="6"/>
      <c r="Y592" s="6"/>
      <c r="Z592" s="6"/>
    </row>
    <row r="593" spans="1:26" ht="11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42"/>
      <c r="V593" s="6"/>
      <c r="W593" s="6"/>
      <c r="X593" s="6"/>
      <c r="Y593" s="6"/>
      <c r="Z593" s="6"/>
    </row>
    <row r="594" spans="1:26" ht="11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42"/>
      <c r="V594" s="6"/>
      <c r="W594" s="6"/>
      <c r="X594" s="6"/>
      <c r="Y594" s="6"/>
      <c r="Z594" s="6"/>
    </row>
    <row r="595" spans="1:26" ht="11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42"/>
      <c r="V595" s="6"/>
      <c r="W595" s="6"/>
      <c r="X595" s="6"/>
      <c r="Y595" s="6"/>
      <c r="Z595" s="6"/>
    </row>
    <row r="596" spans="1:26" ht="11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42"/>
      <c r="V596" s="6"/>
      <c r="W596" s="6"/>
      <c r="X596" s="6"/>
      <c r="Y596" s="6"/>
      <c r="Z596" s="6"/>
    </row>
    <row r="597" spans="1:26" ht="11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42"/>
      <c r="V597" s="6"/>
      <c r="W597" s="6"/>
      <c r="X597" s="6"/>
      <c r="Y597" s="6"/>
      <c r="Z597" s="6"/>
    </row>
    <row r="598" spans="1:26" ht="11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42"/>
      <c r="V598" s="6"/>
      <c r="W598" s="6"/>
      <c r="X598" s="6"/>
      <c r="Y598" s="6"/>
      <c r="Z598" s="6"/>
    </row>
    <row r="599" spans="1:26" ht="11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42"/>
      <c r="V599" s="6"/>
      <c r="W599" s="6"/>
      <c r="X599" s="6"/>
      <c r="Y599" s="6"/>
      <c r="Z599" s="6"/>
    </row>
    <row r="600" spans="1:26" ht="11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42"/>
      <c r="V600" s="6"/>
      <c r="W600" s="6"/>
      <c r="X600" s="6"/>
      <c r="Y600" s="6"/>
      <c r="Z600" s="6"/>
    </row>
    <row r="601" spans="1:26" ht="11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42"/>
      <c r="V601" s="6"/>
      <c r="W601" s="6"/>
      <c r="X601" s="6"/>
      <c r="Y601" s="6"/>
      <c r="Z601" s="6"/>
    </row>
    <row r="602" spans="1:26" ht="11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42"/>
      <c r="V602" s="6"/>
      <c r="W602" s="6"/>
      <c r="X602" s="6"/>
      <c r="Y602" s="6"/>
      <c r="Z602" s="6"/>
    </row>
    <row r="603" spans="1:26" ht="11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42"/>
      <c r="V603" s="6"/>
      <c r="W603" s="6"/>
      <c r="X603" s="6"/>
      <c r="Y603" s="6"/>
      <c r="Z603" s="6"/>
    </row>
    <row r="604" spans="1:26" ht="11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42"/>
      <c r="V604" s="6"/>
      <c r="W604" s="6"/>
      <c r="X604" s="6"/>
      <c r="Y604" s="6"/>
      <c r="Z604" s="6"/>
    </row>
    <row r="605" spans="1:26" ht="11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42"/>
      <c r="V605" s="6"/>
      <c r="W605" s="6"/>
      <c r="X605" s="6"/>
      <c r="Y605" s="6"/>
      <c r="Z605" s="6"/>
    </row>
    <row r="606" spans="1:26" ht="11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42"/>
      <c r="V606" s="6"/>
      <c r="W606" s="6"/>
      <c r="X606" s="6"/>
      <c r="Y606" s="6"/>
      <c r="Z606" s="6"/>
    </row>
    <row r="607" spans="1:26" ht="11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42"/>
      <c r="V607" s="6"/>
      <c r="W607" s="6"/>
      <c r="X607" s="6"/>
      <c r="Y607" s="6"/>
      <c r="Z607" s="6"/>
    </row>
    <row r="608" spans="1:26" ht="11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42"/>
      <c r="V608" s="6"/>
      <c r="W608" s="6"/>
      <c r="X608" s="6"/>
      <c r="Y608" s="6"/>
      <c r="Z608" s="6"/>
    </row>
    <row r="609" spans="1:26" ht="11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42"/>
      <c r="V609" s="6"/>
      <c r="W609" s="6"/>
      <c r="X609" s="6"/>
      <c r="Y609" s="6"/>
      <c r="Z609" s="6"/>
    </row>
    <row r="610" spans="1:26" ht="11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42"/>
      <c r="V610" s="6"/>
      <c r="W610" s="6"/>
      <c r="X610" s="6"/>
      <c r="Y610" s="6"/>
      <c r="Z610" s="6"/>
    </row>
    <row r="611" spans="1:26" ht="11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42"/>
      <c r="V611" s="6"/>
      <c r="W611" s="6"/>
      <c r="X611" s="6"/>
      <c r="Y611" s="6"/>
      <c r="Z611" s="6"/>
    </row>
    <row r="612" spans="1:26" ht="11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42"/>
      <c r="V612" s="6"/>
      <c r="W612" s="6"/>
      <c r="X612" s="6"/>
      <c r="Y612" s="6"/>
      <c r="Z612" s="6"/>
    </row>
    <row r="613" spans="1:26" ht="11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42"/>
      <c r="V613" s="6"/>
      <c r="W613" s="6"/>
      <c r="X613" s="6"/>
      <c r="Y613" s="6"/>
      <c r="Z613" s="6"/>
    </row>
    <row r="614" spans="1:26" ht="11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42"/>
      <c r="V614" s="6"/>
      <c r="W614" s="6"/>
      <c r="X614" s="6"/>
      <c r="Y614" s="6"/>
      <c r="Z614" s="6"/>
    </row>
    <row r="615" spans="1:26" ht="11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42"/>
      <c r="V615" s="6"/>
      <c r="W615" s="6"/>
      <c r="X615" s="6"/>
      <c r="Y615" s="6"/>
      <c r="Z615" s="6"/>
    </row>
    <row r="616" spans="1:26" ht="11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42"/>
      <c r="V616" s="6"/>
      <c r="W616" s="6"/>
      <c r="X616" s="6"/>
      <c r="Y616" s="6"/>
      <c r="Z616" s="6"/>
    </row>
    <row r="617" spans="1:26" ht="11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42"/>
      <c r="V617" s="6"/>
      <c r="W617" s="6"/>
      <c r="X617" s="6"/>
      <c r="Y617" s="6"/>
      <c r="Z617" s="6"/>
    </row>
    <row r="618" spans="1:26" ht="11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42"/>
      <c r="V618" s="6"/>
      <c r="W618" s="6"/>
      <c r="X618" s="6"/>
      <c r="Y618" s="6"/>
      <c r="Z618" s="6"/>
    </row>
    <row r="619" spans="1:26" ht="11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42"/>
      <c r="V619" s="6"/>
      <c r="W619" s="6"/>
      <c r="X619" s="6"/>
      <c r="Y619" s="6"/>
      <c r="Z619" s="6"/>
    </row>
    <row r="620" spans="1:26" ht="11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42"/>
      <c r="V620" s="6"/>
      <c r="W620" s="6"/>
      <c r="X620" s="6"/>
      <c r="Y620" s="6"/>
      <c r="Z620" s="6"/>
    </row>
    <row r="621" spans="1:26" ht="11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42"/>
      <c r="V621" s="6"/>
      <c r="W621" s="6"/>
      <c r="X621" s="6"/>
      <c r="Y621" s="6"/>
      <c r="Z621" s="6"/>
    </row>
    <row r="622" spans="1:26" ht="11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42"/>
      <c r="V622" s="6"/>
      <c r="W622" s="6"/>
      <c r="X622" s="6"/>
      <c r="Y622" s="6"/>
      <c r="Z622" s="6"/>
    </row>
    <row r="623" spans="1:26" ht="11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42"/>
      <c r="V623" s="6"/>
      <c r="W623" s="6"/>
      <c r="X623" s="6"/>
      <c r="Y623" s="6"/>
      <c r="Z623" s="6"/>
    </row>
    <row r="624" spans="1:26" ht="11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42"/>
      <c r="V624" s="6"/>
      <c r="W624" s="6"/>
      <c r="X624" s="6"/>
      <c r="Y624" s="6"/>
      <c r="Z624" s="6"/>
    </row>
    <row r="625" spans="1:26" ht="11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42"/>
      <c r="V625" s="6"/>
      <c r="W625" s="6"/>
      <c r="X625" s="6"/>
      <c r="Y625" s="6"/>
      <c r="Z625" s="6"/>
    </row>
    <row r="626" spans="1:26" ht="11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42"/>
      <c r="V626" s="6"/>
      <c r="W626" s="6"/>
      <c r="X626" s="6"/>
      <c r="Y626" s="6"/>
      <c r="Z626" s="6"/>
    </row>
    <row r="627" spans="1:26" ht="11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42"/>
      <c r="V627" s="6"/>
      <c r="W627" s="6"/>
      <c r="X627" s="6"/>
      <c r="Y627" s="6"/>
      <c r="Z627" s="6"/>
    </row>
    <row r="628" spans="1:26" ht="11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42"/>
      <c r="V628" s="6"/>
      <c r="W628" s="6"/>
      <c r="X628" s="6"/>
      <c r="Y628" s="6"/>
      <c r="Z628" s="6"/>
    </row>
    <row r="629" spans="1:26" ht="11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42"/>
      <c r="V629" s="6"/>
      <c r="W629" s="6"/>
      <c r="X629" s="6"/>
      <c r="Y629" s="6"/>
      <c r="Z629" s="6"/>
    </row>
    <row r="630" spans="1:26" ht="11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42"/>
      <c r="V630" s="6"/>
      <c r="W630" s="6"/>
      <c r="X630" s="6"/>
      <c r="Y630" s="6"/>
      <c r="Z630" s="6"/>
    </row>
    <row r="631" spans="1:26" ht="11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42"/>
      <c r="V631" s="6"/>
      <c r="W631" s="6"/>
      <c r="X631" s="6"/>
      <c r="Y631" s="6"/>
      <c r="Z631" s="6"/>
    </row>
    <row r="632" spans="1:26" ht="11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42"/>
      <c r="V632" s="6"/>
      <c r="W632" s="6"/>
      <c r="X632" s="6"/>
      <c r="Y632" s="6"/>
      <c r="Z632" s="6"/>
    </row>
    <row r="633" spans="1:26" ht="11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42"/>
      <c r="V633" s="6"/>
      <c r="W633" s="6"/>
      <c r="X633" s="6"/>
      <c r="Y633" s="6"/>
      <c r="Z633" s="6"/>
    </row>
    <row r="634" spans="1:26" ht="11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42"/>
      <c r="V634" s="6"/>
      <c r="W634" s="6"/>
      <c r="X634" s="6"/>
      <c r="Y634" s="6"/>
      <c r="Z634" s="6"/>
    </row>
    <row r="635" spans="1:26" ht="11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42"/>
      <c r="V635" s="6"/>
      <c r="W635" s="6"/>
      <c r="X635" s="6"/>
      <c r="Y635" s="6"/>
      <c r="Z635" s="6"/>
    </row>
    <row r="636" spans="1:26" ht="11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42"/>
      <c r="V636" s="6"/>
      <c r="W636" s="6"/>
      <c r="X636" s="6"/>
      <c r="Y636" s="6"/>
      <c r="Z636" s="6"/>
    </row>
    <row r="637" spans="1:26" ht="11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42"/>
      <c r="V637" s="6"/>
      <c r="W637" s="6"/>
      <c r="X637" s="6"/>
      <c r="Y637" s="6"/>
      <c r="Z637" s="6"/>
    </row>
    <row r="638" spans="1:26" ht="11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42"/>
      <c r="V638" s="6"/>
      <c r="W638" s="6"/>
      <c r="X638" s="6"/>
      <c r="Y638" s="6"/>
      <c r="Z638" s="6"/>
    </row>
    <row r="639" spans="1:26" ht="11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42"/>
      <c r="V639" s="6"/>
      <c r="W639" s="6"/>
      <c r="X639" s="6"/>
      <c r="Y639" s="6"/>
      <c r="Z639" s="6"/>
    </row>
    <row r="640" spans="1:26" ht="11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42"/>
      <c r="V640" s="6"/>
      <c r="W640" s="6"/>
      <c r="X640" s="6"/>
      <c r="Y640" s="6"/>
      <c r="Z640" s="6"/>
    </row>
    <row r="641" spans="1:26" ht="11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42"/>
      <c r="V641" s="6"/>
      <c r="W641" s="6"/>
      <c r="X641" s="6"/>
      <c r="Y641" s="6"/>
      <c r="Z641" s="6"/>
    </row>
    <row r="642" spans="1:26" ht="11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42"/>
      <c r="V642" s="6"/>
      <c r="W642" s="6"/>
      <c r="X642" s="6"/>
      <c r="Y642" s="6"/>
      <c r="Z642" s="6"/>
    </row>
    <row r="643" spans="1:26" ht="11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42"/>
      <c r="V643" s="6"/>
      <c r="W643" s="6"/>
      <c r="X643" s="6"/>
      <c r="Y643" s="6"/>
      <c r="Z643" s="6"/>
    </row>
    <row r="644" spans="1:26" ht="11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42"/>
      <c r="V644" s="6"/>
      <c r="W644" s="6"/>
      <c r="X644" s="6"/>
      <c r="Y644" s="6"/>
      <c r="Z644" s="6"/>
    </row>
    <row r="645" spans="1:26" ht="11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42"/>
      <c r="V645" s="6"/>
      <c r="W645" s="6"/>
      <c r="X645" s="6"/>
      <c r="Y645" s="6"/>
      <c r="Z645" s="6"/>
    </row>
    <row r="646" spans="1:26" ht="11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42"/>
      <c r="V646" s="6"/>
      <c r="W646" s="6"/>
      <c r="X646" s="6"/>
      <c r="Y646" s="6"/>
      <c r="Z646" s="6"/>
    </row>
    <row r="647" spans="1:26" ht="11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42"/>
      <c r="V647" s="6"/>
      <c r="W647" s="6"/>
      <c r="X647" s="6"/>
      <c r="Y647" s="6"/>
      <c r="Z647" s="6"/>
    </row>
    <row r="648" spans="1:26" ht="11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42"/>
      <c r="V648" s="6"/>
      <c r="W648" s="6"/>
      <c r="X648" s="6"/>
      <c r="Y648" s="6"/>
      <c r="Z648" s="6"/>
    </row>
    <row r="649" spans="1:26" ht="11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42"/>
      <c r="V649" s="6"/>
      <c r="W649" s="6"/>
      <c r="X649" s="6"/>
      <c r="Y649" s="6"/>
      <c r="Z649" s="6"/>
    </row>
    <row r="650" spans="1:26" ht="11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42"/>
      <c r="V650" s="6"/>
      <c r="W650" s="6"/>
      <c r="X650" s="6"/>
      <c r="Y650" s="6"/>
      <c r="Z650" s="6"/>
    </row>
    <row r="651" spans="1:26" ht="11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42"/>
      <c r="V651" s="6"/>
      <c r="W651" s="6"/>
      <c r="X651" s="6"/>
      <c r="Y651" s="6"/>
      <c r="Z651" s="6"/>
    </row>
    <row r="652" spans="1:26" ht="11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42"/>
      <c r="V652" s="6"/>
      <c r="W652" s="6"/>
      <c r="X652" s="6"/>
      <c r="Y652" s="6"/>
      <c r="Z652" s="6"/>
    </row>
    <row r="653" spans="1:26" ht="11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42"/>
      <c r="V653" s="6"/>
      <c r="W653" s="6"/>
      <c r="X653" s="6"/>
      <c r="Y653" s="6"/>
      <c r="Z653" s="6"/>
    </row>
    <row r="654" spans="1:26" ht="11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42"/>
      <c r="V654" s="6"/>
      <c r="W654" s="6"/>
      <c r="X654" s="6"/>
      <c r="Y654" s="6"/>
      <c r="Z654" s="6"/>
    </row>
    <row r="655" spans="1:26" ht="11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42"/>
      <c r="V655" s="6"/>
      <c r="W655" s="6"/>
      <c r="X655" s="6"/>
      <c r="Y655" s="6"/>
      <c r="Z655" s="6"/>
    </row>
    <row r="656" spans="1:26" ht="11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42"/>
      <c r="V656" s="6"/>
      <c r="W656" s="6"/>
      <c r="X656" s="6"/>
      <c r="Y656" s="6"/>
      <c r="Z656" s="6"/>
    </row>
    <row r="657" spans="1:26" ht="11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42"/>
      <c r="V657" s="6"/>
      <c r="W657" s="6"/>
      <c r="X657" s="6"/>
      <c r="Y657" s="6"/>
      <c r="Z657" s="6"/>
    </row>
    <row r="658" spans="1:26" ht="11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42"/>
      <c r="V658" s="6"/>
      <c r="W658" s="6"/>
      <c r="X658" s="6"/>
      <c r="Y658" s="6"/>
      <c r="Z658" s="6"/>
    </row>
    <row r="659" spans="1:26" ht="11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42"/>
      <c r="V659" s="6"/>
      <c r="W659" s="6"/>
      <c r="X659" s="6"/>
      <c r="Y659" s="6"/>
      <c r="Z659" s="6"/>
    </row>
    <row r="660" spans="1:26" ht="11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42"/>
      <c r="V660" s="6"/>
      <c r="W660" s="6"/>
      <c r="X660" s="6"/>
      <c r="Y660" s="6"/>
      <c r="Z660" s="6"/>
    </row>
    <row r="661" spans="1:26" ht="11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42"/>
      <c r="V661" s="6"/>
      <c r="W661" s="6"/>
      <c r="X661" s="6"/>
      <c r="Y661" s="6"/>
      <c r="Z661" s="6"/>
    </row>
    <row r="662" spans="1:26" ht="11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42"/>
      <c r="V662" s="6"/>
      <c r="W662" s="6"/>
      <c r="X662" s="6"/>
      <c r="Y662" s="6"/>
      <c r="Z662" s="6"/>
    </row>
    <row r="663" spans="1:26" ht="11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42"/>
      <c r="V663" s="6"/>
      <c r="W663" s="6"/>
      <c r="X663" s="6"/>
      <c r="Y663" s="6"/>
      <c r="Z663" s="6"/>
    </row>
    <row r="664" spans="1:26" ht="11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42"/>
      <c r="V664" s="6"/>
      <c r="W664" s="6"/>
      <c r="X664" s="6"/>
      <c r="Y664" s="6"/>
      <c r="Z664" s="6"/>
    </row>
    <row r="665" spans="1:26" ht="11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42"/>
      <c r="V665" s="6"/>
      <c r="W665" s="6"/>
      <c r="X665" s="6"/>
      <c r="Y665" s="6"/>
      <c r="Z665" s="6"/>
    </row>
    <row r="666" spans="1:26" ht="11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42"/>
      <c r="V666" s="6"/>
      <c r="W666" s="6"/>
      <c r="X666" s="6"/>
      <c r="Y666" s="6"/>
      <c r="Z666" s="6"/>
    </row>
    <row r="667" spans="1:26" ht="11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42"/>
      <c r="V667" s="6"/>
      <c r="W667" s="6"/>
      <c r="X667" s="6"/>
      <c r="Y667" s="6"/>
      <c r="Z667" s="6"/>
    </row>
    <row r="668" spans="1:26" ht="11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42"/>
      <c r="V668" s="6"/>
      <c r="W668" s="6"/>
      <c r="X668" s="6"/>
      <c r="Y668" s="6"/>
      <c r="Z668" s="6"/>
    </row>
    <row r="669" spans="1:26" ht="11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42"/>
      <c r="V669" s="6"/>
      <c r="W669" s="6"/>
      <c r="X669" s="6"/>
      <c r="Y669" s="6"/>
      <c r="Z669" s="6"/>
    </row>
    <row r="670" spans="1:26" ht="11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42"/>
      <c r="V670" s="6"/>
      <c r="W670" s="6"/>
      <c r="X670" s="6"/>
      <c r="Y670" s="6"/>
      <c r="Z670" s="6"/>
    </row>
    <row r="671" spans="1:26" ht="11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42"/>
      <c r="V671" s="6"/>
      <c r="W671" s="6"/>
      <c r="X671" s="6"/>
      <c r="Y671" s="6"/>
      <c r="Z671" s="6"/>
    </row>
    <row r="672" spans="1:26" ht="11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42"/>
      <c r="V672" s="6"/>
      <c r="W672" s="6"/>
      <c r="X672" s="6"/>
      <c r="Y672" s="6"/>
      <c r="Z672" s="6"/>
    </row>
    <row r="673" spans="1:26" ht="11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42"/>
      <c r="V673" s="6"/>
      <c r="W673" s="6"/>
      <c r="X673" s="6"/>
      <c r="Y673" s="6"/>
      <c r="Z673" s="6"/>
    </row>
    <row r="674" spans="1:26" ht="11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42"/>
      <c r="V674" s="6"/>
      <c r="W674" s="6"/>
      <c r="X674" s="6"/>
      <c r="Y674" s="6"/>
      <c r="Z674" s="6"/>
    </row>
    <row r="675" spans="1:26" ht="11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42"/>
      <c r="V675" s="6"/>
      <c r="W675" s="6"/>
      <c r="X675" s="6"/>
      <c r="Y675" s="6"/>
      <c r="Z675" s="6"/>
    </row>
    <row r="676" spans="1:26" ht="11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42"/>
      <c r="V676" s="6"/>
      <c r="W676" s="6"/>
      <c r="X676" s="6"/>
      <c r="Y676" s="6"/>
      <c r="Z676" s="6"/>
    </row>
    <row r="677" spans="1:26" ht="11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42"/>
      <c r="V677" s="6"/>
      <c r="W677" s="6"/>
      <c r="X677" s="6"/>
      <c r="Y677" s="6"/>
      <c r="Z677" s="6"/>
    </row>
    <row r="678" spans="1:26" ht="11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42"/>
      <c r="V678" s="6"/>
      <c r="W678" s="6"/>
      <c r="X678" s="6"/>
      <c r="Y678" s="6"/>
      <c r="Z678" s="6"/>
    </row>
    <row r="679" spans="1:26" ht="11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42"/>
      <c r="V679" s="6"/>
      <c r="W679" s="6"/>
      <c r="X679" s="6"/>
      <c r="Y679" s="6"/>
      <c r="Z679" s="6"/>
    </row>
    <row r="680" spans="1:26" ht="11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42"/>
      <c r="V680" s="6"/>
      <c r="W680" s="6"/>
      <c r="X680" s="6"/>
      <c r="Y680" s="6"/>
      <c r="Z680" s="6"/>
    </row>
    <row r="681" spans="1:26" ht="11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42"/>
      <c r="V681" s="6"/>
      <c r="W681" s="6"/>
      <c r="X681" s="6"/>
      <c r="Y681" s="6"/>
      <c r="Z681" s="6"/>
    </row>
    <row r="682" spans="1:26" ht="11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42"/>
      <c r="V682" s="6"/>
      <c r="W682" s="6"/>
      <c r="X682" s="6"/>
      <c r="Y682" s="6"/>
      <c r="Z682" s="6"/>
    </row>
    <row r="683" spans="1:26" ht="11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42"/>
      <c r="V683" s="6"/>
      <c r="W683" s="6"/>
      <c r="X683" s="6"/>
      <c r="Y683" s="6"/>
      <c r="Z683" s="6"/>
    </row>
    <row r="684" spans="1:26" ht="11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42"/>
      <c r="V684" s="6"/>
      <c r="W684" s="6"/>
      <c r="X684" s="6"/>
      <c r="Y684" s="6"/>
      <c r="Z684" s="6"/>
    </row>
    <row r="685" spans="1:26" ht="11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42"/>
      <c r="V685" s="6"/>
      <c r="W685" s="6"/>
      <c r="X685" s="6"/>
      <c r="Y685" s="6"/>
      <c r="Z685" s="6"/>
    </row>
    <row r="686" spans="1:26" ht="11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42"/>
      <c r="V686" s="6"/>
      <c r="W686" s="6"/>
      <c r="X686" s="6"/>
      <c r="Y686" s="6"/>
      <c r="Z686" s="6"/>
    </row>
    <row r="687" spans="1:26" ht="11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42"/>
      <c r="V687" s="6"/>
      <c r="W687" s="6"/>
      <c r="X687" s="6"/>
      <c r="Y687" s="6"/>
      <c r="Z687" s="6"/>
    </row>
    <row r="688" spans="1:26" ht="11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42"/>
      <c r="V688" s="6"/>
      <c r="W688" s="6"/>
      <c r="X688" s="6"/>
      <c r="Y688" s="6"/>
      <c r="Z688" s="6"/>
    </row>
    <row r="689" spans="1:26" ht="11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42"/>
      <c r="V689" s="6"/>
      <c r="W689" s="6"/>
      <c r="X689" s="6"/>
      <c r="Y689" s="6"/>
      <c r="Z689" s="6"/>
    </row>
    <row r="690" spans="1:26" ht="11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42"/>
      <c r="V690" s="6"/>
      <c r="W690" s="6"/>
      <c r="X690" s="6"/>
      <c r="Y690" s="6"/>
      <c r="Z690" s="6"/>
    </row>
    <row r="691" spans="1:26" ht="11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42"/>
      <c r="V691" s="6"/>
      <c r="W691" s="6"/>
      <c r="X691" s="6"/>
      <c r="Y691" s="6"/>
      <c r="Z691" s="6"/>
    </row>
    <row r="692" spans="1:26" ht="11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42"/>
      <c r="V692" s="6"/>
      <c r="W692" s="6"/>
      <c r="X692" s="6"/>
      <c r="Y692" s="6"/>
      <c r="Z692" s="6"/>
    </row>
    <row r="693" spans="1:26" ht="11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42"/>
      <c r="V693" s="6"/>
      <c r="W693" s="6"/>
      <c r="X693" s="6"/>
      <c r="Y693" s="6"/>
      <c r="Z693" s="6"/>
    </row>
    <row r="694" spans="1:26" ht="11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42"/>
      <c r="V694" s="6"/>
      <c r="W694" s="6"/>
      <c r="X694" s="6"/>
      <c r="Y694" s="6"/>
      <c r="Z694" s="6"/>
    </row>
    <row r="695" spans="1:26" ht="11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42"/>
      <c r="V695" s="6"/>
      <c r="W695" s="6"/>
      <c r="X695" s="6"/>
      <c r="Y695" s="6"/>
      <c r="Z695" s="6"/>
    </row>
    <row r="696" spans="1:26" ht="11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42"/>
      <c r="V696" s="6"/>
      <c r="W696" s="6"/>
      <c r="X696" s="6"/>
      <c r="Y696" s="6"/>
      <c r="Z696" s="6"/>
    </row>
    <row r="697" spans="1:26" ht="11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42"/>
      <c r="V697" s="6"/>
      <c r="W697" s="6"/>
      <c r="X697" s="6"/>
      <c r="Y697" s="6"/>
      <c r="Z697" s="6"/>
    </row>
    <row r="698" spans="1:26" ht="11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42"/>
      <c r="V698" s="6"/>
      <c r="W698" s="6"/>
      <c r="X698" s="6"/>
      <c r="Y698" s="6"/>
      <c r="Z698" s="6"/>
    </row>
    <row r="699" spans="1:26" ht="11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42"/>
      <c r="V699" s="6"/>
      <c r="W699" s="6"/>
      <c r="X699" s="6"/>
      <c r="Y699" s="6"/>
      <c r="Z699" s="6"/>
    </row>
    <row r="700" spans="1:26" ht="11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42"/>
      <c r="V700" s="6"/>
      <c r="W700" s="6"/>
      <c r="X700" s="6"/>
      <c r="Y700" s="6"/>
      <c r="Z700" s="6"/>
    </row>
    <row r="701" spans="1:26" ht="11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42"/>
      <c r="V701" s="6"/>
      <c r="W701" s="6"/>
      <c r="X701" s="6"/>
      <c r="Y701" s="6"/>
      <c r="Z701" s="6"/>
    </row>
    <row r="702" spans="1:26" ht="11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42"/>
      <c r="V702" s="6"/>
      <c r="W702" s="6"/>
      <c r="X702" s="6"/>
      <c r="Y702" s="6"/>
      <c r="Z702" s="6"/>
    </row>
    <row r="703" spans="1:26" ht="11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42"/>
      <c r="V703" s="6"/>
      <c r="W703" s="6"/>
      <c r="X703" s="6"/>
      <c r="Y703" s="6"/>
      <c r="Z703" s="6"/>
    </row>
    <row r="704" spans="1:26" ht="11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42"/>
      <c r="V704" s="6"/>
      <c r="W704" s="6"/>
      <c r="X704" s="6"/>
      <c r="Y704" s="6"/>
      <c r="Z704" s="6"/>
    </row>
    <row r="705" spans="1:26" ht="11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42"/>
      <c r="V705" s="6"/>
      <c r="W705" s="6"/>
      <c r="X705" s="6"/>
      <c r="Y705" s="6"/>
      <c r="Z705" s="6"/>
    </row>
    <row r="706" spans="1:26" ht="11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42"/>
      <c r="V706" s="6"/>
      <c r="W706" s="6"/>
      <c r="X706" s="6"/>
      <c r="Y706" s="6"/>
      <c r="Z706" s="6"/>
    </row>
    <row r="707" spans="1:26" ht="11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42"/>
      <c r="V707" s="6"/>
      <c r="W707" s="6"/>
      <c r="X707" s="6"/>
      <c r="Y707" s="6"/>
      <c r="Z707" s="6"/>
    </row>
    <row r="708" spans="1:26" ht="11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42"/>
      <c r="V708" s="6"/>
      <c r="W708" s="6"/>
      <c r="X708" s="6"/>
      <c r="Y708" s="6"/>
      <c r="Z708" s="6"/>
    </row>
    <row r="709" spans="1:26" ht="11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42"/>
      <c r="V709" s="6"/>
      <c r="W709" s="6"/>
      <c r="X709" s="6"/>
      <c r="Y709" s="6"/>
      <c r="Z709" s="6"/>
    </row>
    <row r="710" spans="1:26" ht="11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42"/>
      <c r="V710" s="6"/>
      <c r="W710" s="6"/>
      <c r="X710" s="6"/>
      <c r="Y710" s="6"/>
      <c r="Z710" s="6"/>
    </row>
    <row r="711" spans="1:26" ht="11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42"/>
      <c r="V711" s="6"/>
      <c r="W711" s="6"/>
      <c r="X711" s="6"/>
      <c r="Y711" s="6"/>
      <c r="Z711" s="6"/>
    </row>
    <row r="712" spans="1:26" ht="11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42"/>
      <c r="V712" s="6"/>
      <c r="W712" s="6"/>
      <c r="X712" s="6"/>
      <c r="Y712" s="6"/>
      <c r="Z712" s="6"/>
    </row>
    <row r="713" spans="1:26" ht="11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42"/>
      <c r="V713" s="6"/>
      <c r="W713" s="6"/>
      <c r="X713" s="6"/>
      <c r="Y713" s="6"/>
      <c r="Z713" s="6"/>
    </row>
    <row r="714" spans="1:26" ht="11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42"/>
      <c r="V714" s="6"/>
      <c r="W714" s="6"/>
      <c r="X714" s="6"/>
      <c r="Y714" s="6"/>
      <c r="Z714" s="6"/>
    </row>
    <row r="715" spans="1:26" ht="11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42"/>
      <c r="V715" s="6"/>
      <c r="W715" s="6"/>
      <c r="X715" s="6"/>
      <c r="Y715" s="6"/>
      <c r="Z715" s="6"/>
    </row>
    <row r="716" spans="1:26" ht="11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42"/>
      <c r="V716" s="6"/>
      <c r="W716" s="6"/>
      <c r="X716" s="6"/>
      <c r="Y716" s="6"/>
      <c r="Z716" s="6"/>
    </row>
    <row r="717" spans="1:26" ht="11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42"/>
      <c r="V717" s="6"/>
      <c r="W717" s="6"/>
      <c r="X717" s="6"/>
      <c r="Y717" s="6"/>
      <c r="Z717" s="6"/>
    </row>
    <row r="718" spans="1:26" ht="11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42"/>
      <c r="V718" s="6"/>
      <c r="W718" s="6"/>
      <c r="X718" s="6"/>
      <c r="Y718" s="6"/>
      <c r="Z718" s="6"/>
    </row>
    <row r="719" spans="1:26" ht="11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42"/>
      <c r="V719" s="6"/>
      <c r="W719" s="6"/>
      <c r="X719" s="6"/>
      <c r="Y719" s="6"/>
      <c r="Z719" s="6"/>
    </row>
    <row r="720" spans="1:26" ht="11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42"/>
      <c r="V720" s="6"/>
      <c r="W720" s="6"/>
      <c r="X720" s="6"/>
      <c r="Y720" s="6"/>
      <c r="Z720" s="6"/>
    </row>
    <row r="721" spans="1:26" ht="11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42"/>
      <c r="V721" s="6"/>
      <c r="W721" s="6"/>
      <c r="X721" s="6"/>
      <c r="Y721" s="6"/>
      <c r="Z721" s="6"/>
    </row>
    <row r="722" spans="1:26" ht="11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42"/>
      <c r="V722" s="6"/>
      <c r="W722" s="6"/>
      <c r="X722" s="6"/>
      <c r="Y722" s="6"/>
      <c r="Z722" s="6"/>
    </row>
    <row r="723" spans="1:26" ht="11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42"/>
      <c r="V723" s="6"/>
      <c r="W723" s="6"/>
      <c r="X723" s="6"/>
      <c r="Y723" s="6"/>
      <c r="Z723" s="6"/>
    </row>
    <row r="724" spans="1:26" ht="11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42"/>
      <c r="V724" s="6"/>
      <c r="W724" s="6"/>
      <c r="X724" s="6"/>
      <c r="Y724" s="6"/>
      <c r="Z724" s="6"/>
    </row>
    <row r="725" spans="1:26" ht="11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42"/>
      <c r="V725" s="6"/>
      <c r="W725" s="6"/>
      <c r="X725" s="6"/>
      <c r="Y725" s="6"/>
      <c r="Z725" s="6"/>
    </row>
    <row r="726" spans="1:26" ht="11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42"/>
      <c r="V726" s="6"/>
      <c r="W726" s="6"/>
      <c r="X726" s="6"/>
      <c r="Y726" s="6"/>
      <c r="Z726" s="6"/>
    </row>
    <row r="727" spans="1:26" ht="11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42"/>
      <c r="V727" s="6"/>
      <c r="W727" s="6"/>
      <c r="X727" s="6"/>
      <c r="Y727" s="6"/>
      <c r="Z727" s="6"/>
    </row>
    <row r="728" spans="1:26" ht="11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42"/>
      <c r="V728" s="6"/>
      <c r="W728" s="6"/>
      <c r="X728" s="6"/>
      <c r="Y728" s="6"/>
      <c r="Z728" s="6"/>
    </row>
    <row r="729" spans="1:26" ht="11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42"/>
      <c r="V729" s="6"/>
      <c r="W729" s="6"/>
      <c r="X729" s="6"/>
      <c r="Y729" s="6"/>
      <c r="Z729" s="6"/>
    </row>
    <row r="730" spans="1:26" ht="11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42"/>
      <c r="V730" s="6"/>
      <c r="W730" s="6"/>
      <c r="X730" s="6"/>
      <c r="Y730" s="6"/>
      <c r="Z730" s="6"/>
    </row>
    <row r="731" spans="1:26" ht="11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42"/>
      <c r="V731" s="6"/>
      <c r="W731" s="6"/>
      <c r="X731" s="6"/>
      <c r="Y731" s="6"/>
      <c r="Z731" s="6"/>
    </row>
    <row r="732" spans="1:26" ht="11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42"/>
      <c r="V732" s="6"/>
      <c r="W732" s="6"/>
      <c r="X732" s="6"/>
      <c r="Y732" s="6"/>
      <c r="Z732" s="6"/>
    </row>
    <row r="733" spans="1:26" ht="11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42"/>
      <c r="V733" s="6"/>
      <c r="W733" s="6"/>
      <c r="X733" s="6"/>
      <c r="Y733" s="6"/>
      <c r="Z733" s="6"/>
    </row>
    <row r="734" spans="1:26" ht="11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42"/>
      <c r="V734" s="6"/>
      <c r="W734" s="6"/>
      <c r="X734" s="6"/>
      <c r="Y734" s="6"/>
      <c r="Z734" s="6"/>
    </row>
    <row r="735" spans="1:26" ht="11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42"/>
      <c r="V735" s="6"/>
      <c r="W735" s="6"/>
      <c r="X735" s="6"/>
      <c r="Y735" s="6"/>
      <c r="Z735" s="6"/>
    </row>
    <row r="736" spans="1:26" ht="11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42"/>
      <c r="V736" s="6"/>
      <c r="W736" s="6"/>
      <c r="X736" s="6"/>
      <c r="Y736" s="6"/>
      <c r="Z736" s="6"/>
    </row>
    <row r="737" spans="1:26" ht="11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42"/>
      <c r="V737" s="6"/>
      <c r="W737" s="6"/>
      <c r="X737" s="6"/>
      <c r="Y737" s="6"/>
      <c r="Z737" s="6"/>
    </row>
    <row r="738" spans="1:26" ht="11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42"/>
      <c r="V738" s="6"/>
      <c r="W738" s="6"/>
      <c r="X738" s="6"/>
      <c r="Y738" s="6"/>
      <c r="Z738" s="6"/>
    </row>
    <row r="739" spans="1:26" ht="11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42"/>
      <c r="V739" s="6"/>
      <c r="W739" s="6"/>
      <c r="X739" s="6"/>
      <c r="Y739" s="6"/>
      <c r="Z739" s="6"/>
    </row>
    <row r="740" spans="1:26" ht="11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42"/>
      <c r="V740" s="6"/>
      <c r="W740" s="6"/>
      <c r="X740" s="6"/>
      <c r="Y740" s="6"/>
      <c r="Z740" s="6"/>
    </row>
    <row r="741" spans="1:26" ht="11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42"/>
      <c r="V741" s="6"/>
      <c r="W741" s="6"/>
      <c r="X741" s="6"/>
      <c r="Y741" s="6"/>
      <c r="Z741" s="6"/>
    </row>
    <row r="742" spans="1:26" ht="11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42"/>
      <c r="V742" s="6"/>
      <c r="W742" s="6"/>
      <c r="X742" s="6"/>
      <c r="Y742" s="6"/>
      <c r="Z742" s="6"/>
    </row>
    <row r="743" spans="1:26" ht="11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42"/>
      <c r="V743" s="6"/>
      <c r="W743" s="6"/>
      <c r="X743" s="6"/>
      <c r="Y743" s="6"/>
      <c r="Z743" s="6"/>
    </row>
    <row r="744" spans="1:26" ht="11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42"/>
      <c r="V744" s="6"/>
      <c r="W744" s="6"/>
      <c r="X744" s="6"/>
      <c r="Y744" s="6"/>
      <c r="Z744" s="6"/>
    </row>
    <row r="745" spans="1:26" ht="11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42"/>
      <c r="V745" s="6"/>
      <c r="W745" s="6"/>
      <c r="X745" s="6"/>
      <c r="Y745" s="6"/>
      <c r="Z745" s="6"/>
    </row>
    <row r="746" spans="1:26" ht="11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42"/>
      <c r="V746" s="6"/>
      <c r="W746" s="6"/>
      <c r="X746" s="6"/>
      <c r="Y746" s="6"/>
      <c r="Z746" s="6"/>
    </row>
    <row r="747" spans="1:26" ht="11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42"/>
      <c r="V747" s="6"/>
      <c r="W747" s="6"/>
      <c r="X747" s="6"/>
      <c r="Y747" s="6"/>
      <c r="Z747" s="6"/>
    </row>
    <row r="748" spans="1:26" ht="11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42"/>
      <c r="V748" s="6"/>
      <c r="W748" s="6"/>
      <c r="X748" s="6"/>
      <c r="Y748" s="6"/>
      <c r="Z748" s="6"/>
    </row>
    <row r="749" spans="1:26" ht="11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42"/>
      <c r="V749" s="6"/>
      <c r="W749" s="6"/>
      <c r="X749" s="6"/>
      <c r="Y749" s="6"/>
      <c r="Z749" s="6"/>
    </row>
    <row r="750" spans="1:26" ht="11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42"/>
      <c r="V750" s="6"/>
      <c r="W750" s="6"/>
      <c r="X750" s="6"/>
      <c r="Y750" s="6"/>
      <c r="Z750" s="6"/>
    </row>
    <row r="751" spans="1:26" ht="11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42"/>
      <c r="V751" s="6"/>
      <c r="W751" s="6"/>
      <c r="X751" s="6"/>
      <c r="Y751" s="6"/>
      <c r="Z751" s="6"/>
    </row>
    <row r="752" spans="1:26" ht="11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42"/>
      <c r="V752" s="6"/>
      <c r="W752" s="6"/>
      <c r="X752" s="6"/>
      <c r="Y752" s="6"/>
      <c r="Z752" s="6"/>
    </row>
    <row r="753" spans="1:26" ht="11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42"/>
      <c r="V753" s="6"/>
      <c r="W753" s="6"/>
      <c r="X753" s="6"/>
      <c r="Y753" s="6"/>
      <c r="Z753" s="6"/>
    </row>
    <row r="754" spans="1:26" ht="11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42"/>
      <c r="V754" s="6"/>
      <c r="W754" s="6"/>
      <c r="X754" s="6"/>
      <c r="Y754" s="6"/>
      <c r="Z754" s="6"/>
    </row>
    <row r="755" spans="1:26" ht="11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42"/>
      <c r="V755" s="6"/>
      <c r="W755" s="6"/>
      <c r="X755" s="6"/>
      <c r="Y755" s="6"/>
      <c r="Z755" s="6"/>
    </row>
    <row r="756" spans="1:26" ht="11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42"/>
      <c r="V756" s="6"/>
      <c r="W756" s="6"/>
      <c r="X756" s="6"/>
      <c r="Y756" s="6"/>
      <c r="Z756" s="6"/>
    </row>
    <row r="757" spans="1:26" ht="11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42"/>
      <c r="V757" s="6"/>
      <c r="W757" s="6"/>
      <c r="X757" s="6"/>
      <c r="Y757" s="6"/>
      <c r="Z757" s="6"/>
    </row>
    <row r="758" spans="1:26" ht="11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42"/>
      <c r="V758" s="6"/>
      <c r="W758" s="6"/>
      <c r="X758" s="6"/>
      <c r="Y758" s="6"/>
      <c r="Z758" s="6"/>
    </row>
    <row r="759" spans="1:26" ht="11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42"/>
      <c r="V759" s="6"/>
      <c r="W759" s="6"/>
      <c r="X759" s="6"/>
      <c r="Y759" s="6"/>
      <c r="Z759" s="6"/>
    </row>
    <row r="760" spans="1:26" ht="11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42"/>
      <c r="V760" s="6"/>
      <c r="W760" s="6"/>
      <c r="X760" s="6"/>
      <c r="Y760" s="6"/>
      <c r="Z760" s="6"/>
    </row>
    <row r="761" spans="1:26" ht="11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42"/>
      <c r="V761" s="6"/>
      <c r="W761" s="6"/>
      <c r="X761" s="6"/>
      <c r="Y761" s="6"/>
      <c r="Z761" s="6"/>
    </row>
    <row r="762" spans="1:26" ht="11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42"/>
      <c r="V762" s="6"/>
      <c r="W762" s="6"/>
      <c r="X762" s="6"/>
      <c r="Y762" s="6"/>
      <c r="Z762" s="6"/>
    </row>
    <row r="763" spans="1:26" ht="11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42"/>
      <c r="V763" s="6"/>
      <c r="W763" s="6"/>
      <c r="X763" s="6"/>
      <c r="Y763" s="6"/>
      <c r="Z763" s="6"/>
    </row>
    <row r="764" spans="1:26" ht="11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42"/>
      <c r="V764" s="6"/>
      <c r="W764" s="6"/>
      <c r="X764" s="6"/>
      <c r="Y764" s="6"/>
      <c r="Z764" s="6"/>
    </row>
    <row r="765" spans="1:26" ht="11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42"/>
      <c r="V765" s="6"/>
      <c r="W765" s="6"/>
      <c r="X765" s="6"/>
      <c r="Y765" s="6"/>
      <c r="Z765" s="6"/>
    </row>
    <row r="766" spans="1:26" ht="11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42"/>
      <c r="V766" s="6"/>
      <c r="W766" s="6"/>
      <c r="X766" s="6"/>
      <c r="Y766" s="6"/>
      <c r="Z766" s="6"/>
    </row>
    <row r="767" spans="1:26" ht="11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42"/>
      <c r="V767" s="6"/>
      <c r="W767" s="6"/>
      <c r="X767" s="6"/>
      <c r="Y767" s="6"/>
      <c r="Z767" s="6"/>
    </row>
    <row r="768" spans="1:26" ht="11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42"/>
      <c r="V768" s="6"/>
      <c r="W768" s="6"/>
      <c r="X768" s="6"/>
      <c r="Y768" s="6"/>
      <c r="Z768" s="6"/>
    </row>
    <row r="769" spans="1:26" ht="11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42"/>
      <c r="V769" s="6"/>
      <c r="W769" s="6"/>
      <c r="X769" s="6"/>
      <c r="Y769" s="6"/>
      <c r="Z769" s="6"/>
    </row>
    <row r="770" spans="1:26" ht="11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42"/>
      <c r="V770" s="6"/>
      <c r="W770" s="6"/>
      <c r="X770" s="6"/>
      <c r="Y770" s="6"/>
      <c r="Z770" s="6"/>
    </row>
    <row r="771" spans="1:26" ht="11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42"/>
      <c r="V771" s="6"/>
      <c r="W771" s="6"/>
      <c r="X771" s="6"/>
      <c r="Y771" s="6"/>
      <c r="Z771" s="6"/>
    </row>
    <row r="772" spans="1:26" ht="11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42"/>
      <c r="V772" s="6"/>
      <c r="W772" s="6"/>
      <c r="X772" s="6"/>
      <c r="Y772" s="6"/>
      <c r="Z772" s="6"/>
    </row>
    <row r="773" spans="1:26" ht="11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42"/>
      <c r="V773" s="6"/>
      <c r="W773" s="6"/>
      <c r="X773" s="6"/>
      <c r="Y773" s="6"/>
      <c r="Z773" s="6"/>
    </row>
    <row r="774" spans="1:26" ht="11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42"/>
      <c r="V774" s="6"/>
      <c r="W774" s="6"/>
      <c r="X774" s="6"/>
      <c r="Y774" s="6"/>
      <c r="Z774" s="6"/>
    </row>
    <row r="775" spans="1:26" ht="11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42"/>
      <c r="V775" s="6"/>
      <c r="W775" s="6"/>
      <c r="X775" s="6"/>
      <c r="Y775" s="6"/>
      <c r="Z775" s="6"/>
    </row>
    <row r="776" spans="1:26" ht="11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42"/>
      <c r="V776" s="6"/>
      <c r="W776" s="6"/>
      <c r="X776" s="6"/>
      <c r="Y776" s="6"/>
      <c r="Z776" s="6"/>
    </row>
    <row r="777" spans="1:26" ht="11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42"/>
      <c r="V777" s="6"/>
      <c r="W777" s="6"/>
      <c r="X777" s="6"/>
      <c r="Y777" s="6"/>
      <c r="Z777" s="6"/>
    </row>
    <row r="778" spans="1:26" ht="11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42"/>
      <c r="V778" s="6"/>
      <c r="W778" s="6"/>
      <c r="X778" s="6"/>
      <c r="Y778" s="6"/>
      <c r="Z778" s="6"/>
    </row>
    <row r="779" spans="1:26" ht="11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42"/>
      <c r="V779" s="6"/>
      <c r="W779" s="6"/>
      <c r="X779" s="6"/>
      <c r="Y779" s="6"/>
      <c r="Z779" s="6"/>
    </row>
    <row r="780" spans="1:26" ht="11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42"/>
      <c r="V780" s="6"/>
      <c r="W780" s="6"/>
      <c r="X780" s="6"/>
      <c r="Y780" s="6"/>
      <c r="Z780" s="6"/>
    </row>
    <row r="781" spans="1:26" ht="11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42"/>
      <c r="V781" s="6"/>
      <c r="W781" s="6"/>
      <c r="X781" s="6"/>
      <c r="Y781" s="6"/>
      <c r="Z781" s="6"/>
    </row>
    <row r="782" spans="1:26" ht="11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42"/>
      <c r="V782" s="6"/>
      <c r="W782" s="6"/>
      <c r="X782" s="6"/>
      <c r="Y782" s="6"/>
      <c r="Z782" s="6"/>
    </row>
    <row r="783" spans="1:26" ht="11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42"/>
      <c r="V783" s="6"/>
      <c r="W783" s="6"/>
      <c r="X783" s="6"/>
      <c r="Y783" s="6"/>
      <c r="Z783" s="6"/>
    </row>
    <row r="784" spans="1:26" ht="11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42"/>
      <c r="V784" s="6"/>
      <c r="W784" s="6"/>
      <c r="X784" s="6"/>
      <c r="Y784" s="6"/>
      <c r="Z784" s="6"/>
    </row>
    <row r="785" spans="1:26" ht="11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42"/>
      <c r="V785" s="6"/>
      <c r="W785" s="6"/>
      <c r="X785" s="6"/>
      <c r="Y785" s="6"/>
      <c r="Z785" s="6"/>
    </row>
    <row r="786" spans="1:26" ht="11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42"/>
      <c r="V786" s="6"/>
      <c r="W786" s="6"/>
      <c r="X786" s="6"/>
      <c r="Y786" s="6"/>
      <c r="Z786" s="6"/>
    </row>
    <row r="787" spans="1:26" ht="11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42"/>
      <c r="V787" s="6"/>
      <c r="W787" s="6"/>
      <c r="X787" s="6"/>
      <c r="Y787" s="6"/>
      <c r="Z787" s="6"/>
    </row>
    <row r="788" spans="1:26" ht="11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42"/>
      <c r="V788" s="6"/>
      <c r="W788" s="6"/>
      <c r="X788" s="6"/>
      <c r="Y788" s="6"/>
      <c r="Z788" s="6"/>
    </row>
    <row r="789" spans="1:26" ht="11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42"/>
      <c r="V789" s="6"/>
      <c r="W789" s="6"/>
      <c r="X789" s="6"/>
      <c r="Y789" s="6"/>
      <c r="Z789" s="6"/>
    </row>
    <row r="790" spans="1:26" ht="11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42"/>
      <c r="V790" s="6"/>
      <c r="W790" s="6"/>
      <c r="X790" s="6"/>
      <c r="Y790" s="6"/>
      <c r="Z790" s="6"/>
    </row>
    <row r="791" spans="1:26" ht="11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42"/>
      <c r="V791" s="6"/>
      <c r="W791" s="6"/>
      <c r="X791" s="6"/>
      <c r="Y791" s="6"/>
      <c r="Z791" s="6"/>
    </row>
    <row r="792" spans="1:26" ht="11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42"/>
      <c r="V792" s="6"/>
      <c r="W792" s="6"/>
      <c r="X792" s="6"/>
      <c r="Y792" s="6"/>
      <c r="Z792" s="6"/>
    </row>
    <row r="793" spans="1:26" ht="11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42"/>
      <c r="V793" s="6"/>
      <c r="W793" s="6"/>
      <c r="X793" s="6"/>
      <c r="Y793" s="6"/>
      <c r="Z793" s="6"/>
    </row>
    <row r="794" spans="1:26" ht="11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42"/>
      <c r="V794" s="6"/>
      <c r="W794" s="6"/>
      <c r="X794" s="6"/>
      <c r="Y794" s="6"/>
      <c r="Z794" s="6"/>
    </row>
    <row r="795" spans="1:26" ht="11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42"/>
      <c r="V795" s="6"/>
      <c r="W795" s="6"/>
      <c r="X795" s="6"/>
      <c r="Y795" s="6"/>
      <c r="Z795" s="6"/>
    </row>
    <row r="796" spans="1:26" ht="11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42"/>
      <c r="V796" s="6"/>
      <c r="W796" s="6"/>
      <c r="X796" s="6"/>
      <c r="Y796" s="6"/>
      <c r="Z796" s="6"/>
    </row>
    <row r="797" spans="1:26" ht="11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42"/>
      <c r="V797" s="6"/>
      <c r="W797" s="6"/>
      <c r="X797" s="6"/>
      <c r="Y797" s="6"/>
      <c r="Z797" s="6"/>
    </row>
    <row r="798" spans="1:26" ht="11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42"/>
      <c r="V798" s="6"/>
      <c r="W798" s="6"/>
      <c r="X798" s="6"/>
      <c r="Y798" s="6"/>
      <c r="Z798" s="6"/>
    </row>
    <row r="799" spans="1:26" ht="11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42"/>
      <c r="V799" s="6"/>
      <c r="W799" s="6"/>
      <c r="X799" s="6"/>
      <c r="Y799" s="6"/>
      <c r="Z799" s="6"/>
    </row>
    <row r="800" spans="1:26" ht="11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42"/>
      <c r="V800" s="6"/>
      <c r="W800" s="6"/>
      <c r="X800" s="6"/>
      <c r="Y800" s="6"/>
      <c r="Z800" s="6"/>
    </row>
    <row r="801" spans="1:26" ht="11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42"/>
      <c r="V801" s="6"/>
      <c r="W801" s="6"/>
      <c r="X801" s="6"/>
      <c r="Y801" s="6"/>
      <c r="Z801" s="6"/>
    </row>
    <row r="802" spans="1:26" ht="11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42"/>
      <c r="V802" s="6"/>
      <c r="W802" s="6"/>
      <c r="X802" s="6"/>
      <c r="Y802" s="6"/>
      <c r="Z802" s="6"/>
    </row>
    <row r="803" spans="1:26" ht="11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42"/>
      <c r="V803" s="6"/>
      <c r="W803" s="6"/>
      <c r="X803" s="6"/>
      <c r="Y803" s="6"/>
      <c r="Z803" s="6"/>
    </row>
    <row r="804" spans="1:26" ht="11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42"/>
      <c r="V804" s="6"/>
      <c r="W804" s="6"/>
      <c r="X804" s="6"/>
      <c r="Y804" s="6"/>
      <c r="Z804" s="6"/>
    </row>
    <row r="805" spans="1:26" ht="11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42"/>
      <c r="V805" s="6"/>
      <c r="W805" s="6"/>
      <c r="X805" s="6"/>
      <c r="Y805" s="6"/>
      <c r="Z805" s="6"/>
    </row>
    <row r="806" spans="1:26" ht="11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42"/>
      <c r="V806" s="6"/>
      <c r="W806" s="6"/>
      <c r="X806" s="6"/>
      <c r="Y806" s="6"/>
      <c r="Z806" s="6"/>
    </row>
    <row r="807" spans="1:26" ht="11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42"/>
      <c r="V807" s="6"/>
      <c r="W807" s="6"/>
      <c r="X807" s="6"/>
      <c r="Y807" s="6"/>
      <c r="Z807" s="6"/>
    </row>
    <row r="808" spans="1:26" ht="11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42"/>
      <c r="V808" s="6"/>
      <c r="W808" s="6"/>
      <c r="X808" s="6"/>
      <c r="Y808" s="6"/>
      <c r="Z808" s="6"/>
    </row>
    <row r="809" spans="1:26" ht="11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42"/>
      <c r="V809" s="6"/>
      <c r="W809" s="6"/>
      <c r="X809" s="6"/>
      <c r="Y809" s="6"/>
      <c r="Z809" s="6"/>
    </row>
    <row r="810" spans="1:26" ht="11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42"/>
      <c r="V810" s="6"/>
      <c r="W810" s="6"/>
      <c r="X810" s="6"/>
      <c r="Y810" s="6"/>
      <c r="Z810" s="6"/>
    </row>
    <row r="811" spans="1:26" ht="11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42"/>
      <c r="V811" s="6"/>
      <c r="W811" s="6"/>
      <c r="X811" s="6"/>
      <c r="Y811" s="6"/>
      <c r="Z811" s="6"/>
    </row>
    <row r="812" spans="1:26" ht="11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42"/>
      <c r="V812" s="6"/>
      <c r="W812" s="6"/>
      <c r="X812" s="6"/>
      <c r="Y812" s="6"/>
      <c r="Z812" s="6"/>
    </row>
    <row r="813" spans="1:26" ht="11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42"/>
      <c r="V813" s="6"/>
      <c r="W813" s="6"/>
      <c r="X813" s="6"/>
      <c r="Y813" s="6"/>
      <c r="Z813" s="6"/>
    </row>
    <row r="814" spans="1:26" ht="11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42"/>
      <c r="V814" s="6"/>
      <c r="W814" s="6"/>
      <c r="X814" s="6"/>
      <c r="Y814" s="6"/>
      <c r="Z814" s="6"/>
    </row>
    <row r="815" spans="1:26" ht="11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42"/>
      <c r="V815" s="6"/>
      <c r="W815" s="6"/>
      <c r="X815" s="6"/>
      <c r="Y815" s="6"/>
      <c r="Z815" s="6"/>
    </row>
    <row r="816" spans="1:26" ht="11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42"/>
      <c r="V816" s="6"/>
      <c r="W816" s="6"/>
      <c r="X816" s="6"/>
      <c r="Y816" s="6"/>
      <c r="Z816" s="6"/>
    </row>
    <row r="817" spans="1:26" ht="11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42"/>
      <c r="V817" s="6"/>
      <c r="W817" s="6"/>
      <c r="X817" s="6"/>
      <c r="Y817" s="6"/>
      <c r="Z817" s="6"/>
    </row>
    <row r="818" spans="1:26" ht="11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42"/>
      <c r="V818" s="6"/>
      <c r="W818" s="6"/>
      <c r="X818" s="6"/>
      <c r="Y818" s="6"/>
      <c r="Z818" s="6"/>
    </row>
    <row r="819" spans="1:26" ht="11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42"/>
      <c r="V819" s="6"/>
      <c r="W819" s="6"/>
      <c r="X819" s="6"/>
      <c r="Y819" s="6"/>
      <c r="Z819" s="6"/>
    </row>
    <row r="820" spans="1:26" ht="11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42"/>
      <c r="V820" s="6"/>
      <c r="W820" s="6"/>
      <c r="X820" s="6"/>
      <c r="Y820" s="6"/>
      <c r="Z820" s="6"/>
    </row>
    <row r="821" spans="1:26" ht="11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42"/>
      <c r="V821" s="6"/>
      <c r="W821" s="6"/>
      <c r="X821" s="6"/>
      <c r="Y821" s="6"/>
      <c r="Z821" s="6"/>
    </row>
    <row r="822" spans="1:26" ht="11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42"/>
      <c r="V822" s="6"/>
      <c r="W822" s="6"/>
      <c r="X822" s="6"/>
      <c r="Y822" s="6"/>
      <c r="Z822" s="6"/>
    </row>
    <row r="823" spans="1:26" ht="11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42"/>
      <c r="V823" s="6"/>
      <c r="W823" s="6"/>
      <c r="X823" s="6"/>
      <c r="Y823" s="6"/>
      <c r="Z823" s="6"/>
    </row>
    <row r="824" spans="1:26" ht="11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42"/>
      <c r="V824" s="6"/>
      <c r="W824" s="6"/>
      <c r="X824" s="6"/>
      <c r="Y824" s="6"/>
      <c r="Z824" s="6"/>
    </row>
    <row r="825" spans="1:26" ht="11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42"/>
      <c r="V825" s="6"/>
      <c r="W825" s="6"/>
      <c r="X825" s="6"/>
      <c r="Y825" s="6"/>
      <c r="Z825" s="6"/>
    </row>
    <row r="826" spans="1:26" ht="11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42"/>
      <c r="V826" s="6"/>
      <c r="W826" s="6"/>
      <c r="X826" s="6"/>
      <c r="Y826" s="6"/>
      <c r="Z826" s="6"/>
    </row>
    <row r="827" spans="1:26" ht="11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42"/>
      <c r="V827" s="6"/>
      <c r="W827" s="6"/>
      <c r="X827" s="6"/>
      <c r="Y827" s="6"/>
      <c r="Z827" s="6"/>
    </row>
    <row r="828" spans="1:26" ht="11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42"/>
      <c r="V828" s="6"/>
      <c r="W828" s="6"/>
      <c r="X828" s="6"/>
      <c r="Y828" s="6"/>
      <c r="Z828" s="6"/>
    </row>
    <row r="829" spans="1:26" ht="11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42"/>
      <c r="V829" s="6"/>
      <c r="W829" s="6"/>
      <c r="X829" s="6"/>
      <c r="Y829" s="6"/>
      <c r="Z829" s="6"/>
    </row>
    <row r="830" spans="1:26" ht="11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42"/>
      <c r="V830" s="6"/>
      <c r="W830" s="6"/>
      <c r="X830" s="6"/>
      <c r="Y830" s="6"/>
      <c r="Z830" s="6"/>
    </row>
    <row r="831" spans="1:26" ht="11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42"/>
      <c r="V831" s="6"/>
      <c r="W831" s="6"/>
      <c r="X831" s="6"/>
      <c r="Y831" s="6"/>
      <c r="Z831" s="6"/>
    </row>
    <row r="832" spans="1:26" ht="11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42"/>
      <c r="V832" s="6"/>
      <c r="W832" s="6"/>
      <c r="X832" s="6"/>
      <c r="Y832" s="6"/>
      <c r="Z832" s="6"/>
    </row>
    <row r="833" spans="1:26" ht="11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42"/>
      <c r="V833" s="6"/>
      <c r="W833" s="6"/>
      <c r="X833" s="6"/>
      <c r="Y833" s="6"/>
      <c r="Z833" s="6"/>
    </row>
    <row r="834" spans="1:26" ht="11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42"/>
      <c r="V834" s="6"/>
      <c r="W834" s="6"/>
      <c r="X834" s="6"/>
      <c r="Y834" s="6"/>
      <c r="Z834" s="6"/>
    </row>
    <row r="835" spans="1:26" ht="11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42"/>
      <c r="V835" s="6"/>
      <c r="W835" s="6"/>
      <c r="X835" s="6"/>
      <c r="Y835" s="6"/>
      <c r="Z835" s="6"/>
    </row>
    <row r="836" spans="1:26" ht="11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42"/>
      <c r="V836" s="6"/>
      <c r="W836" s="6"/>
      <c r="X836" s="6"/>
      <c r="Y836" s="6"/>
      <c r="Z836" s="6"/>
    </row>
    <row r="837" spans="1:26" ht="11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42"/>
      <c r="V837" s="6"/>
      <c r="W837" s="6"/>
      <c r="X837" s="6"/>
      <c r="Y837" s="6"/>
      <c r="Z837" s="6"/>
    </row>
    <row r="838" spans="1:26" ht="11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42"/>
      <c r="V838" s="6"/>
      <c r="W838" s="6"/>
      <c r="X838" s="6"/>
      <c r="Y838" s="6"/>
      <c r="Z838" s="6"/>
    </row>
    <row r="839" spans="1:26" ht="11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42"/>
      <c r="V839" s="6"/>
      <c r="W839" s="6"/>
      <c r="X839" s="6"/>
      <c r="Y839" s="6"/>
      <c r="Z839" s="6"/>
    </row>
    <row r="840" spans="1:26" ht="11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42"/>
      <c r="V840" s="6"/>
      <c r="W840" s="6"/>
      <c r="X840" s="6"/>
      <c r="Y840" s="6"/>
      <c r="Z840" s="6"/>
    </row>
    <row r="841" spans="1:26" ht="11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42"/>
      <c r="V841" s="6"/>
      <c r="W841" s="6"/>
      <c r="X841" s="6"/>
      <c r="Y841" s="6"/>
      <c r="Z841" s="6"/>
    </row>
    <row r="842" spans="1:26" ht="11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42"/>
      <c r="V842" s="6"/>
      <c r="W842" s="6"/>
      <c r="X842" s="6"/>
      <c r="Y842" s="6"/>
      <c r="Z842" s="6"/>
    </row>
    <row r="843" spans="1:26" ht="11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42"/>
      <c r="V843" s="6"/>
      <c r="W843" s="6"/>
      <c r="X843" s="6"/>
      <c r="Y843" s="6"/>
      <c r="Z843" s="6"/>
    </row>
    <row r="844" spans="1:26" ht="11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42"/>
      <c r="V844" s="6"/>
      <c r="W844" s="6"/>
      <c r="X844" s="6"/>
      <c r="Y844" s="6"/>
      <c r="Z844" s="6"/>
    </row>
    <row r="845" spans="1:26" ht="11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42"/>
      <c r="V845" s="6"/>
      <c r="W845" s="6"/>
      <c r="X845" s="6"/>
      <c r="Y845" s="6"/>
      <c r="Z845" s="6"/>
    </row>
    <row r="846" spans="1:26" ht="11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42"/>
      <c r="V846" s="6"/>
      <c r="W846" s="6"/>
      <c r="X846" s="6"/>
      <c r="Y846" s="6"/>
      <c r="Z846" s="6"/>
    </row>
    <row r="847" spans="1:26" ht="11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42"/>
      <c r="V847" s="6"/>
      <c r="W847" s="6"/>
      <c r="X847" s="6"/>
      <c r="Y847" s="6"/>
      <c r="Z847" s="6"/>
    </row>
    <row r="848" spans="1:26" ht="11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42"/>
      <c r="V848" s="6"/>
      <c r="W848" s="6"/>
      <c r="X848" s="6"/>
      <c r="Y848" s="6"/>
      <c r="Z848" s="6"/>
    </row>
    <row r="849" spans="1:26" ht="11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42"/>
      <c r="V849" s="6"/>
      <c r="W849" s="6"/>
      <c r="X849" s="6"/>
      <c r="Y849" s="6"/>
      <c r="Z849" s="6"/>
    </row>
    <row r="850" spans="1:26" ht="11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42"/>
      <c r="V850" s="6"/>
      <c r="W850" s="6"/>
      <c r="X850" s="6"/>
      <c r="Y850" s="6"/>
      <c r="Z850" s="6"/>
    </row>
    <row r="851" spans="1:26" ht="11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42"/>
      <c r="V851" s="6"/>
      <c r="W851" s="6"/>
      <c r="X851" s="6"/>
      <c r="Y851" s="6"/>
      <c r="Z851" s="6"/>
    </row>
    <row r="852" spans="1:26" ht="11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42"/>
      <c r="V852" s="6"/>
      <c r="W852" s="6"/>
      <c r="X852" s="6"/>
      <c r="Y852" s="6"/>
      <c r="Z852" s="6"/>
    </row>
    <row r="853" spans="1:26" ht="11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42"/>
      <c r="V853" s="6"/>
      <c r="W853" s="6"/>
      <c r="X853" s="6"/>
      <c r="Y853" s="6"/>
      <c r="Z853" s="6"/>
    </row>
    <row r="854" spans="1:26" ht="11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42"/>
      <c r="V854" s="6"/>
      <c r="W854" s="6"/>
      <c r="X854" s="6"/>
      <c r="Y854" s="6"/>
      <c r="Z854" s="6"/>
    </row>
    <row r="855" spans="1:26" ht="11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42"/>
      <c r="V855" s="6"/>
      <c r="W855" s="6"/>
      <c r="X855" s="6"/>
      <c r="Y855" s="6"/>
      <c r="Z855" s="6"/>
    </row>
    <row r="856" spans="1:26" ht="11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42"/>
      <c r="V856" s="6"/>
      <c r="W856" s="6"/>
      <c r="X856" s="6"/>
      <c r="Y856" s="6"/>
      <c r="Z856" s="6"/>
    </row>
    <row r="857" spans="1:26" ht="11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42"/>
      <c r="V857" s="6"/>
      <c r="W857" s="6"/>
      <c r="X857" s="6"/>
      <c r="Y857" s="6"/>
      <c r="Z857" s="6"/>
    </row>
    <row r="858" spans="1:26" ht="11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42"/>
      <c r="V858" s="6"/>
      <c r="W858" s="6"/>
      <c r="X858" s="6"/>
      <c r="Y858" s="6"/>
      <c r="Z858" s="6"/>
    </row>
    <row r="859" spans="1:26" ht="11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42"/>
      <c r="V859" s="6"/>
      <c r="W859" s="6"/>
      <c r="X859" s="6"/>
      <c r="Y859" s="6"/>
      <c r="Z859" s="6"/>
    </row>
    <row r="860" spans="1:26" ht="11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42"/>
      <c r="V860" s="6"/>
      <c r="W860" s="6"/>
      <c r="X860" s="6"/>
      <c r="Y860" s="6"/>
      <c r="Z860" s="6"/>
    </row>
    <row r="861" spans="1:26" ht="11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42"/>
      <c r="V861" s="6"/>
      <c r="W861" s="6"/>
      <c r="X861" s="6"/>
      <c r="Y861" s="6"/>
      <c r="Z861" s="6"/>
    </row>
    <row r="862" spans="1:26" ht="11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42"/>
      <c r="V862" s="6"/>
      <c r="W862" s="6"/>
      <c r="X862" s="6"/>
      <c r="Y862" s="6"/>
      <c r="Z862" s="6"/>
    </row>
    <row r="863" spans="1:26" ht="11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42"/>
      <c r="V863" s="6"/>
      <c r="W863" s="6"/>
      <c r="X863" s="6"/>
      <c r="Y863" s="6"/>
      <c r="Z863" s="6"/>
    </row>
    <row r="864" spans="1:26" ht="11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42"/>
      <c r="V864" s="6"/>
      <c r="W864" s="6"/>
      <c r="X864" s="6"/>
      <c r="Y864" s="6"/>
      <c r="Z864" s="6"/>
    </row>
    <row r="865" spans="1:26" ht="11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42"/>
      <c r="V865" s="6"/>
      <c r="W865" s="6"/>
      <c r="X865" s="6"/>
      <c r="Y865" s="6"/>
      <c r="Z865" s="6"/>
    </row>
    <row r="866" spans="1:26" ht="11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42"/>
      <c r="V866" s="6"/>
      <c r="W866" s="6"/>
      <c r="X866" s="6"/>
      <c r="Y866" s="6"/>
      <c r="Z866" s="6"/>
    </row>
    <row r="867" spans="1:26" ht="11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42"/>
      <c r="V867" s="6"/>
      <c r="W867" s="6"/>
      <c r="X867" s="6"/>
      <c r="Y867" s="6"/>
      <c r="Z867" s="6"/>
    </row>
    <row r="868" spans="1:26" ht="11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42"/>
      <c r="V868" s="6"/>
      <c r="W868" s="6"/>
      <c r="X868" s="6"/>
      <c r="Y868" s="6"/>
      <c r="Z868" s="6"/>
    </row>
    <row r="869" spans="1:26" ht="11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42"/>
      <c r="V869" s="6"/>
      <c r="W869" s="6"/>
      <c r="X869" s="6"/>
      <c r="Y869" s="6"/>
      <c r="Z869" s="6"/>
    </row>
    <row r="870" spans="1:26" ht="11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42"/>
      <c r="V870" s="6"/>
      <c r="W870" s="6"/>
      <c r="X870" s="6"/>
      <c r="Y870" s="6"/>
      <c r="Z870" s="6"/>
    </row>
    <row r="871" spans="1:26" ht="11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42"/>
      <c r="V871" s="6"/>
      <c r="W871" s="6"/>
      <c r="X871" s="6"/>
      <c r="Y871" s="6"/>
      <c r="Z871" s="6"/>
    </row>
    <row r="872" spans="1:26" ht="11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42"/>
      <c r="V872" s="6"/>
      <c r="W872" s="6"/>
      <c r="X872" s="6"/>
      <c r="Y872" s="6"/>
      <c r="Z872" s="6"/>
    </row>
    <row r="873" spans="1:26" ht="11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42"/>
      <c r="V873" s="6"/>
      <c r="W873" s="6"/>
      <c r="X873" s="6"/>
      <c r="Y873" s="6"/>
      <c r="Z873" s="6"/>
    </row>
    <row r="874" spans="1:26" ht="11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42"/>
      <c r="V874" s="6"/>
      <c r="W874" s="6"/>
      <c r="X874" s="6"/>
      <c r="Y874" s="6"/>
      <c r="Z874" s="6"/>
    </row>
    <row r="875" spans="1:26" ht="11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42"/>
      <c r="V875" s="6"/>
      <c r="W875" s="6"/>
      <c r="X875" s="6"/>
      <c r="Y875" s="6"/>
      <c r="Z875" s="6"/>
    </row>
    <row r="876" spans="1:26" ht="11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42"/>
      <c r="V876" s="6"/>
      <c r="W876" s="6"/>
      <c r="X876" s="6"/>
      <c r="Y876" s="6"/>
      <c r="Z876" s="6"/>
    </row>
    <row r="877" spans="1:26" ht="11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42"/>
      <c r="V877" s="6"/>
      <c r="W877" s="6"/>
      <c r="X877" s="6"/>
      <c r="Y877" s="6"/>
      <c r="Z877" s="6"/>
    </row>
    <row r="878" spans="1:26" ht="11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42"/>
      <c r="V878" s="6"/>
      <c r="W878" s="6"/>
      <c r="X878" s="6"/>
      <c r="Y878" s="6"/>
      <c r="Z878" s="6"/>
    </row>
    <row r="879" spans="1:26" ht="11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42"/>
      <c r="V879" s="6"/>
      <c r="W879" s="6"/>
      <c r="X879" s="6"/>
      <c r="Y879" s="6"/>
      <c r="Z879" s="6"/>
    </row>
    <row r="880" spans="1:26" ht="11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42"/>
      <c r="V880" s="6"/>
      <c r="W880" s="6"/>
      <c r="X880" s="6"/>
      <c r="Y880" s="6"/>
      <c r="Z880" s="6"/>
    </row>
    <row r="881" spans="1:26" ht="11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42"/>
      <c r="V881" s="6"/>
      <c r="W881" s="6"/>
      <c r="X881" s="6"/>
      <c r="Y881" s="6"/>
      <c r="Z881" s="6"/>
    </row>
    <row r="882" spans="1:26" ht="11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42"/>
      <c r="V882" s="6"/>
      <c r="W882" s="6"/>
      <c r="X882" s="6"/>
      <c r="Y882" s="6"/>
      <c r="Z882" s="6"/>
    </row>
    <row r="883" spans="1:26" ht="11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42"/>
      <c r="V883" s="6"/>
      <c r="W883" s="6"/>
      <c r="X883" s="6"/>
      <c r="Y883" s="6"/>
      <c r="Z883" s="6"/>
    </row>
    <row r="884" spans="1:26" ht="11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42"/>
      <c r="V884" s="6"/>
      <c r="W884" s="6"/>
      <c r="X884" s="6"/>
      <c r="Y884" s="6"/>
      <c r="Z884" s="6"/>
    </row>
    <row r="885" spans="1:26" ht="11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42"/>
      <c r="V885" s="6"/>
      <c r="W885" s="6"/>
      <c r="X885" s="6"/>
      <c r="Y885" s="6"/>
      <c r="Z885" s="6"/>
    </row>
    <row r="886" spans="1:26" ht="11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42"/>
      <c r="V886" s="6"/>
      <c r="W886" s="6"/>
      <c r="X886" s="6"/>
      <c r="Y886" s="6"/>
      <c r="Z886" s="6"/>
    </row>
    <row r="887" spans="1:26" ht="11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42"/>
      <c r="V887" s="6"/>
      <c r="W887" s="6"/>
      <c r="X887" s="6"/>
      <c r="Y887" s="6"/>
      <c r="Z887" s="6"/>
    </row>
    <row r="888" spans="1:26" ht="11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42"/>
      <c r="V888" s="6"/>
      <c r="W888" s="6"/>
      <c r="X888" s="6"/>
      <c r="Y888" s="6"/>
      <c r="Z888" s="6"/>
    </row>
    <row r="889" spans="1:26" ht="11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42"/>
      <c r="V889" s="6"/>
      <c r="W889" s="6"/>
      <c r="X889" s="6"/>
      <c r="Y889" s="6"/>
      <c r="Z889" s="6"/>
    </row>
    <row r="890" spans="1:26" ht="11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42"/>
      <c r="V890" s="6"/>
      <c r="W890" s="6"/>
      <c r="X890" s="6"/>
      <c r="Y890" s="6"/>
      <c r="Z890" s="6"/>
    </row>
    <row r="891" spans="1:26" ht="11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42"/>
      <c r="V891" s="6"/>
      <c r="W891" s="6"/>
      <c r="X891" s="6"/>
      <c r="Y891" s="6"/>
      <c r="Z891" s="6"/>
    </row>
    <row r="892" spans="1:26" ht="11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42"/>
      <c r="V892" s="6"/>
      <c r="W892" s="6"/>
      <c r="X892" s="6"/>
      <c r="Y892" s="6"/>
      <c r="Z892" s="6"/>
    </row>
    <row r="893" spans="1:26" ht="11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42"/>
      <c r="V893" s="6"/>
      <c r="W893" s="6"/>
      <c r="X893" s="6"/>
      <c r="Y893" s="6"/>
      <c r="Z893" s="6"/>
    </row>
    <row r="894" spans="1:26" ht="11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42"/>
      <c r="V894" s="6"/>
      <c r="W894" s="6"/>
      <c r="X894" s="6"/>
      <c r="Y894" s="6"/>
      <c r="Z894" s="6"/>
    </row>
    <row r="895" spans="1:26" ht="11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42"/>
      <c r="V895" s="6"/>
      <c r="W895" s="6"/>
      <c r="X895" s="6"/>
      <c r="Y895" s="6"/>
      <c r="Z895" s="6"/>
    </row>
    <row r="896" spans="1:26" ht="11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42"/>
      <c r="V896" s="6"/>
      <c r="W896" s="6"/>
      <c r="X896" s="6"/>
      <c r="Y896" s="6"/>
      <c r="Z896" s="6"/>
    </row>
    <row r="897" spans="1:26" ht="11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42"/>
      <c r="V897" s="6"/>
      <c r="W897" s="6"/>
      <c r="X897" s="6"/>
      <c r="Y897" s="6"/>
      <c r="Z897" s="6"/>
    </row>
    <row r="898" spans="1:26" ht="11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42"/>
      <c r="V898" s="6"/>
      <c r="W898" s="6"/>
      <c r="X898" s="6"/>
      <c r="Y898" s="6"/>
      <c r="Z898" s="6"/>
    </row>
    <row r="899" spans="1:26" ht="11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42"/>
      <c r="V899" s="6"/>
      <c r="W899" s="6"/>
      <c r="X899" s="6"/>
      <c r="Y899" s="6"/>
      <c r="Z899" s="6"/>
    </row>
    <row r="900" spans="1:26" ht="11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42"/>
      <c r="V900" s="6"/>
      <c r="W900" s="6"/>
      <c r="X900" s="6"/>
      <c r="Y900" s="6"/>
      <c r="Z900" s="6"/>
    </row>
    <row r="901" spans="1:26" ht="11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42"/>
      <c r="V901" s="6"/>
      <c r="W901" s="6"/>
      <c r="X901" s="6"/>
      <c r="Y901" s="6"/>
      <c r="Z901" s="6"/>
    </row>
    <row r="902" spans="1:26" ht="11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42"/>
      <c r="V902" s="6"/>
      <c r="W902" s="6"/>
      <c r="X902" s="6"/>
      <c r="Y902" s="6"/>
      <c r="Z902" s="6"/>
    </row>
    <row r="903" spans="1:26" ht="11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42"/>
      <c r="V903" s="6"/>
      <c r="W903" s="6"/>
      <c r="X903" s="6"/>
      <c r="Y903" s="6"/>
      <c r="Z903" s="6"/>
    </row>
    <row r="904" spans="1:26" ht="11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42"/>
      <c r="V904" s="6"/>
      <c r="W904" s="6"/>
      <c r="X904" s="6"/>
      <c r="Y904" s="6"/>
      <c r="Z904" s="6"/>
    </row>
    <row r="905" spans="1:26" ht="11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42"/>
      <c r="V905" s="6"/>
      <c r="W905" s="6"/>
      <c r="X905" s="6"/>
      <c r="Y905" s="6"/>
      <c r="Z905" s="6"/>
    </row>
    <row r="906" spans="1:26" ht="11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42"/>
      <c r="V906" s="6"/>
      <c r="W906" s="6"/>
      <c r="X906" s="6"/>
      <c r="Y906" s="6"/>
      <c r="Z906" s="6"/>
    </row>
    <row r="907" spans="1:26" ht="11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42"/>
      <c r="V907" s="6"/>
      <c r="W907" s="6"/>
      <c r="X907" s="6"/>
      <c r="Y907" s="6"/>
      <c r="Z907" s="6"/>
    </row>
    <row r="908" spans="1:26" ht="11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42"/>
      <c r="V908" s="6"/>
      <c r="W908" s="6"/>
      <c r="X908" s="6"/>
      <c r="Y908" s="6"/>
      <c r="Z908" s="6"/>
    </row>
    <row r="909" spans="1:26" ht="11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42"/>
      <c r="V909" s="6"/>
      <c r="W909" s="6"/>
      <c r="X909" s="6"/>
      <c r="Y909" s="6"/>
      <c r="Z909" s="6"/>
    </row>
    <row r="910" spans="1:26" ht="11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42"/>
      <c r="V910" s="6"/>
      <c r="W910" s="6"/>
      <c r="X910" s="6"/>
      <c r="Y910" s="6"/>
      <c r="Z910" s="6"/>
    </row>
    <row r="911" spans="1:26" ht="11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42"/>
      <c r="V911" s="6"/>
      <c r="W911" s="6"/>
      <c r="X911" s="6"/>
      <c r="Y911" s="6"/>
      <c r="Z911" s="6"/>
    </row>
    <row r="912" spans="1:26" ht="11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42"/>
      <c r="V912" s="6"/>
      <c r="W912" s="6"/>
      <c r="X912" s="6"/>
      <c r="Y912" s="6"/>
      <c r="Z912" s="6"/>
    </row>
    <row r="913" spans="1:26" ht="11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42"/>
      <c r="V913" s="6"/>
      <c r="W913" s="6"/>
      <c r="X913" s="6"/>
      <c r="Y913" s="6"/>
      <c r="Z913" s="6"/>
    </row>
    <row r="914" spans="1:26" ht="11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42"/>
      <c r="V914" s="6"/>
      <c r="W914" s="6"/>
      <c r="X914" s="6"/>
      <c r="Y914" s="6"/>
      <c r="Z914" s="6"/>
    </row>
    <row r="915" spans="1:26" ht="11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42"/>
      <c r="V915" s="6"/>
      <c r="W915" s="6"/>
      <c r="X915" s="6"/>
      <c r="Y915" s="6"/>
      <c r="Z915" s="6"/>
    </row>
    <row r="916" spans="1:26" ht="11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42"/>
      <c r="V916" s="6"/>
      <c r="W916" s="6"/>
      <c r="X916" s="6"/>
      <c r="Y916" s="6"/>
      <c r="Z916" s="6"/>
    </row>
    <row r="917" spans="1:26" ht="11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42"/>
      <c r="V917" s="6"/>
      <c r="W917" s="6"/>
      <c r="X917" s="6"/>
      <c r="Y917" s="6"/>
      <c r="Z917" s="6"/>
    </row>
    <row r="918" spans="1:26" ht="11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42"/>
      <c r="V918" s="6"/>
      <c r="W918" s="6"/>
      <c r="X918" s="6"/>
      <c r="Y918" s="6"/>
      <c r="Z918" s="6"/>
    </row>
    <row r="919" spans="1:26" ht="11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42"/>
      <c r="V919" s="6"/>
      <c r="W919" s="6"/>
      <c r="X919" s="6"/>
      <c r="Y919" s="6"/>
      <c r="Z919" s="6"/>
    </row>
    <row r="920" spans="1:26" ht="11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42"/>
      <c r="V920" s="6"/>
      <c r="W920" s="6"/>
      <c r="X920" s="6"/>
      <c r="Y920" s="6"/>
      <c r="Z920" s="6"/>
    </row>
    <row r="921" spans="1:26" ht="11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42"/>
      <c r="V921" s="6"/>
      <c r="W921" s="6"/>
      <c r="X921" s="6"/>
      <c r="Y921" s="6"/>
      <c r="Z921" s="6"/>
    </row>
    <row r="922" spans="1:26" ht="11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42"/>
      <c r="V922" s="6"/>
      <c r="W922" s="6"/>
      <c r="X922" s="6"/>
      <c r="Y922" s="6"/>
      <c r="Z922" s="6"/>
    </row>
    <row r="923" spans="1:26" ht="11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42"/>
      <c r="V923" s="6"/>
      <c r="W923" s="6"/>
      <c r="X923" s="6"/>
      <c r="Y923" s="6"/>
      <c r="Z923" s="6"/>
    </row>
    <row r="924" spans="1:26" ht="11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42"/>
      <c r="V924" s="6"/>
      <c r="W924" s="6"/>
      <c r="X924" s="6"/>
      <c r="Y924" s="6"/>
      <c r="Z924" s="6"/>
    </row>
    <row r="925" spans="1:26" ht="11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42"/>
      <c r="V925" s="6"/>
      <c r="W925" s="6"/>
      <c r="X925" s="6"/>
      <c r="Y925" s="6"/>
      <c r="Z925" s="6"/>
    </row>
    <row r="926" spans="1:26" ht="11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42"/>
      <c r="V926" s="6"/>
      <c r="W926" s="6"/>
      <c r="X926" s="6"/>
      <c r="Y926" s="6"/>
      <c r="Z926" s="6"/>
    </row>
    <row r="927" spans="1:26" ht="11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42"/>
      <c r="V927" s="6"/>
      <c r="W927" s="6"/>
      <c r="X927" s="6"/>
      <c r="Y927" s="6"/>
      <c r="Z927" s="6"/>
    </row>
    <row r="928" spans="1:26" ht="11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42"/>
      <c r="V928" s="6"/>
      <c r="W928" s="6"/>
      <c r="X928" s="6"/>
      <c r="Y928" s="6"/>
      <c r="Z928" s="6"/>
    </row>
    <row r="929" spans="1:26" ht="11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42"/>
      <c r="V929" s="6"/>
      <c r="W929" s="6"/>
      <c r="X929" s="6"/>
      <c r="Y929" s="6"/>
      <c r="Z929" s="6"/>
    </row>
    <row r="930" spans="1:26" ht="11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42"/>
      <c r="V930" s="6"/>
      <c r="W930" s="6"/>
      <c r="X930" s="6"/>
      <c r="Y930" s="6"/>
      <c r="Z930" s="6"/>
    </row>
    <row r="931" spans="1:26" ht="11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42"/>
      <c r="V931" s="6"/>
      <c r="W931" s="6"/>
      <c r="X931" s="6"/>
      <c r="Y931" s="6"/>
      <c r="Z931" s="6"/>
    </row>
    <row r="932" spans="1:26" ht="11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42"/>
      <c r="V932" s="6"/>
      <c r="W932" s="6"/>
      <c r="X932" s="6"/>
      <c r="Y932" s="6"/>
      <c r="Z932" s="6"/>
    </row>
    <row r="933" spans="1:26" ht="11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42"/>
      <c r="V933" s="6"/>
      <c r="W933" s="6"/>
      <c r="X933" s="6"/>
      <c r="Y933" s="6"/>
      <c r="Z933" s="6"/>
    </row>
    <row r="934" spans="1:26" ht="11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42"/>
      <c r="V934" s="6"/>
      <c r="W934" s="6"/>
      <c r="X934" s="6"/>
      <c r="Y934" s="6"/>
      <c r="Z934" s="6"/>
    </row>
    <row r="935" spans="1:26" ht="11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42"/>
      <c r="V935" s="6"/>
      <c r="W935" s="6"/>
      <c r="X935" s="6"/>
      <c r="Y935" s="6"/>
      <c r="Z935" s="6"/>
    </row>
    <row r="936" spans="1:26" ht="11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42"/>
      <c r="V936" s="6"/>
      <c r="W936" s="6"/>
      <c r="X936" s="6"/>
      <c r="Y936" s="6"/>
      <c r="Z936" s="6"/>
    </row>
    <row r="937" spans="1:26" ht="11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42"/>
      <c r="V937" s="6"/>
      <c r="W937" s="6"/>
      <c r="X937" s="6"/>
      <c r="Y937" s="6"/>
      <c r="Z937" s="6"/>
    </row>
    <row r="938" spans="1:26" ht="11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42"/>
      <c r="V938" s="6"/>
      <c r="W938" s="6"/>
      <c r="X938" s="6"/>
      <c r="Y938" s="6"/>
      <c r="Z938" s="6"/>
    </row>
    <row r="939" spans="1:26" ht="11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42"/>
      <c r="V939" s="6"/>
      <c r="W939" s="6"/>
      <c r="X939" s="6"/>
      <c r="Y939" s="6"/>
      <c r="Z939" s="6"/>
    </row>
    <row r="940" spans="1:26" ht="11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42"/>
      <c r="V940" s="6"/>
      <c r="W940" s="6"/>
      <c r="X940" s="6"/>
      <c r="Y940" s="6"/>
      <c r="Z940" s="6"/>
    </row>
    <row r="941" spans="1:26" ht="11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42"/>
      <c r="V941" s="6"/>
      <c r="W941" s="6"/>
      <c r="X941" s="6"/>
      <c r="Y941" s="6"/>
      <c r="Z941" s="6"/>
    </row>
    <row r="942" spans="1:26" ht="11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42"/>
      <c r="V942" s="6"/>
      <c r="W942" s="6"/>
      <c r="X942" s="6"/>
      <c r="Y942" s="6"/>
      <c r="Z942" s="6"/>
    </row>
    <row r="943" spans="1:26" ht="11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42"/>
      <c r="V943" s="6"/>
      <c r="W943" s="6"/>
      <c r="X943" s="6"/>
      <c r="Y943" s="6"/>
      <c r="Z943" s="6"/>
    </row>
    <row r="944" spans="1:26" ht="11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42"/>
      <c r="V944" s="6"/>
      <c r="W944" s="6"/>
      <c r="X944" s="6"/>
      <c r="Y944" s="6"/>
      <c r="Z944" s="6"/>
    </row>
    <row r="945" spans="1:26" ht="11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42"/>
      <c r="V945" s="6"/>
      <c r="W945" s="6"/>
      <c r="X945" s="6"/>
      <c r="Y945" s="6"/>
      <c r="Z945" s="6"/>
    </row>
    <row r="946" spans="1:26" ht="11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42"/>
      <c r="V946" s="6"/>
      <c r="W946" s="6"/>
      <c r="X946" s="6"/>
      <c r="Y946" s="6"/>
      <c r="Z946" s="6"/>
    </row>
    <row r="947" spans="1:26" ht="11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42"/>
      <c r="V947" s="6"/>
      <c r="W947" s="6"/>
      <c r="X947" s="6"/>
      <c r="Y947" s="6"/>
      <c r="Z947" s="6"/>
    </row>
    <row r="948" spans="1:26" ht="11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42"/>
      <c r="V948" s="6"/>
      <c r="W948" s="6"/>
      <c r="X948" s="6"/>
      <c r="Y948" s="6"/>
      <c r="Z948" s="6"/>
    </row>
    <row r="949" spans="1:26" ht="11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42"/>
      <c r="V949" s="6"/>
      <c r="W949" s="6"/>
      <c r="X949" s="6"/>
      <c r="Y949" s="6"/>
      <c r="Z949" s="6"/>
    </row>
    <row r="950" spans="1:26" ht="11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42"/>
      <c r="V950" s="6"/>
      <c r="W950" s="6"/>
      <c r="X950" s="6"/>
      <c r="Y950" s="6"/>
      <c r="Z950" s="6"/>
    </row>
    <row r="951" spans="1:26" ht="11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42"/>
      <c r="V951" s="6"/>
      <c r="W951" s="6"/>
      <c r="X951" s="6"/>
      <c r="Y951" s="6"/>
      <c r="Z951" s="6"/>
    </row>
    <row r="952" spans="1:26" ht="11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42"/>
      <c r="V952" s="6"/>
      <c r="W952" s="6"/>
      <c r="X952" s="6"/>
      <c r="Y952" s="6"/>
      <c r="Z952" s="6"/>
    </row>
    <row r="953" spans="1:26" ht="11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42"/>
      <c r="V953" s="6"/>
      <c r="W953" s="6"/>
      <c r="X953" s="6"/>
      <c r="Y953" s="6"/>
      <c r="Z953" s="6"/>
    </row>
    <row r="954" spans="1:26" ht="11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42"/>
      <c r="V954" s="6"/>
      <c r="W954" s="6"/>
      <c r="X954" s="6"/>
      <c r="Y954" s="6"/>
      <c r="Z954" s="6"/>
    </row>
    <row r="955" spans="1:26" ht="11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42"/>
      <c r="V955" s="6"/>
      <c r="W955" s="6"/>
      <c r="X955" s="6"/>
      <c r="Y955" s="6"/>
      <c r="Z955" s="6"/>
    </row>
    <row r="956" spans="1:26" ht="11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42"/>
      <c r="V956" s="6"/>
      <c r="W956" s="6"/>
      <c r="X956" s="6"/>
      <c r="Y956" s="6"/>
      <c r="Z956" s="6"/>
    </row>
    <row r="957" spans="1:26" ht="11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42"/>
      <c r="V957" s="6"/>
      <c r="W957" s="6"/>
      <c r="X957" s="6"/>
      <c r="Y957" s="6"/>
      <c r="Z957" s="6"/>
    </row>
    <row r="958" spans="1:26" ht="11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42"/>
      <c r="V958" s="6"/>
      <c r="W958" s="6"/>
      <c r="X958" s="6"/>
      <c r="Y958" s="6"/>
      <c r="Z958" s="6"/>
    </row>
    <row r="959" spans="1:26" ht="11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42"/>
      <c r="V959" s="6"/>
      <c r="W959" s="6"/>
      <c r="X959" s="6"/>
      <c r="Y959" s="6"/>
      <c r="Z959" s="6"/>
    </row>
    <row r="960" spans="1:26" ht="11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42"/>
      <c r="V960" s="6"/>
      <c r="W960" s="6"/>
      <c r="X960" s="6"/>
      <c r="Y960" s="6"/>
      <c r="Z960" s="6"/>
    </row>
    <row r="961" spans="1:26" ht="11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42"/>
      <c r="V961" s="6"/>
      <c r="W961" s="6"/>
      <c r="X961" s="6"/>
      <c r="Y961" s="6"/>
      <c r="Z961" s="6"/>
    </row>
    <row r="962" spans="1:26" ht="11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42"/>
      <c r="V962" s="6"/>
      <c r="W962" s="6"/>
      <c r="X962" s="6"/>
      <c r="Y962" s="6"/>
      <c r="Z962" s="6"/>
    </row>
    <row r="963" spans="1:26" ht="11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42"/>
      <c r="V963" s="6"/>
      <c r="W963" s="6"/>
      <c r="X963" s="6"/>
      <c r="Y963" s="6"/>
      <c r="Z963" s="6"/>
    </row>
    <row r="964" spans="1:26" ht="11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42"/>
      <c r="V964" s="6"/>
      <c r="W964" s="6"/>
      <c r="X964" s="6"/>
      <c r="Y964" s="6"/>
      <c r="Z964" s="6"/>
    </row>
    <row r="965" spans="1:26" ht="11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42"/>
      <c r="V965" s="6"/>
      <c r="W965" s="6"/>
      <c r="X965" s="6"/>
      <c r="Y965" s="6"/>
      <c r="Z965" s="6"/>
    </row>
    <row r="966" spans="1:26" ht="11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42"/>
      <c r="V966" s="6"/>
      <c r="W966" s="6"/>
      <c r="X966" s="6"/>
      <c r="Y966" s="6"/>
      <c r="Z966" s="6"/>
    </row>
    <row r="967" spans="1:26" ht="11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42"/>
      <c r="V967" s="6"/>
      <c r="W967" s="6"/>
      <c r="X967" s="6"/>
      <c r="Y967" s="6"/>
      <c r="Z967" s="6"/>
    </row>
    <row r="968" spans="1:26" ht="11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42"/>
      <c r="V968" s="6"/>
      <c r="W968" s="6"/>
      <c r="X968" s="6"/>
      <c r="Y968" s="6"/>
      <c r="Z968" s="6"/>
    </row>
    <row r="969" spans="1:26" ht="11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42"/>
      <c r="V969" s="6"/>
      <c r="W969" s="6"/>
      <c r="X969" s="6"/>
      <c r="Y969" s="6"/>
      <c r="Z969" s="6"/>
    </row>
    <row r="970" spans="1:26" ht="11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42"/>
      <c r="V970" s="6"/>
      <c r="W970" s="6"/>
      <c r="X970" s="6"/>
      <c r="Y970" s="6"/>
      <c r="Z970" s="6"/>
    </row>
    <row r="971" spans="1:26" ht="11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42"/>
      <c r="V971" s="6"/>
      <c r="W971" s="6"/>
      <c r="X971" s="6"/>
      <c r="Y971" s="6"/>
      <c r="Z971" s="6"/>
    </row>
    <row r="972" spans="1:26" ht="11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42"/>
      <c r="V972" s="6"/>
      <c r="W972" s="6"/>
      <c r="X972" s="6"/>
      <c r="Y972" s="6"/>
      <c r="Z972" s="6"/>
    </row>
    <row r="973" spans="1:26" ht="11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42"/>
      <c r="V973" s="6"/>
      <c r="W973" s="6"/>
      <c r="X973" s="6"/>
      <c r="Y973" s="6"/>
      <c r="Z973" s="6"/>
    </row>
    <row r="974" spans="1:26" ht="11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42"/>
      <c r="V974" s="6"/>
      <c r="W974" s="6"/>
      <c r="X974" s="6"/>
      <c r="Y974" s="6"/>
      <c r="Z974" s="6"/>
    </row>
    <row r="975" spans="1:26" ht="11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42"/>
      <c r="V975" s="6"/>
      <c r="W975" s="6"/>
      <c r="X975" s="6"/>
      <c r="Y975" s="6"/>
      <c r="Z975" s="6"/>
    </row>
    <row r="976" spans="1:26" ht="11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42"/>
      <c r="V976" s="6"/>
      <c r="W976" s="6"/>
      <c r="X976" s="6"/>
      <c r="Y976" s="6"/>
      <c r="Z976" s="6"/>
    </row>
    <row r="977" spans="1:26" ht="11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42"/>
      <c r="V977" s="6"/>
      <c r="W977" s="6"/>
      <c r="X977" s="6"/>
      <c r="Y977" s="6"/>
      <c r="Z977" s="6"/>
    </row>
    <row r="978" spans="1:26" ht="11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42"/>
      <c r="V978" s="6"/>
      <c r="W978" s="6"/>
      <c r="X978" s="6"/>
      <c r="Y978" s="6"/>
      <c r="Z978" s="6"/>
    </row>
    <row r="979" spans="1:26" ht="11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42"/>
      <c r="V979" s="6"/>
      <c r="W979" s="6"/>
      <c r="X979" s="6"/>
      <c r="Y979" s="6"/>
      <c r="Z979" s="6"/>
    </row>
    <row r="980" spans="1:26" ht="11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42"/>
      <c r="V980" s="6"/>
      <c r="W980" s="6"/>
      <c r="X980" s="6"/>
      <c r="Y980" s="6"/>
      <c r="Z980" s="6"/>
    </row>
    <row r="981" spans="1:26" ht="11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42"/>
      <c r="V981" s="6"/>
      <c r="W981" s="6"/>
      <c r="X981" s="6"/>
      <c r="Y981" s="6"/>
      <c r="Z981" s="6"/>
    </row>
    <row r="982" spans="1:26" ht="11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42"/>
      <c r="V982" s="6"/>
      <c r="W982" s="6"/>
      <c r="X982" s="6"/>
      <c r="Y982" s="6"/>
      <c r="Z982" s="6"/>
    </row>
    <row r="983" spans="1:26" ht="11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42"/>
      <c r="V983" s="6"/>
      <c r="W983" s="6"/>
      <c r="X983" s="6"/>
      <c r="Y983" s="6"/>
      <c r="Z983" s="6"/>
    </row>
    <row r="984" spans="1:26" ht="11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42"/>
      <c r="V984" s="6"/>
      <c r="W984" s="6"/>
      <c r="X984" s="6"/>
      <c r="Y984" s="6"/>
      <c r="Z984" s="6"/>
    </row>
    <row r="985" spans="1:26" ht="11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42"/>
      <c r="V985" s="6"/>
      <c r="W985" s="6"/>
      <c r="X985" s="6"/>
      <c r="Y985" s="6"/>
      <c r="Z985" s="6"/>
    </row>
    <row r="986" spans="1:26" ht="11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42"/>
      <c r="V986" s="6"/>
      <c r="W986" s="6"/>
      <c r="X986" s="6"/>
      <c r="Y986" s="6"/>
      <c r="Z986" s="6"/>
    </row>
    <row r="987" spans="1:26" ht="11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42"/>
      <c r="V987" s="6"/>
      <c r="W987" s="6"/>
      <c r="X987" s="6"/>
      <c r="Y987" s="6"/>
      <c r="Z987" s="6"/>
    </row>
    <row r="988" spans="1:26" ht="11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42"/>
      <c r="V988" s="6"/>
      <c r="W988" s="6"/>
      <c r="X988" s="6"/>
      <c r="Y988" s="6"/>
      <c r="Z988" s="6"/>
    </row>
    <row r="989" spans="1:26" ht="11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42"/>
      <c r="V989" s="6"/>
      <c r="W989" s="6"/>
      <c r="X989" s="6"/>
      <c r="Y989" s="6"/>
      <c r="Z989" s="6"/>
    </row>
    <row r="990" spans="1:26" ht="11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42"/>
      <c r="V990" s="6"/>
      <c r="W990" s="6"/>
      <c r="X990" s="6"/>
      <c r="Y990" s="6"/>
      <c r="Z990" s="6"/>
    </row>
    <row r="991" spans="1:26" ht="11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42"/>
      <c r="V991" s="6"/>
      <c r="W991" s="6"/>
      <c r="X991" s="6"/>
      <c r="Y991" s="6"/>
      <c r="Z991" s="6"/>
    </row>
    <row r="992" spans="1:26" ht="11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42"/>
      <c r="V992" s="6"/>
      <c r="W992" s="6"/>
      <c r="X992" s="6"/>
      <c r="Y992" s="6"/>
      <c r="Z992" s="6"/>
    </row>
    <row r="993" spans="1:26" ht="11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42"/>
      <c r="V993" s="6"/>
      <c r="W993" s="6"/>
      <c r="X993" s="6"/>
      <c r="Y993" s="6"/>
      <c r="Z993" s="6"/>
    </row>
    <row r="994" spans="1:26" ht="11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42"/>
      <c r="V994" s="6"/>
      <c r="W994" s="6"/>
      <c r="X994" s="6"/>
      <c r="Y994" s="6"/>
      <c r="Z994" s="6"/>
    </row>
    <row r="995" spans="1:26" ht="11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42"/>
      <c r="V995" s="6"/>
      <c r="W995" s="6"/>
      <c r="X995" s="6"/>
      <c r="Y995" s="6"/>
      <c r="Z995" s="6"/>
    </row>
    <row r="996" spans="1:26" ht="11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42"/>
      <c r="V996" s="6"/>
      <c r="W996" s="6"/>
      <c r="X996" s="6"/>
      <c r="Y996" s="6"/>
      <c r="Z996" s="6"/>
    </row>
    <row r="997" spans="1:26" ht="11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42"/>
      <c r="V997" s="6"/>
      <c r="W997" s="6"/>
      <c r="X997" s="6"/>
      <c r="Y997" s="6"/>
      <c r="Z997" s="6"/>
    </row>
    <row r="998" spans="1:26" ht="11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42"/>
      <c r="V998" s="6"/>
      <c r="W998" s="6"/>
      <c r="X998" s="6"/>
      <c r="Y998" s="6"/>
      <c r="Z998" s="6"/>
    </row>
    <row r="999" spans="1:26" ht="11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42"/>
      <c r="V999" s="6"/>
      <c r="W999" s="6"/>
      <c r="X999" s="6"/>
      <c r="Y999" s="6"/>
      <c r="Z999" s="6"/>
    </row>
    <row r="1000" spans="1:26" ht="11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42"/>
      <c r="V1000" s="6"/>
      <c r="W1000" s="6"/>
      <c r="X1000" s="6"/>
      <c r="Y1000" s="6"/>
      <c r="Z1000" s="6"/>
    </row>
  </sheetData>
  <conditionalFormatting sqref="E7:E35 E37">
    <cfRule type="cellIs" dxfId="1" priority="1" operator="equal">
      <formula>"No"</formula>
    </cfRule>
  </conditionalFormatting>
  <conditionalFormatting sqref="Q38">
    <cfRule type="cellIs" dxfId="0" priority="2" operator="greaterThan">
      <formula>5</formula>
    </cfRule>
  </conditionalFormatting>
  <pageMargins left="0.7" right="0.7" top="0.75" bottom="0.75" header="0" footer="0"/>
  <pageSetup scale="46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Z1000"/>
  <sheetViews>
    <sheetView showGridLines="0" topLeftCell="A112" workbookViewId="0">
      <selection activeCell="G11" sqref="G11"/>
    </sheetView>
  </sheetViews>
  <sheetFormatPr defaultColWidth="12.6640625" defaultRowHeight="15" customHeight="1"/>
  <cols>
    <col min="1" max="2" width="1.6640625" customWidth="1"/>
    <col min="3" max="3" width="43.6640625" customWidth="1"/>
    <col min="4" max="4" width="11.44140625" customWidth="1"/>
    <col min="5" max="5" width="16.6640625" customWidth="1"/>
    <col min="6" max="6" width="7.21875" customWidth="1"/>
    <col min="7" max="7" width="1.6640625" customWidth="1"/>
    <col min="8" max="26" width="9" customWidth="1"/>
  </cols>
  <sheetData>
    <row r="1" spans="1:26" ht="11.2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1.25" customHeight="1">
      <c r="A2" s="12"/>
      <c r="B2" s="12"/>
      <c r="C2" s="192"/>
      <c r="D2" s="192"/>
      <c r="E2" s="19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1.25" customHeight="1">
      <c r="A3" s="12"/>
      <c r="B3" s="12"/>
      <c r="C3" s="33" t="e">
        <f>TEXT(#REF!,0)&amp;" - Borrowing Base Inputs"</f>
        <v>#REF!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1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1.25" customHeight="1">
      <c r="A5" s="12"/>
      <c r="B5" s="12"/>
      <c r="C5" s="22" t="s">
        <v>232</v>
      </c>
      <c r="D5" s="23"/>
      <c r="E5" s="2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1.25" customHeight="1">
      <c r="A6" s="12"/>
      <c r="B6" s="12"/>
      <c r="C6" s="12" t="s">
        <v>233</v>
      </c>
      <c r="D6" s="24">
        <v>2.2499999999999999E-2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1.25" customHeight="1">
      <c r="A7" s="12"/>
      <c r="B7" s="12"/>
      <c r="C7" s="25"/>
      <c r="D7" s="25"/>
      <c r="E7" s="19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1.25" customHeight="1">
      <c r="A8" s="12"/>
      <c r="B8" s="12"/>
      <c r="C8" s="12" t="s">
        <v>234</v>
      </c>
      <c r="D8" s="24">
        <v>2.75E-2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1.25" customHeight="1">
      <c r="A9" s="12"/>
      <c r="B9" s="12"/>
      <c r="C9" s="26" t="s">
        <v>235</v>
      </c>
      <c r="D9" s="27">
        <v>0.65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1.25" customHeight="1">
      <c r="A10" s="12"/>
      <c r="B10" s="12"/>
      <c r="C10" s="12" t="s">
        <v>236</v>
      </c>
      <c r="D10" s="28">
        <v>0.03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1.25" customHeight="1">
      <c r="A11" s="12"/>
      <c r="B11" s="12"/>
      <c r="C11" s="29" t="s">
        <v>237</v>
      </c>
      <c r="D11" s="30">
        <v>0.65</v>
      </c>
      <c r="E11" s="29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1.25" customHeight="1">
      <c r="A12" s="12"/>
      <c r="B12" s="12"/>
      <c r="C12" s="31" t="s">
        <v>238</v>
      </c>
      <c r="D12" s="32">
        <v>0.5</v>
      </c>
      <c r="E12" s="19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1.25" customHeight="1">
      <c r="A13" s="12"/>
      <c r="B13" s="12"/>
      <c r="C13" s="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1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1.25" customHeight="1">
      <c r="A15" s="12"/>
      <c r="B15" s="12"/>
      <c r="C15" s="34" t="s">
        <v>239</v>
      </c>
      <c r="D15" s="35"/>
      <c r="E15" s="3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1.25" customHeight="1">
      <c r="A16" s="12"/>
      <c r="B16" s="12"/>
      <c r="C16" s="19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1.25" customHeight="1">
      <c r="A17" s="12"/>
      <c r="B17" s="12"/>
      <c r="C17" s="195" t="s">
        <v>240</v>
      </c>
      <c r="D17" s="196"/>
      <c r="E17" s="196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1.25" customHeight="1">
      <c r="A18" s="12"/>
      <c r="B18" s="12"/>
      <c r="C18" s="15" t="s">
        <v>241</v>
      </c>
      <c r="D18" s="15" t="s">
        <v>242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1.25" customHeight="1">
      <c r="A19" s="12"/>
      <c r="B19" s="12"/>
      <c r="C19" s="19" t="s">
        <v>30</v>
      </c>
      <c r="D19" s="20">
        <v>0.65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1.25" customHeight="1">
      <c r="A20" s="12"/>
      <c r="B20" s="12"/>
      <c r="C20" s="21" t="s">
        <v>243</v>
      </c>
      <c r="D20" s="20">
        <v>0.65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1.25" customHeight="1">
      <c r="A21" s="12"/>
      <c r="B21" s="12"/>
      <c r="C21" s="12" t="s">
        <v>45</v>
      </c>
      <c r="D21" s="20">
        <v>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1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1.25" customHeight="1">
      <c r="A23" s="12"/>
      <c r="B23" s="12"/>
      <c r="C23" s="195" t="s">
        <v>244</v>
      </c>
      <c r="D23" s="196"/>
      <c r="E23" s="19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1.25" customHeight="1">
      <c r="A24" s="12"/>
      <c r="B24" s="12"/>
      <c r="C24" s="3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1.25" customHeight="1">
      <c r="A25" s="12"/>
      <c r="B25" s="12"/>
      <c r="C25" s="15" t="s">
        <v>30</v>
      </c>
      <c r="D25" s="15" t="s">
        <v>245</v>
      </c>
      <c r="E25" s="15" t="s">
        <v>174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1.25" customHeight="1">
      <c r="A26" s="12"/>
      <c r="B26" s="12"/>
      <c r="C26" s="12" t="s">
        <v>246</v>
      </c>
      <c r="D26" s="12"/>
      <c r="E26" s="16">
        <v>0.2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1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1.25" customHeight="1">
      <c r="A28" s="12"/>
      <c r="B28" s="12"/>
      <c r="C28" s="3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1.25" customHeight="1">
      <c r="A29" s="12"/>
      <c r="B29" s="12"/>
      <c r="C29" s="15" t="s">
        <v>243</v>
      </c>
      <c r="D29" s="15"/>
      <c r="E29" s="15" t="s">
        <v>174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1.25" customHeight="1">
      <c r="A30" s="12"/>
      <c r="B30" s="12"/>
      <c r="C30" s="12" t="s">
        <v>247</v>
      </c>
      <c r="D30" s="12"/>
      <c r="E30" s="17">
        <v>0.05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1.25" customHeight="1">
      <c r="A31" s="12"/>
      <c r="B31" s="12"/>
      <c r="C31" s="12" t="s">
        <v>248</v>
      </c>
      <c r="D31" s="12"/>
      <c r="E31" s="17">
        <v>0.2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1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1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1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1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1.25" customHeight="1">
      <c r="A36" s="12"/>
      <c r="B36" s="12"/>
      <c r="C36" s="101" t="s">
        <v>249</v>
      </c>
      <c r="D36" s="197"/>
      <c r="E36" s="197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1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1.25" customHeight="1">
      <c r="A38" s="12"/>
      <c r="B38" s="12"/>
      <c r="C38" s="195" t="s">
        <v>240</v>
      </c>
      <c r="D38" s="196"/>
      <c r="E38" s="19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1.25" customHeight="1">
      <c r="A39" s="12"/>
      <c r="B39" s="12"/>
      <c r="C39" s="15" t="s">
        <v>250</v>
      </c>
      <c r="D39" s="15" t="s">
        <v>95</v>
      </c>
      <c r="E39" s="15" t="s">
        <v>121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1.25" customHeight="1">
      <c r="A40" s="12"/>
      <c r="B40" s="12"/>
      <c r="C40" s="14" t="s">
        <v>140</v>
      </c>
      <c r="D40" s="18" t="s">
        <v>251</v>
      </c>
      <c r="E40" s="18">
        <v>1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1.25" customHeight="1">
      <c r="A41" s="12"/>
      <c r="B41" s="12"/>
      <c r="C41" s="14" t="s">
        <v>252</v>
      </c>
      <c r="D41" s="11" t="s">
        <v>251</v>
      </c>
      <c r="E41" s="11">
        <v>1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1.25" customHeight="1">
      <c r="A42" s="12"/>
      <c r="B42" s="12"/>
      <c r="C42" s="14" t="s">
        <v>253</v>
      </c>
      <c r="D42" s="11" t="s">
        <v>251</v>
      </c>
      <c r="E42" s="11">
        <v>0.85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1.25" customHeight="1">
      <c r="A43" s="12"/>
      <c r="B43" s="12"/>
      <c r="C43" s="14" t="s">
        <v>92</v>
      </c>
      <c r="D43" s="11">
        <v>0.65</v>
      </c>
      <c r="E43" s="11">
        <v>0.75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1.25" customHeight="1">
      <c r="A44" s="12"/>
      <c r="B44" s="12"/>
      <c r="C44" s="14" t="s">
        <v>202</v>
      </c>
      <c r="D44" s="11">
        <v>0.7</v>
      </c>
      <c r="E44" s="11">
        <v>0.75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1.25" customHeight="1">
      <c r="A45" s="12"/>
      <c r="B45" s="12"/>
      <c r="C45" s="14" t="s">
        <v>195</v>
      </c>
      <c r="D45" s="11">
        <v>0.55000000000000004</v>
      </c>
      <c r="E45" s="11">
        <v>0.65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1.25" customHeight="1">
      <c r="A46" s="12"/>
      <c r="B46" s="12"/>
      <c r="C46" s="14" t="s">
        <v>196</v>
      </c>
      <c r="D46" s="11">
        <v>0.5</v>
      </c>
      <c r="E46" s="11">
        <v>0.6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1.25" customHeight="1">
      <c r="A47" s="12"/>
      <c r="B47" s="12"/>
      <c r="C47" s="14" t="s">
        <v>197</v>
      </c>
      <c r="D47" s="11">
        <v>0.45</v>
      </c>
      <c r="E47" s="11">
        <v>0.55000000000000004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1.25" customHeight="1">
      <c r="A48" s="12"/>
      <c r="B48" s="12"/>
      <c r="C48" s="14" t="s">
        <v>198</v>
      </c>
      <c r="D48" s="11">
        <v>0.4</v>
      </c>
      <c r="E48" s="11">
        <v>0.5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1.25" customHeight="1">
      <c r="A49" s="12"/>
      <c r="B49" s="12"/>
      <c r="C49" s="14" t="s">
        <v>199</v>
      </c>
      <c r="D49" s="11">
        <v>0.4</v>
      </c>
      <c r="E49" s="11">
        <v>0.5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1.25" customHeight="1">
      <c r="A50" s="12"/>
      <c r="B50" s="12"/>
      <c r="C50" s="14" t="s">
        <v>200</v>
      </c>
      <c r="D50" s="11">
        <v>0.35</v>
      </c>
      <c r="E50" s="11">
        <v>0.4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1.25" customHeight="1">
      <c r="A51" s="12"/>
      <c r="B51" s="12"/>
      <c r="C51" s="14" t="s">
        <v>254</v>
      </c>
      <c r="D51" s="11">
        <v>0.2</v>
      </c>
      <c r="E51" s="11">
        <v>0.3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1.25" customHeight="1">
      <c r="A52" s="12"/>
      <c r="B52" s="12"/>
      <c r="C52" s="14" t="s">
        <v>143</v>
      </c>
      <c r="D52" s="11">
        <v>0</v>
      </c>
      <c r="E52" s="11">
        <v>0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1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1.25" customHeight="1">
      <c r="A54" s="12"/>
      <c r="B54" s="12"/>
      <c r="C54" s="13" t="s">
        <v>255</v>
      </c>
      <c r="D54" s="198"/>
      <c r="E54" s="198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1.25" customHeight="1">
      <c r="A55" s="12"/>
      <c r="B55" s="12"/>
      <c r="C55" s="4" t="s">
        <v>160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1.25" customHeight="1">
      <c r="A56" s="12"/>
      <c r="B56" s="12"/>
      <c r="C56" s="14" t="s">
        <v>121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1.25" customHeight="1">
      <c r="A57" s="12"/>
      <c r="B57" s="12"/>
      <c r="C57" s="14" t="s">
        <v>95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1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1.25" customHeight="1">
      <c r="A59" s="12"/>
      <c r="B59" s="12"/>
      <c r="C59" s="4" t="s">
        <v>256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1.25" customHeight="1">
      <c r="A60" s="12"/>
      <c r="B60" s="12"/>
      <c r="C60" s="14" t="s">
        <v>257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1.25" customHeight="1">
      <c r="A61" s="12"/>
      <c r="B61" s="12"/>
      <c r="C61" s="14" t="s">
        <v>94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1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1.25" customHeight="1">
      <c r="A63" s="12"/>
      <c r="B63" s="12"/>
      <c r="C63" s="13" t="s">
        <v>258</v>
      </c>
      <c r="D63" s="198"/>
      <c r="E63" s="198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1.25" customHeight="1">
      <c r="A64" s="12"/>
      <c r="B64" s="12"/>
      <c r="C64" s="4" t="s">
        <v>259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1.25" customHeight="1">
      <c r="A65" s="12"/>
      <c r="B65" s="12"/>
      <c r="C65" s="14" t="s">
        <v>102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1.25" customHeight="1">
      <c r="A66" s="12"/>
      <c r="B66" s="12"/>
      <c r="C66" s="14" t="s">
        <v>260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1.25" customHeight="1">
      <c r="A67" s="12"/>
      <c r="B67" s="12"/>
      <c r="C67" s="14" t="s">
        <v>261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1.25" customHeight="1">
      <c r="A68" s="12"/>
      <c r="B68" s="12"/>
      <c r="C68" s="14" t="s">
        <v>262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1.25" customHeight="1">
      <c r="A69" s="12"/>
      <c r="B69" s="12"/>
      <c r="C69" s="14" t="s">
        <v>263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1.25" customHeight="1">
      <c r="A70" s="12"/>
      <c r="B70" s="12"/>
      <c r="C70" s="14" t="s">
        <v>264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1.25" customHeight="1">
      <c r="A71" s="12"/>
      <c r="B71" s="12"/>
      <c r="C71" s="14" t="s">
        <v>134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1.25" customHeight="1">
      <c r="A72" s="12"/>
      <c r="B72" s="12"/>
      <c r="C72" s="14" t="s">
        <v>265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1.25" customHeight="1">
      <c r="A73" s="12"/>
      <c r="B73" s="12"/>
      <c r="C73" s="14" t="s">
        <v>266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1.25" customHeight="1">
      <c r="A74" s="12"/>
      <c r="B74" s="12"/>
      <c r="C74" s="14" t="s">
        <v>267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1.25" customHeight="1">
      <c r="A75" s="12"/>
      <c r="B75" s="12"/>
      <c r="C75" s="14" t="s">
        <v>268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1.25" customHeight="1">
      <c r="A76" s="12"/>
      <c r="B76" s="12"/>
      <c r="C76" s="14" t="s">
        <v>269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1.25" customHeight="1">
      <c r="A77" s="12"/>
      <c r="B77" s="12"/>
      <c r="C77" s="14" t="s">
        <v>93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1.25" customHeight="1">
      <c r="A78" s="12"/>
      <c r="B78" s="12"/>
      <c r="C78" s="14" t="s">
        <v>270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1.25" customHeight="1">
      <c r="A79" s="12"/>
      <c r="B79" s="12"/>
      <c r="C79" s="14" t="s">
        <v>271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1.25" customHeight="1">
      <c r="A80" s="12"/>
      <c r="B80" s="12"/>
      <c r="C80" s="14" t="s">
        <v>272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1.25" customHeight="1">
      <c r="A81" s="12"/>
      <c r="B81" s="12"/>
      <c r="C81" s="14" t="s">
        <v>273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1.25" customHeight="1">
      <c r="A82" s="12"/>
      <c r="B82" s="12"/>
      <c r="C82" s="14" t="s">
        <v>274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1.25" customHeight="1">
      <c r="A83" s="12"/>
      <c r="B83" s="12"/>
      <c r="C83" s="14" t="s">
        <v>275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1.25" customHeight="1">
      <c r="A84" s="12"/>
      <c r="B84" s="12"/>
      <c r="C84" s="14" t="s">
        <v>276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1.25" customHeight="1">
      <c r="A85" s="12"/>
      <c r="B85" s="12"/>
      <c r="C85" s="14" t="s">
        <v>277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1.25" customHeight="1">
      <c r="A86" s="12"/>
      <c r="B86" s="12"/>
      <c r="C86" s="14" t="s">
        <v>111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1.25" customHeight="1">
      <c r="A87" s="12"/>
      <c r="B87" s="12"/>
      <c r="C87" s="14" t="s">
        <v>278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1.25" customHeight="1">
      <c r="A88" s="12"/>
      <c r="B88" s="12"/>
      <c r="C88" s="14" t="s">
        <v>279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1.25" customHeight="1">
      <c r="A89" s="12"/>
      <c r="B89" s="12"/>
      <c r="C89" s="14" t="s">
        <v>137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1.25" customHeight="1">
      <c r="A90" s="12"/>
      <c r="B90" s="12"/>
      <c r="C90" s="14" t="s">
        <v>280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1.25" customHeight="1">
      <c r="A91" s="12"/>
      <c r="B91" s="12"/>
      <c r="C91" s="14" t="s">
        <v>281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1.25" customHeight="1">
      <c r="A92" s="12"/>
      <c r="B92" s="12"/>
      <c r="C92" s="14" t="s">
        <v>116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1.25" customHeight="1">
      <c r="A93" s="12"/>
      <c r="B93" s="12"/>
      <c r="C93" s="14" t="s">
        <v>282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1.25" customHeight="1">
      <c r="A94" s="12"/>
      <c r="B94" s="12"/>
      <c r="C94" s="14" t="s">
        <v>283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1.25" customHeight="1">
      <c r="A95" s="12"/>
      <c r="B95" s="12"/>
      <c r="C95" s="14" t="s">
        <v>120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1.25" customHeight="1">
      <c r="A96" s="12"/>
      <c r="B96" s="12"/>
      <c r="C96" s="14" t="s">
        <v>284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1.25" customHeight="1">
      <c r="A97" s="12"/>
      <c r="B97" s="12"/>
      <c r="C97" s="14" t="s">
        <v>285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1.25" customHeight="1">
      <c r="A98" s="12"/>
      <c r="B98" s="12"/>
      <c r="C98" s="14" t="s">
        <v>286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1.25" customHeight="1">
      <c r="A99" s="12"/>
      <c r="B99" s="12"/>
      <c r="C99" s="14" t="s">
        <v>287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1.25" customHeight="1">
      <c r="A100" s="12"/>
      <c r="B100" s="12"/>
      <c r="C100" s="14" t="s">
        <v>288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1.25" customHeight="1">
      <c r="A101" s="12"/>
      <c r="B101" s="12"/>
      <c r="C101" s="14" t="s">
        <v>131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1.25" customHeight="1">
      <c r="A102" s="12"/>
      <c r="B102" s="12"/>
      <c r="C102" s="14" t="s">
        <v>289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1.25" customHeight="1">
      <c r="A103" s="12"/>
      <c r="B103" s="12"/>
      <c r="C103" s="14" t="s">
        <v>290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1.25" customHeight="1">
      <c r="A104" s="12"/>
      <c r="B104" s="12"/>
      <c r="C104" s="14" t="s">
        <v>291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1.25" customHeight="1">
      <c r="A105" s="12"/>
      <c r="B105" s="12"/>
      <c r="C105" s="14" t="s">
        <v>292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1.25" customHeight="1">
      <c r="A106" s="12"/>
      <c r="B106" s="12"/>
      <c r="C106" s="14" t="s">
        <v>107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1.25" customHeight="1">
      <c r="A107" s="12"/>
      <c r="B107" s="12"/>
      <c r="C107" s="14" t="s">
        <v>293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1.25" customHeight="1">
      <c r="A108" s="12"/>
      <c r="B108" s="12"/>
      <c r="C108" s="14" t="s">
        <v>294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1.25" customHeight="1">
      <c r="A109" s="12"/>
      <c r="B109" s="12"/>
      <c r="C109" s="14" t="s">
        <v>295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1.25" customHeight="1">
      <c r="A110" s="12"/>
      <c r="B110" s="12"/>
      <c r="C110" s="14" t="s">
        <v>296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1.25" customHeight="1">
      <c r="A111" s="12"/>
      <c r="B111" s="12"/>
      <c r="C111" s="14" t="s">
        <v>297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1.25" customHeight="1">
      <c r="A112" s="12"/>
      <c r="B112" s="12"/>
      <c r="C112" s="14" t="s">
        <v>298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1.25" customHeight="1">
      <c r="A113" s="12"/>
      <c r="B113" s="12"/>
      <c r="C113" s="14" t="s">
        <v>299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1.25" customHeight="1">
      <c r="A114" s="12"/>
      <c r="B114" s="12"/>
      <c r="C114" s="14" t="s">
        <v>300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1.25" customHeight="1">
      <c r="A115" s="12"/>
      <c r="B115" s="12"/>
      <c r="C115" s="14" t="s">
        <v>301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1.25" customHeight="1">
      <c r="A116" s="12"/>
      <c r="B116" s="12"/>
      <c r="C116" s="14" t="s">
        <v>140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1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1.25" customHeight="1">
      <c r="A118" s="12"/>
      <c r="B118" s="12"/>
      <c r="C118" s="13" t="s">
        <v>302</v>
      </c>
      <c r="D118" s="198"/>
      <c r="E118" s="198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1.25" customHeight="1">
      <c r="A119" s="12"/>
      <c r="B119" s="12"/>
      <c r="C119" s="4" t="s">
        <v>302</v>
      </c>
      <c r="D119" s="5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1.25" customHeight="1">
      <c r="A120" s="12"/>
      <c r="B120" s="12"/>
      <c r="C120" s="6" t="s">
        <v>303</v>
      </c>
      <c r="D120" s="7">
        <v>4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1.25" customHeight="1">
      <c r="A121" s="12"/>
      <c r="B121" s="12"/>
      <c r="C121" s="6" t="s">
        <v>304</v>
      </c>
      <c r="D121" s="7">
        <v>4.5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1.25" customHeight="1">
      <c r="A122" s="12"/>
      <c r="B122" s="12"/>
      <c r="C122" s="6" t="s">
        <v>305</v>
      </c>
      <c r="D122" s="7">
        <v>2.25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1.25" customHeight="1">
      <c r="A123" s="12"/>
      <c r="B123" s="12"/>
      <c r="C123" s="6" t="s">
        <v>306</v>
      </c>
      <c r="D123" s="6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1.25" customHeight="1">
      <c r="A124" s="12"/>
      <c r="B124" s="12"/>
      <c r="C124" s="8" t="s">
        <v>307</v>
      </c>
      <c r="D124" s="9">
        <v>10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1.25" customHeight="1">
      <c r="A125" s="12"/>
      <c r="B125" s="12"/>
      <c r="C125" s="8" t="s">
        <v>308</v>
      </c>
      <c r="D125" s="9">
        <v>20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1.25" customHeight="1">
      <c r="A126" s="12"/>
      <c r="B126" s="12"/>
      <c r="C126" s="8" t="s">
        <v>309</v>
      </c>
      <c r="D126" s="10">
        <v>4.5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1.25" customHeight="1">
      <c r="A127" s="12"/>
      <c r="B127" s="12"/>
      <c r="C127" s="8" t="s">
        <v>310</v>
      </c>
      <c r="D127" s="11">
        <v>0.65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1.25" customHeight="1">
      <c r="A128" s="12"/>
      <c r="B128" s="12"/>
      <c r="C128" s="12" t="s">
        <v>311</v>
      </c>
      <c r="D128" s="11">
        <v>7.4999999999999997E-2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1.25" customHeight="1">
      <c r="A129" s="12"/>
      <c r="B129" s="12"/>
      <c r="C129" s="12" t="s">
        <v>311</v>
      </c>
      <c r="D129" s="11">
        <v>0.1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1.25" customHeight="1">
      <c r="A130" s="12"/>
      <c r="B130" s="12"/>
      <c r="C130" s="12" t="s">
        <v>312</v>
      </c>
      <c r="D130" s="11">
        <v>0.5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1.25" customHeight="1">
      <c r="A131" s="12"/>
      <c r="B131" s="12"/>
      <c r="C131" s="12" t="s">
        <v>313</v>
      </c>
      <c r="D131" s="11">
        <v>0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1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1.25" customHeight="1">
      <c r="A133" s="12"/>
      <c r="B133" s="12"/>
      <c r="C133" s="4" t="s">
        <v>314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1.25" customHeight="1">
      <c r="A134" s="12"/>
      <c r="B134" s="12"/>
      <c r="C134" s="14" t="s">
        <v>7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1.25" customHeight="1">
      <c r="A135" s="12"/>
      <c r="B135" s="12"/>
      <c r="C135" s="14" t="s">
        <v>96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1.25" customHeight="1">
      <c r="A136" s="12"/>
      <c r="B136" s="12"/>
      <c r="C136" s="14" t="s">
        <v>141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1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1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1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1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1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1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1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1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1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1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1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1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1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1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1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1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1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1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1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1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1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1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1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1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1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1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1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1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1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1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1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1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1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1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1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1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1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1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1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1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1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1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1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1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1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1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1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1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1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1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1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1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1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1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1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1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1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1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1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1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1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1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1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1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1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1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1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1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1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1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1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1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1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1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1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1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1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1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1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1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1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1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1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1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1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1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1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1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1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1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1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1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1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1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1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1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1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1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1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1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1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1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1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1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1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1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1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1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1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1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1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1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1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1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1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1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1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1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1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1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1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1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1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1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1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1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1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1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1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1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1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1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1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1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1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1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1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1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1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1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1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1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1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1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1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1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1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1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1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1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1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1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1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1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1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1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1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1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1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1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1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1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1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1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1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1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1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1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1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1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1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1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1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1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1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1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1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1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1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1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1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1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1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1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1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1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1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1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1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1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1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1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1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1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1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1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1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1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1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1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1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1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1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1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1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1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1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1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1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1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1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1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1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1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1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1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1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1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1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1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1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1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1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1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1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1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1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1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1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1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1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1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1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1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1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1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1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1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1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1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1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1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1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1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1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1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1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1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1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1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1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1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1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1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1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1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1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1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1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1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1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1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1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1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1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1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1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1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1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1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1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1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1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1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1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1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1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1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1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1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1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1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1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1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1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1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1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1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1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1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1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1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1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1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1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1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1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1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1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1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1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1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1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1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1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1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1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1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1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1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1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1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1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1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1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1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1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1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1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1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1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1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1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1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1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1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1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1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1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1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1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1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1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1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1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1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1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1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1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1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1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1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1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1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1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1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1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1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1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1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1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1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1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1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1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1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1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1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1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1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1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1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1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1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1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1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1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1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1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1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1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1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1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1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1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1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1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1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1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1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1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1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1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1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1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1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1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1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1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1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1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1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1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1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1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1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1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1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1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1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1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1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1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1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1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1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1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1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1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1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1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1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1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1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1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1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1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1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1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1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1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1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1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1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1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1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1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1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1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1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1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1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1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1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1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1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1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1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1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1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1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1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1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1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1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1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1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1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1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1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1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1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1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1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1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1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1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1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1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1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1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1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1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1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1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1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1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1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1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1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1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1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1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1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1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1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1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1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1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1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1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1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1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1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1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1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1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1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1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1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1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1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1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1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1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1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1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1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1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1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1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1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1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1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1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1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1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1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1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1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1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1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1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1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1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1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1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1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1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1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1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1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1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1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1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1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1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1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1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1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1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1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1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1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1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1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1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1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1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1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1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1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1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1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1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1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1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1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1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1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1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1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1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1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1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1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1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1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1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1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1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1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1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1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1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1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1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1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1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1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1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1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1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1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1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1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1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1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1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1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1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1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1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1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1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1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1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1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1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1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1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1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1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1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1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1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1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1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1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1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1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1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1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1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1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1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1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1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1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1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1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1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1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1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1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1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1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1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1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1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1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1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1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1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1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1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1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1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1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1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1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1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1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1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1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1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1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1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1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1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1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1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1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1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1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1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1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1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1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1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1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1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1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1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1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1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1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1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1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1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1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1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1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1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1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1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1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1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1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1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1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1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1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1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1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1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1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1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1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1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1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1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1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1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1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1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1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1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1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1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1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1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1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1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1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1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1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1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1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1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1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1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1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1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1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1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1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1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1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1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1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1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1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1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1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1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1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1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1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1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1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1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1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1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1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1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1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1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1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1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1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1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1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1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1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1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1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1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1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1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1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1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1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1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1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1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1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1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1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1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1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1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1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1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1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1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1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1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1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1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1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1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1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1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1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1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1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1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1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1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1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1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1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1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1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1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1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1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1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1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1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1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1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1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1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1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1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1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1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1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1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1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1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1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1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1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1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1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1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1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1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1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1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1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1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1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1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1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1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1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1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1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1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1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1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1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1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1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1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1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1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1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1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1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1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1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1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1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1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1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1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1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1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1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1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1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1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1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1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1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1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1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1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1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1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1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1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1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1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1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1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1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1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1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1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1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1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1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1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1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1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1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1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1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portrait"/>
  <rowBreaks count="1" manualBreakCount="1">
    <brk id="34" man="1"/>
  </rowBreak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E7" sqref="E7"/>
    </sheetView>
  </sheetViews>
  <sheetFormatPr defaultColWidth="9" defaultRowHeight="14.4"/>
  <cols>
    <col min="1" max="1" width="45" customWidth="1"/>
  </cols>
  <sheetData>
    <row r="1" spans="1:2">
      <c r="A1" s="22" t="s">
        <v>232</v>
      </c>
      <c r="B1" s="23" t="s">
        <v>315</v>
      </c>
    </row>
    <row r="2" spans="1:2">
      <c r="A2" s="12" t="s">
        <v>233</v>
      </c>
      <c r="B2" s="24">
        <v>2.2499999999999999E-2</v>
      </c>
    </row>
    <row r="3" spans="1:2">
      <c r="A3" s="25"/>
      <c r="B3" s="25"/>
    </row>
    <row r="4" spans="1:2">
      <c r="A4" s="12" t="s">
        <v>234</v>
      </c>
      <c r="B4" s="24">
        <v>2.75E-2</v>
      </c>
    </row>
    <row r="5" spans="1:2">
      <c r="A5" s="26" t="s">
        <v>235</v>
      </c>
      <c r="B5" s="27">
        <v>0.65</v>
      </c>
    </row>
    <row r="6" spans="1:2">
      <c r="A6" s="12" t="s">
        <v>236</v>
      </c>
      <c r="B6" s="28">
        <v>0.03</v>
      </c>
    </row>
    <row r="7" spans="1:2">
      <c r="A7" s="29" t="s">
        <v>237</v>
      </c>
      <c r="B7" s="30">
        <v>0.65</v>
      </c>
    </row>
    <row r="8" spans="1:2">
      <c r="A8" s="31" t="s">
        <v>238</v>
      </c>
      <c r="B8" s="3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selection sqref="A1:B4"/>
    </sheetView>
  </sheetViews>
  <sheetFormatPr defaultColWidth="9" defaultRowHeight="14.4"/>
  <sheetData>
    <row r="1" spans="1:2">
      <c r="A1" s="15" t="s">
        <v>241</v>
      </c>
      <c r="B1" s="15" t="s">
        <v>242</v>
      </c>
    </row>
    <row r="2" spans="1:2">
      <c r="A2" s="19" t="s">
        <v>30</v>
      </c>
      <c r="B2" s="20">
        <v>0.65</v>
      </c>
    </row>
    <row r="3" spans="1:2">
      <c r="A3" s="21" t="s">
        <v>243</v>
      </c>
      <c r="B3" s="20">
        <v>0.65</v>
      </c>
    </row>
    <row r="4" spans="1:2">
      <c r="A4" s="12" t="s">
        <v>45</v>
      </c>
      <c r="B4" s="2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>
      <selection activeCell="C14" sqref="C14"/>
    </sheetView>
  </sheetViews>
  <sheetFormatPr defaultColWidth="9" defaultRowHeight="14.4"/>
  <sheetData>
    <row r="1" spans="1:3">
      <c r="A1" s="15" t="s">
        <v>250</v>
      </c>
      <c r="B1" s="15" t="s">
        <v>95</v>
      </c>
      <c r="C1" s="15" t="s">
        <v>121</v>
      </c>
    </row>
    <row r="2" spans="1:3">
      <c r="A2" s="14" t="s">
        <v>140</v>
      </c>
      <c r="B2" s="18" t="s">
        <v>251</v>
      </c>
      <c r="C2" s="18">
        <v>1</v>
      </c>
    </row>
    <row r="3" spans="1:3">
      <c r="A3" s="14" t="s">
        <v>252</v>
      </c>
      <c r="B3" s="11" t="s">
        <v>251</v>
      </c>
      <c r="C3" s="11">
        <v>1</v>
      </c>
    </row>
    <row r="4" spans="1:3">
      <c r="A4" s="14" t="s">
        <v>253</v>
      </c>
      <c r="B4" s="11" t="s">
        <v>251</v>
      </c>
      <c r="C4" s="11">
        <v>0.85</v>
      </c>
    </row>
    <row r="5" spans="1:3">
      <c r="A5" s="14" t="s">
        <v>92</v>
      </c>
      <c r="B5" s="11">
        <v>0.65</v>
      </c>
      <c r="C5" s="11">
        <v>0.75</v>
      </c>
    </row>
    <row r="6" spans="1:3">
      <c r="A6" s="14" t="s">
        <v>202</v>
      </c>
      <c r="B6" s="11">
        <v>0.7</v>
      </c>
      <c r="C6" s="11">
        <v>0.75</v>
      </c>
    </row>
    <row r="7" spans="1:3">
      <c r="A7" s="14" t="s">
        <v>195</v>
      </c>
      <c r="B7" s="11">
        <v>0.55000000000000004</v>
      </c>
      <c r="C7" s="11">
        <v>0.65</v>
      </c>
    </row>
    <row r="8" spans="1:3">
      <c r="A8" s="14" t="s">
        <v>196</v>
      </c>
      <c r="B8" s="11">
        <v>0.5</v>
      </c>
      <c r="C8" s="11">
        <v>0.6</v>
      </c>
    </row>
    <row r="9" spans="1:3">
      <c r="A9" s="14" t="s">
        <v>197</v>
      </c>
      <c r="B9" s="11">
        <v>0.45</v>
      </c>
      <c r="C9" s="11">
        <v>0.55000000000000004</v>
      </c>
    </row>
    <row r="10" spans="1:3">
      <c r="A10" s="14" t="s">
        <v>198</v>
      </c>
      <c r="B10" s="11">
        <v>0.4</v>
      </c>
      <c r="C10" s="11">
        <v>0.5</v>
      </c>
    </row>
    <row r="11" spans="1:3">
      <c r="A11" s="14" t="s">
        <v>199</v>
      </c>
      <c r="B11" s="11">
        <v>0.4</v>
      </c>
      <c r="C11" s="11">
        <v>0.5</v>
      </c>
    </row>
    <row r="12" spans="1:3">
      <c r="A12" s="14" t="s">
        <v>200</v>
      </c>
      <c r="B12" s="11">
        <v>0.35</v>
      </c>
      <c r="C12" s="11">
        <v>0.4</v>
      </c>
    </row>
    <row r="13" spans="1:3">
      <c r="A13" s="14" t="s">
        <v>254</v>
      </c>
      <c r="B13" s="11">
        <v>0.2</v>
      </c>
      <c r="C13" s="11">
        <v>0.3</v>
      </c>
    </row>
    <row r="14" spans="1:3">
      <c r="A14" s="14" t="s">
        <v>143</v>
      </c>
      <c r="B14" s="11">
        <v>0</v>
      </c>
      <c r="C14" s="11">
        <v>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>
      <selection activeCell="C11" sqref="C11"/>
    </sheetView>
  </sheetViews>
  <sheetFormatPr defaultColWidth="9" defaultRowHeight="14.4"/>
  <sheetData>
    <row r="1" spans="1:3">
      <c r="A1" s="15" t="s">
        <v>316</v>
      </c>
      <c r="B1" s="15" t="s">
        <v>245</v>
      </c>
      <c r="C1" s="15" t="s">
        <v>174</v>
      </c>
    </row>
    <row r="2" spans="1:3">
      <c r="A2" s="12" t="s">
        <v>246</v>
      </c>
      <c r="B2" s="12"/>
      <c r="C2" s="16">
        <v>0.2</v>
      </c>
    </row>
    <row r="3" spans="1:3">
      <c r="A3" s="12" t="s">
        <v>247</v>
      </c>
      <c r="B3" s="12"/>
      <c r="C3" s="17">
        <v>0.05</v>
      </c>
    </row>
    <row r="4" spans="1:3">
      <c r="A4" s="12" t="s">
        <v>248</v>
      </c>
      <c r="B4" s="12"/>
      <c r="C4" s="17">
        <v>0.2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53"/>
  <sheetViews>
    <sheetView workbookViewId="0">
      <selection activeCell="I14" sqref="I14"/>
    </sheetView>
  </sheetViews>
  <sheetFormatPr defaultColWidth="9" defaultRowHeight="14.4"/>
  <sheetData>
    <row r="1" spans="1:1">
      <c r="A1" s="13" t="s">
        <v>258</v>
      </c>
    </row>
    <row r="2" spans="1:1">
      <c r="A2" s="14" t="s">
        <v>102</v>
      </c>
    </row>
    <row r="3" spans="1:1">
      <c r="A3" s="14" t="s">
        <v>260</v>
      </c>
    </row>
    <row r="4" spans="1:1">
      <c r="A4" s="14" t="s">
        <v>261</v>
      </c>
    </row>
    <row r="5" spans="1:1">
      <c r="A5" s="14" t="s">
        <v>262</v>
      </c>
    </row>
    <row r="6" spans="1:1">
      <c r="A6" s="14" t="s">
        <v>263</v>
      </c>
    </row>
    <row r="7" spans="1:1">
      <c r="A7" s="14" t="s">
        <v>264</v>
      </c>
    </row>
    <row r="8" spans="1:1">
      <c r="A8" s="14" t="s">
        <v>134</v>
      </c>
    </row>
    <row r="9" spans="1:1">
      <c r="A9" s="14" t="s">
        <v>265</v>
      </c>
    </row>
    <row r="10" spans="1:1">
      <c r="A10" s="14" t="s">
        <v>266</v>
      </c>
    </row>
    <row r="11" spans="1:1">
      <c r="A11" s="14" t="s">
        <v>267</v>
      </c>
    </row>
    <row r="12" spans="1:1">
      <c r="A12" s="14" t="s">
        <v>268</v>
      </c>
    </row>
    <row r="13" spans="1:1">
      <c r="A13" s="14" t="s">
        <v>269</v>
      </c>
    </row>
    <row r="14" spans="1:1">
      <c r="A14" s="14" t="s">
        <v>93</v>
      </c>
    </row>
    <row r="15" spans="1:1">
      <c r="A15" s="14" t="s">
        <v>270</v>
      </c>
    </row>
    <row r="16" spans="1:1">
      <c r="A16" s="14" t="s">
        <v>271</v>
      </c>
    </row>
    <row r="17" spans="1:1">
      <c r="A17" s="14" t="s">
        <v>272</v>
      </c>
    </row>
    <row r="18" spans="1:1">
      <c r="A18" s="14" t="s">
        <v>273</v>
      </c>
    </row>
    <row r="19" spans="1:1">
      <c r="A19" s="14" t="s">
        <v>274</v>
      </c>
    </row>
    <row r="20" spans="1:1">
      <c r="A20" s="14" t="s">
        <v>275</v>
      </c>
    </row>
    <row r="21" spans="1:1">
      <c r="A21" s="14" t="s">
        <v>276</v>
      </c>
    </row>
    <row r="22" spans="1:1">
      <c r="A22" s="14" t="s">
        <v>277</v>
      </c>
    </row>
    <row r="23" spans="1:1">
      <c r="A23" s="14" t="s">
        <v>111</v>
      </c>
    </row>
    <row r="24" spans="1:1">
      <c r="A24" s="14" t="s">
        <v>278</v>
      </c>
    </row>
    <row r="25" spans="1:1">
      <c r="A25" s="14" t="s">
        <v>279</v>
      </c>
    </row>
    <row r="26" spans="1:1">
      <c r="A26" s="14" t="s">
        <v>137</v>
      </c>
    </row>
    <row r="27" spans="1:1">
      <c r="A27" s="14" t="s">
        <v>280</v>
      </c>
    </row>
    <row r="28" spans="1:1">
      <c r="A28" s="14" t="s">
        <v>281</v>
      </c>
    </row>
    <row r="29" spans="1:1">
      <c r="A29" s="14" t="s">
        <v>116</v>
      </c>
    </row>
    <row r="30" spans="1:1">
      <c r="A30" s="14" t="s">
        <v>282</v>
      </c>
    </row>
    <row r="31" spans="1:1">
      <c r="A31" s="14" t="s">
        <v>283</v>
      </c>
    </row>
    <row r="32" spans="1:1">
      <c r="A32" s="14" t="s">
        <v>120</v>
      </c>
    </row>
    <row r="33" spans="1:1">
      <c r="A33" s="14" t="s">
        <v>284</v>
      </c>
    </row>
    <row r="34" spans="1:1">
      <c r="A34" s="14" t="s">
        <v>285</v>
      </c>
    </row>
    <row r="35" spans="1:1">
      <c r="A35" s="14" t="s">
        <v>286</v>
      </c>
    </row>
    <row r="36" spans="1:1">
      <c r="A36" s="14" t="s">
        <v>287</v>
      </c>
    </row>
    <row r="37" spans="1:1">
      <c r="A37" s="14" t="s">
        <v>288</v>
      </c>
    </row>
    <row r="38" spans="1:1">
      <c r="A38" s="14" t="s">
        <v>131</v>
      </c>
    </row>
    <row r="39" spans="1:1">
      <c r="A39" s="14" t="s">
        <v>289</v>
      </c>
    </row>
    <row r="40" spans="1:1">
      <c r="A40" s="14" t="s">
        <v>290</v>
      </c>
    </row>
    <row r="41" spans="1:1">
      <c r="A41" s="14" t="s">
        <v>291</v>
      </c>
    </row>
    <row r="42" spans="1:1">
      <c r="A42" s="14" t="s">
        <v>292</v>
      </c>
    </row>
    <row r="43" spans="1:1">
      <c r="A43" s="14" t="s">
        <v>107</v>
      </c>
    </row>
    <row r="44" spans="1:1">
      <c r="A44" s="14" t="s">
        <v>293</v>
      </c>
    </row>
    <row r="45" spans="1:1">
      <c r="A45" s="14" t="s">
        <v>294</v>
      </c>
    </row>
    <row r="46" spans="1:1">
      <c r="A46" s="14" t="s">
        <v>295</v>
      </c>
    </row>
    <row r="47" spans="1:1">
      <c r="A47" s="14" t="s">
        <v>296</v>
      </c>
    </row>
    <row r="48" spans="1:1">
      <c r="A48" s="14" t="s">
        <v>297</v>
      </c>
    </row>
    <row r="49" spans="1:1">
      <c r="A49" s="14" t="s">
        <v>298</v>
      </c>
    </row>
    <row r="50" spans="1:1">
      <c r="A50" s="14" t="s">
        <v>299</v>
      </c>
    </row>
    <row r="51" spans="1:1">
      <c r="A51" s="14" t="s">
        <v>300</v>
      </c>
    </row>
    <row r="52" spans="1:1">
      <c r="A52" s="14" t="s">
        <v>301</v>
      </c>
    </row>
    <row r="53" spans="1:1">
      <c r="A53" s="14" t="s">
        <v>140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>
      <selection activeCell="B13" sqref="B13"/>
    </sheetView>
  </sheetViews>
  <sheetFormatPr defaultColWidth="9" defaultRowHeight="14.4"/>
  <cols>
    <col min="1" max="1" width="25.21875" customWidth="1"/>
    <col min="2" max="2" width="5.44140625" customWidth="1"/>
  </cols>
  <sheetData>
    <row r="1" spans="1:2">
      <c r="A1" s="4" t="s">
        <v>302</v>
      </c>
      <c r="B1" s="5" t="s">
        <v>317</v>
      </c>
    </row>
    <row r="2" spans="1:2">
      <c r="A2" s="6" t="s">
        <v>303</v>
      </c>
      <c r="B2" s="7">
        <v>4</v>
      </c>
    </row>
    <row r="3" spans="1:2">
      <c r="A3" s="6" t="s">
        <v>304</v>
      </c>
      <c r="B3" s="7">
        <v>4.5</v>
      </c>
    </row>
    <row r="4" spans="1:2">
      <c r="A4" s="6" t="s">
        <v>305</v>
      </c>
      <c r="B4" s="7">
        <v>2.25</v>
      </c>
    </row>
    <row r="5" spans="1:2">
      <c r="A5" s="6" t="s">
        <v>306</v>
      </c>
      <c r="B5" s="6"/>
    </row>
    <row r="6" spans="1:2">
      <c r="A6" s="8" t="s">
        <v>307</v>
      </c>
      <c r="B6" s="9">
        <v>10</v>
      </c>
    </row>
    <row r="7" spans="1:2">
      <c r="A7" s="8" t="s">
        <v>308</v>
      </c>
      <c r="B7" s="9">
        <v>20</v>
      </c>
    </row>
    <row r="8" spans="1:2">
      <c r="A8" s="8" t="s">
        <v>309</v>
      </c>
      <c r="B8" s="10">
        <v>4.5</v>
      </c>
    </row>
    <row r="9" spans="1:2">
      <c r="A9" s="8" t="s">
        <v>310</v>
      </c>
      <c r="B9" s="11">
        <v>0.65</v>
      </c>
    </row>
    <row r="10" spans="1:2">
      <c r="A10" s="12" t="s">
        <v>311</v>
      </c>
      <c r="B10" s="11">
        <v>7.4999999999999997E-2</v>
      </c>
    </row>
    <row r="11" spans="1:2">
      <c r="A11" s="12" t="s">
        <v>311</v>
      </c>
      <c r="B11" s="11">
        <v>0.1</v>
      </c>
    </row>
    <row r="12" spans="1:2">
      <c r="A12" s="12" t="s">
        <v>312</v>
      </c>
      <c r="B12" s="11">
        <v>0.5</v>
      </c>
    </row>
    <row r="13" spans="1:2">
      <c r="A13" s="12" t="s">
        <v>313</v>
      </c>
      <c r="B13" s="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2.6640625" defaultRowHeight="15" customHeight="1"/>
  <cols>
    <col min="1" max="2" width="9" customWidth="1"/>
    <col min="3" max="3" width="33.88671875" customWidth="1"/>
    <col min="4" max="4" width="20.44140625" customWidth="1"/>
    <col min="5" max="5" width="9" customWidth="1"/>
    <col min="6" max="8" width="11.6640625" customWidth="1"/>
    <col min="9" max="9" width="8.33203125" customWidth="1"/>
    <col min="10" max="10" width="19.109375" customWidth="1"/>
    <col min="11" max="11" width="8.33203125" customWidth="1"/>
    <col min="12" max="12" width="8.109375" customWidth="1"/>
    <col min="13" max="13" width="11.6640625" customWidth="1"/>
    <col min="14" max="14" width="9" customWidth="1"/>
    <col min="15" max="15" width="11.6640625" customWidth="1"/>
    <col min="16" max="16" width="9" customWidth="1"/>
    <col min="17" max="26" width="8.6640625" customWidth="1"/>
  </cols>
  <sheetData>
    <row r="1" spans="1:26" ht="14.25" customHeight="1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27</v>
      </c>
      <c r="G1" s="1"/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329</v>
      </c>
      <c r="O1" s="1" t="s">
        <v>330</v>
      </c>
      <c r="P1" s="1" t="s">
        <v>331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>
        <v>0</v>
      </c>
      <c r="B2" s="1" t="s">
        <v>332</v>
      </c>
      <c r="C2" s="1" t="s">
        <v>333</v>
      </c>
      <c r="D2" s="1" t="s">
        <v>334</v>
      </c>
      <c r="E2" s="1">
        <v>1373629</v>
      </c>
      <c r="F2" s="2">
        <v>1096519.02</v>
      </c>
      <c r="G2" s="2"/>
      <c r="H2" s="2">
        <v>1096519.02</v>
      </c>
      <c r="I2" s="2">
        <v>1</v>
      </c>
      <c r="J2" s="3">
        <v>1096519.02</v>
      </c>
      <c r="K2" s="2">
        <v>1</v>
      </c>
      <c r="L2" s="2">
        <v>138</v>
      </c>
      <c r="M2" s="2">
        <v>1096519.02</v>
      </c>
      <c r="N2" s="2" t="s">
        <v>154</v>
      </c>
      <c r="O2" s="2">
        <v>1096519.02</v>
      </c>
      <c r="P2" s="1">
        <v>1680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>
        <v>19021.6697080294</v>
      </c>
      <c r="B3" s="1" t="s">
        <v>332</v>
      </c>
      <c r="C3" s="1" t="s">
        <v>335</v>
      </c>
      <c r="D3" s="1" t="s">
        <v>92</v>
      </c>
      <c r="E3" s="1">
        <v>1373633</v>
      </c>
      <c r="F3" s="2">
        <v>4987500</v>
      </c>
      <c r="G3" s="2"/>
      <c r="H3" s="2">
        <v>4893665.8302919697</v>
      </c>
      <c r="I3" s="2">
        <v>98.118613138686101</v>
      </c>
      <c r="J3" s="3">
        <v>4912687.5</v>
      </c>
      <c r="K3" s="2">
        <v>98.5</v>
      </c>
      <c r="L3" s="2">
        <v>4</v>
      </c>
      <c r="M3" s="2">
        <v>49126.875</v>
      </c>
      <c r="N3" s="2" t="s">
        <v>154</v>
      </c>
      <c r="O3" s="2">
        <v>4987500</v>
      </c>
      <c r="P3" s="1">
        <v>1677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>
        <v>-52183.138199999899</v>
      </c>
      <c r="B4" s="1" t="s">
        <v>332</v>
      </c>
      <c r="C4" s="1" t="s">
        <v>335</v>
      </c>
      <c r="D4" s="1" t="s">
        <v>336</v>
      </c>
      <c r="E4" s="1">
        <v>1373636</v>
      </c>
      <c r="F4" s="2">
        <v>3478875.88</v>
      </c>
      <c r="G4" s="2"/>
      <c r="H4" s="2">
        <v>852609.97</v>
      </c>
      <c r="I4" s="2">
        <v>100</v>
      </c>
      <c r="J4" s="3">
        <v>800426.83180000004</v>
      </c>
      <c r="K4" s="2">
        <v>98.5</v>
      </c>
      <c r="L4" s="2">
        <v>4</v>
      </c>
      <c r="M4" s="2">
        <v>8004.2683180000004</v>
      </c>
      <c r="N4" s="2" t="s">
        <v>154</v>
      </c>
      <c r="O4" s="2">
        <v>3478875.88</v>
      </c>
      <c r="P4" s="1">
        <v>1678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>
        <v>-18987.341850000001</v>
      </c>
      <c r="B5" s="1" t="s">
        <v>332</v>
      </c>
      <c r="C5" s="1" t="s">
        <v>335</v>
      </c>
      <c r="D5" s="1" t="s">
        <v>337</v>
      </c>
      <c r="E5" s="1">
        <v>1373639</v>
      </c>
      <c r="F5" s="2">
        <v>1265822.79</v>
      </c>
      <c r="G5" s="2"/>
      <c r="H5" s="2">
        <v>0</v>
      </c>
      <c r="I5" s="2">
        <v>100</v>
      </c>
      <c r="J5" s="3">
        <v>-18987.341850000001</v>
      </c>
      <c r="K5" s="2">
        <v>98.5</v>
      </c>
      <c r="L5" s="2">
        <v>4</v>
      </c>
      <c r="M5" s="2">
        <v>-189.87341850000001</v>
      </c>
      <c r="N5" s="2" t="s">
        <v>154</v>
      </c>
      <c r="O5" s="2">
        <v>1265822.79</v>
      </c>
      <c r="P5" s="1">
        <v>1679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>
        <v>-4439.2976562678796</v>
      </c>
      <c r="B6" s="1" t="s">
        <v>332</v>
      </c>
      <c r="C6" s="1" t="s">
        <v>338</v>
      </c>
      <c r="D6" s="1" t="s">
        <v>339</v>
      </c>
      <c r="E6" s="1">
        <v>1373850</v>
      </c>
      <c r="F6" s="2">
        <v>3000000</v>
      </c>
      <c r="G6" s="2"/>
      <c r="H6" s="2">
        <v>2944439.1408114601</v>
      </c>
      <c r="I6" s="2">
        <v>98.147971360381902</v>
      </c>
      <c r="J6" s="3">
        <v>2939999.8431551899</v>
      </c>
      <c r="K6" s="2">
        <v>97.999994771839596</v>
      </c>
      <c r="L6" s="2">
        <v>4</v>
      </c>
      <c r="M6" s="2">
        <v>29399.9984315519</v>
      </c>
      <c r="N6" s="2" t="s">
        <v>154</v>
      </c>
      <c r="O6" s="2">
        <v>3000000</v>
      </c>
      <c r="P6" s="1">
        <v>1739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>
        <v>-3316.2060791556701</v>
      </c>
      <c r="B7" s="1" t="s">
        <v>332</v>
      </c>
      <c r="C7" s="1" t="s">
        <v>132</v>
      </c>
      <c r="D7" s="1" t="s">
        <v>92</v>
      </c>
      <c r="E7" s="1">
        <v>1373864</v>
      </c>
      <c r="F7" s="2">
        <v>2992481.2</v>
      </c>
      <c r="G7" s="2"/>
      <c r="H7" s="2">
        <v>2636699.6620791601</v>
      </c>
      <c r="I7" s="2">
        <v>88.110817941952504</v>
      </c>
      <c r="J7" s="3">
        <v>2633383.4559999998</v>
      </c>
      <c r="K7" s="2">
        <v>88</v>
      </c>
      <c r="L7" s="2">
        <v>4</v>
      </c>
      <c r="M7" s="2">
        <v>26333.834559999999</v>
      </c>
      <c r="N7" s="2" t="s">
        <v>154</v>
      </c>
      <c r="O7" s="2">
        <v>2992481.2</v>
      </c>
      <c r="P7" s="1" t="s">
        <v>340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>
        <v>0</v>
      </c>
      <c r="B8" s="1" t="s">
        <v>332</v>
      </c>
      <c r="C8" s="1" t="s">
        <v>341</v>
      </c>
      <c r="D8" s="1" t="s">
        <v>334</v>
      </c>
      <c r="E8" s="1">
        <v>1373741</v>
      </c>
      <c r="F8" s="2">
        <v>437000</v>
      </c>
      <c r="G8" s="2"/>
      <c r="H8" s="2">
        <v>437000</v>
      </c>
      <c r="I8" s="2">
        <v>1000</v>
      </c>
      <c r="J8" s="3">
        <v>437000</v>
      </c>
      <c r="K8" s="2">
        <v>1000</v>
      </c>
      <c r="L8" s="2">
        <v>138</v>
      </c>
      <c r="M8" s="2">
        <v>437000</v>
      </c>
      <c r="N8" s="2" t="s">
        <v>154</v>
      </c>
      <c r="O8" s="2">
        <v>437</v>
      </c>
      <c r="P8" s="1">
        <v>1703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>
        <v>-9348.3023001095298</v>
      </c>
      <c r="B9" s="1" t="s">
        <v>332</v>
      </c>
      <c r="C9" s="1" t="s">
        <v>342</v>
      </c>
      <c r="D9" s="1" t="s">
        <v>92</v>
      </c>
      <c r="E9" s="1">
        <v>1373748</v>
      </c>
      <c r="F9" s="2">
        <v>3000000</v>
      </c>
      <c r="G9" s="2"/>
      <c r="H9" s="2">
        <v>2964348.30230011</v>
      </c>
      <c r="I9" s="2">
        <v>98.811610076670306</v>
      </c>
      <c r="J9" s="3">
        <v>2955000</v>
      </c>
      <c r="K9" s="2">
        <v>98.5</v>
      </c>
      <c r="L9" s="2">
        <v>4</v>
      </c>
      <c r="M9" s="2">
        <v>29550</v>
      </c>
      <c r="N9" s="2" t="s">
        <v>154</v>
      </c>
      <c r="O9" s="2">
        <v>3000000</v>
      </c>
      <c r="P9" s="1">
        <v>1701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>
        <v>-5357.1428999999898</v>
      </c>
      <c r="B10" s="1" t="s">
        <v>332</v>
      </c>
      <c r="C10" s="1" t="s">
        <v>342</v>
      </c>
      <c r="D10" s="1" t="s">
        <v>337</v>
      </c>
      <c r="E10" s="1">
        <v>1373744</v>
      </c>
      <c r="F10" s="2">
        <v>357142.86</v>
      </c>
      <c r="G10" s="2"/>
      <c r="H10" s="2">
        <v>0</v>
      </c>
      <c r="I10" s="2">
        <v>100</v>
      </c>
      <c r="J10" s="3">
        <v>-5357.1428999999898</v>
      </c>
      <c r="K10" s="2">
        <v>98.5</v>
      </c>
      <c r="L10" s="2">
        <v>4</v>
      </c>
      <c r="M10" s="2">
        <v>-53.571428999999902</v>
      </c>
      <c r="N10" s="2" t="s">
        <v>154</v>
      </c>
      <c r="O10" s="2">
        <v>357142.86</v>
      </c>
      <c r="P10" s="1">
        <v>1702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>
        <v>612.53230250021397</v>
      </c>
      <c r="B11" s="1" t="s">
        <v>332</v>
      </c>
      <c r="C11" s="1" t="s">
        <v>343</v>
      </c>
      <c r="D11" s="1" t="s">
        <v>92</v>
      </c>
      <c r="E11" s="1">
        <v>1373763</v>
      </c>
      <c r="F11" s="2">
        <v>3491116.75</v>
      </c>
      <c r="G11" s="2"/>
      <c r="H11" s="2">
        <v>3457792.4537499999</v>
      </c>
      <c r="I11" s="2">
        <v>99.045454545454504</v>
      </c>
      <c r="J11" s="3">
        <v>3458404.9860525001</v>
      </c>
      <c r="K11" s="2">
        <v>99.063000000000002</v>
      </c>
      <c r="L11" s="2">
        <v>4</v>
      </c>
      <c r="M11" s="2">
        <v>34584.049860525003</v>
      </c>
      <c r="N11" s="2" t="s">
        <v>154</v>
      </c>
      <c r="O11" s="2">
        <v>3491116.75</v>
      </c>
      <c r="P11" s="1" t="s">
        <v>344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>
        <v>-37673.165137614596</v>
      </c>
      <c r="B12" s="1" t="s">
        <v>332</v>
      </c>
      <c r="C12" s="1" t="s">
        <v>345</v>
      </c>
      <c r="D12" s="1" t="s">
        <v>92</v>
      </c>
      <c r="E12" s="1">
        <v>1373662</v>
      </c>
      <c r="F12" s="2">
        <v>3500000</v>
      </c>
      <c r="G12" s="2"/>
      <c r="H12" s="2">
        <v>3450173.1651376099</v>
      </c>
      <c r="I12" s="2">
        <v>98.576376146789002</v>
      </c>
      <c r="J12" s="3">
        <v>3412500</v>
      </c>
      <c r="K12" s="2">
        <v>97.5</v>
      </c>
      <c r="L12" s="2">
        <v>4</v>
      </c>
      <c r="M12" s="2">
        <v>34125</v>
      </c>
      <c r="N12" s="2" t="s">
        <v>154</v>
      </c>
      <c r="O12" s="2">
        <v>3500000</v>
      </c>
      <c r="P12" s="1">
        <v>1686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>
        <v>-65624.999999999898</v>
      </c>
      <c r="B13" s="1" t="s">
        <v>332</v>
      </c>
      <c r="C13" s="1" t="s">
        <v>345</v>
      </c>
      <c r="D13" s="1" t="s">
        <v>336</v>
      </c>
      <c r="E13" s="1">
        <v>1373665</v>
      </c>
      <c r="F13" s="2">
        <v>2625000</v>
      </c>
      <c r="G13" s="2"/>
      <c r="H13" s="2">
        <v>0</v>
      </c>
      <c r="I13" s="2">
        <v>100</v>
      </c>
      <c r="J13" s="3">
        <v>-65624.999999999898</v>
      </c>
      <c r="K13" s="2">
        <v>97.5</v>
      </c>
      <c r="L13" s="2">
        <v>4</v>
      </c>
      <c r="M13" s="2">
        <v>-656.24999999999898</v>
      </c>
      <c r="N13" s="2" t="s">
        <v>154</v>
      </c>
      <c r="O13" s="2">
        <v>2625000</v>
      </c>
      <c r="P13" s="1">
        <v>1685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>
        <v>-19687.5</v>
      </c>
      <c r="B14" s="1" t="s">
        <v>332</v>
      </c>
      <c r="C14" s="1" t="s">
        <v>345</v>
      </c>
      <c r="D14" s="1" t="s">
        <v>337</v>
      </c>
      <c r="E14" s="1">
        <v>1373668</v>
      </c>
      <c r="F14" s="2">
        <v>787500</v>
      </c>
      <c r="G14" s="2"/>
      <c r="H14" s="2">
        <v>0</v>
      </c>
      <c r="I14" s="2">
        <v>100</v>
      </c>
      <c r="J14" s="3">
        <v>-19687.5</v>
      </c>
      <c r="K14" s="2">
        <v>97.5</v>
      </c>
      <c r="L14" s="2">
        <v>4</v>
      </c>
      <c r="M14" s="2">
        <v>-196.875</v>
      </c>
      <c r="N14" s="2" t="s">
        <v>154</v>
      </c>
      <c r="O14" s="2">
        <v>787500</v>
      </c>
      <c r="P14" s="1">
        <v>1684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>
        <v>0</v>
      </c>
      <c r="B15" s="1" t="s">
        <v>332</v>
      </c>
      <c r="C15" s="1" t="s">
        <v>346</v>
      </c>
      <c r="D15" s="1" t="s">
        <v>334</v>
      </c>
      <c r="E15" s="1">
        <v>1373658</v>
      </c>
      <c r="F15" s="2">
        <v>437500</v>
      </c>
      <c r="G15" s="2"/>
      <c r="H15" s="2">
        <v>437500</v>
      </c>
      <c r="I15" s="2">
        <v>1</v>
      </c>
      <c r="J15" s="2">
        <v>437500</v>
      </c>
      <c r="K15" s="2">
        <v>1</v>
      </c>
      <c r="L15" s="2">
        <v>138</v>
      </c>
      <c r="M15" s="2">
        <v>437500</v>
      </c>
      <c r="N15" s="2" t="s">
        <v>154</v>
      </c>
      <c r="O15" s="2">
        <v>437500</v>
      </c>
      <c r="P15" s="1">
        <v>1687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>
        <v>0</v>
      </c>
      <c r="B16" s="1" t="s">
        <v>332</v>
      </c>
      <c r="C16" s="1" t="s">
        <v>347</v>
      </c>
      <c r="D16" s="1" t="s">
        <v>334</v>
      </c>
      <c r="E16" s="1">
        <v>1373783</v>
      </c>
      <c r="F16" s="2">
        <v>488571.43</v>
      </c>
      <c r="G16" s="2"/>
      <c r="H16" s="2">
        <v>488571.43</v>
      </c>
      <c r="I16" s="2">
        <v>1</v>
      </c>
      <c r="J16" s="2">
        <v>488571.43</v>
      </c>
      <c r="K16" s="2">
        <v>1</v>
      </c>
      <c r="L16" s="2">
        <v>138</v>
      </c>
      <c r="M16" s="2">
        <v>488571.43</v>
      </c>
      <c r="N16" s="2" t="s">
        <v>154</v>
      </c>
      <c r="O16" s="2">
        <v>488571.43</v>
      </c>
      <c r="P16" s="1">
        <v>1724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>
        <v>-2202.0404063528399</v>
      </c>
      <c r="B17" s="1" t="s">
        <v>332</v>
      </c>
      <c r="C17" s="1" t="s">
        <v>348</v>
      </c>
      <c r="D17" s="1" t="s">
        <v>92</v>
      </c>
      <c r="E17" s="1">
        <v>1373791</v>
      </c>
      <c r="F17" s="2">
        <v>3000000</v>
      </c>
      <c r="G17" s="2"/>
      <c r="H17" s="2">
        <v>2942201.5334063498</v>
      </c>
      <c r="I17" s="2">
        <v>98.073384446878407</v>
      </c>
      <c r="J17" s="3">
        <v>2939999.4929999998</v>
      </c>
      <c r="K17" s="2">
        <v>97.999983099999994</v>
      </c>
      <c r="L17" s="2">
        <v>4</v>
      </c>
      <c r="M17" s="2">
        <v>29399.994930000001</v>
      </c>
      <c r="N17" s="2" t="s">
        <v>154</v>
      </c>
      <c r="O17" s="2">
        <v>3000000</v>
      </c>
      <c r="P17" s="1">
        <v>1721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>
        <v>-14571.5517285717</v>
      </c>
      <c r="B18" s="1" t="s">
        <v>332</v>
      </c>
      <c r="C18" s="1" t="s">
        <v>348</v>
      </c>
      <c r="D18" s="1" t="s">
        <v>349</v>
      </c>
      <c r="E18" s="1">
        <v>1373787</v>
      </c>
      <c r="F18" s="2">
        <v>728571.43</v>
      </c>
      <c r="G18" s="2"/>
      <c r="H18" s="2">
        <v>0</v>
      </c>
      <c r="I18" s="2">
        <v>100</v>
      </c>
      <c r="J18" s="3">
        <v>-14571.5517285717</v>
      </c>
      <c r="K18" s="2">
        <v>97.999983099999994</v>
      </c>
      <c r="L18" s="2">
        <v>4</v>
      </c>
      <c r="M18" s="2">
        <v>-145.715517285717</v>
      </c>
      <c r="N18" s="2" t="s">
        <v>154</v>
      </c>
      <c r="O18" s="2">
        <v>728571.43</v>
      </c>
      <c r="P18" s="1">
        <v>1722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>
        <v>-6857.2007428566703</v>
      </c>
      <c r="B19" s="1" t="s">
        <v>332</v>
      </c>
      <c r="C19" s="1" t="s">
        <v>348</v>
      </c>
      <c r="D19" s="1" t="s">
        <v>337</v>
      </c>
      <c r="E19" s="1">
        <v>1373794</v>
      </c>
      <c r="F19" s="2">
        <v>342857.14</v>
      </c>
      <c r="G19" s="2"/>
      <c r="H19" s="2">
        <v>0</v>
      </c>
      <c r="I19" s="2">
        <v>100</v>
      </c>
      <c r="J19" s="3">
        <v>-6857.2007428566703</v>
      </c>
      <c r="K19" s="2">
        <v>97.999983099999994</v>
      </c>
      <c r="L19" s="2">
        <v>4</v>
      </c>
      <c r="M19" s="2">
        <v>-68.572007428566707</v>
      </c>
      <c r="N19" s="2" t="s">
        <v>154</v>
      </c>
      <c r="O19" s="2">
        <v>342857.14</v>
      </c>
      <c r="P19" s="1">
        <v>1723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>
        <v>15315.1760477521</v>
      </c>
      <c r="B20" s="1" t="s">
        <v>332</v>
      </c>
      <c r="C20" s="1" t="s">
        <v>350</v>
      </c>
      <c r="D20" s="1" t="s">
        <v>334</v>
      </c>
      <c r="E20" s="1">
        <v>1373643</v>
      </c>
      <c r="F20" s="2">
        <v>992481.21</v>
      </c>
      <c r="G20" s="2"/>
      <c r="H20" s="2">
        <v>992481.21</v>
      </c>
      <c r="I20" s="2">
        <v>1</v>
      </c>
      <c r="J20" s="2">
        <v>1007796.38604775</v>
      </c>
      <c r="K20" s="2">
        <v>1.0154312000000001</v>
      </c>
      <c r="L20" s="2">
        <v>138</v>
      </c>
      <c r="M20" s="2">
        <v>1007796.38604775</v>
      </c>
      <c r="N20" s="2" t="s">
        <v>154</v>
      </c>
      <c r="O20" s="2">
        <v>992481.21</v>
      </c>
      <c r="P20" s="1">
        <v>1692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>
        <v>-5657.5193065693602</v>
      </c>
      <c r="B21" s="1" t="s">
        <v>332</v>
      </c>
      <c r="C21" s="1" t="s">
        <v>350</v>
      </c>
      <c r="D21" s="1" t="s">
        <v>92</v>
      </c>
      <c r="E21" s="1">
        <v>1373653</v>
      </c>
      <c r="F21" s="2">
        <v>5000000</v>
      </c>
      <c r="G21" s="2"/>
      <c r="H21" s="2">
        <v>4905656.9343065703</v>
      </c>
      <c r="I21" s="2">
        <v>98.113138686131407</v>
      </c>
      <c r="J21" s="3">
        <v>4899999.415</v>
      </c>
      <c r="K21" s="2">
        <v>97.999988299999998</v>
      </c>
      <c r="L21" s="2">
        <v>4</v>
      </c>
      <c r="M21" s="2">
        <v>48999.994149999999</v>
      </c>
      <c r="N21" s="2" t="s">
        <v>154</v>
      </c>
      <c r="O21" s="2">
        <v>5000000</v>
      </c>
      <c r="P21" s="1" t="s">
        <v>351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>
        <v>-52631.886894737101</v>
      </c>
      <c r="B22" s="1" t="s">
        <v>332</v>
      </c>
      <c r="C22" s="1" t="s">
        <v>350</v>
      </c>
      <c r="D22" s="1" t="s">
        <v>336</v>
      </c>
      <c r="E22" s="1">
        <v>1373649</v>
      </c>
      <c r="F22" s="2">
        <v>2631578.9500000002</v>
      </c>
      <c r="G22" s="2"/>
      <c r="H22" s="2">
        <v>873684.21100000001</v>
      </c>
      <c r="I22" s="2">
        <v>100</v>
      </c>
      <c r="J22" s="3">
        <v>821052.32410526299</v>
      </c>
      <c r="K22" s="2">
        <v>97.999988299999998</v>
      </c>
      <c r="L22" s="2">
        <v>4</v>
      </c>
      <c r="M22" s="2">
        <v>8210.5232410526296</v>
      </c>
      <c r="N22" s="2" t="s">
        <v>154</v>
      </c>
      <c r="O22" s="2">
        <v>2631578.9500000002</v>
      </c>
      <c r="P22" s="1" t="s">
        <v>352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>
        <v>-21052.754757894902</v>
      </c>
      <c r="B23" s="1" t="s">
        <v>332</v>
      </c>
      <c r="C23" s="1" t="s">
        <v>350</v>
      </c>
      <c r="D23" s="1" t="s">
        <v>337</v>
      </c>
      <c r="E23" s="1">
        <v>1373646</v>
      </c>
      <c r="F23" s="2">
        <v>1052631.58</v>
      </c>
      <c r="G23" s="2"/>
      <c r="H23" s="2">
        <v>78947.366699999999</v>
      </c>
      <c r="I23" s="2">
        <v>100</v>
      </c>
      <c r="J23" s="3">
        <v>57894.611942105097</v>
      </c>
      <c r="K23" s="2">
        <v>97.999988299999998</v>
      </c>
      <c r="L23" s="2">
        <v>4</v>
      </c>
      <c r="M23" s="2">
        <v>578.94611942105098</v>
      </c>
      <c r="N23" s="2" t="s">
        <v>154</v>
      </c>
      <c r="O23" s="2">
        <v>1052631.58</v>
      </c>
      <c r="P23" s="1" t="s">
        <v>353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>
        <v>0</v>
      </c>
      <c r="B24" s="1" t="s">
        <v>332</v>
      </c>
      <c r="C24" s="1" t="s">
        <v>354</v>
      </c>
      <c r="D24" s="1" t="s">
        <v>334</v>
      </c>
      <c r="E24" s="1">
        <v>1373884</v>
      </c>
      <c r="F24" s="2">
        <v>270270.27</v>
      </c>
      <c r="G24" s="2"/>
      <c r="H24" s="2">
        <v>270270.27</v>
      </c>
      <c r="I24" s="2">
        <v>1</v>
      </c>
      <c r="J24" s="2">
        <v>270270.27</v>
      </c>
      <c r="K24" s="2">
        <v>1</v>
      </c>
      <c r="L24" s="2">
        <v>138</v>
      </c>
      <c r="M24" s="2">
        <v>270270.27</v>
      </c>
      <c r="N24" s="2" t="s">
        <v>154</v>
      </c>
      <c r="O24" s="2">
        <v>270270.27</v>
      </c>
      <c r="P24" s="1">
        <v>1745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>
        <v>-1400.9698826747499</v>
      </c>
      <c r="B25" s="1" t="s">
        <v>332</v>
      </c>
      <c r="C25" s="1" t="s">
        <v>355</v>
      </c>
      <c r="D25" s="1" t="s">
        <v>92</v>
      </c>
      <c r="E25" s="1">
        <v>1373737</v>
      </c>
      <c r="F25" s="2">
        <v>2000000</v>
      </c>
      <c r="G25" s="2"/>
      <c r="H25" s="2">
        <v>1961407.89988267</v>
      </c>
      <c r="I25" s="2">
        <v>98.070394994133807</v>
      </c>
      <c r="J25" s="3">
        <v>1960006.93</v>
      </c>
      <c r="K25" s="2">
        <v>98.000346500000006</v>
      </c>
      <c r="L25" s="2">
        <v>4</v>
      </c>
      <c r="M25" s="2">
        <v>19600.069299999999</v>
      </c>
      <c r="N25" s="2" t="s">
        <v>154</v>
      </c>
      <c r="O25" s="2">
        <v>2000000</v>
      </c>
      <c r="P25" s="1" t="s">
        <v>356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>
        <v>-43470.728191316201</v>
      </c>
      <c r="B26" s="1" t="s">
        <v>332</v>
      </c>
      <c r="C26" s="1" t="s">
        <v>355</v>
      </c>
      <c r="D26" s="1" t="s">
        <v>336</v>
      </c>
      <c r="E26" s="1">
        <v>1373730</v>
      </c>
      <c r="F26" s="2">
        <v>2173913.04</v>
      </c>
      <c r="G26" s="2"/>
      <c r="H26" s="2">
        <v>0</v>
      </c>
      <c r="I26" s="2">
        <v>100</v>
      </c>
      <c r="J26" s="3">
        <v>-43470.728191316201</v>
      </c>
      <c r="K26" s="2">
        <v>98.000346500000006</v>
      </c>
      <c r="L26" s="2">
        <v>4</v>
      </c>
      <c r="M26" s="2">
        <v>-434.70728191316198</v>
      </c>
      <c r="N26" s="2" t="s">
        <v>154</v>
      </c>
      <c r="O26" s="2">
        <v>2173913.04</v>
      </c>
      <c r="P26" s="1">
        <v>1697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>
        <v>-17388.2913565126</v>
      </c>
      <c r="B27" s="1" t="s">
        <v>332</v>
      </c>
      <c r="C27" s="1" t="s">
        <v>355</v>
      </c>
      <c r="D27" s="1" t="s">
        <v>337</v>
      </c>
      <c r="E27" s="1">
        <v>1373733</v>
      </c>
      <c r="F27" s="2">
        <v>869565.22</v>
      </c>
      <c r="G27" s="2"/>
      <c r="H27" s="2">
        <v>0</v>
      </c>
      <c r="I27" s="2">
        <v>100</v>
      </c>
      <c r="J27" s="3">
        <v>-17388.2913565126</v>
      </c>
      <c r="K27" s="2">
        <v>98.000346500000006</v>
      </c>
      <c r="L27" s="2">
        <v>4</v>
      </c>
      <c r="M27" s="2">
        <v>-173.88291356512599</v>
      </c>
      <c r="N27" s="2" t="s">
        <v>154</v>
      </c>
      <c r="O27" s="2">
        <v>869565.22</v>
      </c>
      <c r="P27" s="1">
        <v>1696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>
        <v>0</v>
      </c>
      <c r="B28" s="1" t="s">
        <v>332</v>
      </c>
      <c r="C28" s="1" t="s">
        <v>357</v>
      </c>
      <c r="D28" s="1" t="s">
        <v>334</v>
      </c>
      <c r="E28" s="1">
        <v>1373727</v>
      </c>
      <c r="F28" s="2">
        <v>1260869.57</v>
      </c>
      <c r="G28" s="2"/>
      <c r="H28" s="2">
        <v>1260869.57</v>
      </c>
      <c r="I28" s="2">
        <v>1</v>
      </c>
      <c r="J28" s="2">
        <v>1260869.57</v>
      </c>
      <c r="K28" s="2">
        <v>1</v>
      </c>
      <c r="L28" s="2">
        <v>138</v>
      </c>
      <c r="M28" s="2">
        <v>1260869.57</v>
      </c>
      <c r="N28" s="2" t="s">
        <v>154</v>
      </c>
      <c r="O28" s="2">
        <v>1260869.57</v>
      </c>
      <c r="P28" s="1">
        <v>1698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>
        <v>-889639.64</v>
      </c>
      <c r="B29" s="1" t="s">
        <v>332</v>
      </c>
      <c r="C29" s="1" t="s">
        <v>136</v>
      </c>
      <c r="D29" s="1" t="s">
        <v>358</v>
      </c>
      <c r="E29" s="1">
        <v>1373878</v>
      </c>
      <c r="F29" s="2">
        <v>889639.64</v>
      </c>
      <c r="G29" s="2"/>
      <c r="H29" s="2">
        <v>0</v>
      </c>
      <c r="I29" s="2">
        <v>100</v>
      </c>
      <c r="J29" s="2">
        <v>-889639.64</v>
      </c>
      <c r="K29" s="2"/>
      <c r="L29" s="2">
        <v>4</v>
      </c>
      <c r="M29" s="2">
        <v>-8896.3963999999996</v>
      </c>
      <c r="N29" s="2" t="s">
        <v>154</v>
      </c>
      <c r="O29" s="2">
        <v>889639.64</v>
      </c>
      <c r="P29" s="1">
        <v>1744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>
        <v>-236486.49</v>
      </c>
      <c r="B30" s="1" t="s">
        <v>332</v>
      </c>
      <c r="C30" s="1" t="s">
        <v>136</v>
      </c>
      <c r="D30" s="1" t="s">
        <v>359</v>
      </c>
      <c r="E30" s="1">
        <v>1373881</v>
      </c>
      <c r="F30" s="2">
        <v>236486.49</v>
      </c>
      <c r="G30" s="2"/>
      <c r="H30" s="2">
        <v>0</v>
      </c>
      <c r="I30" s="2">
        <v>100</v>
      </c>
      <c r="J30" s="2">
        <v>-236486.49</v>
      </c>
      <c r="K30" s="2"/>
      <c r="L30" s="2">
        <v>4</v>
      </c>
      <c r="M30" s="2">
        <v>-2364.8649</v>
      </c>
      <c r="N30" s="2" t="s">
        <v>154</v>
      </c>
      <c r="O30" s="2">
        <v>236486.49</v>
      </c>
      <c r="P30" s="1">
        <v>1742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>
        <v>-3532933.0791383702</v>
      </c>
      <c r="B31" s="1" t="s">
        <v>332</v>
      </c>
      <c r="C31" s="1" t="s">
        <v>136</v>
      </c>
      <c r="D31" s="1" t="s">
        <v>360</v>
      </c>
      <c r="E31" s="1">
        <v>1373875</v>
      </c>
      <c r="F31" s="2">
        <v>3603603.6</v>
      </c>
      <c r="G31" s="2"/>
      <c r="H31" s="2">
        <v>3532933.0791383702</v>
      </c>
      <c r="I31" s="2">
        <v>98.038893044128599</v>
      </c>
      <c r="J31" s="2">
        <v>3531531.5279999999</v>
      </c>
      <c r="K31" s="2"/>
      <c r="L31" s="2">
        <v>4</v>
      </c>
      <c r="M31" s="2">
        <v>0</v>
      </c>
      <c r="N31" s="2" t="s">
        <v>154</v>
      </c>
      <c r="O31" s="2">
        <v>3603603.6</v>
      </c>
      <c r="P31" s="1">
        <v>1743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>
        <v>-18864.434874667601</v>
      </c>
      <c r="B32" s="1" t="s">
        <v>332</v>
      </c>
      <c r="C32" s="1" t="s">
        <v>361</v>
      </c>
      <c r="D32" s="1" t="s">
        <v>92</v>
      </c>
      <c r="E32" s="1">
        <v>1373717</v>
      </c>
      <c r="F32" s="2">
        <v>1662500.0035890001</v>
      </c>
      <c r="G32" s="2"/>
      <c r="H32" s="2">
        <v>1631655.89784236</v>
      </c>
      <c r="I32" s="2">
        <v>98.144715447154496</v>
      </c>
      <c r="J32" s="2">
        <v>1612791.4629676901</v>
      </c>
      <c r="K32" s="2">
        <v>97.010012599999996</v>
      </c>
      <c r="L32" s="2">
        <v>4</v>
      </c>
      <c r="M32" s="2">
        <v>16127.914629676899</v>
      </c>
      <c r="N32" s="2" t="s">
        <v>154</v>
      </c>
      <c r="O32" s="2">
        <v>1662500.0035890001</v>
      </c>
      <c r="P32" s="1" t="s">
        <v>362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>
        <v>-33222.082189000197</v>
      </c>
      <c r="B33" s="1" t="s">
        <v>332</v>
      </c>
      <c r="C33" s="1" t="s">
        <v>361</v>
      </c>
      <c r="D33" s="1" t="s">
        <v>336</v>
      </c>
      <c r="E33" s="1">
        <v>1373719</v>
      </c>
      <c r="F33" s="2">
        <v>1111111.1100000001</v>
      </c>
      <c r="G33" s="2"/>
      <c r="H33" s="2">
        <v>0</v>
      </c>
      <c r="I33" s="2">
        <v>100</v>
      </c>
      <c r="J33" s="2">
        <v>-33222.082189000197</v>
      </c>
      <c r="K33" s="2">
        <v>97.010012599999996</v>
      </c>
      <c r="L33" s="2">
        <v>4</v>
      </c>
      <c r="M33" s="2">
        <v>-332.22082189000201</v>
      </c>
      <c r="N33" s="2" t="s">
        <v>154</v>
      </c>
      <c r="O33" s="2">
        <v>1111111.1100000001</v>
      </c>
      <c r="P33" s="1" t="s">
        <v>363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>
        <v>2777.7500222220001</v>
      </c>
      <c r="B34" s="1" t="s">
        <v>332</v>
      </c>
      <c r="C34" s="1" t="s">
        <v>364</v>
      </c>
      <c r="D34" s="1" t="s">
        <v>334</v>
      </c>
      <c r="E34" s="1">
        <v>1373723</v>
      </c>
      <c r="F34" s="2">
        <v>277777.78000000003</v>
      </c>
      <c r="G34" s="2"/>
      <c r="H34" s="2">
        <v>277777.78000000003</v>
      </c>
      <c r="I34" s="2">
        <v>1</v>
      </c>
      <c r="J34" s="2">
        <v>280555.53002222202</v>
      </c>
      <c r="K34" s="2">
        <v>1.0099999</v>
      </c>
      <c r="L34" s="2">
        <v>138</v>
      </c>
      <c r="M34" s="2">
        <v>280555.53002222202</v>
      </c>
      <c r="N34" s="2" t="s">
        <v>154</v>
      </c>
      <c r="O34" s="2">
        <v>277777.78000000003</v>
      </c>
      <c r="P34" s="1">
        <v>1706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6" ma:contentTypeDescription="Create a new document." ma:contentTypeScope="" ma:versionID="f50657443db3cca893bf2a77a6b82c8e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ffe86a2076484ea9f4ac21488ba3d86b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Props1.xml><?xml version="1.0" encoding="utf-8"?>
<ds:datastoreItem xmlns:ds="http://schemas.openxmlformats.org/officeDocument/2006/customXml" ds:itemID="{C1A8F7F4-D81B-4A6F-AD9E-34B6D9D51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CD8CA8-D043-4A3B-9923-5B5EB5B37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f2865c-a0c0-4830-9c97-c878b24eefc5"/>
    <ds:schemaRef ds:uri="0c3f3349-3fde-44b2-91dd-1461469ae5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925D58-E513-4B8A-9F29-DCA879D3864C}">
  <ds:schemaRefs>
    <ds:schemaRef ds:uri="http://schemas.microsoft.com/office/2006/metadata/properties"/>
    <ds:schemaRef ds:uri="http://schemas.microsoft.com/office/infopath/2007/PartnerControls"/>
    <ds:schemaRef ds:uri="0c3f3349-3fde-44b2-91dd-1461469ae59c"/>
    <ds:schemaRef ds:uri="ecf2865c-a0c0-4830-9c97-c878b24eef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11</vt:i4>
      </vt:variant>
    </vt:vector>
  </HeadingPairs>
  <TitlesOfParts>
    <vt:vector size="30" baseType="lpstr">
      <vt:lpstr>Availability Borrower</vt:lpstr>
      <vt:lpstr>Applicable Margin</vt:lpstr>
      <vt:lpstr>Subscription BB</vt:lpstr>
      <vt:lpstr>PL BB Build</vt:lpstr>
      <vt:lpstr>Principle Obligations</vt:lpstr>
      <vt:lpstr>PL BB Output</vt:lpstr>
      <vt:lpstr>PL_BB_Results_Concentrations</vt:lpstr>
      <vt:lpstr>PL_BB_Results_Security</vt:lpstr>
      <vt:lpstr>Obligors' Net Capital</vt:lpstr>
      <vt:lpstr>PL BB Results</vt:lpstr>
      <vt:lpstr>PL BB FMV Rollforward</vt:lpstr>
      <vt:lpstr>Inputs</vt:lpstr>
      <vt:lpstr>Pricing</vt:lpstr>
      <vt:lpstr>Advance Rates</vt:lpstr>
      <vt:lpstr>Portfolio LeverageBorrowingBase</vt:lpstr>
      <vt:lpstr>Concentration Limits</vt:lpstr>
      <vt:lpstr>Inputs Industries</vt:lpstr>
      <vt:lpstr>Other Metrics</vt:lpstr>
      <vt:lpstr>MV and BV 4.30</vt:lpstr>
      <vt:lpstr>AssetType</vt:lpstr>
      <vt:lpstr>Company_Name</vt:lpstr>
      <vt:lpstr>Currency</vt:lpstr>
      <vt:lpstr>CurrentPay?</vt:lpstr>
      <vt:lpstr>Defaulted?</vt:lpstr>
      <vt:lpstr>DelDrawRev?</vt:lpstr>
      <vt:lpstr>DIPLoan?</vt:lpstr>
      <vt:lpstr>Discounted?</vt:lpstr>
      <vt:lpstr>Elig_Issuers_TLDL</vt:lpstr>
      <vt:lpstr>EM?</vt:lpstr>
      <vt:lpstr>Hedged?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Kook, Dina</dc:creator>
  <cp:keywords/>
  <dc:description/>
  <cp:lastModifiedBy>Lalit Jadhav</cp:lastModifiedBy>
  <cp:revision/>
  <dcterms:created xsi:type="dcterms:W3CDTF">2018-04-13T13:20:00Z</dcterms:created>
  <dcterms:modified xsi:type="dcterms:W3CDTF">2025-01-23T08:52:46Z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0x010100E2D6C0B0299502459BE057F60D45F7A2</vt:lpwstr>
  </property>
  <property fmtid="{D5CDD505-2E9C-101B-9397-08002B2CF9AE}" pid="3" name="ICV">
    <vt:lpwstr>A2F60EEF9517413789EB0BEF629D5107</vt:lpwstr>
  </property>
  <property fmtid="{D5CDD505-2E9C-101B-9397-08002B2CF9AE}" pid="4" name="KSOProductBuildVer">
    <vt:lpwstr>1033-11.2.0.11219</vt:lpwstr>
  </property>
  <property fmtid="{D5CDD505-2E9C-101B-9397-08002B2CF9AE}" pid="5" name="MediaServiceImageTags">
    <vt:lpwstr/>
  </property>
</Properties>
</file>