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Y:\CLO\Ratings\+Master Ratings\"/>
    </mc:Choice>
  </mc:AlternateContent>
  <xr:revisionPtr revIDLastSave="0" documentId="8_{B3A294AD-0B0A-47BA-ABBD-85494BAD60E7}" xr6:coauthVersionLast="47" xr6:coauthVersionMax="47" xr10:uidLastSave="{00000000-0000-0000-0000-000000000000}"/>
  <bookViews>
    <workbookView xWindow="28690" yWindow="-110" windowWidth="29020" windowHeight="15700" xr2:uid="{00000000-000D-0000-FFFF-FFFF00000000}"/>
  </bookViews>
  <sheets>
    <sheet name="Master Ratings" sheetId="1" r:id="rId1"/>
    <sheet name="Ratings by CLO" sheetId="6" r:id="rId2"/>
    <sheet name="SOIs" sheetId="4" r:id="rId3"/>
    <sheet name="SOI Mapping" sheetId="5" r:id="rId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45484.5960185185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2">SOIs!$A$1:$X$123</definedName>
  </definedNames>
  <calcPr calcId="191028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  <c r="G6" i="4"/>
  <c r="J6" i="4"/>
  <c r="M6" i="4"/>
  <c r="P6" i="4"/>
  <c r="S6" i="4"/>
  <c r="V6" i="4"/>
  <c r="D7" i="4"/>
  <c r="G7" i="4"/>
  <c r="J7" i="4"/>
  <c r="M7" i="4"/>
  <c r="P7" i="4"/>
  <c r="S7" i="4"/>
  <c r="V7" i="4"/>
  <c r="D8" i="4"/>
  <c r="G8" i="4"/>
  <c r="J8" i="4"/>
  <c r="M8" i="4"/>
  <c r="P8" i="4"/>
  <c r="S8" i="4"/>
  <c r="V8" i="4"/>
  <c r="D9" i="4"/>
  <c r="G9" i="4"/>
  <c r="J9" i="4"/>
  <c r="M9" i="4"/>
  <c r="P9" i="4"/>
  <c r="V9" i="4"/>
  <c r="D10" i="4"/>
  <c r="G10" i="4"/>
  <c r="J10" i="4"/>
  <c r="M10" i="4"/>
  <c r="P10" i="4"/>
  <c r="S10" i="4"/>
  <c r="V10" i="4"/>
  <c r="D11" i="4"/>
  <c r="G11" i="4"/>
  <c r="J11" i="4"/>
  <c r="M11" i="4"/>
  <c r="P11" i="4"/>
  <c r="S11" i="4"/>
  <c r="V11" i="4"/>
  <c r="D12" i="4"/>
  <c r="G12" i="4"/>
  <c r="J12" i="4"/>
  <c r="M12" i="4"/>
  <c r="P12" i="4"/>
  <c r="S12" i="4"/>
  <c r="V12" i="4"/>
  <c r="D13" i="4"/>
  <c r="G13" i="4"/>
  <c r="J13" i="4"/>
  <c r="M13" i="4"/>
  <c r="P13" i="4"/>
  <c r="S13" i="4"/>
  <c r="V13" i="4"/>
  <c r="D14" i="4"/>
  <c r="J14" i="4"/>
  <c r="M14" i="4"/>
  <c r="P14" i="4"/>
  <c r="S14" i="4"/>
  <c r="V14" i="4"/>
  <c r="D15" i="4"/>
  <c r="G15" i="4"/>
  <c r="J15" i="4"/>
  <c r="M15" i="4"/>
  <c r="P15" i="4"/>
  <c r="S15" i="4"/>
  <c r="V15" i="4"/>
  <c r="D16" i="4"/>
  <c r="G16" i="4"/>
  <c r="J16" i="4"/>
  <c r="M16" i="4"/>
  <c r="P16" i="4"/>
  <c r="V16" i="4"/>
  <c r="D17" i="4"/>
  <c r="G17" i="4"/>
  <c r="J17" i="4"/>
  <c r="M17" i="4"/>
  <c r="P17" i="4"/>
  <c r="S17" i="4"/>
  <c r="V17" i="4"/>
  <c r="D18" i="4"/>
  <c r="G18" i="4"/>
  <c r="J18" i="4"/>
  <c r="M18" i="4"/>
  <c r="P18" i="4"/>
  <c r="S18" i="4"/>
  <c r="V18" i="4"/>
  <c r="D19" i="4"/>
  <c r="G19" i="4"/>
  <c r="J19" i="4"/>
  <c r="M19" i="4"/>
  <c r="P19" i="4"/>
  <c r="V19" i="4"/>
  <c r="D20" i="4"/>
  <c r="G20" i="4"/>
  <c r="J20" i="4"/>
  <c r="M20" i="4"/>
  <c r="P20" i="4"/>
  <c r="S20" i="4"/>
  <c r="V20" i="4"/>
  <c r="D21" i="4"/>
  <c r="G21" i="4"/>
  <c r="J21" i="4"/>
  <c r="P21" i="4"/>
  <c r="V21" i="4"/>
  <c r="D22" i="4"/>
  <c r="G22" i="4"/>
  <c r="J22" i="4"/>
  <c r="M22" i="4"/>
  <c r="P22" i="4"/>
  <c r="V22" i="4"/>
  <c r="D23" i="4"/>
  <c r="G23" i="4"/>
  <c r="J23" i="4"/>
  <c r="M23" i="4"/>
  <c r="P23" i="4"/>
  <c r="S23" i="4"/>
  <c r="V23" i="4"/>
  <c r="D24" i="4"/>
  <c r="G24" i="4"/>
  <c r="J24" i="4"/>
  <c r="M24" i="4"/>
  <c r="P24" i="4"/>
  <c r="S24" i="4"/>
  <c r="V24" i="4"/>
  <c r="D25" i="4"/>
  <c r="J25" i="4"/>
  <c r="M25" i="4"/>
  <c r="P25" i="4"/>
  <c r="S25" i="4"/>
  <c r="V25" i="4"/>
  <c r="D26" i="4"/>
  <c r="G26" i="4"/>
  <c r="J26" i="4"/>
  <c r="M26" i="4"/>
  <c r="P26" i="4"/>
  <c r="S26" i="4"/>
  <c r="D27" i="4"/>
  <c r="G27" i="4"/>
  <c r="J27" i="4"/>
  <c r="M27" i="4"/>
  <c r="P27" i="4"/>
  <c r="S27" i="4"/>
  <c r="V27" i="4"/>
  <c r="D28" i="4"/>
  <c r="G28" i="4"/>
  <c r="J28" i="4"/>
  <c r="M28" i="4"/>
  <c r="P28" i="4"/>
  <c r="V28" i="4"/>
  <c r="D29" i="4"/>
  <c r="J29" i="4"/>
  <c r="M29" i="4"/>
  <c r="P29" i="4"/>
  <c r="S29" i="4"/>
  <c r="D30" i="4"/>
  <c r="G30" i="4"/>
  <c r="J30" i="4"/>
  <c r="M30" i="4"/>
  <c r="P30" i="4"/>
  <c r="S30" i="4"/>
  <c r="V30" i="4"/>
  <c r="D31" i="4"/>
  <c r="G31" i="4"/>
  <c r="J31" i="4"/>
  <c r="M31" i="4"/>
  <c r="P31" i="4"/>
  <c r="S31" i="4"/>
  <c r="G104" i="6" s="1"/>
  <c r="V31" i="4"/>
  <c r="D32" i="4"/>
  <c r="G32" i="4"/>
  <c r="J32" i="4"/>
  <c r="M32" i="4"/>
  <c r="P32" i="4"/>
  <c r="S32" i="4"/>
  <c r="V32" i="4"/>
  <c r="D33" i="4"/>
  <c r="G33" i="4"/>
  <c r="J33" i="4"/>
  <c r="M33" i="4"/>
  <c r="P33" i="4"/>
  <c r="S33" i="4"/>
  <c r="V33" i="4"/>
  <c r="D34" i="4"/>
  <c r="G34" i="4"/>
  <c r="J34" i="4"/>
  <c r="M34" i="4"/>
  <c r="P34" i="4"/>
  <c r="V34" i="4"/>
  <c r="D35" i="4"/>
  <c r="G35" i="4"/>
  <c r="J35" i="4"/>
  <c r="M35" i="4"/>
  <c r="P35" i="4"/>
  <c r="V35" i="4"/>
  <c r="D36" i="4"/>
  <c r="G36" i="4"/>
  <c r="J36" i="4"/>
  <c r="M36" i="4"/>
  <c r="P36" i="4"/>
  <c r="S36" i="4"/>
  <c r="V36" i="4"/>
  <c r="D37" i="4"/>
  <c r="G37" i="4"/>
  <c r="J37" i="4"/>
  <c r="M37" i="4"/>
  <c r="P37" i="4"/>
  <c r="S37" i="4"/>
  <c r="V37" i="4"/>
  <c r="D38" i="4"/>
  <c r="J38" i="4"/>
  <c r="M38" i="4"/>
  <c r="P38" i="4"/>
  <c r="S38" i="4"/>
  <c r="V38" i="4"/>
  <c r="D39" i="4"/>
  <c r="G39" i="4"/>
  <c r="J39" i="4"/>
  <c r="M39" i="4"/>
  <c r="P39" i="4"/>
  <c r="S39" i="4"/>
  <c r="V39" i="4"/>
  <c r="D40" i="4"/>
  <c r="G40" i="4"/>
  <c r="J40" i="4"/>
  <c r="M40" i="4"/>
  <c r="P40" i="4"/>
  <c r="S40" i="4"/>
  <c r="V40" i="4"/>
  <c r="D41" i="4"/>
  <c r="G41" i="4"/>
  <c r="J41" i="4"/>
  <c r="M41" i="4"/>
  <c r="P41" i="4"/>
  <c r="S41" i="4"/>
  <c r="V41" i="4"/>
  <c r="D42" i="4"/>
  <c r="G42" i="4"/>
  <c r="J42" i="4"/>
  <c r="M42" i="4"/>
  <c r="P42" i="4"/>
  <c r="S42" i="4"/>
  <c r="V42" i="4"/>
  <c r="D43" i="4"/>
  <c r="G43" i="4"/>
  <c r="J43" i="4"/>
  <c r="M43" i="4"/>
  <c r="P43" i="4"/>
  <c r="S43" i="4"/>
  <c r="V43" i="4"/>
  <c r="G44" i="4"/>
  <c r="J44" i="4"/>
  <c r="M44" i="4"/>
  <c r="P44" i="4"/>
  <c r="V44" i="4"/>
  <c r="D45" i="4"/>
  <c r="G45" i="4"/>
  <c r="J45" i="4"/>
  <c r="M45" i="4"/>
  <c r="P45" i="4"/>
  <c r="V45" i="4"/>
  <c r="D46" i="4"/>
  <c r="J46" i="4"/>
  <c r="M46" i="4"/>
  <c r="P46" i="4"/>
  <c r="S46" i="4"/>
  <c r="V46" i="4"/>
  <c r="D47" i="4"/>
  <c r="G47" i="4"/>
  <c r="J47" i="4"/>
  <c r="M47" i="4"/>
  <c r="P47" i="4"/>
  <c r="S47" i="4"/>
  <c r="V47" i="4"/>
  <c r="D48" i="4"/>
  <c r="G48" i="4"/>
  <c r="J48" i="4"/>
  <c r="M48" i="4"/>
  <c r="P48" i="4"/>
  <c r="S48" i="4"/>
  <c r="V48" i="4"/>
  <c r="D49" i="4"/>
  <c r="J49" i="4"/>
  <c r="M49" i="4"/>
  <c r="P49" i="4"/>
  <c r="V49" i="4"/>
  <c r="D50" i="4"/>
  <c r="G50" i="4"/>
  <c r="J50" i="4"/>
  <c r="M50" i="4"/>
  <c r="P50" i="4"/>
  <c r="S50" i="4"/>
  <c r="V50" i="4"/>
  <c r="D51" i="4"/>
  <c r="G51" i="4"/>
  <c r="J51" i="4"/>
  <c r="M51" i="4"/>
  <c r="P51" i="4"/>
  <c r="S51" i="4"/>
  <c r="V51" i="4"/>
  <c r="D52" i="4"/>
  <c r="G52" i="4"/>
  <c r="J52" i="4"/>
  <c r="M52" i="4"/>
  <c r="P52" i="4"/>
  <c r="S52" i="4"/>
  <c r="D53" i="4"/>
  <c r="G53" i="4"/>
  <c r="J53" i="4"/>
  <c r="M53" i="4"/>
  <c r="P53" i="4"/>
  <c r="S53" i="4"/>
  <c r="V53" i="4"/>
  <c r="D54" i="4"/>
  <c r="G54" i="4"/>
  <c r="J54" i="4"/>
  <c r="M54" i="4"/>
  <c r="P54" i="4"/>
  <c r="S54" i="4"/>
  <c r="V54" i="4"/>
  <c r="D55" i="4"/>
  <c r="J55" i="4"/>
  <c r="M55" i="4"/>
  <c r="P55" i="4"/>
  <c r="S55" i="4"/>
  <c r="V55" i="4"/>
  <c r="D56" i="4"/>
  <c r="G56" i="4"/>
  <c r="J56" i="4"/>
  <c r="M56" i="4"/>
  <c r="P56" i="4"/>
  <c r="D57" i="4"/>
  <c r="G57" i="4"/>
  <c r="J57" i="4"/>
  <c r="M57" i="4"/>
  <c r="P57" i="4"/>
  <c r="S57" i="4"/>
  <c r="V57" i="4"/>
  <c r="D58" i="4"/>
  <c r="G58" i="4"/>
  <c r="J58" i="4"/>
  <c r="M58" i="4"/>
  <c r="P58" i="4"/>
  <c r="V58" i="4"/>
  <c r="D59" i="4"/>
  <c r="G59" i="4"/>
  <c r="J59" i="4"/>
  <c r="M59" i="4"/>
  <c r="P59" i="4"/>
  <c r="S59" i="4"/>
  <c r="V59" i="4"/>
  <c r="D60" i="4"/>
  <c r="G60" i="4"/>
  <c r="J60" i="4"/>
  <c r="M60" i="4"/>
  <c r="P60" i="4"/>
  <c r="S60" i="4"/>
  <c r="V60" i="4"/>
  <c r="D61" i="4"/>
  <c r="G61" i="4"/>
  <c r="J61" i="4"/>
  <c r="M61" i="4"/>
  <c r="P61" i="4"/>
  <c r="V61" i="4"/>
  <c r="D62" i="4"/>
  <c r="G62" i="4"/>
  <c r="J62" i="4"/>
  <c r="M62" i="4"/>
  <c r="P62" i="4"/>
  <c r="D63" i="4"/>
  <c r="G63" i="4"/>
  <c r="J63" i="4"/>
  <c r="M63" i="4"/>
  <c r="P63" i="4"/>
  <c r="V63" i="4"/>
  <c r="D64" i="4"/>
  <c r="G64" i="4"/>
  <c r="J64" i="4"/>
  <c r="M64" i="4"/>
  <c r="P64" i="4"/>
  <c r="S64" i="4"/>
  <c r="V64" i="4"/>
  <c r="D65" i="4"/>
  <c r="G65" i="4"/>
  <c r="J65" i="4"/>
  <c r="M65" i="4"/>
  <c r="P65" i="4"/>
  <c r="V65" i="4"/>
  <c r="D66" i="4"/>
  <c r="G66" i="4"/>
  <c r="J66" i="4"/>
  <c r="M66" i="4"/>
  <c r="P66" i="4"/>
  <c r="V66" i="4"/>
  <c r="D67" i="4"/>
  <c r="G67" i="4"/>
  <c r="J67" i="4"/>
  <c r="P67" i="4"/>
  <c r="S67" i="4"/>
  <c r="V67" i="4"/>
  <c r="D68" i="4"/>
  <c r="G68" i="4"/>
  <c r="J68" i="4"/>
  <c r="P68" i="4"/>
  <c r="S68" i="4"/>
  <c r="V68" i="4"/>
  <c r="D69" i="4"/>
  <c r="G69" i="4"/>
  <c r="J69" i="4"/>
  <c r="P69" i="4"/>
  <c r="S69" i="4"/>
  <c r="V69" i="4"/>
  <c r="G70" i="4"/>
  <c r="J70" i="4"/>
  <c r="P70" i="4"/>
  <c r="S70" i="4"/>
  <c r="V70" i="4"/>
  <c r="D71" i="4"/>
  <c r="G71" i="4"/>
  <c r="J71" i="4"/>
  <c r="P71" i="4"/>
  <c r="S71" i="4"/>
  <c r="V71" i="4"/>
  <c r="D72" i="4"/>
  <c r="G72" i="4"/>
  <c r="J72" i="4"/>
  <c r="P72" i="4"/>
  <c r="S72" i="4"/>
  <c r="V72" i="4"/>
  <c r="G73" i="4"/>
  <c r="J73" i="4"/>
  <c r="P73" i="4"/>
  <c r="S73" i="4"/>
  <c r="G74" i="4"/>
  <c r="J74" i="4"/>
  <c r="P74" i="4"/>
  <c r="S74" i="4"/>
  <c r="G75" i="4"/>
  <c r="J75" i="4"/>
  <c r="P75" i="4"/>
  <c r="S75" i="4"/>
  <c r="G76" i="4"/>
  <c r="J76" i="4"/>
  <c r="P76" i="4"/>
  <c r="S76" i="4"/>
  <c r="G77" i="4"/>
  <c r="J77" i="4"/>
  <c r="P77" i="4"/>
  <c r="S77" i="4"/>
  <c r="G78" i="4"/>
  <c r="J78" i="4"/>
  <c r="P78" i="4"/>
  <c r="G79" i="4"/>
  <c r="J79" i="4"/>
  <c r="P79" i="4"/>
  <c r="S79" i="4"/>
  <c r="G80" i="4"/>
  <c r="J80" i="4"/>
  <c r="S80" i="4"/>
  <c r="J81" i="4"/>
  <c r="J83" i="4"/>
  <c r="J84" i="4"/>
  <c r="J85" i="4"/>
  <c r="J5" i="6"/>
  <c r="J6" i="6"/>
  <c r="J7" i="6"/>
  <c r="P7" i="6"/>
  <c r="Q7" i="6"/>
  <c r="J8" i="6"/>
  <c r="P8" i="6"/>
  <c r="Q8" i="6"/>
  <c r="J9" i="6"/>
  <c r="P9" i="6"/>
  <c r="Q9" i="6"/>
  <c r="J10" i="6"/>
  <c r="J11" i="6"/>
  <c r="J12" i="6"/>
  <c r="J13" i="6"/>
  <c r="P13" i="6"/>
  <c r="J14" i="6"/>
  <c r="P14" i="6"/>
  <c r="Q14" i="6"/>
  <c r="J15" i="6"/>
  <c r="P15" i="6"/>
  <c r="Q15" i="6"/>
  <c r="J16" i="6"/>
  <c r="P16" i="6"/>
  <c r="Q16" i="6"/>
  <c r="J17" i="6"/>
  <c r="P17" i="6"/>
  <c r="W17" i="6" s="1"/>
  <c r="AB17" i="6" s="1"/>
  <c r="J18" i="6"/>
  <c r="J19" i="6"/>
  <c r="P19" i="6"/>
  <c r="W19" i="6" s="1"/>
  <c r="AB19" i="6" s="1"/>
  <c r="J20" i="6"/>
  <c r="P20" i="6"/>
  <c r="W20" i="6" s="1"/>
  <c r="AB20" i="6" s="1"/>
  <c r="J21" i="6"/>
  <c r="Q21" i="6" s="1"/>
  <c r="P21" i="6"/>
  <c r="J22" i="6"/>
  <c r="P22" i="6"/>
  <c r="Q22" i="6"/>
  <c r="J23" i="6"/>
  <c r="J24" i="6"/>
  <c r="P24" i="6"/>
  <c r="Q24" i="6"/>
  <c r="J25" i="6"/>
  <c r="P25" i="6"/>
  <c r="Q25" i="6"/>
  <c r="J26" i="6"/>
  <c r="P26" i="6"/>
  <c r="Q26" i="6"/>
  <c r="J27" i="6"/>
  <c r="P27" i="6"/>
  <c r="Q27" i="6"/>
  <c r="J28" i="6"/>
  <c r="P28" i="6" s="1"/>
  <c r="J29" i="6"/>
  <c r="J30" i="6"/>
  <c r="P30" i="6"/>
  <c r="Q30" i="6"/>
  <c r="J31" i="6"/>
  <c r="J32" i="6"/>
  <c r="P32" i="6"/>
  <c r="W32" i="6" s="1"/>
  <c r="AB32" i="6" s="1"/>
  <c r="J33" i="6"/>
  <c r="P33" i="6"/>
  <c r="Q33" i="6"/>
  <c r="J34" i="6"/>
  <c r="P34" i="6"/>
  <c r="W34" i="6" s="1"/>
  <c r="AB34" i="6" s="1"/>
  <c r="J35" i="6"/>
  <c r="P35" i="6"/>
  <c r="Q35" i="6"/>
  <c r="J36" i="6"/>
  <c r="J37" i="6"/>
  <c r="P37" i="6"/>
  <c r="W37" i="6" s="1"/>
  <c r="AB37" i="6" s="1"/>
  <c r="J38" i="6"/>
  <c r="P38" i="6"/>
  <c r="W38" i="6" s="1"/>
  <c r="AB38" i="6" s="1"/>
  <c r="J39" i="6"/>
  <c r="P39" i="6"/>
  <c r="W39" i="6" s="1"/>
  <c r="AB39" i="6" s="1"/>
  <c r="J40" i="6"/>
  <c r="P40" i="6" s="1"/>
  <c r="Q40" i="6"/>
  <c r="J41" i="6"/>
  <c r="P41" i="6"/>
  <c r="Q41" i="6"/>
  <c r="J42" i="6"/>
  <c r="J43" i="6"/>
  <c r="P43" i="6"/>
  <c r="Q43" i="6"/>
  <c r="J44" i="6"/>
  <c r="J45" i="6"/>
  <c r="J46" i="6"/>
  <c r="P46" i="6"/>
  <c r="Q46" i="6"/>
  <c r="J47" i="6"/>
  <c r="P47" i="6" s="1"/>
  <c r="Q47" i="6"/>
  <c r="J48" i="6"/>
  <c r="J49" i="6"/>
  <c r="J50" i="6"/>
  <c r="P50" i="6"/>
  <c r="Q50" i="6"/>
  <c r="J51" i="6"/>
  <c r="J52" i="6"/>
  <c r="P52" i="6"/>
  <c r="W52" i="6" s="1"/>
  <c r="AB52" i="6" s="1"/>
  <c r="J53" i="6"/>
  <c r="P53" i="6"/>
  <c r="Q53" i="6"/>
  <c r="J54" i="6"/>
  <c r="P54" i="6"/>
  <c r="Q54" i="6"/>
  <c r="J55" i="6"/>
  <c r="J56" i="6"/>
  <c r="P56" i="6"/>
  <c r="W56" i="6" s="1"/>
  <c r="AB56" i="6" s="1"/>
  <c r="J57" i="6"/>
  <c r="P57" i="6"/>
  <c r="Q57" i="6"/>
  <c r="J58" i="6"/>
  <c r="J59" i="6"/>
  <c r="P59" i="6"/>
  <c r="Q59" i="6"/>
  <c r="J60" i="6"/>
  <c r="P60" i="6"/>
  <c r="Q60" i="6"/>
  <c r="J61" i="6"/>
  <c r="P61" i="6"/>
  <c r="Q61" i="6"/>
  <c r="J62" i="6"/>
  <c r="J63" i="6"/>
  <c r="P63" i="6"/>
  <c r="Q63" i="6"/>
  <c r="J64" i="6"/>
  <c r="J65" i="6"/>
  <c r="P65" i="6"/>
  <c r="W65" i="6" s="1"/>
  <c r="AB65" i="6" s="1"/>
  <c r="J66" i="6"/>
  <c r="Q66" i="6"/>
  <c r="J67" i="6"/>
  <c r="J68" i="6"/>
  <c r="P68" i="6"/>
  <c r="J69" i="6"/>
  <c r="J70" i="6"/>
  <c r="J71" i="6"/>
  <c r="P71" i="6"/>
  <c r="J72" i="6"/>
  <c r="P72" i="6"/>
  <c r="Q72" i="6"/>
  <c r="J73" i="6"/>
  <c r="Q73" i="6"/>
  <c r="J74" i="6"/>
  <c r="J75" i="6"/>
  <c r="P75" i="6"/>
  <c r="J76" i="6"/>
  <c r="J77" i="6"/>
  <c r="J78" i="6"/>
  <c r="P78" i="6"/>
  <c r="Q78" i="6"/>
  <c r="J79" i="6"/>
  <c r="Q79" i="6"/>
  <c r="J80" i="6"/>
  <c r="J81" i="6"/>
  <c r="P81" i="6"/>
  <c r="Q81" i="6"/>
  <c r="J82" i="6"/>
  <c r="P82" i="6"/>
  <c r="J83" i="6"/>
  <c r="Q83" i="6"/>
  <c r="J84" i="6"/>
  <c r="P84" i="6"/>
  <c r="J85" i="6"/>
  <c r="Q85" i="6" s="1"/>
  <c r="P85" i="6"/>
  <c r="J86" i="6"/>
  <c r="P86" i="6"/>
  <c r="J87" i="6"/>
  <c r="P87" i="6" s="1"/>
  <c r="Q87" i="6"/>
  <c r="J88" i="6"/>
  <c r="P88" i="6"/>
  <c r="Q88" i="6"/>
  <c r="J89" i="6"/>
  <c r="J90" i="6"/>
  <c r="P90" i="6"/>
  <c r="Q90" i="6"/>
  <c r="J91" i="6"/>
  <c r="J92" i="6"/>
  <c r="J93" i="6"/>
  <c r="P93" i="6"/>
  <c r="J94" i="6"/>
  <c r="J95" i="6"/>
  <c r="P95" i="6"/>
  <c r="Q95" i="6"/>
  <c r="J96" i="6"/>
  <c r="P96" i="6"/>
  <c r="Q96" i="6"/>
  <c r="J97" i="6"/>
  <c r="J98" i="6"/>
  <c r="J99" i="6"/>
  <c r="P99" i="6" s="1"/>
  <c r="Q99" i="6"/>
  <c r="J100" i="6"/>
  <c r="J101" i="6"/>
  <c r="Q101" i="6"/>
  <c r="J102" i="6"/>
  <c r="P102" i="6"/>
  <c r="Q102" i="6"/>
  <c r="J103" i="6"/>
  <c r="P103" i="6"/>
  <c r="J104" i="6"/>
  <c r="P104" i="6"/>
  <c r="Q104" i="6"/>
  <c r="J105" i="6"/>
  <c r="P105" i="6"/>
  <c r="Q105" i="6"/>
  <c r="J106" i="6"/>
  <c r="J107" i="6"/>
  <c r="J108" i="6"/>
  <c r="P108" i="6"/>
  <c r="W108" i="6" s="1"/>
  <c r="AB108" i="6" s="1"/>
  <c r="J109" i="6"/>
  <c r="J110" i="6"/>
  <c r="Q110" i="6"/>
  <c r="J111" i="6"/>
  <c r="J112" i="6"/>
  <c r="J113" i="6"/>
  <c r="J114" i="6"/>
  <c r="J115" i="6"/>
  <c r="J116" i="6"/>
  <c r="Q116" i="6"/>
  <c r="J117" i="6"/>
  <c r="J118" i="6"/>
  <c r="Q118" i="6"/>
  <c r="J119" i="6"/>
  <c r="Q119" i="6"/>
  <c r="J120" i="6"/>
  <c r="P120" i="6"/>
  <c r="Q120" i="6"/>
  <c r="J121" i="6"/>
  <c r="P121" i="6"/>
  <c r="Q121" i="6"/>
  <c r="T6" i="6"/>
  <c r="U6" i="6"/>
  <c r="T7" i="6"/>
  <c r="X7" i="6" s="1"/>
  <c r="T8" i="6"/>
  <c r="U8" i="6"/>
  <c r="T9" i="6"/>
  <c r="U9" i="6"/>
  <c r="T10" i="6"/>
  <c r="U10" i="6"/>
  <c r="T11" i="6"/>
  <c r="X11" i="6" s="1"/>
  <c r="T12" i="6"/>
  <c r="T13" i="6"/>
  <c r="U13" i="6"/>
  <c r="T14" i="6"/>
  <c r="U14" i="6"/>
  <c r="T15" i="6"/>
  <c r="U15" i="6"/>
  <c r="T16" i="6"/>
  <c r="X16" i="6" s="1"/>
  <c r="T17" i="6"/>
  <c r="X17" i="6" s="1"/>
  <c r="T18" i="6"/>
  <c r="X18" i="6" s="1"/>
  <c r="T19" i="6"/>
  <c r="X19" i="6" s="1"/>
  <c r="T20" i="6"/>
  <c r="X20" i="6" s="1"/>
  <c r="T21" i="6"/>
  <c r="X21" i="6" s="1"/>
  <c r="T22" i="6"/>
  <c r="X22" i="6" s="1"/>
  <c r="T23" i="6"/>
  <c r="U23" i="6"/>
  <c r="T24" i="6"/>
  <c r="U24" i="6"/>
  <c r="T25" i="6"/>
  <c r="U25" i="6"/>
  <c r="T26" i="6"/>
  <c r="U26" i="6"/>
  <c r="T27" i="6"/>
  <c r="U27" i="6"/>
  <c r="T28" i="6"/>
  <c r="U28" i="6"/>
  <c r="T29" i="6"/>
  <c r="X29" i="6" s="1"/>
  <c r="T30" i="6"/>
  <c r="U30" i="6"/>
  <c r="T31" i="6"/>
  <c r="X31" i="6" s="1"/>
  <c r="T32" i="6"/>
  <c r="X32" i="6" s="1"/>
  <c r="T33" i="6"/>
  <c r="U33" i="6"/>
  <c r="T34" i="6"/>
  <c r="X34" i="6" s="1"/>
  <c r="T35" i="6"/>
  <c r="U35" i="6"/>
  <c r="T36" i="6"/>
  <c r="U36" i="6"/>
  <c r="T37" i="6"/>
  <c r="X37" i="6" s="1"/>
  <c r="T38" i="6"/>
  <c r="X38" i="6" s="1"/>
  <c r="T39" i="6"/>
  <c r="X39" i="6" s="1"/>
  <c r="T40" i="6"/>
  <c r="X40" i="6" s="1"/>
  <c r="T41" i="6"/>
  <c r="X41" i="6" s="1"/>
  <c r="T42" i="6"/>
  <c r="X42" i="6" s="1"/>
  <c r="T43" i="6"/>
  <c r="U43" i="6"/>
  <c r="T44" i="6"/>
  <c r="U44" i="6"/>
  <c r="T45" i="6"/>
  <c r="U45" i="6"/>
  <c r="T46" i="6"/>
  <c r="U46" i="6"/>
  <c r="T47" i="6"/>
  <c r="U47" i="6"/>
  <c r="T48" i="6"/>
  <c r="U48" i="6"/>
  <c r="T49" i="6"/>
  <c r="X49" i="6" s="1"/>
  <c r="T50" i="6"/>
  <c r="U50" i="6"/>
  <c r="T51" i="6"/>
  <c r="X51" i="6" s="1"/>
  <c r="T52" i="6"/>
  <c r="X52" i="6" s="1"/>
  <c r="T53" i="6"/>
  <c r="U53" i="6"/>
  <c r="T54" i="6"/>
  <c r="X54" i="6" s="1"/>
  <c r="T55" i="6"/>
  <c r="U55" i="6"/>
  <c r="T56" i="6"/>
  <c r="X56" i="6" s="1"/>
  <c r="T57" i="6"/>
  <c r="U57" i="6"/>
  <c r="T58" i="6"/>
  <c r="X58" i="6" s="1"/>
  <c r="T59" i="6"/>
  <c r="U59" i="6"/>
  <c r="T60" i="6"/>
  <c r="X60" i="6" s="1"/>
  <c r="T61" i="6"/>
  <c r="X61" i="6" s="1"/>
  <c r="T62" i="6"/>
  <c r="X62" i="6" s="1"/>
  <c r="T63" i="6"/>
  <c r="U63" i="6"/>
  <c r="T64" i="6"/>
  <c r="U64" i="6"/>
  <c r="T65" i="6"/>
  <c r="X65" i="6" s="1"/>
  <c r="T66" i="6"/>
  <c r="U66" i="6"/>
  <c r="T67" i="6"/>
  <c r="X67" i="6" s="1"/>
  <c r="T68" i="6"/>
  <c r="U68" i="6"/>
  <c r="T69" i="6"/>
  <c r="U69" i="6"/>
  <c r="T71" i="6"/>
  <c r="U71" i="6"/>
  <c r="T72" i="6"/>
  <c r="X72" i="6" s="1"/>
  <c r="T73" i="6"/>
  <c r="U73" i="6"/>
  <c r="T74" i="6"/>
  <c r="T75" i="6"/>
  <c r="X75" i="6" s="1"/>
  <c r="T76" i="6"/>
  <c r="X76" i="6" s="1"/>
  <c r="T77" i="6"/>
  <c r="X77" i="6" s="1"/>
  <c r="T78" i="6"/>
  <c r="U78" i="6"/>
  <c r="T79" i="6"/>
  <c r="U79" i="6"/>
  <c r="T80" i="6"/>
  <c r="U80" i="6"/>
  <c r="T81" i="6"/>
  <c r="U81" i="6"/>
  <c r="T82" i="6"/>
  <c r="X82" i="6" s="1"/>
  <c r="T83" i="6"/>
  <c r="X83" i="6" s="1"/>
  <c r="T84" i="6"/>
  <c r="X84" i="6" s="1"/>
  <c r="T85" i="6"/>
  <c r="X85" i="6" s="1"/>
  <c r="T86" i="6"/>
  <c r="U86" i="6"/>
  <c r="T87" i="6"/>
  <c r="U87" i="6"/>
  <c r="T88" i="6"/>
  <c r="X88" i="6" s="1"/>
  <c r="T89" i="6"/>
  <c r="X89" i="6" s="1"/>
  <c r="T90" i="6"/>
  <c r="U90" i="6"/>
  <c r="T92" i="6"/>
  <c r="U92" i="6"/>
  <c r="T93" i="6"/>
  <c r="U93" i="6"/>
  <c r="T94" i="6"/>
  <c r="U94" i="6"/>
  <c r="T95" i="6"/>
  <c r="U95" i="6"/>
  <c r="T96" i="6"/>
  <c r="U96" i="6"/>
  <c r="T97" i="6"/>
  <c r="X97" i="6" s="1"/>
  <c r="T98" i="6"/>
  <c r="U98" i="6"/>
  <c r="T99" i="6"/>
  <c r="U99" i="6"/>
  <c r="T100" i="6"/>
  <c r="X100" i="6" s="1"/>
  <c r="T101" i="6"/>
  <c r="U101" i="6"/>
  <c r="T102" i="6"/>
  <c r="X102" i="6" s="1"/>
  <c r="T103" i="6"/>
  <c r="U103" i="6"/>
  <c r="T104" i="6"/>
  <c r="X104" i="6" s="1"/>
  <c r="T105" i="6"/>
  <c r="X105" i="6" s="1"/>
  <c r="T106" i="6"/>
  <c r="X106" i="6" s="1"/>
  <c r="T107" i="6"/>
  <c r="U107" i="6"/>
  <c r="T108" i="6"/>
  <c r="X108" i="6" s="1"/>
  <c r="T109" i="6"/>
  <c r="X109" i="6" s="1"/>
  <c r="T110" i="6"/>
  <c r="U110" i="6"/>
  <c r="T111" i="6"/>
  <c r="X111" i="6" s="1"/>
  <c r="T112" i="6"/>
  <c r="X112" i="6" s="1"/>
  <c r="T113" i="6"/>
  <c r="T114" i="6"/>
  <c r="X114" i="6" s="1"/>
  <c r="U115" i="6"/>
  <c r="T116" i="6"/>
  <c r="U116" i="6"/>
  <c r="T117" i="6"/>
  <c r="X117" i="6" s="1"/>
  <c r="T118" i="6"/>
  <c r="U118" i="6"/>
  <c r="T119" i="6"/>
  <c r="X119" i="6" s="1"/>
  <c r="T120" i="6"/>
  <c r="U120" i="6"/>
  <c r="T121" i="6"/>
  <c r="U121" i="6"/>
  <c r="L6" i="6"/>
  <c r="M6" i="6"/>
  <c r="O6" i="6"/>
  <c r="S6" i="6"/>
  <c r="AL6" i="6"/>
  <c r="AL7" i="6" s="1"/>
  <c r="L7" i="6"/>
  <c r="M7" i="6"/>
  <c r="O7" i="6"/>
  <c r="S7" i="6"/>
  <c r="U7" i="6"/>
  <c r="L8" i="6"/>
  <c r="M8" i="6"/>
  <c r="O8" i="6"/>
  <c r="S8" i="6"/>
  <c r="AL8" i="6"/>
  <c r="L9" i="6"/>
  <c r="M9" i="6"/>
  <c r="O9" i="6"/>
  <c r="S9" i="6"/>
  <c r="AL9" i="6"/>
  <c r="L10" i="6"/>
  <c r="M10" i="6"/>
  <c r="O10" i="6"/>
  <c r="S10" i="6"/>
  <c r="AL10" i="6"/>
  <c r="L11" i="6"/>
  <c r="M11" i="6"/>
  <c r="O11" i="6"/>
  <c r="Q11" i="6"/>
  <c r="S11" i="6"/>
  <c r="U11" i="6"/>
  <c r="L12" i="6"/>
  <c r="M12" i="6"/>
  <c r="O12" i="6"/>
  <c r="S12" i="6"/>
  <c r="L13" i="6"/>
  <c r="M13" i="6"/>
  <c r="O13" i="6"/>
  <c r="S13" i="6"/>
  <c r="L14" i="6"/>
  <c r="M14" i="6"/>
  <c r="O14" i="6"/>
  <c r="S14" i="6"/>
  <c r="L15" i="6"/>
  <c r="M15" i="6"/>
  <c r="O15" i="6"/>
  <c r="S15" i="6"/>
  <c r="L16" i="6"/>
  <c r="M16" i="6"/>
  <c r="O16" i="6"/>
  <c r="S16" i="6"/>
  <c r="U16" i="6"/>
  <c r="L17" i="6"/>
  <c r="M17" i="6"/>
  <c r="O17" i="6"/>
  <c r="Q17" i="6"/>
  <c r="S17" i="6"/>
  <c r="U17" i="6"/>
  <c r="L18" i="6"/>
  <c r="M18" i="6"/>
  <c r="O18" i="6"/>
  <c r="Q18" i="6"/>
  <c r="S18" i="6"/>
  <c r="U18" i="6"/>
  <c r="L19" i="6"/>
  <c r="M19" i="6"/>
  <c r="O19" i="6"/>
  <c r="Q19" i="6"/>
  <c r="S19" i="6"/>
  <c r="U19" i="6"/>
  <c r="L20" i="6"/>
  <c r="M20" i="6"/>
  <c r="O20" i="6"/>
  <c r="Q20" i="6"/>
  <c r="S20" i="6"/>
  <c r="U20" i="6"/>
  <c r="L21" i="6"/>
  <c r="M21" i="6"/>
  <c r="O21" i="6"/>
  <c r="S21" i="6"/>
  <c r="U21" i="6"/>
  <c r="L22" i="6"/>
  <c r="M22" i="6"/>
  <c r="O22" i="6"/>
  <c r="S22" i="6"/>
  <c r="U22" i="6"/>
  <c r="L23" i="6"/>
  <c r="M23" i="6"/>
  <c r="O23" i="6"/>
  <c r="S23" i="6"/>
  <c r="L24" i="6"/>
  <c r="M24" i="6"/>
  <c r="O24" i="6"/>
  <c r="S24" i="6"/>
  <c r="L25" i="6"/>
  <c r="M25" i="6"/>
  <c r="O25" i="6"/>
  <c r="S25" i="6"/>
  <c r="L26" i="6"/>
  <c r="M26" i="6"/>
  <c r="O26" i="6"/>
  <c r="S26" i="6"/>
  <c r="L27" i="6"/>
  <c r="M27" i="6"/>
  <c r="O27" i="6"/>
  <c r="S27" i="6"/>
  <c r="L28" i="6"/>
  <c r="M28" i="6"/>
  <c r="O28" i="6"/>
  <c r="S28" i="6"/>
  <c r="L29" i="6"/>
  <c r="M29" i="6"/>
  <c r="O29" i="6"/>
  <c r="S29" i="6"/>
  <c r="U29" i="6"/>
  <c r="L30" i="6"/>
  <c r="M30" i="6"/>
  <c r="O30" i="6"/>
  <c r="S30" i="6"/>
  <c r="L31" i="6"/>
  <c r="M31" i="6"/>
  <c r="O31" i="6"/>
  <c r="Q31" i="6"/>
  <c r="S31" i="6"/>
  <c r="U31" i="6"/>
  <c r="L32" i="6"/>
  <c r="M32" i="6"/>
  <c r="O32" i="6"/>
  <c r="Q32" i="6"/>
  <c r="S32" i="6"/>
  <c r="U32" i="6"/>
  <c r="L33" i="6"/>
  <c r="M33" i="6"/>
  <c r="O33" i="6"/>
  <c r="S33" i="6"/>
  <c r="L34" i="6"/>
  <c r="M34" i="6"/>
  <c r="O34" i="6"/>
  <c r="Q34" i="6"/>
  <c r="S34" i="6"/>
  <c r="U34" i="6"/>
  <c r="L35" i="6"/>
  <c r="M35" i="6"/>
  <c r="O35" i="6"/>
  <c r="S35" i="6"/>
  <c r="L36" i="6"/>
  <c r="M36" i="6"/>
  <c r="O36" i="6"/>
  <c r="S36" i="6"/>
  <c r="L37" i="6"/>
  <c r="M37" i="6"/>
  <c r="O37" i="6"/>
  <c r="Q37" i="6"/>
  <c r="S37" i="6"/>
  <c r="U37" i="6"/>
  <c r="L38" i="6"/>
  <c r="M38" i="6"/>
  <c r="O38" i="6"/>
  <c r="Q38" i="6"/>
  <c r="S38" i="6"/>
  <c r="U38" i="6"/>
  <c r="L39" i="6"/>
  <c r="M39" i="6"/>
  <c r="O39" i="6"/>
  <c r="Q39" i="6"/>
  <c r="S39" i="6"/>
  <c r="U39" i="6"/>
  <c r="L40" i="6"/>
  <c r="M40" i="6"/>
  <c r="O40" i="6"/>
  <c r="S40" i="6"/>
  <c r="U40" i="6"/>
  <c r="L41" i="6"/>
  <c r="M41" i="6"/>
  <c r="O41" i="6"/>
  <c r="S41" i="6"/>
  <c r="U41" i="6"/>
  <c r="L42" i="6"/>
  <c r="M42" i="6"/>
  <c r="O42" i="6"/>
  <c r="Q42" i="6"/>
  <c r="S42" i="6"/>
  <c r="U42" i="6"/>
  <c r="L43" i="6"/>
  <c r="M43" i="6"/>
  <c r="O43" i="6"/>
  <c r="S43" i="6"/>
  <c r="L44" i="6"/>
  <c r="M44" i="6"/>
  <c r="O44" i="6"/>
  <c r="S44" i="6"/>
  <c r="L45" i="6"/>
  <c r="M45" i="6"/>
  <c r="O45" i="6"/>
  <c r="S45" i="6"/>
  <c r="L46" i="6"/>
  <c r="M46" i="6"/>
  <c r="O46" i="6"/>
  <c r="S46" i="6"/>
  <c r="L47" i="6"/>
  <c r="M47" i="6"/>
  <c r="O47" i="6"/>
  <c r="S47" i="6"/>
  <c r="L48" i="6"/>
  <c r="M48" i="6"/>
  <c r="O48" i="6"/>
  <c r="S48" i="6"/>
  <c r="L49" i="6"/>
  <c r="M49" i="6"/>
  <c r="O49" i="6"/>
  <c r="Q49" i="6"/>
  <c r="S49" i="6"/>
  <c r="U49" i="6"/>
  <c r="L50" i="6"/>
  <c r="M50" i="6"/>
  <c r="O50" i="6"/>
  <c r="S50" i="6"/>
  <c r="L51" i="6"/>
  <c r="M51" i="6"/>
  <c r="O51" i="6"/>
  <c r="Q51" i="6"/>
  <c r="S51" i="6"/>
  <c r="U51" i="6"/>
  <c r="L52" i="6"/>
  <c r="M52" i="6"/>
  <c r="O52" i="6"/>
  <c r="Q52" i="6"/>
  <c r="S52" i="6"/>
  <c r="U52" i="6"/>
  <c r="L53" i="6"/>
  <c r="M53" i="6"/>
  <c r="O53" i="6"/>
  <c r="S53" i="6"/>
  <c r="L54" i="6"/>
  <c r="M54" i="6"/>
  <c r="O54" i="6"/>
  <c r="S54" i="6"/>
  <c r="U54" i="6"/>
  <c r="L55" i="6"/>
  <c r="M55" i="6"/>
  <c r="O55" i="6"/>
  <c r="S55" i="6"/>
  <c r="L56" i="6"/>
  <c r="M56" i="6"/>
  <c r="O56" i="6"/>
  <c r="Q56" i="6"/>
  <c r="S56" i="6"/>
  <c r="U56" i="6"/>
  <c r="L57" i="6"/>
  <c r="M57" i="6"/>
  <c r="O57" i="6"/>
  <c r="S57" i="6"/>
  <c r="L58" i="6"/>
  <c r="M58" i="6"/>
  <c r="O58" i="6"/>
  <c r="S58" i="6"/>
  <c r="U58" i="6"/>
  <c r="L59" i="6"/>
  <c r="M59" i="6"/>
  <c r="O59" i="6"/>
  <c r="S59" i="6"/>
  <c r="L60" i="6"/>
  <c r="M60" i="6"/>
  <c r="O60" i="6"/>
  <c r="S60" i="6"/>
  <c r="U60" i="6"/>
  <c r="L61" i="6"/>
  <c r="M61" i="6"/>
  <c r="O61" i="6"/>
  <c r="S61" i="6"/>
  <c r="U61" i="6"/>
  <c r="L62" i="6"/>
  <c r="M62" i="6"/>
  <c r="O62" i="6"/>
  <c r="Q62" i="6"/>
  <c r="S62" i="6"/>
  <c r="U62" i="6"/>
  <c r="L63" i="6"/>
  <c r="M63" i="6"/>
  <c r="O63" i="6"/>
  <c r="S63" i="6"/>
  <c r="L64" i="6"/>
  <c r="M64" i="6"/>
  <c r="O64" i="6"/>
  <c r="S64" i="6"/>
  <c r="L65" i="6"/>
  <c r="M65" i="6"/>
  <c r="O65" i="6"/>
  <c r="Q65" i="6"/>
  <c r="S65" i="6"/>
  <c r="U65" i="6"/>
  <c r="L66" i="6"/>
  <c r="M66" i="6"/>
  <c r="O66" i="6"/>
  <c r="S66" i="6"/>
  <c r="L67" i="6"/>
  <c r="M67" i="6"/>
  <c r="O67" i="6"/>
  <c r="Q67" i="6"/>
  <c r="S67" i="6"/>
  <c r="U67" i="6"/>
  <c r="L68" i="6"/>
  <c r="M68" i="6"/>
  <c r="O68" i="6"/>
  <c r="S68" i="6"/>
  <c r="L69" i="6"/>
  <c r="M69" i="6"/>
  <c r="O69" i="6"/>
  <c r="S69" i="6"/>
  <c r="L70" i="6"/>
  <c r="M70" i="6"/>
  <c r="O70" i="6"/>
  <c r="S70" i="6"/>
  <c r="L71" i="6"/>
  <c r="M71" i="6"/>
  <c r="O71" i="6"/>
  <c r="S71" i="6"/>
  <c r="L72" i="6"/>
  <c r="M72" i="6"/>
  <c r="O72" i="6"/>
  <c r="S72" i="6"/>
  <c r="U72" i="6"/>
  <c r="L73" i="6"/>
  <c r="M73" i="6"/>
  <c r="O73" i="6"/>
  <c r="S73" i="6"/>
  <c r="L74" i="6"/>
  <c r="M74" i="6"/>
  <c r="O74" i="6"/>
  <c r="S74" i="6"/>
  <c r="L75" i="6"/>
  <c r="M75" i="6"/>
  <c r="O75" i="6"/>
  <c r="S75" i="6"/>
  <c r="U75" i="6"/>
  <c r="L76" i="6"/>
  <c r="M76" i="6"/>
  <c r="O76" i="6"/>
  <c r="S76" i="6"/>
  <c r="U76" i="6"/>
  <c r="L77" i="6"/>
  <c r="M77" i="6"/>
  <c r="O77" i="6"/>
  <c r="S77" i="6"/>
  <c r="U77" i="6"/>
  <c r="L78" i="6"/>
  <c r="M78" i="6"/>
  <c r="O78" i="6"/>
  <c r="S78" i="6"/>
  <c r="L79" i="6"/>
  <c r="M79" i="6"/>
  <c r="O79" i="6"/>
  <c r="S79" i="6"/>
  <c r="L80" i="6"/>
  <c r="M80" i="6"/>
  <c r="O80" i="6"/>
  <c r="S80" i="6"/>
  <c r="L81" i="6"/>
  <c r="M81" i="6"/>
  <c r="O81" i="6"/>
  <c r="S81" i="6"/>
  <c r="L82" i="6"/>
  <c r="M82" i="6"/>
  <c r="O82" i="6"/>
  <c r="S82" i="6"/>
  <c r="U82" i="6"/>
  <c r="L83" i="6"/>
  <c r="M83" i="6"/>
  <c r="O83" i="6"/>
  <c r="S83" i="6"/>
  <c r="U83" i="6"/>
  <c r="L84" i="6"/>
  <c r="M84" i="6"/>
  <c r="O84" i="6"/>
  <c r="Q84" i="6"/>
  <c r="S84" i="6"/>
  <c r="U84" i="6"/>
  <c r="L85" i="6"/>
  <c r="M85" i="6"/>
  <c r="O85" i="6"/>
  <c r="S85" i="6"/>
  <c r="U85" i="6"/>
  <c r="L86" i="6"/>
  <c r="M86" i="6"/>
  <c r="O86" i="6"/>
  <c r="S86" i="6"/>
  <c r="L87" i="6"/>
  <c r="M87" i="6"/>
  <c r="O87" i="6"/>
  <c r="S87" i="6"/>
  <c r="L88" i="6"/>
  <c r="M88" i="6"/>
  <c r="O88" i="6"/>
  <c r="S88" i="6"/>
  <c r="U88" i="6"/>
  <c r="L89" i="6"/>
  <c r="M89" i="6"/>
  <c r="O89" i="6"/>
  <c r="S89" i="6"/>
  <c r="U89" i="6"/>
  <c r="L90" i="6"/>
  <c r="M90" i="6"/>
  <c r="O90" i="6"/>
  <c r="S90" i="6"/>
  <c r="L91" i="6"/>
  <c r="M91" i="6"/>
  <c r="O91" i="6"/>
  <c r="Q91" i="6"/>
  <c r="S91" i="6"/>
  <c r="U91" i="6"/>
  <c r="L92" i="6"/>
  <c r="M92" i="6"/>
  <c r="O92" i="6"/>
  <c r="S92" i="6"/>
  <c r="L93" i="6"/>
  <c r="M93" i="6"/>
  <c r="O93" i="6"/>
  <c r="S93" i="6"/>
  <c r="L94" i="6"/>
  <c r="M94" i="6"/>
  <c r="O94" i="6"/>
  <c r="S94" i="6"/>
  <c r="L95" i="6"/>
  <c r="M95" i="6"/>
  <c r="O95" i="6"/>
  <c r="S95" i="6"/>
  <c r="L96" i="6"/>
  <c r="M96" i="6"/>
  <c r="O96" i="6"/>
  <c r="S96" i="6"/>
  <c r="L97" i="6"/>
  <c r="M97" i="6"/>
  <c r="O97" i="6"/>
  <c r="S97" i="6"/>
  <c r="U97" i="6"/>
  <c r="L98" i="6"/>
  <c r="M98" i="6"/>
  <c r="O98" i="6"/>
  <c r="S98" i="6"/>
  <c r="L99" i="6"/>
  <c r="M99" i="6"/>
  <c r="O99" i="6"/>
  <c r="S99" i="6"/>
  <c r="L100" i="6"/>
  <c r="M100" i="6"/>
  <c r="O100" i="6"/>
  <c r="Q100" i="6"/>
  <c r="S100" i="6"/>
  <c r="U100" i="6"/>
  <c r="L101" i="6"/>
  <c r="M101" i="6"/>
  <c r="O101" i="6"/>
  <c r="S101" i="6"/>
  <c r="L102" i="6"/>
  <c r="M102" i="6"/>
  <c r="O102" i="6"/>
  <c r="S102" i="6"/>
  <c r="U102" i="6"/>
  <c r="L103" i="6"/>
  <c r="M103" i="6"/>
  <c r="O103" i="6"/>
  <c r="S103" i="6"/>
  <c r="L104" i="6"/>
  <c r="M104" i="6"/>
  <c r="O104" i="6"/>
  <c r="S104" i="6"/>
  <c r="U104" i="6"/>
  <c r="L105" i="6"/>
  <c r="M105" i="6"/>
  <c r="O105" i="6"/>
  <c r="S105" i="6"/>
  <c r="U105" i="6"/>
  <c r="L106" i="6"/>
  <c r="M106" i="6"/>
  <c r="O106" i="6"/>
  <c r="Q106" i="6"/>
  <c r="S106" i="6"/>
  <c r="U106" i="6"/>
  <c r="L107" i="6"/>
  <c r="M107" i="6"/>
  <c r="O107" i="6"/>
  <c r="S107" i="6"/>
  <c r="L108" i="6"/>
  <c r="M108" i="6"/>
  <c r="O108" i="6"/>
  <c r="Q108" i="6"/>
  <c r="S108" i="6"/>
  <c r="U108" i="6"/>
  <c r="L109" i="6"/>
  <c r="M109" i="6"/>
  <c r="O109" i="6"/>
  <c r="Q109" i="6"/>
  <c r="S109" i="6"/>
  <c r="U109" i="6"/>
  <c r="L110" i="6"/>
  <c r="M110" i="6"/>
  <c r="O110" i="6"/>
  <c r="S110" i="6"/>
  <c r="L111" i="6"/>
  <c r="M111" i="6"/>
  <c r="O111" i="6"/>
  <c r="Q111" i="6"/>
  <c r="S111" i="6"/>
  <c r="U111" i="6"/>
  <c r="L112" i="6"/>
  <c r="M112" i="6"/>
  <c r="O112" i="6"/>
  <c r="Q112" i="6"/>
  <c r="S112" i="6"/>
  <c r="U112" i="6"/>
  <c r="L113" i="6"/>
  <c r="M113" i="6"/>
  <c r="O113" i="6"/>
  <c r="S113" i="6"/>
  <c r="L114" i="6"/>
  <c r="M114" i="6"/>
  <c r="O114" i="6"/>
  <c r="Q114" i="6"/>
  <c r="S114" i="6"/>
  <c r="U114" i="6"/>
  <c r="L115" i="6"/>
  <c r="M115" i="6"/>
  <c r="O115" i="6"/>
  <c r="S115" i="6"/>
  <c r="L116" i="6"/>
  <c r="M116" i="6"/>
  <c r="O116" i="6"/>
  <c r="S116" i="6"/>
  <c r="L117" i="6"/>
  <c r="M117" i="6"/>
  <c r="O117" i="6"/>
  <c r="Q117" i="6"/>
  <c r="S117" i="6"/>
  <c r="U117" i="6"/>
  <c r="L118" i="6"/>
  <c r="M118" i="6"/>
  <c r="O118" i="6"/>
  <c r="S118" i="6"/>
  <c r="L119" i="6"/>
  <c r="M119" i="6"/>
  <c r="O119" i="6"/>
  <c r="S119" i="6"/>
  <c r="U119" i="6"/>
  <c r="L120" i="6"/>
  <c r="M120" i="6"/>
  <c r="O120" i="6"/>
  <c r="S120" i="6"/>
  <c r="L121" i="6"/>
  <c r="M121" i="6"/>
  <c r="O121" i="6"/>
  <c r="S121" i="6"/>
  <c r="W84" i="6" l="1"/>
  <c r="AB84" i="6" s="1"/>
  <c r="X101" i="6"/>
  <c r="X47" i="6"/>
  <c r="X6" i="6"/>
  <c r="X9" i="6"/>
  <c r="X79" i="6"/>
  <c r="X120" i="6"/>
  <c r="X103" i="6"/>
  <c r="X86" i="6"/>
  <c r="X69" i="6"/>
  <c r="X73" i="6"/>
  <c r="X25" i="6"/>
  <c r="X78" i="6"/>
  <c r="X24" i="6"/>
  <c r="X35" i="6"/>
  <c r="X28" i="6"/>
  <c r="X95" i="6"/>
  <c r="X81" i="6"/>
  <c r="X55" i="6"/>
  <c r="X66" i="6"/>
  <c r="X27" i="6"/>
  <c r="X93" i="6"/>
  <c r="X45" i="6"/>
  <c r="X57" i="6"/>
  <c r="X107" i="6"/>
  <c r="X90" i="6"/>
  <c r="X64" i="6"/>
  <c r="X46" i="6"/>
  <c r="X33" i="6"/>
  <c r="X26" i="6"/>
  <c r="W25" i="6"/>
  <c r="AB25" i="6" s="1"/>
  <c r="X23" i="6"/>
  <c r="X10" i="6"/>
  <c r="X63" i="6"/>
  <c r="X14" i="6"/>
  <c r="X110" i="6"/>
  <c r="X87" i="6"/>
  <c r="X44" i="6"/>
  <c r="X13" i="6"/>
  <c r="X121" i="6"/>
  <c r="X48" i="6"/>
  <c r="X118" i="6"/>
  <c r="X96" i="6"/>
  <c r="X92" i="6"/>
  <c r="X50" i="6"/>
  <c r="X30" i="6"/>
  <c r="X15" i="6"/>
  <c r="X80" i="6"/>
  <c r="X59" i="6"/>
  <c r="X68" i="6"/>
  <c r="X8" i="6"/>
  <c r="X94" i="6"/>
  <c r="X53" i="6"/>
  <c r="X71" i="6"/>
  <c r="X43" i="6"/>
  <c r="W15" i="6"/>
  <c r="AB15" i="6" s="1"/>
  <c r="W60" i="6"/>
  <c r="AB60" i="6" s="1"/>
  <c r="W85" i="6"/>
  <c r="AB85" i="6" s="1"/>
  <c r="W47" i="6"/>
  <c r="AB47" i="6" s="1"/>
  <c r="W99" i="6"/>
  <c r="AB99" i="6" s="1"/>
  <c r="W90" i="6"/>
  <c r="AB90" i="6" s="1"/>
  <c r="W81" i="6"/>
  <c r="AB81" i="6" s="1"/>
  <c r="W50" i="6"/>
  <c r="AB50" i="6" s="1"/>
  <c r="W7" i="6"/>
  <c r="AB7" i="6" s="1"/>
  <c r="W96" i="6"/>
  <c r="AB96" i="6" s="1"/>
  <c r="W30" i="6"/>
  <c r="AB30" i="6" s="1"/>
  <c r="W21" i="6"/>
  <c r="AB21" i="6" s="1"/>
  <c r="W63" i="6"/>
  <c r="AB63" i="6" s="1"/>
  <c r="W59" i="6"/>
  <c r="AB59" i="6" s="1"/>
  <c r="W95" i="6"/>
  <c r="AB95" i="6" s="1"/>
  <c r="W33" i="6"/>
  <c r="AB33" i="6" s="1"/>
  <c r="W88" i="6"/>
  <c r="AB88" i="6" s="1"/>
  <c r="W53" i="6"/>
  <c r="AB53" i="6" s="1"/>
  <c r="W27" i="6"/>
  <c r="AB27" i="6" s="1"/>
  <c r="W57" i="6"/>
  <c r="AB57" i="6" s="1"/>
  <c r="W72" i="6"/>
  <c r="AB72" i="6" s="1"/>
  <c r="W41" i="6"/>
  <c r="AB41" i="6" s="1"/>
  <c r="W87" i="6"/>
  <c r="AB87" i="6" s="1"/>
  <c r="W46" i="6"/>
  <c r="AB46" i="6" s="1"/>
  <c r="W26" i="6"/>
  <c r="AB26" i="6" s="1"/>
  <c r="W22" i="6"/>
  <c r="AB22" i="6" s="1"/>
  <c r="W40" i="6"/>
  <c r="AB40" i="6" s="1"/>
  <c r="E95" i="6"/>
  <c r="E99" i="6"/>
  <c r="G73" i="6"/>
  <c r="G99" i="6"/>
  <c r="E9" i="6"/>
  <c r="E52" i="6"/>
  <c r="C39" i="6"/>
  <c r="C46" i="6"/>
  <c r="C8" i="6"/>
  <c r="C53" i="6"/>
  <c r="C41" i="6"/>
  <c r="C17" i="6"/>
  <c r="C29" i="6"/>
  <c r="C47" i="6"/>
  <c r="C55" i="6"/>
  <c r="C50" i="6"/>
  <c r="C15" i="6"/>
  <c r="C37" i="6"/>
  <c r="C56" i="6"/>
  <c r="C63" i="6"/>
  <c r="C10" i="6"/>
  <c r="C43" i="6"/>
  <c r="C48" i="6"/>
  <c r="C69" i="6"/>
  <c r="C22" i="6"/>
  <c r="C24" i="6"/>
  <c r="C54" i="6"/>
  <c r="C60" i="6"/>
  <c r="C95" i="6"/>
  <c r="C35" i="6"/>
  <c r="C88" i="6"/>
  <c r="C110" i="6"/>
  <c r="C112" i="6"/>
  <c r="C114" i="6"/>
  <c r="C116" i="6"/>
  <c r="C118" i="6"/>
  <c r="C108" i="6"/>
  <c r="C71" i="6"/>
  <c r="C87" i="6"/>
  <c r="C120" i="6"/>
  <c r="C73" i="6"/>
  <c r="C104" i="6"/>
  <c r="C75" i="6"/>
  <c r="C86" i="6"/>
  <c r="C102" i="6"/>
  <c r="C103" i="6"/>
  <c r="C85" i="6"/>
  <c r="C99" i="6"/>
  <c r="C90" i="6"/>
  <c r="C91" i="6"/>
  <c r="C16" i="6"/>
  <c r="C94" i="6"/>
  <c r="C96" i="6"/>
  <c r="C67" i="6"/>
  <c r="C97" i="6"/>
  <c r="C72" i="6"/>
  <c r="C92" i="6"/>
  <c r="C61" i="6"/>
  <c r="C9" i="6"/>
  <c r="C28" i="6"/>
  <c r="C93" i="6"/>
  <c r="C81" i="6"/>
  <c r="C84" i="6"/>
  <c r="F24" i="6"/>
  <c r="F50" i="6"/>
  <c r="F16" i="6"/>
  <c r="F8" i="6"/>
  <c r="F14" i="6"/>
  <c r="F22" i="6"/>
  <c r="F34" i="6"/>
  <c r="F21" i="6"/>
  <c r="F43" i="6"/>
  <c r="F65" i="6"/>
  <c r="F20" i="6"/>
  <c r="F49" i="6"/>
  <c r="F9" i="6"/>
  <c r="F26" i="6"/>
  <c r="F35" i="6"/>
  <c r="F39" i="6"/>
  <c r="F102" i="6"/>
  <c r="F27" i="6"/>
  <c r="F51" i="6"/>
  <c r="F15" i="6"/>
  <c r="F58" i="6"/>
  <c r="F32" i="6"/>
  <c r="F99" i="6"/>
  <c r="F28" i="6"/>
  <c r="F46" i="6"/>
  <c r="F53" i="6"/>
  <c r="F59" i="6"/>
  <c r="F84" i="6"/>
  <c r="F47" i="6"/>
  <c r="F55" i="6"/>
  <c r="F61" i="6"/>
  <c r="F78" i="6"/>
  <c r="F68" i="6"/>
  <c r="F83" i="6"/>
  <c r="F90" i="6"/>
  <c r="F60" i="6"/>
  <c r="F88" i="6"/>
  <c r="F42" i="6"/>
  <c r="F71" i="6"/>
  <c r="F87" i="6"/>
  <c r="F54" i="6"/>
  <c r="F82" i="6"/>
  <c r="F106" i="6"/>
  <c r="F40" i="6"/>
  <c r="F73" i="6"/>
  <c r="F75" i="6"/>
  <c r="F101" i="6"/>
  <c r="F104" i="6"/>
  <c r="F121" i="6"/>
  <c r="F92" i="6"/>
  <c r="F93" i="6"/>
  <c r="F81" i="6"/>
  <c r="F98" i="6"/>
  <c r="F79" i="6"/>
  <c r="F103" i="6"/>
  <c r="F72" i="6"/>
  <c r="F5" i="6"/>
  <c r="F95" i="6"/>
  <c r="B6" i="6"/>
  <c r="F97" i="6"/>
  <c r="E93" i="6"/>
  <c r="H106" i="6"/>
  <c r="H65" i="6"/>
  <c r="D39" i="6"/>
  <c r="D46" i="6"/>
  <c r="D14" i="6"/>
  <c r="D50" i="6"/>
  <c r="D48" i="6"/>
  <c r="D54" i="6"/>
  <c r="D56" i="6"/>
  <c r="D43" i="6"/>
  <c r="D65" i="6"/>
  <c r="D35" i="6"/>
  <c r="D29" i="6"/>
  <c r="D41" i="6"/>
  <c r="D10" i="6"/>
  <c r="D75" i="6"/>
  <c r="D81" i="6"/>
  <c r="D69" i="6"/>
  <c r="D9" i="6"/>
  <c r="D34" i="6"/>
  <c r="D47" i="6"/>
  <c r="D61" i="6"/>
  <c r="D72" i="6"/>
  <c r="D27" i="6"/>
  <c r="D78" i="6"/>
  <c r="D83" i="6"/>
  <c r="D90" i="6"/>
  <c r="D88" i="6"/>
  <c r="D66" i="6"/>
  <c r="D108" i="6"/>
  <c r="D24" i="6"/>
  <c r="D36" i="6"/>
  <c r="D82" i="6"/>
  <c r="D105" i="6"/>
  <c r="D120" i="6"/>
  <c r="D121" i="6"/>
  <c r="D59" i="6"/>
  <c r="D62" i="6"/>
  <c r="D104" i="6"/>
  <c r="D102" i="6"/>
  <c r="D28" i="6"/>
  <c r="D55" i="6"/>
  <c r="D84" i="6"/>
  <c r="D93" i="6"/>
  <c r="D16" i="6"/>
  <c r="D96" i="6"/>
  <c r="D22" i="6"/>
  <c r="D85" i="6"/>
  <c r="D95" i="6"/>
  <c r="D99" i="6"/>
  <c r="E102" i="6"/>
  <c r="G85" i="6"/>
  <c r="Q115" i="6"/>
  <c r="E115" i="6"/>
  <c r="C115" i="6"/>
  <c r="D115" i="6"/>
  <c r="F115" i="6"/>
  <c r="G115" i="6"/>
  <c r="T115" i="6"/>
  <c r="X115" i="6" s="1"/>
  <c r="H115" i="6"/>
  <c r="P115" i="6"/>
  <c r="B115" i="6"/>
  <c r="W104" i="6"/>
  <c r="AB104" i="6" s="1"/>
  <c r="G102" i="6"/>
  <c r="C100" i="6"/>
  <c r="G97" i="6"/>
  <c r="B91" i="6"/>
  <c r="E91" i="6"/>
  <c r="F91" i="6"/>
  <c r="G91" i="6"/>
  <c r="H91" i="6"/>
  <c r="P91" i="6"/>
  <c r="W91" i="6" s="1"/>
  <c r="AB91" i="6" s="1"/>
  <c r="T91" i="6"/>
  <c r="X91" i="6" s="1"/>
  <c r="D91" i="6"/>
  <c r="G70" i="6"/>
  <c r="D70" i="6"/>
  <c r="F70" i="6"/>
  <c r="Q70" i="6"/>
  <c r="C70" i="6"/>
  <c r="H70" i="6"/>
  <c r="P70" i="6"/>
  <c r="B70" i="6"/>
  <c r="T70" i="6"/>
  <c r="U70" i="6"/>
  <c r="E70" i="6"/>
  <c r="G16" i="6"/>
  <c r="G43" i="6"/>
  <c r="G61" i="6"/>
  <c r="G24" i="6"/>
  <c r="G50" i="6"/>
  <c r="G9" i="6"/>
  <c r="G26" i="6"/>
  <c r="G35" i="6"/>
  <c r="G8" i="6"/>
  <c r="G34" i="6"/>
  <c r="G78" i="6"/>
  <c r="G21" i="6"/>
  <c r="G25" i="6"/>
  <c r="G33" i="6"/>
  <c r="G13" i="6"/>
  <c r="G27" i="6"/>
  <c r="G28" i="6"/>
  <c r="G46" i="6"/>
  <c r="G53" i="6"/>
  <c r="G39" i="6"/>
  <c r="G41" i="6"/>
  <c r="G15" i="6"/>
  <c r="G31" i="6"/>
  <c r="G52" i="6"/>
  <c r="G65" i="6"/>
  <c r="G69" i="6"/>
  <c r="G81" i="6"/>
  <c r="G20" i="6"/>
  <c r="G92" i="6"/>
  <c r="G47" i="6"/>
  <c r="G45" i="6"/>
  <c r="G83" i="6"/>
  <c r="G60" i="6"/>
  <c r="G64" i="6"/>
  <c r="G88" i="6"/>
  <c r="G48" i="6"/>
  <c r="G87" i="6"/>
  <c r="G108" i="6"/>
  <c r="G109" i="6"/>
  <c r="G111" i="6"/>
  <c r="G117" i="6"/>
  <c r="G119" i="6"/>
  <c r="G54" i="6"/>
  <c r="G105" i="6"/>
  <c r="G120" i="6"/>
  <c r="G32" i="6"/>
  <c r="G72" i="6"/>
  <c r="G95" i="6"/>
  <c r="G96" i="6"/>
  <c r="H16" i="6"/>
  <c r="H43" i="6"/>
  <c r="H61" i="6"/>
  <c r="H24" i="6"/>
  <c r="H9" i="6"/>
  <c r="H28" i="6"/>
  <c r="H35" i="6"/>
  <c r="H27" i="6"/>
  <c r="H14" i="6"/>
  <c r="H22" i="6"/>
  <c r="H26" i="6"/>
  <c r="H50" i="6"/>
  <c r="H8" i="6"/>
  <c r="H34" i="6"/>
  <c r="H21" i="6"/>
  <c r="H33" i="6"/>
  <c r="H15" i="6"/>
  <c r="H39" i="6"/>
  <c r="H59" i="6"/>
  <c r="H60" i="6"/>
  <c r="H95" i="6"/>
  <c r="H19" i="6"/>
  <c r="H46" i="6"/>
  <c r="H53" i="6"/>
  <c r="H13" i="6"/>
  <c r="H78" i="6"/>
  <c r="H85" i="6"/>
  <c r="H41" i="6"/>
  <c r="H7" i="6"/>
  <c r="H20" i="6"/>
  <c r="H48" i="6"/>
  <c r="H47" i="6"/>
  <c r="H54" i="6"/>
  <c r="H72" i="6"/>
  <c r="H83" i="6"/>
  <c r="H90" i="6"/>
  <c r="H42" i="6"/>
  <c r="H64" i="6"/>
  <c r="H88" i="6"/>
  <c r="H107" i="6"/>
  <c r="H110" i="6"/>
  <c r="H112" i="6"/>
  <c r="H114" i="6"/>
  <c r="H116" i="6"/>
  <c r="H118" i="6"/>
  <c r="H108" i="6"/>
  <c r="H81" i="6"/>
  <c r="H84" i="6"/>
  <c r="H99" i="6"/>
  <c r="E50" i="6"/>
  <c r="E39" i="6"/>
  <c r="E8" i="6"/>
  <c r="E24" i="6"/>
  <c r="E21" i="6"/>
  <c r="E43" i="6"/>
  <c r="E33" i="6"/>
  <c r="E41" i="6"/>
  <c r="E53" i="6"/>
  <c r="E14" i="6"/>
  <c r="E22" i="6"/>
  <c r="E34" i="6"/>
  <c r="E27" i="6"/>
  <c r="E78" i="6"/>
  <c r="E15" i="6"/>
  <c r="E35" i="6"/>
  <c r="E29" i="6"/>
  <c r="E10" i="6"/>
  <c r="E48" i="6"/>
  <c r="E75" i="6"/>
  <c r="E81" i="6"/>
  <c r="E40" i="6"/>
  <c r="E55" i="6"/>
  <c r="E88" i="6"/>
  <c r="E16" i="6"/>
  <c r="E49" i="6"/>
  <c r="E28" i="6"/>
  <c r="E68" i="6"/>
  <c r="E60" i="6"/>
  <c r="E54" i="6"/>
  <c r="E108" i="6"/>
  <c r="E36" i="6"/>
  <c r="E73" i="6"/>
  <c r="E101" i="6"/>
  <c r="E105" i="6"/>
  <c r="E120" i="6"/>
  <c r="E121" i="6"/>
  <c r="E46" i="6"/>
  <c r="E59" i="6"/>
  <c r="E69" i="6"/>
  <c r="E103" i="6"/>
  <c r="E47" i="6"/>
  <c r="E61" i="6"/>
  <c r="B8" i="6"/>
  <c r="B14" i="6"/>
  <c r="B53" i="6"/>
  <c r="B59" i="6"/>
  <c r="B65" i="6"/>
  <c r="B72" i="6"/>
  <c r="B9" i="6"/>
  <c r="B15" i="6"/>
  <c r="B39" i="6"/>
  <c r="B54" i="6"/>
  <c r="B17" i="6"/>
  <c r="B29" i="6"/>
  <c r="B16" i="6"/>
  <c r="B24" i="6"/>
  <c r="B37" i="6"/>
  <c r="B10" i="6"/>
  <c r="B81" i="6"/>
  <c r="B43" i="6"/>
  <c r="B31" i="6"/>
  <c r="B88" i="6"/>
  <c r="B55" i="6"/>
  <c r="B61" i="6"/>
  <c r="B28" i="6"/>
  <c r="B63" i="6"/>
  <c r="B44" i="6"/>
  <c r="B60" i="6"/>
  <c r="B107" i="6"/>
  <c r="B108" i="6"/>
  <c r="B109" i="6"/>
  <c r="B111" i="6"/>
  <c r="B117" i="6"/>
  <c r="B119" i="6"/>
  <c r="B58" i="6"/>
  <c r="B120" i="6"/>
  <c r="B86" i="6"/>
  <c r="B101" i="6"/>
  <c r="B102" i="6"/>
  <c r="B103" i="6"/>
  <c r="B69" i="6"/>
  <c r="B77" i="6"/>
  <c r="B85" i="6"/>
  <c r="B99" i="6"/>
  <c r="B100" i="6"/>
  <c r="B95" i="6"/>
  <c r="B96" i="6"/>
  <c r="B50" i="6"/>
  <c r="B68" i="6"/>
  <c r="B78" i="6"/>
  <c r="B83" i="6"/>
  <c r="B97" i="6"/>
  <c r="E85" i="6"/>
  <c r="C83" i="6"/>
  <c r="E65" i="6"/>
  <c r="X116" i="6"/>
  <c r="X99" i="6"/>
  <c r="W121" i="6"/>
  <c r="AB121" i="6" s="1"/>
  <c r="B106" i="6"/>
  <c r="G103" i="6"/>
  <c r="H101" i="6"/>
  <c r="B90" i="6"/>
  <c r="B25" i="6"/>
  <c r="E5" i="6"/>
  <c r="G121" i="6"/>
  <c r="G101" i="6"/>
  <c r="E92" i="6"/>
  <c r="E72" i="6"/>
  <c r="D68" i="6"/>
  <c r="H40" i="6"/>
  <c r="C36" i="6"/>
  <c r="D5" i="6"/>
  <c r="X98" i="6"/>
  <c r="B121" i="6"/>
  <c r="W105" i="6"/>
  <c r="AB105" i="6" s="1"/>
  <c r="G98" i="6"/>
  <c r="E96" i="6"/>
  <c r="G94" i="6"/>
  <c r="G82" i="6"/>
  <c r="B79" i="6"/>
  <c r="G40" i="6"/>
  <c r="E113" i="6"/>
  <c r="Q113" i="6"/>
  <c r="C113" i="6"/>
  <c r="D113" i="6"/>
  <c r="F113" i="6"/>
  <c r="G113" i="6"/>
  <c r="H113" i="6"/>
  <c r="P113" i="6"/>
  <c r="U113" i="6"/>
  <c r="X113" i="6" s="1"/>
  <c r="B113" i="6"/>
  <c r="H105" i="6"/>
  <c r="H100" i="6"/>
  <c r="E94" i="6"/>
  <c r="B92" i="6"/>
  <c r="H89" i="6"/>
  <c r="P89" i="6"/>
  <c r="C89" i="6"/>
  <c r="D89" i="6"/>
  <c r="E89" i="6"/>
  <c r="F89" i="6"/>
  <c r="G89" i="6"/>
  <c r="Q89" i="6"/>
  <c r="B89" i="6"/>
  <c r="X36" i="6"/>
  <c r="E80" i="6"/>
  <c r="W120" i="6"/>
  <c r="AB120" i="6" s="1"/>
  <c r="C105" i="6"/>
  <c r="G100" i="6"/>
  <c r="E98" i="6"/>
  <c r="H86" i="6"/>
  <c r="E84" i="6"/>
  <c r="E74" i="6"/>
  <c r="P74" i="6"/>
  <c r="H74" i="6"/>
  <c r="B74" i="6"/>
  <c r="C74" i="6"/>
  <c r="F74" i="6"/>
  <c r="G74" i="6"/>
  <c r="U74" i="6"/>
  <c r="X74" i="6" s="1"/>
  <c r="Q74" i="6"/>
  <c r="D74" i="6"/>
  <c r="B67" i="6"/>
  <c r="B35" i="6"/>
  <c r="C12" i="6"/>
  <c r="E12" i="6"/>
  <c r="F12" i="6"/>
  <c r="G12" i="6"/>
  <c r="H12" i="6"/>
  <c r="D12" i="6"/>
  <c r="Q12" i="6"/>
  <c r="P12" i="6"/>
  <c r="B12" i="6"/>
  <c r="U12" i="6"/>
  <c r="X12" i="6" s="1"/>
  <c r="G77" i="6"/>
  <c r="AL11" i="6"/>
  <c r="H120" i="6"/>
  <c r="H102" i="6"/>
  <c r="E100" i="6"/>
  <c r="D98" i="6"/>
  <c r="B94" i="6"/>
  <c r="E86" i="6"/>
  <c r="H63" i="6"/>
  <c r="H52" i="6"/>
  <c r="B23" i="6"/>
  <c r="P119" i="6"/>
  <c r="W119" i="6" s="1"/>
  <c r="AB119" i="6" s="1"/>
  <c r="D119" i="6"/>
  <c r="B118" i="6"/>
  <c r="G118" i="6"/>
  <c r="D117" i="6"/>
  <c r="P117" i="6"/>
  <c r="W117" i="6" s="1"/>
  <c r="AB117" i="6" s="1"/>
  <c r="G116" i="6"/>
  <c r="B116" i="6"/>
  <c r="B114" i="6"/>
  <c r="G114" i="6"/>
  <c r="G112" i="6"/>
  <c r="B112" i="6"/>
  <c r="P111" i="6"/>
  <c r="W111" i="6" s="1"/>
  <c r="AB111" i="6" s="1"/>
  <c r="D111" i="6"/>
  <c r="B110" i="6"/>
  <c r="G110" i="6"/>
  <c r="D109" i="6"/>
  <c r="P109" i="6"/>
  <c r="W109" i="6" s="1"/>
  <c r="AB109" i="6" s="1"/>
  <c r="F108" i="6"/>
  <c r="G107" i="6"/>
  <c r="P107" i="6"/>
  <c r="C107" i="6"/>
  <c r="W102" i="6"/>
  <c r="AB102" i="6" s="1"/>
  <c r="P100" i="6"/>
  <c r="W100" i="6" s="1"/>
  <c r="AB100" i="6" s="1"/>
  <c r="P98" i="6"/>
  <c r="H97" i="6"/>
  <c r="H94" i="6"/>
  <c r="P76" i="6"/>
  <c r="E76" i="6"/>
  <c r="Q76" i="6"/>
  <c r="G76" i="6"/>
  <c r="C76" i="6"/>
  <c r="F76" i="6"/>
  <c r="H76" i="6"/>
  <c r="B76" i="6"/>
  <c r="H44" i="6"/>
  <c r="E44" i="6"/>
  <c r="F44" i="6"/>
  <c r="G44" i="6"/>
  <c r="P44" i="6"/>
  <c r="Q44" i="6"/>
  <c r="D44" i="6"/>
  <c r="C44" i="6"/>
  <c r="H119" i="6"/>
  <c r="P118" i="6"/>
  <c r="W118" i="6" s="1"/>
  <c r="AB118" i="6" s="1"/>
  <c r="H117" i="6"/>
  <c r="P116" i="6"/>
  <c r="W116" i="6" s="1"/>
  <c r="AB116" i="6" s="1"/>
  <c r="P114" i="6"/>
  <c r="W114" i="6" s="1"/>
  <c r="AB114" i="6" s="1"/>
  <c r="P112" i="6"/>
  <c r="W112" i="6" s="1"/>
  <c r="AB112" i="6" s="1"/>
  <c r="H111" i="6"/>
  <c r="P110" i="6"/>
  <c r="W110" i="6" s="1"/>
  <c r="AB110" i="6" s="1"/>
  <c r="H109" i="6"/>
  <c r="Q107" i="6"/>
  <c r="G106" i="6"/>
  <c r="G93" i="6"/>
  <c r="B93" i="6"/>
  <c r="H93" i="6"/>
  <c r="Q92" i="6"/>
  <c r="D92" i="6"/>
  <c r="P92" i="6"/>
  <c r="B34" i="6"/>
  <c r="F18" i="6"/>
  <c r="D18" i="6"/>
  <c r="E18" i="6"/>
  <c r="G18" i="6"/>
  <c r="C18" i="6"/>
  <c r="H18" i="6"/>
  <c r="P18" i="6"/>
  <c r="W18" i="6" s="1"/>
  <c r="AB18" i="6" s="1"/>
  <c r="B18" i="6"/>
  <c r="B98" i="6"/>
  <c r="C98" i="6"/>
  <c r="H98" i="6"/>
  <c r="E97" i="6"/>
  <c r="D97" i="6"/>
  <c r="Q97" i="6"/>
  <c r="D94" i="6"/>
  <c r="F94" i="6"/>
  <c r="P79" i="6"/>
  <c r="W79" i="6" s="1"/>
  <c r="AB79" i="6" s="1"/>
  <c r="E79" i="6"/>
  <c r="D79" i="6"/>
  <c r="G79" i="6"/>
  <c r="H79" i="6"/>
  <c r="C79" i="6"/>
  <c r="E67" i="6"/>
  <c r="P67" i="6"/>
  <c r="W67" i="6" s="1"/>
  <c r="AB67" i="6" s="1"/>
  <c r="H67" i="6"/>
  <c r="F67" i="6"/>
  <c r="G67" i="6"/>
  <c r="D67" i="6"/>
  <c r="C27" i="6"/>
  <c r="G5" i="6"/>
  <c r="B5" i="6"/>
  <c r="P5" i="6"/>
  <c r="L5" i="6"/>
  <c r="M5" i="6"/>
  <c r="O5" i="6"/>
  <c r="Q5" i="6"/>
  <c r="H5" i="6"/>
  <c r="T5" i="6"/>
  <c r="X5" i="6" s="1"/>
  <c r="U5" i="6"/>
  <c r="S5" i="6"/>
  <c r="C5" i="6"/>
  <c r="F119" i="6"/>
  <c r="F118" i="6"/>
  <c r="F117" i="6"/>
  <c r="F116" i="6"/>
  <c r="F114" i="6"/>
  <c r="F112" i="6"/>
  <c r="F111" i="6"/>
  <c r="F110" i="6"/>
  <c r="F109" i="6"/>
  <c r="F107" i="6"/>
  <c r="E106" i="6"/>
  <c r="F100" i="6"/>
  <c r="D100" i="6"/>
  <c r="F77" i="6"/>
  <c r="C77" i="6"/>
  <c r="P77" i="6"/>
  <c r="E77" i="6"/>
  <c r="H77" i="6"/>
  <c r="Q77" i="6"/>
  <c r="D77" i="6"/>
  <c r="H62" i="6"/>
  <c r="E62" i="6"/>
  <c r="F62" i="6"/>
  <c r="G62" i="6"/>
  <c r="B62" i="6"/>
  <c r="C62" i="6"/>
  <c r="P62" i="6"/>
  <c r="W62" i="6" s="1"/>
  <c r="AB62" i="6" s="1"/>
  <c r="C59" i="6"/>
  <c r="E119" i="6"/>
  <c r="E118" i="6"/>
  <c r="E117" i="6"/>
  <c r="E116" i="6"/>
  <c r="E114" i="6"/>
  <c r="E112" i="6"/>
  <c r="E111" i="6"/>
  <c r="E110" i="6"/>
  <c r="E109" i="6"/>
  <c r="E107" i="6"/>
  <c r="C106" i="6"/>
  <c r="E104" i="6"/>
  <c r="B104" i="6"/>
  <c r="H104" i="6"/>
  <c r="H103" i="6"/>
  <c r="D103" i="6"/>
  <c r="Q103" i="6"/>
  <c r="W103" i="6" s="1"/>
  <c r="AB103" i="6" s="1"/>
  <c r="D101" i="6"/>
  <c r="P101" i="6"/>
  <c r="W101" i="6" s="1"/>
  <c r="AB101" i="6" s="1"/>
  <c r="C101" i="6"/>
  <c r="G86" i="6"/>
  <c r="D86" i="6"/>
  <c r="F86" i="6"/>
  <c r="Q86" i="6"/>
  <c r="W86" i="6" s="1"/>
  <c r="AB86" i="6" s="1"/>
  <c r="H82" i="6"/>
  <c r="B82" i="6"/>
  <c r="C82" i="6"/>
  <c r="E82" i="6"/>
  <c r="Q82" i="6"/>
  <c r="W82" i="6" s="1"/>
  <c r="AB82" i="6" s="1"/>
  <c r="P80" i="6"/>
  <c r="B73" i="6"/>
  <c r="C64" i="6"/>
  <c r="B64" i="6"/>
  <c r="D64" i="6"/>
  <c r="E64" i="6"/>
  <c r="F64" i="6"/>
  <c r="Q64" i="6"/>
  <c r="P64" i="6"/>
  <c r="C42" i="6"/>
  <c r="P42" i="6"/>
  <c r="W42" i="6" s="1"/>
  <c r="AB42" i="6" s="1"/>
  <c r="D42" i="6"/>
  <c r="E42" i="6"/>
  <c r="G42" i="6"/>
  <c r="B42" i="6"/>
  <c r="C121" i="6"/>
  <c r="H121" i="6"/>
  <c r="C119" i="6"/>
  <c r="D118" i="6"/>
  <c r="C117" i="6"/>
  <c r="D116" i="6"/>
  <c r="D114" i="6"/>
  <c r="D112" i="6"/>
  <c r="C111" i="6"/>
  <c r="D110" i="6"/>
  <c r="C109" i="6"/>
  <c r="D107" i="6"/>
  <c r="B105" i="6"/>
  <c r="F105" i="6"/>
  <c r="Q94" i="6"/>
  <c r="Q93" i="6"/>
  <c r="W93" i="6" s="1"/>
  <c r="AB93" i="6" s="1"/>
  <c r="H92" i="6"/>
  <c r="D87" i="6"/>
  <c r="B87" i="6"/>
  <c r="E87" i="6"/>
  <c r="H87" i="6"/>
  <c r="W78" i="6"/>
  <c r="AB78" i="6" s="1"/>
  <c r="D71" i="6"/>
  <c r="B71" i="6"/>
  <c r="E71" i="6"/>
  <c r="Q71" i="6"/>
  <c r="W71" i="6" s="1"/>
  <c r="AB71" i="6" s="1"/>
  <c r="H71" i="6"/>
  <c r="G71" i="6"/>
  <c r="B45" i="6"/>
  <c r="H36" i="6"/>
  <c r="G36" i="6"/>
  <c r="P36" i="6"/>
  <c r="Q36" i="6"/>
  <c r="F36" i="6"/>
  <c r="B36" i="6"/>
  <c r="F120" i="6"/>
  <c r="P106" i="6"/>
  <c r="W106" i="6" s="1"/>
  <c r="AB106" i="6" s="1"/>
  <c r="D106" i="6"/>
  <c r="Q98" i="6"/>
  <c r="P97" i="6"/>
  <c r="P94" i="6"/>
  <c r="F80" i="6"/>
  <c r="C80" i="6"/>
  <c r="D80" i="6"/>
  <c r="G80" i="6"/>
  <c r="H80" i="6"/>
  <c r="Q80" i="6"/>
  <c r="B80" i="6"/>
  <c r="D76" i="6"/>
  <c r="D23" i="6"/>
  <c r="P23" i="6"/>
  <c r="Q23" i="6"/>
  <c r="H23" i="6"/>
  <c r="G23" i="6"/>
  <c r="E23" i="6"/>
  <c r="F23" i="6"/>
  <c r="C23" i="6"/>
  <c r="C14" i="6"/>
  <c r="H66" i="6"/>
  <c r="B66" i="6"/>
  <c r="G66" i="6"/>
  <c r="E66" i="6"/>
  <c r="B56" i="6"/>
  <c r="H51" i="6"/>
  <c r="C51" i="6"/>
  <c r="D51" i="6"/>
  <c r="E51" i="6"/>
  <c r="P51" i="6"/>
  <c r="W51" i="6" s="1"/>
  <c r="AB51" i="6" s="1"/>
  <c r="G51" i="6"/>
  <c r="D19" i="6"/>
  <c r="C19" i="6"/>
  <c r="E19" i="6"/>
  <c r="F19" i="6"/>
  <c r="B19" i="6"/>
  <c r="H96" i="6"/>
  <c r="E90" i="6"/>
  <c r="B84" i="6"/>
  <c r="D73" i="6"/>
  <c r="C57" i="6"/>
  <c r="E57" i="6"/>
  <c r="F57" i="6"/>
  <c r="G57" i="6"/>
  <c r="D57" i="6"/>
  <c r="H57" i="6"/>
  <c r="B57" i="6"/>
  <c r="H45" i="6"/>
  <c r="W24" i="6"/>
  <c r="AB24" i="6" s="1"/>
  <c r="B11" i="6"/>
  <c r="E83" i="6"/>
  <c r="C68" i="6"/>
  <c r="H68" i="6"/>
  <c r="Q68" i="6"/>
  <c r="W68" i="6" s="1"/>
  <c r="AB68" i="6" s="1"/>
  <c r="G68" i="6"/>
  <c r="P66" i="6"/>
  <c r="W66" i="6" s="1"/>
  <c r="AB66" i="6" s="1"/>
  <c r="C65" i="6"/>
  <c r="F52" i="6"/>
  <c r="B52" i="6"/>
  <c r="C52" i="6"/>
  <c r="D52" i="6"/>
  <c r="C6" i="6"/>
  <c r="H73" i="6"/>
  <c r="P73" i="6"/>
  <c r="W73" i="6" s="1"/>
  <c r="AB73" i="6" s="1"/>
  <c r="F66" i="6"/>
  <c r="E45" i="6"/>
  <c r="C45" i="6"/>
  <c r="D45" i="6"/>
  <c r="F45" i="6"/>
  <c r="Q45" i="6"/>
  <c r="P45" i="6"/>
  <c r="B22" i="6"/>
  <c r="B48" i="6"/>
  <c r="D31" i="6"/>
  <c r="E31" i="6"/>
  <c r="F31" i="6"/>
  <c r="C31" i="6"/>
  <c r="P31" i="6"/>
  <c r="W31" i="6" s="1"/>
  <c r="AB31" i="6" s="1"/>
  <c r="H31" i="6"/>
  <c r="Q6" i="6"/>
  <c r="E6" i="6"/>
  <c r="F6" i="6"/>
  <c r="G6" i="6"/>
  <c r="H6" i="6"/>
  <c r="D6" i="6"/>
  <c r="P6" i="6"/>
  <c r="F96" i="6"/>
  <c r="G90" i="6"/>
  <c r="F85" i="6"/>
  <c r="G84" i="6"/>
  <c r="P83" i="6"/>
  <c r="W83" i="6" s="1"/>
  <c r="AB83" i="6" s="1"/>
  <c r="B75" i="6"/>
  <c r="G75" i="6"/>
  <c r="Q75" i="6"/>
  <c r="W75" i="6" s="1"/>
  <c r="AB75" i="6" s="1"/>
  <c r="H75" i="6"/>
  <c r="Q69" i="6"/>
  <c r="F69" i="6"/>
  <c r="H69" i="6"/>
  <c r="P69" i="6"/>
  <c r="C66" i="6"/>
  <c r="Q58" i="6"/>
  <c r="C58" i="6"/>
  <c r="D58" i="6"/>
  <c r="E58" i="6"/>
  <c r="H58" i="6"/>
  <c r="P58" i="6"/>
  <c r="G58" i="6"/>
  <c r="B51" i="6"/>
  <c r="G19" i="6"/>
  <c r="C49" i="6"/>
  <c r="G49" i="6"/>
  <c r="H49" i="6"/>
  <c r="P49" i="6"/>
  <c r="W49" i="6" s="1"/>
  <c r="AB49" i="6" s="1"/>
  <c r="C38" i="6"/>
  <c r="E38" i="6"/>
  <c r="F38" i="6"/>
  <c r="G38" i="6"/>
  <c r="D38" i="6"/>
  <c r="C30" i="6"/>
  <c r="F30" i="6"/>
  <c r="G30" i="6"/>
  <c r="H30" i="6"/>
  <c r="E30" i="6"/>
  <c r="H32" i="6"/>
  <c r="C32" i="6"/>
  <c r="D32" i="6"/>
  <c r="E32" i="6"/>
  <c r="B32" i="6"/>
  <c r="H10" i="6"/>
  <c r="G10" i="6"/>
  <c r="P10" i="6"/>
  <c r="Q10" i="6"/>
  <c r="F10" i="6"/>
  <c r="W8" i="6"/>
  <c r="AB8" i="6" s="1"/>
  <c r="G7" i="6"/>
  <c r="C7" i="6"/>
  <c r="D7" i="6"/>
  <c r="E7" i="6"/>
  <c r="F7" i="6"/>
  <c r="B7" i="6"/>
  <c r="E37" i="6"/>
  <c r="F37" i="6"/>
  <c r="G37" i="6"/>
  <c r="H37" i="6"/>
  <c r="D37" i="6"/>
  <c r="W14" i="6"/>
  <c r="AB14" i="6" s="1"/>
  <c r="Q13" i="6"/>
  <c r="W13" i="6" s="1"/>
  <c r="AB13" i="6" s="1"/>
  <c r="C13" i="6"/>
  <c r="D13" i="6"/>
  <c r="E13" i="6"/>
  <c r="F13" i="6"/>
  <c r="B13" i="6"/>
  <c r="C11" i="6"/>
  <c r="F63" i="6"/>
  <c r="D63" i="6"/>
  <c r="E63" i="6"/>
  <c r="G63" i="6"/>
  <c r="H55" i="6"/>
  <c r="G55" i="6"/>
  <c r="P55" i="6"/>
  <c r="Q55" i="6"/>
  <c r="D49" i="6"/>
  <c r="H38" i="6"/>
  <c r="D30" i="6"/>
  <c r="F29" i="6"/>
  <c r="H29" i="6"/>
  <c r="P29" i="6"/>
  <c r="Q29" i="6"/>
  <c r="G29" i="6"/>
  <c r="H17" i="6"/>
  <c r="E17" i="6"/>
  <c r="F17" i="6"/>
  <c r="G17" i="6"/>
  <c r="D17" i="6"/>
  <c r="E56" i="6"/>
  <c r="F56" i="6"/>
  <c r="G56" i="6"/>
  <c r="H56" i="6"/>
  <c r="B49" i="6"/>
  <c r="F48" i="6"/>
  <c r="P48" i="6"/>
  <c r="Q48" i="6"/>
  <c r="B41" i="6"/>
  <c r="B38" i="6"/>
  <c r="B30" i="6"/>
  <c r="H25" i="6"/>
  <c r="D25" i="6"/>
  <c r="E25" i="6"/>
  <c r="F25" i="6"/>
  <c r="C25" i="6"/>
  <c r="E11" i="6"/>
  <c r="F11" i="6"/>
  <c r="G11" i="6"/>
  <c r="H11" i="6"/>
  <c r="P11" i="6"/>
  <c r="W11" i="6" s="1"/>
  <c r="AB11" i="6" s="1"/>
  <c r="D11" i="6"/>
  <c r="F33" i="6"/>
  <c r="E26" i="6"/>
  <c r="B20" i="6"/>
  <c r="C78" i="6"/>
  <c r="W61" i="6"/>
  <c r="AB61" i="6" s="1"/>
  <c r="D60" i="6"/>
  <c r="B47" i="6"/>
  <c r="W43" i="6"/>
  <c r="AB43" i="6" s="1"/>
  <c r="D40" i="6"/>
  <c r="D33" i="6"/>
  <c r="D26" i="6"/>
  <c r="D21" i="6"/>
  <c r="E20" i="6"/>
  <c r="W16" i="6"/>
  <c r="AB16" i="6" s="1"/>
  <c r="D15" i="6"/>
  <c r="F41" i="6"/>
  <c r="C40" i="6"/>
  <c r="C34" i="6"/>
  <c r="C33" i="6"/>
  <c r="B27" i="6"/>
  <c r="C26" i="6"/>
  <c r="G22" i="6"/>
  <c r="C21" i="6"/>
  <c r="D20" i="6"/>
  <c r="G59" i="6"/>
  <c r="W54" i="6"/>
  <c r="AB54" i="6" s="1"/>
  <c r="D53" i="6"/>
  <c r="B46" i="6"/>
  <c r="B40" i="6"/>
  <c r="W35" i="6"/>
  <c r="AB35" i="6" s="1"/>
  <c r="B33" i="6"/>
  <c r="Q28" i="6"/>
  <c r="W28" i="6" s="1"/>
  <c r="AB28" i="6" s="1"/>
  <c r="B26" i="6"/>
  <c r="B21" i="6"/>
  <c r="C20" i="6"/>
  <c r="G14" i="6"/>
  <c r="W9" i="6"/>
  <c r="AB9" i="6" s="1"/>
  <c r="D8" i="6"/>
  <c r="W97" i="6" l="1"/>
  <c r="AB97" i="6" s="1"/>
  <c r="W12" i="6"/>
  <c r="AB12" i="6" s="1"/>
  <c r="W44" i="6"/>
  <c r="AB44" i="6" s="1"/>
  <c r="W5" i="6"/>
  <c r="AB5" i="6" s="1"/>
  <c r="AI5" i="6" s="1"/>
  <c r="W69" i="6"/>
  <c r="AB69" i="6" s="1"/>
  <c r="W89" i="6"/>
  <c r="AB89" i="6" s="1"/>
  <c r="W92" i="6"/>
  <c r="AB92" i="6" s="1"/>
  <c r="W55" i="6"/>
  <c r="AB55" i="6" s="1"/>
  <c r="W23" i="6"/>
  <c r="AB23" i="6" s="1"/>
  <c r="W113" i="6"/>
  <c r="AB113" i="6" s="1"/>
  <c r="W115" i="6"/>
  <c r="AB115" i="6" s="1"/>
  <c r="W45" i="6"/>
  <c r="AB45" i="6" s="1"/>
  <c r="W6" i="6"/>
  <c r="AB6" i="6" s="1"/>
  <c r="Z20" i="6"/>
  <c r="AC20" i="6"/>
  <c r="AA20" i="6"/>
  <c r="AE20" i="6"/>
  <c r="Z52" i="6"/>
  <c r="AA52" i="6"/>
  <c r="AC52" i="6"/>
  <c r="AE52" i="6"/>
  <c r="Z61" i="6"/>
  <c r="AA61" i="6"/>
  <c r="AC61" i="6"/>
  <c r="AE61" i="6"/>
  <c r="Z118" i="6"/>
  <c r="AA118" i="6"/>
  <c r="AC118" i="6"/>
  <c r="AE118" i="6"/>
  <c r="Z8" i="6"/>
  <c r="AA8" i="6"/>
  <c r="AE8" i="6"/>
  <c r="AC8" i="6"/>
  <c r="AA36" i="6"/>
  <c r="AC36" i="6"/>
  <c r="AE36" i="6"/>
  <c r="AA112" i="6"/>
  <c r="Z112" i="6"/>
  <c r="AC112" i="6"/>
  <c r="AE112" i="6"/>
  <c r="AA77" i="6"/>
  <c r="AE77" i="6"/>
  <c r="AC77" i="6"/>
  <c r="Z21" i="6"/>
  <c r="AA21" i="6"/>
  <c r="AE21" i="6"/>
  <c r="AC21" i="6"/>
  <c r="Z7" i="6"/>
  <c r="AE7" i="6"/>
  <c r="AC7" i="6"/>
  <c r="AA7" i="6"/>
  <c r="AC11" i="6"/>
  <c r="AE11" i="6"/>
  <c r="Z11" i="6"/>
  <c r="AA11" i="6"/>
  <c r="AE80" i="6"/>
  <c r="AA80" i="6"/>
  <c r="AC80" i="6"/>
  <c r="Z104" i="6"/>
  <c r="AC104" i="6"/>
  <c r="AA104" i="6"/>
  <c r="AE104" i="6"/>
  <c r="AA76" i="6"/>
  <c r="AC76" i="6"/>
  <c r="AE76" i="6"/>
  <c r="W98" i="6"/>
  <c r="AB98" i="6" s="1"/>
  <c r="Z110" i="6"/>
  <c r="AC110" i="6"/>
  <c r="AE110" i="6"/>
  <c r="AA110" i="6"/>
  <c r="Z35" i="6"/>
  <c r="AA35" i="6"/>
  <c r="AC35" i="6"/>
  <c r="AE35" i="6"/>
  <c r="W74" i="6"/>
  <c r="AB74" i="6" s="1"/>
  <c r="Z25" i="6"/>
  <c r="AE25" i="6"/>
  <c r="AA25" i="6"/>
  <c r="AC25" i="6"/>
  <c r="Z100" i="6"/>
  <c r="AA100" i="6"/>
  <c r="AE100" i="6"/>
  <c r="AC100" i="6"/>
  <c r="AC58" i="6"/>
  <c r="AE58" i="6"/>
  <c r="AA58" i="6"/>
  <c r="Z28" i="6"/>
  <c r="AA28" i="6"/>
  <c r="AC28" i="6"/>
  <c r="AE28" i="6"/>
  <c r="Z16" i="6"/>
  <c r="AA16" i="6"/>
  <c r="AC16" i="6"/>
  <c r="AE16" i="6"/>
  <c r="Z53" i="6"/>
  <c r="AC53" i="6"/>
  <c r="AE53" i="6"/>
  <c r="AA53" i="6"/>
  <c r="Z49" i="6"/>
  <c r="AE49" i="6"/>
  <c r="AC49" i="6"/>
  <c r="AA49" i="6"/>
  <c r="AE12" i="6"/>
  <c r="AA12" i="6"/>
  <c r="AC12" i="6"/>
  <c r="AC119" i="6"/>
  <c r="AA119" i="6"/>
  <c r="AE119" i="6"/>
  <c r="Z119" i="6"/>
  <c r="AA6" i="6"/>
  <c r="AC6" i="6"/>
  <c r="AE6" i="6"/>
  <c r="AA55" i="6"/>
  <c r="AE55" i="6"/>
  <c r="AC55" i="6"/>
  <c r="Z54" i="6"/>
  <c r="AA54" i="6"/>
  <c r="AE54" i="6"/>
  <c r="AC54" i="6"/>
  <c r="Z27" i="6"/>
  <c r="AE27" i="6"/>
  <c r="AA27" i="6"/>
  <c r="AC27" i="6"/>
  <c r="W58" i="6"/>
  <c r="AB58" i="6" s="1"/>
  <c r="Z19" i="6"/>
  <c r="AA19" i="6"/>
  <c r="AC19" i="6"/>
  <c r="AE19" i="6"/>
  <c r="Z71" i="6"/>
  <c r="AC71" i="6"/>
  <c r="AE71" i="6"/>
  <c r="AA71" i="6"/>
  <c r="W64" i="6"/>
  <c r="AB64" i="6" s="1"/>
  <c r="AA98" i="6"/>
  <c r="AC98" i="6"/>
  <c r="AE98" i="6"/>
  <c r="W107" i="6"/>
  <c r="AB107" i="6" s="1"/>
  <c r="AC89" i="6"/>
  <c r="AA89" i="6"/>
  <c r="AE89" i="6"/>
  <c r="AC106" i="6"/>
  <c r="AE106" i="6"/>
  <c r="Z106" i="6"/>
  <c r="AA106" i="6"/>
  <c r="Z83" i="6"/>
  <c r="AA83" i="6"/>
  <c r="AC83" i="6"/>
  <c r="AE83" i="6"/>
  <c r="AC69" i="6"/>
  <c r="AA69" i="6"/>
  <c r="AE69" i="6"/>
  <c r="AE109" i="6"/>
  <c r="Z109" i="6"/>
  <c r="AA109" i="6"/>
  <c r="AC109" i="6"/>
  <c r="Z31" i="6"/>
  <c r="AC31" i="6"/>
  <c r="AA31" i="6"/>
  <c r="AE31" i="6"/>
  <c r="Z39" i="6"/>
  <c r="AA39" i="6"/>
  <c r="AC39" i="6"/>
  <c r="AE39" i="6"/>
  <c r="Z32" i="6"/>
  <c r="AA32" i="6"/>
  <c r="AE32" i="6"/>
  <c r="AC32" i="6"/>
  <c r="Z17" i="6"/>
  <c r="AA17" i="6"/>
  <c r="AC17" i="6"/>
  <c r="AE17" i="6"/>
  <c r="W29" i="6"/>
  <c r="AB29" i="6" s="1"/>
  <c r="Z57" i="6"/>
  <c r="AA57" i="6"/>
  <c r="AC57" i="6"/>
  <c r="AE57" i="6"/>
  <c r="AA92" i="6"/>
  <c r="AE92" i="6"/>
  <c r="AC92" i="6"/>
  <c r="Z40" i="6"/>
  <c r="AE40" i="6"/>
  <c r="AC40" i="6"/>
  <c r="AA40" i="6"/>
  <c r="Z56" i="6"/>
  <c r="AC56" i="6"/>
  <c r="AA56" i="6"/>
  <c r="AE56" i="6"/>
  <c r="Z105" i="6"/>
  <c r="AA105" i="6"/>
  <c r="AE105" i="6"/>
  <c r="AC105" i="6"/>
  <c r="W77" i="6"/>
  <c r="AB77" i="6" s="1"/>
  <c r="Z18" i="6"/>
  <c r="AC18" i="6"/>
  <c r="AE18" i="6"/>
  <c r="AA18" i="6"/>
  <c r="AE23" i="6"/>
  <c r="AC23" i="6"/>
  <c r="AA23" i="6"/>
  <c r="Z121" i="6"/>
  <c r="AC121" i="6"/>
  <c r="AE121" i="6"/>
  <c r="AA121" i="6"/>
  <c r="Z78" i="6"/>
  <c r="AC78" i="6"/>
  <c r="AE78" i="6"/>
  <c r="AA78" i="6"/>
  <c r="Z103" i="6"/>
  <c r="AC103" i="6"/>
  <c r="AA103" i="6"/>
  <c r="AE103" i="6"/>
  <c r="Z108" i="6"/>
  <c r="AA108" i="6"/>
  <c r="AC108" i="6"/>
  <c r="AE108" i="6"/>
  <c r="Z43" i="6"/>
  <c r="AC43" i="6"/>
  <c r="AA43" i="6"/>
  <c r="AE43" i="6"/>
  <c r="Z15" i="6"/>
  <c r="AE15" i="6"/>
  <c r="AC15" i="6"/>
  <c r="AA15" i="6"/>
  <c r="Z26" i="6"/>
  <c r="AC26" i="6"/>
  <c r="AE26" i="6"/>
  <c r="AA26" i="6"/>
  <c r="AE29" i="6"/>
  <c r="AC29" i="6"/>
  <c r="AA29" i="6"/>
  <c r="Z51" i="6"/>
  <c r="AC51" i="6"/>
  <c r="AE51" i="6"/>
  <c r="AA51" i="6"/>
  <c r="AE97" i="6"/>
  <c r="AA97" i="6"/>
  <c r="AC97" i="6"/>
  <c r="W80" i="6"/>
  <c r="AB80" i="6" s="1"/>
  <c r="Z30" i="6"/>
  <c r="AA30" i="6"/>
  <c r="AC30" i="6"/>
  <c r="AE30" i="6"/>
  <c r="Z46" i="6"/>
  <c r="AC46" i="6"/>
  <c r="AA46" i="6"/>
  <c r="AE46" i="6"/>
  <c r="Z38" i="6"/>
  <c r="AC38" i="6"/>
  <c r="AA38" i="6"/>
  <c r="AE38" i="6"/>
  <c r="W36" i="6"/>
  <c r="AB36" i="6" s="1"/>
  <c r="Z62" i="6"/>
  <c r="AA62" i="6"/>
  <c r="AC62" i="6"/>
  <c r="AE62" i="6"/>
  <c r="AA114" i="6"/>
  <c r="AE114" i="6"/>
  <c r="AC114" i="6"/>
  <c r="Z114" i="6"/>
  <c r="AL12" i="6"/>
  <c r="Z68" i="6"/>
  <c r="AA68" i="6"/>
  <c r="AC68" i="6"/>
  <c r="AE68" i="6"/>
  <c r="Z102" i="6"/>
  <c r="AA102" i="6"/>
  <c r="AC102" i="6"/>
  <c r="AE102" i="6"/>
  <c r="AA107" i="6"/>
  <c r="AC107" i="6"/>
  <c r="AE107" i="6"/>
  <c r="Z81" i="6"/>
  <c r="AC81" i="6"/>
  <c r="AA81" i="6"/>
  <c r="AE81" i="6"/>
  <c r="Z9" i="6"/>
  <c r="AC9" i="6"/>
  <c r="AA9" i="6"/>
  <c r="AE9" i="6"/>
  <c r="X70" i="6"/>
  <c r="AC70" i="6" s="1"/>
  <c r="Z67" i="6"/>
  <c r="AC67" i="6"/>
  <c r="AE67" i="6"/>
  <c r="AA67" i="6"/>
  <c r="Z14" i="6"/>
  <c r="AE14" i="6"/>
  <c r="AA14" i="6"/>
  <c r="AC14" i="6"/>
  <c r="AC91" i="6"/>
  <c r="Z91" i="6"/>
  <c r="AA91" i="6"/>
  <c r="AE91" i="6"/>
  <c r="AA88" i="6"/>
  <c r="AC88" i="6"/>
  <c r="Z88" i="6"/>
  <c r="AE88" i="6"/>
  <c r="Z47" i="6"/>
  <c r="AA47" i="6"/>
  <c r="AC47" i="6"/>
  <c r="AE47" i="6"/>
  <c r="Z41" i="6"/>
  <c r="AA41" i="6"/>
  <c r="AC41" i="6"/>
  <c r="AE41" i="6"/>
  <c r="AA48" i="6"/>
  <c r="AC48" i="6"/>
  <c r="AE48" i="6"/>
  <c r="W94" i="6"/>
  <c r="AB94" i="6" s="1"/>
  <c r="AE82" i="6"/>
  <c r="Z82" i="6"/>
  <c r="AC82" i="6"/>
  <c r="AA82" i="6"/>
  <c r="W76" i="6"/>
  <c r="AB76" i="6" s="1"/>
  <c r="Z116" i="6"/>
  <c r="AA116" i="6"/>
  <c r="AC116" i="6"/>
  <c r="AE116" i="6"/>
  <c r="AC113" i="6"/>
  <c r="AE113" i="6"/>
  <c r="AA113" i="6"/>
  <c r="Z50" i="6"/>
  <c r="AA50" i="6"/>
  <c r="AE50" i="6"/>
  <c r="AC50" i="6"/>
  <c r="Z101" i="6"/>
  <c r="AC101" i="6"/>
  <c r="AA101" i="6"/>
  <c r="AE101" i="6"/>
  <c r="Z60" i="6"/>
  <c r="AC60" i="6"/>
  <c r="AE60" i="6"/>
  <c r="AA60" i="6"/>
  <c r="AA10" i="6"/>
  <c r="AC10" i="6"/>
  <c r="AE10" i="6"/>
  <c r="Z72" i="6"/>
  <c r="AA72" i="6"/>
  <c r="AE72" i="6"/>
  <c r="AC72" i="6"/>
  <c r="AE70" i="6"/>
  <c r="AC5" i="6"/>
  <c r="AJ5" i="6" s="1"/>
  <c r="AE5" i="6"/>
  <c r="AA5" i="6"/>
  <c r="AH5" i="6" s="1"/>
  <c r="Z99" i="6"/>
  <c r="AE99" i="6"/>
  <c r="AC99" i="6"/>
  <c r="AA99" i="6"/>
  <c r="Z73" i="6"/>
  <c r="AC73" i="6"/>
  <c r="AA73" i="6"/>
  <c r="AE73" i="6"/>
  <c r="AA117" i="6"/>
  <c r="AC117" i="6"/>
  <c r="Z117" i="6"/>
  <c r="AE117" i="6"/>
  <c r="Z33" i="6"/>
  <c r="AC33" i="6"/>
  <c r="AA33" i="6"/>
  <c r="AE33" i="6"/>
  <c r="Z34" i="6"/>
  <c r="AA34" i="6"/>
  <c r="AE34" i="6"/>
  <c r="AC34" i="6"/>
  <c r="AC111" i="6"/>
  <c r="AE111" i="6"/>
  <c r="AA111" i="6"/>
  <c r="Z111" i="6"/>
  <c r="Z13" i="6"/>
  <c r="AE13" i="6"/>
  <c r="AC13" i="6"/>
  <c r="AA13" i="6"/>
  <c r="Z75" i="6"/>
  <c r="AA75" i="6"/>
  <c r="AC75" i="6"/>
  <c r="AE75" i="6"/>
  <c r="Z22" i="6"/>
  <c r="AE22" i="6"/>
  <c r="AA22" i="6"/>
  <c r="AC22" i="6"/>
  <c r="Z66" i="6"/>
  <c r="AC66" i="6"/>
  <c r="AA66" i="6"/>
  <c r="AE66" i="6"/>
  <c r="Z42" i="6"/>
  <c r="AA42" i="6"/>
  <c r="AE42" i="6"/>
  <c r="AC42" i="6"/>
  <c r="Z93" i="6"/>
  <c r="AC93" i="6"/>
  <c r="AA93" i="6"/>
  <c r="AE93" i="6"/>
  <c r="AA74" i="6"/>
  <c r="AC74" i="6"/>
  <c r="AE74" i="6"/>
  <c r="Z96" i="6"/>
  <c r="AC96" i="6"/>
  <c r="AA96" i="6"/>
  <c r="AE96" i="6"/>
  <c r="AC86" i="6"/>
  <c r="AA86" i="6"/>
  <c r="Z86" i="6"/>
  <c r="AE86" i="6"/>
  <c r="AA44" i="6"/>
  <c r="AC44" i="6"/>
  <c r="AE44" i="6"/>
  <c r="Z37" i="6"/>
  <c r="AA37" i="6"/>
  <c r="AE37" i="6"/>
  <c r="AC37" i="6"/>
  <c r="Z65" i="6"/>
  <c r="AC65" i="6"/>
  <c r="AE65" i="6"/>
  <c r="AA65" i="6"/>
  <c r="W70" i="6"/>
  <c r="AB70" i="6" s="1"/>
  <c r="AC115" i="6"/>
  <c r="AA115" i="6"/>
  <c r="AE115" i="6"/>
  <c r="Z84" i="6"/>
  <c r="AA84" i="6"/>
  <c r="AE84" i="6"/>
  <c r="AC84" i="6"/>
  <c r="Z90" i="6"/>
  <c r="AA90" i="6"/>
  <c r="AC90" i="6"/>
  <c r="AE90" i="6"/>
  <c r="Z85" i="6"/>
  <c r="AA85" i="6"/>
  <c r="AC85" i="6"/>
  <c r="AE85" i="6"/>
  <c r="W48" i="6"/>
  <c r="AB48" i="6" s="1"/>
  <c r="W10" i="6"/>
  <c r="AB10" i="6" s="1"/>
  <c r="AA45" i="6"/>
  <c r="AC45" i="6"/>
  <c r="AE45" i="6"/>
  <c r="AA87" i="6"/>
  <c r="AE87" i="6"/>
  <c r="AC87" i="6"/>
  <c r="Z87" i="6"/>
  <c r="AA64" i="6"/>
  <c r="AC64" i="6"/>
  <c r="AE64" i="6"/>
  <c r="AA94" i="6"/>
  <c r="AC94" i="6"/>
  <c r="AE94" i="6"/>
  <c r="AA79" i="6"/>
  <c r="AE79" i="6"/>
  <c r="AC79" i="6"/>
  <c r="Z79" i="6"/>
  <c r="Z95" i="6"/>
  <c r="AC95" i="6"/>
  <c r="AA95" i="6"/>
  <c r="AE95" i="6"/>
  <c r="Z120" i="6"/>
  <c r="AE120" i="6"/>
  <c r="AC120" i="6"/>
  <c r="AA120" i="6"/>
  <c r="Z63" i="6"/>
  <c r="AA63" i="6"/>
  <c r="AC63" i="6"/>
  <c r="AE63" i="6"/>
  <c r="AE24" i="6"/>
  <c r="AA24" i="6"/>
  <c r="AC24" i="6"/>
  <c r="Z24" i="6"/>
  <c r="Z59" i="6"/>
  <c r="AA59" i="6"/>
  <c r="AE59" i="6"/>
  <c r="AC59" i="6"/>
  <c r="Z97" i="6" l="1"/>
  <c r="Z92" i="6"/>
  <c r="Z12" i="6"/>
  <c r="Z44" i="6"/>
  <c r="Z5" i="6"/>
  <c r="AG5" i="6" s="1"/>
  <c r="Z23" i="6"/>
  <c r="Z69" i="6"/>
  <c r="Z89" i="6"/>
  <c r="Z45" i="6"/>
  <c r="Z115" i="6"/>
  <c r="Z55" i="6"/>
  <c r="AI6" i="6"/>
  <c r="AI7" i="6" s="1"/>
  <c r="AI8" i="6" s="1"/>
  <c r="AI9" i="6" s="1"/>
  <c r="AI10" i="6" s="1"/>
  <c r="AO5" i="6" s="1"/>
  <c r="Z6" i="6"/>
  <c r="Z113" i="6"/>
  <c r="Z64" i="6"/>
  <c r="Z74" i="6"/>
  <c r="Z70" i="6"/>
  <c r="Z10" i="6"/>
  <c r="AA70" i="6"/>
  <c r="Z48" i="6"/>
  <c r="Z107" i="6"/>
  <c r="Z29" i="6"/>
  <c r="AJ6" i="6"/>
  <c r="AJ7" i="6" s="1"/>
  <c r="AJ8" i="6" s="1"/>
  <c r="AJ9" i="6" s="1"/>
  <c r="AJ10" i="6" s="1"/>
  <c r="Z58" i="6"/>
  <c r="Z98" i="6"/>
  <c r="AH6" i="6"/>
  <c r="AH7" i="6" s="1"/>
  <c r="Z77" i="6"/>
  <c r="Z76" i="6"/>
  <c r="Z80" i="6"/>
  <c r="Z36" i="6"/>
  <c r="Z94" i="6"/>
  <c r="AL13" i="6"/>
  <c r="AG6" i="6" l="1"/>
  <c r="AG7" i="6" s="1"/>
  <c r="AI11" i="6"/>
  <c r="AI12" i="6" s="1"/>
  <c r="AI13" i="6" s="1"/>
  <c r="AI14" i="6" s="1"/>
  <c r="AI15" i="6" s="1"/>
  <c r="AI16" i="6" s="1"/>
  <c r="AI17" i="6" s="1"/>
  <c r="AI18" i="6" s="1"/>
  <c r="AI19" i="6" s="1"/>
  <c r="AI20" i="6" s="1"/>
  <c r="AI21" i="6" s="1"/>
  <c r="AI22" i="6" s="1"/>
  <c r="AI23" i="6" s="1"/>
  <c r="AI24" i="6" s="1"/>
  <c r="AI25" i="6" s="1"/>
  <c r="AI26" i="6" s="1"/>
  <c r="AI27" i="6" s="1"/>
  <c r="AI28" i="6" s="1"/>
  <c r="AI29" i="6" s="1"/>
  <c r="AI30" i="6" s="1"/>
  <c r="AH8" i="6"/>
  <c r="AH9" i="6" s="1"/>
  <c r="AH10" i="6" s="1"/>
  <c r="AH11" i="6" s="1"/>
  <c r="AH12" i="6" s="1"/>
  <c r="AH13" i="6" s="1"/>
  <c r="AH14" i="6" s="1"/>
  <c r="AH15" i="6" s="1"/>
  <c r="AH16" i="6" s="1"/>
  <c r="AH17" i="6" s="1"/>
  <c r="AH18" i="6" s="1"/>
  <c r="AH19" i="6" s="1"/>
  <c r="AH20" i="6" s="1"/>
  <c r="AH21" i="6" s="1"/>
  <c r="AH22" i="6" s="1"/>
  <c r="AH23" i="6" s="1"/>
  <c r="AH24" i="6" s="1"/>
  <c r="AH25" i="6" s="1"/>
  <c r="AH26" i="6" s="1"/>
  <c r="AH27" i="6" s="1"/>
  <c r="AH28" i="6" s="1"/>
  <c r="AH29" i="6" s="1"/>
  <c r="AH30" i="6" s="1"/>
  <c r="AH31" i="6" s="1"/>
  <c r="AH32" i="6" s="1"/>
  <c r="AH33" i="6" s="1"/>
  <c r="AH34" i="6" s="1"/>
  <c r="AH35" i="6" s="1"/>
  <c r="AH36" i="6" s="1"/>
  <c r="AH37" i="6" s="1"/>
  <c r="AH38" i="6" s="1"/>
  <c r="AH39" i="6" s="1"/>
  <c r="AH40" i="6" s="1"/>
  <c r="AH41" i="6" s="1"/>
  <c r="AH42" i="6" s="1"/>
  <c r="AH43" i="6" s="1"/>
  <c r="AH44" i="6" s="1"/>
  <c r="AH45" i="6" s="1"/>
  <c r="AH46" i="6" s="1"/>
  <c r="AH47" i="6" s="1"/>
  <c r="AH48" i="6" s="1"/>
  <c r="AH49" i="6" s="1"/>
  <c r="AH50" i="6" s="1"/>
  <c r="AH51" i="6" s="1"/>
  <c r="AH52" i="6" s="1"/>
  <c r="AH53" i="6" s="1"/>
  <c r="AH54" i="6" s="1"/>
  <c r="AH55" i="6" s="1"/>
  <c r="AH56" i="6" s="1"/>
  <c r="AH57" i="6" s="1"/>
  <c r="AH58" i="6" s="1"/>
  <c r="AH59" i="6" s="1"/>
  <c r="AH60" i="6" s="1"/>
  <c r="AH61" i="6" s="1"/>
  <c r="AH62" i="6" s="1"/>
  <c r="AH63" i="6" s="1"/>
  <c r="AH64" i="6" s="1"/>
  <c r="AH65" i="6" s="1"/>
  <c r="AH66" i="6" s="1"/>
  <c r="AH67" i="6" s="1"/>
  <c r="AH68" i="6" s="1"/>
  <c r="AH69" i="6" s="1"/>
  <c r="AH70" i="6" s="1"/>
  <c r="AH71" i="6" s="1"/>
  <c r="AH72" i="6" s="1"/>
  <c r="AH73" i="6" s="1"/>
  <c r="AH74" i="6" s="1"/>
  <c r="AH75" i="6" s="1"/>
  <c r="AH76" i="6" s="1"/>
  <c r="AH77" i="6" s="1"/>
  <c r="AH78" i="6" s="1"/>
  <c r="AH79" i="6" s="1"/>
  <c r="AH80" i="6" s="1"/>
  <c r="AH81" i="6" s="1"/>
  <c r="AH82" i="6" s="1"/>
  <c r="AH83" i="6" s="1"/>
  <c r="AH84" i="6" s="1"/>
  <c r="AH85" i="6" s="1"/>
  <c r="AH86" i="6" s="1"/>
  <c r="AH87" i="6" s="1"/>
  <c r="AH88" i="6" s="1"/>
  <c r="AH89" i="6" s="1"/>
  <c r="AH90" i="6" s="1"/>
  <c r="AH91" i="6" s="1"/>
  <c r="AH92" i="6" s="1"/>
  <c r="AH93" i="6" s="1"/>
  <c r="AH94" i="6" s="1"/>
  <c r="AH95" i="6" s="1"/>
  <c r="AH96" i="6" s="1"/>
  <c r="AH97" i="6" s="1"/>
  <c r="AH98" i="6" s="1"/>
  <c r="AH99" i="6" s="1"/>
  <c r="AH100" i="6" s="1"/>
  <c r="AH101" i="6" s="1"/>
  <c r="AH102" i="6" s="1"/>
  <c r="AH103" i="6" s="1"/>
  <c r="AH104" i="6" s="1"/>
  <c r="AH105" i="6" s="1"/>
  <c r="AH106" i="6" s="1"/>
  <c r="AH107" i="6" s="1"/>
  <c r="AH108" i="6" s="1"/>
  <c r="AH109" i="6" s="1"/>
  <c r="AH110" i="6" s="1"/>
  <c r="AH111" i="6" s="1"/>
  <c r="AH112" i="6" s="1"/>
  <c r="AH113" i="6" s="1"/>
  <c r="AH114" i="6" s="1"/>
  <c r="AH115" i="6" s="1"/>
  <c r="AH116" i="6" s="1"/>
  <c r="AH117" i="6" s="1"/>
  <c r="AH118" i="6" s="1"/>
  <c r="AH119" i="6" s="1"/>
  <c r="AH120" i="6" s="1"/>
  <c r="AH121" i="6" s="1"/>
  <c r="AN8" i="6" s="1"/>
  <c r="AP5" i="6"/>
  <c r="AJ11" i="6"/>
  <c r="AL14" i="6"/>
  <c r="AI31" i="6" l="1"/>
  <c r="AI32" i="6" s="1"/>
  <c r="AI33" i="6" s="1"/>
  <c r="AI34" i="6" s="1"/>
  <c r="AI35" i="6" s="1"/>
  <c r="AI36" i="6" s="1"/>
  <c r="AI37" i="6" s="1"/>
  <c r="AI38" i="6" s="1"/>
  <c r="AI39" i="6" s="1"/>
  <c r="AI40" i="6" s="1"/>
  <c r="AI41" i="6" s="1"/>
  <c r="AI42" i="6" s="1"/>
  <c r="AI43" i="6" s="1"/>
  <c r="AI44" i="6" s="1"/>
  <c r="AI45" i="6" s="1"/>
  <c r="AI46" i="6" s="1"/>
  <c r="AI47" i="6" s="1"/>
  <c r="AI48" i="6" s="1"/>
  <c r="AI49" i="6" s="1"/>
  <c r="AI50" i="6" s="1"/>
  <c r="AI51" i="6" s="1"/>
  <c r="AI52" i="6" s="1"/>
  <c r="AI53" i="6" s="1"/>
  <c r="AI54" i="6" s="1"/>
  <c r="AI55" i="6" s="1"/>
  <c r="AI56" i="6" s="1"/>
  <c r="AI57" i="6" s="1"/>
  <c r="AI58" i="6" s="1"/>
  <c r="AI59" i="6" s="1"/>
  <c r="AI60" i="6" s="1"/>
  <c r="AI61" i="6" s="1"/>
  <c r="AI62" i="6" s="1"/>
  <c r="AI63" i="6" s="1"/>
  <c r="AI64" i="6" s="1"/>
  <c r="AI65" i="6" s="1"/>
  <c r="AI66" i="6" s="1"/>
  <c r="AI67" i="6" s="1"/>
  <c r="AI68" i="6" s="1"/>
  <c r="AI69" i="6" s="1"/>
  <c r="AI70" i="6" s="1"/>
  <c r="AI71" i="6" s="1"/>
  <c r="AI72" i="6" s="1"/>
  <c r="AI73" i="6" s="1"/>
  <c r="AI74" i="6" s="1"/>
  <c r="AI75" i="6" s="1"/>
  <c r="AI76" i="6" s="1"/>
  <c r="AI77" i="6" s="1"/>
  <c r="AI78" i="6" s="1"/>
  <c r="AI79" i="6" s="1"/>
  <c r="AI80" i="6" s="1"/>
  <c r="AI81" i="6" s="1"/>
  <c r="AI82" i="6" s="1"/>
  <c r="AI83" i="6" s="1"/>
  <c r="AI84" i="6" s="1"/>
  <c r="AI85" i="6" s="1"/>
  <c r="AI86" i="6" s="1"/>
  <c r="AI87" i="6" s="1"/>
  <c r="AI88" i="6" s="1"/>
  <c r="AI89" i="6" s="1"/>
  <c r="AI90" i="6" s="1"/>
  <c r="AI91" i="6" s="1"/>
  <c r="AI92" i="6" s="1"/>
  <c r="AI93" i="6" s="1"/>
  <c r="AI94" i="6" s="1"/>
  <c r="AI95" i="6" s="1"/>
  <c r="AI96" i="6" s="1"/>
  <c r="AI97" i="6" s="1"/>
  <c r="AI98" i="6" s="1"/>
  <c r="AI99" i="6" s="1"/>
  <c r="AI100" i="6" s="1"/>
  <c r="AI101" i="6" s="1"/>
  <c r="AI102" i="6" s="1"/>
  <c r="AI103" i="6" s="1"/>
  <c r="AI104" i="6" s="1"/>
  <c r="AI105" i="6" s="1"/>
  <c r="AI106" i="6" s="1"/>
  <c r="AI107" i="6" s="1"/>
  <c r="AI108" i="6" s="1"/>
  <c r="AI109" i="6" s="1"/>
  <c r="AI110" i="6" s="1"/>
  <c r="AI111" i="6" s="1"/>
  <c r="AI112" i="6" s="1"/>
  <c r="AI113" i="6" s="1"/>
  <c r="AI114" i="6" s="1"/>
  <c r="AI115" i="6" s="1"/>
  <c r="AI116" i="6" s="1"/>
  <c r="AI117" i="6" s="1"/>
  <c r="AI118" i="6" s="1"/>
  <c r="AI119" i="6" s="1"/>
  <c r="AI120" i="6" s="1"/>
  <c r="AI121" i="6" s="1"/>
  <c r="AO7" i="6"/>
  <c r="AN5" i="6"/>
  <c r="AO6" i="6"/>
  <c r="AN6" i="6"/>
  <c r="AN7" i="6"/>
  <c r="AN10" i="6"/>
  <c r="AG8" i="6"/>
  <c r="AL15" i="6"/>
  <c r="AN14" i="6"/>
  <c r="AN9" i="6"/>
  <c r="AN11" i="6"/>
  <c r="AN12" i="6"/>
  <c r="AN13" i="6"/>
  <c r="AJ12" i="6"/>
  <c r="AP6" i="6" s="1"/>
  <c r="AO14" i="6" l="1"/>
  <c r="AO13" i="6"/>
  <c r="AO10" i="6"/>
  <c r="AO11" i="6"/>
  <c r="AO9" i="6"/>
  <c r="AO12" i="6"/>
  <c r="AO8" i="6"/>
  <c r="AG9" i="6"/>
  <c r="AG10" i="6" s="1"/>
  <c r="AG11" i="6" s="1"/>
  <c r="AG12" i="6" s="1"/>
  <c r="AG13" i="6" s="1"/>
  <c r="AG14" i="6" s="1"/>
  <c r="AG15" i="6" s="1"/>
  <c r="AG16" i="6" s="1"/>
  <c r="AG17" i="6" s="1"/>
  <c r="AG18" i="6" s="1"/>
  <c r="AG19" i="6" s="1"/>
  <c r="AG20" i="6" s="1"/>
  <c r="AG21" i="6" s="1"/>
  <c r="AG22" i="6" s="1"/>
  <c r="AG23" i="6" s="1"/>
  <c r="AG24" i="6" s="1"/>
  <c r="AG25" i="6" s="1"/>
  <c r="AG26" i="6" s="1"/>
  <c r="AG27" i="6" s="1"/>
  <c r="AG28" i="6" s="1"/>
  <c r="AG29" i="6" s="1"/>
  <c r="AG30" i="6" s="1"/>
  <c r="AG31" i="6" s="1"/>
  <c r="AG32" i="6" s="1"/>
  <c r="AG33" i="6" s="1"/>
  <c r="AG34" i="6" s="1"/>
  <c r="AG35" i="6" s="1"/>
  <c r="AG36" i="6" s="1"/>
  <c r="AG37" i="6" s="1"/>
  <c r="AG38" i="6" s="1"/>
  <c r="AG39" i="6" s="1"/>
  <c r="AG40" i="6" s="1"/>
  <c r="AG41" i="6" s="1"/>
  <c r="AG42" i="6" s="1"/>
  <c r="AG43" i="6" s="1"/>
  <c r="AG44" i="6" s="1"/>
  <c r="AG45" i="6" s="1"/>
  <c r="AG46" i="6" s="1"/>
  <c r="AG47" i="6" s="1"/>
  <c r="AG48" i="6" s="1"/>
  <c r="AG49" i="6" s="1"/>
  <c r="AG50" i="6" s="1"/>
  <c r="AG51" i="6" s="1"/>
  <c r="AG52" i="6" s="1"/>
  <c r="AG53" i="6" s="1"/>
  <c r="AG54" i="6" s="1"/>
  <c r="AG55" i="6" s="1"/>
  <c r="AG56" i="6" s="1"/>
  <c r="AG57" i="6" s="1"/>
  <c r="AG58" i="6" s="1"/>
  <c r="AG59" i="6" s="1"/>
  <c r="AG60" i="6" s="1"/>
  <c r="AG61" i="6" s="1"/>
  <c r="AG62" i="6" s="1"/>
  <c r="AG63" i="6" s="1"/>
  <c r="AG64" i="6" s="1"/>
  <c r="AG65" i="6" s="1"/>
  <c r="AG66" i="6" s="1"/>
  <c r="AG67" i="6" s="1"/>
  <c r="AG68" i="6" s="1"/>
  <c r="AG69" i="6" s="1"/>
  <c r="AG70" i="6" s="1"/>
  <c r="AG71" i="6" s="1"/>
  <c r="AG72" i="6" s="1"/>
  <c r="AG73" i="6" s="1"/>
  <c r="AG74" i="6" s="1"/>
  <c r="AG75" i="6" s="1"/>
  <c r="AG76" i="6" s="1"/>
  <c r="AG77" i="6" s="1"/>
  <c r="AG78" i="6" s="1"/>
  <c r="AG79" i="6" s="1"/>
  <c r="AG80" i="6" s="1"/>
  <c r="AG81" i="6" s="1"/>
  <c r="AG82" i="6" s="1"/>
  <c r="AG83" i="6" s="1"/>
  <c r="AG84" i="6" s="1"/>
  <c r="AG85" i="6" s="1"/>
  <c r="AG86" i="6" s="1"/>
  <c r="AG87" i="6" s="1"/>
  <c r="AG88" i="6" s="1"/>
  <c r="AG89" i="6" s="1"/>
  <c r="AG90" i="6" s="1"/>
  <c r="AG91" i="6" s="1"/>
  <c r="AG92" i="6" s="1"/>
  <c r="AG93" i="6" s="1"/>
  <c r="AG94" i="6" s="1"/>
  <c r="AG95" i="6" s="1"/>
  <c r="AG96" i="6" s="1"/>
  <c r="AG97" i="6" s="1"/>
  <c r="AG98" i="6" s="1"/>
  <c r="AG99" i="6" s="1"/>
  <c r="AG100" i="6" s="1"/>
  <c r="AG101" i="6" s="1"/>
  <c r="AG102" i="6" s="1"/>
  <c r="AG103" i="6" s="1"/>
  <c r="AG104" i="6" s="1"/>
  <c r="AG105" i="6" s="1"/>
  <c r="AG106" i="6" s="1"/>
  <c r="AG107" i="6" s="1"/>
  <c r="AG108" i="6" s="1"/>
  <c r="AG109" i="6" s="1"/>
  <c r="AG110" i="6" s="1"/>
  <c r="AG111" i="6" s="1"/>
  <c r="AG112" i="6" s="1"/>
  <c r="AG113" i="6" s="1"/>
  <c r="AG114" i="6" s="1"/>
  <c r="AG115" i="6" s="1"/>
  <c r="AG116" i="6" s="1"/>
  <c r="AG117" i="6" s="1"/>
  <c r="AG118" i="6" s="1"/>
  <c r="AG119" i="6" s="1"/>
  <c r="AG120" i="6" s="1"/>
  <c r="AG121" i="6" s="1"/>
  <c r="AM7" i="6" s="1"/>
  <c r="AJ13" i="6"/>
  <c r="AL16" i="6"/>
  <c r="AO15" i="6"/>
  <c r="AN15" i="6"/>
  <c r="AM5" i="6" l="1"/>
  <c r="AJ14" i="6"/>
  <c r="AP7" i="6"/>
  <c r="AM8" i="6"/>
  <c r="AM10" i="6"/>
  <c r="AM13" i="6"/>
  <c r="AO16" i="6"/>
  <c r="AN16" i="6"/>
  <c r="AM16" i="6"/>
  <c r="AL17" i="6"/>
  <c r="AM15" i="6"/>
  <c r="AM6" i="6"/>
  <c r="AM14" i="6"/>
  <c r="AM9" i="6"/>
  <c r="AM11" i="6"/>
  <c r="AM12" i="6"/>
  <c r="AM17" i="6" l="1"/>
  <c r="AN17" i="6"/>
  <c r="AL18" i="6"/>
  <c r="AO17" i="6"/>
  <c r="AJ15" i="6"/>
  <c r="AJ16" i="6" l="1"/>
  <c r="AM18" i="6"/>
  <c r="AL19" i="6"/>
  <c r="AN18" i="6"/>
  <c r="AO18" i="6"/>
  <c r="AN19" i="6" l="1"/>
  <c r="AL20" i="6"/>
  <c r="AO19" i="6"/>
  <c r="AM19" i="6"/>
  <c r="AJ17" i="6"/>
  <c r="AJ18" i="6" l="1"/>
  <c r="AM20" i="6"/>
  <c r="AL21" i="6"/>
  <c r="AN20" i="6"/>
  <c r="AO20" i="6"/>
  <c r="AM21" i="6" l="1"/>
  <c r="AL22" i="6"/>
  <c r="AN21" i="6"/>
  <c r="AO21" i="6"/>
  <c r="AJ19" i="6"/>
  <c r="AJ20" i="6" l="1"/>
  <c r="AL23" i="6"/>
  <c r="AO22" i="6"/>
  <c r="AN22" i="6"/>
  <c r="AM22" i="6"/>
  <c r="AL24" i="6" l="1"/>
  <c r="AO23" i="6"/>
  <c r="AM23" i="6"/>
  <c r="AN23" i="6"/>
  <c r="AJ21" i="6"/>
  <c r="AJ22" i="6" l="1"/>
  <c r="AL25" i="6"/>
  <c r="AO24" i="6"/>
  <c r="AM24" i="6"/>
  <c r="AN24" i="6"/>
  <c r="AL26" i="6" l="1"/>
  <c r="AO25" i="6"/>
  <c r="AM25" i="6"/>
  <c r="AN25" i="6"/>
  <c r="AJ23" i="6"/>
  <c r="AJ24" i="6" l="1"/>
  <c r="AJ25" i="6" s="1"/>
  <c r="AJ26" i="6" s="1"/>
  <c r="AJ27" i="6" s="1"/>
  <c r="AJ28" i="6" s="1"/>
  <c r="AJ29" i="6" s="1"/>
  <c r="AJ30" i="6" s="1"/>
  <c r="AJ31" i="6" s="1"/>
  <c r="AJ32" i="6" s="1"/>
  <c r="AJ33" i="6" s="1"/>
  <c r="AJ34" i="6" s="1"/>
  <c r="AJ35" i="6" s="1"/>
  <c r="AJ36" i="6" s="1"/>
  <c r="AJ37" i="6" s="1"/>
  <c r="AJ38" i="6" s="1"/>
  <c r="AJ39" i="6" s="1"/>
  <c r="AJ40" i="6" s="1"/>
  <c r="AJ41" i="6" s="1"/>
  <c r="AJ42" i="6" s="1"/>
  <c r="AJ43" i="6" s="1"/>
  <c r="AJ44" i="6" s="1"/>
  <c r="AJ45" i="6" s="1"/>
  <c r="AJ46" i="6" s="1"/>
  <c r="AJ47" i="6" s="1"/>
  <c r="AJ48" i="6" s="1"/>
  <c r="AJ49" i="6" s="1"/>
  <c r="AJ50" i="6" s="1"/>
  <c r="AJ51" i="6" s="1"/>
  <c r="AJ52" i="6" s="1"/>
  <c r="AJ53" i="6" s="1"/>
  <c r="AJ54" i="6" s="1"/>
  <c r="AJ55" i="6" s="1"/>
  <c r="AJ56" i="6" s="1"/>
  <c r="AJ57" i="6" s="1"/>
  <c r="AJ58" i="6" s="1"/>
  <c r="AJ59" i="6" s="1"/>
  <c r="AJ60" i="6" s="1"/>
  <c r="AJ61" i="6" s="1"/>
  <c r="AJ62" i="6" s="1"/>
  <c r="AJ63" i="6" s="1"/>
  <c r="AJ64" i="6" s="1"/>
  <c r="AJ65" i="6" s="1"/>
  <c r="AJ66" i="6" s="1"/>
  <c r="AJ67" i="6" s="1"/>
  <c r="AJ68" i="6" s="1"/>
  <c r="AJ69" i="6" s="1"/>
  <c r="AJ70" i="6" s="1"/>
  <c r="AJ71" i="6" s="1"/>
  <c r="AJ72" i="6" s="1"/>
  <c r="AJ73" i="6" s="1"/>
  <c r="AJ74" i="6" s="1"/>
  <c r="AJ75" i="6" s="1"/>
  <c r="AJ76" i="6" s="1"/>
  <c r="AJ77" i="6" s="1"/>
  <c r="AJ78" i="6" s="1"/>
  <c r="AJ79" i="6" s="1"/>
  <c r="AJ80" i="6" s="1"/>
  <c r="AJ81" i="6" s="1"/>
  <c r="AJ82" i="6" s="1"/>
  <c r="AJ83" i="6" s="1"/>
  <c r="AJ84" i="6" s="1"/>
  <c r="AJ85" i="6" s="1"/>
  <c r="AJ86" i="6" s="1"/>
  <c r="AJ87" i="6" s="1"/>
  <c r="AJ88" i="6" s="1"/>
  <c r="AJ89" i="6" s="1"/>
  <c r="AJ90" i="6" s="1"/>
  <c r="AJ91" i="6" s="1"/>
  <c r="AJ92" i="6" s="1"/>
  <c r="AJ93" i="6" s="1"/>
  <c r="AJ94" i="6" s="1"/>
  <c r="AJ95" i="6" s="1"/>
  <c r="AJ96" i="6" s="1"/>
  <c r="AJ97" i="6" s="1"/>
  <c r="AJ98" i="6" s="1"/>
  <c r="AJ99" i="6" s="1"/>
  <c r="AJ100" i="6" s="1"/>
  <c r="AJ101" i="6" s="1"/>
  <c r="AJ102" i="6" s="1"/>
  <c r="AJ103" i="6" s="1"/>
  <c r="AJ104" i="6" s="1"/>
  <c r="AJ105" i="6" s="1"/>
  <c r="AJ106" i="6" s="1"/>
  <c r="AJ107" i="6" s="1"/>
  <c r="AJ108" i="6" s="1"/>
  <c r="AJ109" i="6" s="1"/>
  <c r="AJ110" i="6" s="1"/>
  <c r="AJ111" i="6" s="1"/>
  <c r="AJ112" i="6" s="1"/>
  <c r="AJ113" i="6" s="1"/>
  <c r="AJ114" i="6" s="1"/>
  <c r="AJ115" i="6" s="1"/>
  <c r="AJ116" i="6" s="1"/>
  <c r="AJ117" i="6" s="1"/>
  <c r="AJ118" i="6" s="1"/>
  <c r="AJ119" i="6" s="1"/>
  <c r="AJ120" i="6" s="1"/>
  <c r="AJ121" i="6" s="1"/>
  <c r="AP19" i="6" s="1"/>
  <c r="AO26" i="6"/>
  <c r="AM26" i="6"/>
  <c r="AN26" i="6"/>
  <c r="AP26" i="6" l="1"/>
  <c r="AP25" i="6"/>
  <c r="AP23" i="6"/>
  <c r="AP21" i="6"/>
  <c r="AP20" i="6"/>
  <c r="AP18" i="6"/>
  <c r="AP24" i="6"/>
  <c r="AP22" i="6"/>
  <c r="AP11" i="6"/>
  <c r="AP12" i="6"/>
  <c r="AP9" i="6"/>
  <c r="AP10" i="6"/>
  <c r="AP8" i="6"/>
  <c r="AP13" i="6"/>
  <c r="AP14" i="6"/>
  <c r="AP15" i="6"/>
  <c r="AP16" i="6"/>
  <c r="AP1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Liou</author>
    <author>Serge Moroz</author>
  </authors>
  <commentList>
    <comment ref="O195" authorId="0" shapeId="0" xr:uid="{0A0C852E-70DA-428D-ACAC-50A615000528}">
      <text>
        <r>
          <rPr>
            <b/>
            <sz val="9"/>
            <color indexed="81"/>
            <rFont val="Tahoma"/>
            <family val="2"/>
          </rPr>
          <t>Andrew Liou: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J198" authorId="1" shapeId="0" xr:uid="{B9310E5F-DAAA-4470-B234-D7E84B167D28}">
      <text>
        <r>
          <rPr>
            <b/>
            <sz val="9"/>
            <color indexed="81"/>
            <rFont val="Tahoma"/>
            <family val="2"/>
          </rPr>
          <t>Serge Moroz:</t>
        </r>
        <r>
          <rPr>
            <sz val="9"/>
            <color indexed="81"/>
            <rFont val="Tahoma"/>
            <family val="2"/>
          </rPr>
          <t xml:space="preserve">
50% on the site
55% in the report</t>
        </r>
      </text>
    </comment>
    <comment ref="J204" authorId="1" shapeId="0" xr:uid="{6A75B639-947F-42EC-B89C-E919896BC26F}">
      <text>
        <r>
          <rPr>
            <b/>
            <sz val="9"/>
            <color indexed="81"/>
            <rFont val="Tahoma"/>
            <family val="2"/>
          </rPr>
          <t>Serge Moroz:</t>
        </r>
        <r>
          <rPr>
            <sz val="9"/>
            <color indexed="81"/>
            <rFont val="Tahoma"/>
            <family val="2"/>
          </rPr>
          <t xml:space="preserve">
50% on the site
55% in the report</t>
        </r>
      </text>
    </comment>
  </commentList>
</comments>
</file>

<file path=xl/sharedStrings.xml><?xml version="1.0" encoding="utf-8"?>
<sst xmlns="http://schemas.openxmlformats.org/spreadsheetml/2006/main" count="5255" uniqueCount="1787">
  <si>
    <t>Last Updated</t>
  </si>
  <si>
    <t>*Match family name in master comps file</t>
  </si>
  <si>
    <t>Ratings Data (Borrower)</t>
  </si>
  <si>
    <t>Borrower Name</t>
  </si>
  <si>
    <t>Moody's</t>
  </si>
  <si>
    <t>S&amp;P</t>
  </si>
  <si>
    <t>Fitch</t>
  </si>
  <si>
    <t>Date Estimates</t>
  </si>
  <si>
    <t>Master Comps</t>
  </si>
  <si>
    <t>Rating</t>
  </si>
  <si>
    <t>Rating Type</t>
  </si>
  <si>
    <t>Recovery Rating</t>
  </si>
  <si>
    <t>Recovery %</t>
  </si>
  <si>
    <t>48Forty</t>
  </si>
  <si>
    <t>CCC+**</t>
  </si>
  <si>
    <t>Rating (Private)</t>
  </si>
  <si>
    <t>4Wall Entertainment</t>
  </si>
  <si>
    <t>CCC-*</t>
  </si>
  <si>
    <t>Credit Estimate</t>
  </si>
  <si>
    <t>B-</t>
  </si>
  <si>
    <t>A1 Garage</t>
  </si>
  <si>
    <t>B-*</t>
  </si>
  <si>
    <t>Ad.net</t>
  </si>
  <si>
    <t>Advantage Sales &amp; Marketing</t>
  </si>
  <si>
    <t>B2</t>
  </si>
  <si>
    <t>Rating (Public)</t>
  </si>
  <si>
    <t>B+</t>
  </si>
  <si>
    <t>Aechelon</t>
  </si>
  <si>
    <t>B*</t>
  </si>
  <si>
    <t>Aeronix</t>
  </si>
  <si>
    <t>AFC</t>
  </si>
  <si>
    <t>alphabroder</t>
  </si>
  <si>
    <t>B+*</t>
  </si>
  <si>
    <t>Altamira</t>
  </si>
  <si>
    <t>American Insulated Glass</t>
  </si>
  <si>
    <t>Ankura</t>
  </si>
  <si>
    <t>B3</t>
  </si>
  <si>
    <t>Any Hour Services</t>
  </si>
  <si>
    <t>Apex Service Partners</t>
  </si>
  <si>
    <t>API Technologies</t>
  </si>
  <si>
    <t>CCC+</t>
  </si>
  <si>
    <t>Applied Technical Services</t>
  </si>
  <si>
    <t>Arcfield</t>
  </si>
  <si>
    <t>B</t>
  </si>
  <si>
    <t>Archer Lewis</t>
  </si>
  <si>
    <t>Ardurra</t>
  </si>
  <si>
    <t>Aretec (Cetera)</t>
  </si>
  <si>
    <t>Argano</t>
  </si>
  <si>
    <t>B-**</t>
  </si>
  <si>
    <t>Ascensus</t>
  </si>
  <si>
    <t>Avenu</t>
  </si>
  <si>
    <t>BBB Industries</t>
  </si>
  <si>
    <t>Beacon Behavioral</t>
  </si>
  <si>
    <t>Berlin Packaging</t>
  </si>
  <si>
    <t>Beta+</t>
  </si>
  <si>
    <t>Big Top</t>
  </si>
  <si>
    <t>BiggerPockets</t>
  </si>
  <si>
    <t>Bioderm</t>
  </si>
  <si>
    <t>Blackhawk Industrial</t>
  </si>
  <si>
    <t>Bland Landscaping</t>
  </si>
  <si>
    <t>BlueBird</t>
  </si>
  <si>
    <t>BlueHalo</t>
  </si>
  <si>
    <t>1.19.2024</t>
  </si>
  <si>
    <t>Boss Industries</t>
  </si>
  <si>
    <t>Bottom Line Systems</t>
  </si>
  <si>
    <t>By Light</t>
  </si>
  <si>
    <t>C5MI</t>
  </si>
  <si>
    <t>Cadence Aerospace</t>
  </si>
  <si>
    <t>Cano Health</t>
  </si>
  <si>
    <t>Carisk</t>
  </si>
  <si>
    <t>Carnegie Dartlet</t>
  </si>
  <si>
    <t>Cartessa</t>
  </si>
  <si>
    <t>Case Works</t>
  </si>
  <si>
    <t>Centauri Health</t>
  </si>
  <si>
    <t>CHA Consulting</t>
  </si>
  <si>
    <t>12.8.2023</t>
  </si>
  <si>
    <t>Challenger</t>
  </si>
  <si>
    <t>Circa</t>
  </si>
  <si>
    <t>Caa1</t>
  </si>
  <si>
    <t>Commercial Fire Protection</t>
  </si>
  <si>
    <t>Compex Legal</t>
  </si>
  <si>
    <t>Confluent Health</t>
  </si>
  <si>
    <t>Connatix</t>
  </si>
  <si>
    <t>Consilio</t>
  </si>
  <si>
    <t>CoolSys</t>
  </si>
  <si>
    <t>Convergint</t>
  </si>
  <si>
    <t>Crane 1</t>
  </si>
  <si>
    <t>Crash Champions</t>
  </si>
  <si>
    <t>CCC+*</t>
  </si>
  <si>
    <t>Digital Room</t>
  </si>
  <si>
    <t>Douglas</t>
  </si>
  <si>
    <t>Dr. Scholl's</t>
  </si>
  <si>
    <t>Dr. Squatch</t>
  </si>
  <si>
    <t>Duggal</t>
  </si>
  <si>
    <t>The Duraco Group</t>
  </si>
  <si>
    <t>ECL Entertainment</t>
  </si>
  <si>
    <t>ECM Industries</t>
  </si>
  <si>
    <t>eCommission</t>
  </si>
  <si>
    <t>ECRM</t>
  </si>
  <si>
    <t>CCC*</t>
  </si>
  <si>
    <t>Emergency Care Partners</t>
  </si>
  <si>
    <t>Empire Resorts</t>
  </si>
  <si>
    <t>Baa2</t>
  </si>
  <si>
    <t>BBB</t>
  </si>
  <si>
    <t>Engine and Transmission Exchange</t>
  </si>
  <si>
    <t>Epiq</t>
  </si>
  <si>
    <t>EvAl</t>
  </si>
  <si>
    <t>Exigo</t>
  </si>
  <si>
    <t>Fairbanks Morse Defense</t>
  </si>
  <si>
    <t>Fantasy Springs</t>
  </si>
  <si>
    <t>NA</t>
  </si>
  <si>
    <t>Federal Advisory Partners</t>
  </si>
  <si>
    <t>Five Star</t>
  </si>
  <si>
    <t>FlexPrint</t>
  </si>
  <si>
    <t>GCOM</t>
  </si>
  <si>
    <t>Gen3 Marketing</t>
  </si>
  <si>
    <t>Global</t>
  </si>
  <si>
    <t>Guild Garage</t>
  </si>
  <si>
    <t>Hancock</t>
  </si>
  <si>
    <t>Hanley Wood</t>
  </si>
  <si>
    <t>Harris &amp; Co.</t>
  </si>
  <si>
    <t>Health-E Commerce</t>
  </si>
  <si>
    <t>IDC Infusion Services</t>
  </si>
  <si>
    <t>Idera</t>
  </si>
  <si>
    <t>IDS</t>
  </si>
  <si>
    <t>Imagine Software</t>
  </si>
  <si>
    <t>IMIA Holdings, Inc.</t>
  </si>
  <si>
    <t>Infinity Home Services</t>
  </si>
  <si>
    <t>1.26.2024</t>
  </si>
  <si>
    <t>Infolinks</t>
  </si>
  <si>
    <t>Infosoft</t>
  </si>
  <si>
    <t>Insight Global</t>
  </si>
  <si>
    <t>Integrative Nutrition</t>
  </si>
  <si>
    <t>Integrity Marketing</t>
  </si>
  <si>
    <t>Inventus</t>
  </si>
  <si>
    <t>Intellectual Technology</t>
  </si>
  <si>
    <t>Jones &amp; Frank</t>
  </si>
  <si>
    <t>K2</t>
  </si>
  <si>
    <t>Kentucky Downs</t>
  </si>
  <si>
    <t>KNS</t>
  </si>
  <si>
    <t>Kroll</t>
  </si>
  <si>
    <t>Ledge Lounger</t>
  </si>
  <si>
    <t>Lilly Lashes</t>
  </si>
  <si>
    <t>Loving Tan</t>
  </si>
  <si>
    <t>Lucky Bucks</t>
  </si>
  <si>
    <t>CCC-</t>
  </si>
  <si>
    <t>Lynx Software Technologies</t>
  </si>
  <si>
    <t>MAG Aerospace</t>
  </si>
  <si>
    <t>Marketplace Events</t>
  </si>
  <si>
    <t>Mars Agency</t>
  </si>
  <si>
    <t>McAfee</t>
  </si>
  <si>
    <t>MCR</t>
  </si>
  <si>
    <t>Meadowlark</t>
  </si>
  <si>
    <t>Medina Health / CRC</t>
  </si>
  <si>
    <t>MeritDirect</t>
  </si>
  <si>
    <t>MES</t>
  </si>
  <si>
    <t>Milani</t>
  </si>
  <si>
    <t>Mission Critical Electronics</t>
  </si>
  <si>
    <t>Mission Microwave</t>
  </si>
  <si>
    <t>Molded Devices</t>
  </si>
  <si>
    <t>Momentum</t>
  </si>
  <si>
    <t>MOREGroup</t>
  </si>
  <si>
    <t>Neptune Flood</t>
  </si>
  <si>
    <t>Nevada Behavioral Health Systems</t>
  </si>
  <si>
    <t>NORA</t>
  </si>
  <si>
    <t>NSi Industries</t>
  </si>
  <si>
    <t>Omnia Exterior Solutions</t>
  </si>
  <si>
    <t>Openroad Lending</t>
  </si>
  <si>
    <t>OSG Billing Services</t>
  </si>
  <si>
    <t>Caa2</t>
  </si>
  <si>
    <t>OSM</t>
  </si>
  <si>
    <t>Outcomes Group Holdings</t>
  </si>
  <si>
    <t>Ox</t>
  </si>
  <si>
    <t>Painters Supply and Equipment</t>
  </si>
  <si>
    <t>PAR Excellence</t>
  </si>
  <si>
    <t>Paris Presents</t>
  </si>
  <si>
    <t>PCS Retirement</t>
  </si>
  <si>
    <t>Pegasus Steel</t>
  </si>
  <si>
    <t>Pink Lily</t>
  </si>
  <si>
    <t>PlayPower</t>
  </si>
  <si>
    <t>Plimpton</t>
  </si>
  <si>
    <t>Pragmatic Institute</t>
  </si>
  <si>
    <t>Prelude</t>
  </si>
  <si>
    <t>Prosearch</t>
  </si>
  <si>
    <t>Quantic Electronics</t>
  </si>
  <si>
    <t>Questex</t>
  </si>
  <si>
    <t>11.27.2023</t>
  </si>
  <si>
    <t>Radius Aerospace</t>
  </si>
  <si>
    <t>Rancho Medical</t>
  </si>
  <si>
    <t>4.17.2025</t>
  </si>
  <si>
    <t>RealmOne</t>
  </si>
  <si>
    <t>Recteq</t>
  </si>
  <si>
    <t>CCC</t>
  </si>
  <si>
    <t>Reedy Industries</t>
  </si>
  <si>
    <t>Research Now/SSI</t>
  </si>
  <si>
    <t>Riverpoint</t>
  </si>
  <si>
    <t>Riverside Insights</t>
  </si>
  <si>
    <t>Roofed Right America</t>
  </si>
  <si>
    <t>RTIC</t>
  </si>
  <si>
    <t>S101</t>
  </si>
  <si>
    <t>Sabel Systems</t>
  </si>
  <si>
    <t>Sales Benchmark Index (SBI)</t>
  </si>
  <si>
    <t>Safe Haven</t>
  </si>
  <si>
    <t>Sargent &amp; Greenleaf</t>
  </si>
  <si>
    <t>Schlesinger</t>
  </si>
  <si>
    <t>Seacoast Service Partners</t>
  </si>
  <si>
    <t>Seaway Plastics</t>
  </si>
  <si>
    <t>Sigma Defense</t>
  </si>
  <si>
    <t>Signature Systems Group</t>
  </si>
  <si>
    <t>Simplicity</t>
  </si>
  <si>
    <t>Smartronix / Trident</t>
  </si>
  <si>
    <t>Smile Brands</t>
  </si>
  <si>
    <t>Solaris Health</t>
  </si>
  <si>
    <t>SolutionReach</t>
  </si>
  <si>
    <t>Southern Veterinary Partners</t>
  </si>
  <si>
    <t>Sparq</t>
  </si>
  <si>
    <t>Spendmend</t>
  </si>
  <si>
    <t>Stratatech</t>
  </si>
  <si>
    <t>STG Logistics</t>
  </si>
  <si>
    <t>D</t>
  </si>
  <si>
    <t xml:space="preserve">B </t>
  </si>
  <si>
    <t>STV Group</t>
  </si>
  <si>
    <t>Summit Behavioral Healthcare</t>
  </si>
  <si>
    <t>Targeted Pet Care</t>
  </si>
  <si>
    <t>TEAM Services Group</t>
  </si>
  <si>
    <t>Teneo</t>
  </si>
  <si>
    <t>Total Pool Care Network</t>
  </si>
  <si>
    <t>TransGo</t>
  </si>
  <si>
    <t>Tranzact</t>
  </si>
  <si>
    <t>Tyto Athene</t>
  </si>
  <si>
    <t>Ubeo</t>
  </si>
  <si>
    <t>Velocity Rail Solutions</t>
  </si>
  <si>
    <t>Vertex</t>
  </si>
  <si>
    <t>Victra</t>
  </si>
  <si>
    <t>Virgin Pulse</t>
  </si>
  <si>
    <t>Vision Integrated</t>
  </si>
  <si>
    <t>1.5.2024</t>
  </si>
  <si>
    <t>Walker Edison</t>
  </si>
  <si>
    <t>NR*</t>
  </si>
  <si>
    <t>WatchTower</t>
  </si>
  <si>
    <t>Watterson</t>
  </si>
  <si>
    <t>Wheel Pros</t>
  </si>
  <si>
    <t>Caa3</t>
  </si>
  <si>
    <t>Wilson Language Training</t>
  </si>
  <si>
    <t>Zips</t>
  </si>
  <si>
    <t>D*</t>
  </si>
  <si>
    <t>CLO</t>
  </si>
  <si>
    <t/>
  </si>
  <si>
    <t>Credit</t>
  </si>
  <si>
    <t>Days Left</t>
  </si>
  <si>
    <t>Checks</t>
  </si>
  <si>
    <t>PFLT</t>
  </si>
  <si>
    <t>PSSL</t>
  </si>
  <si>
    <t>PTSF</t>
  </si>
  <si>
    <t>PSLF</t>
  </si>
  <si>
    <t>PTSF II</t>
  </si>
  <si>
    <t>PSSL (2)</t>
  </si>
  <si>
    <t>PSLF (2)</t>
  </si>
  <si>
    <t>Type</t>
  </si>
  <si>
    <t>Date</t>
  </si>
  <si>
    <t>S&amp;P New</t>
  </si>
  <si>
    <t>Fitch New</t>
  </si>
  <si>
    <t>S&amp;P Update</t>
  </si>
  <si>
    <t>Fitch Update</t>
  </si>
  <si>
    <t>NOT NEEDED</t>
  </si>
  <si>
    <t>Copy and Paste from SOIs</t>
  </si>
  <si>
    <t>Copy and Paste Family Names; Remove Duplicates and Sort</t>
  </si>
  <si>
    <t>PFLT CLO</t>
  </si>
  <si>
    <t>PSSL CLO</t>
  </si>
  <si>
    <t>Towerbrook I</t>
  </si>
  <si>
    <t>PSLF CLO</t>
  </si>
  <si>
    <t>Towerbrook II</t>
  </si>
  <si>
    <t>PSSL CLO (2)</t>
  </si>
  <si>
    <t>PSLF CLO (2)</t>
  </si>
  <si>
    <t>SOI Name</t>
  </si>
  <si>
    <t>Family Name</t>
  </si>
  <si>
    <t>Unique Names</t>
  </si>
  <si>
    <t>Ad.net Acquisition, LLC</t>
  </si>
  <si>
    <t>Alpine Acquisition Corp II</t>
  </si>
  <si>
    <t>A1 Garage Merger Sub, LLC</t>
  </si>
  <si>
    <t>Amsive Holding Corporation (f/k/a Vision Purchaser Corporation)</t>
  </si>
  <si>
    <t>American Insulated Glass, LLC</t>
  </si>
  <si>
    <t>Anteriad, LLC (f/k/a MeritDirect, LLC)</t>
  </si>
  <si>
    <t>Ankura Consulting Group, LLC</t>
  </si>
  <si>
    <t xml:space="preserve">Apex Service Partners, LLC </t>
  </si>
  <si>
    <t>Anteriad, LLC (f/k/a MeritDirect, LLC) - Incremental</t>
  </si>
  <si>
    <t>Apex Service Partners, LLC - Term Loan C</t>
  </si>
  <si>
    <t>Applied Technical Services, LLC</t>
  </si>
  <si>
    <t>Apex Service Partners, LLC Term Loan B</t>
  </si>
  <si>
    <t>Ascensus Holdings, Inc.</t>
  </si>
  <si>
    <t>Apex Service Partners, LLC Term Loan C</t>
  </si>
  <si>
    <t>Arcfield Acquisition Corp.</t>
  </si>
  <si>
    <t>Broder Bros., Co.</t>
  </si>
  <si>
    <t>Beta Plus Technologies, Inc.</t>
  </si>
  <si>
    <t>By Light Professional IT Services, LLC</t>
  </si>
  <si>
    <t>Berlin Packaging, LLC</t>
  </si>
  <si>
    <t>Applied Technical Services, LLC - DDTL Unfunded</t>
  </si>
  <si>
    <t>Cartessa Aesthetics, LLC</t>
  </si>
  <si>
    <t>Blackhawk Industrial Distribution, Inc.</t>
  </si>
  <si>
    <t>BioDerm, Inc.</t>
  </si>
  <si>
    <t>CF512, Inc.</t>
  </si>
  <si>
    <t>Bioderm, Inc.</t>
  </si>
  <si>
    <t>Confluent Health, LLC</t>
  </si>
  <si>
    <t>Connatix Buyer, Inc.</t>
  </si>
  <si>
    <t>Burgess Point Purchaser Corporation</t>
  </si>
  <si>
    <t xml:space="preserve">Burgess Point Purchaser Corporation </t>
  </si>
  <si>
    <t>Confluent Health, LLC - Unfunded Term Loan</t>
  </si>
  <si>
    <t>Dr. Squatch, LLC</t>
  </si>
  <si>
    <t>CHA Holdings, Inc.</t>
  </si>
  <si>
    <t>DRI Holding Inc.</t>
  </si>
  <si>
    <t>Cadence Aerospace, LLC</t>
  </si>
  <si>
    <t>CoolSys, Inc.</t>
  </si>
  <si>
    <t>DRS Holdings III, Inc.</t>
  </si>
  <si>
    <t xml:space="preserve">Cartessa Aesthetics, LLC </t>
  </si>
  <si>
    <t>Crane 1 Services, Inc.</t>
  </si>
  <si>
    <t>CoolSys, Inc. - Unfunded Term Loan</t>
  </si>
  <si>
    <t>Duraco Specialty Tapes LLC</t>
  </si>
  <si>
    <t xml:space="preserve">Compex Legal Services, Inc. </t>
  </si>
  <si>
    <t>ETE Intermediate II, LLC</t>
  </si>
  <si>
    <t>Engine &amp; Transmission Exchange</t>
  </si>
  <si>
    <t xml:space="preserve">Crane 1 Services, Inc. </t>
  </si>
  <si>
    <t>DG Investment Intermediate Holdings 2, Inc.</t>
  </si>
  <si>
    <t>Exigo Intermediate II, LLC</t>
  </si>
  <si>
    <t>Deerfield Dakota Holding, LLC</t>
  </si>
  <si>
    <t xml:space="preserve">Dr. Squatch, LLC </t>
  </si>
  <si>
    <t>BioDerm</t>
  </si>
  <si>
    <t>ECL Entertainment, LLC</t>
  </si>
  <si>
    <t>Global Holdings InterCo LLC</t>
  </si>
  <si>
    <t>BlackHawk Industrial</t>
  </si>
  <si>
    <t>eCommission Financial Services, Inc.</t>
  </si>
  <si>
    <t>Graffiti Buyer, Inc.</t>
  </si>
  <si>
    <t>EDS Buyer, LLC</t>
  </si>
  <si>
    <t>Bluebird</t>
  </si>
  <si>
    <t>Hancock Roofing and Construction L.L.C.</t>
  </si>
  <si>
    <t>Electro Rent Corporation</t>
  </si>
  <si>
    <t>Holdco Sands Intermediate, LLC</t>
  </si>
  <si>
    <t xml:space="preserve">DRS Holdings III, Inc. </t>
  </si>
  <si>
    <t>HW Holdco, LLC</t>
  </si>
  <si>
    <t>ECM Industries, LLC</t>
  </si>
  <si>
    <t>IG Investments Holdings, LLC</t>
  </si>
  <si>
    <t xml:space="preserve">ETE Intermediate II, LLC </t>
  </si>
  <si>
    <t>Imagine Acquisitionco, LLC</t>
  </si>
  <si>
    <t>Five Star Buyer, Inc.</t>
  </si>
  <si>
    <t>Inception Fertility Ventures, LLC</t>
  </si>
  <si>
    <t>Fairbanks More Defense</t>
  </si>
  <si>
    <t xml:space="preserve">Integrative Nutrition, LLC </t>
  </si>
  <si>
    <t>Gantech Acquisition Corp.</t>
  </si>
  <si>
    <t>Integrity Marketing Acquisition, LLC</t>
  </si>
  <si>
    <t xml:space="preserve">Integrity Marketing Acquisition, LLC </t>
  </si>
  <si>
    <t>K2 Pure Solutions NoCal, L.P.</t>
  </si>
  <si>
    <t>Inventus Power, Inc.</t>
  </si>
  <si>
    <t>Lash OpCo, LLC</t>
  </si>
  <si>
    <t>Hightower Holding, LLC</t>
  </si>
  <si>
    <t>HV Watterson Holdings, LLC</t>
  </si>
  <si>
    <t>Kinetic Purchaser, LLC</t>
  </si>
  <si>
    <t>Graffiti Buyer, Inc. - Unfunded Term Loan</t>
  </si>
  <si>
    <t xml:space="preserve">Lightspeed Buyer Inc. </t>
  </si>
  <si>
    <t xml:space="preserve">Infinity Home Services Holdco, Inc. </t>
  </si>
  <si>
    <t>MAG DS Corp.</t>
  </si>
  <si>
    <t>Integrated Data Services</t>
  </si>
  <si>
    <t>LAV Gear Holdings, Inc.</t>
  </si>
  <si>
    <t>Magenta Buyer, LLC</t>
  </si>
  <si>
    <t>IDC Infusion Services, Inc.</t>
  </si>
  <si>
    <t>Infinity Home Services Holdco, Inc.</t>
  </si>
  <si>
    <t>Ledge Lounger, Inc.</t>
  </si>
  <si>
    <t>Mars Acquisition Holdings Corp.</t>
  </si>
  <si>
    <t>Idera, Inc.</t>
  </si>
  <si>
    <t>Infolinks Media Buyco, LLC</t>
  </si>
  <si>
    <t>Lightspeed Buyer Inc.</t>
  </si>
  <si>
    <t>MBS Holdings, Inc.</t>
  </si>
  <si>
    <t>ITI Holdings, Inc.</t>
  </si>
  <si>
    <t>Edelman</t>
  </si>
  <si>
    <t>Municipal Emergency Services, Inc.</t>
  </si>
  <si>
    <t>Electro Rent</t>
  </si>
  <si>
    <t>NBH Group LLC</t>
  </si>
  <si>
    <t>MDI Buyer, Inc.</t>
  </si>
  <si>
    <t>One Stop Mailing, LLC</t>
  </si>
  <si>
    <t>Meadowlark Acquirer, LLC</t>
  </si>
  <si>
    <t>Owl Acquisition, LLC</t>
  </si>
  <si>
    <t>Mission Critical Electronics Inc.</t>
  </si>
  <si>
    <t>PlayPower, Inc.</t>
  </si>
  <si>
    <t>Quantic Electronics, LLC</t>
  </si>
  <si>
    <t>LJ Avalon Holdings, LLC - Term Loan</t>
  </si>
  <si>
    <t>LJ Avalon Holdings, LLC</t>
  </si>
  <si>
    <t>Lucky Bucks, LLC</t>
  </si>
  <si>
    <t>Radius Aerospace, Inc.</t>
  </si>
  <si>
    <t>MAG DS Corp</t>
  </si>
  <si>
    <t>ORL Acquisition, Inc.</t>
  </si>
  <si>
    <t>Rancho Health MSO, Inc.</t>
  </si>
  <si>
    <t>Recteq, LLC</t>
  </si>
  <si>
    <t>LSF9 Atlantis Holdings, LLC</t>
  </si>
  <si>
    <t>Ox Two, LLC (New Issue)</t>
  </si>
  <si>
    <t>Research Now Group, LLC and Dynata, LLC</t>
  </si>
  <si>
    <t xml:space="preserve">MDI Buyer, Inc. </t>
  </si>
  <si>
    <t>Riverpoint Medical, LLC</t>
  </si>
  <si>
    <t>Riverside Assessments, LLC</t>
  </si>
  <si>
    <t>Mission Critical Electronics, Inc.</t>
  </si>
  <si>
    <t>Neptune Flood Incorporated</t>
  </si>
  <si>
    <t>Hightower</t>
  </si>
  <si>
    <t>Questex, LLC</t>
  </si>
  <si>
    <t>Sales Benchmark Index LLC</t>
  </si>
  <si>
    <t>Sargent &amp; Greenleaf Inc.</t>
  </si>
  <si>
    <t>Pequod Merger Sub, Inc.</t>
  </si>
  <si>
    <t>Simplicity Group</t>
  </si>
  <si>
    <t>Seaway Buyer, LLC</t>
  </si>
  <si>
    <t>ImagineAcquisitionCo</t>
  </si>
  <si>
    <t xml:space="preserve">Riverside Assessments, LLC </t>
  </si>
  <si>
    <t>Ox Two, LLC</t>
  </si>
  <si>
    <t>Signature Systems Holding Company</t>
  </si>
  <si>
    <t>New Milani Group LLC</t>
  </si>
  <si>
    <t>Reception Purchaser, LLC</t>
  </si>
  <si>
    <t>Pequod Merger Sub, Inc. - Term Loan (f/k/a Simplicity Group)</t>
  </si>
  <si>
    <t>Solutionreach, Inc.</t>
  </si>
  <si>
    <t>Schlesinger Global, Inc.</t>
  </si>
  <si>
    <t>PH Beauty Holdings III, Inc.</t>
  </si>
  <si>
    <t>Output Services Group, Inc.</t>
  </si>
  <si>
    <t>STV Group Incorporated</t>
  </si>
  <si>
    <t>PL Acquisitionco, LLC</t>
  </si>
  <si>
    <t>ORL Acquisition, Inc. - Term Loan</t>
  </si>
  <si>
    <t>OpenRoad Lending</t>
  </si>
  <si>
    <t>Rural Sourcing Holdings, Inc. (HPA SPQ Merger Sub, Inc.)</t>
  </si>
  <si>
    <t>Sigma Defense Systems, LLC</t>
  </si>
  <si>
    <t>System Planning and Analysis, Inc. (f/k/a Management Consulting &amp; Research, LLC)</t>
  </si>
  <si>
    <t xml:space="preserve">Ox Two, LLC   </t>
  </si>
  <si>
    <t>Teneo Holdings LLC</t>
  </si>
  <si>
    <t>Quantic Electronics, LLC - Unfunded Term Loan</t>
  </si>
  <si>
    <t>Skopima Consilio Parent, LLC</t>
  </si>
  <si>
    <t>Pragmatic Institute, LLC</t>
  </si>
  <si>
    <t>The Aegis Technologies Group, LLC</t>
  </si>
  <si>
    <t>The Bluebird Group LLC</t>
  </si>
  <si>
    <t>The Vertex Companies, LLC</t>
  </si>
  <si>
    <t xml:space="preserve">Rancho Health MSO, Inc. </t>
  </si>
  <si>
    <t>TPC Canada Parent, Inc. and TPC US Parent, LLC</t>
  </si>
  <si>
    <t xml:space="preserve">Reception Purchaser, LLC </t>
  </si>
  <si>
    <t>SpendMend Holdings, LLC</t>
  </si>
  <si>
    <t>SpendMend</t>
  </si>
  <si>
    <t>Rancho Health MSO, Inc.  - Unfunded Term Loan</t>
  </si>
  <si>
    <t>TWS Acquisition Corporation</t>
  </si>
  <si>
    <t>Tyto Athene, LLC</t>
  </si>
  <si>
    <t>Summit Behavioral Healthcare, LLC</t>
  </si>
  <si>
    <t>Wildcat Buyerco, Inc.</t>
  </si>
  <si>
    <t xml:space="preserve">Schlesinger Global, Inc. </t>
  </si>
  <si>
    <t>Zips Car Wash, LLC</t>
  </si>
  <si>
    <t xml:space="preserve">Seaway Buyer, LLC </t>
  </si>
  <si>
    <t>Team Services Group, LLC</t>
  </si>
  <si>
    <t>Smile Brands Inc.</t>
  </si>
  <si>
    <t xml:space="preserve">Solutionreach, Inc. </t>
  </si>
  <si>
    <t>Tyto Athene, LLC (New Issue)</t>
  </si>
  <si>
    <t>Smile Brands, Inc.</t>
  </si>
  <si>
    <t>Walker Edison Furniture, LLC</t>
  </si>
  <si>
    <t>Southern Veterinary Partners, LLC</t>
  </si>
  <si>
    <t>Spendmend Holdings LLC</t>
  </si>
  <si>
    <t>Urology Management Holdings, Inc.</t>
  </si>
  <si>
    <t>The Edelman Financial Center, LLC</t>
  </si>
  <si>
    <t>TVC Enterprises, LLC</t>
  </si>
  <si>
    <t>The Infosoft Group, LLC</t>
  </si>
  <si>
    <t>Wildcat Buyerco, Inc. - Unfunded Term Loan</t>
  </si>
  <si>
    <t>Walker Edison Furniture Company LLC</t>
  </si>
  <si>
    <t xml:space="preserve">Urology Management Holdings, Inc. </t>
  </si>
  <si>
    <t>Ascensus Holdings, Inc. - Second Lien</t>
  </si>
  <si>
    <t>Nsi Industries</t>
  </si>
  <si>
    <t>Walker Edison Furniture Company LLC - Incremental TL</t>
  </si>
  <si>
    <t>Team Services Group, LLC - 2nd Lien</t>
  </si>
  <si>
    <t>Solutionreach</t>
  </si>
  <si>
    <t>StrataTech</t>
  </si>
  <si>
    <t>TVC</t>
  </si>
  <si>
    <t>No Duplicates</t>
  </si>
  <si>
    <t>General</t>
  </si>
  <si>
    <t>For Dropdown</t>
  </si>
  <si>
    <t>Security Name</t>
  </si>
  <si>
    <t>Security Type</t>
  </si>
  <si>
    <t>Security Types</t>
  </si>
  <si>
    <t xml:space="preserve"> RECEPTION PURCHASER, LLC</t>
  </si>
  <si>
    <t>STG (TL)</t>
  </si>
  <si>
    <t>First Lien</t>
  </si>
  <si>
    <t>18 Freemont Street Acquisition, LLC</t>
  </si>
  <si>
    <t>Circa (TL)</t>
  </si>
  <si>
    <t>Second Lien</t>
  </si>
  <si>
    <t>Edelman (Term Loan)</t>
  </si>
  <si>
    <t>Hightower (Term Loan)</t>
  </si>
  <si>
    <t>A1 Garage (Term Loan)</t>
  </si>
  <si>
    <t>A1 Garage (DDTL)</t>
  </si>
  <si>
    <t>A1 Garage (Revolver)</t>
  </si>
  <si>
    <t>A1 Garage Equity, LLC</t>
  </si>
  <si>
    <t>A1 Garage (Common Equity)</t>
  </si>
  <si>
    <t>Common Equity</t>
  </si>
  <si>
    <t>Ad.net (Term Loan)</t>
  </si>
  <si>
    <t>Subordinated Debt</t>
  </si>
  <si>
    <t>Preferred Equity</t>
  </si>
  <si>
    <t>Ad.net Acquisition, LLC - Funded Revolver</t>
  </si>
  <si>
    <t>Ad.net (Revolver)</t>
  </si>
  <si>
    <t>Ad.net Acquisition, LLC - Unfunded Revolver</t>
  </si>
  <si>
    <t>Ad.net Holdings, Inc. (Common )</t>
  </si>
  <si>
    <t>Ad.net (Common Equity)</t>
  </si>
  <si>
    <t>Ad.net Holdings, Inc. (Common)</t>
  </si>
  <si>
    <t>Ad.net Holdings, Inc. (Preferred)</t>
  </si>
  <si>
    <t>Ad.net (Preferred Equity)</t>
  </si>
  <si>
    <t>Advantage (TL)</t>
  </si>
  <si>
    <t xml:space="preserve">Advantage Sales &amp; Marketing </t>
  </si>
  <si>
    <t>Advantage Sales &amp; Marketing Inc.</t>
  </si>
  <si>
    <t>Affinion Group Holdings, Inc. (Warrants)</t>
  </si>
  <si>
    <t>Affinion (Warrants)</t>
  </si>
  <si>
    <t>Affinion</t>
  </si>
  <si>
    <t>AG Investco LP</t>
  </si>
  <si>
    <t>Athene (Equity)</t>
  </si>
  <si>
    <t>Athene</t>
  </si>
  <si>
    <t>AG Investco LP - Unfunded</t>
  </si>
  <si>
    <t>AG Investco LP (Unfunded)</t>
  </si>
  <si>
    <t>AH Holdings, Inc.</t>
  </si>
  <si>
    <t>American Surgical (Preferred Equity)</t>
  </si>
  <si>
    <t>American Surgical</t>
  </si>
  <si>
    <t xml:space="preserve">AH Holdings, Inc. (Warrants) </t>
  </si>
  <si>
    <t>American Surgical (Warrants)</t>
  </si>
  <si>
    <t>AH Newco Equityholdings, LLC</t>
  </si>
  <si>
    <t>AKW Holdings Limited</t>
  </si>
  <si>
    <t>AKW Holdings (Term Loan)</t>
  </si>
  <si>
    <t>AKW Holdings</t>
  </si>
  <si>
    <t>AKW Holdings Limited (Equity)</t>
  </si>
  <si>
    <t>AKW Holdings (Common)</t>
  </si>
  <si>
    <t>ALLIED UNIVERSAL HOLDCO LLC</t>
  </si>
  <si>
    <t>Allied Universal (Term Loan)</t>
  </si>
  <si>
    <t>Allied Universal</t>
  </si>
  <si>
    <t>48Forty (Term Loan)</t>
  </si>
  <si>
    <t>Alpine Acquisition Corp II - Unfunded Term Loan</t>
  </si>
  <si>
    <t>48Forty (DDTL)</t>
  </si>
  <si>
    <t>Altamira Intermediate Company II, Inc.</t>
  </si>
  <si>
    <t>Altamira (Common Equity)</t>
  </si>
  <si>
    <t>Altamira Technologies, LLC</t>
  </si>
  <si>
    <t>Altamira (TL)</t>
  </si>
  <si>
    <t>Altamira Technologies, LLC - Funded Revolver</t>
  </si>
  <si>
    <t>Altamira (RC)</t>
  </si>
  <si>
    <t>Altamira Technologies, LLC - Unfunded Revolver</t>
  </si>
  <si>
    <t>American Auto Auction Group, LLC</t>
  </si>
  <si>
    <t>XLerate</t>
  </si>
  <si>
    <t>American Insulated Glass (Term Loan)</t>
  </si>
  <si>
    <t>American Insulated Glass, LLC - Unfunded Term Loan</t>
  </si>
  <si>
    <t>American Insulated Glass (DDTL)</t>
  </si>
  <si>
    <t>American Teleconferencing Services, Ltd.</t>
  </si>
  <si>
    <t>Premiere Global Services (PGi) (Term Loan)</t>
  </si>
  <si>
    <t>Premiere Global Services (PGi)</t>
  </si>
  <si>
    <t>American Teleconferencing Services, Ltd. - Funded Revolver</t>
  </si>
  <si>
    <t>Premiere Global Services (PGi) (Priority Revolver)</t>
  </si>
  <si>
    <t>Amsive Holding Corporation</t>
  </si>
  <si>
    <t>Vision Integrated (TL)</t>
  </si>
  <si>
    <t>Ankura (TL)</t>
  </si>
  <si>
    <t>Any Hour Services (Term Loan)</t>
  </si>
  <si>
    <t>Any Hour Services - Unfunded Revolver</t>
  </si>
  <si>
    <t>Any Hour Services (Revolver)</t>
  </si>
  <si>
    <t>Any Hour Services - Unfunded Term Loan</t>
  </si>
  <si>
    <t>Any Hour Services (DDTL)</t>
  </si>
  <si>
    <t>Any Hour Services - Unfunded Term Loan II</t>
  </si>
  <si>
    <t>Any Hour Services (DDTL II)</t>
  </si>
  <si>
    <t>Apex Service Partners, LLC</t>
  </si>
  <si>
    <t>Apex (Term Loan)</t>
  </si>
  <si>
    <t>Apex (Incremental Term Loan)</t>
  </si>
  <si>
    <t>Apex Service Partners, LLC - Funded Revolver</t>
  </si>
  <si>
    <t>Apex (Revolver)</t>
  </si>
  <si>
    <t>Apex Service Partners, LLC - Revolver</t>
  </si>
  <si>
    <t>Apex (Term Loan C)</t>
  </si>
  <si>
    <t>Apex Service Partners, LLC - Unfunded Revolver</t>
  </si>
  <si>
    <t>Apex Service Partners, LLC - Unfunded Term Loan</t>
  </si>
  <si>
    <t>Apex (DDTL)</t>
  </si>
  <si>
    <t>Apex (DDTL II)</t>
  </si>
  <si>
    <t>Apex Service Partners, LLC - Unfunded Term Loan C</t>
  </si>
  <si>
    <t>Apex (DDTL III)</t>
  </si>
  <si>
    <t>Apex Service Partners, LLC - Unfunded Term Loan III</t>
  </si>
  <si>
    <t>API Holdings III Corp.</t>
  </si>
  <si>
    <t>API Technologies (TL)</t>
  </si>
  <si>
    <t>API Technologies Corp. - Unfunded Revolver</t>
  </si>
  <si>
    <t>API Technologies (Revolver)</t>
  </si>
  <si>
    <t>Applied Technical Services (Term Loan)</t>
  </si>
  <si>
    <t>Applied Technical Services (Common Equity)</t>
  </si>
  <si>
    <t>Applied Technical Services, LLC - Funded Revolver</t>
  </si>
  <si>
    <t>Applied Technical Services (Revolver)</t>
  </si>
  <si>
    <t>Applied Technical Services, LLC - Unfunded Revolver</t>
  </si>
  <si>
    <t>Applied Technical Services, LLC - Unfunded Term Loan</t>
  </si>
  <si>
    <t>Applied Technical Services (DDTL)</t>
  </si>
  <si>
    <t>Arcfield (Term Loan)</t>
  </si>
  <si>
    <t>Arcfield Acquisition Corp. - Unfunded Revolver</t>
  </si>
  <si>
    <t>Arcfield (Revolver)</t>
  </si>
  <si>
    <t>Ardurra (Term Loan)</t>
  </si>
  <si>
    <t>Ardurra (DDTL)</t>
  </si>
  <si>
    <t>Ardurra (Revolver)</t>
  </si>
  <si>
    <t>LJ Avalon, LP</t>
  </si>
  <si>
    <t>Ardurra (Common Equity)</t>
  </si>
  <si>
    <t>Ascensus (Term Loan)</t>
  </si>
  <si>
    <t>Ascensus (2L Term Loan)</t>
  </si>
  <si>
    <t>ASP LCG Holdings, Inc. (f/k/a Learning Care Group (US), No. 2 Inc.) (Warrants)</t>
  </si>
  <si>
    <t>Learning Care Group (Common)</t>
  </si>
  <si>
    <t>Athletico Holdings, LLC</t>
  </si>
  <si>
    <t>Athletico (Common Equity)</t>
  </si>
  <si>
    <t>Athletico</t>
  </si>
  <si>
    <t>Atlas Investment Aggregator, LLC</t>
  </si>
  <si>
    <t>Aspect Software (Equity)</t>
  </si>
  <si>
    <t>Aspect Software</t>
  </si>
  <si>
    <t>Atlas Purchaser, Inc.</t>
  </si>
  <si>
    <t>Autumn Games, LLC</t>
  </si>
  <si>
    <t>CEA (Common)</t>
  </si>
  <si>
    <t>Burgess Point Holdings, L.P.</t>
  </si>
  <si>
    <t>BBB Industries (Common Equity)</t>
  </si>
  <si>
    <t>BBB Industries (Second Lien Term Loan)</t>
  </si>
  <si>
    <t>BBB Industries (First Lien Term Loan)</t>
  </si>
  <si>
    <t>Best Practice Associates LLC</t>
  </si>
  <si>
    <t>Federal Advisory Partners (Term Loan)</t>
  </si>
  <si>
    <t>Beta+ (TL)</t>
  </si>
  <si>
    <t>BlackHawk Industrial (TL)</t>
  </si>
  <si>
    <t>Blackhawk Industrial Distribution, Inc. - Funded Revolver</t>
  </si>
  <si>
    <t>BlackHawk Industrial (Revolver)</t>
  </si>
  <si>
    <t>Blackhawk Industrial Distribution, Inc. - Unfunded Revolver</t>
  </si>
  <si>
    <t>Blackhawk Industrial Distribution, Inc. - Unfunded Term Loan</t>
  </si>
  <si>
    <t>BlackHawk Industrial (DDTL)</t>
  </si>
  <si>
    <t>Bottom Line Systems, LLC</t>
  </si>
  <si>
    <t>Broder Bros, Co.</t>
  </si>
  <si>
    <t>By Light Investco LP</t>
  </si>
  <si>
    <t>By Light (Equity)</t>
  </si>
  <si>
    <t>By Light Investco LP (Unfunded)</t>
  </si>
  <si>
    <t>By Light (Term Loan)</t>
  </si>
  <si>
    <t>By Light Professional IT Services, LLC - Funded Revolver</t>
  </si>
  <si>
    <t>By Light (Revolver)</t>
  </si>
  <si>
    <t>By Light Professional IT Services, LLC - Unfunded Revolver</t>
  </si>
  <si>
    <t>By Light Professional IT Services, LLC - Unfunded Term Loan</t>
  </si>
  <si>
    <t>By Light (DDTL)</t>
  </si>
  <si>
    <t>By Light Professional Services, LLC</t>
  </si>
  <si>
    <t>Cano Health (Term Loan)</t>
  </si>
  <si>
    <t>Cano Health, LLC</t>
  </si>
  <si>
    <t>Cardenas Markets LLC</t>
  </si>
  <si>
    <t>Cardenas</t>
  </si>
  <si>
    <t>Cardinal Logistics Holdings LLC
  (Intermediate Transportation 100, LLC)</t>
  </si>
  <si>
    <t>Greatwide (Common)</t>
  </si>
  <si>
    <t>Greatwide</t>
  </si>
  <si>
    <t>Cartessa (TL)</t>
  </si>
  <si>
    <t>Cartessa Aesthetics, LLC - Funded Revolver</t>
  </si>
  <si>
    <t>Cartessa (Revolver)</t>
  </si>
  <si>
    <t>Cartessa Aesthetics, LLC - Unfunded Revolver</t>
  </si>
  <si>
    <t>Cartessa Aesthetics, LLC (Common)</t>
  </si>
  <si>
    <t>Cartessa (Common Equity)</t>
  </si>
  <si>
    <t>Cascade Environmental Holdings LLC (13.00% PIK)</t>
  </si>
  <si>
    <t>Cascade (Senior Subordinated Notes)</t>
  </si>
  <si>
    <t>Cascade</t>
  </si>
  <si>
    <t>Cascade Environmental Holdings LLC (Preffered)</t>
  </si>
  <si>
    <t>Cascade (Preferred Equity)</t>
  </si>
  <si>
    <t>Cascade Environmental Holdings, LLC</t>
  </si>
  <si>
    <t>Cascade (Common Equity)</t>
  </si>
  <si>
    <t>Cascade Environmental Holdings, LLC (13.00% PIK)</t>
  </si>
  <si>
    <t>Cascade Environmental Holdings, LLC (Common)</t>
  </si>
  <si>
    <t>Cascade Environmental Holdings, LLC (Preferred)</t>
  </si>
  <si>
    <t>Cascade Environmental Holdings LLC (Common)</t>
  </si>
  <si>
    <t>Gen3 Marketing (Term Loan)</t>
  </si>
  <si>
    <t>CF512, Inc. - Unfunded Revolver</t>
  </si>
  <si>
    <t>Gen3 Marketing (Revolver)</t>
  </si>
  <si>
    <t>CF512, Inc. - Unfunded Term Loan</t>
  </si>
  <si>
    <t>Gen3 Marketing (DDTL)</t>
  </si>
  <si>
    <t>CHA Consulting (TL)</t>
  </si>
  <si>
    <t>CHA Holdings, Inc. - Unfunded Term Loan</t>
  </si>
  <si>
    <t>CHA Consulting (DDTL)</t>
  </si>
  <si>
    <t>Challenger Performance Optimization, Inc.</t>
  </si>
  <si>
    <t>Challenger (TL)</t>
  </si>
  <si>
    <t>Challenger Performance Optimization, Inc. - Funded Revolver</t>
  </si>
  <si>
    <t>Challenger (Rev)</t>
  </si>
  <si>
    <t>Challenger Performance Optimization, Inc. - Unfunded Revolver</t>
  </si>
  <si>
    <t>CI (Allied) Investment Holdings, LLC (PRA Events, Inc.)</t>
  </si>
  <si>
    <t>APRA (Common)</t>
  </si>
  <si>
    <t>APRA</t>
  </si>
  <si>
    <t>CI (PTN) Investment Holdings II, LLC</t>
  </si>
  <si>
    <t>PT Network (C. Eq.)</t>
  </si>
  <si>
    <t>CI (PTN) Investment Holdings II, LLC(P)</t>
  </si>
  <si>
    <t>PT Network (P. Eq.)</t>
  </si>
  <si>
    <t>CI (Summit) Investment Holdings, LLC (SFP Holding, Inc.)</t>
  </si>
  <si>
    <t>Summit Companies (Common Equity)</t>
  </si>
  <si>
    <t>Compex Legal Services, Inc.</t>
  </si>
  <si>
    <t>Compex (TL)</t>
  </si>
  <si>
    <t>Compex (Incremental TL)</t>
  </si>
  <si>
    <t>Compex Legal Services, Inc. - Funded Revolver</t>
  </si>
  <si>
    <t>Compex (Rev)</t>
  </si>
  <si>
    <t>Compex Legal Services, Inc. - Unfunded Revolver</t>
  </si>
  <si>
    <t>Compex Legal Services, Inc. - Unfunded Term Loan</t>
  </si>
  <si>
    <t>Compex (DDTL)</t>
  </si>
  <si>
    <t>Condor Borrower, LLC</t>
  </si>
  <si>
    <t>Comodo (TL)</t>
  </si>
  <si>
    <t>Condor Holdings Limited</t>
  </si>
  <si>
    <t>Comodo (P Equity 1)</t>
  </si>
  <si>
    <t>Condor Top Holdco Limited</t>
  </si>
  <si>
    <t>Comodo (P Equity 2)</t>
  </si>
  <si>
    <t>Confie Seguros Holding Co.</t>
  </si>
  <si>
    <t>Confie Seguros (TL)</t>
  </si>
  <si>
    <t>Confie Seguros</t>
  </si>
  <si>
    <t>Confluent Health (TL)</t>
  </si>
  <si>
    <t>Confluent Health (DDTL)</t>
  </si>
  <si>
    <t>Confluent Health (Incremental TL)</t>
  </si>
  <si>
    <t>Connatix (Term Loan)</t>
  </si>
  <si>
    <t>Connatix Buyer, Inc. - Funded Revolver</t>
  </si>
  <si>
    <t>Connatix (Revolver)</t>
  </si>
  <si>
    <t>Connatix Buyer, Inc. - Unfunded Revolver</t>
  </si>
  <si>
    <t>Connatix Buyer, Inc. - Unfunded Term Loan</t>
  </si>
  <si>
    <t>Connatix (DDTL)</t>
  </si>
  <si>
    <t>Connatix Parent, LLC</t>
  </si>
  <si>
    <t>Connatix (Common Equity)</t>
  </si>
  <si>
    <t>CoolSys (TL)</t>
  </si>
  <si>
    <t>CoolSys (DDTL)</t>
  </si>
  <si>
    <t>Country Fresh Holding Company Inc.</t>
  </si>
  <si>
    <t>Country Fresh (Common Equity)</t>
  </si>
  <si>
    <t>Country Fresh</t>
  </si>
  <si>
    <t>Country Fresh Holdings, LLC</t>
  </si>
  <si>
    <t>Country Fresh Holdings, LLC - First Out</t>
  </si>
  <si>
    <t>Country Fresh (Interim Bridge)</t>
  </si>
  <si>
    <t>Country Fresh Holdings, LLC - First Out - Unfunded Term Loan</t>
  </si>
  <si>
    <t>Country Fresh (Interim Bridge DDTL)</t>
  </si>
  <si>
    <t>Country Fresh Holdings, LLC - Funded Revolver</t>
  </si>
  <si>
    <t>Country Fresh (Revolver)</t>
  </si>
  <si>
    <t>Country Fresh Holdings, LLC - Super Senior Term Loan</t>
  </si>
  <si>
    <t>Country Fresh (Super Senior TL)</t>
  </si>
  <si>
    <t>Country Fresh Holdings, LLC - Unfunded Revolver</t>
  </si>
  <si>
    <t>Country Fresh Holdings, LLC (All PIK)</t>
  </si>
  <si>
    <t>Country Fresh (2L Term Loan)</t>
  </si>
  <si>
    <t>Cowboy Parent LLC (Blackhawk Industrial Distribution, Inc.)</t>
  </si>
  <si>
    <t>BlackHawk Industrial (Common Equity)</t>
  </si>
  <si>
    <t>UROLOGY PARTNERS CO., L.P.</t>
  </si>
  <si>
    <t>Solaris Health (Common Equity)</t>
  </si>
  <si>
    <t>UROLOGY MANAGEMENT HOLDINGS, INC.</t>
  </si>
  <si>
    <t>Solaris Health (Term Loan)</t>
  </si>
  <si>
    <t>Solaris Health (DDTL)</t>
  </si>
  <si>
    <t>BIODERM HOLDINGS, LP</t>
  </si>
  <si>
    <t>BioDerm (Common Equity)</t>
  </si>
  <si>
    <t>BioDerm (Term Loan)</t>
  </si>
  <si>
    <t>BioDerm (Revolver)</t>
  </si>
  <si>
    <t>MEDINA HEALTH, LLC</t>
  </si>
  <si>
    <t>Comprehensive Rehab Consultants (Term Loan)</t>
  </si>
  <si>
    <t>Comprehensive Rehab Consultants</t>
  </si>
  <si>
    <t>Comprehensive Rehab Consultants (Revolver)</t>
  </si>
  <si>
    <t>NEW MEDINA HEALTH, LLC</t>
  </si>
  <si>
    <t>Comprehensive Rehab Consultants (Common Equity)</t>
  </si>
  <si>
    <t>NORA ACQUISITION, LLC</t>
  </si>
  <si>
    <t>NORA (Term Loan)</t>
  </si>
  <si>
    <t>NORA (Revolver)</t>
  </si>
  <si>
    <t>NORA PARENT HOLDINGS, LLC</t>
  </si>
  <si>
    <t>NORA (Common Equity)</t>
  </si>
  <si>
    <t>GAUGE ETE BLOCKER LLC</t>
  </si>
  <si>
    <t>Engine &amp; Transmission Exchange (Common Equity)</t>
  </si>
  <si>
    <t>Engine &amp; Transmission Exchange (Promissory Note)</t>
  </si>
  <si>
    <t>Promissory Note</t>
  </si>
  <si>
    <t>ETE INTERMEDIATE II LLC</t>
  </si>
  <si>
    <t>Engine &amp; Transmission Exchange (Term Loan)</t>
  </si>
  <si>
    <t>Engine &amp; Transmission Exchange (Revolver)</t>
  </si>
  <si>
    <t>Crane 1 Acquisition Parent Holdings, L.P.</t>
  </si>
  <si>
    <t>Crane 1 (Common Equity)</t>
  </si>
  <si>
    <t>CRANE 1 SERVICES, INC.</t>
  </si>
  <si>
    <t>Crane 1 (Term Loan)</t>
  </si>
  <si>
    <t>Crane 1 Services, Inc. - Funded Revolver</t>
  </si>
  <si>
    <t>Crane 1 (Revolver)</t>
  </si>
  <si>
    <t>CRANE 1 SERVICES, INC. - Unfunded Revolver</t>
  </si>
  <si>
    <t>CRANE 1 SERVICES, INC. - Unfunded Term Loan</t>
  </si>
  <si>
    <t>Crane 1 (DDTL)</t>
  </si>
  <si>
    <t>AMCSI CRASH CO-INVEST, LP</t>
  </si>
  <si>
    <t>Crash Champions (Equity)</t>
  </si>
  <si>
    <t>AMCSI CRASH CO-INVEST, LP - Unfunded</t>
  </si>
  <si>
    <t>Data Axle, Inc.</t>
  </si>
  <si>
    <t>Infogroup</t>
  </si>
  <si>
    <t>Datalot Inc.</t>
  </si>
  <si>
    <t>Datalot (TL)</t>
  </si>
  <si>
    <t>Datalot Inc. - Funded Revolver</t>
  </si>
  <si>
    <t>Datalot (Revolver)</t>
  </si>
  <si>
    <t>Datalot Inc. - Unfunded Revolver</t>
  </si>
  <si>
    <t>DBI Holding, LLC - Series A-1 (All PIK)</t>
  </si>
  <si>
    <t>DBI (Preferred)</t>
  </si>
  <si>
    <t>DBI Holding, LLC - Series B</t>
  </si>
  <si>
    <t>DBI (Common)</t>
  </si>
  <si>
    <t>DBI Holding, LLC - Term Loan B (All PIK)</t>
  </si>
  <si>
    <t>DBI (Term Loan B)</t>
  </si>
  <si>
    <t>DBI Holding, LLC - Term Loan C (All PIK)</t>
  </si>
  <si>
    <t>DBI (Term Loan C)</t>
  </si>
  <si>
    <t>DecoPac Holdings Inc.</t>
  </si>
  <si>
    <t>DecoPac (Equity)</t>
  </si>
  <si>
    <t>DecoPac, Inc.</t>
  </si>
  <si>
    <t>DecoPac (Second Lien)</t>
  </si>
  <si>
    <t>Delta InvestCo LP</t>
  </si>
  <si>
    <t>Sigma Defense (Equity)</t>
  </si>
  <si>
    <t>Delta InvestCo LP - Unfunded</t>
  </si>
  <si>
    <t>Delta InvestCo LP (Sigma Defense Systems, LLC)</t>
  </si>
  <si>
    <t>Delta InvestCo LP (Sigma Defense Systems, LLC) - Unfunded</t>
  </si>
  <si>
    <t>DermaRite Industries LLC</t>
  </si>
  <si>
    <t>DermaRite</t>
  </si>
  <si>
    <t>Convergint (TL)</t>
  </si>
  <si>
    <t>Douglas Products and Packaging Company LLC</t>
  </si>
  <si>
    <t>Douglas (Term Loan)</t>
  </si>
  <si>
    <t>Douglas Products and Packaging Company LLC - Funded Revolver</t>
  </si>
  <si>
    <t>Douglas (Revolver)</t>
  </si>
  <si>
    <t>Douglas Products and Packaging Company LLC - Unfunded Revolver</t>
  </si>
  <si>
    <t>Douglas Products and Packaging Company LLC(1st)</t>
  </si>
  <si>
    <t>Douglas Sewer Intermediate, LLC</t>
  </si>
  <si>
    <t xml:space="preserve">Douglas Sewer Intermediate, LLC </t>
  </si>
  <si>
    <t>Douglas Sewer Intermediate, LLC - Unfunded Term Loan</t>
  </si>
  <si>
    <t>Dr. Squatch (Term Loan)</t>
  </si>
  <si>
    <t>Dr. Squatch, LLC - Funded Revolver</t>
  </si>
  <si>
    <t>Dr. Squatch (Revolver)</t>
  </si>
  <si>
    <t>Dr. Squatch, LLC - Revolver</t>
  </si>
  <si>
    <t>Dr. Squatch, LLC - Term Loan</t>
  </si>
  <si>
    <t>Dr. Squatch, LLC - Unfunded Revolver</t>
  </si>
  <si>
    <t>Dr. Squatch, LLC - Unfunded Term Loan</t>
  </si>
  <si>
    <t>Dr. Squatch (DDTL)</t>
  </si>
  <si>
    <t>DRS Holdings III</t>
  </si>
  <si>
    <t>Dr. Scholl's (Term Loan)</t>
  </si>
  <si>
    <t>DRS Holdings III, Inc. - Funded Revolver</t>
  </si>
  <si>
    <t>Dr. Scholl's (Revolver)</t>
  </si>
  <si>
    <t>DRS Holdings III, Inc. - Unfunded Revolver</t>
  </si>
  <si>
    <t>Duraco (Term Loan)</t>
  </si>
  <si>
    <t>Duraco Specialty Tapes LLC - Unfunded Term Loan</t>
  </si>
  <si>
    <t>Duraco (DDTL)</t>
  </si>
  <si>
    <t>East Valley Tourist Development Authority</t>
  </si>
  <si>
    <t>ECL Entertainment (Term Loan)</t>
  </si>
  <si>
    <t>ECM Industries (TL)</t>
  </si>
  <si>
    <t>ECM Industries, LLC - Funded Revolver</t>
  </si>
  <si>
    <t>ECM Industries (RC)</t>
  </si>
  <si>
    <t>ECM Industries, LLC - Unfunded Revolver</t>
  </si>
  <si>
    <t>ECM Investors, LLC</t>
  </si>
  <si>
    <t>ECM Industries (Common Equity)</t>
  </si>
  <si>
    <t>ECM Investors, LLC (Common)</t>
  </si>
  <si>
    <t>eCommission (Term Loan)</t>
  </si>
  <si>
    <t>eCommission Financial Services, Inc. - Funded Revolver</t>
  </si>
  <si>
    <t>eCommission (Revolver)</t>
  </si>
  <si>
    <t>eCommission Financial Services, Inc. - Unfunded Revolver</t>
  </si>
  <si>
    <t>eCommission Holding Corporation</t>
  </si>
  <si>
    <t>eCommission (Equity)</t>
  </si>
  <si>
    <t>eCommission Holdings Corporation</t>
  </si>
  <si>
    <t>Education Networks of America, Inc.</t>
  </si>
  <si>
    <t>Education Networks (TL)</t>
  </si>
  <si>
    <t>Education Networks of America, Inc. - Funded Revolver</t>
  </si>
  <si>
    <t>Education Networks (Revolver)</t>
  </si>
  <si>
    <t>Education Networks of America, Inc. - Unfunded Revolver</t>
  </si>
  <si>
    <t>Education Networks of America, Inc. (2.50% PIK)</t>
  </si>
  <si>
    <t>Efficient Collaborative Retail Marketing Company, LLC</t>
  </si>
  <si>
    <t>Electro Rent (1L)</t>
  </si>
  <si>
    <t>Empire Resorts, Inc.</t>
  </si>
  <si>
    <t>ENC Parent Corporation</t>
  </si>
  <si>
    <t>Evans Network (2L)</t>
  </si>
  <si>
    <t>Evans Network</t>
  </si>
  <si>
    <t>ETX Energy Management Company, LLC (f/k/a NGR Management Company, LLC)</t>
  </si>
  <si>
    <t>New Gulf Resources (Common)</t>
  </si>
  <si>
    <t>New Gulf Resources</t>
  </si>
  <si>
    <t>ETX Energy, LLC</t>
  </si>
  <si>
    <t>New Gulf Resources (Preferred)</t>
  </si>
  <si>
    <t>ETX Energy, LLC (f/k/a New Gulf Resources, LLC)</t>
  </si>
  <si>
    <t>Exigo (Term Loan)</t>
  </si>
  <si>
    <t>Exigo Intermediate II, LLC - Funded Revolver</t>
  </si>
  <si>
    <t>Exigo (Revolver)</t>
  </si>
  <si>
    <t>Exigo Intermediate II, LLC - Unfunded Revolver</t>
  </si>
  <si>
    <t>Exigo Intermediate II, LLC - Unfunded Term Loan</t>
  </si>
  <si>
    <t>Exigo (DDTL)</t>
  </si>
  <si>
    <t>Exigo, LLC</t>
  </si>
  <si>
    <t>Exigo (Common Equity)</t>
  </si>
  <si>
    <t>Exigo LLC - Equity</t>
  </si>
  <si>
    <t>Fairbanks Morse Defense (Term Loan)</t>
  </si>
  <si>
    <t>Falcon Investment Holdings, L.P.</t>
  </si>
  <si>
    <t>nThrive (Senior Common Equity)</t>
  </si>
  <si>
    <t>nThrive</t>
  </si>
  <si>
    <t>Falcon Investment Holdings, L.P. - Funded Senior Common Equity</t>
  </si>
  <si>
    <t>Falcon Investment Holdings, L.P. - Unfunded</t>
  </si>
  <si>
    <t>nThrive (Senior Common Equity - Unfunded)</t>
  </si>
  <si>
    <t>Falcon Investment Holdings, L.P. - Unfunded Senior Common Equity</t>
  </si>
  <si>
    <t>FedHC InvestCo II LP</t>
  </si>
  <si>
    <t>Federal Advisory Partners (Common Equity)</t>
  </si>
  <si>
    <t>FedHC InvestCo LP</t>
  </si>
  <si>
    <t>FedHC InvestCo LP - Unfunded</t>
  </si>
  <si>
    <t>Best Practice Associates, LLC</t>
  </si>
  <si>
    <t>Findex Group Limited</t>
  </si>
  <si>
    <t>Findex (TL)</t>
  </si>
  <si>
    <t>Findex</t>
  </si>
  <si>
    <t>FlexPrint, LLC</t>
  </si>
  <si>
    <t>FlexPrint (Term Loan)</t>
  </si>
  <si>
    <t>FlexPrint, LLC - DDTL</t>
  </si>
  <si>
    <t>FlexPrint (DDTL)</t>
  </si>
  <si>
    <t>FlexPrint, LLC - Unfunded Term Loan</t>
  </si>
  <si>
    <t>Flock Financial, LLC</t>
  </si>
  <si>
    <t>Flock Financial (Mezzanine)</t>
  </si>
  <si>
    <t>Flock Financial</t>
  </si>
  <si>
    <t>GCOM (Term Loan)</t>
  </si>
  <si>
    <t>Gantech Acquisition Corp. - Funded Revolver</t>
  </si>
  <si>
    <t>GCOM (Revolver)</t>
  </si>
  <si>
    <t>Gantech Acquisition Corp. - Unfunded Revolver</t>
  </si>
  <si>
    <t>Gauge Infosoft Coinvest LLC</t>
  </si>
  <si>
    <t>Infosoft (Common Equity)</t>
  </si>
  <si>
    <t>Gauge InfosoftCoInvest, LLC (The Infosoft Group, LLC)</t>
  </si>
  <si>
    <t>Gauge Lash Coinvest LLC</t>
  </si>
  <si>
    <t>Lilly Lashes (Equity)</t>
  </si>
  <si>
    <t>Gauge Schlesinger Coinvest LLC</t>
  </si>
  <si>
    <t>Schlesinger (Equity)</t>
  </si>
  <si>
    <t>Gauge TVC Coinvest, LLC (TVC Enterprises, LLC)</t>
  </si>
  <si>
    <t>TVC (Equity)</t>
  </si>
  <si>
    <t>GCOM InvestCo LP</t>
  </si>
  <si>
    <t>GCOM (Common Equity)</t>
  </si>
  <si>
    <t>GCOM InvestCo LP (Unfunded)</t>
  </si>
  <si>
    <t>GCOM Software LLC</t>
  </si>
  <si>
    <t xml:space="preserve">GCOM Software LLC </t>
  </si>
  <si>
    <t>GCOM Software LLC - Funded Revolver</t>
  </si>
  <si>
    <t>GCOM Software LLC - Unfunded Revolver</t>
  </si>
  <si>
    <t>Gen3 Marketing, LLC - Unfunded Revolver</t>
  </si>
  <si>
    <t>Gen3 Marketing, LLC - Unfunded Term Loan</t>
  </si>
  <si>
    <t>Global (Term Loan)</t>
  </si>
  <si>
    <t>Go Dawgs Capital III, LP (American Insulated Glass, LLC)</t>
  </si>
  <si>
    <t>American Insulated Glass (Common Equity)</t>
  </si>
  <si>
    <t>Good2Grow LLC</t>
  </si>
  <si>
    <t>Good2Grow (Term Loan)</t>
  </si>
  <si>
    <t>Good2Grow</t>
  </si>
  <si>
    <t>Good2Grow LLC - Funded Revolver</t>
  </si>
  <si>
    <t>Good2Grow (Revolver)</t>
  </si>
  <si>
    <t>Good2Grow LLC - Unfunded Revolver</t>
  </si>
  <si>
    <t>Good2Grow LLC - Unfunded Revolver - LC</t>
  </si>
  <si>
    <t>GRAFFITI BUYER, INC.</t>
  </si>
  <si>
    <t>Painters Supply and Equipment (Term Loan)</t>
  </si>
  <si>
    <t>Graffiti Buyer, Inc. - Funded Revolver</t>
  </si>
  <si>
    <t>Painters Supply and Equipment (Revolver)</t>
  </si>
  <si>
    <t>GRAFFITI BUYER, INC. - Unfunded Revolver</t>
  </si>
  <si>
    <t>GRAFFITI BUYER, INC. - Unfunded Term Loan</t>
  </si>
  <si>
    <t>Painters Supply and Equipment (DDTL)</t>
  </si>
  <si>
    <t>Green Veracity Holdings, LP - Class A (VT Topco, Inc.)</t>
  </si>
  <si>
    <t>Veritext (Equity)</t>
  </si>
  <si>
    <t>Veritext</t>
  </si>
  <si>
    <t>Halo Buyer, Inc.</t>
  </si>
  <si>
    <t>HALO</t>
  </si>
  <si>
    <t>Hancock Claims Consultants Investors, LLC</t>
  </si>
  <si>
    <t>Hancock (Common Equity)</t>
  </si>
  <si>
    <t>Hancock (Term Loan)</t>
  </si>
  <si>
    <t>Hancock Roofing and Construction L.L.C. - Common Equity</t>
  </si>
  <si>
    <t>Hancock Roofing and Construction L.L.C. - DDTL</t>
  </si>
  <si>
    <t>Hancock (DDTL)</t>
  </si>
  <si>
    <t>Hancock Roofing and Construction L.L.C. - Funded Revolver</t>
  </si>
  <si>
    <t>Hancock (Revolver)</t>
  </si>
  <si>
    <t>Hancock Roofing and Construction L.L.C. - Term Loan</t>
  </si>
  <si>
    <t>Hancock Roofing and Construction L.L.C. - Unfunded Revolver</t>
  </si>
  <si>
    <t>Hancock Roofing and Construction L.L.C. - Unfunded Term Loan</t>
  </si>
  <si>
    <t>Smartronix / Trident (TL)</t>
  </si>
  <si>
    <t>HoldCo Sands Intermediate, LLC  A/K/A Smartronix (New Issue)</t>
  </si>
  <si>
    <t>Holdco Sands Intermediate, LLC - Unfunded Revolver</t>
  </si>
  <si>
    <t>Smartronix / Trident (Revolver)</t>
  </si>
  <si>
    <t>Hollander Sleep Products, LLC</t>
  </si>
  <si>
    <t>Hollander</t>
  </si>
  <si>
    <t>Hollander Sleep Products, LLC - DIP Funded</t>
  </si>
  <si>
    <t>Hollander (DIP Term Loan)</t>
  </si>
  <si>
    <t>Hollander Sleep Products, LLC - DIP Unfunded</t>
  </si>
  <si>
    <t>Sparq - Revolver</t>
  </si>
  <si>
    <t>HPA SPQ Buyer, Inc. - Revolver</t>
  </si>
  <si>
    <t>Sparq (Revolver)</t>
  </si>
  <si>
    <t>Sparq - DDTL</t>
  </si>
  <si>
    <t>HPA SPQ Buyer, Inc. - DDTL</t>
  </si>
  <si>
    <t>Sparq (DDTL)</t>
  </si>
  <si>
    <t>Sparq - Term Loan</t>
  </si>
  <si>
    <t>HPA SPQ Buyer, Inc. - Term Loan</t>
  </si>
  <si>
    <t>Sparq (TL)</t>
  </si>
  <si>
    <t>Sparq - Equity</t>
  </si>
  <si>
    <t>HPA SPQ Aggregator, LP - Equity</t>
  </si>
  <si>
    <t>Sparq (Common Equity)</t>
  </si>
  <si>
    <t>Watterson (TL)</t>
  </si>
  <si>
    <t>Frist Lien</t>
  </si>
  <si>
    <t>HV Watterson Parent, LLC</t>
  </si>
  <si>
    <t>Watterson (Equity)</t>
  </si>
  <si>
    <t>HV Watterson Holdings, LLC - Unfunded Revolver</t>
  </si>
  <si>
    <t>Watterson (Revolver)</t>
  </si>
  <si>
    <t>HV Watterson Holdings, LLC - Unfunded Term Loan</t>
  </si>
  <si>
    <t>Watterson (DDTL)</t>
  </si>
  <si>
    <t>HV Watterson Holdings, LLC (Common)</t>
  </si>
  <si>
    <t>Hanley Wood (TL)</t>
  </si>
  <si>
    <t>HW Holdco, LLC - DDTL</t>
  </si>
  <si>
    <t>Hanley Wood (DDTL)</t>
  </si>
  <si>
    <t>HW Holdco, LLC - Funded Revolver</t>
  </si>
  <si>
    <t>Hanley Wood (Revolver)</t>
  </si>
  <si>
    <t>HW Holdco, LLC - Unfunded Revolver</t>
  </si>
  <si>
    <t>HW Holdco, LLC - Unfunded Term Loan</t>
  </si>
  <si>
    <t xml:space="preserve">HW Holdco, LLC(C) </t>
  </si>
  <si>
    <t xml:space="preserve">HW Holdco, LLC(P) </t>
  </si>
  <si>
    <t>HW Holdco, LLC.</t>
  </si>
  <si>
    <t>Icon Partners III, LP</t>
  </si>
  <si>
    <t>Wheel Pros (1L)</t>
  </si>
  <si>
    <t>Icon Partners III, LP - Term Loan</t>
  </si>
  <si>
    <t>Icon Partners III, LP (Wheel Pros Holdings, L.P.)</t>
  </si>
  <si>
    <t>Wheel Pros (Equity)</t>
  </si>
  <si>
    <t>Icon Partners III, LP (Wheel Pros Holdings, L.P.) - Unfunded</t>
  </si>
  <si>
    <t>Icon Partners V C, L.P.</t>
  </si>
  <si>
    <t>Symplr (Common Equity)</t>
  </si>
  <si>
    <t>Symplr</t>
  </si>
  <si>
    <t>Icon Partners V, L.P. - Funded Common Equity</t>
  </si>
  <si>
    <t>Icon Partners V, L.P. - Unfunded Common Equity</t>
  </si>
  <si>
    <t>Symplr (Common Equity - Unfunded)</t>
  </si>
  <si>
    <t>Icon Partners V C, L.P. - Unfunded</t>
  </si>
  <si>
    <t>Symplr Software, Inc.</t>
  </si>
  <si>
    <t>Symplr (TL)</t>
  </si>
  <si>
    <t>IDC Infusion Services (Term Loan)</t>
  </si>
  <si>
    <t>IDC Infusion Services, Inc. - Funded Revolver</t>
  </si>
  <si>
    <t>IDC Infusion Services (Revolver)</t>
  </si>
  <si>
    <t>IDC Infusion Services, Inc. - Unfunded Revolver</t>
  </si>
  <si>
    <t>IDC Infusion Services, Inc. - Unfunded Term Loan</t>
  </si>
  <si>
    <t>IDC Infusion Services (DDTL)</t>
  </si>
  <si>
    <t>iEnergizer Limited and Aptara, Inc.</t>
  </si>
  <si>
    <t>iEnergizer</t>
  </si>
  <si>
    <t>Insight Global (TL)</t>
  </si>
  <si>
    <t>IG Investments Holdings, LLC - Funded Revolver</t>
  </si>
  <si>
    <t>Insight Global (Rev)</t>
  </si>
  <si>
    <t>IG Investments Holdings, LLC - Unfunded Revolver</t>
  </si>
  <si>
    <t>IIN Group Holdings, LLC (Integrative Nutrition, LLC)</t>
  </si>
  <si>
    <t>Integrative Nutrition (Equity)</t>
  </si>
  <si>
    <t>ImagineAcquisitionCo (Term Loan)</t>
  </si>
  <si>
    <t>Imagine Acquisitionco, LLC - Unfunded Revolver</t>
  </si>
  <si>
    <t>ImagineAcquisitionCo (Revolver)</t>
  </si>
  <si>
    <t>Imagine Acquisitionco, LLC - Unfunded Term Loan</t>
  </si>
  <si>
    <t>ImagineAcquisitionCo (DDTL)</t>
  </si>
  <si>
    <t>Imagine Topco, LP (Common)</t>
  </si>
  <si>
    <t>Imagine Topco. L.P. (Common Equity - Series B)</t>
  </si>
  <si>
    <t>Imagine Topco, LP (Preferred)</t>
  </si>
  <si>
    <t>Imagine Topco. L.P. (Preferred Equity - Series A)</t>
  </si>
  <si>
    <t>Imagine Topco. L.P. - Preferred Equity</t>
  </si>
  <si>
    <t>Imagine Topco. L.P. - Common Equity</t>
  </si>
  <si>
    <t>IMIA (Term Loan)</t>
  </si>
  <si>
    <t>IMIA Holdings, Inc. - Funded Revolver</t>
  </si>
  <si>
    <t>IMIA (Revolver)</t>
  </si>
  <si>
    <t>IMIA Holdings, Inc. - Term Loan</t>
  </si>
  <si>
    <t>IMIA Holdings, Inc. - Unfunded Revolver</t>
  </si>
  <si>
    <t>IMIA Holdings, Inc. - Unfunded Revolver - LC</t>
  </si>
  <si>
    <t>Prelude (Term Loan)</t>
  </si>
  <si>
    <t>Inception Fertility Ventures, LLC - Unfunded DDTL</t>
  </si>
  <si>
    <t>Prelude (DDTL)</t>
  </si>
  <si>
    <t>Inception Fertility Ventures, LLC - Unfunded Term Loan</t>
  </si>
  <si>
    <t>Infinity Home Services (Term Loan)</t>
  </si>
  <si>
    <t>Infinity Home Services Holdco, Inc. - Delayed Draw Term Loan</t>
  </si>
  <si>
    <t>Infinity Home Services (DDTL)</t>
  </si>
  <si>
    <t>Infinity Home Services Holdco, Inc. - Revolver</t>
  </si>
  <si>
    <t>Infinity Home Services (Revolver)</t>
  </si>
  <si>
    <t>IHS Parent Holdings, L.P.</t>
  </si>
  <si>
    <t>Infinity Home Services (Common Equity)</t>
  </si>
  <si>
    <t>Infogroup Parent Holdings, Inc.</t>
  </si>
  <si>
    <t>Infogroup (C Equity)</t>
  </si>
  <si>
    <t>Infogroup Parent Holdings, Inc. (Data Axle, Inc.)</t>
  </si>
  <si>
    <t>Infogroup, Inc.</t>
  </si>
  <si>
    <t>Infolinks (TL)</t>
  </si>
  <si>
    <t>Infolinks Media Buyco, LLC- Unfunded Term Loan</t>
  </si>
  <si>
    <t>Infolinks (DDTL)</t>
  </si>
  <si>
    <t>Infolinks (Common Equity)</t>
  </si>
  <si>
    <t>Innova Medical Ophthalmics Inc.</t>
  </si>
  <si>
    <t>Innova Medical Ophthalmics Inc. (TL)</t>
  </si>
  <si>
    <t>Innova Medical Ophthalmics Inc. - Funded Revolver</t>
  </si>
  <si>
    <t>Innova Medical Ophthalmics Inc. (Rev)</t>
  </si>
  <si>
    <t>Innova Medical Ophthalmics Inc. - Unfunded Revolver</t>
  </si>
  <si>
    <t>Integrative Nutrition 
(Term Loan)</t>
  </si>
  <si>
    <t>Integrative Nutrition, LLC - Funded Revolver</t>
  </si>
  <si>
    <t>Integrative Nutrition (Revolver)</t>
  </si>
  <si>
    <t>Integrative Nutrition, LLC - Unfunded Revolver</t>
  </si>
  <si>
    <t>Integrity Marketing (TL)</t>
  </si>
  <si>
    <t>Integrity Marketing Acquisition, LLC  - Preferred Equity</t>
  </si>
  <si>
    <t>Integrity Marketing (Preferred Equity)</t>
  </si>
  <si>
    <t>Integrity Marketing Acquisition, LLC  - Unfunded Term Loan</t>
  </si>
  <si>
    <t>Integrity Marketing (DDTL)</t>
  </si>
  <si>
    <t>Integrity Marketing Acquisition, LLC - Unfunded Term Loan</t>
  </si>
  <si>
    <t>Integrity Marketing Group, LLC (Preferred)</t>
  </si>
  <si>
    <t>Intermediate Transportation 100, LLC (ALL PIK)</t>
  </si>
  <si>
    <t>Greatwide (2L)</t>
  </si>
  <si>
    <t>Inventus Power Inc.</t>
  </si>
  <si>
    <t>Inventus (2L)</t>
  </si>
  <si>
    <t xml:space="preserve">Inventus Power, Inc. </t>
  </si>
  <si>
    <t>Inventus (Revolver)</t>
  </si>
  <si>
    <t>Inventus (TL)</t>
  </si>
  <si>
    <t>Ironclad Holdco, LLC</t>
  </si>
  <si>
    <t>Ironclad Holdco, LLC (Applied Technical Services, LLC)</t>
  </si>
  <si>
    <t>ITC INFUSION CO-INVEST, LP</t>
  </si>
  <si>
    <t>IDC Infusion Services (Common Equity)</t>
  </si>
  <si>
    <t>ITC Rumba, LLC - Unfunded (Cano Health, LLC)</t>
  </si>
  <si>
    <t>Cano Health (Equity)</t>
  </si>
  <si>
    <t>ITC Rumba, LLC (Cano Health, LLC)</t>
  </si>
  <si>
    <t>ITC Rumba, LLC (Cano Health, LLC) - Unfunded</t>
  </si>
  <si>
    <t>Intellectual Technology, Inc. (TL)</t>
  </si>
  <si>
    <t>ITI Holdings, Inc. - Unfunded Revolver</t>
  </si>
  <si>
    <t>Intellectual Technology, Inc. (Rev)</t>
  </si>
  <si>
    <t>Juniper Landscaping of Florida, LLC</t>
  </si>
  <si>
    <t>Juniper (Term Loan)</t>
  </si>
  <si>
    <t>JWC/UMA Holdings, L.P.</t>
  </si>
  <si>
    <t>New Jersey Urology (Common)</t>
  </si>
  <si>
    <t>JWC-WE Holdings, L.P. (Walker Edison Furniture Company LLC)</t>
  </si>
  <si>
    <t>Walker Edison (Common)</t>
  </si>
  <si>
    <t>K2 (Term Loan)</t>
  </si>
  <si>
    <t>K2 Pure Solutions NoCal, L.P. - Funded Revolver</t>
  </si>
  <si>
    <t>K2 (Revolver)</t>
  </si>
  <si>
    <t>K2 Pure Solutions NoCal, L.P. - Unfunded Revolver</t>
  </si>
  <si>
    <t>Kadmon Holdings, Inc.</t>
  </si>
  <si>
    <t>Kadmon/Three Rivers (Common)</t>
  </si>
  <si>
    <t>Kadmon/Three Rivers</t>
  </si>
  <si>
    <t>Kentucky Downs, LLC</t>
  </si>
  <si>
    <t>Kentucky Downs (Term Loan)</t>
  </si>
  <si>
    <t>Kentucky Downs, LLC - DDTL A</t>
  </si>
  <si>
    <t>Kentucky Downs (DDTL A)</t>
  </si>
  <si>
    <t>Kentucky Downs, LLC - DDTL B</t>
  </si>
  <si>
    <t>Kentucky Downs (DDTL B)</t>
  </si>
  <si>
    <t>Kentucky Downs, LLC - Delayed Draw Term Loan A</t>
  </si>
  <si>
    <t>Kentucky Downs, LLC - Delayed Draw Term Loan B</t>
  </si>
  <si>
    <t>Kentucky Racing Holdco, LLC</t>
  </si>
  <si>
    <t>Kentucky Downs (Warrants)</t>
  </si>
  <si>
    <t>Kentucky Racing Holdco, LLC (Warrants)</t>
  </si>
  <si>
    <t>KHC Holdings, Inc.</t>
  </si>
  <si>
    <t>Kele (Term Loan)</t>
  </si>
  <si>
    <t>KHC Holdings, Inc. - Funded Revolver</t>
  </si>
  <si>
    <t>Kele (Revolver)</t>
  </si>
  <si>
    <t>KHC Holdings, Inc. - Unfunded Revolver</t>
  </si>
  <si>
    <t>KNS (Term Loan)</t>
  </si>
  <si>
    <t>Kinetic Purchaser, LLC - Funded Revolver</t>
  </si>
  <si>
    <t>KNS (Revolver)</t>
  </si>
  <si>
    <t>Kinetic Purchaser, LLC - Unfunded Revolver</t>
  </si>
  <si>
    <t>Kinetic Purchaser, LLC (Common)</t>
  </si>
  <si>
    <t>KNS (Equity)</t>
  </si>
  <si>
    <t>KL Stockton Co-Invest LP - Equity</t>
  </si>
  <si>
    <t>Any Hour Services (Common Equity)</t>
  </si>
  <si>
    <t>KL Stockton Co-Invest LP (Any Hour Services)</t>
  </si>
  <si>
    <t>LaMi Acquisition, LLC</t>
  </si>
  <si>
    <t>LaMi (Common)</t>
  </si>
  <si>
    <t>LaMi</t>
  </si>
  <si>
    <t>Lariat ecoserv Co-Invest Holdings, LLC</t>
  </si>
  <si>
    <t>OCS / NES (Common)</t>
  </si>
  <si>
    <t>OCS / NES</t>
  </si>
  <si>
    <t>Lash Opco, LLC</t>
  </si>
  <si>
    <t>Lilly Lashes (TL)</t>
  </si>
  <si>
    <t>Lash Opco, LLC - Funded Revolver</t>
  </si>
  <si>
    <t>Lilly Lashes (Revolver)</t>
  </si>
  <si>
    <t>Lash Opco, LLC - Term Loan</t>
  </si>
  <si>
    <t>Lash Opco, LLC - Unfunded Revolver</t>
  </si>
  <si>
    <t>4Wall Entertainment (Term Loan)</t>
  </si>
  <si>
    <t>LAV Gear Holdings, Inc. - Funded Revolver</t>
  </si>
  <si>
    <t>4Wall Entertainment (Revolver)</t>
  </si>
  <si>
    <t>LAV Gear Holdings, Inc. - Unfunded Revolver</t>
  </si>
  <si>
    <t>LAV Gear Holdings, Inc. - Unfunded Term Loan</t>
  </si>
  <si>
    <t>4Wall Entertainment (DDTL)</t>
  </si>
  <si>
    <t>Leap Legal Software Pty Ltd</t>
  </si>
  <si>
    <t>LEAP</t>
  </si>
  <si>
    <t>Ledge Lounger (Term Loan)</t>
  </si>
  <si>
    <t>Ledge Lounger, Inc. - Funded Revolver</t>
  </si>
  <si>
    <t>Ledge Lounger (Revolver)</t>
  </si>
  <si>
    <t>Ledge Lounger, Inc. - Unfunded Revolver</t>
  </si>
  <si>
    <t>SP L2 Holdings LLC - Equity</t>
  </si>
  <si>
    <t>Ledge Lounger (Equity)</t>
  </si>
  <si>
    <t>LifeCare Holdings LLC (6.00% PIK)</t>
  </si>
  <si>
    <t>LifeCare</t>
  </si>
  <si>
    <t>Centauri Health (TL)</t>
  </si>
  <si>
    <t>Lightspeed Buyer Inc. - Funded Revolver</t>
  </si>
  <si>
    <t>Centauri Health (Revolver)</t>
  </si>
  <si>
    <t>Lightspeed Buyer Inc. - Unfunded Revolver</t>
  </si>
  <si>
    <t>Lightspeed Buyer Inc. - Unfunded Term Loan</t>
  </si>
  <si>
    <t>Centauri Health (DDTL)</t>
  </si>
  <si>
    <t>Lightspeed Investment Holdco LLC</t>
  </si>
  <si>
    <t>Centauri Health (Equity)</t>
  </si>
  <si>
    <t>Liqui-Box Holdings Inc.</t>
  </si>
  <si>
    <t>Liqui-Box</t>
  </si>
  <si>
    <t>Lombart Brothers, Inc.</t>
  </si>
  <si>
    <t>Lombart Instrument (TL)</t>
  </si>
  <si>
    <t>Lombart Instrument</t>
  </si>
  <si>
    <t>Lombart Brothers, Inc. - Funded Revolver</t>
  </si>
  <si>
    <t>Lombart Instrument (Rev)</t>
  </si>
  <si>
    <t>Lombart Brothers, Inc. - Unfunded Revolver</t>
  </si>
  <si>
    <t>Long Island Vision Management, LLC</t>
  </si>
  <si>
    <t>SightMD (TL)</t>
  </si>
  <si>
    <t>SightMD</t>
  </si>
  <si>
    <t>Long Island Vision Management, LLC - Unfunded Term Loan</t>
  </si>
  <si>
    <t>SightMD (DDTL)</t>
  </si>
  <si>
    <t>Long's Drugs Incorporated</t>
  </si>
  <si>
    <t>Long's Drugs</t>
  </si>
  <si>
    <t>Long's Drugs Incorporated - Unfunded Revolver</t>
  </si>
  <si>
    <t>Long's Drugs (Revolver)</t>
  </si>
  <si>
    <t>Z Wireless</t>
  </si>
  <si>
    <t>Victra (TL)</t>
  </si>
  <si>
    <t>Lucky Bucks (TL)</t>
  </si>
  <si>
    <t>MAG Aerospace (TL)</t>
  </si>
  <si>
    <t>McAfee (First Lien)</t>
  </si>
  <si>
    <t>MailSouth Inc.</t>
  </si>
  <si>
    <t>MailSouth (2L)</t>
  </si>
  <si>
    <t>Mailsouth</t>
  </si>
  <si>
    <t>MailSouth, Inc. (ALL PIK)</t>
  </si>
  <si>
    <t>MailSouth, Inc.</t>
  </si>
  <si>
    <t>Management Consulting &amp; Research, LLC</t>
  </si>
  <si>
    <t>MCR (Term Loan)</t>
  </si>
  <si>
    <t>Management Consulting &amp; Research, LLC - Unfunded Revolver</t>
  </si>
  <si>
    <t>MCR (Revolver)</t>
  </si>
  <si>
    <t>Manna Pro Products, LLC</t>
  </si>
  <si>
    <t>Manna Pro (TL)</t>
  </si>
  <si>
    <t>Manna Pro</t>
  </si>
  <si>
    <t>Manna Pro Products, LLC - DDTL</t>
  </si>
  <si>
    <t>Manna Pro (DDTL)</t>
  </si>
  <si>
    <t>Marketplace Events LLC</t>
  </si>
  <si>
    <t>Marketplace Events (CAD Term Loan)</t>
  </si>
  <si>
    <t>Marketplace Events LLC - Funded Revolver</t>
  </si>
  <si>
    <t>Marketplace Events (Revolver)</t>
  </si>
  <si>
    <t>Marketplace Events LLC - New DDTL</t>
  </si>
  <si>
    <t>Marketplace Events (DDTL)</t>
  </si>
  <si>
    <t>Marketplace Events LLC - Super Priority First Lien</t>
  </si>
  <si>
    <t>Marketplace Events (USD Term Loan)</t>
  </si>
  <si>
    <t>Marketplace Events LLC - Super Priority First Lien - DDTL</t>
  </si>
  <si>
    <t>Marketplace Events LLC - Unfunded Revolver</t>
  </si>
  <si>
    <t>Marketplace Events LLC (USD)</t>
  </si>
  <si>
    <t>Marketplace Events, LLC</t>
  </si>
  <si>
    <t>Marketplace Events, LLC - Super Priority First Lien Term Loan</t>
  </si>
  <si>
    <t>Marketplace Events, LLC - Super Priority First Lien Unfunded Term Loan</t>
  </si>
  <si>
    <t>Mars Agency (Term Loan)</t>
  </si>
  <si>
    <t>Mars Acquisition Holdings Corp. - Unfunded Revolver</t>
  </si>
  <si>
    <t>Mars Agency (Revolver)</t>
  </si>
  <si>
    <t>Mars Intermediate Holdings II, Inc. (Common)</t>
  </si>
  <si>
    <t>Mars Agency (Common Equity)</t>
  </si>
  <si>
    <t>Mars Intermediate Holdings II, Inc. (Preferred)</t>
  </si>
  <si>
    <t>Mars Agency (Preferred Equity)</t>
  </si>
  <si>
    <t>Momentum (Term Loan)</t>
  </si>
  <si>
    <t>MBS Holdings, Inc. - Unfunded Revolver</t>
  </si>
  <si>
    <t>Momentum (Revolver)</t>
  </si>
  <si>
    <t>McAfee, LLC (First Lien)</t>
  </si>
  <si>
    <t>MDI Aggregator LP</t>
  </si>
  <si>
    <t>MDI (Equity)</t>
  </si>
  <si>
    <t>MDI Buyer, Inc</t>
  </si>
  <si>
    <t>MDI (TLB)</t>
  </si>
  <si>
    <t>MDI (DDTLB)</t>
  </si>
  <si>
    <t>MDI (TL)</t>
  </si>
  <si>
    <t>MDI (DDTL)</t>
  </si>
  <si>
    <t>MDI (Revolver)</t>
  </si>
  <si>
    <t>Meadowlark (Term Loan)</t>
  </si>
  <si>
    <t>Meadowlark Acquirer, LLC - Unfunded Revolver</t>
  </si>
  <si>
    <t>Meadowlark (Revolver)</t>
  </si>
  <si>
    <t>Meadowlark Acquirer, LLC - Unfunded Term Loan I</t>
  </si>
  <si>
    <t>Meadowlark (DDTL I)</t>
  </si>
  <si>
    <t>Meadowlark Acquirer, LLC - Unfunded Term Loan II</t>
  </si>
  <si>
    <t>Meadowlark (DDTL II)</t>
  </si>
  <si>
    <t>Meadowlark Title, LLC</t>
  </si>
  <si>
    <t>Meadowlark (Common Equity)</t>
  </si>
  <si>
    <t>Meadowlark Title, LLC - Equity</t>
  </si>
  <si>
    <t>MedAssets Software Intermediate Holdings, Inc.</t>
  </si>
  <si>
    <t>nThrive (Term Loan)</t>
  </si>
  <si>
    <t>MedAssets Software Preferred Intermediate Holdings, Inc.</t>
  </si>
  <si>
    <t>nThrive (Preferred Equity)</t>
  </si>
  <si>
    <t>MedAssets Software Preferred Intermediate Holdings, Inc. (Preferred)</t>
  </si>
  <si>
    <t>MeritDirect Holdings, LP (C)</t>
  </si>
  <si>
    <t>MeritDirect (Common Equity)</t>
  </si>
  <si>
    <t>MeritDirect Holdings, LP (Common)</t>
  </si>
  <si>
    <t>MeritDirect Holdings, LP (P)</t>
  </si>
  <si>
    <t>MeritDirect (Preferred Equity)</t>
  </si>
  <si>
    <t>MeritDirect Holdings, LP (Preferred)</t>
  </si>
  <si>
    <t>MeritDirect (Term Loan)</t>
  </si>
  <si>
    <t>MeritDirect, LLC - Funded Revolver</t>
  </si>
  <si>
    <t>MeritDirect (Revolver)</t>
  </si>
  <si>
    <t>MeritDirect, LLC - Unfunded Revolver</t>
  </si>
  <si>
    <t>MidOcean JF Holdings Corp.</t>
  </si>
  <si>
    <t>Jones &amp; Frank (Common)</t>
  </si>
  <si>
    <t>MidOcean JF Holdings Corp. (P)</t>
  </si>
  <si>
    <t>Jones &amp; Frank (Preferred)</t>
  </si>
  <si>
    <t>MidOcean JF Holdings Corp. (Series B)</t>
  </si>
  <si>
    <t>Jones &amp; Frank (Series B)</t>
  </si>
  <si>
    <t>MidOcean JF Holdings Corp. (TL)</t>
  </si>
  <si>
    <t>Jones &amp; Frank (TL)</t>
  </si>
  <si>
    <t>Mission Critical Electronics - Funded Revolver</t>
  </si>
  <si>
    <t>MCE (Revolver)</t>
  </si>
  <si>
    <t>Mission Critical Electronics - Unfunded Revolver</t>
  </si>
  <si>
    <t>MCE (TL)</t>
  </si>
  <si>
    <t>Mission Critical Electronics, Inc. - Unfunded Term Loan</t>
  </si>
  <si>
    <t>MCE (DDTL)</t>
  </si>
  <si>
    <t>MSpark, LLC</t>
  </si>
  <si>
    <t>MailSouth (Common Equity)</t>
  </si>
  <si>
    <t>MES (Term Loan)</t>
  </si>
  <si>
    <t>Municipal Emergency Services, Inc. - DDTL</t>
  </si>
  <si>
    <t>MES (DDTL)</t>
  </si>
  <si>
    <t>Municipal Emergency Services, Inc. - Funded Revolver</t>
  </si>
  <si>
    <t>MES (Revolver)</t>
  </si>
  <si>
    <t>Municipal Emergency Services, Inc. - Unfunded Revolver</t>
  </si>
  <si>
    <t>Municipal Emergency Services, Inc. - Unfunded Term Loan</t>
  </si>
  <si>
    <t>Municipal Emergency Services, Inc. (Common)</t>
  </si>
  <si>
    <t>MES (Common Equity)</t>
  </si>
  <si>
    <t>Nevada Behavioral Health Systems (Term Loan)</t>
  </si>
  <si>
    <t>NBH Group LLC - Unfunded Revolver</t>
  </si>
  <si>
    <t>Nevada Behavioral Health Systems (Revolver)</t>
  </si>
  <si>
    <t>NEPRT Parent Holdings, LLC</t>
  </si>
  <si>
    <t>Recteq (Equity)</t>
  </si>
  <si>
    <t>NEPRT Parent Holdings, LLC (Recteq, LLC)</t>
  </si>
  <si>
    <t>Neptune Flood (Term Loan)</t>
  </si>
  <si>
    <t>Milani (TL)</t>
  </si>
  <si>
    <t>New MPE Holdings, LLC</t>
  </si>
  <si>
    <t>Marketplace Events (Equity)</t>
  </si>
  <si>
    <t>North Haven Saints Equity Holdings, LP</t>
  </si>
  <si>
    <t>SpendMend (Common Equity)</t>
  </si>
  <si>
    <t>Nuvei Technologies Corp.</t>
  </si>
  <si>
    <t>Nuvei (Term Loan)</t>
  </si>
  <si>
    <t>Nuvei</t>
  </si>
  <si>
    <t>NXOF Holdings, Inc. (Tyto Athene, LLC) (Common)</t>
  </si>
  <si>
    <t>Tyto Athene (Equity)</t>
  </si>
  <si>
    <t>NXOF Holdings, Inc. (Tyto Athene, LLC) (Preferred)</t>
  </si>
  <si>
    <t>Tyto Athene (Pref)</t>
  </si>
  <si>
    <t>OceanSound Discovery Equity, LP</t>
  </si>
  <si>
    <t>Smartronix / Trident (Common Equity)</t>
  </si>
  <si>
    <t>OceanSound Discovery Equity, LP (Holdco Sands Intermediate, LLC)</t>
  </si>
  <si>
    <t>Berlin Packaging - Equity</t>
  </si>
  <si>
    <t>Berlin Packaging (Common Equity)</t>
  </si>
  <si>
    <t>OHCP V BC COI, L.P.</t>
  </si>
  <si>
    <t>OHCP V BC COI, L.P. - Unfunded</t>
  </si>
  <si>
    <t xml:space="preserve">Berlin Packaging L.L.C. </t>
  </si>
  <si>
    <t>Berlin Packaging (Term Loan)</t>
  </si>
  <si>
    <t>OIS Management Services, LLC</t>
  </si>
  <si>
    <t>Paradigm Oral Surgery (Term Loan)</t>
  </si>
  <si>
    <t>Paradigm Oral Surgery</t>
  </si>
  <si>
    <t>OIS Management Services, LLC - Unfunded Revolver</t>
  </si>
  <si>
    <t>Paradigm Oral Surgery (Revolver)</t>
  </si>
  <si>
    <t>OIS Management Services, LLC - Unfunded Term Loan</t>
  </si>
  <si>
    <t>Paradigm Oral Surgery (DDTL)</t>
  </si>
  <si>
    <t>OSM (Term Loan)</t>
  </si>
  <si>
    <t>OpenRoad Lending (Term Loan)</t>
  </si>
  <si>
    <t>OpenRoad Lending - Unfunded Revolver</t>
  </si>
  <si>
    <t>OpenRoad Lending (Revolver)</t>
  </si>
  <si>
    <t>Oral Surgery (ITC) Holdings, LLC</t>
  </si>
  <si>
    <t>Paradigm Oral Surgery (Equity)</t>
  </si>
  <si>
    <t>ORL Acquisition, Inc. - Unfunded Revolver</t>
  </si>
  <si>
    <t>ORL Holdco, Inc - Common Equity</t>
  </si>
  <si>
    <t>OpenRoad Lending (Common Equity)</t>
  </si>
  <si>
    <t>ORL Holdco, Inc - Preferred Equity</t>
  </si>
  <si>
    <t>OpenRoad Lending (Preferred Equity)</t>
  </si>
  <si>
    <t>ORL Holdco, Inc. (Common)</t>
  </si>
  <si>
    <t>ORL Holdco, Inc. (Preferred)</t>
  </si>
  <si>
    <t>OSG (TL)</t>
  </si>
  <si>
    <t>Output Services Group, Inc. - DDTL</t>
  </si>
  <si>
    <t>OSG (DDTL)</t>
  </si>
  <si>
    <t>Output Services Group, Inc. - Unfunded  Term Loan</t>
  </si>
  <si>
    <t>Output Services Group, Inc. - Unfunded Term Loan</t>
  </si>
  <si>
    <t>OWL ACQUISITION, LLC</t>
  </si>
  <si>
    <t>Wilson (TL)</t>
  </si>
  <si>
    <t>Ox (Term Loan)</t>
  </si>
  <si>
    <t>Ox Two, LLC - Funded Revolver</t>
  </si>
  <si>
    <t>Ox (Revolver)</t>
  </si>
  <si>
    <t>Ox Two, LLC - Funded Revolver (New Issue)</t>
  </si>
  <si>
    <t>Ox Two, LLC - Unfunded Revolver</t>
  </si>
  <si>
    <t>Ox Two, LLC - Unfunded Revolver (New Issue)</t>
  </si>
  <si>
    <t>Parq Holdings Limited Partnership</t>
  </si>
  <si>
    <t>Parq (2L)</t>
  </si>
  <si>
    <t>Peninsula Pacific Entertainment LLC</t>
  </si>
  <si>
    <t>Colonial Downs (TL)</t>
  </si>
  <si>
    <t>Peninsula Pacific Entertainment LLC - Unfunded Term Loan</t>
  </si>
  <si>
    <t>Colonial Downs (DDTL)</t>
  </si>
  <si>
    <t>PennantPark Senior Secured Loan Fund I LLC</t>
  </si>
  <si>
    <t>Perforce Software, Inc.</t>
  </si>
  <si>
    <t>Perforce (Term Loan)</t>
  </si>
  <si>
    <t>Perforce Software, Inc. - Funded Revolver</t>
  </si>
  <si>
    <t>Perforce (Revolver)</t>
  </si>
  <si>
    <t>Perforce Software, Inc. - Unfunded Revolver</t>
  </si>
  <si>
    <t>Pestell Minerals and Ingredients Inc.</t>
  </si>
  <si>
    <t>Pestell (Term Loan)</t>
  </si>
  <si>
    <t>Pink Lily Holdco, LLC</t>
  </si>
  <si>
    <t>Pink Lily (Equity)</t>
  </si>
  <si>
    <t>PL Acquisitionco - Equity</t>
  </si>
  <si>
    <t>Pink Lily (Term Loan)</t>
  </si>
  <si>
    <t>PL Acquisitionco, LLC - Funded Revolver</t>
  </si>
  <si>
    <t>Pink Lily (Revolver)</t>
  </si>
  <si>
    <t>PL Acquisitionco, LLC - Unfunded Revolver</t>
  </si>
  <si>
    <t>Plant Health Intermediate, Inc.</t>
  </si>
  <si>
    <t>PlayPower (Term Loan)</t>
  </si>
  <si>
    <t>PRA Events, Inc.</t>
  </si>
  <si>
    <t>APRA (Term Loan)</t>
  </si>
  <si>
    <t>PRA Events, Inc. - Funded Revolver</t>
  </si>
  <si>
    <t>APRA (Revolver)</t>
  </si>
  <si>
    <t>PRA Events, Inc. - Unfunded Revolver</t>
  </si>
  <si>
    <t>Provation Medical, Inc.</t>
  </si>
  <si>
    <t>Provation Medical (Term Loan)</t>
  </si>
  <si>
    <t>PT Network Intermediate Holdings, LLC (ALL PIK)</t>
  </si>
  <si>
    <t>PT Network (TL)</t>
  </si>
  <si>
    <t>PT Network Intermediate Holdings, LLC (Common)</t>
  </si>
  <si>
    <t>PT Network (Common)</t>
  </si>
  <si>
    <t>PT Network Intermediate Holdings, LLC (Preferred)</t>
  </si>
  <si>
    <t>PT Network (Pref)</t>
  </si>
  <si>
    <t>PT Network, LLC</t>
  </si>
  <si>
    <t>PT Network, LLC (All PIK)</t>
  </si>
  <si>
    <t>Quantic Electronics - Unfunded Revolver</t>
  </si>
  <si>
    <t>Quantic Electronics (Revolver)</t>
  </si>
  <si>
    <t>Quantic Electronics - Unfunded Term Loan</t>
  </si>
  <si>
    <t>Quantic Electronics (DDTL)</t>
  </si>
  <si>
    <t>Quantic Electronics (Term Loan)</t>
  </si>
  <si>
    <t>Quantic Electronics, LLC - Funded Revolver</t>
  </si>
  <si>
    <t>Quantic Electronics, LLC - Unfunded Revolver</t>
  </si>
  <si>
    <t>QuantiTech InvestCo II LP</t>
  </si>
  <si>
    <t>QuantiTech (Common Equity II)</t>
  </si>
  <si>
    <t>QuantiTech</t>
  </si>
  <si>
    <t>QuantiTech InvestCo LP</t>
  </si>
  <si>
    <t>QuantiTech (Common Equity I)</t>
  </si>
  <si>
    <t>QuantiTech InvestCo LP - Unfunded</t>
  </si>
  <si>
    <t>QuantiTech LLC</t>
  </si>
  <si>
    <t>QuantiTech (Second Lien)</t>
  </si>
  <si>
    <t>Questex (TL)</t>
  </si>
  <si>
    <t>Questex, LLC - Funded Revolver</t>
  </si>
  <si>
    <t>Questex (Revolver)</t>
  </si>
  <si>
    <t>Questex, LLC - Unfunded Revolver</t>
  </si>
  <si>
    <t>Radius Aerospace (Term Loan)</t>
  </si>
  <si>
    <t>Radius Aerospace, Inc. - Funded Revolver</t>
  </si>
  <si>
    <t>Radius Aerospace (Revolver)</t>
  </si>
  <si>
    <t>Radius Aerospace, Inc. - Unfunded Revolver</t>
  </si>
  <si>
    <t xml:space="preserve">RAM Energy Holdings LLC </t>
  </si>
  <si>
    <t>Ram (Term Loan)</t>
  </si>
  <si>
    <t>RAM Energy</t>
  </si>
  <si>
    <t>RAM Energy Holdings LLC - Funded Revolver</t>
  </si>
  <si>
    <t>Ram (Revolver)</t>
  </si>
  <si>
    <t>RAM Energy Holdings LLC(Common)</t>
  </si>
  <si>
    <t>Ram (Equity)</t>
  </si>
  <si>
    <t>Rancho</t>
  </si>
  <si>
    <t>Rancho (TL)</t>
  </si>
  <si>
    <t>Rancho (DDTL)</t>
  </si>
  <si>
    <t>Rancho Health MSO, Inc. - Funded Revolver</t>
  </si>
  <si>
    <t>Rancho (Revolver)</t>
  </si>
  <si>
    <t>Rancho Health MSO, Inc. - Unfunded Revolver</t>
  </si>
  <si>
    <t>Rancho Health MSO, Inc. - Unfunded Term Loan</t>
  </si>
  <si>
    <t>Recteq (TL)</t>
  </si>
  <si>
    <t>Recteq, LLC - Funded Revolver</t>
  </si>
  <si>
    <t>Recteq (Revolver)</t>
  </si>
  <si>
    <t>Recteq, LLC - Revolver</t>
  </si>
  <si>
    <t>Recteq, LLC - Term Loan</t>
  </si>
  <si>
    <t>Recteq, LLC - Unfunded Revolver</t>
  </si>
  <si>
    <t>NEPRT Parent Holdings, LLC - Common Equity</t>
  </si>
  <si>
    <t>Research Horizons, LLC</t>
  </si>
  <si>
    <t>Research Horizons (TL)</t>
  </si>
  <si>
    <t>Research Horizons, LLC - Delayed Draw Term Loan</t>
  </si>
  <si>
    <t>Research Horizons (DDTL)</t>
  </si>
  <si>
    <t>Research Horizons, LLC - Funded Revolver</t>
  </si>
  <si>
    <t>Research Horizons (Rev)</t>
  </si>
  <si>
    <t>Research Horizons, LLC - Unfunded Revolver</t>
  </si>
  <si>
    <t>Research Horizons, LLC - Unfunded Term Loan</t>
  </si>
  <si>
    <t>Research Now Group, Inc.</t>
  </si>
  <si>
    <t>Research Now / SSI (1st)</t>
  </si>
  <si>
    <t>Research Now Group, Inc. and Survey Sampling International LLC</t>
  </si>
  <si>
    <t>Research Now Group, LLC</t>
  </si>
  <si>
    <t>RFMG Parent LP</t>
  </si>
  <si>
    <t>Rancho (Equity)</t>
  </si>
  <si>
    <t>RFMG Parent, LP</t>
  </si>
  <si>
    <t>Riverpoint Medical (TL)</t>
  </si>
  <si>
    <t>Riverpoint Medical, LLC - Funded Revolver</t>
  </si>
  <si>
    <t>Riverpoint Medical (Revolver)</t>
  </si>
  <si>
    <t>Riverpoint Medical, LLC - Unfunded Revolver</t>
  </si>
  <si>
    <t>Riverside Insights (FLLO)</t>
  </si>
  <si>
    <t>RTIC Parent Holdings, LLC</t>
  </si>
  <si>
    <t>RTIC (Preferred Equity A)</t>
  </si>
  <si>
    <t>RTIC (Preferred Equity B)</t>
  </si>
  <si>
    <t>RTIC (Common Equity)</t>
  </si>
  <si>
    <t>RTIC Parent Holdings, LLC (Common)</t>
  </si>
  <si>
    <t>RTIC Parent Holdings, LLC (Preferred A)</t>
  </si>
  <si>
    <t>RTIC Parent Holdings, LLC (Preferred B)</t>
  </si>
  <si>
    <t>RTIC Parent Holdings, LLC (Preferred C)</t>
  </si>
  <si>
    <t>RTIC (Preferred Equity C)</t>
  </si>
  <si>
    <t>RTIC Subsidiary Holdings, LLC</t>
  </si>
  <si>
    <t>RTIC (TL)</t>
  </si>
  <si>
    <t>RTIC Subsidiary Holdings, LLC - Funded Revolver</t>
  </si>
  <si>
    <t>RTIC (Revolver)</t>
  </si>
  <si>
    <t>RTIC Subsidiary Holdings, LLC - Unfunded Revolver</t>
  </si>
  <si>
    <t>Sales Benchmark Index (TL)</t>
  </si>
  <si>
    <t>Sales Benchmark Index LLC - DDTL</t>
  </si>
  <si>
    <t>Sales Benchmark Index (DDTL)</t>
  </si>
  <si>
    <t>Sales Benchmark Index LLC - Funded Revolver</t>
  </si>
  <si>
    <t>Sales Benchmark Index (Revolver)</t>
  </si>
  <si>
    <t>Sales Benchmark Index LLC - Unfunded  Term Loan</t>
  </si>
  <si>
    <t>Sales Benchmark Index LLC - Unfunded Revolver</t>
  </si>
  <si>
    <t>Sales Benchmark Index LLC - Unfunded Term Loan</t>
  </si>
  <si>
    <t>Salient CRGT Inc.</t>
  </si>
  <si>
    <t>SalientCRGT</t>
  </si>
  <si>
    <t>Sargent &amp; Greenleaf (Term Loan)</t>
  </si>
  <si>
    <t>Sargent &amp; Greenleaf Inc. - Funded Revolver</t>
  </si>
  <si>
    <t>Sargent &amp; Greenleaf (Revolver)</t>
  </si>
  <si>
    <t>Sargent &amp; Greenleaf Inc. - Unfunded Revolver</t>
  </si>
  <si>
    <t>Sargent &amp; Greenleaf, Inc.</t>
  </si>
  <si>
    <t>Sargent &amp; Greenleaf, Inc. - Funded Revolver</t>
  </si>
  <si>
    <t>Sargent &amp; Greenleaf, Inc. - Unfunded Revolver</t>
  </si>
  <si>
    <t>SBI Holdings Investments LLC</t>
  </si>
  <si>
    <t>Sales Benchmark Index (Equity)</t>
  </si>
  <si>
    <t>SBI Holdings Investments LLC (Sales Benchmark Index LLC)</t>
  </si>
  <si>
    <t>SBI LLC - Common Equity</t>
  </si>
  <si>
    <t>Schlesinger (Term Loan)</t>
  </si>
  <si>
    <t>Schlesinger Global, Inc. - Funded Revolver</t>
  </si>
  <si>
    <t>Schlesinger (Revolver)</t>
  </si>
  <si>
    <t>Schlesinger Global, Inc. - Unfunded Revolver</t>
  </si>
  <si>
    <t>Schlesinger Global, Inc. - Unfunded Term Loan</t>
  </si>
  <si>
    <t>Schlesinger (DDTL)</t>
  </si>
  <si>
    <t>Seaway (TL)</t>
  </si>
  <si>
    <t>Seaway Buyer, LLC - Funded Revolver</t>
  </si>
  <si>
    <t>Seaway (Revolver)</t>
  </si>
  <si>
    <t>Seaway Buyer, LLC - Unfunded Revolver</t>
  </si>
  <si>
    <t>Seaway Topco, LLC</t>
  </si>
  <si>
    <t>Seaway (Equity)</t>
  </si>
  <si>
    <t>Seaway Topco, LP</t>
  </si>
  <si>
    <t>Seaway Topco, LP (Common Equity)</t>
  </si>
  <si>
    <t>Seaway TopCo LP</t>
  </si>
  <si>
    <t>SFP Holding, Inc.</t>
  </si>
  <si>
    <t>Summit Companies (Term Loan)</t>
  </si>
  <si>
    <t>SFP Holding, Inc. - Funded Revolver</t>
  </si>
  <si>
    <t>Summit Companies (Revolver)</t>
  </si>
  <si>
    <t>SFP Holding, Inc. - Unfunded Revolver</t>
  </si>
  <si>
    <t>SFP Holding, Inc. - Unfunded Term Loan</t>
  </si>
  <si>
    <t>Summit Companies (DDTL)</t>
  </si>
  <si>
    <t>Idera (Term Loan)</t>
  </si>
  <si>
    <t>ShiftKey, LLC</t>
  </si>
  <si>
    <t>ShiftKey (Term Loan)</t>
  </si>
  <si>
    <t>ShiftKey</t>
  </si>
  <si>
    <t>LORIENT PEREGRINE INVESTMENT, LP</t>
  </si>
  <si>
    <t>ShiftKey (Common Equity)</t>
  </si>
  <si>
    <t>Sigma Defense Systems, Inc. - Revolver</t>
  </si>
  <si>
    <t>Sigma Defense (Revolver)</t>
  </si>
  <si>
    <t>Sigma Defense Systems, Inc. - Term Loan</t>
  </si>
  <si>
    <t>Sigma Defense (Term Loan)</t>
  </si>
  <si>
    <t>Sigma Defense Systems, LLC - Funded Revolver</t>
  </si>
  <si>
    <t>Sigma Defense Systems, LLC - Revolver</t>
  </si>
  <si>
    <t>Sigma Defense Systems, LLC - Unfunded Revolver</t>
  </si>
  <si>
    <t>Signature CR Intermediate Holdco, Inc. (Common)</t>
  </si>
  <si>
    <t>Signature Systems Group (Common Equity)</t>
  </si>
  <si>
    <t>Signature CR Intermediate Holdco, Inc. (Preferred)</t>
  </si>
  <si>
    <t>Signature Systems Group (Preferred Equity)</t>
  </si>
  <si>
    <t>Signature Systems Group (TL)</t>
  </si>
  <si>
    <t>Signature Systems Holding Company - Funded Revolver</t>
  </si>
  <si>
    <t>Signature Systems Group (RC)</t>
  </si>
  <si>
    <t>Signature Systems Holding Company - Term Loan II</t>
  </si>
  <si>
    <t>Signature Systems Group (TL II)</t>
  </si>
  <si>
    <t>Signature Systems Holding Company - Unfunded Revolver</t>
  </si>
  <si>
    <t>Signature Systems Holding Company First Lien Term Loan II</t>
  </si>
  <si>
    <t>Signature Systems Holding Company. - Unfunded Revolver</t>
  </si>
  <si>
    <t>Pequod Merger Sub Inc.</t>
  </si>
  <si>
    <t>Simplicity Group (Revolver)</t>
  </si>
  <si>
    <t>Simplicity Group (TL)</t>
  </si>
  <si>
    <t>Simplicity Group (DDTL)</t>
  </si>
  <si>
    <t>LEP Pequod Holdings, LP</t>
  </si>
  <si>
    <t>Simplicity Group (Common Equity)</t>
  </si>
  <si>
    <t>Smile Brands (TL)</t>
  </si>
  <si>
    <t>Smile Brands Inc. - Funded Revolver</t>
  </si>
  <si>
    <t>Smile Brands (Revolver)</t>
  </si>
  <si>
    <t>Smile Brands Inc. - Unfunded Revolver</t>
  </si>
  <si>
    <t>Smile Brands Inc. - Unfunded Revolver - LC</t>
  </si>
  <si>
    <t>Smile Brands Inc. - Unfunded Term Loan</t>
  </si>
  <si>
    <t>Smile Brands (DDTL)</t>
  </si>
  <si>
    <t>Smile Brands, Inc. - Funded Revolver</t>
  </si>
  <si>
    <t>Smile Brands, Inc. - Unfunded Revolver</t>
  </si>
  <si>
    <t>Smile Brands, Inc. - Unfunded Term Loan</t>
  </si>
  <si>
    <t>Snak Club, LLC</t>
  </si>
  <si>
    <t>Snak Club (TL)</t>
  </si>
  <si>
    <t>Snak Club</t>
  </si>
  <si>
    <t>Snak Club, LLC - Funded Revolver</t>
  </si>
  <si>
    <t>Snak Club (Rev)</t>
  </si>
  <si>
    <t>Snak Club, LLC - Unfunded Revolver</t>
  </si>
  <si>
    <t>Snak Club, LLC - Unfunded Revolver (Temporary)</t>
  </si>
  <si>
    <t>Solutionreach (TL)</t>
  </si>
  <si>
    <t>Solutionreach, Inc. - Funded Revolver</t>
  </si>
  <si>
    <t>Solutionreach (Rev)</t>
  </si>
  <si>
    <t>Solutionreach, Inc. - Unfunded Revolver</t>
  </si>
  <si>
    <t>Southern Veterinary Partners (TL)</t>
  </si>
  <si>
    <t>SP L2 Holdings, LLC</t>
  </si>
  <si>
    <t>Spear Education, LLC</t>
  </si>
  <si>
    <t>Spear Education (TL)</t>
  </si>
  <si>
    <t>Spear Education</t>
  </si>
  <si>
    <t>Spear Education, LLC - Unfunded Term Loan</t>
  </si>
  <si>
    <t>Spear Education (DDTL)</t>
  </si>
  <si>
    <t>Spectacle Gary Holdings, LLC</t>
  </si>
  <si>
    <t>Hard Rock Gary (TL)</t>
  </si>
  <si>
    <t>Spectacle Gary Holdings, LLC - DDTL</t>
  </si>
  <si>
    <t>Hard Rock Gary (DDTL)</t>
  </si>
  <si>
    <t>Spectacle Gary Holdings, LLC - Unfunded Term Loan</t>
  </si>
  <si>
    <t>SPENDMEND HOLDINGS LLC</t>
  </si>
  <si>
    <t>SpendMend (Term Loan)</t>
  </si>
  <si>
    <t>SPENDMEND HOLDINGS LLC - Funded Revolver</t>
  </si>
  <si>
    <t>SpendMend (Revolver)</t>
  </si>
  <si>
    <t>SPENDMEND HOLDINGS LLC - Unfunded Revolver</t>
  </si>
  <si>
    <t>SPENDMEND HOLDINGS LLC - Unfunded Term Loan</t>
  </si>
  <si>
    <t>SpendMend (DDTL)</t>
  </si>
  <si>
    <t>Spin Holdco Inc.</t>
  </si>
  <si>
    <t>CSC Service Works</t>
  </si>
  <si>
    <t>Spyder (BC) Bidco Pty Ltd</t>
  </si>
  <si>
    <t>Camp Australia</t>
  </si>
  <si>
    <t>SSC Dominion Holdings, LLC - Class A (US Dominion, Inc.)</t>
  </si>
  <si>
    <t>Dominion Voting (Equity)</t>
  </si>
  <si>
    <t>Dominion Voting Systems</t>
  </si>
  <si>
    <t>SSC Dominion Holdings, LLC - Class B (US Dominion, Inc.)</t>
  </si>
  <si>
    <t>StellPen Holdings, LLC (CF512, Inc.)</t>
  </si>
  <si>
    <t>Gen3 Marketing (Common Equity)</t>
  </si>
  <si>
    <t>STV Group (TL)</t>
  </si>
  <si>
    <t>Superior Digital Display Holdings, Inc. (P)</t>
  </si>
  <si>
    <t>Superior (Preferred A)</t>
  </si>
  <si>
    <t>Superior Digital Display Holdings, Inc. (Series B)</t>
  </si>
  <si>
    <t>Superior (Preferred B)</t>
  </si>
  <si>
    <t xml:space="preserve">Superior Digital Displays Holdings, Inc. </t>
  </si>
  <si>
    <t>Superior (Common)</t>
  </si>
  <si>
    <t>Superior Digital Displays, LLC (ALL PIK)</t>
  </si>
  <si>
    <t>Superior (Term Loan)</t>
  </si>
  <si>
    <t>System Planning and Analysis, Inc.</t>
  </si>
  <si>
    <t>System Planning and Analysis, Inc. - Unfunded Revolver (f/k/a Management Consulting &amp; Research, LLC)</t>
  </si>
  <si>
    <t>TAC LifePort Holdings LLC</t>
  </si>
  <si>
    <t>LifePort (Equity)</t>
  </si>
  <si>
    <t>LifePort</t>
  </si>
  <si>
    <t>TAC LifePort Holdings, LLC</t>
  </si>
  <si>
    <t>TAC LifePort Purchaser, LLC</t>
  </si>
  <si>
    <t>LifePort (Term Loan)</t>
  </si>
  <si>
    <t xml:space="preserve">TAC LifePort Purchaser, LLC </t>
  </si>
  <si>
    <t>TAC LifePort Purchaser, LLC - Funded Revolver</t>
  </si>
  <si>
    <t>LifePort (Revolver)</t>
  </si>
  <si>
    <t>TAC LifePort Purchaser, LLC - Unfunded Revolver</t>
  </si>
  <si>
    <t>TEAM Services Group (First Lien Term Loan)</t>
  </si>
  <si>
    <t>TEAM Services Group (Second Lien Term Loan)</t>
  </si>
  <si>
    <t>TeleGuam Holdings, LLC</t>
  </si>
  <si>
    <t>Teleguam</t>
  </si>
  <si>
    <t xml:space="preserve">TeleGuam Holdings, LLC </t>
  </si>
  <si>
    <t>Teneo (TL)</t>
  </si>
  <si>
    <t>Tensar Corporation</t>
  </si>
  <si>
    <t>Tensar</t>
  </si>
  <si>
    <t>BlueHalo (Term Loan)</t>
  </si>
  <si>
    <t>Bluebird (Term Loan)</t>
  </si>
  <si>
    <t>The Bluebird Group LLC - Unfunded Revolver</t>
  </si>
  <si>
    <t>Bluebird (Revolver)</t>
  </si>
  <si>
    <t>Infosoft (TL)</t>
  </si>
  <si>
    <t>The Original Cakerie Ltd.</t>
  </si>
  <si>
    <t>The Original Cakerie Ltd. (CAD TL)</t>
  </si>
  <si>
    <t>The Original Cakerie</t>
  </si>
  <si>
    <t>The Original Cakerie Ltd. - Funded Revolver</t>
  </si>
  <si>
    <t>The Original Cakerie Ltd. (CAD Revolver)</t>
  </si>
  <si>
    <t>The Original Cakerie Ltd. - Unfunded Revolver</t>
  </si>
  <si>
    <t>The Original Cakerie Ltd. - Unfunded Revolver - LC</t>
  </si>
  <si>
    <t>The Original Cakerie, Co.</t>
  </si>
  <si>
    <t>The Original Cakerie, Co. (US TL)</t>
  </si>
  <si>
    <t>Vertex (Term Loan)</t>
  </si>
  <si>
    <t>The Vertex Companies, LLC - Unfunded Revolver</t>
  </si>
  <si>
    <t>Vertex (Revolver)</t>
  </si>
  <si>
    <t>The Vertex Companies, LLC - Unfunded Term Loan</t>
  </si>
  <si>
    <t>Vertex (DDTL)</t>
  </si>
  <si>
    <t>Tower Arch Infolinks Media, LP</t>
  </si>
  <si>
    <t>Tower Arch Infolinks Media, LP - Unfunded</t>
  </si>
  <si>
    <t>TPC Broadband Investors, LP</t>
  </si>
  <si>
    <t>Advanced Cable</t>
  </si>
  <si>
    <t>TPC Broadband Investors, LP (Unfunded)</t>
  </si>
  <si>
    <t>Targeted Pet Care (Term Loan)</t>
  </si>
  <si>
    <t>TPC Holding Company, LP – Common</t>
  </si>
  <si>
    <t>Targeted Pet Care (Common Equity)</t>
  </si>
  <si>
    <t>TPC Holding Company, LP – Preferred</t>
  </si>
  <si>
    <t>Targeted Pet Care (Preferred Equity)</t>
  </si>
  <si>
    <t>TPC Holding Company, LP (Common)</t>
  </si>
  <si>
    <t>TPC Holding Company, LP (Preferred)</t>
  </si>
  <si>
    <t>TVC (TL)</t>
  </si>
  <si>
    <t>TVC Enterprises, LLC - Funded Revolver</t>
  </si>
  <si>
    <t>TVC (Revolver)</t>
  </si>
  <si>
    <t>TVC Enterprises, LLC - Unfunded Revolver</t>
  </si>
  <si>
    <t>TVC Enterprises, LLC - Unfunded Term Loan</t>
  </si>
  <si>
    <t>TVC (DDTL)</t>
  </si>
  <si>
    <t>TWD Parent Holdings, LLC - Common Equity</t>
  </si>
  <si>
    <t>Vertex (Common Equity)</t>
  </si>
  <si>
    <t>TWD Parent Holdings, LLC - Preferred Equity</t>
  </si>
  <si>
    <t>Vertex (Preferred Equity)</t>
  </si>
  <si>
    <t>TWD Parent Holdings, LLC (The Vertex Companies, LLC) (Common)</t>
  </si>
  <si>
    <t>TWD Parent Holdings, LLC (The Vertex Companies, LLC) (Preferred)</t>
  </si>
  <si>
    <t>StrataTech (Term Loan)</t>
  </si>
  <si>
    <t>TWS Acquisition Corporation - Funded Revolver</t>
  </si>
  <si>
    <t>StrataTech (Revolver)</t>
  </si>
  <si>
    <t>TWS Acquisition Corporation - Unfunded Revolver</t>
  </si>
  <si>
    <t>Tyto Athene (Term Loan)</t>
  </si>
  <si>
    <t>Tyto Athene, LLC - Funded Revolver</t>
  </si>
  <si>
    <t>Tyto Athene (Revolver)</t>
  </si>
  <si>
    <t>Tyto Athene, LLC - Unfunded Revolver</t>
  </si>
  <si>
    <t>Tyto Athene, LLC (New Issue) - Unfunded Revolver</t>
  </si>
  <si>
    <t>U.S. Well Services, Inc. - Class A</t>
  </si>
  <si>
    <t>U.S. Well (Class A)</t>
  </si>
  <si>
    <t>U.S. Well</t>
  </si>
  <si>
    <t>UBEO, LLC</t>
  </si>
  <si>
    <t>UBEO (TL)</t>
  </si>
  <si>
    <t>UBEO</t>
  </si>
  <si>
    <t>UBEO, LLC - Funded Revolver</t>
  </si>
  <si>
    <t>UBEO (Revolver)</t>
  </si>
  <si>
    <t>UBEO, LLC - Unfunded Revolver</t>
  </si>
  <si>
    <t>UBEO, LLC - Unfunded Term Loan</t>
  </si>
  <si>
    <t>UBEO (DDTL)</t>
  </si>
  <si>
    <t>Unique Indoor Comfort, LLC</t>
  </si>
  <si>
    <t>Unique Indoor Comfort (TL)</t>
  </si>
  <si>
    <t>Unique Indoor Comfort</t>
  </si>
  <si>
    <t>Unique Indoor Comfort, LLC - Unfunded Revolver</t>
  </si>
  <si>
    <t>Unique Indoor Comfort (Revolver)</t>
  </si>
  <si>
    <t>Unique Indoor Comfort, LLC - Unfunded Term Loan</t>
  </si>
  <si>
    <t>Unique Indoor Comfort (DDTL)</t>
  </si>
  <si>
    <t>UniTek Acquisition, Inc.</t>
  </si>
  <si>
    <t>UniTek (TL)</t>
  </si>
  <si>
    <t>UniTek Global Services, Inc. - Senior Preferred Equity</t>
  </si>
  <si>
    <t>UniTek (DDTL)</t>
  </si>
  <si>
    <t>UniTek</t>
  </si>
  <si>
    <t>UniTek Global Services, Inc. - Super Senior Preferred Equity</t>
  </si>
  <si>
    <t>UniTek (Super Pref)</t>
  </si>
  <si>
    <t>UniTek Global Services, Inc.(C)</t>
  </si>
  <si>
    <t>UniTek (Common Eq)</t>
  </si>
  <si>
    <t>UniTek Global Services, Inc.(P)</t>
  </si>
  <si>
    <t>UniTek (Preferred Eq)</t>
  </si>
  <si>
    <t>UniTek Global Services, Inc.(W)</t>
  </si>
  <si>
    <t>UniVista Insurance</t>
  </si>
  <si>
    <t>UniVista (Equity)</t>
  </si>
  <si>
    <t>UniVista</t>
  </si>
  <si>
    <t>Urology Management Associates, LLC</t>
  </si>
  <si>
    <t>New Jersey Urology (TL)</t>
  </si>
  <si>
    <t>US Dominion, Inc.</t>
  </si>
  <si>
    <t>Dominion Voting (Term Loan)</t>
  </si>
  <si>
    <t>US Dominion, Inc. - Funded Revolver</t>
  </si>
  <si>
    <t>Dominion Voting (Revolver)</t>
  </si>
  <si>
    <t>US Dominion, Inc. - Unfunded Revolver</t>
  </si>
  <si>
    <t>US Med Acquisition, Inc.</t>
  </si>
  <si>
    <t>US Med</t>
  </si>
  <si>
    <t>USWS Holdings, LLC</t>
  </si>
  <si>
    <t>U.S. Well (Class B)</t>
  </si>
  <si>
    <t>Vertex - Unfunded Revolver</t>
  </si>
  <si>
    <t>Vertex - Unfunded Term Loan</t>
  </si>
  <si>
    <t>Virgin Pulse, Inc</t>
  </si>
  <si>
    <t>Virgin Pulse (1L)</t>
  </si>
  <si>
    <t>Virgin Pulse, Inc.</t>
  </si>
  <si>
    <t>Vision Purchaser Corporation</t>
  </si>
  <si>
    <t>VT Topco, Inc.</t>
  </si>
  <si>
    <t>Veritext (2L)</t>
  </si>
  <si>
    <t>Veritext (Incremental Second Lien)</t>
  </si>
  <si>
    <t>Walker Edison (TL)</t>
  </si>
  <si>
    <t>WCP Ivyrehab QP CF Feeder, LP</t>
  </si>
  <si>
    <t>Ivy Rehab (Common Equity)</t>
  </si>
  <si>
    <t>Ivy Rehab</t>
  </si>
  <si>
    <t>WCP Ivyrehab QP CF Feeder, LP - Unfunded</t>
  </si>
  <si>
    <t>WCP Ivyrehab QP CF Feeder, LP. - Unfunded</t>
  </si>
  <si>
    <t>WCP IVYREHAB QP CF FEEDER, L.P.</t>
  </si>
  <si>
    <t>WCP IVYREHAB QP CF FEEDER, L.P. - Unfunded</t>
  </si>
  <si>
    <t>West Girard Holdings, LLC</t>
  </si>
  <si>
    <t>Philadelphia Girard Apartments (Term Loan)</t>
  </si>
  <si>
    <t xml:space="preserve">Philadelphia Girard Apartments </t>
  </si>
  <si>
    <t>Nsi Industries (Term Loan)</t>
  </si>
  <si>
    <t>Wildcat Buyerco, Inc. - Funded Revolver</t>
  </si>
  <si>
    <t>Nsi Industries (Revolver)</t>
  </si>
  <si>
    <t>Wildcat Buyerco, Inc. - Unfunded Revolver</t>
  </si>
  <si>
    <t>Nsi Industries (DDTL)</t>
  </si>
  <si>
    <t>Wildcat Buyerco, Inc. - Unfunded Term Loan B</t>
  </si>
  <si>
    <t>Wildcat Buyerco, Inc. - Unfunded Term Loan C</t>
  </si>
  <si>
    <t>Wildcat Parent, LP</t>
  </si>
  <si>
    <t>Nsi Industries (Equity)</t>
  </si>
  <si>
    <t>Wildcat Parent, LP (Wildcat Buyerco, Inc.)</t>
  </si>
  <si>
    <t>Zips - Unfunded Term Loan</t>
  </si>
  <si>
    <t>Zips (DDTL)</t>
  </si>
  <si>
    <t>Zips (Term Loan)</t>
  </si>
  <si>
    <t>Zips Car Wash, LLC - Unfunded Term Loan</t>
  </si>
  <si>
    <t>ZS Juniper L.P. (Juniper Landscaping of Florida, LLC)</t>
  </si>
  <si>
    <t>Juniper (Common Equity)</t>
  </si>
  <si>
    <t>Pragmatic Institute (TL)</t>
  </si>
  <si>
    <t>Pragmatic Institute, LLC - Unfunded Term Loan</t>
  </si>
  <si>
    <t>Pragmatic Institute (DDTL)</t>
  </si>
  <si>
    <t>Pragmatic Institute, LLC - Revolver</t>
  </si>
  <si>
    <t>Pragmatic Institute (Revolver)</t>
  </si>
  <si>
    <t>Pragmatic Holdings Group LP</t>
  </si>
  <si>
    <t>Pragmatic Institute (Common)</t>
  </si>
  <si>
    <t>Express Wash Topco, LLC</t>
  </si>
  <si>
    <t>Magnolia (Common Equity)</t>
  </si>
  <si>
    <t>Magnolia</t>
  </si>
  <si>
    <t>EXPRESS WASH ACQUISITION COMPANY, LLC</t>
  </si>
  <si>
    <t>Magnolia (Subordinated Debt)</t>
  </si>
  <si>
    <t>Epiq (TL)</t>
  </si>
  <si>
    <t xml:space="preserve">EDS Buyer, LLC </t>
  </si>
  <si>
    <t>Epiq (DDTL)</t>
  </si>
  <si>
    <t>Epiq (Revolver)</t>
  </si>
  <si>
    <t>EDS Topco, LLC</t>
  </si>
  <si>
    <t>Epiq (Common)</t>
  </si>
  <si>
    <t>Skopima Consilio Parent LLC</t>
  </si>
  <si>
    <t>Consilio (TL)</t>
  </si>
  <si>
    <t>Ankura Consulting Group</t>
  </si>
  <si>
    <t>Kroll (TL)</t>
  </si>
  <si>
    <t>Five Star Buyer, Inc. </t>
  </si>
  <si>
    <t>Five Star (TL)</t>
  </si>
  <si>
    <t>First Star</t>
  </si>
  <si>
    <t>Five Star Buyer, Inc. - Unfunded Term Loan </t>
  </si>
  <si>
    <t>Five Star (DDTLB)</t>
  </si>
  <si>
    <t>Five Star Buyer, Inc. - Revolver </t>
  </si>
  <si>
    <t>Five Star (Revolver)</t>
  </si>
  <si>
    <t>Five Star Parent Holdings, LLC  </t>
  </si>
  <si>
    <t>Five Star (Common Equity)</t>
  </si>
  <si>
    <t>HelpSystems</t>
  </si>
  <si>
    <t>HelpSystems (TL)</t>
  </si>
  <si>
    <t>Mitchell International Inc.</t>
  </si>
  <si>
    <t>Mitchell (TL)</t>
  </si>
  <si>
    <t>Mitchell</t>
  </si>
  <si>
    <t>Acrisure, LLC</t>
  </si>
  <si>
    <t>Acrisure (TLB-1)</t>
  </si>
  <si>
    <t>Acrisure</t>
  </si>
  <si>
    <t>Orion</t>
  </si>
  <si>
    <t>Orion (TL)</t>
  </si>
  <si>
    <t>Planview Parent, Inc.</t>
  </si>
  <si>
    <t>Planview (TL)</t>
  </si>
  <si>
    <t>Planview</t>
  </si>
  <si>
    <t>Loving Tan Intermediate II Inc.</t>
  </si>
  <si>
    <t>Loving Tan (TL)</t>
  </si>
  <si>
    <t>Loving Tan (Revolver)</t>
  </si>
  <si>
    <t>Gauge Loving Tan LP</t>
  </si>
  <si>
    <t>Loving Tan (Equity)</t>
  </si>
  <si>
    <t>ACP Falcon Buyer, Inc.</t>
  </si>
  <si>
    <t>Integrated Data Services (Rev)</t>
  </si>
  <si>
    <t>Integrated Data Services (TL)</t>
  </si>
  <si>
    <t>Avenu Insights &amp; Analytics LLC</t>
  </si>
  <si>
    <t>Avenu (TL)</t>
  </si>
  <si>
    <t>Avenu (Revolver)</t>
  </si>
  <si>
    <t>Avenu (DDTL)</t>
  </si>
  <si>
    <t>Avenu (Equity)</t>
  </si>
  <si>
    <t xml:space="preserve">Pacific Purchaser, LLC </t>
  </si>
  <si>
    <t>ProSearch (TL)</t>
  </si>
  <si>
    <t>ProSearch</t>
  </si>
  <si>
    <t>ProSearch (Revolver)</t>
  </si>
  <si>
    <t>ProSearch (DDTL)</t>
  </si>
  <si>
    <t>Consello Pacific Aggregator, LLC</t>
  </si>
  <si>
    <t>ProSearch (Common Equity)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</si>
</sst>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%_);\(0%\);&quot;-- &quot;"/>
    <numFmt numFmtId="165" formatCode="m\.d\.yyyy"/>
    <numFmt numFmtId="166" formatCode="#,##0.00_);\(#,##0.00\);&quot;-- &quot;"/>
    <numFmt numFmtId="167" formatCode="#,##0_);\(#,##0\);&quot;-- &quot;"/>
  </numFmts>
  <fonts count="3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2"/>
      <name val="Garamond"/>
      <family val="1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600F5"/>
      <name val="Calibri"/>
      <family val="2"/>
      <scheme val="minor"/>
    </font>
    <font>
      <sz val="10"/>
      <color rgb="FF008000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sz val="11"/>
      <color rgb="FF80000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7375E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2">
    <xf numFmtId="0" fontId="0" fillId="0" borderId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8" borderId="7" applyNumberFormat="0" applyAlignment="0" applyProtection="0"/>
    <xf numFmtId="0" fontId="14" fillId="9" borderId="8" applyNumberFormat="0" applyAlignment="0" applyProtection="0"/>
    <xf numFmtId="0" fontId="15" fillId="9" borderId="7" applyNumberFormat="0" applyAlignment="0" applyProtection="0"/>
    <xf numFmtId="0" fontId="16" fillId="0" borderId="9" applyNumberFormat="0" applyFill="0" applyAlignment="0" applyProtection="0"/>
    <xf numFmtId="0" fontId="17" fillId="10" borderId="10" applyNumberFormat="0" applyAlignment="0" applyProtection="0"/>
    <xf numFmtId="0" fontId="18" fillId="0" borderId="0" applyNumberFormat="0" applyFill="0" applyBorder="0" applyAlignment="0" applyProtection="0"/>
    <xf numFmtId="0" fontId="7" fillId="11" borderId="11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20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20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20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20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20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20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43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9" fontId="21" fillId="0" borderId="0" applyFont="0" applyFill="0" applyBorder="0" applyAlignment="0" applyProtection="0"/>
    <xf numFmtId="0" fontId="7" fillId="0" borderId="0"/>
    <xf numFmtId="0" fontId="23" fillId="0" borderId="0"/>
    <xf numFmtId="0" fontId="24" fillId="0" borderId="0" applyNumberFormat="0" applyFill="0" applyBorder="0" applyAlignment="0" applyProtection="0"/>
    <xf numFmtId="0" fontId="25" fillId="7" borderId="0" applyNumberFormat="0" applyBorder="0" applyAlignment="0" applyProtection="0"/>
    <xf numFmtId="0" fontId="20" fillId="15" borderId="0" applyNumberFormat="0" applyBorder="0" applyAlignment="0" applyProtection="0"/>
    <xf numFmtId="0" fontId="20" fillId="19" borderId="0" applyNumberFormat="0" applyBorder="0" applyAlignment="0" applyProtection="0"/>
    <xf numFmtId="0" fontId="20" fillId="23" borderId="0" applyNumberFormat="0" applyBorder="0" applyAlignment="0" applyProtection="0"/>
    <xf numFmtId="0" fontId="20" fillId="27" borderId="0" applyNumberFormat="0" applyBorder="0" applyAlignment="0" applyProtection="0"/>
    <xf numFmtId="0" fontId="20" fillId="31" borderId="0" applyNumberFormat="0" applyBorder="0" applyAlignment="0" applyProtection="0"/>
    <xf numFmtId="0" fontId="20" fillId="35" borderId="0" applyNumberFormat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/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5" fillId="0" borderId="1" xfId="0" applyFont="1" applyBorder="1"/>
    <xf numFmtId="0" fontId="5" fillId="0" borderId="1" xfId="0" applyFont="1" applyBorder="1" applyAlignment="1">
      <alignment horizontal="centerContinuous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4" borderId="0" xfId="0" applyFont="1" applyFill="1"/>
    <xf numFmtId="0" fontId="0" fillId="0" borderId="15" xfId="0" applyBorder="1"/>
    <xf numFmtId="0" fontId="28" fillId="0" borderId="16" xfId="0" applyFont="1" applyBorder="1"/>
    <xf numFmtId="0" fontId="28" fillId="0" borderId="18" xfId="0" applyFont="1" applyBorder="1"/>
    <xf numFmtId="49" fontId="26" fillId="0" borderId="0" xfId="0" applyNumberFormat="1" applyFont="1"/>
    <xf numFmtId="0" fontId="0" fillId="0" borderId="13" xfId="0" applyBorder="1"/>
    <xf numFmtId="0" fontId="2" fillId="0" borderId="14" xfId="0" applyFont="1" applyBorder="1"/>
    <xf numFmtId="0" fontId="0" fillId="0" borderId="17" xfId="0" applyBorder="1"/>
    <xf numFmtId="0" fontId="27" fillId="0" borderId="0" xfId="0" applyFont="1"/>
    <xf numFmtId="0" fontId="29" fillId="0" borderId="0" xfId="0" applyFont="1"/>
    <xf numFmtId="0" fontId="0" fillId="0" borderId="19" xfId="0" applyBorder="1"/>
    <xf numFmtId="0" fontId="5" fillId="0" borderId="16" xfId="0" applyFont="1" applyBorder="1"/>
    <xf numFmtId="0" fontId="0" fillId="0" borderId="1" xfId="0" applyBorder="1"/>
    <xf numFmtId="0" fontId="27" fillId="0" borderId="17" xfId="0" applyFont="1" applyBorder="1"/>
    <xf numFmtId="166" fontId="0" fillId="0" borderId="0" xfId="0" applyNumberFormat="1"/>
    <xf numFmtId="0" fontId="1" fillId="0" borderId="1" xfId="0" applyFont="1" applyBorder="1"/>
    <xf numFmtId="0" fontId="1" fillId="3" borderId="1" xfId="0" applyFont="1" applyFill="1" applyBorder="1"/>
    <xf numFmtId="0" fontId="6" fillId="4" borderId="0" xfId="0" applyFont="1" applyFill="1" applyAlignment="1">
      <alignment horizontal="centerContinuous"/>
    </xf>
    <xf numFmtId="0" fontId="30" fillId="0" borderId="0" xfId="0" applyFont="1"/>
    <xf numFmtId="0" fontId="18" fillId="0" borderId="0" xfId="0" applyFont="1"/>
    <xf numFmtId="0" fontId="0" fillId="3" borderId="0" xfId="0" applyFill="1"/>
    <xf numFmtId="0" fontId="0" fillId="2" borderId="0" xfId="0" applyFill="1"/>
    <xf numFmtId="0" fontId="26" fillId="0" borderId="0" xfId="0" applyFont="1"/>
    <xf numFmtId="14" fontId="0" fillId="0" borderId="0" xfId="0" applyNumberFormat="1"/>
    <xf numFmtId="167" fontId="0" fillId="0" borderId="0" xfId="0" applyNumberFormat="1"/>
    <xf numFmtId="0" fontId="6" fillId="0" borderId="0" xfId="0" quotePrefix="1" applyFont="1" applyAlignment="1">
      <alignment horizontal="centerContinuous"/>
    </xf>
    <xf numFmtId="167" fontId="0" fillId="0" borderId="0" xfId="0" applyNumberFormat="1" applyAlignment="1">
      <alignment horizontal="center"/>
    </xf>
    <xf numFmtId="0" fontId="31" fillId="0" borderId="0" xfId="0" applyFont="1"/>
    <xf numFmtId="14" fontId="0" fillId="2" borderId="0" xfId="0" applyNumberFormat="1" applyFill="1"/>
    <xf numFmtId="0" fontId="28" fillId="36" borderId="0" xfId="0" applyFont="1" applyFill="1"/>
    <xf numFmtId="0" fontId="30" fillId="36" borderId="0" xfId="0" applyFont="1" applyFill="1"/>
    <xf numFmtId="0" fontId="18" fillId="36" borderId="0" xfId="0" applyFont="1" applyFill="1"/>
    <xf numFmtId="0" fontId="0" fillId="36" borderId="0" xfId="0" applyFill="1"/>
    <xf numFmtId="0" fontId="32" fillId="0" borderId="0" xfId="0" applyFont="1"/>
    <xf numFmtId="0" fontId="32" fillId="0" borderId="0" xfId="0" applyFont="1" applyAlignment="1">
      <alignment horizontal="center"/>
    </xf>
    <xf numFmtId="0" fontId="6" fillId="37" borderId="0" xfId="0" applyFont="1" applyFill="1" applyAlignment="1">
      <alignment horizontal="centerContinuous"/>
    </xf>
    <xf numFmtId="165" fontId="32" fillId="0" borderId="0" xfId="0" applyNumberFormat="1" applyFont="1" applyAlignment="1">
      <alignment horizontal="center"/>
    </xf>
    <xf numFmtId="43" fontId="2" fillId="0" borderId="0" xfId="51" applyFont="1"/>
    <xf numFmtId="43" fontId="6" fillId="37" borderId="0" xfId="51" applyFont="1" applyFill="1" applyAlignment="1">
      <alignment horizontal="centerContinuous"/>
    </xf>
    <xf numFmtId="43" fontId="5" fillId="0" borderId="1" xfId="51" applyFont="1" applyFill="1" applyBorder="1"/>
    <xf numFmtId="43" fontId="28" fillId="36" borderId="0" xfId="51" applyFont="1" applyFill="1"/>
    <xf numFmtId="0" fontId="28" fillId="0" borderId="0" xfId="0" applyFont="1"/>
    <xf numFmtId="43" fontId="33" fillId="36" borderId="0" xfId="51" applyFont="1" applyFill="1"/>
    <xf numFmtId="0" fontId="33" fillId="36" borderId="0" xfId="0" applyFont="1" applyFill="1"/>
    <xf numFmtId="43" fontId="18" fillId="38" borderId="0" xfId="51" applyFont="1" applyFill="1"/>
    <xf numFmtId="43" fontId="0" fillId="0" borderId="0" xfId="51" applyFont="1"/>
    <xf numFmtId="43" fontId="28" fillId="2" borderId="0" xfId="51" applyFont="1" applyFill="1"/>
    <xf numFmtId="0" fontId="6" fillId="0" borderId="0" xfId="0" applyFont="1"/>
    <xf numFmtId="0" fontId="32" fillId="2" borderId="0" xfId="0" applyFont="1" applyFill="1"/>
    <xf numFmtId="0" fontId="29" fillId="2" borderId="0" xfId="0" applyFont="1" applyFill="1"/>
    <xf numFmtId="0" fontId="6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5" fontId="0" fillId="39" borderId="0" xfId="0" applyNumberFormat="1" applyFill="1" applyAlignment="1">
      <alignment horizontal="center"/>
    </xf>
    <xf numFmtId="14" fontId="34" fillId="39" borderId="3" xfId="0" applyNumberFormat="1" applyFont="1" applyFill="1" applyBorder="1"/>
    <xf numFmtId="165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0" fillId="39" borderId="0" xfId="0" applyFill="1"/>
    <xf numFmtId="0" fontId="32" fillId="39" borderId="0" xfId="0" applyFont="1" applyFill="1" applyAlignment="1">
      <alignment horizontal="center"/>
    </xf>
    <xf numFmtId="0" fontId="32" fillId="39" borderId="0" xfId="0" applyFont="1" applyFill="1"/>
    <xf numFmtId="165" fontId="32" fillId="39" borderId="0" xfId="0" applyNumberFormat="1" applyFont="1" applyFill="1" applyAlignment="1">
      <alignment horizontal="center"/>
    </xf>
  </cellXfs>
  <cellStyles count="5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42" xr:uid="{00000000-0005-0000-0000-00002F000000}"/>
    <cellStyle name="60% - Accent2 2" xfId="43" xr:uid="{00000000-0005-0000-0000-000030000000}"/>
    <cellStyle name="60% - Accent3 2" xfId="44" xr:uid="{00000000-0005-0000-0000-000031000000}"/>
    <cellStyle name="60% - Accent4 2" xfId="45" xr:uid="{00000000-0005-0000-0000-000032000000}"/>
    <cellStyle name="60% - Accent5 2" xfId="46" xr:uid="{00000000-0005-0000-0000-000033000000}"/>
    <cellStyle name="60% - Accent6 2" xfId="47" xr:uid="{00000000-0005-0000-0000-000034000000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Comma" xfId="51" builtinId="3"/>
    <cellStyle name="Comma 2" xfId="35" xr:uid="{00000000-0005-0000-0000-00001C000000}"/>
    <cellStyle name="Comma 3" xfId="48" xr:uid="{00000000-0005-0000-0000-00001D000000}"/>
    <cellStyle name="Comma 4" xfId="34" xr:uid="{00000000-0005-0000-0000-000035000000}"/>
    <cellStyle name="Currency 2" xfId="50" xr:uid="{00000000-0005-0000-0000-00001F000000}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41" xr:uid="{00000000-0005-0000-0000-000038000000}"/>
    <cellStyle name="Normal" xfId="0" builtinId="0"/>
    <cellStyle name="Normal 2" xfId="36" xr:uid="{00000000-0005-0000-0000-000029000000}"/>
    <cellStyle name="Normal 2 2 2" xfId="39" xr:uid="{00000000-0005-0000-0000-00002A000000}"/>
    <cellStyle name="Normal 6 2 3" xfId="38" xr:uid="{00000000-0005-0000-0000-00002B000000}"/>
    <cellStyle name="Note" xfId="13" builtinId="10" customBuiltin="1"/>
    <cellStyle name="Output" xfId="8" builtinId="21" customBuiltin="1"/>
    <cellStyle name="Percent 2" xfId="49" xr:uid="{00000000-0005-0000-0000-00002F000000}"/>
    <cellStyle name="Percent 3" xfId="37" xr:uid="{00000000-0005-0000-0000-00003C000000}"/>
    <cellStyle name="Title 2" xfId="40" xr:uid="{00000000-0005-0000-0000-00003E000000}"/>
    <cellStyle name="Total" xfId="15" builtinId="25" customBuiltin="1"/>
    <cellStyle name="Warning Text" xfId="12" builtinId="11" customBuiltin="1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BE5F1"/>
          <bgColor rgb="FFDBE5F1"/>
        </patternFill>
      </fill>
      <border>
        <bottom style="thin">
          <color rgb="FF95B3D7"/>
        </bottom>
      </border>
    </dxf>
    <dxf>
      <fill>
        <patternFill patternType="solid">
          <fgColor rgb="FFDBE5F1"/>
          <bgColor rgb="FFDBE5F1"/>
        </patternFill>
      </fill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F81BD"/>
        </top>
        <bottom style="thin">
          <color rgb="FF4F81BD"/>
        </bottom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8D8D8"/>
          <bgColor rgb="FFD8D8D8"/>
        </patternFill>
      </fill>
    </dxf>
    <dxf>
      <font>
        <b/>
        <color rgb="FF000000"/>
      </font>
      <fill>
        <patternFill patternType="solid">
          <fgColor rgb="FFDBE5F1"/>
          <bgColor rgb="FFDBE5F1"/>
        </patternFill>
      </fill>
      <border>
        <top style="thin">
          <color rgb="FF95B3D7"/>
        </top>
      </border>
    </dxf>
    <dxf>
      <font>
        <b/>
        <color rgb="FF000000"/>
      </font>
      <fill>
        <patternFill patternType="solid">
          <fgColor rgb="FFDBE5F1"/>
          <bgColor rgb="FFDBE5F1"/>
        </patternFill>
      </fill>
      <border>
        <bottom style="thin">
          <color rgb="FF95B3D7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51"/>
      <tableStyleElement type="totalRow" dxfId="50"/>
      <tableStyleElement type="firstRowStripe" dxfId="49"/>
      <tableStyleElement type="firstColumnStripe" dxfId="48"/>
      <tableStyleElement type="firstSubtotalColumn" dxfId="47"/>
      <tableStyleElement type="firstSubtotalRow" dxfId="46"/>
      <tableStyleElement type="secondSubtotalRow" dxfId="45"/>
      <tableStyleElement type="firstRowSubheading" dxfId="44"/>
      <tableStyleElement type="secondRowSubheading" dxfId="43"/>
      <tableStyleElement type="pageFieldLabels" dxfId="42"/>
      <tableStyleElement type="pageFieldValues" dxfId="41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B1:S206"/>
  <sheetViews>
    <sheetView showGridLines="0" tabSelected="1" zoomScale="80" zoomScaleNormal="80" zoomScaleSheetLayoutView="70" workbookViewId="0">
      <pane xSplit="2" ySplit="7" topLeftCell="C86" activePane="bottomRight" state="frozen"/>
      <selection pane="bottomRight" activeCell="O7" sqref="O7"/>
      <selection pane="bottomLeft" activeCell="A8" sqref="A8"/>
      <selection pane="topRight" activeCell="E1" sqref="E1"/>
    </sheetView>
  </sheetViews>
  <sheetFormatPr defaultColWidth="9.140625" defaultRowHeight="14.45"/>
  <cols>
    <col min="2" max="2" width="40.7109375" customWidth="1"/>
    <col min="3" max="3" width="2.7109375" customWidth="1"/>
    <col min="4" max="5" width="20.5703125" style="5" customWidth="1"/>
    <col min="6" max="6" width="2.7109375" customWidth="1"/>
    <col min="7" max="10" width="20.5703125" customWidth="1"/>
    <col min="11" max="11" width="2.7109375" customWidth="1"/>
    <col min="12" max="12" width="20.5703125" style="5" customWidth="1"/>
    <col min="13" max="13" width="20.5703125" customWidth="1"/>
    <col min="14" max="14" width="2.7109375" customWidth="1"/>
    <col min="15" max="16" width="20.5703125" customWidth="1"/>
    <col min="17" max="17" width="2.7109375" customWidth="1"/>
    <col min="19" max="19" width="11.140625" bestFit="1" customWidth="1"/>
  </cols>
  <sheetData>
    <row r="1" spans="2:19">
      <c r="D1"/>
      <c r="L1"/>
    </row>
    <row r="2" spans="2:19">
      <c r="B2" s="9" t="s">
        <v>0</v>
      </c>
      <c r="C2" s="1"/>
      <c r="D2" s="67">
        <v>45785</v>
      </c>
      <c r="L2"/>
    </row>
    <row r="3" spans="2:19">
      <c r="D3"/>
      <c r="L3"/>
    </row>
    <row r="4" spans="2:19">
      <c r="B4" s="7" t="s">
        <v>1</v>
      </c>
      <c r="D4"/>
      <c r="L4"/>
    </row>
    <row r="5" spans="2:19">
      <c r="B5" s="12"/>
      <c r="C5" s="1"/>
      <c r="D5" s="11" t="s">
        <v>2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2:19">
      <c r="B6" s="11" t="s">
        <v>3</v>
      </c>
      <c r="D6" s="3" t="s">
        <v>4</v>
      </c>
      <c r="E6" s="3"/>
      <c r="G6" s="3" t="s">
        <v>5</v>
      </c>
      <c r="H6" s="3"/>
      <c r="I6" s="3"/>
      <c r="J6" s="3"/>
      <c r="L6" s="3" t="s">
        <v>6</v>
      </c>
      <c r="M6" s="3"/>
      <c r="O6" s="3" t="s">
        <v>7</v>
      </c>
      <c r="P6" s="3"/>
    </row>
    <row r="7" spans="2:19">
      <c r="B7" s="10" t="s">
        <v>8</v>
      </c>
      <c r="C7" s="1"/>
      <c r="D7" s="4" t="s">
        <v>9</v>
      </c>
      <c r="E7" s="2" t="s">
        <v>10</v>
      </c>
      <c r="G7" s="4" t="s">
        <v>9</v>
      </c>
      <c r="H7" s="4" t="s">
        <v>10</v>
      </c>
      <c r="I7" s="4" t="s">
        <v>11</v>
      </c>
      <c r="J7" s="4" t="s">
        <v>12</v>
      </c>
      <c r="L7" s="2" t="s">
        <v>9</v>
      </c>
      <c r="M7" s="2" t="s">
        <v>10</v>
      </c>
      <c r="O7" s="4" t="s">
        <v>5</v>
      </c>
      <c r="P7" s="4" t="s">
        <v>6</v>
      </c>
    </row>
    <row r="8" spans="2:19" ht="4.5" customHeight="1">
      <c r="B8" s="12"/>
      <c r="C8" s="1"/>
      <c r="D8" s="13"/>
      <c r="E8" s="13"/>
      <c r="G8" s="13"/>
      <c r="H8" s="13"/>
      <c r="I8" s="13"/>
      <c r="J8" s="13"/>
      <c r="L8" s="13"/>
      <c r="M8" s="13"/>
      <c r="O8" s="13"/>
      <c r="P8" s="13"/>
    </row>
    <row r="9" spans="2:19" ht="15" customHeight="1">
      <c r="B9" t="s">
        <v>13</v>
      </c>
      <c r="G9" s="70" t="s">
        <v>14</v>
      </c>
      <c r="H9" s="70" t="s">
        <v>15</v>
      </c>
      <c r="I9" s="5"/>
      <c r="J9" s="6"/>
      <c r="M9" s="5"/>
      <c r="O9" s="66">
        <v>45737</v>
      </c>
      <c r="P9" s="8"/>
    </row>
    <row r="10" spans="2:19" ht="15" customHeight="1">
      <c r="B10" t="s">
        <v>16</v>
      </c>
      <c r="G10" s="70" t="s">
        <v>17</v>
      </c>
      <c r="H10" s="70" t="s">
        <v>18</v>
      </c>
      <c r="I10" s="5"/>
      <c r="J10" s="6"/>
      <c r="L10" s="70" t="s">
        <v>19</v>
      </c>
      <c r="M10" s="70" t="s">
        <v>15</v>
      </c>
      <c r="O10" s="66">
        <v>45709</v>
      </c>
      <c r="P10" s="66">
        <v>45345</v>
      </c>
    </row>
    <row r="11" spans="2:19" ht="15" customHeight="1">
      <c r="B11" t="s">
        <v>20</v>
      </c>
      <c r="G11" s="70" t="s">
        <v>21</v>
      </c>
      <c r="H11" s="70" t="s">
        <v>18</v>
      </c>
      <c r="I11" s="5"/>
      <c r="J11" s="6"/>
      <c r="M11" s="5"/>
      <c r="O11" s="66">
        <v>45657</v>
      </c>
      <c r="P11" s="8"/>
    </row>
    <row r="12" spans="2:19">
      <c r="B12" t="s">
        <v>22</v>
      </c>
      <c r="G12" s="70" t="s">
        <v>21</v>
      </c>
      <c r="H12" s="70" t="s">
        <v>18</v>
      </c>
      <c r="L12" s="5" t="s">
        <v>21</v>
      </c>
      <c r="M12" t="s">
        <v>18</v>
      </c>
      <c r="O12" s="66">
        <v>45750</v>
      </c>
      <c r="P12" s="8">
        <v>45107</v>
      </c>
      <c r="S12" s="37"/>
    </row>
    <row r="13" spans="2:19">
      <c r="B13" t="s">
        <v>23</v>
      </c>
      <c r="D13" s="5" t="s">
        <v>24</v>
      </c>
      <c r="E13" s="5" t="s">
        <v>25</v>
      </c>
      <c r="G13" s="5" t="s">
        <v>26</v>
      </c>
      <c r="H13" s="5" t="s">
        <v>25</v>
      </c>
      <c r="I13" s="5"/>
      <c r="J13" s="6"/>
      <c r="M13" s="5"/>
      <c r="O13" s="8"/>
      <c r="P13" s="8"/>
    </row>
    <row r="14" spans="2:19">
      <c r="B14" s="71" t="s">
        <v>27</v>
      </c>
      <c r="G14" s="70" t="s">
        <v>28</v>
      </c>
      <c r="H14" s="70" t="s">
        <v>18</v>
      </c>
      <c r="I14" s="5"/>
      <c r="J14" s="6"/>
      <c r="M14" s="5"/>
      <c r="O14" s="66">
        <v>45679</v>
      </c>
      <c r="P14" s="8"/>
    </row>
    <row r="15" spans="2:19">
      <c r="B15" s="71" t="s">
        <v>29</v>
      </c>
      <c r="G15" s="70" t="s">
        <v>21</v>
      </c>
      <c r="H15" s="70" t="s">
        <v>18</v>
      </c>
      <c r="I15" s="5"/>
      <c r="J15" s="6"/>
      <c r="M15" s="5"/>
      <c r="O15" s="66">
        <v>45629</v>
      </c>
      <c r="P15" s="8"/>
    </row>
    <row r="16" spans="2:19">
      <c r="B16" t="s">
        <v>30</v>
      </c>
      <c r="G16" s="70" t="s">
        <v>21</v>
      </c>
      <c r="H16" s="70" t="s">
        <v>15</v>
      </c>
      <c r="I16" s="5"/>
      <c r="J16" s="6"/>
      <c r="M16" s="5"/>
      <c r="O16" s="66">
        <v>45616</v>
      </c>
      <c r="P16" s="8"/>
    </row>
    <row r="17" spans="2:16">
      <c r="B17" s="47" t="s">
        <v>31</v>
      </c>
      <c r="G17" s="70" t="s">
        <v>28</v>
      </c>
      <c r="H17" s="70" t="s">
        <v>15</v>
      </c>
      <c r="L17" s="5" t="s">
        <v>32</v>
      </c>
      <c r="M17" t="s">
        <v>18</v>
      </c>
      <c r="O17" s="66">
        <v>45481</v>
      </c>
      <c r="P17" s="8">
        <v>45275</v>
      </c>
    </row>
    <row r="18" spans="2:16">
      <c r="B18" t="s">
        <v>33</v>
      </c>
      <c r="G18" s="5" t="s">
        <v>21</v>
      </c>
      <c r="H18" s="5" t="s">
        <v>18</v>
      </c>
      <c r="I18" s="5"/>
      <c r="J18" s="6"/>
      <c r="M18" s="5"/>
      <c r="O18" s="8">
        <v>45106</v>
      </c>
      <c r="P18" s="8"/>
    </row>
    <row r="19" spans="2:16">
      <c r="B19" t="s">
        <v>34</v>
      </c>
      <c r="G19" s="5" t="s">
        <v>21</v>
      </c>
      <c r="H19" s="5" t="s">
        <v>18</v>
      </c>
      <c r="I19" s="5"/>
      <c r="J19" s="6"/>
      <c r="L19" s="5" t="s">
        <v>21</v>
      </c>
      <c r="M19" s="5" t="s">
        <v>18</v>
      </c>
      <c r="O19" s="8">
        <v>44825</v>
      </c>
      <c r="P19" s="8">
        <v>44886</v>
      </c>
    </row>
    <row r="20" spans="2:16">
      <c r="B20" t="s">
        <v>35</v>
      </c>
      <c r="D20" s="5" t="s">
        <v>36</v>
      </c>
      <c r="E20" s="5" t="s">
        <v>25</v>
      </c>
      <c r="G20" s="5" t="s">
        <v>19</v>
      </c>
      <c r="H20" s="5" t="s">
        <v>25</v>
      </c>
      <c r="I20" s="5"/>
      <c r="J20" s="6"/>
      <c r="M20" s="5"/>
      <c r="O20" s="8"/>
      <c r="P20" s="8"/>
    </row>
    <row r="21" spans="2:16">
      <c r="B21" t="s">
        <v>37</v>
      </c>
      <c r="G21" s="70" t="s">
        <v>21</v>
      </c>
      <c r="H21" s="70" t="s">
        <v>18</v>
      </c>
      <c r="I21" s="5"/>
      <c r="J21" s="6"/>
      <c r="L21" s="5" t="s">
        <v>21</v>
      </c>
      <c r="M21" s="5" t="s">
        <v>18</v>
      </c>
      <c r="O21" s="66">
        <v>45447</v>
      </c>
      <c r="P21" s="8">
        <v>45050</v>
      </c>
    </row>
    <row r="22" spans="2:16">
      <c r="B22" t="s">
        <v>38</v>
      </c>
      <c r="G22" s="5" t="s">
        <v>21</v>
      </c>
      <c r="H22" s="5" t="s">
        <v>18</v>
      </c>
      <c r="I22" s="5"/>
      <c r="J22" s="6"/>
      <c r="L22" s="5" t="s">
        <v>19</v>
      </c>
      <c r="M22" s="5" t="s">
        <v>15</v>
      </c>
      <c r="O22" s="8">
        <v>45077</v>
      </c>
      <c r="P22" s="8">
        <v>44886</v>
      </c>
    </row>
    <row r="23" spans="2:16">
      <c r="B23" t="s">
        <v>39</v>
      </c>
      <c r="D23" s="5" t="s">
        <v>36</v>
      </c>
      <c r="E23" s="5" t="s">
        <v>25</v>
      </c>
      <c r="G23" s="5" t="s">
        <v>40</v>
      </c>
      <c r="H23" s="5" t="s">
        <v>25</v>
      </c>
      <c r="I23" s="5"/>
      <c r="J23" s="6"/>
      <c r="M23" s="5"/>
      <c r="O23" s="8"/>
      <c r="P23" s="8"/>
    </row>
    <row r="24" spans="2:16">
      <c r="B24" t="s">
        <v>41</v>
      </c>
      <c r="G24" s="70" t="s">
        <v>21</v>
      </c>
      <c r="H24" s="70" t="s">
        <v>15</v>
      </c>
      <c r="I24" s="5"/>
      <c r="J24" s="6"/>
      <c r="L24" s="70" t="s">
        <v>28</v>
      </c>
      <c r="M24" s="5" t="s">
        <v>18</v>
      </c>
      <c r="O24" s="66">
        <v>45660</v>
      </c>
      <c r="P24" s="66">
        <v>45359</v>
      </c>
    </row>
    <row r="25" spans="2:16">
      <c r="B25" t="s">
        <v>42</v>
      </c>
      <c r="G25" s="70" t="s">
        <v>21</v>
      </c>
      <c r="H25" s="70" t="s">
        <v>18</v>
      </c>
      <c r="I25" s="5"/>
      <c r="J25" s="6"/>
      <c r="L25" s="5" t="s">
        <v>43</v>
      </c>
      <c r="M25" s="5" t="s">
        <v>15</v>
      </c>
      <c r="O25" s="66">
        <v>45684</v>
      </c>
      <c r="P25" s="8">
        <v>45198</v>
      </c>
    </row>
    <row r="26" spans="2:16">
      <c r="B26" t="s">
        <v>44</v>
      </c>
      <c r="G26" s="70" t="s">
        <v>21</v>
      </c>
      <c r="H26" s="70" t="s">
        <v>18</v>
      </c>
      <c r="I26" s="5"/>
      <c r="J26" s="6"/>
      <c r="M26" s="5"/>
      <c r="O26" s="66">
        <v>45729</v>
      </c>
      <c r="P26" s="8"/>
    </row>
    <row r="27" spans="2:16">
      <c r="B27" t="s">
        <v>45</v>
      </c>
      <c r="G27" s="70" t="s">
        <v>21</v>
      </c>
      <c r="H27" s="70" t="s">
        <v>18</v>
      </c>
      <c r="I27" s="5"/>
      <c r="J27" s="6"/>
      <c r="M27" s="5"/>
      <c r="O27" s="66">
        <v>45657</v>
      </c>
      <c r="P27" s="8"/>
    </row>
    <row r="28" spans="2:16">
      <c r="B28" t="s">
        <v>46</v>
      </c>
      <c r="D28" s="5" t="s">
        <v>24</v>
      </c>
      <c r="E28" s="48" t="s">
        <v>25</v>
      </c>
      <c r="G28" s="5" t="s">
        <v>43</v>
      </c>
      <c r="H28" s="48" t="s">
        <v>25</v>
      </c>
      <c r="I28" s="5"/>
      <c r="J28" s="6"/>
      <c r="M28" s="5"/>
      <c r="O28" s="8"/>
      <c r="P28" s="8"/>
    </row>
    <row r="29" spans="2:16">
      <c r="B29" s="71" t="s">
        <v>47</v>
      </c>
      <c r="E29" s="48"/>
      <c r="G29" s="70" t="s">
        <v>48</v>
      </c>
      <c r="H29" s="70" t="s">
        <v>18</v>
      </c>
      <c r="I29" s="5"/>
      <c r="J29" s="6"/>
      <c r="M29" s="5"/>
      <c r="O29" s="66">
        <v>45775</v>
      </c>
      <c r="P29" s="8"/>
    </row>
    <row r="30" spans="2:16">
      <c r="B30" t="s">
        <v>49</v>
      </c>
      <c r="D30" s="5" t="s">
        <v>36</v>
      </c>
      <c r="E30" s="48" t="s">
        <v>25</v>
      </c>
      <c r="G30" s="48" t="s">
        <v>19</v>
      </c>
      <c r="H30" s="48" t="s">
        <v>25</v>
      </c>
      <c r="O30" s="8"/>
      <c r="P30" s="8"/>
    </row>
    <row r="31" spans="2:16">
      <c r="B31" t="s">
        <v>50</v>
      </c>
      <c r="E31" s="48"/>
      <c r="G31" s="70" t="s">
        <v>21</v>
      </c>
      <c r="H31" s="70" t="s">
        <v>18</v>
      </c>
      <c r="L31" s="5" t="s">
        <v>28</v>
      </c>
      <c r="M31" s="5" t="s">
        <v>18</v>
      </c>
      <c r="O31" s="66">
        <v>45649</v>
      </c>
      <c r="P31" s="8">
        <v>45310</v>
      </c>
    </row>
    <row r="32" spans="2:16">
      <c r="B32" t="s">
        <v>51</v>
      </c>
      <c r="D32" s="5" t="s">
        <v>36</v>
      </c>
      <c r="E32" s="48" t="s">
        <v>25</v>
      </c>
      <c r="G32" s="48" t="s">
        <v>19</v>
      </c>
      <c r="H32" s="48" t="s">
        <v>25</v>
      </c>
      <c r="O32" s="8"/>
      <c r="P32" s="8"/>
    </row>
    <row r="33" spans="2:16">
      <c r="B33" s="71" t="s">
        <v>52</v>
      </c>
      <c r="E33" s="48"/>
      <c r="G33" s="72" t="s">
        <v>21</v>
      </c>
      <c r="H33" s="70" t="s">
        <v>18</v>
      </c>
      <c r="O33" s="66">
        <v>45664</v>
      </c>
      <c r="P33" s="8"/>
    </row>
    <row r="34" spans="2:16">
      <c r="B34" t="s">
        <v>53</v>
      </c>
      <c r="D34" s="5" t="s">
        <v>36</v>
      </c>
      <c r="E34" s="48" t="s">
        <v>25</v>
      </c>
      <c r="G34" s="5" t="s">
        <v>19</v>
      </c>
      <c r="H34" s="48" t="s">
        <v>25</v>
      </c>
      <c r="I34" s="5"/>
      <c r="J34" s="6"/>
      <c r="M34" s="5"/>
      <c r="O34" s="8"/>
      <c r="P34" s="8"/>
    </row>
    <row r="35" spans="2:16">
      <c r="B35" t="s">
        <v>54</v>
      </c>
      <c r="D35" s="5" t="s">
        <v>24</v>
      </c>
      <c r="E35" s="48" t="s">
        <v>25</v>
      </c>
      <c r="G35" s="5" t="s">
        <v>19</v>
      </c>
      <c r="H35" s="48" t="s">
        <v>25</v>
      </c>
      <c r="I35" s="5"/>
      <c r="J35" s="6"/>
      <c r="M35" s="5"/>
      <c r="O35" s="8"/>
      <c r="P35" s="8"/>
    </row>
    <row r="36" spans="2:16">
      <c r="B36" s="71" t="s">
        <v>55</v>
      </c>
      <c r="E36" s="48"/>
      <c r="G36" s="70" t="s">
        <v>21</v>
      </c>
      <c r="H36" s="70" t="s">
        <v>18</v>
      </c>
      <c r="I36" s="5"/>
      <c r="J36" s="6"/>
      <c r="M36" s="5"/>
      <c r="O36" s="66">
        <v>45693</v>
      </c>
      <c r="P36" s="8"/>
    </row>
    <row r="37" spans="2:16">
      <c r="B37" s="71" t="s">
        <v>56</v>
      </c>
      <c r="E37" s="48"/>
      <c r="G37" s="70" t="s">
        <v>21</v>
      </c>
      <c r="H37" s="70" t="s">
        <v>18</v>
      </c>
      <c r="I37" s="5"/>
      <c r="J37" s="6"/>
      <c r="M37" s="5"/>
      <c r="O37" s="66">
        <v>45660</v>
      </c>
      <c r="P37" s="8"/>
    </row>
    <row r="38" spans="2:16">
      <c r="B38" t="s">
        <v>57</v>
      </c>
      <c r="E38" s="48"/>
      <c r="G38" s="70" t="s">
        <v>21</v>
      </c>
      <c r="H38" s="70" t="s">
        <v>18</v>
      </c>
      <c r="I38" s="5"/>
      <c r="J38" s="6"/>
      <c r="M38" s="5"/>
      <c r="O38" s="66">
        <v>45420</v>
      </c>
      <c r="P38" s="8"/>
    </row>
    <row r="39" spans="2:16">
      <c r="B39" s="71" t="s">
        <v>58</v>
      </c>
      <c r="G39" s="70" t="s">
        <v>21</v>
      </c>
      <c r="H39" s="70" t="s">
        <v>18</v>
      </c>
      <c r="I39" s="5"/>
      <c r="J39" s="6"/>
      <c r="M39" s="5"/>
      <c r="O39" s="66">
        <v>45623</v>
      </c>
      <c r="P39" s="8"/>
    </row>
    <row r="40" spans="2:16">
      <c r="B40" s="71" t="s">
        <v>59</v>
      </c>
      <c r="G40" s="70" t="s">
        <v>21</v>
      </c>
      <c r="H40" s="70" t="s">
        <v>18</v>
      </c>
      <c r="I40" s="5"/>
      <c r="J40" s="6"/>
      <c r="M40" s="5"/>
      <c r="O40" s="66">
        <v>45698</v>
      </c>
      <c r="P40" s="8"/>
    </row>
    <row r="41" spans="2:16">
      <c r="B41" s="47" t="s">
        <v>60</v>
      </c>
      <c r="C41" s="47"/>
      <c r="D41" s="48"/>
      <c r="E41" s="48"/>
      <c r="F41" s="47"/>
      <c r="G41" s="72" t="s">
        <v>21</v>
      </c>
      <c r="H41" s="70" t="s">
        <v>18</v>
      </c>
      <c r="L41" s="5" t="s">
        <v>21</v>
      </c>
      <c r="M41" s="5" t="s">
        <v>18</v>
      </c>
      <c r="O41" s="66">
        <v>45670</v>
      </c>
      <c r="P41" s="8">
        <v>45093</v>
      </c>
    </row>
    <row r="42" spans="2:16">
      <c r="B42" s="71" t="s">
        <v>61</v>
      </c>
      <c r="G42" s="70" t="s">
        <v>21</v>
      </c>
      <c r="H42" s="70" t="s">
        <v>15</v>
      </c>
      <c r="I42" s="5"/>
      <c r="J42" s="6"/>
      <c r="L42" s="5" t="s">
        <v>21</v>
      </c>
      <c r="M42" s="5" t="s">
        <v>18</v>
      </c>
      <c r="O42" s="66">
        <v>45684</v>
      </c>
      <c r="P42" s="8" t="s">
        <v>62</v>
      </c>
    </row>
    <row r="43" spans="2:16">
      <c r="B43" s="71" t="s">
        <v>63</v>
      </c>
      <c r="G43" s="72" t="s">
        <v>21</v>
      </c>
      <c r="H43" s="70" t="s">
        <v>18</v>
      </c>
      <c r="I43" s="5"/>
      <c r="J43" s="6"/>
      <c r="M43" s="5"/>
      <c r="O43" s="66">
        <v>45702</v>
      </c>
      <c r="P43" s="8"/>
    </row>
    <row r="44" spans="2:16">
      <c r="B44" s="47" t="s">
        <v>64</v>
      </c>
      <c r="G44" s="48" t="s">
        <v>21</v>
      </c>
      <c r="H44" s="5" t="s">
        <v>18</v>
      </c>
      <c r="O44" s="8">
        <v>44601</v>
      </c>
    </row>
    <row r="45" spans="2:16">
      <c r="B45" t="s">
        <v>65</v>
      </c>
      <c r="G45" s="70" t="s">
        <v>21</v>
      </c>
      <c r="H45" s="70" t="s">
        <v>15</v>
      </c>
      <c r="I45" s="5"/>
      <c r="J45" s="6"/>
      <c r="L45" s="5" t="s">
        <v>21</v>
      </c>
      <c r="M45" s="5" t="s">
        <v>18</v>
      </c>
      <c r="O45" s="66">
        <v>45587</v>
      </c>
      <c r="P45" s="8">
        <v>45275</v>
      </c>
    </row>
    <row r="46" spans="2:16">
      <c r="B46" s="71" t="s">
        <v>66</v>
      </c>
      <c r="G46" s="70" t="s">
        <v>21</v>
      </c>
      <c r="H46" s="70" t="s">
        <v>18</v>
      </c>
      <c r="I46" s="5"/>
      <c r="J46" s="6"/>
      <c r="M46" s="5"/>
      <c r="O46" s="66">
        <v>45679</v>
      </c>
      <c r="P46" s="8"/>
    </row>
    <row r="47" spans="2:16">
      <c r="B47" t="s">
        <v>67</v>
      </c>
      <c r="G47" s="5" t="s">
        <v>21</v>
      </c>
      <c r="H47" s="5" t="s">
        <v>18</v>
      </c>
      <c r="I47" s="5"/>
      <c r="J47" s="6"/>
      <c r="L47" s="5" t="s">
        <v>21</v>
      </c>
      <c r="M47" s="5" t="s">
        <v>18</v>
      </c>
      <c r="O47" s="8">
        <v>43846</v>
      </c>
      <c r="P47" s="8">
        <v>43816</v>
      </c>
    </row>
    <row r="48" spans="2:16">
      <c r="B48" t="s">
        <v>68</v>
      </c>
      <c r="D48" s="5" t="s">
        <v>36</v>
      </c>
      <c r="E48" s="5" t="s">
        <v>25</v>
      </c>
      <c r="G48" s="5" t="s">
        <v>43</v>
      </c>
      <c r="H48" s="5" t="s">
        <v>25</v>
      </c>
      <c r="I48" s="5">
        <v>3</v>
      </c>
      <c r="J48" s="6">
        <v>0.65</v>
      </c>
      <c r="M48" s="5"/>
      <c r="O48" s="8"/>
      <c r="P48" s="8"/>
    </row>
    <row r="49" spans="2:16">
      <c r="B49" t="s">
        <v>69</v>
      </c>
      <c r="G49" s="70" t="s">
        <v>21</v>
      </c>
      <c r="H49" s="70" t="s">
        <v>18</v>
      </c>
      <c r="I49" s="5"/>
      <c r="J49" s="6"/>
      <c r="M49" s="5"/>
      <c r="O49" s="66">
        <v>45701</v>
      </c>
      <c r="P49" s="8"/>
    </row>
    <row r="50" spans="2:16">
      <c r="B50" s="71" t="s">
        <v>70</v>
      </c>
      <c r="G50" s="70" t="s">
        <v>21</v>
      </c>
      <c r="H50" s="70" t="s">
        <v>18</v>
      </c>
      <c r="I50" s="5"/>
      <c r="J50" s="6"/>
      <c r="M50" s="5"/>
      <c r="O50" s="66">
        <v>45702</v>
      </c>
      <c r="P50" s="8"/>
    </row>
    <row r="51" spans="2:16">
      <c r="B51" t="s">
        <v>71</v>
      </c>
      <c r="G51" s="70" t="s">
        <v>21</v>
      </c>
      <c r="H51" s="70" t="s">
        <v>18</v>
      </c>
      <c r="I51" s="5"/>
      <c r="J51" s="6"/>
      <c r="L51" s="5" t="s">
        <v>21</v>
      </c>
      <c r="M51" s="5" t="s">
        <v>18</v>
      </c>
      <c r="O51" s="66">
        <v>45750</v>
      </c>
      <c r="P51" s="8">
        <v>45107</v>
      </c>
    </row>
    <row r="52" spans="2:16">
      <c r="B52" s="71" t="s">
        <v>72</v>
      </c>
      <c r="G52" s="70" t="s">
        <v>21</v>
      </c>
      <c r="H52" s="70" t="s">
        <v>18</v>
      </c>
      <c r="I52" s="5"/>
      <c r="J52" s="6"/>
      <c r="M52" s="5"/>
      <c r="O52" s="66">
        <v>45663</v>
      </c>
      <c r="P52" s="8"/>
    </row>
    <row r="53" spans="2:16">
      <c r="B53" t="s">
        <v>73</v>
      </c>
      <c r="G53" s="70" t="s">
        <v>21</v>
      </c>
      <c r="H53" s="5" t="s">
        <v>18</v>
      </c>
      <c r="I53" s="5"/>
      <c r="J53" s="6"/>
      <c r="L53" s="5" t="s">
        <v>28</v>
      </c>
      <c r="M53" s="5" t="s">
        <v>18</v>
      </c>
      <c r="O53" s="66">
        <v>45693</v>
      </c>
      <c r="P53" s="8">
        <v>45121</v>
      </c>
    </row>
    <row r="54" spans="2:16">
      <c r="B54" t="s">
        <v>74</v>
      </c>
      <c r="G54" s="70" t="s">
        <v>21</v>
      </c>
      <c r="H54" s="5" t="s">
        <v>18</v>
      </c>
      <c r="I54" s="5"/>
      <c r="J54" s="6"/>
      <c r="L54" s="5" t="s">
        <v>28</v>
      </c>
      <c r="M54" s="5" t="s">
        <v>18</v>
      </c>
      <c r="O54" s="66">
        <v>45352</v>
      </c>
      <c r="P54" s="8" t="s">
        <v>75</v>
      </c>
    </row>
    <row r="55" spans="2:16">
      <c r="B55" t="s">
        <v>76</v>
      </c>
      <c r="G55" s="5" t="s">
        <v>21</v>
      </c>
      <c r="H55" s="5" t="s">
        <v>18</v>
      </c>
      <c r="I55" s="5"/>
      <c r="J55" s="6"/>
      <c r="L55" s="5" t="s">
        <v>21</v>
      </c>
      <c r="M55" s="5" t="s">
        <v>18</v>
      </c>
      <c r="O55" s="8">
        <v>43846</v>
      </c>
      <c r="P55" s="8">
        <v>43837</v>
      </c>
    </row>
    <row r="56" spans="2:16">
      <c r="B56" t="s">
        <v>77</v>
      </c>
      <c r="D56" s="5" t="s">
        <v>78</v>
      </c>
      <c r="E56" s="5" t="s">
        <v>25</v>
      </c>
      <c r="G56" s="5" t="s">
        <v>19</v>
      </c>
      <c r="H56" s="5" t="s">
        <v>25</v>
      </c>
      <c r="I56" s="5">
        <v>3</v>
      </c>
      <c r="J56" s="6">
        <v>0.65</v>
      </c>
      <c r="M56" s="5"/>
      <c r="O56" s="8"/>
      <c r="P56" s="8"/>
    </row>
    <row r="57" spans="2:16">
      <c r="B57" t="s">
        <v>79</v>
      </c>
      <c r="G57" s="70" t="s">
        <v>21</v>
      </c>
      <c r="H57" s="70" t="s">
        <v>18</v>
      </c>
      <c r="I57" s="5"/>
      <c r="J57" s="6"/>
      <c r="M57" s="5"/>
      <c r="O57" s="66">
        <v>45667</v>
      </c>
      <c r="P57" s="8"/>
    </row>
    <row r="58" spans="2:16">
      <c r="B58" t="s">
        <v>80</v>
      </c>
      <c r="G58" s="70" t="s">
        <v>21</v>
      </c>
      <c r="H58" s="70" t="s">
        <v>18</v>
      </c>
      <c r="I58" s="5"/>
      <c r="J58" s="6"/>
      <c r="M58" s="5"/>
      <c r="O58" s="66">
        <v>45623</v>
      </c>
      <c r="P58" s="8"/>
    </row>
    <row r="59" spans="2:16">
      <c r="B59" t="s">
        <v>81</v>
      </c>
      <c r="D59" s="5" t="s">
        <v>36</v>
      </c>
      <c r="E59" s="5" t="s">
        <v>25</v>
      </c>
      <c r="G59" s="5" t="s">
        <v>19</v>
      </c>
      <c r="H59" s="5" t="s">
        <v>25</v>
      </c>
      <c r="I59" s="5">
        <v>4</v>
      </c>
      <c r="J59" s="6">
        <v>0.45</v>
      </c>
      <c r="M59" s="5"/>
      <c r="O59" s="8"/>
      <c r="P59" s="8"/>
    </row>
    <row r="60" spans="2:16">
      <c r="B60" s="47" t="s">
        <v>82</v>
      </c>
      <c r="C60" s="47"/>
      <c r="D60" s="48"/>
      <c r="E60" s="48"/>
      <c r="F60" s="47"/>
      <c r="G60" s="72" t="s">
        <v>21</v>
      </c>
      <c r="H60" s="72" t="s">
        <v>18</v>
      </c>
      <c r="I60" s="47"/>
      <c r="J60" s="47"/>
      <c r="K60" s="47"/>
      <c r="L60" s="72" t="s">
        <v>21</v>
      </c>
      <c r="M60" s="70" t="s">
        <v>18</v>
      </c>
      <c r="N60" s="47"/>
      <c r="O60" s="74">
        <v>45483</v>
      </c>
      <c r="P60" s="8" t="s">
        <v>75</v>
      </c>
    </row>
    <row r="61" spans="2:16">
      <c r="B61" s="47" t="s">
        <v>83</v>
      </c>
      <c r="C61" s="47"/>
      <c r="D61" s="48" t="s">
        <v>36</v>
      </c>
      <c r="E61" s="48" t="s">
        <v>25</v>
      </c>
      <c r="F61" s="47"/>
      <c r="G61" s="48" t="s">
        <v>19</v>
      </c>
      <c r="H61" s="48" t="s">
        <v>25</v>
      </c>
      <c r="I61" s="47"/>
      <c r="J61" s="47"/>
      <c r="K61" s="47"/>
      <c r="L61" s="48"/>
      <c r="M61" s="5"/>
      <c r="N61" s="47"/>
      <c r="O61" s="50"/>
      <c r="P61" s="50"/>
    </row>
    <row r="62" spans="2:16">
      <c r="B62" s="47" t="s">
        <v>84</v>
      </c>
      <c r="C62" s="47"/>
      <c r="D62" s="72" t="s">
        <v>78</v>
      </c>
      <c r="E62" s="48" t="s">
        <v>25</v>
      </c>
      <c r="F62" s="47"/>
      <c r="G62" s="48" t="s">
        <v>40</v>
      </c>
      <c r="H62" s="48" t="s">
        <v>25</v>
      </c>
      <c r="I62" s="47"/>
      <c r="J62" s="47"/>
      <c r="K62" s="47"/>
      <c r="L62" s="48"/>
      <c r="M62" s="5"/>
      <c r="N62" s="47"/>
      <c r="O62" s="8"/>
      <c r="P62" s="8"/>
    </row>
    <row r="63" spans="2:16">
      <c r="B63" s="62" t="s">
        <v>85</v>
      </c>
      <c r="C63" s="47"/>
      <c r="D63" s="48"/>
      <c r="E63" s="48"/>
      <c r="F63" s="47"/>
      <c r="G63" s="48" t="s">
        <v>19</v>
      </c>
      <c r="H63" s="48" t="s">
        <v>25</v>
      </c>
      <c r="I63" s="5">
        <v>3</v>
      </c>
      <c r="J63" s="6">
        <v>0.65</v>
      </c>
      <c r="K63" s="47"/>
      <c r="L63" s="48"/>
      <c r="M63" s="5"/>
      <c r="N63" s="47"/>
      <c r="O63" s="8"/>
      <c r="P63" s="8"/>
    </row>
    <row r="64" spans="2:16">
      <c r="B64" s="47" t="s">
        <v>86</v>
      </c>
      <c r="G64" s="72" t="s">
        <v>21</v>
      </c>
      <c r="H64" s="5" t="s">
        <v>18</v>
      </c>
      <c r="L64" s="5" t="s">
        <v>21</v>
      </c>
      <c r="M64" s="5" t="s">
        <v>18</v>
      </c>
      <c r="O64" s="66">
        <v>45707</v>
      </c>
      <c r="P64" s="8">
        <v>45345</v>
      </c>
    </row>
    <row r="65" spans="2:16">
      <c r="B65" s="47" t="s">
        <v>87</v>
      </c>
      <c r="C65" s="47"/>
      <c r="D65" s="48"/>
      <c r="E65" s="48"/>
      <c r="F65" s="47"/>
      <c r="G65" s="48" t="s">
        <v>88</v>
      </c>
      <c r="H65" s="48" t="s">
        <v>18</v>
      </c>
      <c r="L65" s="5" t="s">
        <v>28</v>
      </c>
      <c r="M65" s="5" t="s">
        <v>18</v>
      </c>
      <c r="O65" s="8">
        <v>44616</v>
      </c>
      <c r="P65" s="8">
        <v>44498</v>
      </c>
    </row>
    <row r="66" spans="2:16">
      <c r="B66" t="s">
        <v>89</v>
      </c>
      <c r="D66" s="5" t="s">
        <v>36</v>
      </c>
      <c r="E66" s="5" t="s">
        <v>25</v>
      </c>
      <c r="G66" s="5" t="s">
        <v>19</v>
      </c>
      <c r="H66" s="5" t="s">
        <v>25</v>
      </c>
      <c r="I66" s="5">
        <v>3</v>
      </c>
      <c r="J66" s="6">
        <v>0.65</v>
      </c>
      <c r="M66" s="5"/>
      <c r="O66" s="8"/>
      <c r="P66" s="8"/>
    </row>
    <row r="67" spans="2:16">
      <c r="B67" t="s">
        <v>90</v>
      </c>
      <c r="G67" s="5" t="s">
        <v>21</v>
      </c>
      <c r="H67" s="5" t="s">
        <v>18</v>
      </c>
      <c r="I67" s="5"/>
      <c r="J67" s="6"/>
      <c r="L67" s="5" t="s">
        <v>28</v>
      </c>
      <c r="M67" s="5" t="s">
        <v>18</v>
      </c>
      <c r="O67" s="8">
        <v>44925</v>
      </c>
      <c r="P67" s="8">
        <v>44482</v>
      </c>
    </row>
    <row r="68" spans="2:16">
      <c r="B68" t="s">
        <v>91</v>
      </c>
      <c r="G68" s="70" t="s">
        <v>21</v>
      </c>
      <c r="H68" s="70" t="s">
        <v>15</v>
      </c>
      <c r="I68" s="5"/>
      <c r="J68" s="6"/>
      <c r="L68" s="70" t="s">
        <v>28</v>
      </c>
      <c r="M68" s="70" t="s">
        <v>18</v>
      </c>
      <c r="O68" s="66">
        <v>45623</v>
      </c>
      <c r="P68" s="66">
        <v>45398</v>
      </c>
    </row>
    <row r="69" spans="2:16">
      <c r="B69" s="47" t="s">
        <v>92</v>
      </c>
      <c r="G69" s="72" t="s">
        <v>21</v>
      </c>
      <c r="H69" s="70" t="s">
        <v>18</v>
      </c>
      <c r="L69" s="5" t="s">
        <v>28</v>
      </c>
      <c r="M69" s="5" t="s">
        <v>18</v>
      </c>
      <c r="O69" s="66">
        <v>45660</v>
      </c>
      <c r="P69" s="8">
        <v>45324</v>
      </c>
    </row>
    <row r="70" spans="2:16">
      <c r="B70" s="47" t="s">
        <v>93</v>
      </c>
      <c r="G70" s="72" t="s">
        <v>21</v>
      </c>
      <c r="H70" s="70" t="s">
        <v>18</v>
      </c>
      <c r="M70" s="5"/>
      <c r="O70" s="66">
        <v>45695</v>
      </c>
      <c r="P70" s="8"/>
    </row>
    <row r="71" spans="2:16">
      <c r="B71" s="47" t="s">
        <v>94</v>
      </c>
      <c r="G71" s="48" t="s">
        <v>21</v>
      </c>
      <c r="H71" s="5" t="s">
        <v>18</v>
      </c>
      <c r="L71" s="5" t="s">
        <v>21</v>
      </c>
      <c r="M71" s="5" t="s">
        <v>18</v>
      </c>
      <c r="O71" s="8">
        <v>45016</v>
      </c>
      <c r="P71" s="8">
        <v>45198</v>
      </c>
    </row>
    <row r="72" spans="2:16">
      <c r="B72" t="s">
        <v>95</v>
      </c>
      <c r="D72" s="5" t="s">
        <v>24</v>
      </c>
      <c r="E72" s="5" t="s">
        <v>25</v>
      </c>
      <c r="G72" s="5" t="s">
        <v>19</v>
      </c>
      <c r="H72" s="5" t="s">
        <v>25</v>
      </c>
      <c r="I72" s="5"/>
      <c r="J72" s="6"/>
      <c r="M72" s="5"/>
      <c r="O72" s="8"/>
      <c r="P72" s="8"/>
    </row>
    <row r="73" spans="2:16">
      <c r="B73" t="s">
        <v>96</v>
      </c>
      <c r="G73" s="5" t="s">
        <v>21</v>
      </c>
      <c r="H73" s="5" t="s">
        <v>18</v>
      </c>
      <c r="I73" s="5"/>
      <c r="J73" s="6"/>
      <c r="M73" s="5"/>
      <c r="O73" s="8">
        <v>44995</v>
      </c>
      <c r="P73" s="8"/>
    </row>
    <row r="74" spans="2:16">
      <c r="B74" t="s">
        <v>97</v>
      </c>
      <c r="G74" s="5" t="s">
        <v>28</v>
      </c>
      <c r="H74" s="5" t="s">
        <v>18</v>
      </c>
      <c r="I74" s="5"/>
      <c r="J74" s="6"/>
      <c r="L74" s="5" t="s">
        <v>21</v>
      </c>
      <c r="M74" s="5" t="s">
        <v>18</v>
      </c>
      <c r="O74" s="8">
        <v>44761</v>
      </c>
      <c r="P74" s="8">
        <v>44960</v>
      </c>
    </row>
    <row r="75" spans="2:16">
      <c r="B75" t="s">
        <v>98</v>
      </c>
      <c r="G75" s="5" t="s">
        <v>99</v>
      </c>
      <c r="H75" s="5" t="s">
        <v>18</v>
      </c>
      <c r="I75" s="5"/>
      <c r="J75" s="6"/>
      <c r="L75" s="5" t="s">
        <v>21</v>
      </c>
      <c r="M75" s="5" t="s">
        <v>18</v>
      </c>
      <c r="O75" s="8">
        <v>44762</v>
      </c>
      <c r="P75" s="8">
        <v>44533</v>
      </c>
    </row>
    <row r="76" spans="2:16">
      <c r="B76" t="s">
        <v>100</v>
      </c>
      <c r="G76" s="70" t="s">
        <v>21</v>
      </c>
      <c r="H76" s="70" t="s">
        <v>18</v>
      </c>
      <c r="I76" s="5"/>
      <c r="J76" s="6"/>
      <c r="M76" s="5"/>
      <c r="O76" s="66">
        <v>45708</v>
      </c>
      <c r="P76" s="8"/>
    </row>
    <row r="77" spans="2:16">
      <c r="B77" t="s">
        <v>101</v>
      </c>
      <c r="D77" s="5" t="s">
        <v>102</v>
      </c>
      <c r="E77" s="5" t="s">
        <v>25</v>
      </c>
      <c r="G77" s="5" t="s">
        <v>103</v>
      </c>
      <c r="H77" s="5" t="s">
        <v>25</v>
      </c>
      <c r="I77" s="5"/>
      <c r="J77" s="6"/>
      <c r="M77" s="5"/>
      <c r="O77" s="8"/>
      <c r="P77" s="8"/>
    </row>
    <row r="78" spans="2:16">
      <c r="B78" s="71" t="s">
        <v>104</v>
      </c>
      <c r="G78" s="70" t="s">
        <v>21</v>
      </c>
      <c r="H78" s="70" t="s">
        <v>18</v>
      </c>
      <c r="I78" s="5"/>
      <c r="J78" s="6"/>
      <c r="M78" s="5"/>
      <c r="O78" s="66">
        <v>45626</v>
      </c>
      <c r="P78" s="8"/>
    </row>
    <row r="79" spans="2:16">
      <c r="B79" s="71" t="s">
        <v>105</v>
      </c>
      <c r="G79" s="70" t="s">
        <v>21</v>
      </c>
      <c r="H79" s="70" t="s">
        <v>18</v>
      </c>
      <c r="I79" s="5"/>
      <c r="J79" s="6"/>
      <c r="M79" s="5"/>
      <c r="O79" s="66">
        <v>45657</v>
      </c>
      <c r="P79" s="8"/>
    </row>
    <row r="80" spans="2:16">
      <c r="B80" s="71" t="s">
        <v>106</v>
      </c>
      <c r="G80" s="70" t="s">
        <v>21</v>
      </c>
      <c r="H80" s="70" t="s">
        <v>18</v>
      </c>
      <c r="I80" s="5"/>
      <c r="J80" s="6"/>
      <c r="M80" s="5"/>
      <c r="O80" s="66">
        <v>45684</v>
      </c>
      <c r="P80" s="8"/>
    </row>
    <row r="81" spans="2:16">
      <c r="B81" t="s">
        <v>107</v>
      </c>
      <c r="G81" s="70" t="s">
        <v>21</v>
      </c>
      <c r="H81" s="70" t="s">
        <v>18</v>
      </c>
      <c r="I81" s="5"/>
      <c r="J81" s="6"/>
      <c r="M81" s="5"/>
      <c r="O81" s="66">
        <v>45513</v>
      </c>
      <c r="P81" s="8"/>
    </row>
    <row r="82" spans="2:16">
      <c r="B82" t="s">
        <v>108</v>
      </c>
      <c r="D82" s="5" t="s">
        <v>36</v>
      </c>
      <c r="E82" s="5" t="s">
        <v>25</v>
      </c>
      <c r="G82" s="5" t="s">
        <v>43</v>
      </c>
      <c r="H82" s="5" t="s">
        <v>25</v>
      </c>
      <c r="O82" s="8"/>
      <c r="P82" s="8"/>
    </row>
    <row r="83" spans="2:16">
      <c r="B83" t="s">
        <v>109</v>
      </c>
      <c r="D83" s="5" t="s">
        <v>24</v>
      </c>
      <c r="E83" s="5" t="s">
        <v>15</v>
      </c>
      <c r="G83" s="5" t="s">
        <v>19</v>
      </c>
      <c r="H83" s="5" t="s">
        <v>15</v>
      </c>
      <c r="I83" s="5" t="s">
        <v>110</v>
      </c>
      <c r="J83" s="6" t="s">
        <v>110</v>
      </c>
      <c r="L83" s="5" t="s">
        <v>28</v>
      </c>
      <c r="M83" s="5" t="s">
        <v>18</v>
      </c>
      <c r="O83" s="8"/>
      <c r="P83" s="8">
        <v>44498</v>
      </c>
    </row>
    <row r="84" spans="2:16">
      <c r="B84" s="71" t="s">
        <v>111</v>
      </c>
      <c r="G84" s="70" t="s">
        <v>21</v>
      </c>
      <c r="H84" s="70" t="s">
        <v>18</v>
      </c>
      <c r="I84" s="5"/>
      <c r="J84" s="6"/>
      <c r="M84" s="5"/>
      <c r="O84" s="66">
        <v>45679</v>
      </c>
      <c r="P84" s="8"/>
    </row>
    <row r="85" spans="2:16">
      <c r="B85" s="47" t="s">
        <v>112</v>
      </c>
      <c r="G85" s="70" t="s">
        <v>21</v>
      </c>
      <c r="H85" s="70" t="s">
        <v>18</v>
      </c>
      <c r="L85" s="5" t="s">
        <v>28</v>
      </c>
      <c r="M85" s="5" t="s">
        <v>18</v>
      </c>
      <c r="O85" s="66">
        <v>45727</v>
      </c>
      <c r="P85" s="8">
        <v>45355</v>
      </c>
    </row>
    <row r="86" spans="2:16">
      <c r="B86" t="s">
        <v>113</v>
      </c>
      <c r="G86" s="5" t="s">
        <v>21</v>
      </c>
      <c r="H86" s="5" t="s">
        <v>18</v>
      </c>
      <c r="I86" s="5"/>
      <c r="J86" s="6"/>
      <c r="M86" s="5"/>
      <c r="O86" s="8">
        <v>44659</v>
      </c>
      <c r="P86" s="8"/>
    </row>
    <row r="87" spans="2:16">
      <c r="B87" t="s">
        <v>114</v>
      </c>
      <c r="G87" s="5" t="s">
        <v>21</v>
      </c>
      <c r="H87" s="5" t="s">
        <v>18</v>
      </c>
      <c r="I87" s="5"/>
      <c r="J87" s="6"/>
      <c r="L87" s="5" t="s">
        <v>21</v>
      </c>
      <c r="M87" s="5" t="s">
        <v>18</v>
      </c>
      <c r="O87" s="8">
        <v>45026</v>
      </c>
      <c r="P87" s="8">
        <v>45107</v>
      </c>
    </row>
    <row r="88" spans="2:16">
      <c r="B88" s="47" t="s">
        <v>115</v>
      </c>
      <c r="G88" s="72" t="s">
        <v>21</v>
      </c>
      <c r="H88" s="70" t="s">
        <v>18</v>
      </c>
      <c r="L88" s="5" t="s">
        <v>21</v>
      </c>
      <c r="M88" s="5" t="s">
        <v>18</v>
      </c>
      <c r="O88" s="66">
        <v>45667</v>
      </c>
      <c r="P88" s="8" t="s">
        <v>62</v>
      </c>
    </row>
    <row r="89" spans="2:16">
      <c r="B89" t="s">
        <v>116</v>
      </c>
      <c r="G89" s="70" t="s">
        <v>21</v>
      </c>
      <c r="H89" s="70" t="s">
        <v>18</v>
      </c>
      <c r="I89" s="5"/>
      <c r="J89" s="6"/>
      <c r="L89" s="5" t="s">
        <v>28</v>
      </c>
      <c r="M89" s="5" t="s">
        <v>18</v>
      </c>
      <c r="O89" s="66">
        <v>45743</v>
      </c>
      <c r="P89" s="8">
        <v>45398</v>
      </c>
    </row>
    <row r="90" spans="2:16">
      <c r="B90" t="s">
        <v>117</v>
      </c>
      <c r="G90" s="70" t="s">
        <v>21</v>
      </c>
      <c r="H90" s="70" t="s">
        <v>18</v>
      </c>
      <c r="I90" s="5"/>
      <c r="J90" s="6"/>
      <c r="M90" s="5"/>
      <c r="O90" s="66">
        <v>45708</v>
      </c>
      <c r="P90" s="8"/>
    </row>
    <row r="91" spans="2:16">
      <c r="B91" t="s">
        <v>118</v>
      </c>
      <c r="G91" s="70" t="s">
        <v>21</v>
      </c>
      <c r="H91" s="70" t="s">
        <v>18</v>
      </c>
      <c r="I91" s="5"/>
      <c r="J91" s="6"/>
      <c r="L91" s="5" t="s">
        <v>88</v>
      </c>
      <c r="M91" s="5" t="s">
        <v>18</v>
      </c>
      <c r="O91" s="66">
        <v>45778</v>
      </c>
      <c r="P91" s="8">
        <v>45324</v>
      </c>
    </row>
    <row r="92" spans="2:16">
      <c r="B92" t="s">
        <v>119</v>
      </c>
      <c r="G92" s="70" t="s">
        <v>21</v>
      </c>
      <c r="H92" s="70" t="s">
        <v>18</v>
      </c>
      <c r="I92" s="5"/>
      <c r="J92" s="6"/>
      <c r="L92" s="70" t="s">
        <v>28</v>
      </c>
      <c r="M92" s="70" t="s">
        <v>18</v>
      </c>
      <c r="O92" s="66">
        <v>45680</v>
      </c>
      <c r="P92" s="66">
        <v>45418</v>
      </c>
    </row>
    <row r="93" spans="2:16">
      <c r="B93" t="s">
        <v>120</v>
      </c>
      <c r="G93" s="70" t="s">
        <v>21</v>
      </c>
      <c r="H93" s="70" t="s">
        <v>18</v>
      </c>
      <c r="I93" s="5"/>
      <c r="J93" s="6"/>
      <c r="M93" s="5"/>
      <c r="O93" s="66">
        <v>45702</v>
      </c>
      <c r="P93" s="66"/>
    </row>
    <row r="94" spans="2:16">
      <c r="B94" s="71" t="s">
        <v>121</v>
      </c>
      <c r="G94" s="70" t="s">
        <v>21</v>
      </c>
      <c r="H94" s="70" t="s">
        <v>18</v>
      </c>
      <c r="I94" s="5"/>
      <c r="J94" s="6"/>
      <c r="M94" s="5"/>
      <c r="O94" s="66">
        <v>45645</v>
      </c>
      <c r="P94" s="8"/>
    </row>
    <row r="95" spans="2:16">
      <c r="B95" t="s">
        <v>122</v>
      </c>
      <c r="G95" s="5" t="s">
        <v>21</v>
      </c>
      <c r="H95" s="5" t="s">
        <v>18</v>
      </c>
      <c r="I95" s="5"/>
      <c r="J95" s="6"/>
      <c r="L95" s="5" t="s">
        <v>21</v>
      </c>
      <c r="M95" s="5" t="s">
        <v>18</v>
      </c>
      <c r="O95" s="8">
        <v>45064</v>
      </c>
      <c r="P95" s="8">
        <v>45040</v>
      </c>
    </row>
    <row r="96" spans="2:16">
      <c r="B96" t="s">
        <v>123</v>
      </c>
      <c r="G96" s="5" t="s">
        <v>19</v>
      </c>
      <c r="H96" s="5" t="s">
        <v>25</v>
      </c>
      <c r="I96" s="5"/>
      <c r="J96" s="6"/>
      <c r="M96" s="5"/>
      <c r="O96" s="8"/>
      <c r="P96" s="8"/>
    </row>
    <row r="97" spans="2:16">
      <c r="B97" t="s">
        <v>124</v>
      </c>
      <c r="G97" s="70" t="s">
        <v>21</v>
      </c>
      <c r="H97" s="70" t="s">
        <v>18</v>
      </c>
      <c r="I97" s="5"/>
      <c r="J97" s="6"/>
      <c r="M97" s="5"/>
      <c r="O97" s="66">
        <v>45657</v>
      </c>
      <c r="P97" s="8"/>
    </row>
    <row r="98" spans="2:16">
      <c r="B98" t="s">
        <v>125</v>
      </c>
      <c r="G98" s="70" t="s">
        <v>21</v>
      </c>
      <c r="H98" s="70" t="s">
        <v>18</v>
      </c>
      <c r="I98" s="5"/>
      <c r="J98" s="6"/>
      <c r="M98" s="5"/>
      <c r="O98" s="66">
        <v>45785</v>
      </c>
      <c r="P98" s="8"/>
    </row>
    <row r="99" spans="2:16">
      <c r="B99" t="s">
        <v>126</v>
      </c>
      <c r="G99" s="5" t="s">
        <v>28</v>
      </c>
      <c r="H99" s="5" t="s">
        <v>18</v>
      </c>
      <c r="I99" s="5"/>
      <c r="J99" s="6"/>
      <c r="L99" s="5" t="s">
        <v>28</v>
      </c>
      <c r="M99" s="5" t="s">
        <v>18</v>
      </c>
      <c r="O99" s="8">
        <v>44370</v>
      </c>
      <c r="P99" s="8">
        <v>44328</v>
      </c>
    </row>
    <row r="100" spans="2:16">
      <c r="B100" t="s">
        <v>127</v>
      </c>
      <c r="G100" s="70" t="s">
        <v>21</v>
      </c>
      <c r="H100" s="70" t="s">
        <v>18</v>
      </c>
      <c r="I100" s="5"/>
      <c r="J100" s="6"/>
      <c r="L100" s="5" t="s">
        <v>28</v>
      </c>
      <c r="M100" s="5" t="s">
        <v>18</v>
      </c>
      <c r="O100" s="66">
        <v>45712</v>
      </c>
      <c r="P100" s="8" t="s">
        <v>128</v>
      </c>
    </row>
    <row r="101" spans="2:16">
      <c r="B101" t="s">
        <v>129</v>
      </c>
      <c r="G101" s="70" t="s">
        <v>28</v>
      </c>
      <c r="H101" s="70" t="s">
        <v>18</v>
      </c>
      <c r="I101" s="5"/>
      <c r="J101" s="6"/>
      <c r="M101" s="5"/>
      <c r="O101" s="66">
        <v>45630</v>
      </c>
      <c r="P101" s="8"/>
    </row>
    <row r="102" spans="2:16">
      <c r="B102" t="s">
        <v>130</v>
      </c>
      <c r="G102" s="5" t="s">
        <v>21</v>
      </c>
      <c r="H102" s="5" t="s">
        <v>18</v>
      </c>
      <c r="I102" s="5"/>
      <c r="J102" s="6"/>
      <c r="L102" s="5" t="s">
        <v>21</v>
      </c>
      <c r="M102" s="5" t="s">
        <v>18</v>
      </c>
      <c r="O102" s="8">
        <v>44900</v>
      </c>
      <c r="P102" s="8">
        <v>44900</v>
      </c>
    </row>
    <row r="103" spans="2:16">
      <c r="B103" s="47" t="s">
        <v>131</v>
      </c>
      <c r="G103" s="70" t="s">
        <v>21</v>
      </c>
      <c r="H103" s="70" t="s">
        <v>15</v>
      </c>
      <c r="L103" s="5" t="s">
        <v>43</v>
      </c>
      <c r="M103" s="5" t="s">
        <v>15</v>
      </c>
      <c r="O103" s="66">
        <v>45573</v>
      </c>
      <c r="P103" s="8">
        <v>45121</v>
      </c>
    </row>
    <row r="104" spans="2:16">
      <c r="B104" t="s">
        <v>132</v>
      </c>
      <c r="G104" s="70" t="s">
        <v>17</v>
      </c>
      <c r="H104" s="70" t="s">
        <v>18</v>
      </c>
      <c r="I104" s="5"/>
      <c r="J104" s="6"/>
      <c r="L104" s="69" t="s">
        <v>21</v>
      </c>
      <c r="M104" s="5" t="s">
        <v>18</v>
      </c>
      <c r="O104" s="66">
        <v>45483</v>
      </c>
      <c r="P104" s="68">
        <v>44886</v>
      </c>
    </row>
    <row r="105" spans="2:16">
      <c r="B105" s="47" t="s">
        <v>133</v>
      </c>
      <c r="C105" s="47"/>
      <c r="D105" s="48"/>
      <c r="E105" s="48"/>
      <c r="F105" s="47"/>
      <c r="G105" s="70" t="s">
        <v>21</v>
      </c>
      <c r="H105" s="70" t="s">
        <v>15</v>
      </c>
      <c r="L105" s="70" t="s">
        <v>21</v>
      </c>
      <c r="M105" s="70" t="s">
        <v>18</v>
      </c>
      <c r="O105" s="66">
        <v>45414</v>
      </c>
      <c r="P105" s="66">
        <v>45398</v>
      </c>
    </row>
    <row r="106" spans="2:16">
      <c r="B106" t="s">
        <v>134</v>
      </c>
      <c r="G106" s="70" t="s">
        <v>17</v>
      </c>
      <c r="H106" s="70" t="s">
        <v>18</v>
      </c>
      <c r="L106" s="70" t="s">
        <v>28</v>
      </c>
      <c r="M106" s="70" t="s">
        <v>18</v>
      </c>
      <c r="O106" s="66">
        <v>45706</v>
      </c>
      <c r="P106" s="66">
        <v>45398</v>
      </c>
    </row>
    <row r="107" spans="2:16">
      <c r="B107" s="47" t="s">
        <v>135</v>
      </c>
      <c r="G107" s="70" t="s">
        <v>21</v>
      </c>
      <c r="H107" s="70" t="s">
        <v>18</v>
      </c>
      <c r="O107" s="66">
        <v>45645</v>
      </c>
    </row>
    <row r="108" spans="2:16">
      <c r="B108" s="71" t="s">
        <v>136</v>
      </c>
      <c r="G108" s="70" t="s">
        <v>21</v>
      </c>
      <c r="H108" s="70" t="s">
        <v>18</v>
      </c>
      <c r="I108" s="5"/>
      <c r="J108" s="6"/>
      <c r="M108" s="5"/>
      <c r="O108" s="66">
        <v>45461</v>
      </c>
      <c r="P108" s="8"/>
    </row>
    <row r="109" spans="2:16">
      <c r="B109" t="s">
        <v>137</v>
      </c>
      <c r="G109" s="5" t="s">
        <v>99</v>
      </c>
      <c r="H109" s="5" t="s">
        <v>18</v>
      </c>
      <c r="I109" s="5"/>
      <c r="J109" s="6"/>
      <c r="M109" s="5"/>
      <c r="O109" s="8">
        <v>45027</v>
      </c>
      <c r="P109" s="8"/>
    </row>
    <row r="110" spans="2:16">
      <c r="B110" t="s">
        <v>138</v>
      </c>
      <c r="G110" s="5" t="s">
        <v>26</v>
      </c>
      <c r="H110" s="5" t="s">
        <v>25</v>
      </c>
      <c r="I110" s="5"/>
      <c r="J110" s="6"/>
      <c r="M110" s="5"/>
      <c r="O110" s="8"/>
      <c r="P110" s="8"/>
    </row>
    <row r="111" spans="2:16">
      <c r="B111" t="s">
        <v>139</v>
      </c>
      <c r="G111" s="70" t="s">
        <v>21</v>
      </c>
      <c r="H111" s="70" t="s">
        <v>18</v>
      </c>
      <c r="I111" s="5"/>
      <c r="J111" s="6"/>
      <c r="L111" s="5" t="s">
        <v>21</v>
      </c>
      <c r="M111" s="5"/>
      <c r="O111" s="66">
        <v>45661</v>
      </c>
      <c r="P111" s="8" t="s">
        <v>75</v>
      </c>
    </row>
    <row r="112" spans="2:16">
      <c r="B112" t="s">
        <v>140</v>
      </c>
      <c r="D112" s="5" t="s">
        <v>36</v>
      </c>
      <c r="E112" s="5" t="s">
        <v>25</v>
      </c>
      <c r="G112" s="5" t="s">
        <v>19</v>
      </c>
      <c r="H112" s="5" t="s">
        <v>25</v>
      </c>
      <c r="I112" s="5"/>
      <c r="J112" s="6"/>
      <c r="M112" s="5"/>
      <c r="O112" s="8"/>
      <c r="P112" s="8"/>
    </row>
    <row r="113" spans="2:16">
      <c r="B113" t="s">
        <v>141</v>
      </c>
      <c r="G113" s="70" t="s">
        <v>99</v>
      </c>
      <c r="H113" s="70" t="s">
        <v>18</v>
      </c>
      <c r="I113" s="5"/>
      <c r="J113" s="6"/>
      <c r="L113" s="5" t="s">
        <v>21</v>
      </c>
      <c r="M113" t="s">
        <v>18</v>
      </c>
      <c r="O113" s="66">
        <v>45478</v>
      </c>
      <c r="P113" s="8">
        <v>45093</v>
      </c>
    </row>
    <row r="114" spans="2:16">
      <c r="B114" s="47" t="s">
        <v>142</v>
      </c>
      <c r="G114" s="72" t="s">
        <v>17</v>
      </c>
      <c r="H114" s="70" t="s">
        <v>15</v>
      </c>
      <c r="L114" s="70" t="s">
        <v>99</v>
      </c>
      <c r="M114" s="48" t="s">
        <v>18</v>
      </c>
      <c r="O114" s="66">
        <v>45764</v>
      </c>
      <c r="P114" s="66">
        <v>45366</v>
      </c>
    </row>
    <row r="115" spans="2:16">
      <c r="B115" s="47" t="s">
        <v>143</v>
      </c>
      <c r="G115" s="70" t="s">
        <v>21</v>
      </c>
      <c r="H115" s="70" t="s">
        <v>18</v>
      </c>
      <c r="L115" s="5" t="s">
        <v>21</v>
      </c>
      <c r="M115" s="5" t="s">
        <v>18</v>
      </c>
      <c r="O115" s="66">
        <v>45692</v>
      </c>
      <c r="P115" s="8" t="s">
        <v>128</v>
      </c>
    </row>
    <row r="116" spans="2:16">
      <c r="B116" t="s">
        <v>144</v>
      </c>
      <c r="D116" s="5" t="s">
        <v>24</v>
      </c>
      <c r="E116" s="5" t="s">
        <v>25</v>
      </c>
      <c r="G116" s="5" t="s">
        <v>145</v>
      </c>
      <c r="H116" s="5" t="s">
        <v>25</v>
      </c>
      <c r="O116" s="8"/>
      <c r="P116" s="8"/>
    </row>
    <row r="117" spans="2:16">
      <c r="B117" t="s">
        <v>146</v>
      </c>
      <c r="G117" s="48" t="s">
        <v>21</v>
      </c>
      <c r="H117" s="5" t="s">
        <v>18</v>
      </c>
      <c r="L117" s="5" t="s">
        <v>21</v>
      </c>
      <c r="M117" s="5" t="s">
        <v>18</v>
      </c>
      <c r="O117" s="8">
        <v>45762</v>
      </c>
      <c r="P117" s="8"/>
    </row>
    <row r="118" spans="2:16">
      <c r="B118" t="s">
        <v>147</v>
      </c>
      <c r="D118" s="5" t="s">
        <v>36</v>
      </c>
      <c r="E118" s="5" t="s">
        <v>25</v>
      </c>
      <c r="G118" s="5" t="s">
        <v>19</v>
      </c>
      <c r="H118" s="5" t="s">
        <v>25</v>
      </c>
      <c r="I118" s="5">
        <v>3</v>
      </c>
      <c r="J118" s="6">
        <v>0.5</v>
      </c>
      <c r="M118" s="5"/>
      <c r="O118" s="8"/>
      <c r="P118" s="8"/>
    </row>
    <row r="119" spans="2:16">
      <c r="B119" s="71" t="s">
        <v>148</v>
      </c>
      <c r="G119" s="70" t="s">
        <v>21</v>
      </c>
      <c r="H119" s="70" t="s">
        <v>18</v>
      </c>
      <c r="I119" s="5"/>
      <c r="J119" s="6"/>
      <c r="M119" s="5"/>
      <c r="O119" s="66">
        <v>45702</v>
      </c>
      <c r="P119" s="8"/>
    </row>
    <row r="120" spans="2:16">
      <c r="B120" s="47" t="s">
        <v>149</v>
      </c>
      <c r="C120" s="47"/>
      <c r="D120" s="48"/>
      <c r="E120" s="48"/>
      <c r="F120" s="47"/>
      <c r="G120" s="48" t="s">
        <v>28</v>
      </c>
      <c r="H120" s="5" t="s">
        <v>18</v>
      </c>
      <c r="L120" s="5" t="s">
        <v>21</v>
      </c>
      <c r="M120" t="s">
        <v>18</v>
      </c>
      <c r="O120" s="8">
        <v>45328</v>
      </c>
      <c r="P120" s="8">
        <v>45107</v>
      </c>
    </row>
    <row r="121" spans="2:16">
      <c r="B121" t="s">
        <v>150</v>
      </c>
      <c r="D121" s="5" t="s">
        <v>36</v>
      </c>
      <c r="E121" s="5" t="s">
        <v>25</v>
      </c>
      <c r="G121" s="5" t="s">
        <v>40</v>
      </c>
      <c r="H121" s="5" t="s">
        <v>25</v>
      </c>
      <c r="I121" s="5">
        <v>3</v>
      </c>
      <c r="J121" s="6">
        <v>0.65</v>
      </c>
      <c r="M121" s="5"/>
      <c r="O121" s="8"/>
      <c r="P121" s="8"/>
    </row>
    <row r="122" spans="2:16">
      <c r="B122" s="47" t="s">
        <v>151</v>
      </c>
      <c r="G122" s="72" t="s">
        <v>21</v>
      </c>
      <c r="H122" s="70" t="s">
        <v>15</v>
      </c>
      <c r="L122" s="5" t="s">
        <v>21</v>
      </c>
      <c r="M122" t="s">
        <v>18</v>
      </c>
      <c r="O122" s="66">
        <v>45647</v>
      </c>
      <c r="P122" s="8" t="s">
        <v>75</v>
      </c>
    </row>
    <row r="123" spans="2:16">
      <c r="B123" s="47" t="s">
        <v>152</v>
      </c>
      <c r="G123" s="72" t="s">
        <v>21</v>
      </c>
      <c r="H123" s="70" t="s">
        <v>18</v>
      </c>
      <c r="L123" s="70" t="s">
        <v>88</v>
      </c>
      <c r="M123" s="71" t="s">
        <v>18</v>
      </c>
      <c r="O123" s="66">
        <v>45671</v>
      </c>
      <c r="P123" s="66">
        <v>45405</v>
      </c>
    </row>
    <row r="124" spans="2:16">
      <c r="B124" s="47" t="s">
        <v>153</v>
      </c>
      <c r="G124" s="70" t="s">
        <v>21</v>
      </c>
      <c r="H124" s="70" t="s">
        <v>18</v>
      </c>
      <c r="M124" s="5"/>
      <c r="O124" s="66">
        <v>45670</v>
      </c>
      <c r="P124" s="8"/>
    </row>
    <row r="125" spans="2:16">
      <c r="B125" t="s">
        <v>154</v>
      </c>
      <c r="G125" s="70" t="s">
        <v>21</v>
      </c>
      <c r="H125" s="70" t="s">
        <v>18</v>
      </c>
      <c r="I125" s="5"/>
      <c r="J125" s="6"/>
      <c r="L125" s="5" t="s">
        <v>21</v>
      </c>
      <c r="M125" s="5" t="s">
        <v>18</v>
      </c>
      <c r="O125" s="66">
        <v>45646</v>
      </c>
      <c r="P125" s="8" t="s">
        <v>75</v>
      </c>
    </row>
    <row r="126" spans="2:16">
      <c r="B126" s="47" t="s">
        <v>155</v>
      </c>
      <c r="G126" s="72" t="s">
        <v>21</v>
      </c>
      <c r="H126" s="70" t="s">
        <v>18</v>
      </c>
      <c r="L126" s="5" t="s">
        <v>21</v>
      </c>
      <c r="M126" s="5" t="s">
        <v>18</v>
      </c>
      <c r="O126" s="66">
        <v>45664</v>
      </c>
      <c r="P126" s="8">
        <v>45107</v>
      </c>
    </row>
    <row r="127" spans="2:16">
      <c r="B127" s="47" t="s">
        <v>156</v>
      </c>
      <c r="G127" s="5" t="s">
        <v>99</v>
      </c>
      <c r="H127" s="5" t="s">
        <v>18</v>
      </c>
      <c r="M127" s="5"/>
      <c r="O127" s="8">
        <v>45243</v>
      </c>
      <c r="P127" s="8"/>
    </row>
    <row r="128" spans="2:16">
      <c r="B128" t="s">
        <v>157</v>
      </c>
      <c r="G128" s="70" t="s">
        <v>21</v>
      </c>
      <c r="H128" s="70" t="s">
        <v>18</v>
      </c>
      <c r="I128" s="5"/>
      <c r="J128" s="6"/>
      <c r="L128" s="5" t="s">
        <v>43</v>
      </c>
      <c r="M128" s="5" t="s">
        <v>15</v>
      </c>
      <c r="O128" s="66">
        <v>45741</v>
      </c>
      <c r="P128" s="8" t="s">
        <v>75</v>
      </c>
    </row>
    <row r="129" spans="2:16">
      <c r="B129" s="73" t="s">
        <v>158</v>
      </c>
      <c r="G129" s="70" t="s">
        <v>21</v>
      </c>
      <c r="H129" s="70" t="s">
        <v>18</v>
      </c>
      <c r="I129" s="5"/>
      <c r="J129" s="6"/>
      <c r="M129" s="5"/>
      <c r="O129" s="66">
        <v>45664</v>
      </c>
      <c r="P129" s="8"/>
    </row>
    <row r="130" spans="2:16">
      <c r="B130" s="47" t="s">
        <v>159</v>
      </c>
      <c r="G130" s="70" t="s">
        <v>21</v>
      </c>
      <c r="H130" s="70" t="s">
        <v>18</v>
      </c>
      <c r="I130" s="5"/>
      <c r="J130" s="6"/>
      <c r="L130" s="5" t="s">
        <v>21</v>
      </c>
      <c r="M130" s="5" t="s">
        <v>18</v>
      </c>
      <c r="O130" s="66">
        <v>45644</v>
      </c>
      <c r="P130" s="8">
        <v>45198</v>
      </c>
    </row>
    <row r="131" spans="2:16">
      <c r="B131" t="s">
        <v>160</v>
      </c>
      <c r="G131" s="70" t="s">
        <v>21</v>
      </c>
      <c r="H131" s="70" t="s">
        <v>18</v>
      </c>
      <c r="I131" s="5"/>
      <c r="J131" s="6"/>
      <c r="M131" s="5"/>
      <c r="O131" s="66">
        <v>45588</v>
      </c>
      <c r="P131" s="8"/>
    </row>
    <row r="132" spans="2:16">
      <c r="B132" s="71" t="s">
        <v>161</v>
      </c>
      <c r="G132" s="70" t="s">
        <v>21</v>
      </c>
      <c r="H132" s="70" t="s">
        <v>18</v>
      </c>
      <c r="I132" s="5"/>
      <c r="J132" s="6"/>
      <c r="M132" s="5"/>
      <c r="O132" s="66">
        <v>45776</v>
      </c>
      <c r="P132" s="8"/>
    </row>
    <row r="133" spans="2:16">
      <c r="B133" s="47" t="s">
        <v>162</v>
      </c>
      <c r="G133" s="48" t="s">
        <v>21</v>
      </c>
      <c r="H133" s="5" t="s">
        <v>18</v>
      </c>
      <c r="O133" s="8">
        <v>45138</v>
      </c>
      <c r="P133" s="8"/>
    </row>
    <row r="134" spans="2:16">
      <c r="B134" s="47" t="s">
        <v>163</v>
      </c>
      <c r="G134" s="72" t="s">
        <v>21</v>
      </c>
      <c r="H134" s="70" t="s">
        <v>18</v>
      </c>
      <c r="O134" s="66">
        <v>45586</v>
      </c>
      <c r="P134" s="8"/>
    </row>
    <row r="135" spans="2:16">
      <c r="B135" s="47" t="s">
        <v>164</v>
      </c>
      <c r="G135" s="72" t="s">
        <v>21</v>
      </c>
      <c r="H135" s="70" t="s">
        <v>18</v>
      </c>
      <c r="L135" s="5" t="s">
        <v>21</v>
      </c>
      <c r="M135" s="5" t="s">
        <v>18</v>
      </c>
      <c r="O135" s="66">
        <v>45645</v>
      </c>
      <c r="P135" s="8" t="s">
        <v>128</v>
      </c>
    </row>
    <row r="136" spans="2:16">
      <c r="B136" t="s">
        <v>165</v>
      </c>
      <c r="G136" s="72" t="s">
        <v>21</v>
      </c>
      <c r="H136" s="70" t="s">
        <v>15</v>
      </c>
      <c r="L136" s="70" t="s">
        <v>28</v>
      </c>
      <c r="M136" s="5" t="s">
        <v>18</v>
      </c>
      <c r="O136" s="66">
        <v>45373</v>
      </c>
      <c r="P136" s="66">
        <v>45359</v>
      </c>
    </row>
    <row r="137" spans="2:16">
      <c r="B137" s="47" t="s">
        <v>166</v>
      </c>
      <c r="G137" s="72" t="s">
        <v>21</v>
      </c>
      <c r="H137" s="70" t="s">
        <v>18</v>
      </c>
      <c r="M137" s="5"/>
      <c r="O137" s="66">
        <v>45691</v>
      </c>
      <c r="P137" s="8"/>
    </row>
    <row r="138" spans="2:16">
      <c r="B138" s="47" t="s">
        <v>167</v>
      </c>
      <c r="G138" s="72" t="s">
        <v>17</v>
      </c>
      <c r="H138" s="70" t="s">
        <v>18</v>
      </c>
      <c r="L138" s="5" t="s">
        <v>21</v>
      </c>
      <c r="M138" s="5" t="s">
        <v>18</v>
      </c>
      <c r="O138" s="66">
        <v>45714</v>
      </c>
      <c r="P138" s="8">
        <v>45093</v>
      </c>
    </row>
    <row r="139" spans="2:16">
      <c r="B139" t="s">
        <v>168</v>
      </c>
      <c r="D139" s="5" t="s">
        <v>169</v>
      </c>
      <c r="E139" s="5" t="s">
        <v>25</v>
      </c>
      <c r="G139" s="70" t="s">
        <v>21</v>
      </c>
      <c r="H139" s="70" t="s">
        <v>18</v>
      </c>
      <c r="I139" s="5">
        <v>3</v>
      </c>
      <c r="J139" s="6">
        <v>0.65</v>
      </c>
      <c r="M139" s="5"/>
      <c r="O139" s="66">
        <v>45519</v>
      </c>
      <c r="P139" s="8"/>
    </row>
    <row r="140" spans="2:16">
      <c r="B140" t="s">
        <v>170</v>
      </c>
      <c r="G140" s="70" t="s">
        <v>28</v>
      </c>
      <c r="H140" s="70" t="s">
        <v>18</v>
      </c>
      <c r="L140" s="5" t="s">
        <v>28</v>
      </c>
      <c r="M140" t="s">
        <v>18</v>
      </c>
      <c r="O140" s="66">
        <v>45665</v>
      </c>
      <c r="P140" s="8">
        <v>45107</v>
      </c>
    </row>
    <row r="141" spans="2:16">
      <c r="B141" t="s">
        <v>171</v>
      </c>
      <c r="D141" s="5" t="s">
        <v>36</v>
      </c>
      <c r="E141" s="5" t="s">
        <v>25</v>
      </c>
      <c r="G141" s="5" t="s">
        <v>43</v>
      </c>
      <c r="H141" s="5" t="s">
        <v>25</v>
      </c>
      <c r="I141" s="5">
        <v>3</v>
      </c>
      <c r="J141" s="6">
        <v>0.5</v>
      </c>
      <c r="O141" s="8"/>
      <c r="P141" s="8"/>
    </row>
    <row r="142" spans="2:16">
      <c r="B142" t="s">
        <v>172</v>
      </c>
      <c r="G142" s="70" t="s">
        <v>21</v>
      </c>
      <c r="H142" s="70" t="s">
        <v>18</v>
      </c>
      <c r="I142" s="5"/>
      <c r="J142" s="6"/>
      <c r="L142" s="5" t="s">
        <v>21</v>
      </c>
      <c r="M142" s="5" t="s">
        <v>18</v>
      </c>
      <c r="O142" s="66">
        <v>45400</v>
      </c>
      <c r="P142" s="8">
        <v>45132</v>
      </c>
    </row>
    <row r="143" spans="2:16">
      <c r="B143" s="47" t="s">
        <v>173</v>
      </c>
      <c r="G143" s="72" t="s">
        <v>21</v>
      </c>
      <c r="H143" s="70" t="s">
        <v>18</v>
      </c>
      <c r="O143" s="66">
        <v>45771</v>
      </c>
      <c r="P143" s="8"/>
    </row>
    <row r="144" spans="2:16">
      <c r="B144" s="73" t="s">
        <v>174</v>
      </c>
      <c r="G144" s="72" t="s">
        <v>21</v>
      </c>
      <c r="H144" s="70" t="s">
        <v>18</v>
      </c>
      <c r="O144" s="66">
        <v>45679</v>
      </c>
      <c r="P144" s="8"/>
    </row>
    <row r="145" spans="2:16">
      <c r="B145" t="s">
        <v>175</v>
      </c>
      <c r="D145" s="70" t="s">
        <v>36</v>
      </c>
      <c r="E145" s="70" t="s">
        <v>25</v>
      </c>
      <c r="G145" s="70" t="s">
        <v>19</v>
      </c>
      <c r="H145" s="70" t="s">
        <v>25</v>
      </c>
      <c r="I145" s="5">
        <v>3</v>
      </c>
      <c r="J145" s="6">
        <v>0.65</v>
      </c>
      <c r="M145" s="5"/>
      <c r="O145" s="66">
        <v>45674</v>
      </c>
      <c r="P145" s="8"/>
    </row>
    <row r="146" spans="2:16">
      <c r="B146" s="71" t="s">
        <v>176</v>
      </c>
      <c r="G146" s="70" t="s">
        <v>21</v>
      </c>
      <c r="H146" s="70" t="s">
        <v>18</v>
      </c>
      <c r="I146" s="5"/>
      <c r="J146" s="6"/>
      <c r="M146" s="5"/>
      <c r="O146" s="66">
        <v>45645</v>
      </c>
      <c r="P146" s="8"/>
    </row>
    <row r="147" spans="2:16">
      <c r="B147" s="71" t="s">
        <v>177</v>
      </c>
      <c r="G147" s="70" t="s">
        <v>21</v>
      </c>
      <c r="H147" s="70" t="s">
        <v>18</v>
      </c>
      <c r="I147" s="5"/>
      <c r="J147" s="6"/>
      <c r="M147" s="5"/>
      <c r="O147" s="66">
        <v>45698</v>
      </c>
      <c r="P147" s="8"/>
    </row>
    <row r="148" spans="2:16">
      <c r="B148" t="s">
        <v>178</v>
      </c>
      <c r="G148" s="70" t="s">
        <v>88</v>
      </c>
      <c r="H148" s="72" t="s">
        <v>18</v>
      </c>
      <c r="I148" s="5"/>
      <c r="J148" s="6"/>
      <c r="L148" s="5" t="s">
        <v>28</v>
      </c>
      <c r="M148" s="5"/>
      <c r="O148" s="66">
        <v>45443</v>
      </c>
      <c r="P148" s="8">
        <v>44642</v>
      </c>
    </row>
    <row r="149" spans="2:16">
      <c r="B149" t="s">
        <v>179</v>
      </c>
      <c r="D149" s="5" t="s">
        <v>36</v>
      </c>
      <c r="E149" s="5" t="s">
        <v>25</v>
      </c>
      <c r="G149" s="70" t="s">
        <v>21</v>
      </c>
      <c r="H149" s="72" t="s">
        <v>18</v>
      </c>
      <c r="I149" s="5">
        <v>4</v>
      </c>
      <c r="J149" s="6">
        <v>0.45</v>
      </c>
      <c r="M149" s="5"/>
      <c r="O149" s="66">
        <v>45777</v>
      </c>
      <c r="P149" s="8"/>
    </row>
    <row r="150" spans="2:16">
      <c r="B150" t="s">
        <v>180</v>
      </c>
      <c r="G150" s="70" t="s">
        <v>21</v>
      </c>
      <c r="H150" s="70" t="s">
        <v>18</v>
      </c>
      <c r="I150" s="5"/>
      <c r="J150" s="6"/>
      <c r="M150" s="5"/>
      <c r="O150" s="66">
        <v>45750</v>
      </c>
      <c r="P150" s="8"/>
    </row>
    <row r="151" spans="2:16">
      <c r="B151" t="s">
        <v>181</v>
      </c>
      <c r="G151" s="70" t="s">
        <v>88</v>
      </c>
      <c r="H151" s="70" t="s">
        <v>18</v>
      </c>
      <c r="I151" s="5"/>
      <c r="J151" s="6"/>
      <c r="M151" s="5"/>
      <c r="O151" s="66">
        <v>45485</v>
      </c>
      <c r="P151" s="8"/>
    </row>
    <row r="152" spans="2:16">
      <c r="B152" t="s">
        <v>182</v>
      </c>
      <c r="G152" s="70" t="s">
        <v>21</v>
      </c>
      <c r="H152" s="70" t="s">
        <v>18</v>
      </c>
      <c r="I152" s="5"/>
      <c r="J152" s="6"/>
      <c r="L152" s="5" t="s">
        <v>28</v>
      </c>
      <c r="M152" t="s">
        <v>18</v>
      </c>
      <c r="O152" s="66">
        <v>45384</v>
      </c>
      <c r="P152" s="8">
        <v>45133</v>
      </c>
    </row>
    <row r="153" spans="2:16">
      <c r="B153" t="s">
        <v>183</v>
      </c>
      <c r="G153" s="70" t="s">
        <v>21</v>
      </c>
      <c r="H153" s="70" t="s">
        <v>18</v>
      </c>
      <c r="I153" s="5"/>
      <c r="J153" s="6"/>
      <c r="O153" s="66">
        <v>45779</v>
      </c>
      <c r="P153" s="8"/>
    </row>
    <row r="154" spans="2:16">
      <c r="B154" s="47" t="s">
        <v>184</v>
      </c>
      <c r="G154" s="72" t="s">
        <v>88</v>
      </c>
      <c r="H154" s="70" t="s">
        <v>15</v>
      </c>
      <c r="L154" s="5" t="s">
        <v>88</v>
      </c>
      <c r="M154" t="s">
        <v>18</v>
      </c>
      <c r="O154" s="66">
        <v>45384</v>
      </c>
      <c r="P154" s="8" t="s">
        <v>75</v>
      </c>
    </row>
    <row r="155" spans="2:16">
      <c r="B155" t="s">
        <v>185</v>
      </c>
      <c r="G155" s="5" t="s">
        <v>21</v>
      </c>
      <c r="H155" s="5" t="s">
        <v>18</v>
      </c>
      <c r="I155" s="5"/>
      <c r="J155" s="6"/>
      <c r="L155" s="5" t="s">
        <v>28</v>
      </c>
      <c r="M155" s="5" t="s">
        <v>18</v>
      </c>
      <c r="O155" s="8" t="s">
        <v>186</v>
      </c>
      <c r="P155" s="8">
        <v>45012</v>
      </c>
    </row>
    <row r="156" spans="2:16">
      <c r="B156" s="47" t="s">
        <v>187</v>
      </c>
      <c r="G156" s="72" t="s">
        <v>99</v>
      </c>
      <c r="H156" s="70" t="s">
        <v>18</v>
      </c>
      <c r="O156" s="66">
        <v>45435</v>
      </c>
    </row>
    <row r="157" spans="2:16">
      <c r="B157" s="47" t="s">
        <v>188</v>
      </c>
      <c r="C157" s="47"/>
      <c r="D157" s="48"/>
      <c r="E157" s="48"/>
      <c r="F157" s="47"/>
      <c r="G157" s="72" t="s">
        <v>21</v>
      </c>
      <c r="H157" s="70" t="s">
        <v>18</v>
      </c>
      <c r="O157" s="66" t="s">
        <v>189</v>
      </c>
      <c r="P157" s="8"/>
    </row>
    <row r="158" spans="2:16">
      <c r="B158" s="47" t="s">
        <v>190</v>
      </c>
      <c r="C158" s="47"/>
      <c r="D158" s="48"/>
      <c r="E158" s="48"/>
      <c r="F158" s="47"/>
      <c r="G158" s="72" t="s">
        <v>21</v>
      </c>
      <c r="H158" s="70" t="s">
        <v>18</v>
      </c>
      <c r="O158" s="66">
        <v>45698</v>
      </c>
      <c r="P158" s="8"/>
    </row>
    <row r="159" spans="2:16">
      <c r="B159" t="s">
        <v>191</v>
      </c>
      <c r="G159" s="5" t="s">
        <v>192</v>
      </c>
      <c r="H159" s="5" t="s">
        <v>18</v>
      </c>
      <c r="I159" s="5"/>
      <c r="J159" s="6"/>
      <c r="L159" s="5" t="s">
        <v>21</v>
      </c>
      <c r="M159" s="5" t="s">
        <v>18</v>
      </c>
      <c r="O159" s="8">
        <v>44894</v>
      </c>
      <c r="P159" s="8">
        <v>44652</v>
      </c>
    </row>
    <row r="160" spans="2:16">
      <c r="B160" s="47" t="s">
        <v>193</v>
      </c>
      <c r="D160" s="48" t="s">
        <v>36</v>
      </c>
      <c r="E160" s="48" t="s">
        <v>25</v>
      </c>
      <c r="F160" s="47"/>
      <c r="G160" s="48" t="s">
        <v>19</v>
      </c>
      <c r="H160" s="48" t="s">
        <v>25</v>
      </c>
      <c r="O160" s="8"/>
      <c r="P160" s="8"/>
    </row>
    <row r="161" spans="2:16">
      <c r="B161" t="s">
        <v>194</v>
      </c>
      <c r="D161" s="70" t="s">
        <v>78</v>
      </c>
      <c r="E161" s="70" t="s">
        <v>25</v>
      </c>
      <c r="G161" s="70" t="s">
        <v>19</v>
      </c>
      <c r="H161" s="70" t="s">
        <v>25</v>
      </c>
      <c r="I161" s="5">
        <v>2</v>
      </c>
      <c r="J161" s="6">
        <v>0.7</v>
      </c>
      <c r="M161" s="5"/>
      <c r="O161" s="8"/>
      <c r="P161" s="8"/>
    </row>
    <row r="162" spans="2:16">
      <c r="B162" t="s">
        <v>195</v>
      </c>
      <c r="G162" s="70" t="s">
        <v>21</v>
      </c>
      <c r="H162" s="70" t="s">
        <v>18</v>
      </c>
      <c r="I162" s="5"/>
      <c r="J162" s="6"/>
      <c r="L162" s="5" t="s">
        <v>28</v>
      </c>
      <c r="M162" s="5" t="s">
        <v>18</v>
      </c>
      <c r="O162" s="66">
        <v>45748</v>
      </c>
      <c r="P162" s="8">
        <v>45345</v>
      </c>
    </row>
    <row r="163" spans="2:16">
      <c r="B163" t="s">
        <v>196</v>
      </c>
      <c r="G163" s="5" t="s">
        <v>21</v>
      </c>
      <c r="H163" s="5" t="s">
        <v>18</v>
      </c>
      <c r="I163" s="5"/>
      <c r="J163" s="6"/>
      <c r="L163" s="5" t="s">
        <v>21</v>
      </c>
      <c r="M163" s="5" t="s">
        <v>18</v>
      </c>
      <c r="O163" s="8">
        <v>45324</v>
      </c>
      <c r="P163" s="8">
        <v>45107</v>
      </c>
    </row>
    <row r="164" spans="2:16">
      <c r="B164" t="s">
        <v>197</v>
      </c>
      <c r="G164" s="70" t="s">
        <v>21</v>
      </c>
      <c r="H164" s="70" t="s">
        <v>18</v>
      </c>
      <c r="I164" s="5"/>
      <c r="J164" s="6"/>
      <c r="M164" s="5"/>
      <c r="O164" s="66">
        <v>45665</v>
      </c>
      <c r="P164" s="8"/>
    </row>
    <row r="165" spans="2:16">
      <c r="B165" s="47" t="s">
        <v>198</v>
      </c>
      <c r="G165" s="70" t="s">
        <v>21</v>
      </c>
      <c r="H165" s="70" t="s">
        <v>18</v>
      </c>
      <c r="M165" s="5"/>
      <c r="O165" s="66">
        <v>45667</v>
      </c>
      <c r="P165" s="8"/>
    </row>
    <row r="166" spans="2:16">
      <c r="B166" s="47" t="s">
        <v>199</v>
      </c>
      <c r="G166" s="70" t="s">
        <v>21</v>
      </c>
      <c r="H166" s="70" t="s">
        <v>18</v>
      </c>
      <c r="M166" s="5"/>
      <c r="O166" s="66">
        <v>45624</v>
      </c>
      <c r="P166" s="8"/>
    </row>
    <row r="167" spans="2:16">
      <c r="B167" s="47" t="s">
        <v>200</v>
      </c>
      <c r="G167" s="70" t="s">
        <v>21</v>
      </c>
      <c r="H167" s="70" t="s">
        <v>18</v>
      </c>
      <c r="M167" s="5"/>
      <c r="O167" s="66">
        <v>45692</v>
      </c>
      <c r="P167" s="8"/>
    </row>
    <row r="168" spans="2:16">
      <c r="B168" t="s">
        <v>201</v>
      </c>
      <c r="G168" s="70" t="s">
        <v>21</v>
      </c>
      <c r="H168" s="70" t="s">
        <v>18</v>
      </c>
      <c r="I168" s="5"/>
      <c r="J168" s="6"/>
      <c r="L168" s="5" t="s">
        <v>21</v>
      </c>
      <c r="M168" s="5" t="s">
        <v>18</v>
      </c>
      <c r="O168" s="66">
        <v>45655</v>
      </c>
      <c r="P168" s="8" t="s">
        <v>62</v>
      </c>
    </row>
    <row r="169" spans="2:16">
      <c r="B169" s="47" t="s">
        <v>202</v>
      </c>
      <c r="G169" s="70" t="s">
        <v>21</v>
      </c>
      <c r="H169" s="70" t="s">
        <v>18</v>
      </c>
      <c r="I169" s="5"/>
      <c r="J169" s="6"/>
      <c r="M169" s="5"/>
      <c r="O169" s="66">
        <v>45730</v>
      </c>
      <c r="P169" s="8"/>
    </row>
    <row r="170" spans="2:16">
      <c r="B170" t="s">
        <v>203</v>
      </c>
      <c r="G170" s="70" t="s">
        <v>17</v>
      </c>
      <c r="H170" s="70" t="s">
        <v>18</v>
      </c>
      <c r="I170" s="5"/>
      <c r="J170" s="6"/>
      <c r="L170" s="5" t="s">
        <v>88</v>
      </c>
      <c r="M170" s="5" t="s">
        <v>18</v>
      </c>
      <c r="O170" s="66">
        <v>45516</v>
      </c>
      <c r="P170" s="8">
        <v>44749</v>
      </c>
    </row>
    <row r="171" spans="2:16">
      <c r="B171" t="s">
        <v>204</v>
      </c>
      <c r="G171" s="70" t="s">
        <v>17</v>
      </c>
      <c r="H171" s="70" t="s">
        <v>18</v>
      </c>
      <c r="I171" s="5"/>
      <c r="J171" s="6"/>
      <c r="L171" s="5" t="s">
        <v>21</v>
      </c>
      <c r="M171" s="5" t="s">
        <v>18</v>
      </c>
      <c r="O171" s="66">
        <v>45761</v>
      </c>
      <c r="P171" s="8" t="s">
        <v>75</v>
      </c>
    </row>
    <row r="172" spans="2:16">
      <c r="B172" t="s">
        <v>205</v>
      </c>
      <c r="G172" s="70" t="s">
        <v>21</v>
      </c>
      <c r="H172" s="70" t="s">
        <v>18</v>
      </c>
      <c r="I172" s="5"/>
      <c r="J172" s="6"/>
      <c r="M172" s="5"/>
      <c r="O172" s="66">
        <v>45702</v>
      </c>
      <c r="P172" s="8"/>
    </row>
    <row r="173" spans="2:16">
      <c r="B173" t="s">
        <v>206</v>
      </c>
      <c r="G173" s="70" t="s">
        <v>21</v>
      </c>
      <c r="H173" s="70" t="s">
        <v>18</v>
      </c>
      <c r="I173" s="5"/>
      <c r="J173" s="6"/>
      <c r="M173" s="5"/>
      <c r="O173" s="66">
        <v>45693</v>
      </c>
      <c r="P173" s="8"/>
    </row>
    <row r="174" spans="2:16">
      <c r="B174" s="47" t="s">
        <v>207</v>
      </c>
      <c r="C174" s="47"/>
      <c r="D174" s="48"/>
      <c r="E174" s="48"/>
      <c r="F174" s="47"/>
      <c r="G174" s="72" t="s">
        <v>88</v>
      </c>
      <c r="H174" s="70" t="s">
        <v>18</v>
      </c>
      <c r="L174" s="5" t="s">
        <v>21</v>
      </c>
      <c r="M174" s="5" t="s">
        <v>18</v>
      </c>
      <c r="O174" s="66">
        <v>45664</v>
      </c>
      <c r="P174" s="8" t="s">
        <v>62</v>
      </c>
    </row>
    <row r="175" spans="2:16">
      <c r="B175" t="s">
        <v>208</v>
      </c>
      <c r="G175" s="5" t="s">
        <v>21</v>
      </c>
      <c r="H175" s="5" t="s">
        <v>18</v>
      </c>
      <c r="I175" s="5"/>
      <c r="J175" s="6"/>
      <c r="L175" s="5" t="s">
        <v>28</v>
      </c>
      <c r="M175" s="5" t="s">
        <v>18</v>
      </c>
      <c r="O175" s="8">
        <v>45085</v>
      </c>
      <c r="P175" s="8" t="s">
        <v>75</v>
      </c>
    </row>
    <row r="176" spans="2:16">
      <c r="B176" t="s">
        <v>209</v>
      </c>
      <c r="G176" s="70" t="s">
        <v>21</v>
      </c>
      <c r="H176" s="70" t="s">
        <v>15</v>
      </c>
      <c r="I176" s="5"/>
      <c r="J176" s="6"/>
      <c r="M176" s="5"/>
      <c r="O176" s="66">
        <v>45684</v>
      </c>
      <c r="P176" s="8"/>
    </row>
    <row r="177" spans="2:16">
      <c r="B177" t="s">
        <v>210</v>
      </c>
      <c r="G177" s="70" t="s">
        <v>43</v>
      </c>
      <c r="H177" s="70" t="s">
        <v>25</v>
      </c>
      <c r="I177" s="5"/>
      <c r="J177" s="6"/>
      <c r="L177" s="5" t="s">
        <v>28</v>
      </c>
      <c r="M177" s="5" t="s">
        <v>18</v>
      </c>
      <c r="O177" s="66">
        <v>45680</v>
      </c>
      <c r="P177" s="8">
        <v>45121</v>
      </c>
    </row>
    <row r="178" spans="2:16" s="47" customFormat="1">
      <c r="B178" t="s">
        <v>211</v>
      </c>
      <c r="C178"/>
      <c r="D178" s="5"/>
      <c r="E178" s="5"/>
      <c r="F178"/>
      <c r="G178" s="70" t="s">
        <v>99</v>
      </c>
      <c r="H178" s="70" t="s">
        <v>15</v>
      </c>
      <c r="I178" s="5"/>
      <c r="J178" s="6"/>
      <c r="K178"/>
      <c r="L178" s="5"/>
      <c r="M178" s="5"/>
      <c r="N178"/>
      <c r="O178" s="66">
        <v>45511</v>
      </c>
      <c r="P178" s="8"/>
    </row>
    <row r="179" spans="2:16" s="47" customFormat="1">
      <c r="B179" t="s">
        <v>212</v>
      </c>
      <c r="C179"/>
      <c r="D179" s="5"/>
      <c r="E179" s="5"/>
      <c r="F179"/>
      <c r="G179" s="70" t="s">
        <v>19</v>
      </c>
      <c r="H179" s="70" t="s">
        <v>15</v>
      </c>
      <c r="I179" s="5"/>
      <c r="J179" s="6"/>
      <c r="K179"/>
      <c r="L179" s="5"/>
      <c r="M179" s="5"/>
      <c r="N179"/>
      <c r="O179" s="66">
        <v>45642</v>
      </c>
      <c r="P179" s="8"/>
    </row>
    <row r="180" spans="2:16">
      <c r="B180" t="s">
        <v>213</v>
      </c>
      <c r="G180" s="70" t="s">
        <v>21</v>
      </c>
      <c r="H180" s="70" t="s">
        <v>18</v>
      </c>
      <c r="I180" s="5"/>
      <c r="J180" s="6"/>
      <c r="L180" s="5" t="s">
        <v>21</v>
      </c>
      <c r="M180" s="5" t="s">
        <v>18</v>
      </c>
      <c r="O180" s="66">
        <v>45481</v>
      </c>
      <c r="P180" s="8">
        <v>45331</v>
      </c>
    </row>
    <row r="181" spans="2:16">
      <c r="B181" t="s">
        <v>214</v>
      </c>
      <c r="D181" s="5" t="s">
        <v>36</v>
      </c>
      <c r="E181" s="48" t="s">
        <v>25</v>
      </c>
      <c r="G181" s="48" t="s">
        <v>19</v>
      </c>
      <c r="H181" s="48" t="s">
        <v>25</v>
      </c>
      <c r="O181" s="8"/>
      <c r="P181" s="8"/>
    </row>
    <row r="182" spans="2:16">
      <c r="B182" s="47" t="s">
        <v>215</v>
      </c>
      <c r="G182" s="70" t="s">
        <v>21</v>
      </c>
      <c r="H182" s="70" t="s">
        <v>18</v>
      </c>
      <c r="M182" s="5"/>
      <c r="O182" s="66">
        <v>45629</v>
      </c>
      <c r="P182" s="8"/>
    </row>
    <row r="183" spans="2:16">
      <c r="B183" t="s">
        <v>216</v>
      </c>
      <c r="E183" s="48"/>
      <c r="G183" s="72" t="s">
        <v>21</v>
      </c>
      <c r="H183" s="70" t="s">
        <v>18</v>
      </c>
      <c r="O183" s="66">
        <v>45649</v>
      </c>
      <c r="P183" s="8"/>
    </row>
    <row r="184" spans="2:16">
      <c r="B184" t="s">
        <v>217</v>
      </c>
      <c r="G184" s="70" t="s">
        <v>28</v>
      </c>
      <c r="H184" s="70" t="s">
        <v>18</v>
      </c>
      <c r="I184" s="5"/>
      <c r="J184" s="6"/>
      <c r="L184" s="5" t="s">
        <v>28</v>
      </c>
      <c r="M184" s="5" t="s">
        <v>18</v>
      </c>
      <c r="O184" s="66">
        <v>45376</v>
      </c>
      <c r="P184" s="8">
        <v>45303</v>
      </c>
    </row>
    <row r="185" spans="2:16">
      <c r="B185" t="s">
        <v>218</v>
      </c>
      <c r="G185" s="70" t="s">
        <v>219</v>
      </c>
      <c r="H185" s="70" t="s">
        <v>25</v>
      </c>
      <c r="I185" s="5">
        <v>3</v>
      </c>
      <c r="J185" s="6">
        <v>0.6</v>
      </c>
      <c r="L185" s="5" t="s">
        <v>220</v>
      </c>
      <c r="M185" s="5" t="s">
        <v>25</v>
      </c>
      <c r="O185" s="8"/>
      <c r="P185" s="8"/>
    </row>
    <row r="186" spans="2:16">
      <c r="B186" t="s">
        <v>221</v>
      </c>
      <c r="D186" s="5" t="s">
        <v>24</v>
      </c>
      <c r="E186" s="5" t="s">
        <v>25</v>
      </c>
      <c r="G186" s="5" t="s">
        <v>26</v>
      </c>
      <c r="H186" s="5" t="s">
        <v>25</v>
      </c>
      <c r="I186" s="5">
        <v>3</v>
      </c>
      <c r="J186" s="6">
        <v>0.5</v>
      </c>
      <c r="M186" s="5"/>
      <c r="O186" s="8"/>
      <c r="P186" s="8"/>
    </row>
    <row r="187" spans="2:16">
      <c r="B187" t="s">
        <v>222</v>
      </c>
      <c r="D187" s="5" t="s">
        <v>36</v>
      </c>
      <c r="E187" s="48" t="s">
        <v>25</v>
      </c>
      <c r="G187" s="48" t="s">
        <v>19</v>
      </c>
      <c r="H187" s="48" t="s">
        <v>25</v>
      </c>
      <c r="O187" s="8"/>
      <c r="P187" s="8"/>
    </row>
    <row r="188" spans="2:16">
      <c r="B188" t="s">
        <v>223</v>
      </c>
      <c r="G188" s="70" t="s">
        <v>21</v>
      </c>
      <c r="H188" s="70" t="s">
        <v>18</v>
      </c>
      <c r="I188" s="5"/>
      <c r="J188" s="6"/>
      <c r="L188" s="5" t="s">
        <v>21</v>
      </c>
      <c r="M188" s="5" t="s">
        <v>18</v>
      </c>
      <c r="O188" s="66">
        <v>45629</v>
      </c>
      <c r="P188" s="8" t="s">
        <v>128</v>
      </c>
    </row>
    <row r="189" spans="2:16">
      <c r="B189" s="47" t="s">
        <v>224</v>
      </c>
      <c r="C189" s="47"/>
      <c r="D189" s="48" t="s">
        <v>36</v>
      </c>
      <c r="E189" s="48" t="s">
        <v>25</v>
      </c>
      <c r="F189" s="47"/>
      <c r="G189" s="48" t="s">
        <v>19</v>
      </c>
      <c r="H189" s="48" t="s">
        <v>25</v>
      </c>
      <c r="I189" s="47"/>
      <c r="J189" s="47"/>
      <c r="K189" s="47"/>
      <c r="L189" s="48"/>
      <c r="M189" s="47"/>
      <c r="N189" s="47"/>
      <c r="O189" s="8"/>
      <c r="P189" s="8"/>
    </row>
    <row r="190" spans="2:16">
      <c r="B190" t="s">
        <v>225</v>
      </c>
      <c r="D190" s="5" t="s">
        <v>24</v>
      </c>
      <c r="E190" s="5" t="s">
        <v>25</v>
      </c>
      <c r="G190" s="5" t="s">
        <v>43</v>
      </c>
      <c r="H190" s="5" t="s">
        <v>25</v>
      </c>
      <c r="I190" s="5">
        <v>3</v>
      </c>
      <c r="J190" s="6">
        <v>0.55000000000000004</v>
      </c>
      <c r="M190" s="5"/>
      <c r="O190" s="8"/>
      <c r="P190" s="8"/>
    </row>
    <row r="191" spans="2:16">
      <c r="B191" t="s">
        <v>226</v>
      </c>
      <c r="G191" s="70" t="s">
        <v>21</v>
      </c>
      <c r="H191" s="70" t="s">
        <v>18</v>
      </c>
      <c r="I191" s="5"/>
      <c r="J191" s="6"/>
      <c r="M191" s="5"/>
      <c r="O191" s="66">
        <v>45664</v>
      </c>
      <c r="P191" s="8"/>
    </row>
    <row r="192" spans="2:16">
      <c r="B192" t="s">
        <v>227</v>
      </c>
      <c r="G192" s="70" t="s">
        <v>21</v>
      </c>
      <c r="H192" s="70" t="s">
        <v>18</v>
      </c>
      <c r="I192" s="5"/>
      <c r="J192" s="6"/>
      <c r="M192" s="5"/>
      <c r="O192" s="66">
        <v>45629</v>
      </c>
      <c r="P192" s="8"/>
    </row>
    <row r="193" spans="2:16">
      <c r="B193" t="s">
        <v>228</v>
      </c>
      <c r="G193" s="70" t="s">
        <v>21</v>
      </c>
      <c r="H193" s="70" t="s">
        <v>18</v>
      </c>
      <c r="I193" s="5"/>
      <c r="J193" s="6"/>
      <c r="M193" s="5"/>
      <c r="O193" s="66">
        <v>45751</v>
      </c>
      <c r="P193" s="8"/>
    </row>
    <row r="194" spans="2:16">
      <c r="B194" t="s">
        <v>229</v>
      </c>
      <c r="G194" s="70" t="s">
        <v>21</v>
      </c>
      <c r="H194" s="70" t="s">
        <v>18</v>
      </c>
      <c r="I194" s="5"/>
      <c r="J194" s="6"/>
      <c r="L194" s="70" t="s">
        <v>21</v>
      </c>
      <c r="M194" s="70" t="s">
        <v>18</v>
      </c>
      <c r="O194" s="66">
        <v>45637</v>
      </c>
      <c r="P194" s="66">
        <v>45436</v>
      </c>
    </row>
    <row r="195" spans="2:16">
      <c r="B195" t="s">
        <v>230</v>
      </c>
      <c r="G195" s="5" t="s">
        <v>88</v>
      </c>
      <c r="H195" s="5" t="s">
        <v>18</v>
      </c>
      <c r="I195" s="5"/>
      <c r="J195" s="6"/>
      <c r="M195" s="5"/>
      <c r="O195" s="8">
        <v>45016</v>
      </c>
      <c r="P195" s="8"/>
    </row>
    <row r="196" spans="2:16">
      <c r="B196" t="s">
        <v>231</v>
      </c>
      <c r="G196" s="70" t="s">
        <v>21</v>
      </c>
      <c r="H196" s="70" t="s">
        <v>18</v>
      </c>
      <c r="I196" s="5"/>
      <c r="J196" s="6"/>
      <c r="M196" s="5"/>
      <c r="O196" s="66">
        <v>45779</v>
      </c>
      <c r="P196" s="8"/>
    </row>
    <row r="197" spans="2:16">
      <c r="B197" s="47" t="s">
        <v>232</v>
      </c>
      <c r="G197" s="72" t="s">
        <v>21</v>
      </c>
      <c r="H197" s="70" t="s">
        <v>18</v>
      </c>
      <c r="L197" s="5" t="s">
        <v>21</v>
      </c>
      <c r="M197" s="5" t="s">
        <v>18</v>
      </c>
      <c r="O197" s="66">
        <v>45750</v>
      </c>
      <c r="P197" s="8" t="s">
        <v>75</v>
      </c>
    </row>
    <row r="198" spans="2:16">
      <c r="B198" s="35" t="s">
        <v>233</v>
      </c>
      <c r="D198" s="5" t="s">
        <v>24</v>
      </c>
      <c r="E198" s="5" t="s">
        <v>25</v>
      </c>
      <c r="G198" s="5" t="s">
        <v>43</v>
      </c>
      <c r="H198" s="5" t="s">
        <v>25</v>
      </c>
      <c r="I198" s="5">
        <v>3</v>
      </c>
      <c r="J198" s="6">
        <v>0.5</v>
      </c>
      <c r="M198" s="5"/>
      <c r="O198" s="8"/>
      <c r="P198" s="8"/>
    </row>
    <row r="199" spans="2:16">
      <c r="B199" t="s">
        <v>234</v>
      </c>
      <c r="D199" s="5" t="s">
        <v>36</v>
      </c>
      <c r="E199" s="5" t="s">
        <v>25</v>
      </c>
      <c r="G199" s="5" t="s">
        <v>19</v>
      </c>
      <c r="H199" s="5" t="s">
        <v>25</v>
      </c>
      <c r="I199" s="5"/>
      <c r="J199" s="6"/>
      <c r="M199" s="5"/>
      <c r="O199" s="8"/>
      <c r="P199" s="8"/>
    </row>
    <row r="200" spans="2:16">
      <c r="B200" t="s">
        <v>235</v>
      </c>
      <c r="G200" s="70" t="s">
        <v>21</v>
      </c>
      <c r="H200" s="70" t="s">
        <v>18</v>
      </c>
      <c r="I200" s="5"/>
      <c r="J200" s="6"/>
      <c r="L200" s="5" t="s">
        <v>21</v>
      </c>
      <c r="M200" s="5" t="s">
        <v>18</v>
      </c>
      <c r="O200" s="66">
        <v>45626</v>
      </c>
      <c r="P200" s="8" t="s">
        <v>236</v>
      </c>
    </row>
    <row r="201" spans="2:16">
      <c r="B201" t="s">
        <v>237</v>
      </c>
      <c r="G201" s="5" t="s">
        <v>99</v>
      </c>
      <c r="H201" s="5" t="s">
        <v>18</v>
      </c>
      <c r="I201" s="5"/>
      <c r="J201" s="6"/>
      <c r="L201" s="70" t="s">
        <v>238</v>
      </c>
      <c r="M201" s="70" t="s">
        <v>18</v>
      </c>
      <c r="O201" s="8">
        <v>44582</v>
      </c>
      <c r="P201" s="66">
        <v>45398</v>
      </c>
    </row>
    <row r="202" spans="2:16">
      <c r="B202" t="s">
        <v>239</v>
      </c>
      <c r="G202" s="70" t="s">
        <v>21</v>
      </c>
      <c r="H202" s="70" t="s">
        <v>18</v>
      </c>
      <c r="I202" s="5"/>
      <c r="J202" s="6"/>
      <c r="M202" s="5"/>
      <c r="O202" s="66">
        <v>45691</v>
      </c>
      <c r="P202" s="8"/>
    </row>
    <row r="203" spans="2:16">
      <c r="B203" t="s">
        <v>240</v>
      </c>
      <c r="G203" s="70" t="s">
        <v>88</v>
      </c>
      <c r="H203" s="70" t="s">
        <v>18</v>
      </c>
      <c r="I203" s="5"/>
      <c r="J203" s="6"/>
      <c r="M203" s="5"/>
      <c r="O203" s="66">
        <v>45638</v>
      </c>
      <c r="P203" s="8"/>
    </row>
    <row r="204" spans="2:16">
      <c r="B204" t="s">
        <v>241</v>
      </c>
      <c r="D204" s="5" t="s">
        <v>242</v>
      </c>
      <c r="E204" s="5" t="s">
        <v>25</v>
      </c>
      <c r="G204" s="5" t="s">
        <v>192</v>
      </c>
      <c r="H204" s="5" t="s">
        <v>25</v>
      </c>
      <c r="I204" s="5">
        <v>3</v>
      </c>
      <c r="J204" s="6">
        <v>0.5</v>
      </c>
      <c r="M204" s="5"/>
      <c r="O204" s="8"/>
      <c r="P204" s="8"/>
    </row>
    <row r="205" spans="2:16">
      <c r="B205" t="s">
        <v>243</v>
      </c>
      <c r="G205" s="70" t="s">
        <v>21</v>
      </c>
      <c r="H205" s="70" t="s">
        <v>18</v>
      </c>
      <c r="I205" s="5"/>
      <c r="J205" s="6"/>
      <c r="L205" s="5" t="s">
        <v>28</v>
      </c>
      <c r="M205" s="5" t="s">
        <v>18</v>
      </c>
      <c r="O205" s="66">
        <v>45482</v>
      </c>
      <c r="P205" s="8">
        <v>45163</v>
      </c>
    </row>
    <row r="206" spans="2:16">
      <c r="B206" s="47" t="s">
        <v>244</v>
      </c>
      <c r="G206" s="72" t="s">
        <v>245</v>
      </c>
      <c r="H206" s="70" t="s">
        <v>15</v>
      </c>
      <c r="L206" s="5" t="s">
        <v>99</v>
      </c>
      <c r="M206" t="s">
        <v>18</v>
      </c>
      <c r="O206" s="66">
        <v>45695</v>
      </c>
      <c r="P206" s="8">
        <v>45275</v>
      </c>
    </row>
  </sheetData>
  <sortState xmlns:xlrd2="http://schemas.microsoft.com/office/spreadsheetml/2017/richdata2" ref="B10:P206">
    <sortCondition ref="B10:B206"/>
  </sortState>
  <pageMargins left="0.2" right="0.2" top="0.2" bottom="0.2" header="0.2" footer="0.2"/>
  <pageSetup scale="24" orientation="landscape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45A5-09DC-46E6-BA79-64BDEED5AF93}">
  <sheetPr>
    <tabColor rgb="FFC00000"/>
  </sheetPr>
  <dimension ref="B1:AP127"/>
  <sheetViews>
    <sheetView showGridLines="0" zoomScale="80" zoomScaleNormal="80" workbookViewId="0">
      <pane xSplit="10" ySplit="4" topLeftCell="K84" activePane="bottomRight" state="frozen"/>
      <selection pane="bottomRight" activeCell="G84" sqref="G84"/>
      <selection pane="bottomLeft" activeCell="H76" sqref="H76"/>
      <selection pane="topRight" activeCell="H76" sqref="H76"/>
    </sheetView>
  </sheetViews>
  <sheetFormatPr defaultRowHeight="14.45"/>
  <cols>
    <col min="1" max="1" width="2.7109375" customWidth="1"/>
    <col min="2" max="8" width="10.85546875" customWidth="1"/>
    <col min="9" max="9" width="2.7109375" customWidth="1"/>
    <col min="10" max="10" width="37" bestFit="1" customWidth="1"/>
    <col min="11" max="11" width="2.7109375" customWidth="1"/>
    <col min="12" max="13" width="14.85546875" customWidth="1"/>
    <col min="14" max="14" width="2.7109375" customWidth="1"/>
    <col min="15" max="17" width="14.85546875" customWidth="1"/>
    <col min="18" max="18" width="2.7109375" customWidth="1"/>
    <col min="19" max="21" width="14.85546875" customWidth="1"/>
    <col min="23" max="24" width="14.85546875" customWidth="1"/>
    <col min="26" max="29" width="16.28515625" customWidth="1"/>
    <col min="31" max="31" width="18.5703125" style="5" bestFit="1" customWidth="1"/>
    <col min="33" max="36" width="16.28515625" customWidth="1"/>
    <col min="39" max="42" width="16.28515625" customWidth="1"/>
  </cols>
  <sheetData>
    <row r="1" spans="2:42">
      <c r="W1" s="41" t="s">
        <v>18</v>
      </c>
    </row>
    <row r="2" spans="2:42">
      <c r="W2" s="41" t="s">
        <v>15</v>
      </c>
    </row>
    <row r="3" spans="2:42">
      <c r="B3" s="31" t="s">
        <v>246</v>
      </c>
      <c r="C3" s="31"/>
      <c r="D3" s="31"/>
      <c r="E3" s="31"/>
      <c r="F3" s="31"/>
      <c r="G3" s="31"/>
      <c r="H3" s="31"/>
      <c r="I3" s="39" t="s">
        <v>247</v>
      </c>
      <c r="J3" s="31" t="s">
        <v>248</v>
      </c>
      <c r="L3" s="31" t="s">
        <v>4</v>
      </c>
      <c r="M3" s="31"/>
      <c r="O3" s="31" t="s">
        <v>5</v>
      </c>
      <c r="P3" s="31"/>
      <c r="Q3" s="31"/>
      <c r="S3" s="31" t="s">
        <v>6</v>
      </c>
      <c r="T3" s="31"/>
      <c r="U3" s="31"/>
      <c r="W3" s="31" t="s">
        <v>249</v>
      </c>
      <c r="X3" s="31"/>
      <c r="Z3" s="31" t="s">
        <v>250</v>
      </c>
      <c r="AA3" s="31"/>
      <c r="AB3" s="31"/>
      <c r="AC3" s="31"/>
      <c r="AE3" s="65"/>
      <c r="AG3" s="31" t="s">
        <v>250</v>
      </c>
      <c r="AH3" s="31"/>
      <c r="AI3" s="31"/>
      <c r="AJ3" s="31"/>
      <c r="AM3" s="31" t="s">
        <v>250</v>
      </c>
      <c r="AN3" s="31"/>
      <c r="AO3" s="31"/>
      <c r="AP3" s="31"/>
    </row>
    <row r="4" spans="2:42">
      <c r="B4" s="2" t="s">
        <v>251</v>
      </c>
      <c r="C4" s="2" t="s">
        <v>252</v>
      </c>
      <c r="D4" s="13" t="s">
        <v>253</v>
      </c>
      <c r="E4" s="13" t="s">
        <v>254</v>
      </c>
      <c r="F4" s="13" t="s">
        <v>255</v>
      </c>
      <c r="G4" s="13" t="s">
        <v>256</v>
      </c>
      <c r="H4" s="13" t="s">
        <v>257</v>
      </c>
      <c r="J4" s="1"/>
      <c r="K4" s="1"/>
      <c r="L4" s="2" t="s">
        <v>9</v>
      </c>
      <c r="M4" s="2" t="s">
        <v>258</v>
      </c>
      <c r="N4" s="13"/>
      <c r="O4" s="2" t="s">
        <v>9</v>
      </c>
      <c r="P4" s="2" t="s">
        <v>258</v>
      </c>
      <c r="Q4" s="2" t="s">
        <v>259</v>
      </c>
      <c r="R4" s="13"/>
      <c r="S4" s="2" t="s">
        <v>9</v>
      </c>
      <c r="T4" s="2" t="s">
        <v>258</v>
      </c>
      <c r="U4" s="2" t="s">
        <v>259</v>
      </c>
      <c r="W4" s="2" t="s">
        <v>5</v>
      </c>
      <c r="X4" s="2" t="s">
        <v>6</v>
      </c>
      <c r="Z4" s="2" t="s">
        <v>260</v>
      </c>
      <c r="AA4" s="2" t="s">
        <v>261</v>
      </c>
      <c r="AB4" s="2" t="s">
        <v>262</v>
      </c>
      <c r="AC4" s="2" t="s">
        <v>263</v>
      </c>
      <c r="AE4" s="64" t="s">
        <v>264</v>
      </c>
      <c r="AG4" s="2" t="s">
        <v>260</v>
      </c>
      <c r="AH4" s="2" t="s">
        <v>261</v>
      </c>
      <c r="AI4" s="2" t="s">
        <v>262</v>
      </c>
      <c r="AJ4" s="2" t="s">
        <v>263</v>
      </c>
      <c r="AM4" s="2" t="s">
        <v>260</v>
      </c>
      <c r="AN4" s="2" t="s">
        <v>261</v>
      </c>
      <c r="AO4" s="2" t="s">
        <v>262</v>
      </c>
      <c r="AP4" s="2" t="s">
        <v>263</v>
      </c>
    </row>
    <row r="5" spans="2:42">
      <c r="B5" s="40">
        <f>+COUNTIFS(SOIs!$D:$D, 'Ratings by CLO'!$J5)</f>
        <v>2</v>
      </c>
      <c r="C5" s="40">
        <f>+COUNTIFS(SOIs!$G:$G, 'Ratings by CLO'!$J5)</f>
        <v>1</v>
      </c>
      <c r="D5" s="40">
        <f>+COUNTIFS(SOIs!$J:$J, 'Ratings by CLO'!$J5)</f>
        <v>1</v>
      </c>
      <c r="E5" s="40">
        <f>+COUNTIFS(SOIs!$M:$M, 'Ratings by CLO'!$J5)</f>
        <v>2</v>
      </c>
      <c r="F5" s="40">
        <f>+COUNTIFS(SOIs!$P:$P, 'Ratings by CLO'!$J5)</f>
        <v>1</v>
      </c>
      <c r="G5" s="40">
        <f>+COUNTIFS(SOIs!$S:$S, 'Ratings by CLO'!$J5)</f>
        <v>1</v>
      </c>
      <c r="H5" s="40">
        <f>+COUNTIFS(SOIs!$V:$V, 'Ratings by CLO'!$J5)</f>
        <v>1</v>
      </c>
      <c r="I5" s="38"/>
      <c r="J5" s="32" t="str">
        <f>+SOIs!X6</f>
        <v>48Forty</v>
      </c>
      <c r="K5" s="32"/>
      <c r="L5" s="28" t="str">
        <f>+IF(INDEX('Master Ratings'!$D:$D, MATCH('Ratings by CLO'!$J5,'Master Ratings'!$B:$B,0),0)=0,"",INDEX('Master Ratings'!$D:$D, MATCH('Ratings by CLO'!$J5,'Master Ratings'!$B:$B,0),0))</f>
        <v/>
      </c>
      <c r="M5" s="28" t="str">
        <f>+IF(INDEX('Master Ratings'!$E:$E, MATCH('Ratings by CLO'!$J5,'Master Ratings'!$B:$B,0),0)=0,"",INDEX('Master Ratings'!$E:$E, MATCH('Ratings by CLO'!$J5,'Master Ratings'!$B:$B,0),0))</f>
        <v/>
      </c>
      <c r="N5" s="28"/>
      <c r="O5" s="28" t="str">
        <f>+IF(INDEX('Master Ratings'!$G:$G, MATCH('Ratings by CLO'!$J5,'Master Ratings'!$B:$B,0),0)=0,"",INDEX('Master Ratings'!$G:$G, MATCH('Ratings by CLO'!$J5,'Master Ratings'!$B:$B,0),0))</f>
        <v>CCC+**</v>
      </c>
      <c r="P5" s="28" t="str">
        <f>+IF(INDEX('Master Ratings'!$H:$H, MATCH('Ratings by CLO'!$J5,'Master Ratings'!$B:$B,0),0)=0,"",INDEX('Master Ratings'!$H:$H, MATCH('Ratings by CLO'!$J5,'Master Ratings'!$B:$B,0),0))</f>
        <v>Rating (Private)</v>
      </c>
      <c r="Q5" s="8">
        <f>+IF(INDEX('Master Ratings'!$O:$O, MATCH('Ratings by CLO'!$J5,'Master Ratings'!$B:$B,0),0)=0,"",INDEX('Master Ratings'!$O:$O, MATCH('Ratings by CLO'!$J5,'Master Ratings'!$B:$B,0),0))</f>
        <v>45737</v>
      </c>
      <c r="R5" s="28"/>
      <c r="S5" s="28" t="str">
        <f>+IF(INDEX('Master Ratings'!$L:$L, MATCH('Ratings by CLO'!$J5,'Master Ratings'!$B:$B,0),0)=0,"",INDEX('Master Ratings'!$L:$L, MATCH('Ratings by CLO'!$J5,'Master Ratings'!$B:$B,0),0))</f>
        <v/>
      </c>
      <c r="T5" s="28" t="str">
        <f>+IF(INDEX('Master Ratings'!$M:$M, MATCH('Ratings by CLO'!$J5,'Master Ratings'!$B:$B,0),0)=0,"",INDEX('Master Ratings'!$M:$M, MATCH('Ratings by CLO'!$J5,'Master Ratings'!$B:$B,0),0))</f>
        <v/>
      </c>
      <c r="U5" s="8" t="str">
        <f>+IF(INDEX('Master Ratings'!$P:$P, MATCH('Ratings by CLO'!$J5,'Master Ratings'!$B:$B,0),0)=0,"",INDEX('Master Ratings'!$P:$P, MATCH('Ratings by CLO'!$J5,'Master Ratings'!$B:$B,0),0))</f>
        <v/>
      </c>
      <c r="W5" s="5">
        <f ca="1">+IF(OR($P5=$W$1,$P5=$W$2),$Q5+365-TODAY(), "")</f>
        <v>138</v>
      </c>
      <c r="X5" s="5" t="str">
        <f ca="1">+IF(OR($T5=$W$1,$T5=$W$2),$U5+365-TODAY(), "")</f>
        <v/>
      </c>
      <c r="Z5" s="5" t="str">
        <f ca="1">IF(AND(SUM(B5:H5)&gt;=1,ISERROR(W5)),"X","")</f>
        <v/>
      </c>
      <c r="AA5" s="5" t="str">
        <f ca="1">IF(AND(B5&gt;=1, ISERROR(X5)),"X","")</f>
        <v/>
      </c>
      <c r="AB5" s="5" t="str">
        <f ca="1">+IFERROR(IF(W5&lt;0,"X",""),"")</f>
        <v/>
      </c>
      <c r="AC5" s="5" t="str">
        <f ca="1">+IFERROR(IF(AND(B5&gt;0, X5&lt;0),"X",""),"")</f>
        <v/>
      </c>
      <c r="AD5" s="5"/>
      <c r="AE5" s="5" t="str">
        <f t="shared" ref="AE5:AE36" si="0">+IF(SUM(B5:H5)=0,"X","")</f>
        <v/>
      </c>
      <c r="AF5" s="32"/>
      <c r="AG5">
        <f ca="1">IF(Z5="X",AG2+1,AG2)</f>
        <v>0</v>
      </c>
      <c r="AH5">
        <f t="shared" ref="AH5:AJ5" ca="1" si="1">IF(AA5="X",AH2+1,AH2)</f>
        <v>0</v>
      </c>
      <c r="AI5">
        <f t="shared" ca="1" si="1"/>
        <v>0</v>
      </c>
      <c r="AJ5">
        <f t="shared" ca="1" si="1"/>
        <v>0</v>
      </c>
      <c r="AL5">
        <v>1</v>
      </c>
      <c r="AM5" t="str">
        <f ca="1">INDEX($J:$J, MATCH($AL5,AG:AG,0),0)</f>
        <v>Edelman</v>
      </c>
      <c r="AN5" t="str">
        <f t="shared" ref="AN5:AP5" ca="1" si="2">INDEX($J:$J, MATCH($AL5,AH:AH,0),0)</f>
        <v>BlueHalo</v>
      </c>
      <c r="AO5" t="str">
        <f t="shared" ca="1" si="2"/>
        <v>alphabroder</v>
      </c>
      <c r="AP5" t="str">
        <f t="shared" ca="1" si="2"/>
        <v>4Wall Entertainment</v>
      </c>
    </row>
    <row r="6" spans="2:42">
      <c r="B6" s="40">
        <f>+COUNTIFS(SOIs!$D:$D, 'Ratings by CLO'!$J6)</f>
        <v>3</v>
      </c>
      <c r="C6" s="40">
        <f>+COUNTIFS(SOIs!$G:$G, 'Ratings by CLO'!$J6)</f>
        <v>1</v>
      </c>
      <c r="D6" s="40">
        <f>+COUNTIFS(SOIs!$J:$J, 'Ratings by CLO'!$J6)</f>
        <v>0</v>
      </c>
      <c r="E6" s="40">
        <f>+COUNTIFS(SOIs!$M:$M, 'Ratings by CLO'!$J6)</f>
        <v>0</v>
      </c>
      <c r="F6" s="40">
        <f>+COUNTIFS(SOIs!$P:$P, 'Ratings by CLO'!$J6)</f>
        <v>0</v>
      </c>
      <c r="G6" s="40">
        <f>+COUNTIFS(SOIs!$S:$S, 'Ratings by CLO'!$J6)</f>
        <v>1</v>
      </c>
      <c r="H6" s="40">
        <f>+COUNTIFS(SOIs!$V:$V, 'Ratings by CLO'!$J6)</f>
        <v>1</v>
      </c>
      <c r="I6" s="38"/>
      <c r="J6" s="32" t="str">
        <f>+SOIs!X7</f>
        <v>4Wall Entertainment</v>
      </c>
      <c r="K6" s="32"/>
      <c r="L6" s="28" t="str">
        <f>+IF(INDEX('Master Ratings'!$D:$D, MATCH('Ratings by CLO'!$J6,'Master Ratings'!$B:$B,0),0)=0,"",INDEX('Master Ratings'!$D:$D, MATCH('Ratings by CLO'!$J6,'Master Ratings'!$B:$B,0),0))</f>
        <v/>
      </c>
      <c r="M6" s="28" t="str">
        <f>+IF(INDEX('Master Ratings'!$E:$E, MATCH('Ratings by CLO'!$J6,'Master Ratings'!$B:$B,0),0)=0,"",INDEX('Master Ratings'!$E:$E, MATCH('Ratings by CLO'!$J6,'Master Ratings'!$B:$B,0),0))</f>
        <v/>
      </c>
      <c r="N6" s="28"/>
      <c r="O6" s="28" t="str">
        <f>+IF(INDEX('Master Ratings'!$G:$G, MATCH('Ratings by CLO'!$J6,'Master Ratings'!$B:$B,0),0)=0,"",INDEX('Master Ratings'!$G:$G, MATCH('Ratings by CLO'!$J6,'Master Ratings'!$B:$B,0),0))</f>
        <v>CCC-*</v>
      </c>
      <c r="P6" s="28" t="str">
        <f>+IF(INDEX('Master Ratings'!$H:$H, MATCH('Ratings by CLO'!$J6,'Master Ratings'!$B:$B,0),0)=0,"",INDEX('Master Ratings'!$H:$H, MATCH('Ratings by CLO'!$J6,'Master Ratings'!$B:$B,0),0))</f>
        <v>Credit Estimate</v>
      </c>
      <c r="Q6" s="8">
        <f>+IF(INDEX('Master Ratings'!$O:$O, MATCH('Ratings by CLO'!$J6,'Master Ratings'!$B:$B,0),0)=0,"",INDEX('Master Ratings'!$O:$O, MATCH('Ratings by CLO'!$J6,'Master Ratings'!$B:$B,0),0))</f>
        <v>45709</v>
      </c>
      <c r="R6" s="28"/>
      <c r="S6" s="28" t="str">
        <f>+IF(INDEX('Master Ratings'!$L:$L, MATCH('Ratings by CLO'!$J6,'Master Ratings'!$B:$B,0),0)=0,"",INDEX('Master Ratings'!$L:$L, MATCH('Ratings by CLO'!$J6,'Master Ratings'!$B:$B,0),0))</f>
        <v>B-</v>
      </c>
      <c r="T6" s="28" t="str">
        <f>+IF(INDEX('Master Ratings'!$M:$M, MATCH('Ratings by CLO'!$J6,'Master Ratings'!$B:$B,0),0)=0,"",INDEX('Master Ratings'!$M:$M, MATCH('Ratings by CLO'!$J6,'Master Ratings'!$B:$B,0),0))</f>
        <v>Rating (Private)</v>
      </c>
      <c r="U6" s="8">
        <f>+IF(INDEX('Master Ratings'!$P:$P, MATCH('Ratings by CLO'!$J6,'Master Ratings'!$B:$B,0),0)=0,"",INDEX('Master Ratings'!$P:$P, MATCH('Ratings by CLO'!$J6,'Master Ratings'!$B:$B,0),0))</f>
        <v>45345</v>
      </c>
      <c r="W6" s="5">
        <f t="shared" ref="W6:W69" ca="1" si="3">+IF(OR($P6=$W$1,$P6=$W$2),$Q6+365-TODAY(), "")</f>
        <v>110</v>
      </c>
      <c r="X6" s="5">
        <f t="shared" ref="X6:X69" ca="1" si="4">+IF(OR($T6=$W$1,$T6=$W$2),$U6+365-TODAY(), "")</f>
        <v>-254</v>
      </c>
      <c r="Z6" s="5" t="str">
        <f t="shared" ref="Z6:Z69" ca="1" si="5">IF(AND(SUM(B6:H6)&gt;=1,ISERROR(W6)),"X","")</f>
        <v/>
      </c>
      <c r="AA6" s="5" t="str">
        <f t="shared" ref="AA6:AA69" ca="1" si="6">IF(AND(B6&gt;1, ISERROR(X6)),"X","")</f>
        <v/>
      </c>
      <c r="AB6" s="5" t="str">
        <f t="shared" ref="AB6:AB69" ca="1" si="7">+IFERROR(IF(W6&lt;0,"X",""),"")</f>
        <v/>
      </c>
      <c r="AC6" s="5" t="str">
        <f t="shared" ref="AC6:AC69" ca="1" si="8">+IFERROR(IF(AND(B6&gt;0, X6&lt;0),"X",""),"")</f>
        <v>X</v>
      </c>
      <c r="AD6" s="5"/>
      <c r="AE6" s="5" t="str">
        <f t="shared" si="0"/>
        <v/>
      </c>
      <c r="AF6" s="32"/>
      <c r="AG6">
        <f ca="1">IF(Z6="X",AG5+1,AG5)</f>
        <v>0</v>
      </c>
      <c r="AH6">
        <f t="shared" ref="AH6" ca="1" si="9">IF(AA6="X",AH5+1,AH5)</f>
        <v>0</v>
      </c>
      <c r="AI6">
        <f t="shared" ref="AI6" ca="1" si="10">IF(AB6="X",AI5+1,AI5)</f>
        <v>0</v>
      </c>
      <c r="AJ6">
        <f t="shared" ref="AJ6" ca="1" si="11">IF(AC6="X",AJ5+1,AJ5)</f>
        <v>1</v>
      </c>
      <c r="AL6">
        <f>AL5+1</f>
        <v>2</v>
      </c>
      <c r="AM6" t="str">
        <f t="shared" ref="AM6:AM26" ca="1" si="12">INDEX($J:$J, MATCH($AL6,AG:AG,0),0)</f>
        <v>Electro Rent</v>
      </c>
      <c r="AN6" t="str">
        <f t="shared" ref="AN6:AN26" ca="1" si="13">INDEX($J:$J, MATCH($AL6,AH:AH,0),0)</f>
        <v>Connatix</v>
      </c>
      <c r="AO6" t="str">
        <f t="shared" ref="AO6:AO26" ca="1" si="14">INDEX($J:$J, MATCH($AL6,AI:AI,0),0)</f>
        <v>American Insulated Glass</v>
      </c>
      <c r="AP6" t="str">
        <f t="shared" ref="AP6:AP26" ca="1" si="15">INDEX($J:$J, MATCH($AL6,AJ:AJ,0),0)</f>
        <v>Ad.net</v>
      </c>
    </row>
    <row r="7" spans="2:42">
      <c r="B7" s="40">
        <f>+COUNTIFS(SOIs!$D:$D, 'Ratings by CLO'!$J7)</f>
        <v>0</v>
      </c>
      <c r="C7" s="40">
        <f>+COUNTIFS(SOIs!$G:$G, 'Ratings by CLO'!$J7)</f>
        <v>0</v>
      </c>
      <c r="D7" s="40">
        <f>+COUNTIFS(SOIs!$J:$J, 'Ratings by CLO'!$J7)</f>
        <v>0</v>
      </c>
      <c r="E7" s="40">
        <f>+COUNTIFS(SOIs!$M:$M, 'Ratings by CLO'!$J7)</f>
        <v>0</v>
      </c>
      <c r="F7" s="40">
        <f>+COUNTIFS(SOIs!$P:$P, 'Ratings by CLO'!$J7)</f>
        <v>0</v>
      </c>
      <c r="G7" s="40">
        <f>+COUNTIFS(SOIs!$S:$S, 'Ratings by CLO'!$J7)</f>
        <v>1</v>
      </c>
      <c r="H7" s="40">
        <f>+COUNTIFS(SOIs!$V:$V, 'Ratings by CLO'!$J7)</f>
        <v>1</v>
      </c>
      <c r="I7" s="38"/>
      <c r="J7" s="32" t="str">
        <f>+SOIs!X8</f>
        <v>A1 Garage</v>
      </c>
      <c r="K7" s="32"/>
      <c r="L7" s="28" t="str">
        <f>+IF(INDEX('Master Ratings'!$D:$D, MATCH('Ratings by CLO'!$J7,'Master Ratings'!$B:$B,0),0)=0,"",INDEX('Master Ratings'!$D:$D, MATCH('Ratings by CLO'!$J7,'Master Ratings'!$B:$B,0),0))</f>
        <v/>
      </c>
      <c r="M7" s="28" t="str">
        <f>+IF(INDEX('Master Ratings'!$E:$E, MATCH('Ratings by CLO'!$J7,'Master Ratings'!$B:$B,0),0)=0,"",INDEX('Master Ratings'!$E:$E, MATCH('Ratings by CLO'!$J7,'Master Ratings'!$B:$B,0),0))</f>
        <v/>
      </c>
      <c r="N7" s="28"/>
      <c r="O7" s="28" t="str">
        <f>+IF(INDEX('Master Ratings'!$G:$G, MATCH('Ratings by CLO'!$J7,'Master Ratings'!$B:$B,0),0)=0,"",INDEX('Master Ratings'!$G:$G, MATCH('Ratings by CLO'!$J7,'Master Ratings'!$B:$B,0),0))</f>
        <v>B-*</v>
      </c>
      <c r="P7" s="28" t="str">
        <f>+IF(INDEX('Master Ratings'!$H:$H, MATCH('Ratings by CLO'!$J7,'Master Ratings'!$B:$B,0),0)=0,"",INDEX('Master Ratings'!$H:$H, MATCH('Ratings by CLO'!$J7,'Master Ratings'!$B:$B,0),0))</f>
        <v>Credit Estimate</v>
      </c>
      <c r="Q7" s="8">
        <f>+IF(INDEX('Master Ratings'!$O:$O, MATCH('Ratings by CLO'!$J7,'Master Ratings'!$B:$B,0),0)=0,"",INDEX('Master Ratings'!$O:$O, MATCH('Ratings by CLO'!$J7,'Master Ratings'!$B:$B,0),0))</f>
        <v>45657</v>
      </c>
      <c r="R7" s="28"/>
      <c r="S7" s="28" t="str">
        <f>+IF(INDEX('Master Ratings'!$L:$L, MATCH('Ratings by CLO'!$J7,'Master Ratings'!$B:$B,0),0)=0,"",INDEX('Master Ratings'!$L:$L, MATCH('Ratings by CLO'!$J7,'Master Ratings'!$B:$B,0),0))</f>
        <v/>
      </c>
      <c r="T7" s="28" t="str">
        <f>+IF(INDEX('Master Ratings'!$M:$M, MATCH('Ratings by CLO'!$J7,'Master Ratings'!$B:$B,0),0)=0,"",INDEX('Master Ratings'!$M:$M, MATCH('Ratings by CLO'!$J7,'Master Ratings'!$B:$B,0),0))</f>
        <v/>
      </c>
      <c r="U7" s="8" t="str">
        <f>+IF(INDEX('Master Ratings'!$P:$P, MATCH('Ratings by CLO'!$J7,'Master Ratings'!$B:$B,0),0)=0,"",INDEX('Master Ratings'!$P:$P, MATCH('Ratings by CLO'!$J7,'Master Ratings'!$B:$B,0),0))</f>
        <v/>
      </c>
      <c r="W7" s="5">
        <f t="shared" ca="1" si="3"/>
        <v>58</v>
      </c>
      <c r="X7" s="5" t="str">
        <f t="shared" ca="1" si="4"/>
        <v/>
      </c>
      <c r="Z7" s="5" t="str">
        <f t="shared" ca="1" si="5"/>
        <v/>
      </c>
      <c r="AA7" s="5" t="str">
        <f t="shared" ca="1" si="6"/>
        <v/>
      </c>
      <c r="AB7" s="5" t="str">
        <f t="shared" ca="1" si="7"/>
        <v/>
      </c>
      <c r="AC7" s="5" t="str">
        <f t="shared" ca="1" si="8"/>
        <v/>
      </c>
      <c r="AD7" s="5"/>
      <c r="AE7" s="5" t="str">
        <f t="shared" si="0"/>
        <v/>
      </c>
      <c r="AF7" s="32"/>
      <c r="AG7">
        <f t="shared" ref="AG7:AG70" ca="1" si="16">IF(Z7="X",AG6+1,AG6)</f>
        <v>0</v>
      </c>
      <c r="AH7">
        <f t="shared" ref="AH7:AH70" ca="1" si="17">IF(AA7="X",AH6+1,AH6)</f>
        <v>0</v>
      </c>
      <c r="AI7">
        <f t="shared" ref="AI7:AI70" ca="1" si="18">IF(AB7="X",AI6+1,AI6)</f>
        <v>0</v>
      </c>
      <c r="AJ7">
        <f t="shared" ref="AJ7:AJ70" ca="1" si="19">IF(AC7="X",AJ6+1,AJ6)</f>
        <v>1</v>
      </c>
      <c r="AL7">
        <f t="shared" ref="AL7:AL26" si="20">AL6+1</f>
        <v>3</v>
      </c>
      <c r="AM7" t="str">
        <f t="shared" ca="1" si="12"/>
        <v>Engine &amp; Transmission Exchange</v>
      </c>
      <c r="AN7" t="str">
        <f t="shared" ca="1" si="13"/>
        <v>Gen3 Marketing</v>
      </c>
      <c r="AO7" t="str">
        <f t="shared" ca="1" si="14"/>
        <v>Any Hour Services</v>
      </c>
      <c r="AP7" t="str">
        <f t="shared" ca="1" si="15"/>
        <v>alphabroder</v>
      </c>
    </row>
    <row r="8" spans="2:42">
      <c r="B8" s="40">
        <f>+COUNTIFS(SOIs!$D:$D, 'Ratings by CLO'!$J8)</f>
        <v>4</v>
      </c>
      <c r="C8" s="40">
        <f>+COUNTIFS(SOIs!$G:$G, 'Ratings by CLO'!$J8)</f>
        <v>1</v>
      </c>
      <c r="D8" s="40">
        <f>+COUNTIFS(SOIs!$J:$J, 'Ratings by CLO'!$J8)</f>
        <v>1</v>
      </c>
      <c r="E8" s="40">
        <f>+COUNTIFS(SOIs!$M:$M, 'Ratings by CLO'!$J8)</f>
        <v>1</v>
      </c>
      <c r="F8" s="40">
        <f>+COUNTIFS(SOIs!$P:$P, 'Ratings by CLO'!$J8)</f>
        <v>0</v>
      </c>
      <c r="G8" s="40">
        <f>+COUNTIFS(SOIs!$S:$S, 'Ratings by CLO'!$J8)</f>
        <v>1</v>
      </c>
      <c r="H8" s="40">
        <f>+COUNTIFS(SOIs!$V:$V, 'Ratings by CLO'!$J8)</f>
        <v>0</v>
      </c>
      <c r="I8" s="38"/>
      <c r="J8" s="32" t="str">
        <f>+SOIs!X9</f>
        <v>Ad.net</v>
      </c>
      <c r="K8" s="32"/>
      <c r="L8" s="28" t="str">
        <f>+IF(INDEX('Master Ratings'!$D:$D, MATCH('Ratings by CLO'!$J8,'Master Ratings'!$B:$B,0),0)=0,"",INDEX('Master Ratings'!$D:$D, MATCH('Ratings by CLO'!$J8,'Master Ratings'!$B:$B,0),0))</f>
        <v/>
      </c>
      <c r="M8" s="28" t="str">
        <f>+IF(INDEX('Master Ratings'!$E:$E, MATCH('Ratings by CLO'!$J8,'Master Ratings'!$B:$B,0),0)=0,"",INDEX('Master Ratings'!$E:$E, MATCH('Ratings by CLO'!$J8,'Master Ratings'!$B:$B,0),0))</f>
        <v/>
      </c>
      <c r="N8" s="28"/>
      <c r="O8" s="28" t="str">
        <f>+IF(INDEX('Master Ratings'!$G:$G, MATCH('Ratings by CLO'!$J8,'Master Ratings'!$B:$B,0),0)=0,"",INDEX('Master Ratings'!$G:$G, MATCH('Ratings by CLO'!$J8,'Master Ratings'!$B:$B,0),0))</f>
        <v>B-*</v>
      </c>
      <c r="P8" s="28" t="str">
        <f>+IF(INDEX('Master Ratings'!$H:$H, MATCH('Ratings by CLO'!$J8,'Master Ratings'!$B:$B,0),0)=0,"",INDEX('Master Ratings'!$H:$H, MATCH('Ratings by CLO'!$J8,'Master Ratings'!$B:$B,0),0))</f>
        <v>Credit Estimate</v>
      </c>
      <c r="Q8" s="8">
        <f>+IF(INDEX('Master Ratings'!$O:$O, MATCH('Ratings by CLO'!$J8,'Master Ratings'!$B:$B,0),0)=0,"",INDEX('Master Ratings'!$O:$O, MATCH('Ratings by CLO'!$J8,'Master Ratings'!$B:$B,0),0))</f>
        <v>45750</v>
      </c>
      <c r="R8" s="28"/>
      <c r="S8" s="28" t="str">
        <f>+IF(INDEX('Master Ratings'!$L:$L, MATCH('Ratings by CLO'!$J8,'Master Ratings'!$B:$B,0),0)=0,"",INDEX('Master Ratings'!$L:$L, MATCH('Ratings by CLO'!$J8,'Master Ratings'!$B:$B,0),0))</f>
        <v>B-*</v>
      </c>
      <c r="T8" s="28" t="str">
        <f>+IF(INDEX('Master Ratings'!$M:$M, MATCH('Ratings by CLO'!$J8,'Master Ratings'!$B:$B,0),0)=0,"",INDEX('Master Ratings'!$M:$M, MATCH('Ratings by CLO'!$J8,'Master Ratings'!$B:$B,0),0))</f>
        <v>Credit Estimate</v>
      </c>
      <c r="U8" s="8">
        <f>+IF(INDEX('Master Ratings'!$P:$P, MATCH('Ratings by CLO'!$J8,'Master Ratings'!$B:$B,0),0)=0,"",INDEX('Master Ratings'!$P:$P, MATCH('Ratings by CLO'!$J8,'Master Ratings'!$B:$B,0),0))</f>
        <v>45107</v>
      </c>
      <c r="W8" s="5">
        <f t="shared" ca="1" si="3"/>
        <v>151</v>
      </c>
      <c r="X8" s="5">
        <f t="shared" ca="1" si="4"/>
        <v>-492</v>
      </c>
      <c r="Z8" s="5" t="str">
        <f t="shared" ca="1" si="5"/>
        <v/>
      </c>
      <c r="AA8" s="5" t="str">
        <f t="shared" ca="1" si="6"/>
        <v/>
      </c>
      <c r="AB8" s="5" t="str">
        <f t="shared" ca="1" si="7"/>
        <v/>
      </c>
      <c r="AC8" s="5" t="str">
        <f t="shared" ca="1" si="8"/>
        <v>X</v>
      </c>
      <c r="AD8" s="5"/>
      <c r="AE8" s="5" t="str">
        <f t="shared" si="0"/>
        <v/>
      </c>
      <c r="AF8" s="32"/>
      <c r="AG8">
        <f t="shared" ca="1" si="16"/>
        <v>0</v>
      </c>
      <c r="AH8">
        <f t="shared" ca="1" si="17"/>
        <v>0</v>
      </c>
      <c r="AI8">
        <f t="shared" ca="1" si="18"/>
        <v>0</v>
      </c>
      <c r="AJ8">
        <f t="shared" ca="1" si="19"/>
        <v>2</v>
      </c>
      <c r="AL8">
        <f t="shared" si="20"/>
        <v>4</v>
      </c>
      <c r="AM8" t="str">
        <f t="shared" ca="1" si="12"/>
        <v>Hightower</v>
      </c>
      <c r="AN8" t="str">
        <f t="shared" ca="1" si="13"/>
        <v>MCR</v>
      </c>
      <c r="AO8" t="str">
        <f t="shared" ca="1" si="14"/>
        <v>Apex Service Partners</v>
      </c>
      <c r="AP8" t="str">
        <f t="shared" ca="1" si="15"/>
        <v>Any Hour Services</v>
      </c>
    </row>
    <row r="9" spans="2:42">
      <c r="B9" s="40">
        <f>+COUNTIFS(SOIs!$D:$D, 'Ratings by CLO'!$J9)</f>
        <v>4</v>
      </c>
      <c r="C9" s="40">
        <f>+COUNTIFS(SOIs!$G:$G, 'Ratings by CLO'!$J9)</f>
        <v>1</v>
      </c>
      <c r="D9" s="40">
        <f>+COUNTIFS(SOIs!$J:$J, 'Ratings by CLO'!$J9)</f>
        <v>1</v>
      </c>
      <c r="E9" s="40">
        <f>+COUNTIFS(SOIs!$M:$M, 'Ratings by CLO'!$J9)</f>
        <v>0</v>
      </c>
      <c r="F9" s="40">
        <f>+COUNTIFS(SOIs!$P:$P, 'Ratings by CLO'!$J9)</f>
        <v>1</v>
      </c>
      <c r="G9" s="40">
        <f>+COUNTIFS(SOIs!$S:$S, 'Ratings by CLO'!$J9)</f>
        <v>0</v>
      </c>
      <c r="H9" s="40">
        <f>+COUNTIFS(SOIs!$V:$V, 'Ratings by CLO'!$J9)</f>
        <v>1</v>
      </c>
      <c r="I9" s="38"/>
      <c r="J9" s="32" t="str">
        <f>+SOIs!X10</f>
        <v>alphabroder</v>
      </c>
      <c r="K9" s="32"/>
      <c r="L9" s="28" t="str">
        <f>+IF(INDEX('Master Ratings'!$D:$D, MATCH('Ratings by CLO'!$J9,'Master Ratings'!$B:$B,0),0)=0,"",INDEX('Master Ratings'!$D:$D, MATCH('Ratings by CLO'!$J9,'Master Ratings'!$B:$B,0),0))</f>
        <v/>
      </c>
      <c r="M9" s="28" t="str">
        <f>+IF(INDEX('Master Ratings'!$E:$E, MATCH('Ratings by CLO'!$J9,'Master Ratings'!$B:$B,0),0)=0,"",INDEX('Master Ratings'!$E:$E, MATCH('Ratings by CLO'!$J9,'Master Ratings'!$B:$B,0),0))</f>
        <v/>
      </c>
      <c r="N9" s="28"/>
      <c r="O9" s="28" t="str">
        <f>+IF(INDEX('Master Ratings'!$G:$G, MATCH('Ratings by CLO'!$J9,'Master Ratings'!$B:$B,0),0)=0,"",INDEX('Master Ratings'!$G:$G, MATCH('Ratings by CLO'!$J9,'Master Ratings'!$B:$B,0),0))</f>
        <v>B*</v>
      </c>
      <c r="P9" s="28" t="str">
        <f>+IF(INDEX('Master Ratings'!$H:$H, MATCH('Ratings by CLO'!$J9,'Master Ratings'!$B:$B,0),0)=0,"",INDEX('Master Ratings'!$H:$H, MATCH('Ratings by CLO'!$J9,'Master Ratings'!$B:$B,0),0))</f>
        <v>Rating (Private)</v>
      </c>
      <c r="Q9" s="8">
        <f>+IF(INDEX('Master Ratings'!$O:$O, MATCH('Ratings by CLO'!$J9,'Master Ratings'!$B:$B,0),0)=0,"",INDEX('Master Ratings'!$O:$O, MATCH('Ratings by CLO'!$J9,'Master Ratings'!$B:$B,0),0))</f>
        <v>45481</v>
      </c>
      <c r="R9" s="28"/>
      <c r="S9" s="28" t="str">
        <f>+IF(INDEX('Master Ratings'!$L:$L, MATCH('Ratings by CLO'!$J9,'Master Ratings'!$B:$B,0),0)=0,"",INDEX('Master Ratings'!$L:$L, MATCH('Ratings by CLO'!$J9,'Master Ratings'!$B:$B,0),0))</f>
        <v>B+*</v>
      </c>
      <c r="T9" s="28" t="str">
        <f>+IF(INDEX('Master Ratings'!$M:$M, MATCH('Ratings by CLO'!$J9,'Master Ratings'!$B:$B,0),0)=0,"",INDEX('Master Ratings'!$M:$M, MATCH('Ratings by CLO'!$J9,'Master Ratings'!$B:$B,0),0))</f>
        <v>Credit Estimate</v>
      </c>
      <c r="U9" s="8">
        <f>+IF(INDEX('Master Ratings'!$P:$P, MATCH('Ratings by CLO'!$J9,'Master Ratings'!$B:$B,0),0)=0,"",INDEX('Master Ratings'!$P:$P, MATCH('Ratings by CLO'!$J9,'Master Ratings'!$B:$B,0),0))</f>
        <v>45275</v>
      </c>
      <c r="W9" s="5">
        <f t="shared" ca="1" si="3"/>
        <v>-118</v>
      </c>
      <c r="X9" s="5">
        <f t="shared" ca="1" si="4"/>
        <v>-324</v>
      </c>
      <c r="Z9" s="5" t="str">
        <f t="shared" ca="1" si="5"/>
        <v/>
      </c>
      <c r="AA9" s="5" t="str">
        <f t="shared" ca="1" si="6"/>
        <v/>
      </c>
      <c r="AB9" s="5" t="str">
        <f t="shared" ca="1" si="7"/>
        <v>X</v>
      </c>
      <c r="AC9" s="5" t="str">
        <f t="shared" ca="1" si="8"/>
        <v>X</v>
      </c>
      <c r="AD9" s="5"/>
      <c r="AE9" s="5" t="str">
        <f t="shared" si="0"/>
        <v/>
      </c>
      <c r="AF9" s="32"/>
      <c r="AG9">
        <f t="shared" ca="1" si="16"/>
        <v>0</v>
      </c>
      <c r="AH9">
        <f t="shared" ca="1" si="17"/>
        <v>0</v>
      </c>
      <c r="AI9">
        <f t="shared" ca="1" si="18"/>
        <v>1</v>
      </c>
      <c r="AJ9">
        <f t="shared" ca="1" si="19"/>
        <v>3</v>
      </c>
      <c r="AL9">
        <f t="shared" si="20"/>
        <v>5</v>
      </c>
      <c r="AM9" t="str">
        <f t="shared" ca="1" si="12"/>
        <v>ImagineAcquisitionCo</v>
      </c>
      <c r="AN9" t="str">
        <f t="shared" ca="1" si="13"/>
        <v>MeritDirect</v>
      </c>
      <c r="AO9" t="str">
        <f t="shared" ca="1" si="14"/>
        <v>BioDerm</v>
      </c>
      <c r="AP9" t="str">
        <f t="shared" ca="1" si="15"/>
        <v>Apex Service Partners</v>
      </c>
    </row>
    <row r="10" spans="2:42">
      <c r="B10" s="40">
        <f>+COUNTIFS(SOIs!$D:$D, 'Ratings by CLO'!$J10)</f>
        <v>0</v>
      </c>
      <c r="C10" s="40">
        <f>+COUNTIFS(SOIs!$G:$G, 'Ratings by CLO'!$J10)</f>
        <v>0</v>
      </c>
      <c r="D10" s="40">
        <f>+COUNTIFS(SOIs!$J:$J, 'Ratings by CLO'!$J10)</f>
        <v>0</v>
      </c>
      <c r="E10" s="40">
        <f>+COUNTIFS(SOIs!$M:$M, 'Ratings by CLO'!$J10)</f>
        <v>0</v>
      </c>
      <c r="F10" s="40">
        <f>+COUNTIFS(SOIs!$P:$P, 'Ratings by CLO'!$J10)</f>
        <v>1</v>
      </c>
      <c r="G10" s="40">
        <f>+COUNTIFS(SOIs!$S:$S, 'Ratings by CLO'!$J10)</f>
        <v>0</v>
      </c>
      <c r="H10" s="40">
        <f>+COUNTIFS(SOIs!$V:$V, 'Ratings by CLO'!$J10)</f>
        <v>0</v>
      </c>
      <c r="I10" s="38"/>
      <c r="J10" s="32" t="str">
        <f>+SOIs!X11</f>
        <v>American Insulated Glass</v>
      </c>
      <c r="K10" s="32"/>
      <c r="L10" s="28" t="str">
        <f>+IF(INDEX('Master Ratings'!$D:$D, MATCH('Ratings by CLO'!$J10,'Master Ratings'!$B:$B,0),0)=0,"",INDEX('Master Ratings'!$D:$D, MATCH('Ratings by CLO'!$J10,'Master Ratings'!$B:$B,0),0))</f>
        <v/>
      </c>
      <c r="M10" s="28" t="str">
        <f>+IF(INDEX('Master Ratings'!$E:$E, MATCH('Ratings by CLO'!$J10,'Master Ratings'!$B:$B,0),0)=0,"",INDEX('Master Ratings'!$E:$E, MATCH('Ratings by CLO'!$J10,'Master Ratings'!$B:$B,0),0))</f>
        <v/>
      </c>
      <c r="N10" s="28"/>
      <c r="O10" s="28" t="str">
        <f>+IF(INDEX('Master Ratings'!$G:$G, MATCH('Ratings by CLO'!$J10,'Master Ratings'!$B:$B,0),0)=0,"",INDEX('Master Ratings'!$G:$G, MATCH('Ratings by CLO'!$J10,'Master Ratings'!$B:$B,0),0))</f>
        <v>B-*</v>
      </c>
      <c r="P10" s="28" t="str">
        <f>+IF(INDEX('Master Ratings'!$H:$H, MATCH('Ratings by CLO'!$J10,'Master Ratings'!$B:$B,0),0)=0,"",INDEX('Master Ratings'!$H:$H, MATCH('Ratings by CLO'!$J10,'Master Ratings'!$B:$B,0),0))</f>
        <v>Credit Estimate</v>
      </c>
      <c r="Q10" s="8">
        <f>+IF(INDEX('Master Ratings'!$O:$O, MATCH('Ratings by CLO'!$J10,'Master Ratings'!$B:$B,0),0)=0,"",INDEX('Master Ratings'!$O:$O, MATCH('Ratings by CLO'!$J10,'Master Ratings'!$B:$B,0),0))</f>
        <v>44825</v>
      </c>
      <c r="R10" s="28"/>
      <c r="S10" s="28" t="str">
        <f>+IF(INDEX('Master Ratings'!$L:$L, MATCH('Ratings by CLO'!$J10,'Master Ratings'!$B:$B,0),0)=0,"",INDEX('Master Ratings'!$L:$L, MATCH('Ratings by CLO'!$J10,'Master Ratings'!$B:$B,0),0))</f>
        <v>B-*</v>
      </c>
      <c r="T10" s="28" t="str">
        <f>+IF(INDEX('Master Ratings'!$M:$M, MATCH('Ratings by CLO'!$J10,'Master Ratings'!$B:$B,0),0)=0,"",INDEX('Master Ratings'!$M:$M, MATCH('Ratings by CLO'!$J10,'Master Ratings'!$B:$B,0),0))</f>
        <v>Credit Estimate</v>
      </c>
      <c r="U10" s="8">
        <f>+IF(INDEX('Master Ratings'!$P:$P, MATCH('Ratings by CLO'!$J10,'Master Ratings'!$B:$B,0),0)=0,"",INDEX('Master Ratings'!$P:$P, MATCH('Ratings by CLO'!$J10,'Master Ratings'!$B:$B,0),0))</f>
        <v>44886</v>
      </c>
      <c r="W10" s="5">
        <f t="shared" ca="1" si="3"/>
        <v>-774</v>
      </c>
      <c r="X10" s="5">
        <f t="shared" ca="1" si="4"/>
        <v>-713</v>
      </c>
      <c r="Z10" s="5" t="str">
        <f t="shared" ca="1" si="5"/>
        <v/>
      </c>
      <c r="AA10" s="5" t="str">
        <f t="shared" ca="1" si="6"/>
        <v/>
      </c>
      <c r="AB10" s="5" t="str">
        <f t="shared" ca="1" si="7"/>
        <v>X</v>
      </c>
      <c r="AC10" s="5" t="str">
        <f t="shared" ca="1" si="8"/>
        <v/>
      </c>
      <c r="AD10" s="5"/>
      <c r="AE10" s="5" t="str">
        <f t="shared" si="0"/>
        <v/>
      </c>
      <c r="AF10" s="32"/>
      <c r="AG10">
        <f t="shared" ca="1" si="16"/>
        <v>0</v>
      </c>
      <c r="AH10">
        <f t="shared" ca="1" si="17"/>
        <v>0</v>
      </c>
      <c r="AI10">
        <f t="shared" ca="1" si="18"/>
        <v>2</v>
      </c>
      <c r="AJ10">
        <f t="shared" ca="1" si="19"/>
        <v>3</v>
      </c>
      <c r="AL10">
        <f t="shared" si="20"/>
        <v>6</v>
      </c>
      <c r="AM10" t="str">
        <f t="shared" ca="1" si="12"/>
        <v>Integrated Data Services</v>
      </c>
      <c r="AN10" t="str">
        <f t="shared" ca="1" si="13"/>
        <v>Mission Critical Electronics</v>
      </c>
      <c r="AO10" t="str">
        <f t="shared" ca="1" si="14"/>
        <v>By Light</v>
      </c>
      <c r="AP10" t="str">
        <f t="shared" ca="1" si="15"/>
        <v>Applied Technical Services</v>
      </c>
    </row>
    <row r="11" spans="2:42">
      <c r="B11" s="40">
        <f>+COUNTIFS(SOIs!$D:$D, 'Ratings by CLO'!$J11)</f>
        <v>0</v>
      </c>
      <c r="C11" s="40">
        <f>+COUNTIFS(SOIs!$G:$G, 'Ratings by CLO'!$J11)</f>
        <v>0</v>
      </c>
      <c r="D11" s="40">
        <f>+COUNTIFS(SOIs!$J:$J, 'Ratings by CLO'!$J11)</f>
        <v>0</v>
      </c>
      <c r="E11" s="40">
        <f>+COUNTIFS(SOIs!$M:$M, 'Ratings by CLO'!$J11)</f>
        <v>0</v>
      </c>
      <c r="F11" s="40">
        <f>+COUNTIFS(SOIs!$P:$P, 'Ratings by CLO'!$J11)</f>
        <v>1</v>
      </c>
      <c r="G11" s="40">
        <f>+COUNTIFS(SOIs!$S:$S, 'Ratings by CLO'!$J11)</f>
        <v>0</v>
      </c>
      <c r="H11" s="40">
        <f>+COUNTIFS(SOIs!$V:$V, 'Ratings by CLO'!$J11)</f>
        <v>0</v>
      </c>
      <c r="I11" s="38"/>
      <c r="J11" s="32" t="str">
        <f>+SOIs!X12</f>
        <v>Ankura</v>
      </c>
      <c r="K11" s="32"/>
      <c r="L11" s="28" t="str">
        <f>+IF(INDEX('Master Ratings'!$D:$D, MATCH('Ratings by CLO'!$J11,'Master Ratings'!$B:$B,0),0)=0,"",INDEX('Master Ratings'!$D:$D, MATCH('Ratings by CLO'!$J11,'Master Ratings'!$B:$B,0),0))</f>
        <v>B3</v>
      </c>
      <c r="M11" s="28" t="str">
        <f>+IF(INDEX('Master Ratings'!$E:$E, MATCH('Ratings by CLO'!$J11,'Master Ratings'!$B:$B,0),0)=0,"",INDEX('Master Ratings'!$E:$E, MATCH('Ratings by CLO'!$J11,'Master Ratings'!$B:$B,0),0))</f>
        <v>Rating (Public)</v>
      </c>
      <c r="N11" s="28"/>
      <c r="O11" s="28" t="str">
        <f>+IF(INDEX('Master Ratings'!$G:$G, MATCH('Ratings by CLO'!$J11,'Master Ratings'!$B:$B,0),0)=0,"",INDEX('Master Ratings'!$G:$G, MATCH('Ratings by CLO'!$J11,'Master Ratings'!$B:$B,0),0))</f>
        <v>B-</v>
      </c>
      <c r="P11" s="28" t="str">
        <f>+IF(INDEX('Master Ratings'!$H:$H, MATCH('Ratings by CLO'!$J11,'Master Ratings'!$B:$B,0),0)=0,"",INDEX('Master Ratings'!$H:$H, MATCH('Ratings by CLO'!$J11,'Master Ratings'!$B:$B,0),0))</f>
        <v>Rating (Public)</v>
      </c>
      <c r="Q11" s="8" t="str">
        <f>+IF(INDEX('Master Ratings'!$O:$O, MATCH('Ratings by CLO'!$J11,'Master Ratings'!$B:$B,0),0)=0,"",INDEX('Master Ratings'!$O:$O, MATCH('Ratings by CLO'!$J11,'Master Ratings'!$B:$B,0),0))</f>
        <v/>
      </c>
      <c r="R11" s="28"/>
      <c r="S11" s="28" t="str">
        <f>+IF(INDEX('Master Ratings'!$L:$L, MATCH('Ratings by CLO'!$J11,'Master Ratings'!$B:$B,0),0)=0,"",INDEX('Master Ratings'!$L:$L, MATCH('Ratings by CLO'!$J11,'Master Ratings'!$B:$B,0),0))</f>
        <v/>
      </c>
      <c r="T11" s="28" t="str">
        <f>+IF(INDEX('Master Ratings'!$M:$M, MATCH('Ratings by CLO'!$J11,'Master Ratings'!$B:$B,0),0)=0,"",INDEX('Master Ratings'!$M:$M, MATCH('Ratings by CLO'!$J11,'Master Ratings'!$B:$B,0),0))</f>
        <v/>
      </c>
      <c r="U11" s="8" t="str">
        <f>+IF(INDEX('Master Ratings'!$P:$P, MATCH('Ratings by CLO'!$J11,'Master Ratings'!$B:$B,0),0)=0,"",INDEX('Master Ratings'!$P:$P, MATCH('Ratings by CLO'!$J11,'Master Ratings'!$B:$B,0),0))</f>
        <v/>
      </c>
      <c r="W11" s="5" t="str">
        <f t="shared" ca="1" si="3"/>
        <v/>
      </c>
      <c r="X11" s="5" t="str">
        <f t="shared" ca="1" si="4"/>
        <v/>
      </c>
      <c r="Z11" s="5" t="str">
        <f t="shared" ca="1" si="5"/>
        <v/>
      </c>
      <c r="AA11" s="5" t="str">
        <f t="shared" ca="1" si="6"/>
        <v/>
      </c>
      <c r="AB11" s="5" t="str">
        <f t="shared" ca="1" si="7"/>
        <v/>
      </c>
      <c r="AC11" s="5" t="str">
        <f t="shared" ca="1" si="8"/>
        <v/>
      </c>
      <c r="AD11" s="5"/>
      <c r="AE11" s="5" t="str">
        <f t="shared" si="0"/>
        <v/>
      </c>
      <c r="AF11" s="32"/>
      <c r="AG11">
        <f t="shared" ca="1" si="16"/>
        <v>0</v>
      </c>
      <c r="AH11">
        <f t="shared" ca="1" si="17"/>
        <v>0</v>
      </c>
      <c r="AI11">
        <f t="shared" ca="1" si="18"/>
        <v>2</v>
      </c>
      <c r="AJ11">
        <f t="shared" ca="1" si="19"/>
        <v>3</v>
      </c>
      <c r="AL11">
        <f t="shared" si="20"/>
        <v>7</v>
      </c>
      <c r="AM11" t="str">
        <f t="shared" ca="1" si="12"/>
        <v>Rancho Medical</v>
      </c>
      <c r="AN11" t="str">
        <f t="shared" ca="1" si="13"/>
        <v>Quantic Electronics</v>
      </c>
      <c r="AO11" t="str">
        <f t="shared" ca="1" si="14"/>
        <v>Cadence Aerospace</v>
      </c>
      <c r="AP11" t="str">
        <f t="shared" ca="1" si="15"/>
        <v>Arcfield</v>
      </c>
    </row>
    <row r="12" spans="2:42">
      <c r="B12" s="40">
        <f>+COUNTIFS(SOIs!$D:$D, 'Ratings by CLO'!$J12)</f>
        <v>3</v>
      </c>
      <c r="C12" s="40">
        <f>+COUNTIFS(SOIs!$G:$G, 'Ratings by CLO'!$J12)</f>
        <v>1</v>
      </c>
      <c r="D12" s="40">
        <f>+COUNTIFS(SOIs!$J:$J, 'Ratings by CLO'!$J12)</f>
        <v>0</v>
      </c>
      <c r="E12" s="40">
        <f>+COUNTIFS(SOIs!$M:$M, 'Ratings by CLO'!$J12)</f>
        <v>1</v>
      </c>
      <c r="F12" s="40">
        <f>+COUNTIFS(SOIs!$P:$P, 'Ratings by CLO'!$J12)</f>
        <v>0</v>
      </c>
      <c r="G12" s="40">
        <f>+COUNTIFS(SOIs!$S:$S, 'Ratings by CLO'!$J12)</f>
        <v>1</v>
      </c>
      <c r="H12" s="40">
        <f>+COUNTIFS(SOIs!$V:$V, 'Ratings by CLO'!$J12)</f>
        <v>1</v>
      </c>
      <c r="I12" s="38"/>
      <c r="J12" s="32" t="str">
        <f>+SOIs!X13</f>
        <v>Any Hour Services</v>
      </c>
      <c r="K12" s="32"/>
      <c r="L12" s="28" t="str">
        <f>+IF(INDEX('Master Ratings'!$D:$D, MATCH('Ratings by CLO'!$J12,'Master Ratings'!$B:$B,0),0)=0,"",INDEX('Master Ratings'!$D:$D, MATCH('Ratings by CLO'!$J12,'Master Ratings'!$B:$B,0),0))</f>
        <v/>
      </c>
      <c r="M12" s="28" t="str">
        <f>+IF(INDEX('Master Ratings'!$E:$E, MATCH('Ratings by CLO'!$J12,'Master Ratings'!$B:$B,0),0)=0,"",INDEX('Master Ratings'!$E:$E, MATCH('Ratings by CLO'!$J12,'Master Ratings'!$B:$B,0),0))</f>
        <v/>
      </c>
      <c r="N12" s="28"/>
      <c r="O12" s="28" t="str">
        <f>+IF(INDEX('Master Ratings'!$G:$G, MATCH('Ratings by CLO'!$J12,'Master Ratings'!$B:$B,0),0)=0,"",INDEX('Master Ratings'!$G:$G, MATCH('Ratings by CLO'!$J12,'Master Ratings'!$B:$B,0),0))</f>
        <v>B-*</v>
      </c>
      <c r="P12" s="28" t="str">
        <f>+IF(INDEX('Master Ratings'!$H:$H, MATCH('Ratings by CLO'!$J12,'Master Ratings'!$B:$B,0),0)=0,"",INDEX('Master Ratings'!$H:$H, MATCH('Ratings by CLO'!$J12,'Master Ratings'!$B:$B,0),0))</f>
        <v>Credit Estimate</v>
      </c>
      <c r="Q12" s="8">
        <f>+IF(INDEX('Master Ratings'!$O:$O, MATCH('Ratings by CLO'!$J12,'Master Ratings'!$B:$B,0),0)=0,"",INDEX('Master Ratings'!$O:$O, MATCH('Ratings by CLO'!$J12,'Master Ratings'!$B:$B,0),0))</f>
        <v>45447</v>
      </c>
      <c r="R12" s="28"/>
      <c r="S12" s="28" t="str">
        <f>+IF(INDEX('Master Ratings'!$L:$L, MATCH('Ratings by CLO'!$J12,'Master Ratings'!$B:$B,0),0)=0,"",INDEX('Master Ratings'!$L:$L, MATCH('Ratings by CLO'!$J12,'Master Ratings'!$B:$B,0),0))</f>
        <v>B-*</v>
      </c>
      <c r="T12" s="28" t="str">
        <f>+IF(INDEX('Master Ratings'!$M:$M, MATCH('Ratings by CLO'!$J12,'Master Ratings'!$B:$B,0),0)=0,"",INDEX('Master Ratings'!$M:$M, MATCH('Ratings by CLO'!$J12,'Master Ratings'!$B:$B,0),0))</f>
        <v>Credit Estimate</v>
      </c>
      <c r="U12" s="8">
        <f>+IF(INDEX('Master Ratings'!$P:$P, MATCH('Ratings by CLO'!$J12,'Master Ratings'!$B:$B,0),0)=0,"",INDEX('Master Ratings'!$P:$P, MATCH('Ratings by CLO'!$J12,'Master Ratings'!$B:$B,0),0))</f>
        <v>45050</v>
      </c>
      <c r="W12" s="5">
        <f t="shared" ca="1" si="3"/>
        <v>-152</v>
      </c>
      <c r="X12" s="5">
        <f t="shared" ca="1" si="4"/>
        <v>-549</v>
      </c>
      <c r="Z12" s="5" t="str">
        <f t="shared" ca="1" si="5"/>
        <v/>
      </c>
      <c r="AA12" s="5" t="str">
        <f t="shared" ca="1" si="6"/>
        <v/>
      </c>
      <c r="AB12" s="5" t="str">
        <f t="shared" ca="1" si="7"/>
        <v>X</v>
      </c>
      <c r="AC12" s="5" t="str">
        <f t="shared" ca="1" si="8"/>
        <v>X</v>
      </c>
      <c r="AD12" s="5"/>
      <c r="AE12" s="5" t="str">
        <f t="shared" si="0"/>
        <v/>
      </c>
      <c r="AF12" s="32"/>
      <c r="AG12">
        <f t="shared" ca="1" si="16"/>
        <v>0</v>
      </c>
      <c r="AH12">
        <f t="shared" ca="1" si="17"/>
        <v>0</v>
      </c>
      <c r="AI12">
        <f t="shared" ca="1" si="18"/>
        <v>3</v>
      </c>
      <c r="AJ12">
        <f t="shared" ca="1" si="19"/>
        <v>4</v>
      </c>
      <c r="AL12">
        <f t="shared" si="20"/>
        <v>8</v>
      </c>
      <c r="AM12" t="str">
        <f t="shared" ca="1" si="12"/>
        <v>Simplicity Group</v>
      </c>
      <c r="AN12" t="str">
        <f t="shared" ca="1" si="13"/>
        <v>Sales Benchmark Index (SBI)</v>
      </c>
      <c r="AO12" t="str">
        <f t="shared" ca="1" si="14"/>
        <v>Connatix</v>
      </c>
      <c r="AP12" t="str">
        <f t="shared" ca="1" si="15"/>
        <v>Bluebird</v>
      </c>
    </row>
    <row r="13" spans="2:42">
      <c r="B13" s="40">
        <f>+COUNTIFS(SOIs!$D:$D, 'Ratings by CLO'!$J13)</f>
        <v>7</v>
      </c>
      <c r="C13" s="40">
        <f>+COUNTIFS(SOIs!$G:$G, 'Ratings by CLO'!$J13)</f>
        <v>3</v>
      </c>
      <c r="D13" s="40">
        <f>+COUNTIFS(SOIs!$J:$J, 'Ratings by CLO'!$J13)</f>
        <v>2</v>
      </c>
      <c r="E13" s="40">
        <f>+COUNTIFS(SOIs!$M:$M, 'Ratings by CLO'!$J13)</f>
        <v>1</v>
      </c>
      <c r="F13" s="40">
        <f>+COUNTIFS(SOIs!$P:$P, 'Ratings by CLO'!$J13)</f>
        <v>1</v>
      </c>
      <c r="G13" s="40">
        <f>+COUNTIFS(SOIs!$S:$S, 'Ratings by CLO'!$J13)</f>
        <v>1</v>
      </c>
      <c r="H13" s="40">
        <f>+COUNTIFS(SOIs!$V:$V, 'Ratings by CLO'!$J13)</f>
        <v>1</v>
      </c>
      <c r="I13" s="38"/>
      <c r="J13" s="32" t="str">
        <f>+SOIs!X14</f>
        <v>Apex Service Partners</v>
      </c>
      <c r="K13" s="32"/>
      <c r="L13" s="28" t="str">
        <f>+IF(INDEX('Master Ratings'!$D:$D, MATCH('Ratings by CLO'!$J13,'Master Ratings'!$B:$B,0),0)=0,"",INDEX('Master Ratings'!$D:$D, MATCH('Ratings by CLO'!$J13,'Master Ratings'!$B:$B,0),0))</f>
        <v/>
      </c>
      <c r="M13" s="28" t="str">
        <f>+IF(INDEX('Master Ratings'!$E:$E, MATCH('Ratings by CLO'!$J13,'Master Ratings'!$B:$B,0),0)=0,"",INDEX('Master Ratings'!$E:$E, MATCH('Ratings by CLO'!$J13,'Master Ratings'!$B:$B,0),0))</f>
        <v/>
      </c>
      <c r="N13" s="28"/>
      <c r="O13" s="28" t="str">
        <f>+IF(INDEX('Master Ratings'!$G:$G, MATCH('Ratings by CLO'!$J13,'Master Ratings'!$B:$B,0),0)=0,"",INDEX('Master Ratings'!$G:$G, MATCH('Ratings by CLO'!$J13,'Master Ratings'!$B:$B,0),0))</f>
        <v>B-*</v>
      </c>
      <c r="P13" s="28" t="str">
        <f>+IF(INDEX('Master Ratings'!$H:$H, MATCH('Ratings by CLO'!$J13,'Master Ratings'!$B:$B,0),0)=0,"",INDEX('Master Ratings'!$H:$H, MATCH('Ratings by CLO'!$J13,'Master Ratings'!$B:$B,0),0))</f>
        <v>Credit Estimate</v>
      </c>
      <c r="Q13" s="8">
        <f>+IF(INDEX('Master Ratings'!$O:$O, MATCH('Ratings by CLO'!$J13,'Master Ratings'!$B:$B,0),0)=0,"",INDEX('Master Ratings'!$O:$O, MATCH('Ratings by CLO'!$J13,'Master Ratings'!$B:$B,0),0))</f>
        <v>45077</v>
      </c>
      <c r="R13" s="28"/>
      <c r="S13" s="28" t="str">
        <f>+IF(INDEX('Master Ratings'!$L:$L, MATCH('Ratings by CLO'!$J13,'Master Ratings'!$B:$B,0),0)=0,"",INDEX('Master Ratings'!$L:$L, MATCH('Ratings by CLO'!$J13,'Master Ratings'!$B:$B,0),0))</f>
        <v>B-</v>
      </c>
      <c r="T13" s="28" t="str">
        <f>+IF(INDEX('Master Ratings'!$M:$M, MATCH('Ratings by CLO'!$J13,'Master Ratings'!$B:$B,0),0)=0,"",INDEX('Master Ratings'!$M:$M, MATCH('Ratings by CLO'!$J13,'Master Ratings'!$B:$B,0),0))</f>
        <v>Rating (Private)</v>
      </c>
      <c r="U13" s="8">
        <f>+IF(INDEX('Master Ratings'!$P:$P, MATCH('Ratings by CLO'!$J13,'Master Ratings'!$B:$B,0),0)=0,"",INDEX('Master Ratings'!$P:$P, MATCH('Ratings by CLO'!$J13,'Master Ratings'!$B:$B,0),0))</f>
        <v>44886</v>
      </c>
      <c r="W13" s="5">
        <f t="shared" ca="1" si="3"/>
        <v>-522</v>
      </c>
      <c r="X13" s="5">
        <f t="shared" ca="1" si="4"/>
        <v>-713</v>
      </c>
      <c r="Z13" s="5" t="str">
        <f t="shared" ca="1" si="5"/>
        <v/>
      </c>
      <c r="AA13" s="5" t="str">
        <f t="shared" ca="1" si="6"/>
        <v/>
      </c>
      <c r="AB13" s="5" t="str">
        <f t="shared" ca="1" si="7"/>
        <v>X</v>
      </c>
      <c r="AC13" s="5" t="str">
        <f t="shared" ca="1" si="8"/>
        <v>X</v>
      </c>
      <c r="AD13" s="5"/>
      <c r="AE13" s="5" t="str">
        <f t="shared" si="0"/>
        <v/>
      </c>
      <c r="AF13" s="32"/>
      <c r="AG13">
        <f t="shared" ca="1" si="16"/>
        <v>0</v>
      </c>
      <c r="AH13">
        <f t="shared" ca="1" si="17"/>
        <v>0</v>
      </c>
      <c r="AI13">
        <f t="shared" ca="1" si="18"/>
        <v>4</v>
      </c>
      <c r="AJ13">
        <f t="shared" ca="1" si="19"/>
        <v>5</v>
      </c>
      <c r="AL13">
        <f t="shared" si="20"/>
        <v>9</v>
      </c>
      <c r="AM13" t="str">
        <f t="shared" ca="1" si="12"/>
        <v>TVC</v>
      </c>
      <c r="AN13" t="str">
        <f t="shared" ca="1" si="13"/>
        <v>Schlesinger</v>
      </c>
      <c r="AO13" t="str">
        <f t="shared" ca="1" si="14"/>
        <v>Exigo</v>
      </c>
      <c r="AP13" t="str">
        <f t="shared" ca="1" si="15"/>
        <v>By Light</v>
      </c>
    </row>
    <row r="14" spans="2:42">
      <c r="B14" s="40">
        <f>+COUNTIFS(SOIs!$D:$D, 'Ratings by CLO'!$J14)</f>
        <v>4</v>
      </c>
      <c r="C14" s="40">
        <f>+COUNTIFS(SOIs!$G:$G, 'Ratings by CLO'!$J14)</f>
        <v>2</v>
      </c>
      <c r="D14" s="40">
        <f>+COUNTIFS(SOIs!$J:$J, 'Ratings by CLO'!$J14)</f>
        <v>0</v>
      </c>
      <c r="E14" s="40">
        <f>+COUNTIFS(SOIs!$M:$M, 'Ratings by CLO'!$J14)</f>
        <v>1</v>
      </c>
      <c r="F14" s="40">
        <f>+COUNTIFS(SOIs!$P:$P, 'Ratings by CLO'!$J14)</f>
        <v>1</v>
      </c>
      <c r="G14" s="40">
        <f>+COUNTIFS(SOIs!$S:$S, 'Ratings by CLO'!$J14)</f>
        <v>1</v>
      </c>
      <c r="H14" s="40">
        <f>+COUNTIFS(SOIs!$V:$V, 'Ratings by CLO'!$J14)</f>
        <v>1</v>
      </c>
      <c r="I14" s="38"/>
      <c r="J14" s="32" t="str">
        <f>+SOIs!X15</f>
        <v>Applied Technical Services</v>
      </c>
      <c r="K14" s="32"/>
      <c r="L14" s="28" t="str">
        <f>+IF(INDEX('Master Ratings'!$D:$D, MATCH('Ratings by CLO'!$J14,'Master Ratings'!$B:$B,0),0)=0,"",INDEX('Master Ratings'!$D:$D, MATCH('Ratings by CLO'!$J14,'Master Ratings'!$B:$B,0),0))</f>
        <v/>
      </c>
      <c r="M14" s="28" t="str">
        <f>+IF(INDEX('Master Ratings'!$E:$E, MATCH('Ratings by CLO'!$J14,'Master Ratings'!$B:$B,0),0)=0,"",INDEX('Master Ratings'!$E:$E, MATCH('Ratings by CLO'!$J14,'Master Ratings'!$B:$B,0),0))</f>
        <v/>
      </c>
      <c r="N14" s="28"/>
      <c r="O14" s="28" t="str">
        <f>+IF(INDEX('Master Ratings'!$G:$G, MATCH('Ratings by CLO'!$J14,'Master Ratings'!$B:$B,0),0)=0,"",INDEX('Master Ratings'!$G:$G, MATCH('Ratings by CLO'!$J14,'Master Ratings'!$B:$B,0),0))</f>
        <v>B-*</v>
      </c>
      <c r="P14" s="28" t="str">
        <f>+IF(INDEX('Master Ratings'!$H:$H, MATCH('Ratings by CLO'!$J14,'Master Ratings'!$B:$B,0),0)=0,"",INDEX('Master Ratings'!$H:$H, MATCH('Ratings by CLO'!$J14,'Master Ratings'!$B:$B,0),0))</f>
        <v>Rating (Private)</v>
      </c>
      <c r="Q14" s="8">
        <f>+IF(INDEX('Master Ratings'!$O:$O, MATCH('Ratings by CLO'!$J14,'Master Ratings'!$B:$B,0),0)=0,"",INDEX('Master Ratings'!$O:$O, MATCH('Ratings by CLO'!$J14,'Master Ratings'!$B:$B,0),0))</f>
        <v>45660</v>
      </c>
      <c r="R14" s="28"/>
      <c r="S14" s="28" t="str">
        <f>+IF(INDEX('Master Ratings'!$L:$L, MATCH('Ratings by CLO'!$J14,'Master Ratings'!$B:$B,0),0)=0,"",INDEX('Master Ratings'!$L:$L, MATCH('Ratings by CLO'!$J14,'Master Ratings'!$B:$B,0),0))</f>
        <v>B*</v>
      </c>
      <c r="T14" s="28" t="str">
        <f>+IF(INDEX('Master Ratings'!$M:$M, MATCH('Ratings by CLO'!$J14,'Master Ratings'!$B:$B,0),0)=0,"",INDEX('Master Ratings'!$M:$M, MATCH('Ratings by CLO'!$J14,'Master Ratings'!$B:$B,0),0))</f>
        <v>Credit Estimate</v>
      </c>
      <c r="U14" s="8">
        <f>+IF(INDEX('Master Ratings'!$P:$P, MATCH('Ratings by CLO'!$J14,'Master Ratings'!$B:$B,0),0)=0,"",INDEX('Master Ratings'!$P:$P, MATCH('Ratings by CLO'!$J14,'Master Ratings'!$B:$B,0),0))</f>
        <v>45359</v>
      </c>
      <c r="W14" s="5">
        <f t="shared" ca="1" si="3"/>
        <v>61</v>
      </c>
      <c r="X14" s="5">
        <f t="shared" ca="1" si="4"/>
        <v>-240</v>
      </c>
      <c r="Z14" s="5" t="str">
        <f t="shared" ca="1" si="5"/>
        <v/>
      </c>
      <c r="AA14" s="5" t="str">
        <f t="shared" ca="1" si="6"/>
        <v/>
      </c>
      <c r="AB14" s="5" t="str">
        <f t="shared" ca="1" si="7"/>
        <v/>
      </c>
      <c r="AC14" s="5" t="str">
        <f t="shared" ca="1" si="8"/>
        <v>X</v>
      </c>
      <c r="AD14" s="5"/>
      <c r="AE14" s="5" t="str">
        <f t="shared" si="0"/>
        <v/>
      </c>
      <c r="AF14" s="32"/>
      <c r="AG14">
        <f t="shared" ca="1" si="16"/>
        <v>0</v>
      </c>
      <c r="AH14">
        <f t="shared" ca="1" si="17"/>
        <v>0</v>
      </c>
      <c r="AI14">
        <f t="shared" ca="1" si="18"/>
        <v>4</v>
      </c>
      <c r="AJ14">
        <f t="shared" ca="1" si="19"/>
        <v>6</v>
      </c>
      <c r="AL14">
        <f t="shared" si="20"/>
        <v>10</v>
      </c>
      <c r="AM14" t="e">
        <f t="shared" ca="1" si="12"/>
        <v>#N/A</v>
      </c>
      <c r="AN14" t="str">
        <f t="shared" ca="1" si="13"/>
        <v>Sigma Defense</v>
      </c>
      <c r="AO14" t="str">
        <f t="shared" ca="1" si="14"/>
        <v>GCOM</v>
      </c>
      <c r="AP14" t="str">
        <f t="shared" ca="1" si="15"/>
        <v>Cartessa</v>
      </c>
    </row>
    <row r="15" spans="2:42">
      <c r="B15" s="40">
        <f>+COUNTIFS(SOIs!$D:$D, 'Ratings by CLO'!$J15)</f>
        <v>3</v>
      </c>
      <c r="C15" s="40">
        <f>+COUNTIFS(SOIs!$G:$G, 'Ratings by CLO'!$J15)</f>
        <v>1</v>
      </c>
      <c r="D15" s="40">
        <f>+COUNTIFS(SOIs!$J:$J, 'Ratings by CLO'!$J15)</f>
        <v>0</v>
      </c>
      <c r="E15" s="40">
        <f>+COUNTIFS(SOIs!$M:$M, 'Ratings by CLO'!$J15)</f>
        <v>0</v>
      </c>
      <c r="F15" s="40">
        <f>+COUNTIFS(SOIs!$P:$P, 'Ratings by CLO'!$J15)</f>
        <v>0</v>
      </c>
      <c r="G15" s="40">
        <f>+COUNTIFS(SOIs!$S:$S, 'Ratings by CLO'!$J15)</f>
        <v>1</v>
      </c>
      <c r="H15" s="40">
        <f>+COUNTIFS(SOIs!$V:$V, 'Ratings by CLO'!$J15)</f>
        <v>1</v>
      </c>
      <c r="I15" s="38"/>
      <c r="J15" s="32" t="str">
        <f>+SOIs!X16</f>
        <v>Arcfield</v>
      </c>
      <c r="K15" s="32"/>
      <c r="L15" s="28" t="str">
        <f>+IF(INDEX('Master Ratings'!$D:$D, MATCH('Ratings by CLO'!$J15,'Master Ratings'!$B:$B,0),0)=0,"",INDEX('Master Ratings'!$D:$D, MATCH('Ratings by CLO'!$J15,'Master Ratings'!$B:$B,0),0))</f>
        <v/>
      </c>
      <c r="M15" s="28" t="str">
        <f>+IF(INDEX('Master Ratings'!$E:$E, MATCH('Ratings by CLO'!$J15,'Master Ratings'!$B:$B,0),0)=0,"",INDEX('Master Ratings'!$E:$E, MATCH('Ratings by CLO'!$J15,'Master Ratings'!$B:$B,0),0))</f>
        <v/>
      </c>
      <c r="N15" s="28"/>
      <c r="O15" s="28" t="str">
        <f>+IF(INDEX('Master Ratings'!$G:$G, MATCH('Ratings by CLO'!$J15,'Master Ratings'!$B:$B,0),0)=0,"",INDEX('Master Ratings'!$G:$G, MATCH('Ratings by CLO'!$J15,'Master Ratings'!$B:$B,0),0))</f>
        <v>B-*</v>
      </c>
      <c r="P15" s="28" t="str">
        <f>+IF(INDEX('Master Ratings'!$H:$H, MATCH('Ratings by CLO'!$J15,'Master Ratings'!$B:$B,0),0)=0,"",INDEX('Master Ratings'!$H:$H, MATCH('Ratings by CLO'!$J15,'Master Ratings'!$B:$B,0),0))</f>
        <v>Credit Estimate</v>
      </c>
      <c r="Q15" s="8">
        <f>+IF(INDEX('Master Ratings'!$O:$O, MATCH('Ratings by CLO'!$J15,'Master Ratings'!$B:$B,0),0)=0,"",INDEX('Master Ratings'!$O:$O, MATCH('Ratings by CLO'!$J15,'Master Ratings'!$B:$B,0),0))</f>
        <v>45684</v>
      </c>
      <c r="R15" s="28"/>
      <c r="S15" s="28" t="str">
        <f>+IF(INDEX('Master Ratings'!$L:$L, MATCH('Ratings by CLO'!$J15,'Master Ratings'!$B:$B,0),0)=0,"",INDEX('Master Ratings'!$L:$L, MATCH('Ratings by CLO'!$J15,'Master Ratings'!$B:$B,0),0))</f>
        <v>B</v>
      </c>
      <c r="T15" s="28" t="str">
        <f>+IF(INDEX('Master Ratings'!$M:$M, MATCH('Ratings by CLO'!$J15,'Master Ratings'!$B:$B,0),0)=0,"",INDEX('Master Ratings'!$M:$M, MATCH('Ratings by CLO'!$J15,'Master Ratings'!$B:$B,0),0))</f>
        <v>Rating (Private)</v>
      </c>
      <c r="U15" s="8">
        <f>+IF(INDEX('Master Ratings'!$P:$P, MATCH('Ratings by CLO'!$J15,'Master Ratings'!$B:$B,0),0)=0,"",INDEX('Master Ratings'!$P:$P, MATCH('Ratings by CLO'!$J15,'Master Ratings'!$B:$B,0),0))</f>
        <v>45198</v>
      </c>
      <c r="W15" s="5">
        <f t="shared" ca="1" si="3"/>
        <v>85</v>
      </c>
      <c r="X15" s="5">
        <f t="shared" ca="1" si="4"/>
        <v>-401</v>
      </c>
      <c r="Z15" s="5" t="str">
        <f t="shared" ca="1" si="5"/>
        <v/>
      </c>
      <c r="AA15" s="5" t="str">
        <f t="shared" ca="1" si="6"/>
        <v/>
      </c>
      <c r="AB15" s="5" t="str">
        <f t="shared" ca="1" si="7"/>
        <v/>
      </c>
      <c r="AC15" s="5" t="str">
        <f t="shared" ca="1" si="8"/>
        <v>X</v>
      </c>
      <c r="AD15" s="5"/>
      <c r="AE15" s="5" t="str">
        <f t="shared" si="0"/>
        <v/>
      </c>
      <c r="AF15" s="32"/>
      <c r="AG15">
        <f t="shared" ca="1" si="16"/>
        <v>0</v>
      </c>
      <c r="AH15">
        <f t="shared" ca="1" si="17"/>
        <v>0</v>
      </c>
      <c r="AI15">
        <f t="shared" ca="1" si="18"/>
        <v>4</v>
      </c>
      <c r="AJ15">
        <f t="shared" ca="1" si="19"/>
        <v>7</v>
      </c>
      <c r="AL15">
        <f t="shared" si="20"/>
        <v>11</v>
      </c>
      <c r="AM15" t="e">
        <f t="shared" ca="1" si="12"/>
        <v>#N/A</v>
      </c>
      <c r="AN15" t="str">
        <f t="shared" ca="1" si="13"/>
        <v>Signature Systems Group</v>
      </c>
      <c r="AO15" t="str">
        <f t="shared" ca="1" si="14"/>
        <v>IDC Infusion Services</v>
      </c>
      <c r="AP15" t="str">
        <f t="shared" ca="1" si="15"/>
        <v>Centauri Health</v>
      </c>
    </row>
    <row r="16" spans="2:42">
      <c r="B16" s="40">
        <f>+COUNTIFS(SOIs!$D:$D, 'Ratings by CLO'!$J16)</f>
        <v>0</v>
      </c>
      <c r="C16" s="40">
        <f>+COUNTIFS(SOIs!$G:$G, 'Ratings by CLO'!$J16)</f>
        <v>0</v>
      </c>
      <c r="D16" s="40">
        <f>+COUNTIFS(SOIs!$J:$J, 'Ratings by CLO'!$J16)</f>
        <v>0</v>
      </c>
      <c r="E16" s="40">
        <f>+COUNTIFS(SOIs!$M:$M, 'Ratings by CLO'!$J16)</f>
        <v>0</v>
      </c>
      <c r="F16" s="40">
        <f>+COUNTIFS(SOIs!$P:$P, 'Ratings by CLO'!$J16)</f>
        <v>0</v>
      </c>
      <c r="G16" s="40">
        <f>+COUNTIFS(SOIs!$S:$S, 'Ratings by CLO'!$J16)</f>
        <v>1</v>
      </c>
      <c r="H16" s="40">
        <f>+COUNTIFS(SOIs!$V:$V, 'Ratings by CLO'!$J16)</f>
        <v>1</v>
      </c>
      <c r="I16" s="38"/>
      <c r="J16" s="32" t="str">
        <f>+SOIs!X17</f>
        <v>Ardurra</v>
      </c>
      <c r="K16" s="32"/>
      <c r="L16" s="28" t="str">
        <f>+IF(INDEX('Master Ratings'!$D:$D, MATCH('Ratings by CLO'!$J16,'Master Ratings'!$B:$B,0),0)=0,"",INDEX('Master Ratings'!$D:$D, MATCH('Ratings by CLO'!$J16,'Master Ratings'!$B:$B,0),0))</f>
        <v/>
      </c>
      <c r="M16" s="28" t="str">
        <f>+IF(INDEX('Master Ratings'!$E:$E, MATCH('Ratings by CLO'!$J16,'Master Ratings'!$B:$B,0),0)=0,"",INDEX('Master Ratings'!$E:$E, MATCH('Ratings by CLO'!$J16,'Master Ratings'!$B:$B,0),0))</f>
        <v/>
      </c>
      <c r="N16" s="28"/>
      <c r="O16" s="28" t="str">
        <f>+IF(INDEX('Master Ratings'!$G:$G, MATCH('Ratings by CLO'!$J16,'Master Ratings'!$B:$B,0),0)=0,"",INDEX('Master Ratings'!$G:$G, MATCH('Ratings by CLO'!$J16,'Master Ratings'!$B:$B,0),0))</f>
        <v>B-*</v>
      </c>
      <c r="P16" s="28" t="str">
        <f>+IF(INDEX('Master Ratings'!$H:$H, MATCH('Ratings by CLO'!$J16,'Master Ratings'!$B:$B,0),0)=0,"",INDEX('Master Ratings'!$H:$H, MATCH('Ratings by CLO'!$J16,'Master Ratings'!$B:$B,0),0))</f>
        <v>Credit Estimate</v>
      </c>
      <c r="Q16" s="8">
        <f>+IF(INDEX('Master Ratings'!$O:$O, MATCH('Ratings by CLO'!$J16,'Master Ratings'!$B:$B,0),0)=0,"",INDEX('Master Ratings'!$O:$O, MATCH('Ratings by CLO'!$J16,'Master Ratings'!$B:$B,0),0))</f>
        <v>45657</v>
      </c>
      <c r="R16" s="28"/>
      <c r="S16" s="28" t="str">
        <f>+IF(INDEX('Master Ratings'!$L:$L, MATCH('Ratings by CLO'!$J16,'Master Ratings'!$B:$B,0),0)=0,"",INDEX('Master Ratings'!$L:$L, MATCH('Ratings by CLO'!$J16,'Master Ratings'!$B:$B,0),0))</f>
        <v/>
      </c>
      <c r="T16" s="28" t="str">
        <f>+IF(INDEX('Master Ratings'!$M:$M, MATCH('Ratings by CLO'!$J16,'Master Ratings'!$B:$B,0),0)=0,"",INDEX('Master Ratings'!$M:$M, MATCH('Ratings by CLO'!$J16,'Master Ratings'!$B:$B,0),0))</f>
        <v/>
      </c>
      <c r="U16" s="8" t="str">
        <f>+IF(INDEX('Master Ratings'!$P:$P, MATCH('Ratings by CLO'!$J16,'Master Ratings'!$B:$B,0),0)=0,"",INDEX('Master Ratings'!$P:$P, MATCH('Ratings by CLO'!$J16,'Master Ratings'!$B:$B,0),0))</f>
        <v/>
      </c>
      <c r="W16" s="5">
        <f t="shared" ca="1" si="3"/>
        <v>58</v>
      </c>
      <c r="X16" s="5" t="str">
        <f t="shared" ca="1" si="4"/>
        <v/>
      </c>
      <c r="Z16" s="5" t="str">
        <f t="shared" ca="1" si="5"/>
        <v/>
      </c>
      <c r="AA16" s="5" t="str">
        <f t="shared" ca="1" si="6"/>
        <v/>
      </c>
      <c r="AB16" s="5" t="str">
        <f t="shared" ca="1" si="7"/>
        <v/>
      </c>
      <c r="AC16" s="5" t="str">
        <f t="shared" ca="1" si="8"/>
        <v/>
      </c>
      <c r="AD16" s="5"/>
      <c r="AE16" s="5" t="str">
        <f t="shared" si="0"/>
        <v/>
      </c>
      <c r="AF16" s="32"/>
      <c r="AG16">
        <f t="shared" ca="1" si="16"/>
        <v>0</v>
      </c>
      <c r="AH16">
        <f t="shared" ca="1" si="17"/>
        <v>0</v>
      </c>
      <c r="AI16">
        <f t="shared" ca="1" si="18"/>
        <v>4</v>
      </c>
      <c r="AJ16">
        <f t="shared" ca="1" si="19"/>
        <v>7</v>
      </c>
      <c r="AL16">
        <f t="shared" si="20"/>
        <v>12</v>
      </c>
      <c r="AM16" t="e">
        <f t="shared" ca="1" si="12"/>
        <v>#N/A</v>
      </c>
      <c r="AN16" t="str">
        <f t="shared" ca="1" si="13"/>
        <v>Targeted Pet Care</v>
      </c>
      <c r="AO16" t="str">
        <f t="shared" ca="1" si="14"/>
        <v>Insight Global</v>
      </c>
      <c r="AP16" t="str">
        <f t="shared" ca="1" si="15"/>
        <v>Crane 1</v>
      </c>
    </row>
    <row r="17" spans="2:42">
      <c r="B17" s="40">
        <f>+COUNTIFS(SOIs!$D:$D, 'Ratings by CLO'!$J17)</f>
        <v>1</v>
      </c>
      <c r="C17" s="40">
        <f>+COUNTIFS(SOIs!$G:$G, 'Ratings by CLO'!$J17)</f>
        <v>0</v>
      </c>
      <c r="D17" s="40">
        <f>+COUNTIFS(SOIs!$J:$J, 'Ratings by CLO'!$J17)</f>
        <v>1</v>
      </c>
      <c r="E17" s="40">
        <f>+COUNTIFS(SOIs!$M:$M, 'Ratings by CLO'!$J17)</f>
        <v>0</v>
      </c>
      <c r="F17" s="40">
        <f>+COUNTIFS(SOIs!$P:$P, 'Ratings by CLO'!$J17)</f>
        <v>2</v>
      </c>
      <c r="G17" s="40">
        <f>+COUNTIFS(SOIs!$S:$S, 'Ratings by CLO'!$J17)</f>
        <v>0</v>
      </c>
      <c r="H17" s="40">
        <f>+COUNTIFS(SOIs!$V:$V, 'Ratings by CLO'!$J17)</f>
        <v>0</v>
      </c>
      <c r="I17" s="38"/>
      <c r="J17" s="32" t="str">
        <f>+SOIs!X18</f>
        <v>Ascensus</v>
      </c>
      <c r="K17" s="32"/>
      <c r="L17" s="28" t="str">
        <f>+IF(INDEX('Master Ratings'!$D:$D, MATCH('Ratings by CLO'!$J17,'Master Ratings'!$B:$B,0),0)=0,"",INDEX('Master Ratings'!$D:$D, MATCH('Ratings by CLO'!$J17,'Master Ratings'!$B:$B,0),0))</f>
        <v>B3</v>
      </c>
      <c r="M17" s="28" t="str">
        <f>+IF(INDEX('Master Ratings'!$E:$E, MATCH('Ratings by CLO'!$J17,'Master Ratings'!$B:$B,0),0)=0,"",INDEX('Master Ratings'!$E:$E, MATCH('Ratings by CLO'!$J17,'Master Ratings'!$B:$B,0),0))</f>
        <v>Rating (Public)</v>
      </c>
      <c r="N17" s="28"/>
      <c r="O17" s="28" t="str">
        <f>+IF(INDEX('Master Ratings'!$G:$G, MATCH('Ratings by CLO'!$J17,'Master Ratings'!$B:$B,0),0)=0,"",INDEX('Master Ratings'!$G:$G, MATCH('Ratings by CLO'!$J17,'Master Ratings'!$B:$B,0),0))</f>
        <v>B-</v>
      </c>
      <c r="P17" s="28" t="str">
        <f>+IF(INDEX('Master Ratings'!$H:$H, MATCH('Ratings by CLO'!$J17,'Master Ratings'!$B:$B,0),0)=0,"",INDEX('Master Ratings'!$H:$H, MATCH('Ratings by CLO'!$J17,'Master Ratings'!$B:$B,0),0))</f>
        <v>Rating (Public)</v>
      </c>
      <c r="Q17" s="8" t="str">
        <f>+IF(INDEX('Master Ratings'!$O:$O, MATCH('Ratings by CLO'!$J17,'Master Ratings'!$B:$B,0),0)=0,"",INDEX('Master Ratings'!$O:$O, MATCH('Ratings by CLO'!$J17,'Master Ratings'!$B:$B,0),0))</f>
        <v/>
      </c>
      <c r="R17" s="28"/>
      <c r="S17" s="28" t="str">
        <f>+IF(INDEX('Master Ratings'!$L:$L, MATCH('Ratings by CLO'!$J17,'Master Ratings'!$B:$B,0),0)=0,"",INDEX('Master Ratings'!$L:$L, MATCH('Ratings by CLO'!$J17,'Master Ratings'!$B:$B,0),0))</f>
        <v/>
      </c>
      <c r="T17" s="28" t="str">
        <f>+IF(INDEX('Master Ratings'!$M:$M, MATCH('Ratings by CLO'!$J17,'Master Ratings'!$B:$B,0),0)=0,"",INDEX('Master Ratings'!$M:$M, MATCH('Ratings by CLO'!$J17,'Master Ratings'!$B:$B,0),0))</f>
        <v/>
      </c>
      <c r="U17" s="8" t="str">
        <f>+IF(INDEX('Master Ratings'!$P:$P, MATCH('Ratings by CLO'!$J17,'Master Ratings'!$B:$B,0),0)=0,"",INDEX('Master Ratings'!$P:$P, MATCH('Ratings by CLO'!$J17,'Master Ratings'!$B:$B,0),0))</f>
        <v/>
      </c>
      <c r="W17" s="5" t="str">
        <f t="shared" ca="1" si="3"/>
        <v/>
      </c>
      <c r="X17" s="5" t="str">
        <f t="shared" ca="1" si="4"/>
        <v/>
      </c>
      <c r="Z17" s="5" t="str">
        <f t="shared" ca="1" si="5"/>
        <v/>
      </c>
      <c r="AA17" s="5" t="str">
        <f t="shared" ca="1" si="6"/>
        <v/>
      </c>
      <c r="AB17" s="5" t="str">
        <f t="shared" ca="1" si="7"/>
        <v/>
      </c>
      <c r="AC17" s="5" t="str">
        <f t="shared" ca="1" si="8"/>
        <v/>
      </c>
      <c r="AD17" s="5"/>
      <c r="AE17" s="5" t="str">
        <f t="shared" si="0"/>
        <v/>
      </c>
      <c r="AF17" s="32"/>
      <c r="AG17">
        <f t="shared" ca="1" si="16"/>
        <v>0</v>
      </c>
      <c r="AH17">
        <f t="shared" ca="1" si="17"/>
        <v>0</v>
      </c>
      <c r="AI17">
        <f t="shared" ca="1" si="18"/>
        <v>4</v>
      </c>
      <c r="AJ17">
        <f t="shared" ca="1" si="19"/>
        <v>7</v>
      </c>
      <c r="AL17">
        <f t="shared" si="20"/>
        <v>13</v>
      </c>
      <c r="AM17" t="e">
        <f t="shared" ca="1" si="12"/>
        <v>#N/A</v>
      </c>
      <c r="AN17" t="str">
        <f t="shared" ca="1" si="13"/>
        <v>Vertex</v>
      </c>
      <c r="AO17" t="str">
        <f t="shared" ca="1" si="14"/>
        <v>Integrity Marketing</v>
      </c>
      <c r="AP17" t="str">
        <f t="shared" ca="1" si="15"/>
        <v>Dr. Scholl's</v>
      </c>
    </row>
    <row r="18" spans="2:42">
      <c r="B18" s="40">
        <f>+COUNTIFS(SOIs!$D:$D, 'Ratings by CLO'!$J18)</f>
        <v>0</v>
      </c>
      <c r="C18" s="40">
        <f>+COUNTIFS(SOIs!$G:$G, 'Ratings by CLO'!$J18)</f>
        <v>0</v>
      </c>
      <c r="D18" s="40">
        <f>+COUNTIFS(SOIs!$J:$J, 'Ratings by CLO'!$J18)</f>
        <v>0</v>
      </c>
      <c r="E18" s="40">
        <f>+COUNTIFS(SOIs!$M:$M, 'Ratings by CLO'!$J18)</f>
        <v>0</v>
      </c>
      <c r="F18" s="40">
        <f>+COUNTIFS(SOIs!$P:$P, 'Ratings by CLO'!$J18)</f>
        <v>1</v>
      </c>
      <c r="G18" s="40">
        <f>+COUNTIFS(SOIs!$S:$S, 'Ratings by CLO'!$J18)</f>
        <v>1</v>
      </c>
      <c r="H18" s="40">
        <f>+COUNTIFS(SOIs!$V:$V, 'Ratings by CLO'!$J18)</f>
        <v>0</v>
      </c>
      <c r="I18" s="38"/>
      <c r="J18" s="32" t="str">
        <f>+SOIs!X19</f>
        <v>BBB Industries</v>
      </c>
      <c r="K18" s="32"/>
      <c r="L18" s="28" t="str">
        <f>+IF(INDEX('Master Ratings'!$D:$D, MATCH('Ratings by CLO'!$J18,'Master Ratings'!$B:$B,0),0)=0,"",INDEX('Master Ratings'!$D:$D, MATCH('Ratings by CLO'!$J18,'Master Ratings'!$B:$B,0),0))</f>
        <v>B3</v>
      </c>
      <c r="M18" s="28" t="str">
        <f>+IF(INDEX('Master Ratings'!$E:$E, MATCH('Ratings by CLO'!$J18,'Master Ratings'!$B:$B,0),0)=0,"",INDEX('Master Ratings'!$E:$E, MATCH('Ratings by CLO'!$J18,'Master Ratings'!$B:$B,0),0))</f>
        <v>Rating (Public)</v>
      </c>
      <c r="N18" s="28"/>
      <c r="O18" s="28" t="str">
        <f>+IF(INDEX('Master Ratings'!$G:$G, MATCH('Ratings by CLO'!$J18,'Master Ratings'!$B:$B,0),0)=0,"",INDEX('Master Ratings'!$G:$G, MATCH('Ratings by CLO'!$J18,'Master Ratings'!$B:$B,0),0))</f>
        <v>B-</v>
      </c>
      <c r="P18" s="28" t="str">
        <f>+IF(INDEX('Master Ratings'!$H:$H, MATCH('Ratings by CLO'!$J18,'Master Ratings'!$B:$B,0),0)=0,"",INDEX('Master Ratings'!$H:$H, MATCH('Ratings by CLO'!$J18,'Master Ratings'!$B:$B,0),0))</f>
        <v>Rating (Public)</v>
      </c>
      <c r="Q18" s="8" t="str">
        <f>+IF(INDEX('Master Ratings'!$O:$O, MATCH('Ratings by CLO'!$J18,'Master Ratings'!$B:$B,0),0)=0,"",INDEX('Master Ratings'!$O:$O, MATCH('Ratings by CLO'!$J18,'Master Ratings'!$B:$B,0),0))</f>
        <v/>
      </c>
      <c r="R18" s="28"/>
      <c r="S18" s="28" t="str">
        <f>+IF(INDEX('Master Ratings'!$L:$L, MATCH('Ratings by CLO'!$J18,'Master Ratings'!$B:$B,0),0)=0,"",INDEX('Master Ratings'!$L:$L, MATCH('Ratings by CLO'!$J18,'Master Ratings'!$B:$B,0),0))</f>
        <v/>
      </c>
      <c r="T18" s="28" t="str">
        <f>+IF(INDEX('Master Ratings'!$M:$M, MATCH('Ratings by CLO'!$J18,'Master Ratings'!$B:$B,0),0)=0,"",INDEX('Master Ratings'!$M:$M, MATCH('Ratings by CLO'!$J18,'Master Ratings'!$B:$B,0),0))</f>
        <v/>
      </c>
      <c r="U18" s="8" t="str">
        <f>+IF(INDEX('Master Ratings'!$P:$P, MATCH('Ratings by CLO'!$J18,'Master Ratings'!$B:$B,0),0)=0,"",INDEX('Master Ratings'!$P:$P, MATCH('Ratings by CLO'!$J18,'Master Ratings'!$B:$B,0),0))</f>
        <v/>
      </c>
      <c r="W18" s="5" t="str">
        <f t="shared" ca="1" si="3"/>
        <v/>
      </c>
      <c r="X18" s="5" t="str">
        <f t="shared" ca="1" si="4"/>
        <v/>
      </c>
      <c r="Z18" s="5" t="str">
        <f t="shared" ca="1" si="5"/>
        <v/>
      </c>
      <c r="AA18" s="5" t="str">
        <f t="shared" ca="1" si="6"/>
        <v/>
      </c>
      <c r="AB18" s="5" t="str">
        <f t="shared" ca="1" si="7"/>
        <v/>
      </c>
      <c r="AC18" s="5" t="str">
        <f t="shared" ca="1" si="8"/>
        <v/>
      </c>
      <c r="AD18" s="5"/>
      <c r="AE18" s="5" t="str">
        <f t="shared" si="0"/>
        <v/>
      </c>
      <c r="AF18" s="32"/>
      <c r="AG18">
        <f t="shared" ca="1" si="16"/>
        <v>0</v>
      </c>
      <c r="AH18">
        <f t="shared" ca="1" si="17"/>
        <v>0</v>
      </c>
      <c r="AI18">
        <f t="shared" ca="1" si="18"/>
        <v>4</v>
      </c>
      <c r="AJ18">
        <f t="shared" ca="1" si="19"/>
        <v>7</v>
      </c>
      <c r="AL18">
        <f t="shared" si="20"/>
        <v>14</v>
      </c>
      <c r="AM18" t="e">
        <f t="shared" ca="1" si="12"/>
        <v>#N/A</v>
      </c>
      <c r="AN18" t="str">
        <f t="shared" ca="1" si="13"/>
        <v>Vision Integrated</v>
      </c>
      <c r="AO18" t="str">
        <f t="shared" ca="1" si="14"/>
        <v>K2</v>
      </c>
      <c r="AP18" t="str">
        <f t="shared" ca="1" si="15"/>
        <v>Dr. Squatch</v>
      </c>
    </row>
    <row r="19" spans="2:42">
      <c r="B19" s="40">
        <f>+COUNTIFS(SOIs!$D:$D, 'Ratings by CLO'!$J19)</f>
        <v>0</v>
      </c>
      <c r="C19" s="40">
        <f>+COUNTIFS(SOIs!$G:$G, 'Ratings by CLO'!$J19)</f>
        <v>0</v>
      </c>
      <c r="D19" s="40">
        <f>+COUNTIFS(SOIs!$J:$J, 'Ratings by CLO'!$J19)</f>
        <v>0</v>
      </c>
      <c r="E19" s="40">
        <f>+COUNTIFS(SOIs!$M:$M, 'Ratings by CLO'!$J19)</f>
        <v>0</v>
      </c>
      <c r="F19" s="40">
        <f>+COUNTIFS(SOIs!$P:$P, 'Ratings by CLO'!$J19)</f>
        <v>1</v>
      </c>
      <c r="G19" s="40">
        <f>+COUNTIFS(SOIs!$S:$S, 'Ratings by CLO'!$J19)</f>
        <v>0</v>
      </c>
      <c r="H19" s="40">
        <f>+COUNTIFS(SOIs!$V:$V, 'Ratings by CLO'!$J19)</f>
        <v>0</v>
      </c>
      <c r="I19" s="38"/>
      <c r="J19" s="32" t="str">
        <f>+SOIs!X20</f>
        <v>Berlin Packaging</v>
      </c>
      <c r="K19" s="32"/>
      <c r="L19" s="28" t="str">
        <f>+IF(INDEX('Master Ratings'!$D:$D, MATCH('Ratings by CLO'!$J19,'Master Ratings'!$B:$B,0),0)=0,"",INDEX('Master Ratings'!$D:$D, MATCH('Ratings by CLO'!$J19,'Master Ratings'!$B:$B,0),0))</f>
        <v>B3</v>
      </c>
      <c r="M19" s="28" t="str">
        <f>+IF(INDEX('Master Ratings'!$E:$E, MATCH('Ratings by CLO'!$J19,'Master Ratings'!$B:$B,0),0)=0,"",INDEX('Master Ratings'!$E:$E, MATCH('Ratings by CLO'!$J19,'Master Ratings'!$B:$B,0),0))</f>
        <v>Rating (Public)</v>
      </c>
      <c r="N19" s="28"/>
      <c r="O19" s="28" t="str">
        <f>+IF(INDEX('Master Ratings'!$G:$G, MATCH('Ratings by CLO'!$J19,'Master Ratings'!$B:$B,0),0)=0,"",INDEX('Master Ratings'!$G:$G, MATCH('Ratings by CLO'!$J19,'Master Ratings'!$B:$B,0),0))</f>
        <v>B-</v>
      </c>
      <c r="P19" s="28" t="str">
        <f>+IF(INDEX('Master Ratings'!$H:$H, MATCH('Ratings by CLO'!$J19,'Master Ratings'!$B:$B,0),0)=0,"",INDEX('Master Ratings'!$H:$H, MATCH('Ratings by CLO'!$J19,'Master Ratings'!$B:$B,0),0))</f>
        <v>Rating (Public)</v>
      </c>
      <c r="Q19" s="8" t="str">
        <f>+IF(INDEX('Master Ratings'!$O:$O, MATCH('Ratings by CLO'!$J19,'Master Ratings'!$B:$B,0),0)=0,"",INDEX('Master Ratings'!$O:$O, MATCH('Ratings by CLO'!$J19,'Master Ratings'!$B:$B,0),0))</f>
        <v/>
      </c>
      <c r="R19" s="28"/>
      <c r="S19" s="28" t="str">
        <f>+IF(INDEX('Master Ratings'!$L:$L, MATCH('Ratings by CLO'!$J19,'Master Ratings'!$B:$B,0),0)=0,"",INDEX('Master Ratings'!$L:$L, MATCH('Ratings by CLO'!$J19,'Master Ratings'!$B:$B,0),0))</f>
        <v/>
      </c>
      <c r="T19" s="28" t="str">
        <f>+IF(INDEX('Master Ratings'!$M:$M, MATCH('Ratings by CLO'!$J19,'Master Ratings'!$B:$B,0),0)=0,"",INDEX('Master Ratings'!$M:$M, MATCH('Ratings by CLO'!$J19,'Master Ratings'!$B:$B,0),0))</f>
        <v/>
      </c>
      <c r="U19" s="8" t="str">
        <f>+IF(INDEX('Master Ratings'!$P:$P, MATCH('Ratings by CLO'!$J19,'Master Ratings'!$B:$B,0),0)=0,"",INDEX('Master Ratings'!$P:$P, MATCH('Ratings by CLO'!$J19,'Master Ratings'!$B:$B,0),0))</f>
        <v/>
      </c>
      <c r="W19" s="5" t="str">
        <f t="shared" ca="1" si="3"/>
        <v/>
      </c>
      <c r="X19" s="5" t="str">
        <f t="shared" ca="1" si="4"/>
        <v/>
      </c>
      <c r="Z19" s="5" t="str">
        <f t="shared" ca="1" si="5"/>
        <v/>
      </c>
      <c r="AA19" s="5" t="str">
        <f t="shared" ca="1" si="6"/>
        <v/>
      </c>
      <c r="AB19" s="5" t="str">
        <f t="shared" ca="1" si="7"/>
        <v/>
      </c>
      <c r="AC19" s="5" t="str">
        <f t="shared" ca="1" si="8"/>
        <v/>
      </c>
      <c r="AD19" s="5"/>
      <c r="AE19" s="5" t="str">
        <f t="shared" si="0"/>
        <v/>
      </c>
      <c r="AF19" s="32"/>
      <c r="AG19">
        <f t="shared" ca="1" si="16"/>
        <v>0</v>
      </c>
      <c r="AH19">
        <f t="shared" ca="1" si="17"/>
        <v>0</v>
      </c>
      <c r="AI19">
        <f t="shared" ca="1" si="18"/>
        <v>4</v>
      </c>
      <c r="AJ19">
        <f t="shared" ca="1" si="19"/>
        <v>7</v>
      </c>
      <c r="AL19">
        <f t="shared" si="20"/>
        <v>15</v>
      </c>
      <c r="AM19" t="e">
        <f t="shared" ca="1" si="12"/>
        <v>#N/A</v>
      </c>
      <c r="AN19" t="e">
        <f t="shared" ca="1" si="13"/>
        <v>#N/A</v>
      </c>
      <c r="AO19" t="str">
        <f t="shared" ca="1" si="14"/>
        <v>Ledge Lounger</v>
      </c>
      <c r="AP19" t="str">
        <f t="shared" ca="1" si="15"/>
        <v>GCOM</v>
      </c>
    </row>
    <row r="20" spans="2:42">
      <c r="B20" s="40">
        <f>+COUNTIFS(SOIs!$D:$D, 'Ratings by CLO'!$J20)</f>
        <v>3</v>
      </c>
      <c r="C20" s="40">
        <f>+COUNTIFS(SOIs!$G:$G, 'Ratings by CLO'!$J20)</f>
        <v>1</v>
      </c>
      <c r="D20" s="40">
        <f>+COUNTIFS(SOIs!$J:$J, 'Ratings by CLO'!$J20)</f>
        <v>0</v>
      </c>
      <c r="E20" s="40">
        <f>+COUNTIFS(SOIs!$M:$M, 'Ratings by CLO'!$J20)</f>
        <v>1</v>
      </c>
      <c r="F20" s="40">
        <f>+COUNTIFS(SOIs!$P:$P, 'Ratings by CLO'!$J20)</f>
        <v>0</v>
      </c>
      <c r="G20" s="40">
        <f>+COUNTIFS(SOIs!$S:$S, 'Ratings by CLO'!$J20)</f>
        <v>0</v>
      </c>
      <c r="H20" s="40">
        <f>+COUNTIFS(SOIs!$V:$V, 'Ratings by CLO'!$J20)</f>
        <v>1</v>
      </c>
      <c r="I20" s="38"/>
      <c r="J20" s="32" t="str">
        <f>+SOIs!X21</f>
        <v>Beta+</v>
      </c>
      <c r="K20" s="32"/>
      <c r="L20" s="28" t="str">
        <f>+IF(INDEX('Master Ratings'!$D:$D, MATCH('Ratings by CLO'!$J20,'Master Ratings'!$B:$B,0),0)=0,"",INDEX('Master Ratings'!$D:$D, MATCH('Ratings by CLO'!$J20,'Master Ratings'!$B:$B,0),0))</f>
        <v>B2</v>
      </c>
      <c r="M20" s="28" t="str">
        <f>+IF(INDEX('Master Ratings'!$E:$E, MATCH('Ratings by CLO'!$J20,'Master Ratings'!$B:$B,0),0)=0,"",INDEX('Master Ratings'!$E:$E, MATCH('Ratings by CLO'!$J20,'Master Ratings'!$B:$B,0),0))</f>
        <v>Rating (Public)</v>
      </c>
      <c r="N20" s="28"/>
      <c r="O20" s="28" t="str">
        <f>+IF(INDEX('Master Ratings'!$G:$G, MATCH('Ratings by CLO'!$J20,'Master Ratings'!$B:$B,0),0)=0,"",INDEX('Master Ratings'!$G:$G, MATCH('Ratings by CLO'!$J20,'Master Ratings'!$B:$B,0),0))</f>
        <v>B-</v>
      </c>
      <c r="P20" s="28" t="str">
        <f>+IF(INDEX('Master Ratings'!$H:$H, MATCH('Ratings by CLO'!$J20,'Master Ratings'!$B:$B,0),0)=0,"",INDEX('Master Ratings'!$H:$H, MATCH('Ratings by CLO'!$J20,'Master Ratings'!$B:$B,0),0))</f>
        <v>Rating (Public)</v>
      </c>
      <c r="Q20" s="8" t="str">
        <f>+IF(INDEX('Master Ratings'!$O:$O, MATCH('Ratings by CLO'!$J20,'Master Ratings'!$B:$B,0),0)=0,"",INDEX('Master Ratings'!$O:$O, MATCH('Ratings by CLO'!$J20,'Master Ratings'!$B:$B,0),0))</f>
        <v/>
      </c>
      <c r="R20" s="28"/>
      <c r="S20" s="28" t="str">
        <f>+IF(INDEX('Master Ratings'!$L:$L, MATCH('Ratings by CLO'!$J20,'Master Ratings'!$B:$B,0),0)=0,"",INDEX('Master Ratings'!$L:$L, MATCH('Ratings by CLO'!$J20,'Master Ratings'!$B:$B,0),0))</f>
        <v/>
      </c>
      <c r="T20" s="28" t="str">
        <f>+IF(INDEX('Master Ratings'!$M:$M, MATCH('Ratings by CLO'!$J20,'Master Ratings'!$B:$B,0),0)=0,"",INDEX('Master Ratings'!$M:$M, MATCH('Ratings by CLO'!$J20,'Master Ratings'!$B:$B,0),0))</f>
        <v/>
      </c>
      <c r="U20" s="8" t="str">
        <f>+IF(INDEX('Master Ratings'!$P:$P, MATCH('Ratings by CLO'!$J20,'Master Ratings'!$B:$B,0),0)=0,"",INDEX('Master Ratings'!$P:$P, MATCH('Ratings by CLO'!$J20,'Master Ratings'!$B:$B,0),0))</f>
        <v/>
      </c>
      <c r="W20" s="5" t="str">
        <f t="shared" ca="1" si="3"/>
        <v/>
      </c>
      <c r="X20" s="5" t="str">
        <f t="shared" ca="1" si="4"/>
        <v/>
      </c>
      <c r="Z20" s="5" t="str">
        <f t="shared" ca="1" si="5"/>
        <v/>
      </c>
      <c r="AA20" s="5" t="str">
        <f t="shared" ca="1" si="6"/>
        <v/>
      </c>
      <c r="AB20" s="5" t="str">
        <f t="shared" ca="1" si="7"/>
        <v/>
      </c>
      <c r="AC20" s="5" t="str">
        <f t="shared" ca="1" si="8"/>
        <v/>
      </c>
      <c r="AD20" s="5"/>
      <c r="AE20" s="5" t="str">
        <f t="shared" si="0"/>
        <v/>
      </c>
      <c r="AF20" s="32"/>
      <c r="AG20">
        <f t="shared" ca="1" si="16"/>
        <v>0</v>
      </c>
      <c r="AH20">
        <f t="shared" ca="1" si="17"/>
        <v>0</v>
      </c>
      <c r="AI20">
        <f t="shared" ca="1" si="18"/>
        <v>4</v>
      </c>
      <c r="AJ20">
        <f t="shared" ca="1" si="19"/>
        <v>7</v>
      </c>
      <c r="AL20">
        <f t="shared" si="20"/>
        <v>16</v>
      </c>
      <c r="AM20" t="e">
        <f t="shared" ca="1" si="12"/>
        <v>#N/A</v>
      </c>
      <c r="AN20" t="e">
        <f t="shared" ca="1" si="13"/>
        <v>#N/A</v>
      </c>
      <c r="AO20" t="str">
        <f t="shared" ca="1" si="14"/>
        <v>Mars Agency</v>
      </c>
      <c r="AP20" t="str">
        <f t="shared" ca="1" si="15"/>
        <v>Global</v>
      </c>
    </row>
    <row r="21" spans="2:42">
      <c r="B21" s="40">
        <f>+COUNTIFS(SOIs!$D:$D, 'Ratings by CLO'!$J21)</f>
        <v>1</v>
      </c>
      <c r="C21" s="40">
        <f>+COUNTIFS(SOIs!$G:$G, 'Ratings by CLO'!$J21)</f>
        <v>1</v>
      </c>
      <c r="D21" s="40">
        <f>+COUNTIFS(SOIs!$J:$J, 'Ratings by CLO'!$J21)</f>
        <v>0</v>
      </c>
      <c r="E21" s="40">
        <f>+COUNTIFS(SOIs!$M:$M, 'Ratings by CLO'!$J21)</f>
        <v>0</v>
      </c>
      <c r="F21" s="40">
        <f>+COUNTIFS(SOIs!$P:$P, 'Ratings by CLO'!$J21)</f>
        <v>0</v>
      </c>
      <c r="G21" s="40">
        <f>+COUNTIFS(SOIs!$S:$S, 'Ratings by CLO'!$J21)</f>
        <v>1</v>
      </c>
      <c r="H21" s="40">
        <f>+COUNTIFS(SOIs!$V:$V, 'Ratings by CLO'!$J21)</f>
        <v>1</v>
      </c>
      <c r="I21" s="38"/>
      <c r="J21" s="32" t="str">
        <f>+SOIs!X22</f>
        <v>BioDerm</v>
      </c>
      <c r="K21" s="32"/>
      <c r="L21" s="28" t="str">
        <f>+IF(INDEX('Master Ratings'!$D:$D, MATCH('Ratings by CLO'!$J21,'Master Ratings'!$B:$B,0),0)=0,"",INDEX('Master Ratings'!$D:$D, MATCH('Ratings by CLO'!$J21,'Master Ratings'!$B:$B,0),0))</f>
        <v/>
      </c>
      <c r="M21" s="28" t="str">
        <f>+IF(INDEX('Master Ratings'!$E:$E, MATCH('Ratings by CLO'!$J21,'Master Ratings'!$B:$B,0),0)=0,"",INDEX('Master Ratings'!$E:$E, MATCH('Ratings by CLO'!$J21,'Master Ratings'!$B:$B,0),0))</f>
        <v/>
      </c>
      <c r="N21" s="28"/>
      <c r="O21" s="28" t="str">
        <f>+IF(INDEX('Master Ratings'!$G:$G, MATCH('Ratings by CLO'!$J21,'Master Ratings'!$B:$B,0),0)=0,"",INDEX('Master Ratings'!$G:$G, MATCH('Ratings by CLO'!$J21,'Master Ratings'!$B:$B,0),0))</f>
        <v>B-*</v>
      </c>
      <c r="P21" s="28" t="str">
        <f>+IF(INDEX('Master Ratings'!$H:$H, MATCH('Ratings by CLO'!$J21,'Master Ratings'!$B:$B,0),0)=0,"",INDEX('Master Ratings'!$H:$H, MATCH('Ratings by CLO'!$J21,'Master Ratings'!$B:$B,0),0))</f>
        <v>Credit Estimate</v>
      </c>
      <c r="Q21" s="8">
        <f>+IF(INDEX('Master Ratings'!$O:$O, MATCH('Ratings by CLO'!$J21,'Master Ratings'!$B:$B,0),0)=0,"",INDEX('Master Ratings'!$O:$O, MATCH('Ratings by CLO'!$J21,'Master Ratings'!$B:$B,0),0))</f>
        <v>45420</v>
      </c>
      <c r="R21" s="28"/>
      <c r="S21" s="28" t="str">
        <f>+IF(INDEX('Master Ratings'!$L:$L, MATCH('Ratings by CLO'!$J21,'Master Ratings'!$B:$B,0),0)=0,"",INDEX('Master Ratings'!$L:$L, MATCH('Ratings by CLO'!$J21,'Master Ratings'!$B:$B,0),0))</f>
        <v/>
      </c>
      <c r="T21" s="28" t="str">
        <f>+IF(INDEX('Master Ratings'!$M:$M, MATCH('Ratings by CLO'!$J21,'Master Ratings'!$B:$B,0),0)=0,"",INDEX('Master Ratings'!$M:$M, MATCH('Ratings by CLO'!$J21,'Master Ratings'!$B:$B,0),0))</f>
        <v/>
      </c>
      <c r="U21" s="8" t="str">
        <f>+IF(INDEX('Master Ratings'!$P:$P, MATCH('Ratings by CLO'!$J21,'Master Ratings'!$B:$B,0),0)=0,"",INDEX('Master Ratings'!$P:$P, MATCH('Ratings by CLO'!$J21,'Master Ratings'!$B:$B,0),0))</f>
        <v/>
      </c>
      <c r="W21" s="5">
        <f t="shared" ca="1" si="3"/>
        <v>-179</v>
      </c>
      <c r="X21" s="5" t="str">
        <f t="shared" ca="1" si="4"/>
        <v/>
      </c>
      <c r="Z21" s="5" t="str">
        <f t="shared" ca="1" si="5"/>
        <v/>
      </c>
      <c r="AA21" s="5" t="str">
        <f t="shared" ca="1" si="6"/>
        <v/>
      </c>
      <c r="AB21" s="5" t="str">
        <f t="shared" ca="1" si="7"/>
        <v>X</v>
      </c>
      <c r="AC21" s="5" t="str">
        <f t="shared" ca="1" si="8"/>
        <v/>
      </c>
      <c r="AD21" s="5"/>
      <c r="AE21" s="5" t="str">
        <f t="shared" si="0"/>
        <v/>
      </c>
      <c r="AF21" s="32"/>
      <c r="AG21">
        <f t="shared" ca="1" si="16"/>
        <v>0</v>
      </c>
      <c r="AH21">
        <f t="shared" ca="1" si="17"/>
        <v>0</v>
      </c>
      <c r="AI21">
        <f t="shared" ca="1" si="18"/>
        <v>5</v>
      </c>
      <c r="AJ21">
        <f t="shared" ca="1" si="19"/>
        <v>7</v>
      </c>
      <c r="AL21">
        <f t="shared" si="20"/>
        <v>17</v>
      </c>
      <c r="AM21" t="e">
        <f t="shared" ca="1" si="12"/>
        <v>#N/A</v>
      </c>
      <c r="AN21" t="e">
        <f t="shared" ca="1" si="13"/>
        <v>#N/A</v>
      </c>
      <c r="AO21" t="str">
        <f t="shared" ca="1" si="14"/>
        <v>Milani</v>
      </c>
      <c r="AP21" t="str">
        <f t="shared" ca="1" si="15"/>
        <v>Hancock</v>
      </c>
    </row>
    <row r="22" spans="2:42">
      <c r="B22" s="40">
        <f>+COUNTIFS(SOIs!$D:$D, 'Ratings by CLO'!$J22)</f>
        <v>1</v>
      </c>
      <c r="C22" s="40">
        <f>+COUNTIFS(SOIs!$G:$G, 'Ratings by CLO'!$J22)</f>
        <v>1</v>
      </c>
      <c r="D22" s="40">
        <f>+COUNTIFS(SOIs!$J:$J, 'Ratings by CLO'!$J22)</f>
        <v>0</v>
      </c>
      <c r="E22" s="40">
        <f>+COUNTIFS(SOIs!$M:$M, 'Ratings by CLO'!$J22)</f>
        <v>0</v>
      </c>
      <c r="F22" s="40">
        <f>+COUNTIFS(SOIs!$P:$P, 'Ratings by CLO'!$J22)</f>
        <v>1</v>
      </c>
      <c r="G22" s="40">
        <f>+COUNTIFS(SOIs!$S:$S, 'Ratings by CLO'!$J22)</f>
        <v>1</v>
      </c>
      <c r="H22" s="40">
        <f>+COUNTIFS(SOIs!$V:$V, 'Ratings by CLO'!$J22)</f>
        <v>1</v>
      </c>
      <c r="I22" s="38"/>
      <c r="J22" s="32" t="str">
        <f>+SOIs!X23</f>
        <v>BlackHawk Industrial</v>
      </c>
      <c r="K22" s="32"/>
      <c r="L22" s="28" t="str">
        <f>+IF(INDEX('Master Ratings'!$D:$D, MATCH('Ratings by CLO'!$J22,'Master Ratings'!$B:$B,0),0)=0,"",INDEX('Master Ratings'!$D:$D, MATCH('Ratings by CLO'!$J22,'Master Ratings'!$B:$B,0),0))</f>
        <v/>
      </c>
      <c r="M22" s="28" t="str">
        <f>+IF(INDEX('Master Ratings'!$E:$E, MATCH('Ratings by CLO'!$J22,'Master Ratings'!$B:$B,0),0)=0,"",INDEX('Master Ratings'!$E:$E, MATCH('Ratings by CLO'!$J22,'Master Ratings'!$B:$B,0),0))</f>
        <v/>
      </c>
      <c r="N22" s="28"/>
      <c r="O22" s="28" t="str">
        <f>+IF(INDEX('Master Ratings'!$G:$G, MATCH('Ratings by CLO'!$J22,'Master Ratings'!$B:$B,0),0)=0,"",INDEX('Master Ratings'!$G:$G, MATCH('Ratings by CLO'!$J22,'Master Ratings'!$B:$B,0),0))</f>
        <v>B-*</v>
      </c>
      <c r="P22" s="28" t="str">
        <f>+IF(INDEX('Master Ratings'!$H:$H, MATCH('Ratings by CLO'!$J22,'Master Ratings'!$B:$B,0),0)=0,"",INDEX('Master Ratings'!$H:$H, MATCH('Ratings by CLO'!$J22,'Master Ratings'!$B:$B,0),0))</f>
        <v>Credit Estimate</v>
      </c>
      <c r="Q22" s="8">
        <f>+IF(INDEX('Master Ratings'!$O:$O, MATCH('Ratings by CLO'!$J22,'Master Ratings'!$B:$B,0),0)=0,"",INDEX('Master Ratings'!$O:$O, MATCH('Ratings by CLO'!$J22,'Master Ratings'!$B:$B,0),0))</f>
        <v>45623</v>
      </c>
      <c r="R22" s="28"/>
      <c r="S22" s="28" t="str">
        <f>+IF(INDEX('Master Ratings'!$L:$L, MATCH('Ratings by CLO'!$J22,'Master Ratings'!$B:$B,0),0)=0,"",INDEX('Master Ratings'!$L:$L, MATCH('Ratings by CLO'!$J22,'Master Ratings'!$B:$B,0),0))</f>
        <v/>
      </c>
      <c r="T22" s="28" t="str">
        <f>+IF(INDEX('Master Ratings'!$M:$M, MATCH('Ratings by CLO'!$J22,'Master Ratings'!$B:$B,0),0)=0,"",INDEX('Master Ratings'!$M:$M, MATCH('Ratings by CLO'!$J22,'Master Ratings'!$B:$B,0),0))</f>
        <v/>
      </c>
      <c r="U22" s="8" t="str">
        <f>+IF(INDEX('Master Ratings'!$P:$P, MATCH('Ratings by CLO'!$J22,'Master Ratings'!$B:$B,0),0)=0,"",INDEX('Master Ratings'!$P:$P, MATCH('Ratings by CLO'!$J22,'Master Ratings'!$B:$B,0),0))</f>
        <v/>
      </c>
      <c r="W22" s="5">
        <f t="shared" ca="1" si="3"/>
        <v>24</v>
      </c>
      <c r="X22" s="5" t="str">
        <f t="shared" ca="1" si="4"/>
        <v/>
      </c>
      <c r="Z22" s="5" t="str">
        <f t="shared" ca="1" si="5"/>
        <v/>
      </c>
      <c r="AA22" s="5" t="str">
        <f t="shared" ca="1" si="6"/>
        <v/>
      </c>
      <c r="AB22" s="5" t="str">
        <f t="shared" ca="1" si="7"/>
        <v/>
      </c>
      <c r="AC22" s="5" t="str">
        <f t="shared" ca="1" si="8"/>
        <v/>
      </c>
      <c r="AD22" s="5"/>
      <c r="AE22" s="5" t="str">
        <f t="shared" si="0"/>
        <v/>
      </c>
      <c r="AF22" s="32"/>
      <c r="AG22">
        <f t="shared" ca="1" si="16"/>
        <v>0</v>
      </c>
      <c r="AH22">
        <f t="shared" ca="1" si="17"/>
        <v>0</v>
      </c>
      <c r="AI22">
        <f t="shared" ca="1" si="18"/>
        <v>5</v>
      </c>
      <c r="AJ22">
        <f t="shared" ca="1" si="19"/>
        <v>7</v>
      </c>
      <c r="AL22">
        <f t="shared" si="20"/>
        <v>18</v>
      </c>
      <c r="AM22" t="e">
        <f t="shared" ca="1" si="12"/>
        <v>#N/A</v>
      </c>
      <c r="AN22" t="e">
        <f t="shared" ca="1" si="13"/>
        <v>#N/A</v>
      </c>
      <c r="AO22" t="str">
        <f t="shared" ca="1" si="14"/>
        <v>Momentum</v>
      </c>
      <c r="AP22" t="str">
        <f t="shared" ca="1" si="15"/>
        <v>Hanley Wood</v>
      </c>
    </row>
    <row r="23" spans="2:42">
      <c r="B23" s="40">
        <f>+COUNTIFS(SOIs!$D:$D, 'Ratings by CLO'!$J23)</f>
        <v>4</v>
      </c>
      <c r="C23" s="40">
        <f>+COUNTIFS(SOIs!$G:$G, 'Ratings by CLO'!$J23)</f>
        <v>1</v>
      </c>
      <c r="D23" s="40">
        <f>+COUNTIFS(SOIs!$J:$J, 'Ratings by CLO'!$J23)</f>
        <v>1</v>
      </c>
      <c r="E23" s="40">
        <f>+COUNTIFS(SOIs!$M:$M, 'Ratings by CLO'!$J23)</f>
        <v>1</v>
      </c>
      <c r="F23" s="40">
        <f>+COUNTIFS(SOIs!$P:$P, 'Ratings by CLO'!$J23)</f>
        <v>1</v>
      </c>
      <c r="G23" s="40">
        <f>+COUNTIFS(SOIs!$S:$S, 'Ratings by CLO'!$J23)</f>
        <v>1</v>
      </c>
      <c r="H23" s="40">
        <f>+COUNTIFS(SOIs!$V:$V, 'Ratings by CLO'!$J23)</f>
        <v>1</v>
      </c>
      <c r="I23" s="38"/>
      <c r="J23" s="32" t="str">
        <f>+SOIs!X24</f>
        <v>Bluebird</v>
      </c>
      <c r="K23" s="32"/>
      <c r="L23" s="28" t="str">
        <f>+IF(INDEX('Master Ratings'!$D:$D, MATCH('Ratings by CLO'!$J23,'Master Ratings'!$B:$B,0),0)=0,"",INDEX('Master Ratings'!$D:$D, MATCH('Ratings by CLO'!$J23,'Master Ratings'!$B:$B,0),0))</f>
        <v/>
      </c>
      <c r="M23" s="28" t="str">
        <f>+IF(INDEX('Master Ratings'!$E:$E, MATCH('Ratings by CLO'!$J23,'Master Ratings'!$B:$B,0),0)=0,"",INDEX('Master Ratings'!$E:$E, MATCH('Ratings by CLO'!$J23,'Master Ratings'!$B:$B,0),0))</f>
        <v/>
      </c>
      <c r="N23" s="28"/>
      <c r="O23" s="28" t="str">
        <f>+IF(INDEX('Master Ratings'!$G:$G, MATCH('Ratings by CLO'!$J23,'Master Ratings'!$B:$B,0),0)=0,"",INDEX('Master Ratings'!$G:$G, MATCH('Ratings by CLO'!$J23,'Master Ratings'!$B:$B,0),0))</f>
        <v>B-*</v>
      </c>
      <c r="P23" s="28" t="str">
        <f>+IF(INDEX('Master Ratings'!$H:$H, MATCH('Ratings by CLO'!$J23,'Master Ratings'!$B:$B,0),0)=0,"",INDEX('Master Ratings'!$H:$H, MATCH('Ratings by CLO'!$J23,'Master Ratings'!$B:$B,0),0))</f>
        <v>Credit Estimate</v>
      </c>
      <c r="Q23" s="8">
        <f>+IF(INDEX('Master Ratings'!$O:$O, MATCH('Ratings by CLO'!$J23,'Master Ratings'!$B:$B,0),0)=0,"",INDEX('Master Ratings'!$O:$O, MATCH('Ratings by CLO'!$J23,'Master Ratings'!$B:$B,0),0))</f>
        <v>45670</v>
      </c>
      <c r="R23" s="28"/>
      <c r="S23" s="28" t="str">
        <f>+IF(INDEX('Master Ratings'!$L:$L, MATCH('Ratings by CLO'!$J23,'Master Ratings'!$B:$B,0),0)=0,"",INDEX('Master Ratings'!$L:$L, MATCH('Ratings by CLO'!$J23,'Master Ratings'!$B:$B,0),0))</f>
        <v>B-*</v>
      </c>
      <c r="T23" s="28" t="str">
        <f>+IF(INDEX('Master Ratings'!$M:$M, MATCH('Ratings by CLO'!$J23,'Master Ratings'!$B:$B,0),0)=0,"",INDEX('Master Ratings'!$M:$M, MATCH('Ratings by CLO'!$J23,'Master Ratings'!$B:$B,0),0))</f>
        <v>Credit Estimate</v>
      </c>
      <c r="U23" s="8">
        <f>+IF(INDEX('Master Ratings'!$P:$P, MATCH('Ratings by CLO'!$J23,'Master Ratings'!$B:$B,0),0)=0,"",INDEX('Master Ratings'!$P:$P, MATCH('Ratings by CLO'!$J23,'Master Ratings'!$B:$B,0),0))</f>
        <v>45093</v>
      </c>
      <c r="W23" s="5">
        <f t="shared" ca="1" si="3"/>
        <v>71</v>
      </c>
      <c r="X23" s="5">
        <f t="shared" ca="1" si="4"/>
        <v>-506</v>
      </c>
      <c r="Z23" s="5" t="str">
        <f t="shared" ca="1" si="5"/>
        <v/>
      </c>
      <c r="AA23" s="5" t="str">
        <f t="shared" ca="1" si="6"/>
        <v/>
      </c>
      <c r="AB23" s="5" t="str">
        <f t="shared" ca="1" si="7"/>
        <v/>
      </c>
      <c r="AC23" s="5" t="str">
        <f t="shared" ca="1" si="8"/>
        <v>X</v>
      </c>
      <c r="AD23" s="5"/>
      <c r="AE23" s="5" t="str">
        <f t="shared" si="0"/>
        <v/>
      </c>
      <c r="AF23" s="32"/>
      <c r="AG23">
        <f t="shared" ca="1" si="16"/>
        <v>0</v>
      </c>
      <c r="AH23">
        <f t="shared" ca="1" si="17"/>
        <v>0</v>
      </c>
      <c r="AI23">
        <f t="shared" ca="1" si="18"/>
        <v>5</v>
      </c>
      <c r="AJ23">
        <f t="shared" ca="1" si="19"/>
        <v>8</v>
      </c>
      <c r="AL23">
        <f t="shared" si="20"/>
        <v>19</v>
      </c>
      <c r="AM23" t="e">
        <f t="shared" ca="1" si="12"/>
        <v>#N/A</v>
      </c>
      <c r="AN23" t="e">
        <f t="shared" ca="1" si="13"/>
        <v>#N/A</v>
      </c>
      <c r="AO23" t="str">
        <f t="shared" ca="1" si="14"/>
        <v>Neptune Flood</v>
      </c>
      <c r="AP23" t="str">
        <f t="shared" ca="1" si="15"/>
        <v>IDC Infusion Services</v>
      </c>
    </row>
    <row r="24" spans="2:42">
      <c r="B24" s="40">
        <f>+COUNTIFS(SOIs!$D:$D, 'Ratings by CLO'!$J24)</f>
        <v>4</v>
      </c>
      <c r="C24" s="40">
        <f>+COUNTIFS(SOIs!$G:$G, 'Ratings by CLO'!$J24)</f>
        <v>1</v>
      </c>
      <c r="D24" s="40">
        <f>+COUNTIFS(SOIs!$J:$J, 'Ratings by CLO'!$J24)</f>
        <v>1</v>
      </c>
      <c r="E24" s="40">
        <f>+COUNTIFS(SOIs!$M:$M, 'Ratings by CLO'!$J24)</f>
        <v>1</v>
      </c>
      <c r="F24" s="40">
        <f>+COUNTIFS(SOIs!$P:$P, 'Ratings by CLO'!$J24)</f>
        <v>0</v>
      </c>
      <c r="G24" s="40">
        <f>+COUNTIFS(SOIs!$S:$S, 'Ratings by CLO'!$J24)</f>
        <v>0</v>
      </c>
      <c r="H24" s="40">
        <f>+COUNTIFS(SOIs!$V:$V, 'Ratings by CLO'!$J24)</f>
        <v>0</v>
      </c>
      <c r="I24" s="38"/>
      <c r="J24" s="32" t="str">
        <f>+SOIs!X25</f>
        <v>BlueHalo</v>
      </c>
      <c r="K24" s="32"/>
      <c r="L24" s="28" t="str">
        <f>+IF(INDEX('Master Ratings'!$D:$D, MATCH('Ratings by CLO'!$J24,'Master Ratings'!$B:$B,0),0)=0,"",INDEX('Master Ratings'!$D:$D, MATCH('Ratings by CLO'!$J24,'Master Ratings'!$B:$B,0),0))</f>
        <v/>
      </c>
      <c r="M24" s="28" t="str">
        <f>+IF(INDEX('Master Ratings'!$E:$E, MATCH('Ratings by CLO'!$J24,'Master Ratings'!$B:$B,0),0)=0,"",INDEX('Master Ratings'!$E:$E, MATCH('Ratings by CLO'!$J24,'Master Ratings'!$B:$B,0),0))</f>
        <v/>
      </c>
      <c r="N24" s="28"/>
      <c r="O24" s="28" t="str">
        <f>+IF(INDEX('Master Ratings'!$G:$G, MATCH('Ratings by CLO'!$J24,'Master Ratings'!$B:$B,0),0)=0,"",INDEX('Master Ratings'!$G:$G, MATCH('Ratings by CLO'!$J24,'Master Ratings'!$B:$B,0),0))</f>
        <v>B-*</v>
      </c>
      <c r="P24" s="28" t="str">
        <f>+IF(INDEX('Master Ratings'!$H:$H, MATCH('Ratings by CLO'!$J24,'Master Ratings'!$B:$B,0),0)=0,"",INDEX('Master Ratings'!$H:$H, MATCH('Ratings by CLO'!$J24,'Master Ratings'!$B:$B,0),0))</f>
        <v>Rating (Private)</v>
      </c>
      <c r="Q24" s="8">
        <f>+IF(INDEX('Master Ratings'!$O:$O, MATCH('Ratings by CLO'!$J24,'Master Ratings'!$B:$B,0),0)=0,"",INDEX('Master Ratings'!$O:$O, MATCH('Ratings by CLO'!$J24,'Master Ratings'!$B:$B,0),0))</f>
        <v>45684</v>
      </c>
      <c r="R24" s="28"/>
      <c r="S24" s="28" t="str">
        <f>+IF(INDEX('Master Ratings'!$L:$L, MATCH('Ratings by CLO'!$J24,'Master Ratings'!$B:$B,0),0)=0,"",INDEX('Master Ratings'!$L:$L, MATCH('Ratings by CLO'!$J24,'Master Ratings'!$B:$B,0),0))</f>
        <v>B-*</v>
      </c>
      <c r="T24" s="28" t="str">
        <f>+IF(INDEX('Master Ratings'!$M:$M, MATCH('Ratings by CLO'!$J24,'Master Ratings'!$B:$B,0),0)=0,"",INDEX('Master Ratings'!$M:$M, MATCH('Ratings by CLO'!$J24,'Master Ratings'!$B:$B,0),0))</f>
        <v>Credit Estimate</v>
      </c>
      <c r="U24" s="8" t="str">
        <f>+IF(INDEX('Master Ratings'!$P:$P, MATCH('Ratings by CLO'!$J24,'Master Ratings'!$B:$B,0),0)=0,"",INDEX('Master Ratings'!$P:$P, MATCH('Ratings by CLO'!$J24,'Master Ratings'!$B:$B,0),0))</f>
        <v>1.19.2024</v>
      </c>
      <c r="W24" s="5">
        <f t="shared" ca="1" si="3"/>
        <v>85</v>
      </c>
      <c r="X24" s="5" t="e">
        <f t="shared" ca="1" si="4"/>
        <v>#VALUE!</v>
      </c>
      <c r="Z24" s="5" t="str">
        <f t="shared" ca="1" si="5"/>
        <v/>
      </c>
      <c r="AA24" s="5" t="str">
        <f t="shared" ca="1" si="6"/>
        <v>X</v>
      </c>
      <c r="AB24" s="5" t="str">
        <f t="shared" ca="1" si="7"/>
        <v/>
      </c>
      <c r="AC24" s="5" t="str">
        <f t="shared" ca="1" si="8"/>
        <v/>
      </c>
      <c r="AD24" s="5"/>
      <c r="AE24" s="5" t="str">
        <f t="shared" si="0"/>
        <v/>
      </c>
      <c r="AF24" s="32"/>
      <c r="AG24">
        <f t="shared" ca="1" si="16"/>
        <v>0</v>
      </c>
      <c r="AH24">
        <f t="shared" ca="1" si="17"/>
        <v>1</v>
      </c>
      <c r="AI24">
        <f t="shared" ca="1" si="18"/>
        <v>5</v>
      </c>
      <c r="AJ24">
        <f t="shared" ca="1" si="19"/>
        <v>8</v>
      </c>
      <c r="AL24">
        <f t="shared" si="20"/>
        <v>20</v>
      </c>
      <c r="AM24" t="e">
        <f t="shared" ca="1" si="12"/>
        <v>#N/A</v>
      </c>
      <c r="AN24" t="e">
        <f t="shared" ca="1" si="13"/>
        <v>#N/A</v>
      </c>
      <c r="AO24" t="str">
        <f t="shared" ca="1" si="14"/>
        <v>Nevada Behavioral Health Systems</v>
      </c>
      <c r="AP24" t="str">
        <f t="shared" ca="1" si="15"/>
        <v>Insight Global</v>
      </c>
    </row>
    <row r="25" spans="2:42">
      <c r="B25" s="40">
        <f>+COUNTIFS(SOIs!$D:$D, 'Ratings by CLO'!$J25)</f>
        <v>4</v>
      </c>
      <c r="C25" s="40">
        <f>+COUNTIFS(SOIs!$G:$G, 'Ratings by CLO'!$J25)</f>
        <v>1</v>
      </c>
      <c r="D25" s="40">
        <f>+COUNTIFS(SOIs!$J:$J, 'Ratings by CLO'!$J25)</f>
        <v>1</v>
      </c>
      <c r="E25" s="40">
        <f>+COUNTIFS(SOIs!$M:$M, 'Ratings by CLO'!$J25)</f>
        <v>0</v>
      </c>
      <c r="F25" s="40">
        <f>+COUNTIFS(SOIs!$P:$P, 'Ratings by CLO'!$J25)</f>
        <v>1</v>
      </c>
      <c r="G25" s="40">
        <f>+COUNTIFS(SOIs!$S:$S, 'Ratings by CLO'!$J25)</f>
        <v>1</v>
      </c>
      <c r="H25" s="40">
        <f>+COUNTIFS(SOIs!$V:$V, 'Ratings by CLO'!$J25)</f>
        <v>0</v>
      </c>
      <c r="I25" s="38"/>
      <c r="J25" s="32" t="str">
        <f>+SOIs!X26</f>
        <v>By Light</v>
      </c>
      <c r="K25" s="32"/>
      <c r="L25" s="28" t="str">
        <f>+IF(INDEX('Master Ratings'!$D:$D, MATCH('Ratings by CLO'!$J25,'Master Ratings'!$B:$B,0),0)=0,"",INDEX('Master Ratings'!$D:$D, MATCH('Ratings by CLO'!$J25,'Master Ratings'!$B:$B,0),0))</f>
        <v/>
      </c>
      <c r="M25" s="28" t="str">
        <f>+IF(INDEX('Master Ratings'!$E:$E, MATCH('Ratings by CLO'!$J25,'Master Ratings'!$B:$B,0),0)=0,"",INDEX('Master Ratings'!$E:$E, MATCH('Ratings by CLO'!$J25,'Master Ratings'!$B:$B,0),0))</f>
        <v/>
      </c>
      <c r="N25" s="28"/>
      <c r="O25" s="28" t="str">
        <f>+IF(INDEX('Master Ratings'!$G:$G, MATCH('Ratings by CLO'!$J25,'Master Ratings'!$B:$B,0),0)=0,"",INDEX('Master Ratings'!$G:$G, MATCH('Ratings by CLO'!$J25,'Master Ratings'!$B:$B,0),0))</f>
        <v>B-*</v>
      </c>
      <c r="P25" s="28" t="str">
        <f>+IF(INDEX('Master Ratings'!$H:$H, MATCH('Ratings by CLO'!$J25,'Master Ratings'!$B:$B,0),0)=0,"",INDEX('Master Ratings'!$H:$H, MATCH('Ratings by CLO'!$J25,'Master Ratings'!$B:$B,0),0))</f>
        <v>Rating (Private)</v>
      </c>
      <c r="Q25" s="8">
        <f>+IF(INDEX('Master Ratings'!$O:$O, MATCH('Ratings by CLO'!$J25,'Master Ratings'!$B:$B,0),0)=0,"",INDEX('Master Ratings'!$O:$O, MATCH('Ratings by CLO'!$J25,'Master Ratings'!$B:$B,0),0))</f>
        <v>45587</v>
      </c>
      <c r="R25" s="28"/>
      <c r="S25" s="28" t="str">
        <f>+IF(INDEX('Master Ratings'!$L:$L, MATCH('Ratings by CLO'!$J25,'Master Ratings'!$B:$B,0),0)=0,"",INDEX('Master Ratings'!$L:$L, MATCH('Ratings by CLO'!$J25,'Master Ratings'!$B:$B,0),0))</f>
        <v>B-*</v>
      </c>
      <c r="T25" s="28" t="str">
        <f>+IF(INDEX('Master Ratings'!$M:$M, MATCH('Ratings by CLO'!$J25,'Master Ratings'!$B:$B,0),0)=0,"",INDEX('Master Ratings'!$M:$M, MATCH('Ratings by CLO'!$J25,'Master Ratings'!$B:$B,0),0))</f>
        <v>Credit Estimate</v>
      </c>
      <c r="U25" s="8">
        <f>+IF(INDEX('Master Ratings'!$P:$P, MATCH('Ratings by CLO'!$J25,'Master Ratings'!$B:$B,0),0)=0,"",INDEX('Master Ratings'!$P:$P, MATCH('Ratings by CLO'!$J25,'Master Ratings'!$B:$B,0),0))</f>
        <v>45275</v>
      </c>
      <c r="W25" s="5">
        <f t="shared" ca="1" si="3"/>
        <v>-12</v>
      </c>
      <c r="X25" s="5">
        <f t="shared" ca="1" si="4"/>
        <v>-324</v>
      </c>
      <c r="Z25" s="5" t="str">
        <f t="shared" ca="1" si="5"/>
        <v/>
      </c>
      <c r="AA25" s="5" t="str">
        <f t="shared" ca="1" si="6"/>
        <v/>
      </c>
      <c r="AB25" s="5" t="str">
        <f t="shared" ca="1" si="7"/>
        <v>X</v>
      </c>
      <c r="AC25" s="5" t="str">
        <f t="shared" ca="1" si="8"/>
        <v>X</v>
      </c>
      <c r="AD25" s="5"/>
      <c r="AE25" s="5" t="str">
        <f t="shared" si="0"/>
        <v/>
      </c>
      <c r="AF25" s="32"/>
      <c r="AG25">
        <f t="shared" ca="1" si="16"/>
        <v>0</v>
      </c>
      <c r="AH25">
        <f t="shared" ca="1" si="17"/>
        <v>1</v>
      </c>
      <c r="AI25">
        <f t="shared" ca="1" si="18"/>
        <v>6</v>
      </c>
      <c r="AJ25">
        <f t="shared" ca="1" si="19"/>
        <v>9</v>
      </c>
      <c r="AL25">
        <f t="shared" si="20"/>
        <v>21</v>
      </c>
      <c r="AM25" t="e">
        <f t="shared" ca="1" si="12"/>
        <v>#N/A</v>
      </c>
      <c r="AN25" t="e">
        <f t="shared" ca="1" si="13"/>
        <v>#N/A</v>
      </c>
      <c r="AO25" t="str">
        <f t="shared" ca="1" si="14"/>
        <v>Nsi Industries</v>
      </c>
      <c r="AP25" t="str">
        <f t="shared" ca="1" si="15"/>
        <v>Integrity Marketing</v>
      </c>
    </row>
    <row r="26" spans="2:42">
      <c r="B26" s="40">
        <f>+COUNTIFS(SOIs!$D:$D, 'Ratings by CLO'!$J26)</f>
        <v>0</v>
      </c>
      <c r="C26" s="40">
        <f>+COUNTIFS(SOIs!$G:$G, 'Ratings by CLO'!$J26)</f>
        <v>0</v>
      </c>
      <c r="D26" s="40">
        <f>+COUNTIFS(SOIs!$J:$J, 'Ratings by CLO'!$J26)</f>
        <v>0</v>
      </c>
      <c r="E26" s="40">
        <f>+COUNTIFS(SOIs!$M:$M, 'Ratings by CLO'!$J26)</f>
        <v>0</v>
      </c>
      <c r="F26" s="40">
        <f>+COUNTIFS(SOIs!$P:$P, 'Ratings by CLO'!$J26)</f>
        <v>0</v>
      </c>
      <c r="G26" s="40">
        <f>+COUNTIFS(SOIs!$S:$S, 'Ratings by CLO'!$J26)</f>
        <v>1</v>
      </c>
      <c r="H26" s="40">
        <f>+COUNTIFS(SOIs!$V:$V, 'Ratings by CLO'!$J26)</f>
        <v>0</v>
      </c>
      <c r="I26" s="38"/>
      <c r="J26" s="32" t="str">
        <f>+SOIs!X27</f>
        <v>Cadence Aerospace</v>
      </c>
      <c r="K26" s="32"/>
      <c r="L26" s="28" t="str">
        <f>+IF(INDEX('Master Ratings'!$D:$D, MATCH('Ratings by CLO'!$J26,'Master Ratings'!$B:$B,0),0)=0,"",INDEX('Master Ratings'!$D:$D, MATCH('Ratings by CLO'!$J26,'Master Ratings'!$B:$B,0),0))</f>
        <v/>
      </c>
      <c r="M26" s="28" t="str">
        <f>+IF(INDEX('Master Ratings'!$E:$E, MATCH('Ratings by CLO'!$J26,'Master Ratings'!$B:$B,0),0)=0,"",INDEX('Master Ratings'!$E:$E, MATCH('Ratings by CLO'!$J26,'Master Ratings'!$B:$B,0),0))</f>
        <v/>
      </c>
      <c r="N26" s="28"/>
      <c r="O26" s="28" t="str">
        <f>+IF(INDEX('Master Ratings'!$G:$G, MATCH('Ratings by CLO'!$J26,'Master Ratings'!$B:$B,0),0)=0,"",INDEX('Master Ratings'!$G:$G, MATCH('Ratings by CLO'!$J26,'Master Ratings'!$B:$B,0),0))</f>
        <v>B-*</v>
      </c>
      <c r="P26" s="28" t="str">
        <f>+IF(INDEX('Master Ratings'!$H:$H, MATCH('Ratings by CLO'!$J26,'Master Ratings'!$B:$B,0),0)=0,"",INDEX('Master Ratings'!$H:$H, MATCH('Ratings by CLO'!$J26,'Master Ratings'!$B:$B,0),0))</f>
        <v>Credit Estimate</v>
      </c>
      <c r="Q26" s="8">
        <f>+IF(INDEX('Master Ratings'!$O:$O, MATCH('Ratings by CLO'!$J26,'Master Ratings'!$B:$B,0),0)=0,"",INDEX('Master Ratings'!$O:$O, MATCH('Ratings by CLO'!$J26,'Master Ratings'!$B:$B,0),0))</f>
        <v>43846</v>
      </c>
      <c r="R26" s="28"/>
      <c r="S26" s="28" t="str">
        <f>+IF(INDEX('Master Ratings'!$L:$L, MATCH('Ratings by CLO'!$J26,'Master Ratings'!$B:$B,0),0)=0,"",INDEX('Master Ratings'!$L:$L, MATCH('Ratings by CLO'!$J26,'Master Ratings'!$B:$B,0),0))</f>
        <v>B-*</v>
      </c>
      <c r="T26" s="28" t="str">
        <f>+IF(INDEX('Master Ratings'!$M:$M, MATCH('Ratings by CLO'!$J26,'Master Ratings'!$B:$B,0),0)=0,"",INDEX('Master Ratings'!$M:$M, MATCH('Ratings by CLO'!$J26,'Master Ratings'!$B:$B,0),0))</f>
        <v>Credit Estimate</v>
      </c>
      <c r="U26" s="8">
        <f>+IF(INDEX('Master Ratings'!$P:$P, MATCH('Ratings by CLO'!$J26,'Master Ratings'!$B:$B,0),0)=0,"",INDEX('Master Ratings'!$P:$P, MATCH('Ratings by CLO'!$J26,'Master Ratings'!$B:$B,0),0))</f>
        <v>43816</v>
      </c>
      <c r="W26" s="5">
        <f t="shared" ca="1" si="3"/>
        <v>-1753</v>
      </c>
      <c r="X26" s="5">
        <f t="shared" ca="1" si="4"/>
        <v>-1783</v>
      </c>
      <c r="Z26" s="5" t="str">
        <f t="shared" ca="1" si="5"/>
        <v/>
      </c>
      <c r="AA26" s="5" t="str">
        <f t="shared" ca="1" si="6"/>
        <v/>
      </c>
      <c r="AB26" s="5" t="str">
        <f t="shared" ca="1" si="7"/>
        <v>X</v>
      </c>
      <c r="AC26" s="5" t="str">
        <f t="shared" ca="1" si="8"/>
        <v/>
      </c>
      <c r="AD26" s="5"/>
      <c r="AE26" s="5" t="str">
        <f t="shared" si="0"/>
        <v/>
      </c>
      <c r="AF26" s="32"/>
      <c r="AG26">
        <f t="shared" ca="1" si="16"/>
        <v>0</v>
      </c>
      <c r="AH26">
        <f t="shared" ca="1" si="17"/>
        <v>1</v>
      </c>
      <c r="AI26">
        <f t="shared" ca="1" si="18"/>
        <v>7</v>
      </c>
      <c r="AJ26">
        <f t="shared" ca="1" si="19"/>
        <v>9</v>
      </c>
      <c r="AL26">
        <f t="shared" si="20"/>
        <v>22</v>
      </c>
      <c r="AM26" t="e">
        <f t="shared" ca="1" si="12"/>
        <v>#N/A</v>
      </c>
      <c r="AN26" t="e">
        <f t="shared" ca="1" si="13"/>
        <v>#N/A</v>
      </c>
      <c r="AO26" t="str">
        <f t="shared" ca="1" si="14"/>
        <v>Ox</v>
      </c>
      <c r="AP26" t="str">
        <f t="shared" ca="1" si="15"/>
        <v>Inventus</v>
      </c>
    </row>
    <row r="27" spans="2:42">
      <c r="B27" s="40">
        <f>+COUNTIFS(SOIs!$D:$D, 'Ratings by CLO'!$J27)</f>
        <v>4</v>
      </c>
      <c r="C27" s="40">
        <f>+COUNTIFS(SOIs!$G:$G, 'Ratings by CLO'!$J27)</f>
        <v>1</v>
      </c>
      <c r="D27" s="40">
        <f>+COUNTIFS(SOIs!$J:$J, 'Ratings by CLO'!$J27)</f>
        <v>1</v>
      </c>
      <c r="E27" s="40">
        <f>+COUNTIFS(SOIs!$M:$M, 'Ratings by CLO'!$J27)</f>
        <v>1</v>
      </c>
      <c r="F27" s="40">
        <f>+COUNTIFS(SOIs!$P:$P, 'Ratings by CLO'!$J27)</f>
        <v>1</v>
      </c>
      <c r="G27" s="40">
        <f>+COUNTIFS(SOIs!$S:$S, 'Ratings by CLO'!$J27)</f>
        <v>1</v>
      </c>
      <c r="H27" s="40">
        <f>+COUNTIFS(SOIs!$V:$V, 'Ratings by CLO'!$J27)</f>
        <v>1</v>
      </c>
      <c r="I27" s="38"/>
      <c r="J27" s="32" t="str">
        <f>+SOIs!X28</f>
        <v>Cartessa</v>
      </c>
      <c r="K27" s="32"/>
      <c r="L27" s="28" t="str">
        <f>+IF(INDEX('Master Ratings'!$D:$D, MATCH('Ratings by CLO'!$J27,'Master Ratings'!$B:$B,0),0)=0,"",INDEX('Master Ratings'!$D:$D, MATCH('Ratings by CLO'!$J27,'Master Ratings'!$B:$B,0),0))</f>
        <v/>
      </c>
      <c r="M27" s="28" t="str">
        <f>+IF(INDEX('Master Ratings'!$E:$E, MATCH('Ratings by CLO'!$J27,'Master Ratings'!$B:$B,0),0)=0,"",INDEX('Master Ratings'!$E:$E, MATCH('Ratings by CLO'!$J27,'Master Ratings'!$B:$B,0),0))</f>
        <v/>
      </c>
      <c r="N27" s="28"/>
      <c r="O27" s="28" t="str">
        <f>+IF(INDEX('Master Ratings'!$G:$G, MATCH('Ratings by CLO'!$J27,'Master Ratings'!$B:$B,0),0)=0,"",INDEX('Master Ratings'!$G:$G, MATCH('Ratings by CLO'!$J27,'Master Ratings'!$B:$B,0),0))</f>
        <v>B-*</v>
      </c>
      <c r="P27" s="28" t="str">
        <f>+IF(INDEX('Master Ratings'!$H:$H, MATCH('Ratings by CLO'!$J27,'Master Ratings'!$B:$B,0),0)=0,"",INDEX('Master Ratings'!$H:$H, MATCH('Ratings by CLO'!$J27,'Master Ratings'!$B:$B,0),0))</f>
        <v>Credit Estimate</v>
      </c>
      <c r="Q27" s="8">
        <f>+IF(INDEX('Master Ratings'!$O:$O, MATCH('Ratings by CLO'!$J27,'Master Ratings'!$B:$B,0),0)=0,"",INDEX('Master Ratings'!$O:$O, MATCH('Ratings by CLO'!$J27,'Master Ratings'!$B:$B,0),0))</f>
        <v>45750</v>
      </c>
      <c r="R27" s="28"/>
      <c r="S27" s="28" t="str">
        <f>+IF(INDEX('Master Ratings'!$L:$L, MATCH('Ratings by CLO'!$J27,'Master Ratings'!$B:$B,0),0)=0,"",INDEX('Master Ratings'!$L:$L, MATCH('Ratings by CLO'!$J27,'Master Ratings'!$B:$B,0),0))</f>
        <v>B-*</v>
      </c>
      <c r="T27" s="28" t="str">
        <f>+IF(INDEX('Master Ratings'!$M:$M, MATCH('Ratings by CLO'!$J27,'Master Ratings'!$B:$B,0),0)=0,"",INDEX('Master Ratings'!$M:$M, MATCH('Ratings by CLO'!$J27,'Master Ratings'!$B:$B,0),0))</f>
        <v>Credit Estimate</v>
      </c>
      <c r="U27" s="8">
        <f>+IF(INDEX('Master Ratings'!$P:$P, MATCH('Ratings by CLO'!$J27,'Master Ratings'!$B:$B,0),0)=0,"",INDEX('Master Ratings'!$P:$P, MATCH('Ratings by CLO'!$J27,'Master Ratings'!$B:$B,0),0))</f>
        <v>45107</v>
      </c>
      <c r="W27" s="5">
        <f t="shared" ca="1" si="3"/>
        <v>151</v>
      </c>
      <c r="X27" s="5">
        <f t="shared" ca="1" si="4"/>
        <v>-492</v>
      </c>
      <c r="Z27" s="5" t="str">
        <f t="shared" ca="1" si="5"/>
        <v/>
      </c>
      <c r="AA27" s="5" t="str">
        <f t="shared" ca="1" si="6"/>
        <v/>
      </c>
      <c r="AB27" s="5" t="str">
        <f t="shared" ca="1" si="7"/>
        <v/>
      </c>
      <c r="AC27" s="5" t="str">
        <f t="shared" ca="1" si="8"/>
        <v>X</v>
      </c>
      <c r="AD27" s="5"/>
      <c r="AE27" s="5" t="str">
        <f t="shared" si="0"/>
        <v/>
      </c>
      <c r="AF27" s="32"/>
      <c r="AG27">
        <f t="shared" ca="1" si="16"/>
        <v>0</v>
      </c>
      <c r="AH27">
        <f t="shared" ca="1" si="17"/>
        <v>1</v>
      </c>
      <c r="AI27">
        <f t="shared" ca="1" si="18"/>
        <v>7</v>
      </c>
      <c r="AJ27">
        <f t="shared" ca="1" si="19"/>
        <v>10</v>
      </c>
    </row>
    <row r="28" spans="2:42">
      <c r="B28" s="40">
        <f>+COUNTIFS(SOIs!$D:$D, 'Ratings by CLO'!$J28)</f>
        <v>4</v>
      </c>
      <c r="C28" s="40">
        <f>+COUNTIFS(SOIs!$G:$G, 'Ratings by CLO'!$J28)</f>
        <v>1</v>
      </c>
      <c r="D28" s="40">
        <f>+COUNTIFS(SOIs!$J:$J, 'Ratings by CLO'!$J28)</f>
        <v>1</v>
      </c>
      <c r="E28" s="40">
        <f>+COUNTIFS(SOIs!$M:$M, 'Ratings by CLO'!$J28)</f>
        <v>1</v>
      </c>
      <c r="F28" s="40">
        <f>+COUNTIFS(SOIs!$P:$P, 'Ratings by CLO'!$J28)</f>
        <v>1</v>
      </c>
      <c r="G28" s="40">
        <f>+COUNTIFS(SOIs!$S:$S, 'Ratings by CLO'!$J28)</f>
        <v>1</v>
      </c>
      <c r="H28" s="40">
        <f>+COUNTIFS(SOIs!$V:$V, 'Ratings by CLO'!$J28)</f>
        <v>1</v>
      </c>
      <c r="I28" s="38"/>
      <c r="J28" s="32" t="str">
        <f>+SOIs!X29</f>
        <v>Centauri Health</v>
      </c>
      <c r="K28" s="32"/>
      <c r="L28" s="28" t="str">
        <f>+IF(INDEX('Master Ratings'!$D:$D, MATCH('Ratings by CLO'!$J28,'Master Ratings'!$B:$B,0),0)=0,"",INDEX('Master Ratings'!$D:$D, MATCH('Ratings by CLO'!$J28,'Master Ratings'!$B:$B,0),0))</f>
        <v/>
      </c>
      <c r="M28" s="28" t="str">
        <f>+IF(INDEX('Master Ratings'!$E:$E, MATCH('Ratings by CLO'!$J28,'Master Ratings'!$B:$B,0),0)=0,"",INDEX('Master Ratings'!$E:$E, MATCH('Ratings by CLO'!$J28,'Master Ratings'!$B:$B,0),0))</f>
        <v/>
      </c>
      <c r="N28" s="28"/>
      <c r="O28" s="28" t="str">
        <f>+IF(INDEX('Master Ratings'!$G:$G, MATCH('Ratings by CLO'!$J28,'Master Ratings'!$B:$B,0),0)=0,"",INDEX('Master Ratings'!$G:$G, MATCH('Ratings by CLO'!$J28,'Master Ratings'!$B:$B,0),0))</f>
        <v>B-*</v>
      </c>
      <c r="P28" s="28" t="str">
        <f>+IF(INDEX('Master Ratings'!$H:$H, MATCH('Ratings by CLO'!$J28,'Master Ratings'!$B:$B,0),0)=0,"",INDEX('Master Ratings'!$H:$H, MATCH('Ratings by CLO'!$J28,'Master Ratings'!$B:$B,0),0))</f>
        <v>Credit Estimate</v>
      </c>
      <c r="Q28" s="8">
        <f>+IF(INDEX('Master Ratings'!$O:$O, MATCH('Ratings by CLO'!$J28,'Master Ratings'!$B:$B,0),0)=0,"",INDEX('Master Ratings'!$O:$O, MATCH('Ratings by CLO'!$J28,'Master Ratings'!$B:$B,0),0))</f>
        <v>45693</v>
      </c>
      <c r="R28" s="28"/>
      <c r="S28" s="28" t="str">
        <f>+IF(INDEX('Master Ratings'!$L:$L, MATCH('Ratings by CLO'!$J28,'Master Ratings'!$B:$B,0),0)=0,"",INDEX('Master Ratings'!$L:$L, MATCH('Ratings by CLO'!$J28,'Master Ratings'!$B:$B,0),0))</f>
        <v>B*</v>
      </c>
      <c r="T28" s="28" t="str">
        <f>+IF(INDEX('Master Ratings'!$M:$M, MATCH('Ratings by CLO'!$J28,'Master Ratings'!$B:$B,0),0)=0,"",INDEX('Master Ratings'!$M:$M, MATCH('Ratings by CLO'!$J28,'Master Ratings'!$B:$B,0),0))</f>
        <v>Credit Estimate</v>
      </c>
      <c r="U28" s="8">
        <f>+IF(INDEX('Master Ratings'!$P:$P, MATCH('Ratings by CLO'!$J28,'Master Ratings'!$B:$B,0),0)=0,"",INDEX('Master Ratings'!$P:$P, MATCH('Ratings by CLO'!$J28,'Master Ratings'!$B:$B,0),0))</f>
        <v>45121</v>
      </c>
      <c r="W28" s="5">
        <f t="shared" ca="1" si="3"/>
        <v>94</v>
      </c>
      <c r="X28" s="5">
        <f t="shared" ca="1" si="4"/>
        <v>-478</v>
      </c>
      <c r="Z28" s="5" t="str">
        <f t="shared" ca="1" si="5"/>
        <v/>
      </c>
      <c r="AA28" s="5" t="str">
        <f t="shared" ca="1" si="6"/>
        <v/>
      </c>
      <c r="AB28" s="5" t="str">
        <f t="shared" ca="1" si="7"/>
        <v/>
      </c>
      <c r="AC28" s="5" t="str">
        <f t="shared" ca="1" si="8"/>
        <v>X</v>
      </c>
      <c r="AD28" s="5"/>
      <c r="AE28" s="5" t="str">
        <f t="shared" si="0"/>
        <v/>
      </c>
      <c r="AF28" s="32"/>
      <c r="AG28">
        <f t="shared" ca="1" si="16"/>
        <v>0</v>
      </c>
      <c r="AH28">
        <f t="shared" ca="1" si="17"/>
        <v>1</v>
      </c>
      <c r="AI28">
        <f t="shared" ca="1" si="18"/>
        <v>7</v>
      </c>
      <c r="AJ28">
        <f t="shared" ca="1" si="19"/>
        <v>11</v>
      </c>
    </row>
    <row r="29" spans="2:42">
      <c r="B29" s="40">
        <f>+COUNTIFS(SOIs!$D:$D, 'Ratings by CLO'!$J29)</f>
        <v>0</v>
      </c>
      <c r="C29" s="40">
        <f>+COUNTIFS(SOIs!$G:$G, 'Ratings by CLO'!$J29)</f>
        <v>0</v>
      </c>
      <c r="D29" s="40">
        <f>+COUNTIFS(SOIs!$J:$J, 'Ratings by CLO'!$J29)</f>
        <v>0</v>
      </c>
      <c r="E29" s="40">
        <f>+COUNTIFS(SOIs!$M:$M, 'Ratings by CLO'!$J29)</f>
        <v>0</v>
      </c>
      <c r="F29" s="40">
        <f>+COUNTIFS(SOIs!$P:$P, 'Ratings by CLO'!$J29)</f>
        <v>1</v>
      </c>
      <c r="G29" s="40">
        <f>+COUNTIFS(SOIs!$S:$S, 'Ratings by CLO'!$J29)</f>
        <v>0</v>
      </c>
      <c r="H29" s="40">
        <f>+COUNTIFS(SOIs!$V:$V, 'Ratings by CLO'!$J29)</f>
        <v>0</v>
      </c>
      <c r="I29" s="38"/>
      <c r="J29" s="32" t="str">
        <f>+SOIs!X30</f>
        <v>Compex Legal</v>
      </c>
      <c r="K29" s="32"/>
      <c r="L29" s="28" t="str">
        <f>+IF(INDEX('Master Ratings'!$D:$D, MATCH('Ratings by CLO'!$J29,'Master Ratings'!$B:$B,0),0)=0,"",INDEX('Master Ratings'!$D:$D, MATCH('Ratings by CLO'!$J29,'Master Ratings'!$B:$B,0),0))</f>
        <v/>
      </c>
      <c r="M29" s="28" t="str">
        <f>+IF(INDEX('Master Ratings'!$E:$E, MATCH('Ratings by CLO'!$J29,'Master Ratings'!$B:$B,0),0)=0,"",INDEX('Master Ratings'!$E:$E, MATCH('Ratings by CLO'!$J29,'Master Ratings'!$B:$B,0),0))</f>
        <v/>
      </c>
      <c r="N29" s="28"/>
      <c r="O29" s="28" t="str">
        <f>+IF(INDEX('Master Ratings'!$G:$G, MATCH('Ratings by CLO'!$J29,'Master Ratings'!$B:$B,0),0)=0,"",INDEX('Master Ratings'!$G:$G, MATCH('Ratings by CLO'!$J29,'Master Ratings'!$B:$B,0),0))</f>
        <v>B-*</v>
      </c>
      <c r="P29" s="28" t="str">
        <f>+IF(INDEX('Master Ratings'!$H:$H, MATCH('Ratings by CLO'!$J29,'Master Ratings'!$B:$B,0),0)=0,"",INDEX('Master Ratings'!$H:$H, MATCH('Ratings by CLO'!$J29,'Master Ratings'!$B:$B,0),0))</f>
        <v>Credit Estimate</v>
      </c>
      <c r="Q29" s="8">
        <f>+IF(INDEX('Master Ratings'!$O:$O, MATCH('Ratings by CLO'!$J29,'Master Ratings'!$B:$B,0),0)=0,"",INDEX('Master Ratings'!$O:$O, MATCH('Ratings by CLO'!$J29,'Master Ratings'!$B:$B,0),0))</f>
        <v>45623</v>
      </c>
      <c r="R29" s="28"/>
      <c r="S29" s="28" t="str">
        <f>+IF(INDEX('Master Ratings'!$L:$L, MATCH('Ratings by CLO'!$J29,'Master Ratings'!$B:$B,0),0)=0,"",INDEX('Master Ratings'!$L:$L, MATCH('Ratings by CLO'!$J29,'Master Ratings'!$B:$B,0),0))</f>
        <v/>
      </c>
      <c r="T29" s="28" t="str">
        <f>+IF(INDEX('Master Ratings'!$M:$M, MATCH('Ratings by CLO'!$J29,'Master Ratings'!$B:$B,0),0)=0,"",INDEX('Master Ratings'!$M:$M, MATCH('Ratings by CLO'!$J29,'Master Ratings'!$B:$B,0),0))</f>
        <v/>
      </c>
      <c r="U29" s="8" t="str">
        <f>+IF(INDEX('Master Ratings'!$P:$P, MATCH('Ratings by CLO'!$J29,'Master Ratings'!$B:$B,0),0)=0,"",INDEX('Master Ratings'!$P:$P, MATCH('Ratings by CLO'!$J29,'Master Ratings'!$B:$B,0),0))</f>
        <v/>
      </c>
      <c r="W29" s="5">
        <f t="shared" ca="1" si="3"/>
        <v>24</v>
      </c>
      <c r="X29" s="5" t="str">
        <f t="shared" ca="1" si="4"/>
        <v/>
      </c>
      <c r="Z29" s="5" t="str">
        <f t="shared" ca="1" si="5"/>
        <v/>
      </c>
      <c r="AA29" s="5" t="str">
        <f t="shared" ca="1" si="6"/>
        <v/>
      </c>
      <c r="AB29" s="5" t="str">
        <f t="shared" ca="1" si="7"/>
        <v/>
      </c>
      <c r="AC29" s="5" t="str">
        <f t="shared" ca="1" si="8"/>
        <v/>
      </c>
      <c r="AD29" s="5"/>
      <c r="AE29" s="5" t="str">
        <f t="shared" si="0"/>
        <v/>
      </c>
      <c r="AF29" s="32"/>
      <c r="AG29">
        <f t="shared" ca="1" si="16"/>
        <v>0</v>
      </c>
      <c r="AH29">
        <f t="shared" ca="1" si="17"/>
        <v>1</v>
      </c>
      <c r="AI29">
        <f t="shared" ca="1" si="18"/>
        <v>7</v>
      </c>
      <c r="AJ29">
        <f t="shared" ca="1" si="19"/>
        <v>11</v>
      </c>
    </row>
    <row r="30" spans="2:42">
      <c r="B30" s="40">
        <f>+COUNTIFS(SOIs!$D:$D, 'Ratings by CLO'!$J30)</f>
        <v>4</v>
      </c>
      <c r="C30" s="40">
        <f>+COUNTIFS(SOIs!$G:$G, 'Ratings by CLO'!$J30)</f>
        <v>1</v>
      </c>
      <c r="D30" s="40">
        <f>+COUNTIFS(SOIs!$J:$J, 'Ratings by CLO'!$J30)</f>
        <v>1</v>
      </c>
      <c r="E30" s="40">
        <f>+COUNTIFS(SOIs!$M:$M, 'Ratings by CLO'!$J30)</f>
        <v>1</v>
      </c>
      <c r="F30" s="40">
        <f>+COUNTIFS(SOIs!$P:$P, 'Ratings by CLO'!$J30)</f>
        <v>1</v>
      </c>
      <c r="G30" s="40">
        <f>+COUNTIFS(SOIs!$S:$S, 'Ratings by CLO'!$J30)</f>
        <v>0</v>
      </c>
      <c r="H30" s="40">
        <f>+COUNTIFS(SOIs!$V:$V, 'Ratings by CLO'!$J30)</f>
        <v>1</v>
      </c>
      <c r="I30" s="38"/>
      <c r="J30" s="32" t="str">
        <f>+SOIs!X31</f>
        <v>Connatix</v>
      </c>
      <c r="K30" s="32"/>
      <c r="L30" s="28" t="str">
        <f>+IF(INDEX('Master Ratings'!$D:$D, MATCH('Ratings by CLO'!$J30,'Master Ratings'!$B:$B,0),0)=0,"",INDEX('Master Ratings'!$D:$D, MATCH('Ratings by CLO'!$J30,'Master Ratings'!$B:$B,0),0))</f>
        <v/>
      </c>
      <c r="M30" s="28" t="str">
        <f>+IF(INDEX('Master Ratings'!$E:$E, MATCH('Ratings by CLO'!$J30,'Master Ratings'!$B:$B,0),0)=0,"",INDEX('Master Ratings'!$E:$E, MATCH('Ratings by CLO'!$J30,'Master Ratings'!$B:$B,0),0))</f>
        <v/>
      </c>
      <c r="N30" s="28"/>
      <c r="O30" s="28" t="str">
        <f>+IF(INDEX('Master Ratings'!$G:$G, MATCH('Ratings by CLO'!$J30,'Master Ratings'!$B:$B,0),0)=0,"",INDEX('Master Ratings'!$G:$G, MATCH('Ratings by CLO'!$J30,'Master Ratings'!$B:$B,0),0))</f>
        <v>B-*</v>
      </c>
      <c r="P30" s="28" t="str">
        <f>+IF(INDEX('Master Ratings'!$H:$H, MATCH('Ratings by CLO'!$J30,'Master Ratings'!$B:$B,0),0)=0,"",INDEX('Master Ratings'!$H:$H, MATCH('Ratings by CLO'!$J30,'Master Ratings'!$B:$B,0),0))</f>
        <v>Credit Estimate</v>
      </c>
      <c r="Q30" s="8">
        <f>+IF(INDEX('Master Ratings'!$O:$O, MATCH('Ratings by CLO'!$J30,'Master Ratings'!$B:$B,0),0)=0,"",INDEX('Master Ratings'!$O:$O, MATCH('Ratings by CLO'!$J30,'Master Ratings'!$B:$B,0),0))</f>
        <v>45483</v>
      </c>
      <c r="R30" s="28"/>
      <c r="S30" s="28" t="str">
        <f>+IF(INDEX('Master Ratings'!$L:$L, MATCH('Ratings by CLO'!$J30,'Master Ratings'!$B:$B,0),0)=0,"",INDEX('Master Ratings'!$L:$L, MATCH('Ratings by CLO'!$J30,'Master Ratings'!$B:$B,0),0))</f>
        <v>B-*</v>
      </c>
      <c r="T30" s="28" t="str">
        <f>+IF(INDEX('Master Ratings'!$M:$M, MATCH('Ratings by CLO'!$J30,'Master Ratings'!$B:$B,0),0)=0,"",INDEX('Master Ratings'!$M:$M, MATCH('Ratings by CLO'!$J30,'Master Ratings'!$B:$B,0),0))</f>
        <v>Credit Estimate</v>
      </c>
      <c r="U30" s="8" t="str">
        <f>+IF(INDEX('Master Ratings'!$P:$P, MATCH('Ratings by CLO'!$J30,'Master Ratings'!$B:$B,0),0)=0,"",INDEX('Master Ratings'!$P:$P, MATCH('Ratings by CLO'!$J30,'Master Ratings'!$B:$B,0),0))</f>
        <v>12.8.2023</v>
      </c>
      <c r="W30" s="5">
        <f ca="1">+IF(OR($P30=$W$1,$P30=$W$2),$Q30+365-TODAY(), "")</f>
        <v>-116</v>
      </c>
      <c r="X30" s="5" t="e">
        <f t="shared" ca="1" si="4"/>
        <v>#VALUE!</v>
      </c>
      <c r="Z30" s="5" t="str">
        <f t="shared" ca="1" si="5"/>
        <v/>
      </c>
      <c r="AA30" s="5" t="str">
        <f t="shared" ca="1" si="6"/>
        <v>X</v>
      </c>
      <c r="AB30" s="5" t="str">
        <f t="shared" ca="1" si="7"/>
        <v>X</v>
      </c>
      <c r="AC30" s="5" t="str">
        <f t="shared" ca="1" si="8"/>
        <v/>
      </c>
      <c r="AD30" s="5"/>
      <c r="AE30" s="5" t="str">
        <f t="shared" si="0"/>
        <v/>
      </c>
      <c r="AF30" s="32"/>
      <c r="AG30">
        <f t="shared" ca="1" si="16"/>
        <v>0</v>
      </c>
      <c r="AH30">
        <f t="shared" ca="1" si="17"/>
        <v>2</v>
      </c>
      <c r="AI30">
        <f t="shared" ca="1" si="18"/>
        <v>8</v>
      </c>
      <c r="AJ30">
        <f t="shared" ca="1" si="19"/>
        <v>11</v>
      </c>
    </row>
    <row r="31" spans="2:42">
      <c r="B31" s="40">
        <f>+COUNTIFS(SOIs!$D:$D, 'Ratings by CLO'!$J31)</f>
        <v>3</v>
      </c>
      <c r="C31" s="40">
        <f>+COUNTIFS(SOIs!$G:$G, 'Ratings by CLO'!$J31)</f>
        <v>1</v>
      </c>
      <c r="D31" s="40">
        <f>+COUNTIFS(SOIs!$J:$J, 'Ratings by CLO'!$J31)</f>
        <v>0</v>
      </c>
      <c r="E31" s="40">
        <f>+COUNTIFS(SOIs!$M:$M, 'Ratings by CLO'!$J31)</f>
        <v>0</v>
      </c>
      <c r="F31" s="40">
        <f>+COUNTIFS(SOIs!$P:$P, 'Ratings by CLO'!$J31)</f>
        <v>1</v>
      </c>
      <c r="G31" s="40">
        <f>+COUNTIFS(SOIs!$S:$S, 'Ratings by CLO'!$J31)</f>
        <v>1</v>
      </c>
      <c r="H31" s="40">
        <f>+COUNTIFS(SOIs!$V:$V, 'Ratings by CLO'!$J31)</f>
        <v>1</v>
      </c>
      <c r="I31" s="38"/>
      <c r="J31" s="32" t="str">
        <f>+SOIs!X32</f>
        <v>Consilio</v>
      </c>
      <c r="K31" s="32"/>
      <c r="L31" s="28" t="str">
        <f>+IF(INDEX('Master Ratings'!$D:$D, MATCH('Ratings by CLO'!$J31,'Master Ratings'!$B:$B,0),0)=0,"",INDEX('Master Ratings'!$D:$D, MATCH('Ratings by CLO'!$J31,'Master Ratings'!$B:$B,0),0))</f>
        <v>B3</v>
      </c>
      <c r="M31" s="28" t="str">
        <f>+IF(INDEX('Master Ratings'!$E:$E, MATCH('Ratings by CLO'!$J31,'Master Ratings'!$B:$B,0),0)=0,"",INDEX('Master Ratings'!$E:$E, MATCH('Ratings by CLO'!$J31,'Master Ratings'!$B:$B,0),0))</f>
        <v>Rating (Public)</v>
      </c>
      <c r="N31" s="28"/>
      <c r="O31" s="28" t="str">
        <f>+IF(INDEX('Master Ratings'!$G:$G, MATCH('Ratings by CLO'!$J31,'Master Ratings'!$B:$B,0),0)=0,"",INDEX('Master Ratings'!$G:$G, MATCH('Ratings by CLO'!$J31,'Master Ratings'!$B:$B,0),0))</f>
        <v>B-</v>
      </c>
      <c r="P31" s="28" t="str">
        <f>+IF(INDEX('Master Ratings'!$H:$H, MATCH('Ratings by CLO'!$J31,'Master Ratings'!$B:$B,0),0)=0,"",INDEX('Master Ratings'!$H:$H, MATCH('Ratings by CLO'!$J31,'Master Ratings'!$B:$B,0),0))</f>
        <v>Rating (Public)</v>
      </c>
      <c r="Q31" s="8" t="str">
        <f>+IF(INDEX('Master Ratings'!$O:$O, MATCH('Ratings by CLO'!$J31,'Master Ratings'!$B:$B,0),0)=0,"",INDEX('Master Ratings'!$O:$O, MATCH('Ratings by CLO'!$J31,'Master Ratings'!$B:$B,0),0))</f>
        <v/>
      </c>
      <c r="R31" s="28"/>
      <c r="S31" s="28" t="str">
        <f>+IF(INDEX('Master Ratings'!$L:$L, MATCH('Ratings by CLO'!$J31,'Master Ratings'!$B:$B,0),0)=0,"",INDEX('Master Ratings'!$L:$L, MATCH('Ratings by CLO'!$J31,'Master Ratings'!$B:$B,0),0))</f>
        <v/>
      </c>
      <c r="T31" s="28" t="str">
        <f>+IF(INDEX('Master Ratings'!$M:$M, MATCH('Ratings by CLO'!$J31,'Master Ratings'!$B:$B,0),0)=0,"",INDEX('Master Ratings'!$M:$M, MATCH('Ratings by CLO'!$J31,'Master Ratings'!$B:$B,0),0))</f>
        <v/>
      </c>
      <c r="U31" s="8" t="str">
        <f>+IF(INDEX('Master Ratings'!$P:$P, MATCH('Ratings by CLO'!$J31,'Master Ratings'!$B:$B,0),0)=0,"",INDEX('Master Ratings'!$P:$P, MATCH('Ratings by CLO'!$J31,'Master Ratings'!$B:$B,0),0))</f>
        <v/>
      </c>
      <c r="W31" s="5" t="str">
        <f t="shared" ca="1" si="3"/>
        <v/>
      </c>
      <c r="X31" s="5" t="str">
        <f t="shared" ca="1" si="4"/>
        <v/>
      </c>
      <c r="Z31" s="5" t="str">
        <f t="shared" ca="1" si="5"/>
        <v/>
      </c>
      <c r="AA31" s="5" t="str">
        <f t="shared" ca="1" si="6"/>
        <v/>
      </c>
      <c r="AB31" s="5" t="str">
        <f t="shared" ca="1" si="7"/>
        <v/>
      </c>
      <c r="AC31" s="5" t="str">
        <f t="shared" ca="1" si="8"/>
        <v/>
      </c>
      <c r="AD31" s="5"/>
      <c r="AE31" s="5" t="str">
        <f t="shared" si="0"/>
        <v/>
      </c>
      <c r="AF31" s="32"/>
      <c r="AG31">
        <f t="shared" ca="1" si="16"/>
        <v>0</v>
      </c>
      <c r="AH31">
        <f t="shared" ca="1" si="17"/>
        <v>2</v>
      </c>
      <c r="AI31">
        <f t="shared" ca="1" si="18"/>
        <v>8</v>
      </c>
      <c r="AJ31">
        <f t="shared" ca="1" si="19"/>
        <v>11</v>
      </c>
    </row>
    <row r="32" spans="2:42">
      <c r="B32" s="40">
        <f>+COUNTIFS(SOIs!$D:$D, 'Ratings by CLO'!$J32)</f>
        <v>1</v>
      </c>
      <c r="C32" s="40">
        <f>+COUNTIFS(SOIs!$G:$G, 'Ratings by CLO'!$J32)</f>
        <v>0</v>
      </c>
      <c r="D32" s="40">
        <f>+COUNTIFS(SOIs!$J:$J, 'Ratings by CLO'!$J32)</f>
        <v>1</v>
      </c>
      <c r="E32" s="40">
        <f>+COUNTIFS(SOIs!$M:$M, 'Ratings by CLO'!$J32)</f>
        <v>0</v>
      </c>
      <c r="F32" s="40">
        <f>+COUNTIFS(SOIs!$P:$P, 'Ratings by CLO'!$J32)</f>
        <v>1</v>
      </c>
      <c r="G32" s="40">
        <f>+COUNTIFS(SOIs!$S:$S, 'Ratings by CLO'!$J32)</f>
        <v>0</v>
      </c>
      <c r="H32" s="40">
        <f>+COUNTIFS(SOIs!$V:$V, 'Ratings by CLO'!$J32)</f>
        <v>0</v>
      </c>
      <c r="I32" s="38"/>
      <c r="J32" s="32" t="str">
        <f>+SOIs!X33</f>
        <v>Convergint</v>
      </c>
      <c r="K32" s="32"/>
      <c r="L32" s="28" t="str">
        <f>+IF(INDEX('Master Ratings'!$D:$D, MATCH('Ratings by CLO'!$J32,'Master Ratings'!$B:$B,0),0)=0,"",INDEX('Master Ratings'!$D:$D, MATCH('Ratings by CLO'!$J32,'Master Ratings'!$B:$B,0),0))</f>
        <v/>
      </c>
      <c r="M32" s="28" t="str">
        <f>+IF(INDEX('Master Ratings'!$E:$E, MATCH('Ratings by CLO'!$J32,'Master Ratings'!$B:$B,0),0)=0,"",INDEX('Master Ratings'!$E:$E, MATCH('Ratings by CLO'!$J32,'Master Ratings'!$B:$B,0),0))</f>
        <v/>
      </c>
      <c r="N32" s="28"/>
      <c r="O32" s="28" t="str">
        <f>+IF(INDEX('Master Ratings'!$G:$G, MATCH('Ratings by CLO'!$J32,'Master Ratings'!$B:$B,0),0)=0,"",INDEX('Master Ratings'!$G:$G, MATCH('Ratings by CLO'!$J32,'Master Ratings'!$B:$B,0),0))</f>
        <v>B-</v>
      </c>
      <c r="P32" s="28" t="str">
        <f>+IF(INDEX('Master Ratings'!$H:$H, MATCH('Ratings by CLO'!$J32,'Master Ratings'!$B:$B,0),0)=0,"",INDEX('Master Ratings'!$H:$H, MATCH('Ratings by CLO'!$J32,'Master Ratings'!$B:$B,0),0))</f>
        <v>Rating (Public)</v>
      </c>
      <c r="Q32" s="8" t="str">
        <f>+IF(INDEX('Master Ratings'!$O:$O, MATCH('Ratings by CLO'!$J32,'Master Ratings'!$B:$B,0),0)=0,"",INDEX('Master Ratings'!$O:$O, MATCH('Ratings by CLO'!$J32,'Master Ratings'!$B:$B,0),0))</f>
        <v/>
      </c>
      <c r="R32" s="28"/>
      <c r="S32" s="28" t="str">
        <f>+IF(INDEX('Master Ratings'!$L:$L, MATCH('Ratings by CLO'!$J32,'Master Ratings'!$B:$B,0),0)=0,"",INDEX('Master Ratings'!$L:$L, MATCH('Ratings by CLO'!$J32,'Master Ratings'!$B:$B,0),0))</f>
        <v/>
      </c>
      <c r="T32" s="28" t="str">
        <f>+IF(INDEX('Master Ratings'!$M:$M, MATCH('Ratings by CLO'!$J32,'Master Ratings'!$B:$B,0),0)=0,"",INDEX('Master Ratings'!$M:$M, MATCH('Ratings by CLO'!$J32,'Master Ratings'!$B:$B,0),0))</f>
        <v/>
      </c>
      <c r="U32" s="8" t="str">
        <f>+IF(INDEX('Master Ratings'!$P:$P, MATCH('Ratings by CLO'!$J32,'Master Ratings'!$B:$B,0),0)=0,"",INDEX('Master Ratings'!$P:$P, MATCH('Ratings by CLO'!$J32,'Master Ratings'!$B:$B,0),0))</f>
        <v/>
      </c>
      <c r="W32" s="5" t="str">
        <f t="shared" ca="1" si="3"/>
        <v/>
      </c>
      <c r="X32" s="5" t="str">
        <f t="shared" ca="1" si="4"/>
        <v/>
      </c>
      <c r="Z32" s="5" t="str">
        <f t="shared" ca="1" si="5"/>
        <v/>
      </c>
      <c r="AA32" s="5" t="str">
        <f t="shared" ca="1" si="6"/>
        <v/>
      </c>
      <c r="AB32" s="5" t="str">
        <f t="shared" ca="1" si="7"/>
        <v/>
      </c>
      <c r="AC32" s="5" t="str">
        <f t="shared" ca="1" si="8"/>
        <v/>
      </c>
      <c r="AD32" s="5"/>
      <c r="AE32" s="5" t="str">
        <f t="shared" si="0"/>
        <v/>
      </c>
      <c r="AF32" s="32"/>
      <c r="AG32">
        <f t="shared" ca="1" si="16"/>
        <v>0</v>
      </c>
      <c r="AH32">
        <f t="shared" ca="1" si="17"/>
        <v>2</v>
      </c>
      <c r="AI32">
        <f t="shared" ca="1" si="18"/>
        <v>8</v>
      </c>
      <c r="AJ32">
        <f t="shared" ca="1" si="19"/>
        <v>11</v>
      </c>
    </row>
    <row r="33" spans="2:36">
      <c r="B33" s="40">
        <f>+COUNTIFS(SOIs!$D:$D, 'Ratings by CLO'!$J33)</f>
        <v>3</v>
      </c>
      <c r="C33" s="40">
        <f>+COUNTIFS(SOIs!$G:$G, 'Ratings by CLO'!$J33)</f>
        <v>0</v>
      </c>
      <c r="D33" s="40">
        <f>+COUNTIFS(SOIs!$J:$J, 'Ratings by CLO'!$J33)</f>
        <v>1</v>
      </c>
      <c r="E33" s="40">
        <f>+COUNTIFS(SOIs!$M:$M, 'Ratings by CLO'!$J33)</f>
        <v>0</v>
      </c>
      <c r="F33" s="40">
        <f>+COUNTIFS(SOIs!$P:$P, 'Ratings by CLO'!$J33)</f>
        <v>0</v>
      </c>
      <c r="G33" s="40">
        <f>+COUNTIFS(SOIs!$S:$S, 'Ratings by CLO'!$J33)</f>
        <v>1</v>
      </c>
      <c r="H33" s="40">
        <f>+COUNTIFS(SOIs!$V:$V, 'Ratings by CLO'!$J33)</f>
        <v>1</v>
      </c>
      <c r="I33" s="38"/>
      <c r="J33" s="32" t="str">
        <f>+SOIs!X34</f>
        <v>Crane 1</v>
      </c>
      <c r="K33" s="32"/>
      <c r="L33" s="28" t="str">
        <f>+IF(INDEX('Master Ratings'!$D:$D, MATCH('Ratings by CLO'!$J33,'Master Ratings'!$B:$B,0),0)=0,"",INDEX('Master Ratings'!$D:$D, MATCH('Ratings by CLO'!$J33,'Master Ratings'!$B:$B,0),0))</f>
        <v/>
      </c>
      <c r="M33" s="28" t="str">
        <f>+IF(INDEX('Master Ratings'!$E:$E, MATCH('Ratings by CLO'!$J33,'Master Ratings'!$B:$B,0),0)=0,"",INDEX('Master Ratings'!$E:$E, MATCH('Ratings by CLO'!$J33,'Master Ratings'!$B:$B,0),0))</f>
        <v/>
      </c>
      <c r="N33" s="28"/>
      <c r="O33" s="28" t="str">
        <f>+IF(INDEX('Master Ratings'!$G:$G, MATCH('Ratings by CLO'!$J33,'Master Ratings'!$B:$B,0),0)=0,"",INDEX('Master Ratings'!$G:$G, MATCH('Ratings by CLO'!$J33,'Master Ratings'!$B:$B,0),0))</f>
        <v>B-*</v>
      </c>
      <c r="P33" s="28" t="str">
        <f>+IF(INDEX('Master Ratings'!$H:$H, MATCH('Ratings by CLO'!$J33,'Master Ratings'!$B:$B,0),0)=0,"",INDEX('Master Ratings'!$H:$H, MATCH('Ratings by CLO'!$J33,'Master Ratings'!$B:$B,0),0))</f>
        <v>Credit Estimate</v>
      </c>
      <c r="Q33" s="8">
        <f>+IF(INDEX('Master Ratings'!$O:$O, MATCH('Ratings by CLO'!$J33,'Master Ratings'!$B:$B,0),0)=0,"",INDEX('Master Ratings'!$O:$O, MATCH('Ratings by CLO'!$J33,'Master Ratings'!$B:$B,0),0))</f>
        <v>45707</v>
      </c>
      <c r="R33" s="28"/>
      <c r="S33" s="28" t="str">
        <f>+IF(INDEX('Master Ratings'!$L:$L, MATCH('Ratings by CLO'!$J33,'Master Ratings'!$B:$B,0),0)=0,"",INDEX('Master Ratings'!$L:$L, MATCH('Ratings by CLO'!$J33,'Master Ratings'!$B:$B,0),0))</f>
        <v>B-*</v>
      </c>
      <c r="T33" s="28" t="str">
        <f>+IF(INDEX('Master Ratings'!$M:$M, MATCH('Ratings by CLO'!$J33,'Master Ratings'!$B:$B,0),0)=0,"",INDEX('Master Ratings'!$M:$M, MATCH('Ratings by CLO'!$J33,'Master Ratings'!$B:$B,0),0))</f>
        <v>Credit Estimate</v>
      </c>
      <c r="U33" s="8">
        <f>+IF(INDEX('Master Ratings'!$P:$P, MATCH('Ratings by CLO'!$J33,'Master Ratings'!$B:$B,0),0)=0,"",INDEX('Master Ratings'!$P:$P, MATCH('Ratings by CLO'!$J33,'Master Ratings'!$B:$B,0),0))</f>
        <v>45345</v>
      </c>
      <c r="W33" s="5">
        <f t="shared" ca="1" si="3"/>
        <v>108</v>
      </c>
      <c r="X33" s="5">
        <f t="shared" ca="1" si="4"/>
        <v>-254</v>
      </c>
      <c r="Z33" s="5" t="str">
        <f t="shared" ca="1" si="5"/>
        <v/>
      </c>
      <c r="AA33" s="5" t="str">
        <f t="shared" ca="1" si="6"/>
        <v/>
      </c>
      <c r="AB33" s="5" t="str">
        <f t="shared" ca="1" si="7"/>
        <v/>
      </c>
      <c r="AC33" s="5" t="str">
        <f t="shared" ca="1" si="8"/>
        <v>X</v>
      </c>
      <c r="AD33" s="5"/>
      <c r="AE33" s="5" t="str">
        <f t="shared" si="0"/>
        <v/>
      </c>
      <c r="AF33" s="32"/>
      <c r="AG33">
        <f t="shared" ca="1" si="16"/>
        <v>0</v>
      </c>
      <c r="AH33">
        <f t="shared" ca="1" si="17"/>
        <v>2</v>
      </c>
      <c r="AI33">
        <f t="shared" ca="1" si="18"/>
        <v>8</v>
      </c>
      <c r="AJ33">
        <f t="shared" ca="1" si="19"/>
        <v>12</v>
      </c>
    </row>
    <row r="34" spans="2:36">
      <c r="B34" s="40">
        <f>+COUNTIFS(SOIs!$D:$D, 'Ratings by CLO'!$J34)</f>
        <v>2</v>
      </c>
      <c r="C34" s="40">
        <f>+COUNTIFS(SOIs!$G:$G, 'Ratings by CLO'!$J34)</f>
        <v>1</v>
      </c>
      <c r="D34" s="40">
        <f>+COUNTIFS(SOIs!$J:$J, 'Ratings by CLO'!$J34)</f>
        <v>1</v>
      </c>
      <c r="E34" s="40">
        <f>+COUNTIFS(SOIs!$M:$M, 'Ratings by CLO'!$J34)</f>
        <v>1</v>
      </c>
      <c r="F34" s="40">
        <f>+COUNTIFS(SOIs!$P:$P, 'Ratings by CLO'!$J34)</f>
        <v>1</v>
      </c>
      <c r="G34" s="40">
        <f>+COUNTIFS(SOIs!$S:$S, 'Ratings by CLO'!$J34)</f>
        <v>1</v>
      </c>
      <c r="H34" s="40">
        <f>+COUNTIFS(SOIs!$V:$V, 'Ratings by CLO'!$J34)</f>
        <v>0</v>
      </c>
      <c r="I34" s="38"/>
      <c r="J34" s="32" t="str">
        <f>+SOIs!X35</f>
        <v>Digital Room</v>
      </c>
      <c r="K34" s="32"/>
      <c r="L34" s="28" t="str">
        <f>+IF(INDEX('Master Ratings'!$D:$D, MATCH('Ratings by CLO'!$J34,'Master Ratings'!$B:$B,0),0)=0,"",INDEX('Master Ratings'!$D:$D, MATCH('Ratings by CLO'!$J34,'Master Ratings'!$B:$B,0),0))</f>
        <v>B3</v>
      </c>
      <c r="M34" s="28" t="str">
        <f>+IF(INDEX('Master Ratings'!$E:$E, MATCH('Ratings by CLO'!$J34,'Master Ratings'!$B:$B,0),0)=0,"",INDEX('Master Ratings'!$E:$E, MATCH('Ratings by CLO'!$J34,'Master Ratings'!$B:$B,0),0))</f>
        <v>Rating (Public)</v>
      </c>
      <c r="N34" s="28"/>
      <c r="O34" s="28" t="str">
        <f>+IF(INDEX('Master Ratings'!$G:$G, MATCH('Ratings by CLO'!$J34,'Master Ratings'!$B:$B,0),0)=0,"",INDEX('Master Ratings'!$G:$G, MATCH('Ratings by CLO'!$J34,'Master Ratings'!$B:$B,0),0))</f>
        <v>B-</v>
      </c>
      <c r="P34" s="28" t="str">
        <f>+IF(INDEX('Master Ratings'!$H:$H, MATCH('Ratings by CLO'!$J34,'Master Ratings'!$B:$B,0),0)=0,"",INDEX('Master Ratings'!$H:$H, MATCH('Ratings by CLO'!$J34,'Master Ratings'!$B:$B,0),0))</f>
        <v>Rating (Public)</v>
      </c>
      <c r="Q34" s="8" t="str">
        <f>+IF(INDEX('Master Ratings'!$O:$O, MATCH('Ratings by CLO'!$J34,'Master Ratings'!$B:$B,0),0)=0,"",INDEX('Master Ratings'!$O:$O, MATCH('Ratings by CLO'!$J34,'Master Ratings'!$B:$B,0),0))</f>
        <v/>
      </c>
      <c r="R34" s="28"/>
      <c r="S34" s="28" t="str">
        <f>+IF(INDEX('Master Ratings'!$L:$L, MATCH('Ratings by CLO'!$J34,'Master Ratings'!$B:$B,0),0)=0,"",INDEX('Master Ratings'!$L:$L, MATCH('Ratings by CLO'!$J34,'Master Ratings'!$B:$B,0),0))</f>
        <v/>
      </c>
      <c r="T34" s="28" t="str">
        <f>+IF(INDEX('Master Ratings'!$M:$M, MATCH('Ratings by CLO'!$J34,'Master Ratings'!$B:$B,0),0)=0,"",INDEX('Master Ratings'!$M:$M, MATCH('Ratings by CLO'!$J34,'Master Ratings'!$B:$B,0),0))</f>
        <v/>
      </c>
      <c r="U34" s="8" t="str">
        <f>+IF(INDEX('Master Ratings'!$P:$P, MATCH('Ratings by CLO'!$J34,'Master Ratings'!$B:$B,0),0)=0,"",INDEX('Master Ratings'!$P:$P, MATCH('Ratings by CLO'!$J34,'Master Ratings'!$B:$B,0),0))</f>
        <v/>
      </c>
      <c r="W34" s="5" t="str">
        <f t="shared" ca="1" si="3"/>
        <v/>
      </c>
      <c r="X34" s="5" t="str">
        <f t="shared" ca="1" si="4"/>
        <v/>
      </c>
      <c r="Z34" s="5" t="str">
        <f t="shared" ca="1" si="5"/>
        <v/>
      </c>
      <c r="AA34" s="5" t="str">
        <f t="shared" ca="1" si="6"/>
        <v/>
      </c>
      <c r="AB34" s="5" t="str">
        <f t="shared" ca="1" si="7"/>
        <v/>
      </c>
      <c r="AC34" s="5" t="str">
        <f t="shared" ca="1" si="8"/>
        <v/>
      </c>
      <c r="AD34" s="5"/>
      <c r="AE34" s="5" t="str">
        <f t="shared" si="0"/>
        <v/>
      </c>
      <c r="AF34" s="32"/>
      <c r="AG34">
        <f t="shared" ca="1" si="16"/>
        <v>0</v>
      </c>
      <c r="AH34">
        <f t="shared" ca="1" si="17"/>
        <v>2</v>
      </c>
      <c r="AI34">
        <f t="shared" ca="1" si="18"/>
        <v>8</v>
      </c>
      <c r="AJ34">
        <f t="shared" ca="1" si="19"/>
        <v>12</v>
      </c>
    </row>
    <row r="35" spans="2:36">
      <c r="B35" s="40">
        <f>+COUNTIFS(SOIs!$D:$D, 'Ratings by CLO'!$J35)</f>
        <v>4</v>
      </c>
      <c r="C35" s="40">
        <f>+COUNTIFS(SOIs!$G:$G, 'Ratings by CLO'!$J35)</f>
        <v>1</v>
      </c>
      <c r="D35" s="40">
        <f>+COUNTIFS(SOIs!$J:$J, 'Ratings by CLO'!$J35)</f>
        <v>1</v>
      </c>
      <c r="E35" s="40">
        <f>+COUNTIFS(SOIs!$M:$M, 'Ratings by CLO'!$J35)</f>
        <v>1</v>
      </c>
      <c r="F35" s="40">
        <f>+COUNTIFS(SOIs!$P:$P, 'Ratings by CLO'!$J35)</f>
        <v>1</v>
      </c>
      <c r="G35" s="40">
        <f>+COUNTIFS(SOIs!$S:$S, 'Ratings by CLO'!$J35)</f>
        <v>1</v>
      </c>
      <c r="H35" s="40">
        <f>+COUNTIFS(SOIs!$V:$V, 'Ratings by CLO'!$J35)</f>
        <v>1</v>
      </c>
      <c r="I35" s="38"/>
      <c r="J35" s="32" t="str">
        <f>+SOIs!X36</f>
        <v>Dr. Scholl's</v>
      </c>
      <c r="K35" s="32"/>
      <c r="L35" s="28" t="str">
        <f>+IF(INDEX('Master Ratings'!$D:$D, MATCH('Ratings by CLO'!$J35,'Master Ratings'!$B:$B,0),0)=0,"",INDEX('Master Ratings'!$D:$D, MATCH('Ratings by CLO'!$J35,'Master Ratings'!$B:$B,0),0))</f>
        <v/>
      </c>
      <c r="M35" s="28" t="str">
        <f>+IF(INDEX('Master Ratings'!$E:$E, MATCH('Ratings by CLO'!$J35,'Master Ratings'!$B:$B,0),0)=0,"",INDEX('Master Ratings'!$E:$E, MATCH('Ratings by CLO'!$J35,'Master Ratings'!$B:$B,0),0))</f>
        <v/>
      </c>
      <c r="N35" s="28"/>
      <c r="O35" s="28" t="str">
        <f>+IF(INDEX('Master Ratings'!$G:$G, MATCH('Ratings by CLO'!$J35,'Master Ratings'!$B:$B,0),0)=0,"",INDEX('Master Ratings'!$G:$G, MATCH('Ratings by CLO'!$J35,'Master Ratings'!$B:$B,0),0))</f>
        <v>B-*</v>
      </c>
      <c r="P35" s="28" t="str">
        <f>+IF(INDEX('Master Ratings'!$H:$H, MATCH('Ratings by CLO'!$J35,'Master Ratings'!$B:$B,0),0)=0,"",INDEX('Master Ratings'!$H:$H, MATCH('Ratings by CLO'!$J35,'Master Ratings'!$B:$B,0),0))</f>
        <v>Rating (Private)</v>
      </c>
      <c r="Q35" s="8">
        <f>+IF(INDEX('Master Ratings'!$O:$O, MATCH('Ratings by CLO'!$J35,'Master Ratings'!$B:$B,0),0)=0,"",INDEX('Master Ratings'!$O:$O, MATCH('Ratings by CLO'!$J35,'Master Ratings'!$B:$B,0),0))</f>
        <v>45623</v>
      </c>
      <c r="R35" s="28"/>
      <c r="S35" s="28" t="str">
        <f>+IF(INDEX('Master Ratings'!$L:$L, MATCH('Ratings by CLO'!$J35,'Master Ratings'!$B:$B,0),0)=0,"",INDEX('Master Ratings'!$L:$L, MATCH('Ratings by CLO'!$J35,'Master Ratings'!$B:$B,0),0))</f>
        <v>B*</v>
      </c>
      <c r="T35" s="28" t="str">
        <f>+IF(INDEX('Master Ratings'!$M:$M, MATCH('Ratings by CLO'!$J35,'Master Ratings'!$B:$B,0),0)=0,"",INDEX('Master Ratings'!$M:$M, MATCH('Ratings by CLO'!$J35,'Master Ratings'!$B:$B,0),0))</f>
        <v>Credit Estimate</v>
      </c>
      <c r="U35" s="8">
        <f>+IF(INDEX('Master Ratings'!$P:$P, MATCH('Ratings by CLO'!$J35,'Master Ratings'!$B:$B,0),0)=0,"",INDEX('Master Ratings'!$P:$P, MATCH('Ratings by CLO'!$J35,'Master Ratings'!$B:$B,0),0))</f>
        <v>45398</v>
      </c>
      <c r="W35" s="5">
        <f t="shared" ca="1" si="3"/>
        <v>24</v>
      </c>
      <c r="X35" s="5">
        <f t="shared" ca="1" si="4"/>
        <v>-201</v>
      </c>
      <c r="Z35" s="5" t="str">
        <f t="shared" ca="1" si="5"/>
        <v/>
      </c>
      <c r="AA35" s="5" t="str">
        <f t="shared" ca="1" si="6"/>
        <v/>
      </c>
      <c r="AB35" s="5" t="str">
        <f t="shared" ca="1" si="7"/>
        <v/>
      </c>
      <c r="AC35" s="5" t="str">
        <f t="shared" ca="1" si="8"/>
        <v>X</v>
      </c>
      <c r="AD35" s="5"/>
      <c r="AE35" s="5" t="str">
        <f t="shared" si="0"/>
        <v/>
      </c>
      <c r="AF35" s="32"/>
      <c r="AG35">
        <f t="shared" ca="1" si="16"/>
        <v>0</v>
      </c>
      <c r="AH35">
        <f t="shared" ca="1" si="17"/>
        <v>2</v>
      </c>
      <c r="AI35">
        <f t="shared" ca="1" si="18"/>
        <v>8</v>
      </c>
      <c r="AJ35">
        <f t="shared" ca="1" si="19"/>
        <v>13</v>
      </c>
    </row>
    <row r="36" spans="2:36">
      <c r="B36" s="40">
        <f>+COUNTIFS(SOIs!$D:$D, 'Ratings by CLO'!$J36)</f>
        <v>2</v>
      </c>
      <c r="C36" s="40">
        <f>+COUNTIFS(SOIs!$G:$G, 'Ratings by CLO'!$J36)</f>
        <v>1</v>
      </c>
      <c r="D36" s="40">
        <f>+COUNTIFS(SOIs!$J:$J, 'Ratings by CLO'!$J36)</f>
        <v>1</v>
      </c>
      <c r="E36" s="40">
        <f>+COUNTIFS(SOIs!$M:$M, 'Ratings by CLO'!$J36)</f>
        <v>1</v>
      </c>
      <c r="F36" s="40">
        <f>+COUNTIFS(SOIs!$P:$P, 'Ratings by CLO'!$J36)</f>
        <v>1</v>
      </c>
      <c r="G36" s="40">
        <f>+COUNTIFS(SOIs!$S:$S, 'Ratings by CLO'!$J36)</f>
        <v>1</v>
      </c>
      <c r="H36" s="40">
        <f>+COUNTIFS(SOIs!$V:$V, 'Ratings by CLO'!$J36)</f>
        <v>1</v>
      </c>
      <c r="I36" s="38"/>
      <c r="J36" s="32" t="str">
        <f>+SOIs!X37</f>
        <v>Dr. Squatch</v>
      </c>
      <c r="K36" s="32"/>
      <c r="L36" s="28" t="str">
        <f>+IF(INDEX('Master Ratings'!$D:$D, MATCH('Ratings by CLO'!$J36,'Master Ratings'!$B:$B,0),0)=0,"",INDEX('Master Ratings'!$D:$D, MATCH('Ratings by CLO'!$J36,'Master Ratings'!$B:$B,0),0))</f>
        <v/>
      </c>
      <c r="M36" s="28" t="str">
        <f>+IF(INDEX('Master Ratings'!$E:$E, MATCH('Ratings by CLO'!$J36,'Master Ratings'!$B:$B,0),0)=0,"",INDEX('Master Ratings'!$E:$E, MATCH('Ratings by CLO'!$J36,'Master Ratings'!$B:$B,0),0))</f>
        <v/>
      </c>
      <c r="N36" s="28"/>
      <c r="O36" s="28" t="str">
        <f>+IF(INDEX('Master Ratings'!$G:$G, MATCH('Ratings by CLO'!$J36,'Master Ratings'!$B:$B,0),0)=0,"",INDEX('Master Ratings'!$G:$G, MATCH('Ratings by CLO'!$J36,'Master Ratings'!$B:$B,0),0))</f>
        <v>B-*</v>
      </c>
      <c r="P36" s="28" t="str">
        <f>+IF(INDEX('Master Ratings'!$H:$H, MATCH('Ratings by CLO'!$J36,'Master Ratings'!$B:$B,0),0)=0,"",INDEX('Master Ratings'!$H:$H, MATCH('Ratings by CLO'!$J36,'Master Ratings'!$B:$B,0),0))</f>
        <v>Credit Estimate</v>
      </c>
      <c r="Q36" s="8">
        <f>+IF(INDEX('Master Ratings'!$O:$O, MATCH('Ratings by CLO'!$J36,'Master Ratings'!$B:$B,0),0)=0,"",INDEX('Master Ratings'!$O:$O, MATCH('Ratings by CLO'!$J36,'Master Ratings'!$B:$B,0),0))</f>
        <v>45660</v>
      </c>
      <c r="R36" s="28"/>
      <c r="S36" s="28" t="str">
        <f>+IF(INDEX('Master Ratings'!$L:$L, MATCH('Ratings by CLO'!$J36,'Master Ratings'!$B:$B,0),0)=0,"",INDEX('Master Ratings'!$L:$L, MATCH('Ratings by CLO'!$J36,'Master Ratings'!$B:$B,0),0))</f>
        <v>B*</v>
      </c>
      <c r="T36" s="28" t="str">
        <f>+IF(INDEX('Master Ratings'!$M:$M, MATCH('Ratings by CLO'!$J36,'Master Ratings'!$B:$B,0),0)=0,"",INDEX('Master Ratings'!$M:$M, MATCH('Ratings by CLO'!$J36,'Master Ratings'!$B:$B,0),0))</f>
        <v>Credit Estimate</v>
      </c>
      <c r="U36" s="8">
        <f>+IF(INDEX('Master Ratings'!$P:$P, MATCH('Ratings by CLO'!$J36,'Master Ratings'!$B:$B,0),0)=0,"",INDEX('Master Ratings'!$P:$P, MATCH('Ratings by CLO'!$J36,'Master Ratings'!$B:$B,0),0))</f>
        <v>45324</v>
      </c>
      <c r="W36" s="5">
        <f t="shared" ca="1" si="3"/>
        <v>61</v>
      </c>
      <c r="X36" s="5">
        <f t="shared" ca="1" si="4"/>
        <v>-275</v>
      </c>
      <c r="Z36" s="5" t="str">
        <f t="shared" ca="1" si="5"/>
        <v/>
      </c>
      <c r="AA36" s="5" t="str">
        <f t="shared" ca="1" si="6"/>
        <v/>
      </c>
      <c r="AB36" s="5" t="str">
        <f t="shared" ca="1" si="7"/>
        <v/>
      </c>
      <c r="AC36" s="5" t="str">
        <f t="shared" ca="1" si="8"/>
        <v>X</v>
      </c>
      <c r="AD36" s="5"/>
      <c r="AE36" s="5" t="str">
        <f t="shared" si="0"/>
        <v/>
      </c>
      <c r="AF36" s="32"/>
      <c r="AG36">
        <f t="shared" ca="1" si="16"/>
        <v>0</v>
      </c>
      <c r="AH36">
        <f t="shared" ca="1" si="17"/>
        <v>2</v>
      </c>
      <c r="AI36">
        <f t="shared" ca="1" si="18"/>
        <v>8</v>
      </c>
      <c r="AJ36">
        <f t="shared" ca="1" si="19"/>
        <v>14</v>
      </c>
    </row>
    <row r="37" spans="2:36">
      <c r="B37" s="40">
        <f>+COUNTIFS(SOIs!$D:$D, 'Ratings by CLO'!$J37)</f>
        <v>0</v>
      </c>
      <c r="C37" s="40">
        <f>+COUNTIFS(SOIs!$G:$G, 'Ratings by CLO'!$J37)</f>
        <v>0</v>
      </c>
      <c r="D37" s="40">
        <f>+COUNTIFS(SOIs!$J:$J, 'Ratings by CLO'!$J37)</f>
        <v>0</v>
      </c>
      <c r="E37" s="40">
        <f>+COUNTIFS(SOIs!$M:$M, 'Ratings by CLO'!$J37)</f>
        <v>0</v>
      </c>
      <c r="F37" s="40">
        <f>+COUNTIFS(SOIs!$P:$P, 'Ratings by CLO'!$J37)</f>
        <v>1</v>
      </c>
      <c r="G37" s="40">
        <f>+COUNTIFS(SOIs!$S:$S, 'Ratings by CLO'!$J37)</f>
        <v>0</v>
      </c>
      <c r="H37" s="40">
        <f>+COUNTIFS(SOIs!$V:$V, 'Ratings by CLO'!$J37)</f>
        <v>0</v>
      </c>
      <c r="I37" s="38"/>
      <c r="J37" s="32" t="str">
        <f>+SOIs!X38</f>
        <v>Edelman</v>
      </c>
      <c r="K37" s="32"/>
      <c r="L37" s="28" t="e">
        <f>+IF(INDEX('Master Ratings'!$D:$D, MATCH('Ratings by CLO'!$J37,'Master Ratings'!$B:$B,0),0)=0,"",INDEX('Master Ratings'!$D:$D, MATCH('Ratings by CLO'!$J37,'Master Ratings'!$B:$B,0),0))</f>
        <v>#N/A</v>
      </c>
      <c r="M37" s="28" t="e">
        <f>+IF(INDEX('Master Ratings'!$E:$E, MATCH('Ratings by CLO'!$J37,'Master Ratings'!$B:$B,0),0)=0,"",INDEX('Master Ratings'!$E:$E, MATCH('Ratings by CLO'!$J37,'Master Ratings'!$B:$B,0),0))</f>
        <v>#N/A</v>
      </c>
      <c r="N37" s="28"/>
      <c r="O37" s="28" t="e">
        <f>+IF(INDEX('Master Ratings'!$G:$G, MATCH('Ratings by CLO'!$J37,'Master Ratings'!$B:$B,0),0)=0,"",INDEX('Master Ratings'!$G:$G, MATCH('Ratings by CLO'!$J37,'Master Ratings'!$B:$B,0),0))</f>
        <v>#N/A</v>
      </c>
      <c r="P37" s="28" t="e">
        <f>+IF(INDEX('Master Ratings'!$H:$H, MATCH('Ratings by CLO'!$J37,'Master Ratings'!$B:$B,0),0)=0,"",INDEX('Master Ratings'!$H:$H, MATCH('Ratings by CLO'!$J37,'Master Ratings'!$B:$B,0),0))</f>
        <v>#N/A</v>
      </c>
      <c r="Q37" s="8" t="e">
        <f>+IF(INDEX('Master Ratings'!$O:$O, MATCH('Ratings by CLO'!$J37,'Master Ratings'!$B:$B,0),0)=0,"",INDEX('Master Ratings'!$O:$O, MATCH('Ratings by CLO'!$J37,'Master Ratings'!$B:$B,0),0))</f>
        <v>#N/A</v>
      </c>
      <c r="R37" s="28"/>
      <c r="S37" s="28" t="e">
        <f>+IF(INDEX('Master Ratings'!$L:$L, MATCH('Ratings by CLO'!$J37,'Master Ratings'!$B:$B,0),0)=0,"",INDEX('Master Ratings'!$L:$L, MATCH('Ratings by CLO'!$J37,'Master Ratings'!$B:$B,0),0))</f>
        <v>#N/A</v>
      </c>
      <c r="T37" s="28" t="e">
        <f>+IF(INDEX('Master Ratings'!$M:$M, MATCH('Ratings by CLO'!$J37,'Master Ratings'!$B:$B,0),0)=0,"",INDEX('Master Ratings'!$M:$M, MATCH('Ratings by CLO'!$J37,'Master Ratings'!$B:$B,0),0))</f>
        <v>#N/A</v>
      </c>
      <c r="U37" s="8" t="e">
        <f>+IF(INDEX('Master Ratings'!$P:$P, MATCH('Ratings by CLO'!$J37,'Master Ratings'!$B:$B,0),0)=0,"",INDEX('Master Ratings'!$P:$P, MATCH('Ratings by CLO'!$J37,'Master Ratings'!$B:$B,0),0))</f>
        <v>#N/A</v>
      </c>
      <c r="W37" s="5" t="e">
        <f t="shared" ca="1" si="3"/>
        <v>#N/A</v>
      </c>
      <c r="X37" s="5" t="e">
        <f t="shared" ca="1" si="4"/>
        <v>#N/A</v>
      </c>
      <c r="Z37" s="5" t="str">
        <f t="shared" ca="1" si="5"/>
        <v>X</v>
      </c>
      <c r="AA37" s="5" t="str">
        <f t="shared" ca="1" si="6"/>
        <v/>
      </c>
      <c r="AB37" s="5" t="str">
        <f t="shared" ca="1" si="7"/>
        <v/>
      </c>
      <c r="AC37" s="5" t="str">
        <f t="shared" ca="1" si="8"/>
        <v/>
      </c>
      <c r="AD37" s="5"/>
      <c r="AE37" s="5" t="str">
        <f t="shared" ref="AE37:AE69" si="21">+IF(SUM(B37:H37)=0,"X","")</f>
        <v/>
      </c>
      <c r="AF37" s="32"/>
      <c r="AG37">
        <f t="shared" ca="1" si="16"/>
        <v>1</v>
      </c>
      <c r="AH37">
        <f t="shared" ca="1" si="17"/>
        <v>2</v>
      </c>
      <c r="AI37">
        <f t="shared" ca="1" si="18"/>
        <v>8</v>
      </c>
      <c r="AJ37">
        <f t="shared" ca="1" si="19"/>
        <v>14</v>
      </c>
    </row>
    <row r="38" spans="2:36">
      <c r="B38" s="40">
        <f>+COUNTIFS(SOIs!$D:$D, 'Ratings by CLO'!$J38)</f>
        <v>0</v>
      </c>
      <c r="C38" s="40">
        <f>+COUNTIFS(SOIs!$G:$G, 'Ratings by CLO'!$J38)</f>
        <v>0</v>
      </c>
      <c r="D38" s="40">
        <f>+COUNTIFS(SOIs!$J:$J, 'Ratings by CLO'!$J38)</f>
        <v>0</v>
      </c>
      <c r="E38" s="40">
        <f>+COUNTIFS(SOIs!$M:$M, 'Ratings by CLO'!$J38)</f>
        <v>0</v>
      </c>
      <c r="F38" s="40">
        <f>+COUNTIFS(SOIs!$P:$P, 'Ratings by CLO'!$J38)</f>
        <v>1</v>
      </c>
      <c r="G38" s="40">
        <f>+COUNTIFS(SOIs!$S:$S, 'Ratings by CLO'!$J38)</f>
        <v>1</v>
      </c>
      <c r="H38" s="40">
        <f>+COUNTIFS(SOIs!$V:$V, 'Ratings by CLO'!$J38)</f>
        <v>1</v>
      </c>
      <c r="I38" s="38"/>
      <c r="J38" s="32" t="str">
        <f>+SOIs!X39</f>
        <v>Electro Rent</v>
      </c>
      <c r="K38" s="32"/>
      <c r="L38" s="28" t="e">
        <f>+IF(INDEX('Master Ratings'!$D:$D, MATCH('Ratings by CLO'!$J38,'Master Ratings'!$B:$B,0),0)=0,"",INDEX('Master Ratings'!$D:$D, MATCH('Ratings by CLO'!$J38,'Master Ratings'!$B:$B,0),0))</f>
        <v>#N/A</v>
      </c>
      <c r="M38" s="28" t="e">
        <f>+IF(INDEX('Master Ratings'!$E:$E, MATCH('Ratings by CLO'!$J38,'Master Ratings'!$B:$B,0),0)=0,"",INDEX('Master Ratings'!$E:$E, MATCH('Ratings by CLO'!$J38,'Master Ratings'!$B:$B,0),0))</f>
        <v>#N/A</v>
      </c>
      <c r="N38" s="28"/>
      <c r="O38" s="28" t="e">
        <f>+IF(INDEX('Master Ratings'!$G:$G, MATCH('Ratings by CLO'!$J38,'Master Ratings'!$B:$B,0),0)=0,"",INDEX('Master Ratings'!$G:$G, MATCH('Ratings by CLO'!$J38,'Master Ratings'!$B:$B,0),0))</f>
        <v>#N/A</v>
      </c>
      <c r="P38" s="28" t="e">
        <f>+IF(INDEX('Master Ratings'!$H:$H, MATCH('Ratings by CLO'!$J38,'Master Ratings'!$B:$B,0),0)=0,"",INDEX('Master Ratings'!$H:$H, MATCH('Ratings by CLO'!$J38,'Master Ratings'!$B:$B,0),0))</f>
        <v>#N/A</v>
      </c>
      <c r="Q38" s="8" t="e">
        <f>+IF(INDEX('Master Ratings'!$O:$O, MATCH('Ratings by CLO'!$J38,'Master Ratings'!$B:$B,0),0)=0,"",INDEX('Master Ratings'!$O:$O, MATCH('Ratings by CLO'!$J38,'Master Ratings'!$B:$B,0),0))</f>
        <v>#N/A</v>
      </c>
      <c r="R38" s="28"/>
      <c r="S38" s="28" t="e">
        <f>+IF(INDEX('Master Ratings'!$L:$L, MATCH('Ratings by CLO'!$J38,'Master Ratings'!$B:$B,0),0)=0,"",INDEX('Master Ratings'!$L:$L, MATCH('Ratings by CLO'!$J38,'Master Ratings'!$B:$B,0),0))</f>
        <v>#N/A</v>
      </c>
      <c r="T38" s="28" t="e">
        <f>+IF(INDEX('Master Ratings'!$M:$M, MATCH('Ratings by CLO'!$J38,'Master Ratings'!$B:$B,0),0)=0,"",INDEX('Master Ratings'!$M:$M, MATCH('Ratings by CLO'!$J38,'Master Ratings'!$B:$B,0),0))</f>
        <v>#N/A</v>
      </c>
      <c r="U38" s="8" t="e">
        <f>+IF(INDEX('Master Ratings'!$P:$P, MATCH('Ratings by CLO'!$J38,'Master Ratings'!$B:$B,0),0)=0,"",INDEX('Master Ratings'!$P:$P, MATCH('Ratings by CLO'!$J38,'Master Ratings'!$B:$B,0),0))</f>
        <v>#N/A</v>
      </c>
      <c r="W38" s="5" t="e">
        <f t="shared" ca="1" si="3"/>
        <v>#N/A</v>
      </c>
      <c r="X38" s="5" t="e">
        <f t="shared" ca="1" si="4"/>
        <v>#N/A</v>
      </c>
      <c r="Z38" s="5" t="str">
        <f t="shared" ca="1" si="5"/>
        <v>X</v>
      </c>
      <c r="AA38" s="5" t="str">
        <f t="shared" ca="1" si="6"/>
        <v/>
      </c>
      <c r="AB38" s="5" t="str">
        <f t="shared" ca="1" si="7"/>
        <v/>
      </c>
      <c r="AC38" s="5" t="str">
        <f t="shared" ca="1" si="8"/>
        <v/>
      </c>
      <c r="AD38" s="5"/>
      <c r="AE38" s="5" t="str">
        <f t="shared" si="21"/>
        <v/>
      </c>
      <c r="AF38" s="32"/>
      <c r="AG38">
        <f t="shared" ca="1" si="16"/>
        <v>2</v>
      </c>
      <c r="AH38">
        <f t="shared" ca="1" si="17"/>
        <v>2</v>
      </c>
      <c r="AI38">
        <f t="shared" ca="1" si="18"/>
        <v>8</v>
      </c>
      <c r="AJ38">
        <f t="shared" ca="1" si="19"/>
        <v>14</v>
      </c>
    </row>
    <row r="39" spans="2:36">
      <c r="B39" s="40">
        <f>+COUNTIFS(SOIs!$D:$D, 'Ratings by CLO'!$J39)</f>
        <v>1</v>
      </c>
      <c r="C39" s="40">
        <f>+COUNTIFS(SOIs!$G:$G, 'Ratings by CLO'!$J39)</f>
        <v>1</v>
      </c>
      <c r="D39" s="40">
        <f>+COUNTIFS(SOIs!$J:$J, 'Ratings by CLO'!$J39)</f>
        <v>0</v>
      </c>
      <c r="E39" s="40">
        <f>+COUNTIFS(SOIs!$M:$M, 'Ratings by CLO'!$J39)</f>
        <v>1</v>
      </c>
      <c r="F39" s="40">
        <f>+COUNTIFS(SOIs!$P:$P, 'Ratings by CLO'!$J39)</f>
        <v>0</v>
      </c>
      <c r="G39" s="40">
        <f>+COUNTIFS(SOIs!$S:$S, 'Ratings by CLO'!$J39)</f>
        <v>1</v>
      </c>
      <c r="H39" s="40">
        <f>+COUNTIFS(SOIs!$V:$V, 'Ratings by CLO'!$J39)</f>
        <v>1</v>
      </c>
      <c r="I39" s="38"/>
      <c r="J39" s="32" t="str">
        <f>+SOIs!X40</f>
        <v>Engine &amp; Transmission Exchange</v>
      </c>
      <c r="K39" s="32"/>
      <c r="L39" s="28" t="e">
        <f>+IF(INDEX('Master Ratings'!$D:$D, MATCH('Ratings by CLO'!$J39,'Master Ratings'!$B:$B,0),0)=0,"",INDEX('Master Ratings'!$D:$D, MATCH('Ratings by CLO'!$J39,'Master Ratings'!$B:$B,0),0))</f>
        <v>#N/A</v>
      </c>
      <c r="M39" s="28" t="e">
        <f>+IF(INDEX('Master Ratings'!$E:$E, MATCH('Ratings by CLO'!$J39,'Master Ratings'!$B:$B,0),0)=0,"",INDEX('Master Ratings'!$E:$E, MATCH('Ratings by CLO'!$J39,'Master Ratings'!$B:$B,0),0))</f>
        <v>#N/A</v>
      </c>
      <c r="N39" s="28"/>
      <c r="O39" s="28" t="e">
        <f>+IF(INDEX('Master Ratings'!$G:$G, MATCH('Ratings by CLO'!$J39,'Master Ratings'!$B:$B,0),0)=0,"",INDEX('Master Ratings'!$G:$G, MATCH('Ratings by CLO'!$J39,'Master Ratings'!$B:$B,0),0))</f>
        <v>#N/A</v>
      </c>
      <c r="P39" s="28" t="e">
        <f>+IF(INDEX('Master Ratings'!$H:$H, MATCH('Ratings by CLO'!$J39,'Master Ratings'!$B:$B,0),0)=0,"",INDEX('Master Ratings'!$H:$H, MATCH('Ratings by CLO'!$J39,'Master Ratings'!$B:$B,0),0))</f>
        <v>#N/A</v>
      </c>
      <c r="Q39" s="8" t="e">
        <f>+IF(INDEX('Master Ratings'!$O:$O, MATCH('Ratings by CLO'!$J39,'Master Ratings'!$B:$B,0),0)=0,"",INDEX('Master Ratings'!$O:$O, MATCH('Ratings by CLO'!$J39,'Master Ratings'!$B:$B,0),0))</f>
        <v>#N/A</v>
      </c>
      <c r="R39" s="28"/>
      <c r="S39" s="28" t="e">
        <f>+IF(INDEX('Master Ratings'!$L:$L, MATCH('Ratings by CLO'!$J39,'Master Ratings'!$B:$B,0),0)=0,"",INDEX('Master Ratings'!$L:$L, MATCH('Ratings by CLO'!$J39,'Master Ratings'!$B:$B,0),0))</f>
        <v>#N/A</v>
      </c>
      <c r="T39" s="28" t="e">
        <f>+IF(INDEX('Master Ratings'!$M:$M, MATCH('Ratings by CLO'!$J39,'Master Ratings'!$B:$B,0),0)=0,"",INDEX('Master Ratings'!$M:$M, MATCH('Ratings by CLO'!$J39,'Master Ratings'!$B:$B,0),0))</f>
        <v>#N/A</v>
      </c>
      <c r="U39" s="8" t="e">
        <f>+IF(INDEX('Master Ratings'!$P:$P, MATCH('Ratings by CLO'!$J39,'Master Ratings'!$B:$B,0),0)=0,"",INDEX('Master Ratings'!$P:$P, MATCH('Ratings by CLO'!$J39,'Master Ratings'!$B:$B,0),0))</f>
        <v>#N/A</v>
      </c>
      <c r="W39" s="5" t="e">
        <f t="shared" ca="1" si="3"/>
        <v>#N/A</v>
      </c>
      <c r="X39" s="5" t="e">
        <f t="shared" ca="1" si="4"/>
        <v>#N/A</v>
      </c>
      <c r="Z39" s="5" t="str">
        <f t="shared" ca="1" si="5"/>
        <v>X</v>
      </c>
      <c r="AA39" s="5" t="str">
        <f t="shared" ca="1" si="6"/>
        <v/>
      </c>
      <c r="AB39" s="5" t="str">
        <f t="shared" ca="1" si="7"/>
        <v/>
      </c>
      <c r="AC39" s="5" t="str">
        <f t="shared" ca="1" si="8"/>
        <v/>
      </c>
      <c r="AD39" s="5"/>
      <c r="AE39" s="5" t="str">
        <f t="shared" si="21"/>
        <v/>
      </c>
      <c r="AF39" s="32"/>
      <c r="AG39">
        <f t="shared" ca="1" si="16"/>
        <v>3</v>
      </c>
      <c r="AH39">
        <f t="shared" ca="1" si="17"/>
        <v>2</v>
      </c>
      <c r="AI39">
        <f t="shared" ca="1" si="18"/>
        <v>8</v>
      </c>
      <c r="AJ39">
        <f t="shared" ca="1" si="19"/>
        <v>14</v>
      </c>
    </row>
    <row r="40" spans="2:36">
      <c r="B40" s="40">
        <f>+COUNTIFS(SOIs!$D:$D, 'Ratings by CLO'!$J40)</f>
        <v>0</v>
      </c>
      <c r="C40" s="40">
        <f>+COUNTIFS(SOIs!$G:$G, 'Ratings by CLO'!$J40)</f>
        <v>0</v>
      </c>
      <c r="D40" s="40">
        <f>+COUNTIFS(SOIs!$J:$J, 'Ratings by CLO'!$J40)</f>
        <v>0</v>
      </c>
      <c r="E40" s="40">
        <f>+COUNTIFS(SOIs!$M:$M, 'Ratings by CLO'!$J40)</f>
        <v>0</v>
      </c>
      <c r="F40" s="40">
        <f>+COUNTIFS(SOIs!$P:$P, 'Ratings by CLO'!$J40)</f>
        <v>1</v>
      </c>
      <c r="G40" s="40">
        <f>+COUNTIFS(SOIs!$S:$S, 'Ratings by CLO'!$J40)</f>
        <v>1</v>
      </c>
      <c r="H40" s="40">
        <f>+COUNTIFS(SOIs!$V:$V, 'Ratings by CLO'!$J40)</f>
        <v>1</v>
      </c>
      <c r="I40" s="38"/>
      <c r="J40" s="32" t="str">
        <f>+SOIs!X41</f>
        <v>Epiq</v>
      </c>
      <c r="K40" s="32"/>
      <c r="L40" s="28" t="str">
        <f>+IF(INDEX('Master Ratings'!$D:$D, MATCH('Ratings by CLO'!$J40,'Master Ratings'!$B:$B,0),0)=0,"",INDEX('Master Ratings'!$D:$D, MATCH('Ratings by CLO'!$J40,'Master Ratings'!$B:$B,0),0))</f>
        <v/>
      </c>
      <c r="M40" s="28" t="str">
        <f>+IF(INDEX('Master Ratings'!$E:$E, MATCH('Ratings by CLO'!$J40,'Master Ratings'!$B:$B,0),0)=0,"",INDEX('Master Ratings'!$E:$E, MATCH('Ratings by CLO'!$J40,'Master Ratings'!$B:$B,0),0))</f>
        <v/>
      </c>
      <c r="N40" s="28"/>
      <c r="O40" s="28" t="str">
        <f>+IF(INDEX('Master Ratings'!$G:$G, MATCH('Ratings by CLO'!$J40,'Master Ratings'!$B:$B,0),0)=0,"",INDEX('Master Ratings'!$G:$G, MATCH('Ratings by CLO'!$J40,'Master Ratings'!$B:$B,0),0))</f>
        <v>B-*</v>
      </c>
      <c r="P40" s="28" t="str">
        <f>+IF(INDEX('Master Ratings'!$H:$H, MATCH('Ratings by CLO'!$J40,'Master Ratings'!$B:$B,0),0)=0,"",INDEX('Master Ratings'!$H:$H, MATCH('Ratings by CLO'!$J40,'Master Ratings'!$B:$B,0),0))</f>
        <v>Credit Estimate</v>
      </c>
      <c r="Q40" s="8">
        <f>+IF(INDEX('Master Ratings'!$O:$O, MATCH('Ratings by CLO'!$J40,'Master Ratings'!$B:$B,0),0)=0,"",INDEX('Master Ratings'!$O:$O, MATCH('Ratings by CLO'!$J40,'Master Ratings'!$B:$B,0),0))</f>
        <v>45657</v>
      </c>
      <c r="R40" s="28"/>
      <c r="S40" s="28" t="str">
        <f>+IF(INDEX('Master Ratings'!$L:$L, MATCH('Ratings by CLO'!$J40,'Master Ratings'!$B:$B,0),0)=0,"",INDEX('Master Ratings'!$L:$L, MATCH('Ratings by CLO'!$J40,'Master Ratings'!$B:$B,0),0))</f>
        <v/>
      </c>
      <c r="T40" s="28" t="str">
        <f>+IF(INDEX('Master Ratings'!$M:$M, MATCH('Ratings by CLO'!$J40,'Master Ratings'!$B:$B,0),0)=0,"",INDEX('Master Ratings'!$M:$M, MATCH('Ratings by CLO'!$J40,'Master Ratings'!$B:$B,0),0))</f>
        <v/>
      </c>
      <c r="U40" s="8" t="str">
        <f>+IF(INDEX('Master Ratings'!$P:$P, MATCH('Ratings by CLO'!$J40,'Master Ratings'!$B:$B,0),0)=0,"",INDEX('Master Ratings'!$P:$P, MATCH('Ratings by CLO'!$J40,'Master Ratings'!$B:$B,0),0))</f>
        <v/>
      </c>
      <c r="W40" s="5">
        <f t="shared" ca="1" si="3"/>
        <v>58</v>
      </c>
      <c r="X40" s="5" t="str">
        <f t="shared" ca="1" si="4"/>
        <v/>
      </c>
      <c r="Z40" s="5" t="str">
        <f t="shared" ca="1" si="5"/>
        <v/>
      </c>
      <c r="AA40" s="5" t="str">
        <f t="shared" ca="1" si="6"/>
        <v/>
      </c>
      <c r="AB40" s="5" t="str">
        <f t="shared" ca="1" si="7"/>
        <v/>
      </c>
      <c r="AC40" s="5" t="str">
        <f t="shared" ca="1" si="8"/>
        <v/>
      </c>
      <c r="AD40" s="5"/>
      <c r="AE40" s="5" t="str">
        <f t="shared" si="21"/>
        <v/>
      </c>
      <c r="AF40" s="32"/>
      <c r="AG40">
        <f t="shared" ca="1" si="16"/>
        <v>3</v>
      </c>
      <c r="AH40">
        <f t="shared" ca="1" si="17"/>
        <v>2</v>
      </c>
      <c r="AI40">
        <f t="shared" ca="1" si="18"/>
        <v>8</v>
      </c>
      <c r="AJ40">
        <f t="shared" ca="1" si="19"/>
        <v>14</v>
      </c>
    </row>
    <row r="41" spans="2:36">
      <c r="B41" s="40">
        <f>+COUNTIFS(SOIs!$D:$D, 'Ratings by CLO'!$J41)</f>
        <v>2</v>
      </c>
      <c r="C41" s="40">
        <f>+COUNTIFS(SOIs!$G:$G, 'Ratings by CLO'!$J41)</f>
        <v>1</v>
      </c>
      <c r="D41" s="40">
        <f>+COUNTIFS(SOIs!$J:$J, 'Ratings by CLO'!$J41)</f>
        <v>1</v>
      </c>
      <c r="E41" s="40">
        <f>+COUNTIFS(SOIs!$M:$M, 'Ratings by CLO'!$J41)</f>
        <v>1</v>
      </c>
      <c r="F41" s="40">
        <f>+COUNTIFS(SOIs!$P:$P, 'Ratings by CLO'!$J41)</f>
        <v>1</v>
      </c>
      <c r="G41" s="40">
        <f>+COUNTIFS(SOIs!$S:$S, 'Ratings by CLO'!$J41)</f>
        <v>1</v>
      </c>
      <c r="H41" s="40">
        <f>+COUNTIFS(SOIs!$V:$V, 'Ratings by CLO'!$J41)</f>
        <v>1</v>
      </c>
      <c r="I41" s="38"/>
      <c r="J41" s="32" t="str">
        <f>+SOIs!X42</f>
        <v>Exigo</v>
      </c>
      <c r="K41" s="32"/>
      <c r="L41" s="28" t="str">
        <f>+IF(INDEX('Master Ratings'!$D:$D, MATCH('Ratings by CLO'!$J41,'Master Ratings'!$B:$B,0),0)=0,"",INDEX('Master Ratings'!$D:$D, MATCH('Ratings by CLO'!$J41,'Master Ratings'!$B:$B,0),0))</f>
        <v/>
      </c>
      <c r="M41" s="28" t="str">
        <f>+IF(INDEX('Master Ratings'!$E:$E, MATCH('Ratings by CLO'!$J41,'Master Ratings'!$B:$B,0),0)=0,"",INDEX('Master Ratings'!$E:$E, MATCH('Ratings by CLO'!$J41,'Master Ratings'!$B:$B,0),0))</f>
        <v/>
      </c>
      <c r="N41" s="28"/>
      <c r="O41" s="28" t="str">
        <f>+IF(INDEX('Master Ratings'!$G:$G, MATCH('Ratings by CLO'!$J41,'Master Ratings'!$B:$B,0),0)=0,"",INDEX('Master Ratings'!$G:$G, MATCH('Ratings by CLO'!$J41,'Master Ratings'!$B:$B,0),0))</f>
        <v>B-*</v>
      </c>
      <c r="P41" s="28" t="str">
        <f>+IF(INDEX('Master Ratings'!$H:$H, MATCH('Ratings by CLO'!$J41,'Master Ratings'!$B:$B,0),0)=0,"",INDEX('Master Ratings'!$H:$H, MATCH('Ratings by CLO'!$J41,'Master Ratings'!$B:$B,0),0))</f>
        <v>Credit Estimate</v>
      </c>
      <c r="Q41" s="8">
        <f>+IF(INDEX('Master Ratings'!$O:$O, MATCH('Ratings by CLO'!$J41,'Master Ratings'!$B:$B,0),0)=0,"",INDEX('Master Ratings'!$O:$O, MATCH('Ratings by CLO'!$J41,'Master Ratings'!$B:$B,0),0))</f>
        <v>45513</v>
      </c>
      <c r="R41" s="28"/>
      <c r="S41" s="28" t="str">
        <f>+IF(INDEX('Master Ratings'!$L:$L, MATCH('Ratings by CLO'!$J41,'Master Ratings'!$B:$B,0),0)=0,"",INDEX('Master Ratings'!$L:$L, MATCH('Ratings by CLO'!$J41,'Master Ratings'!$B:$B,0),0))</f>
        <v/>
      </c>
      <c r="T41" s="28" t="str">
        <f>+IF(INDEX('Master Ratings'!$M:$M, MATCH('Ratings by CLO'!$J41,'Master Ratings'!$B:$B,0),0)=0,"",INDEX('Master Ratings'!$M:$M, MATCH('Ratings by CLO'!$J41,'Master Ratings'!$B:$B,0),0))</f>
        <v/>
      </c>
      <c r="U41" s="8" t="str">
        <f>+IF(INDEX('Master Ratings'!$P:$P, MATCH('Ratings by CLO'!$J41,'Master Ratings'!$B:$B,0),0)=0,"",INDEX('Master Ratings'!$P:$P, MATCH('Ratings by CLO'!$J41,'Master Ratings'!$B:$B,0),0))</f>
        <v/>
      </c>
      <c r="W41" s="5">
        <f t="shared" ca="1" si="3"/>
        <v>-86</v>
      </c>
      <c r="X41" s="5" t="str">
        <f t="shared" ca="1" si="4"/>
        <v/>
      </c>
      <c r="Z41" s="5" t="str">
        <f t="shared" ca="1" si="5"/>
        <v/>
      </c>
      <c r="AA41" s="5" t="str">
        <f t="shared" ca="1" si="6"/>
        <v/>
      </c>
      <c r="AB41" s="5" t="str">
        <f t="shared" ca="1" si="7"/>
        <v>X</v>
      </c>
      <c r="AC41" s="5" t="str">
        <f t="shared" ca="1" si="8"/>
        <v/>
      </c>
      <c r="AD41" s="5"/>
      <c r="AE41" s="5" t="str">
        <f t="shared" si="21"/>
        <v/>
      </c>
      <c r="AF41" s="32"/>
      <c r="AG41">
        <f t="shared" ca="1" si="16"/>
        <v>3</v>
      </c>
      <c r="AH41">
        <f t="shared" ca="1" si="17"/>
        <v>2</v>
      </c>
      <c r="AI41">
        <f t="shared" ca="1" si="18"/>
        <v>9</v>
      </c>
      <c r="AJ41">
        <f t="shared" ca="1" si="19"/>
        <v>14</v>
      </c>
    </row>
    <row r="42" spans="2:36">
      <c r="B42" s="40">
        <f>+COUNTIFS(SOIs!$D:$D, 'Ratings by CLO'!$J42)</f>
        <v>2</v>
      </c>
      <c r="C42" s="40">
        <f>+COUNTIFS(SOIs!$G:$G, 'Ratings by CLO'!$J42)</f>
        <v>1</v>
      </c>
      <c r="D42" s="40">
        <f>+COUNTIFS(SOIs!$J:$J, 'Ratings by CLO'!$J42)</f>
        <v>1</v>
      </c>
      <c r="E42" s="40">
        <f>+COUNTIFS(SOIs!$M:$M, 'Ratings by CLO'!$J42)</f>
        <v>0</v>
      </c>
      <c r="F42" s="40">
        <f>+COUNTIFS(SOIs!$P:$P, 'Ratings by CLO'!$J42)</f>
        <v>1</v>
      </c>
      <c r="G42" s="40">
        <f>+COUNTIFS(SOIs!$S:$S, 'Ratings by CLO'!$J42)</f>
        <v>1</v>
      </c>
      <c r="H42" s="40">
        <f>+COUNTIFS(SOIs!$V:$V, 'Ratings by CLO'!$J42)</f>
        <v>1</v>
      </c>
      <c r="I42" s="38"/>
      <c r="J42" s="32" t="str">
        <f>+SOIs!X43</f>
        <v>Fairbanks Morse Defense</v>
      </c>
      <c r="K42" s="32"/>
      <c r="L42" s="28" t="str">
        <f>+IF(INDEX('Master Ratings'!$D:$D, MATCH('Ratings by CLO'!$J42,'Master Ratings'!$B:$B,0),0)=0,"",INDEX('Master Ratings'!$D:$D, MATCH('Ratings by CLO'!$J42,'Master Ratings'!$B:$B,0),0))</f>
        <v>B3</v>
      </c>
      <c r="M42" s="28" t="str">
        <f>+IF(INDEX('Master Ratings'!$E:$E, MATCH('Ratings by CLO'!$J42,'Master Ratings'!$B:$B,0),0)=0,"",INDEX('Master Ratings'!$E:$E, MATCH('Ratings by CLO'!$J42,'Master Ratings'!$B:$B,0),0))</f>
        <v>Rating (Public)</v>
      </c>
      <c r="N42" s="28"/>
      <c r="O42" s="28" t="str">
        <f>+IF(INDEX('Master Ratings'!$G:$G, MATCH('Ratings by CLO'!$J42,'Master Ratings'!$B:$B,0),0)=0,"",INDEX('Master Ratings'!$G:$G, MATCH('Ratings by CLO'!$J42,'Master Ratings'!$B:$B,0),0))</f>
        <v>B</v>
      </c>
      <c r="P42" s="28" t="str">
        <f>+IF(INDEX('Master Ratings'!$H:$H, MATCH('Ratings by CLO'!$J42,'Master Ratings'!$B:$B,0),0)=0,"",INDEX('Master Ratings'!$H:$H, MATCH('Ratings by CLO'!$J42,'Master Ratings'!$B:$B,0),0))</f>
        <v>Rating (Public)</v>
      </c>
      <c r="Q42" s="8" t="str">
        <f>+IF(INDEX('Master Ratings'!$O:$O, MATCH('Ratings by CLO'!$J42,'Master Ratings'!$B:$B,0),0)=0,"",INDEX('Master Ratings'!$O:$O, MATCH('Ratings by CLO'!$J42,'Master Ratings'!$B:$B,0),0))</f>
        <v/>
      </c>
      <c r="R42" s="28"/>
      <c r="S42" s="28" t="str">
        <f>+IF(INDEX('Master Ratings'!$L:$L, MATCH('Ratings by CLO'!$J42,'Master Ratings'!$B:$B,0),0)=0,"",INDEX('Master Ratings'!$L:$L, MATCH('Ratings by CLO'!$J42,'Master Ratings'!$B:$B,0),0))</f>
        <v/>
      </c>
      <c r="T42" s="28" t="str">
        <f>+IF(INDEX('Master Ratings'!$M:$M, MATCH('Ratings by CLO'!$J42,'Master Ratings'!$B:$B,0),0)=0,"",INDEX('Master Ratings'!$M:$M, MATCH('Ratings by CLO'!$J42,'Master Ratings'!$B:$B,0),0))</f>
        <v/>
      </c>
      <c r="U42" s="8" t="str">
        <f>+IF(INDEX('Master Ratings'!$P:$P, MATCH('Ratings by CLO'!$J42,'Master Ratings'!$B:$B,0),0)=0,"",INDEX('Master Ratings'!$P:$P, MATCH('Ratings by CLO'!$J42,'Master Ratings'!$B:$B,0),0))</f>
        <v/>
      </c>
      <c r="W42" s="5" t="str">
        <f t="shared" ca="1" si="3"/>
        <v/>
      </c>
      <c r="X42" s="5" t="str">
        <f t="shared" ca="1" si="4"/>
        <v/>
      </c>
      <c r="Z42" s="5" t="str">
        <f t="shared" ca="1" si="5"/>
        <v/>
      </c>
      <c r="AA42" s="5" t="str">
        <f t="shared" ca="1" si="6"/>
        <v/>
      </c>
      <c r="AB42" s="5" t="str">
        <f t="shared" ca="1" si="7"/>
        <v/>
      </c>
      <c r="AC42" s="5" t="str">
        <f t="shared" ca="1" si="8"/>
        <v/>
      </c>
      <c r="AD42" s="5"/>
      <c r="AE42" s="5" t="str">
        <f t="shared" si="21"/>
        <v/>
      </c>
      <c r="AF42" s="32"/>
      <c r="AG42">
        <f t="shared" ca="1" si="16"/>
        <v>3</v>
      </c>
      <c r="AH42">
        <f t="shared" ca="1" si="17"/>
        <v>2</v>
      </c>
      <c r="AI42">
        <f t="shared" ca="1" si="18"/>
        <v>9</v>
      </c>
      <c r="AJ42">
        <f t="shared" ca="1" si="19"/>
        <v>14</v>
      </c>
    </row>
    <row r="43" spans="2:36">
      <c r="B43" s="40">
        <f>+COUNTIFS(SOIs!$D:$D, 'Ratings by CLO'!$J43)</f>
        <v>0</v>
      </c>
      <c r="C43" s="40">
        <f>+COUNTIFS(SOIs!$G:$G, 'Ratings by CLO'!$J43)</f>
        <v>0</v>
      </c>
      <c r="D43" s="40">
        <f>+COUNTIFS(SOIs!$J:$J, 'Ratings by CLO'!$J43)</f>
        <v>0</v>
      </c>
      <c r="E43" s="40">
        <f>+COUNTIFS(SOIs!$M:$M, 'Ratings by CLO'!$J43)</f>
        <v>0</v>
      </c>
      <c r="F43" s="40">
        <f>+COUNTIFS(SOIs!$P:$P, 'Ratings by CLO'!$J43)</f>
        <v>0</v>
      </c>
      <c r="G43" s="40">
        <f>+COUNTIFS(SOIs!$S:$S, 'Ratings by CLO'!$J43)</f>
        <v>0</v>
      </c>
      <c r="H43" s="40">
        <f>+COUNTIFS(SOIs!$V:$V, 'Ratings by CLO'!$J43)</f>
        <v>1</v>
      </c>
      <c r="I43" s="38"/>
      <c r="J43" s="32" t="str">
        <f>+SOIs!X44</f>
        <v>Five Star</v>
      </c>
      <c r="K43" s="32"/>
      <c r="L43" s="28" t="str">
        <f>+IF(INDEX('Master Ratings'!$D:$D, MATCH('Ratings by CLO'!$J43,'Master Ratings'!$B:$B,0),0)=0,"",INDEX('Master Ratings'!$D:$D, MATCH('Ratings by CLO'!$J43,'Master Ratings'!$B:$B,0),0))</f>
        <v/>
      </c>
      <c r="M43" s="28" t="str">
        <f>+IF(INDEX('Master Ratings'!$E:$E, MATCH('Ratings by CLO'!$J43,'Master Ratings'!$B:$B,0),0)=0,"",INDEX('Master Ratings'!$E:$E, MATCH('Ratings by CLO'!$J43,'Master Ratings'!$B:$B,0),0))</f>
        <v/>
      </c>
      <c r="N43" s="28"/>
      <c r="O43" s="28" t="str">
        <f>+IF(INDEX('Master Ratings'!$G:$G, MATCH('Ratings by CLO'!$J43,'Master Ratings'!$B:$B,0),0)=0,"",INDEX('Master Ratings'!$G:$G, MATCH('Ratings by CLO'!$J43,'Master Ratings'!$B:$B,0),0))</f>
        <v>B-*</v>
      </c>
      <c r="P43" s="28" t="str">
        <f>+IF(INDEX('Master Ratings'!$H:$H, MATCH('Ratings by CLO'!$J43,'Master Ratings'!$B:$B,0),0)=0,"",INDEX('Master Ratings'!$H:$H, MATCH('Ratings by CLO'!$J43,'Master Ratings'!$B:$B,0),0))</f>
        <v>Credit Estimate</v>
      </c>
      <c r="Q43" s="8">
        <f>+IF(INDEX('Master Ratings'!$O:$O, MATCH('Ratings by CLO'!$J43,'Master Ratings'!$B:$B,0),0)=0,"",INDEX('Master Ratings'!$O:$O, MATCH('Ratings by CLO'!$J43,'Master Ratings'!$B:$B,0),0))</f>
        <v>45727</v>
      </c>
      <c r="R43" s="28"/>
      <c r="S43" s="28" t="str">
        <f>+IF(INDEX('Master Ratings'!$L:$L, MATCH('Ratings by CLO'!$J43,'Master Ratings'!$B:$B,0),0)=0,"",INDEX('Master Ratings'!$L:$L, MATCH('Ratings by CLO'!$J43,'Master Ratings'!$B:$B,0),0))</f>
        <v>B*</v>
      </c>
      <c r="T43" s="28" t="str">
        <f>+IF(INDEX('Master Ratings'!$M:$M, MATCH('Ratings by CLO'!$J43,'Master Ratings'!$B:$B,0),0)=0,"",INDEX('Master Ratings'!$M:$M, MATCH('Ratings by CLO'!$J43,'Master Ratings'!$B:$B,0),0))</f>
        <v>Credit Estimate</v>
      </c>
      <c r="U43" s="8">
        <f>+IF(INDEX('Master Ratings'!$P:$P, MATCH('Ratings by CLO'!$J43,'Master Ratings'!$B:$B,0),0)=0,"",INDEX('Master Ratings'!$P:$P, MATCH('Ratings by CLO'!$J43,'Master Ratings'!$B:$B,0),0))</f>
        <v>45355</v>
      </c>
      <c r="W43" s="5">
        <f t="shared" ca="1" si="3"/>
        <v>128</v>
      </c>
      <c r="X43" s="5">
        <f t="shared" ca="1" si="4"/>
        <v>-244</v>
      </c>
      <c r="Z43" s="5" t="str">
        <f t="shared" ca="1" si="5"/>
        <v/>
      </c>
      <c r="AA43" s="5" t="str">
        <f t="shared" ca="1" si="6"/>
        <v/>
      </c>
      <c r="AB43" s="5" t="str">
        <f t="shared" ca="1" si="7"/>
        <v/>
      </c>
      <c r="AC43" s="5" t="str">
        <f t="shared" ca="1" si="8"/>
        <v/>
      </c>
      <c r="AD43" s="5"/>
      <c r="AE43" s="5" t="str">
        <f t="shared" si="21"/>
        <v/>
      </c>
      <c r="AF43" s="32"/>
      <c r="AG43">
        <f t="shared" ca="1" si="16"/>
        <v>3</v>
      </c>
      <c r="AH43">
        <f t="shared" ca="1" si="17"/>
        <v>2</v>
      </c>
      <c r="AI43">
        <f t="shared" ca="1" si="18"/>
        <v>9</v>
      </c>
      <c r="AJ43">
        <f t="shared" ca="1" si="19"/>
        <v>14</v>
      </c>
    </row>
    <row r="44" spans="2:36">
      <c r="B44" s="40">
        <f>+COUNTIFS(SOIs!$D:$D, 'Ratings by CLO'!$J44)</f>
        <v>1</v>
      </c>
      <c r="C44" s="40">
        <f>+COUNTIFS(SOIs!$G:$G, 'Ratings by CLO'!$J44)</f>
        <v>0</v>
      </c>
      <c r="D44" s="40">
        <f>+COUNTIFS(SOIs!$J:$J, 'Ratings by CLO'!$J44)</f>
        <v>1</v>
      </c>
      <c r="E44" s="40">
        <f>+COUNTIFS(SOIs!$M:$M, 'Ratings by CLO'!$J44)</f>
        <v>0</v>
      </c>
      <c r="F44" s="40">
        <f>+COUNTIFS(SOIs!$P:$P, 'Ratings by CLO'!$J44)</f>
        <v>1</v>
      </c>
      <c r="G44" s="40">
        <f>+COUNTIFS(SOIs!$S:$S, 'Ratings by CLO'!$J44)</f>
        <v>0</v>
      </c>
      <c r="H44" s="40">
        <f>+COUNTIFS(SOIs!$V:$V, 'Ratings by CLO'!$J44)</f>
        <v>0</v>
      </c>
      <c r="I44" s="38"/>
      <c r="J44" s="32" t="str">
        <f>+SOIs!X45</f>
        <v>GCOM</v>
      </c>
      <c r="K44" s="32"/>
      <c r="L44" s="28" t="str">
        <f>+IF(INDEX('Master Ratings'!$D:$D, MATCH('Ratings by CLO'!$J44,'Master Ratings'!$B:$B,0),0)=0,"",INDEX('Master Ratings'!$D:$D, MATCH('Ratings by CLO'!$J44,'Master Ratings'!$B:$B,0),0))</f>
        <v/>
      </c>
      <c r="M44" s="28" t="str">
        <f>+IF(INDEX('Master Ratings'!$E:$E, MATCH('Ratings by CLO'!$J44,'Master Ratings'!$B:$B,0),0)=0,"",INDEX('Master Ratings'!$E:$E, MATCH('Ratings by CLO'!$J44,'Master Ratings'!$B:$B,0),0))</f>
        <v/>
      </c>
      <c r="N44" s="28"/>
      <c r="O44" s="28" t="str">
        <f>+IF(INDEX('Master Ratings'!$G:$G, MATCH('Ratings by CLO'!$J44,'Master Ratings'!$B:$B,0),0)=0,"",INDEX('Master Ratings'!$G:$G, MATCH('Ratings by CLO'!$J44,'Master Ratings'!$B:$B,0),0))</f>
        <v>B-*</v>
      </c>
      <c r="P44" s="28" t="str">
        <f>+IF(INDEX('Master Ratings'!$H:$H, MATCH('Ratings by CLO'!$J44,'Master Ratings'!$B:$B,0),0)=0,"",INDEX('Master Ratings'!$H:$H, MATCH('Ratings by CLO'!$J44,'Master Ratings'!$B:$B,0),0))</f>
        <v>Credit Estimate</v>
      </c>
      <c r="Q44" s="8">
        <f>+IF(INDEX('Master Ratings'!$O:$O, MATCH('Ratings by CLO'!$J44,'Master Ratings'!$B:$B,0),0)=0,"",INDEX('Master Ratings'!$O:$O, MATCH('Ratings by CLO'!$J44,'Master Ratings'!$B:$B,0),0))</f>
        <v>45026</v>
      </c>
      <c r="R44" s="28"/>
      <c r="S44" s="28" t="str">
        <f>+IF(INDEX('Master Ratings'!$L:$L, MATCH('Ratings by CLO'!$J44,'Master Ratings'!$B:$B,0),0)=0,"",INDEX('Master Ratings'!$L:$L, MATCH('Ratings by CLO'!$J44,'Master Ratings'!$B:$B,0),0))</f>
        <v>B-*</v>
      </c>
      <c r="T44" s="28" t="str">
        <f>+IF(INDEX('Master Ratings'!$M:$M, MATCH('Ratings by CLO'!$J44,'Master Ratings'!$B:$B,0),0)=0,"",INDEX('Master Ratings'!$M:$M, MATCH('Ratings by CLO'!$J44,'Master Ratings'!$B:$B,0),0))</f>
        <v>Credit Estimate</v>
      </c>
      <c r="U44" s="8">
        <f>+IF(INDEX('Master Ratings'!$P:$P, MATCH('Ratings by CLO'!$J44,'Master Ratings'!$B:$B,0),0)=0,"",INDEX('Master Ratings'!$P:$P, MATCH('Ratings by CLO'!$J44,'Master Ratings'!$B:$B,0),0))</f>
        <v>45107</v>
      </c>
      <c r="W44" s="5">
        <f t="shared" ca="1" si="3"/>
        <v>-573</v>
      </c>
      <c r="X44" s="5">
        <f t="shared" ca="1" si="4"/>
        <v>-492</v>
      </c>
      <c r="Z44" s="5" t="str">
        <f t="shared" ca="1" si="5"/>
        <v/>
      </c>
      <c r="AA44" s="5" t="str">
        <f t="shared" ca="1" si="6"/>
        <v/>
      </c>
      <c r="AB44" s="5" t="str">
        <f t="shared" ca="1" si="7"/>
        <v>X</v>
      </c>
      <c r="AC44" s="5" t="str">
        <f t="shared" ca="1" si="8"/>
        <v>X</v>
      </c>
      <c r="AD44" s="5"/>
      <c r="AE44" s="5" t="str">
        <f t="shared" si="21"/>
        <v/>
      </c>
      <c r="AF44" s="32"/>
      <c r="AG44">
        <f t="shared" ca="1" si="16"/>
        <v>3</v>
      </c>
      <c r="AH44">
        <f t="shared" ca="1" si="17"/>
        <v>2</v>
      </c>
      <c r="AI44">
        <f t="shared" ca="1" si="18"/>
        <v>10</v>
      </c>
      <c r="AJ44">
        <f t="shared" ca="1" si="19"/>
        <v>15</v>
      </c>
    </row>
    <row r="45" spans="2:36">
      <c r="B45" s="40">
        <f>+COUNTIFS(SOIs!$D:$D, 'Ratings by CLO'!$J45)</f>
        <v>4</v>
      </c>
      <c r="C45" s="40">
        <f>+COUNTIFS(SOIs!$G:$G, 'Ratings by CLO'!$J45)</f>
        <v>1</v>
      </c>
      <c r="D45" s="40">
        <f>+COUNTIFS(SOIs!$J:$J, 'Ratings by CLO'!$J45)</f>
        <v>1</v>
      </c>
      <c r="E45" s="40">
        <f>+COUNTIFS(SOIs!$M:$M, 'Ratings by CLO'!$J45)</f>
        <v>1</v>
      </c>
      <c r="F45" s="40">
        <f>+COUNTIFS(SOIs!$P:$P, 'Ratings by CLO'!$J45)</f>
        <v>1</v>
      </c>
      <c r="G45" s="40">
        <f>+COUNTIFS(SOIs!$S:$S, 'Ratings by CLO'!$J45)</f>
        <v>1</v>
      </c>
      <c r="H45" s="40">
        <f>+COUNTIFS(SOIs!$V:$V, 'Ratings by CLO'!$J45)</f>
        <v>0</v>
      </c>
      <c r="I45" s="38"/>
      <c r="J45" s="32" t="str">
        <f>+SOIs!X46</f>
        <v>Gen3 Marketing</v>
      </c>
      <c r="K45" s="32"/>
      <c r="L45" s="28" t="str">
        <f>+IF(INDEX('Master Ratings'!$D:$D, MATCH('Ratings by CLO'!$J45,'Master Ratings'!$B:$B,0),0)=0,"",INDEX('Master Ratings'!$D:$D, MATCH('Ratings by CLO'!$J45,'Master Ratings'!$B:$B,0),0))</f>
        <v/>
      </c>
      <c r="M45" s="28" t="str">
        <f>+IF(INDEX('Master Ratings'!$E:$E, MATCH('Ratings by CLO'!$J45,'Master Ratings'!$B:$B,0),0)=0,"",INDEX('Master Ratings'!$E:$E, MATCH('Ratings by CLO'!$J45,'Master Ratings'!$B:$B,0),0))</f>
        <v/>
      </c>
      <c r="N45" s="28"/>
      <c r="O45" s="28" t="str">
        <f>+IF(INDEX('Master Ratings'!$G:$G, MATCH('Ratings by CLO'!$J45,'Master Ratings'!$B:$B,0),0)=0,"",INDEX('Master Ratings'!$G:$G, MATCH('Ratings by CLO'!$J45,'Master Ratings'!$B:$B,0),0))</f>
        <v>B-*</v>
      </c>
      <c r="P45" s="28" t="str">
        <f>+IF(INDEX('Master Ratings'!$H:$H, MATCH('Ratings by CLO'!$J45,'Master Ratings'!$B:$B,0),0)=0,"",INDEX('Master Ratings'!$H:$H, MATCH('Ratings by CLO'!$J45,'Master Ratings'!$B:$B,0),0))</f>
        <v>Credit Estimate</v>
      </c>
      <c r="Q45" s="8">
        <f>+IF(INDEX('Master Ratings'!$O:$O, MATCH('Ratings by CLO'!$J45,'Master Ratings'!$B:$B,0),0)=0,"",INDEX('Master Ratings'!$O:$O, MATCH('Ratings by CLO'!$J45,'Master Ratings'!$B:$B,0),0))</f>
        <v>45667</v>
      </c>
      <c r="R45" s="28"/>
      <c r="S45" s="28" t="str">
        <f>+IF(INDEX('Master Ratings'!$L:$L, MATCH('Ratings by CLO'!$J45,'Master Ratings'!$B:$B,0),0)=0,"",INDEX('Master Ratings'!$L:$L, MATCH('Ratings by CLO'!$J45,'Master Ratings'!$B:$B,0),0))</f>
        <v>B-*</v>
      </c>
      <c r="T45" s="28" t="str">
        <f>+IF(INDEX('Master Ratings'!$M:$M, MATCH('Ratings by CLO'!$J45,'Master Ratings'!$B:$B,0),0)=0,"",INDEX('Master Ratings'!$M:$M, MATCH('Ratings by CLO'!$J45,'Master Ratings'!$B:$B,0),0))</f>
        <v>Credit Estimate</v>
      </c>
      <c r="U45" s="8" t="str">
        <f>+IF(INDEX('Master Ratings'!$P:$P, MATCH('Ratings by CLO'!$J45,'Master Ratings'!$B:$B,0),0)=0,"",INDEX('Master Ratings'!$P:$P, MATCH('Ratings by CLO'!$J45,'Master Ratings'!$B:$B,0),0))</f>
        <v>1.19.2024</v>
      </c>
      <c r="W45" s="5">
        <f t="shared" ca="1" si="3"/>
        <v>68</v>
      </c>
      <c r="X45" s="5" t="e">
        <f t="shared" ca="1" si="4"/>
        <v>#VALUE!</v>
      </c>
      <c r="Z45" s="5" t="str">
        <f t="shared" ca="1" si="5"/>
        <v/>
      </c>
      <c r="AA45" s="5" t="str">
        <f t="shared" ca="1" si="6"/>
        <v>X</v>
      </c>
      <c r="AB45" s="5" t="str">
        <f t="shared" ca="1" si="7"/>
        <v/>
      </c>
      <c r="AC45" s="5" t="str">
        <f t="shared" ca="1" si="8"/>
        <v/>
      </c>
      <c r="AD45" s="5"/>
      <c r="AE45" s="5" t="str">
        <f t="shared" si="21"/>
        <v/>
      </c>
      <c r="AF45" s="32"/>
      <c r="AG45">
        <f t="shared" ca="1" si="16"/>
        <v>3</v>
      </c>
      <c r="AH45">
        <f t="shared" ca="1" si="17"/>
        <v>3</v>
      </c>
      <c r="AI45">
        <f t="shared" ca="1" si="18"/>
        <v>10</v>
      </c>
      <c r="AJ45">
        <f t="shared" ca="1" si="19"/>
        <v>15</v>
      </c>
    </row>
    <row r="46" spans="2:36">
      <c r="B46" s="40">
        <f>+COUNTIFS(SOIs!$D:$D, 'Ratings by CLO'!$J46)</f>
        <v>4</v>
      </c>
      <c r="C46" s="40">
        <f>+COUNTIFS(SOIs!$G:$G, 'Ratings by CLO'!$J46)</f>
        <v>1</v>
      </c>
      <c r="D46" s="40">
        <f>+COUNTIFS(SOIs!$J:$J, 'Ratings by CLO'!$J46)</f>
        <v>1</v>
      </c>
      <c r="E46" s="40">
        <f>+COUNTIFS(SOIs!$M:$M, 'Ratings by CLO'!$J46)</f>
        <v>1</v>
      </c>
      <c r="F46" s="40">
        <f>+COUNTIFS(SOIs!$P:$P, 'Ratings by CLO'!$J46)</f>
        <v>0</v>
      </c>
      <c r="G46" s="40">
        <f>+COUNTIFS(SOIs!$S:$S, 'Ratings by CLO'!$J46)</f>
        <v>0</v>
      </c>
      <c r="H46" s="40">
        <f>+COUNTIFS(SOIs!$V:$V, 'Ratings by CLO'!$J46)</f>
        <v>1</v>
      </c>
      <c r="I46" s="38"/>
      <c r="J46" s="32" t="str">
        <f>+SOIs!X47</f>
        <v>Global</v>
      </c>
      <c r="K46" s="32"/>
      <c r="L46" s="28" t="str">
        <f>+IF(INDEX('Master Ratings'!$D:$D, MATCH('Ratings by CLO'!$J46,'Master Ratings'!$B:$B,0),0)=0,"",INDEX('Master Ratings'!$D:$D, MATCH('Ratings by CLO'!$J46,'Master Ratings'!$B:$B,0),0))</f>
        <v/>
      </c>
      <c r="M46" s="28" t="str">
        <f>+IF(INDEX('Master Ratings'!$E:$E, MATCH('Ratings by CLO'!$J46,'Master Ratings'!$B:$B,0),0)=0,"",INDEX('Master Ratings'!$E:$E, MATCH('Ratings by CLO'!$J46,'Master Ratings'!$B:$B,0),0))</f>
        <v/>
      </c>
      <c r="N46" s="28"/>
      <c r="O46" s="28" t="str">
        <f>+IF(INDEX('Master Ratings'!$G:$G, MATCH('Ratings by CLO'!$J46,'Master Ratings'!$B:$B,0),0)=0,"",INDEX('Master Ratings'!$G:$G, MATCH('Ratings by CLO'!$J46,'Master Ratings'!$B:$B,0),0))</f>
        <v>B-*</v>
      </c>
      <c r="P46" s="28" t="str">
        <f>+IF(INDEX('Master Ratings'!$H:$H, MATCH('Ratings by CLO'!$J46,'Master Ratings'!$B:$B,0),0)=0,"",INDEX('Master Ratings'!$H:$H, MATCH('Ratings by CLO'!$J46,'Master Ratings'!$B:$B,0),0))</f>
        <v>Credit Estimate</v>
      </c>
      <c r="Q46" s="8">
        <f>+IF(INDEX('Master Ratings'!$O:$O, MATCH('Ratings by CLO'!$J46,'Master Ratings'!$B:$B,0),0)=0,"",INDEX('Master Ratings'!$O:$O, MATCH('Ratings by CLO'!$J46,'Master Ratings'!$B:$B,0),0))</f>
        <v>45743</v>
      </c>
      <c r="R46" s="28"/>
      <c r="S46" s="28" t="str">
        <f>+IF(INDEX('Master Ratings'!$L:$L, MATCH('Ratings by CLO'!$J46,'Master Ratings'!$B:$B,0),0)=0,"",INDEX('Master Ratings'!$L:$L, MATCH('Ratings by CLO'!$J46,'Master Ratings'!$B:$B,0),0))</f>
        <v>B*</v>
      </c>
      <c r="T46" s="28" t="str">
        <f>+IF(INDEX('Master Ratings'!$M:$M, MATCH('Ratings by CLO'!$J46,'Master Ratings'!$B:$B,0),0)=0,"",INDEX('Master Ratings'!$M:$M, MATCH('Ratings by CLO'!$J46,'Master Ratings'!$B:$B,0),0))</f>
        <v>Credit Estimate</v>
      </c>
      <c r="U46" s="8">
        <f>+IF(INDEX('Master Ratings'!$P:$P, MATCH('Ratings by CLO'!$J46,'Master Ratings'!$B:$B,0),0)=0,"",INDEX('Master Ratings'!$P:$P, MATCH('Ratings by CLO'!$J46,'Master Ratings'!$B:$B,0),0))</f>
        <v>45398</v>
      </c>
      <c r="W46" s="5">
        <f t="shared" ca="1" si="3"/>
        <v>144</v>
      </c>
      <c r="X46" s="5">
        <f t="shared" ca="1" si="4"/>
        <v>-201</v>
      </c>
      <c r="Z46" s="5" t="str">
        <f t="shared" ca="1" si="5"/>
        <v/>
      </c>
      <c r="AA46" s="5" t="str">
        <f t="shared" ca="1" si="6"/>
        <v/>
      </c>
      <c r="AB46" s="5" t="str">
        <f t="shared" ca="1" si="7"/>
        <v/>
      </c>
      <c r="AC46" s="5" t="str">
        <f t="shared" ca="1" si="8"/>
        <v>X</v>
      </c>
      <c r="AD46" s="5"/>
      <c r="AE46" s="5" t="str">
        <f t="shared" si="21"/>
        <v/>
      </c>
      <c r="AF46" s="32"/>
      <c r="AG46">
        <f t="shared" ca="1" si="16"/>
        <v>3</v>
      </c>
      <c r="AH46">
        <f t="shared" ca="1" si="17"/>
        <v>3</v>
      </c>
      <c r="AI46">
        <f t="shared" ca="1" si="18"/>
        <v>10</v>
      </c>
      <c r="AJ46">
        <f t="shared" ca="1" si="19"/>
        <v>16</v>
      </c>
    </row>
    <row r="47" spans="2:36">
      <c r="B47" s="40">
        <f>+COUNTIFS(SOIs!$D:$D, 'Ratings by CLO'!$J47)</f>
        <v>3</v>
      </c>
      <c r="C47" s="40">
        <f>+COUNTIFS(SOIs!$G:$G, 'Ratings by CLO'!$J47)</f>
        <v>1</v>
      </c>
      <c r="D47" s="40">
        <f>+COUNTIFS(SOIs!$J:$J, 'Ratings by CLO'!$J47)</f>
        <v>0</v>
      </c>
      <c r="E47" s="40">
        <f>+COUNTIFS(SOIs!$M:$M, 'Ratings by CLO'!$J47)</f>
        <v>1</v>
      </c>
      <c r="F47" s="40">
        <f>+COUNTIFS(SOIs!$P:$P, 'Ratings by CLO'!$J47)</f>
        <v>0</v>
      </c>
      <c r="G47" s="40">
        <f>+COUNTIFS(SOIs!$S:$S, 'Ratings by CLO'!$J47)</f>
        <v>0</v>
      </c>
      <c r="H47" s="40">
        <f>+COUNTIFS(SOIs!$V:$V, 'Ratings by CLO'!$J47)</f>
        <v>1</v>
      </c>
      <c r="I47" s="38"/>
      <c r="J47" s="32" t="str">
        <f>+SOIs!X48</f>
        <v>Hancock</v>
      </c>
      <c r="K47" s="32"/>
      <c r="L47" s="28" t="str">
        <f>+IF(INDEX('Master Ratings'!$D:$D, MATCH('Ratings by CLO'!$J47,'Master Ratings'!$B:$B,0),0)=0,"",INDEX('Master Ratings'!$D:$D, MATCH('Ratings by CLO'!$J47,'Master Ratings'!$B:$B,0),0))</f>
        <v/>
      </c>
      <c r="M47" s="28" t="str">
        <f>+IF(INDEX('Master Ratings'!$E:$E, MATCH('Ratings by CLO'!$J47,'Master Ratings'!$B:$B,0),0)=0,"",INDEX('Master Ratings'!$E:$E, MATCH('Ratings by CLO'!$J47,'Master Ratings'!$B:$B,0),0))</f>
        <v/>
      </c>
      <c r="N47" s="28"/>
      <c r="O47" s="28" t="str">
        <f>+IF(INDEX('Master Ratings'!$G:$G, MATCH('Ratings by CLO'!$J47,'Master Ratings'!$B:$B,0),0)=0,"",INDEX('Master Ratings'!$G:$G, MATCH('Ratings by CLO'!$J47,'Master Ratings'!$B:$B,0),0))</f>
        <v>B-*</v>
      </c>
      <c r="P47" s="28" t="str">
        <f>+IF(INDEX('Master Ratings'!$H:$H, MATCH('Ratings by CLO'!$J47,'Master Ratings'!$B:$B,0),0)=0,"",INDEX('Master Ratings'!$H:$H, MATCH('Ratings by CLO'!$J47,'Master Ratings'!$B:$B,0),0))</f>
        <v>Credit Estimate</v>
      </c>
      <c r="Q47" s="8">
        <f>+IF(INDEX('Master Ratings'!$O:$O, MATCH('Ratings by CLO'!$J47,'Master Ratings'!$B:$B,0),0)=0,"",INDEX('Master Ratings'!$O:$O, MATCH('Ratings by CLO'!$J47,'Master Ratings'!$B:$B,0),0))</f>
        <v>45778</v>
      </c>
      <c r="R47" s="28"/>
      <c r="S47" s="28" t="str">
        <f>+IF(INDEX('Master Ratings'!$L:$L, MATCH('Ratings by CLO'!$J47,'Master Ratings'!$B:$B,0),0)=0,"",INDEX('Master Ratings'!$L:$L, MATCH('Ratings by CLO'!$J47,'Master Ratings'!$B:$B,0),0))</f>
        <v>CCC+*</v>
      </c>
      <c r="T47" s="28" t="str">
        <f>+IF(INDEX('Master Ratings'!$M:$M, MATCH('Ratings by CLO'!$J47,'Master Ratings'!$B:$B,0),0)=0,"",INDEX('Master Ratings'!$M:$M, MATCH('Ratings by CLO'!$J47,'Master Ratings'!$B:$B,0),0))</f>
        <v>Credit Estimate</v>
      </c>
      <c r="U47" s="8">
        <f>+IF(INDEX('Master Ratings'!$P:$P, MATCH('Ratings by CLO'!$J47,'Master Ratings'!$B:$B,0),0)=0,"",INDEX('Master Ratings'!$P:$P, MATCH('Ratings by CLO'!$J47,'Master Ratings'!$B:$B,0),0))</f>
        <v>45324</v>
      </c>
      <c r="W47" s="5">
        <f t="shared" ca="1" si="3"/>
        <v>179</v>
      </c>
      <c r="X47" s="5">
        <f t="shared" ca="1" si="4"/>
        <v>-275</v>
      </c>
      <c r="Z47" s="5" t="str">
        <f t="shared" ca="1" si="5"/>
        <v/>
      </c>
      <c r="AA47" s="5" t="str">
        <f t="shared" ca="1" si="6"/>
        <v/>
      </c>
      <c r="AB47" s="5" t="str">
        <f t="shared" ca="1" si="7"/>
        <v/>
      </c>
      <c r="AC47" s="5" t="str">
        <f t="shared" ca="1" si="8"/>
        <v>X</v>
      </c>
      <c r="AD47" s="5"/>
      <c r="AE47" s="5" t="str">
        <f t="shared" si="21"/>
        <v/>
      </c>
      <c r="AF47" s="32"/>
      <c r="AG47">
        <f t="shared" ca="1" si="16"/>
        <v>3</v>
      </c>
      <c r="AH47">
        <f t="shared" ca="1" si="17"/>
        <v>3</v>
      </c>
      <c r="AI47">
        <f t="shared" ca="1" si="18"/>
        <v>10</v>
      </c>
      <c r="AJ47">
        <f t="shared" ca="1" si="19"/>
        <v>17</v>
      </c>
    </row>
    <row r="48" spans="2:36">
      <c r="B48" s="40">
        <f>+COUNTIFS(SOIs!$D:$D, 'Ratings by CLO'!$J48)</f>
        <v>3</v>
      </c>
      <c r="C48" s="40">
        <f>+COUNTIFS(SOIs!$G:$G, 'Ratings by CLO'!$J48)</f>
        <v>0</v>
      </c>
      <c r="D48" s="40">
        <f>+COUNTIFS(SOIs!$J:$J, 'Ratings by CLO'!$J48)</f>
        <v>1</v>
      </c>
      <c r="E48" s="40">
        <f>+COUNTIFS(SOIs!$M:$M, 'Ratings by CLO'!$J48)</f>
        <v>1</v>
      </c>
      <c r="F48" s="40">
        <f>+COUNTIFS(SOIs!$P:$P, 'Ratings by CLO'!$J48)</f>
        <v>1</v>
      </c>
      <c r="G48" s="40">
        <f>+COUNTIFS(SOIs!$S:$S, 'Ratings by CLO'!$J48)</f>
        <v>1</v>
      </c>
      <c r="H48" s="40">
        <f>+COUNTIFS(SOIs!$V:$V, 'Ratings by CLO'!$J48)</f>
        <v>0</v>
      </c>
      <c r="I48" s="38"/>
      <c r="J48" s="32" t="str">
        <f>+SOIs!X49</f>
        <v>Hanley Wood</v>
      </c>
      <c r="K48" s="32"/>
      <c r="L48" s="28" t="str">
        <f>+IF(INDEX('Master Ratings'!$D:$D, MATCH('Ratings by CLO'!$J48,'Master Ratings'!$B:$B,0),0)=0,"",INDEX('Master Ratings'!$D:$D, MATCH('Ratings by CLO'!$J48,'Master Ratings'!$B:$B,0),0))</f>
        <v/>
      </c>
      <c r="M48" s="28" t="str">
        <f>+IF(INDEX('Master Ratings'!$E:$E, MATCH('Ratings by CLO'!$J48,'Master Ratings'!$B:$B,0),0)=0,"",INDEX('Master Ratings'!$E:$E, MATCH('Ratings by CLO'!$J48,'Master Ratings'!$B:$B,0),0))</f>
        <v/>
      </c>
      <c r="N48" s="28"/>
      <c r="O48" s="28" t="str">
        <f>+IF(INDEX('Master Ratings'!$G:$G, MATCH('Ratings by CLO'!$J48,'Master Ratings'!$B:$B,0),0)=0,"",INDEX('Master Ratings'!$G:$G, MATCH('Ratings by CLO'!$J48,'Master Ratings'!$B:$B,0),0))</f>
        <v>B-*</v>
      </c>
      <c r="P48" s="28" t="str">
        <f>+IF(INDEX('Master Ratings'!$H:$H, MATCH('Ratings by CLO'!$J48,'Master Ratings'!$B:$B,0),0)=0,"",INDEX('Master Ratings'!$H:$H, MATCH('Ratings by CLO'!$J48,'Master Ratings'!$B:$B,0),0))</f>
        <v>Credit Estimate</v>
      </c>
      <c r="Q48" s="8">
        <f>+IF(INDEX('Master Ratings'!$O:$O, MATCH('Ratings by CLO'!$J48,'Master Ratings'!$B:$B,0),0)=0,"",INDEX('Master Ratings'!$O:$O, MATCH('Ratings by CLO'!$J48,'Master Ratings'!$B:$B,0),0))</f>
        <v>45680</v>
      </c>
      <c r="R48" s="28"/>
      <c r="S48" s="28" t="str">
        <f>+IF(INDEX('Master Ratings'!$L:$L, MATCH('Ratings by CLO'!$J48,'Master Ratings'!$B:$B,0),0)=0,"",INDEX('Master Ratings'!$L:$L, MATCH('Ratings by CLO'!$J48,'Master Ratings'!$B:$B,0),0))</f>
        <v>B*</v>
      </c>
      <c r="T48" s="28" t="str">
        <f>+IF(INDEX('Master Ratings'!$M:$M, MATCH('Ratings by CLO'!$J48,'Master Ratings'!$B:$B,0),0)=0,"",INDEX('Master Ratings'!$M:$M, MATCH('Ratings by CLO'!$J48,'Master Ratings'!$B:$B,0),0))</f>
        <v>Credit Estimate</v>
      </c>
      <c r="U48" s="8">
        <f>+IF(INDEX('Master Ratings'!$P:$P, MATCH('Ratings by CLO'!$J48,'Master Ratings'!$B:$B,0),0)=0,"",INDEX('Master Ratings'!$P:$P, MATCH('Ratings by CLO'!$J48,'Master Ratings'!$B:$B,0),0))</f>
        <v>45418</v>
      </c>
      <c r="W48" s="5">
        <f t="shared" ca="1" si="3"/>
        <v>81</v>
      </c>
      <c r="X48" s="5">
        <f t="shared" ca="1" si="4"/>
        <v>-181</v>
      </c>
      <c r="Z48" s="5" t="str">
        <f t="shared" ca="1" si="5"/>
        <v/>
      </c>
      <c r="AA48" s="5" t="str">
        <f t="shared" ca="1" si="6"/>
        <v/>
      </c>
      <c r="AB48" s="5" t="str">
        <f t="shared" ca="1" si="7"/>
        <v/>
      </c>
      <c r="AC48" s="5" t="str">
        <f t="shared" ca="1" si="8"/>
        <v>X</v>
      </c>
      <c r="AD48" s="5"/>
      <c r="AE48" s="5" t="str">
        <f t="shared" si="21"/>
        <v/>
      </c>
      <c r="AF48" s="32"/>
      <c r="AG48">
        <f t="shared" ca="1" si="16"/>
        <v>3</v>
      </c>
      <c r="AH48">
        <f t="shared" ca="1" si="17"/>
        <v>3</v>
      </c>
      <c r="AI48">
        <f t="shared" ca="1" si="18"/>
        <v>10</v>
      </c>
      <c r="AJ48">
        <f t="shared" ca="1" si="19"/>
        <v>18</v>
      </c>
    </row>
    <row r="49" spans="2:36">
      <c r="B49" s="40">
        <f>+COUNTIFS(SOIs!$D:$D, 'Ratings by CLO'!$J49)</f>
        <v>0</v>
      </c>
      <c r="C49" s="40">
        <f>+COUNTIFS(SOIs!$G:$G, 'Ratings by CLO'!$J49)</f>
        <v>0</v>
      </c>
      <c r="D49" s="40">
        <f>+COUNTIFS(SOIs!$J:$J, 'Ratings by CLO'!$J49)</f>
        <v>0</v>
      </c>
      <c r="E49" s="40">
        <f>+COUNTIFS(SOIs!$M:$M, 'Ratings by CLO'!$J49)</f>
        <v>0</v>
      </c>
      <c r="F49" s="40">
        <f>+COUNTIFS(SOIs!$P:$P, 'Ratings by CLO'!$J49)</f>
        <v>1</v>
      </c>
      <c r="G49" s="40">
        <f>+COUNTIFS(SOIs!$S:$S, 'Ratings by CLO'!$J49)</f>
        <v>0</v>
      </c>
      <c r="H49" s="40">
        <f>+COUNTIFS(SOIs!$V:$V, 'Ratings by CLO'!$J49)</f>
        <v>0</v>
      </c>
      <c r="I49" s="38"/>
      <c r="J49" s="32" t="str">
        <f>+SOIs!X50</f>
        <v>Hightower</v>
      </c>
      <c r="K49" s="32"/>
      <c r="L49" s="28" t="e">
        <f>+IF(INDEX('Master Ratings'!$D:$D, MATCH('Ratings by CLO'!$J49,'Master Ratings'!$B:$B,0),0)=0,"",INDEX('Master Ratings'!$D:$D, MATCH('Ratings by CLO'!$J49,'Master Ratings'!$B:$B,0),0))</f>
        <v>#N/A</v>
      </c>
      <c r="M49" s="28" t="e">
        <f>+IF(INDEX('Master Ratings'!$E:$E, MATCH('Ratings by CLO'!$J49,'Master Ratings'!$B:$B,0),0)=0,"",INDEX('Master Ratings'!$E:$E, MATCH('Ratings by CLO'!$J49,'Master Ratings'!$B:$B,0),0))</f>
        <v>#N/A</v>
      </c>
      <c r="N49" s="28"/>
      <c r="O49" s="28" t="e">
        <f>+IF(INDEX('Master Ratings'!$G:$G, MATCH('Ratings by CLO'!$J49,'Master Ratings'!$B:$B,0),0)=0,"",INDEX('Master Ratings'!$G:$G, MATCH('Ratings by CLO'!$J49,'Master Ratings'!$B:$B,0),0))</f>
        <v>#N/A</v>
      </c>
      <c r="P49" s="28" t="e">
        <f>+IF(INDEX('Master Ratings'!$H:$H, MATCH('Ratings by CLO'!$J49,'Master Ratings'!$B:$B,0),0)=0,"",INDEX('Master Ratings'!$H:$H, MATCH('Ratings by CLO'!$J49,'Master Ratings'!$B:$B,0),0))</f>
        <v>#N/A</v>
      </c>
      <c r="Q49" s="8" t="e">
        <f>+IF(INDEX('Master Ratings'!$O:$O, MATCH('Ratings by CLO'!$J49,'Master Ratings'!$B:$B,0),0)=0,"",INDEX('Master Ratings'!$O:$O, MATCH('Ratings by CLO'!$J49,'Master Ratings'!$B:$B,0),0))</f>
        <v>#N/A</v>
      </c>
      <c r="R49" s="28"/>
      <c r="S49" s="28" t="e">
        <f>+IF(INDEX('Master Ratings'!$L:$L, MATCH('Ratings by CLO'!$J49,'Master Ratings'!$B:$B,0),0)=0,"",INDEX('Master Ratings'!$L:$L, MATCH('Ratings by CLO'!$J49,'Master Ratings'!$B:$B,0),0))</f>
        <v>#N/A</v>
      </c>
      <c r="T49" s="28" t="e">
        <f>+IF(INDEX('Master Ratings'!$M:$M, MATCH('Ratings by CLO'!$J49,'Master Ratings'!$B:$B,0),0)=0,"",INDEX('Master Ratings'!$M:$M, MATCH('Ratings by CLO'!$J49,'Master Ratings'!$B:$B,0),0))</f>
        <v>#N/A</v>
      </c>
      <c r="U49" s="8" t="e">
        <f>+IF(INDEX('Master Ratings'!$P:$P, MATCH('Ratings by CLO'!$J49,'Master Ratings'!$B:$B,0),0)=0,"",INDEX('Master Ratings'!$P:$P, MATCH('Ratings by CLO'!$J49,'Master Ratings'!$B:$B,0),0))</f>
        <v>#N/A</v>
      </c>
      <c r="W49" s="5" t="e">
        <f t="shared" ca="1" si="3"/>
        <v>#N/A</v>
      </c>
      <c r="X49" s="5" t="e">
        <f t="shared" ca="1" si="4"/>
        <v>#N/A</v>
      </c>
      <c r="Z49" s="5" t="str">
        <f t="shared" ca="1" si="5"/>
        <v>X</v>
      </c>
      <c r="AA49" s="5" t="str">
        <f t="shared" ca="1" si="6"/>
        <v/>
      </c>
      <c r="AB49" s="5" t="str">
        <f t="shared" ca="1" si="7"/>
        <v/>
      </c>
      <c r="AC49" s="5" t="str">
        <f t="shared" ca="1" si="8"/>
        <v/>
      </c>
      <c r="AD49" s="5"/>
      <c r="AE49" s="5" t="str">
        <f t="shared" si="21"/>
        <v/>
      </c>
      <c r="AF49" s="32"/>
      <c r="AG49">
        <f t="shared" ca="1" si="16"/>
        <v>4</v>
      </c>
      <c r="AH49">
        <f t="shared" ca="1" si="17"/>
        <v>3</v>
      </c>
      <c r="AI49">
        <f t="shared" ca="1" si="18"/>
        <v>10</v>
      </c>
      <c r="AJ49">
        <f t="shared" ca="1" si="19"/>
        <v>18</v>
      </c>
    </row>
    <row r="50" spans="2:36">
      <c r="B50" s="40">
        <f>+COUNTIFS(SOIs!$D:$D, 'Ratings by CLO'!$J50)</f>
        <v>1</v>
      </c>
      <c r="C50" s="40">
        <f>+COUNTIFS(SOIs!$G:$G, 'Ratings by CLO'!$J50)</f>
        <v>0</v>
      </c>
      <c r="D50" s="40">
        <f>+COUNTIFS(SOIs!$J:$J, 'Ratings by CLO'!$J50)</f>
        <v>1</v>
      </c>
      <c r="E50" s="40">
        <f>+COUNTIFS(SOIs!$M:$M, 'Ratings by CLO'!$J50)</f>
        <v>0</v>
      </c>
      <c r="F50" s="40">
        <f>+COUNTIFS(SOIs!$P:$P, 'Ratings by CLO'!$J50)</f>
        <v>1</v>
      </c>
      <c r="G50" s="40">
        <f>+COUNTIFS(SOIs!$S:$S, 'Ratings by CLO'!$J50)</f>
        <v>0</v>
      </c>
      <c r="H50" s="40">
        <f>+COUNTIFS(SOIs!$V:$V, 'Ratings by CLO'!$J50)</f>
        <v>0</v>
      </c>
      <c r="I50" s="38"/>
      <c r="J50" s="32" t="str">
        <f>+SOIs!X51</f>
        <v>IDC Infusion Services</v>
      </c>
      <c r="K50" s="32"/>
      <c r="L50" s="28" t="str">
        <f>+IF(INDEX('Master Ratings'!$D:$D, MATCH('Ratings by CLO'!$J50,'Master Ratings'!$B:$B,0),0)=0,"",INDEX('Master Ratings'!$D:$D, MATCH('Ratings by CLO'!$J50,'Master Ratings'!$B:$B,0),0))</f>
        <v/>
      </c>
      <c r="M50" s="28" t="str">
        <f>+IF(INDEX('Master Ratings'!$E:$E, MATCH('Ratings by CLO'!$J50,'Master Ratings'!$B:$B,0),0)=0,"",INDEX('Master Ratings'!$E:$E, MATCH('Ratings by CLO'!$J50,'Master Ratings'!$B:$B,0),0))</f>
        <v/>
      </c>
      <c r="N50" s="28"/>
      <c r="O50" s="28" t="str">
        <f>+IF(INDEX('Master Ratings'!$G:$G, MATCH('Ratings by CLO'!$J50,'Master Ratings'!$B:$B,0),0)=0,"",INDEX('Master Ratings'!$G:$G, MATCH('Ratings by CLO'!$J50,'Master Ratings'!$B:$B,0),0))</f>
        <v>B-*</v>
      </c>
      <c r="P50" s="28" t="str">
        <f>+IF(INDEX('Master Ratings'!$H:$H, MATCH('Ratings by CLO'!$J50,'Master Ratings'!$B:$B,0),0)=0,"",INDEX('Master Ratings'!$H:$H, MATCH('Ratings by CLO'!$J50,'Master Ratings'!$B:$B,0),0))</f>
        <v>Credit Estimate</v>
      </c>
      <c r="Q50" s="8">
        <f>+IF(INDEX('Master Ratings'!$O:$O, MATCH('Ratings by CLO'!$J50,'Master Ratings'!$B:$B,0),0)=0,"",INDEX('Master Ratings'!$O:$O, MATCH('Ratings by CLO'!$J50,'Master Ratings'!$B:$B,0),0))</f>
        <v>45064</v>
      </c>
      <c r="R50" s="28"/>
      <c r="S50" s="28" t="str">
        <f>+IF(INDEX('Master Ratings'!$L:$L, MATCH('Ratings by CLO'!$J50,'Master Ratings'!$B:$B,0),0)=0,"",INDEX('Master Ratings'!$L:$L, MATCH('Ratings by CLO'!$J50,'Master Ratings'!$B:$B,0),0))</f>
        <v>B-*</v>
      </c>
      <c r="T50" s="28" t="str">
        <f>+IF(INDEX('Master Ratings'!$M:$M, MATCH('Ratings by CLO'!$J50,'Master Ratings'!$B:$B,0),0)=0,"",INDEX('Master Ratings'!$M:$M, MATCH('Ratings by CLO'!$J50,'Master Ratings'!$B:$B,0),0))</f>
        <v>Credit Estimate</v>
      </c>
      <c r="U50" s="8">
        <f>+IF(INDEX('Master Ratings'!$P:$P, MATCH('Ratings by CLO'!$J50,'Master Ratings'!$B:$B,0),0)=0,"",INDEX('Master Ratings'!$P:$P, MATCH('Ratings by CLO'!$J50,'Master Ratings'!$B:$B,0),0))</f>
        <v>45040</v>
      </c>
      <c r="W50" s="5">
        <f t="shared" ca="1" si="3"/>
        <v>-535</v>
      </c>
      <c r="X50" s="5">
        <f t="shared" ca="1" si="4"/>
        <v>-559</v>
      </c>
      <c r="Z50" s="5" t="str">
        <f t="shared" ca="1" si="5"/>
        <v/>
      </c>
      <c r="AA50" s="5" t="str">
        <f t="shared" ca="1" si="6"/>
        <v/>
      </c>
      <c r="AB50" s="5" t="str">
        <f t="shared" ca="1" si="7"/>
        <v>X</v>
      </c>
      <c r="AC50" s="5" t="str">
        <f t="shared" ca="1" si="8"/>
        <v>X</v>
      </c>
      <c r="AD50" s="5"/>
      <c r="AE50" s="5" t="str">
        <f t="shared" si="21"/>
        <v/>
      </c>
      <c r="AF50" s="32"/>
      <c r="AG50">
        <f t="shared" ca="1" si="16"/>
        <v>4</v>
      </c>
      <c r="AH50">
        <f t="shared" ca="1" si="17"/>
        <v>3</v>
      </c>
      <c r="AI50">
        <f t="shared" ca="1" si="18"/>
        <v>11</v>
      </c>
      <c r="AJ50">
        <f t="shared" ca="1" si="19"/>
        <v>19</v>
      </c>
    </row>
    <row r="51" spans="2:36">
      <c r="B51" s="40">
        <f>+COUNTIFS(SOIs!$D:$D, 'Ratings by CLO'!$J51)</f>
        <v>0</v>
      </c>
      <c r="C51" s="40">
        <f>+COUNTIFS(SOIs!$G:$G, 'Ratings by CLO'!$J51)</f>
        <v>0</v>
      </c>
      <c r="D51" s="40">
        <f>+COUNTIFS(SOIs!$J:$J, 'Ratings by CLO'!$J51)</f>
        <v>0</v>
      </c>
      <c r="E51" s="40">
        <f>+COUNTIFS(SOIs!$M:$M, 'Ratings by CLO'!$J51)</f>
        <v>0</v>
      </c>
      <c r="F51" s="40">
        <f>+COUNTIFS(SOIs!$P:$P, 'Ratings by CLO'!$J51)</f>
        <v>1</v>
      </c>
      <c r="G51" s="40">
        <f>+COUNTIFS(SOIs!$S:$S, 'Ratings by CLO'!$J51)</f>
        <v>0</v>
      </c>
      <c r="H51" s="40">
        <f>+COUNTIFS(SOIs!$V:$V, 'Ratings by CLO'!$J51)</f>
        <v>0</v>
      </c>
      <c r="I51" s="38"/>
      <c r="J51" s="32" t="str">
        <f>+SOIs!X52</f>
        <v>Idera</v>
      </c>
      <c r="K51" s="32"/>
      <c r="L51" s="28" t="str">
        <f>+IF(INDEX('Master Ratings'!$D:$D, MATCH('Ratings by CLO'!$J51,'Master Ratings'!$B:$B,0),0)=0,"",INDEX('Master Ratings'!$D:$D, MATCH('Ratings by CLO'!$J51,'Master Ratings'!$B:$B,0),0))</f>
        <v/>
      </c>
      <c r="M51" s="28" t="str">
        <f>+IF(INDEX('Master Ratings'!$E:$E, MATCH('Ratings by CLO'!$J51,'Master Ratings'!$B:$B,0),0)=0,"",INDEX('Master Ratings'!$E:$E, MATCH('Ratings by CLO'!$J51,'Master Ratings'!$B:$B,0),0))</f>
        <v/>
      </c>
      <c r="N51" s="28"/>
      <c r="O51" s="28" t="str">
        <f>+IF(INDEX('Master Ratings'!$G:$G, MATCH('Ratings by CLO'!$J51,'Master Ratings'!$B:$B,0),0)=0,"",INDEX('Master Ratings'!$G:$G, MATCH('Ratings by CLO'!$J51,'Master Ratings'!$B:$B,0),0))</f>
        <v>B-</v>
      </c>
      <c r="P51" s="28" t="str">
        <f>+IF(INDEX('Master Ratings'!$H:$H, MATCH('Ratings by CLO'!$J51,'Master Ratings'!$B:$B,0),0)=0,"",INDEX('Master Ratings'!$H:$H, MATCH('Ratings by CLO'!$J51,'Master Ratings'!$B:$B,0),0))</f>
        <v>Rating (Public)</v>
      </c>
      <c r="Q51" s="8" t="str">
        <f>+IF(INDEX('Master Ratings'!$O:$O, MATCH('Ratings by CLO'!$J51,'Master Ratings'!$B:$B,0),0)=0,"",INDEX('Master Ratings'!$O:$O, MATCH('Ratings by CLO'!$J51,'Master Ratings'!$B:$B,0),0))</f>
        <v/>
      </c>
      <c r="R51" s="28"/>
      <c r="S51" s="28" t="str">
        <f>+IF(INDEX('Master Ratings'!$L:$L, MATCH('Ratings by CLO'!$J51,'Master Ratings'!$B:$B,0),0)=0,"",INDEX('Master Ratings'!$L:$L, MATCH('Ratings by CLO'!$J51,'Master Ratings'!$B:$B,0),0))</f>
        <v/>
      </c>
      <c r="T51" s="28" t="str">
        <f>+IF(INDEX('Master Ratings'!$M:$M, MATCH('Ratings by CLO'!$J51,'Master Ratings'!$B:$B,0),0)=0,"",INDEX('Master Ratings'!$M:$M, MATCH('Ratings by CLO'!$J51,'Master Ratings'!$B:$B,0),0))</f>
        <v/>
      </c>
      <c r="U51" s="8" t="str">
        <f>+IF(INDEX('Master Ratings'!$P:$P, MATCH('Ratings by CLO'!$J51,'Master Ratings'!$B:$B,0),0)=0,"",INDEX('Master Ratings'!$P:$P, MATCH('Ratings by CLO'!$J51,'Master Ratings'!$B:$B,0),0))</f>
        <v/>
      </c>
      <c r="W51" s="5" t="str">
        <f t="shared" ca="1" si="3"/>
        <v/>
      </c>
      <c r="X51" s="5" t="str">
        <f t="shared" ca="1" si="4"/>
        <v/>
      </c>
      <c r="Z51" s="5" t="str">
        <f t="shared" ca="1" si="5"/>
        <v/>
      </c>
      <c r="AA51" s="5" t="str">
        <f t="shared" ca="1" si="6"/>
        <v/>
      </c>
      <c r="AB51" s="5" t="str">
        <f t="shared" ca="1" si="7"/>
        <v/>
      </c>
      <c r="AC51" s="5" t="str">
        <f t="shared" ca="1" si="8"/>
        <v/>
      </c>
      <c r="AD51" s="5"/>
      <c r="AE51" s="5" t="str">
        <f t="shared" si="21"/>
        <v/>
      </c>
      <c r="AF51" s="32"/>
      <c r="AG51">
        <f t="shared" ca="1" si="16"/>
        <v>4</v>
      </c>
      <c r="AH51">
        <f t="shared" ca="1" si="17"/>
        <v>3</v>
      </c>
      <c r="AI51">
        <f t="shared" ca="1" si="18"/>
        <v>11</v>
      </c>
      <c r="AJ51">
        <f t="shared" ca="1" si="19"/>
        <v>19</v>
      </c>
    </row>
    <row r="52" spans="2:36">
      <c r="B52" s="40">
        <f>+COUNTIFS(SOIs!$D:$D, 'Ratings by CLO'!$J52)</f>
        <v>1</v>
      </c>
      <c r="C52" s="40">
        <f>+COUNTIFS(SOIs!$G:$G, 'Ratings by CLO'!$J52)</f>
        <v>1</v>
      </c>
      <c r="D52" s="40">
        <f>+COUNTIFS(SOIs!$J:$J, 'Ratings by CLO'!$J52)</f>
        <v>0</v>
      </c>
      <c r="E52" s="40">
        <f>+COUNTIFS(SOIs!$M:$M, 'Ratings by CLO'!$J52)</f>
        <v>1</v>
      </c>
      <c r="F52" s="40">
        <f>+COUNTIFS(SOIs!$P:$P, 'Ratings by CLO'!$J52)</f>
        <v>0</v>
      </c>
      <c r="G52" s="40">
        <f>+COUNTIFS(SOIs!$S:$S, 'Ratings by CLO'!$J52)</f>
        <v>1</v>
      </c>
      <c r="H52" s="40">
        <f>+COUNTIFS(SOIs!$V:$V, 'Ratings by CLO'!$J52)</f>
        <v>1</v>
      </c>
      <c r="I52" s="38"/>
      <c r="J52" s="32" t="str">
        <f>+SOIs!X53</f>
        <v>ImagineAcquisitionCo</v>
      </c>
      <c r="K52" s="32"/>
      <c r="L52" s="28" t="e">
        <f>+IF(INDEX('Master Ratings'!$D:$D, MATCH('Ratings by CLO'!$J52,'Master Ratings'!$B:$B,0),0)=0,"",INDEX('Master Ratings'!$D:$D, MATCH('Ratings by CLO'!$J52,'Master Ratings'!$B:$B,0),0))</f>
        <v>#N/A</v>
      </c>
      <c r="M52" s="28" t="e">
        <f>+IF(INDEX('Master Ratings'!$E:$E, MATCH('Ratings by CLO'!$J52,'Master Ratings'!$B:$B,0),0)=0,"",INDEX('Master Ratings'!$E:$E, MATCH('Ratings by CLO'!$J52,'Master Ratings'!$B:$B,0),0))</f>
        <v>#N/A</v>
      </c>
      <c r="N52" s="28"/>
      <c r="O52" s="28" t="e">
        <f>+IF(INDEX('Master Ratings'!$G:$G, MATCH('Ratings by CLO'!$J52,'Master Ratings'!$B:$B,0),0)=0,"",INDEX('Master Ratings'!$G:$G, MATCH('Ratings by CLO'!$J52,'Master Ratings'!$B:$B,0),0))</f>
        <v>#N/A</v>
      </c>
      <c r="P52" s="28" t="e">
        <f>+IF(INDEX('Master Ratings'!$H:$H, MATCH('Ratings by CLO'!$J52,'Master Ratings'!$B:$B,0),0)=0,"",INDEX('Master Ratings'!$H:$H, MATCH('Ratings by CLO'!$J52,'Master Ratings'!$B:$B,0),0))</f>
        <v>#N/A</v>
      </c>
      <c r="Q52" s="8" t="e">
        <f>+IF(INDEX('Master Ratings'!$O:$O, MATCH('Ratings by CLO'!$J52,'Master Ratings'!$B:$B,0),0)=0,"",INDEX('Master Ratings'!$O:$O, MATCH('Ratings by CLO'!$J52,'Master Ratings'!$B:$B,0),0))</f>
        <v>#N/A</v>
      </c>
      <c r="R52" s="28"/>
      <c r="S52" s="28" t="e">
        <f>+IF(INDEX('Master Ratings'!$L:$L, MATCH('Ratings by CLO'!$J52,'Master Ratings'!$B:$B,0),0)=0,"",INDEX('Master Ratings'!$L:$L, MATCH('Ratings by CLO'!$J52,'Master Ratings'!$B:$B,0),0))</f>
        <v>#N/A</v>
      </c>
      <c r="T52" s="28" t="e">
        <f>+IF(INDEX('Master Ratings'!$M:$M, MATCH('Ratings by CLO'!$J52,'Master Ratings'!$B:$B,0),0)=0,"",INDEX('Master Ratings'!$M:$M, MATCH('Ratings by CLO'!$J52,'Master Ratings'!$B:$B,0),0))</f>
        <v>#N/A</v>
      </c>
      <c r="U52" s="8" t="e">
        <f>+IF(INDEX('Master Ratings'!$P:$P, MATCH('Ratings by CLO'!$J52,'Master Ratings'!$B:$B,0),0)=0,"",INDEX('Master Ratings'!$P:$P, MATCH('Ratings by CLO'!$J52,'Master Ratings'!$B:$B,0),0))</f>
        <v>#N/A</v>
      </c>
      <c r="W52" s="5" t="e">
        <f t="shared" ca="1" si="3"/>
        <v>#N/A</v>
      </c>
      <c r="X52" s="5" t="e">
        <f t="shared" ca="1" si="4"/>
        <v>#N/A</v>
      </c>
      <c r="Z52" s="5" t="str">
        <f t="shared" ca="1" si="5"/>
        <v>X</v>
      </c>
      <c r="AA52" s="5" t="str">
        <f t="shared" ca="1" si="6"/>
        <v/>
      </c>
      <c r="AB52" s="5" t="str">
        <f t="shared" ca="1" si="7"/>
        <v/>
      </c>
      <c r="AC52" s="5" t="str">
        <f t="shared" ca="1" si="8"/>
        <v/>
      </c>
      <c r="AD52" s="5"/>
      <c r="AE52" s="5" t="str">
        <f t="shared" si="21"/>
        <v/>
      </c>
      <c r="AF52" s="32"/>
      <c r="AG52">
        <f t="shared" ca="1" si="16"/>
        <v>5</v>
      </c>
      <c r="AH52">
        <f t="shared" ca="1" si="17"/>
        <v>3</v>
      </c>
      <c r="AI52">
        <f t="shared" ca="1" si="18"/>
        <v>11</v>
      </c>
      <c r="AJ52">
        <f t="shared" ca="1" si="19"/>
        <v>19</v>
      </c>
    </row>
    <row r="53" spans="2:36">
      <c r="B53" s="40">
        <f>+COUNTIFS(SOIs!$D:$D, 'Ratings by CLO'!$J53)</f>
        <v>0</v>
      </c>
      <c r="C53" s="40">
        <f>+COUNTIFS(SOIs!$G:$G, 'Ratings by CLO'!$J53)</f>
        <v>0</v>
      </c>
      <c r="D53" s="40">
        <f>+COUNTIFS(SOIs!$J:$J, 'Ratings by CLO'!$J53)</f>
        <v>0</v>
      </c>
      <c r="E53" s="40">
        <f>+COUNTIFS(SOIs!$M:$M, 'Ratings by CLO'!$J53)</f>
        <v>0</v>
      </c>
      <c r="F53" s="40">
        <f>+COUNTIFS(SOIs!$P:$P, 'Ratings by CLO'!$J53)</f>
        <v>1</v>
      </c>
      <c r="G53" s="40">
        <f>+COUNTIFS(SOIs!$S:$S, 'Ratings by CLO'!$J53)</f>
        <v>1</v>
      </c>
      <c r="H53" s="40">
        <f>+COUNTIFS(SOIs!$V:$V, 'Ratings by CLO'!$J53)</f>
        <v>1</v>
      </c>
      <c r="I53" s="38"/>
      <c r="J53" s="32" t="str">
        <f>+SOIs!X54</f>
        <v>Infinity Home Services</v>
      </c>
      <c r="K53" s="32"/>
      <c r="L53" s="28" t="str">
        <f>+IF(INDEX('Master Ratings'!$D:$D, MATCH('Ratings by CLO'!$J53,'Master Ratings'!$B:$B,0),0)=0,"",INDEX('Master Ratings'!$D:$D, MATCH('Ratings by CLO'!$J53,'Master Ratings'!$B:$B,0),0))</f>
        <v/>
      </c>
      <c r="M53" s="28" t="str">
        <f>+IF(INDEX('Master Ratings'!$E:$E, MATCH('Ratings by CLO'!$J53,'Master Ratings'!$B:$B,0),0)=0,"",INDEX('Master Ratings'!$E:$E, MATCH('Ratings by CLO'!$J53,'Master Ratings'!$B:$B,0),0))</f>
        <v/>
      </c>
      <c r="N53" s="28"/>
      <c r="O53" s="28" t="str">
        <f>+IF(INDEX('Master Ratings'!$G:$G, MATCH('Ratings by CLO'!$J53,'Master Ratings'!$B:$B,0),0)=0,"",INDEX('Master Ratings'!$G:$G, MATCH('Ratings by CLO'!$J53,'Master Ratings'!$B:$B,0),0))</f>
        <v>B-*</v>
      </c>
      <c r="P53" s="28" t="str">
        <f>+IF(INDEX('Master Ratings'!$H:$H, MATCH('Ratings by CLO'!$J53,'Master Ratings'!$B:$B,0),0)=0,"",INDEX('Master Ratings'!$H:$H, MATCH('Ratings by CLO'!$J53,'Master Ratings'!$B:$B,0),0))</f>
        <v>Credit Estimate</v>
      </c>
      <c r="Q53" s="8">
        <f>+IF(INDEX('Master Ratings'!$O:$O, MATCH('Ratings by CLO'!$J53,'Master Ratings'!$B:$B,0),0)=0,"",INDEX('Master Ratings'!$O:$O, MATCH('Ratings by CLO'!$J53,'Master Ratings'!$B:$B,0),0))</f>
        <v>45712</v>
      </c>
      <c r="R53" s="28"/>
      <c r="S53" s="28" t="str">
        <f>+IF(INDEX('Master Ratings'!$L:$L, MATCH('Ratings by CLO'!$J53,'Master Ratings'!$B:$B,0),0)=0,"",INDEX('Master Ratings'!$L:$L, MATCH('Ratings by CLO'!$J53,'Master Ratings'!$B:$B,0),0))</f>
        <v>B*</v>
      </c>
      <c r="T53" s="28" t="str">
        <f>+IF(INDEX('Master Ratings'!$M:$M, MATCH('Ratings by CLO'!$J53,'Master Ratings'!$B:$B,0),0)=0,"",INDEX('Master Ratings'!$M:$M, MATCH('Ratings by CLO'!$J53,'Master Ratings'!$B:$B,0),0))</f>
        <v>Credit Estimate</v>
      </c>
      <c r="U53" s="8" t="str">
        <f>+IF(INDEX('Master Ratings'!$P:$P, MATCH('Ratings by CLO'!$J53,'Master Ratings'!$B:$B,0),0)=0,"",INDEX('Master Ratings'!$P:$P, MATCH('Ratings by CLO'!$J53,'Master Ratings'!$B:$B,0),0))</f>
        <v>1.26.2024</v>
      </c>
      <c r="W53" s="5">
        <f t="shared" ca="1" si="3"/>
        <v>113</v>
      </c>
      <c r="X53" s="5" t="e">
        <f t="shared" ca="1" si="4"/>
        <v>#VALUE!</v>
      </c>
      <c r="Z53" s="5" t="str">
        <f t="shared" ca="1" si="5"/>
        <v/>
      </c>
      <c r="AA53" s="5" t="str">
        <f t="shared" ca="1" si="6"/>
        <v/>
      </c>
      <c r="AB53" s="5" t="str">
        <f t="shared" ca="1" si="7"/>
        <v/>
      </c>
      <c r="AC53" s="5" t="str">
        <f t="shared" ca="1" si="8"/>
        <v/>
      </c>
      <c r="AD53" s="5"/>
      <c r="AE53" s="5" t="str">
        <f t="shared" si="21"/>
        <v/>
      </c>
      <c r="AF53" s="32"/>
      <c r="AG53">
        <f t="shared" ca="1" si="16"/>
        <v>5</v>
      </c>
      <c r="AH53">
        <f t="shared" ca="1" si="17"/>
        <v>3</v>
      </c>
      <c r="AI53">
        <f t="shared" ca="1" si="18"/>
        <v>11</v>
      </c>
      <c r="AJ53">
        <f t="shared" ca="1" si="19"/>
        <v>19</v>
      </c>
    </row>
    <row r="54" spans="2:36">
      <c r="B54" s="40">
        <f>+COUNTIFS(SOIs!$D:$D, 'Ratings by CLO'!$J54)</f>
        <v>1</v>
      </c>
      <c r="C54" s="40">
        <f>+COUNTIFS(SOIs!$G:$G, 'Ratings by CLO'!$J54)</f>
        <v>0</v>
      </c>
      <c r="D54" s="40">
        <f>+COUNTIFS(SOIs!$J:$J, 'Ratings by CLO'!$J54)</f>
        <v>1</v>
      </c>
      <c r="E54" s="40">
        <f>+COUNTIFS(SOIs!$M:$M, 'Ratings by CLO'!$J54)</f>
        <v>0</v>
      </c>
      <c r="F54" s="40">
        <f>+COUNTIFS(SOIs!$P:$P, 'Ratings by CLO'!$J54)</f>
        <v>1</v>
      </c>
      <c r="G54" s="40">
        <f>+COUNTIFS(SOIs!$S:$S, 'Ratings by CLO'!$J54)</f>
        <v>0</v>
      </c>
      <c r="H54" s="40">
        <f>+COUNTIFS(SOIs!$V:$V, 'Ratings by CLO'!$J54)</f>
        <v>1</v>
      </c>
      <c r="I54" s="38"/>
      <c r="J54" s="32" t="str">
        <f>+SOIs!X55</f>
        <v>Infolinks</v>
      </c>
      <c r="K54" s="32"/>
      <c r="L54" s="28" t="str">
        <f>+IF(INDEX('Master Ratings'!$D:$D, MATCH('Ratings by CLO'!$J54,'Master Ratings'!$B:$B,0),0)=0,"",INDEX('Master Ratings'!$D:$D, MATCH('Ratings by CLO'!$J54,'Master Ratings'!$B:$B,0),0))</f>
        <v/>
      </c>
      <c r="M54" s="28" t="str">
        <f>+IF(INDEX('Master Ratings'!$E:$E, MATCH('Ratings by CLO'!$J54,'Master Ratings'!$B:$B,0),0)=0,"",INDEX('Master Ratings'!$E:$E, MATCH('Ratings by CLO'!$J54,'Master Ratings'!$B:$B,0),0))</f>
        <v/>
      </c>
      <c r="N54" s="28"/>
      <c r="O54" s="28" t="str">
        <f>+IF(INDEX('Master Ratings'!$G:$G, MATCH('Ratings by CLO'!$J54,'Master Ratings'!$B:$B,0),0)=0,"",INDEX('Master Ratings'!$G:$G, MATCH('Ratings by CLO'!$J54,'Master Ratings'!$B:$B,0),0))</f>
        <v>B*</v>
      </c>
      <c r="P54" s="28" t="str">
        <f>+IF(INDEX('Master Ratings'!$H:$H, MATCH('Ratings by CLO'!$J54,'Master Ratings'!$B:$B,0),0)=0,"",INDEX('Master Ratings'!$H:$H, MATCH('Ratings by CLO'!$J54,'Master Ratings'!$B:$B,0),0))</f>
        <v>Credit Estimate</v>
      </c>
      <c r="Q54" s="8">
        <f>+IF(INDEX('Master Ratings'!$O:$O, MATCH('Ratings by CLO'!$J54,'Master Ratings'!$B:$B,0),0)=0,"",INDEX('Master Ratings'!$O:$O, MATCH('Ratings by CLO'!$J54,'Master Ratings'!$B:$B,0),0))</f>
        <v>45630</v>
      </c>
      <c r="R54" s="28"/>
      <c r="S54" s="28" t="str">
        <f>+IF(INDEX('Master Ratings'!$L:$L, MATCH('Ratings by CLO'!$J54,'Master Ratings'!$B:$B,0),0)=0,"",INDEX('Master Ratings'!$L:$L, MATCH('Ratings by CLO'!$J54,'Master Ratings'!$B:$B,0),0))</f>
        <v/>
      </c>
      <c r="T54" s="28" t="str">
        <f>+IF(INDEX('Master Ratings'!$M:$M, MATCH('Ratings by CLO'!$J54,'Master Ratings'!$B:$B,0),0)=0,"",INDEX('Master Ratings'!$M:$M, MATCH('Ratings by CLO'!$J54,'Master Ratings'!$B:$B,0),0))</f>
        <v/>
      </c>
      <c r="U54" s="8" t="str">
        <f>+IF(INDEX('Master Ratings'!$P:$P, MATCH('Ratings by CLO'!$J54,'Master Ratings'!$B:$B,0),0)=0,"",INDEX('Master Ratings'!$P:$P, MATCH('Ratings by CLO'!$J54,'Master Ratings'!$B:$B,0),0))</f>
        <v/>
      </c>
      <c r="W54" s="5">
        <f t="shared" ca="1" si="3"/>
        <v>31</v>
      </c>
      <c r="X54" s="5" t="str">
        <f t="shared" ca="1" si="4"/>
        <v/>
      </c>
      <c r="Z54" s="5" t="str">
        <f t="shared" ca="1" si="5"/>
        <v/>
      </c>
      <c r="AA54" s="5" t="str">
        <f t="shared" ca="1" si="6"/>
        <v/>
      </c>
      <c r="AB54" s="5" t="str">
        <f t="shared" ca="1" si="7"/>
        <v/>
      </c>
      <c r="AC54" s="5" t="str">
        <f t="shared" ca="1" si="8"/>
        <v/>
      </c>
      <c r="AD54" s="5"/>
      <c r="AE54" s="5" t="str">
        <f t="shared" si="21"/>
        <v/>
      </c>
      <c r="AF54" s="32"/>
      <c r="AG54">
        <f t="shared" ca="1" si="16"/>
        <v>5</v>
      </c>
      <c r="AH54">
        <f t="shared" ca="1" si="17"/>
        <v>3</v>
      </c>
      <c r="AI54">
        <f t="shared" ca="1" si="18"/>
        <v>11</v>
      </c>
      <c r="AJ54">
        <f t="shared" ca="1" si="19"/>
        <v>19</v>
      </c>
    </row>
    <row r="55" spans="2:36">
      <c r="B55" s="40">
        <f>+COUNTIFS(SOIs!$D:$D, 'Ratings by CLO'!$J55)</f>
        <v>3</v>
      </c>
      <c r="C55" s="40">
        <f>+COUNTIFS(SOIs!$G:$G, 'Ratings by CLO'!$J55)</f>
        <v>0</v>
      </c>
      <c r="D55" s="40">
        <f>+COUNTIFS(SOIs!$J:$J, 'Ratings by CLO'!$J55)</f>
        <v>1</v>
      </c>
      <c r="E55" s="40">
        <f>+COUNTIFS(SOIs!$M:$M, 'Ratings by CLO'!$J55)</f>
        <v>1</v>
      </c>
      <c r="F55" s="40">
        <f>+COUNTIFS(SOIs!$P:$P, 'Ratings by CLO'!$J55)</f>
        <v>0</v>
      </c>
      <c r="G55" s="40">
        <f>+COUNTIFS(SOIs!$S:$S, 'Ratings by CLO'!$J55)</f>
        <v>0</v>
      </c>
      <c r="H55" s="40">
        <f>+COUNTIFS(SOIs!$V:$V, 'Ratings by CLO'!$J55)</f>
        <v>0</v>
      </c>
      <c r="I55" s="38"/>
      <c r="J55" s="32" t="str">
        <f>+SOIs!X56</f>
        <v>Insight Global</v>
      </c>
      <c r="K55" s="32"/>
      <c r="L55" s="28" t="str">
        <f>+IF(INDEX('Master Ratings'!$D:$D, MATCH('Ratings by CLO'!$J55,'Master Ratings'!$B:$B,0),0)=0,"",INDEX('Master Ratings'!$D:$D, MATCH('Ratings by CLO'!$J55,'Master Ratings'!$B:$B,0),0))</f>
        <v/>
      </c>
      <c r="M55" s="28" t="str">
        <f>+IF(INDEX('Master Ratings'!$E:$E, MATCH('Ratings by CLO'!$J55,'Master Ratings'!$B:$B,0),0)=0,"",INDEX('Master Ratings'!$E:$E, MATCH('Ratings by CLO'!$J55,'Master Ratings'!$B:$B,0),0))</f>
        <v/>
      </c>
      <c r="N55" s="28"/>
      <c r="O55" s="28" t="str">
        <f>+IF(INDEX('Master Ratings'!$G:$G, MATCH('Ratings by CLO'!$J55,'Master Ratings'!$B:$B,0),0)=0,"",INDEX('Master Ratings'!$G:$G, MATCH('Ratings by CLO'!$J55,'Master Ratings'!$B:$B,0),0))</f>
        <v>B-*</v>
      </c>
      <c r="P55" s="28" t="str">
        <f>+IF(INDEX('Master Ratings'!$H:$H, MATCH('Ratings by CLO'!$J55,'Master Ratings'!$B:$B,0),0)=0,"",INDEX('Master Ratings'!$H:$H, MATCH('Ratings by CLO'!$J55,'Master Ratings'!$B:$B,0),0))</f>
        <v>Rating (Private)</v>
      </c>
      <c r="Q55" s="8">
        <f>+IF(INDEX('Master Ratings'!$O:$O, MATCH('Ratings by CLO'!$J55,'Master Ratings'!$B:$B,0),0)=0,"",INDEX('Master Ratings'!$O:$O, MATCH('Ratings by CLO'!$J55,'Master Ratings'!$B:$B,0),0))</f>
        <v>45573</v>
      </c>
      <c r="R55" s="28"/>
      <c r="S55" s="28" t="str">
        <f>+IF(INDEX('Master Ratings'!$L:$L, MATCH('Ratings by CLO'!$J55,'Master Ratings'!$B:$B,0),0)=0,"",INDEX('Master Ratings'!$L:$L, MATCH('Ratings by CLO'!$J55,'Master Ratings'!$B:$B,0),0))</f>
        <v>B</v>
      </c>
      <c r="T55" s="28" t="str">
        <f>+IF(INDEX('Master Ratings'!$M:$M, MATCH('Ratings by CLO'!$J55,'Master Ratings'!$B:$B,0),0)=0,"",INDEX('Master Ratings'!$M:$M, MATCH('Ratings by CLO'!$J55,'Master Ratings'!$B:$B,0),0))</f>
        <v>Rating (Private)</v>
      </c>
      <c r="U55" s="8">
        <f>+IF(INDEX('Master Ratings'!$P:$P, MATCH('Ratings by CLO'!$J55,'Master Ratings'!$B:$B,0),0)=0,"",INDEX('Master Ratings'!$P:$P, MATCH('Ratings by CLO'!$J55,'Master Ratings'!$B:$B,0),0))</f>
        <v>45121</v>
      </c>
      <c r="W55" s="5">
        <f t="shared" ca="1" si="3"/>
        <v>-26</v>
      </c>
      <c r="X55" s="5">
        <f t="shared" ca="1" si="4"/>
        <v>-478</v>
      </c>
      <c r="Z55" s="5" t="str">
        <f t="shared" ca="1" si="5"/>
        <v/>
      </c>
      <c r="AA55" s="5" t="str">
        <f t="shared" ca="1" si="6"/>
        <v/>
      </c>
      <c r="AB55" s="5" t="str">
        <f t="shared" ca="1" si="7"/>
        <v>X</v>
      </c>
      <c r="AC55" s="5" t="str">
        <f t="shared" ca="1" si="8"/>
        <v>X</v>
      </c>
      <c r="AD55" s="5"/>
      <c r="AE55" s="5" t="str">
        <f t="shared" si="21"/>
        <v/>
      </c>
      <c r="AF55" s="32"/>
      <c r="AG55">
        <f t="shared" ca="1" si="16"/>
        <v>5</v>
      </c>
      <c r="AH55">
        <f t="shared" ca="1" si="17"/>
        <v>3</v>
      </c>
      <c r="AI55">
        <f t="shared" ca="1" si="18"/>
        <v>12</v>
      </c>
      <c r="AJ55">
        <f t="shared" ca="1" si="19"/>
        <v>20</v>
      </c>
    </row>
    <row r="56" spans="2:36">
      <c r="B56" s="40">
        <f>+COUNTIFS(SOIs!$D:$D, 'Ratings by CLO'!$J56)</f>
        <v>1</v>
      </c>
      <c r="C56" s="40">
        <f>+COUNTIFS(SOIs!$G:$G, 'Ratings by CLO'!$J56)</f>
        <v>1</v>
      </c>
      <c r="D56" s="40">
        <f>+COUNTIFS(SOIs!$J:$J, 'Ratings by CLO'!$J56)</f>
        <v>0</v>
      </c>
      <c r="E56" s="40">
        <f>+COUNTIFS(SOIs!$M:$M, 'Ratings by CLO'!$J56)</f>
        <v>0</v>
      </c>
      <c r="F56" s="40">
        <f>+COUNTIFS(SOIs!$P:$P, 'Ratings by CLO'!$J56)</f>
        <v>0</v>
      </c>
      <c r="G56" s="40">
        <f>+COUNTIFS(SOIs!$S:$S, 'Ratings by CLO'!$J56)</f>
        <v>1</v>
      </c>
      <c r="H56" s="40">
        <f>+COUNTIFS(SOIs!$V:$V, 'Ratings by CLO'!$J56)</f>
        <v>0</v>
      </c>
      <c r="I56" s="38"/>
      <c r="J56" s="32" t="str">
        <f>+SOIs!X57</f>
        <v>Integrated Data Services</v>
      </c>
      <c r="K56" s="32"/>
      <c r="L56" s="28" t="e">
        <f>+IF(INDEX('Master Ratings'!$D:$D, MATCH('Ratings by CLO'!$J56,'Master Ratings'!$B:$B,0),0)=0,"",INDEX('Master Ratings'!$D:$D, MATCH('Ratings by CLO'!$J56,'Master Ratings'!$B:$B,0),0))</f>
        <v>#N/A</v>
      </c>
      <c r="M56" s="28" t="e">
        <f>+IF(INDEX('Master Ratings'!$E:$E, MATCH('Ratings by CLO'!$J56,'Master Ratings'!$B:$B,0),0)=0,"",INDEX('Master Ratings'!$E:$E, MATCH('Ratings by CLO'!$J56,'Master Ratings'!$B:$B,0),0))</f>
        <v>#N/A</v>
      </c>
      <c r="N56" s="28"/>
      <c r="O56" s="28" t="e">
        <f>+IF(INDEX('Master Ratings'!$G:$G, MATCH('Ratings by CLO'!$J56,'Master Ratings'!$B:$B,0),0)=0,"",INDEX('Master Ratings'!$G:$G, MATCH('Ratings by CLO'!$J56,'Master Ratings'!$B:$B,0),0))</f>
        <v>#N/A</v>
      </c>
      <c r="P56" s="28" t="e">
        <f>+IF(INDEX('Master Ratings'!$H:$H, MATCH('Ratings by CLO'!$J56,'Master Ratings'!$B:$B,0),0)=0,"",INDEX('Master Ratings'!$H:$H, MATCH('Ratings by CLO'!$J56,'Master Ratings'!$B:$B,0),0))</f>
        <v>#N/A</v>
      </c>
      <c r="Q56" s="8" t="e">
        <f>+IF(INDEX('Master Ratings'!$O:$O, MATCH('Ratings by CLO'!$J56,'Master Ratings'!$B:$B,0),0)=0,"",INDEX('Master Ratings'!$O:$O, MATCH('Ratings by CLO'!$J56,'Master Ratings'!$B:$B,0),0))</f>
        <v>#N/A</v>
      </c>
      <c r="R56" s="28"/>
      <c r="S56" s="28" t="e">
        <f>+IF(INDEX('Master Ratings'!$L:$L, MATCH('Ratings by CLO'!$J56,'Master Ratings'!$B:$B,0),0)=0,"",INDEX('Master Ratings'!$L:$L, MATCH('Ratings by CLO'!$J56,'Master Ratings'!$B:$B,0),0))</f>
        <v>#N/A</v>
      </c>
      <c r="T56" s="28" t="e">
        <f>+IF(INDEX('Master Ratings'!$M:$M, MATCH('Ratings by CLO'!$J56,'Master Ratings'!$B:$B,0),0)=0,"",INDEX('Master Ratings'!$M:$M, MATCH('Ratings by CLO'!$J56,'Master Ratings'!$B:$B,0),0))</f>
        <v>#N/A</v>
      </c>
      <c r="U56" s="8" t="e">
        <f>+IF(INDEX('Master Ratings'!$P:$P, MATCH('Ratings by CLO'!$J56,'Master Ratings'!$B:$B,0),0)=0,"",INDEX('Master Ratings'!$P:$P, MATCH('Ratings by CLO'!$J56,'Master Ratings'!$B:$B,0),0))</f>
        <v>#N/A</v>
      </c>
      <c r="W56" s="5" t="e">
        <f t="shared" ca="1" si="3"/>
        <v>#N/A</v>
      </c>
      <c r="X56" s="5" t="e">
        <f t="shared" ca="1" si="4"/>
        <v>#N/A</v>
      </c>
      <c r="Z56" s="5" t="str">
        <f t="shared" ca="1" si="5"/>
        <v>X</v>
      </c>
      <c r="AA56" s="5" t="str">
        <f t="shared" ca="1" si="6"/>
        <v/>
      </c>
      <c r="AB56" s="5" t="str">
        <f t="shared" ca="1" si="7"/>
        <v/>
      </c>
      <c r="AC56" s="5" t="str">
        <f t="shared" ca="1" si="8"/>
        <v/>
      </c>
      <c r="AD56" s="5"/>
      <c r="AE56" s="5" t="str">
        <f t="shared" si="21"/>
        <v/>
      </c>
      <c r="AF56" s="32"/>
      <c r="AG56">
        <f t="shared" ca="1" si="16"/>
        <v>6</v>
      </c>
      <c r="AH56">
        <f t="shared" ca="1" si="17"/>
        <v>3</v>
      </c>
      <c r="AI56">
        <f t="shared" ca="1" si="18"/>
        <v>12</v>
      </c>
      <c r="AJ56">
        <f t="shared" ca="1" si="19"/>
        <v>20</v>
      </c>
    </row>
    <row r="57" spans="2:36">
      <c r="B57" s="40">
        <f>+COUNTIFS(SOIs!$D:$D, 'Ratings by CLO'!$J57)</f>
        <v>3</v>
      </c>
      <c r="C57" s="40">
        <f>+COUNTIFS(SOIs!$G:$G, 'Ratings by CLO'!$J57)</f>
        <v>0</v>
      </c>
      <c r="D57" s="40">
        <f>+COUNTIFS(SOIs!$J:$J, 'Ratings by CLO'!$J57)</f>
        <v>1</v>
      </c>
      <c r="E57" s="40">
        <f>+COUNTIFS(SOIs!$M:$M, 'Ratings by CLO'!$J57)</f>
        <v>1</v>
      </c>
      <c r="F57" s="40">
        <f>+COUNTIFS(SOIs!$P:$P, 'Ratings by CLO'!$J57)</f>
        <v>1</v>
      </c>
      <c r="G57" s="40">
        <f>+COUNTIFS(SOIs!$S:$S, 'Ratings by CLO'!$J57)</f>
        <v>1</v>
      </c>
      <c r="H57" s="40">
        <f>+COUNTIFS(SOIs!$V:$V, 'Ratings by CLO'!$J57)</f>
        <v>1</v>
      </c>
      <c r="I57" s="38"/>
      <c r="J57" s="32" t="str">
        <f>+SOIs!X58</f>
        <v>Integrity Marketing</v>
      </c>
      <c r="K57" s="32"/>
      <c r="L57" s="28" t="str">
        <f>+IF(INDEX('Master Ratings'!$D:$D, MATCH('Ratings by CLO'!$J57,'Master Ratings'!$B:$B,0),0)=0,"",INDEX('Master Ratings'!$D:$D, MATCH('Ratings by CLO'!$J57,'Master Ratings'!$B:$B,0),0))</f>
        <v/>
      </c>
      <c r="M57" s="28" t="str">
        <f>+IF(INDEX('Master Ratings'!$E:$E, MATCH('Ratings by CLO'!$J57,'Master Ratings'!$B:$B,0),0)=0,"",INDEX('Master Ratings'!$E:$E, MATCH('Ratings by CLO'!$J57,'Master Ratings'!$B:$B,0),0))</f>
        <v/>
      </c>
      <c r="N57" s="28"/>
      <c r="O57" s="28" t="str">
        <f>+IF(INDEX('Master Ratings'!$G:$G, MATCH('Ratings by CLO'!$J57,'Master Ratings'!$B:$B,0),0)=0,"",INDEX('Master Ratings'!$G:$G, MATCH('Ratings by CLO'!$J57,'Master Ratings'!$B:$B,0),0))</f>
        <v>B-*</v>
      </c>
      <c r="P57" s="28" t="str">
        <f>+IF(INDEX('Master Ratings'!$H:$H, MATCH('Ratings by CLO'!$J57,'Master Ratings'!$B:$B,0),0)=0,"",INDEX('Master Ratings'!$H:$H, MATCH('Ratings by CLO'!$J57,'Master Ratings'!$B:$B,0),0))</f>
        <v>Rating (Private)</v>
      </c>
      <c r="Q57" s="8">
        <f>+IF(INDEX('Master Ratings'!$O:$O, MATCH('Ratings by CLO'!$J57,'Master Ratings'!$B:$B,0),0)=0,"",INDEX('Master Ratings'!$O:$O, MATCH('Ratings by CLO'!$J57,'Master Ratings'!$B:$B,0),0))</f>
        <v>45414</v>
      </c>
      <c r="R57" s="28"/>
      <c r="S57" s="28" t="str">
        <f>+IF(INDEX('Master Ratings'!$L:$L, MATCH('Ratings by CLO'!$J57,'Master Ratings'!$B:$B,0),0)=0,"",INDEX('Master Ratings'!$L:$L, MATCH('Ratings by CLO'!$J57,'Master Ratings'!$B:$B,0),0))</f>
        <v>B-*</v>
      </c>
      <c r="T57" s="28" t="str">
        <f>+IF(INDEX('Master Ratings'!$M:$M, MATCH('Ratings by CLO'!$J57,'Master Ratings'!$B:$B,0),0)=0,"",INDEX('Master Ratings'!$M:$M, MATCH('Ratings by CLO'!$J57,'Master Ratings'!$B:$B,0),0))</f>
        <v>Credit Estimate</v>
      </c>
      <c r="U57" s="8">
        <f>+IF(INDEX('Master Ratings'!$P:$P, MATCH('Ratings by CLO'!$J57,'Master Ratings'!$B:$B,0),0)=0,"",INDEX('Master Ratings'!$P:$P, MATCH('Ratings by CLO'!$J57,'Master Ratings'!$B:$B,0),0))</f>
        <v>45398</v>
      </c>
      <c r="W57" s="5">
        <f t="shared" ca="1" si="3"/>
        <v>-185</v>
      </c>
      <c r="X57" s="5">
        <f t="shared" ca="1" si="4"/>
        <v>-201</v>
      </c>
      <c r="Z57" s="5" t="str">
        <f t="shared" ca="1" si="5"/>
        <v/>
      </c>
      <c r="AA57" s="5" t="str">
        <f t="shared" ca="1" si="6"/>
        <v/>
      </c>
      <c r="AB57" s="5" t="str">
        <f t="shared" ca="1" si="7"/>
        <v>X</v>
      </c>
      <c r="AC57" s="5" t="str">
        <f t="shared" ca="1" si="8"/>
        <v>X</v>
      </c>
      <c r="AD57" s="5"/>
      <c r="AE57" s="5" t="str">
        <f t="shared" si="21"/>
        <v/>
      </c>
      <c r="AF57" s="32"/>
      <c r="AG57">
        <f t="shared" ca="1" si="16"/>
        <v>6</v>
      </c>
      <c r="AH57">
        <f t="shared" ca="1" si="17"/>
        <v>3</v>
      </c>
      <c r="AI57">
        <f t="shared" ca="1" si="18"/>
        <v>13</v>
      </c>
      <c r="AJ57">
        <f t="shared" ca="1" si="19"/>
        <v>21</v>
      </c>
    </row>
    <row r="58" spans="2:36">
      <c r="B58" s="40">
        <f>+COUNTIFS(SOIs!$D:$D, 'Ratings by CLO'!$J58)</f>
        <v>1</v>
      </c>
      <c r="C58" s="40">
        <f>+COUNTIFS(SOIs!$G:$G, 'Ratings by CLO'!$J58)</f>
        <v>0</v>
      </c>
      <c r="D58" s="40">
        <f>+COUNTIFS(SOIs!$J:$J, 'Ratings by CLO'!$J58)</f>
        <v>1</v>
      </c>
      <c r="E58" s="40">
        <f>+COUNTIFS(SOIs!$M:$M, 'Ratings by CLO'!$J58)</f>
        <v>0</v>
      </c>
      <c r="F58" s="40">
        <f>+COUNTIFS(SOIs!$P:$P, 'Ratings by CLO'!$J58)</f>
        <v>1</v>
      </c>
      <c r="G58" s="40">
        <f>+COUNTIFS(SOIs!$S:$S, 'Ratings by CLO'!$J58)</f>
        <v>1</v>
      </c>
      <c r="H58" s="40">
        <f>+COUNTIFS(SOIs!$V:$V, 'Ratings by CLO'!$J58)</f>
        <v>0</v>
      </c>
      <c r="I58" s="38"/>
      <c r="J58" s="32" t="str">
        <f>+SOIs!X59</f>
        <v>Intellectual Technology</v>
      </c>
      <c r="K58" s="32"/>
      <c r="L58" s="28" t="str">
        <f>+IF(INDEX('Master Ratings'!$D:$D, MATCH('Ratings by CLO'!$J58,'Master Ratings'!$B:$B,0),0)=0,"",INDEX('Master Ratings'!$D:$D, MATCH('Ratings by CLO'!$J58,'Master Ratings'!$B:$B,0),0))</f>
        <v/>
      </c>
      <c r="M58" s="28" t="str">
        <f>+IF(INDEX('Master Ratings'!$E:$E, MATCH('Ratings by CLO'!$J58,'Master Ratings'!$B:$B,0),0)=0,"",INDEX('Master Ratings'!$E:$E, MATCH('Ratings by CLO'!$J58,'Master Ratings'!$B:$B,0),0))</f>
        <v/>
      </c>
      <c r="N58" s="28"/>
      <c r="O58" s="28" t="str">
        <f>+IF(INDEX('Master Ratings'!$G:$G, MATCH('Ratings by CLO'!$J58,'Master Ratings'!$B:$B,0),0)=0,"",INDEX('Master Ratings'!$G:$G, MATCH('Ratings by CLO'!$J58,'Master Ratings'!$B:$B,0),0))</f>
        <v>B-*</v>
      </c>
      <c r="P58" s="28" t="str">
        <f>+IF(INDEX('Master Ratings'!$H:$H, MATCH('Ratings by CLO'!$J58,'Master Ratings'!$B:$B,0),0)=0,"",INDEX('Master Ratings'!$H:$H, MATCH('Ratings by CLO'!$J58,'Master Ratings'!$B:$B,0),0))</f>
        <v>Credit Estimate</v>
      </c>
      <c r="Q58" s="8">
        <f>+IF(INDEX('Master Ratings'!$O:$O, MATCH('Ratings by CLO'!$J58,'Master Ratings'!$B:$B,0),0)=0,"",INDEX('Master Ratings'!$O:$O, MATCH('Ratings by CLO'!$J58,'Master Ratings'!$B:$B,0),0))</f>
        <v>45645</v>
      </c>
      <c r="R58" s="28"/>
      <c r="S58" s="28" t="str">
        <f>+IF(INDEX('Master Ratings'!$L:$L, MATCH('Ratings by CLO'!$J58,'Master Ratings'!$B:$B,0),0)=0,"",INDEX('Master Ratings'!$L:$L, MATCH('Ratings by CLO'!$J58,'Master Ratings'!$B:$B,0),0))</f>
        <v/>
      </c>
      <c r="T58" s="28" t="str">
        <f>+IF(INDEX('Master Ratings'!$M:$M, MATCH('Ratings by CLO'!$J58,'Master Ratings'!$B:$B,0),0)=0,"",INDEX('Master Ratings'!$M:$M, MATCH('Ratings by CLO'!$J58,'Master Ratings'!$B:$B,0),0))</f>
        <v/>
      </c>
      <c r="U58" s="8" t="str">
        <f>+IF(INDEX('Master Ratings'!$P:$P, MATCH('Ratings by CLO'!$J58,'Master Ratings'!$B:$B,0),0)=0,"",INDEX('Master Ratings'!$P:$P, MATCH('Ratings by CLO'!$J58,'Master Ratings'!$B:$B,0),0))</f>
        <v/>
      </c>
      <c r="W58" s="5">
        <f t="shared" ca="1" si="3"/>
        <v>46</v>
      </c>
      <c r="X58" s="5" t="str">
        <f t="shared" ca="1" si="4"/>
        <v/>
      </c>
      <c r="Z58" s="5" t="str">
        <f t="shared" ca="1" si="5"/>
        <v/>
      </c>
      <c r="AA58" s="5" t="str">
        <f t="shared" ca="1" si="6"/>
        <v/>
      </c>
      <c r="AB58" s="5" t="str">
        <f t="shared" ca="1" si="7"/>
        <v/>
      </c>
      <c r="AC58" s="5" t="str">
        <f t="shared" ca="1" si="8"/>
        <v/>
      </c>
      <c r="AD58" s="5"/>
      <c r="AE58" s="5" t="str">
        <f t="shared" si="21"/>
        <v/>
      </c>
      <c r="AF58" s="32"/>
      <c r="AG58">
        <f t="shared" ca="1" si="16"/>
        <v>6</v>
      </c>
      <c r="AH58">
        <f t="shared" ca="1" si="17"/>
        <v>3</v>
      </c>
      <c r="AI58">
        <f t="shared" ca="1" si="18"/>
        <v>13</v>
      </c>
      <c r="AJ58">
        <f t="shared" ca="1" si="19"/>
        <v>21</v>
      </c>
    </row>
    <row r="59" spans="2:36">
      <c r="B59" s="40">
        <f>+COUNTIFS(SOIs!$D:$D, 'Ratings by CLO'!$J59)</f>
        <v>2</v>
      </c>
      <c r="C59" s="40">
        <f>+COUNTIFS(SOIs!$G:$G, 'Ratings by CLO'!$J59)</f>
        <v>0</v>
      </c>
      <c r="D59" s="40">
        <f>+COUNTIFS(SOIs!$J:$J, 'Ratings by CLO'!$J59)</f>
        <v>0</v>
      </c>
      <c r="E59" s="40">
        <f>+COUNTIFS(SOIs!$M:$M, 'Ratings by CLO'!$J59)</f>
        <v>0</v>
      </c>
      <c r="F59" s="40">
        <f>+COUNTIFS(SOIs!$P:$P, 'Ratings by CLO'!$J59)</f>
        <v>0</v>
      </c>
      <c r="G59" s="40">
        <f>+COUNTIFS(SOIs!$S:$S, 'Ratings by CLO'!$J59)</f>
        <v>1</v>
      </c>
      <c r="H59" s="40">
        <f>+COUNTIFS(SOIs!$V:$V, 'Ratings by CLO'!$J59)</f>
        <v>0</v>
      </c>
      <c r="I59" s="38"/>
      <c r="J59" s="32" t="str">
        <f>+SOIs!X60</f>
        <v>Inventus</v>
      </c>
      <c r="K59" s="32"/>
      <c r="L59" s="28" t="str">
        <f>+IF(INDEX('Master Ratings'!$D:$D, MATCH('Ratings by CLO'!$J59,'Master Ratings'!$B:$B,0),0)=0,"",INDEX('Master Ratings'!$D:$D, MATCH('Ratings by CLO'!$J59,'Master Ratings'!$B:$B,0),0))</f>
        <v/>
      </c>
      <c r="M59" s="28" t="str">
        <f>+IF(INDEX('Master Ratings'!$E:$E, MATCH('Ratings by CLO'!$J59,'Master Ratings'!$B:$B,0),0)=0,"",INDEX('Master Ratings'!$E:$E, MATCH('Ratings by CLO'!$J59,'Master Ratings'!$B:$B,0),0))</f>
        <v/>
      </c>
      <c r="N59" s="28"/>
      <c r="O59" s="28" t="str">
        <f>+IF(INDEX('Master Ratings'!$G:$G, MATCH('Ratings by CLO'!$J59,'Master Ratings'!$B:$B,0),0)=0,"",INDEX('Master Ratings'!$G:$G, MATCH('Ratings by CLO'!$J59,'Master Ratings'!$B:$B,0),0))</f>
        <v>CCC-*</v>
      </c>
      <c r="P59" s="28" t="str">
        <f>+IF(INDEX('Master Ratings'!$H:$H, MATCH('Ratings by CLO'!$J59,'Master Ratings'!$B:$B,0),0)=0,"",INDEX('Master Ratings'!$H:$H, MATCH('Ratings by CLO'!$J59,'Master Ratings'!$B:$B,0),0))</f>
        <v>Credit Estimate</v>
      </c>
      <c r="Q59" s="8">
        <f>+IF(INDEX('Master Ratings'!$O:$O, MATCH('Ratings by CLO'!$J59,'Master Ratings'!$B:$B,0),0)=0,"",INDEX('Master Ratings'!$O:$O, MATCH('Ratings by CLO'!$J59,'Master Ratings'!$B:$B,0),0))</f>
        <v>45706</v>
      </c>
      <c r="R59" s="28"/>
      <c r="S59" s="28" t="str">
        <f>+IF(INDEX('Master Ratings'!$L:$L, MATCH('Ratings by CLO'!$J59,'Master Ratings'!$B:$B,0),0)=0,"",INDEX('Master Ratings'!$L:$L, MATCH('Ratings by CLO'!$J59,'Master Ratings'!$B:$B,0),0))</f>
        <v>B*</v>
      </c>
      <c r="T59" s="28" t="str">
        <f>+IF(INDEX('Master Ratings'!$M:$M, MATCH('Ratings by CLO'!$J59,'Master Ratings'!$B:$B,0),0)=0,"",INDEX('Master Ratings'!$M:$M, MATCH('Ratings by CLO'!$J59,'Master Ratings'!$B:$B,0),0))</f>
        <v>Credit Estimate</v>
      </c>
      <c r="U59" s="8">
        <f>+IF(INDEX('Master Ratings'!$P:$P, MATCH('Ratings by CLO'!$J59,'Master Ratings'!$B:$B,0),0)=0,"",INDEX('Master Ratings'!$P:$P, MATCH('Ratings by CLO'!$J59,'Master Ratings'!$B:$B,0),0))</f>
        <v>45398</v>
      </c>
      <c r="W59" s="5">
        <f t="shared" ca="1" si="3"/>
        <v>107</v>
      </c>
      <c r="X59" s="5">
        <f t="shared" ca="1" si="4"/>
        <v>-201</v>
      </c>
      <c r="Z59" s="5" t="str">
        <f t="shared" ca="1" si="5"/>
        <v/>
      </c>
      <c r="AA59" s="5" t="str">
        <f t="shared" ca="1" si="6"/>
        <v/>
      </c>
      <c r="AB59" s="5" t="str">
        <f t="shared" ca="1" si="7"/>
        <v/>
      </c>
      <c r="AC59" s="5" t="str">
        <f t="shared" ca="1" si="8"/>
        <v>X</v>
      </c>
      <c r="AD59" s="5"/>
      <c r="AE59" s="5" t="str">
        <f t="shared" si="21"/>
        <v/>
      </c>
      <c r="AF59" s="32"/>
      <c r="AG59">
        <f t="shared" ca="1" si="16"/>
        <v>6</v>
      </c>
      <c r="AH59">
        <f t="shared" ca="1" si="17"/>
        <v>3</v>
      </c>
      <c r="AI59">
        <f t="shared" ca="1" si="18"/>
        <v>13</v>
      </c>
      <c r="AJ59">
        <f t="shared" ca="1" si="19"/>
        <v>22</v>
      </c>
    </row>
    <row r="60" spans="2:36">
      <c r="B60" s="40">
        <f>+COUNTIFS(SOIs!$D:$D, 'Ratings by CLO'!$J60)</f>
        <v>1</v>
      </c>
      <c r="C60" s="40">
        <f>+COUNTIFS(SOIs!$G:$G, 'Ratings by CLO'!$J60)</f>
        <v>1</v>
      </c>
      <c r="D60" s="40">
        <f>+COUNTIFS(SOIs!$J:$J, 'Ratings by CLO'!$J60)</f>
        <v>0</v>
      </c>
      <c r="E60" s="40">
        <f>+COUNTIFS(SOIs!$M:$M, 'Ratings by CLO'!$J60)</f>
        <v>1</v>
      </c>
      <c r="F60" s="40">
        <f>+COUNTIFS(SOIs!$P:$P, 'Ratings by CLO'!$J60)</f>
        <v>0</v>
      </c>
      <c r="G60" s="40">
        <f>+COUNTIFS(SOIs!$S:$S, 'Ratings by CLO'!$J60)</f>
        <v>1</v>
      </c>
      <c r="H60" s="40">
        <f>+COUNTIFS(SOIs!$V:$V, 'Ratings by CLO'!$J60)</f>
        <v>1</v>
      </c>
      <c r="I60" s="38"/>
      <c r="J60" s="32" t="str">
        <f>+SOIs!X61</f>
        <v>K2</v>
      </c>
      <c r="K60" s="32"/>
      <c r="L60" s="28" t="str">
        <f>+IF(INDEX('Master Ratings'!$D:$D, MATCH('Ratings by CLO'!$J60,'Master Ratings'!$B:$B,0),0)=0,"",INDEX('Master Ratings'!$D:$D, MATCH('Ratings by CLO'!$J60,'Master Ratings'!$B:$B,0),0))</f>
        <v/>
      </c>
      <c r="M60" s="28" t="str">
        <f>+IF(INDEX('Master Ratings'!$E:$E, MATCH('Ratings by CLO'!$J60,'Master Ratings'!$B:$B,0),0)=0,"",INDEX('Master Ratings'!$E:$E, MATCH('Ratings by CLO'!$J60,'Master Ratings'!$B:$B,0),0))</f>
        <v/>
      </c>
      <c r="N60" s="28"/>
      <c r="O60" s="28" t="str">
        <f>+IF(INDEX('Master Ratings'!$G:$G, MATCH('Ratings by CLO'!$J60,'Master Ratings'!$B:$B,0),0)=0,"",INDEX('Master Ratings'!$G:$G, MATCH('Ratings by CLO'!$J60,'Master Ratings'!$B:$B,0),0))</f>
        <v>CCC*</v>
      </c>
      <c r="P60" s="28" t="str">
        <f>+IF(INDEX('Master Ratings'!$H:$H, MATCH('Ratings by CLO'!$J60,'Master Ratings'!$B:$B,0),0)=0,"",INDEX('Master Ratings'!$H:$H, MATCH('Ratings by CLO'!$J60,'Master Ratings'!$B:$B,0),0))</f>
        <v>Credit Estimate</v>
      </c>
      <c r="Q60" s="8">
        <f>+IF(INDEX('Master Ratings'!$O:$O, MATCH('Ratings by CLO'!$J60,'Master Ratings'!$B:$B,0),0)=0,"",INDEX('Master Ratings'!$O:$O, MATCH('Ratings by CLO'!$J60,'Master Ratings'!$B:$B,0),0))</f>
        <v>45027</v>
      </c>
      <c r="R60" s="28"/>
      <c r="S60" s="28" t="str">
        <f>+IF(INDEX('Master Ratings'!$L:$L, MATCH('Ratings by CLO'!$J60,'Master Ratings'!$B:$B,0),0)=0,"",INDEX('Master Ratings'!$L:$L, MATCH('Ratings by CLO'!$J60,'Master Ratings'!$B:$B,0),0))</f>
        <v/>
      </c>
      <c r="T60" s="28" t="str">
        <f>+IF(INDEX('Master Ratings'!$M:$M, MATCH('Ratings by CLO'!$J60,'Master Ratings'!$B:$B,0),0)=0,"",INDEX('Master Ratings'!$M:$M, MATCH('Ratings by CLO'!$J60,'Master Ratings'!$B:$B,0),0))</f>
        <v/>
      </c>
      <c r="U60" s="8" t="str">
        <f>+IF(INDEX('Master Ratings'!$P:$P, MATCH('Ratings by CLO'!$J60,'Master Ratings'!$B:$B,0),0)=0,"",INDEX('Master Ratings'!$P:$P, MATCH('Ratings by CLO'!$J60,'Master Ratings'!$B:$B,0),0))</f>
        <v/>
      </c>
      <c r="W60" s="5">
        <f t="shared" ca="1" si="3"/>
        <v>-572</v>
      </c>
      <c r="X60" s="5" t="str">
        <f t="shared" ca="1" si="4"/>
        <v/>
      </c>
      <c r="Z60" s="5" t="str">
        <f t="shared" ca="1" si="5"/>
        <v/>
      </c>
      <c r="AA60" s="5" t="str">
        <f t="shared" ca="1" si="6"/>
        <v/>
      </c>
      <c r="AB60" s="5" t="str">
        <f t="shared" ca="1" si="7"/>
        <v>X</v>
      </c>
      <c r="AC60" s="5" t="str">
        <f t="shared" ca="1" si="8"/>
        <v/>
      </c>
      <c r="AD60" s="5"/>
      <c r="AE60" s="5" t="str">
        <f t="shared" si="21"/>
        <v/>
      </c>
      <c r="AF60" s="32"/>
      <c r="AG60">
        <f t="shared" ca="1" si="16"/>
        <v>6</v>
      </c>
      <c r="AH60">
        <f t="shared" ca="1" si="17"/>
        <v>3</v>
      </c>
      <c r="AI60">
        <f t="shared" ca="1" si="18"/>
        <v>14</v>
      </c>
      <c r="AJ60">
        <f t="shared" ca="1" si="19"/>
        <v>22</v>
      </c>
    </row>
    <row r="61" spans="2:36">
      <c r="B61" s="40">
        <f>+COUNTIFS(SOIs!$D:$D, 'Ratings by CLO'!$J61)</f>
        <v>4</v>
      </c>
      <c r="C61" s="40">
        <f>+COUNTIFS(SOIs!$G:$G, 'Ratings by CLO'!$J61)</f>
        <v>1</v>
      </c>
      <c r="D61" s="40">
        <f>+COUNTIFS(SOIs!$J:$J, 'Ratings by CLO'!$J61)</f>
        <v>1</v>
      </c>
      <c r="E61" s="40">
        <f>+COUNTIFS(SOIs!$M:$M, 'Ratings by CLO'!$J61)</f>
        <v>0</v>
      </c>
      <c r="F61" s="40">
        <f>+COUNTIFS(SOIs!$P:$P, 'Ratings by CLO'!$J61)</f>
        <v>1</v>
      </c>
      <c r="G61" s="40">
        <f>+COUNTIFS(SOIs!$S:$S, 'Ratings by CLO'!$J61)</f>
        <v>1</v>
      </c>
      <c r="H61" s="40">
        <f>+COUNTIFS(SOIs!$V:$V, 'Ratings by CLO'!$J61)</f>
        <v>1</v>
      </c>
      <c r="I61" s="38"/>
      <c r="J61" s="32" t="str">
        <f>+SOIs!X62</f>
        <v>KNS</v>
      </c>
      <c r="K61" s="32"/>
      <c r="L61" s="28" t="str">
        <f>+IF(INDEX('Master Ratings'!$D:$D, MATCH('Ratings by CLO'!$J61,'Master Ratings'!$B:$B,0),0)=0,"",INDEX('Master Ratings'!$D:$D, MATCH('Ratings by CLO'!$J61,'Master Ratings'!$B:$B,0),0))</f>
        <v/>
      </c>
      <c r="M61" s="28" t="str">
        <f>+IF(INDEX('Master Ratings'!$E:$E, MATCH('Ratings by CLO'!$J61,'Master Ratings'!$B:$B,0),0)=0,"",INDEX('Master Ratings'!$E:$E, MATCH('Ratings by CLO'!$J61,'Master Ratings'!$B:$B,0),0))</f>
        <v/>
      </c>
      <c r="N61" s="28"/>
      <c r="O61" s="28" t="str">
        <f>+IF(INDEX('Master Ratings'!$G:$G, MATCH('Ratings by CLO'!$J61,'Master Ratings'!$B:$B,0),0)=0,"",INDEX('Master Ratings'!$G:$G, MATCH('Ratings by CLO'!$J61,'Master Ratings'!$B:$B,0),0))</f>
        <v>B-*</v>
      </c>
      <c r="P61" s="28" t="str">
        <f>+IF(INDEX('Master Ratings'!$H:$H, MATCH('Ratings by CLO'!$J61,'Master Ratings'!$B:$B,0),0)=0,"",INDEX('Master Ratings'!$H:$H, MATCH('Ratings by CLO'!$J61,'Master Ratings'!$B:$B,0),0))</f>
        <v>Credit Estimate</v>
      </c>
      <c r="Q61" s="8">
        <f>+IF(INDEX('Master Ratings'!$O:$O, MATCH('Ratings by CLO'!$J61,'Master Ratings'!$B:$B,0),0)=0,"",INDEX('Master Ratings'!$O:$O, MATCH('Ratings by CLO'!$J61,'Master Ratings'!$B:$B,0),0))</f>
        <v>45661</v>
      </c>
      <c r="R61" s="28"/>
      <c r="S61" s="28" t="str">
        <f>+IF(INDEX('Master Ratings'!$L:$L, MATCH('Ratings by CLO'!$J61,'Master Ratings'!$B:$B,0),0)=0,"",INDEX('Master Ratings'!$L:$L, MATCH('Ratings by CLO'!$J61,'Master Ratings'!$B:$B,0),0))</f>
        <v>B-*</v>
      </c>
      <c r="T61" s="28" t="str">
        <f>+IF(INDEX('Master Ratings'!$M:$M, MATCH('Ratings by CLO'!$J61,'Master Ratings'!$B:$B,0),0)=0,"",INDEX('Master Ratings'!$M:$M, MATCH('Ratings by CLO'!$J61,'Master Ratings'!$B:$B,0),0))</f>
        <v/>
      </c>
      <c r="U61" s="8" t="str">
        <f>+IF(INDEX('Master Ratings'!$P:$P, MATCH('Ratings by CLO'!$J61,'Master Ratings'!$B:$B,0),0)=0,"",INDEX('Master Ratings'!$P:$P, MATCH('Ratings by CLO'!$J61,'Master Ratings'!$B:$B,0),0))</f>
        <v>12.8.2023</v>
      </c>
      <c r="W61" s="5">
        <f t="shared" ca="1" si="3"/>
        <v>62</v>
      </c>
      <c r="X61" s="5" t="str">
        <f t="shared" ca="1" si="4"/>
        <v/>
      </c>
      <c r="Z61" s="5" t="str">
        <f t="shared" ca="1" si="5"/>
        <v/>
      </c>
      <c r="AA61" s="5" t="str">
        <f t="shared" ca="1" si="6"/>
        <v/>
      </c>
      <c r="AB61" s="5" t="str">
        <f t="shared" ca="1" si="7"/>
        <v/>
      </c>
      <c r="AC61" s="5" t="str">
        <f t="shared" ca="1" si="8"/>
        <v/>
      </c>
      <c r="AD61" s="5"/>
      <c r="AE61" s="5" t="str">
        <f t="shared" si="21"/>
        <v/>
      </c>
      <c r="AF61" s="32"/>
      <c r="AG61">
        <f t="shared" ca="1" si="16"/>
        <v>6</v>
      </c>
      <c r="AH61">
        <f t="shared" ca="1" si="17"/>
        <v>3</v>
      </c>
      <c r="AI61">
        <f t="shared" ca="1" si="18"/>
        <v>14</v>
      </c>
      <c r="AJ61">
        <f t="shared" ca="1" si="19"/>
        <v>22</v>
      </c>
    </row>
    <row r="62" spans="2:36">
      <c r="B62" s="40">
        <f>+COUNTIFS(SOIs!$D:$D, 'Ratings by CLO'!$J62)</f>
        <v>0</v>
      </c>
      <c r="C62" s="40">
        <f>+COUNTIFS(SOIs!$G:$G, 'Ratings by CLO'!$J62)</f>
        <v>0</v>
      </c>
      <c r="D62" s="40">
        <f>+COUNTIFS(SOIs!$J:$J, 'Ratings by CLO'!$J62)</f>
        <v>0</v>
      </c>
      <c r="E62" s="40">
        <f>+COUNTIFS(SOIs!$M:$M, 'Ratings by CLO'!$J62)</f>
        <v>0</v>
      </c>
      <c r="F62" s="40">
        <f>+COUNTIFS(SOIs!$P:$P, 'Ratings by CLO'!$J62)</f>
        <v>1</v>
      </c>
      <c r="G62" s="40">
        <f>+COUNTIFS(SOIs!$S:$S, 'Ratings by CLO'!$J62)</f>
        <v>0</v>
      </c>
      <c r="H62" s="40">
        <f>+COUNTIFS(SOIs!$V:$V, 'Ratings by CLO'!$J62)</f>
        <v>0</v>
      </c>
      <c r="I62" s="38"/>
      <c r="J62" s="32" t="str">
        <f>+SOIs!X63</f>
        <v>Kroll</v>
      </c>
      <c r="K62" s="32"/>
      <c r="L62" s="28" t="str">
        <f>+IF(INDEX('Master Ratings'!$D:$D, MATCH('Ratings by CLO'!$J62,'Master Ratings'!$B:$B,0),0)=0,"",INDEX('Master Ratings'!$D:$D, MATCH('Ratings by CLO'!$J62,'Master Ratings'!$B:$B,0),0))</f>
        <v>B3</v>
      </c>
      <c r="M62" s="28" t="str">
        <f>+IF(INDEX('Master Ratings'!$E:$E, MATCH('Ratings by CLO'!$J62,'Master Ratings'!$B:$B,0),0)=0,"",INDEX('Master Ratings'!$E:$E, MATCH('Ratings by CLO'!$J62,'Master Ratings'!$B:$B,0),0))</f>
        <v>Rating (Public)</v>
      </c>
      <c r="N62" s="28"/>
      <c r="O62" s="28" t="str">
        <f>+IF(INDEX('Master Ratings'!$G:$G, MATCH('Ratings by CLO'!$J62,'Master Ratings'!$B:$B,0),0)=0,"",INDEX('Master Ratings'!$G:$G, MATCH('Ratings by CLO'!$J62,'Master Ratings'!$B:$B,0),0))</f>
        <v>B-</v>
      </c>
      <c r="P62" s="28" t="str">
        <f>+IF(INDEX('Master Ratings'!$H:$H, MATCH('Ratings by CLO'!$J62,'Master Ratings'!$B:$B,0),0)=0,"",INDEX('Master Ratings'!$H:$H, MATCH('Ratings by CLO'!$J62,'Master Ratings'!$B:$B,0),0))</f>
        <v>Rating (Public)</v>
      </c>
      <c r="Q62" s="8" t="str">
        <f>+IF(INDEX('Master Ratings'!$O:$O, MATCH('Ratings by CLO'!$J62,'Master Ratings'!$B:$B,0),0)=0,"",INDEX('Master Ratings'!$O:$O, MATCH('Ratings by CLO'!$J62,'Master Ratings'!$B:$B,0),0))</f>
        <v/>
      </c>
      <c r="R62" s="28"/>
      <c r="S62" s="28" t="str">
        <f>+IF(INDEX('Master Ratings'!$L:$L, MATCH('Ratings by CLO'!$J62,'Master Ratings'!$B:$B,0),0)=0,"",INDEX('Master Ratings'!$L:$L, MATCH('Ratings by CLO'!$J62,'Master Ratings'!$B:$B,0),0))</f>
        <v/>
      </c>
      <c r="T62" s="28" t="str">
        <f>+IF(INDEX('Master Ratings'!$M:$M, MATCH('Ratings by CLO'!$J62,'Master Ratings'!$B:$B,0),0)=0,"",INDEX('Master Ratings'!$M:$M, MATCH('Ratings by CLO'!$J62,'Master Ratings'!$B:$B,0),0))</f>
        <v/>
      </c>
      <c r="U62" s="8" t="str">
        <f>+IF(INDEX('Master Ratings'!$P:$P, MATCH('Ratings by CLO'!$J62,'Master Ratings'!$B:$B,0),0)=0,"",INDEX('Master Ratings'!$P:$P, MATCH('Ratings by CLO'!$J62,'Master Ratings'!$B:$B,0),0))</f>
        <v/>
      </c>
      <c r="W62" s="5" t="str">
        <f t="shared" ca="1" si="3"/>
        <v/>
      </c>
      <c r="X62" s="5" t="str">
        <f t="shared" ca="1" si="4"/>
        <v/>
      </c>
      <c r="Z62" s="5" t="str">
        <f t="shared" ca="1" si="5"/>
        <v/>
      </c>
      <c r="AA62" s="5" t="str">
        <f t="shared" ca="1" si="6"/>
        <v/>
      </c>
      <c r="AB62" s="5" t="str">
        <f t="shared" ca="1" si="7"/>
        <v/>
      </c>
      <c r="AC62" s="5" t="str">
        <f t="shared" ca="1" si="8"/>
        <v/>
      </c>
      <c r="AD62" s="5"/>
      <c r="AE62" s="5" t="str">
        <f t="shared" si="21"/>
        <v/>
      </c>
      <c r="AF62" s="32"/>
      <c r="AG62">
        <f t="shared" ca="1" si="16"/>
        <v>6</v>
      </c>
      <c r="AH62">
        <f t="shared" ca="1" si="17"/>
        <v>3</v>
      </c>
      <c r="AI62">
        <f t="shared" ca="1" si="18"/>
        <v>14</v>
      </c>
      <c r="AJ62">
        <f t="shared" ca="1" si="19"/>
        <v>22</v>
      </c>
    </row>
    <row r="63" spans="2:36">
      <c r="B63" s="40">
        <f>+COUNTIFS(SOIs!$D:$D, 'Ratings by CLO'!$J63)</f>
        <v>3</v>
      </c>
      <c r="C63" s="40">
        <f>+COUNTIFS(SOIs!$G:$G, 'Ratings by CLO'!$J63)</f>
        <v>0</v>
      </c>
      <c r="D63" s="40">
        <f>+COUNTIFS(SOIs!$J:$J, 'Ratings by CLO'!$J63)</f>
        <v>1</v>
      </c>
      <c r="E63" s="40">
        <f>+COUNTIFS(SOIs!$M:$M, 'Ratings by CLO'!$J63)</f>
        <v>0</v>
      </c>
      <c r="F63" s="40">
        <f>+COUNTIFS(SOIs!$P:$P, 'Ratings by CLO'!$J63)</f>
        <v>1</v>
      </c>
      <c r="G63" s="40">
        <f>+COUNTIFS(SOIs!$S:$S, 'Ratings by CLO'!$J63)</f>
        <v>0</v>
      </c>
      <c r="H63" s="40">
        <f>+COUNTIFS(SOIs!$V:$V, 'Ratings by CLO'!$J63)</f>
        <v>0</v>
      </c>
      <c r="I63" s="38"/>
      <c r="J63" s="32" t="str">
        <f>+SOIs!X64</f>
        <v>Ledge Lounger</v>
      </c>
      <c r="K63" s="32"/>
      <c r="L63" s="28" t="str">
        <f>+IF(INDEX('Master Ratings'!$D:$D, MATCH('Ratings by CLO'!$J63,'Master Ratings'!$B:$B,0),0)=0,"",INDEX('Master Ratings'!$D:$D, MATCH('Ratings by CLO'!$J63,'Master Ratings'!$B:$B,0),0))</f>
        <v/>
      </c>
      <c r="M63" s="28" t="str">
        <f>+IF(INDEX('Master Ratings'!$E:$E, MATCH('Ratings by CLO'!$J63,'Master Ratings'!$B:$B,0),0)=0,"",INDEX('Master Ratings'!$E:$E, MATCH('Ratings by CLO'!$J63,'Master Ratings'!$B:$B,0),0))</f>
        <v/>
      </c>
      <c r="N63" s="28"/>
      <c r="O63" s="28" t="str">
        <f>+IF(INDEX('Master Ratings'!$G:$G, MATCH('Ratings by CLO'!$J63,'Master Ratings'!$B:$B,0),0)=0,"",INDEX('Master Ratings'!$G:$G, MATCH('Ratings by CLO'!$J63,'Master Ratings'!$B:$B,0),0))</f>
        <v>CCC*</v>
      </c>
      <c r="P63" s="28" t="str">
        <f>+IF(INDEX('Master Ratings'!$H:$H, MATCH('Ratings by CLO'!$J63,'Master Ratings'!$B:$B,0),0)=0,"",INDEX('Master Ratings'!$H:$H, MATCH('Ratings by CLO'!$J63,'Master Ratings'!$B:$B,0),0))</f>
        <v>Credit Estimate</v>
      </c>
      <c r="Q63" s="8">
        <f>+IF(INDEX('Master Ratings'!$O:$O, MATCH('Ratings by CLO'!$J63,'Master Ratings'!$B:$B,0),0)=0,"",INDEX('Master Ratings'!$O:$O, MATCH('Ratings by CLO'!$J63,'Master Ratings'!$B:$B,0),0))</f>
        <v>45478</v>
      </c>
      <c r="R63" s="28"/>
      <c r="S63" s="28" t="str">
        <f>+IF(INDEX('Master Ratings'!$L:$L, MATCH('Ratings by CLO'!$J63,'Master Ratings'!$B:$B,0),0)=0,"",INDEX('Master Ratings'!$L:$L, MATCH('Ratings by CLO'!$J63,'Master Ratings'!$B:$B,0),0))</f>
        <v>B-*</v>
      </c>
      <c r="T63" s="28" t="str">
        <f>+IF(INDEX('Master Ratings'!$M:$M, MATCH('Ratings by CLO'!$J63,'Master Ratings'!$B:$B,0),0)=0,"",INDEX('Master Ratings'!$M:$M, MATCH('Ratings by CLO'!$J63,'Master Ratings'!$B:$B,0),0))</f>
        <v>Credit Estimate</v>
      </c>
      <c r="U63" s="8">
        <f>+IF(INDEX('Master Ratings'!$P:$P, MATCH('Ratings by CLO'!$J63,'Master Ratings'!$B:$B,0),0)=0,"",INDEX('Master Ratings'!$P:$P, MATCH('Ratings by CLO'!$J63,'Master Ratings'!$B:$B,0),0))</f>
        <v>45093</v>
      </c>
      <c r="W63" s="5">
        <f t="shared" ca="1" si="3"/>
        <v>-121</v>
      </c>
      <c r="X63" s="5">
        <f t="shared" ca="1" si="4"/>
        <v>-506</v>
      </c>
      <c r="Z63" s="5" t="str">
        <f t="shared" ca="1" si="5"/>
        <v/>
      </c>
      <c r="AA63" s="5" t="str">
        <f t="shared" ca="1" si="6"/>
        <v/>
      </c>
      <c r="AB63" s="5" t="str">
        <f t="shared" ca="1" si="7"/>
        <v>X</v>
      </c>
      <c r="AC63" s="5" t="str">
        <f t="shared" ca="1" si="8"/>
        <v>X</v>
      </c>
      <c r="AD63" s="5"/>
      <c r="AE63" s="5" t="str">
        <f t="shared" si="21"/>
        <v/>
      </c>
      <c r="AF63" s="32"/>
      <c r="AG63">
        <f t="shared" ca="1" si="16"/>
        <v>6</v>
      </c>
      <c r="AH63">
        <f t="shared" ca="1" si="17"/>
        <v>3</v>
      </c>
      <c r="AI63">
        <f t="shared" ca="1" si="18"/>
        <v>15</v>
      </c>
      <c r="AJ63">
        <f t="shared" ca="1" si="19"/>
        <v>23</v>
      </c>
    </row>
    <row r="64" spans="2:36">
      <c r="B64" s="40">
        <f>+COUNTIFS(SOIs!$D:$D, 'Ratings by CLO'!$J64)</f>
        <v>4</v>
      </c>
      <c r="C64" s="40">
        <f>+COUNTIFS(SOIs!$G:$G, 'Ratings by CLO'!$J64)</f>
        <v>1</v>
      </c>
      <c r="D64" s="40">
        <f>+COUNTIFS(SOIs!$J:$J, 'Ratings by CLO'!$J64)</f>
        <v>1</v>
      </c>
      <c r="E64" s="40">
        <f>+COUNTIFS(SOIs!$M:$M, 'Ratings by CLO'!$J64)</f>
        <v>1</v>
      </c>
      <c r="F64" s="40">
        <f>+COUNTIFS(SOIs!$P:$P, 'Ratings by CLO'!$J64)</f>
        <v>1</v>
      </c>
      <c r="G64" s="40">
        <f>+COUNTIFS(SOIs!$S:$S, 'Ratings by CLO'!$J64)</f>
        <v>1</v>
      </c>
      <c r="H64" s="40">
        <f>+COUNTIFS(SOIs!$V:$V, 'Ratings by CLO'!$J64)</f>
        <v>1</v>
      </c>
      <c r="I64" s="38"/>
      <c r="J64" s="32" t="str">
        <f>+SOIs!X65</f>
        <v>Lilly Lashes</v>
      </c>
      <c r="K64" s="32"/>
      <c r="L64" s="28" t="str">
        <f>+IF(INDEX('Master Ratings'!$D:$D, MATCH('Ratings by CLO'!$J64,'Master Ratings'!$B:$B,0),0)=0,"",INDEX('Master Ratings'!$D:$D, MATCH('Ratings by CLO'!$J64,'Master Ratings'!$B:$B,0),0))</f>
        <v/>
      </c>
      <c r="M64" s="28" t="str">
        <f>+IF(INDEX('Master Ratings'!$E:$E, MATCH('Ratings by CLO'!$J64,'Master Ratings'!$B:$B,0),0)=0,"",INDEX('Master Ratings'!$E:$E, MATCH('Ratings by CLO'!$J64,'Master Ratings'!$B:$B,0),0))</f>
        <v/>
      </c>
      <c r="N64" s="28"/>
      <c r="O64" s="28" t="str">
        <f>+IF(INDEX('Master Ratings'!$G:$G, MATCH('Ratings by CLO'!$J64,'Master Ratings'!$B:$B,0),0)=0,"",INDEX('Master Ratings'!$G:$G, MATCH('Ratings by CLO'!$J64,'Master Ratings'!$B:$B,0),0))</f>
        <v>CCC-*</v>
      </c>
      <c r="P64" s="28" t="str">
        <f>+IF(INDEX('Master Ratings'!$H:$H, MATCH('Ratings by CLO'!$J64,'Master Ratings'!$B:$B,0),0)=0,"",INDEX('Master Ratings'!$H:$H, MATCH('Ratings by CLO'!$J64,'Master Ratings'!$B:$B,0),0))</f>
        <v>Rating (Private)</v>
      </c>
      <c r="Q64" s="8">
        <f>+IF(INDEX('Master Ratings'!$O:$O, MATCH('Ratings by CLO'!$J64,'Master Ratings'!$B:$B,0),0)=0,"",INDEX('Master Ratings'!$O:$O, MATCH('Ratings by CLO'!$J64,'Master Ratings'!$B:$B,0),0))</f>
        <v>45764</v>
      </c>
      <c r="R64" s="28"/>
      <c r="S64" s="28" t="str">
        <f>+IF(INDEX('Master Ratings'!$L:$L, MATCH('Ratings by CLO'!$J64,'Master Ratings'!$B:$B,0),0)=0,"",INDEX('Master Ratings'!$L:$L, MATCH('Ratings by CLO'!$J64,'Master Ratings'!$B:$B,0),0))</f>
        <v>CCC*</v>
      </c>
      <c r="T64" s="28" t="str">
        <f>+IF(INDEX('Master Ratings'!$M:$M, MATCH('Ratings by CLO'!$J64,'Master Ratings'!$B:$B,0),0)=0,"",INDEX('Master Ratings'!$M:$M, MATCH('Ratings by CLO'!$J64,'Master Ratings'!$B:$B,0),0))</f>
        <v>Credit Estimate</v>
      </c>
      <c r="U64" s="8">
        <f>+IF(INDEX('Master Ratings'!$P:$P, MATCH('Ratings by CLO'!$J64,'Master Ratings'!$B:$B,0),0)=0,"",INDEX('Master Ratings'!$P:$P, MATCH('Ratings by CLO'!$J64,'Master Ratings'!$B:$B,0),0))</f>
        <v>45366</v>
      </c>
      <c r="W64" s="5">
        <f t="shared" ca="1" si="3"/>
        <v>165</v>
      </c>
      <c r="X64" s="5">
        <f t="shared" ca="1" si="4"/>
        <v>-233</v>
      </c>
      <c r="Z64" s="5" t="str">
        <f t="shared" ca="1" si="5"/>
        <v/>
      </c>
      <c r="AA64" s="5" t="str">
        <f t="shared" ca="1" si="6"/>
        <v/>
      </c>
      <c r="AB64" s="5" t="str">
        <f t="shared" ca="1" si="7"/>
        <v/>
      </c>
      <c r="AC64" s="5" t="str">
        <f t="shared" ca="1" si="8"/>
        <v>X</v>
      </c>
      <c r="AD64" s="5"/>
      <c r="AE64" s="5" t="str">
        <f t="shared" si="21"/>
        <v/>
      </c>
      <c r="AF64" s="32"/>
      <c r="AG64">
        <f t="shared" ca="1" si="16"/>
        <v>6</v>
      </c>
      <c r="AH64">
        <f t="shared" ca="1" si="17"/>
        <v>3</v>
      </c>
      <c r="AI64">
        <f t="shared" ca="1" si="18"/>
        <v>15</v>
      </c>
      <c r="AJ64">
        <f t="shared" ca="1" si="19"/>
        <v>24</v>
      </c>
    </row>
    <row r="65" spans="2:36">
      <c r="B65" s="40">
        <f>+COUNTIFS(SOIs!$D:$D, 'Ratings by CLO'!$J65)</f>
        <v>3</v>
      </c>
      <c r="C65" s="40">
        <f>+COUNTIFS(SOIs!$G:$G, 'Ratings by CLO'!$J65)</f>
        <v>1</v>
      </c>
      <c r="D65" s="40">
        <f>+COUNTIFS(SOIs!$J:$J, 'Ratings by CLO'!$J65)</f>
        <v>0</v>
      </c>
      <c r="E65" s="40">
        <f>+COUNTIFS(SOIs!$M:$M, 'Ratings by CLO'!$J65)</f>
        <v>1</v>
      </c>
      <c r="F65" s="40">
        <f>+COUNTIFS(SOIs!$P:$P, 'Ratings by CLO'!$J65)</f>
        <v>0</v>
      </c>
      <c r="G65" s="40">
        <f>+COUNTIFS(SOIs!$S:$S, 'Ratings by CLO'!$J65)</f>
        <v>1</v>
      </c>
      <c r="H65" s="40">
        <f>+COUNTIFS(SOIs!$V:$V, 'Ratings by CLO'!$J65)</f>
        <v>1</v>
      </c>
      <c r="I65" s="38"/>
      <c r="J65" s="32" t="str">
        <f>+SOIs!X66</f>
        <v>MAG Aerospace</v>
      </c>
      <c r="K65" s="32"/>
      <c r="L65" s="28" t="str">
        <f>+IF(INDEX('Master Ratings'!$D:$D, MATCH('Ratings by CLO'!$J65,'Master Ratings'!$B:$B,0),0)=0,"",INDEX('Master Ratings'!$D:$D, MATCH('Ratings by CLO'!$J65,'Master Ratings'!$B:$B,0),0))</f>
        <v>B3</v>
      </c>
      <c r="M65" s="28" t="str">
        <f>+IF(INDEX('Master Ratings'!$E:$E, MATCH('Ratings by CLO'!$J65,'Master Ratings'!$B:$B,0),0)=0,"",INDEX('Master Ratings'!$E:$E, MATCH('Ratings by CLO'!$J65,'Master Ratings'!$B:$B,0),0))</f>
        <v>Rating (Public)</v>
      </c>
      <c r="N65" s="28"/>
      <c r="O65" s="28" t="str">
        <f>+IF(INDEX('Master Ratings'!$G:$G, MATCH('Ratings by CLO'!$J65,'Master Ratings'!$B:$B,0),0)=0,"",INDEX('Master Ratings'!$G:$G, MATCH('Ratings by CLO'!$J65,'Master Ratings'!$B:$B,0),0))</f>
        <v>B-</v>
      </c>
      <c r="P65" s="28" t="str">
        <f>+IF(INDEX('Master Ratings'!$H:$H, MATCH('Ratings by CLO'!$J65,'Master Ratings'!$B:$B,0),0)=0,"",INDEX('Master Ratings'!$H:$H, MATCH('Ratings by CLO'!$J65,'Master Ratings'!$B:$B,0),0))</f>
        <v>Rating (Public)</v>
      </c>
      <c r="Q65" s="8" t="str">
        <f>+IF(INDEX('Master Ratings'!$O:$O, MATCH('Ratings by CLO'!$J65,'Master Ratings'!$B:$B,0),0)=0,"",INDEX('Master Ratings'!$O:$O, MATCH('Ratings by CLO'!$J65,'Master Ratings'!$B:$B,0),0))</f>
        <v/>
      </c>
      <c r="R65" s="28"/>
      <c r="S65" s="28" t="str">
        <f>+IF(INDEX('Master Ratings'!$L:$L, MATCH('Ratings by CLO'!$J65,'Master Ratings'!$B:$B,0),0)=0,"",INDEX('Master Ratings'!$L:$L, MATCH('Ratings by CLO'!$J65,'Master Ratings'!$B:$B,0),0))</f>
        <v/>
      </c>
      <c r="T65" s="28" t="str">
        <f>+IF(INDEX('Master Ratings'!$M:$M, MATCH('Ratings by CLO'!$J65,'Master Ratings'!$B:$B,0),0)=0,"",INDEX('Master Ratings'!$M:$M, MATCH('Ratings by CLO'!$J65,'Master Ratings'!$B:$B,0),0))</f>
        <v/>
      </c>
      <c r="U65" s="8" t="str">
        <f>+IF(INDEX('Master Ratings'!$P:$P, MATCH('Ratings by CLO'!$J65,'Master Ratings'!$B:$B,0),0)=0,"",INDEX('Master Ratings'!$P:$P, MATCH('Ratings by CLO'!$J65,'Master Ratings'!$B:$B,0),0))</f>
        <v/>
      </c>
      <c r="W65" s="5" t="str">
        <f t="shared" ca="1" si="3"/>
        <v/>
      </c>
      <c r="X65" s="5" t="str">
        <f t="shared" ca="1" si="4"/>
        <v/>
      </c>
      <c r="Z65" s="5" t="str">
        <f t="shared" ca="1" si="5"/>
        <v/>
      </c>
      <c r="AA65" s="5" t="str">
        <f t="shared" ca="1" si="6"/>
        <v/>
      </c>
      <c r="AB65" s="5" t="str">
        <f t="shared" ca="1" si="7"/>
        <v/>
      </c>
      <c r="AC65" s="5" t="str">
        <f t="shared" ca="1" si="8"/>
        <v/>
      </c>
      <c r="AD65" s="5"/>
      <c r="AE65" s="5" t="str">
        <f t="shared" si="21"/>
        <v/>
      </c>
      <c r="AF65" s="32"/>
      <c r="AG65">
        <f t="shared" ca="1" si="16"/>
        <v>6</v>
      </c>
      <c r="AH65">
        <f t="shared" ca="1" si="17"/>
        <v>3</v>
      </c>
      <c r="AI65">
        <f t="shared" ca="1" si="18"/>
        <v>15</v>
      </c>
      <c r="AJ65">
        <f t="shared" ca="1" si="19"/>
        <v>24</v>
      </c>
    </row>
    <row r="66" spans="2:36">
      <c r="B66" s="40">
        <f>+COUNTIFS(SOIs!$D:$D, 'Ratings by CLO'!$J66)</f>
        <v>4</v>
      </c>
      <c r="C66" s="40">
        <f>+COUNTIFS(SOIs!$G:$G, 'Ratings by CLO'!$J66)</f>
        <v>1</v>
      </c>
      <c r="D66" s="40">
        <f>+COUNTIFS(SOIs!$J:$J, 'Ratings by CLO'!$J66)</f>
        <v>1</v>
      </c>
      <c r="E66" s="40">
        <f>+COUNTIFS(SOIs!$M:$M, 'Ratings by CLO'!$J66)</f>
        <v>1</v>
      </c>
      <c r="F66" s="40">
        <f>+COUNTIFS(SOIs!$P:$P, 'Ratings by CLO'!$J66)</f>
        <v>0</v>
      </c>
      <c r="G66" s="40">
        <f>+COUNTIFS(SOIs!$S:$S, 'Ratings by CLO'!$J66)</f>
        <v>1</v>
      </c>
      <c r="H66" s="40">
        <f>+COUNTIFS(SOIs!$V:$V, 'Ratings by CLO'!$J66)</f>
        <v>1</v>
      </c>
      <c r="I66" s="38"/>
      <c r="J66" s="32" t="str">
        <f>+SOIs!X67</f>
        <v>Mars Agency</v>
      </c>
      <c r="K66" s="32"/>
      <c r="L66" s="28" t="str">
        <f>+IF(INDEX('Master Ratings'!$D:$D, MATCH('Ratings by CLO'!$J66,'Master Ratings'!$B:$B,0),0)=0,"",INDEX('Master Ratings'!$D:$D, MATCH('Ratings by CLO'!$J66,'Master Ratings'!$B:$B,0),0))</f>
        <v/>
      </c>
      <c r="M66" s="28" t="str">
        <f>+IF(INDEX('Master Ratings'!$E:$E, MATCH('Ratings by CLO'!$J66,'Master Ratings'!$B:$B,0),0)=0,"",INDEX('Master Ratings'!$E:$E, MATCH('Ratings by CLO'!$J66,'Master Ratings'!$B:$B,0),0))</f>
        <v/>
      </c>
      <c r="N66" s="28"/>
      <c r="O66" s="28" t="str">
        <f>+IF(INDEX('Master Ratings'!$G:$G, MATCH('Ratings by CLO'!$J66,'Master Ratings'!$B:$B,0),0)=0,"",INDEX('Master Ratings'!$G:$G, MATCH('Ratings by CLO'!$J66,'Master Ratings'!$B:$B,0),0))</f>
        <v>B*</v>
      </c>
      <c r="P66" s="28" t="str">
        <f>+IF(INDEX('Master Ratings'!$H:$H, MATCH('Ratings by CLO'!$J66,'Master Ratings'!$B:$B,0),0)=0,"",INDEX('Master Ratings'!$H:$H, MATCH('Ratings by CLO'!$J66,'Master Ratings'!$B:$B,0),0))</f>
        <v>Credit Estimate</v>
      </c>
      <c r="Q66" s="8">
        <f>+IF(INDEX('Master Ratings'!$O:$O, MATCH('Ratings by CLO'!$J66,'Master Ratings'!$B:$B,0),0)=0,"",INDEX('Master Ratings'!$O:$O, MATCH('Ratings by CLO'!$J66,'Master Ratings'!$B:$B,0),0))</f>
        <v>45328</v>
      </c>
      <c r="R66" s="28"/>
      <c r="S66" s="28" t="str">
        <f>+IF(INDEX('Master Ratings'!$L:$L, MATCH('Ratings by CLO'!$J66,'Master Ratings'!$B:$B,0),0)=0,"",INDEX('Master Ratings'!$L:$L, MATCH('Ratings by CLO'!$J66,'Master Ratings'!$B:$B,0),0))</f>
        <v>B-*</v>
      </c>
      <c r="T66" s="28" t="str">
        <f>+IF(INDEX('Master Ratings'!$M:$M, MATCH('Ratings by CLO'!$J66,'Master Ratings'!$B:$B,0),0)=0,"",INDEX('Master Ratings'!$M:$M, MATCH('Ratings by CLO'!$J66,'Master Ratings'!$B:$B,0),0))</f>
        <v>Credit Estimate</v>
      </c>
      <c r="U66" s="8">
        <f>+IF(INDEX('Master Ratings'!$P:$P, MATCH('Ratings by CLO'!$J66,'Master Ratings'!$B:$B,0),0)=0,"",INDEX('Master Ratings'!$P:$P, MATCH('Ratings by CLO'!$J66,'Master Ratings'!$B:$B,0),0))</f>
        <v>45107</v>
      </c>
      <c r="W66" s="5">
        <f t="shared" ca="1" si="3"/>
        <v>-271</v>
      </c>
      <c r="X66" s="5">
        <f t="shared" ca="1" si="4"/>
        <v>-492</v>
      </c>
      <c r="Z66" s="5" t="str">
        <f t="shared" ca="1" si="5"/>
        <v/>
      </c>
      <c r="AA66" s="5" t="str">
        <f t="shared" ca="1" si="6"/>
        <v/>
      </c>
      <c r="AB66" s="5" t="str">
        <f t="shared" ca="1" si="7"/>
        <v>X</v>
      </c>
      <c r="AC66" s="5" t="str">
        <f t="shared" ca="1" si="8"/>
        <v>X</v>
      </c>
      <c r="AD66" s="5"/>
      <c r="AE66" s="5" t="str">
        <f t="shared" si="21"/>
        <v/>
      </c>
      <c r="AF66" s="32"/>
      <c r="AG66">
        <f t="shared" ca="1" si="16"/>
        <v>6</v>
      </c>
      <c r="AH66">
        <f t="shared" ca="1" si="17"/>
        <v>3</v>
      </c>
      <c r="AI66">
        <f t="shared" ca="1" si="18"/>
        <v>16</v>
      </c>
      <c r="AJ66">
        <f t="shared" ca="1" si="19"/>
        <v>25</v>
      </c>
    </row>
    <row r="67" spans="2:36">
      <c r="B67" s="40">
        <f>+COUNTIFS(SOIs!$D:$D, 'Ratings by CLO'!$J67)</f>
        <v>1</v>
      </c>
      <c r="C67" s="40">
        <f>+COUNTIFS(SOIs!$G:$G, 'Ratings by CLO'!$J67)</f>
        <v>0</v>
      </c>
      <c r="D67" s="40">
        <f>+COUNTIFS(SOIs!$J:$J, 'Ratings by CLO'!$J67)</f>
        <v>1</v>
      </c>
      <c r="E67" s="40">
        <f>+COUNTIFS(SOIs!$M:$M, 'Ratings by CLO'!$J67)</f>
        <v>1</v>
      </c>
      <c r="F67" s="40">
        <f>+COUNTIFS(SOIs!$P:$P, 'Ratings by CLO'!$J67)</f>
        <v>1</v>
      </c>
      <c r="G67" s="40">
        <f>+COUNTIFS(SOIs!$S:$S, 'Ratings by CLO'!$J67)</f>
        <v>1</v>
      </c>
      <c r="H67" s="40">
        <f>+COUNTIFS(SOIs!$V:$V, 'Ratings by CLO'!$J67)</f>
        <v>0</v>
      </c>
      <c r="I67" s="38"/>
      <c r="J67" s="32" t="str">
        <f>+SOIs!X68</f>
        <v>McAfee</v>
      </c>
      <c r="K67" s="32"/>
      <c r="L67" s="28" t="str">
        <f>+IF(INDEX('Master Ratings'!$D:$D, MATCH('Ratings by CLO'!$J67,'Master Ratings'!$B:$B,0),0)=0,"",INDEX('Master Ratings'!$D:$D, MATCH('Ratings by CLO'!$J67,'Master Ratings'!$B:$B,0),0))</f>
        <v>B3</v>
      </c>
      <c r="M67" s="28" t="str">
        <f>+IF(INDEX('Master Ratings'!$E:$E, MATCH('Ratings by CLO'!$J67,'Master Ratings'!$B:$B,0),0)=0,"",INDEX('Master Ratings'!$E:$E, MATCH('Ratings by CLO'!$J67,'Master Ratings'!$B:$B,0),0))</f>
        <v>Rating (Public)</v>
      </c>
      <c r="N67" s="28"/>
      <c r="O67" s="28" t="str">
        <f>+IF(INDEX('Master Ratings'!$G:$G, MATCH('Ratings by CLO'!$J67,'Master Ratings'!$B:$B,0),0)=0,"",INDEX('Master Ratings'!$G:$G, MATCH('Ratings by CLO'!$J67,'Master Ratings'!$B:$B,0),0))</f>
        <v>CCC+</v>
      </c>
      <c r="P67" s="28" t="str">
        <f>+IF(INDEX('Master Ratings'!$H:$H, MATCH('Ratings by CLO'!$J67,'Master Ratings'!$B:$B,0),0)=0,"",INDEX('Master Ratings'!$H:$H, MATCH('Ratings by CLO'!$J67,'Master Ratings'!$B:$B,0),0))</f>
        <v>Rating (Public)</v>
      </c>
      <c r="Q67" s="8" t="str">
        <f>+IF(INDEX('Master Ratings'!$O:$O, MATCH('Ratings by CLO'!$J67,'Master Ratings'!$B:$B,0),0)=0,"",INDEX('Master Ratings'!$O:$O, MATCH('Ratings by CLO'!$J67,'Master Ratings'!$B:$B,0),0))</f>
        <v/>
      </c>
      <c r="R67" s="28"/>
      <c r="S67" s="28" t="str">
        <f>+IF(INDEX('Master Ratings'!$L:$L, MATCH('Ratings by CLO'!$J67,'Master Ratings'!$B:$B,0),0)=0,"",INDEX('Master Ratings'!$L:$L, MATCH('Ratings by CLO'!$J67,'Master Ratings'!$B:$B,0),0))</f>
        <v/>
      </c>
      <c r="T67" s="28" t="str">
        <f>+IF(INDEX('Master Ratings'!$M:$M, MATCH('Ratings by CLO'!$J67,'Master Ratings'!$B:$B,0),0)=0,"",INDEX('Master Ratings'!$M:$M, MATCH('Ratings by CLO'!$J67,'Master Ratings'!$B:$B,0),0))</f>
        <v/>
      </c>
      <c r="U67" s="8" t="str">
        <f>+IF(INDEX('Master Ratings'!$P:$P, MATCH('Ratings by CLO'!$J67,'Master Ratings'!$B:$B,0),0)=0,"",INDEX('Master Ratings'!$P:$P, MATCH('Ratings by CLO'!$J67,'Master Ratings'!$B:$B,0),0))</f>
        <v/>
      </c>
      <c r="W67" s="5" t="str">
        <f t="shared" ca="1" si="3"/>
        <v/>
      </c>
      <c r="X67" s="5" t="str">
        <f t="shared" ca="1" si="4"/>
        <v/>
      </c>
      <c r="Z67" s="5" t="str">
        <f t="shared" ca="1" si="5"/>
        <v/>
      </c>
      <c r="AA67" s="5" t="str">
        <f t="shared" ca="1" si="6"/>
        <v/>
      </c>
      <c r="AB67" s="5" t="str">
        <f t="shared" ca="1" si="7"/>
        <v/>
      </c>
      <c r="AC67" s="5" t="str">
        <f t="shared" ca="1" si="8"/>
        <v/>
      </c>
      <c r="AD67" s="5"/>
      <c r="AE67" s="5" t="str">
        <f t="shared" si="21"/>
        <v/>
      </c>
      <c r="AF67" s="32"/>
      <c r="AG67">
        <f t="shared" ca="1" si="16"/>
        <v>6</v>
      </c>
      <c r="AH67">
        <f t="shared" ca="1" si="17"/>
        <v>3</v>
      </c>
      <c r="AI67">
        <f t="shared" ca="1" si="18"/>
        <v>16</v>
      </c>
      <c r="AJ67">
        <f t="shared" ca="1" si="19"/>
        <v>25</v>
      </c>
    </row>
    <row r="68" spans="2:36">
      <c r="B68" s="40">
        <f>+COUNTIFS(SOIs!$D:$D, 'Ratings by CLO'!$J68)</f>
        <v>4</v>
      </c>
      <c r="C68" s="40">
        <f>+COUNTIFS(SOIs!$G:$G, 'Ratings by CLO'!$J68)</f>
        <v>1</v>
      </c>
      <c r="D68" s="40">
        <f>+COUNTIFS(SOIs!$J:$J, 'Ratings by CLO'!$J68)</f>
        <v>1</v>
      </c>
      <c r="E68" s="40">
        <f>+COUNTIFS(SOIs!$M:$M, 'Ratings by CLO'!$J68)</f>
        <v>1</v>
      </c>
      <c r="F68" s="40">
        <f>+COUNTIFS(SOIs!$P:$P, 'Ratings by CLO'!$J68)</f>
        <v>1</v>
      </c>
      <c r="G68" s="40">
        <f>+COUNTIFS(SOIs!$S:$S, 'Ratings by CLO'!$J68)</f>
        <v>1</v>
      </c>
      <c r="H68" s="40">
        <f>+COUNTIFS(SOIs!$V:$V, 'Ratings by CLO'!$J68)</f>
        <v>1</v>
      </c>
      <c r="I68" s="38"/>
      <c r="J68" s="32" t="str">
        <f>+SOIs!X69</f>
        <v>MCR</v>
      </c>
      <c r="K68" s="32"/>
      <c r="L68" s="28" t="str">
        <f>+IF(INDEX('Master Ratings'!$D:$D, MATCH('Ratings by CLO'!$J68,'Master Ratings'!$B:$B,0),0)=0,"",INDEX('Master Ratings'!$D:$D, MATCH('Ratings by CLO'!$J68,'Master Ratings'!$B:$B,0),0))</f>
        <v/>
      </c>
      <c r="M68" s="28" t="str">
        <f>+IF(INDEX('Master Ratings'!$E:$E, MATCH('Ratings by CLO'!$J68,'Master Ratings'!$B:$B,0),0)=0,"",INDEX('Master Ratings'!$E:$E, MATCH('Ratings by CLO'!$J68,'Master Ratings'!$B:$B,0),0))</f>
        <v/>
      </c>
      <c r="N68" s="28"/>
      <c r="O68" s="28" t="str">
        <f>+IF(INDEX('Master Ratings'!$G:$G, MATCH('Ratings by CLO'!$J68,'Master Ratings'!$B:$B,0),0)=0,"",INDEX('Master Ratings'!$G:$G, MATCH('Ratings by CLO'!$J68,'Master Ratings'!$B:$B,0),0))</f>
        <v>B-*</v>
      </c>
      <c r="P68" s="28" t="str">
        <f>+IF(INDEX('Master Ratings'!$H:$H, MATCH('Ratings by CLO'!$J68,'Master Ratings'!$B:$B,0),0)=0,"",INDEX('Master Ratings'!$H:$H, MATCH('Ratings by CLO'!$J68,'Master Ratings'!$B:$B,0),0))</f>
        <v>Rating (Private)</v>
      </c>
      <c r="Q68" s="8">
        <f>+IF(INDEX('Master Ratings'!$O:$O, MATCH('Ratings by CLO'!$J68,'Master Ratings'!$B:$B,0),0)=0,"",INDEX('Master Ratings'!$O:$O, MATCH('Ratings by CLO'!$J68,'Master Ratings'!$B:$B,0),0))</f>
        <v>45647</v>
      </c>
      <c r="R68" s="28"/>
      <c r="S68" s="28" t="str">
        <f>+IF(INDEX('Master Ratings'!$L:$L, MATCH('Ratings by CLO'!$J68,'Master Ratings'!$B:$B,0),0)=0,"",INDEX('Master Ratings'!$L:$L, MATCH('Ratings by CLO'!$J68,'Master Ratings'!$B:$B,0),0))</f>
        <v>B-*</v>
      </c>
      <c r="T68" s="28" t="str">
        <f>+IF(INDEX('Master Ratings'!$M:$M, MATCH('Ratings by CLO'!$J68,'Master Ratings'!$B:$B,0),0)=0,"",INDEX('Master Ratings'!$M:$M, MATCH('Ratings by CLO'!$J68,'Master Ratings'!$B:$B,0),0))</f>
        <v>Credit Estimate</v>
      </c>
      <c r="U68" s="8" t="str">
        <f>+IF(INDEX('Master Ratings'!$P:$P, MATCH('Ratings by CLO'!$J68,'Master Ratings'!$B:$B,0),0)=0,"",INDEX('Master Ratings'!$P:$P, MATCH('Ratings by CLO'!$J68,'Master Ratings'!$B:$B,0),0))</f>
        <v>12.8.2023</v>
      </c>
      <c r="W68" s="5">
        <f t="shared" ca="1" si="3"/>
        <v>48</v>
      </c>
      <c r="X68" s="5" t="e">
        <f t="shared" ca="1" si="4"/>
        <v>#VALUE!</v>
      </c>
      <c r="Z68" s="5" t="str">
        <f t="shared" ca="1" si="5"/>
        <v/>
      </c>
      <c r="AA68" s="5" t="str">
        <f t="shared" ca="1" si="6"/>
        <v>X</v>
      </c>
      <c r="AB68" s="5" t="str">
        <f t="shared" ca="1" si="7"/>
        <v/>
      </c>
      <c r="AC68" s="5" t="str">
        <f t="shared" ca="1" si="8"/>
        <v/>
      </c>
      <c r="AD68" s="5"/>
      <c r="AE68" s="5" t="str">
        <f t="shared" si="21"/>
        <v/>
      </c>
      <c r="AF68" s="32"/>
      <c r="AG68">
        <f t="shared" ca="1" si="16"/>
        <v>6</v>
      </c>
      <c r="AH68">
        <f t="shared" ca="1" si="17"/>
        <v>4</v>
      </c>
      <c r="AI68">
        <f t="shared" ca="1" si="18"/>
        <v>16</v>
      </c>
      <c r="AJ68">
        <f t="shared" ca="1" si="19"/>
        <v>25</v>
      </c>
    </row>
    <row r="69" spans="2:36">
      <c r="B69" s="40">
        <f>+COUNTIFS(SOIs!$D:$D, 'Ratings by CLO'!$J69)</f>
        <v>4</v>
      </c>
      <c r="C69" s="40">
        <f>+COUNTIFS(SOIs!$G:$G, 'Ratings by CLO'!$J69)</f>
        <v>1</v>
      </c>
      <c r="D69" s="40">
        <f>+COUNTIFS(SOIs!$J:$J, 'Ratings by CLO'!$J69)</f>
        <v>1</v>
      </c>
      <c r="E69" s="40">
        <f>+COUNTIFS(SOIs!$M:$M, 'Ratings by CLO'!$J69)</f>
        <v>0</v>
      </c>
      <c r="F69" s="40">
        <f>+COUNTIFS(SOIs!$P:$P, 'Ratings by CLO'!$J69)</f>
        <v>1</v>
      </c>
      <c r="G69" s="40">
        <f>+COUNTIFS(SOIs!$S:$S, 'Ratings by CLO'!$J69)</f>
        <v>0</v>
      </c>
      <c r="H69" s="40">
        <f>+COUNTIFS(SOIs!$V:$V, 'Ratings by CLO'!$J69)</f>
        <v>0</v>
      </c>
      <c r="I69" s="38"/>
      <c r="J69" s="32" t="str">
        <f>+SOIs!X70</f>
        <v>Meadowlark</v>
      </c>
      <c r="K69" s="32"/>
      <c r="L69" s="28" t="str">
        <f>+IF(INDEX('Master Ratings'!$D:$D, MATCH('Ratings by CLO'!$J69,'Master Ratings'!$B:$B,0),0)=0,"",INDEX('Master Ratings'!$D:$D, MATCH('Ratings by CLO'!$J69,'Master Ratings'!$B:$B,0),0))</f>
        <v/>
      </c>
      <c r="M69" s="28" t="str">
        <f>+IF(INDEX('Master Ratings'!$E:$E, MATCH('Ratings by CLO'!$J69,'Master Ratings'!$B:$B,0),0)=0,"",INDEX('Master Ratings'!$E:$E, MATCH('Ratings by CLO'!$J69,'Master Ratings'!$B:$B,0),0))</f>
        <v/>
      </c>
      <c r="N69" s="28"/>
      <c r="O69" s="28" t="str">
        <f>+IF(INDEX('Master Ratings'!$G:$G, MATCH('Ratings by CLO'!$J69,'Master Ratings'!$B:$B,0),0)=0,"",INDEX('Master Ratings'!$G:$G, MATCH('Ratings by CLO'!$J69,'Master Ratings'!$B:$B,0),0))</f>
        <v>B-*</v>
      </c>
      <c r="P69" s="28" t="str">
        <f>+IF(INDEX('Master Ratings'!$H:$H, MATCH('Ratings by CLO'!$J69,'Master Ratings'!$B:$B,0),0)=0,"",INDEX('Master Ratings'!$H:$H, MATCH('Ratings by CLO'!$J69,'Master Ratings'!$B:$B,0),0))</f>
        <v>Credit Estimate</v>
      </c>
      <c r="Q69" s="8">
        <f>+IF(INDEX('Master Ratings'!$O:$O, MATCH('Ratings by CLO'!$J69,'Master Ratings'!$B:$B,0),0)=0,"",INDEX('Master Ratings'!$O:$O, MATCH('Ratings by CLO'!$J69,'Master Ratings'!$B:$B,0),0))</f>
        <v>45671</v>
      </c>
      <c r="R69" s="28"/>
      <c r="S69" s="28" t="str">
        <f>+IF(INDEX('Master Ratings'!$L:$L, MATCH('Ratings by CLO'!$J69,'Master Ratings'!$B:$B,0),0)=0,"",INDEX('Master Ratings'!$L:$L, MATCH('Ratings by CLO'!$J69,'Master Ratings'!$B:$B,0),0))</f>
        <v>CCC+*</v>
      </c>
      <c r="T69" s="28" t="str">
        <f>+IF(INDEX('Master Ratings'!$M:$M, MATCH('Ratings by CLO'!$J69,'Master Ratings'!$B:$B,0),0)=0,"",INDEX('Master Ratings'!$M:$M, MATCH('Ratings by CLO'!$J69,'Master Ratings'!$B:$B,0),0))</f>
        <v>Credit Estimate</v>
      </c>
      <c r="U69" s="8">
        <f>+IF(INDEX('Master Ratings'!$P:$P, MATCH('Ratings by CLO'!$J69,'Master Ratings'!$B:$B,0),0)=0,"",INDEX('Master Ratings'!$P:$P, MATCH('Ratings by CLO'!$J69,'Master Ratings'!$B:$B,0),0))</f>
        <v>45405</v>
      </c>
      <c r="W69" s="5">
        <f t="shared" ca="1" si="3"/>
        <v>72</v>
      </c>
      <c r="X69" s="5">
        <f t="shared" ca="1" si="4"/>
        <v>-194</v>
      </c>
      <c r="Z69" s="5" t="str">
        <f t="shared" ca="1" si="5"/>
        <v/>
      </c>
      <c r="AA69" s="5" t="str">
        <f t="shared" ca="1" si="6"/>
        <v/>
      </c>
      <c r="AB69" s="5" t="str">
        <f t="shared" ca="1" si="7"/>
        <v/>
      </c>
      <c r="AC69" s="5" t="str">
        <f t="shared" ca="1" si="8"/>
        <v>X</v>
      </c>
      <c r="AD69" s="5"/>
      <c r="AE69" s="5" t="str">
        <f t="shared" si="21"/>
        <v/>
      </c>
      <c r="AF69" s="32"/>
      <c r="AG69">
        <f t="shared" ca="1" si="16"/>
        <v>6</v>
      </c>
      <c r="AH69">
        <f t="shared" ca="1" si="17"/>
        <v>4</v>
      </c>
      <c r="AI69">
        <f t="shared" ca="1" si="18"/>
        <v>16</v>
      </c>
      <c r="AJ69">
        <f t="shared" ca="1" si="19"/>
        <v>26</v>
      </c>
    </row>
    <row r="70" spans="2:36">
      <c r="B70" s="40">
        <f>+COUNTIFS(SOIs!$D:$D, 'Ratings by CLO'!$J70)</f>
        <v>4</v>
      </c>
      <c r="C70" s="40">
        <f>+COUNTIFS(SOIs!$G:$G, 'Ratings by CLO'!$J70)</f>
        <v>1</v>
      </c>
      <c r="D70" s="40">
        <f>+COUNTIFS(SOIs!$J:$J, 'Ratings by CLO'!$J70)</f>
        <v>1</v>
      </c>
      <c r="E70" s="40">
        <f>+COUNTIFS(SOIs!$M:$M, 'Ratings by CLO'!$J70)</f>
        <v>1</v>
      </c>
      <c r="F70" s="40">
        <f>+COUNTIFS(SOIs!$P:$P, 'Ratings by CLO'!$J70)</f>
        <v>1</v>
      </c>
      <c r="G70" s="40">
        <f>+COUNTIFS(SOIs!$S:$S, 'Ratings by CLO'!$J70)</f>
        <v>1</v>
      </c>
      <c r="H70" s="40">
        <f>+COUNTIFS(SOIs!$V:$V, 'Ratings by CLO'!$J70)</f>
        <v>1</v>
      </c>
      <c r="I70" s="38"/>
      <c r="J70" s="32" t="str">
        <f>+SOIs!X71</f>
        <v>MeritDirect</v>
      </c>
      <c r="K70" s="32"/>
      <c r="L70" s="28" t="str">
        <f>+IF(INDEX('Master Ratings'!$D:$D, MATCH('Ratings by CLO'!$J70,'Master Ratings'!$B:$B,0),0)=0,"",INDEX('Master Ratings'!$D:$D, MATCH('Ratings by CLO'!$J70,'Master Ratings'!$B:$B,0),0))</f>
        <v/>
      </c>
      <c r="M70" s="28" t="str">
        <f>+IF(INDEX('Master Ratings'!$E:$E, MATCH('Ratings by CLO'!$J70,'Master Ratings'!$B:$B,0),0)=0,"",INDEX('Master Ratings'!$E:$E, MATCH('Ratings by CLO'!$J70,'Master Ratings'!$B:$B,0),0))</f>
        <v/>
      </c>
      <c r="N70" s="28"/>
      <c r="O70" s="28" t="str">
        <f>+IF(INDEX('Master Ratings'!$G:$G, MATCH('Ratings by CLO'!$J70,'Master Ratings'!$B:$B,0),0)=0,"",INDEX('Master Ratings'!$G:$G, MATCH('Ratings by CLO'!$J70,'Master Ratings'!$B:$B,0),0))</f>
        <v>B-*</v>
      </c>
      <c r="P70" s="28" t="str">
        <f>+IF(INDEX('Master Ratings'!$H:$H, MATCH('Ratings by CLO'!$J70,'Master Ratings'!$B:$B,0),0)=0,"",INDEX('Master Ratings'!$H:$H, MATCH('Ratings by CLO'!$J70,'Master Ratings'!$B:$B,0),0))</f>
        <v>Credit Estimate</v>
      </c>
      <c r="Q70" s="8">
        <f>+IF(INDEX('Master Ratings'!$O:$O, MATCH('Ratings by CLO'!$J70,'Master Ratings'!$B:$B,0),0)=0,"",INDEX('Master Ratings'!$O:$O, MATCH('Ratings by CLO'!$J70,'Master Ratings'!$B:$B,0),0))</f>
        <v>45646</v>
      </c>
      <c r="R70" s="28"/>
      <c r="S70" s="28" t="str">
        <f>+IF(INDEX('Master Ratings'!$L:$L, MATCH('Ratings by CLO'!$J70,'Master Ratings'!$B:$B,0),0)=0,"",INDEX('Master Ratings'!$L:$L, MATCH('Ratings by CLO'!$J70,'Master Ratings'!$B:$B,0),0))</f>
        <v>B-*</v>
      </c>
      <c r="T70" s="28" t="str">
        <f>+IF(INDEX('Master Ratings'!$M:$M, MATCH('Ratings by CLO'!$J70,'Master Ratings'!$B:$B,0),0)=0,"",INDEX('Master Ratings'!$M:$M, MATCH('Ratings by CLO'!$J70,'Master Ratings'!$B:$B,0),0))</f>
        <v>Credit Estimate</v>
      </c>
      <c r="U70" s="8" t="str">
        <f>+IF(INDEX('Master Ratings'!$P:$P, MATCH('Ratings by CLO'!$J70,'Master Ratings'!$B:$B,0),0)=0,"",INDEX('Master Ratings'!$P:$P, MATCH('Ratings by CLO'!$J70,'Master Ratings'!$B:$B,0),0))</f>
        <v>12.8.2023</v>
      </c>
      <c r="W70" s="5">
        <f t="shared" ref="W70:W121" ca="1" si="22">+IF(OR($P70=$W$1,$P70=$W$2),$Q70+365-TODAY(), "")</f>
        <v>47</v>
      </c>
      <c r="X70" s="5" t="e">
        <f t="shared" ref="X70:X121" ca="1" si="23">+IF(OR($T70=$W$1,$T70=$W$2),$U70+365-TODAY(), "")</f>
        <v>#VALUE!</v>
      </c>
      <c r="Z70" s="5" t="str">
        <f t="shared" ref="Z70:Z121" ca="1" si="24">IF(AND(SUM(B70:H70)&gt;=1,ISERROR(W70)),"X","")</f>
        <v/>
      </c>
      <c r="AA70" s="5" t="str">
        <f t="shared" ref="AA70:AA121" ca="1" si="25">IF(AND(B70&gt;1, ISERROR(X70)),"X","")</f>
        <v>X</v>
      </c>
      <c r="AB70" s="5" t="str">
        <f t="shared" ref="AB70:AB121" ca="1" si="26">+IFERROR(IF(W70&lt;0,"X",""),"")</f>
        <v/>
      </c>
      <c r="AC70" s="5" t="str">
        <f t="shared" ref="AC70:AC121" ca="1" si="27">+IFERROR(IF(AND(B70&gt;0, X70&lt;0),"X",""),"")</f>
        <v/>
      </c>
      <c r="AD70" s="5"/>
      <c r="AE70" s="5" t="str">
        <f t="shared" ref="AE70:AE121" si="28">+IF(SUM(B70:H70)=0,"X","")</f>
        <v/>
      </c>
      <c r="AF70" s="32"/>
      <c r="AG70">
        <f t="shared" ca="1" si="16"/>
        <v>6</v>
      </c>
      <c r="AH70">
        <f t="shared" ca="1" si="17"/>
        <v>5</v>
      </c>
      <c r="AI70">
        <f t="shared" ca="1" si="18"/>
        <v>16</v>
      </c>
      <c r="AJ70">
        <f t="shared" ca="1" si="19"/>
        <v>26</v>
      </c>
    </row>
    <row r="71" spans="2:36">
      <c r="B71" s="40">
        <f>+COUNTIFS(SOIs!$D:$D, 'Ratings by CLO'!$J71)</f>
        <v>1</v>
      </c>
      <c r="C71" s="40">
        <f>+COUNTIFS(SOIs!$G:$G, 'Ratings by CLO'!$J71)</f>
        <v>0</v>
      </c>
      <c r="D71" s="40">
        <f>+COUNTIFS(SOIs!$J:$J, 'Ratings by CLO'!$J71)</f>
        <v>1</v>
      </c>
      <c r="E71" s="40">
        <f>+COUNTIFS(SOIs!$M:$M, 'Ratings by CLO'!$J71)</f>
        <v>1</v>
      </c>
      <c r="F71" s="40">
        <f>+COUNTIFS(SOIs!$P:$P, 'Ratings by CLO'!$J71)</f>
        <v>1</v>
      </c>
      <c r="G71" s="40">
        <f>+COUNTIFS(SOIs!$S:$S, 'Ratings by CLO'!$J71)</f>
        <v>1</v>
      </c>
      <c r="H71" s="40">
        <f>+COUNTIFS(SOIs!$V:$V, 'Ratings by CLO'!$J71)</f>
        <v>1</v>
      </c>
      <c r="I71" s="38"/>
      <c r="J71" s="32" t="str">
        <f>+SOIs!X72</f>
        <v>MES</v>
      </c>
      <c r="K71" s="32"/>
      <c r="L71" s="28" t="str">
        <f>+IF(INDEX('Master Ratings'!$D:$D, MATCH('Ratings by CLO'!$J71,'Master Ratings'!$B:$B,0),0)=0,"",INDEX('Master Ratings'!$D:$D, MATCH('Ratings by CLO'!$J71,'Master Ratings'!$B:$B,0),0))</f>
        <v/>
      </c>
      <c r="M71" s="28" t="str">
        <f>+IF(INDEX('Master Ratings'!$E:$E, MATCH('Ratings by CLO'!$J71,'Master Ratings'!$B:$B,0),0)=0,"",INDEX('Master Ratings'!$E:$E, MATCH('Ratings by CLO'!$J71,'Master Ratings'!$B:$B,0),0))</f>
        <v/>
      </c>
      <c r="N71" s="28"/>
      <c r="O71" s="28" t="str">
        <f>+IF(INDEX('Master Ratings'!$G:$G, MATCH('Ratings by CLO'!$J71,'Master Ratings'!$B:$B,0),0)=0,"",INDEX('Master Ratings'!$G:$G, MATCH('Ratings by CLO'!$J71,'Master Ratings'!$B:$B,0),0))</f>
        <v>B-*</v>
      </c>
      <c r="P71" s="28" t="str">
        <f>+IF(INDEX('Master Ratings'!$H:$H, MATCH('Ratings by CLO'!$J71,'Master Ratings'!$B:$B,0),0)=0,"",INDEX('Master Ratings'!$H:$H, MATCH('Ratings by CLO'!$J71,'Master Ratings'!$B:$B,0),0))</f>
        <v>Credit Estimate</v>
      </c>
      <c r="Q71" s="8">
        <f>+IF(INDEX('Master Ratings'!$O:$O, MATCH('Ratings by CLO'!$J71,'Master Ratings'!$B:$B,0),0)=0,"",INDEX('Master Ratings'!$O:$O, MATCH('Ratings by CLO'!$J71,'Master Ratings'!$B:$B,0),0))</f>
        <v>45664</v>
      </c>
      <c r="R71" s="28"/>
      <c r="S71" s="28" t="str">
        <f>+IF(INDEX('Master Ratings'!$L:$L, MATCH('Ratings by CLO'!$J71,'Master Ratings'!$B:$B,0),0)=0,"",INDEX('Master Ratings'!$L:$L, MATCH('Ratings by CLO'!$J71,'Master Ratings'!$B:$B,0),0))</f>
        <v>B-*</v>
      </c>
      <c r="T71" s="28" t="str">
        <f>+IF(INDEX('Master Ratings'!$M:$M, MATCH('Ratings by CLO'!$J71,'Master Ratings'!$B:$B,0),0)=0,"",INDEX('Master Ratings'!$M:$M, MATCH('Ratings by CLO'!$J71,'Master Ratings'!$B:$B,0),0))</f>
        <v>Credit Estimate</v>
      </c>
      <c r="U71" s="8">
        <f>+IF(INDEX('Master Ratings'!$P:$P, MATCH('Ratings by CLO'!$J71,'Master Ratings'!$B:$B,0),0)=0,"",INDEX('Master Ratings'!$P:$P, MATCH('Ratings by CLO'!$J71,'Master Ratings'!$B:$B,0),0))</f>
        <v>45107</v>
      </c>
      <c r="W71" s="5">
        <f t="shared" ca="1" si="22"/>
        <v>65</v>
      </c>
      <c r="X71" s="5">
        <f t="shared" ca="1" si="23"/>
        <v>-492</v>
      </c>
      <c r="Z71" s="5" t="str">
        <f t="shared" ca="1" si="24"/>
        <v/>
      </c>
      <c r="AA71" s="5" t="str">
        <f t="shared" ca="1" si="25"/>
        <v/>
      </c>
      <c r="AB71" s="5" t="str">
        <f t="shared" ca="1" si="26"/>
        <v/>
      </c>
      <c r="AC71" s="5" t="str">
        <f t="shared" ca="1" si="27"/>
        <v>X</v>
      </c>
      <c r="AD71" s="5"/>
      <c r="AE71" s="5" t="str">
        <f t="shared" si="28"/>
        <v/>
      </c>
      <c r="AF71" s="32"/>
      <c r="AG71">
        <f t="shared" ref="AG71:AG121" ca="1" si="29">IF(Z71="X",AG70+1,AG70)</f>
        <v>6</v>
      </c>
      <c r="AH71">
        <f t="shared" ref="AH71:AH121" ca="1" si="30">IF(AA71="X",AH70+1,AH70)</f>
        <v>5</v>
      </c>
      <c r="AI71">
        <f t="shared" ref="AI71:AI121" ca="1" si="31">IF(AB71="X",AI70+1,AI70)</f>
        <v>16</v>
      </c>
      <c r="AJ71">
        <f t="shared" ref="AJ71:AJ121" ca="1" si="32">IF(AC71="X",AJ70+1,AJ70)</f>
        <v>27</v>
      </c>
    </row>
    <row r="72" spans="2:36">
      <c r="B72" s="40">
        <f>+COUNTIFS(SOIs!$D:$D, 'Ratings by CLO'!$J72)</f>
        <v>0</v>
      </c>
      <c r="C72" s="40">
        <f>+COUNTIFS(SOIs!$G:$G, 'Ratings by CLO'!$J72)</f>
        <v>0</v>
      </c>
      <c r="D72" s="40">
        <f>+COUNTIFS(SOIs!$J:$J, 'Ratings by CLO'!$J72)</f>
        <v>0</v>
      </c>
      <c r="E72" s="40">
        <f>+COUNTIFS(SOIs!$M:$M, 'Ratings by CLO'!$J72)</f>
        <v>0</v>
      </c>
      <c r="F72" s="40">
        <f>+COUNTIFS(SOIs!$P:$P, 'Ratings by CLO'!$J72)</f>
        <v>0</v>
      </c>
      <c r="G72" s="40">
        <f>+COUNTIFS(SOIs!$S:$S, 'Ratings by CLO'!$J72)</f>
        <v>1</v>
      </c>
      <c r="H72" s="40">
        <f>+COUNTIFS(SOIs!$V:$V, 'Ratings by CLO'!$J72)</f>
        <v>0</v>
      </c>
      <c r="I72" s="38"/>
      <c r="J72" s="32" t="str">
        <f>+SOIs!X73</f>
        <v>Milani</v>
      </c>
      <c r="K72" s="32"/>
      <c r="L72" s="28" t="str">
        <f>+IF(INDEX('Master Ratings'!$D:$D, MATCH('Ratings by CLO'!$J72,'Master Ratings'!$B:$B,0),0)=0,"",INDEX('Master Ratings'!$D:$D, MATCH('Ratings by CLO'!$J72,'Master Ratings'!$B:$B,0),0))</f>
        <v/>
      </c>
      <c r="M72" s="28" t="str">
        <f>+IF(INDEX('Master Ratings'!$E:$E, MATCH('Ratings by CLO'!$J72,'Master Ratings'!$B:$B,0),0)=0,"",INDEX('Master Ratings'!$E:$E, MATCH('Ratings by CLO'!$J72,'Master Ratings'!$B:$B,0),0))</f>
        <v/>
      </c>
      <c r="N72" s="28"/>
      <c r="O72" s="28" t="str">
        <f>+IF(INDEX('Master Ratings'!$G:$G, MATCH('Ratings by CLO'!$J72,'Master Ratings'!$B:$B,0),0)=0,"",INDEX('Master Ratings'!$G:$G, MATCH('Ratings by CLO'!$J72,'Master Ratings'!$B:$B,0),0))</f>
        <v>CCC*</v>
      </c>
      <c r="P72" s="28" t="str">
        <f>+IF(INDEX('Master Ratings'!$H:$H, MATCH('Ratings by CLO'!$J72,'Master Ratings'!$B:$B,0),0)=0,"",INDEX('Master Ratings'!$H:$H, MATCH('Ratings by CLO'!$J72,'Master Ratings'!$B:$B,0),0))</f>
        <v>Credit Estimate</v>
      </c>
      <c r="Q72" s="8">
        <f>+IF(INDEX('Master Ratings'!$O:$O, MATCH('Ratings by CLO'!$J72,'Master Ratings'!$B:$B,0),0)=0,"",INDEX('Master Ratings'!$O:$O, MATCH('Ratings by CLO'!$J72,'Master Ratings'!$B:$B,0),0))</f>
        <v>45243</v>
      </c>
      <c r="R72" s="28"/>
      <c r="S72" s="28" t="str">
        <f>+IF(INDEX('Master Ratings'!$L:$L, MATCH('Ratings by CLO'!$J72,'Master Ratings'!$B:$B,0),0)=0,"",INDEX('Master Ratings'!$L:$L, MATCH('Ratings by CLO'!$J72,'Master Ratings'!$B:$B,0),0))</f>
        <v/>
      </c>
      <c r="T72" s="28" t="str">
        <f>+IF(INDEX('Master Ratings'!$M:$M, MATCH('Ratings by CLO'!$J72,'Master Ratings'!$B:$B,0),0)=0,"",INDEX('Master Ratings'!$M:$M, MATCH('Ratings by CLO'!$J72,'Master Ratings'!$B:$B,0),0))</f>
        <v/>
      </c>
      <c r="U72" s="8" t="str">
        <f>+IF(INDEX('Master Ratings'!$P:$P, MATCH('Ratings by CLO'!$J72,'Master Ratings'!$B:$B,0),0)=0,"",INDEX('Master Ratings'!$P:$P, MATCH('Ratings by CLO'!$J72,'Master Ratings'!$B:$B,0),0))</f>
        <v/>
      </c>
      <c r="W72" s="5">
        <f t="shared" ca="1" si="22"/>
        <v>-356</v>
      </c>
      <c r="X72" s="5" t="str">
        <f t="shared" ca="1" si="23"/>
        <v/>
      </c>
      <c r="Z72" s="5" t="str">
        <f t="shared" ca="1" si="24"/>
        <v/>
      </c>
      <c r="AA72" s="5" t="str">
        <f t="shared" ca="1" si="25"/>
        <v/>
      </c>
      <c r="AB72" s="5" t="str">
        <f t="shared" ca="1" si="26"/>
        <v>X</v>
      </c>
      <c r="AC72" s="5" t="str">
        <f t="shared" ca="1" si="27"/>
        <v/>
      </c>
      <c r="AD72" s="5"/>
      <c r="AE72" s="5" t="str">
        <f t="shared" si="28"/>
        <v/>
      </c>
      <c r="AF72" s="32"/>
      <c r="AG72">
        <f t="shared" ca="1" si="29"/>
        <v>6</v>
      </c>
      <c r="AH72">
        <f t="shared" ca="1" si="30"/>
        <v>5</v>
      </c>
      <c r="AI72">
        <f t="shared" ca="1" si="31"/>
        <v>17</v>
      </c>
      <c r="AJ72">
        <f t="shared" ca="1" si="32"/>
        <v>27</v>
      </c>
    </row>
    <row r="73" spans="2:36">
      <c r="B73" s="40">
        <f>+COUNTIFS(SOIs!$D:$D, 'Ratings by CLO'!$J73)</f>
        <v>3</v>
      </c>
      <c r="C73" s="40">
        <f>+COUNTIFS(SOIs!$G:$G, 'Ratings by CLO'!$J73)</f>
        <v>1</v>
      </c>
      <c r="D73" s="40">
        <f>+COUNTIFS(SOIs!$J:$J, 'Ratings by CLO'!$J73)</f>
        <v>0</v>
      </c>
      <c r="E73" s="40">
        <f>+COUNTIFS(SOIs!$M:$M, 'Ratings by CLO'!$J73)</f>
        <v>0</v>
      </c>
      <c r="F73" s="40">
        <f>+COUNTIFS(SOIs!$P:$P, 'Ratings by CLO'!$J73)</f>
        <v>0</v>
      </c>
      <c r="G73" s="40">
        <f>+COUNTIFS(SOIs!$S:$S, 'Ratings by CLO'!$J73)</f>
        <v>1</v>
      </c>
      <c r="H73" s="40">
        <f>+COUNTIFS(SOIs!$V:$V, 'Ratings by CLO'!$J73)</f>
        <v>0</v>
      </c>
      <c r="I73" s="38"/>
      <c r="J73" s="32" t="str">
        <f>+SOIs!X74</f>
        <v>Mission Critical Electronics</v>
      </c>
      <c r="K73" s="32"/>
      <c r="L73" s="28" t="str">
        <f>+IF(INDEX('Master Ratings'!$D:$D, MATCH('Ratings by CLO'!$J73,'Master Ratings'!$B:$B,0),0)=0,"",INDEX('Master Ratings'!$D:$D, MATCH('Ratings by CLO'!$J73,'Master Ratings'!$B:$B,0),0))</f>
        <v/>
      </c>
      <c r="M73" s="28" t="str">
        <f>+IF(INDEX('Master Ratings'!$E:$E, MATCH('Ratings by CLO'!$J73,'Master Ratings'!$B:$B,0),0)=0,"",INDEX('Master Ratings'!$E:$E, MATCH('Ratings by CLO'!$J73,'Master Ratings'!$B:$B,0),0))</f>
        <v/>
      </c>
      <c r="N73" s="28"/>
      <c r="O73" s="28" t="str">
        <f>+IF(INDEX('Master Ratings'!$G:$G, MATCH('Ratings by CLO'!$J73,'Master Ratings'!$B:$B,0),0)=0,"",INDEX('Master Ratings'!$G:$G, MATCH('Ratings by CLO'!$J73,'Master Ratings'!$B:$B,0),0))</f>
        <v>B-*</v>
      </c>
      <c r="P73" s="28" t="str">
        <f>+IF(INDEX('Master Ratings'!$H:$H, MATCH('Ratings by CLO'!$J73,'Master Ratings'!$B:$B,0),0)=0,"",INDEX('Master Ratings'!$H:$H, MATCH('Ratings by CLO'!$J73,'Master Ratings'!$B:$B,0),0))</f>
        <v>Credit Estimate</v>
      </c>
      <c r="Q73" s="8">
        <f>+IF(INDEX('Master Ratings'!$O:$O, MATCH('Ratings by CLO'!$J73,'Master Ratings'!$B:$B,0),0)=0,"",INDEX('Master Ratings'!$O:$O, MATCH('Ratings by CLO'!$J73,'Master Ratings'!$B:$B,0),0))</f>
        <v>45741</v>
      </c>
      <c r="R73" s="28"/>
      <c r="S73" s="28" t="str">
        <f>+IF(INDEX('Master Ratings'!$L:$L, MATCH('Ratings by CLO'!$J73,'Master Ratings'!$B:$B,0),0)=0,"",INDEX('Master Ratings'!$L:$L, MATCH('Ratings by CLO'!$J73,'Master Ratings'!$B:$B,0),0))</f>
        <v>B</v>
      </c>
      <c r="T73" s="28" t="str">
        <f>+IF(INDEX('Master Ratings'!$M:$M, MATCH('Ratings by CLO'!$J73,'Master Ratings'!$B:$B,0),0)=0,"",INDEX('Master Ratings'!$M:$M, MATCH('Ratings by CLO'!$J73,'Master Ratings'!$B:$B,0),0))</f>
        <v>Rating (Private)</v>
      </c>
      <c r="U73" s="8" t="str">
        <f>+IF(INDEX('Master Ratings'!$P:$P, MATCH('Ratings by CLO'!$J73,'Master Ratings'!$B:$B,0),0)=0,"",INDEX('Master Ratings'!$P:$P, MATCH('Ratings by CLO'!$J73,'Master Ratings'!$B:$B,0),0))</f>
        <v>12.8.2023</v>
      </c>
      <c r="W73" s="5">
        <f t="shared" ca="1" si="22"/>
        <v>142</v>
      </c>
      <c r="X73" s="5" t="e">
        <f t="shared" ca="1" si="23"/>
        <v>#VALUE!</v>
      </c>
      <c r="Z73" s="5" t="str">
        <f t="shared" ca="1" si="24"/>
        <v/>
      </c>
      <c r="AA73" s="5" t="str">
        <f t="shared" ca="1" si="25"/>
        <v>X</v>
      </c>
      <c r="AB73" s="5" t="str">
        <f t="shared" ca="1" si="26"/>
        <v/>
      </c>
      <c r="AC73" s="5" t="str">
        <f t="shared" ca="1" si="27"/>
        <v/>
      </c>
      <c r="AD73" s="5"/>
      <c r="AE73" s="5" t="str">
        <f t="shared" si="28"/>
        <v/>
      </c>
      <c r="AF73" s="32"/>
      <c r="AG73">
        <f t="shared" ca="1" si="29"/>
        <v>6</v>
      </c>
      <c r="AH73">
        <f t="shared" ca="1" si="30"/>
        <v>6</v>
      </c>
      <c r="AI73">
        <f t="shared" ca="1" si="31"/>
        <v>17</v>
      </c>
      <c r="AJ73">
        <f t="shared" ca="1" si="32"/>
        <v>27</v>
      </c>
    </row>
    <row r="74" spans="2:36">
      <c r="B74" s="40">
        <f>+COUNTIFS(SOIs!$D:$D, 'Ratings by CLO'!$J74)</f>
        <v>3</v>
      </c>
      <c r="C74" s="40">
        <f>+COUNTIFS(SOIs!$G:$G, 'Ratings by CLO'!$J74)</f>
        <v>1</v>
      </c>
      <c r="D74" s="40">
        <f>+COUNTIFS(SOIs!$J:$J, 'Ratings by CLO'!$J74)</f>
        <v>0</v>
      </c>
      <c r="E74" s="40">
        <f>+COUNTIFS(SOIs!$M:$M, 'Ratings by CLO'!$J74)</f>
        <v>0</v>
      </c>
      <c r="F74" s="40">
        <f>+COUNTIFS(SOIs!$P:$P, 'Ratings by CLO'!$J74)</f>
        <v>1</v>
      </c>
      <c r="G74" s="40">
        <f>+COUNTIFS(SOIs!$S:$S, 'Ratings by CLO'!$J74)</f>
        <v>1</v>
      </c>
      <c r="H74" s="40">
        <f>+COUNTIFS(SOIs!$V:$V, 'Ratings by CLO'!$J74)</f>
        <v>0</v>
      </c>
      <c r="I74" s="38"/>
      <c r="J74" s="32" t="str">
        <f>+SOIs!X75</f>
        <v>Molded Devices</v>
      </c>
      <c r="K74" s="32"/>
      <c r="L74" s="28" t="str">
        <f>+IF(INDEX('Master Ratings'!$D:$D, MATCH('Ratings by CLO'!$J74,'Master Ratings'!$B:$B,0),0)=0,"",INDEX('Master Ratings'!$D:$D, MATCH('Ratings by CLO'!$J74,'Master Ratings'!$B:$B,0),0))</f>
        <v/>
      </c>
      <c r="M74" s="28" t="str">
        <f>+IF(INDEX('Master Ratings'!$E:$E, MATCH('Ratings by CLO'!$J74,'Master Ratings'!$B:$B,0),0)=0,"",INDEX('Master Ratings'!$E:$E, MATCH('Ratings by CLO'!$J74,'Master Ratings'!$B:$B,0),0))</f>
        <v/>
      </c>
      <c r="N74" s="28"/>
      <c r="O74" s="28" t="str">
        <f>+IF(INDEX('Master Ratings'!$G:$G, MATCH('Ratings by CLO'!$J74,'Master Ratings'!$B:$B,0),0)=0,"",INDEX('Master Ratings'!$G:$G, MATCH('Ratings by CLO'!$J74,'Master Ratings'!$B:$B,0),0))</f>
        <v>B-*</v>
      </c>
      <c r="P74" s="28" t="str">
        <f>+IF(INDEX('Master Ratings'!$H:$H, MATCH('Ratings by CLO'!$J74,'Master Ratings'!$B:$B,0),0)=0,"",INDEX('Master Ratings'!$H:$H, MATCH('Ratings by CLO'!$J74,'Master Ratings'!$B:$B,0),0))</f>
        <v>Credit Estimate</v>
      </c>
      <c r="Q74" s="8">
        <f>+IF(INDEX('Master Ratings'!$O:$O, MATCH('Ratings by CLO'!$J74,'Master Ratings'!$B:$B,0),0)=0,"",INDEX('Master Ratings'!$O:$O, MATCH('Ratings by CLO'!$J74,'Master Ratings'!$B:$B,0),0))</f>
        <v>45644</v>
      </c>
      <c r="R74" s="28"/>
      <c r="S74" s="28" t="str">
        <f>+IF(INDEX('Master Ratings'!$L:$L, MATCH('Ratings by CLO'!$J74,'Master Ratings'!$B:$B,0),0)=0,"",INDEX('Master Ratings'!$L:$L, MATCH('Ratings by CLO'!$J74,'Master Ratings'!$B:$B,0),0))</f>
        <v>B-*</v>
      </c>
      <c r="T74" s="28" t="str">
        <f>+IF(INDEX('Master Ratings'!$M:$M, MATCH('Ratings by CLO'!$J74,'Master Ratings'!$B:$B,0),0)=0,"",INDEX('Master Ratings'!$M:$M, MATCH('Ratings by CLO'!$J74,'Master Ratings'!$B:$B,0),0))</f>
        <v>Credit Estimate</v>
      </c>
      <c r="U74" s="8">
        <f>+IF(INDEX('Master Ratings'!$P:$P, MATCH('Ratings by CLO'!$J74,'Master Ratings'!$B:$B,0),0)=0,"",INDEX('Master Ratings'!$P:$P, MATCH('Ratings by CLO'!$J74,'Master Ratings'!$B:$B,0),0))</f>
        <v>45198</v>
      </c>
      <c r="W74" s="5">
        <f t="shared" ca="1" si="22"/>
        <v>45</v>
      </c>
      <c r="X74" s="5">
        <f t="shared" ca="1" si="23"/>
        <v>-401</v>
      </c>
      <c r="Z74" s="5" t="str">
        <f t="shared" ca="1" si="24"/>
        <v/>
      </c>
      <c r="AA74" s="5" t="str">
        <f t="shared" ca="1" si="25"/>
        <v/>
      </c>
      <c r="AB74" s="5" t="str">
        <f t="shared" ca="1" si="26"/>
        <v/>
      </c>
      <c r="AC74" s="5" t="str">
        <f t="shared" ca="1" si="27"/>
        <v>X</v>
      </c>
      <c r="AD74" s="5"/>
      <c r="AE74" s="5" t="str">
        <f t="shared" si="28"/>
        <v/>
      </c>
      <c r="AF74" s="32"/>
      <c r="AG74">
        <f t="shared" ca="1" si="29"/>
        <v>6</v>
      </c>
      <c r="AH74">
        <f t="shared" ca="1" si="30"/>
        <v>6</v>
      </c>
      <c r="AI74">
        <f t="shared" ca="1" si="31"/>
        <v>17</v>
      </c>
      <c r="AJ74">
        <f t="shared" ca="1" si="32"/>
        <v>28</v>
      </c>
    </row>
    <row r="75" spans="2:36">
      <c r="B75" s="40">
        <f>+COUNTIFS(SOIs!$D:$D, 'Ratings by CLO'!$J75)</f>
        <v>2</v>
      </c>
      <c r="C75" s="40">
        <f>+COUNTIFS(SOIs!$G:$G, 'Ratings by CLO'!$J75)</f>
        <v>1</v>
      </c>
      <c r="D75" s="40">
        <f>+COUNTIFS(SOIs!$J:$J, 'Ratings by CLO'!$J75)</f>
        <v>1</v>
      </c>
      <c r="E75" s="40">
        <f>+COUNTIFS(SOIs!$M:$M, 'Ratings by CLO'!$J75)</f>
        <v>1</v>
      </c>
      <c r="F75" s="40">
        <f>+COUNTIFS(SOIs!$P:$P, 'Ratings by CLO'!$J75)</f>
        <v>0</v>
      </c>
      <c r="G75" s="40">
        <f>+COUNTIFS(SOIs!$S:$S, 'Ratings by CLO'!$J75)</f>
        <v>1</v>
      </c>
      <c r="H75" s="40">
        <f>+COUNTIFS(SOIs!$V:$V, 'Ratings by CLO'!$J75)</f>
        <v>1</v>
      </c>
      <c r="I75" s="38"/>
      <c r="J75" s="32" t="str">
        <f>+SOIs!X76</f>
        <v>Momentum</v>
      </c>
      <c r="K75" s="32"/>
      <c r="L75" s="28" t="str">
        <f>+IF(INDEX('Master Ratings'!$D:$D, MATCH('Ratings by CLO'!$J75,'Master Ratings'!$B:$B,0),0)=0,"",INDEX('Master Ratings'!$D:$D, MATCH('Ratings by CLO'!$J75,'Master Ratings'!$B:$B,0),0))</f>
        <v/>
      </c>
      <c r="M75" s="28" t="str">
        <f>+IF(INDEX('Master Ratings'!$E:$E, MATCH('Ratings by CLO'!$J75,'Master Ratings'!$B:$B,0),0)=0,"",INDEX('Master Ratings'!$E:$E, MATCH('Ratings by CLO'!$J75,'Master Ratings'!$B:$B,0),0))</f>
        <v/>
      </c>
      <c r="N75" s="28"/>
      <c r="O75" s="28" t="str">
        <f>+IF(INDEX('Master Ratings'!$G:$G, MATCH('Ratings by CLO'!$J75,'Master Ratings'!$B:$B,0),0)=0,"",INDEX('Master Ratings'!$G:$G, MATCH('Ratings by CLO'!$J75,'Master Ratings'!$B:$B,0),0))</f>
        <v>B-*</v>
      </c>
      <c r="P75" s="28" t="str">
        <f>+IF(INDEX('Master Ratings'!$H:$H, MATCH('Ratings by CLO'!$J75,'Master Ratings'!$B:$B,0),0)=0,"",INDEX('Master Ratings'!$H:$H, MATCH('Ratings by CLO'!$J75,'Master Ratings'!$B:$B,0),0))</f>
        <v>Credit Estimate</v>
      </c>
      <c r="Q75" s="8">
        <f>+IF(INDEX('Master Ratings'!$O:$O, MATCH('Ratings by CLO'!$J75,'Master Ratings'!$B:$B,0),0)=0,"",INDEX('Master Ratings'!$O:$O, MATCH('Ratings by CLO'!$J75,'Master Ratings'!$B:$B,0),0))</f>
        <v>45588</v>
      </c>
      <c r="R75" s="28"/>
      <c r="S75" s="28" t="str">
        <f>+IF(INDEX('Master Ratings'!$L:$L, MATCH('Ratings by CLO'!$J75,'Master Ratings'!$B:$B,0),0)=0,"",INDEX('Master Ratings'!$L:$L, MATCH('Ratings by CLO'!$J75,'Master Ratings'!$B:$B,0),0))</f>
        <v/>
      </c>
      <c r="T75" s="28" t="str">
        <f>+IF(INDEX('Master Ratings'!$M:$M, MATCH('Ratings by CLO'!$J75,'Master Ratings'!$B:$B,0),0)=0,"",INDEX('Master Ratings'!$M:$M, MATCH('Ratings by CLO'!$J75,'Master Ratings'!$B:$B,0),0))</f>
        <v/>
      </c>
      <c r="U75" s="8" t="str">
        <f>+IF(INDEX('Master Ratings'!$P:$P, MATCH('Ratings by CLO'!$J75,'Master Ratings'!$B:$B,0),0)=0,"",INDEX('Master Ratings'!$P:$P, MATCH('Ratings by CLO'!$J75,'Master Ratings'!$B:$B,0),0))</f>
        <v/>
      </c>
      <c r="W75" s="5">
        <f t="shared" ca="1" si="22"/>
        <v>-11</v>
      </c>
      <c r="X75" s="5" t="str">
        <f t="shared" ca="1" si="23"/>
        <v/>
      </c>
      <c r="Z75" s="5" t="str">
        <f t="shared" ca="1" si="24"/>
        <v/>
      </c>
      <c r="AA75" s="5" t="str">
        <f t="shared" ca="1" si="25"/>
        <v/>
      </c>
      <c r="AB75" s="5" t="str">
        <f t="shared" ca="1" si="26"/>
        <v>X</v>
      </c>
      <c r="AC75" s="5" t="str">
        <f t="shared" ca="1" si="27"/>
        <v/>
      </c>
      <c r="AD75" s="5"/>
      <c r="AE75" s="5" t="str">
        <f t="shared" si="28"/>
        <v/>
      </c>
      <c r="AF75" s="32"/>
      <c r="AG75">
        <f t="shared" ca="1" si="29"/>
        <v>6</v>
      </c>
      <c r="AH75">
        <f t="shared" ca="1" si="30"/>
        <v>6</v>
      </c>
      <c r="AI75">
        <f t="shared" ca="1" si="31"/>
        <v>18</v>
      </c>
      <c r="AJ75">
        <f t="shared" ca="1" si="32"/>
        <v>28</v>
      </c>
    </row>
    <row r="76" spans="2:36">
      <c r="B76" s="40">
        <f>+COUNTIFS(SOIs!$D:$D, 'Ratings by CLO'!$J76)</f>
        <v>1</v>
      </c>
      <c r="C76" s="40">
        <f>+COUNTIFS(SOIs!$G:$G, 'Ratings by CLO'!$J76)</f>
        <v>0</v>
      </c>
      <c r="D76" s="40">
        <f>+COUNTIFS(SOIs!$J:$J, 'Ratings by CLO'!$J76)</f>
        <v>1</v>
      </c>
      <c r="E76" s="40">
        <f>+COUNTIFS(SOIs!$M:$M, 'Ratings by CLO'!$J76)</f>
        <v>0</v>
      </c>
      <c r="F76" s="40">
        <f>+COUNTIFS(SOIs!$P:$P, 'Ratings by CLO'!$J76)</f>
        <v>0</v>
      </c>
      <c r="G76" s="40">
        <f>+COUNTIFS(SOIs!$S:$S, 'Ratings by CLO'!$J76)</f>
        <v>1</v>
      </c>
      <c r="H76" s="40">
        <f>+COUNTIFS(SOIs!$V:$V, 'Ratings by CLO'!$J76)</f>
        <v>1</v>
      </c>
      <c r="I76" s="38"/>
      <c r="J76" s="32" t="str">
        <f>+SOIs!X77</f>
        <v>Neptune Flood</v>
      </c>
      <c r="K76" s="32"/>
      <c r="L76" s="28" t="str">
        <f>+IF(INDEX('Master Ratings'!$D:$D, MATCH('Ratings by CLO'!$J76,'Master Ratings'!$B:$B,0),0)=0,"",INDEX('Master Ratings'!$D:$D, MATCH('Ratings by CLO'!$J76,'Master Ratings'!$B:$B,0),0))</f>
        <v/>
      </c>
      <c r="M76" s="28" t="str">
        <f>+IF(INDEX('Master Ratings'!$E:$E, MATCH('Ratings by CLO'!$J76,'Master Ratings'!$B:$B,0),0)=0,"",INDEX('Master Ratings'!$E:$E, MATCH('Ratings by CLO'!$J76,'Master Ratings'!$B:$B,0),0))</f>
        <v/>
      </c>
      <c r="N76" s="28"/>
      <c r="O76" s="28" t="str">
        <f>+IF(INDEX('Master Ratings'!$G:$G, MATCH('Ratings by CLO'!$J76,'Master Ratings'!$B:$B,0),0)=0,"",INDEX('Master Ratings'!$G:$G, MATCH('Ratings by CLO'!$J76,'Master Ratings'!$B:$B,0),0))</f>
        <v>B-*</v>
      </c>
      <c r="P76" s="28" t="str">
        <f>+IF(INDEX('Master Ratings'!$H:$H, MATCH('Ratings by CLO'!$J76,'Master Ratings'!$B:$B,0),0)=0,"",INDEX('Master Ratings'!$H:$H, MATCH('Ratings by CLO'!$J76,'Master Ratings'!$B:$B,0),0))</f>
        <v>Credit Estimate</v>
      </c>
      <c r="Q76" s="8">
        <f>+IF(INDEX('Master Ratings'!$O:$O, MATCH('Ratings by CLO'!$J76,'Master Ratings'!$B:$B,0),0)=0,"",INDEX('Master Ratings'!$O:$O, MATCH('Ratings by CLO'!$J76,'Master Ratings'!$B:$B,0),0))</f>
        <v>45138</v>
      </c>
      <c r="R76" s="28"/>
      <c r="S76" s="28" t="str">
        <f>+IF(INDEX('Master Ratings'!$L:$L, MATCH('Ratings by CLO'!$J76,'Master Ratings'!$B:$B,0),0)=0,"",INDEX('Master Ratings'!$L:$L, MATCH('Ratings by CLO'!$J76,'Master Ratings'!$B:$B,0),0))</f>
        <v/>
      </c>
      <c r="T76" s="28" t="str">
        <f>+IF(INDEX('Master Ratings'!$M:$M, MATCH('Ratings by CLO'!$J76,'Master Ratings'!$B:$B,0),0)=0,"",INDEX('Master Ratings'!$M:$M, MATCH('Ratings by CLO'!$J76,'Master Ratings'!$B:$B,0),0))</f>
        <v/>
      </c>
      <c r="U76" s="8" t="str">
        <f>+IF(INDEX('Master Ratings'!$P:$P, MATCH('Ratings by CLO'!$J76,'Master Ratings'!$B:$B,0),0)=0,"",INDEX('Master Ratings'!$P:$P, MATCH('Ratings by CLO'!$J76,'Master Ratings'!$B:$B,0),0))</f>
        <v/>
      </c>
      <c r="W76" s="5">
        <f t="shared" ca="1" si="22"/>
        <v>-461</v>
      </c>
      <c r="X76" s="5" t="str">
        <f t="shared" ca="1" si="23"/>
        <v/>
      </c>
      <c r="Z76" s="5" t="str">
        <f t="shared" ca="1" si="24"/>
        <v/>
      </c>
      <c r="AA76" s="5" t="str">
        <f t="shared" ca="1" si="25"/>
        <v/>
      </c>
      <c r="AB76" s="5" t="str">
        <f t="shared" ca="1" si="26"/>
        <v>X</v>
      </c>
      <c r="AC76" s="5" t="str">
        <f t="shared" ca="1" si="27"/>
        <v/>
      </c>
      <c r="AD76" s="5"/>
      <c r="AE76" s="5" t="str">
        <f t="shared" si="28"/>
        <v/>
      </c>
      <c r="AF76" s="32"/>
      <c r="AG76">
        <f t="shared" ca="1" si="29"/>
        <v>6</v>
      </c>
      <c r="AH76">
        <f t="shared" ca="1" si="30"/>
        <v>6</v>
      </c>
      <c r="AI76">
        <f t="shared" ca="1" si="31"/>
        <v>19</v>
      </c>
      <c r="AJ76">
        <f t="shared" ca="1" si="32"/>
        <v>28</v>
      </c>
    </row>
    <row r="77" spans="2:36">
      <c r="B77" s="40">
        <f>+COUNTIFS(SOIs!$D:$D, 'Ratings by CLO'!$J77)</f>
        <v>2</v>
      </c>
      <c r="C77" s="40">
        <f>+COUNTIFS(SOIs!$G:$G, 'Ratings by CLO'!$J77)</f>
        <v>1</v>
      </c>
      <c r="D77" s="40">
        <f>+COUNTIFS(SOIs!$J:$J, 'Ratings by CLO'!$J77)</f>
        <v>1</v>
      </c>
      <c r="E77" s="40">
        <f>+COUNTIFS(SOIs!$M:$M, 'Ratings by CLO'!$J77)</f>
        <v>1</v>
      </c>
      <c r="F77" s="40">
        <f>+COUNTIFS(SOIs!$P:$P, 'Ratings by CLO'!$J77)</f>
        <v>0</v>
      </c>
      <c r="G77" s="40">
        <f>+COUNTIFS(SOIs!$S:$S, 'Ratings by CLO'!$J77)</f>
        <v>1</v>
      </c>
      <c r="H77" s="40">
        <f>+COUNTIFS(SOIs!$V:$V, 'Ratings by CLO'!$J77)</f>
        <v>1</v>
      </c>
      <c r="I77" s="38"/>
      <c r="J77" s="32" t="str">
        <f>+SOIs!X78</f>
        <v>Nevada Behavioral Health Systems</v>
      </c>
      <c r="K77" s="32"/>
      <c r="L77" s="28" t="str">
        <f>+IF(INDEX('Master Ratings'!$D:$D, MATCH('Ratings by CLO'!$J77,'Master Ratings'!$B:$B,0),0)=0,"",INDEX('Master Ratings'!$D:$D, MATCH('Ratings by CLO'!$J77,'Master Ratings'!$B:$B,0),0))</f>
        <v/>
      </c>
      <c r="M77" s="28" t="str">
        <f>+IF(INDEX('Master Ratings'!$E:$E, MATCH('Ratings by CLO'!$J77,'Master Ratings'!$B:$B,0),0)=0,"",INDEX('Master Ratings'!$E:$E, MATCH('Ratings by CLO'!$J77,'Master Ratings'!$B:$B,0),0))</f>
        <v/>
      </c>
      <c r="N77" s="28"/>
      <c r="O77" s="28" t="str">
        <f>+IF(INDEX('Master Ratings'!$G:$G, MATCH('Ratings by CLO'!$J77,'Master Ratings'!$B:$B,0),0)=0,"",INDEX('Master Ratings'!$G:$G, MATCH('Ratings by CLO'!$J77,'Master Ratings'!$B:$B,0),0))</f>
        <v>B-*</v>
      </c>
      <c r="P77" s="28" t="str">
        <f>+IF(INDEX('Master Ratings'!$H:$H, MATCH('Ratings by CLO'!$J77,'Master Ratings'!$B:$B,0),0)=0,"",INDEX('Master Ratings'!$H:$H, MATCH('Ratings by CLO'!$J77,'Master Ratings'!$B:$B,0),0))</f>
        <v>Credit Estimate</v>
      </c>
      <c r="Q77" s="8">
        <f>+IF(INDEX('Master Ratings'!$O:$O, MATCH('Ratings by CLO'!$J77,'Master Ratings'!$B:$B,0),0)=0,"",INDEX('Master Ratings'!$O:$O, MATCH('Ratings by CLO'!$J77,'Master Ratings'!$B:$B,0),0))</f>
        <v>45586</v>
      </c>
      <c r="R77" s="28"/>
      <c r="S77" s="28" t="str">
        <f>+IF(INDEX('Master Ratings'!$L:$L, MATCH('Ratings by CLO'!$J77,'Master Ratings'!$B:$B,0),0)=0,"",INDEX('Master Ratings'!$L:$L, MATCH('Ratings by CLO'!$J77,'Master Ratings'!$B:$B,0),0))</f>
        <v/>
      </c>
      <c r="T77" s="28" t="str">
        <f>+IF(INDEX('Master Ratings'!$M:$M, MATCH('Ratings by CLO'!$J77,'Master Ratings'!$B:$B,0),0)=0,"",INDEX('Master Ratings'!$M:$M, MATCH('Ratings by CLO'!$J77,'Master Ratings'!$B:$B,0),0))</f>
        <v/>
      </c>
      <c r="U77" s="8" t="str">
        <f>+IF(INDEX('Master Ratings'!$P:$P, MATCH('Ratings by CLO'!$J77,'Master Ratings'!$B:$B,0),0)=0,"",INDEX('Master Ratings'!$P:$P, MATCH('Ratings by CLO'!$J77,'Master Ratings'!$B:$B,0),0))</f>
        <v/>
      </c>
      <c r="W77" s="5">
        <f t="shared" ca="1" si="22"/>
        <v>-13</v>
      </c>
      <c r="X77" s="5" t="str">
        <f t="shared" ca="1" si="23"/>
        <v/>
      </c>
      <c r="Z77" s="5" t="str">
        <f t="shared" ca="1" si="24"/>
        <v/>
      </c>
      <c r="AA77" s="5" t="str">
        <f t="shared" ca="1" si="25"/>
        <v/>
      </c>
      <c r="AB77" s="5" t="str">
        <f t="shared" ca="1" si="26"/>
        <v>X</v>
      </c>
      <c r="AC77" s="5" t="str">
        <f t="shared" ca="1" si="27"/>
        <v/>
      </c>
      <c r="AD77" s="5"/>
      <c r="AE77" s="5" t="str">
        <f t="shared" si="28"/>
        <v/>
      </c>
      <c r="AF77" s="32"/>
      <c r="AG77">
        <f t="shared" ca="1" si="29"/>
        <v>6</v>
      </c>
      <c r="AH77">
        <f t="shared" ca="1" si="30"/>
        <v>6</v>
      </c>
      <c r="AI77">
        <f t="shared" ca="1" si="31"/>
        <v>20</v>
      </c>
      <c r="AJ77">
        <f t="shared" ca="1" si="32"/>
        <v>28</v>
      </c>
    </row>
    <row r="78" spans="2:36">
      <c r="B78" s="40">
        <f>+COUNTIFS(SOIs!$D:$D, 'Ratings by CLO'!$J78)</f>
        <v>4</v>
      </c>
      <c r="C78" s="40">
        <f>+COUNTIFS(SOIs!$G:$G, 'Ratings by CLO'!$J78)</f>
        <v>1</v>
      </c>
      <c r="D78" s="40">
        <f>+COUNTIFS(SOIs!$J:$J, 'Ratings by CLO'!$J78)</f>
        <v>1</v>
      </c>
      <c r="E78" s="40">
        <f>+COUNTIFS(SOIs!$M:$M, 'Ratings by CLO'!$J78)</f>
        <v>1</v>
      </c>
      <c r="F78" s="40">
        <f>+COUNTIFS(SOIs!$P:$P, 'Ratings by CLO'!$J78)</f>
        <v>2</v>
      </c>
      <c r="G78" s="40">
        <f>+COUNTIFS(SOIs!$S:$S, 'Ratings by CLO'!$J78)</f>
        <v>1</v>
      </c>
      <c r="H78" s="40">
        <f>+COUNTIFS(SOIs!$V:$V, 'Ratings by CLO'!$J78)</f>
        <v>1</v>
      </c>
      <c r="I78" s="38"/>
      <c r="J78" s="32" t="str">
        <f>+SOIs!X79</f>
        <v>Nsi Industries</v>
      </c>
      <c r="K78" s="32"/>
      <c r="L78" s="28" t="str">
        <f>+IF(INDEX('Master Ratings'!$D:$D, MATCH('Ratings by CLO'!$J78,'Master Ratings'!$B:$B,0),0)=0,"",INDEX('Master Ratings'!$D:$D, MATCH('Ratings by CLO'!$J78,'Master Ratings'!$B:$B,0),0))</f>
        <v/>
      </c>
      <c r="M78" s="28" t="str">
        <f>+IF(INDEX('Master Ratings'!$E:$E, MATCH('Ratings by CLO'!$J78,'Master Ratings'!$B:$B,0),0)=0,"",INDEX('Master Ratings'!$E:$E, MATCH('Ratings by CLO'!$J78,'Master Ratings'!$B:$B,0),0))</f>
        <v/>
      </c>
      <c r="N78" s="28"/>
      <c r="O78" s="28" t="str">
        <f>+IF(INDEX('Master Ratings'!$G:$G, MATCH('Ratings by CLO'!$J78,'Master Ratings'!$B:$B,0),0)=0,"",INDEX('Master Ratings'!$G:$G, MATCH('Ratings by CLO'!$J78,'Master Ratings'!$B:$B,0),0))</f>
        <v>B-*</v>
      </c>
      <c r="P78" s="28" t="str">
        <f>+IF(INDEX('Master Ratings'!$H:$H, MATCH('Ratings by CLO'!$J78,'Master Ratings'!$B:$B,0),0)=0,"",INDEX('Master Ratings'!$H:$H, MATCH('Ratings by CLO'!$J78,'Master Ratings'!$B:$B,0),0))</f>
        <v>Rating (Private)</v>
      </c>
      <c r="Q78" s="8">
        <f>+IF(INDEX('Master Ratings'!$O:$O, MATCH('Ratings by CLO'!$J78,'Master Ratings'!$B:$B,0),0)=0,"",INDEX('Master Ratings'!$O:$O, MATCH('Ratings by CLO'!$J78,'Master Ratings'!$B:$B,0),0))</f>
        <v>45373</v>
      </c>
      <c r="R78" s="28"/>
      <c r="S78" s="28" t="str">
        <f>+IF(INDEX('Master Ratings'!$L:$L, MATCH('Ratings by CLO'!$J78,'Master Ratings'!$B:$B,0),0)=0,"",INDEX('Master Ratings'!$L:$L, MATCH('Ratings by CLO'!$J78,'Master Ratings'!$B:$B,0),0))</f>
        <v>B*</v>
      </c>
      <c r="T78" s="28" t="str">
        <f>+IF(INDEX('Master Ratings'!$M:$M, MATCH('Ratings by CLO'!$J78,'Master Ratings'!$B:$B,0),0)=0,"",INDEX('Master Ratings'!$M:$M, MATCH('Ratings by CLO'!$J78,'Master Ratings'!$B:$B,0),0))</f>
        <v>Credit Estimate</v>
      </c>
      <c r="U78" s="8">
        <f>+IF(INDEX('Master Ratings'!$P:$P, MATCH('Ratings by CLO'!$J78,'Master Ratings'!$B:$B,0),0)=0,"",INDEX('Master Ratings'!$P:$P, MATCH('Ratings by CLO'!$J78,'Master Ratings'!$B:$B,0),0))</f>
        <v>45359</v>
      </c>
      <c r="W78" s="5">
        <f t="shared" ca="1" si="22"/>
        <v>-226</v>
      </c>
      <c r="X78" s="5">
        <f t="shared" ca="1" si="23"/>
        <v>-240</v>
      </c>
      <c r="Z78" s="5" t="str">
        <f t="shared" ca="1" si="24"/>
        <v/>
      </c>
      <c r="AA78" s="5" t="str">
        <f t="shared" ca="1" si="25"/>
        <v/>
      </c>
      <c r="AB78" s="5" t="str">
        <f t="shared" ca="1" si="26"/>
        <v>X</v>
      </c>
      <c r="AC78" s="5" t="str">
        <f t="shared" ca="1" si="27"/>
        <v>X</v>
      </c>
      <c r="AD78" s="5"/>
      <c r="AE78" s="5" t="str">
        <f t="shared" si="28"/>
        <v/>
      </c>
      <c r="AF78" s="32"/>
      <c r="AG78">
        <f t="shared" ca="1" si="29"/>
        <v>6</v>
      </c>
      <c r="AH78">
        <f t="shared" ca="1" si="30"/>
        <v>6</v>
      </c>
      <c r="AI78">
        <f t="shared" ca="1" si="31"/>
        <v>21</v>
      </c>
      <c r="AJ78">
        <f t="shared" ca="1" si="32"/>
        <v>29</v>
      </c>
    </row>
    <row r="79" spans="2:36">
      <c r="B79" s="40">
        <f>+COUNTIFS(SOIs!$D:$D, 'Ratings by CLO'!$J79)</f>
        <v>3</v>
      </c>
      <c r="C79" s="40">
        <f>+COUNTIFS(SOIs!$G:$G, 'Ratings by CLO'!$J79)</f>
        <v>0</v>
      </c>
      <c r="D79" s="40">
        <f>+COUNTIFS(SOIs!$J:$J, 'Ratings by CLO'!$J79)</f>
        <v>1</v>
      </c>
      <c r="E79" s="40">
        <f>+COUNTIFS(SOIs!$M:$M, 'Ratings by CLO'!$J79)</f>
        <v>0</v>
      </c>
      <c r="F79" s="40">
        <f>+COUNTIFS(SOIs!$P:$P, 'Ratings by CLO'!$J79)</f>
        <v>1</v>
      </c>
      <c r="G79" s="40">
        <f>+COUNTIFS(SOIs!$S:$S, 'Ratings by CLO'!$J79)</f>
        <v>1</v>
      </c>
      <c r="H79" s="40">
        <f>+COUNTIFS(SOIs!$V:$V, 'Ratings by CLO'!$J79)</f>
        <v>0</v>
      </c>
      <c r="I79" s="38"/>
      <c r="J79" s="32" t="str">
        <f>+SOIs!X80</f>
        <v>OpenRoad Lending</v>
      </c>
      <c r="K79" s="32"/>
      <c r="L79" s="28" t="str">
        <f>+IF(INDEX('Master Ratings'!$D:$D, MATCH('Ratings by CLO'!$J79,'Master Ratings'!$B:$B,0),0)=0,"",INDEX('Master Ratings'!$D:$D, MATCH('Ratings by CLO'!$J79,'Master Ratings'!$B:$B,0),0))</f>
        <v/>
      </c>
      <c r="M79" s="28" t="str">
        <f>+IF(INDEX('Master Ratings'!$E:$E, MATCH('Ratings by CLO'!$J79,'Master Ratings'!$B:$B,0),0)=0,"",INDEX('Master Ratings'!$E:$E, MATCH('Ratings by CLO'!$J79,'Master Ratings'!$B:$B,0),0))</f>
        <v/>
      </c>
      <c r="N79" s="28"/>
      <c r="O79" s="28" t="str">
        <f>+IF(INDEX('Master Ratings'!$G:$G, MATCH('Ratings by CLO'!$J79,'Master Ratings'!$B:$B,0),0)=0,"",INDEX('Master Ratings'!$G:$G, MATCH('Ratings by CLO'!$J79,'Master Ratings'!$B:$B,0),0))</f>
        <v>CCC-*</v>
      </c>
      <c r="P79" s="28" t="str">
        <f>+IF(INDEX('Master Ratings'!$H:$H, MATCH('Ratings by CLO'!$J79,'Master Ratings'!$B:$B,0),0)=0,"",INDEX('Master Ratings'!$H:$H, MATCH('Ratings by CLO'!$J79,'Master Ratings'!$B:$B,0),0))</f>
        <v>Credit Estimate</v>
      </c>
      <c r="Q79" s="8">
        <f>+IF(INDEX('Master Ratings'!$O:$O, MATCH('Ratings by CLO'!$J79,'Master Ratings'!$B:$B,0),0)=0,"",INDEX('Master Ratings'!$O:$O, MATCH('Ratings by CLO'!$J79,'Master Ratings'!$B:$B,0),0))</f>
        <v>45714</v>
      </c>
      <c r="R79" s="28"/>
      <c r="S79" s="28" t="str">
        <f>+IF(INDEX('Master Ratings'!$L:$L, MATCH('Ratings by CLO'!$J79,'Master Ratings'!$B:$B,0),0)=0,"",INDEX('Master Ratings'!$L:$L, MATCH('Ratings by CLO'!$J79,'Master Ratings'!$B:$B,0),0))</f>
        <v>B-*</v>
      </c>
      <c r="T79" s="28" t="str">
        <f>+IF(INDEX('Master Ratings'!$M:$M, MATCH('Ratings by CLO'!$J79,'Master Ratings'!$B:$B,0),0)=0,"",INDEX('Master Ratings'!$M:$M, MATCH('Ratings by CLO'!$J79,'Master Ratings'!$B:$B,0),0))</f>
        <v>Credit Estimate</v>
      </c>
      <c r="U79" s="8">
        <f>+IF(INDEX('Master Ratings'!$P:$P, MATCH('Ratings by CLO'!$J79,'Master Ratings'!$B:$B,0),0)=0,"",INDEX('Master Ratings'!$P:$P, MATCH('Ratings by CLO'!$J79,'Master Ratings'!$B:$B,0),0))</f>
        <v>45093</v>
      </c>
      <c r="W79" s="5">
        <f t="shared" ca="1" si="22"/>
        <v>115</v>
      </c>
      <c r="X79" s="5">
        <f t="shared" ca="1" si="23"/>
        <v>-506</v>
      </c>
      <c r="Z79" s="5" t="str">
        <f t="shared" ca="1" si="24"/>
        <v/>
      </c>
      <c r="AA79" s="5" t="str">
        <f t="shared" ca="1" si="25"/>
        <v/>
      </c>
      <c r="AB79" s="5" t="str">
        <f t="shared" ca="1" si="26"/>
        <v/>
      </c>
      <c r="AC79" s="5" t="str">
        <f t="shared" ca="1" si="27"/>
        <v>X</v>
      </c>
      <c r="AD79" s="5"/>
      <c r="AE79" s="5" t="str">
        <f t="shared" si="28"/>
        <v/>
      </c>
      <c r="AF79" s="32"/>
      <c r="AG79">
        <f t="shared" ca="1" si="29"/>
        <v>6</v>
      </c>
      <c r="AH79">
        <f t="shared" ca="1" si="30"/>
        <v>6</v>
      </c>
      <c r="AI79">
        <f t="shared" ca="1" si="31"/>
        <v>21</v>
      </c>
      <c r="AJ79">
        <f t="shared" ca="1" si="32"/>
        <v>30</v>
      </c>
    </row>
    <row r="80" spans="2:36">
      <c r="B80" s="40">
        <f>+COUNTIFS(SOIs!$D:$D, 'Ratings by CLO'!$J80)</f>
        <v>4</v>
      </c>
      <c r="C80" s="40">
        <f>+COUNTIFS(SOIs!$G:$G, 'Ratings by CLO'!$J80)</f>
        <v>1</v>
      </c>
      <c r="D80" s="40">
        <f>+COUNTIFS(SOIs!$J:$J, 'Ratings by CLO'!$J80)</f>
        <v>1</v>
      </c>
      <c r="E80" s="40">
        <f>+COUNTIFS(SOIs!$M:$M, 'Ratings by CLO'!$J80)</f>
        <v>1</v>
      </c>
      <c r="F80" s="40">
        <f>+COUNTIFS(SOIs!$P:$P, 'Ratings by CLO'!$J80)</f>
        <v>1</v>
      </c>
      <c r="G80" s="40">
        <f>+COUNTIFS(SOIs!$S:$S, 'Ratings by CLO'!$J80)</f>
        <v>1</v>
      </c>
      <c r="H80" s="40">
        <f>+COUNTIFS(SOIs!$V:$V, 'Ratings by CLO'!$J80)</f>
        <v>1</v>
      </c>
      <c r="I80" s="38"/>
      <c r="J80" s="32" t="str">
        <f>+SOIs!X81</f>
        <v>OSM</v>
      </c>
      <c r="K80" s="32"/>
      <c r="L80" s="28" t="str">
        <f>+IF(INDEX('Master Ratings'!$D:$D, MATCH('Ratings by CLO'!$J80,'Master Ratings'!$B:$B,0),0)=0,"",INDEX('Master Ratings'!$D:$D, MATCH('Ratings by CLO'!$J80,'Master Ratings'!$B:$B,0),0))</f>
        <v/>
      </c>
      <c r="M80" s="28" t="str">
        <f>+IF(INDEX('Master Ratings'!$E:$E, MATCH('Ratings by CLO'!$J80,'Master Ratings'!$B:$B,0),0)=0,"",INDEX('Master Ratings'!$E:$E, MATCH('Ratings by CLO'!$J80,'Master Ratings'!$B:$B,0),0))</f>
        <v/>
      </c>
      <c r="N80" s="28"/>
      <c r="O80" s="28" t="str">
        <f>+IF(INDEX('Master Ratings'!$G:$G, MATCH('Ratings by CLO'!$J80,'Master Ratings'!$B:$B,0),0)=0,"",INDEX('Master Ratings'!$G:$G, MATCH('Ratings by CLO'!$J80,'Master Ratings'!$B:$B,0),0))</f>
        <v>B*</v>
      </c>
      <c r="P80" s="28" t="str">
        <f>+IF(INDEX('Master Ratings'!$H:$H, MATCH('Ratings by CLO'!$J80,'Master Ratings'!$B:$B,0),0)=0,"",INDEX('Master Ratings'!$H:$H, MATCH('Ratings by CLO'!$J80,'Master Ratings'!$B:$B,0),0))</f>
        <v>Credit Estimate</v>
      </c>
      <c r="Q80" s="8">
        <f>+IF(INDEX('Master Ratings'!$O:$O, MATCH('Ratings by CLO'!$J80,'Master Ratings'!$B:$B,0),0)=0,"",INDEX('Master Ratings'!$O:$O, MATCH('Ratings by CLO'!$J80,'Master Ratings'!$B:$B,0),0))</f>
        <v>45665</v>
      </c>
      <c r="R80" s="28"/>
      <c r="S80" s="28" t="str">
        <f>+IF(INDEX('Master Ratings'!$L:$L, MATCH('Ratings by CLO'!$J80,'Master Ratings'!$B:$B,0),0)=0,"",INDEX('Master Ratings'!$L:$L, MATCH('Ratings by CLO'!$J80,'Master Ratings'!$B:$B,0),0))</f>
        <v>B*</v>
      </c>
      <c r="T80" s="28" t="str">
        <f>+IF(INDEX('Master Ratings'!$M:$M, MATCH('Ratings by CLO'!$J80,'Master Ratings'!$B:$B,0),0)=0,"",INDEX('Master Ratings'!$M:$M, MATCH('Ratings by CLO'!$J80,'Master Ratings'!$B:$B,0),0))</f>
        <v>Credit Estimate</v>
      </c>
      <c r="U80" s="8">
        <f>+IF(INDEX('Master Ratings'!$P:$P, MATCH('Ratings by CLO'!$J80,'Master Ratings'!$B:$B,0),0)=0,"",INDEX('Master Ratings'!$P:$P, MATCH('Ratings by CLO'!$J80,'Master Ratings'!$B:$B,0),0))</f>
        <v>45107</v>
      </c>
      <c r="W80" s="5">
        <f t="shared" ca="1" si="22"/>
        <v>66</v>
      </c>
      <c r="X80" s="5">
        <f t="shared" ca="1" si="23"/>
        <v>-492</v>
      </c>
      <c r="Z80" s="5" t="str">
        <f t="shared" ca="1" si="24"/>
        <v/>
      </c>
      <c r="AA80" s="5" t="str">
        <f t="shared" ca="1" si="25"/>
        <v/>
      </c>
      <c r="AB80" s="5" t="str">
        <f t="shared" ca="1" si="26"/>
        <v/>
      </c>
      <c r="AC80" s="5" t="str">
        <f t="shared" ca="1" si="27"/>
        <v>X</v>
      </c>
      <c r="AD80" s="5"/>
      <c r="AE80" s="5" t="str">
        <f t="shared" si="28"/>
        <v/>
      </c>
      <c r="AF80" s="32"/>
      <c r="AG80">
        <f t="shared" ca="1" si="29"/>
        <v>6</v>
      </c>
      <c r="AH80">
        <f t="shared" ca="1" si="30"/>
        <v>6</v>
      </c>
      <c r="AI80">
        <f t="shared" ca="1" si="31"/>
        <v>21</v>
      </c>
      <c r="AJ80">
        <f t="shared" ca="1" si="32"/>
        <v>31</v>
      </c>
    </row>
    <row r="81" spans="2:36">
      <c r="B81" s="40">
        <f>+COUNTIFS(SOIs!$D:$D, 'Ratings by CLO'!$J81)</f>
        <v>4</v>
      </c>
      <c r="C81" s="40">
        <f>+COUNTIFS(SOIs!$G:$G, 'Ratings by CLO'!$J81)</f>
        <v>1</v>
      </c>
      <c r="D81" s="40">
        <f>+COUNTIFS(SOIs!$J:$J, 'Ratings by CLO'!$J81)</f>
        <v>1</v>
      </c>
      <c r="E81" s="40">
        <f>+COUNTIFS(SOIs!$M:$M, 'Ratings by CLO'!$J81)</f>
        <v>0</v>
      </c>
      <c r="F81" s="40">
        <f>+COUNTIFS(SOIs!$P:$P, 'Ratings by CLO'!$J81)</f>
        <v>1</v>
      </c>
      <c r="G81" s="40">
        <f>+COUNTIFS(SOIs!$S:$S, 'Ratings by CLO'!$J81)</f>
        <v>0</v>
      </c>
      <c r="H81" s="40">
        <f>+COUNTIFS(SOIs!$V:$V, 'Ratings by CLO'!$J81)</f>
        <v>0</v>
      </c>
      <c r="I81" s="38"/>
      <c r="J81" s="32" t="str">
        <f>+SOIs!X82</f>
        <v>Ox</v>
      </c>
      <c r="K81" s="32"/>
      <c r="L81" s="28" t="str">
        <f>+IF(INDEX('Master Ratings'!$D:$D, MATCH('Ratings by CLO'!$J81,'Master Ratings'!$B:$B,0),0)=0,"",INDEX('Master Ratings'!$D:$D, MATCH('Ratings by CLO'!$J81,'Master Ratings'!$B:$B,0),0))</f>
        <v/>
      </c>
      <c r="M81" s="28" t="str">
        <f>+IF(INDEX('Master Ratings'!$E:$E, MATCH('Ratings by CLO'!$J81,'Master Ratings'!$B:$B,0),0)=0,"",INDEX('Master Ratings'!$E:$E, MATCH('Ratings by CLO'!$J81,'Master Ratings'!$B:$B,0),0))</f>
        <v/>
      </c>
      <c r="N81" s="28"/>
      <c r="O81" s="28" t="str">
        <f>+IF(INDEX('Master Ratings'!$G:$G, MATCH('Ratings by CLO'!$J81,'Master Ratings'!$B:$B,0),0)=0,"",INDEX('Master Ratings'!$G:$G, MATCH('Ratings by CLO'!$J81,'Master Ratings'!$B:$B,0),0))</f>
        <v>B-*</v>
      </c>
      <c r="P81" s="28" t="str">
        <f>+IF(INDEX('Master Ratings'!$H:$H, MATCH('Ratings by CLO'!$J81,'Master Ratings'!$B:$B,0),0)=0,"",INDEX('Master Ratings'!$H:$H, MATCH('Ratings by CLO'!$J81,'Master Ratings'!$B:$B,0),0))</f>
        <v>Credit Estimate</v>
      </c>
      <c r="Q81" s="8">
        <f>+IF(INDEX('Master Ratings'!$O:$O, MATCH('Ratings by CLO'!$J81,'Master Ratings'!$B:$B,0),0)=0,"",INDEX('Master Ratings'!$O:$O, MATCH('Ratings by CLO'!$J81,'Master Ratings'!$B:$B,0),0))</f>
        <v>45400</v>
      </c>
      <c r="R81" s="28"/>
      <c r="S81" s="28" t="str">
        <f>+IF(INDEX('Master Ratings'!$L:$L, MATCH('Ratings by CLO'!$J81,'Master Ratings'!$B:$B,0),0)=0,"",INDEX('Master Ratings'!$L:$L, MATCH('Ratings by CLO'!$J81,'Master Ratings'!$B:$B,0),0))</f>
        <v>B-*</v>
      </c>
      <c r="T81" s="28" t="str">
        <f>+IF(INDEX('Master Ratings'!$M:$M, MATCH('Ratings by CLO'!$J81,'Master Ratings'!$B:$B,0),0)=0,"",INDEX('Master Ratings'!$M:$M, MATCH('Ratings by CLO'!$J81,'Master Ratings'!$B:$B,0),0))</f>
        <v>Credit Estimate</v>
      </c>
      <c r="U81" s="8">
        <f>+IF(INDEX('Master Ratings'!$P:$P, MATCH('Ratings by CLO'!$J81,'Master Ratings'!$B:$B,0),0)=0,"",INDEX('Master Ratings'!$P:$P, MATCH('Ratings by CLO'!$J81,'Master Ratings'!$B:$B,0),0))</f>
        <v>45132</v>
      </c>
      <c r="W81" s="5">
        <f t="shared" ca="1" si="22"/>
        <v>-199</v>
      </c>
      <c r="X81" s="5">
        <f t="shared" ca="1" si="23"/>
        <v>-467</v>
      </c>
      <c r="Z81" s="5" t="str">
        <f t="shared" ca="1" si="24"/>
        <v/>
      </c>
      <c r="AA81" s="5" t="str">
        <f t="shared" ca="1" si="25"/>
        <v/>
      </c>
      <c r="AB81" s="5" t="str">
        <f t="shared" ca="1" si="26"/>
        <v>X</v>
      </c>
      <c r="AC81" s="5" t="str">
        <f t="shared" ca="1" si="27"/>
        <v>X</v>
      </c>
      <c r="AD81" s="5"/>
      <c r="AE81" s="5" t="str">
        <f t="shared" si="28"/>
        <v/>
      </c>
      <c r="AF81" s="32"/>
      <c r="AG81">
        <f t="shared" ca="1" si="29"/>
        <v>6</v>
      </c>
      <c r="AH81">
        <f t="shared" ca="1" si="30"/>
        <v>6</v>
      </c>
      <c r="AI81">
        <f t="shared" ca="1" si="31"/>
        <v>22</v>
      </c>
      <c r="AJ81">
        <f t="shared" ca="1" si="32"/>
        <v>32</v>
      </c>
    </row>
    <row r="82" spans="2:36">
      <c r="B82" s="40">
        <f>+COUNTIFS(SOIs!$D:$D, 'Ratings by CLO'!$J82)</f>
        <v>3</v>
      </c>
      <c r="C82" s="40">
        <f>+COUNTIFS(SOIs!$G:$G, 'Ratings by CLO'!$J82)</f>
        <v>1</v>
      </c>
      <c r="D82" s="40">
        <f>+COUNTIFS(SOIs!$J:$J, 'Ratings by CLO'!$J82)</f>
        <v>2</v>
      </c>
      <c r="E82" s="40">
        <f>+COUNTIFS(SOIs!$M:$M, 'Ratings by CLO'!$J82)</f>
        <v>1</v>
      </c>
      <c r="F82" s="40">
        <f>+COUNTIFS(SOIs!$P:$P, 'Ratings by CLO'!$J82)</f>
        <v>0</v>
      </c>
      <c r="G82" s="40">
        <f>+COUNTIFS(SOIs!$S:$S, 'Ratings by CLO'!$J82)</f>
        <v>0</v>
      </c>
      <c r="H82" s="40">
        <f>+COUNTIFS(SOIs!$V:$V, 'Ratings by CLO'!$J82)</f>
        <v>0</v>
      </c>
      <c r="I82" s="38"/>
      <c r="J82" s="32" t="str">
        <f>+SOIs!X83</f>
        <v>Painters Supply and Equipment</v>
      </c>
      <c r="K82" s="32"/>
      <c r="L82" s="28" t="str">
        <f>+IF(INDEX('Master Ratings'!$D:$D, MATCH('Ratings by CLO'!$J82,'Master Ratings'!$B:$B,0),0)=0,"",INDEX('Master Ratings'!$D:$D, MATCH('Ratings by CLO'!$J82,'Master Ratings'!$B:$B,0),0))</f>
        <v/>
      </c>
      <c r="M82" s="28" t="str">
        <f>+IF(INDEX('Master Ratings'!$E:$E, MATCH('Ratings by CLO'!$J82,'Master Ratings'!$B:$B,0),0)=0,"",INDEX('Master Ratings'!$E:$E, MATCH('Ratings by CLO'!$J82,'Master Ratings'!$B:$B,0),0))</f>
        <v/>
      </c>
      <c r="N82" s="28"/>
      <c r="O82" s="28" t="str">
        <f>+IF(INDEX('Master Ratings'!$G:$G, MATCH('Ratings by CLO'!$J82,'Master Ratings'!$B:$B,0),0)=0,"",INDEX('Master Ratings'!$G:$G, MATCH('Ratings by CLO'!$J82,'Master Ratings'!$B:$B,0),0))</f>
        <v>B-*</v>
      </c>
      <c r="P82" s="28" t="str">
        <f>+IF(INDEX('Master Ratings'!$H:$H, MATCH('Ratings by CLO'!$J82,'Master Ratings'!$B:$B,0),0)=0,"",INDEX('Master Ratings'!$H:$H, MATCH('Ratings by CLO'!$J82,'Master Ratings'!$B:$B,0),0))</f>
        <v>Credit Estimate</v>
      </c>
      <c r="Q82" s="8">
        <f>+IF(INDEX('Master Ratings'!$O:$O, MATCH('Ratings by CLO'!$J82,'Master Ratings'!$B:$B,0),0)=0,"",INDEX('Master Ratings'!$O:$O, MATCH('Ratings by CLO'!$J82,'Master Ratings'!$B:$B,0),0))</f>
        <v>45771</v>
      </c>
      <c r="R82" s="28"/>
      <c r="S82" s="28" t="str">
        <f>+IF(INDEX('Master Ratings'!$L:$L, MATCH('Ratings by CLO'!$J82,'Master Ratings'!$B:$B,0),0)=0,"",INDEX('Master Ratings'!$L:$L, MATCH('Ratings by CLO'!$J82,'Master Ratings'!$B:$B,0),0))</f>
        <v/>
      </c>
      <c r="T82" s="28" t="str">
        <f>+IF(INDEX('Master Ratings'!$M:$M, MATCH('Ratings by CLO'!$J82,'Master Ratings'!$B:$B,0),0)=0,"",INDEX('Master Ratings'!$M:$M, MATCH('Ratings by CLO'!$J82,'Master Ratings'!$B:$B,0),0))</f>
        <v/>
      </c>
      <c r="U82" s="8" t="str">
        <f>+IF(INDEX('Master Ratings'!$P:$P, MATCH('Ratings by CLO'!$J82,'Master Ratings'!$B:$B,0),0)=0,"",INDEX('Master Ratings'!$P:$P, MATCH('Ratings by CLO'!$J82,'Master Ratings'!$B:$B,0),0))</f>
        <v/>
      </c>
      <c r="W82" s="5">
        <f t="shared" ca="1" si="22"/>
        <v>172</v>
      </c>
      <c r="X82" s="5" t="str">
        <f t="shared" ca="1" si="23"/>
        <v/>
      </c>
      <c r="Z82" s="5" t="str">
        <f t="shared" ca="1" si="24"/>
        <v/>
      </c>
      <c r="AA82" s="5" t="str">
        <f t="shared" ca="1" si="25"/>
        <v/>
      </c>
      <c r="AB82" s="5" t="str">
        <f t="shared" ca="1" si="26"/>
        <v/>
      </c>
      <c r="AC82" s="5" t="str">
        <f t="shared" ca="1" si="27"/>
        <v/>
      </c>
      <c r="AD82" s="5"/>
      <c r="AE82" s="5" t="str">
        <f t="shared" si="28"/>
        <v/>
      </c>
      <c r="AF82" s="32"/>
      <c r="AG82">
        <f t="shared" ca="1" si="29"/>
        <v>6</v>
      </c>
      <c r="AH82">
        <f t="shared" ca="1" si="30"/>
        <v>6</v>
      </c>
      <c r="AI82">
        <f t="shared" ca="1" si="31"/>
        <v>22</v>
      </c>
      <c r="AJ82">
        <f t="shared" ca="1" si="32"/>
        <v>32</v>
      </c>
    </row>
    <row r="83" spans="2:36">
      <c r="B83" s="40">
        <f>+COUNTIFS(SOIs!$D:$D, 'Ratings by CLO'!$J83)</f>
        <v>2</v>
      </c>
      <c r="C83" s="40">
        <f>+COUNTIFS(SOIs!$G:$G, 'Ratings by CLO'!$J83)</f>
        <v>1</v>
      </c>
      <c r="D83" s="40">
        <f>+COUNTIFS(SOIs!$J:$J, 'Ratings by CLO'!$J83)</f>
        <v>1</v>
      </c>
      <c r="E83" s="40">
        <f>+COUNTIFS(SOIs!$M:$M, 'Ratings by CLO'!$J83)</f>
        <v>0</v>
      </c>
      <c r="F83" s="40">
        <f>+COUNTIFS(SOIs!$P:$P, 'Ratings by CLO'!$J83)</f>
        <v>1</v>
      </c>
      <c r="G83" s="40">
        <f>+COUNTIFS(SOIs!$S:$S, 'Ratings by CLO'!$J83)</f>
        <v>1</v>
      </c>
      <c r="H83" s="40">
        <f>+COUNTIFS(SOIs!$V:$V, 'Ratings by CLO'!$J83)</f>
        <v>0</v>
      </c>
      <c r="I83" s="38"/>
      <c r="J83" s="32" t="str">
        <f>+SOIs!X84</f>
        <v>Pink Lily</v>
      </c>
      <c r="K83" s="32"/>
      <c r="L83" s="28" t="str">
        <f>+IF(INDEX('Master Ratings'!$D:$D, MATCH('Ratings by CLO'!$J83,'Master Ratings'!$B:$B,0),0)=0,"",INDEX('Master Ratings'!$D:$D, MATCH('Ratings by CLO'!$J83,'Master Ratings'!$B:$B,0),0))</f>
        <v/>
      </c>
      <c r="M83" s="28" t="str">
        <f>+IF(INDEX('Master Ratings'!$E:$E, MATCH('Ratings by CLO'!$J83,'Master Ratings'!$B:$B,0),0)=0,"",INDEX('Master Ratings'!$E:$E, MATCH('Ratings by CLO'!$J83,'Master Ratings'!$B:$B,0),0))</f>
        <v/>
      </c>
      <c r="N83" s="28"/>
      <c r="O83" s="28" t="str">
        <f>+IF(INDEX('Master Ratings'!$G:$G, MATCH('Ratings by CLO'!$J83,'Master Ratings'!$B:$B,0),0)=0,"",INDEX('Master Ratings'!$G:$G, MATCH('Ratings by CLO'!$J83,'Master Ratings'!$B:$B,0),0))</f>
        <v>CCC+*</v>
      </c>
      <c r="P83" s="28" t="str">
        <f>+IF(INDEX('Master Ratings'!$H:$H, MATCH('Ratings by CLO'!$J83,'Master Ratings'!$B:$B,0),0)=0,"",INDEX('Master Ratings'!$H:$H, MATCH('Ratings by CLO'!$J83,'Master Ratings'!$B:$B,0),0))</f>
        <v>Credit Estimate</v>
      </c>
      <c r="Q83" s="8">
        <f>+IF(INDEX('Master Ratings'!$O:$O, MATCH('Ratings by CLO'!$J83,'Master Ratings'!$B:$B,0),0)=0,"",INDEX('Master Ratings'!$O:$O, MATCH('Ratings by CLO'!$J83,'Master Ratings'!$B:$B,0),0))</f>
        <v>45443</v>
      </c>
      <c r="R83" s="28"/>
      <c r="S83" s="28" t="str">
        <f>+IF(INDEX('Master Ratings'!$L:$L, MATCH('Ratings by CLO'!$J83,'Master Ratings'!$B:$B,0),0)=0,"",INDEX('Master Ratings'!$L:$L, MATCH('Ratings by CLO'!$J83,'Master Ratings'!$B:$B,0),0))</f>
        <v>B*</v>
      </c>
      <c r="T83" s="28" t="str">
        <f>+IF(INDEX('Master Ratings'!$M:$M, MATCH('Ratings by CLO'!$J83,'Master Ratings'!$B:$B,0),0)=0,"",INDEX('Master Ratings'!$M:$M, MATCH('Ratings by CLO'!$J83,'Master Ratings'!$B:$B,0),0))</f>
        <v/>
      </c>
      <c r="U83" s="8">
        <f>+IF(INDEX('Master Ratings'!$P:$P, MATCH('Ratings by CLO'!$J83,'Master Ratings'!$B:$B,0),0)=0,"",INDEX('Master Ratings'!$P:$P, MATCH('Ratings by CLO'!$J83,'Master Ratings'!$B:$B,0),0))</f>
        <v>44642</v>
      </c>
      <c r="W83" s="5">
        <f t="shared" ca="1" si="22"/>
        <v>-156</v>
      </c>
      <c r="X83" s="5" t="str">
        <f t="shared" ca="1" si="23"/>
        <v/>
      </c>
      <c r="Z83" s="5" t="str">
        <f t="shared" ca="1" si="24"/>
        <v/>
      </c>
      <c r="AA83" s="5" t="str">
        <f t="shared" ca="1" si="25"/>
        <v/>
      </c>
      <c r="AB83" s="5" t="str">
        <f t="shared" ca="1" si="26"/>
        <v>X</v>
      </c>
      <c r="AC83" s="5" t="str">
        <f t="shared" ca="1" si="27"/>
        <v/>
      </c>
      <c r="AD83" s="5"/>
      <c r="AE83" s="5" t="str">
        <f t="shared" si="28"/>
        <v/>
      </c>
      <c r="AF83" s="32"/>
      <c r="AG83">
        <f t="shared" ca="1" si="29"/>
        <v>6</v>
      </c>
      <c r="AH83">
        <f t="shared" ca="1" si="30"/>
        <v>6</v>
      </c>
      <c r="AI83">
        <f t="shared" ca="1" si="31"/>
        <v>23</v>
      </c>
      <c r="AJ83">
        <f t="shared" ca="1" si="32"/>
        <v>32</v>
      </c>
    </row>
    <row r="84" spans="2:36">
      <c r="B84" s="40">
        <f>+COUNTIFS(SOIs!$D:$D, 'Ratings by CLO'!$J84)</f>
        <v>3</v>
      </c>
      <c r="C84" s="40">
        <f>+COUNTIFS(SOIs!$G:$G, 'Ratings by CLO'!$J84)</f>
        <v>1</v>
      </c>
      <c r="D84" s="40">
        <f>+COUNTIFS(SOIs!$J:$J, 'Ratings by CLO'!$J84)</f>
        <v>0</v>
      </c>
      <c r="E84" s="40">
        <f>+COUNTIFS(SOIs!$M:$M, 'Ratings by CLO'!$J84)</f>
        <v>1</v>
      </c>
      <c r="F84" s="40">
        <f>+COUNTIFS(SOIs!$P:$P, 'Ratings by CLO'!$J84)</f>
        <v>0</v>
      </c>
      <c r="G84" s="40">
        <f>+COUNTIFS(SOIs!$S:$S, 'Ratings by CLO'!$J84)</f>
        <v>0</v>
      </c>
      <c r="H84" s="40">
        <f>+COUNTIFS(SOIs!$V:$V, 'Ratings by CLO'!$J84)</f>
        <v>0</v>
      </c>
      <c r="I84" s="38"/>
      <c r="J84" s="32" t="str">
        <f>+SOIs!X85</f>
        <v>PlayPower</v>
      </c>
      <c r="K84" s="32"/>
      <c r="L84" s="28" t="str">
        <f>+IF(INDEX('Master Ratings'!$D:$D, MATCH('Ratings by CLO'!$J84,'Master Ratings'!$B:$B,0),0)=0,"",INDEX('Master Ratings'!$D:$D, MATCH('Ratings by CLO'!$J84,'Master Ratings'!$B:$B,0),0))</f>
        <v>B3</v>
      </c>
      <c r="M84" s="28" t="str">
        <f>+IF(INDEX('Master Ratings'!$E:$E, MATCH('Ratings by CLO'!$J84,'Master Ratings'!$B:$B,0),0)=0,"",INDEX('Master Ratings'!$E:$E, MATCH('Ratings by CLO'!$J84,'Master Ratings'!$B:$B,0),0))</f>
        <v>Rating (Public)</v>
      </c>
      <c r="N84" s="28"/>
      <c r="O84" s="28" t="str">
        <f>+IF(INDEX('Master Ratings'!$G:$G, MATCH('Ratings by CLO'!$J84,'Master Ratings'!$B:$B,0),0)=0,"",INDEX('Master Ratings'!$G:$G, MATCH('Ratings by CLO'!$J84,'Master Ratings'!$B:$B,0),0))</f>
        <v>B-*</v>
      </c>
      <c r="P84" s="28" t="str">
        <f>+IF(INDEX('Master Ratings'!$H:$H, MATCH('Ratings by CLO'!$J84,'Master Ratings'!$B:$B,0),0)=0,"",INDEX('Master Ratings'!$H:$H, MATCH('Ratings by CLO'!$J84,'Master Ratings'!$B:$B,0),0))</f>
        <v>Credit Estimate</v>
      </c>
      <c r="Q84" s="8">
        <f>+IF(INDEX('Master Ratings'!$O:$O, MATCH('Ratings by CLO'!$J84,'Master Ratings'!$B:$B,0),0)=0,"",INDEX('Master Ratings'!$O:$O, MATCH('Ratings by CLO'!$J84,'Master Ratings'!$B:$B,0),0))</f>
        <v>45777</v>
      </c>
      <c r="R84" s="28"/>
      <c r="S84" s="28" t="str">
        <f>+IF(INDEX('Master Ratings'!$L:$L, MATCH('Ratings by CLO'!$J84,'Master Ratings'!$B:$B,0),0)=0,"",INDEX('Master Ratings'!$L:$L, MATCH('Ratings by CLO'!$J84,'Master Ratings'!$B:$B,0),0))</f>
        <v/>
      </c>
      <c r="T84" s="28" t="str">
        <f>+IF(INDEX('Master Ratings'!$M:$M, MATCH('Ratings by CLO'!$J84,'Master Ratings'!$B:$B,0),0)=0,"",INDEX('Master Ratings'!$M:$M, MATCH('Ratings by CLO'!$J84,'Master Ratings'!$B:$B,0),0))</f>
        <v/>
      </c>
      <c r="U84" s="8" t="str">
        <f>+IF(INDEX('Master Ratings'!$P:$P, MATCH('Ratings by CLO'!$J84,'Master Ratings'!$B:$B,0),0)=0,"",INDEX('Master Ratings'!$P:$P, MATCH('Ratings by CLO'!$J84,'Master Ratings'!$B:$B,0),0))</f>
        <v/>
      </c>
      <c r="W84" s="5">
        <f t="shared" ca="1" si="22"/>
        <v>178</v>
      </c>
      <c r="X84" s="5" t="str">
        <f t="shared" ca="1" si="23"/>
        <v/>
      </c>
      <c r="Z84" s="5" t="str">
        <f t="shared" ca="1" si="24"/>
        <v/>
      </c>
      <c r="AA84" s="5" t="str">
        <f t="shared" ca="1" si="25"/>
        <v/>
      </c>
      <c r="AB84" s="5" t="str">
        <f t="shared" ca="1" si="26"/>
        <v/>
      </c>
      <c r="AC84" s="5" t="str">
        <f t="shared" ca="1" si="27"/>
        <v/>
      </c>
      <c r="AD84" s="5"/>
      <c r="AE84" s="5" t="str">
        <f t="shared" si="28"/>
        <v/>
      </c>
      <c r="AF84" s="32"/>
      <c r="AG84">
        <f t="shared" ca="1" si="29"/>
        <v>6</v>
      </c>
      <c r="AH84">
        <f t="shared" ca="1" si="30"/>
        <v>6</v>
      </c>
      <c r="AI84">
        <f t="shared" ca="1" si="31"/>
        <v>23</v>
      </c>
      <c r="AJ84">
        <f t="shared" ca="1" si="32"/>
        <v>32</v>
      </c>
    </row>
    <row r="85" spans="2:36">
      <c r="B85" s="40">
        <f>+COUNTIFS(SOIs!$D:$D, 'Ratings by CLO'!$J85)</f>
        <v>1</v>
      </c>
      <c r="C85" s="40">
        <f>+COUNTIFS(SOIs!$G:$G, 'Ratings by CLO'!$J85)</f>
        <v>1</v>
      </c>
      <c r="D85" s="40">
        <f>+COUNTIFS(SOIs!$J:$J, 'Ratings by CLO'!$J85)</f>
        <v>0</v>
      </c>
      <c r="E85" s="40">
        <f>+COUNTIFS(SOIs!$M:$M, 'Ratings by CLO'!$J85)</f>
        <v>0</v>
      </c>
      <c r="F85" s="40">
        <f>+COUNTIFS(SOIs!$P:$P, 'Ratings by CLO'!$J85)</f>
        <v>0</v>
      </c>
      <c r="G85" s="40">
        <f>+COUNTIFS(SOIs!$S:$S, 'Ratings by CLO'!$J85)</f>
        <v>1</v>
      </c>
      <c r="H85" s="40">
        <f>+COUNTIFS(SOIs!$V:$V, 'Ratings by CLO'!$J85)</f>
        <v>0</v>
      </c>
      <c r="I85" s="38"/>
      <c r="J85" s="32" t="str">
        <f>+SOIs!X86</f>
        <v>Pragmatic Institute</v>
      </c>
      <c r="K85" s="32"/>
      <c r="L85" s="28" t="str">
        <f>+IF(INDEX('Master Ratings'!$D:$D, MATCH('Ratings by CLO'!$J85,'Master Ratings'!$B:$B,0),0)=0,"",INDEX('Master Ratings'!$D:$D, MATCH('Ratings by CLO'!$J85,'Master Ratings'!$B:$B,0),0))</f>
        <v/>
      </c>
      <c r="M85" s="28" t="str">
        <f>+IF(INDEX('Master Ratings'!$E:$E, MATCH('Ratings by CLO'!$J85,'Master Ratings'!$B:$B,0),0)=0,"",INDEX('Master Ratings'!$E:$E, MATCH('Ratings by CLO'!$J85,'Master Ratings'!$B:$B,0),0))</f>
        <v/>
      </c>
      <c r="N85" s="28"/>
      <c r="O85" s="28" t="str">
        <f>+IF(INDEX('Master Ratings'!$G:$G, MATCH('Ratings by CLO'!$J85,'Master Ratings'!$B:$B,0),0)=0,"",INDEX('Master Ratings'!$G:$G, MATCH('Ratings by CLO'!$J85,'Master Ratings'!$B:$B,0),0))</f>
        <v>CCC+*</v>
      </c>
      <c r="P85" s="28" t="str">
        <f>+IF(INDEX('Master Ratings'!$H:$H, MATCH('Ratings by CLO'!$J85,'Master Ratings'!$B:$B,0),0)=0,"",INDEX('Master Ratings'!$H:$H, MATCH('Ratings by CLO'!$J85,'Master Ratings'!$B:$B,0),0))</f>
        <v>Credit Estimate</v>
      </c>
      <c r="Q85" s="8">
        <f>+IF(INDEX('Master Ratings'!$O:$O, MATCH('Ratings by CLO'!$J85,'Master Ratings'!$B:$B,0),0)=0,"",INDEX('Master Ratings'!$O:$O, MATCH('Ratings by CLO'!$J85,'Master Ratings'!$B:$B,0),0))</f>
        <v>45485</v>
      </c>
      <c r="R85" s="28"/>
      <c r="S85" s="28" t="str">
        <f>+IF(INDEX('Master Ratings'!$L:$L, MATCH('Ratings by CLO'!$J85,'Master Ratings'!$B:$B,0),0)=0,"",INDEX('Master Ratings'!$L:$L, MATCH('Ratings by CLO'!$J85,'Master Ratings'!$B:$B,0),0))</f>
        <v/>
      </c>
      <c r="T85" s="28" t="str">
        <f>+IF(INDEX('Master Ratings'!$M:$M, MATCH('Ratings by CLO'!$J85,'Master Ratings'!$B:$B,0),0)=0,"",INDEX('Master Ratings'!$M:$M, MATCH('Ratings by CLO'!$J85,'Master Ratings'!$B:$B,0),0))</f>
        <v/>
      </c>
      <c r="U85" s="8" t="str">
        <f>+IF(INDEX('Master Ratings'!$P:$P, MATCH('Ratings by CLO'!$J85,'Master Ratings'!$B:$B,0),0)=0,"",INDEX('Master Ratings'!$P:$P, MATCH('Ratings by CLO'!$J85,'Master Ratings'!$B:$B,0),0))</f>
        <v/>
      </c>
      <c r="W85" s="5">
        <f t="shared" ca="1" si="22"/>
        <v>-114</v>
      </c>
      <c r="X85" s="5" t="str">
        <f t="shared" ca="1" si="23"/>
        <v/>
      </c>
      <c r="Z85" s="5" t="str">
        <f t="shared" ca="1" si="24"/>
        <v/>
      </c>
      <c r="AA85" s="5" t="str">
        <f t="shared" ca="1" si="25"/>
        <v/>
      </c>
      <c r="AB85" s="5" t="str">
        <f t="shared" ca="1" si="26"/>
        <v>X</v>
      </c>
      <c r="AC85" s="5" t="str">
        <f t="shared" ca="1" si="27"/>
        <v/>
      </c>
      <c r="AD85" s="5"/>
      <c r="AE85" s="5" t="str">
        <f t="shared" si="28"/>
        <v/>
      </c>
      <c r="AF85" s="32"/>
      <c r="AG85">
        <f t="shared" ca="1" si="29"/>
        <v>6</v>
      </c>
      <c r="AH85">
        <f t="shared" ca="1" si="30"/>
        <v>6</v>
      </c>
      <c r="AI85">
        <f t="shared" ca="1" si="31"/>
        <v>24</v>
      </c>
      <c r="AJ85">
        <f t="shared" ca="1" si="32"/>
        <v>32</v>
      </c>
    </row>
    <row r="86" spans="2:36">
      <c r="B86" s="40">
        <f>+COUNTIFS(SOIs!$D:$D, 'Ratings by CLO'!$J86)</f>
        <v>4</v>
      </c>
      <c r="C86" s="40">
        <f>+COUNTIFS(SOIs!$G:$G, 'Ratings by CLO'!$J86)</f>
        <v>1</v>
      </c>
      <c r="D86" s="40">
        <f>+COUNTIFS(SOIs!$J:$J, 'Ratings by CLO'!$J86)</f>
        <v>1</v>
      </c>
      <c r="E86" s="40">
        <f>+COUNTIFS(SOIs!$M:$M, 'Ratings by CLO'!$J86)</f>
        <v>1</v>
      </c>
      <c r="F86" s="40">
        <f>+COUNTIFS(SOIs!$P:$P, 'Ratings by CLO'!$J86)</f>
        <v>1</v>
      </c>
      <c r="G86" s="40">
        <f>+COUNTIFS(SOIs!$S:$S, 'Ratings by CLO'!$J86)</f>
        <v>1</v>
      </c>
      <c r="H86" s="40">
        <f>+COUNTIFS(SOIs!$V:$V, 'Ratings by CLO'!$J86)</f>
        <v>1</v>
      </c>
      <c r="I86" s="38"/>
      <c r="J86" s="32" t="str">
        <f>+SOIs!X87</f>
        <v>Prelude</v>
      </c>
      <c r="K86" s="32"/>
      <c r="L86" s="28" t="str">
        <f>+IF(INDEX('Master Ratings'!$D:$D, MATCH('Ratings by CLO'!$J86,'Master Ratings'!$B:$B,0),0)=0,"",INDEX('Master Ratings'!$D:$D, MATCH('Ratings by CLO'!$J86,'Master Ratings'!$B:$B,0),0))</f>
        <v/>
      </c>
      <c r="M86" s="28" t="str">
        <f>+IF(INDEX('Master Ratings'!$E:$E, MATCH('Ratings by CLO'!$J86,'Master Ratings'!$B:$B,0),0)=0,"",INDEX('Master Ratings'!$E:$E, MATCH('Ratings by CLO'!$J86,'Master Ratings'!$B:$B,0),0))</f>
        <v/>
      </c>
      <c r="N86" s="28"/>
      <c r="O86" s="28" t="str">
        <f>+IF(INDEX('Master Ratings'!$G:$G, MATCH('Ratings by CLO'!$J86,'Master Ratings'!$B:$B,0),0)=0,"",INDEX('Master Ratings'!$G:$G, MATCH('Ratings by CLO'!$J86,'Master Ratings'!$B:$B,0),0))</f>
        <v>B-*</v>
      </c>
      <c r="P86" s="28" t="str">
        <f>+IF(INDEX('Master Ratings'!$H:$H, MATCH('Ratings by CLO'!$J86,'Master Ratings'!$B:$B,0),0)=0,"",INDEX('Master Ratings'!$H:$H, MATCH('Ratings by CLO'!$J86,'Master Ratings'!$B:$B,0),0))</f>
        <v>Credit Estimate</v>
      </c>
      <c r="Q86" s="8">
        <f>+IF(INDEX('Master Ratings'!$O:$O, MATCH('Ratings by CLO'!$J86,'Master Ratings'!$B:$B,0),0)=0,"",INDEX('Master Ratings'!$O:$O, MATCH('Ratings by CLO'!$J86,'Master Ratings'!$B:$B,0),0))</f>
        <v>45384</v>
      </c>
      <c r="R86" s="28"/>
      <c r="S86" s="28" t="str">
        <f>+IF(INDEX('Master Ratings'!$L:$L, MATCH('Ratings by CLO'!$J86,'Master Ratings'!$B:$B,0),0)=0,"",INDEX('Master Ratings'!$L:$L, MATCH('Ratings by CLO'!$J86,'Master Ratings'!$B:$B,0),0))</f>
        <v>B*</v>
      </c>
      <c r="T86" s="28" t="str">
        <f>+IF(INDEX('Master Ratings'!$M:$M, MATCH('Ratings by CLO'!$J86,'Master Ratings'!$B:$B,0),0)=0,"",INDEX('Master Ratings'!$M:$M, MATCH('Ratings by CLO'!$J86,'Master Ratings'!$B:$B,0),0))</f>
        <v>Credit Estimate</v>
      </c>
      <c r="U86" s="8">
        <f>+IF(INDEX('Master Ratings'!$P:$P, MATCH('Ratings by CLO'!$J86,'Master Ratings'!$B:$B,0),0)=0,"",INDEX('Master Ratings'!$P:$P, MATCH('Ratings by CLO'!$J86,'Master Ratings'!$B:$B,0),0))</f>
        <v>45133</v>
      </c>
      <c r="W86" s="5">
        <f t="shared" ca="1" si="22"/>
        <v>-215</v>
      </c>
      <c r="X86" s="5">
        <f t="shared" ca="1" si="23"/>
        <v>-466</v>
      </c>
      <c r="Z86" s="5" t="str">
        <f t="shared" ca="1" si="24"/>
        <v/>
      </c>
      <c r="AA86" s="5" t="str">
        <f t="shared" ca="1" si="25"/>
        <v/>
      </c>
      <c r="AB86" s="5" t="str">
        <f t="shared" ca="1" si="26"/>
        <v>X</v>
      </c>
      <c r="AC86" s="5" t="str">
        <f t="shared" ca="1" si="27"/>
        <v>X</v>
      </c>
      <c r="AD86" s="5"/>
      <c r="AE86" s="5" t="str">
        <f t="shared" si="28"/>
        <v/>
      </c>
      <c r="AF86" s="32"/>
      <c r="AG86">
        <f t="shared" ca="1" si="29"/>
        <v>6</v>
      </c>
      <c r="AH86">
        <f t="shared" ca="1" si="30"/>
        <v>6</v>
      </c>
      <c r="AI86">
        <f t="shared" ca="1" si="31"/>
        <v>25</v>
      </c>
      <c r="AJ86">
        <f t="shared" ca="1" si="32"/>
        <v>33</v>
      </c>
    </row>
    <row r="87" spans="2:36">
      <c r="B87" s="40">
        <f>+COUNTIFS(SOIs!$D:$D, 'Ratings by CLO'!$J87)</f>
        <v>4</v>
      </c>
      <c r="C87" s="40">
        <f>+COUNTIFS(SOIs!$G:$G, 'Ratings by CLO'!$J87)</f>
        <v>1</v>
      </c>
      <c r="D87" s="40">
        <f>+COUNTIFS(SOIs!$J:$J, 'Ratings by CLO'!$J87)</f>
        <v>1</v>
      </c>
      <c r="E87" s="40">
        <f>+COUNTIFS(SOIs!$M:$M, 'Ratings by CLO'!$J87)</f>
        <v>1</v>
      </c>
      <c r="F87" s="40">
        <f>+COUNTIFS(SOIs!$P:$P, 'Ratings by CLO'!$J87)</f>
        <v>2</v>
      </c>
      <c r="G87" s="40">
        <f>+COUNTIFS(SOIs!$S:$S, 'Ratings by CLO'!$J87)</f>
        <v>0</v>
      </c>
      <c r="H87" s="40">
        <f>+COUNTIFS(SOIs!$V:$V, 'Ratings by CLO'!$J87)</f>
        <v>0</v>
      </c>
      <c r="I87" s="38"/>
      <c r="J87" s="32" t="str">
        <f>+SOIs!X88</f>
        <v>Quantic Electronics</v>
      </c>
      <c r="K87" s="32"/>
      <c r="L87" s="28" t="str">
        <f>+IF(INDEX('Master Ratings'!$D:$D, MATCH('Ratings by CLO'!$J87,'Master Ratings'!$B:$B,0),0)=0,"",INDEX('Master Ratings'!$D:$D, MATCH('Ratings by CLO'!$J87,'Master Ratings'!$B:$B,0),0))</f>
        <v/>
      </c>
      <c r="M87" s="28" t="str">
        <f>+IF(INDEX('Master Ratings'!$E:$E, MATCH('Ratings by CLO'!$J87,'Master Ratings'!$B:$B,0),0)=0,"",INDEX('Master Ratings'!$E:$E, MATCH('Ratings by CLO'!$J87,'Master Ratings'!$B:$B,0),0))</f>
        <v/>
      </c>
      <c r="N87" s="28"/>
      <c r="O87" s="28" t="str">
        <f>+IF(INDEX('Master Ratings'!$G:$G, MATCH('Ratings by CLO'!$J87,'Master Ratings'!$B:$B,0),0)=0,"",INDEX('Master Ratings'!$G:$G, MATCH('Ratings by CLO'!$J87,'Master Ratings'!$B:$B,0),0))</f>
        <v>CCC+*</v>
      </c>
      <c r="P87" s="28" t="str">
        <f>+IF(INDEX('Master Ratings'!$H:$H, MATCH('Ratings by CLO'!$J87,'Master Ratings'!$B:$B,0),0)=0,"",INDEX('Master Ratings'!$H:$H, MATCH('Ratings by CLO'!$J87,'Master Ratings'!$B:$B,0),0))</f>
        <v>Rating (Private)</v>
      </c>
      <c r="Q87" s="8">
        <f>+IF(INDEX('Master Ratings'!$O:$O, MATCH('Ratings by CLO'!$J87,'Master Ratings'!$B:$B,0),0)=0,"",INDEX('Master Ratings'!$O:$O, MATCH('Ratings by CLO'!$J87,'Master Ratings'!$B:$B,0),0))</f>
        <v>45384</v>
      </c>
      <c r="R87" s="28"/>
      <c r="S87" s="28" t="str">
        <f>+IF(INDEX('Master Ratings'!$L:$L, MATCH('Ratings by CLO'!$J87,'Master Ratings'!$B:$B,0),0)=0,"",INDEX('Master Ratings'!$L:$L, MATCH('Ratings by CLO'!$J87,'Master Ratings'!$B:$B,0),0))</f>
        <v>CCC+*</v>
      </c>
      <c r="T87" s="28" t="str">
        <f>+IF(INDEX('Master Ratings'!$M:$M, MATCH('Ratings by CLO'!$J87,'Master Ratings'!$B:$B,0),0)=0,"",INDEX('Master Ratings'!$M:$M, MATCH('Ratings by CLO'!$J87,'Master Ratings'!$B:$B,0),0))</f>
        <v>Credit Estimate</v>
      </c>
      <c r="U87" s="8" t="str">
        <f>+IF(INDEX('Master Ratings'!$P:$P, MATCH('Ratings by CLO'!$J87,'Master Ratings'!$B:$B,0),0)=0,"",INDEX('Master Ratings'!$P:$P, MATCH('Ratings by CLO'!$J87,'Master Ratings'!$B:$B,0),0))</f>
        <v>12.8.2023</v>
      </c>
      <c r="W87" s="5">
        <f t="shared" ca="1" si="22"/>
        <v>-215</v>
      </c>
      <c r="X87" s="5" t="e">
        <f t="shared" ca="1" si="23"/>
        <v>#VALUE!</v>
      </c>
      <c r="Z87" s="5" t="str">
        <f t="shared" ca="1" si="24"/>
        <v/>
      </c>
      <c r="AA87" s="5" t="str">
        <f t="shared" ca="1" si="25"/>
        <v>X</v>
      </c>
      <c r="AB87" s="5" t="str">
        <f t="shared" ca="1" si="26"/>
        <v>X</v>
      </c>
      <c r="AC87" s="5" t="str">
        <f t="shared" ca="1" si="27"/>
        <v/>
      </c>
      <c r="AD87" s="5"/>
      <c r="AE87" s="5" t="str">
        <f t="shared" si="28"/>
        <v/>
      </c>
      <c r="AF87" s="32"/>
      <c r="AG87">
        <f t="shared" ca="1" si="29"/>
        <v>6</v>
      </c>
      <c r="AH87">
        <f t="shared" ca="1" si="30"/>
        <v>7</v>
      </c>
      <c r="AI87">
        <f t="shared" ca="1" si="31"/>
        <v>26</v>
      </c>
      <c r="AJ87">
        <f t="shared" ca="1" si="32"/>
        <v>33</v>
      </c>
    </row>
    <row r="88" spans="2:36">
      <c r="B88" s="40">
        <f>+COUNTIFS(SOIs!$D:$D, 'Ratings by CLO'!$J88)</f>
        <v>0</v>
      </c>
      <c r="C88" s="40">
        <f>+COUNTIFS(SOIs!$G:$G, 'Ratings by CLO'!$J88)</f>
        <v>0</v>
      </c>
      <c r="D88" s="40">
        <f>+COUNTIFS(SOIs!$J:$J, 'Ratings by CLO'!$J88)</f>
        <v>0</v>
      </c>
      <c r="E88" s="40">
        <f>+COUNTIFS(SOIs!$M:$M, 'Ratings by CLO'!$J88)</f>
        <v>1</v>
      </c>
      <c r="F88" s="40">
        <f>+COUNTIFS(SOIs!$P:$P, 'Ratings by CLO'!$J88)</f>
        <v>0</v>
      </c>
      <c r="G88" s="40">
        <f>+COUNTIFS(SOIs!$S:$S, 'Ratings by CLO'!$J88)</f>
        <v>0</v>
      </c>
      <c r="H88" s="40">
        <f>+COUNTIFS(SOIs!$V:$V, 'Ratings by CLO'!$J88)</f>
        <v>0</v>
      </c>
      <c r="I88" s="38"/>
      <c r="J88" s="32" t="str">
        <f>+SOIs!X89</f>
        <v>Radius Aerospace</v>
      </c>
      <c r="K88" s="32"/>
      <c r="L88" s="28" t="str">
        <f>+IF(INDEX('Master Ratings'!$D:$D, MATCH('Ratings by CLO'!$J88,'Master Ratings'!$B:$B,0),0)=0,"",INDEX('Master Ratings'!$D:$D, MATCH('Ratings by CLO'!$J88,'Master Ratings'!$B:$B,0),0))</f>
        <v/>
      </c>
      <c r="M88" s="28" t="str">
        <f>+IF(INDEX('Master Ratings'!$E:$E, MATCH('Ratings by CLO'!$J88,'Master Ratings'!$B:$B,0),0)=0,"",INDEX('Master Ratings'!$E:$E, MATCH('Ratings by CLO'!$J88,'Master Ratings'!$B:$B,0),0))</f>
        <v/>
      </c>
      <c r="N88" s="28"/>
      <c r="O88" s="28" t="str">
        <f>+IF(INDEX('Master Ratings'!$G:$G, MATCH('Ratings by CLO'!$J88,'Master Ratings'!$B:$B,0),0)=0,"",INDEX('Master Ratings'!$G:$G, MATCH('Ratings by CLO'!$J88,'Master Ratings'!$B:$B,0),0))</f>
        <v>CCC*</v>
      </c>
      <c r="P88" s="28" t="str">
        <f>+IF(INDEX('Master Ratings'!$H:$H, MATCH('Ratings by CLO'!$J88,'Master Ratings'!$B:$B,0),0)=0,"",INDEX('Master Ratings'!$H:$H, MATCH('Ratings by CLO'!$J88,'Master Ratings'!$B:$B,0),0))</f>
        <v>Credit Estimate</v>
      </c>
      <c r="Q88" s="8">
        <f>+IF(INDEX('Master Ratings'!$O:$O, MATCH('Ratings by CLO'!$J88,'Master Ratings'!$B:$B,0),0)=0,"",INDEX('Master Ratings'!$O:$O, MATCH('Ratings by CLO'!$J88,'Master Ratings'!$B:$B,0),0))</f>
        <v>45435</v>
      </c>
      <c r="R88" s="28"/>
      <c r="S88" s="28" t="str">
        <f>+IF(INDEX('Master Ratings'!$L:$L, MATCH('Ratings by CLO'!$J88,'Master Ratings'!$B:$B,0),0)=0,"",INDEX('Master Ratings'!$L:$L, MATCH('Ratings by CLO'!$J88,'Master Ratings'!$B:$B,0),0))</f>
        <v/>
      </c>
      <c r="T88" s="28" t="str">
        <f>+IF(INDEX('Master Ratings'!$M:$M, MATCH('Ratings by CLO'!$J88,'Master Ratings'!$B:$B,0),0)=0,"",INDEX('Master Ratings'!$M:$M, MATCH('Ratings by CLO'!$J88,'Master Ratings'!$B:$B,0),0))</f>
        <v/>
      </c>
      <c r="U88" s="8" t="str">
        <f>+IF(INDEX('Master Ratings'!$P:$P, MATCH('Ratings by CLO'!$J88,'Master Ratings'!$B:$B,0),0)=0,"",INDEX('Master Ratings'!$P:$P, MATCH('Ratings by CLO'!$J88,'Master Ratings'!$B:$B,0),0))</f>
        <v/>
      </c>
      <c r="W88" s="5">
        <f t="shared" ca="1" si="22"/>
        <v>-164</v>
      </c>
      <c r="X88" s="5" t="str">
        <f t="shared" ca="1" si="23"/>
        <v/>
      </c>
      <c r="Z88" s="5" t="str">
        <f t="shared" ca="1" si="24"/>
        <v/>
      </c>
      <c r="AA88" s="5" t="str">
        <f t="shared" ca="1" si="25"/>
        <v/>
      </c>
      <c r="AB88" s="5" t="str">
        <f t="shared" ca="1" si="26"/>
        <v>X</v>
      </c>
      <c r="AC88" s="5" t="str">
        <f t="shared" ca="1" si="27"/>
        <v/>
      </c>
      <c r="AD88" s="5"/>
      <c r="AE88" s="5" t="str">
        <f t="shared" si="28"/>
        <v/>
      </c>
      <c r="AF88" s="32"/>
      <c r="AG88">
        <f t="shared" ca="1" si="29"/>
        <v>6</v>
      </c>
      <c r="AH88">
        <f t="shared" ca="1" si="30"/>
        <v>7</v>
      </c>
      <c r="AI88">
        <f t="shared" ca="1" si="31"/>
        <v>27</v>
      </c>
      <c r="AJ88">
        <f t="shared" ca="1" si="32"/>
        <v>33</v>
      </c>
    </row>
    <row r="89" spans="2:36">
      <c r="B89" s="40">
        <f>+COUNTIFS(SOIs!$D:$D, 'Ratings by CLO'!$J89)</f>
        <v>2</v>
      </c>
      <c r="C89" s="40">
        <f>+COUNTIFS(SOIs!$G:$G, 'Ratings by CLO'!$J89)</f>
        <v>0</v>
      </c>
      <c r="D89" s="40">
        <f>+COUNTIFS(SOIs!$J:$J, 'Ratings by CLO'!$J89)</f>
        <v>2</v>
      </c>
      <c r="E89" s="40">
        <f>+COUNTIFS(SOIs!$M:$M, 'Ratings by CLO'!$J89)</f>
        <v>1</v>
      </c>
      <c r="F89" s="40">
        <f>+COUNTIFS(SOIs!$P:$P, 'Ratings by CLO'!$J89)</f>
        <v>0</v>
      </c>
      <c r="G89" s="40">
        <f>+COUNTIFS(SOIs!$S:$S, 'Ratings by CLO'!$J89)</f>
        <v>1</v>
      </c>
      <c r="H89" s="40">
        <f>+COUNTIFS(SOIs!$V:$V, 'Ratings by CLO'!$J89)</f>
        <v>1</v>
      </c>
      <c r="I89" s="38"/>
      <c r="J89" s="32" t="str">
        <f>+SOIs!X90</f>
        <v>Rancho Medical</v>
      </c>
      <c r="K89" s="32"/>
      <c r="L89" s="28" t="str">
        <f>+IF(INDEX('Master Ratings'!$D:$D, MATCH('Ratings by CLO'!$J89,'Master Ratings'!$B:$B,0),0)=0,"",INDEX('Master Ratings'!$D:$D, MATCH('Ratings by CLO'!$J89,'Master Ratings'!$B:$B,0),0))</f>
        <v/>
      </c>
      <c r="M89" s="28" t="str">
        <f>+IF(INDEX('Master Ratings'!$E:$E, MATCH('Ratings by CLO'!$J89,'Master Ratings'!$B:$B,0),0)=0,"",INDEX('Master Ratings'!$E:$E, MATCH('Ratings by CLO'!$J89,'Master Ratings'!$B:$B,0),0))</f>
        <v/>
      </c>
      <c r="N89" s="28"/>
      <c r="O89" s="28" t="str">
        <f>+IF(INDEX('Master Ratings'!$G:$G, MATCH('Ratings by CLO'!$J89,'Master Ratings'!$B:$B,0),0)=0,"",INDEX('Master Ratings'!$G:$G, MATCH('Ratings by CLO'!$J89,'Master Ratings'!$B:$B,0),0))</f>
        <v>B-*</v>
      </c>
      <c r="P89" s="28" t="str">
        <f>+IF(INDEX('Master Ratings'!$H:$H, MATCH('Ratings by CLO'!$J89,'Master Ratings'!$B:$B,0),0)=0,"",INDEX('Master Ratings'!$H:$H, MATCH('Ratings by CLO'!$J89,'Master Ratings'!$B:$B,0),0))</f>
        <v>Credit Estimate</v>
      </c>
      <c r="Q89" s="8" t="str">
        <f>+IF(INDEX('Master Ratings'!$O:$O, MATCH('Ratings by CLO'!$J89,'Master Ratings'!$B:$B,0),0)=0,"",INDEX('Master Ratings'!$O:$O, MATCH('Ratings by CLO'!$J89,'Master Ratings'!$B:$B,0),0))</f>
        <v>4.17.2025</v>
      </c>
      <c r="R89" s="28"/>
      <c r="S89" s="28" t="str">
        <f>+IF(INDEX('Master Ratings'!$L:$L, MATCH('Ratings by CLO'!$J89,'Master Ratings'!$B:$B,0),0)=0,"",INDEX('Master Ratings'!$L:$L, MATCH('Ratings by CLO'!$J89,'Master Ratings'!$B:$B,0),0))</f>
        <v/>
      </c>
      <c r="T89" s="28" t="str">
        <f>+IF(INDEX('Master Ratings'!$M:$M, MATCH('Ratings by CLO'!$J89,'Master Ratings'!$B:$B,0),0)=0,"",INDEX('Master Ratings'!$M:$M, MATCH('Ratings by CLO'!$J89,'Master Ratings'!$B:$B,0),0))</f>
        <v/>
      </c>
      <c r="U89" s="8" t="str">
        <f>+IF(INDEX('Master Ratings'!$P:$P, MATCH('Ratings by CLO'!$J89,'Master Ratings'!$B:$B,0),0)=0,"",INDEX('Master Ratings'!$P:$P, MATCH('Ratings by CLO'!$J89,'Master Ratings'!$B:$B,0),0))</f>
        <v/>
      </c>
      <c r="W89" s="5" t="e">
        <f t="shared" ca="1" si="22"/>
        <v>#VALUE!</v>
      </c>
      <c r="X89" s="5" t="str">
        <f t="shared" ca="1" si="23"/>
        <v/>
      </c>
      <c r="Z89" s="5" t="str">
        <f t="shared" ca="1" si="24"/>
        <v>X</v>
      </c>
      <c r="AA89" s="5" t="str">
        <f t="shared" ca="1" si="25"/>
        <v/>
      </c>
      <c r="AB89" s="5" t="str">
        <f t="shared" ca="1" si="26"/>
        <v/>
      </c>
      <c r="AC89" s="5" t="str">
        <f t="shared" ca="1" si="27"/>
        <v/>
      </c>
      <c r="AD89" s="5"/>
      <c r="AE89" s="5" t="str">
        <f t="shared" si="28"/>
        <v/>
      </c>
      <c r="AF89" s="32"/>
      <c r="AG89">
        <f t="shared" ca="1" si="29"/>
        <v>7</v>
      </c>
      <c r="AH89">
        <f t="shared" ca="1" si="30"/>
        <v>7</v>
      </c>
      <c r="AI89">
        <f t="shared" ca="1" si="31"/>
        <v>27</v>
      </c>
      <c r="AJ89">
        <f t="shared" ca="1" si="32"/>
        <v>33</v>
      </c>
    </row>
    <row r="90" spans="2:36">
      <c r="B90" s="40">
        <f>+COUNTIFS(SOIs!$D:$D, 'Ratings by CLO'!$J90)</f>
        <v>2</v>
      </c>
      <c r="C90" s="40">
        <f>+COUNTIFS(SOIs!$G:$G, 'Ratings by CLO'!$J90)</f>
        <v>1</v>
      </c>
      <c r="D90" s="40">
        <f>+COUNTIFS(SOIs!$J:$J, 'Ratings by CLO'!$J90)</f>
        <v>1</v>
      </c>
      <c r="E90" s="40">
        <f>+COUNTIFS(SOIs!$M:$M, 'Ratings by CLO'!$J90)</f>
        <v>1</v>
      </c>
      <c r="F90" s="40">
        <f>+COUNTIFS(SOIs!$P:$P, 'Ratings by CLO'!$J90)</f>
        <v>0</v>
      </c>
      <c r="G90" s="40">
        <f>+COUNTIFS(SOIs!$S:$S, 'Ratings by CLO'!$J90)</f>
        <v>0</v>
      </c>
      <c r="H90" s="40">
        <f>+COUNTIFS(SOIs!$V:$V, 'Ratings by CLO'!$J90)</f>
        <v>0</v>
      </c>
      <c r="I90" s="38"/>
      <c r="J90" s="32" t="str">
        <f>+SOIs!X91</f>
        <v>Recteq</v>
      </c>
      <c r="K90" s="32"/>
      <c r="L90" s="28" t="str">
        <f>+IF(INDEX('Master Ratings'!$D:$D, MATCH('Ratings by CLO'!$J90,'Master Ratings'!$B:$B,0),0)=0,"",INDEX('Master Ratings'!$D:$D, MATCH('Ratings by CLO'!$J90,'Master Ratings'!$B:$B,0),0))</f>
        <v/>
      </c>
      <c r="M90" s="28" t="str">
        <f>+IF(INDEX('Master Ratings'!$E:$E, MATCH('Ratings by CLO'!$J90,'Master Ratings'!$B:$B,0),0)=0,"",INDEX('Master Ratings'!$E:$E, MATCH('Ratings by CLO'!$J90,'Master Ratings'!$B:$B,0),0))</f>
        <v/>
      </c>
      <c r="N90" s="28"/>
      <c r="O90" s="28" t="str">
        <f>+IF(INDEX('Master Ratings'!$G:$G, MATCH('Ratings by CLO'!$J90,'Master Ratings'!$B:$B,0),0)=0,"",INDEX('Master Ratings'!$G:$G, MATCH('Ratings by CLO'!$J90,'Master Ratings'!$B:$B,0),0))</f>
        <v>CCC</v>
      </c>
      <c r="P90" s="28" t="str">
        <f>+IF(INDEX('Master Ratings'!$H:$H, MATCH('Ratings by CLO'!$J90,'Master Ratings'!$B:$B,0),0)=0,"",INDEX('Master Ratings'!$H:$H, MATCH('Ratings by CLO'!$J90,'Master Ratings'!$B:$B,0),0))</f>
        <v>Credit Estimate</v>
      </c>
      <c r="Q90" s="8">
        <f>+IF(INDEX('Master Ratings'!$O:$O, MATCH('Ratings by CLO'!$J90,'Master Ratings'!$B:$B,0),0)=0,"",INDEX('Master Ratings'!$O:$O, MATCH('Ratings by CLO'!$J90,'Master Ratings'!$B:$B,0),0))</f>
        <v>44894</v>
      </c>
      <c r="R90" s="28"/>
      <c r="S90" s="28" t="str">
        <f>+IF(INDEX('Master Ratings'!$L:$L, MATCH('Ratings by CLO'!$J90,'Master Ratings'!$B:$B,0),0)=0,"",INDEX('Master Ratings'!$L:$L, MATCH('Ratings by CLO'!$J90,'Master Ratings'!$B:$B,0),0))</f>
        <v>B-*</v>
      </c>
      <c r="T90" s="28" t="str">
        <f>+IF(INDEX('Master Ratings'!$M:$M, MATCH('Ratings by CLO'!$J90,'Master Ratings'!$B:$B,0),0)=0,"",INDEX('Master Ratings'!$M:$M, MATCH('Ratings by CLO'!$J90,'Master Ratings'!$B:$B,0),0))</f>
        <v>Credit Estimate</v>
      </c>
      <c r="U90" s="8">
        <f>+IF(INDEX('Master Ratings'!$P:$P, MATCH('Ratings by CLO'!$J90,'Master Ratings'!$B:$B,0),0)=0,"",INDEX('Master Ratings'!$P:$P, MATCH('Ratings by CLO'!$J90,'Master Ratings'!$B:$B,0),0))</f>
        <v>44652</v>
      </c>
      <c r="W90" s="5">
        <f t="shared" ca="1" si="22"/>
        <v>-705</v>
      </c>
      <c r="X90" s="5">
        <f t="shared" ca="1" si="23"/>
        <v>-947</v>
      </c>
      <c r="Z90" s="5" t="str">
        <f t="shared" ca="1" si="24"/>
        <v/>
      </c>
      <c r="AA90" s="5" t="str">
        <f t="shared" ca="1" si="25"/>
        <v/>
      </c>
      <c r="AB90" s="5" t="str">
        <f t="shared" ca="1" si="26"/>
        <v>X</v>
      </c>
      <c r="AC90" s="5" t="str">
        <f t="shared" ca="1" si="27"/>
        <v>X</v>
      </c>
      <c r="AD90" s="5"/>
      <c r="AE90" s="5" t="str">
        <f t="shared" si="28"/>
        <v/>
      </c>
      <c r="AF90" s="32"/>
      <c r="AG90">
        <f t="shared" ca="1" si="29"/>
        <v>7</v>
      </c>
      <c r="AH90">
        <f t="shared" ca="1" si="30"/>
        <v>7</v>
      </c>
      <c r="AI90">
        <f t="shared" ca="1" si="31"/>
        <v>28</v>
      </c>
      <c r="AJ90">
        <f t="shared" ca="1" si="32"/>
        <v>34</v>
      </c>
    </row>
    <row r="91" spans="2:36">
      <c r="B91" s="40">
        <f>+COUNTIFS(SOIs!$D:$D, 'Ratings by CLO'!$J91)</f>
        <v>4</v>
      </c>
      <c r="C91" s="40">
        <f>+COUNTIFS(SOIs!$G:$G, 'Ratings by CLO'!$J91)</f>
        <v>1</v>
      </c>
      <c r="D91" s="40">
        <f>+COUNTIFS(SOIs!$J:$J, 'Ratings by CLO'!$J91)</f>
        <v>1</v>
      </c>
      <c r="E91" s="40">
        <f>+COUNTIFS(SOIs!$M:$M, 'Ratings by CLO'!$J91)</f>
        <v>1</v>
      </c>
      <c r="F91" s="40">
        <f>+COUNTIFS(SOIs!$P:$P, 'Ratings by CLO'!$J91)</f>
        <v>1</v>
      </c>
      <c r="G91" s="40">
        <f>+COUNTIFS(SOIs!$S:$S, 'Ratings by CLO'!$J91)</f>
        <v>0</v>
      </c>
      <c r="H91" s="40">
        <f>+COUNTIFS(SOIs!$V:$V, 'Ratings by CLO'!$J91)</f>
        <v>0</v>
      </c>
      <c r="I91" s="38"/>
      <c r="J91" s="32" t="str">
        <f>+SOIs!X92</f>
        <v>Research Now/SSI</v>
      </c>
      <c r="K91" s="32"/>
      <c r="L91" s="28" t="str">
        <f>+IF(INDEX('Master Ratings'!$D:$D, MATCH('Ratings by CLO'!$J91,'Master Ratings'!$B:$B,0),0)=0,"",INDEX('Master Ratings'!$D:$D, MATCH('Ratings by CLO'!$J91,'Master Ratings'!$B:$B,0),0))</f>
        <v>Caa1</v>
      </c>
      <c r="M91" s="28" t="str">
        <f>+IF(INDEX('Master Ratings'!$E:$E, MATCH('Ratings by CLO'!$J91,'Master Ratings'!$B:$B,0),0)=0,"",INDEX('Master Ratings'!$E:$E, MATCH('Ratings by CLO'!$J91,'Master Ratings'!$B:$B,0),0))</f>
        <v>Rating (Public)</v>
      </c>
      <c r="N91" s="28"/>
      <c r="O91" s="28" t="str">
        <f>+IF(INDEX('Master Ratings'!$G:$G, MATCH('Ratings by CLO'!$J91,'Master Ratings'!$B:$B,0),0)=0,"",INDEX('Master Ratings'!$G:$G, MATCH('Ratings by CLO'!$J91,'Master Ratings'!$B:$B,0),0))</f>
        <v>B-</v>
      </c>
      <c r="P91" s="28" t="str">
        <f>+IF(INDEX('Master Ratings'!$H:$H, MATCH('Ratings by CLO'!$J91,'Master Ratings'!$B:$B,0),0)=0,"",INDEX('Master Ratings'!$H:$H, MATCH('Ratings by CLO'!$J91,'Master Ratings'!$B:$B,0),0))</f>
        <v>Rating (Public)</v>
      </c>
      <c r="Q91" s="8" t="str">
        <f>+IF(INDEX('Master Ratings'!$O:$O, MATCH('Ratings by CLO'!$J91,'Master Ratings'!$B:$B,0),0)=0,"",INDEX('Master Ratings'!$O:$O, MATCH('Ratings by CLO'!$J91,'Master Ratings'!$B:$B,0),0))</f>
        <v/>
      </c>
      <c r="R91" s="28"/>
      <c r="S91" s="28" t="str">
        <f>+IF(INDEX('Master Ratings'!$L:$L, MATCH('Ratings by CLO'!$J91,'Master Ratings'!$B:$B,0),0)=0,"",INDEX('Master Ratings'!$L:$L, MATCH('Ratings by CLO'!$J91,'Master Ratings'!$B:$B,0),0))</f>
        <v/>
      </c>
      <c r="T91" s="28" t="str">
        <f>+IF(INDEX('Master Ratings'!$M:$M, MATCH('Ratings by CLO'!$J91,'Master Ratings'!$B:$B,0),0)=0,"",INDEX('Master Ratings'!$M:$M, MATCH('Ratings by CLO'!$J91,'Master Ratings'!$B:$B,0),0))</f>
        <v/>
      </c>
      <c r="U91" s="8" t="str">
        <f>+IF(INDEX('Master Ratings'!$P:$P, MATCH('Ratings by CLO'!$J91,'Master Ratings'!$B:$B,0),0)=0,"",INDEX('Master Ratings'!$P:$P, MATCH('Ratings by CLO'!$J91,'Master Ratings'!$B:$B,0),0))</f>
        <v/>
      </c>
      <c r="W91" s="5" t="str">
        <f t="shared" ca="1" si="22"/>
        <v/>
      </c>
      <c r="X91" s="5" t="str">
        <f t="shared" ca="1" si="23"/>
        <v/>
      </c>
      <c r="Z91" s="5" t="str">
        <f t="shared" ca="1" si="24"/>
        <v/>
      </c>
      <c r="AA91" s="5" t="str">
        <f t="shared" ca="1" si="25"/>
        <v/>
      </c>
      <c r="AB91" s="5" t="str">
        <f t="shared" ca="1" si="26"/>
        <v/>
      </c>
      <c r="AC91" s="5" t="str">
        <f t="shared" ca="1" si="27"/>
        <v/>
      </c>
      <c r="AD91" s="5"/>
      <c r="AE91" s="5" t="str">
        <f t="shared" si="28"/>
        <v/>
      </c>
      <c r="AF91" s="32"/>
      <c r="AG91">
        <f t="shared" ca="1" si="29"/>
        <v>7</v>
      </c>
      <c r="AH91">
        <f t="shared" ca="1" si="30"/>
        <v>7</v>
      </c>
      <c r="AI91">
        <f t="shared" ca="1" si="31"/>
        <v>28</v>
      </c>
      <c r="AJ91">
        <f t="shared" ca="1" si="32"/>
        <v>34</v>
      </c>
    </row>
    <row r="92" spans="2:36">
      <c r="B92" s="40">
        <f>+COUNTIFS(SOIs!$D:$D, 'Ratings by CLO'!$J92)</f>
        <v>2</v>
      </c>
      <c r="C92" s="40">
        <f>+COUNTIFS(SOIs!$G:$G, 'Ratings by CLO'!$J92)</f>
        <v>0</v>
      </c>
      <c r="D92" s="40">
        <f>+COUNTIFS(SOIs!$J:$J, 'Ratings by CLO'!$J92)</f>
        <v>0</v>
      </c>
      <c r="E92" s="40">
        <f>+COUNTIFS(SOIs!$M:$M, 'Ratings by CLO'!$J92)</f>
        <v>1</v>
      </c>
      <c r="F92" s="40">
        <f>+COUNTIFS(SOIs!$P:$P, 'Ratings by CLO'!$J92)</f>
        <v>0</v>
      </c>
      <c r="G92" s="40">
        <f>+COUNTIFS(SOIs!$S:$S, 'Ratings by CLO'!$J92)</f>
        <v>0</v>
      </c>
      <c r="H92" s="40">
        <f>+COUNTIFS(SOIs!$V:$V, 'Ratings by CLO'!$J92)</f>
        <v>0</v>
      </c>
      <c r="I92" s="38"/>
      <c r="J92" s="32" t="str">
        <f>+SOIs!X93</f>
        <v>Riverpoint</v>
      </c>
      <c r="K92" s="32"/>
      <c r="L92" s="28" t="str">
        <f>+IF(INDEX('Master Ratings'!$D:$D, MATCH('Ratings by CLO'!$J92,'Master Ratings'!$B:$B,0),0)=0,"",INDEX('Master Ratings'!$D:$D, MATCH('Ratings by CLO'!$J92,'Master Ratings'!$B:$B,0),0))</f>
        <v/>
      </c>
      <c r="M92" s="28" t="str">
        <f>+IF(INDEX('Master Ratings'!$E:$E, MATCH('Ratings by CLO'!$J92,'Master Ratings'!$B:$B,0),0)=0,"",INDEX('Master Ratings'!$E:$E, MATCH('Ratings by CLO'!$J92,'Master Ratings'!$B:$B,0),0))</f>
        <v/>
      </c>
      <c r="N92" s="28"/>
      <c r="O92" s="28" t="str">
        <f>+IF(INDEX('Master Ratings'!$G:$G, MATCH('Ratings by CLO'!$J92,'Master Ratings'!$B:$B,0),0)=0,"",INDEX('Master Ratings'!$G:$G, MATCH('Ratings by CLO'!$J92,'Master Ratings'!$B:$B,0),0))</f>
        <v>B-*</v>
      </c>
      <c r="P92" s="28" t="str">
        <f>+IF(INDEX('Master Ratings'!$H:$H, MATCH('Ratings by CLO'!$J92,'Master Ratings'!$B:$B,0),0)=0,"",INDEX('Master Ratings'!$H:$H, MATCH('Ratings by CLO'!$J92,'Master Ratings'!$B:$B,0),0))</f>
        <v>Credit Estimate</v>
      </c>
      <c r="Q92" s="8">
        <f>+IF(INDEX('Master Ratings'!$O:$O, MATCH('Ratings by CLO'!$J92,'Master Ratings'!$B:$B,0),0)=0,"",INDEX('Master Ratings'!$O:$O, MATCH('Ratings by CLO'!$J92,'Master Ratings'!$B:$B,0),0))</f>
        <v>45748</v>
      </c>
      <c r="R92" s="28"/>
      <c r="S92" s="28" t="str">
        <f>+IF(INDEX('Master Ratings'!$L:$L, MATCH('Ratings by CLO'!$J92,'Master Ratings'!$B:$B,0),0)=0,"",INDEX('Master Ratings'!$L:$L, MATCH('Ratings by CLO'!$J92,'Master Ratings'!$B:$B,0),0))</f>
        <v>B*</v>
      </c>
      <c r="T92" s="28" t="str">
        <f>+IF(INDEX('Master Ratings'!$M:$M, MATCH('Ratings by CLO'!$J92,'Master Ratings'!$B:$B,0),0)=0,"",INDEX('Master Ratings'!$M:$M, MATCH('Ratings by CLO'!$J92,'Master Ratings'!$B:$B,0),0))</f>
        <v>Credit Estimate</v>
      </c>
      <c r="U92" s="8">
        <f>+IF(INDEX('Master Ratings'!$P:$P, MATCH('Ratings by CLO'!$J92,'Master Ratings'!$B:$B,0),0)=0,"",INDEX('Master Ratings'!$P:$P, MATCH('Ratings by CLO'!$J92,'Master Ratings'!$B:$B,0),0))</f>
        <v>45345</v>
      </c>
      <c r="W92" s="5">
        <f t="shared" ca="1" si="22"/>
        <v>149</v>
      </c>
      <c r="X92" s="5">
        <f t="shared" ca="1" si="23"/>
        <v>-254</v>
      </c>
      <c r="Z92" s="5" t="str">
        <f t="shared" ca="1" si="24"/>
        <v/>
      </c>
      <c r="AA92" s="5" t="str">
        <f t="shared" ca="1" si="25"/>
        <v/>
      </c>
      <c r="AB92" s="5" t="str">
        <f t="shared" ca="1" si="26"/>
        <v/>
      </c>
      <c r="AC92" s="5" t="str">
        <f t="shared" ca="1" si="27"/>
        <v>X</v>
      </c>
      <c r="AD92" s="5"/>
      <c r="AE92" s="5" t="str">
        <f t="shared" si="28"/>
        <v/>
      </c>
      <c r="AF92" s="32"/>
      <c r="AG92">
        <f t="shared" ca="1" si="29"/>
        <v>7</v>
      </c>
      <c r="AH92">
        <f t="shared" ca="1" si="30"/>
        <v>7</v>
      </c>
      <c r="AI92">
        <f t="shared" ca="1" si="31"/>
        <v>28</v>
      </c>
      <c r="AJ92">
        <f t="shared" ca="1" si="32"/>
        <v>35</v>
      </c>
    </row>
    <row r="93" spans="2:36">
      <c r="B93" s="40">
        <f>+COUNTIFS(SOIs!$D:$D, 'Ratings by CLO'!$J93)</f>
        <v>3</v>
      </c>
      <c r="C93" s="40">
        <f>+COUNTIFS(SOIs!$G:$G, 'Ratings by CLO'!$J93)</f>
        <v>0</v>
      </c>
      <c r="D93" s="40">
        <f>+COUNTIFS(SOIs!$J:$J, 'Ratings by CLO'!$J93)</f>
        <v>1</v>
      </c>
      <c r="E93" s="40">
        <f>+COUNTIFS(SOIs!$M:$M, 'Ratings by CLO'!$J93)</f>
        <v>1</v>
      </c>
      <c r="F93" s="40">
        <f>+COUNTIFS(SOIs!$P:$P, 'Ratings by CLO'!$J93)</f>
        <v>1</v>
      </c>
      <c r="G93" s="40">
        <f>+COUNTIFS(SOIs!$S:$S, 'Ratings by CLO'!$J93)</f>
        <v>0</v>
      </c>
      <c r="H93" s="40">
        <f>+COUNTIFS(SOIs!$V:$V, 'Ratings by CLO'!$J93)</f>
        <v>1</v>
      </c>
      <c r="I93" s="38"/>
      <c r="J93" s="32" t="str">
        <f>+SOIs!X94</f>
        <v>Riverside Insights</v>
      </c>
      <c r="K93" s="32"/>
      <c r="L93" s="28" t="str">
        <f>+IF(INDEX('Master Ratings'!$D:$D, MATCH('Ratings by CLO'!$J93,'Master Ratings'!$B:$B,0),0)=0,"",INDEX('Master Ratings'!$D:$D, MATCH('Ratings by CLO'!$J93,'Master Ratings'!$B:$B,0),0))</f>
        <v/>
      </c>
      <c r="M93" s="28" t="str">
        <f>+IF(INDEX('Master Ratings'!$E:$E, MATCH('Ratings by CLO'!$J93,'Master Ratings'!$B:$B,0),0)=0,"",INDEX('Master Ratings'!$E:$E, MATCH('Ratings by CLO'!$J93,'Master Ratings'!$B:$B,0),0))</f>
        <v/>
      </c>
      <c r="N93" s="28"/>
      <c r="O93" s="28" t="str">
        <f>+IF(INDEX('Master Ratings'!$G:$G, MATCH('Ratings by CLO'!$J93,'Master Ratings'!$B:$B,0),0)=0,"",INDEX('Master Ratings'!$G:$G, MATCH('Ratings by CLO'!$J93,'Master Ratings'!$B:$B,0),0))</f>
        <v>B-*</v>
      </c>
      <c r="P93" s="28" t="str">
        <f>+IF(INDEX('Master Ratings'!$H:$H, MATCH('Ratings by CLO'!$J93,'Master Ratings'!$B:$B,0),0)=0,"",INDEX('Master Ratings'!$H:$H, MATCH('Ratings by CLO'!$J93,'Master Ratings'!$B:$B,0),0))</f>
        <v>Credit Estimate</v>
      </c>
      <c r="Q93" s="8">
        <f>+IF(INDEX('Master Ratings'!$O:$O, MATCH('Ratings by CLO'!$J93,'Master Ratings'!$B:$B,0),0)=0,"",INDEX('Master Ratings'!$O:$O, MATCH('Ratings by CLO'!$J93,'Master Ratings'!$B:$B,0),0))</f>
        <v>45324</v>
      </c>
      <c r="R93" s="28"/>
      <c r="S93" s="28" t="str">
        <f>+IF(INDEX('Master Ratings'!$L:$L, MATCH('Ratings by CLO'!$J93,'Master Ratings'!$B:$B,0),0)=0,"",INDEX('Master Ratings'!$L:$L, MATCH('Ratings by CLO'!$J93,'Master Ratings'!$B:$B,0),0))</f>
        <v>B-*</v>
      </c>
      <c r="T93" s="28" t="str">
        <f>+IF(INDEX('Master Ratings'!$M:$M, MATCH('Ratings by CLO'!$J93,'Master Ratings'!$B:$B,0),0)=0,"",INDEX('Master Ratings'!$M:$M, MATCH('Ratings by CLO'!$J93,'Master Ratings'!$B:$B,0),0))</f>
        <v>Credit Estimate</v>
      </c>
      <c r="U93" s="8">
        <f>+IF(INDEX('Master Ratings'!$P:$P, MATCH('Ratings by CLO'!$J93,'Master Ratings'!$B:$B,0),0)=0,"",INDEX('Master Ratings'!$P:$P, MATCH('Ratings by CLO'!$J93,'Master Ratings'!$B:$B,0),0))</f>
        <v>45107</v>
      </c>
      <c r="W93" s="5">
        <f t="shared" ca="1" si="22"/>
        <v>-275</v>
      </c>
      <c r="X93" s="5">
        <f t="shared" ca="1" si="23"/>
        <v>-492</v>
      </c>
      <c r="Z93" s="5" t="str">
        <f t="shared" ca="1" si="24"/>
        <v/>
      </c>
      <c r="AA93" s="5" t="str">
        <f t="shared" ca="1" si="25"/>
        <v/>
      </c>
      <c r="AB93" s="5" t="str">
        <f t="shared" ca="1" si="26"/>
        <v>X</v>
      </c>
      <c r="AC93" s="5" t="str">
        <f t="shared" ca="1" si="27"/>
        <v>X</v>
      </c>
      <c r="AD93" s="5"/>
      <c r="AE93" s="5" t="str">
        <f t="shared" si="28"/>
        <v/>
      </c>
      <c r="AF93" s="32"/>
      <c r="AG93">
        <f t="shared" ca="1" si="29"/>
        <v>7</v>
      </c>
      <c r="AH93">
        <f t="shared" ca="1" si="30"/>
        <v>7</v>
      </c>
      <c r="AI93">
        <f t="shared" ca="1" si="31"/>
        <v>29</v>
      </c>
      <c r="AJ93">
        <f t="shared" ca="1" si="32"/>
        <v>36</v>
      </c>
    </row>
    <row r="94" spans="2:36">
      <c r="B94" s="40">
        <f>+COUNTIFS(SOIs!$D:$D, 'Ratings by CLO'!$J94)</f>
        <v>3</v>
      </c>
      <c r="C94" s="40">
        <f>+COUNTIFS(SOIs!$G:$G, 'Ratings by CLO'!$J94)</f>
        <v>1</v>
      </c>
      <c r="D94" s="40">
        <f>+COUNTIFS(SOIs!$J:$J, 'Ratings by CLO'!$J94)</f>
        <v>0</v>
      </c>
      <c r="E94" s="40">
        <f>+COUNTIFS(SOIs!$M:$M, 'Ratings by CLO'!$J94)</f>
        <v>1</v>
      </c>
      <c r="F94" s="40">
        <f>+COUNTIFS(SOIs!$P:$P, 'Ratings by CLO'!$J94)</f>
        <v>1</v>
      </c>
      <c r="G94" s="40">
        <f>+COUNTIFS(SOIs!$S:$S, 'Ratings by CLO'!$J94)</f>
        <v>1</v>
      </c>
      <c r="H94" s="40">
        <f>+COUNTIFS(SOIs!$V:$V, 'Ratings by CLO'!$J94)</f>
        <v>1</v>
      </c>
      <c r="I94" s="38"/>
      <c r="J94" s="32" t="str">
        <f>+SOIs!X95</f>
        <v>Sales Benchmark Index (SBI)</v>
      </c>
      <c r="K94" s="32"/>
      <c r="L94" s="28" t="str">
        <f>+IF(INDEX('Master Ratings'!$D:$D, MATCH('Ratings by CLO'!$J94,'Master Ratings'!$B:$B,0),0)=0,"",INDEX('Master Ratings'!$D:$D, MATCH('Ratings by CLO'!$J94,'Master Ratings'!$B:$B,0),0))</f>
        <v/>
      </c>
      <c r="M94" s="28" t="str">
        <f>+IF(INDEX('Master Ratings'!$E:$E, MATCH('Ratings by CLO'!$J94,'Master Ratings'!$B:$B,0),0)=0,"",INDEX('Master Ratings'!$E:$E, MATCH('Ratings by CLO'!$J94,'Master Ratings'!$B:$B,0),0))</f>
        <v/>
      </c>
      <c r="N94" s="28"/>
      <c r="O94" s="28" t="str">
        <f>+IF(INDEX('Master Ratings'!$G:$G, MATCH('Ratings by CLO'!$J94,'Master Ratings'!$B:$B,0),0)=0,"",INDEX('Master Ratings'!$G:$G, MATCH('Ratings by CLO'!$J94,'Master Ratings'!$B:$B,0),0))</f>
        <v>B-*</v>
      </c>
      <c r="P94" s="28" t="str">
        <f>+IF(INDEX('Master Ratings'!$H:$H, MATCH('Ratings by CLO'!$J94,'Master Ratings'!$B:$B,0),0)=0,"",INDEX('Master Ratings'!$H:$H, MATCH('Ratings by CLO'!$J94,'Master Ratings'!$B:$B,0),0))</f>
        <v>Credit Estimate</v>
      </c>
      <c r="Q94" s="8">
        <f>+IF(INDEX('Master Ratings'!$O:$O, MATCH('Ratings by CLO'!$J94,'Master Ratings'!$B:$B,0),0)=0,"",INDEX('Master Ratings'!$O:$O, MATCH('Ratings by CLO'!$J94,'Master Ratings'!$B:$B,0),0))</f>
        <v>45655</v>
      </c>
      <c r="R94" s="28"/>
      <c r="S94" s="28" t="str">
        <f>+IF(INDEX('Master Ratings'!$L:$L, MATCH('Ratings by CLO'!$J94,'Master Ratings'!$B:$B,0),0)=0,"",INDEX('Master Ratings'!$L:$L, MATCH('Ratings by CLO'!$J94,'Master Ratings'!$B:$B,0),0))</f>
        <v>B-*</v>
      </c>
      <c r="T94" s="28" t="str">
        <f>+IF(INDEX('Master Ratings'!$M:$M, MATCH('Ratings by CLO'!$J94,'Master Ratings'!$B:$B,0),0)=0,"",INDEX('Master Ratings'!$M:$M, MATCH('Ratings by CLO'!$J94,'Master Ratings'!$B:$B,0),0))</f>
        <v>Credit Estimate</v>
      </c>
      <c r="U94" s="8" t="str">
        <f>+IF(INDEX('Master Ratings'!$P:$P, MATCH('Ratings by CLO'!$J94,'Master Ratings'!$B:$B,0),0)=0,"",INDEX('Master Ratings'!$P:$P, MATCH('Ratings by CLO'!$J94,'Master Ratings'!$B:$B,0),0))</f>
        <v>1.19.2024</v>
      </c>
      <c r="W94" s="5">
        <f t="shared" ca="1" si="22"/>
        <v>56</v>
      </c>
      <c r="X94" s="5" t="e">
        <f t="shared" ca="1" si="23"/>
        <v>#VALUE!</v>
      </c>
      <c r="Z94" s="5" t="str">
        <f t="shared" ca="1" si="24"/>
        <v/>
      </c>
      <c r="AA94" s="5" t="str">
        <f t="shared" ca="1" si="25"/>
        <v>X</v>
      </c>
      <c r="AB94" s="5" t="str">
        <f t="shared" ca="1" si="26"/>
        <v/>
      </c>
      <c r="AC94" s="5" t="str">
        <f t="shared" ca="1" si="27"/>
        <v/>
      </c>
      <c r="AD94" s="5"/>
      <c r="AE94" s="5" t="str">
        <f t="shared" si="28"/>
        <v/>
      </c>
      <c r="AF94" s="32"/>
      <c r="AG94">
        <f t="shared" ca="1" si="29"/>
        <v>7</v>
      </c>
      <c r="AH94">
        <f t="shared" ca="1" si="30"/>
        <v>8</v>
      </c>
      <c r="AI94">
        <f t="shared" ca="1" si="31"/>
        <v>29</v>
      </c>
      <c r="AJ94">
        <f t="shared" ca="1" si="32"/>
        <v>36</v>
      </c>
    </row>
    <row r="95" spans="2:36">
      <c r="B95" s="40">
        <f>+COUNTIFS(SOIs!$D:$D, 'Ratings by CLO'!$J95)</f>
        <v>1</v>
      </c>
      <c r="C95" s="40">
        <f>+COUNTIFS(SOIs!$G:$G, 'Ratings by CLO'!$J95)</f>
        <v>1</v>
      </c>
      <c r="D95" s="40">
        <f>+COUNTIFS(SOIs!$J:$J, 'Ratings by CLO'!$J95)</f>
        <v>0</v>
      </c>
      <c r="E95" s="40">
        <f>+COUNTIFS(SOIs!$M:$M, 'Ratings by CLO'!$J95)</f>
        <v>1</v>
      </c>
      <c r="F95" s="40">
        <f>+COUNTIFS(SOIs!$P:$P, 'Ratings by CLO'!$J95)</f>
        <v>0</v>
      </c>
      <c r="G95" s="40">
        <f>+COUNTIFS(SOIs!$S:$S, 'Ratings by CLO'!$J95)</f>
        <v>0</v>
      </c>
      <c r="H95" s="40">
        <f>+COUNTIFS(SOIs!$V:$V, 'Ratings by CLO'!$J95)</f>
        <v>0</v>
      </c>
      <c r="I95" s="38"/>
      <c r="J95" s="32" t="str">
        <f>+SOIs!X96</f>
        <v>Sargent &amp; Greenleaf</v>
      </c>
      <c r="K95" s="32"/>
      <c r="L95" s="28" t="str">
        <f>+IF(INDEX('Master Ratings'!$D:$D, MATCH('Ratings by CLO'!$J95,'Master Ratings'!$B:$B,0),0)=0,"",INDEX('Master Ratings'!$D:$D, MATCH('Ratings by CLO'!$J95,'Master Ratings'!$B:$B,0),0))</f>
        <v/>
      </c>
      <c r="M95" s="28" t="str">
        <f>+IF(INDEX('Master Ratings'!$E:$E, MATCH('Ratings by CLO'!$J95,'Master Ratings'!$B:$B,0),0)=0,"",INDEX('Master Ratings'!$E:$E, MATCH('Ratings by CLO'!$J95,'Master Ratings'!$B:$B,0),0))</f>
        <v/>
      </c>
      <c r="N95" s="28"/>
      <c r="O95" s="28" t="str">
        <f>+IF(INDEX('Master Ratings'!$G:$G, MATCH('Ratings by CLO'!$J95,'Master Ratings'!$B:$B,0),0)=0,"",INDEX('Master Ratings'!$G:$G, MATCH('Ratings by CLO'!$J95,'Master Ratings'!$B:$B,0),0))</f>
        <v>CCC-*</v>
      </c>
      <c r="P95" s="28" t="str">
        <f>+IF(INDEX('Master Ratings'!$H:$H, MATCH('Ratings by CLO'!$J95,'Master Ratings'!$B:$B,0),0)=0,"",INDEX('Master Ratings'!$H:$H, MATCH('Ratings by CLO'!$J95,'Master Ratings'!$B:$B,0),0))</f>
        <v>Credit Estimate</v>
      </c>
      <c r="Q95" s="8">
        <f>+IF(INDEX('Master Ratings'!$O:$O, MATCH('Ratings by CLO'!$J95,'Master Ratings'!$B:$B,0),0)=0,"",INDEX('Master Ratings'!$O:$O, MATCH('Ratings by CLO'!$J95,'Master Ratings'!$B:$B,0),0))</f>
        <v>45516</v>
      </c>
      <c r="R95" s="28"/>
      <c r="S95" s="28" t="str">
        <f>+IF(INDEX('Master Ratings'!$L:$L, MATCH('Ratings by CLO'!$J95,'Master Ratings'!$B:$B,0),0)=0,"",INDEX('Master Ratings'!$L:$L, MATCH('Ratings by CLO'!$J95,'Master Ratings'!$B:$B,0),0))</f>
        <v>CCC+*</v>
      </c>
      <c r="T95" s="28" t="str">
        <f>+IF(INDEX('Master Ratings'!$M:$M, MATCH('Ratings by CLO'!$J95,'Master Ratings'!$B:$B,0),0)=0,"",INDEX('Master Ratings'!$M:$M, MATCH('Ratings by CLO'!$J95,'Master Ratings'!$B:$B,0),0))</f>
        <v>Credit Estimate</v>
      </c>
      <c r="U95" s="8">
        <f>+IF(INDEX('Master Ratings'!$P:$P, MATCH('Ratings by CLO'!$J95,'Master Ratings'!$B:$B,0),0)=0,"",INDEX('Master Ratings'!$P:$P, MATCH('Ratings by CLO'!$J95,'Master Ratings'!$B:$B,0),0))</f>
        <v>44749</v>
      </c>
      <c r="W95" s="5">
        <f t="shared" ca="1" si="22"/>
        <v>-83</v>
      </c>
      <c r="X95" s="5">
        <f t="shared" ca="1" si="23"/>
        <v>-850</v>
      </c>
      <c r="Z95" s="5" t="str">
        <f t="shared" ca="1" si="24"/>
        <v/>
      </c>
      <c r="AA95" s="5" t="str">
        <f t="shared" ca="1" si="25"/>
        <v/>
      </c>
      <c r="AB95" s="5" t="str">
        <f t="shared" ca="1" si="26"/>
        <v>X</v>
      </c>
      <c r="AC95" s="5" t="str">
        <f t="shared" ca="1" si="27"/>
        <v>X</v>
      </c>
      <c r="AD95" s="5"/>
      <c r="AE95" s="5" t="str">
        <f t="shared" si="28"/>
        <v/>
      </c>
      <c r="AF95" s="32"/>
      <c r="AG95">
        <f t="shared" ca="1" si="29"/>
        <v>7</v>
      </c>
      <c r="AH95">
        <f t="shared" ca="1" si="30"/>
        <v>8</v>
      </c>
      <c r="AI95">
        <f t="shared" ca="1" si="31"/>
        <v>30</v>
      </c>
      <c r="AJ95">
        <f t="shared" ca="1" si="32"/>
        <v>37</v>
      </c>
    </row>
    <row r="96" spans="2:36">
      <c r="B96" s="40">
        <f>+COUNTIFS(SOIs!$D:$D, 'Ratings by CLO'!$J96)</f>
        <v>2</v>
      </c>
      <c r="C96" s="40">
        <f>+COUNTIFS(SOIs!$G:$G, 'Ratings by CLO'!$J96)</f>
        <v>0</v>
      </c>
      <c r="D96" s="40">
        <f>+COUNTIFS(SOIs!$J:$J, 'Ratings by CLO'!$J96)</f>
        <v>0</v>
      </c>
      <c r="E96" s="40">
        <f>+COUNTIFS(SOIs!$M:$M, 'Ratings by CLO'!$J96)</f>
        <v>0</v>
      </c>
      <c r="F96" s="40">
        <f>+COUNTIFS(SOIs!$P:$P, 'Ratings by CLO'!$J96)</f>
        <v>0</v>
      </c>
      <c r="G96" s="40">
        <f>+COUNTIFS(SOIs!$S:$S, 'Ratings by CLO'!$J96)</f>
        <v>1</v>
      </c>
      <c r="H96" s="40">
        <f>+COUNTIFS(SOIs!$V:$V, 'Ratings by CLO'!$J96)</f>
        <v>0</v>
      </c>
      <c r="I96" s="38"/>
      <c r="J96" s="32" t="str">
        <f>+SOIs!X97</f>
        <v>Schlesinger</v>
      </c>
      <c r="K96" s="32"/>
      <c r="L96" s="28" t="str">
        <f>+IF(INDEX('Master Ratings'!$D:$D, MATCH('Ratings by CLO'!$J96,'Master Ratings'!$B:$B,0),0)=0,"",INDEX('Master Ratings'!$D:$D, MATCH('Ratings by CLO'!$J96,'Master Ratings'!$B:$B,0),0))</f>
        <v/>
      </c>
      <c r="M96" s="28" t="str">
        <f>+IF(INDEX('Master Ratings'!$E:$E, MATCH('Ratings by CLO'!$J96,'Master Ratings'!$B:$B,0),0)=0,"",INDEX('Master Ratings'!$E:$E, MATCH('Ratings by CLO'!$J96,'Master Ratings'!$B:$B,0),0))</f>
        <v/>
      </c>
      <c r="N96" s="28"/>
      <c r="O96" s="28" t="str">
        <f>+IF(INDEX('Master Ratings'!$G:$G, MATCH('Ratings by CLO'!$J96,'Master Ratings'!$B:$B,0),0)=0,"",INDEX('Master Ratings'!$G:$G, MATCH('Ratings by CLO'!$J96,'Master Ratings'!$B:$B,0),0))</f>
        <v>CCC-*</v>
      </c>
      <c r="P96" s="28" t="str">
        <f>+IF(INDEX('Master Ratings'!$H:$H, MATCH('Ratings by CLO'!$J96,'Master Ratings'!$B:$B,0),0)=0,"",INDEX('Master Ratings'!$H:$H, MATCH('Ratings by CLO'!$J96,'Master Ratings'!$B:$B,0),0))</f>
        <v>Credit Estimate</v>
      </c>
      <c r="Q96" s="8">
        <f>+IF(INDEX('Master Ratings'!$O:$O, MATCH('Ratings by CLO'!$J96,'Master Ratings'!$B:$B,0),0)=0,"",INDEX('Master Ratings'!$O:$O, MATCH('Ratings by CLO'!$J96,'Master Ratings'!$B:$B,0),0))</f>
        <v>45761</v>
      </c>
      <c r="R96" s="28"/>
      <c r="S96" s="28" t="str">
        <f>+IF(INDEX('Master Ratings'!$L:$L, MATCH('Ratings by CLO'!$J96,'Master Ratings'!$B:$B,0),0)=0,"",INDEX('Master Ratings'!$L:$L, MATCH('Ratings by CLO'!$J96,'Master Ratings'!$B:$B,0),0))</f>
        <v>B-*</v>
      </c>
      <c r="T96" s="28" t="str">
        <f>+IF(INDEX('Master Ratings'!$M:$M, MATCH('Ratings by CLO'!$J96,'Master Ratings'!$B:$B,0),0)=0,"",INDEX('Master Ratings'!$M:$M, MATCH('Ratings by CLO'!$J96,'Master Ratings'!$B:$B,0),0))</f>
        <v>Credit Estimate</v>
      </c>
      <c r="U96" s="8" t="str">
        <f>+IF(INDEX('Master Ratings'!$P:$P, MATCH('Ratings by CLO'!$J96,'Master Ratings'!$B:$B,0),0)=0,"",INDEX('Master Ratings'!$P:$P, MATCH('Ratings by CLO'!$J96,'Master Ratings'!$B:$B,0),0))</f>
        <v>12.8.2023</v>
      </c>
      <c r="W96" s="5">
        <f t="shared" ca="1" si="22"/>
        <v>162</v>
      </c>
      <c r="X96" s="5" t="e">
        <f t="shared" ca="1" si="23"/>
        <v>#VALUE!</v>
      </c>
      <c r="Z96" s="5" t="str">
        <f t="shared" ca="1" si="24"/>
        <v/>
      </c>
      <c r="AA96" s="5" t="str">
        <f t="shared" ca="1" si="25"/>
        <v>X</v>
      </c>
      <c r="AB96" s="5" t="str">
        <f t="shared" ca="1" si="26"/>
        <v/>
      </c>
      <c r="AC96" s="5" t="str">
        <f t="shared" ca="1" si="27"/>
        <v/>
      </c>
      <c r="AD96" s="5"/>
      <c r="AE96" s="5" t="str">
        <f t="shared" si="28"/>
        <v/>
      </c>
      <c r="AF96" s="32"/>
      <c r="AG96">
        <f t="shared" ca="1" si="29"/>
        <v>7</v>
      </c>
      <c r="AH96">
        <f t="shared" ca="1" si="30"/>
        <v>9</v>
      </c>
      <c r="AI96">
        <f t="shared" ca="1" si="31"/>
        <v>30</v>
      </c>
      <c r="AJ96">
        <f t="shared" ca="1" si="32"/>
        <v>37</v>
      </c>
    </row>
    <row r="97" spans="2:36">
      <c r="B97" s="40">
        <f>+COUNTIFS(SOIs!$D:$D, 'Ratings by CLO'!$J97)</f>
        <v>0</v>
      </c>
      <c r="C97" s="40">
        <f>+COUNTIFS(SOIs!$G:$G, 'Ratings by CLO'!$J97)</f>
        <v>0</v>
      </c>
      <c r="D97" s="40">
        <f>+COUNTIFS(SOIs!$J:$J, 'Ratings by CLO'!$J97)</f>
        <v>0</v>
      </c>
      <c r="E97" s="40">
        <f>+COUNTIFS(SOIs!$M:$M, 'Ratings by CLO'!$J97)</f>
        <v>1</v>
      </c>
      <c r="F97" s="40">
        <f>+COUNTIFS(SOIs!$P:$P, 'Ratings by CLO'!$J97)</f>
        <v>1</v>
      </c>
      <c r="G97" s="40">
        <f>+COUNTIFS(SOIs!$S:$S, 'Ratings by CLO'!$J97)</f>
        <v>1</v>
      </c>
      <c r="H97" s="40">
        <f>+COUNTIFS(SOIs!$V:$V, 'Ratings by CLO'!$J97)</f>
        <v>1</v>
      </c>
      <c r="I97" s="38"/>
      <c r="J97" s="32" t="str">
        <f>+SOIs!X98</f>
        <v>Seaway Plastics</v>
      </c>
      <c r="K97" s="32"/>
      <c r="L97" s="28" t="str">
        <f>+IF(INDEX('Master Ratings'!$D:$D, MATCH('Ratings by CLO'!$J97,'Master Ratings'!$B:$B,0),0)=0,"",INDEX('Master Ratings'!$D:$D, MATCH('Ratings by CLO'!$J97,'Master Ratings'!$B:$B,0),0))</f>
        <v/>
      </c>
      <c r="M97" s="28" t="str">
        <f>+IF(INDEX('Master Ratings'!$E:$E, MATCH('Ratings by CLO'!$J97,'Master Ratings'!$B:$B,0),0)=0,"",INDEX('Master Ratings'!$E:$E, MATCH('Ratings by CLO'!$J97,'Master Ratings'!$B:$B,0),0))</f>
        <v/>
      </c>
      <c r="N97" s="28"/>
      <c r="O97" s="28" t="str">
        <f>+IF(INDEX('Master Ratings'!$G:$G, MATCH('Ratings by CLO'!$J97,'Master Ratings'!$B:$B,0),0)=0,"",INDEX('Master Ratings'!$G:$G, MATCH('Ratings by CLO'!$J97,'Master Ratings'!$B:$B,0),0))</f>
        <v>B-*</v>
      </c>
      <c r="P97" s="28" t="str">
        <f>+IF(INDEX('Master Ratings'!$H:$H, MATCH('Ratings by CLO'!$J97,'Master Ratings'!$B:$B,0),0)=0,"",INDEX('Master Ratings'!$H:$H, MATCH('Ratings by CLO'!$J97,'Master Ratings'!$B:$B,0),0))</f>
        <v>Credit Estimate</v>
      </c>
      <c r="Q97" s="8">
        <f>+IF(INDEX('Master Ratings'!$O:$O, MATCH('Ratings by CLO'!$J97,'Master Ratings'!$B:$B,0),0)=0,"",INDEX('Master Ratings'!$O:$O, MATCH('Ratings by CLO'!$J97,'Master Ratings'!$B:$B,0),0))</f>
        <v>45693</v>
      </c>
      <c r="R97" s="28"/>
      <c r="S97" s="28" t="str">
        <f>+IF(INDEX('Master Ratings'!$L:$L, MATCH('Ratings by CLO'!$J97,'Master Ratings'!$B:$B,0),0)=0,"",INDEX('Master Ratings'!$L:$L, MATCH('Ratings by CLO'!$J97,'Master Ratings'!$B:$B,0),0))</f>
        <v/>
      </c>
      <c r="T97" s="28" t="str">
        <f>+IF(INDEX('Master Ratings'!$M:$M, MATCH('Ratings by CLO'!$J97,'Master Ratings'!$B:$B,0),0)=0,"",INDEX('Master Ratings'!$M:$M, MATCH('Ratings by CLO'!$J97,'Master Ratings'!$B:$B,0),0))</f>
        <v/>
      </c>
      <c r="U97" s="8" t="str">
        <f>+IF(INDEX('Master Ratings'!$P:$P, MATCH('Ratings by CLO'!$J97,'Master Ratings'!$B:$B,0),0)=0,"",INDEX('Master Ratings'!$P:$P, MATCH('Ratings by CLO'!$J97,'Master Ratings'!$B:$B,0),0))</f>
        <v/>
      </c>
      <c r="W97" s="5">
        <f t="shared" ca="1" si="22"/>
        <v>94</v>
      </c>
      <c r="X97" s="5" t="str">
        <f t="shared" ca="1" si="23"/>
        <v/>
      </c>
      <c r="Z97" s="5" t="str">
        <f t="shared" ca="1" si="24"/>
        <v/>
      </c>
      <c r="AA97" s="5" t="str">
        <f t="shared" ca="1" si="25"/>
        <v/>
      </c>
      <c r="AB97" s="5" t="str">
        <f t="shared" ca="1" si="26"/>
        <v/>
      </c>
      <c r="AC97" s="5" t="str">
        <f t="shared" ca="1" si="27"/>
        <v/>
      </c>
      <c r="AD97" s="5"/>
      <c r="AE97" s="5" t="str">
        <f t="shared" si="28"/>
        <v/>
      </c>
      <c r="AF97" s="32"/>
      <c r="AG97">
        <f t="shared" ca="1" si="29"/>
        <v>7</v>
      </c>
      <c r="AH97">
        <f t="shared" ca="1" si="30"/>
        <v>9</v>
      </c>
      <c r="AI97">
        <f t="shared" ca="1" si="31"/>
        <v>30</v>
      </c>
      <c r="AJ97">
        <f t="shared" ca="1" si="32"/>
        <v>37</v>
      </c>
    </row>
    <row r="98" spans="2:36">
      <c r="B98" s="40">
        <f>+COUNTIFS(SOIs!$D:$D, 'Ratings by CLO'!$J98)</f>
        <v>4</v>
      </c>
      <c r="C98" s="40">
        <f>+COUNTIFS(SOIs!$G:$G, 'Ratings by CLO'!$J98)</f>
        <v>1</v>
      </c>
      <c r="D98" s="40">
        <f>+COUNTIFS(SOIs!$J:$J, 'Ratings by CLO'!$J98)</f>
        <v>1</v>
      </c>
      <c r="E98" s="40">
        <f>+COUNTIFS(SOIs!$M:$M, 'Ratings by CLO'!$J98)</f>
        <v>0</v>
      </c>
      <c r="F98" s="40">
        <f>+COUNTIFS(SOIs!$P:$P, 'Ratings by CLO'!$J98)</f>
        <v>1</v>
      </c>
      <c r="G98" s="40">
        <f>+COUNTIFS(SOIs!$S:$S, 'Ratings by CLO'!$J98)</f>
        <v>1</v>
      </c>
      <c r="H98" s="40">
        <f>+COUNTIFS(SOIs!$V:$V, 'Ratings by CLO'!$J98)</f>
        <v>0</v>
      </c>
      <c r="I98" s="38"/>
      <c r="J98" s="32" t="str">
        <f>+SOIs!X99</f>
        <v>Sigma Defense</v>
      </c>
      <c r="K98" s="32"/>
      <c r="L98" s="28" t="str">
        <f>+IF(INDEX('Master Ratings'!$D:$D, MATCH('Ratings by CLO'!$J98,'Master Ratings'!$B:$B,0),0)=0,"",INDEX('Master Ratings'!$D:$D, MATCH('Ratings by CLO'!$J98,'Master Ratings'!$B:$B,0),0))</f>
        <v/>
      </c>
      <c r="M98" s="28" t="str">
        <f>+IF(INDEX('Master Ratings'!$E:$E, MATCH('Ratings by CLO'!$J98,'Master Ratings'!$B:$B,0),0)=0,"",INDEX('Master Ratings'!$E:$E, MATCH('Ratings by CLO'!$J98,'Master Ratings'!$B:$B,0),0))</f>
        <v/>
      </c>
      <c r="N98" s="28"/>
      <c r="O98" s="28" t="str">
        <f>+IF(INDEX('Master Ratings'!$G:$G, MATCH('Ratings by CLO'!$J98,'Master Ratings'!$B:$B,0),0)=0,"",INDEX('Master Ratings'!$G:$G, MATCH('Ratings by CLO'!$J98,'Master Ratings'!$B:$B,0),0))</f>
        <v>CCC+*</v>
      </c>
      <c r="P98" s="28" t="str">
        <f>+IF(INDEX('Master Ratings'!$H:$H, MATCH('Ratings by CLO'!$J98,'Master Ratings'!$B:$B,0),0)=0,"",INDEX('Master Ratings'!$H:$H, MATCH('Ratings by CLO'!$J98,'Master Ratings'!$B:$B,0),0))</f>
        <v>Credit Estimate</v>
      </c>
      <c r="Q98" s="8">
        <f>+IF(INDEX('Master Ratings'!$O:$O, MATCH('Ratings by CLO'!$J98,'Master Ratings'!$B:$B,0),0)=0,"",INDEX('Master Ratings'!$O:$O, MATCH('Ratings by CLO'!$J98,'Master Ratings'!$B:$B,0),0))</f>
        <v>45664</v>
      </c>
      <c r="R98" s="28"/>
      <c r="S98" s="28" t="str">
        <f>+IF(INDEX('Master Ratings'!$L:$L, MATCH('Ratings by CLO'!$J98,'Master Ratings'!$B:$B,0),0)=0,"",INDEX('Master Ratings'!$L:$L, MATCH('Ratings by CLO'!$J98,'Master Ratings'!$B:$B,0),0))</f>
        <v>B-*</v>
      </c>
      <c r="T98" s="28" t="str">
        <f>+IF(INDEX('Master Ratings'!$M:$M, MATCH('Ratings by CLO'!$J98,'Master Ratings'!$B:$B,0),0)=0,"",INDEX('Master Ratings'!$M:$M, MATCH('Ratings by CLO'!$J98,'Master Ratings'!$B:$B,0),0))</f>
        <v>Credit Estimate</v>
      </c>
      <c r="U98" s="8" t="str">
        <f>+IF(INDEX('Master Ratings'!$P:$P, MATCH('Ratings by CLO'!$J98,'Master Ratings'!$B:$B,0),0)=0,"",INDEX('Master Ratings'!$P:$P, MATCH('Ratings by CLO'!$J98,'Master Ratings'!$B:$B,0),0))</f>
        <v>1.19.2024</v>
      </c>
      <c r="W98" s="5">
        <f t="shared" ca="1" si="22"/>
        <v>65</v>
      </c>
      <c r="X98" s="5" t="e">
        <f t="shared" ca="1" si="23"/>
        <v>#VALUE!</v>
      </c>
      <c r="Z98" s="5" t="str">
        <f t="shared" ca="1" si="24"/>
        <v/>
      </c>
      <c r="AA98" s="5" t="str">
        <f t="shared" ca="1" si="25"/>
        <v>X</v>
      </c>
      <c r="AB98" s="5" t="str">
        <f t="shared" ca="1" si="26"/>
        <v/>
      </c>
      <c r="AC98" s="5" t="str">
        <f t="shared" ca="1" si="27"/>
        <v/>
      </c>
      <c r="AD98" s="5"/>
      <c r="AE98" s="5" t="str">
        <f t="shared" si="28"/>
        <v/>
      </c>
      <c r="AF98" s="32"/>
      <c r="AG98">
        <f t="shared" ca="1" si="29"/>
        <v>7</v>
      </c>
      <c r="AH98">
        <f t="shared" ca="1" si="30"/>
        <v>10</v>
      </c>
      <c r="AI98">
        <f t="shared" ca="1" si="31"/>
        <v>30</v>
      </c>
      <c r="AJ98">
        <f t="shared" ca="1" si="32"/>
        <v>37</v>
      </c>
    </row>
    <row r="99" spans="2:36">
      <c r="B99" s="40">
        <f>+COUNTIFS(SOIs!$D:$D, 'Ratings by CLO'!$J99)</f>
        <v>2</v>
      </c>
      <c r="C99" s="40">
        <f>+COUNTIFS(SOIs!$G:$G, 'Ratings by CLO'!$J99)</f>
        <v>0</v>
      </c>
      <c r="D99" s="40">
        <f>+COUNTIFS(SOIs!$J:$J, 'Ratings by CLO'!$J99)</f>
        <v>0</v>
      </c>
      <c r="E99" s="40">
        <f>+COUNTIFS(SOIs!$M:$M, 'Ratings by CLO'!$J99)</f>
        <v>1</v>
      </c>
      <c r="F99" s="40">
        <f>+COUNTIFS(SOIs!$P:$P, 'Ratings by CLO'!$J99)</f>
        <v>0</v>
      </c>
      <c r="G99" s="40">
        <f>+COUNTIFS(SOIs!$S:$S, 'Ratings by CLO'!$J99)</f>
        <v>0</v>
      </c>
      <c r="H99" s="40">
        <f>+COUNTIFS(SOIs!$V:$V, 'Ratings by CLO'!$J99)</f>
        <v>1</v>
      </c>
      <c r="I99" s="38"/>
      <c r="J99" s="32" t="str">
        <f>+SOIs!X100</f>
        <v>Signature Systems Group</v>
      </c>
      <c r="K99" s="32"/>
      <c r="L99" s="28" t="str">
        <f>+IF(INDEX('Master Ratings'!$D:$D, MATCH('Ratings by CLO'!$J99,'Master Ratings'!$B:$B,0),0)=0,"",INDEX('Master Ratings'!$D:$D, MATCH('Ratings by CLO'!$J99,'Master Ratings'!$B:$B,0),0))</f>
        <v/>
      </c>
      <c r="M99" s="28" t="str">
        <f>+IF(INDEX('Master Ratings'!$E:$E, MATCH('Ratings by CLO'!$J99,'Master Ratings'!$B:$B,0),0)=0,"",INDEX('Master Ratings'!$E:$E, MATCH('Ratings by CLO'!$J99,'Master Ratings'!$B:$B,0),0))</f>
        <v/>
      </c>
      <c r="N99" s="28"/>
      <c r="O99" s="28" t="str">
        <f>+IF(INDEX('Master Ratings'!$G:$G, MATCH('Ratings by CLO'!$J99,'Master Ratings'!$B:$B,0),0)=0,"",INDEX('Master Ratings'!$G:$G, MATCH('Ratings by CLO'!$J99,'Master Ratings'!$B:$B,0),0))</f>
        <v>B-*</v>
      </c>
      <c r="P99" s="28" t="str">
        <f>+IF(INDEX('Master Ratings'!$H:$H, MATCH('Ratings by CLO'!$J99,'Master Ratings'!$B:$B,0),0)=0,"",INDEX('Master Ratings'!$H:$H, MATCH('Ratings by CLO'!$J99,'Master Ratings'!$B:$B,0),0))</f>
        <v>Credit Estimate</v>
      </c>
      <c r="Q99" s="8">
        <f>+IF(INDEX('Master Ratings'!$O:$O, MATCH('Ratings by CLO'!$J99,'Master Ratings'!$B:$B,0),0)=0,"",INDEX('Master Ratings'!$O:$O, MATCH('Ratings by CLO'!$J99,'Master Ratings'!$B:$B,0),0))</f>
        <v>45085</v>
      </c>
      <c r="R99" s="28"/>
      <c r="S99" s="28" t="str">
        <f>+IF(INDEX('Master Ratings'!$L:$L, MATCH('Ratings by CLO'!$J99,'Master Ratings'!$B:$B,0),0)=0,"",INDEX('Master Ratings'!$L:$L, MATCH('Ratings by CLO'!$J99,'Master Ratings'!$B:$B,0),0))</f>
        <v>B*</v>
      </c>
      <c r="T99" s="28" t="str">
        <f>+IF(INDEX('Master Ratings'!$M:$M, MATCH('Ratings by CLO'!$J99,'Master Ratings'!$B:$B,0),0)=0,"",INDEX('Master Ratings'!$M:$M, MATCH('Ratings by CLO'!$J99,'Master Ratings'!$B:$B,0),0))</f>
        <v>Credit Estimate</v>
      </c>
      <c r="U99" s="8" t="str">
        <f>+IF(INDEX('Master Ratings'!$P:$P, MATCH('Ratings by CLO'!$J99,'Master Ratings'!$B:$B,0),0)=0,"",INDEX('Master Ratings'!$P:$P, MATCH('Ratings by CLO'!$J99,'Master Ratings'!$B:$B,0),0))</f>
        <v>12.8.2023</v>
      </c>
      <c r="W99" s="5">
        <f t="shared" ca="1" si="22"/>
        <v>-514</v>
      </c>
      <c r="X99" s="5" t="e">
        <f t="shared" ca="1" si="23"/>
        <v>#VALUE!</v>
      </c>
      <c r="Z99" s="5" t="str">
        <f t="shared" ca="1" si="24"/>
        <v/>
      </c>
      <c r="AA99" s="5" t="str">
        <f t="shared" ca="1" si="25"/>
        <v>X</v>
      </c>
      <c r="AB99" s="5" t="str">
        <f t="shared" ca="1" si="26"/>
        <v>X</v>
      </c>
      <c r="AC99" s="5" t="str">
        <f t="shared" ca="1" si="27"/>
        <v/>
      </c>
      <c r="AD99" s="5"/>
      <c r="AE99" s="5" t="str">
        <f t="shared" si="28"/>
        <v/>
      </c>
      <c r="AF99" s="32"/>
      <c r="AG99">
        <f t="shared" ca="1" si="29"/>
        <v>7</v>
      </c>
      <c r="AH99">
        <f t="shared" ca="1" si="30"/>
        <v>11</v>
      </c>
      <c r="AI99">
        <f t="shared" ca="1" si="31"/>
        <v>31</v>
      </c>
      <c r="AJ99">
        <f t="shared" ca="1" si="32"/>
        <v>37</v>
      </c>
    </row>
    <row r="100" spans="2:36">
      <c r="B100" s="40">
        <f>+COUNTIFS(SOIs!$D:$D, 'Ratings by CLO'!$J100)</f>
        <v>0</v>
      </c>
      <c r="C100" s="40">
        <f>+COUNTIFS(SOIs!$G:$G, 'Ratings by CLO'!$J100)</f>
        <v>0</v>
      </c>
      <c r="D100" s="40">
        <f>+COUNTIFS(SOIs!$J:$J, 'Ratings by CLO'!$J100)</f>
        <v>0</v>
      </c>
      <c r="E100" s="40">
        <f>+COUNTIFS(SOIs!$M:$M, 'Ratings by CLO'!$J100)</f>
        <v>0</v>
      </c>
      <c r="F100" s="40">
        <f>+COUNTIFS(SOIs!$P:$P, 'Ratings by CLO'!$J100)</f>
        <v>0</v>
      </c>
      <c r="G100" s="40">
        <f>+COUNTIFS(SOIs!$S:$S, 'Ratings by CLO'!$J100)</f>
        <v>0</v>
      </c>
      <c r="H100" s="40">
        <f>+COUNTIFS(SOIs!$V:$V, 'Ratings by CLO'!$J100)</f>
        <v>1</v>
      </c>
      <c r="I100" s="38"/>
      <c r="J100" s="32" t="str">
        <f>+SOIs!X101</f>
        <v>Simplicity Group</v>
      </c>
      <c r="K100" s="32"/>
      <c r="L100" s="28" t="e">
        <f>+IF(INDEX('Master Ratings'!$D:$D, MATCH('Ratings by CLO'!$J100,'Master Ratings'!$B:$B,0),0)=0,"",INDEX('Master Ratings'!$D:$D, MATCH('Ratings by CLO'!$J100,'Master Ratings'!$B:$B,0),0))</f>
        <v>#N/A</v>
      </c>
      <c r="M100" s="28" t="e">
        <f>+IF(INDEX('Master Ratings'!$E:$E, MATCH('Ratings by CLO'!$J100,'Master Ratings'!$B:$B,0),0)=0,"",INDEX('Master Ratings'!$E:$E, MATCH('Ratings by CLO'!$J100,'Master Ratings'!$B:$B,0),0))</f>
        <v>#N/A</v>
      </c>
      <c r="N100" s="28"/>
      <c r="O100" s="28" t="e">
        <f>+IF(INDEX('Master Ratings'!$G:$G, MATCH('Ratings by CLO'!$J100,'Master Ratings'!$B:$B,0),0)=0,"",INDEX('Master Ratings'!$G:$G, MATCH('Ratings by CLO'!$J100,'Master Ratings'!$B:$B,0),0))</f>
        <v>#N/A</v>
      </c>
      <c r="P100" s="28" t="e">
        <f>+IF(INDEX('Master Ratings'!$H:$H, MATCH('Ratings by CLO'!$J100,'Master Ratings'!$B:$B,0),0)=0,"",INDEX('Master Ratings'!$H:$H, MATCH('Ratings by CLO'!$J100,'Master Ratings'!$B:$B,0),0))</f>
        <v>#N/A</v>
      </c>
      <c r="Q100" s="8" t="e">
        <f>+IF(INDEX('Master Ratings'!$O:$O, MATCH('Ratings by CLO'!$J100,'Master Ratings'!$B:$B,0),0)=0,"",INDEX('Master Ratings'!$O:$O, MATCH('Ratings by CLO'!$J100,'Master Ratings'!$B:$B,0),0))</f>
        <v>#N/A</v>
      </c>
      <c r="R100" s="28"/>
      <c r="S100" s="28" t="e">
        <f>+IF(INDEX('Master Ratings'!$L:$L, MATCH('Ratings by CLO'!$J100,'Master Ratings'!$B:$B,0),0)=0,"",INDEX('Master Ratings'!$L:$L, MATCH('Ratings by CLO'!$J100,'Master Ratings'!$B:$B,0),0))</f>
        <v>#N/A</v>
      </c>
      <c r="T100" s="28" t="e">
        <f>+IF(INDEX('Master Ratings'!$M:$M, MATCH('Ratings by CLO'!$J100,'Master Ratings'!$B:$B,0),0)=0,"",INDEX('Master Ratings'!$M:$M, MATCH('Ratings by CLO'!$J100,'Master Ratings'!$B:$B,0),0))</f>
        <v>#N/A</v>
      </c>
      <c r="U100" s="8" t="e">
        <f>+IF(INDEX('Master Ratings'!$P:$P, MATCH('Ratings by CLO'!$J100,'Master Ratings'!$B:$B,0),0)=0,"",INDEX('Master Ratings'!$P:$P, MATCH('Ratings by CLO'!$J100,'Master Ratings'!$B:$B,0),0))</f>
        <v>#N/A</v>
      </c>
      <c r="W100" s="5" t="e">
        <f t="shared" ca="1" si="22"/>
        <v>#N/A</v>
      </c>
      <c r="X100" s="5" t="e">
        <f t="shared" ca="1" si="23"/>
        <v>#N/A</v>
      </c>
      <c r="Z100" s="5" t="str">
        <f t="shared" ca="1" si="24"/>
        <v>X</v>
      </c>
      <c r="AA100" s="5" t="str">
        <f t="shared" ca="1" si="25"/>
        <v/>
      </c>
      <c r="AB100" s="5" t="str">
        <f t="shared" ca="1" si="26"/>
        <v/>
      </c>
      <c r="AC100" s="5" t="str">
        <f t="shared" ca="1" si="27"/>
        <v/>
      </c>
      <c r="AD100" s="5"/>
      <c r="AE100" s="5" t="str">
        <f t="shared" si="28"/>
        <v/>
      </c>
      <c r="AF100" s="32"/>
      <c r="AG100">
        <f t="shared" ca="1" si="29"/>
        <v>8</v>
      </c>
      <c r="AH100">
        <f t="shared" ca="1" si="30"/>
        <v>11</v>
      </c>
      <c r="AI100">
        <f t="shared" ca="1" si="31"/>
        <v>31</v>
      </c>
      <c r="AJ100">
        <f t="shared" ca="1" si="32"/>
        <v>37</v>
      </c>
    </row>
    <row r="101" spans="2:36">
      <c r="B101" s="40">
        <f>+COUNTIFS(SOIs!$D:$D, 'Ratings by CLO'!$J101)</f>
        <v>4</v>
      </c>
      <c r="C101" s="40">
        <f>+COUNTIFS(SOIs!$G:$G, 'Ratings by CLO'!$J101)</f>
        <v>1</v>
      </c>
      <c r="D101" s="40">
        <f>+COUNTIFS(SOIs!$J:$J, 'Ratings by CLO'!$J101)</f>
        <v>1</v>
      </c>
      <c r="E101" s="40">
        <f>+COUNTIFS(SOIs!$M:$M, 'Ratings by CLO'!$J101)</f>
        <v>1</v>
      </c>
      <c r="F101" s="40">
        <f>+COUNTIFS(SOIs!$P:$P, 'Ratings by CLO'!$J101)</f>
        <v>1</v>
      </c>
      <c r="G101" s="40">
        <f>+COUNTIFS(SOIs!$S:$S, 'Ratings by CLO'!$J101)</f>
        <v>0</v>
      </c>
      <c r="H101" s="40">
        <f>+COUNTIFS(SOIs!$V:$V, 'Ratings by CLO'!$J101)</f>
        <v>1</v>
      </c>
      <c r="I101" s="38"/>
      <c r="J101" s="32" t="str">
        <f>+SOIs!X102</f>
        <v>Smartronix / Trident</v>
      </c>
      <c r="K101" s="32"/>
      <c r="L101" s="28" t="str">
        <f>+IF(INDEX('Master Ratings'!$D:$D, MATCH('Ratings by CLO'!$J101,'Master Ratings'!$B:$B,0),0)=0,"",INDEX('Master Ratings'!$D:$D, MATCH('Ratings by CLO'!$J101,'Master Ratings'!$B:$B,0),0))</f>
        <v/>
      </c>
      <c r="M101" s="28" t="str">
        <f>+IF(INDEX('Master Ratings'!$E:$E, MATCH('Ratings by CLO'!$J101,'Master Ratings'!$B:$B,0),0)=0,"",INDEX('Master Ratings'!$E:$E, MATCH('Ratings by CLO'!$J101,'Master Ratings'!$B:$B,0),0))</f>
        <v/>
      </c>
      <c r="N101" s="28"/>
      <c r="O101" s="28" t="str">
        <f>+IF(INDEX('Master Ratings'!$G:$G, MATCH('Ratings by CLO'!$J101,'Master Ratings'!$B:$B,0),0)=0,"",INDEX('Master Ratings'!$G:$G, MATCH('Ratings by CLO'!$J101,'Master Ratings'!$B:$B,0),0))</f>
        <v>B</v>
      </c>
      <c r="P101" s="28" t="str">
        <f>+IF(INDEX('Master Ratings'!$H:$H, MATCH('Ratings by CLO'!$J101,'Master Ratings'!$B:$B,0),0)=0,"",INDEX('Master Ratings'!$H:$H, MATCH('Ratings by CLO'!$J101,'Master Ratings'!$B:$B,0),0))</f>
        <v>Rating (Public)</v>
      </c>
      <c r="Q101" s="8">
        <f>+IF(INDEX('Master Ratings'!$O:$O, MATCH('Ratings by CLO'!$J101,'Master Ratings'!$B:$B,0),0)=0,"",INDEX('Master Ratings'!$O:$O, MATCH('Ratings by CLO'!$J101,'Master Ratings'!$B:$B,0),0))</f>
        <v>45680</v>
      </c>
      <c r="R101" s="28"/>
      <c r="S101" s="28" t="str">
        <f>+IF(INDEX('Master Ratings'!$L:$L, MATCH('Ratings by CLO'!$J101,'Master Ratings'!$B:$B,0),0)=0,"",INDEX('Master Ratings'!$L:$L, MATCH('Ratings by CLO'!$J101,'Master Ratings'!$B:$B,0),0))</f>
        <v>B*</v>
      </c>
      <c r="T101" s="28" t="str">
        <f>+IF(INDEX('Master Ratings'!$M:$M, MATCH('Ratings by CLO'!$J101,'Master Ratings'!$B:$B,0),0)=0,"",INDEX('Master Ratings'!$M:$M, MATCH('Ratings by CLO'!$J101,'Master Ratings'!$B:$B,0),0))</f>
        <v>Credit Estimate</v>
      </c>
      <c r="U101" s="8">
        <f>+IF(INDEX('Master Ratings'!$P:$P, MATCH('Ratings by CLO'!$J101,'Master Ratings'!$B:$B,0),0)=0,"",INDEX('Master Ratings'!$P:$P, MATCH('Ratings by CLO'!$J101,'Master Ratings'!$B:$B,0),0))</f>
        <v>45121</v>
      </c>
      <c r="W101" s="5" t="str">
        <f t="shared" ca="1" si="22"/>
        <v/>
      </c>
      <c r="X101" s="5">
        <f t="shared" ca="1" si="23"/>
        <v>-478</v>
      </c>
      <c r="Z101" s="5" t="str">
        <f t="shared" ca="1" si="24"/>
        <v/>
      </c>
      <c r="AA101" s="5" t="str">
        <f t="shared" ca="1" si="25"/>
        <v/>
      </c>
      <c r="AB101" s="5" t="str">
        <f t="shared" ca="1" si="26"/>
        <v/>
      </c>
      <c r="AC101" s="5" t="str">
        <f t="shared" ca="1" si="27"/>
        <v>X</v>
      </c>
      <c r="AD101" s="5"/>
      <c r="AE101" s="5" t="str">
        <f t="shared" si="28"/>
        <v/>
      </c>
      <c r="AF101" s="32"/>
      <c r="AG101">
        <f t="shared" ca="1" si="29"/>
        <v>8</v>
      </c>
      <c r="AH101">
        <f t="shared" ca="1" si="30"/>
        <v>11</v>
      </c>
      <c r="AI101">
        <f t="shared" ca="1" si="31"/>
        <v>31</v>
      </c>
      <c r="AJ101">
        <f t="shared" ca="1" si="32"/>
        <v>38</v>
      </c>
    </row>
    <row r="102" spans="2:36">
      <c r="B102" s="40">
        <f>+COUNTIFS(SOIs!$D:$D, 'Ratings by CLO'!$J102)</f>
        <v>0</v>
      </c>
      <c r="C102" s="40">
        <f>+COUNTIFS(SOIs!$G:$G, 'Ratings by CLO'!$J102)</f>
        <v>0</v>
      </c>
      <c r="D102" s="40">
        <f>+COUNTIFS(SOIs!$J:$J, 'Ratings by CLO'!$J102)</f>
        <v>0</v>
      </c>
      <c r="E102" s="40">
        <f>+COUNTIFS(SOIs!$M:$M, 'Ratings by CLO'!$J102)</f>
        <v>0</v>
      </c>
      <c r="F102" s="40">
        <f>+COUNTIFS(SOIs!$P:$P, 'Ratings by CLO'!$J102)</f>
        <v>0</v>
      </c>
      <c r="G102" s="40">
        <f>+COUNTIFS(SOIs!$S:$S, 'Ratings by CLO'!$J102)</f>
        <v>1</v>
      </c>
      <c r="H102" s="40">
        <f>+COUNTIFS(SOIs!$V:$V, 'Ratings by CLO'!$J102)</f>
        <v>1</v>
      </c>
      <c r="I102" s="38"/>
      <c r="J102" s="32" t="str">
        <f>+SOIs!X103</f>
        <v>Solaris Health</v>
      </c>
      <c r="K102" s="32"/>
      <c r="L102" s="28" t="str">
        <f>+IF(INDEX('Master Ratings'!$D:$D, MATCH('Ratings by CLO'!$J102,'Master Ratings'!$B:$B,0),0)=0,"",INDEX('Master Ratings'!$D:$D, MATCH('Ratings by CLO'!$J102,'Master Ratings'!$B:$B,0),0))</f>
        <v/>
      </c>
      <c r="M102" s="28" t="str">
        <f>+IF(INDEX('Master Ratings'!$E:$E, MATCH('Ratings by CLO'!$J102,'Master Ratings'!$B:$B,0),0)=0,"",INDEX('Master Ratings'!$E:$E, MATCH('Ratings by CLO'!$J102,'Master Ratings'!$B:$B,0),0))</f>
        <v/>
      </c>
      <c r="N102" s="28"/>
      <c r="O102" s="28" t="str">
        <f>+IF(INDEX('Master Ratings'!$G:$G, MATCH('Ratings by CLO'!$J102,'Master Ratings'!$B:$B,0),0)=0,"",INDEX('Master Ratings'!$G:$G, MATCH('Ratings by CLO'!$J102,'Master Ratings'!$B:$B,0),0))</f>
        <v>B-</v>
      </c>
      <c r="P102" s="28" t="str">
        <f>+IF(INDEX('Master Ratings'!$H:$H, MATCH('Ratings by CLO'!$J102,'Master Ratings'!$B:$B,0),0)=0,"",INDEX('Master Ratings'!$H:$H, MATCH('Ratings by CLO'!$J102,'Master Ratings'!$B:$B,0),0))</f>
        <v>Rating (Private)</v>
      </c>
      <c r="Q102" s="8">
        <f>+IF(INDEX('Master Ratings'!$O:$O, MATCH('Ratings by CLO'!$J102,'Master Ratings'!$B:$B,0),0)=0,"",INDEX('Master Ratings'!$O:$O, MATCH('Ratings by CLO'!$J102,'Master Ratings'!$B:$B,0),0))</f>
        <v>45642</v>
      </c>
      <c r="R102" s="28"/>
      <c r="S102" s="28" t="str">
        <f>+IF(INDEX('Master Ratings'!$L:$L, MATCH('Ratings by CLO'!$J102,'Master Ratings'!$B:$B,0),0)=0,"",INDEX('Master Ratings'!$L:$L, MATCH('Ratings by CLO'!$J102,'Master Ratings'!$B:$B,0),0))</f>
        <v/>
      </c>
      <c r="T102" s="28" t="str">
        <f>+IF(INDEX('Master Ratings'!$M:$M, MATCH('Ratings by CLO'!$J102,'Master Ratings'!$B:$B,0),0)=0,"",INDEX('Master Ratings'!$M:$M, MATCH('Ratings by CLO'!$J102,'Master Ratings'!$B:$B,0),0))</f>
        <v/>
      </c>
      <c r="U102" s="8" t="str">
        <f>+IF(INDEX('Master Ratings'!$P:$P, MATCH('Ratings by CLO'!$J102,'Master Ratings'!$B:$B,0),0)=0,"",INDEX('Master Ratings'!$P:$P, MATCH('Ratings by CLO'!$J102,'Master Ratings'!$B:$B,0),0))</f>
        <v/>
      </c>
      <c r="W102" s="5">
        <f t="shared" ca="1" si="22"/>
        <v>43</v>
      </c>
      <c r="X102" s="5" t="str">
        <f t="shared" ca="1" si="23"/>
        <v/>
      </c>
      <c r="Z102" s="5" t="str">
        <f t="shared" ca="1" si="24"/>
        <v/>
      </c>
      <c r="AA102" s="5" t="str">
        <f t="shared" ca="1" si="25"/>
        <v/>
      </c>
      <c r="AB102" s="5" t="str">
        <f t="shared" ca="1" si="26"/>
        <v/>
      </c>
      <c r="AC102" s="5" t="str">
        <f t="shared" ca="1" si="27"/>
        <v/>
      </c>
      <c r="AD102" s="5"/>
      <c r="AE102" s="5" t="str">
        <f t="shared" si="28"/>
        <v/>
      </c>
      <c r="AF102" s="32"/>
      <c r="AG102">
        <f t="shared" ca="1" si="29"/>
        <v>8</v>
      </c>
      <c r="AH102">
        <f t="shared" ca="1" si="30"/>
        <v>11</v>
      </c>
      <c r="AI102">
        <f t="shared" ca="1" si="31"/>
        <v>31</v>
      </c>
      <c r="AJ102">
        <f t="shared" ca="1" si="32"/>
        <v>38</v>
      </c>
    </row>
    <row r="103" spans="2:36">
      <c r="B103" s="40">
        <f>+COUNTIFS(SOIs!$D:$D, 'Ratings by CLO'!$J103)</f>
        <v>3</v>
      </c>
      <c r="C103" s="40">
        <f>+COUNTIFS(SOIs!$G:$G, 'Ratings by CLO'!$J103)</f>
        <v>1</v>
      </c>
      <c r="D103" s="40">
        <f>+COUNTIFS(SOIs!$J:$J, 'Ratings by CLO'!$J103)</f>
        <v>0</v>
      </c>
      <c r="E103" s="40">
        <f>+COUNTIFS(SOIs!$M:$M, 'Ratings by CLO'!$J103)</f>
        <v>1</v>
      </c>
      <c r="F103" s="40">
        <f>+COUNTIFS(SOIs!$P:$P, 'Ratings by CLO'!$J103)</f>
        <v>0</v>
      </c>
      <c r="G103" s="40">
        <f>+COUNTIFS(SOIs!$S:$S, 'Ratings by CLO'!$J103)</f>
        <v>1</v>
      </c>
      <c r="H103" s="40">
        <f>+COUNTIFS(SOIs!$V:$V, 'Ratings by CLO'!$J103)</f>
        <v>1</v>
      </c>
      <c r="I103" s="38"/>
      <c r="J103" s="32" t="str">
        <f>+SOIs!X104</f>
        <v>Solutionreach</v>
      </c>
      <c r="K103" s="32"/>
      <c r="L103" s="28" t="str">
        <f>+IF(INDEX('Master Ratings'!$D:$D, MATCH('Ratings by CLO'!$J103,'Master Ratings'!$B:$B,0),0)=0,"",INDEX('Master Ratings'!$D:$D, MATCH('Ratings by CLO'!$J103,'Master Ratings'!$B:$B,0),0))</f>
        <v/>
      </c>
      <c r="M103" s="28" t="str">
        <f>+IF(INDEX('Master Ratings'!$E:$E, MATCH('Ratings by CLO'!$J103,'Master Ratings'!$B:$B,0),0)=0,"",INDEX('Master Ratings'!$E:$E, MATCH('Ratings by CLO'!$J103,'Master Ratings'!$B:$B,0),0))</f>
        <v/>
      </c>
      <c r="N103" s="28"/>
      <c r="O103" s="28" t="str">
        <f>+IF(INDEX('Master Ratings'!$G:$G, MATCH('Ratings by CLO'!$J103,'Master Ratings'!$B:$B,0),0)=0,"",INDEX('Master Ratings'!$G:$G, MATCH('Ratings by CLO'!$J103,'Master Ratings'!$B:$B,0),0))</f>
        <v>B-*</v>
      </c>
      <c r="P103" s="28" t="str">
        <f>+IF(INDEX('Master Ratings'!$H:$H, MATCH('Ratings by CLO'!$J103,'Master Ratings'!$B:$B,0),0)=0,"",INDEX('Master Ratings'!$H:$H, MATCH('Ratings by CLO'!$J103,'Master Ratings'!$B:$B,0),0))</f>
        <v>Credit Estimate</v>
      </c>
      <c r="Q103" s="8">
        <f>+IF(INDEX('Master Ratings'!$O:$O, MATCH('Ratings by CLO'!$J103,'Master Ratings'!$B:$B,0),0)=0,"",INDEX('Master Ratings'!$O:$O, MATCH('Ratings by CLO'!$J103,'Master Ratings'!$B:$B,0),0))</f>
        <v>45481</v>
      </c>
      <c r="R103" s="28"/>
      <c r="S103" s="28" t="str">
        <f>+IF(INDEX('Master Ratings'!$L:$L, MATCH('Ratings by CLO'!$J103,'Master Ratings'!$B:$B,0),0)=0,"",INDEX('Master Ratings'!$L:$L, MATCH('Ratings by CLO'!$J103,'Master Ratings'!$B:$B,0),0))</f>
        <v>B-*</v>
      </c>
      <c r="T103" s="28" t="str">
        <f>+IF(INDEX('Master Ratings'!$M:$M, MATCH('Ratings by CLO'!$J103,'Master Ratings'!$B:$B,0),0)=0,"",INDEX('Master Ratings'!$M:$M, MATCH('Ratings by CLO'!$J103,'Master Ratings'!$B:$B,0),0))</f>
        <v>Credit Estimate</v>
      </c>
      <c r="U103" s="8">
        <f>+IF(INDEX('Master Ratings'!$P:$P, MATCH('Ratings by CLO'!$J103,'Master Ratings'!$B:$B,0),0)=0,"",INDEX('Master Ratings'!$P:$P, MATCH('Ratings by CLO'!$J103,'Master Ratings'!$B:$B,0),0))</f>
        <v>45331</v>
      </c>
      <c r="W103" s="5">
        <f t="shared" ca="1" si="22"/>
        <v>-118</v>
      </c>
      <c r="X103" s="5">
        <f t="shared" ca="1" si="23"/>
        <v>-268</v>
      </c>
      <c r="Z103" s="5" t="str">
        <f t="shared" ca="1" si="24"/>
        <v/>
      </c>
      <c r="AA103" s="5" t="str">
        <f t="shared" ca="1" si="25"/>
        <v/>
      </c>
      <c r="AB103" s="5" t="str">
        <f t="shared" ca="1" si="26"/>
        <v>X</v>
      </c>
      <c r="AC103" s="5" t="str">
        <f t="shared" ca="1" si="27"/>
        <v>X</v>
      </c>
      <c r="AD103" s="5"/>
      <c r="AE103" s="5" t="str">
        <f t="shared" si="28"/>
        <v/>
      </c>
      <c r="AF103" s="32"/>
      <c r="AG103">
        <f t="shared" ca="1" si="29"/>
        <v>8</v>
      </c>
      <c r="AH103">
        <f t="shared" ca="1" si="30"/>
        <v>11</v>
      </c>
      <c r="AI103">
        <f t="shared" ca="1" si="31"/>
        <v>32</v>
      </c>
      <c r="AJ103">
        <f t="shared" ca="1" si="32"/>
        <v>39</v>
      </c>
    </row>
    <row r="104" spans="2:36">
      <c r="B104" s="40">
        <f>+COUNTIFS(SOIs!$D:$D, 'Ratings by CLO'!$J104)</f>
        <v>1</v>
      </c>
      <c r="C104" s="40">
        <f>+COUNTIFS(SOIs!$G:$G, 'Ratings by CLO'!$J104)</f>
        <v>1</v>
      </c>
      <c r="D104" s="40">
        <f>+COUNTIFS(SOIs!$J:$J, 'Ratings by CLO'!$J104)</f>
        <v>0</v>
      </c>
      <c r="E104" s="40">
        <f>+COUNTIFS(SOIs!$M:$M, 'Ratings by CLO'!$J104)</f>
        <v>0</v>
      </c>
      <c r="F104" s="40">
        <f>+COUNTIFS(SOIs!$P:$P, 'Ratings by CLO'!$J104)</f>
        <v>0</v>
      </c>
      <c r="G104" s="40">
        <f>+COUNTIFS(SOIs!$S:$S, 'Ratings by CLO'!$J104)</f>
        <v>2</v>
      </c>
      <c r="H104" s="40">
        <f>+COUNTIFS(SOIs!$V:$V, 'Ratings by CLO'!$J104)</f>
        <v>1</v>
      </c>
      <c r="I104" s="38"/>
      <c r="J104" s="32" t="str">
        <f>+SOIs!X105</f>
        <v>Sparq</v>
      </c>
      <c r="K104" s="32"/>
      <c r="L104" s="28" t="str">
        <f>+IF(INDEX('Master Ratings'!$D:$D, MATCH('Ratings by CLO'!$J104,'Master Ratings'!$B:$B,0),0)=0,"",INDEX('Master Ratings'!$D:$D, MATCH('Ratings by CLO'!$J104,'Master Ratings'!$B:$B,0),0))</f>
        <v/>
      </c>
      <c r="M104" s="28" t="str">
        <f>+IF(INDEX('Master Ratings'!$E:$E, MATCH('Ratings by CLO'!$J104,'Master Ratings'!$B:$B,0),0)=0,"",INDEX('Master Ratings'!$E:$E, MATCH('Ratings by CLO'!$J104,'Master Ratings'!$B:$B,0),0))</f>
        <v/>
      </c>
      <c r="N104" s="28"/>
      <c r="O104" s="28" t="str">
        <f>+IF(INDEX('Master Ratings'!$G:$G, MATCH('Ratings by CLO'!$J104,'Master Ratings'!$B:$B,0),0)=0,"",INDEX('Master Ratings'!$G:$G, MATCH('Ratings by CLO'!$J104,'Master Ratings'!$B:$B,0),0))</f>
        <v>B-*</v>
      </c>
      <c r="P104" s="28" t="str">
        <f>+IF(INDEX('Master Ratings'!$H:$H, MATCH('Ratings by CLO'!$J104,'Master Ratings'!$B:$B,0),0)=0,"",INDEX('Master Ratings'!$H:$H, MATCH('Ratings by CLO'!$J104,'Master Ratings'!$B:$B,0),0))</f>
        <v>Credit Estimate</v>
      </c>
      <c r="Q104" s="8">
        <f>+IF(INDEX('Master Ratings'!$O:$O, MATCH('Ratings by CLO'!$J104,'Master Ratings'!$B:$B,0),0)=0,"",INDEX('Master Ratings'!$O:$O, MATCH('Ratings by CLO'!$J104,'Master Ratings'!$B:$B,0),0))</f>
        <v>45629</v>
      </c>
      <c r="R104" s="28"/>
      <c r="S104" s="28" t="str">
        <f>+IF(INDEX('Master Ratings'!$L:$L, MATCH('Ratings by CLO'!$J104,'Master Ratings'!$B:$B,0),0)=0,"",INDEX('Master Ratings'!$L:$L, MATCH('Ratings by CLO'!$J104,'Master Ratings'!$B:$B,0),0))</f>
        <v/>
      </c>
      <c r="T104" s="28" t="str">
        <f>+IF(INDEX('Master Ratings'!$M:$M, MATCH('Ratings by CLO'!$J104,'Master Ratings'!$B:$B,0),0)=0,"",INDEX('Master Ratings'!$M:$M, MATCH('Ratings by CLO'!$J104,'Master Ratings'!$B:$B,0),0))</f>
        <v/>
      </c>
      <c r="U104" s="8" t="str">
        <f>+IF(INDEX('Master Ratings'!$P:$P, MATCH('Ratings by CLO'!$J104,'Master Ratings'!$B:$B,0),0)=0,"",INDEX('Master Ratings'!$P:$P, MATCH('Ratings by CLO'!$J104,'Master Ratings'!$B:$B,0),0))</f>
        <v/>
      </c>
      <c r="W104" s="5">
        <f t="shared" ca="1" si="22"/>
        <v>30</v>
      </c>
      <c r="X104" s="5" t="str">
        <f t="shared" ca="1" si="23"/>
        <v/>
      </c>
      <c r="Z104" s="5" t="str">
        <f t="shared" ca="1" si="24"/>
        <v/>
      </c>
      <c r="AA104" s="5" t="str">
        <f t="shared" ca="1" si="25"/>
        <v/>
      </c>
      <c r="AB104" s="5" t="str">
        <f t="shared" ca="1" si="26"/>
        <v/>
      </c>
      <c r="AC104" s="5" t="str">
        <f t="shared" ca="1" si="27"/>
        <v/>
      </c>
      <c r="AD104" s="5"/>
      <c r="AE104" s="5" t="str">
        <f t="shared" si="28"/>
        <v/>
      </c>
      <c r="AF104" s="32"/>
      <c r="AG104">
        <f t="shared" ca="1" si="29"/>
        <v>8</v>
      </c>
      <c r="AH104">
        <f t="shared" ca="1" si="30"/>
        <v>11</v>
      </c>
      <c r="AI104">
        <f t="shared" ca="1" si="31"/>
        <v>32</v>
      </c>
      <c r="AJ104">
        <f t="shared" ca="1" si="32"/>
        <v>39</v>
      </c>
    </row>
    <row r="105" spans="2:36">
      <c r="B105" s="40">
        <f>+COUNTIFS(SOIs!$D:$D, 'Ratings by CLO'!$J105)</f>
        <v>0</v>
      </c>
      <c r="C105" s="40">
        <f>+COUNTIFS(SOIs!$G:$G, 'Ratings by CLO'!$J105)</f>
        <v>0</v>
      </c>
      <c r="D105" s="40">
        <f>+COUNTIFS(SOIs!$J:$J, 'Ratings by CLO'!$J105)</f>
        <v>0</v>
      </c>
      <c r="E105" s="40">
        <f>+COUNTIFS(SOIs!$M:$M, 'Ratings by CLO'!$J105)</f>
        <v>0</v>
      </c>
      <c r="F105" s="40">
        <f>+COUNTIFS(SOIs!$P:$P, 'Ratings by CLO'!$J105)</f>
        <v>0</v>
      </c>
      <c r="G105" s="40">
        <f>+COUNTIFS(SOIs!$S:$S, 'Ratings by CLO'!$J105)</f>
        <v>1</v>
      </c>
      <c r="H105" s="40">
        <f>+COUNTIFS(SOIs!$V:$V, 'Ratings by CLO'!$J105)</f>
        <v>1</v>
      </c>
      <c r="I105" s="38"/>
      <c r="J105" s="32" t="str">
        <f>+SOIs!X106</f>
        <v>SpendMend</v>
      </c>
      <c r="K105" s="32"/>
      <c r="L105" s="28" t="str">
        <f>+IF(INDEX('Master Ratings'!$D:$D, MATCH('Ratings by CLO'!$J105,'Master Ratings'!$B:$B,0),0)=0,"",INDEX('Master Ratings'!$D:$D, MATCH('Ratings by CLO'!$J105,'Master Ratings'!$B:$B,0),0))</f>
        <v/>
      </c>
      <c r="M105" s="28" t="str">
        <f>+IF(INDEX('Master Ratings'!$E:$E, MATCH('Ratings by CLO'!$J105,'Master Ratings'!$B:$B,0),0)=0,"",INDEX('Master Ratings'!$E:$E, MATCH('Ratings by CLO'!$J105,'Master Ratings'!$B:$B,0),0))</f>
        <v/>
      </c>
      <c r="N105" s="28"/>
      <c r="O105" s="28" t="str">
        <f>+IF(INDEX('Master Ratings'!$G:$G, MATCH('Ratings by CLO'!$J105,'Master Ratings'!$B:$B,0),0)=0,"",INDEX('Master Ratings'!$G:$G, MATCH('Ratings by CLO'!$J105,'Master Ratings'!$B:$B,0),0))</f>
        <v>B-*</v>
      </c>
      <c r="P105" s="28" t="str">
        <f>+IF(INDEX('Master Ratings'!$H:$H, MATCH('Ratings by CLO'!$J105,'Master Ratings'!$B:$B,0),0)=0,"",INDEX('Master Ratings'!$H:$H, MATCH('Ratings by CLO'!$J105,'Master Ratings'!$B:$B,0),0))</f>
        <v>Credit Estimate</v>
      </c>
      <c r="Q105" s="8">
        <f>+IF(INDEX('Master Ratings'!$O:$O, MATCH('Ratings by CLO'!$J105,'Master Ratings'!$B:$B,0),0)=0,"",INDEX('Master Ratings'!$O:$O, MATCH('Ratings by CLO'!$J105,'Master Ratings'!$B:$B,0),0))</f>
        <v>45649</v>
      </c>
      <c r="R105" s="28"/>
      <c r="S105" s="28" t="str">
        <f>+IF(INDEX('Master Ratings'!$L:$L, MATCH('Ratings by CLO'!$J105,'Master Ratings'!$B:$B,0),0)=0,"",INDEX('Master Ratings'!$L:$L, MATCH('Ratings by CLO'!$J105,'Master Ratings'!$B:$B,0),0))</f>
        <v/>
      </c>
      <c r="T105" s="28" t="str">
        <f>+IF(INDEX('Master Ratings'!$M:$M, MATCH('Ratings by CLO'!$J105,'Master Ratings'!$B:$B,0),0)=0,"",INDEX('Master Ratings'!$M:$M, MATCH('Ratings by CLO'!$J105,'Master Ratings'!$B:$B,0),0))</f>
        <v/>
      </c>
      <c r="U105" s="8" t="str">
        <f>+IF(INDEX('Master Ratings'!$P:$P, MATCH('Ratings by CLO'!$J105,'Master Ratings'!$B:$B,0),0)=0,"",INDEX('Master Ratings'!$P:$P, MATCH('Ratings by CLO'!$J105,'Master Ratings'!$B:$B,0),0))</f>
        <v/>
      </c>
      <c r="W105" s="5">
        <f t="shared" ca="1" si="22"/>
        <v>50</v>
      </c>
      <c r="X105" s="5" t="str">
        <f t="shared" ca="1" si="23"/>
        <v/>
      </c>
      <c r="Z105" s="5" t="str">
        <f t="shared" ca="1" si="24"/>
        <v/>
      </c>
      <c r="AA105" s="5" t="str">
        <f t="shared" ca="1" si="25"/>
        <v/>
      </c>
      <c r="AB105" s="5" t="str">
        <f t="shared" ca="1" si="26"/>
        <v/>
      </c>
      <c r="AC105" s="5" t="str">
        <f t="shared" ca="1" si="27"/>
        <v/>
      </c>
      <c r="AD105" s="5"/>
      <c r="AE105" s="5" t="str">
        <f t="shared" si="28"/>
        <v/>
      </c>
      <c r="AF105" s="32"/>
      <c r="AG105">
        <f t="shared" ca="1" si="29"/>
        <v>8</v>
      </c>
      <c r="AH105">
        <f t="shared" ca="1" si="30"/>
        <v>11</v>
      </c>
      <c r="AI105">
        <f t="shared" ca="1" si="31"/>
        <v>32</v>
      </c>
      <c r="AJ105">
        <f t="shared" ca="1" si="32"/>
        <v>39</v>
      </c>
    </row>
    <row r="106" spans="2:36">
      <c r="B106" s="40">
        <f>+COUNTIFS(SOIs!$D:$D, 'Ratings by CLO'!$J106)</f>
        <v>1</v>
      </c>
      <c r="C106" s="40">
        <f>+COUNTIFS(SOIs!$G:$G, 'Ratings by CLO'!$J106)</f>
        <v>0</v>
      </c>
      <c r="D106" s="40">
        <f>+COUNTIFS(SOIs!$J:$J, 'Ratings by CLO'!$J106)</f>
        <v>1</v>
      </c>
      <c r="E106" s="40">
        <f>+COUNTIFS(SOIs!$M:$M, 'Ratings by CLO'!$J106)</f>
        <v>0</v>
      </c>
      <c r="F106" s="40">
        <f>+COUNTIFS(SOIs!$P:$P, 'Ratings by CLO'!$J106)</f>
        <v>1</v>
      </c>
      <c r="G106" s="40">
        <f>+COUNTIFS(SOIs!$S:$S, 'Ratings by CLO'!$J106)</f>
        <v>1</v>
      </c>
      <c r="H106" s="40">
        <f>+COUNTIFS(SOIs!$V:$V, 'Ratings by CLO'!$J106)</f>
        <v>1</v>
      </c>
      <c r="I106" s="38"/>
      <c r="J106" s="32" t="str">
        <f>+SOIs!X107</f>
        <v>STG Logistics</v>
      </c>
      <c r="K106" s="32"/>
      <c r="L106" s="28" t="str">
        <f>+IF(INDEX('Master Ratings'!$D:$D, MATCH('Ratings by CLO'!$J106,'Master Ratings'!$B:$B,0),0)=0,"",INDEX('Master Ratings'!$D:$D, MATCH('Ratings by CLO'!$J106,'Master Ratings'!$B:$B,0),0))</f>
        <v/>
      </c>
      <c r="M106" s="28" t="str">
        <f>+IF(INDEX('Master Ratings'!$E:$E, MATCH('Ratings by CLO'!$J106,'Master Ratings'!$B:$B,0),0)=0,"",INDEX('Master Ratings'!$E:$E, MATCH('Ratings by CLO'!$J106,'Master Ratings'!$B:$B,0),0))</f>
        <v/>
      </c>
      <c r="N106" s="28"/>
      <c r="O106" s="28" t="str">
        <f>+IF(INDEX('Master Ratings'!$G:$G, MATCH('Ratings by CLO'!$J106,'Master Ratings'!$B:$B,0),0)=0,"",INDEX('Master Ratings'!$G:$G, MATCH('Ratings by CLO'!$J106,'Master Ratings'!$B:$B,0),0))</f>
        <v>D</v>
      </c>
      <c r="P106" s="28" t="str">
        <f>+IF(INDEX('Master Ratings'!$H:$H, MATCH('Ratings by CLO'!$J106,'Master Ratings'!$B:$B,0),0)=0,"",INDEX('Master Ratings'!$H:$H, MATCH('Ratings by CLO'!$J106,'Master Ratings'!$B:$B,0),0))</f>
        <v>Rating (Public)</v>
      </c>
      <c r="Q106" s="8" t="str">
        <f>+IF(INDEX('Master Ratings'!$O:$O, MATCH('Ratings by CLO'!$J106,'Master Ratings'!$B:$B,0),0)=0,"",INDEX('Master Ratings'!$O:$O, MATCH('Ratings by CLO'!$J106,'Master Ratings'!$B:$B,0),0))</f>
        <v/>
      </c>
      <c r="R106" s="28"/>
      <c r="S106" s="28" t="str">
        <f>+IF(INDEX('Master Ratings'!$L:$L, MATCH('Ratings by CLO'!$J106,'Master Ratings'!$B:$B,0),0)=0,"",INDEX('Master Ratings'!$L:$L, MATCH('Ratings by CLO'!$J106,'Master Ratings'!$B:$B,0),0))</f>
        <v xml:space="preserve">B </v>
      </c>
      <c r="T106" s="28" t="str">
        <f>+IF(INDEX('Master Ratings'!$M:$M, MATCH('Ratings by CLO'!$J106,'Master Ratings'!$B:$B,0),0)=0,"",INDEX('Master Ratings'!$M:$M, MATCH('Ratings by CLO'!$J106,'Master Ratings'!$B:$B,0),0))</f>
        <v>Rating (Public)</v>
      </c>
      <c r="U106" s="8" t="str">
        <f>+IF(INDEX('Master Ratings'!$P:$P, MATCH('Ratings by CLO'!$J106,'Master Ratings'!$B:$B,0),0)=0,"",INDEX('Master Ratings'!$P:$P, MATCH('Ratings by CLO'!$J106,'Master Ratings'!$B:$B,0),0))</f>
        <v/>
      </c>
      <c r="W106" s="5" t="str">
        <f t="shared" ca="1" si="22"/>
        <v/>
      </c>
      <c r="X106" s="5" t="str">
        <f t="shared" ca="1" si="23"/>
        <v/>
      </c>
      <c r="Z106" s="5" t="str">
        <f t="shared" ca="1" si="24"/>
        <v/>
      </c>
      <c r="AA106" s="5" t="str">
        <f t="shared" ca="1" si="25"/>
        <v/>
      </c>
      <c r="AB106" s="5" t="str">
        <f t="shared" ca="1" si="26"/>
        <v/>
      </c>
      <c r="AC106" s="5" t="str">
        <f t="shared" ca="1" si="27"/>
        <v/>
      </c>
      <c r="AD106" s="5"/>
      <c r="AE106" s="5" t="str">
        <f t="shared" si="28"/>
        <v/>
      </c>
      <c r="AF106" s="32"/>
      <c r="AG106">
        <f t="shared" ca="1" si="29"/>
        <v>8</v>
      </c>
      <c r="AH106">
        <f t="shared" ca="1" si="30"/>
        <v>11</v>
      </c>
      <c r="AI106">
        <f t="shared" ca="1" si="31"/>
        <v>32</v>
      </c>
      <c r="AJ106">
        <f t="shared" ca="1" si="32"/>
        <v>39</v>
      </c>
    </row>
    <row r="107" spans="2:36">
      <c r="B107" s="40">
        <f>+COUNTIFS(SOIs!$D:$D, 'Ratings by CLO'!$J107)</f>
        <v>3</v>
      </c>
      <c r="C107" s="40">
        <f>+COUNTIFS(SOIs!$G:$G, 'Ratings by CLO'!$J107)</f>
        <v>1</v>
      </c>
      <c r="D107" s="40">
        <f>+COUNTIFS(SOIs!$J:$J, 'Ratings by CLO'!$J107)</f>
        <v>0</v>
      </c>
      <c r="E107" s="40">
        <f>+COUNTIFS(SOIs!$M:$M, 'Ratings by CLO'!$J107)</f>
        <v>1</v>
      </c>
      <c r="F107" s="40">
        <f>+COUNTIFS(SOIs!$P:$P, 'Ratings by CLO'!$J107)</f>
        <v>1</v>
      </c>
      <c r="G107" s="40">
        <f>+COUNTIFS(SOIs!$S:$S, 'Ratings by CLO'!$J107)</f>
        <v>1</v>
      </c>
      <c r="H107" s="40">
        <f>+COUNTIFS(SOIs!$V:$V, 'Ratings by CLO'!$J107)</f>
        <v>1</v>
      </c>
      <c r="I107" s="38"/>
      <c r="J107" s="32" t="str">
        <f>+SOIs!X108</f>
        <v>StrataTech</v>
      </c>
      <c r="K107" s="32"/>
      <c r="L107" s="28" t="str">
        <f>+IF(INDEX('Master Ratings'!$D:$D, MATCH('Ratings by CLO'!$J107,'Master Ratings'!$B:$B,0),0)=0,"",INDEX('Master Ratings'!$D:$D, MATCH('Ratings by CLO'!$J107,'Master Ratings'!$B:$B,0),0))</f>
        <v/>
      </c>
      <c r="M107" s="28" t="str">
        <f>+IF(INDEX('Master Ratings'!$E:$E, MATCH('Ratings by CLO'!$J107,'Master Ratings'!$B:$B,0),0)=0,"",INDEX('Master Ratings'!$E:$E, MATCH('Ratings by CLO'!$J107,'Master Ratings'!$B:$B,0),0))</f>
        <v/>
      </c>
      <c r="N107" s="28"/>
      <c r="O107" s="28" t="str">
        <f>+IF(INDEX('Master Ratings'!$G:$G, MATCH('Ratings by CLO'!$J107,'Master Ratings'!$B:$B,0),0)=0,"",INDEX('Master Ratings'!$G:$G, MATCH('Ratings by CLO'!$J107,'Master Ratings'!$B:$B,0),0))</f>
        <v>B*</v>
      </c>
      <c r="P107" s="28" t="str">
        <f>+IF(INDEX('Master Ratings'!$H:$H, MATCH('Ratings by CLO'!$J107,'Master Ratings'!$B:$B,0),0)=0,"",INDEX('Master Ratings'!$H:$H, MATCH('Ratings by CLO'!$J107,'Master Ratings'!$B:$B,0),0))</f>
        <v>Credit Estimate</v>
      </c>
      <c r="Q107" s="8">
        <f>+IF(INDEX('Master Ratings'!$O:$O, MATCH('Ratings by CLO'!$J107,'Master Ratings'!$B:$B,0),0)=0,"",INDEX('Master Ratings'!$O:$O, MATCH('Ratings by CLO'!$J107,'Master Ratings'!$B:$B,0),0))</f>
        <v>45376</v>
      </c>
      <c r="R107" s="28"/>
      <c r="S107" s="28" t="str">
        <f>+IF(INDEX('Master Ratings'!$L:$L, MATCH('Ratings by CLO'!$J107,'Master Ratings'!$B:$B,0),0)=0,"",INDEX('Master Ratings'!$L:$L, MATCH('Ratings by CLO'!$J107,'Master Ratings'!$B:$B,0),0))</f>
        <v>B*</v>
      </c>
      <c r="T107" s="28" t="str">
        <f>+IF(INDEX('Master Ratings'!$M:$M, MATCH('Ratings by CLO'!$J107,'Master Ratings'!$B:$B,0),0)=0,"",INDEX('Master Ratings'!$M:$M, MATCH('Ratings by CLO'!$J107,'Master Ratings'!$B:$B,0),0))</f>
        <v>Credit Estimate</v>
      </c>
      <c r="U107" s="8">
        <f>+IF(INDEX('Master Ratings'!$P:$P, MATCH('Ratings by CLO'!$J107,'Master Ratings'!$B:$B,0),0)=0,"",INDEX('Master Ratings'!$P:$P, MATCH('Ratings by CLO'!$J107,'Master Ratings'!$B:$B,0),0))</f>
        <v>45303</v>
      </c>
      <c r="W107" s="5">
        <f t="shared" ca="1" si="22"/>
        <v>-223</v>
      </c>
      <c r="X107" s="5">
        <f t="shared" ca="1" si="23"/>
        <v>-296</v>
      </c>
      <c r="Z107" s="5" t="str">
        <f t="shared" ca="1" si="24"/>
        <v/>
      </c>
      <c r="AA107" s="5" t="str">
        <f t="shared" ca="1" si="25"/>
        <v/>
      </c>
      <c r="AB107" s="5" t="str">
        <f t="shared" ca="1" si="26"/>
        <v>X</v>
      </c>
      <c r="AC107" s="5" t="str">
        <f t="shared" ca="1" si="27"/>
        <v>X</v>
      </c>
      <c r="AD107" s="5"/>
      <c r="AE107" s="5" t="str">
        <f t="shared" si="28"/>
        <v/>
      </c>
      <c r="AF107" s="32"/>
      <c r="AG107">
        <f t="shared" ca="1" si="29"/>
        <v>8</v>
      </c>
      <c r="AH107">
        <f t="shared" ca="1" si="30"/>
        <v>11</v>
      </c>
      <c r="AI107">
        <f t="shared" ca="1" si="31"/>
        <v>33</v>
      </c>
      <c r="AJ107">
        <f t="shared" ca="1" si="32"/>
        <v>40</v>
      </c>
    </row>
    <row r="108" spans="2:36">
      <c r="B108" s="40">
        <f>+COUNTIFS(SOIs!$D:$D, 'Ratings by CLO'!$J108)</f>
        <v>3</v>
      </c>
      <c r="C108" s="40">
        <f>+COUNTIFS(SOIs!$G:$G, 'Ratings by CLO'!$J108)</f>
        <v>1</v>
      </c>
      <c r="D108" s="40">
        <f>+COUNTIFS(SOIs!$J:$J, 'Ratings by CLO'!$J108)</f>
        <v>0</v>
      </c>
      <c r="E108" s="40">
        <f>+COUNTIFS(SOIs!$M:$M, 'Ratings by CLO'!$J108)</f>
        <v>1</v>
      </c>
      <c r="F108" s="40">
        <f>+COUNTIFS(SOIs!$P:$P, 'Ratings by CLO'!$J108)</f>
        <v>0</v>
      </c>
      <c r="G108" s="40">
        <f>+COUNTIFS(SOIs!$S:$S, 'Ratings by CLO'!$J108)</f>
        <v>1</v>
      </c>
      <c r="H108" s="40">
        <f>+COUNTIFS(SOIs!$V:$V, 'Ratings by CLO'!$J108)</f>
        <v>1</v>
      </c>
      <c r="I108" s="38"/>
      <c r="J108" s="32" t="str">
        <f>+SOIs!X109</f>
        <v>STV Group</v>
      </c>
      <c r="K108" s="32"/>
      <c r="L108" s="28" t="str">
        <f>+IF(INDEX('Master Ratings'!$D:$D, MATCH('Ratings by CLO'!$J108,'Master Ratings'!$B:$B,0),0)=0,"",INDEX('Master Ratings'!$D:$D, MATCH('Ratings by CLO'!$J108,'Master Ratings'!$B:$B,0),0))</f>
        <v>B2</v>
      </c>
      <c r="M108" s="28" t="str">
        <f>+IF(INDEX('Master Ratings'!$E:$E, MATCH('Ratings by CLO'!$J108,'Master Ratings'!$B:$B,0),0)=0,"",INDEX('Master Ratings'!$E:$E, MATCH('Ratings by CLO'!$J108,'Master Ratings'!$B:$B,0),0))</f>
        <v>Rating (Public)</v>
      </c>
      <c r="N108" s="28"/>
      <c r="O108" s="28" t="str">
        <f>+IF(INDEX('Master Ratings'!$G:$G, MATCH('Ratings by CLO'!$J108,'Master Ratings'!$B:$B,0),0)=0,"",INDEX('Master Ratings'!$G:$G, MATCH('Ratings by CLO'!$J108,'Master Ratings'!$B:$B,0),0))</f>
        <v>B+</v>
      </c>
      <c r="P108" s="28" t="str">
        <f>+IF(INDEX('Master Ratings'!$H:$H, MATCH('Ratings by CLO'!$J108,'Master Ratings'!$B:$B,0),0)=0,"",INDEX('Master Ratings'!$H:$H, MATCH('Ratings by CLO'!$J108,'Master Ratings'!$B:$B,0),0))</f>
        <v>Rating (Public)</v>
      </c>
      <c r="Q108" s="8" t="str">
        <f>+IF(INDEX('Master Ratings'!$O:$O, MATCH('Ratings by CLO'!$J108,'Master Ratings'!$B:$B,0),0)=0,"",INDEX('Master Ratings'!$O:$O, MATCH('Ratings by CLO'!$J108,'Master Ratings'!$B:$B,0),0))</f>
        <v/>
      </c>
      <c r="R108" s="28"/>
      <c r="S108" s="28" t="str">
        <f>+IF(INDEX('Master Ratings'!$L:$L, MATCH('Ratings by CLO'!$J108,'Master Ratings'!$B:$B,0),0)=0,"",INDEX('Master Ratings'!$L:$L, MATCH('Ratings by CLO'!$J108,'Master Ratings'!$B:$B,0),0))</f>
        <v/>
      </c>
      <c r="T108" s="28" t="str">
        <f>+IF(INDEX('Master Ratings'!$M:$M, MATCH('Ratings by CLO'!$J108,'Master Ratings'!$B:$B,0),0)=0,"",INDEX('Master Ratings'!$M:$M, MATCH('Ratings by CLO'!$J108,'Master Ratings'!$B:$B,0),0))</f>
        <v/>
      </c>
      <c r="U108" s="8" t="str">
        <f>+IF(INDEX('Master Ratings'!$P:$P, MATCH('Ratings by CLO'!$J108,'Master Ratings'!$B:$B,0),0)=0,"",INDEX('Master Ratings'!$P:$P, MATCH('Ratings by CLO'!$J108,'Master Ratings'!$B:$B,0),0))</f>
        <v/>
      </c>
      <c r="W108" s="5" t="str">
        <f t="shared" ca="1" si="22"/>
        <v/>
      </c>
      <c r="X108" s="5" t="str">
        <f t="shared" ca="1" si="23"/>
        <v/>
      </c>
      <c r="Z108" s="5" t="str">
        <f t="shared" ca="1" si="24"/>
        <v/>
      </c>
      <c r="AA108" s="5" t="str">
        <f t="shared" ca="1" si="25"/>
        <v/>
      </c>
      <c r="AB108" s="5" t="str">
        <f t="shared" ca="1" si="26"/>
        <v/>
      </c>
      <c r="AC108" s="5" t="str">
        <f t="shared" ca="1" si="27"/>
        <v/>
      </c>
      <c r="AD108" s="5"/>
      <c r="AE108" s="5" t="str">
        <f t="shared" si="28"/>
        <v/>
      </c>
      <c r="AF108" s="32"/>
      <c r="AG108">
        <f t="shared" ca="1" si="29"/>
        <v>8</v>
      </c>
      <c r="AH108">
        <f t="shared" ca="1" si="30"/>
        <v>11</v>
      </c>
      <c r="AI108">
        <f t="shared" ca="1" si="31"/>
        <v>33</v>
      </c>
      <c r="AJ108">
        <f t="shared" ca="1" si="32"/>
        <v>40</v>
      </c>
    </row>
    <row r="109" spans="2:36">
      <c r="B109" s="40">
        <f>+COUNTIFS(SOIs!$D:$D, 'Ratings by CLO'!$J109)</f>
        <v>1</v>
      </c>
      <c r="C109" s="40">
        <f>+COUNTIFS(SOIs!$G:$G, 'Ratings by CLO'!$J109)</f>
        <v>0</v>
      </c>
      <c r="D109" s="40">
        <f>+COUNTIFS(SOIs!$J:$J, 'Ratings by CLO'!$J109)</f>
        <v>1</v>
      </c>
      <c r="E109" s="40">
        <f>+COUNTIFS(SOIs!$M:$M, 'Ratings by CLO'!$J109)</f>
        <v>0</v>
      </c>
      <c r="F109" s="40">
        <f>+COUNTIFS(SOIs!$P:$P, 'Ratings by CLO'!$J109)</f>
        <v>1</v>
      </c>
      <c r="G109" s="40">
        <f>+COUNTIFS(SOIs!$S:$S, 'Ratings by CLO'!$J109)</f>
        <v>0</v>
      </c>
      <c r="H109" s="40">
        <f>+COUNTIFS(SOIs!$V:$V, 'Ratings by CLO'!$J109)</f>
        <v>1</v>
      </c>
      <c r="I109" s="38"/>
      <c r="J109" s="32" t="str">
        <f>+SOIs!X110</f>
        <v>Summit Behavioral Healthcare</v>
      </c>
      <c r="K109" s="32"/>
      <c r="L109" s="28" t="str">
        <f>+IF(INDEX('Master Ratings'!$D:$D, MATCH('Ratings by CLO'!$J109,'Master Ratings'!$B:$B,0),0)=0,"",INDEX('Master Ratings'!$D:$D, MATCH('Ratings by CLO'!$J109,'Master Ratings'!$B:$B,0),0))</f>
        <v>B3</v>
      </c>
      <c r="M109" s="28" t="str">
        <f>+IF(INDEX('Master Ratings'!$E:$E, MATCH('Ratings by CLO'!$J109,'Master Ratings'!$B:$B,0),0)=0,"",INDEX('Master Ratings'!$E:$E, MATCH('Ratings by CLO'!$J109,'Master Ratings'!$B:$B,0),0))</f>
        <v>Rating (Public)</v>
      </c>
      <c r="N109" s="28"/>
      <c r="O109" s="28" t="str">
        <f>+IF(INDEX('Master Ratings'!$G:$G, MATCH('Ratings by CLO'!$J109,'Master Ratings'!$B:$B,0),0)=0,"",INDEX('Master Ratings'!$G:$G, MATCH('Ratings by CLO'!$J109,'Master Ratings'!$B:$B,0),0))</f>
        <v>B-</v>
      </c>
      <c r="P109" s="28" t="str">
        <f>+IF(INDEX('Master Ratings'!$H:$H, MATCH('Ratings by CLO'!$J109,'Master Ratings'!$B:$B,0),0)=0,"",INDEX('Master Ratings'!$H:$H, MATCH('Ratings by CLO'!$J109,'Master Ratings'!$B:$B,0),0))</f>
        <v>Rating (Public)</v>
      </c>
      <c r="Q109" s="8" t="str">
        <f>+IF(INDEX('Master Ratings'!$O:$O, MATCH('Ratings by CLO'!$J109,'Master Ratings'!$B:$B,0),0)=0,"",INDEX('Master Ratings'!$O:$O, MATCH('Ratings by CLO'!$J109,'Master Ratings'!$B:$B,0),0))</f>
        <v/>
      </c>
      <c r="R109" s="28"/>
      <c r="S109" s="28" t="str">
        <f>+IF(INDEX('Master Ratings'!$L:$L, MATCH('Ratings by CLO'!$J109,'Master Ratings'!$B:$B,0),0)=0,"",INDEX('Master Ratings'!$L:$L, MATCH('Ratings by CLO'!$J109,'Master Ratings'!$B:$B,0),0))</f>
        <v/>
      </c>
      <c r="T109" s="28" t="str">
        <f>+IF(INDEX('Master Ratings'!$M:$M, MATCH('Ratings by CLO'!$J109,'Master Ratings'!$B:$B,0),0)=0,"",INDEX('Master Ratings'!$M:$M, MATCH('Ratings by CLO'!$J109,'Master Ratings'!$B:$B,0),0))</f>
        <v/>
      </c>
      <c r="U109" s="8" t="str">
        <f>+IF(INDEX('Master Ratings'!$P:$P, MATCH('Ratings by CLO'!$J109,'Master Ratings'!$B:$B,0),0)=0,"",INDEX('Master Ratings'!$P:$P, MATCH('Ratings by CLO'!$J109,'Master Ratings'!$B:$B,0),0))</f>
        <v/>
      </c>
      <c r="W109" s="5" t="str">
        <f t="shared" ca="1" si="22"/>
        <v/>
      </c>
      <c r="X109" s="5" t="str">
        <f t="shared" ca="1" si="23"/>
        <v/>
      </c>
      <c r="Z109" s="5" t="str">
        <f t="shared" ca="1" si="24"/>
        <v/>
      </c>
      <c r="AA109" s="5" t="str">
        <f t="shared" ca="1" si="25"/>
        <v/>
      </c>
      <c r="AB109" s="5" t="str">
        <f t="shared" ca="1" si="26"/>
        <v/>
      </c>
      <c r="AC109" s="5" t="str">
        <f t="shared" ca="1" si="27"/>
        <v/>
      </c>
      <c r="AD109" s="5"/>
      <c r="AE109" s="5" t="str">
        <f t="shared" si="28"/>
        <v/>
      </c>
      <c r="AF109" s="32"/>
      <c r="AG109">
        <f t="shared" ca="1" si="29"/>
        <v>8</v>
      </c>
      <c r="AH109">
        <f t="shared" ca="1" si="30"/>
        <v>11</v>
      </c>
      <c r="AI109">
        <f t="shared" ca="1" si="31"/>
        <v>33</v>
      </c>
      <c r="AJ109">
        <f t="shared" ca="1" si="32"/>
        <v>40</v>
      </c>
    </row>
    <row r="110" spans="2:36">
      <c r="B110" s="40">
        <f>+COUNTIFS(SOIs!$D:$D, 'Ratings by CLO'!$J110)</f>
        <v>3</v>
      </c>
      <c r="C110" s="40">
        <f>+COUNTIFS(SOIs!$G:$G, 'Ratings by CLO'!$J110)</f>
        <v>1</v>
      </c>
      <c r="D110" s="40">
        <f>+COUNTIFS(SOIs!$J:$J, 'Ratings by CLO'!$J110)</f>
        <v>0</v>
      </c>
      <c r="E110" s="40">
        <f>+COUNTIFS(SOIs!$M:$M, 'Ratings by CLO'!$J110)</f>
        <v>1</v>
      </c>
      <c r="F110" s="40">
        <f>+COUNTIFS(SOIs!$P:$P, 'Ratings by CLO'!$J110)</f>
        <v>1</v>
      </c>
      <c r="G110" s="40">
        <f>+COUNTIFS(SOIs!$S:$S, 'Ratings by CLO'!$J110)</f>
        <v>1</v>
      </c>
      <c r="H110" s="40">
        <f>+COUNTIFS(SOIs!$V:$V, 'Ratings by CLO'!$J110)</f>
        <v>0</v>
      </c>
      <c r="I110" s="38"/>
      <c r="J110" s="32" t="str">
        <f>+SOIs!X111</f>
        <v>Targeted Pet Care</v>
      </c>
      <c r="K110" s="32"/>
      <c r="L110" s="28" t="str">
        <f>+IF(INDEX('Master Ratings'!$D:$D, MATCH('Ratings by CLO'!$J110,'Master Ratings'!$B:$B,0),0)=0,"",INDEX('Master Ratings'!$D:$D, MATCH('Ratings by CLO'!$J110,'Master Ratings'!$B:$B,0),0))</f>
        <v/>
      </c>
      <c r="M110" s="28" t="str">
        <f>+IF(INDEX('Master Ratings'!$E:$E, MATCH('Ratings by CLO'!$J110,'Master Ratings'!$B:$B,0),0)=0,"",INDEX('Master Ratings'!$E:$E, MATCH('Ratings by CLO'!$J110,'Master Ratings'!$B:$B,0),0))</f>
        <v/>
      </c>
      <c r="N110" s="28"/>
      <c r="O110" s="28" t="str">
        <f>+IF(INDEX('Master Ratings'!$G:$G, MATCH('Ratings by CLO'!$J110,'Master Ratings'!$B:$B,0),0)=0,"",INDEX('Master Ratings'!$G:$G, MATCH('Ratings by CLO'!$J110,'Master Ratings'!$B:$B,0),0))</f>
        <v>B-*</v>
      </c>
      <c r="P110" s="28" t="str">
        <f>+IF(INDEX('Master Ratings'!$H:$H, MATCH('Ratings by CLO'!$J110,'Master Ratings'!$B:$B,0),0)=0,"",INDEX('Master Ratings'!$H:$H, MATCH('Ratings by CLO'!$J110,'Master Ratings'!$B:$B,0),0))</f>
        <v>Credit Estimate</v>
      </c>
      <c r="Q110" s="8">
        <f>+IF(INDEX('Master Ratings'!$O:$O, MATCH('Ratings by CLO'!$J110,'Master Ratings'!$B:$B,0),0)=0,"",INDEX('Master Ratings'!$O:$O, MATCH('Ratings by CLO'!$J110,'Master Ratings'!$B:$B,0),0))</f>
        <v>45629</v>
      </c>
      <c r="R110" s="28"/>
      <c r="S110" s="28" t="str">
        <f>+IF(INDEX('Master Ratings'!$L:$L, MATCH('Ratings by CLO'!$J110,'Master Ratings'!$B:$B,0),0)=0,"",INDEX('Master Ratings'!$L:$L, MATCH('Ratings by CLO'!$J110,'Master Ratings'!$B:$B,0),0))</f>
        <v>B-*</v>
      </c>
      <c r="T110" s="28" t="str">
        <f>+IF(INDEX('Master Ratings'!$M:$M, MATCH('Ratings by CLO'!$J110,'Master Ratings'!$B:$B,0),0)=0,"",INDEX('Master Ratings'!$M:$M, MATCH('Ratings by CLO'!$J110,'Master Ratings'!$B:$B,0),0))</f>
        <v>Credit Estimate</v>
      </c>
      <c r="U110" s="8" t="str">
        <f>+IF(INDEX('Master Ratings'!$P:$P, MATCH('Ratings by CLO'!$J110,'Master Ratings'!$B:$B,0),0)=0,"",INDEX('Master Ratings'!$P:$P, MATCH('Ratings by CLO'!$J110,'Master Ratings'!$B:$B,0),0))</f>
        <v>1.26.2024</v>
      </c>
      <c r="W110" s="5">
        <f t="shared" ca="1" si="22"/>
        <v>30</v>
      </c>
      <c r="X110" s="5" t="e">
        <f t="shared" ca="1" si="23"/>
        <v>#VALUE!</v>
      </c>
      <c r="Z110" s="5" t="str">
        <f t="shared" ca="1" si="24"/>
        <v/>
      </c>
      <c r="AA110" s="5" t="str">
        <f t="shared" ca="1" si="25"/>
        <v>X</v>
      </c>
      <c r="AB110" s="5" t="str">
        <f t="shared" ca="1" si="26"/>
        <v/>
      </c>
      <c r="AC110" s="5" t="str">
        <f t="shared" ca="1" si="27"/>
        <v/>
      </c>
      <c r="AD110" s="5"/>
      <c r="AE110" s="5" t="str">
        <f t="shared" si="28"/>
        <v/>
      </c>
      <c r="AF110" s="32"/>
      <c r="AG110">
        <f t="shared" ca="1" si="29"/>
        <v>8</v>
      </c>
      <c r="AH110">
        <f t="shared" ca="1" si="30"/>
        <v>12</v>
      </c>
      <c r="AI110">
        <f t="shared" ca="1" si="31"/>
        <v>33</v>
      </c>
      <c r="AJ110">
        <f t="shared" ca="1" si="32"/>
        <v>40</v>
      </c>
    </row>
    <row r="111" spans="2:36">
      <c r="B111" s="40">
        <f>+COUNTIFS(SOIs!$D:$D, 'Ratings by CLO'!$J111)</f>
        <v>3</v>
      </c>
      <c r="C111" s="40">
        <f>+COUNTIFS(SOIs!$G:$G, 'Ratings by CLO'!$J111)</f>
        <v>1</v>
      </c>
      <c r="D111" s="40">
        <f>+COUNTIFS(SOIs!$J:$J, 'Ratings by CLO'!$J111)</f>
        <v>2</v>
      </c>
      <c r="E111" s="40">
        <f>+COUNTIFS(SOIs!$M:$M, 'Ratings by CLO'!$J111)</f>
        <v>0</v>
      </c>
      <c r="F111" s="40">
        <f>+COUNTIFS(SOIs!$P:$P, 'Ratings by CLO'!$J111)</f>
        <v>1</v>
      </c>
      <c r="G111" s="40">
        <f>+COUNTIFS(SOIs!$S:$S, 'Ratings by CLO'!$J111)</f>
        <v>0</v>
      </c>
      <c r="H111" s="40">
        <f>+COUNTIFS(SOIs!$V:$V, 'Ratings by CLO'!$J111)</f>
        <v>1</v>
      </c>
      <c r="I111" s="38"/>
      <c r="J111" s="32" t="str">
        <f>+SOIs!X112</f>
        <v>TEAM Services Group</v>
      </c>
      <c r="K111" s="32"/>
      <c r="L111" s="28" t="str">
        <f>+IF(INDEX('Master Ratings'!$D:$D, MATCH('Ratings by CLO'!$J111,'Master Ratings'!$B:$B,0),0)=0,"",INDEX('Master Ratings'!$D:$D, MATCH('Ratings by CLO'!$J111,'Master Ratings'!$B:$B,0),0))</f>
        <v>B3</v>
      </c>
      <c r="M111" s="28" t="str">
        <f>+IF(INDEX('Master Ratings'!$E:$E, MATCH('Ratings by CLO'!$J111,'Master Ratings'!$B:$B,0),0)=0,"",INDEX('Master Ratings'!$E:$E, MATCH('Ratings by CLO'!$J111,'Master Ratings'!$B:$B,0),0))</f>
        <v>Rating (Public)</v>
      </c>
      <c r="N111" s="28"/>
      <c r="O111" s="28" t="str">
        <f>+IF(INDEX('Master Ratings'!$G:$G, MATCH('Ratings by CLO'!$J111,'Master Ratings'!$B:$B,0),0)=0,"",INDEX('Master Ratings'!$G:$G, MATCH('Ratings by CLO'!$J111,'Master Ratings'!$B:$B,0),0))</f>
        <v>B-</v>
      </c>
      <c r="P111" s="28" t="str">
        <f>+IF(INDEX('Master Ratings'!$H:$H, MATCH('Ratings by CLO'!$J111,'Master Ratings'!$B:$B,0),0)=0,"",INDEX('Master Ratings'!$H:$H, MATCH('Ratings by CLO'!$J111,'Master Ratings'!$B:$B,0),0))</f>
        <v>Rating (Public)</v>
      </c>
      <c r="Q111" s="8" t="str">
        <f>+IF(INDEX('Master Ratings'!$O:$O, MATCH('Ratings by CLO'!$J111,'Master Ratings'!$B:$B,0),0)=0,"",INDEX('Master Ratings'!$O:$O, MATCH('Ratings by CLO'!$J111,'Master Ratings'!$B:$B,0),0))</f>
        <v/>
      </c>
      <c r="R111" s="28"/>
      <c r="S111" s="28" t="str">
        <f>+IF(INDEX('Master Ratings'!$L:$L, MATCH('Ratings by CLO'!$J111,'Master Ratings'!$B:$B,0),0)=0,"",INDEX('Master Ratings'!$L:$L, MATCH('Ratings by CLO'!$J111,'Master Ratings'!$B:$B,0),0))</f>
        <v/>
      </c>
      <c r="T111" s="28" t="str">
        <f>+IF(INDEX('Master Ratings'!$M:$M, MATCH('Ratings by CLO'!$J111,'Master Ratings'!$B:$B,0),0)=0,"",INDEX('Master Ratings'!$M:$M, MATCH('Ratings by CLO'!$J111,'Master Ratings'!$B:$B,0),0))</f>
        <v/>
      </c>
      <c r="U111" s="8" t="str">
        <f>+IF(INDEX('Master Ratings'!$P:$P, MATCH('Ratings by CLO'!$J111,'Master Ratings'!$B:$B,0),0)=0,"",INDEX('Master Ratings'!$P:$P, MATCH('Ratings by CLO'!$J111,'Master Ratings'!$B:$B,0),0))</f>
        <v/>
      </c>
      <c r="W111" s="5" t="str">
        <f t="shared" ca="1" si="22"/>
        <v/>
      </c>
      <c r="X111" s="5" t="str">
        <f t="shared" ca="1" si="23"/>
        <v/>
      </c>
      <c r="Z111" s="5" t="str">
        <f t="shared" ca="1" si="24"/>
        <v/>
      </c>
      <c r="AA111" s="5" t="str">
        <f t="shared" ca="1" si="25"/>
        <v/>
      </c>
      <c r="AB111" s="5" t="str">
        <f t="shared" ca="1" si="26"/>
        <v/>
      </c>
      <c r="AC111" s="5" t="str">
        <f t="shared" ca="1" si="27"/>
        <v/>
      </c>
      <c r="AD111" s="5"/>
      <c r="AE111" s="5" t="str">
        <f t="shared" si="28"/>
        <v/>
      </c>
      <c r="AF111" s="32"/>
      <c r="AG111">
        <f t="shared" ca="1" si="29"/>
        <v>8</v>
      </c>
      <c r="AH111">
        <f t="shared" ca="1" si="30"/>
        <v>12</v>
      </c>
      <c r="AI111">
        <f t="shared" ca="1" si="31"/>
        <v>33</v>
      </c>
      <c r="AJ111">
        <f t="shared" ca="1" si="32"/>
        <v>40</v>
      </c>
    </row>
    <row r="112" spans="2:36">
      <c r="B112" s="40">
        <f>+COUNTIFS(SOIs!$D:$D, 'Ratings by CLO'!$J112)</f>
        <v>4</v>
      </c>
      <c r="C112" s="40">
        <f>+COUNTIFS(SOIs!$G:$G, 'Ratings by CLO'!$J112)</f>
        <v>1</v>
      </c>
      <c r="D112" s="40">
        <f>+COUNTIFS(SOIs!$J:$J, 'Ratings by CLO'!$J112)</f>
        <v>1</v>
      </c>
      <c r="E112" s="40">
        <f>+COUNTIFS(SOIs!$M:$M, 'Ratings by CLO'!$J112)</f>
        <v>1</v>
      </c>
      <c r="F112" s="40">
        <f>+COUNTIFS(SOIs!$P:$P, 'Ratings by CLO'!$J112)</f>
        <v>1</v>
      </c>
      <c r="G112" s="40">
        <f>+COUNTIFS(SOIs!$S:$S, 'Ratings by CLO'!$J112)</f>
        <v>0</v>
      </c>
      <c r="H112" s="40">
        <f>+COUNTIFS(SOIs!$V:$V, 'Ratings by CLO'!$J112)</f>
        <v>0</v>
      </c>
      <c r="I112" s="38"/>
      <c r="J112" s="32" t="str">
        <f>+SOIs!X113</f>
        <v>Teneo</v>
      </c>
      <c r="K112" s="32"/>
      <c r="L112" s="28" t="str">
        <f>+IF(INDEX('Master Ratings'!$D:$D, MATCH('Ratings by CLO'!$J112,'Master Ratings'!$B:$B,0),0)=0,"",INDEX('Master Ratings'!$D:$D, MATCH('Ratings by CLO'!$J112,'Master Ratings'!$B:$B,0),0))</f>
        <v>B2</v>
      </c>
      <c r="M112" s="28" t="str">
        <f>+IF(INDEX('Master Ratings'!$E:$E, MATCH('Ratings by CLO'!$J112,'Master Ratings'!$B:$B,0),0)=0,"",INDEX('Master Ratings'!$E:$E, MATCH('Ratings by CLO'!$J112,'Master Ratings'!$B:$B,0),0))</f>
        <v>Rating (Public)</v>
      </c>
      <c r="N112" s="28"/>
      <c r="O112" s="28" t="str">
        <f>+IF(INDEX('Master Ratings'!$G:$G, MATCH('Ratings by CLO'!$J112,'Master Ratings'!$B:$B,0),0)=0,"",INDEX('Master Ratings'!$G:$G, MATCH('Ratings by CLO'!$J112,'Master Ratings'!$B:$B,0),0))</f>
        <v>B</v>
      </c>
      <c r="P112" s="28" t="str">
        <f>+IF(INDEX('Master Ratings'!$H:$H, MATCH('Ratings by CLO'!$J112,'Master Ratings'!$B:$B,0),0)=0,"",INDEX('Master Ratings'!$H:$H, MATCH('Ratings by CLO'!$J112,'Master Ratings'!$B:$B,0),0))</f>
        <v>Rating (Public)</v>
      </c>
      <c r="Q112" s="8" t="str">
        <f>+IF(INDEX('Master Ratings'!$O:$O, MATCH('Ratings by CLO'!$J112,'Master Ratings'!$B:$B,0),0)=0,"",INDEX('Master Ratings'!$O:$O, MATCH('Ratings by CLO'!$J112,'Master Ratings'!$B:$B,0),0))</f>
        <v/>
      </c>
      <c r="R112" s="28"/>
      <c r="S112" s="28" t="str">
        <f>+IF(INDEX('Master Ratings'!$L:$L, MATCH('Ratings by CLO'!$J112,'Master Ratings'!$B:$B,0),0)=0,"",INDEX('Master Ratings'!$L:$L, MATCH('Ratings by CLO'!$J112,'Master Ratings'!$B:$B,0),0))</f>
        <v/>
      </c>
      <c r="T112" s="28" t="str">
        <f>+IF(INDEX('Master Ratings'!$M:$M, MATCH('Ratings by CLO'!$J112,'Master Ratings'!$B:$B,0),0)=0,"",INDEX('Master Ratings'!$M:$M, MATCH('Ratings by CLO'!$J112,'Master Ratings'!$B:$B,0),0))</f>
        <v/>
      </c>
      <c r="U112" s="8" t="str">
        <f>+IF(INDEX('Master Ratings'!$P:$P, MATCH('Ratings by CLO'!$J112,'Master Ratings'!$B:$B,0),0)=0,"",INDEX('Master Ratings'!$P:$P, MATCH('Ratings by CLO'!$J112,'Master Ratings'!$B:$B,0),0))</f>
        <v/>
      </c>
      <c r="W112" s="5" t="str">
        <f t="shared" ca="1" si="22"/>
        <v/>
      </c>
      <c r="X112" s="5" t="str">
        <f t="shared" ca="1" si="23"/>
        <v/>
      </c>
      <c r="Z112" s="5" t="str">
        <f t="shared" ca="1" si="24"/>
        <v/>
      </c>
      <c r="AA112" s="5" t="str">
        <f t="shared" ca="1" si="25"/>
        <v/>
      </c>
      <c r="AB112" s="5" t="str">
        <f t="shared" ca="1" si="26"/>
        <v/>
      </c>
      <c r="AC112" s="5" t="str">
        <f t="shared" ca="1" si="27"/>
        <v/>
      </c>
      <c r="AD112" s="5"/>
      <c r="AE112" s="5" t="str">
        <f t="shared" si="28"/>
        <v/>
      </c>
      <c r="AF112" s="32"/>
      <c r="AG112">
        <f t="shared" ca="1" si="29"/>
        <v>8</v>
      </c>
      <c r="AH112">
        <f t="shared" ca="1" si="30"/>
        <v>12</v>
      </c>
      <c r="AI112">
        <f t="shared" ca="1" si="31"/>
        <v>33</v>
      </c>
      <c r="AJ112">
        <f t="shared" ca="1" si="32"/>
        <v>40</v>
      </c>
    </row>
    <row r="113" spans="2:36">
      <c r="B113" s="40">
        <f>+COUNTIFS(SOIs!$D:$D, 'Ratings by CLO'!$J113)</f>
        <v>3</v>
      </c>
      <c r="C113" s="40">
        <f>+COUNTIFS(SOIs!$G:$G, 'Ratings by CLO'!$J113)</f>
        <v>0</v>
      </c>
      <c r="D113" s="40">
        <f>+COUNTIFS(SOIs!$J:$J, 'Ratings by CLO'!$J113)</f>
        <v>1</v>
      </c>
      <c r="E113" s="40">
        <f>+COUNTIFS(SOIs!$M:$M, 'Ratings by CLO'!$J113)</f>
        <v>1</v>
      </c>
      <c r="F113" s="40">
        <f>+COUNTIFS(SOIs!$P:$P, 'Ratings by CLO'!$J113)</f>
        <v>1</v>
      </c>
      <c r="G113" s="40">
        <f>+COUNTIFS(SOIs!$S:$S, 'Ratings by CLO'!$J113)</f>
        <v>1</v>
      </c>
      <c r="H113" s="40">
        <f>+COUNTIFS(SOIs!$V:$V, 'Ratings by CLO'!$J113)</f>
        <v>1</v>
      </c>
      <c r="I113" s="38"/>
      <c r="J113" s="32" t="str">
        <f>+SOIs!X114</f>
        <v>The Duraco Group</v>
      </c>
      <c r="K113" s="32"/>
      <c r="L113" s="28" t="str">
        <f>+IF(INDEX('Master Ratings'!$D:$D, MATCH('Ratings by CLO'!$J113,'Master Ratings'!$B:$B,0),0)=0,"",INDEX('Master Ratings'!$D:$D, MATCH('Ratings by CLO'!$J113,'Master Ratings'!$B:$B,0),0))</f>
        <v/>
      </c>
      <c r="M113" s="28" t="str">
        <f>+IF(INDEX('Master Ratings'!$E:$E, MATCH('Ratings by CLO'!$J113,'Master Ratings'!$B:$B,0),0)=0,"",INDEX('Master Ratings'!$E:$E, MATCH('Ratings by CLO'!$J113,'Master Ratings'!$B:$B,0),0))</f>
        <v/>
      </c>
      <c r="N113" s="28"/>
      <c r="O113" s="28" t="str">
        <f>+IF(INDEX('Master Ratings'!$G:$G, MATCH('Ratings by CLO'!$J113,'Master Ratings'!$B:$B,0),0)=0,"",INDEX('Master Ratings'!$G:$G, MATCH('Ratings by CLO'!$J113,'Master Ratings'!$B:$B,0),0))</f>
        <v>B-*</v>
      </c>
      <c r="P113" s="28" t="str">
        <f>+IF(INDEX('Master Ratings'!$H:$H, MATCH('Ratings by CLO'!$J113,'Master Ratings'!$B:$B,0),0)=0,"",INDEX('Master Ratings'!$H:$H, MATCH('Ratings by CLO'!$J113,'Master Ratings'!$B:$B,0),0))</f>
        <v>Credit Estimate</v>
      </c>
      <c r="Q113" s="8">
        <f>+IF(INDEX('Master Ratings'!$O:$O, MATCH('Ratings by CLO'!$J113,'Master Ratings'!$B:$B,0),0)=0,"",INDEX('Master Ratings'!$O:$O, MATCH('Ratings by CLO'!$J113,'Master Ratings'!$B:$B,0),0))</f>
        <v>45016</v>
      </c>
      <c r="R113" s="28"/>
      <c r="S113" s="28" t="str">
        <f>+IF(INDEX('Master Ratings'!$L:$L, MATCH('Ratings by CLO'!$J113,'Master Ratings'!$B:$B,0),0)=0,"",INDEX('Master Ratings'!$L:$L, MATCH('Ratings by CLO'!$J113,'Master Ratings'!$B:$B,0),0))</f>
        <v>B-*</v>
      </c>
      <c r="T113" s="28" t="str">
        <f>+IF(INDEX('Master Ratings'!$M:$M, MATCH('Ratings by CLO'!$J113,'Master Ratings'!$B:$B,0),0)=0,"",INDEX('Master Ratings'!$M:$M, MATCH('Ratings by CLO'!$J113,'Master Ratings'!$B:$B,0),0))</f>
        <v>Credit Estimate</v>
      </c>
      <c r="U113" s="8">
        <f>+IF(INDEX('Master Ratings'!$P:$P, MATCH('Ratings by CLO'!$J113,'Master Ratings'!$B:$B,0),0)=0,"",INDEX('Master Ratings'!$P:$P, MATCH('Ratings by CLO'!$J113,'Master Ratings'!$B:$B,0),0))</f>
        <v>45198</v>
      </c>
      <c r="W113" s="5">
        <f t="shared" ca="1" si="22"/>
        <v>-583</v>
      </c>
      <c r="X113" s="5">
        <f t="shared" ca="1" si="23"/>
        <v>-401</v>
      </c>
      <c r="Z113" s="5" t="str">
        <f t="shared" ca="1" si="24"/>
        <v/>
      </c>
      <c r="AA113" s="5" t="str">
        <f t="shared" ca="1" si="25"/>
        <v/>
      </c>
      <c r="AB113" s="5" t="str">
        <f t="shared" ca="1" si="26"/>
        <v>X</v>
      </c>
      <c r="AC113" s="5" t="str">
        <f t="shared" ca="1" si="27"/>
        <v>X</v>
      </c>
      <c r="AD113" s="5"/>
      <c r="AE113" s="5" t="str">
        <f t="shared" si="28"/>
        <v/>
      </c>
      <c r="AF113" s="32"/>
      <c r="AG113">
        <f t="shared" ca="1" si="29"/>
        <v>8</v>
      </c>
      <c r="AH113">
        <f t="shared" ca="1" si="30"/>
        <v>12</v>
      </c>
      <c r="AI113">
        <f t="shared" ca="1" si="31"/>
        <v>34</v>
      </c>
      <c r="AJ113">
        <f t="shared" ca="1" si="32"/>
        <v>41</v>
      </c>
    </row>
    <row r="114" spans="2:36">
      <c r="B114" s="40">
        <f>+COUNTIFS(SOIs!$D:$D, 'Ratings by CLO'!$J114)</f>
        <v>1</v>
      </c>
      <c r="C114" s="40">
        <f>+COUNTIFS(SOIs!$G:$G, 'Ratings by CLO'!$J114)</f>
        <v>0</v>
      </c>
      <c r="D114" s="40">
        <f>+COUNTIFS(SOIs!$J:$J, 'Ratings by CLO'!$J114)</f>
        <v>1</v>
      </c>
      <c r="E114" s="40">
        <f>+COUNTIFS(SOIs!$M:$M, 'Ratings by CLO'!$J114)</f>
        <v>0</v>
      </c>
      <c r="F114" s="40">
        <f>+COUNTIFS(SOIs!$P:$P, 'Ratings by CLO'!$J114)</f>
        <v>1</v>
      </c>
      <c r="G114" s="40">
        <f>+COUNTIFS(SOIs!$S:$S, 'Ratings by CLO'!$J114)</f>
        <v>0</v>
      </c>
      <c r="H114" s="40">
        <f>+COUNTIFS(SOIs!$V:$V, 'Ratings by CLO'!$J114)</f>
        <v>0</v>
      </c>
      <c r="I114" s="38"/>
      <c r="J114" s="32" t="str">
        <f>+SOIs!X115</f>
        <v>TVC</v>
      </c>
      <c r="K114" s="32"/>
      <c r="L114" s="28" t="e">
        <f>+IF(INDEX('Master Ratings'!$D:$D, MATCH('Ratings by CLO'!$J114,'Master Ratings'!$B:$B,0),0)=0,"",INDEX('Master Ratings'!$D:$D, MATCH('Ratings by CLO'!$J114,'Master Ratings'!$B:$B,0),0))</f>
        <v>#N/A</v>
      </c>
      <c r="M114" s="28" t="e">
        <f>+IF(INDEX('Master Ratings'!$E:$E, MATCH('Ratings by CLO'!$J114,'Master Ratings'!$B:$B,0),0)=0,"",INDEX('Master Ratings'!$E:$E, MATCH('Ratings by CLO'!$J114,'Master Ratings'!$B:$B,0),0))</f>
        <v>#N/A</v>
      </c>
      <c r="N114" s="28"/>
      <c r="O114" s="28" t="e">
        <f>+IF(INDEX('Master Ratings'!$G:$G, MATCH('Ratings by CLO'!$J114,'Master Ratings'!$B:$B,0),0)=0,"",INDEX('Master Ratings'!$G:$G, MATCH('Ratings by CLO'!$J114,'Master Ratings'!$B:$B,0),0))</f>
        <v>#N/A</v>
      </c>
      <c r="P114" s="28" t="e">
        <f>+IF(INDEX('Master Ratings'!$H:$H, MATCH('Ratings by CLO'!$J114,'Master Ratings'!$B:$B,0),0)=0,"",INDEX('Master Ratings'!$H:$H, MATCH('Ratings by CLO'!$J114,'Master Ratings'!$B:$B,0),0))</f>
        <v>#N/A</v>
      </c>
      <c r="Q114" s="8" t="e">
        <f>+IF(INDEX('Master Ratings'!$O:$O, MATCH('Ratings by CLO'!$J114,'Master Ratings'!$B:$B,0),0)=0,"",INDEX('Master Ratings'!$O:$O, MATCH('Ratings by CLO'!$J114,'Master Ratings'!$B:$B,0),0))</f>
        <v>#N/A</v>
      </c>
      <c r="R114" s="28"/>
      <c r="S114" s="28" t="e">
        <f>+IF(INDEX('Master Ratings'!$L:$L, MATCH('Ratings by CLO'!$J114,'Master Ratings'!$B:$B,0),0)=0,"",INDEX('Master Ratings'!$L:$L, MATCH('Ratings by CLO'!$J114,'Master Ratings'!$B:$B,0),0))</f>
        <v>#N/A</v>
      </c>
      <c r="T114" s="28" t="e">
        <f>+IF(INDEX('Master Ratings'!$M:$M, MATCH('Ratings by CLO'!$J114,'Master Ratings'!$B:$B,0),0)=0,"",INDEX('Master Ratings'!$M:$M, MATCH('Ratings by CLO'!$J114,'Master Ratings'!$B:$B,0),0))</f>
        <v>#N/A</v>
      </c>
      <c r="U114" s="8" t="e">
        <f>+IF(INDEX('Master Ratings'!$P:$P, MATCH('Ratings by CLO'!$J114,'Master Ratings'!$B:$B,0),0)=0,"",INDEX('Master Ratings'!$P:$P, MATCH('Ratings by CLO'!$J114,'Master Ratings'!$B:$B,0),0))</f>
        <v>#N/A</v>
      </c>
      <c r="W114" s="5" t="e">
        <f t="shared" ca="1" si="22"/>
        <v>#N/A</v>
      </c>
      <c r="X114" s="5" t="e">
        <f t="shared" ca="1" si="23"/>
        <v>#N/A</v>
      </c>
      <c r="Z114" s="5" t="str">
        <f t="shared" ca="1" si="24"/>
        <v>X</v>
      </c>
      <c r="AA114" s="5" t="str">
        <f t="shared" ca="1" si="25"/>
        <v/>
      </c>
      <c r="AB114" s="5" t="str">
        <f t="shared" ca="1" si="26"/>
        <v/>
      </c>
      <c r="AC114" s="5" t="str">
        <f t="shared" ca="1" si="27"/>
        <v/>
      </c>
      <c r="AD114" s="5"/>
      <c r="AE114" s="5" t="str">
        <f t="shared" si="28"/>
        <v/>
      </c>
      <c r="AF114" s="32"/>
      <c r="AG114">
        <f t="shared" ca="1" si="29"/>
        <v>9</v>
      </c>
      <c r="AH114">
        <f t="shared" ca="1" si="30"/>
        <v>12</v>
      </c>
      <c r="AI114">
        <f t="shared" ca="1" si="31"/>
        <v>34</v>
      </c>
      <c r="AJ114">
        <f t="shared" ca="1" si="32"/>
        <v>41</v>
      </c>
    </row>
    <row r="115" spans="2:36">
      <c r="B115" s="40">
        <f>+COUNTIFS(SOIs!$D:$D, 'Ratings by CLO'!$J115)</f>
        <v>4</v>
      </c>
      <c r="C115" s="40">
        <f>+COUNTIFS(SOIs!$G:$G, 'Ratings by CLO'!$J115)</f>
        <v>1</v>
      </c>
      <c r="D115" s="40">
        <f>+COUNTIFS(SOIs!$J:$J, 'Ratings by CLO'!$J115)</f>
        <v>1</v>
      </c>
      <c r="E115" s="40">
        <f>+COUNTIFS(SOIs!$M:$M, 'Ratings by CLO'!$J115)</f>
        <v>1</v>
      </c>
      <c r="F115" s="40">
        <f>+COUNTIFS(SOIs!$P:$P, 'Ratings by CLO'!$J115)</f>
        <v>1</v>
      </c>
      <c r="G115" s="40">
        <f>+COUNTIFS(SOIs!$S:$S, 'Ratings by CLO'!$J115)</f>
        <v>1</v>
      </c>
      <c r="H115" s="40">
        <f>+COUNTIFS(SOIs!$V:$V, 'Ratings by CLO'!$J115)</f>
        <v>0</v>
      </c>
      <c r="I115" s="38"/>
      <c r="J115" s="32" t="str">
        <f>+SOIs!X116</f>
        <v>Tyto Athene</v>
      </c>
      <c r="K115" s="32"/>
      <c r="L115" s="28" t="str">
        <f>+IF(INDEX('Master Ratings'!$D:$D, MATCH('Ratings by CLO'!$J115,'Master Ratings'!$B:$B,0),0)=0,"",INDEX('Master Ratings'!$D:$D, MATCH('Ratings by CLO'!$J115,'Master Ratings'!$B:$B,0),0))</f>
        <v/>
      </c>
      <c r="M115" s="28" t="str">
        <f>+IF(INDEX('Master Ratings'!$E:$E, MATCH('Ratings by CLO'!$J115,'Master Ratings'!$B:$B,0),0)=0,"",INDEX('Master Ratings'!$E:$E, MATCH('Ratings by CLO'!$J115,'Master Ratings'!$B:$B,0),0))</f>
        <v/>
      </c>
      <c r="N115" s="28"/>
      <c r="O115" s="28" t="str">
        <f>+IF(INDEX('Master Ratings'!$G:$G, MATCH('Ratings by CLO'!$J115,'Master Ratings'!$B:$B,0),0)=0,"",INDEX('Master Ratings'!$G:$G, MATCH('Ratings by CLO'!$J115,'Master Ratings'!$B:$B,0),0))</f>
        <v>B-*</v>
      </c>
      <c r="P115" s="28" t="str">
        <f>+IF(INDEX('Master Ratings'!$H:$H, MATCH('Ratings by CLO'!$J115,'Master Ratings'!$B:$B,0),0)=0,"",INDEX('Master Ratings'!$H:$H, MATCH('Ratings by CLO'!$J115,'Master Ratings'!$B:$B,0),0))</f>
        <v>Credit Estimate</v>
      </c>
      <c r="Q115" s="8">
        <f>+IF(INDEX('Master Ratings'!$O:$O, MATCH('Ratings by CLO'!$J115,'Master Ratings'!$B:$B,0),0)=0,"",INDEX('Master Ratings'!$O:$O, MATCH('Ratings by CLO'!$J115,'Master Ratings'!$B:$B,0),0))</f>
        <v>45637</v>
      </c>
      <c r="R115" s="28"/>
      <c r="S115" s="28" t="str">
        <f>+IF(INDEX('Master Ratings'!$L:$L, MATCH('Ratings by CLO'!$J115,'Master Ratings'!$B:$B,0),0)=0,"",INDEX('Master Ratings'!$L:$L, MATCH('Ratings by CLO'!$J115,'Master Ratings'!$B:$B,0),0))</f>
        <v>B-*</v>
      </c>
      <c r="T115" s="28" t="str">
        <f>+IF(INDEX('Master Ratings'!$M:$M, MATCH('Ratings by CLO'!$J115,'Master Ratings'!$B:$B,0),0)=0,"",INDEX('Master Ratings'!$M:$M, MATCH('Ratings by CLO'!$J115,'Master Ratings'!$B:$B,0),0))</f>
        <v>Credit Estimate</v>
      </c>
      <c r="U115" s="8">
        <f>+IF(INDEX('Master Ratings'!$P:$P, MATCH('Ratings by CLO'!$J115,'Master Ratings'!$B:$B,0),0)=0,"",INDEX('Master Ratings'!$P:$P, MATCH('Ratings by CLO'!$J115,'Master Ratings'!$B:$B,0),0))</f>
        <v>45436</v>
      </c>
      <c r="W115" s="5">
        <f t="shared" ca="1" si="22"/>
        <v>38</v>
      </c>
      <c r="X115" s="5">
        <f t="shared" ca="1" si="23"/>
        <v>-163</v>
      </c>
      <c r="Z115" s="5" t="str">
        <f t="shared" ca="1" si="24"/>
        <v/>
      </c>
      <c r="AA115" s="5" t="str">
        <f t="shared" ca="1" si="25"/>
        <v/>
      </c>
      <c r="AB115" s="5" t="str">
        <f t="shared" ca="1" si="26"/>
        <v/>
      </c>
      <c r="AC115" s="5" t="str">
        <f t="shared" ca="1" si="27"/>
        <v>X</v>
      </c>
      <c r="AD115" s="5"/>
      <c r="AE115" s="5" t="str">
        <f t="shared" si="28"/>
        <v/>
      </c>
      <c r="AF115" s="32"/>
      <c r="AG115">
        <f t="shared" ca="1" si="29"/>
        <v>9</v>
      </c>
      <c r="AH115">
        <f t="shared" ca="1" si="30"/>
        <v>12</v>
      </c>
      <c r="AI115">
        <f t="shared" ca="1" si="31"/>
        <v>34</v>
      </c>
      <c r="AJ115">
        <f t="shared" ca="1" si="32"/>
        <v>42</v>
      </c>
    </row>
    <row r="116" spans="2:36">
      <c r="B116" s="40">
        <f>+COUNTIFS(SOIs!$D:$D, 'Ratings by CLO'!$J116)</f>
        <v>3</v>
      </c>
      <c r="C116" s="40">
        <f>+COUNTIFS(SOIs!$G:$G, 'Ratings by CLO'!$J116)</f>
        <v>0</v>
      </c>
      <c r="D116" s="40">
        <f>+COUNTIFS(SOIs!$J:$J, 'Ratings by CLO'!$J116)</f>
        <v>1</v>
      </c>
      <c r="E116" s="40">
        <f>+COUNTIFS(SOIs!$M:$M, 'Ratings by CLO'!$J116)</f>
        <v>1</v>
      </c>
      <c r="F116" s="40">
        <f>+COUNTIFS(SOIs!$P:$P, 'Ratings by CLO'!$J116)</f>
        <v>0</v>
      </c>
      <c r="G116" s="40">
        <f>+COUNTIFS(SOIs!$S:$S, 'Ratings by CLO'!$J116)</f>
        <v>1</v>
      </c>
      <c r="H116" s="40">
        <f>+COUNTIFS(SOIs!$V:$V, 'Ratings by CLO'!$J116)</f>
        <v>1</v>
      </c>
      <c r="I116" s="38"/>
      <c r="J116" s="32" t="str">
        <f>+SOIs!X117</f>
        <v>Vertex</v>
      </c>
      <c r="K116" s="32"/>
      <c r="L116" s="28" t="str">
        <f>+IF(INDEX('Master Ratings'!$D:$D, MATCH('Ratings by CLO'!$J116,'Master Ratings'!$B:$B,0),0)=0,"",INDEX('Master Ratings'!$D:$D, MATCH('Ratings by CLO'!$J116,'Master Ratings'!$B:$B,0),0))</f>
        <v/>
      </c>
      <c r="M116" s="28" t="str">
        <f>+IF(INDEX('Master Ratings'!$E:$E, MATCH('Ratings by CLO'!$J116,'Master Ratings'!$B:$B,0),0)=0,"",INDEX('Master Ratings'!$E:$E, MATCH('Ratings by CLO'!$J116,'Master Ratings'!$B:$B,0),0))</f>
        <v/>
      </c>
      <c r="N116" s="28"/>
      <c r="O116" s="28" t="str">
        <f>+IF(INDEX('Master Ratings'!$G:$G, MATCH('Ratings by CLO'!$J116,'Master Ratings'!$B:$B,0),0)=0,"",INDEX('Master Ratings'!$G:$G, MATCH('Ratings by CLO'!$J116,'Master Ratings'!$B:$B,0),0))</f>
        <v>B-*</v>
      </c>
      <c r="P116" s="28" t="str">
        <f>+IF(INDEX('Master Ratings'!$H:$H, MATCH('Ratings by CLO'!$J116,'Master Ratings'!$B:$B,0),0)=0,"",INDEX('Master Ratings'!$H:$H, MATCH('Ratings by CLO'!$J116,'Master Ratings'!$B:$B,0),0))</f>
        <v>Credit Estimate</v>
      </c>
      <c r="Q116" s="8">
        <f>+IF(INDEX('Master Ratings'!$O:$O, MATCH('Ratings by CLO'!$J116,'Master Ratings'!$B:$B,0),0)=0,"",INDEX('Master Ratings'!$O:$O, MATCH('Ratings by CLO'!$J116,'Master Ratings'!$B:$B,0),0))</f>
        <v>45750</v>
      </c>
      <c r="R116" s="28"/>
      <c r="S116" s="28" t="str">
        <f>+IF(INDEX('Master Ratings'!$L:$L, MATCH('Ratings by CLO'!$J116,'Master Ratings'!$B:$B,0),0)=0,"",INDEX('Master Ratings'!$L:$L, MATCH('Ratings by CLO'!$J116,'Master Ratings'!$B:$B,0),0))</f>
        <v>B-*</v>
      </c>
      <c r="T116" s="28" t="str">
        <f>+IF(INDEX('Master Ratings'!$M:$M, MATCH('Ratings by CLO'!$J116,'Master Ratings'!$B:$B,0),0)=0,"",INDEX('Master Ratings'!$M:$M, MATCH('Ratings by CLO'!$J116,'Master Ratings'!$B:$B,0),0))</f>
        <v>Credit Estimate</v>
      </c>
      <c r="U116" s="8" t="str">
        <f>+IF(INDEX('Master Ratings'!$P:$P, MATCH('Ratings by CLO'!$J116,'Master Ratings'!$B:$B,0),0)=0,"",INDEX('Master Ratings'!$P:$P, MATCH('Ratings by CLO'!$J116,'Master Ratings'!$B:$B,0),0))</f>
        <v>12.8.2023</v>
      </c>
      <c r="W116" s="5">
        <f t="shared" ca="1" si="22"/>
        <v>151</v>
      </c>
      <c r="X116" s="5" t="e">
        <f t="shared" ca="1" si="23"/>
        <v>#VALUE!</v>
      </c>
      <c r="Z116" s="5" t="str">
        <f t="shared" ca="1" si="24"/>
        <v/>
      </c>
      <c r="AA116" s="5" t="str">
        <f t="shared" ca="1" si="25"/>
        <v>X</v>
      </c>
      <c r="AB116" s="5" t="str">
        <f t="shared" ca="1" si="26"/>
        <v/>
      </c>
      <c r="AC116" s="5" t="str">
        <f t="shared" ca="1" si="27"/>
        <v/>
      </c>
      <c r="AD116" s="5"/>
      <c r="AE116" s="5" t="str">
        <f t="shared" si="28"/>
        <v/>
      </c>
      <c r="AF116" s="32"/>
      <c r="AG116">
        <f t="shared" ca="1" si="29"/>
        <v>9</v>
      </c>
      <c r="AH116">
        <f t="shared" ca="1" si="30"/>
        <v>13</v>
      </c>
      <c r="AI116">
        <f t="shared" ca="1" si="31"/>
        <v>34</v>
      </c>
      <c r="AJ116">
        <f t="shared" ca="1" si="32"/>
        <v>42</v>
      </c>
    </row>
    <row r="117" spans="2:36">
      <c r="B117" s="40">
        <f>+COUNTIFS(SOIs!$D:$D, 'Ratings by CLO'!$J117)</f>
        <v>0</v>
      </c>
      <c r="C117" s="40">
        <f>+COUNTIFS(SOIs!$G:$G, 'Ratings by CLO'!$J117)</f>
        <v>0</v>
      </c>
      <c r="D117" s="40">
        <f>+COUNTIFS(SOIs!$J:$J, 'Ratings by CLO'!$J117)</f>
        <v>0</v>
      </c>
      <c r="E117" s="40">
        <f>+COUNTIFS(SOIs!$M:$M, 'Ratings by CLO'!$J117)</f>
        <v>0</v>
      </c>
      <c r="F117" s="40">
        <f>+COUNTIFS(SOIs!$P:$P, 'Ratings by CLO'!$J117)</f>
        <v>1</v>
      </c>
      <c r="G117" s="40">
        <f>+COUNTIFS(SOIs!$S:$S, 'Ratings by CLO'!$J117)</f>
        <v>0</v>
      </c>
      <c r="H117" s="40">
        <f>+COUNTIFS(SOIs!$V:$V, 'Ratings by CLO'!$J117)</f>
        <v>0</v>
      </c>
      <c r="I117" s="38"/>
      <c r="J117" s="32" t="str">
        <f>+SOIs!X118</f>
        <v>Victra</v>
      </c>
      <c r="K117" s="32"/>
      <c r="L117" s="28" t="str">
        <f>+IF(INDEX('Master Ratings'!$D:$D, MATCH('Ratings by CLO'!$J117,'Master Ratings'!$B:$B,0),0)=0,"",INDEX('Master Ratings'!$D:$D, MATCH('Ratings by CLO'!$J117,'Master Ratings'!$B:$B,0),0))</f>
        <v>B2</v>
      </c>
      <c r="M117" s="28" t="str">
        <f>+IF(INDEX('Master Ratings'!$E:$E, MATCH('Ratings by CLO'!$J117,'Master Ratings'!$B:$B,0),0)=0,"",INDEX('Master Ratings'!$E:$E, MATCH('Ratings by CLO'!$J117,'Master Ratings'!$B:$B,0),0))</f>
        <v>Rating (Public)</v>
      </c>
      <c r="N117" s="28"/>
      <c r="O117" s="28" t="str">
        <f>+IF(INDEX('Master Ratings'!$G:$G, MATCH('Ratings by CLO'!$J117,'Master Ratings'!$B:$B,0),0)=0,"",INDEX('Master Ratings'!$G:$G, MATCH('Ratings by CLO'!$J117,'Master Ratings'!$B:$B,0),0))</f>
        <v>B</v>
      </c>
      <c r="P117" s="28" t="str">
        <f>+IF(INDEX('Master Ratings'!$H:$H, MATCH('Ratings by CLO'!$J117,'Master Ratings'!$B:$B,0),0)=0,"",INDEX('Master Ratings'!$H:$H, MATCH('Ratings by CLO'!$J117,'Master Ratings'!$B:$B,0),0))</f>
        <v>Rating (Public)</v>
      </c>
      <c r="Q117" s="8" t="str">
        <f>+IF(INDEX('Master Ratings'!$O:$O, MATCH('Ratings by CLO'!$J117,'Master Ratings'!$B:$B,0),0)=0,"",INDEX('Master Ratings'!$O:$O, MATCH('Ratings by CLO'!$J117,'Master Ratings'!$B:$B,0),0))</f>
        <v/>
      </c>
      <c r="R117" s="28"/>
      <c r="S117" s="28" t="str">
        <f>+IF(INDEX('Master Ratings'!$L:$L, MATCH('Ratings by CLO'!$J117,'Master Ratings'!$B:$B,0),0)=0,"",INDEX('Master Ratings'!$L:$L, MATCH('Ratings by CLO'!$J117,'Master Ratings'!$B:$B,0),0))</f>
        <v/>
      </c>
      <c r="T117" s="28" t="str">
        <f>+IF(INDEX('Master Ratings'!$M:$M, MATCH('Ratings by CLO'!$J117,'Master Ratings'!$B:$B,0),0)=0,"",INDEX('Master Ratings'!$M:$M, MATCH('Ratings by CLO'!$J117,'Master Ratings'!$B:$B,0),0))</f>
        <v/>
      </c>
      <c r="U117" s="8" t="str">
        <f>+IF(INDEX('Master Ratings'!$P:$P, MATCH('Ratings by CLO'!$J117,'Master Ratings'!$B:$B,0),0)=0,"",INDEX('Master Ratings'!$P:$P, MATCH('Ratings by CLO'!$J117,'Master Ratings'!$B:$B,0),0))</f>
        <v/>
      </c>
      <c r="W117" s="5" t="str">
        <f t="shared" ca="1" si="22"/>
        <v/>
      </c>
      <c r="X117" s="5" t="str">
        <f t="shared" ca="1" si="23"/>
        <v/>
      </c>
      <c r="Z117" s="5" t="str">
        <f t="shared" ca="1" si="24"/>
        <v/>
      </c>
      <c r="AA117" s="5" t="str">
        <f t="shared" ca="1" si="25"/>
        <v/>
      </c>
      <c r="AB117" s="5" t="str">
        <f t="shared" ca="1" si="26"/>
        <v/>
      </c>
      <c r="AC117" s="5" t="str">
        <f t="shared" ca="1" si="27"/>
        <v/>
      </c>
      <c r="AD117" s="5"/>
      <c r="AE117" s="5" t="str">
        <f t="shared" si="28"/>
        <v/>
      </c>
      <c r="AF117" s="32"/>
      <c r="AG117">
        <f t="shared" ca="1" si="29"/>
        <v>9</v>
      </c>
      <c r="AH117">
        <f t="shared" ca="1" si="30"/>
        <v>13</v>
      </c>
      <c r="AI117">
        <f t="shared" ca="1" si="31"/>
        <v>34</v>
      </c>
      <c r="AJ117">
        <f t="shared" ca="1" si="32"/>
        <v>42</v>
      </c>
    </row>
    <row r="118" spans="2:36">
      <c r="B118" s="40">
        <f>+COUNTIFS(SOIs!$D:$D, 'Ratings by CLO'!$J118)</f>
        <v>2</v>
      </c>
      <c r="C118" s="40">
        <f>+COUNTIFS(SOIs!$G:$G, 'Ratings by CLO'!$J118)</f>
        <v>0</v>
      </c>
      <c r="D118" s="40">
        <f>+COUNTIFS(SOIs!$J:$J, 'Ratings by CLO'!$J118)</f>
        <v>0</v>
      </c>
      <c r="E118" s="40">
        <f>+COUNTIFS(SOIs!$M:$M, 'Ratings by CLO'!$J118)</f>
        <v>1</v>
      </c>
      <c r="F118" s="40">
        <f>+COUNTIFS(SOIs!$P:$P, 'Ratings by CLO'!$J118)</f>
        <v>0</v>
      </c>
      <c r="G118" s="40">
        <f>+COUNTIFS(SOIs!$S:$S, 'Ratings by CLO'!$J118)</f>
        <v>0</v>
      </c>
      <c r="H118" s="40">
        <f>+COUNTIFS(SOIs!$V:$V, 'Ratings by CLO'!$J118)</f>
        <v>1</v>
      </c>
      <c r="I118" s="38"/>
      <c r="J118" s="32" t="str">
        <f>+SOIs!X119</f>
        <v>Vision Integrated</v>
      </c>
      <c r="K118" s="32"/>
      <c r="L118" s="28" t="str">
        <f>+IF(INDEX('Master Ratings'!$D:$D, MATCH('Ratings by CLO'!$J118,'Master Ratings'!$B:$B,0),0)=0,"",INDEX('Master Ratings'!$D:$D, MATCH('Ratings by CLO'!$J118,'Master Ratings'!$B:$B,0),0))</f>
        <v/>
      </c>
      <c r="M118" s="28" t="str">
        <f>+IF(INDEX('Master Ratings'!$E:$E, MATCH('Ratings by CLO'!$J118,'Master Ratings'!$B:$B,0),0)=0,"",INDEX('Master Ratings'!$E:$E, MATCH('Ratings by CLO'!$J118,'Master Ratings'!$B:$B,0),0))</f>
        <v/>
      </c>
      <c r="N118" s="28"/>
      <c r="O118" s="28" t="str">
        <f>+IF(INDEX('Master Ratings'!$G:$G, MATCH('Ratings by CLO'!$J118,'Master Ratings'!$B:$B,0),0)=0,"",INDEX('Master Ratings'!$G:$G, MATCH('Ratings by CLO'!$J118,'Master Ratings'!$B:$B,0),0))</f>
        <v>B-*</v>
      </c>
      <c r="P118" s="28" t="str">
        <f>+IF(INDEX('Master Ratings'!$H:$H, MATCH('Ratings by CLO'!$J118,'Master Ratings'!$B:$B,0),0)=0,"",INDEX('Master Ratings'!$H:$H, MATCH('Ratings by CLO'!$J118,'Master Ratings'!$B:$B,0),0))</f>
        <v>Credit Estimate</v>
      </c>
      <c r="Q118" s="8">
        <f>+IF(INDEX('Master Ratings'!$O:$O, MATCH('Ratings by CLO'!$J118,'Master Ratings'!$B:$B,0),0)=0,"",INDEX('Master Ratings'!$O:$O, MATCH('Ratings by CLO'!$J118,'Master Ratings'!$B:$B,0),0))</f>
        <v>45626</v>
      </c>
      <c r="R118" s="28"/>
      <c r="S118" s="28" t="str">
        <f>+IF(INDEX('Master Ratings'!$L:$L, MATCH('Ratings by CLO'!$J118,'Master Ratings'!$B:$B,0),0)=0,"",INDEX('Master Ratings'!$L:$L, MATCH('Ratings by CLO'!$J118,'Master Ratings'!$B:$B,0),0))</f>
        <v>B-*</v>
      </c>
      <c r="T118" s="28" t="str">
        <f>+IF(INDEX('Master Ratings'!$M:$M, MATCH('Ratings by CLO'!$J118,'Master Ratings'!$B:$B,0),0)=0,"",INDEX('Master Ratings'!$M:$M, MATCH('Ratings by CLO'!$J118,'Master Ratings'!$B:$B,0),0))</f>
        <v>Credit Estimate</v>
      </c>
      <c r="U118" s="8" t="str">
        <f>+IF(INDEX('Master Ratings'!$P:$P, MATCH('Ratings by CLO'!$J118,'Master Ratings'!$B:$B,0),0)=0,"",INDEX('Master Ratings'!$P:$P, MATCH('Ratings by CLO'!$J118,'Master Ratings'!$B:$B,0),0))</f>
        <v>1.5.2024</v>
      </c>
      <c r="W118" s="5">
        <f t="shared" ca="1" si="22"/>
        <v>27</v>
      </c>
      <c r="X118" s="5" t="e">
        <f t="shared" ca="1" si="23"/>
        <v>#VALUE!</v>
      </c>
      <c r="Z118" s="5" t="str">
        <f t="shared" ca="1" si="24"/>
        <v/>
      </c>
      <c r="AA118" s="5" t="str">
        <f t="shared" ca="1" si="25"/>
        <v>X</v>
      </c>
      <c r="AB118" s="5" t="str">
        <f t="shared" ca="1" si="26"/>
        <v/>
      </c>
      <c r="AC118" s="5" t="str">
        <f t="shared" ca="1" si="27"/>
        <v/>
      </c>
      <c r="AD118" s="5"/>
      <c r="AE118" s="5" t="str">
        <f t="shared" si="28"/>
        <v/>
      </c>
      <c r="AF118" s="32"/>
      <c r="AG118">
        <f t="shared" ca="1" si="29"/>
        <v>9</v>
      </c>
      <c r="AH118">
        <f t="shared" ca="1" si="30"/>
        <v>14</v>
      </c>
      <c r="AI118">
        <f t="shared" ca="1" si="31"/>
        <v>34</v>
      </c>
      <c r="AJ118">
        <f t="shared" ca="1" si="32"/>
        <v>42</v>
      </c>
    </row>
    <row r="119" spans="2:36">
      <c r="B119" s="40">
        <f>+COUNTIFS(SOIs!$D:$D, 'Ratings by CLO'!$J119)</f>
        <v>0</v>
      </c>
      <c r="C119" s="40">
        <f>+COUNTIFS(SOIs!$G:$G, 'Ratings by CLO'!$J119)</f>
        <v>0</v>
      </c>
      <c r="D119" s="40">
        <f>+COUNTIFS(SOIs!$J:$J, 'Ratings by CLO'!$J119)</f>
        <v>0</v>
      </c>
      <c r="E119" s="40">
        <f>+COUNTIFS(SOIs!$M:$M, 'Ratings by CLO'!$J119)</f>
        <v>0</v>
      </c>
      <c r="F119" s="40">
        <f>+COUNTIFS(SOIs!$P:$P, 'Ratings by CLO'!$J119)</f>
        <v>0</v>
      </c>
      <c r="G119" s="40">
        <f>+COUNTIFS(SOIs!$S:$S, 'Ratings by CLO'!$J119)</f>
        <v>0</v>
      </c>
      <c r="H119" s="40">
        <f>+COUNTIFS(SOIs!$V:$V, 'Ratings by CLO'!$J119)</f>
        <v>1</v>
      </c>
      <c r="I119" s="38"/>
      <c r="J119" s="32" t="str">
        <f>+SOIs!X120</f>
        <v>Watterson</v>
      </c>
      <c r="K119" s="32"/>
      <c r="L119" s="28" t="str">
        <f>+IF(INDEX('Master Ratings'!$D:$D, MATCH('Ratings by CLO'!$J119,'Master Ratings'!$B:$B,0),0)=0,"",INDEX('Master Ratings'!$D:$D, MATCH('Ratings by CLO'!$J119,'Master Ratings'!$B:$B,0),0))</f>
        <v/>
      </c>
      <c r="M119" s="28" t="str">
        <f>+IF(INDEX('Master Ratings'!$E:$E, MATCH('Ratings by CLO'!$J119,'Master Ratings'!$B:$B,0),0)=0,"",INDEX('Master Ratings'!$E:$E, MATCH('Ratings by CLO'!$J119,'Master Ratings'!$B:$B,0),0))</f>
        <v/>
      </c>
      <c r="N119" s="28"/>
      <c r="O119" s="28" t="str">
        <f>+IF(INDEX('Master Ratings'!$G:$G, MATCH('Ratings by CLO'!$J119,'Master Ratings'!$B:$B,0),0)=0,"",INDEX('Master Ratings'!$G:$G, MATCH('Ratings by CLO'!$J119,'Master Ratings'!$B:$B,0),0))</f>
        <v>CCC+*</v>
      </c>
      <c r="P119" s="28" t="str">
        <f>+IF(INDEX('Master Ratings'!$H:$H, MATCH('Ratings by CLO'!$J119,'Master Ratings'!$B:$B,0),0)=0,"",INDEX('Master Ratings'!$H:$H, MATCH('Ratings by CLO'!$J119,'Master Ratings'!$B:$B,0),0))</f>
        <v>Credit Estimate</v>
      </c>
      <c r="Q119" s="8">
        <f>+IF(INDEX('Master Ratings'!$O:$O, MATCH('Ratings by CLO'!$J119,'Master Ratings'!$B:$B,0),0)=0,"",INDEX('Master Ratings'!$O:$O, MATCH('Ratings by CLO'!$J119,'Master Ratings'!$B:$B,0),0))</f>
        <v>45638</v>
      </c>
      <c r="R119" s="28"/>
      <c r="S119" s="28" t="str">
        <f>+IF(INDEX('Master Ratings'!$L:$L, MATCH('Ratings by CLO'!$J119,'Master Ratings'!$B:$B,0),0)=0,"",INDEX('Master Ratings'!$L:$L, MATCH('Ratings by CLO'!$J119,'Master Ratings'!$B:$B,0),0))</f>
        <v/>
      </c>
      <c r="T119" s="28" t="str">
        <f>+IF(INDEX('Master Ratings'!$M:$M, MATCH('Ratings by CLO'!$J119,'Master Ratings'!$B:$B,0),0)=0,"",INDEX('Master Ratings'!$M:$M, MATCH('Ratings by CLO'!$J119,'Master Ratings'!$B:$B,0),0))</f>
        <v/>
      </c>
      <c r="U119" s="8" t="str">
        <f>+IF(INDEX('Master Ratings'!$P:$P, MATCH('Ratings by CLO'!$J119,'Master Ratings'!$B:$B,0),0)=0,"",INDEX('Master Ratings'!$P:$P, MATCH('Ratings by CLO'!$J119,'Master Ratings'!$B:$B,0),0))</f>
        <v/>
      </c>
      <c r="W119" s="5">
        <f t="shared" ca="1" si="22"/>
        <v>39</v>
      </c>
      <c r="X119" s="5" t="str">
        <f t="shared" ca="1" si="23"/>
        <v/>
      </c>
      <c r="Z119" s="5" t="str">
        <f t="shared" ca="1" si="24"/>
        <v/>
      </c>
      <c r="AA119" s="5" t="str">
        <f t="shared" ca="1" si="25"/>
        <v/>
      </c>
      <c r="AB119" s="5" t="str">
        <f t="shared" ca="1" si="26"/>
        <v/>
      </c>
      <c r="AC119" s="5" t="str">
        <f t="shared" ca="1" si="27"/>
        <v/>
      </c>
      <c r="AD119" s="5"/>
      <c r="AE119" s="5" t="str">
        <f t="shared" si="28"/>
        <v/>
      </c>
      <c r="AF119" s="32"/>
      <c r="AG119">
        <f t="shared" ca="1" si="29"/>
        <v>9</v>
      </c>
      <c r="AH119">
        <f t="shared" ca="1" si="30"/>
        <v>14</v>
      </c>
      <c r="AI119">
        <f t="shared" ca="1" si="31"/>
        <v>34</v>
      </c>
      <c r="AJ119">
        <f t="shared" ca="1" si="32"/>
        <v>42</v>
      </c>
    </row>
    <row r="120" spans="2:36">
      <c r="B120" s="40">
        <f>+COUNTIFS(SOIs!$D:$D, 'Ratings by CLO'!$J120)</f>
        <v>3</v>
      </c>
      <c r="C120" s="40">
        <f>+COUNTIFS(SOIs!$G:$G, 'Ratings by CLO'!$J120)</f>
        <v>0</v>
      </c>
      <c r="D120" s="40">
        <f>+COUNTIFS(SOIs!$J:$J, 'Ratings by CLO'!$J120)</f>
        <v>1</v>
      </c>
      <c r="E120" s="40">
        <f>+COUNTIFS(SOIs!$M:$M, 'Ratings by CLO'!$J120)</f>
        <v>1</v>
      </c>
      <c r="F120" s="40">
        <f>+COUNTIFS(SOIs!$P:$P, 'Ratings by CLO'!$J120)</f>
        <v>1</v>
      </c>
      <c r="G120" s="40">
        <f>+COUNTIFS(SOIs!$S:$S, 'Ratings by CLO'!$J120)</f>
        <v>1</v>
      </c>
      <c r="H120" s="40">
        <f>+COUNTIFS(SOIs!$V:$V, 'Ratings by CLO'!$J120)</f>
        <v>0</v>
      </c>
      <c r="I120" s="38"/>
      <c r="J120" s="32" t="str">
        <f>+SOIs!X121</f>
        <v>Wilson Language Training</v>
      </c>
      <c r="K120" s="32"/>
      <c r="L120" s="28" t="str">
        <f>+IF(INDEX('Master Ratings'!$D:$D, MATCH('Ratings by CLO'!$J120,'Master Ratings'!$B:$B,0),0)=0,"",INDEX('Master Ratings'!$D:$D, MATCH('Ratings by CLO'!$J120,'Master Ratings'!$B:$B,0),0))</f>
        <v/>
      </c>
      <c r="M120" s="28" t="str">
        <f>+IF(INDEX('Master Ratings'!$E:$E, MATCH('Ratings by CLO'!$J120,'Master Ratings'!$B:$B,0),0)=0,"",INDEX('Master Ratings'!$E:$E, MATCH('Ratings by CLO'!$J120,'Master Ratings'!$B:$B,0),0))</f>
        <v/>
      </c>
      <c r="N120" s="28"/>
      <c r="O120" s="28" t="str">
        <f>+IF(INDEX('Master Ratings'!$G:$G, MATCH('Ratings by CLO'!$J120,'Master Ratings'!$B:$B,0),0)=0,"",INDEX('Master Ratings'!$G:$G, MATCH('Ratings by CLO'!$J120,'Master Ratings'!$B:$B,0),0))</f>
        <v>B-*</v>
      </c>
      <c r="P120" s="28" t="str">
        <f>+IF(INDEX('Master Ratings'!$H:$H, MATCH('Ratings by CLO'!$J120,'Master Ratings'!$B:$B,0),0)=0,"",INDEX('Master Ratings'!$H:$H, MATCH('Ratings by CLO'!$J120,'Master Ratings'!$B:$B,0),0))</f>
        <v>Credit Estimate</v>
      </c>
      <c r="Q120" s="8">
        <f>+IF(INDEX('Master Ratings'!$O:$O, MATCH('Ratings by CLO'!$J120,'Master Ratings'!$B:$B,0),0)=0,"",INDEX('Master Ratings'!$O:$O, MATCH('Ratings by CLO'!$J120,'Master Ratings'!$B:$B,0),0))</f>
        <v>45482</v>
      </c>
      <c r="R120" s="28"/>
      <c r="S120" s="28" t="str">
        <f>+IF(INDEX('Master Ratings'!$L:$L, MATCH('Ratings by CLO'!$J120,'Master Ratings'!$B:$B,0),0)=0,"",INDEX('Master Ratings'!$L:$L, MATCH('Ratings by CLO'!$J120,'Master Ratings'!$B:$B,0),0))</f>
        <v>B*</v>
      </c>
      <c r="T120" s="28" t="str">
        <f>+IF(INDEX('Master Ratings'!$M:$M, MATCH('Ratings by CLO'!$J120,'Master Ratings'!$B:$B,0),0)=0,"",INDEX('Master Ratings'!$M:$M, MATCH('Ratings by CLO'!$J120,'Master Ratings'!$B:$B,0),0))</f>
        <v>Credit Estimate</v>
      </c>
      <c r="U120" s="8">
        <f>+IF(INDEX('Master Ratings'!$P:$P, MATCH('Ratings by CLO'!$J120,'Master Ratings'!$B:$B,0),0)=0,"",INDEX('Master Ratings'!$P:$P, MATCH('Ratings by CLO'!$J120,'Master Ratings'!$B:$B,0),0))</f>
        <v>45163</v>
      </c>
      <c r="W120" s="5">
        <f t="shared" ca="1" si="22"/>
        <v>-117</v>
      </c>
      <c r="X120" s="5">
        <f t="shared" ca="1" si="23"/>
        <v>-436</v>
      </c>
      <c r="Z120" s="5" t="str">
        <f t="shared" ca="1" si="24"/>
        <v/>
      </c>
      <c r="AA120" s="5" t="str">
        <f t="shared" ca="1" si="25"/>
        <v/>
      </c>
      <c r="AB120" s="5" t="str">
        <f t="shared" ca="1" si="26"/>
        <v>X</v>
      </c>
      <c r="AC120" s="5" t="str">
        <f t="shared" ca="1" si="27"/>
        <v>X</v>
      </c>
      <c r="AD120" s="5"/>
      <c r="AE120" s="5" t="str">
        <f t="shared" si="28"/>
        <v/>
      </c>
      <c r="AF120" s="32"/>
      <c r="AG120">
        <f t="shared" ca="1" si="29"/>
        <v>9</v>
      </c>
      <c r="AH120">
        <f t="shared" ca="1" si="30"/>
        <v>14</v>
      </c>
      <c r="AI120">
        <f t="shared" ca="1" si="31"/>
        <v>35</v>
      </c>
      <c r="AJ120">
        <f t="shared" ca="1" si="32"/>
        <v>43</v>
      </c>
    </row>
    <row r="121" spans="2:36">
      <c r="B121" s="40">
        <f>+COUNTIFS(SOIs!$D:$D, 'Ratings by CLO'!$J121)</f>
        <v>4</v>
      </c>
      <c r="C121" s="40">
        <f>+COUNTIFS(SOIs!$G:$G, 'Ratings by CLO'!$J121)</f>
        <v>1</v>
      </c>
      <c r="D121" s="40">
        <f>+COUNTIFS(SOIs!$J:$J, 'Ratings by CLO'!$J121)</f>
        <v>1</v>
      </c>
      <c r="E121" s="40">
        <f>+COUNTIFS(SOIs!$M:$M, 'Ratings by CLO'!$J121)</f>
        <v>1</v>
      </c>
      <c r="F121" s="40">
        <f>+COUNTIFS(SOIs!$P:$P, 'Ratings by CLO'!$J121)</f>
        <v>1</v>
      </c>
      <c r="G121" s="40">
        <f>+COUNTIFS(SOIs!$S:$S, 'Ratings by CLO'!$J121)</f>
        <v>1</v>
      </c>
      <c r="H121" s="40">
        <f>+COUNTIFS(SOIs!$V:$V, 'Ratings by CLO'!$J121)</f>
        <v>1</v>
      </c>
      <c r="I121" s="38"/>
      <c r="J121" s="32" t="str">
        <f>+SOIs!X122</f>
        <v>Zips</v>
      </c>
      <c r="K121" s="32"/>
      <c r="L121" s="28" t="str">
        <f>+IF(INDEX('Master Ratings'!$D:$D, MATCH('Ratings by CLO'!$J121,'Master Ratings'!$B:$B,0),0)=0,"",INDEX('Master Ratings'!$D:$D, MATCH('Ratings by CLO'!$J121,'Master Ratings'!$B:$B,0),0))</f>
        <v/>
      </c>
      <c r="M121" s="28" t="str">
        <f>+IF(INDEX('Master Ratings'!$E:$E, MATCH('Ratings by CLO'!$J121,'Master Ratings'!$B:$B,0),0)=0,"",INDEX('Master Ratings'!$E:$E, MATCH('Ratings by CLO'!$J121,'Master Ratings'!$B:$B,0),0))</f>
        <v/>
      </c>
      <c r="N121" s="28"/>
      <c r="O121" s="28" t="str">
        <f>+IF(INDEX('Master Ratings'!$G:$G, MATCH('Ratings by CLO'!$J121,'Master Ratings'!$B:$B,0),0)=0,"",INDEX('Master Ratings'!$G:$G, MATCH('Ratings by CLO'!$J121,'Master Ratings'!$B:$B,0),0))</f>
        <v>D*</v>
      </c>
      <c r="P121" s="28" t="str">
        <f>+IF(INDEX('Master Ratings'!$H:$H, MATCH('Ratings by CLO'!$J121,'Master Ratings'!$B:$B,0),0)=0,"",INDEX('Master Ratings'!$H:$H, MATCH('Ratings by CLO'!$J121,'Master Ratings'!$B:$B,0),0))</f>
        <v>Rating (Private)</v>
      </c>
      <c r="Q121" s="8">
        <f>+IF(INDEX('Master Ratings'!$O:$O, MATCH('Ratings by CLO'!$J121,'Master Ratings'!$B:$B,0),0)=0,"",INDEX('Master Ratings'!$O:$O, MATCH('Ratings by CLO'!$J121,'Master Ratings'!$B:$B,0),0))</f>
        <v>45695</v>
      </c>
      <c r="R121" s="28"/>
      <c r="S121" s="28" t="str">
        <f>+IF(INDEX('Master Ratings'!$L:$L, MATCH('Ratings by CLO'!$J121,'Master Ratings'!$B:$B,0),0)=0,"",INDEX('Master Ratings'!$L:$L, MATCH('Ratings by CLO'!$J121,'Master Ratings'!$B:$B,0),0))</f>
        <v>CCC*</v>
      </c>
      <c r="T121" s="28" t="str">
        <f>+IF(INDEX('Master Ratings'!$M:$M, MATCH('Ratings by CLO'!$J121,'Master Ratings'!$B:$B,0),0)=0,"",INDEX('Master Ratings'!$M:$M, MATCH('Ratings by CLO'!$J121,'Master Ratings'!$B:$B,0),0))</f>
        <v>Credit Estimate</v>
      </c>
      <c r="U121" s="8">
        <f>+IF(INDEX('Master Ratings'!$P:$P, MATCH('Ratings by CLO'!$J121,'Master Ratings'!$B:$B,0),0)=0,"",INDEX('Master Ratings'!$P:$P, MATCH('Ratings by CLO'!$J121,'Master Ratings'!$B:$B,0),0))</f>
        <v>45275</v>
      </c>
      <c r="W121" s="5">
        <f t="shared" ca="1" si="22"/>
        <v>96</v>
      </c>
      <c r="X121" s="5">
        <f t="shared" ca="1" si="23"/>
        <v>-324</v>
      </c>
      <c r="Z121" s="5" t="str">
        <f t="shared" ca="1" si="24"/>
        <v/>
      </c>
      <c r="AA121" s="5" t="str">
        <f t="shared" ca="1" si="25"/>
        <v/>
      </c>
      <c r="AB121" s="5" t="str">
        <f t="shared" ca="1" si="26"/>
        <v/>
      </c>
      <c r="AC121" s="5" t="str">
        <f t="shared" ca="1" si="27"/>
        <v>X</v>
      </c>
      <c r="AD121" s="5"/>
      <c r="AE121" s="5" t="str">
        <f t="shared" si="28"/>
        <v/>
      </c>
      <c r="AF121" s="32"/>
      <c r="AG121">
        <f t="shared" ca="1" si="29"/>
        <v>9</v>
      </c>
      <c r="AH121">
        <f t="shared" ca="1" si="30"/>
        <v>14</v>
      </c>
      <c r="AI121">
        <f t="shared" ca="1" si="31"/>
        <v>35</v>
      </c>
      <c r="AJ121">
        <f t="shared" ca="1" si="32"/>
        <v>44</v>
      </c>
    </row>
    <row r="122" spans="2:36">
      <c r="B122" s="40"/>
      <c r="C122" s="40"/>
      <c r="D122" s="40"/>
      <c r="E122" s="40"/>
      <c r="F122" s="40"/>
      <c r="G122" s="40"/>
      <c r="H122" s="40"/>
      <c r="I122" s="38"/>
      <c r="J122" s="32"/>
      <c r="K122" s="32"/>
      <c r="L122" s="28"/>
      <c r="M122" s="28"/>
      <c r="N122" s="28"/>
      <c r="O122" s="28"/>
      <c r="P122" s="28"/>
      <c r="Q122" s="8"/>
      <c r="R122" s="28"/>
      <c r="S122" s="28"/>
      <c r="T122" s="28"/>
      <c r="U122" s="8"/>
      <c r="W122" s="5"/>
      <c r="X122" s="5"/>
      <c r="Z122" s="5"/>
      <c r="AA122" s="5"/>
      <c r="AB122" s="5"/>
      <c r="AC122" s="5"/>
      <c r="AD122" s="5"/>
      <c r="AF122" s="32"/>
    </row>
    <row r="123" spans="2:36">
      <c r="B123" s="40"/>
      <c r="C123" s="40"/>
      <c r="D123" s="40"/>
      <c r="E123" s="40"/>
      <c r="F123" s="40"/>
      <c r="G123" s="40"/>
      <c r="H123" s="40"/>
      <c r="I123" s="38"/>
      <c r="J123" s="32"/>
      <c r="K123" s="32"/>
      <c r="L123" s="28"/>
      <c r="M123" s="28"/>
      <c r="N123" s="28"/>
      <c r="O123" s="28"/>
      <c r="P123" s="28"/>
      <c r="Q123" s="8"/>
      <c r="R123" s="28"/>
      <c r="S123" s="28"/>
      <c r="T123" s="28"/>
      <c r="U123" s="8"/>
      <c r="W123" s="5"/>
      <c r="X123" s="5"/>
      <c r="Z123" s="5"/>
      <c r="AA123" s="5"/>
      <c r="AB123" s="5"/>
      <c r="AC123" s="5"/>
      <c r="AD123" s="5"/>
      <c r="AF123" s="32"/>
    </row>
    <row r="124" spans="2:36">
      <c r="B124" s="40"/>
      <c r="C124" s="40"/>
      <c r="D124" s="40"/>
      <c r="E124" s="40"/>
      <c r="F124" s="40"/>
      <c r="G124" s="40"/>
      <c r="H124" s="40"/>
      <c r="I124" s="38"/>
      <c r="J124" s="32"/>
      <c r="K124" s="32"/>
      <c r="L124" s="28"/>
      <c r="M124" s="28"/>
      <c r="N124" s="28"/>
      <c r="O124" s="28"/>
      <c r="P124" s="28"/>
      <c r="Q124" s="8"/>
      <c r="R124" s="28"/>
      <c r="S124" s="28"/>
      <c r="T124" s="28"/>
      <c r="U124" s="8"/>
      <c r="W124" s="5"/>
      <c r="X124" s="5"/>
      <c r="Z124" s="5"/>
      <c r="AA124" s="5"/>
      <c r="AB124" s="5"/>
      <c r="AC124" s="5"/>
      <c r="AD124" s="5"/>
      <c r="AF124" s="32"/>
    </row>
    <row r="125" spans="2:36">
      <c r="B125" s="40"/>
      <c r="C125" s="40"/>
      <c r="D125" s="40"/>
      <c r="E125" s="40"/>
      <c r="F125" s="40"/>
      <c r="G125" s="40"/>
      <c r="H125" s="40"/>
      <c r="I125" s="38"/>
      <c r="J125" s="32"/>
      <c r="K125" s="32"/>
      <c r="L125" s="28"/>
      <c r="M125" s="28"/>
      <c r="N125" s="28"/>
      <c r="O125" s="28"/>
      <c r="P125" s="28"/>
      <c r="Q125" s="8"/>
      <c r="R125" s="28"/>
      <c r="S125" s="28"/>
      <c r="T125" s="28"/>
      <c r="U125" s="8"/>
      <c r="W125" s="5"/>
      <c r="X125" s="5"/>
      <c r="Z125" s="5"/>
      <c r="AA125" s="5"/>
      <c r="AB125" s="5"/>
      <c r="AC125" s="5"/>
      <c r="AD125" s="5"/>
      <c r="AF125" s="32"/>
    </row>
    <row r="126" spans="2:36">
      <c r="B126" s="40"/>
      <c r="C126" s="40"/>
      <c r="D126" s="40"/>
      <c r="E126" s="40"/>
      <c r="F126" s="40"/>
      <c r="G126" s="40"/>
      <c r="H126" s="40"/>
      <c r="I126" s="38"/>
      <c r="J126" s="32"/>
      <c r="K126" s="32"/>
      <c r="L126" s="28"/>
      <c r="M126" s="28"/>
      <c r="N126" s="28"/>
      <c r="O126" s="28"/>
      <c r="P126" s="28"/>
      <c r="Q126" s="8"/>
      <c r="R126" s="28"/>
      <c r="S126" s="28"/>
      <c r="T126" s="28"/>
      <c r="U126" s="8"/>
      <c r="W126" s="5"/>
      <c r="X126" s="5"/>
      <c r="Z126" s="5"/>
      <c r="AA126" s="5"/>
      <c r="AB126" s="5"/>
      <c r="AC126" s="5"/>
      <c r="AD126" s="5"/>
      <c r="AF126" s="32"/>
    </row>
    <row r="127" spans="2:36">
      <c r="B127" s="40"/>
      <c r="C127" s="40"/>
      <c r="D127" s="40"/>
      <c r="E127" s="40"/>
      <c r="F127" s="40"/>
      <c r="G127" s="40"/>
      <c r="H127" s="40"/>
      <c r="I127" s="38"/>
      <c r="J127" s="32"/>
      <c r="K127" s="32"/>
      <c r="L127" s="28"/>
      <c r="M127" s="28"/>
      <c r="N127" s="28"/>
      <c r="O127" s="28"/>
      <c r="P127" s="28"/>
      <c r="Q127" s="8"/>
      <c r="R127" s="28"/>
      <c r="S127" s="28"/>
      <c r="T127" s="28"/>
      <c r="U127" s="8"/>
      <c r="W127" s="5"/>
      <c r="X127" s="5"/>
      <c r="Z127" s="5"/>
      <c r="AA127" s="5"/>
      <c r="AB127" s="5"/>
      <c r="AC127" s="5"/>
      <c r="AD127" s="5"/>
      <c r="AF127" s="32"/>
    </row>
  </sheetData>
  <sortState xmlns:xlrd2="http://schemas.microsoft.com/office/spreadsheetml/2017/richdata2" ref="AG5:AG24">
    <sortCondition ref="AG5:AG24"/>
  </sortState>
  <conditionalFormatting sqref="W4">
    <cfRule type="cellIs" dxfId="40" priority="2" operator="lessThan">
      <formula>60</formula>
    </cfRule>
  </conditionalFormatting>
  <conditionalFormatting sqref="W5:X127">
    <cfRule type="cellIs" dxfId="39" priority="1" operator="lessThan">
      <formula>60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3E88-0FD4-4AA8-898E-A0C4C40945C6}">
  <sheetPr>
    <tabColor theme="4" tint="-0.249977111117893"/>
  </sheetPr>
  <dimension ref="A1:X317"/>
  <sheetViews>
    <sheetView showGridLines="0" view="pageBreakPreview" topLeftCell="D1" zoomScale="60" zoomScaleNormal="100" workbookViewId="0">
      <selection activeCell="X75" sqref="X75"/>
    </sheetView>
  </sheetViews>
  <sheetFormatPr defaultRowHeight="14.45"/>
  <cols>
    <col min="2" max="2" width="11.5703125" bestFit="1" customWidth="1"/>
    <col min="3" max="3" width="50.140625" bestFit="1" customWidth="1"/>
    <col min="4" max="4" width="50.140625" customWidth="1"/>
    <col min="5" max="5" width="2.7109375" customWidth="1"/>
    <col min="6" max="6" width="58.7109375" customWidth="1"/>
    <col min="7" max="7" width="37.7109375" customWidth="1"/>
    <col min="8" max="8" width="2.7109375" customWidth="1"/>
    <col min="9" max="10" width="58.7109375" customWidth="1"/>
    <col min="11" max="11" width="2.7109375" customWidth="1"/>
    <col min="12" max="13" width="58.7109375" customWidth="1"/>
    <col min="14" max="14" width="2.7109375" customWidth="1"/>
    <col min="15" max="16" width="58.7109375" customWidth="1"/>
    <col min="17" max="17" width="2.7109375" customWidth="1"/>
    <col min="18" max="19" width="58.7109375" customWidth="1"/>
    <col min="20" max="20" width="2.7109375" customWidth="1"/>
    <col min="21" max="22" width="58.7109375" customWidth="1"/>
    <col min="23" max="23" width="2.7109375" customWidth="1"/>
    <col min="24" max="24" width="63.42578125" bestFit="1" customWidth="1"/>
    <col min="25" max="26" width="37.7109375" customWidth="1"/>
  </cols>
  <sheetData>
    <row r="1" spans="1:24">
      <c r="A1" s="35" t="s">
        <v>259</v>
      </c>
      <c r="B1" s="42">
        <v>45199</v>
      </c>
    </row>
    <row r="3" spans="1:24">
      <c r="C3" s="33" t="s">
        <v>265</v>
      </c>
      <c r="F3" s="33" t="s">
        <v>265</v>
      </c>
      <c r="I3" s="33" t="s">
        <v>265</v>
      </c>
      <c r="X3" s="33" t="s">
        <v>266</v>
      </c>
    </row>
    <row r="4" spans="1:24">
      <c r="C4" s="14" t="s">
        <v>267</v>
      </c>
      <c r="D4" s="14"/>
      <c r="E4" s="1"/>
      <c r="F4" s="14" t="s">
        <v>268</v>
      </c>
      <c r="G4" s="14"/>
      <c r="I4" s="14" t="s">
        <v>269</v>
      </c>
      <c r="J4" s="14"/>
      <c r="K4" s="61"/>
      <c r="L4" s="14" t="s">
        <v>270</v>
      </c>
      <c r="M4" s="14"/>
      <c r="N4" s="61"/>
      <c r="O4" s="14" t="s">
        <v>271</v>
      </c>
      <c r="P4" s="14"/>
      <c r="Q4" s="61"/>
      <c r="R4" s="14" t="s">
        <v>272</v>
      </c>
      <c r="S4" s="14"/>
      <c r="T4" s="61"/>
      <c r="U4" s="14" t="s">
        <v>273</v>
      </c>
      <c r="V4" s="14"/>
      <c r="X4" s="34"/>
    </row>
    <row r="5" spans="1:24">
      <c r="C5" s="29" t="s">
        <v>274</v>
      </c>
      <c r="D5" s="29" t="s">
        <v>275</v>
      </c>
      <c r="E5" s="1"/>
      <c r="F5" s="29" t="s">
        <v>274</v>
      </c>
      <c r="G5" s="29" t="s">
        <v>275</v>
      </c>
      <c r="I5" s="29" t="s">
        <v>274</v>
      </c>
      <c r="J5" s="29" t="s">
        <v>275</v>
      </c>
      <c r="K5" s="1"/>
      <c r="L5" s="29" t="s">
        <v>274</v>
      </c>
      <c r="M5" s="29" t="s">
        <v>275</v>
      </c>
      <c r="N5" s="1"/>
      <c r="O5" s="29" t="s">
        <v>274</v>
      </c>
      <c r="P5" s="29" t="s">
        <v>275</v>
      </c>
      <c r="Q5" s="1"/>
      <c r="R5" s="29"/>
      <c r="S5" s="29"/>
      <c r="T5" s="1"/>
      <c r="U5" s="29"/>
      <c r="V5" s="29"/>
      <c r="X5" s="30" t="s">
        <v>276</v>
      </c>
    </row>
    <row r="6" spans="1:24">
      <c r="C6" s="18" t="s">
        <v>277</v>
      </c>
      <c r="D6" s="23" t="str">
        <f>+INDEX('SOI Mapping'!$D:$D, MATCH(SOIs!$C6,'SOI Mapping'!$B:$B,0),0)</f>
        <v>Ad.net</v>
      </c>
      <c r="E6" s="23"/>
      <c r="F6" s="18" t="s">
        <v>277</v>
      </c>
      <c r="G6" s="23" t="str">
        <f>+INDEX('SOI Mapping'!$D:$D, MATCH(SOIs!$F6,'SOI Mapping'!$B:$B,0),0)</f>
        <v>Ad.net</v>
      </c>
      <c r="I6" s="18" t="s">
        <v>277</v>
      </c>
      <c r="J6" s="23" t="str">
        <f>+INDEX('SOI Mapping'!$D:$D, MATCH(SOIs!$I6,'SOI Mapping'!$B:$B,0),0)</f>
        <v>Ad.net</v>
      </c>
      <c r="K6" s="23"/>
      <c r="L6" s="18" t="s">
        <v>277</v>
      </c>
      <c r="M6" s="23" t="str">
        <f>+INDEX('SOI Mapping'!$D:$D, MATCH(SOIs!$L6,'SOI Mapping'!$B:$B,0),0)</f>
        <v>Ad.net</v>
      </c>
      <c r="N6" s="23"/>
      <c r="O6" s="18" t="s">
        <v>278</v>
      </c>
      <c r="P6" s="23" t="str">
        <f>+INDEX('SOI Mapping'!$D:$D, MATCH(SOIs!$O6,'SOI Mapping'!$B:$B,0),0)</f>
        <v>48Forty</v>
      </c>
      <c r="Q6" s="23"/>
      <c r="R6" s="18" t="s">
        <v>279</v>
      </c>
      <c r="S6" s="23" t="str">
        <f>+INDEX('SOI Mapping'!$D:$D, MATCH(SOIs!$R6,'SOI Mapping'!$B:$B,0),0)</f>
        <v>A1 Garage</v>
      </c>
      <c r="T6" s="23"/>
      <c r="U6" s="18" t="s">
        <v>279</v>
      </c>
      <c r="V6" s="23" t="str">
        <f>+INDEX('SOI Mapping'!$D:$D, MATCH(SOIs!$U6,'SOI Mapping'!$B:$B,0),0)</f>
        <v>A1 Garage</v>
      </c>
      <c r="X6" t="s">
        <v>13</v>
      </c>
    </row>
    <row r="7" spans="1:24">
      <c r="C7" s="18" t="s">
        <v>280</v>
      </c>
      <c r="D7" s="23" t="str">
        <f>+INDEX('SOI Mapping'!$D:$D, MATCH(SOIs!$C7,'SOI Mapping'!$B:$B,0),0)</f>
        <v>Vision Integrated</v>
      </c>
      <c r="E7" s="23"/>
      <c r="F7" s="18" t="s">
        <v>278</v>
      </c>
      <c r="G7" s="23" t="str">
        <f>+INDEX('SOI Mapping'!$D:$D, MATCH(SOIs!$F7,'SOI Mapping'!$B:$B,0),0)</f>
        <v>48Forty</v>
      </c>
      <c r="I7" s="18" t="s">
        <v>278</v>
      </c>
      <c r="J7" s="23" t="str">
        <f>+INDEX('SOI Mapping'!$D:$D, MATCH(SOIs!$I7,'SOI Mapping'!$B:$B,0),0)</f>
        <v>48Forty</v>
      </c>
      <c r="K7" s="23"/>
      <c r="L7" s="18" t="s">
        <v>278</v>
      </c>
      <c r="M7" s="23" t="str">
        <f>+INDEX('SOI Mapping'!$D:$D, MATCH(SOIs!$L7,'SOI Mapping'!$B:$B,0),0)</f>
        <v>48Forty</v>
      </c>
      <c r="N7" s="23"/>
      <c r="O7" s="18" t="s">
        <v>281</v>
      </c>
      <c r="P7" s="23" t="str">
        <f>+INDEX('SOI Mapping'!$D:$D, MATCH(SOIs!$O7,'SOI Mapping'!$B:$B,0),0)</f>
        <v>American Insulated Glass</v>
      </c>
      <c r="Q7" s="23"/>
      <c r="R7" s="18" t="s">
        <v>277</v>
      </c>
      <c r="S7" s="23" t="str">
        <f>+INDEX('SOI Mapping'!$D:$D, MATCH(SOIs!$R7,'SOI Mapping'!$B:$B,0),0)</f>
        <v>Ad.net</v>
      </c>
      <c r="T7" s="23"/>
      <c r="U7" s="18" t="s">
        <v>278</v>
      </c>
      <c r="V7" s="23" t="str">
        <f>+INDEX('SOI Mapping'!$D:$D, MATCH(SOIs!$U7,'SOI Mapping'!$B:$B,0),0)</f>
        <v>48Forty</v>
      </c>
      <c r="X7" t="s">
        <v>16</v>
      </c>
    </row>
    <row r="8" spans="1:24">
      <c r="C8" s="18" t="s">
        <v>282</v>
      </c>
      <c r="D8" s="23" t="str">
        <f>+INDEX('SOI Mapping'!$D:$D, MATCH(SOIs!$C8,'SOI Mapping'!$B:$B,0),0)</f>
        <v>MeritDirect</v>
      </c>
      <c r="E8" s="23"/>
      <c r="F8" s="18" t="s">
        <v>282</v>
      </c>
      <c r="G8" s="23" t="str">
        <f>+INDEX('SOI Mapping'!$D:$D, MATCH(SOIs!$F8,'SOI Mapping'!$B:$B,0),0)</f>
        <v>MeritDirect</v>
      </c>
      <c r="I8" s="18" t="s">
        <v>282</v>
      </c>
      <c r="J8" s="23" t="str">
        <f>+INDEX('SOI Mapping'!$D:$D, MATCH(SOIs!$I8,'SOI Mapping'!$B:$B,0),0)</f>
        <v>MeritDirect</v>
      </c>
      <c r="K8" s="23"/>
      <c r="L8" s="18" t="s">
        <v>280</v>
      </c>
      <c r="M8" s="23" t="str">
        <f>+INDEX('SOI Mapping'!$D:$D, MATCH(SOIs!$L8,'SOI Mapping'!$B:$B,0),0)</f>
        <v>Vision Integrated</v>
      </c>
      <c r="N8" s="23"/>
      <c r="O8" s="18" t="s">
        <v>283</v>
      </c>
      <c r="P8" s="23" t="str">
        <f>+INDEX('SOI Mapping'!$D:$D, MATCH(SOIs!$O8,'SOI Mapping'!$B:$B,0),0)</f>
        <v>Ankura</v>
      </c>
      <c r="Q8" s="23"/>
      <c r="R8" s="18" t="s">
        <v>278</v>
      </c>
      <c r="S8" s="23" t="str">
        <f>+INDEX('SOI Mapping'!$D:$D, MATCH(SOIs!$R8,'SOI Mapping'!$B:$B,0),0)</f>
        <v>48Forty</v>
      </c>
      <c r="T8" s="23"/>
      <c r="U8" s="18" t="s">
        <v>280</v>
      </c>
      <c r="V8" s="23" t="str">
        <f>+INDEX('SOI Mapping'!$D:$D, MATCH(SOIs!$U8,'SOI Mapping'!$B:$B,0),0)</f>
        <v>Vision Integrated</v>
      </c>
      <c r="X8" t="s">
        <v>20</v>
      </c>
    </row>
    <row r="9" spans="1:24">
      <c r="C9" s="18" t="s">
        <v>37</v>
      </c>
      <c r="D9" s="23" t="str">
        <f>+INDEX('SOI Mapping'!$D:$D, MATCH(SOIs!$C9,'SOI Mapping'!$B:$B,0),0)</f>
        <v>Any Hour Services</v>
      </c>
      <c r="E9" s="23"/>
      <c r="F9" s="18" t="s">
        <v>37</v>
      </c>
      <c r="G9" s="23" t="str">
        <f>+INDEX('SOI Mapping'!$D:$D, MATCH(SOIs!$F9,'SOI Mapping'!$B:$B,0),0)</f>
        <v>Any Hour Services</v>
      </c>
      <c r="I9" s="18" t="s">
        <v>284</v>
      </c>
      <c r="J9" s="23" t="str">
        <f>+INDEX('SOI Mapping'!$D:$D, MATCH(SOIs!$I9,'SOI Mapping'!$B:$B,0),0)</f>
        <v>Apex Service Partners</v>
      </c>
      <c r="K9" s="23"/>
      <c r="L9" s="18" t="s">
        <v>282</v>
      </c>
      <c r="M9" s="23" t="str">
        <f>+INDEX('SOI Mapping'!$D:$D, MATCH(SOIs!$L9,'SOI Mapping'!$B:$B,0),0)</f>
        <v>MeritDirect</v>
      </c>
      <c r="N9" s="23"/>
      <c r="O9" s="18" t="s">
        <v>282</v>
      </c>
      <c r="P9" s="23" t="str">
        <f>+INDEX('SOI Mapping'!$D:$D, MATCH(SOIs!$O9,'SOI Mapping'!$B:$B,0),0)</f>
        <v>MeritDirect</v>
      </c>
      <c r="Q9" s="23"/>
      <c r="R9" s="18" t="s">
        <v>285</v>
      </c>
      <c r="S9" s="63" t="s">
        <v>154</v>
      </c>
      <c r="T9" s="23"/>
      <c r="U9" s="18" t="s">
        <v>282</v>
      </c>
      <c r="V9" s="23" t="str">
        <f>+INDEX('SOI Mapping'!$D:$D, MATCH(SOIs!$U9,'SOI Mapping'!$B:$B,0),0)</f>
        <v>MeritDirect</v>
      </c>
      <c r="X9" t="s">
        <v>22</v>
      </c>
    </row>
    <row r="10" spans="1:24">
      <c r="C10" s="18" t="s">
        <v>284</v>
      </c>
      <c r="D10" s="23" t="str">
        <f>+INDEX('SOI Mapping'!$D:$D, MATCH(SOIs!$C10,'SOI Mapping'!$B:$B,0),0)</f>
        <v>Apex Service Partners</v>
      </c>
      <c r="E10" s="23"/>
      <c r="F10" s="18" t="s">
        <v>284</v>
      </c>
      <c r="G10" s="23" t="str">
        <f>+INDEX('SOI Mapping'!$D:$D, MATCH(SOIs!$F10,'SOI Mapping'!$B:$B,0),0)</f>
        <v>Apex Service Partners</v>
      </c>
      <c r="I10" s="18" t="s">
        <v>286</v>
      </c>
      <c r="J10" s="23" t="str">
        <f>+INDEX('SOI Mapping'!$D:$D, MATCH(SOIs!$I10,'SOI Mapping'!$B:$B,0),0)</f>
        <v>Apex Service Partners</v>
      </c>
      <c r="K10" s="23"/>
      <c r="L10" s="18" t="s">
        <v>37</v>
      </c>
      <c r="M10" s="23" t="str">
        <f>+INDEX('SOI Mapping'!$D:$D, MATCH(SOIs!$L10,'SOI Mapping'!$B:$B,0),0)</f>
        <v>Any Hour Services</v>
      </c>
      <c r="N10" s="23"/>
      <c r="O10" s="18" t="s">
        <v>286</v>
      </c>
      <c r="P10" s="23" t="str">
        <f>+INDEX('SOI Mapping'!$D:$D, MATCH(SOIs!$O10,'SOI Mapping'!$B:$B,0),0)</f>
        <v>Apex Service Partners</v>
      </c>
      <c r="Q10" s="23"/>
      <c r="R10" s="18" t="s">
        <v>37</v>
      </c>
      <c r="S10" s="23" t="str">
        <f>+INDEX('SOI Mapping'!$D:$D, MATCH(SOIs!$R10,'SOI Mapping'!$B:$B,0),0)</f>
        <v>Any Hour Services</v>
      </c>
      <c r="T10" s="23"/>
      <c r="U10" s="18" t="s">
        <v>37</v>
      </c>
      <c r="V10" s="23" t="str">
        <f>+INDEX('SOI Mapping'!$D:$D, MATCH(SOIs!$U10,'SOI Mapping'!$B:$B,0),0)</f>
        <v>Any Hour Services</v>
      </c>
      <c r="X10" t="s">
        <v>31</v>
      </c>
    </row>
    <row r="11" spans="1:24">
      <c r="C11" s="18" t="s">
        <v>287</v>
      </c>
      <c r="D11" s="23" t="str">
        <f>+INDEX('SOI Mapping'!$D:$D, MATCH(SOIs!$C11,'SOI Mapping'!$B:$B,0),0)</f>
        <v>Applied Technical Services</v>
      </c>
      <c r="E11" s="23"/>
      <c r="F11" s="18" t="s">
        <v>288</v>
      </c>
      <c r="G11" s="23" t="str">
        <f>+INDEX('SOI Mapping'!$D:$D, MATCH(SOIs!$F11,'SOI Mapping'!$B:$B,0),0)</f>
        <v>Apex Service Partners</v>
      </c>
      <c r="I11" s="18" t="s">
        <v>289</v>
      </c>
      <c r="J11" s="23" t="str">
        <f>+INDEX('SOI Mapping'!$D:$D, MATCH(SOIs!$I11,'SOI Mapping'!$B:$B,0),0)</f>
        <v>Ascensus</v>
      </c>
      <c r="K11" s="23"/>
      <c r="L11" s="18" t="s">
        <v>284</v>
      </c>
      <c r="M11" s="23" t="str">
        <f>+INDEX('SOI Mapping'!$D:$D, MATCH(SOIs!$L11,'SOI Mapping'!$B:$B,0),0)</f>
        <v>Apex Service Partners</v>
      </c>
      <c r="N11" s="23"/>
      <c r="O11" s="18" t="s">
        <v>287</v>
      </c>
      <c r="P11" s="23" t="str">
        <f>+INDEX('SOI Mapping'!$D:$D, MATCH(SOIs!$O11,'SOI Mapping'!$B:$B,0),0)</f>
        <v>Applied Technical Services</v>
      </c>
      <c r="Q11" s="23"/>
      <c r="R11" s="18" t="s">
        <v>290</v>
      </c>
      <c r="S11" s="23" t="str">
        <f>+INDEX('SOI Mapping'!$D:$D, MATCH(SOIs!$R11,'SOI Mapping'!$B:$B,0),0)</f>
        <v>Apex Service Partners</v>
      </c>
      <c r="T11" s="23"/>
      <c r="U11" s="18" t="s">
        <v>286</v>
      </c>
      <c r="V11" s="23" t="str">
        <f>+INDEX('SOI Mapping'!$D:$D, MATCH(SOIs!$U11,'SOI Mapping'!$B:$B,0),0)</f>
        <v>Apex Service Partners</v>
      </c>
      <c r="X11" t="s">
        <v>34</v>
      </c>
    </row>
    <row r="12" spans="1:24">
      <c r="C12" s="18" t="s">
        <v>291</v>
      </c>
      <c r="D12" s="23" t="str">
        <f>+INDEX('SOI Mapping'!$D:$D, MATCH(SOIs!$C12,'SOI Mapping'!$B:$B,0),0)</f>
        <v>Arcfield</v>
      </c>
      <c r="E12" s="23"/>
      <c r="F12" s="18" t="s">
        <v>290</v>
      </c>
      <c r="G12" s="23" t="str">
        <f>+INDEX('SOI Mapping'!$D:$D, MATCH(SOIs!$F12,'SOI Mapping'!$B:$B,0),0)</f>
        <v>Apex Service Partners</v>
      </c>
      <c r="I12" s="18" t="s">
        <v>292</v>
      </c>
      <c r="J12" s="23" t="str">
        <f>+INDEX('SOI Mapping'!$D:$D, MATCH(SOIs!$I12,'SOI Mapping'!$B:$B,0),0)</f>
        <v>alphabroder</v>
      </c>
      <c r="K12" s="23"/>
      <c r="L12" s="18" t="s">
        <v>287</v>
      </c>
      <c r="M12" s="23" t="str">
        <f>+INDEX('SOI Mapping'!$D:$D, MATCH(SOIs!$L12,'SOI Mapping'!$B:$B,0),0)</f>
        <v>Applied Technical Services</v>
      </c>
      <c r="N12" s="23"/>
      <c r="O12" s="18" t="s">
        <v>289</v>
      </c>
      <c r="P12" s="23" t="str">
        <f>+INDEX('SOI Mapping'!$D:$D, MATCH(SOIs!$O12,'SOI Mapping'!$B:$B,0),0)</f>
        <v>Ascensus</v>
      </c>
      <c r="Q12" s="23"/>
      <c r="R12" s="18" t="s">
        <v>287</v>
      </c>
      <c r="S12" s="23" t="str">
        <f>+INDEX('SOI Mapping'!$D:$D, MATCH(SOIs!$R12,'SOI Mapping'!$B:$B,0),0)</f>
        <v>Applied Technical Services</v>
      </c>
      <c r="T12" s="23"/>
      <c r="U12" s="18" t="s">
        <v>287</v>
      </c>
      <c r="V12" s="23" t="str">
        <f>+INDEX('SOI Mapping'!$D:$D, MATCH(SOIs!$U12,'SOI Mapping'!$B:$B,0),0)</f>
        <v>Applied Technical Services</v>
      </c>
      <c r="X12" t="s">
        <v>35</v>
      </c>
    </row>
    <row r="13" spans="1:24">
      <c r="C13" s="18" t="s">
        <v>293</v>
      </c>
      <c r="D13" s="23" t="str">
        <f>+INDEX('SOI Mapping'!$D:$D, MATCH(SOIs!$C13,'SOI Mapping'!$B:$B,0),0)</f>
        <v>Beta+</v>
      </c>
      <c r="E13" s="23"/>
      <c r="F13" s="18" t="s">
        <v>287</v>
      </c>
      <c r="G13" s="23" t="str">
        <f>+INDEX('SOI Mapping'!$D:$D, MATCH(SOIs!$F13,'SOI Mapping'!$B:$B,0),0)</f>
        <v>Applied Technical Services</v>
      </c>
      <c r="I13" s="18" t="s">
        <v>294</v>
      </c>
      <c r="J13" s="23" t="str">
        <f>+INDEX('SOI Mapping'!$D:$D, MATCH(SOIs!$I13,'SOI Mapping'!$B:$B,0),0)</f>
        <v>By Light</v>
      </c>
      <c r="K13" s="23"/>
      <c r="L13" s="18" t="s">
        <v>293</v>
      </c>
      <c r="M13" s="23" t="str">
        <f>+INDEX('SOI Mapping'!$D:$D, MATCH(SOIs!$L13,'SOI Mapping'!$B:$B,0),0)</f>
        <v>Beta+</v>
      </c>
      <c r="N13" s="23"/>
      <c r="O13" s="18" t="s">
        <v>295</v>
      </c>
      <c r="P13" s="23" t="str">
        <f>+INDEX('SOI Mapping'!$D:$D, MATCH(SOIs!$O13,'SOI Mapping'!$B:$B,0),0)</f>
        <v>Berlin Packaging</v>
      </c>
      <c r="Q13" s="23"/>
      <c r="R13" s="18" t="s">
        <v>291</v>
      </c>
      <c r="S13" s="23" t="str">
        <f>+INDEX('SOI Mapping'!$D:$D, MATCH(SOIs!$R13,'SOI Mapping'!$B:$B,0),0)</f>
        <v>Arcfield</v>
      </c>
      <c r="T13" s="23"/>
      <c r="U13" s="18" t="s">
        <v>291</v>
      </c>
      <c r="V13" s="23" t="str">
        <f>+INDEX('SOI Mapping'!$D:$D, MATCH(SOIs!$U13,'SOI Mapping'!$B:$B,0),0)</f>
        <v>Arcfield</v>
      </c>
      <c r="X13" t="s">
        <v>37</v>
      </c>
    </row>
    <row r="14" spans="1:24">
      <c r="C14" s="18" t="s">
        <v>292</v>
      </c>
      <c r="D14" s="23" t="str">
        <f>+INDEX('SOI Mapping'!$D:$D, MATCH(SOIs!$C14,'SOI Mapping'!$B:$B,0),0)</f>
        <v>alphabroder</v>
      </c>
      <c r="E14" s="23"/>
      <c r="F14" s="18" t="s">
        <v>296</v>
      </c>
      <c r="G14" s="63" t="s">
        <v>41</v>
      </c>
      <c r="I14" s="18" t="s">
        <v>297</v>
      </c>
      <c r="J14" s="23" t="str">
        <f>+INDEX('SOI Mapping'!$D:$D, MATCH(SOIs!$I14,'SOI Mapping'!$B:$B,0),0)</f>
        <v>Cartessa</v>
      </c>
      <c r="K14" s="23"/>
      <c r="L14" s="18" t="s">
        <v>297</v>
      </c>
      <c r="M14" s="23" t="str">
        <f>+INDEX('SOI Mapping'!$D:$D, MATCH(SOIs!$L14,'SOI Mapping'!$B:$B,0),0)</f>
        <v>Cartessa</v>
      </c>
      <c r="N14" s="23"/>
      <c r="O14" s="18" t="s">
        <v>298</v>
      </c>
      <c r="P14" s="23" t="str">
        <f>+INDEX('SOI Mapping'!$D:$D, MATCH(SOIs!$O14,'SOI Mapping'!$B:$B,0),0)</f>
        <v>BlackHawk Industrial</v>
      </c>
      <c r="Q14" s="23"/>
      <c r="R14" s="18" t="s">
        <v>299</v>
      </c>
      <c r="S14" s="23" t="str">
        <f>+INDEX('SOI Mapping'!$D:$D, MATCH(SOIs!$R14,'SOI Mapping'!$B:$B,0),0)</f>
        <v>BioDerm</v>
      </c>
      <c r="T14" s="23"/>
      <c r="U14" s="18" t="s">
        <v>293</v>
      </c>
      <c r="V14" s="23" t="str">
        <f>+INDEX('SOI Mapping'!$D:$D, MATCH(SOIs!$U14,'SOI Mapping'!$B:$B,0),0)</f>
        <v>Beta+</v>
      </c>
      <c r="X14" t="s">
        <v>38</v>
      </c>
    </row>
    <row r="15" spans="1:24">
      <c r="C15" s="18" t="s">
        <v>294</v>
      </c>
      <c r="D15" s="23" t="str">
        <f>+INDEX('SOI Mapping'!$D:$D, MATCH(SOIs!$C15,'SOI Mapping'!$B:$B,0),0)</f>
        <v>By Light</v>
      </c>
      <c r="E15" s="23"/>
      <c r="F15" s="18" t="s">
        <v>291</v>
      </c>
      <c r="G15" s="23" t="str">
        <f>+INDEX('SOI Mapping'!$D:$D, MATCH(SOIs!$F15,'SOI Mapping'!$B:$B,0),0)</f>
        <v>Arcfield</v>
      </c>
      <c r="I15" s="18" t="s">
        <v>300</v>
      </c>
      <c r="J15" s="23" t="str">
        <f>+INDEX('SOI Mapping'!$D:$D, MATCH(SOIs!$I15,'SOI Mapping'!$B:$B,0),0)</f>
        <v>Gen3 Marketing</v>
      </c>
      <c r="K15" s="23"/>
      <c r="L15" s="18" t="s">
        <v>300</v>
      </c>
      <c r="M15" s="23" t="str">
        <f>+INDEX('SOI Mapping'!$D:$D, MATCH(SOIs!$L15,'SOI Mapping'!$B:$B,0),0)</f>
        <v>Gen3 Marketing</v>
      </c>
      <c r="N15" s="23"/>
      <c r="O15" s="18" t="s">
        <v>292</v>
      </c>
      <c r="P15" s="23" t="str">
        <f>+INDEX('SOI Mapping'!$D:$D, MATCH(SOIs!$O15,'SOI Mapping'!$B:$B,0),0)</f>
        <v>alphabroder</v>
      </c>
      <c r="Q15" s="23"/>
      <c r="R15" s="18" t="s">
        <v>298</v>
      </c>
      <c r="S15" s="23" t="str">
        <f>+INDEX('SOI Mapping'!$D:$D, MATCH(SOIs!$R15,'SOI Mapping'!$B:$B,0),0)</f>
        <v>BlackHawk Industrial</v>
      </c>
      <c r="T15" s="23"/>
      <c r="U15" s="18" t="s">
        <v>301</v>
      </c>
      <c r="V15" s="23" t="str">
        <f>+INDEX('SOI Mapping'!$D:$D, MATCH(SOIs!$U15,'SOI Mapping'!$B:$B,0),0)</f>
        <v>BioDerm</v>
      </c>
      <c r="X15" t="s">
        <v>41</v>
      </c>
    </row>
    <row r="16" spans="1:24">
      <c r="C16" s="18" t="s">
        <v>297</v>
      </c>
      <c r="D16" s="23" t="str">
        <f>+INDEX('SOI Mapping'!$D:$D, MATCH(SOIs!$C16,'SOI Mapping'!$B:$B,0),0)</f>
        <v>Cartessa</v>
      </c>
      <c r="E16" s="23"/>
      <c r="F16" s="18" t="s">
        <v>293</v>
      </c>
      <c r="G16" s="23" t="str">
        <f>+INDEX('SOI Mapping'!$D:$D, MATCH(SOIs!$F16,'SOI Mapping'!$B:$B,0),0)</f>
        <v>Beta+</v>
      </c>
      <c r="I16" s="18" t="s">
        <v>302</v>
      </c>
      <c r="J16" s="23" t="str">
        <f>+INDEX('SOI Mapping'!$D:$D, MATCH(SOIs!$I16,'SOI Mapping'!$B:$B,0),0)</f>
        <v>Confluent Health</v>
      </c>
      <c r="K16" s="23"/>
      <c r="L16" s="18" t="s">
        <v>303</v>
      </c>
      <c r="M16" s="23" t="str">
        <f>+INDEX('SOI Mapping'!$D:$D, MATCH(SOIs!$L16,'SOI Mapping'!$B:$B,0),0)</f>
        <v>Connatix</v>
      </c>
      <c r="N16" s="23"/>
      <c r="O16" s="18" t="s">
        <v>304</v>
      </c>
      <c r="P16" s="23" t="str">
        <f>+INDEX('SOI Mapping'!$D:$D, MATCH(SOIs!$O16,'SOI Mapping'!$B:$B,0),0)</f>
        <v>BBB Industries</v>
      </c>
      <c r="Q16" s="23"/>
      <c r="R16" s="18" t="s">
        <v>305</v>
      </c>
      <c r="S16" s="63" t="s">
        <v>51</v>
      </c>
      <c r="T16" s="23"/>
      <c r="U16" s="18" t="s">
        <v>298</v>
      </c>
      <c r="V16" s="23" t="str">
        <f>+INDEX('SOI Mapping'!$D:$D, MATCH(SOIs!$U16,'SOI Mapping'!$B:$B,0),0)</f>
        <v>BlackHawk Industrial</v>
      </c>
      <c r="X16" t="s">
        <v>42</v>
      </c>
    </row>
    <row r="17" spans="3:24">
      <c r="C17" s="18" t="s">
        <v>300</v>
      </c>
      <c r="D17" s="23" t="str">
        <f>+INDEX('SOI Mapping'!$D:$D, MATCH(SOIs!$C17,'SOI Mapping'!$B:$B,0),0)</f>
        <v>Gen3 Marketing</v>
      </c>
      <c r="E17" s="23"/>
      <c r="F17" s="18" t="s">
        <v>299</v>
      </c>
      <c r="G17" s="23" t="str">
        <f>+INDEX('SOI Mapping'!$D:$D, MATCH(SOIs!$F17,'SOI Mapping'!$B:$B,0),0)</f>
        <v>BioDerm</v>
      </c>
      <c r="I17" s="18" t="s">
        <v>306</v>
      </c>
      <c r="J17" s="23" t="str">
        <f>+INDEX('SOI Mapping'!$D:$D, MATCH(SOIs!$I17,'SOI Mapping'!$B:$B,0),0)</f>
        <v>Confluent Health</v>
      </c>
      <c r="K17" s="23"/>
      <c r="L17" s="18" t="s">
        <v>307</v>
      </c>
      <c r="M17" s="23" t="str">
        <f>+INDEX('SOI Mapping'!$D:$D, MATCH(SOIs!$L17,'SOI Mapping'!$B:$B,0),0)</f>
        <v>Dr. Squatch</v>
      </c>
      <c r="N17" s="23"/>
      <c r="O17" s="18" t="s">
        <v>294</v>
      </c>
      <c r="P17" s="23" t="str">
        <f>+INDEX('SOI Mapping'!$D:$D, MATCH(SOIs!$O17,'SOI Mapping'!$B:$B,0),0)</f>
        <v>By Light</v>
      </c>
      <c r="Q17" s="23"/>
      <c r="R17" s="18" t="s">
        <v>294</v>
      </c>
      <c r="S17" s="23" t="str">
        <f>+INDEX('SOI Mapping'!$D:$D, MATCH(SOIs!$R17,'SOI Mapping'!$B:$B,0),0)</f>
        <v>By Light</v>
      </c>
      <c r="T17" s="23"/>
      <c r="U17" s="18" t="s">
        <v>292</v>
      </c>
      <c r="V17" s="23" t="str">
        <f>+INDEX('SOI Mapping'!$D:$D, MATCH(SOIs!$U17,'SOI Mapping'!$B:$B,0),0)</f>
        <v>alphabroder</v>
      </c>
      <c r="X17" t="s">
        <v>45</v>
      </c>
    </row>
    <row r="18" spans="3:24">
      <c r="C18" s="18" t="s">
        <v>308</v>
      </c>
      <c r="D18" s="23" t="str">
        <f>+INDEX('SOI Mapping'!$D:$D, MATCH(SOIs!$C18,'SOI Mapping'!$B:$B,0),0)</f>
        <v>CHA Consulting</v>
      </c>
      <c r="E18" s="23"/>
      <c r="F18" s="18" t="s">
        <v>298</v>
      </c>
      <c r="G18" s="23" t="str">
        <f>+INDEX('SOI Mapping'!$D:$D, MATCH(SOIs!$F18,'SOI Mapping'!$B:$B,0),0)</f>
        <v>BlackHawk Industrial</v>
      </c>
      <c r="I18" s="18" t="s">
        <v>303</v>
      </c>
      <c r="J18" s="23" t="str">
        <f>+INDEX('SOI Mapping'!$D:$D, MATCH(SOIs!$I18,'SOI Mapping'!$B:$B,0),0)</f>
        <v>Connatix</v>
      </c>
      <c r="K18" s="23"/>
      <c r="L18" s="18" t="s">
        <v>309</v>
      </c>
      <c r="M18" s="23" t="str">
        <f>+INDEX('SOI Mapping'!$D:$D, MATCH(SOIs!$L18,'SOI Mapping'!$B:$B,0),0)</f>
        <v>Digital Room</v>
      </c>
      <c r="N18" s="23"/>
      <c r="O18" s="18" t="s">
        <v>297</v>
      </c>
      <c r="P18" s="23" t="str">
        <f>+INDEX('SOI Mapping'!$D:$D, MATCH(SOIs!$O18,'SOI Mapping'!$B:$B,0),0)</f>
        <v>Cartessa</v>
      </c>
      <c r="Q18" s="23"/>
      <c r="R18" s="18" t="s">
        <v>310</v>
      </c>
      <c r="S18" s="23" t="str">
        <f>+INDEX('SOI Mapping'!$D:$D, MATCH(SOIs!$R18,'SOI Mapping'!$B:$B,0),0)</f>
        <v>Cadence Aerospace</v>
      </c>
      <c r="T18" s="23"/>
      <c r="U18" s="18" t="s">
        <v>297</v>
      </c>
      <c r="V18" s="23" t="str">
        <f>+INDEX('SOI Mapping'!$D:$D, MATCH(SOIs!$U18,'SOI Mapping'!$B:$B,0),0)</f>
        <v>Cartessa</v>
      </c>
      <c r="X18" t="s">
        <v>49</v>
      </c>
    </row>
    <row r="19" spans="3:24">
      <c r="C19" s="18" t="s">
        <v>303</v>
      </c>
      <c r="D19" s="23" t="str">
        <f>+INDEX('SOI Mapping'!$D:$D, MATCH(SOIs!$C19,'SOI Mapping'!$B:$B,0),0)</f>
        <v>Connatix</v>
      </c>
      <c r="E19" s="23"/>
      <c r="F19" s="18" t="s">
        <v>292</v>
      </c>
      <c r="G19" s="23" t="str">
        <f>+INDEX('SOI Mapping'!$D:$D, MATCH(SOIs!$F19,'SOI Mapping'!$B:$B,0),0)</f>
        <v>alphabroder</v>
      </c>
      <c r="I19" s="18" t="s">
        <v>311</v>
      </c>
      <c r="J19" s="23" t="str">
        <f>+INDEX('SOI Mapping'!$D:$D, MATCH(SOIs!$I19,'SOI Mapping'!$B:$B,0),0)</f>
        <v>CoolSys</v>
      </c>
      <c r="K19" s="23"/>
      <c r="L19" s="18" t="s">
        <v>312</v>
      </c>
      <c r="M19" s="23" t="str">
        <f>+INDEX('SOI Mapping'!$D:$D, MATCH(SOIs!$L19,'SOI Mapping'!$B:$B,0),0)</f>
        <v>Dr. Scholl's</v>
      </c>
      <c r="N19" s="23"/>
      <c r="O19" s="18" t="s">
        <v>300</v>
      </c>
      <c r="P19" s="23" t="str">
        <f>+INDEX('SOI Mapping'!$D:$D, MATCH(SOIs!$O19,'SOI Mapping'!$B:$B,0),0)</f>
        <v>Gen3 Marketing</v>
      </c>
      <c r="Q19" s="23"/>
      <c r="R19" s="18" t="s">
        <v>313</v>
      </c>
      <c r="S19" s="63" t="s">
        <v>71</v>
      </c>
      <c r="T19" s="23"/>
      <c r="U19" s="18" t="s">
        <v>303</v>
      </c>
      <c r="V19" s="23" t="str">
        <f>+INDEX('SOI Mapping'!$D:$D, MATCH(SOIs!$U19,'SOI Mapping'!$B:$B,0),0)</f>
        <v>Connatix</v>
      </c>
      <c r="X19" t="s">
        <v>51</v>
      </c>
    </row>
    <row r="20" spans="3:24">
      <c r="C20" s="18" t="s">
        <v>314</v>
      </c>
      <c r="D20" s="23" t="str">
        <f>+INDEX('SOI Mapping'!$D:$D, MATCH(SOIs!$C20,'SOI Mapping'!$B:$B,0),0)</f>
        <v>Crane 1</v>
      </c>
      <c r="E20" s="23"/>
      <c r="F20" s="18" t="s">
        <v>294</v>
      </c>
      <c r="G20" s="23" t="str">
        <f>+INDEX('SOI Mapping'!$D:$D, MATCH(SOIs!$F20,'SOI Mapping'!$B:$B,0),0)</f>
        <v>By Light</v>
      </c>
      <c r="I20" s="18" t="s">
        <v>315</v>
      </c>
      <c r="J20" s="23" t="str">
        <f>+INDEX('SOI Mapping'!$D:$D, MATCH(SOIs!$I20,'SOI Mapping'!$B:$B,0),0)</f>
        <v>CoolSys</v>
      </c>
      <c r="K20" s="23"/>
      <c r="L20" s="18" t="s">
        <v>316</v>
      </c>
      <c r="M20" s="23" t="str">
        <f>+INDEX('SOI Mapping'!$D:$D, MATCH(SOIs!$L20,'SOI Mapping'!$B:$B,0),0)</f>
        <v>The Duraco Group</v>
      </c>
      <c r="N20" s="23"/>
      <c r="O20" s="18" t="s">
        <v>317</v>
      </c>
      <c r="P20" s="23" t="str">
        <f>+INDEX('SOI Mapping'!$D:$D, MATCH(SOIs!$O20,'SOI Mapping'!$B:$B,0),0)</f>
        <v>Compex Legal</v>
      </c>
      <c r="Q20" s="23"/>
      <c r="R20" s="18" t="s">
        <v>300</v>
      </c>
      <c r="S20" s="23" t="str">
        <f>+INDEX('SOI Mapping'!$D:$D, MATCH(SOIs!$R20,'SOI Mapping'!$B:$B,0),0)</f>
        <v>Gen3 Marketing</v>
      </c>
      <c r="T20" s="23"/>
      <c r="U20" s="18" t="s">
        <v>314</v>
      </c>
      <c r="V20" s="23" t="str">
        <f>+INDEX('SOI Mapping'!$D:$D, MATCH(SOIs!$U20,'SOI Mapping'!$B:$B,0),0)</f>
        <v>Crane 1</v>
      </c>
      <c r="X20" t="s">
        <v>53</v>
      </c>
    </row>
    <row r="21" spans="3:24">
      <c r="C21" s="18" t="s">
        <v>316</v>
      </c>
      <c r="D21" s="23" t="str">
        <f>+INDEX('SOI Mapping'!$D:$D, MATCH(SOIs!$C21,'SOI Mapping'!$B:$B,0),0)</f>
        <v>The Duraco Group</v>
      </c>
      <c r="E21" s="23"/>
      <c r="F21" s="18" t="s">
        <v>297</v>
      </c>
      <c r="G21" s="23" t="str">
        <f>+INDEX('SOI Mapping'!$D:$D, MATCH(SOIs!$F21,'SOI Mapping'!$B:$B,0),0)</f>
        <v>Cartessa</v>
      </c>
      <c r="I21" s="18" t="s">
        <v>314</v>
      </c>
      <c r="J21" s="23" t="str">
        <f>+INDEX('SOI Mapping'!$D:$D, MATCH(SOIs!$I21,'SOI Mapping'!$B:$B,0),0)</f>
        <v>Crane 1</v>
      </c>
      <c r="K21" s="23"/>
      <c r="L21" s="18" t="s">
        <v>318</v>
      </c>
      <c r="M21" s="63" t="s">
        <v>319</v>
      </c>
      <c r="N21" s="23"/>
      <c r="O21" s="18" t="s">
        <v>303</v>
      </c>
      <c r="P21" s="23" t="str">
        <f>+INDEX('SOI Mapping'!$D:$D, MATCH(SOIs!$O21,'SOI Mapping'!$B:$B,0),0)</f>
        <v>Connatix</v>
      </c>
      <c r="Q21" s="23"/>
      <c r="R21" s="18" t="s">
        <v>320</v>
      </c>
      <c r="S21" s="63" t="s">
        <v>86</v>
      </c>
      <c r="T21" s="23"/>
      <c r="U21" s="18" t="s">
        <v>307</v>
      </c>
      <c r="V21" s="23" t="str">
        <f>+INDEX('SOI Mapping'!$D:$D, MATCH(SOIs!$U21,'SOI Mapping'!$B:$B,0),0)</f>
        <v>Dr. Squatch</v>
      </c>
      <c r="X21" t="s">
        <v>54</v>
      </c>
    </row>
    <row r="22" spans="3:24">
      <c r="C22" s="18" t="s">
        <v>312</v>
      </c>
      <c r="D22" s="23" t="str">
        <f>+INDEX('SOI Mapping'!$D:$D, MATCH(SOIs!$C22,'SOI Mapping'!$B:$B,0),0)</f>
        <v>Dr. Scholl's</v>
      </c>
      <c r="E22" s="23"/>
      <c r="F22" s="18" t="s">
        <v>300</v>
      </c>
      <c r="G22" s="23" t="str">
        <f>+INDEX('SOI Mapping'!$D:$D, MATCH(SOIs!$F22,'SOI Mapping'!$B:$B,0),0)</f>
        <v>Gen3 Marketing</v>
      </c>
      <c r="I22" s="18" t="s">
        <v>321</v>
      </c>
      <c r="J22" s="23" t="str">
        <f>+INDEX('SOI Mapping'!$D:$D, MATCH(SOIs!$I22,'SOI Mapping'!$B:$B,0),0)</f>
        <v>Convergint</v>
      </c>
      <c r="K22" s="23"/>
      <c r="L22" s="18" t="s">
        <v>322</v>
      </c>
      <c r="M22" s="23" t="str">
        <f>+INDEX('SOI Mapping'!$D:$D, MATCH(SOIs!$L22,'SOI Mapping'!$B:$B,0),0)</f>
        <v>Exigo</v>
      </c>
      <c r="N22" s="23"/>
      <c r="O22" s="18" t="s">
        <v>323</v>
      </c>
      <c r="P22" s="23" t="str">
        <f>+INDEX('SOI Mapping'!$D:$D, MATCH(SOIs!$O22,'SOI Mapping'!$B:$B,0),0)</f>
        <v>Kroll</v>
      </c>
      <c r="Q22" s="23"/>
      <c r="R22" s="18" t="s">
        <v>324</v>
      </c>
      <c r="S22" s="63" t="s">
        <v>92</v>
      </c>
      <c r="T22" s="23"/>
      <c r="U22" s="18" t="s">
        <v>312</v>
      </c>
      <c r="V22" s="23" t="str">
        <f>+INDEX('SOI Mapping'!$D:$D, MATCH(SOIs!$U22,'SOI Mapping'!$B:$B,0),0)</f>
        <v>Dr. Scholl's</v>
      </c>
      <c r="X22" t="s">
        <v>325</v>
      </c>
    </row>
    <row r="23" spans="3:24">
      <c r="C23" s="18" t="s">
        <v>326</v>
      </c>
      <c r="D23" s="23" t="str">
        <f>+INDEX('SOI Mapping'!$D:$D, MATCH(SOIs!$C23,'SOI Mapping'!$B:$B,0),0)</f>
        <v>ECL Entertainment</v>
      </c>
      <c r="E23" s="23"/>
      <c r="F23" s="18" t="s">
        <v>308</v>
      </c>
      <c r="G23" s="23" t="str">
        <f>+INDEX('SOI Mapping'!$D:$D, MATCH(SOIs!$F23,'SOI Mapping'!$B:$B,0),0)</f>
        <v>CHA Consulting</v>
      </c>
      <c r="I23" s="18" t="s">
        <v>307</v>
      </c>
      <c r="J23" s="23" t="str">
        <f>+INDEX('SOI Mapping'!$D:$D, MATCH(SOIs!$I23,'SOI Mapping'!$B:$B,0),0)</f>
        <v>Dr. Squatch</v>
      </c>
      <c r="K23" s="23"/>
      <c r="L23" s="18" t="s">
        <v>327</v>
      </c>
      <c r="M23" s="23" t="str">
        <f>+INDEX('SOI Mapping'!$D:$D, MATCH(SOIs!$L23,'SOI Mapping'!$B:$B,0),0)</f>
        <v>Global</v>
      </c>
      <c r="N23" s="23"/>
      <c r="O23" s="18" t="s">
        <v>321</v>
      </c>
      <c r="P23" s="23" t="str">
        <f>+INDEX('SOI Mapping'!$D:$D, MATCH(SOIs!$O23,'SOI Mapping'!$B:$B,0),0)</f>
        <v>Convergint</v>
      </c>
      <c r="Q23" s="23"/>
      <c r="R23" s="18" t="s">
        <v>309</v>
      </c>
      <c r="S23" s="23" t="str">
        <f>+INDEX('SOI Mapping'!$D:$D, MATCH(SOIs!$R23,'SOI Mapping'!$B:$B,0),0)</f>
        <v>Digital Room</v>
      </c>
      <c r="T23" s="23"/>
      <c r="U23" s="18" t="s">
        <v>316</v>
      </c>
      <c r="V23" s="23" t="str">
        <f>+INDEX('SOI Mapping'!$D:$D, MATCH(SOIs!$U23,'SOI Mapping'!$B:$B,0),0)</f>
        <v>The Duraco Group</v>
      </c>
      <c r="X23" t="s">
        <v>328</v>
      </c>
    </row>
    <row r="24" spans="3:24">
      <c r="C24" s="18" t="s">
        <v>329</v>
      </c>
      <c r="D24" s="23" t="str">
        <f>+INDEX('SOI Mapping'!$D:$D, MATCH(SOIs!$C24,'SOI Mapping'!$B:$B,0),0)</f>
        <v>eCommission</v>
      </c>
      <c r="E24" s="23"/>
      <c r="F24" s="18" t="s">
        <v>303</v>
      </c>
      <c r="G24" s="23" t="str">
        <f>+INDEX('SOI Mapping'!$D:$D, MATCH(SOIs!$F24,'SOI Mapping'!$B:$B,0),0)</f>
        <v>Connatix</v>
      </c>
      <c r="I24" s="18" t="s">
        <v>309</v>
      </c>
      <c r="J24" s="23" t="str">
        <f>+INDEX('SOI Mapping'!$D:$D, MATCH(SOIs!$I24,'SOI Mapping'!$B:$B,0),0)</f>
        <v>Digital Room</v>
      </c>
      <c r="K24" s="23"/>
      <c r="L24" s="18" t="s">
        <v>330</v>
      </c>
      <c r="M24" s="23" t="str">
        <f>+INDEX('SOI Mapping'!$D:$D, MATCH(SOIs!$L24,'SOI Mapping'!$B:$B,0),0)</f>
        <v>Painters Supply and Equipment</v>
      </c>
      <c r="N24" s="23"/>
      <c r="O24" s="18" t="s">
        <v>307</v>
      </c>
      <c r="P24" s="23" t="str">
        <f>+INDEX('SOI Mapping'!$D:$D, MATCH(SOIs!$O24,'SOI Mapping'!$B:$B,0),0)</f>
        <v>Dr. Squatch</v>
      </c>
      <c r="Q24" s="23"/>
      <c r="R24" s="18" t="s">
        <v>312</v>
      </c>
      <c r="S24" s="23" t="str">
        <f>+INDEX('SOI Mapping'!$D:$D, MATCH(SOIs!$R24,'SOI Mapping'!$B:$B,0),0)</f>
        <v>Dr. Scholl's</v>
      </c>
      <c r="T24" s="23"/>
      <c r="U24" s="18" t="s">
        <v>331</v>
      </c>
      <c r="V24" s="23" t="str">
        <f>+INDEX('SOI Mapping'!$D:$D, MATCH(SOIs!$U24,'SOI Mapping'!$B:$B,0),0)</f>
        <v>Epiq</v>
      </c>
      <c r="X24" t="s">
        <v>332</v>
      </c>
    </row>
    <row r="25" spans="3:24">
      <c r="C25" s="18" t="s">
        <v>327</v>
      </c>
      <c r="D25" s="23" t="str">
        <f>+INDEX('SOI Mapping'!$D:$D, MATCH(SOIs!$C25,'SOI Mapping'!$B:$B,0),0)</f>
        <v>Global</v>
      </c>
      <c r="E25" s="23"/>
      <c r="F25" s="18" t="s">
        <v>324</v>
      </c>
      <c r="G25" s="63" t="s">
        <v>92</v>
      </c>
      <c r="I25" s="18" t="s">
        <v>312</v>
      </c>
      <c r="J25" s="23" t="str">
        <f>+INDEX('SOI Mapping'!$D:$D, MATCH(SOIs!$I25,'SOI Mapping'!$B:$B,0),0)</f>
        <v>Dr. Scholl's</v>
      </c>
      <c r="K25" s="23"/>
      <c r="L25" s="18" t="s">
        <v>333</v>
      </c>
      <c r="M25" s="23" t="str">
        <f>+INDEX('SOI Mapping'!$D:$D, MATCH(SOIs!$L25,'SOI Mapping'!$B:$B,0),0)</f>
        <v>Hancock</v>
      </c>
      <c r="N25" s="23"/>
      <c r="O25" s="18" t="s">
        <v>309</v>
      </c>
      <c r="P25" s="23" t="str">
        <f>+INDEX('SOI Mapping'!$D:$D, MATCH(SOIs!$O25,'SOI Mapping'!$B:$B,0),0)</f>
        <v>Digital Room</v>
      </c>
      <c r="Q25" s="23"/>
      <c r="R25" s="18" t="s">
        <v>316</v>
      </c>
      <c r="S25" s="23" t="str">
        <f>+INDEX('SOI Mapping'!$D:$D, MATCH(SOIs!$R25,'SOI Mapping'!$B:$B,0),0)</f>
        <v>The Duraco Group</v>
      </c>
      <c r="T25" s="23"/>
      <c r="U25" s="18" t="s">
        <v>334</v>
      </c>
      <c r="V25" s="23" t="str">
        <f>+INDEX('SOI Mapping'!$D:$D, MATCH(SOIs!$U25,'SOI Mapping'!$B:$B,0),0)</f>
        <v>Electro Rent</v>
      </c>
      <c r="X25" t="s">
        <v>61</v>
      </c>
    </row>
    <row r="26" spans="3:24">
      <c r="C26" s="18" t="s">
        <v>333</v>
      </c>
      <c r="D26" s="23" t="str">
        <f>+INDEX('SOI Mapping'!$D:$D, MATCH(SOIs!$C26,'SOI Mapping'!$B:$B,0),0)</f>
        <v>Hancock</v>
      </c>
      <c r="E26" s="23"/>
      <c r="F26" s="18" t="s">
        <v>309</v>
      </c>
      <c r="G26" s="23" t="str">
        <f>+INDEX('SOI Mapping'!$D:$D, MATCH(SOIs!$F26,'SOI Mapping'!$B:$B,0),0)</f>
        <v>Digital Room</v>
      </c>
      <c r="I26" s="18" t="s">
        <v>316</v>
      </c>
      <c r="J26" s="23" t="str">
        <f>+INDEX('SOI Mapping'!$D:$D, MATCH(SOIs!$I26,'SOI Mapping'!$B:$B,0),0)</f>
        <v>The Duraco Group</v>
      </c>
      <c r="K26" s="23"/>
      <c r="L26" s="18" t="s">
        <v>335</v>
      </c>
      <c r="M26" s="23" t="str">
        <f>+INDEX('SOI Mapping'!$D:$D, MATCH(SOIs!$L26,'SOI Mapping'!$B:$B,0),0)</f>
        <v>Smartronix / Trident</v>
      </c>
      <c r="N26" s="23"/>
      <c r="O26" s="18" t="s">
        <v>336</v>
      </c>
      <c r="P26" s="23" t="str">
        <f>+INDEX('SOI Mapping'!$D:$D, MATCH(SOIs!$O26,'SOI Mapping'!$B:$B,0),0)</f>
        <v>Dr. Scholl's</v>
      </c>
      <c r="Q26" s="23"/>
      <c r="R26" s="18" t="s">
        <v>331</v>
      </c>
      <c r="S26" s="23" t="str">
        <f>+INDEX('SOI Mapping'!$D:$D, MATCH(SOIs!$R26,'SOI Mapping'!$B:$B,0),0)</f>
        <v>Epiq</v>
      </c>
      <c r="T26" s="23"/>
      <c r="U26" s="18" t="s">
        <v>318</v>
      </c>
      <c r="V26" s="63" t="s">
        <v>319</v>
      </c>
      <c r="X26" t="s">
        <v>65</v>
      </c>
    </row>
    <row r="27" spans="3:24">
      <c r="C27" s="18" t="s">
        <v>335</v>
      </c>
      <c r="D27" s="23" t="str">
        <f>+INDEX('SOI Mapping'!$D:$D, MATCH(SOIs!$C27,'SOI Mapping'!$B:$B,0),0)</f>
        <v>Smartronix / Trident</v>
      </c>
      <c r="E27" s="23"/>
      <c r="F27" s="18" t="s">
        <v>312</v>
      </c>
      <c r="G27" s="23" t="str">
        <f>+INDEX('SOI Mapping'!$D:$D, MATCH(SOIs!$F27,'SOI Mapping'!$B:$B,0),0)</f>
        <v>Dr. Scholl's</v>
      </c>
      <c r="I27" s="18" t="s">
        <v>326</v>
      </c>
      <c r="J27" s="23" t="str">
        <f>+INDEX('SOI Mapping'!$D:$D, MATCH(SOIs!$I27,'SOI Mapping'!$B:$B,0),0)</f>
        <v>ECL Entertainment</v>
      </c>
      <c r="K27" s="23"/>
      <c r="L27" s="18" t="s">
        <v>337</v>
      </c>
      <c r="M27" s="23" t="str">
        <f>+INDEX('SOI Mapping'!$D:$D, MATCH(SOIs!$L27,'SOI Mapping'!$B:$B,0),0)</f>
        <v>Hanley Wood</v>
      </c>
      <c r="N27" s="23"/>
      <c r="O27" s="18" t="s">
        <v>316</v>
      </c>
      <c r="P27" s="23" t="str">
        <f>+INDEX('SOI Mapping'!$D:$D, MATCH(SOIs!$O27,'SOI Mapping'!$B:$B,0),0)</f>
        <v>The Duraco Group</v>
      </c>
      <c r="Q27" s="23"/>
      <c r="R27" s="18" t="s">
        <v>334</v>
      </c>
      <c r="S27" s="23" t="str">
        <f>+INDEX('SOI Mapping'!$D:$D, MATCH(SOIs!$R27,'SOI Mapping'!$B:$B,0),0)</f>
        <v>Electro Rent</v>
      </c>
      <c r="T27" s="23"/>
      <c r="U27" s="18" t="s">
        <v>322</v>
      </c>
      <c r="V27" s="23" t="str">
        <f>+INDEX('SOI Mapping'!$D:$D, MATCH(SOIs!$U27,'SOI Mapping'!$B:$B,0),0)</f>
        <v>Exigo</v>
      </c>
      <c r="X27" t="s">
        <v>67</v>
      </c>
    </row>
    <row r="28" spans="3:24">
      <c r="C28" s="18" t="s">
        <v>337</v>
      </c>
      <c r="D28" s="23" t="str">
        <f>+INDEX('SOI Mapping'!$D:$D, MATCH(SOIs!$C28,'SOI Mapping'!$B:$B,0),0)</f>
        <v>Hanley Wood</v>
      </c>
      <c r="E28" s="23"/>
      <c r="F28" s="18" t="s">
        <v>326</v>
      </c>
      <c r="G28" s="23" t="str">
        <f>+INDEX('SOI Mapping'!$D:$D, MATCH(SOIs!$F28,'SOI Mapping'!$B:$B,0),0)</f>
        <v>ECL Entertainment</v>
      </c>
      <c r="I28" s="18" t="s">
        <v>338</v>
      </c>
      <c r="J28" s="23" t="str">
        <f>+INDEX('SOI Mapping'!$D:$D, MATCH(SOIs!$I28,'SOI Mapping'!$B:$B,0),0)</f>
        <v>ECM Industries</v>
      </c>
      <c r="K28" s="23"/>
      <c r="L28" s="18" t="s">
        <v>339</v>
      </c>
      <c r="M28" s="23" t="str">
        <f>+INDEX('SOI Mapping'!$D:$D, MATCH(SOIs!$L28,'SOI Mapping'!$B:$B,0),0)</f>
        <v>Insight Global</v>
      </c>
      <c r="N28" s="23"/>
      <c r="O28" s="18" t="s">
        <v>331</v>
      </c>
      <c r="P28" s="23" t="str">
        <f>+INDEX('SOI Mapping'!$D:$D, MATCH(SOIs!$O28,'SOI Mapping'!$B:$B,0),0)</f>
        <v>Epiq</v>
      </c>
      <c r="Q28" s="23"/>
      <c r="R28" s="18" t="s">
        <v>340</v>
      </c>
      <c r="S28" s="63" t="s">
        <v>319</v>
      </c>
      <c r="T28" s="23"/>
      <c r="U28" s="18" t="s">
        <v>108</v>
      </c>
      <c r="V28" s="23" t="str">
        <f>+INDEX('SOI Mapping'!$D:$D, MATCH(SOIs!$U28,'SOI Mapping'!$B:$B,0),0)</f>
        <v>Fairbanks Morse Defense</v>
      </c>
      <c r="X28" t="s">
        <v>71</v>
      </c>
    </row>
    <row r="29" spans="3:24">
      <c r="C29" s="18" t="s">
        <v>339</v>
      </c>
      <c r="D29" s="23" t="str">
        <f>+INDEX('SOI Mapping'!$D:$D, MATCH(SOIs!$C29,'SOI Mapping'!$B:$B,0),0)</f>
        <v>Insight Global</v>
      </c>
      <c r="E29" s="23"/>
      <c r="F29" s="18" t="s">
        <v>340</v>
      </c>
      <c r="G29" s="63" t="s">
        <v>319</v>
      </c>
      <c r="I29" s="18" t="s">
        <v>322</v>
      </c>
      <c r="J29" s="23" t="str">
        <f>+INDEX('SOI Mapping'!$D:$D, MATCH(SOIs!$I29,'SOI Mapping'!$B:$B,0),0)</f>
        <v>Exigo</v>
      </c>
      <c r="K29" s="23"/>
      <c r="L29" s="18" t="s">
        <v>341</v>
      </c>
      <c r="M29" s="23" t="str">
        <f>+INDEX('SOI Mapping'!$D:$D, MATCH(SOIs!$L29,'SOI Mapping'!$B:$B,0),0)</f>
        <v>ImagineAcquisitionCo</v>
      </c>
      <c r="N29" s="23"/>
      <c r="O29" s="18" t="s">
        <v>334</v>
      </c>
      <c r="P29" s="23" t="str">
        <f>+INDEX('SOI Mapping'!$D:$D, MATCH(SOIs!$O29,'SOI Mapping'!$B:$B,0),0)</f>
        <v>Electro Rent</v>
      </c>
      <c r="Q29" s="23"/>
      <c r="R29" s="18" t="s">
        <v>322</v>
      </c>
      <c r="S29" s="23" t="str">
        <f>+INDEX('SOI Mapping'!$D:$D, MATCH(SOIs!$R29,'SOI Mapping'!$B:$B,0),0)</f>
        <v>Exigo</v>
      </c>
      <c r="T29" s="23"/>
      <c r="U29" s="18" t="s">
        <v>342</v>
      </c>
      <c r="V29" s="63" t="s">
        <v>112</v>
      </c>
      <c r="X29" t="s">
        <v>73</v>
      </c>
    </row>
    <row r="30" spans="3:24">
      <c r="C30" s="18" t="s">
        <v>343</v>
      </c>
      <c r="D30" s="23" t="str">
        <f>+INDEX('SOI Mapping'!$D:$D, MATCH(SOIs!$C30,'SOI Mapping'!$B:$B,0),0)</f>
        <v>Prelude</v>
      </c>
      <c r="E30" s="23"/>
      <c r="F30" s="18" t="s">
        <v>322</v>
      </c>
      <c r="G30" s="23" t="str">
        <f>+INDEX('SOI Mapping'!$D:$D, MATCH(SOIs!$F30,'SOI Mapping'!$B:$B,0),0)</f>
        <v>Exigo</v>
      </c>
      <c r="I30" s="18" t="s">
        <v>344</v>
      </c>
      <c r="J30" s="23" t="str">
        <f>+INDEX('SOI Mapping'!$D:$D, MATCH(SOIs!$I30,'SOI Mapping'!$B:$B,0),0)</f>
        <v>Fairbanks Morse Defense</v>
      </c>
      <c r="K30" s="23"/>
      <c r="L30" s="18" t="s">
        <v>343</v>
      </c>
      <c r="M30" s="23" t="str">
        <f>+INDEX('SOI Mapping'!$D:$D, MATCH(SOIs!$L30,'SOI Mapping'!$B:$B,0),0)</f>
        <v>Prelude</v>
      </c>
      <c r="N30" s="23"/>
      <c r="O30" s="18" t="s">
        <v>322</v>
      </c>
      <c r="P30" s="23" t="str">
        <f>+INDEX('SOI Mapping'!$D:$D, MATCH(SOIs!$O30,'SOI Mapping'!$B:$B,0),0)</f>
        <v>Exigo</v>
      </c>
      <c r="Q30" s="23"/>
      <c r="R30" s="18" t="s">
        <v>344</v>
      </c>
      <c r="S30" s="23" t="str">
        <f>+INDEX('SOI Mapping'!$D:$D, MATCH(SOIs!$R30,'SOI Mapping'!$B:$B,0),0)</f>
        <v>Fairbanks Morse Defense</v>
      </c>
      <c r="T30" s="23"/>
      <c r="U30" s="18" t="s">
        <v>327</v>
      </c>
      <c r="V30" s="23" t="str">
        <f>+INDEX('SOI Mapping'!$D:$D, MATCH(SOIs!$U30,'SOI Mapping'!$B:$B,0),0)</f>
        <v>Global</v>
      </c>
      <c r="X30" t="s">
        <v>80</v>
      </c>
    </row>
    <row r="31" spans="3:24">
      <c r="C31" s="18" t="s">
        <v>345</v>
      </c>
      <c r="D31" s="23" t="str">
        <f>+INDEX('SOI Mapping'!$D:$D, MATCH(SOIs!$C31,'SOI Mapping'!$B:$B,0),0)</f>
        <v>Integrative Nutrition</v>
      </c>
      <c r="E31" s="23"/>
      <c r="F31" s="18" t="s">
        <v>344</v>
      </c>
      <c r="G31" s="23" t="str">
        <f>+INDEX('SOI Mapping'!$D:$D, MATCH(SOIs!$F31,'SOI Mapping'!$B:$B,0),0)</f>
        <v>Fairbanks Morse Defense</v>
      </c>
      <c r="I31" s="18" t="s">
        <v>346</v>
      </c>
      <c r="J31" s="23" t="str">
        <f>+INDEX('SOI Mapping'!$D:$D, MATCH(SOIs!$I31,'SOI Mapping'!$B:$B,0),0)</f>
        <v>GCOM</v>
      </c>
      <c r="K31" s="23"/>
      <c r="L31" s="18" t="s">
        <v>347</v>
      </c>
      <c r="M31" s="23" t="str">
        <f>+INDEX('SOI Mapping'!$D:$D, MATCH(SOIs!$L31,'SOI Mapping'!$B:$B,0),0)</f>
        <v>Integrity Marketing</v>
      </c>
      <c r="N31" s="23"/>
      <c r="O31" s="18" t="s">
        <v>108</v>
      </c>
      <c r="P31" s="23" t="str">
        <f>+INDEX('SOI Mapping'!$D:$D, MATCH(SOIs!$O31,'SOI Mapping'!$B:$B,0),0)</f>
        <v>Fairbanks Morse Defense</v>
      </c>
      <c r="Q31" s="23"/>
      <c r="R31" s="18" t="s">
        <v>337</v>
      </c>
      <c r="S31" s="23" t="str">
        <f>+INDEX('SOI Mapping'!$D:$D, MATCH(SOIs!$R31,'SOI Mapping'!$B:$B,0),0)</f>
        <v>Hanley Wood</v>
      </c>
      <c r="T31" s="23"/>
      <c r="U31" s="18" t="s">
        <v>333</v>
      </c>
      <c r="V31" s="23" t="str">
        <f>+INDEX('SOI Mapping'!$D:$D, MATCH(SOIs!$U31,'SOI Mapping'!$B:$B,0),0)</f>
        <v>Hancock</v>
      </c>
      <c r="X31" t="s">
        <v>82</v>
      </c>
    </row>
    <row r="32" spans="3:24">
      <c r="C32" s="18" t="s">
        <v>348</v>
      </c>
      <c r="D32" s="23" t="str">
        <f>+INDEX('SOI Mapping'!$D:$D, MATCH(SOIs!$C32,'SOI Mapping'!$B:$B,0),0)</f>
        <v>Integrity Marketing</v>
      </c>
      <c r="E32" s="23"/>
      <c r="F32" s="18" t="s">
        <v>327</v>
      </c>
      <c r="G32" s="23" t="str">
        <f>+INDEX('SOI Mapping'!$D:$D, MATCH(SOIs!$F32,'SOI Mapping'!$B:$B,0),0)</f>
        <v>Global</v>
      </c>
      <c r="I32" s="18" t="s">
        <v>327</v>
      </c>
      <c r="J32" s="23" t="str">
        <f>+INDEX('SOI Mapping'!$D:$D, MATCH(SOIs!$I32,'SOI Mapping'!$B:$B,0),0)</f>
        <v>Global</v>
      </c>
      <c r="K32" s="23"/>
      <c r="L32" s="18" t="s">
        <v>349</v>
      </c>
      <c r="M32" s="23" t="str">
        <f>+INDEX('SOI Mapping'!$D:$D, MATCH(SOIs!$L32,'SOI Mapping'!$B:$B,0),0)</f>
        <v>K2</v>
      </c>
      <c r="N32" s="23"/>
      <c r="O32" s="18" t="s">
        <v>346</v>
      </c>
      <c r="P32" s="23" t="str">
        <f>+INDEX('SOI Mapping'!$D:$D, MATCH(SOIs!$O32,'SOI Mapping'!$B:$B,0),0)</f>
        <v>GCOM</v>
      </c>
      <c r="Q32" s="23"/>
      <c r="R32" s="18" t="s">
        <v>341</v>
      </c>
      <c r="S32" s="23" t="str">
        <f>+INDEX('SOI Mapping'!$D:$D, MATCH(SOIs!$R32,'SOI Mapping'!$B:$B,0),0)</f>
        <v>ImagineAcquisitionCo</v>
      </c>
      <c r="T32" s="23"/>
      <c r="U32" s="18" t="s">
        <v>335</v>
      </c>
      <c r="V32" s="23" t="str">
        <f>+INDEX('SOI Mapping'!$D:$D, MATCH(SOIs!$U32,'SOI Mapping'!$B:$B,0),0)</f>
        <v>Smartronix / Trident</v>
      </c>
      <c r="X32" t="s">
        <v>83</v>
      </c>
    </row>
    <row r="33" spans="3:24">
      <c r="C33" s="18" t="s">
        <v>350</v>
      </c>
      <c r="D33" s="23" t="str">
        <f>+INDEX('SOI Mapping'!$D:$D, MATCH(SOIs!$C33,'SOI Mapping'!$B:$B,0),0)</f>
        <v>Inventus</v>
      </c>
      <c r="E33" s="23"/>
      <c r="F33" s="18" t="s">
        <v>330</v>
      </c>
      <c r="G33" s="23" t="str">
        <f>+INDEX('SOI Mapping'!$D:$D, MATCH(SOIs!$F33,'SOI Mapping'!$B:$B,0),0)</f>
        <v>Painters Supply and Equipment</v>
      </c>
      <c r="I33" s="18" t="s">
        <v>330</v>
      </c>
      <c r="J33" s="23" t="str">
        <f>+INDEX('SOI Mapping'!$D:$D, MATCH(SOIs!$I33,'SOI Mapping'!$B:$B,0),0)</f>
        <v>Painters Supply and Equipment</v>
      </c>
      <c r="K33" s="23"/>
      <c r="L33" s="18" t="s">
        <v>351</v>
      </c>
      <c r="M33" s="23" t="str">
        <f>+INDEX('SOI Mapping'!$D:$D, MATCH(SOIs!$L33,'SOI Mapping'!$B:$B,0),0)</f>
        <v>Lilly Lashes</v>
      </c>
      <c r="N33" s="23"/>
      <c r="O33" s="18" t="s">
        <v>352</v>
      </c>
      <c r="P33" s="23" t="str">
        <f>+INDEX('SOI Mapping'!$D:$D, MATCH(SOIs!$O33,'SOI Mapping'!$B:$B,0),0)</f>
        <v>Hightower</v>
      </c>
      <c r="Q33" s="23"/>
      <c r="R33" s="18" t="s">
        <v>343</v>
      </c>
      <c r="S33" s="23" t="str">
        <f>+INDEX('SOI Mapping'!$D:$D, MATCH(SOIs!$R33,'SOI Mapping'!$B:$B,0),0)</f>
        <v>Prelude</v>
      </c>
      <c r="T33" s="23"/>
      <c r="U33" s="18" t="s">
        <v>353</v>
      </c>
      <c r="V33" s="23" t="str">
        <f>+INDEX('SOI Mapping'!$D:$D, MATCH(SOIs!$U33,'SOI Mapping'!$B:$B,0),0)</f>
        <v>Watterson</v>
      </c>
      <c r="X33" t="s">
        <v>85</v>
      </c>
    </row>
    <row r="34" spans="3:24">
      <c r="C34" s="18" t="s">
        <v>354</v>
      </c>
      <c r="D34" s="23" t="str">
        <f>+INDEX('SOI Mapping'!$D:$D, MATCH(SOIs!$C34,'SOI Mapping'!$B:$B,0),0)</f>
        <v>KNS</v>
      </c>
      <c r="E34" s="23"/>
      <c r="F34" s="18" t="s">
        <v>333</v>
      </c>
      <c r="G34" s="23" t="str">
        <f>+INDEX('SOI Mapping'!$D:$D, MATCH(SOIs!$F34,'SOI Mapping'!$B:$B,0),0)</f>
        <v>Hancock</v>
      </c>
      <c r="I34" s="18" t="s">
        <v>355</v>
      </c>
      <c r="J34" s="23" t="str">
        <f>+INDEX('SOI Mapping'!$D:$D, MATCH(SOIs!$I34,'SOI Mapping'!$B:$B,0),0)</f>
        <v>Painters Supply and Equipment</v>
      </c>
      <c r="K34" s="23"/>
      <c r="L34" s="18" t="s">
        <v>356</v>
      </c>
      <c r="M34" s="23" t="str">
        <f>+INDEX('SOI Mapping'!$D:$D, MATCH(SOIs!$L34,'SOI Mapping'!$B:$B,0),0)</f>
        <v>Centauri Health</v>
      </c>
      <c r="N34" s="23"/>
      <c r="O34" s="18" t="s">
        <v>335</v>
      </c>
      <c r="P34" s="23" t="str">
        <f>+INDEX('SOI Mapping'!$D:$D, MATCH(SOIs!$O34,'SOI Mapping'!$B:$B,0),0)</f>
        <v>Smartronix / Trident</v>
      </c>
      <c r="Q34" s="23"/>
      <c r="R34" s="18" t="s">
        <v>357</v>
      </c>
      <c r="S34" s="63" t="s">
        <v>127</v>
      </c>
      <c r="T34" s="23"/>
      <c r="U34" s="18" t="s">
        <v>341</v>
      </c>
      <c r="V34" s="23" t="str">
        <f>+INDEX('SOI Mapping'!$D:$D, MATCH(SOIs!$U34,'SOI Mapping'!$B:$B,0),0)</f>
        <v>ImagineAcquisitionCo</v>
      </c>
      <c r="X34" t="s">
        <v>86</v>
      </c>
    </row>
    <row r="35" spans="3:24">
      <c r="C35" s="18" t="s">
        <v>351</v>
      </c>
      <c r="D35" s="23" t="str">
        <f>+INDEX('SOI Mapping'!$D:$D, MATCH(SOIs!$C35,'SOI Mapping'!$B:$B,0),0)</f>
        <v>Lilly Lashes</v>
      </c>
      <c r="E35" s="23"/>
      <c r="F35" s="18" t="s">
        <v>335</v>
      </c>
      <c r="G35" s="23" t="str">
        <f>+INDEX('SOI Mapping'!$D:$D, MATCH(SOIs!$F35,'SOI Mapping'!$B:$B,0),0)</f>
        <v>Smartronix / Trident</v>
      </c>
      <c r="I35" s="18" t="s">
        <v>335</v>
      </c>
      <c r="J35" s="23" t="str">
        <f>+INDEX('SOI Mapping'!$D:$D, MATCH(SOIs!$I35,'SOI Mapping'!$B:$B,0),0)</f>
        <v>Smartronix / Trident</v>
      </c>
      <c r="K35" s="23"/>
      <c r="L35" s="18" t="s">
        <v>358</v>
      </c>
      <c r="M35" s="23" t="str">
        <f>+INDEX('SOI Mapping'!$D:$D, MATCH(SOIs!$L35,'SOI Mapping'!$B:$B,0),0)</f>
        <v>MAG Aerospace</v>
      </c>
      <c r="N35" s="23"/>
      <c r="O35" s="18" t="s">
        <v>337</v>
      </c>
      <c r="P35" s="23" t="str">
        <f>+INDEX('SOI Mapping'!$D:$D, MATCH(SOIs!$O35,'SOI Mapping'!$B:$B,0),0)</f>
        <v>Hanley Wood</v>
      </c>
      <c r="Q35" s="23"/>
      <c r="R35" s="18" t="s">
        <v>359</v>
      </c>
      <c r="S35" s="63" t="s">
        <v>359</v>
      </c>
      <c r="T35" s="23"/>
      <c r="U35" s="18" t="s">
        <v>343</v>
      </c>
      <c r="V35" s="23" t="str">
        <f>+INDEX('SOI Mapping'!$D:$D, MATCH(SOIs!$U35,'SOI Mapping'!$B:$B,0),0)</f>
        <v>Prelude</v>
      </c>
      <c r="X35" t="s">
        <v>89</v>
      </c>
    </row>
    <row r="36" spans="3:24">
      <c r="C36" s="18" t="s">
        <v>360</v>
      </c>
      <c r="D36" s="23" t="str">
        <f>+INDEX('SOI Mapping'!$D:$D, MATCH(SOIs!$C36,'SOI Mapping'!$B:$B,0),0)</f>
        <v>4Wall Entertainment</v>
      </c>
      <c r="E36" s="23"/>
      <c r="F36" s="18" t="s">
        <v>341</v>
      </c>
      <c r="G36" s="23" t="str">
        <f>+INDEX('SOI Mapping'!$D:$D, MATCH(SOIs!$F36,'SOI Mapping'!$B:$B,0),0)</f>
        <v>ImagineAcquisitionCo</v>
      </c>
      <c r="I36" s="18" t="s">
        <v>337</v>
      </c>
      <c r="J36" s="23" t="str">
        <f>+INDEX('SOI Mapping'!$D:$D, MATCH(SOIs!$I36,'SOI Mapping'!$B:$B,0),0)</f>
        <v>Hanley Wood</v>
      </c>
      <c r="K36" s="23"/>
      <c r="L36" s="18" t="s">
        <v>361</v>
      </c>
      <c r="M36" s="23" t="str">
        <f>+INDEX('SOI Mapping'!$D:$D, MATCH(SOIs!$L36,'SOI Mapping'!$B:$B,0),0)</f>
        <v>McAfee</v>
      </c>
      <c r="N36" s="23"/>
      <c r="O36" s="18" t="s">
        <v>362</v>
      </c>
      <c r="P36" s="23" t="str">
        <f>+INDEX('SOI Mapping'!$D:$D, MATCH(SOIs!$O36,'SOI Mapping'!$B:$B,0),0)</f>
        <v>IDC Infusion Services</v>
      </c>
      <c r="Q36" s="23"/>
      <c r="R36" s="18" t="s">
        <v>348</v>
      </c>
      <c r="S36" s="23" t="str">
        <f>+INDEX('SOI Mapping'!$D:$D, MATCH(SOIs!$R36,'SOI Mapping'!$B:$B,0),0)</f>
        <v>Integrity Marketing</v>
      </c>
      <c r="T36" s="23"/>
      <c r="U36" s="18" t="s">
        <v>363</v>
      </c>
      <c r="V36" s="23" t="str">
        <f>+INDEX('SOI Mapping'!$D:$D, MATCH(SOIs!$U36,'SOI Mapping'!$B:$B,0),0)</f>
        <v>Infinity Home Services</v>
      </c>
      <c r="X36" t="s">
        <v>91</v>
      </c>
    </row>
    <row r="37" spans="3:24">
      <c r="C37" s="18" t="s">
        <v>364</v>
      </c>
      <c r="D37" s="23" t="str">
        <f>+INDEX('SOI Mapping'!$D:$D, MATCH(SOIs!$C37,'SOI Mapping'!$B:$B,0),0)</f>
        <v>Ledge Lounger</v>
      </c>
      <c r="E37" s="23"/>
      <c r="F37" s="18" t="s">
        <v>343</v>
      </c>
      <c r="G37" s="23" t="str">
        <f>+INDEX('SOI Mapping'!$D:$D, MATCH(SOIs!$F37,'SOI Mapping'!$B:$B,0),0)</f>
        <v>Prelude</v>
      </c>
      <c r="I37" s="18" t="s">
        <v>362</v>
      </c>
      <c r="J37" s="23" t="str">
        <f>+INDEX('SOI Mapping'!$D:$D, MATCH(SOIs!$I37,'SOI Mapping'!$B:$B,0),0)</f>
        <v>IDC Infusion Services</v>
      </c>
      <c r="K37" s="23"/>
      <c r="L37" s="18" t="s">
        <v>365</v>
      </c>
      <c r="M37" s="23" t="str">
        <f>+INDEX('SOI Mapping'!$D:$D, MATCH(SOIs!$L37,'SOI Mapping'!$B:$B,0),0)</f>
        <v>Mars Agency</v>
      </c>
      <c r="N37" s="23"/>
      <c r="O37" s="18" t="s">
        <v>366</v>
      </c>
      <c r="P37" s="23" t="str">
        <f>+INDEX('SOI Mapping'!$D:$D, MATCH(SOIs!$O37,'SOI Mapping'!$B:$B,0),0)</f>
        <v>Idera</v>
      </c>
      <c r="Q37" s="23"/>
      <c r="R37" s="18" t="s">
        <v>350</v>
      </c>
      <c r="S37" s="23" t="str">
        <f>+INDEX('SOI Mapping'!$D:$D, MATCH(SOIs!$R37,'SOI Mapping'!$B:$B,0),0)</f>
        <v>Inventus</v>
      </c>
      <c r="T37" s="23"/>
      <c r="U37" s="18" t="s">
        <v>367</v>
      </c>
      <c r="V37" s="23" t="str">
        <f>+INDEX('SOI Mapping'!$D:$D, MATCH(SOIs!$U37,'SOI Mapping'!$B:$B,0),0)</f>
        <v>Infolinks</v>
      </c>
      <c r="X37" t="s">
        <v>92</v>
      </c>
    </row>
    <row r="38" spans="3:24">
      <c r="C38" s="18" t="s">
        <v>368</v>
      </c>
      <c r="D38" s="23" t="str">
        <f>+INDEX('SOI Mapping'!$D:$D, MATCH(SOIs!$C38,'SOI Mapping'!$B:$B,0),0)</f>
        <v>Centauri Health</v>
      </c>
      <c r="E38" s="23"/>
      <c r="F38" s="18" t="s">
        <v>359</v>
      </c>
      <c r="G38" s="63" t="s">
        <v>359</v>
      </c>
      <c r="I38" s="18" t="s">
        <v>339</v>
      </c>
      <c r="J38" s="23" t="str">
        <f>+INDEX('SOI Mapping'!$D:$D, MATCH(SOIs!$I38,'SOI Mapping'!$B:$B,0),0)</f>
        <v>Insight Global</v>
      </c>
      <c r="K38" s="23"/>
      <c r="L38" s="18" t="s">
        <v>369</v>
      </c>
      <c r="M38" s="23" t="str">
        <f>+INDEX('SOI Mapping'!$D:$D, MATCH(SOIs!$L38,'SOI Mapping'!$B:$B,0),0)</f>
        <v>Momentum</v>
      </c>
      <c r="N38" s="23"/>
      <c r="O38" s="18" t="s">
        <v>343</v>
      </c>
      <c r="P38" s="23" t="str">
        <f>+INDEX('SOI Mapping'!$D:$D, MATCH(SOIs!$O38,'SOI Mapping'!$B:$B,0),0)</f>
        <v>Prelude</v>
      </c>
      <c r="Q38" s="23"/>
      <c r="R38" s="18" t="s">
        <v>370</v>
      </c>
      <c r="S38" s="23" t="str">
        <f>+INDEX('SOI Mapping'!$D:$D, MATCH(SOIs!$R38,'SOI Mapping'!$B:$B,0),0)</f>
        <v>Intellectual Technology</v>
      </c>
      <c r="T38" s="23"/>
      <c r="U38" s="18" t="s">
        <v>347</v>
      </c>
      <c r="V38" s="23" t="str">
        <f>+INDEX('SOI Mapping'!$D:$D, MATCH(SOIs!$U38,'SOI Mapping'!$B:$B,0),0)</f>
        <v>Integrity Marketing</v>
      </c>
      <c r="X38" t="s">
        <v>371</v>
      </c>
    </row>
    <row r="39" spans="3:24">
      <c r="C39" s="18" t="s">
        <v>358</v>
      </c>
      <c r="D39" s="23" t="str">
        <f>+INDEX('SOI Mapping'!$D:$D, MATCH(SOIs!$C39,'SOI Mapping'!$B:$B,0),0)</f>
        <v>MAG Aerospace</v>
      </c>
      <c r="E39" s="23"/>
      <c r="F39" s="18" t="s">
        <v>345</v>
      </c>
      <c r="G39" s="23" t="str">
        <f>+INDEX('SOI Mapping'!$D:$D, MATCH(SOIs!$F39,'SOI Mapping'!$B:$B,0),0)</f>
        <v>Integrative Nutrition</v>
      </c>
      <c r="I39" s="18" t="s">
        <v>343</v>
      </c>
      <c r="J39" s="23" t="str">
        <f>+INDEX('SOI Mapping'!$D:$D, MATCH(SOIs!$I39,'SOI Mapping'!$B:$B,0),0)</f>
        <v>Prelude</v>
      </c>
      <c r="K39" s="23"/>
      <c r="L39" s="18" t="s">
        <v>372</v>
      </c>
      <c r="M39" s="23" t="str">
        <f>+INDEX('SOI Mapping'!$D:$D, MATCH(SOIs!$L39,'SOI Mapping'!$B:$B,0),0)</f>
        <v>MES</v>
      </c>
      <c r="N39" s="23"/>
      <c r="O39" s="18" t="s">
        <v>363</v>
      </c>
      <c r="P39" s="23" t="str">
        <f>+INDEX('SOI Mapping'!$D:$D, MATCH(SOIs!$O39,'SOI Mapping'!$B:$B,0),0)</f>
        <v>Infinity Home Services</v>
      </c>
      <c r="Q39" s="23"/>
      <c r="R39" s="18" t="s">
        <v>349</v>
      </c>
      <c r="S39" s="23" t="str">
        <f>+INDEX('SOI Mapping'!$D:$D, MATCH(SOIs!$R39,'SOI Mapping'!$B:$B,0),0)</f>
        <v>K2</v>
      </c>
      <c r="T39" s="23"/>
      <c r="U39" s="18" t="s">
        <v>349</v>
      </c>
      <c r="V39" s="23" t="str">
        <f>+INDEX('SOI Mapping'!$D:$D, MATCH(SOIs!$U39,'SOI Mapping'!$B:$B,0),0)</f>
        <v>K2</v>
      </c>
      <c r="X39" t="s">
        <v>373</v>
      </c>
    </row>
    <row r="40" spans="3:24">
      <c r="C40" s="18" t="s">
        <v>365</v>
      </c>
      <c r="D40" s="23" t="str">
        <f>+INDEX('SOI Mapping'!$D:$D, MATCH(SOIs!$C40,'SOI Mapping'!$B:$B,0),0)</f>
        <v>Mars Agency</v>
      </c>
      <c r="E40" s="23"/>
      <c r="F40" s="18" t="s">
        <v>349</v>
      </c>
      <c r="G40" s="23" t="str">
        <f>+INDEX('SOI Mapping'!$D:$D, MATCH(SOIs!$F40,'SOI Mapping'!$B:$B,0),0)</f>
        <v>K2</v>
      </c>
      <c r="I40" s="18" t="s">
        <v>367</v>
      </c>
      <c r="J40" s="23" t="str">
        <f>+INDEX('SOI Mapping'!$D:$D, MATCH(SOIs!$I40,'SOI Mapping'!$B:$B,0),0)</f>
        <v>Infolinks</v>
      </c>
      <c r="K40" s="23"/>
      <c r="L40" s="18" t="s">
        <v>374</v>
      </c>
      <c r="M40" s="23" t="str">
        <f>+INDEX('SOI Mapping'!$D:$D, MATCH(SOIs!$L40,'SOI Mapping'!$B:$B,0),0)</f>
        <v>Nevada Behavioral Health Systems</v>
      </c>
      <c r="N40" s="23"/>
      <c r="O40" s="18" t="s">
        <v>367</v>
      </c>
      <c r="P40" s="23" t="str">
        <f>+INDEX('SOI Mapping'!$D:$D, MATCH(SOIs!$O40,'SOI Mapping'!$B:$B,0),0)</f>
        <v>Infolinks</v>
      </c>
      <c r="Q40" s="23"/>
      <c r="R40" s="18" t="s">
        <v>354</v>
      </c>
      <c r="S40" s="23" t="str">
        <f>+INDEX('SOI Mapping'!$D:$D, MATCH(SOIs!$R40,'SOI Mapping'!$B:$B,0),0)</f>
        <v>KNS</v>
      </c>
      <c r="T40" s="23"/>
      <c r="U40" s="18" t="s">
        <v>354</v>
      </c>
      <c r="V40" s="23" t="str">
        <f>+INDEX('SOI Mapping'!$D:$D, MATCH(SOIs!$U40,'SOI Mapping'!$B:$B,0),0)</f>
        <v>KNS</v>
      </c>
      <c r="X40" t="s">
        <v>319</v>
      </c>
    </row>
    <row r="41" spans="3:24">
      <c r="C41" s="18" t="s">
        <v>375</v>
      </c>
      <c r="D41" s="23" t="str">
        <f>+INDEX('SOI Mapping'!$D:$D, MATCH(SOIs!$C41,'SOI Mapping'!$B:$B,0),0)</f>
        <v>Molded Devices</v>
      </c>
      <c r="E41" s="23"/>
      <c r="F41" s="18" t="s">
        <v>354</v>
      </c>
      <c r="G41" s="23" t="str">
        <f>+INDEX('SOI Mapping'!$D:$D, MATCH(SOIs!$F41,'SOI Mapping'!$B:$B,0),0)</f>
        <v>KNS</v>
      </c>
      <c r="I41" s="18" t="s">
        <v>347</v>
      </c>
      <c r="J41" s="23" t="str">
        <f>+INDEX('SOI Mapping'!$D:$D, MATCH(SOIs!$I41,'SOI Mapping'!$B:$B,0),0)</f>
        <v>Integrity Marketing</v>
      </c>
      <c r="K41" s="23"/>
      <c r="L41" s="18" t="s">
        <v>376</v>
      </c>
      <c r="M41" s="23" t="str">
        <f>+INDEX('SOI Mapping'!$D:$D, MATCH(SOIs!$L41,'SOI Mapping'!$B:$B,0),0)</f>
        <v>OSM</v>
      </c>
      <c r="N41" s="23"/>
      <c r="O41" s="18" t="s">
        <v>347</v>
      </c>
      <c r="P41" s="23" t="str">
        <f>+INDEX('SOI Mapping'!$D:$D, MATCH(SOIs!$O41,'SOI Mapping'!$B:$B,0),0)</f>
        <v>Integrity Marketing</v>
      </c>
      <c r="Q41" s="23"/>
      <c r="R41" s="18" t="s">
        <v>351</v>
      </c>
      <c r="S41" s="23" t="str">
        <f>+INDEX('SOI Mapping'!$D:$D, MATCH(SOIs!$R41,'SOI Mapping'!$B:$B,0),0)</f>
        <v>Lilly Lashes</v>
      </c>
      <c r="T41" s="23"/>
      <c r="U41" s="18" t="s">
        <v>360</v>
      </c>
      <c r="V41" s="23" t="str">
        <f>+INDEX('SOI Mapping'!$D:$D, MATCH(SOIs!$U41,'SOI Mapping'!$B:$B,0),0)</f>
        <v>4Wall Entertainment</v>
      </c>
      <c r="X41" t="s">
        <v>105</v>
      </c>
    </row>
    <row r="42" spans="3:24">
      <c r="C42" s="18" t="s">
        <v>377</v>
      </c>
      <c r="D42" s="23" t="str">
        <f>+INDEX('SOI Mapping'!$D:$D, MATCH(SOIs!$C42,'SOI Mapping'!$B:$B,0),0)</f>
        <v>Meadowlark</v>
      </c>
      <c r="E42" s="23"/>
      <c r="F42" s="18" t="s">
        <v>351</v>
      </c>
      <c r="G42" s="23" t="str">
        <f>+INDEX('SOI Mapping'!$D:$D, MATCH(SOIs!$F42,'SOI Mapping'!$B:$B,0),0)</f>
        <v>Lilly Lashes</v>
      </c>
      <c r="I42" s="18" t="s">
        <v>370</v>
      </c>
      <c r="J42" s="23" t="str">
        <f>+INDEX('SOI Mapping'!$D:$D, MATCH(SOIs!$I42,'SOI Mapping'!$B:$B,0),0)</f>
        <v>Intellectual Technology</v>
      </c>
      <c r="K42" s="23"/>
      <c r="L42" s="18" t="s">
        <v>378</v>
      </c>
      <c r="M42" s="23" t="str">
        <f>+INDEX('SOI Mapping'!$D:$D, MATCH(SOIs!$L42,'SOI Mapping'!$B:$B,0),0)</f>
        <v>Wilson Language Training</v>
      </c>
      <c r="N42" s="23"/>
      <c r="O42" s="18" t="s">
        <v>370</v>
      </c>
      <c r="P42" s="23" t="str">
        <f>+INDEX('SOI Mapping'!$D:$D, MATCH(SOIs!$O42,'SOI Mapping'!$B:$B,0),0)</f>
        <v>Intellectual Technology</v>
      </c>
      <c r="Q42" s="23"/>
      <c r="R42" s="18" t="s">
        <v>360</v>
      </c>
      <c r="S42" s="23" t="str">
        <f>+INDEX('SOI Mapping'!$D:$D, MATCH(SOIs!$R42,'SOI Mapping'!$B:$B,0),0)</f>
        <v>4Wall Entertainment</v>
      </c>
      <c r="T42" s="23"/>
      <c r="U42" s="18" t="s">
        <v>351</v>
      </c>
      <c r="V42" s="23" t="str">
        <f>+INDEX('SOI Mapping'!$D:$D, MATCH(SOIs!$U42,'SOI Mapping'!$B:$B,0),0)</f>
        <v>Lilly Lashes</v>
      </c>
      <c r="X42" t="s">
        <v>107</v>
      </c>
    </row>
    <row r="43" spans="3:24">
      <c r="C43" s="18" t="s">
        <v>379</v>
      </c>
      <c r="D43" s="23" t="str">
        <f>+INDEX('SOI Mapping'!$D:$D, MATCH(SOIs!$C43,'SOI Mapping'!$B:$B,0),0)</f>
        <v>Mission Critical Electronics</v>
      </c>
      <c r="E43" s="23"/>
      <c r="F43" s="18" t="s">
        <v>360</v>
      </c>
      <c r="G43" s="23" t="str">
        <f>+INDEX('SOI Mapping'!$D:$D, MATCH(SOIs!$F43,'SOI Mapping'!$B:$B,0),0)</f>
        <v>4Wall Entertainment</v>
      </c>
      <c r="I43" s="18" t="s">
        <v>354</v>
      </c>
      <c r="J43" s="23" t="str">
        <f>+INDEX('SOI Mapping'!$D:$D, MATCH(SOIs!$I43,'SOI Mapping'!$B:$B,0),0)</f>
        <v>KNS</v>
      </c>
      <c r="K43" s="23"/>
      <c r="L43" s="18" t="s">
        <v>380</v>
      </c>
      <c r="M43" s="23" t="str">
        <f>+INDEX('SOI Mapping'!$D:$D, MATCH(SOIs!$L43,'SOI Mapping'!$B:$B,0),0)</f>
        <v>PlayPower</v>
      </c>
      <c r="N43" s="23"/>
      <c r="O43" s="18" t="s">
        <v>354</v>
      </c>
      <c r="P43" s="23" t="str">
        <f>+INDEX('SOI Mapping'!$D:$D, MATCH(SOIs!$O43,'SOI Mapping'!$B:$B,0),0)</f>
        <v>KNS</v>
      </c>
      <c r="Q43" s="23"/>
      <c r="R43" s="18" t="s">
        <v>368</v>
      </c>
      <c r="S43" s="23" t="str">
        <f>+INDEX('SOI Mapping'!$D:$D, MATCH(SOIs!$R43,'SOI Mapping'!$B:$B,0),0)</f>
        <v>Centauri Health</v>
      </c>
      <c r="T43" s="23"/>
      <c r="U43" s="18" t="s">
        <v>356</v>
      </c>
      <c r="V43" s="23" t="str">
        <f>+INDEX('SOI Mapping'!$D:$D, MATCH(SOIs!$U43,'SOI Mapping'!$B:$B,0),0)</f>
        <v>Centauri Health</v>
      </c>
      <c r="X43" t="s">
        <v>108</v>
      </c>
    </row>
    <row r="44" spans="3:24">
      <c r="C44" s="18" t="s">
        <v>372</v>
      </c>
      <c r="D44" s="23" t="s">
        <v>185</v>
      </c>
      <c r="E44" s="23"/>
      <c r="F44" s="18" t="s">
        <v>368</v>
      </c>
      <c r="G44" s="23" t="str">
        <f>+INDEX('SOI Mapping'!$D:$D, MATCH(SOIs!$F44,'SOI Mapping'!$B:$B,0),0)</f>
        <v>Centauri Health</v>
      </c>
      <c r="I44" s="18" t="s">
        <v>351</v>
      </c>
      <c r="J44" s="23" t="str">
        <f>+INDEX('SOI Mapping'!$D:$D, MATCH(SOIs!$I44,'SOI Mapping'!$B:$B,0),0)</f>
        <v>Lilly Lashes</v>
      </c>
      <c r="K44" s="23"/>
      <c r="L44" s="18" t="s">
        <v>381</v>
      </c>
      <c r="M44" s="23" t="str">
        <f>+INDEX('SOI Mapping'!$D:$D, MATCH(SOIs!$L44,'SOI Mapping'!$B:$B,0),0)</f>
        <v>Quantic Electronics</v>
      </c>
      <c r="N44" s="23"/>
      <c r="O44" s="18" t="s">
        <v>351</v>
      </c>
      <c r="P44" s="23" t="str">
        <f>+INDEX('SOI Mapping'!$D:$D, MATCH(SOIs!$O44,'SOI Mapping'!$B:$B,0),0)</f>
        <v>Lilly Lashes</v>
      </c>
      <c r="Q44" s="23"/>
      <c r="R44" s="18" t="s">
        <v>382</v>
      </c>
      <c r="S44" s="63" t="s">
        <v>45</v>
      </c>
      <c r="T44" s="23"/>
      <c r="U44" s="18" t="s">
        <v>383</v>
      </c>
      <c r="V44" s="23" t="str">
        <f>+INDEX('SOI Mapping'!$D:$D, MATCH(SOIs!$U44,'SOI Mapping'!$B:$B,0),0)</f>
        <v>Ardurra</v>
      </c>
      <c r="X44" t="s">
        <v>112</v>
      </c>
    </row>
    <row r="45" spans="3:24">
      <c r="C45" s="18" t="s">
        <v>376</v>
      </c>
      <c r="D45" s="23" t="str">
        <f>+INDEX('SOI Mapping'!$D:$D, MATCH(SOIs!$C45,'SOI Mapping'!$B:$B,0),0)</f>
        <v>OSM</v>
      </c>
      <c r="E45" s="23"/>
      <c r="F45" s="18" t="s">
        <v>384</v>
      </c>
      <c r="G45" s="23" t="str">
        <f>+INDEX('SOI Mapping'!$D:$D, MATCH(SOIs!$F45,'SOI Mapping'!$B:$B,0),0)</f>
        <v>Lucky Bucks</v>
      </c>
      <c r="I45" s="18" t="s">
        <v>364</v>
      </c>
      <c r="J45" s="23" t="str">
        <f>+INDEX('SOI Mapping'!$D:$D, MATCH(SOIs!$I45,'SOI Mapping'!$B:$B,0),0)</f>
        <v>Ledge Lounger</v>
      </c>
      <c r="K45" s="23"/>
      <c r="L45" s="18" t="s">
        <v>385</v>
      </c>
      <c r="M45" s="23" t="str">
        <f>+INDEX('SOI Mapping'!$D:$D, MATCH(SOIs!$L45,'SOI Mapping'!$B:$B,0),0)</f>
        <v>Radius Aerospace</v>
      </c>
      <c r="N45" s="23"/>
      <c r="O45" s="18" t="s">
        <v>364</v>
      </c>
      <c r="P45" s="23" t="str">
        <f>+INDEX('SOI Mapping'!$D:$D, MATCH(SOIs!$O45,'SOI Mapping'!$B:$B,0),0)</f>
        <v>Ledge Lounger</v>
      </c>
      <c r="Q45" s="23"/>
      <c r="R45" s="18" t="s">
        <v>386</v>
      </c>
      <c r="S45" s="63" t="s">
        <v>147</v>
      </c>
      <c r="T45" s="23"/>
      <c r="U45" s="18" t="s">
        <v>358</v>
      </c>
      <c r="V45" s="23" t="str">
        <f>+INDEX('SOI Mapping'!$D:$D, MATCH(SOIs!$U45,'SOI Mapping'!$B:$B,0),0)</f>
        <v>MAG Aerospace</v>
      </c>
      <c r="X45" t="s">
        <v>114</v>
      </c>
    </row>
    <row r="46" spans="3:24">
      <c r="C46" s="18" t="s">
        <v>387</v>
      </c>
      <c r="D46" s="23" t="str">
        <f>+INDEX('SOI Mapping'!$D:$D, MATCH(SOIs!$C46,'SOI Mapping'!$B:$B,0),0)</f>
        <v>OpenRoad Lending</v>
      </c>
      <c r="E46" s="23"/>
      <c r="F46" s="18" t="s">
        <v>386</v>
      </c>
      <c r="G46" s="63" t="s">
        <v>147</v>
      </c>
      <c r="I46" s="18" t="s">
        <v>356</v>
      </c>
      <c r="J46" s="23" t="str">
        <f>+INDEX('SOI Mapping'!$D:$D, MATCH(SOIs!$I46,'SOI Mapping'!$B:$B,0),0)</f>
        <v>Centauri Health</v>
      </c>
      <c r="K46" s="23"/>
      <c r="L46" s="18" t="s">
        <v>388</v>
      </c>
      <c r="M46" s="23" t="str">
        <f>+INDEX('SOI Mapping'!$D:$D, MATCH(SOIs!$L46,'SOI Mapping'!$B:$B,0),0)</f>
        <v>Rancho Medical</v>
      </c>
      <c r="N46" s="23"/>
      <c r="O46" s="18" t="s">
        <v>356</v>
      </c>
      <c r="P46" s="23" t="str">
        <f>+INDEX('SOI Mapping'!$D:$D, MATCH(SOIs!$O46,'SOI Mapping'!$B:$B,0),0)</f>
        <v>Centauri Health</v>
      </c>
      <c r="Q46" s="23"/>
      <c r="R46" s="18" t="s">
        <v>361</v>
      </c>
      <c r="S46" s="23" t="str">
        <f>+INDEX('SOI Mapping'!$D:$D, MATCH(SOIs!$R46,'SOI Mapping'!$B:$B,0),0)</f>
        <v>McAfee</v>
      </c>
      <c r="T46" s="23"/>
      <c r="U46" s="18" t="s">
        <v>365</v>
      </c>
      <c r="V46" s="23" t="str">
        <f>+INDEX('SOI Mapping'!$D:$D, MATCH(SOIs!$U46,'SOI Mapping'!$B:$B,0),0)</f>
        <v>Mars Agency</v>
      </c>
      <c r="X46" t="s">
        <v>115</v>
      </c>
    </row>
    <row r="47" spans="3:24">
      <c r="C47" s="18" t="s">
        <v>378</v>
      </c>
      <c r="D47" s="23" t="str">
        <f>+INDEX('SOI Mapping'!$D:$D, MATCH(SOIs!$C47,'SOI Mapping'!$B:$B,0),0)</f>
        <v>Wilson Language Training</v>
      </c>
      <c r="E47" s="23"/>
      <c r="F47" s="18" t="s">
        <v>365</v>
      </c>
      <c r="G47" s="23" t="str">
        <f>+INDEX('SOI Mapping'!$D:$D, MATCH(SOIs!$F47,'SOI Mapping'!$B:$B,0),0)</f>
        <v>Mars Agency</v>
      </c>
      <c r="I47" s="18" t="s">
        <v>361</v>
      </c>
      <c r="J47" s="23" t="str">
        <f>+INDEX('SOI Mapping'!$D:$D, MATCH(SOIs!$I47,'SOI Mapping'!$B:$B,0),0)</f>
        <v>McAfee</v>
      </c>
      <c r="K47" s="23"/>
      <c r="L47" s="18" t="s">
        <v>389</v>
      </c>
      <c r="M47" s="23" t="str">
        <f>+INDEX('SOI Mapping'!$D:$D, MATCH(SOIs!$L47,'SOI Mapping'!$B:$B,0),0)</f>
        <v>Recteq</v>
      </c>
      <c r="N47" s="23"/>
      <c r="O47" s="18" t="s">
        <v>390</v>
      </c>
      <c r="P47" s="23" t="str">
        <f>+INDEX('SOI Mapping'!$D:$D, MATCH(SOIs!$O47,'SOI Mapping'!$B:$B,0),0)</f>
        <v>Victra</v>
      </c>
      <c r="Q47" s="23"/>
      <c r="R47" s="18" t="s">
        <v>365</v>
      </c>
      <c r="S47" s="23" t="str">
        <f>+INDEX('SOI Mapping'!$D:$D, MATCH(SOIs!$R47,'SOI Mapping'!$B:$B,0),0)</f>
        <v>Mars Agency</v>
      </c>
      <c r="T47" s="23"/>
      <c r="U47" s="18" t="s">
        <v>369</v>
      </c>
      <c r="V47" s="23" t="str">
        <f>+INDEX('SOI Mapping'!$D:$D, MATCH(SOIs!$U47,'SOI Mapping'!$B:$B,0),0)</f>
        <v>Momentum</v>
      </c>
      <c r="X47" t="s">
        <v>116</v>
      </c>
    </row>
    <row r="48" spans="3:24">
      <c r="C48" s="18" t="s">
        <v>391</v>
      </c>
      <c r="D48" s="23" t="str">
        <f>+INDEX('SOI Mapping'!$D:$D, MATCH(SOIs!$C48,'SOI Mapping'!$B:$B,0),0)</f>
        <v>Ox</v>
      </c>
      <c r="E48" s="23"/>
      <c r="F48" s="18" t="s">
        <v>369</v>
      </c>
      <c r="G48" s="23" t="str">
        <f>+INDEX('SOI Mapping'!$D:$D, MATCH(SOIs!$F48,'SOI Mapping'!$B:$B,0),0)</f>
        <v>Momentum</v>
      </c>
      <c r="I48" s="18" t="s">
        <v>365</v>
      </c>
      <c r="J48" s="23" t="str">
        <f>+INDEX('SOI Mapping'!$D:$D, MATCH(SOIs!$I48,'SOI Mapping'!$B:$B,0),0)</f>
        <v>Mars Agency</v>
      </c>
      <c r="K48" s="23"/>
      <c r="L48" s="18" t="s">
        <v>392</v>
      </c>
      <c r="M48" s="23" t="str">
        <f>+INDEX('SOI Mapping'!$D:$D, MATCH(SOIs!$L48,'SOI Mapping'!$B:$B,0),0)</f>
        <v>Research Now/SSI</v>
      </c>
      <c r="N48" s="23"/>
      <c r="O48" s="18" t="s">
        <v>361</v>
      </c>
      <c r="P48" s="23" t="str">
        <f>+INDEX('SOI Mapping'!$D:$D, MATCH(SOIs!$O48,'SOI Mapping'!$B:$B,0),0)</f>
        <v>McAfee</v>
      </c>
      <c r="Q48" s="23"/>
      <c r="R48" s="18" t="s">
        <v>369</v>
      </c>
      <c r="S48" s="23" t="str">
        <f>+INDEX('SOI Mapping'!$D:$D, MATCH(SOIs!$R48,'SOI Mapping'!$B:$B,0),0)</f>
        <v>Momentum</v>
      </c>
      <c r="T48" s="23"/>
      <c r="U48" s="18" t="s">
        <v>372</v>
      </c>
      <c r="V48" s="23" t="str">
        <f>+INDEX('SOI Mapping'!$D:$D, MATCH(SOIs!$U48,'SOI Mapping'!$B:$B,0),0)</f>
        <v>MES</v>
      </c>
      <c r="X48" t="s">
        <v>118</v>
      </c>
    </row>
    <row r="49" spans="3:24">
      <c r="C49" s="18" t="s">
        <v>380</v>
      </c>
      <c r="D49" s="23" t="str">
        <f>+INDEX('SOI Mapping'!$D:$D, MATCH(SOIs!$C49,'SOI Mapping'!$B:$B,0),0)</f>
        <v>PlayPower</v>
      </c>
      <c r="E49" s="23"/>
      <c r="F49" s="18" t="s">
        <v>393</v>
      </c>
      <c r="G49" s="63" t="s">
        <v>159</v>
      </c>
      <c r="I49" s="18" t="s">
        <v>369</v>
      </c>
      <c r="J49" s="23" t="str">
        <f>+INDEX('SOI Mapping'!$D:$D, MATCH(SOIs!$I49,'SOI Mapping'!$B:$B,0),0)</f>
        <v>Momentum</v>
      </c>
      <c r="K49" s="23"/>
      <c r="L49" s="18" t="s">
        <v>394</v>
      </c>
      <c r="M49" s="23" t="str">
        <f>+INDEX('SOI Mapping'!$D:$D, MATCH(SOIs!$L49,'SOI Mapping'!$B:$B,0),0)</f>
        <v>Riverpoint</v>
      </c>
      <c r="N49" s="23"/>
      <c r="O49" s="18" t="s">
        <v>375</v>
      </c>
      <c r="P49" s="23" t="str">
        <f>+INDEX('SOI Mapping'!$D:$D, MATCH(SOIs!$O49,'SOI Mapping'!$B:$B,0),0)</f>
        <v>Molded Devices</v>
      </c>
      <c r="Q49" s="23"/>
      <c r="R49" s="18" t="s">
        <v>393</v>
      </c>
      <c r="S49" s="63" t="s">
        <v>159</v>
      </c>
      <c r="T49" s="23"/>
      <c r="U49" s="18" t="s">
        <v>374</v>
      </c>
      <c r="V49" s="23" t="str">
        <f>+INDEX('SOI Mapping'!$D:$D, MATCH(SOIs!$U49,'SOI Mapping'!$B:$B,0),0)</f>
        <v>Nevada Behavioral Health Systems</v>
      </c>
      <c r="X49" t="s">
        <v>119</v>
      </c>
    </row>
    <row r="50" spans="3:24">
      <c r="C50" s="18" t="s">
        <v>381</v>
      </c>
      <c r="D50" s="23" t="str">
        <f>+INDEX('SOI Mapping'!$D:$D, MATCH(SOIs!$C50,'SOI Mapping'!$B:$B,0),0)</f>
        <v>Quantic Electronics</v>
      </c>
      <c r="E50" s="23"/>
      <c r="F50" s="18" t="s">
        <v>377</v>
      </c>
      <c r="G50" s="23" t="str">
        <f>+INDEX('SOI Mapping'!$D:$D, MATCH(SOIs!$F50,'SOI Mapping'!$B:$B,0),0)</f>
        <v>Meadowlark</v>
      </c>
      <c r="I50" s="18" t="s">
        <v>377</v>
      </c>
      <c r="J50" s="23" t="str">
        <f>+INDEX('SOI Mapping'!$D:$D, MATCH(SOIs!$I50,'SOI Mapping'!$B:$B,0),0)</f>
        <v>Meadowlark</v>
      </c>
      <c r="K50" s="23"/>
      <c r="L50" s="18" t="s">
        <v>395</v>
      </c>
      <c r="M50" s="23" t="str">
        <f>+INDEX('SOI Mapping'!$D:$D, MATCH(SOIs!$L50,'SOI Mapping'!$B:$B,0),0)</f>
        <v>Riverside Insights</v>
      </c>
      <c r="N50" s="23"/>
      <c r="O50" s="18" t="s">
        <v>377</v>
      </c>
      <c r="P50" s="23" t="str">
        <f>+INDEX('SOI Mapping'!$D:$D, MATCH(SOIs!$O50,'SOI Mapping'!$B:$B,0),0)</f>
        <v>Meadowlark</v>
      </c>
      <c r="Q50" s="23"/>
      <c r="R50" s="18" t="s">
        <v>396</v>
      </c>
      <c r="S50" s="23" t="str">
        <f>+INDEX('SOI Mapping'!$D:$D, MATCH(SOIs!$R50,'SOI Mapping'!$B:$B,0),0)</f>
        <v>Mission Critical Electronics</v>
      </c>
      <c r="T50" s="23"/>
      <c r="U50" s="18" t="s">
        <v>397</v>
      </c>
      <c r="V50" s="23" t="str">
        <f>+INDEX('SOI Mapping'!$D:$D, MATCH(SOIs!$U50,'SOI Mapping'!$B:$B,0),0)</f>
        <v>Neptune Flood</v>
      </c>
      <c r="X50" t="s">
        <v>398</v>
      </c>
    </row>
    <row r="51" spans="3:24">
      <c r="C51" s="18" t="s">
        <v>399</v>
      </c>
      <c r="D51" s="23" t="str">
        <f>+INDEX('SOI Mapping'!$D:$D, MATCH(SOIs!$C51,'SOI Mapping'!$B:$B,0),0)</f>
        <v>Questex</v>
      </c>
      <c r="E51" s="23"/>
      <c r="F51" s="18" t="s">
        <v>396</v>
      </c>
      <c r="G51" s="23" t="str">
        <f>+INDEX('SOI Mapping'!$D:$D, MATCH(SOIs!$F51,'SOI Mapping'!$B:$B,0),0)</f>
        <v>Mission Critical Electronics</v>
      </c>
      <c r="I51" s="18" t="s">
        <v>372</v>
      </c>
      <c r="J51" s="23" t="str">
        <f>+INDEX('SOI Mapping'!$D:$D, MATCH(SOIs!$I51,'SOI Mapping'!$B:$B,0),0)</f>
        <v>MES</v>
      </c>
      <c r="K51" s="23"/>
      <c r="L51" s="18" t="s">
        <v>400</v>
      </c>
      <c r="M51" s="23" t="str">
        <f>+INDEX('SOI Mapping'!$D:$D, MATCH(SOIs!$L51,'SOI Mapping'!$B:$B,0),0)</f>
        <v>Sales Benchmark Index (SBI)</v>
      </c>
      <c r="N51" s="23"/>
      <c r="O51" s="18" t="s">
        <v>372</v>
      </c>
      <c r="P51" s="23" t="str">
        <f>+INDEX('SOI Mapping'!$D:$D, MATCH(SOIs!$O51,'SOI Mapping'!$B:$B,0),0)</f>
        <v>MES</v>
      </c>
      <c r="Q51" s="23"/>
      <c r="R51" s="18" t="s">
        <v>372</v>
      </c>
      <c r="S51" s="23" t="str">
        <f>+INDEX('SOI Mapping'!$D:$D, MATCH(SOIs!$R51,'SOI Mapping'!$B:$B,0),0)</f>
        <v>MES</v>
      </c>
      <c r="T51" s="23"/>
      <c r="U51" s="18" t="s">
        <v>376</v>
      </c>
      <c r="V51" s="23" t="str">
        <f>+INDEX('SOI Mapping'!$D:$D, MATCH(SOIs!$U51,'SOI Mapping'!$B:$B,0),0)</f>
        <v>OSM</v>
      </c>
      <c r="X51" t="s">
        <v>122</v>
      </c>
    </row>
    <row r="52" spans="3:24">
      <c r="C52" s="36" t="s">
        <v>392</v>
      </c>
      <c r="D52" s="23" t="str">
        <f>+INDEX('SOI Mapping'!$D:$D, MATCH(SOIs!$C52,'SOI Mapping'!$B:$B,0),0)</f>
        <v>Research Now/SSI</v>
      </c>
      <c r="E52" s="23"/>
      <c r="F52" s="18" t="s">
        <v>374</v>
      </c>
      <c r="G52" s="23" t="str">
        <f>+INDEX('SOI Mapping'!$D:$D, MATCH(SOIs!$F52,'SOI Mapping'!$B:$B,0),0)</f>
        <v>Nevada Behavioral Health Systems</v>
      </c>
      <c r="I52" s="18" t="s">
        <v>374</v>
      </c>
      <c r="J52" s="23" t="str">
        <f>+INDEX('SOI Mapping'!$D:$D, MATCH(SOIs!$I52,'SOI Mapping'!$B:$B,0),0)</f>
        <v>Nevada Behavioral Health Systems</v>
      </c>
      <c r="K52" s="23"/>
      <c r="L52" s="18" t="s">
        <v>401</v>
      </c>
      <c r="M52" s="23" t="str">
        <f>+INDEX('SOI Mapping'!$D:$D, MATCH(SOIs!$L52,'SOI Mapping'!$B:$B,0),0)</f>
        <v>Sargent &amp; Greenleaf</v>
      </c>
      <c r="N52" s="23"/>
      <c r="O52" s="18" t="s">
        <v>376</v>
      </c>
      <c r="P52" s="23" t="str">
        <f>+INDEX('SOI Mapping'!$D:$D, MATCH(SOIs!$O52,'SOI Mapping'!$B:$B,0),0)</f>
        <v>OSM</v>
      </c>
      <c r="Q52" s="23"/>
      <c r="R52" s="18" t="s">
        <v>374</v>
      </c>
      <c r="S52" s="23" t="str">
        <f>+INDEX('SOI Mapping'!$D:$D, MATCH(SOIs!$R52,'SOI Mapping'!$B:$B,0),0)</f>
        <v>Nevada Behavioral Health Systems</v>
      </c>
      <c r="T52" s="23"/>
      <c r="U52" s="18" t="s">
        <v>402</v>
      </c>
      <c r="V52" s="63" t="s">
        <v>403</v>
      </c>
      <c r="X52" t="s">
        <v>123</v>
      </c>
    </row>
    <row r="53" spans="3:24">
      <c r="C53" s="18" t="s">
        <v>394</v>
      </c>
      <c r="D53" s="23" t="str">
        <f>+INDEX('SOI Mapping'!$D:$D, MATCH(SOIs!$C53,'SOI Mapping'!$B:$B,0),0)</f>
        <v>Riverpoint</v>
      </c>
      <c r="E53" s="23"/>
      <c r="F53" s="18" t="s">
        <v>376</v>
      </c>
      <c r="G53" s="23" t="str">
        <f>+INDEX('SOI Mapping'!$D:$D, MATCH(SOIs!$F53,'SOI Mapping'!$B:$B,0),0)</f>
        <v>OSM</v>
      </c>
      <c r="I53" s="18" t="s">
        <v>397</v>
      </c>
      <c r="J53" s="23" t="str">
        <f>+INDEX('SOI Mapping'!$D:$D, MATCH(SOIs!$I53,'SOI Mapping'!$B:$B,0),0)</f>
        <v>Neptune Flood</v>
      </c>
      <c r="K53" s="23"/>
      <c r="L53" s="18" t="s">
        <v>404</v>
      </c>
      <c r="M53" s="23" t="str">
        <f>+INDEX('SOI Mapping'!$D:$D, MATCH(SOIs!$L53,'SOI Mapping'!$B:$B,0),0)</f>
        <v>Seaway Plastics</v>
      </c>
      <c r="N53" s="23"/>
      <c r="O53" s="18" t="s">
        <v>387</v>
      </c>
      <c r="P53" s="23" t="str">
        <f>+INDEX('SOI Mapping'!$D:$D, MATCH(SOIs!$O53,'SOI Mapping'!$B:$B,0),0)</f>
        <v>OpenRoad Lending</v>
      </c>
      <c r="Q53" s="23"/>
      <c r="R53" s="18" t="s">
        <v>397</v>
      </c>
      <c r="S53" s="23" t="str">
        <f>+INDEX('SOI Mapping'!$D:$D, MATCH(SOIs!$R53,'SOI Mapping'!$B:$B,0),0)</f>
        <v>Neptune Flood</v>
      </c>
      <c r="T53" s="23"/>
      <c r="U53" s="18" t="s">
        <v>388</v>
      </c>
      <c r="V53" s="23" t="str">
        <f>+INDEX('SOI Mapping'!$D:$D, MATCH(SOIs!$U53,'SOI Mapping'!$B:$B,0),0)</f>
        <v>Rancho Medical</v>
      </c>
      <c r="X53" t="s">
        <v>405</v>
      </c>
    </row>
    <row r="54" spans="3:24">
      <c r="C54" s="18" t="s">
        <v>406</v>
      </c>
      <c r="D54" s="23" t="str">
        <f>+INDEX('SOI Mapping'!$D:$D, MATCH(SOIs!$C54,'SOI Mapping'!$B:$B,0),0)</f>
        <v>Riverside Insights</v>
      </c>
      <c r="E54" s="23"/>
      <c r="F54" s="18" t="s">
        <v>407</v>
      </c>
      <c r="G54" s="23" t="str">
        <f>+INDEX('SOI Mapping'!$D:$D, MATCH(SOIs!$F54,'SOI Mapping'!$B:$B,0),0)</f>
        <v>Ox</v>
      </c>
      <c r="I54" s="18" t="s">
        <v>376</v>
      </c>
      <c r="J54" s="23" t="str">
        <f>+INDEX('SOI Mapping'!$D:$D, MATCH(SOIs!$I54,'SOI Mapping'!$B:$B,0),0)</f>
        <v>OSM</v>
      </c>
      <c r="K54" s="23"/>
      <c r="L54" s="18" t="s">
        <v>408</v>
      </c>
      <c r="M54" s="23" t="str">
        <f>+INDEX('SOI Mapping'!$D:$D, MATCH(SOIs!$L54,'SOI Mapping'!$B:$B,0),0)</f>
        <v>Signature Systems Group</v>
      </c>
      <c r="N54" s="23"/>
      <c r="O54" s="18" t="s">
        <v>378</v>
      </c>
      <c r="P54" s="23" t="str">
        <f>+INDEX('SOI Mapping'!$D:$D, MATCH(SOIs!$O54,'SOI Mapping'!$B:$B,0),0)</f>
        <v>Wilson Language Training</v>
      </c>
      <c r="Q54" s="23"/>
      <c r="R54" s="18" t="s">
        <v>409</v>
      </c>
      <c r="S54" s="23" t="str">
        <f>+INDEX('SOI Mapping'!$D:$D, MATCH(SOIs!$R54,'SOI Mapping'!$B:$B,0),0)</f>
        <v>Milani</v>
      </c>
      <c r="T54" s="23"/>
      <c r="U54" s="18" t="s">
        <v>410</v>
      </c>
      <c r="V54" s="23" t="str">
        <f>+INDEX('SOI Mapping'!$D:$D, MATCH(SOIs!$U54,'SOI Mapping'!$B:$B,0),0)</f>
        <v>STG Logistics</v>
      </c>
      <c r="X54" t="s">
        <v>127</v>
      </c>
    </row>
    <row r="55" spans="3:24">
      <c r="C55" s="18" t="s">
        <v>400</v>
      </c>
      <c r="D55" s="23" t="str">
        <f>+INDEX('SOI Mapping'!$D:$D, MATCH(SOIs!$C55,'SOI Mapping'!$B:$B,0),0)</f>
        <v>Sales Benchmark Index (SBI)</v>
      </c>
      <c r="E55" s="23"/>
      <c r="F55" s="18" t="s">
        <v>411</v>
      </c>
      <c r="G55" s="63" t="s">
        <v>215</v>
      </c>
      <c r="I55" s="18" t="s">
        <v>387</v>
      </c>
      <c r="J55" s="23" t="str">
        <f>+INDEX('SOI Mapping'!$D:$D, MATCH(SOIs!$I55,'SOI Mapping'!$B:$B,0),0)</f>
        <v>OpenRoad Lending</v>
      </c>
      <c r="K55" s="23"/>
      <c r="L55" s="18" t="s">
        <v>412</v>
      </c>
      <c r="M55" s="23" t="str">
        <f>+INDEX('SOI Mapping'!$D:$D, MATCH(SOIs!$L55,'SOI Mapping'!$B:$B,0),0)</f>
        <v>Solutionreach</v>
      </c>
      <c r="N55" s="23"/>
      <c r="O55" s="18" t="s">
        <v>391</v>
      </c>
      <c r="P55" s="23" t="str">
        <f>+INDEX('SOI Mapping'!$D:$D, MATCH(SOIs!$O55,'SOI Mapping'!$B:$B,0),0)</f>
        <v>Ox</v>
      </c>
      <c r="Q55" s="23"/>
      <c r="R55" s="18" t="s">
        <v>376</v>
      </c>
      <c r="S55" s="23" t="str">
        <f>+INDEX('SOI Mapping'!$D:$D, MATCH(SOIs!$R55,'SOI Mapping'!$B:$B,0),0)</f>
        <v>OSM</v>
      </c>
      <c r="T55" s="23"/>
      <c r="U55" s="18" t="s">
        <v>395</v>
      </c>
      <c r="V55" s="23" t="str">
        <f>+INDEX('SOI Mapping'!$D:$D, MATCH(SOIs!$U55,'SOI Mapping'!$B:$B,0),0)</f>
        <v>Riverside Insights</v>
      </c>
      <c r="X55" t="s">
        <v>129</v>
      </c>
    </row>
    <row r="56" spans="3:24">
      <c r="C56" s="18" t="s">
        <v>413</v>
      </c>
      <c r="D56" s="23" t="str">
        <f>+INDEX('SOI Mapping'!$D:$D, MATCH(SOIs!$C56,'SOI Mapping'!$B:$B,0),0)</f>
        <v>Schlesinger</v>
      </c>
      <c r="E56" s="23"/>
      <c r="F56" s="18" t="s">
        <v>414</v>
      </c>
      <c r="G56" s="23" t="str">
        <f>+INDEX('SOI Mapping'!$D:$D, MATCH(SOIs!$F56,'SOI Mapping'!$B:$B,0),0)</f>
        <v>Paris Presents</v>
      </c>
      <c r="I56" s="18" t="s">
        <v>415</v>
      </c>
      <c r="J56" s="23" t="str">
        <f>+INDEX('SOI Mapping'!$D:$D, MATCH(SOIs!$I56,'SOI Mapping'!$B:$B,0),0)</f>
        <v>OSG Billing Services</v>
      </c>
      <c r="K56" s="23"/>
      <c r="L56" s="18" t="s">
        <v>416</v>
      </c>
      <c r="M56" s="23" t="str">
        <f>+INDEX('SOI Mapping'!$D:$D, MATCH(SOIs!$L56,'SOI Mapping'!$B:$B,0),0)</f>
        <v>STV Group</v>
      </c>
      <c r="N56" s="23"/>
      <c r="O56" s="18" t="s">
        <v>417</v>
      </c>
      <c r="P56" s="23" t="str">
        <f>+INDEX('SOI Mapping'!$D:$D, MATCH(SOIs!$O56,'SOI Mapping'!$B:$B,0),0)</f>
        <v>Pink Lily</v>
      </c>
      <c r="Q56" s="23"/>
      <c r="R56" s="18" t="s">
        <v>418</v>
      </c>
      <c r="S56" s="63" t="s">
        <v>419</v>
      </c>
      <c r="T56" s="23"/>
      <c r="U56" s="18" t="s">
        <v>420</v>
      </c>
      <c r="V56" s="63" t="s">
        <v>215</v>
      </c>
      <c r="X56" t="s">
        <v>131</v>
      </c>
    </row>
    <row r="57" spans="3:24">
      <c r="C57" s="18" t="s">
        <v>421</v>
      </c>
      <c r="D57" s="23" t="str">
        <f>+INDEX('SOI Mapping'!$D:$D, MATCH(SOIs!$C57,'SOI Mapping'!$B:$B,0),0)</f>
        <v>Sigma Defense</v>
      </c>
      <c r="E57" s="23"/>
      <c r="F57" s="18" t="s">
        <v>417</v>
      </c>
      <c r="G57" s="23" t="str">
        <f>+INDEX('SOI Mapping'!$D:$D, MATCH(SOIs!$F57,'SOI Mapping'!$B:$B,0),0)</f>
        <v>Pink Lily</v>
      </c>
      <c r="I57" s="18" t="s">
        <v>378</v>
      </c>
      <c r="J57" s="23" t="str">
        <f>+INDEX('SOI Mapping'!$D:$D, MATCH(SOIs!$I57,'SOI Mapping'!$B:$B,0),0)</f>
        <v>Wilson Language Training</v>
      </c>
      <c r="K57" s="23"/>
      <c r="L57" s="18" t="s">
        <v>422</v>
      </c>
      <c r="M57" s="23" t="str">
        <f>+INDEX('SOI Mapping'!$D:$D, MATCH(SOIs!$L57,'SOI Mapping'!$B:$B,0),0)</f>
        <v>MCR</v>
      </c>
      <c r="N57" s="23"/>
      <c r="O57" s="18" t="s">
        <v>381</v>
      </c>
      <c r="P57" s="23" t="str">
        <f>+INDEX('SOI Mapping'!$D:$D, MATCH(SOIs!$O57,'SOI Mapping'!$B:$B,0),0)</f>
        <v>Quantic Electronics</v>
      </c>
      <c r="Q57" s="23"/>
      <c r="R57" s="18" t="s">
        <v>378</v>
      </c>
      <c r="S57" s="23" t="str">
        <f>+INDEX('SOI Mapping'!$D:$D, MATCH(SOIs!$R57,'SOI Mapping'!$B:$B,0),0)</f>
        <v>Wilson Language Training</v>
      </c>
      <c r="T57" s="23"/>
      <c r="U57" s="18" t="s">
        <v>400</v>
      </c>
      <c r="V57" s="23" t="str">
        <f>+INDEX('SOI Mapping'!$D:$D, MATCH(SOIs!$U57,'SOI Mapping'!$B:$B,0),0)</f>
        <v>Sales Benchmark Index (SBI)</v>
      </c>
      <c r="X57" t="s">
        <v>359</v>
      </c>
    </row>
    <row r="58" spans="3:24">
      <c r="C58" s="18" t="s">
        <v>408</v>
      </c>
      <c r="D58" s="23" t="str">
        <f>+INDEX('SOI Mapping'!$D:$D, MATCH(SOIs!$C58,'SOI Mapping'!$B:$B,0),0)</f>
        <v>Signature Systems Group</v>
      </c>
      <c r="E58" s="23"/>
      <c r="F58" s="18" t="s">
        <v>380</v>
      </c>
      <c r="G58" s="23" t="str">
        <f>+INDEX('SOI Mapping'!$D:$D, MATCH(SOIs!$F58,'SOI Mapping'!$B:$B,0),0)</f>
        <v>PlayPower</v>
      </c>
      <c r="I58" s="18" t="s">
        <v>423</v>
      </c>
      <c r="J58" s="23" t="str">
        <f>+INDEX('SOI Mapping'!$D:$D, MATCH(SOIs!$I58,'SOI Mapping'!$B:$B,0),0)</f>
        <v>Ox</v>
      </c>
      <c r="K58" s="23"/>
      <c r="L58" s="18" t="s">
        <v>424</v>
      </c>
      <c r="M58" s="23" t="str">
        <f>+INDEX('SOI Mapping'!$D:$D, MATCH(SOIs!$L58,'SOI Mapping'!$B:$B,0),0)</f>
        <v>Teneo</v>
      </c>
      <c r="N58" s="23"/>
      <c r="O58" s="18" t="s">
        <v>425</v>
      </c>
      <c r="P58" s="23" t="str">
        <f>+INDEX('SOI Mapping'!$D:$D, MATCH(SOIs!$O58,'SOI Mapping'!$B:$B,0),0)</f>
        <v>Quantic Electronics</v>
      </c>
      <c r="Q58" s="23"/>
      <c r="R58" s="18" t="s">
        <v>411</v>
      </c>
      <c r="S58" s="63" t="s">
        <v>215</v>
      </c>
      <c r="T58" s="23"/>
      <c r="U58" s="18" t="s">
        <v>404</v>
      </c>
      <c r="V58" s="23" t="str">
        <f>+INDEX('SOI Mapping'!$D:$D, MATCH(SOIs!$U58,'SOI Mapping'!$B:$B,0),0)</f>
        <v>Seaway Plastics</v>
      </c>
      <c r="X58" t="s">
        <v>133</v>
      </c>
    </row>
    <row r="59" spans="3:24">
      <c r="C59" s="18" t="s">
        <v>426</v>
      </c>
      <c r="D59" s="23" t="str">
        <f>+INDEX('SOI Mapping'!$D:$D, MATCH(SOIs!$C59,'SOI Mapping'!$B:$B,0),0)</f>
        <v>Consilio</v>
      </c>
      <c r="E59" s="23"/>
      <c r="F59" s="18" t="s">
        <v>427</v>
      </c>
      <c r="G59" s="23" t="str">
        <f>+INDEX('SOI Mapping'!$D:$D, MATCH(SOIs!$F59,'SOI Mapping'!$B:$B,0),0)</f>
        <v>Pragmatic Institute</v>
      </c>
      <c r="I59" s="18" t="s">
        <v>414</v>
      </c>
      <c r="J59" s="23" t="str">
        <f>+INDEX('SOI Mapping'!$D:$D, MATCH(SOIs!$I59,'SOI Mapping'!$B:$B,0),0)</f>
        <v>Paris Presents</v>
      </c>
      <c r="K59" s="23"/>
      <c r="L59" s="18" t="s">
        <v>428</v>
      </c>
      <c r="M59" s="23" t="str">
        <f>+INDEX('SOI Mapping'!$D:$D, MATCH(SOIs!$L59,'SOI Mapping'!$B:$B,0),0)</f>
        <v>BlueHalo</v>
      </c>
      <c r="N59" s="23"/>
      <c r="O59" s="18" t="s">
        <v>410</v>
      </c>
      <c r="P59" s="23" t="str">
        <f>+INDEX('SOI Mapping'!$D:$D, MATCH(SOIs!$O59,'SOI Mapping'!$B:$B,0),0)</f>
        <v>STG Logistics</v>
      </c>
      <c r="Q59" s="23"/>
      <c r="R59" s="18" t="s">
        <v>417</v>
      </c>
      <c r="S59" s="23" t="str">
        <f>+INDEX('SOI Mapping'!$D:$D, MATCH(SOIs!$R59,'SOI Mapping'!$B:$B,0),0)</f>
        <v>Pink Lily</v>
      </c>
      <c r="T59" s="23"/>
      <c r="U59" s="18" t="s">
        <v>408</v>
      </c>
      <c r="V59" s="23" t="str">
        <f>+INDEX('SOI Mapping'!$D:$D, MATCH(SOIs!$U59,'SOI Mapping'!$B:$B,0),0)</f>
        <v>Signature Systems Group</v>
      </c>
      <c r="X59" t="s">
        <v>135</v>
      </c>
    </row>
    <row r="60" spans="3:24">
      <c r="C60" s="18" t="s">
        <v>412</v>
      </c>
      <c r="D60" s="23" t="str">
        <f>+INDEX('SOI Mapping'!$D:$D, MATCH(SOIs!$C60,'SOI Mapping'!$B:$B,0),0)</f>
        <v>Solutionreach</v>
      </c>
      <c r="F60" s="18" t="s">
        <v>381</v>
      </c>
      <c r="G60" s="23" t="str">
        <f>+INDEX('SOI Mapping'!$D:$D, MATCH(SOIs!$F60,'SOI Mapping'!$B:$B,0),0)</f>
        <v>Quantic Electronics</v>
      </c>
      <c r="I60" s="18" t="s">
        <v>417</v>
      </c>
      <c r="J60" s="23" t="str">
        <f>+INDEX('SOI Mapping'!$D:$D, MATCH(SOIs!$I60,'SOI Mapping'!$B:$B,0),0)</f>
        <v>Pink Lily</v>
      </c>
      <c r="K60" s="23"/>
      <c r="L60" s="18" t="s">
        <v>429</v>
      </c>
      <c r="M60" s="23" t="str">
        <f>+INDEX('SOI Mapping'!$D:$D, MATCH(SOIs!$L60,'SOI Mapping'!$B:$B,0),0)</f>
        <v>Bluebird</v>
      </c>
      <c r="N60" s="23"/>
      <c r="O60" s="18" t="s">
        <v>392</v>
      </c>
      <c r="P60" s="23" t="str">
        <f>+INDEX('SOI Mapping'!$D:$D, MATCH(SOIs!$O60,'SOI Mapping'!$B:$B,0),0)</f>
        <v>Research Now/SSI</v>
      </c>
      <c r="Q60" s="23"/>
      <c r="R60" s="18" t="s">
        <v>427</v>
      </c>
      <c r="S60" s="23" t="str">
        <f>+INDEX('SOI Mapping'!$D:$D, MATCH(SOIs!$R60,'SOI Mapping'!$B:$B,0),0)</f>
        <v>Pragmatic Institute</v>
      </c>
      <c r="T60" s="23"/>
      <c r="U60" s="18" t="s">
        <v>426</v>
      </c>
      <c r="V60" s="23" t="str">
        <f>+INDEX('SOI Mapping'!$D:$D, MATCH(SOIs!$U60,'SOI Mapping'!$B:$B,0),0)</f>
        <v>Consilio</v>
      </c>
      <c r="X60" t="s">
        <v>134</v>
      </c>
    </row>
    <row r="61" spans="3:24">
      <c r="C61" s="18" t="s">
        <v>416</v>
      </c>
      <c r="D61" s="23" t="str">
        <f>+INDEX('SOI Mapping'!$D:$D, MATCH(SOIs!$C61,'SOI Mapping'!$B:$B,0),0)</f>
        <v>STV Group</v>
      </c>
      <c r="F61" s="18" t="s">
        <v>389</v>
      </c>
      <c r="G61" s="23" t="str">
        <f>+INDEX('SOI Mapping'!$D:$D, MATCH(SOIs!$F61,'SOI Mapping'!$B:$B,0),0)</f>
        <v>Recteq</v>
      </c>
      <c r="I61" s="18" t="s">
        <v>381</v>
      </c>
      <c r="J61" s="23" t="str">
        <f>+INDEX('SOI Mapping'!$D:$D, MATCH(SOIs!$I61,'SOI Mapping'!$B:$B,0),0)</f>
        <v>Quantic Electronics</v>
      </c>
      <c r="K61" s="23"/>
      <c r="L61" s="18" t="s">
        <v>430</v>
      </c>
      <c r="M61" s="23" t="str">
        <f>+INDEX('SOI Mapping'!$D:$D, MATCH(SOIs!$L61,'SOI Mapping'!$B:$B,0),0)</f>
        <v>Vertex</v>
      </c>
      <c r="N61" s="23"/>
      <c r="O61" s="18" t="s">
        <v>395</v>
      </c>
      <c r="P61" s="23" t="str">
        <f>+INDEX('SOI Mapping'!$D:$D, MATCH(SOIs!$O61,'SOI Mapping'!$B:$B,0),0)</f>
        <v>Riverside Insights</v>
      </c>
      <c r="Q61" s="23"/>
      <c r="R61" s="18" t="s">
        <v>431</v>
      </c>
      <c r="S61" s="63" t="s">
        <v>188</v>
      </c>
      <c r="T61" s="23"/>
      <c r="U61" s="18" t="s">
        <v>412</v>
      </c>
      <c r="V61" s="23" t="str">
        <f>+INDEX('SOI Mapping'!$D:$D, MATCH(SOIs!$U61,'SOI Mapping'!$B:$B,0),0)</f>
        <v>Solutionreach</v>
      </c>
      <c r="X61" t="s">
        <v>137</v>
      </c>
    </row>
    <row r="62" spans="3:24">
      <c r="C62" s="18" t="s">
        <v>422</v>
      </c>
      <c r="D62" s="23" t="str">
        <f>+INDEX('SOI Mapping'!$D:$D, MATCH(SOIs!$C62,'SOI Mapping'!$B:$B,0),0)</f>
        <v>MCR</v>
      </c>
      <c r="F62" s="18" t="s">
        <v>392</v>
      </c>
      <c r="G62" s="23" t="str">
        <f>+INDEX('SOI Mapping'!$D:$D, MATCH(SOIs!$F62,'SOI Mapping'!$B:$B,0),0)</f>
        <v>Research Now/SSI</v>
      </c>
      <c r="I62" s="18" t="s">
        <v>388</v>
      </c>
      <c r="J62" s="23" t="str">
        <f>+INDEX('SOI Mapping'!$D:$D, MATCH(SOIs!$I62,'SOI Mapping'!$B:$B,0),0)</f>
        <v>Rancho Medical</v>
      </c>
      <c r="K62" s="23"/>
      <c r="L62" s="18" t="s">
        <v>432</v>
      </c>
      <c r="M62" s="23" t="str">
        <f>+INDEX('SOI Mapping'!$D:$D, MATCH(SOIs!$L62,'SOI Mapping'!$B:$B,0),0)</f>
        <v>Targeted Pet Care</v>
      </c>
      <c r="N62" s="23"/>
      <c r="O62" s="18" t="s">
        <v>400</v>
      </c>
      <c r="P62" s="23" t="str">
        <f>+INDEX('SOI Mapping'!$D:$D, MATCH(SOIs!$O62,'SOI Mapping'!$B:$B,0),0)</f>
        <v>Sales Benchmark Index (SBI)</v>
      </c>
      <c r="Q62" s="23"/>
      <c r="R62" s="18" t="s">
        <v>433</v>
      </c>
      <c r="S62" s="63" t="s">
        <v>218</v>
      </c>
      <c r="T62" s="23"/>
      <c r="U62" s="18" t="s">
        <v>434</v>
      </c>
      <c r="V62" s="63" t="s">
        <v>435</v>
      </c>
      <c r="X62" t="s">
        <v>139</v>
      </c>
    </row>
    <row r="63" spans="3:24">
      <c r="C63" s="18" t="s">
        <v>424</v>
      </c>
      <c r="D63" s="23" t="str">
        <f>+INDEX('SOI Mapping'!$D:$D, MATCH(SOIs!$C63,'SOI Mapping'!$B:$B,0),0)</f>
        <v>Teneo</v>
      </c>
      <c r="F63" s="18" t="s">
        <v>400</v>
      </c>
      <c r="G63" s="23" t="str">
        <f>+INDEX('SOI Mapping'!$D:$D, MATCH(SOIs!$F63,'SOI Mapping'!$B:$B,0),0)</f>
        <v>Sales Benchmark Index (SBI)</v>
      </c>
      <c r="I63" s="18" t="s">
        <v>436</v>
      </c>
      <c r="J63" s="23" t="str">
        <f>+INDEX('SOI Mapping'!$D:$D, MATCH(SOIs!$I63,'SOI Mapping'!$B:$B,0),0)</f>
        <v>Rancho Medical</v>
      </c>
      <c r="K63" s="23"/>
      <c r="L63" s="18" t="s">
        <v>437</v>
      </c>
      <c r="M63" s="23" t="str">
        <f>+INDEX('SOI Mapping'!$D:$D, MATCH(SOIs!$L63,'SOI Mapping'!$B:$B,0),0)</f>
        <v>StrataTech</v>
      </c>
      <c r="N63" s="23"/>
      <c r="O63" s="18" t="s">
        <v>404</v>
      </c>
      <c r="P63" s="23" t="str">
        <f>+INDEX('SOI Mapping'!$D:$D, MATCH(SOIs!$O63,'SOI Mapping'!$B:$B,0),0)</f>
        <v>Seaway Plastics</v>
      </c>
      <c r="Q63" s="23"/>
      <c r="R63" s="18" t="s">
        <v>420</v>
      </c>
      <c r="S63" s="63" t="s">
        <v>215</v>
      </c>
      <c r="T63" s="23"/>
      <c r="U63" s="18" t="s">
        <v>416</v>
      </c>
      <c r="V63" s="23" t="str">
        <f>+INDEX('SOI Mapping'!$D:$D, MATCH(SOIs!$U63,'SOI Mapping'!$B:$B,0),0)</f>
        <v>STV Group</v>
      </c>
      <c r="X63" t="s">
        <v>140</v>
      </c>
    </row>
    <row r="64" spans="3:24">
      <c r="C64" s="18" t="s">
        <v>428</v>
      </c>
      <c r="D64" s="23" t="str">
        <f>+INDEX('SOI Mapping'!$D:$D, MATCH(SOIs!$C64,'SOI Mapping'!$B:$B,0),0)</f>
        <v>BlueHalo</v>
      </c>
      <c r="F64" s="18" t="s">
        <v>401</v>
      </c>
      <c r="G64" s="23" t="str">
        <f>+INDEX('SOI Mapping'!$D:$D, MATCH(SOIs!$F64,'SOI Mapping'!$B:$B,0),0)</f>
        <v>Sargent &amp; Greenleaf</v>
      </c>
      <c r="I64" s="18" t="s">
        <v>410</v>
      </c>
      <c r="J64" s="23" t="str">
        <f>+INDEX('SOI Mapping'!$D:$D, MATCH(SOIs!$I64,'SOI Mapping'!$B:$B,0),0)</f>
        <v>STG Logistics</v>
      </c>
      <c r="K64" s="23"/>
      <c r="L64" s="18" t="s">
        <v>438</v>
      </c>
      <c r="M64" s="23" t="str">
        <f>+INDEX('SOI Mapping'!$D:$D, MATCH(SOIs!$L64,'SOI Mapping'!$B:$B,0),0)</f>
        <v>Tyto Athene</v>
      </c>
      <c r="N64" s="23"/>
      <c r="O64" s="18" t="s">
        <v>421</v>
      </c>
      <c r="P64" s="23" t="str">
        <f>+INDEX('SOI Mapping'!$D:$D, MATCH(SOIs!$O64,'SOI Mapping'!$B:$B,0),0)</f>
        <v>Sigma Defense</v>
      </c>
      <c r="Q64" s="23"/>
      <c r="R64" s="18" t="s">
        <v>400</v>
      </c>
      <c r="S64" s="23" t="str">
        <f>+INDEX('SOI Mapping'!$D:$D, MATCH(SOIs!$R64,'SOI Mapping'!$B:$B,0),0)</f>
        <v>Sales Benchmark Index (SBI)</v>
      </c>
      <c r="T64" s="23"/>
      <c r="U64" s="18" t="s">
        <v>439</v>
      </c>
      <c r="V64" s="23" t="str">
        <f>+INDEX('SOI Mapping'!$D:$D, MATCH(SOIs!$U64,'SOI Mapping'!$B:$B,0),0)</f>
        <v>Summit Behavioral Healthcare</v>
      </c>
      <c r="X64" t="s">
        <v>141</v>
      </c>
    </row>
    <row r="65" spans="3:24">
      <c r="C65" s="18" t="s">
        <v>429</v>
      </c>
      <c r="D65" s="23" t="str">
        <f>+INDEX('SOI Mapping'!$D:$D, MATCH(SOIs!$C65,'SOI Mapping'!$B:$B,0),0)</f>
        <v>Bluebird</v>
      </c>
      <c r="F65" s="18" t="s">
        <v>421</v>
      </c>
      <c r="G65" s="23" t="str">
        <f>+INDEX('SOI Mapping'!$D:$D, MATCH(SOIs!$F65,'SOI Mapping'!$B:$B,0),0)</f>
        <v>Sigma Defense</v>
      </c>
      <c r="I65" s="18" t="s">
        <v>389</v>
      </c>
      <c r="J65" s="23" t="str">
        <f>+INDEX('SOI Mapping'!$D:$D, MATCH(SOIs!$I65,'SOI Mapping'!$B:$B,0),0)</f>
        <v>Recteq</v>
      </c>
      <c r="K65" s="23"/>
      <c r="L65" s="18" t="s">
        <v>440</v>
      </c>
      <c r="M65" s="23" t="str">
        <f>+INDEX('SOI Mapping'!$D:$D, MATCH(SOIs!$L65,'SOI Mapping'!$B:$B,0),0)</f>
        <v>Nsi Industries</v>
      </c>
      <c r="N65" s="23"/>
      <c r="O65" s="18" t="s">
        <v>426</v>
      </c>
      <c r="P65" s="23" t="str">
        <f>+INDEX('SOI Mapping'!$D:$D, MATCH(SOIs!$O65,'SOI Mapping'!$B:$B,0),0)</f>
        <v>Consilio</v>
      </c>
      <c r="Q65" s="23"/>
      <c r="R65" s="18" t="s">
        <v>441</v>
      </c>
      <c r="S65" s="63" t="s">
        <v>204</v>
      </c>
      <c r="T65" s="23"/>
      <c r="U65" s="18" t="s">
        <v>422</v>
      </c>
      <c r="V65" s="23" t="str">
        <f>+INDEX('SOI Mapping'!$D:$D, MATCH(SOIs!$U65,'SOI Mapping'!$B:$B,0),0)</f>
        <v>MCR</v>
      </c>
      <c r="X65" t="s">
        <v>142</v>
      </c>
    </row>
    <row r="66" spans="3:24">
      <c r="C66" s="18" t="s">
        <v>430</v>
      </c>
      <c r="D66" s="23" t="str">
        <f>+INDEX('SOI Mapping'!$D:$D, MATCH(SOIs!$C66,'SOI Mapping'!$B:$B,0),0)</f>
        <v>Vertex</v>
      </c>
      <c r="F66" s="18" t="s">
        <v>426</v>
      </c>
      <c r="G66" s="23" t="str">
        <f>+INDEX('SOI Mapping'!$D:$D, MATCH(SOIs!$F66,'SOI Mapping'!$B:$B,0),0)</f>
        <v>Consilio</v>
      </c>
      <c r="I66" s="18" t="s">
        <v>392</v>
      </c>
      <c r="J66" s="23" t="str">
        <f>+INDEX('SOI Mapping'!$D:$D, MATCH(SOIs!$I66,'SOI Mapping'!$B:$B,0),0)</f>
        <v>Research Now/SSI</v>
      </c>
      <c r="K66" s="23"/>
      <c r="L66" s="18" t="s">
        <v>442</v>
      </c>
      <c r="M66" s="23" t="str">
        <f>+INDEX('SOI Mapping'!$D:$D, MATCH(SOIs!$L66,'SOI Mapping'!$B:$B,0),0)</f>
        <v>Zips</v>
      </c>
      <c r="N66" s="23"/>
      <c r="O66" s="18" t="s">
        <v>439</v>
      </c>
      <c r="P66" s="23" t="str">
        <f>+INDEX('SOI Mapping'!$D:$D, MATCH(SOIs!$O66,'SOI Mapping'!$B:$B,0),0)</f>
        <v>Summit Behavioral Healthcare</v>
      </c>
      <c r="Q66" s="23"/>
      <c r="R66" s="18" t="s">
        <v>443</v>
      </c>
      <c r="S66" s="63" t="s">
        <v>206</v>
      </c>
      <c r="T66" s="23"/>
      <c r="U66" s="18" t="s">
        <v>444</v>
      </c>
      <c r="V66" s="23" t="str">
        <f>+INDEX('SOI Mapping'!$D:$D, MATCH(SOIs!$U66,'SOI Mapping'!$B:$B,0),0)</f>
        <v>TEAM Services Group</v>
      </c>
      <c r="X66" t="s">
        <v>147</v>
      </c>
    </row>
    <row r="67" spans="3:24">
      <c r="C67" s="18" t="s">
        <v>432</v>
      </c>
      <c r="D67" s="23" t="str">
        <f>+INDEX('SOI Mapping'!$D:$D, MATCH(SOIs!$C67,'SOI Mapping'!$B:$B,0),0)</f>
        <v>Targeted Pet Care</v>
      </c>
      <c r="F67" s="18" t="s">
        <v>445</v>
      </c>
      <c r="G67" s="23" t="str">
        <f>+INDEX('SOI Mapping'!$D:$D, MATCH(SOIs!$F67,'SOI Mapping'!$B:$B,0),0)</f>
        <v>Smile Brands</v>
      </c>
      <c r="I67" s="18" t="s">
        <v>395</v>
      </c>
      <c r="J67" s="23" t="str">
        <f>+INDEX('SOI Mapping'!$D:$D, MATCH(SOIs!$I67,'SOI Mapping'!$B:$B,0),0)</f>
        <v>Riverside Insights</v>
      </c>
      <c r="K67" s="23"/>
      <c r="L67" s="18"/>
      <c r="M67" s="23"/>
      <c r="N67" s="23"/>
      <c r="O67" s="18" t="s">
        <v>422</v>
      </c>
      <c r="P67" s="23" t="str">
        <f>+INDEX('SOI Mapping'!$D:$D, MATCH(SOIs!$O67,'SOI Mapping'!$B:$B,0),0)</f>
        <v>MCR</v>
      </c>
      <c r="Q67" s="23"/>
      <c r="R67" s="18" t="s">
        <v>421</v>
      </c>
      <c r="S67" s="23" t="str">
        <f>+INDEX('SOI Mapping'!$D:$D, MATCH(SOIs!$R67,'SOI Mapping'!$B:$B,0),0)</f>
        <v>Sigma Defense</v>
      </c>
      <c r="T67" s="23"/>
      <c r="U67" s="18" t="s">
        <v>429</v>
      </c>
      <c r="V67" s="23" t="str">
        <f>+INDEX('SOI Mapping'!$D:$D, MATCH(SOIs!$U67,'SOI Mapping'!$B:$B,0),0)</f>
        <v>Bluebird</v>
      </c>
      <c r="X67" t="s">
        <v>149</v>
      </c>
    </row>
    <row r="68" spans="3:24">
      <c r="C68" s="18" t="s">
        <v>437</v>
      </c>
      <c r="D68" s="23" t="str">
        <f>+INDEX('SOI Mapping'!$D:$D, MATCH(SOIs!$C68,'SOI Mapping'!$B:$B,0),0)</f>
        <v>StrataTech</v>
      </c>
      <c r="F68" s="18" t="s">
        <v>446</v>
      </c>
      <c r="G68" s="23" t="str">
        <f>+INDEX('SOI Mapping'!$D:$D, MATCH(SOIs!$F68,'SOI Mapping'!$B:$B,0),0)</f>
        <v>Solutionreach</v>
      </c>
      <c r="I68" s="18" t="s">
        <v>421</v>
      </c>
      <c r="J68" s="23" t="str">
        <f>+INDEX('SOI Mapping'!$D:$D, MATCH(SOIs!$I68,'SOI Mapping'!$B:$B,0),0)</f>
        <v>Sigma Defense</v>
      </c>
      <c r="K68" s="23"/>
      <c r="L68" s="18"/>
      <c r="M68" s="23"/>
      <c r="N68" s="23"/>
      <c r="O68" s="18" t="s">
        <v>444</v>
      </c>
      <c r="P68" s="23" t="str">
        <f>+INDEX('SOI Mapping'!$D:$D, MATCH(SOIs!$O68,'SOI Mapping'!$B:$B,0),0)</f>
        <v>TEAM Services Group</v>
      </c>
      <c r="Q68" s="23"/>
      <c r="R68" s="18" t="s">
        <v>426</v>
      </c>
      <c r="S68" s="23" t="str">
        <f>+INDEX('SOI Mapping'!$D:$D, MATCH(SOIs!$R68,'SOI Mapping'!$B:$B,0),0)</f>
        <v>Consilio</v>
      </c>
      <c r="T68" s="23"/>
      <c r="U68" s="18" t="s">
        <v>430</v>
      </c>
      <c r="V68" s="23" t="str">
        <f>+INDEX('SOI Mapping'!$D:$D, MATCH(SOIs!$U68,'SOI Mapping'!$B:$B,0),0)</f>
        <v>Vertex</v>
      </c>
      <c r="X68" t="s">
        <v>150</v>
      </c>
    </row>
    <row r="69" spans="3:24">
      <c r="C69" s="18" t="s">
        <v>447</v>
      </c>
      <c r="D69" s="23" t="str">
        <f>+INDEX('SOI Mapping'!$D:$D, MATCH(SOIs!$C69,'SOI Mapping'!$B:$B,0),0)</f>
        <v>Tyto Athene</v>
      </c>
      <c r="F69" s="18" t="s">
        <v>416</v>
      </c>
      <c r="G69" s="23" t="str">
        <f>+INDEX('SOI Mapping'!$D:$D, MATCH(SOIs!$F69,'SOI Mapping'!$B:$B,0),0)</f>
        <v>STV Group</v>
      </c>
      <c r="I69" s="18" t="s">
        <v>448</v>
      </c>
      <c r="J69" s="23" t="str">
        <f>+INDEX('SOI Mapping'!$D:$D, MATCH(SOIs!$I69,'SOI Mapping'!$B:$B,0),0)</f>
        <v>Smile Brands</v>
      </c>
      <c r="K69" s="23"/>
      <c r="L69" s="23"/>
      <c r="M69" s="23"/>
      <c r="N69" s="23"/>
      <c r="O69" s="18" t="s">
        <v>424</v>
      </c>
      <c r="P69" s="23" t="str">
        <f>+INDEX('SOI Mapping'!$D:$D, MATCH(SOIs!$O69,'SOI Mapping'!$B:$B,0),0)</f>
        <v>Teneo</v>
      </c>
      <c r="Q69" s="23"/>
      <c r="R69" s="18" t="s">
        <v>446</v>
      </c>
      <c r="S69" s="23" t="str">
        <f>+INDEX('SOI Mapping'!$D:$D, MATCH(SOIs!$R69,'SOI Mapping'!$B:$B,0),0)</f>
        <v>Solutionreach</v>
      </c>
      <c r="T69" s="23"/>
      <c r="U69" s="18" t="s">
        <v>437</v>
      </c>
      <c r="V69" s="23" t="str">
        <f>+INDEX('SOI Mapping'!$D:$D, MATCH(SOIs!$U69,'SOI Mapping'!$B:$B,0),0)</f>
        <v>StrataTech</v>
      </c>
      <c r="X69" t="s">
        <v>151</v>
      </c>
    </row>
    <row r="70" spans="3:24">
      <c r="C70" s="18" t="s">
        <v>449</v>
      </c>
      <c r="D70" s="63" t="s">
        <v>237</v>
      </c>
      <c r="F70" s="18" t="s">
        <v>422</v>
      </c>
      <c r="G70" s="23" t="str">
        <f>+INDEX('SOI Mapping'!$D:$D, MATCH(SOIs!$F70,'SOI Mapping'!$B:$B,0),0)</f>
        <v>MCR</v>
      </c>
      <c r="I70" s="18" t="s">
        <v>450</v>
      </c>
      <c r="J70" s="23" t="str">
        <f>+INDEX('SOI Mapping'!$D:$D, MATCH(SOIs!$I70,'SOI Mapping'!$B:$B,0),0)</f>
        <v>Southern Veterinary Partners</v>
      </c>
      <c r="K70" s="23"/>
      <c r="L70" s="23"/>
      <c r="M70" s="23"/>
      <c r="N70" s="23"/>
      <c r="O70" s="18" t="s">
        <v>429</v>
      </c>
      <c r="P70" s="23" t="str">
        <f>+INDEX('SOI Mapping'!$D:$D, MATCH(SOIs!$O70,'SOI Mapping'!$B:$B,0),0)</f>
        <v>Bluebird</v>
      </c>
      <c r="Q70" s="23"/>
      <c r="R70" s="18" t="s">
        <v>451</v>
      </c>
      <c r="S70" s="23" t="str">
        <f>+INDEX('SOI Mapping'!$D:$D, MATCH(SOIs!$R70,'SOI Mapping'!$B:$B,0),0)</f>
        <v>SpendMend</v>
      </c>
      <c r="T70" s="23"/>
      <c r="U70" s="18" t="s">
        <v>452</v>
      </c>
      <c r="V70" s="23" t="str">
        <f>+INDEX('SOI Mapping'!$D:$D, MATCH(SOIs!$U70,'SOI Mapping'!$B:$B,0),0)</f>
        <v>Solaris Health</v>
      </c>
      <c r="X70" t="s">
        <v>152</v>
      </c>
    </row>
    <row r="71" spans="3:24">
      <c r="C71" s="18" t="s">
        <v>440</v>
      </c>
      <c r="D71" s="23" t="str">
        <f>+INDEX('SOI Mapping'!$D:$D, MATCH(SOIs!$C71,'SOI Mapping'!$B:$B,0),0)</f>
        <v>Nsi Industries</v>
      </c>
      <c r="F71" s="18" t="s">
        <v>444</v>
      </c>
      <c r="G71" s="23" t="str">
        <f>+INDEX('SOI Mapping'!$D:$D, MATCH(SOIs!$F71,'SOI Mapping'!$B:$B,0),0)</f>
        <v>TEAM Services Group</v>
      </c>
      <c r="I71" s="18" t="s">
        <v>439</v>
      </c>
      <c r="J71" s="23" t="str">
        <f>+INDEX('SOI Mapping'!$D:$D, MATCH(SOIs!$I71,'SOI Mapping'!$B:$B,0),0)</f>
        <v>Summit Behavioral Healthcare</v>
      </c>
      <c r="K71" s="23"/>
      <c r="L71" s="23"/>
      <c r="M71" s="23"/>
      <c r="N71" s="23"/>
      <c r="O71" s="18" t="s">
        <v>453</v>
      </c>
      <c r="P71" s="23" t="str">
        <f>+INDEX('SOI Mapping'!$D:$D, MATCH(SOIs!$O71,'SOI Mapping'!$B:$B,0),0)</f>
        <v>Edelman</v>
      </c>
      <c r="Q71" s="23"/>
      <c r="R71" s="18" t="s">
        <v>416</v>
      </c>
      <c r="S71" s="23" t="str">
        <f>+INDEX('SOI Mapping'!$D:$D, MATCH(SOIs!$R71,'SOI Mapping'!$B:$B,0),0)</f>
        <v>STV Group</v>
      </c>
      <c r="T71" s="23"/>
      <c r="U71" s="18" t="s">
        <v>440</v>
      </c>
      <c r="V71" s="23" t="str">
        <f>+INDEX('SOI Mapping'!$D:$D, MATCH(SOIs!$U71,'SOI Mapping'!$B:$B,0),0)</f>
        <v>Nsi Industries</v>
      </c>
      <c r="X71" t="s">
        <v>154</v>
      </c>
    </row>
    <row r="72" spans="3:24">
      <c r="C72" s="18" t="s">
        <v>442</v>
      </c>
      <c r="D72" s="23" t="str">
        <f>+INDEX('SOI Mapping'!$D:$D, MATCH(SOIs!$C72,'SOI Mapping'!$B:$B,0),0)</f>
        <v>Zips</v>
      </c>
      <c r="F72" s="18" t="s">
        <v>424</v>
      </c>
      <c r="G72" s="23" t="str">
        <f>+INDEX('SOI Mapping'!$D:$D, MATCH(SOIs!$F72,'SOI Mapping'!$B:$B,0),0)</f>
        <v>Teneo</v>
      </c>
      <c r="I72" s="18" t="s">
        <v>422</v>
      </c>
      <c r="J72" s="23" t="str">
        <f>+INDEX('SOI Mapping'!$D:$D, MATCH(SOIs!$I72,'SOI Mapping'!$B:$B,0),0)</f>
        <v>MCR</v>
      </c>
      <c r="K72" s="23"/>
      <c r="L72" s="23"/>
      <c r="M72" s="23"/>
      <c r="N72" s="23"/>
      <c r="O72" s="18" t="s">
        <v>432</v>
      </c>
      <c r="P72" s="23" t="str">
        <f>+INDEX('SOI Mapping'!$D:$D, MATCH(SOIs!$O72,'SOI Mapping'!$B:$B,0),0)</f>
        <v>Targeted Pet Care</v>
      </c>
      <c r="Q72" s="23"/>
      <c r="R72" s="18" t="s">
        <v>422</v>
      </c>
      <c r="S72" s="23" t="str">
        <f>+INDEX('SOI Mapping'!$D:$D, MATCH(SOIs!$R72,'SOI Mapping'!$B:$B,0),0)</f>
        <v>MCR</v>
      </c>
      <c r="T72" s="23"/>
      <c r="U72" s="18" t="s">
        <v>442</v>
      </c>
      <c r="V72" s="23" t="str">
        <f>+INDEX('SOI Mapping'!$D:$D, MATCH(SOIs!$U72,'SOI Mapping'!$B:$B,0),0)</f>
        <v>Zips</v>
      </c>
      <c r="X72" t="s">
        <v>155</v>
      </c>
    </row>
    <row r="73" spans="3:24">
      <c r="F73" s="18" t="s">
        <v>428</v>
      </c>
      <c r="G73" s="23" t="str">
        <f>+INDEX('SOI Mapping'!$D:$D, MATCH(SOIs!$F73,'SOI Mapping'!$B:$B,0),0)</f>
        <v>BlueHalo</v>
      </c>
      <c r="I73" s="18" t="s">
        <v>444</v>
      </c>
      <c r="J73" s="23" t="str">
        <f>+INDEX('SOI Mapping'!$D:$D, MATCH(SOIs!$I73,'SOI Mapping'!$B:$B,0),0)</f>
        <v>TEAM Services Group</v>
      </c>
      <c r="K73" s="23"/>
      <c r="L73" s="23"/>
      <c r="M73" s="23"/>
      <c r="N73" s="23"/>
      <c r="O73" s="18" t="s">
        <v>454</v>
      </c>
      <c r="P73" s="23" t="str">
        <f>+INDEX('SOI Mapping'!$D:$D, MATCH(SOIs!$O73,'SOI Mapping'!$B:$B,0),0)</f>
        <v>TVC</v>
      </c>
      <c r="Q73" s="23"/>
      <c r="R73" s="18" t="s">
        <v>429</v>
      </c>
      <c r="S73" s="23" t="str">
        <f>+INDEX('SOI Mapping'!$D:$D, MATCH(SOIs!$R73,'SOI Mapping'!$B:$B,0),0)</f>
        <v>Bluebird</v>
      </c>
      <c r="T73" s="23"/>
      <c r="U73" s="18"/>
      <c r="V73" s="23"/>
      <c r="X73" t="s">
        <v>156</v>
      </c>
    </row>
    <row r="74" spans="3:24">
      <c r="F74" s="18" t="s">
        <v>429</v>
      </c>
      <c r="G74" s="23" t="str">
        <f>+INDEX('SOI Mapping'!$D:$D, MATCH(SOIs!$F74,'SOI Mapping'!$B:$B,0),0)</f>
        <v>Bluebird</v>
      </c>
      <c r="I74" s="18" t="s">
        <v>424</v>
      </c>
      <c r="J74" s="23" t="str">
        <f>+INDEX('SOI Mapping'!$D:$D, MATCH(SOIs!$I74,'SOI Mapping'!$B:$B,0),0)</f>
        <v>Teneo</v>
      </c>
      <c r="K74" s="23"/>
      <c r="L74" s="23"/>
      <c r="M74" s="23"/>
      <c r="N74" s="23"/>
      <c r="O74" s="18" t="s">
        <v>437</v>
      </c>
      <c r="P74" s="23" t="str">
        <f>+INDEX('SOI Mapping'!$D:$D, MATCH(SOIs!$O74,'SOI Mapping'!$B:$B,0),0)</f>
        <v>StrataTech</v>
      </c>
      <c r="Q74" s="23"/>
      <c r="R74" s="18" t="s">
        <v>430</v>
      </c>
      <c r="S74" s="23" t="str">
        <f>+INDEX('SOI Mapping'!$D:$D, MATCH(SOIs!$R74,'SOI Mapping'!$B:$B,0),0)</f>
        <v>Vertex</v>
      </c>
      <c r="T74" s="23"/>
      <c r="U74" s="18"/>
      <c r="V74" s="23"/>
      <c r="X74" t="s">
        <v>157</v>
      </c>
    </row>
    <row r="75" spans="3:24">
      <c r="F75" s="18" t="s">
        <v>432</v>
      </c>
      <c r="G75" s="23" t="str">
        <f>+INDEX('SOI Mapping'!$D:$D, MATCH(SOIs!$F75,'SOI Mapping'!$B:$B,0),0)</f>
        <v>Targeted Pet Care</v>
      </c>
      <c r="I75" s="18" t="s">
        <v>428</v>
      </c>
      <c r="J75" s="23" t="str">
        <f>+INDEX('SOI Mapping'!$D:$D, MATCH(SOIs!$I75,'SOI Mapping'!$B:$B,0),0)</f>
        <v>BlueHalo</v>
      </c>
      <c r="K75" s="23"/>
      <c r="L75" s="23"/>
      <c r="M75" s="23"/>
      <c r="N75" s="23"/>
      <c r="O75" s="18" t="s">
        <v>438</v>
      </c>
      <c r="P75" s="23" t="str">
        <f>+INDEX('SOI Mapping'!$D:$D, MATCH(SOIs!$O75,'SOI Mapping'!$B:$B,0),0)</f>
        <v>Tyto Athene</v>
      </c>
      <c r="Q75" s="23"/>
      <c r="R75" s="18" t="s">
        <v>432</v>
      </c>
      <c r="S75" s="23" t="str">
        <f>+INDEX('SOI Mapping'!$D:$D, MATCH(SOIs!$R75,'SOI Mapping'!$B:$B,0),0)</f>
        <v>Targeted Pet Care</v>
      </c>
      <c r="T75" s="23"/>
      <c r="U75" s="18"/>
      <c r="V75" s="23"/>
      <c r="X75" t="s">
        <v>159</v>
      </c>
    </row>
    <row r="76" spans="3:24">
      <c r="F76" s="18" t="s">
        <v>437</v>
      </c>
      <c r="G76" s="23" t="str">
        <f>+INDEX('SOI Mapping'!$D:$D, MATCH(SOIs!$F76,'SOI Mapping'!$B:$B,0),0)</f>
        <v>StrataTech</v>
      </c>
      <c r="I76" s="18" t="s">
        <v>429</v>
      </c>
      <c r="J76" s="23" t="str">
        <f>+INDEX('SOI Mapping'!$D:$D, MATCH(SOIs!$I76,'SOI Mapping'!$B:$B,0),0)</f>
        <v>Bluebird</v>
      </c>
      <c r="K76" s="23"/>
      <c r="L76" s="23"/>
      <c r="M76" s="23"/>
      <c r="N76" s="23"/>
      <c r="O76" s="18" t="s">
        <v>440</v>
      </c>
      <c r="P76" s="23" t="str">
        <f>+INDEX('SOI Mapping'!$D:$D, MATCH(SOIs!$O76,'SOI Mapping'!$B:$B,0),0)</f>
        <v>Nsi Industries</v>
      </c>
      <c r="Q76" s="23"/>
      <c r="R76" s="18" t="s">
        <v>437</v>
      </c>
      <c r="S76" s="23" t="str">
        <f>+INDEX('SOI Mapping'!$D:$D, MATCH(SOIs!$R76,'SOI Mapping'!$B:$B,0),0)</f>
        <v>StrataTech</v>
      </c>
      <c r="T76" s="23"/>
      <c r="U76" s="18"/>
      <c r="V76" s="23"/>
      <c r="X76" t="s">
        <v>160</v>
      </c>
    </row>
    <row r="77" spans="3:24">
      <c r="F77" s="18" t="s">
        <v>447</v>
      </c>
      <c r="G77" s="23" t="str">
        <f>+INDEX('SOI Mapping'!$D:$D, MATCH(SOIs!$F77,'SOI Mapping'!$B:$B,0),0)</f>
        <v>Tyto Athene</v>
      </c>
      <c r="I77" s="18" t="s">
        <v>455</v>
      </c>
      <c r="J77" s="23" t="str">
        <f>+INDEX('SOI Mapping'!$D:$D, MATCH(SOIs!$I77,'SOI Mapping'!$B:$B,0),0)</f>
        <v>Infosoft</v>
      </c>
      <c r="K77" s="23"/>
      <c r="L77" s="23"/>
      <c r="M77" s="23"/>
      <c r="N77" s="23"/>
      <c r="O77" s="18" t="s">
        <v>456</v>
      </c>
      <c r="P77" s="23" t="str">
        <f>+INDEX('SOI Mapping'!$D:$D, MATCH(SOIs!$O77,'SOI Mapping'!$B:$B,0),0)</f>
        <v>Nsi Industries</v>
      </c>
      <c r="Q77" s="23"/>
      <c r="R77" s="18" t="s">
        <v>447</v>
      </c>
      <c r="S77" s="23" t="str">
        <f>+INDEX('SOI Mapping'!$D:$D, MATCH(SOIs!$R77,'SOI Mapping'!$B:$B,0),0)</f>
        <v>Tyto Athene</v>
      </c>
      <c r="T77" s="23"/>
      <c r="U77" s="18"/>
      <c r="V77" s="23"/>
      <c r="X77" t="s">
        <v>162</v>
      </c>
    </row>
    <row r="78" spans="3:24">
      <c r="F78" s="18" t="s">
        <v>457</v>
      </c>
      <c r="G78" s="23" t="str">
        <f>+INDEX('SOI Mapping'!$D:$D, MATCH(SOIs!$F78,'SOI Mapping'!$B:$B,0),0)</f>
        <v>Walker Edison</v>
      </c>
      <c r="I78" s="18" t="s">
        <v>430</v>
      </c>
      <c r="J78" s="23" t="str">
        <f>+INDEX('SOI Mapping'!$D:$D, MATCH(SOIs!$I78,'SOI Mapping'!$B:$B,0),0)</f>
        <v>Vertex</v>
      </c>
      <c r="K78" s="23"/>
      <c r="L78" s="23"/>
      <c r="M78" s="23"/>
      <c r="N78" s="23"/>
      <c r="O78" s="18" t="s">
        <v>442</v>
      </c>
      <c r="P78" s="23" t="str">
        <f>+INDEX('SOI Mapping'!$D:$D, MATCH(SOIs!$O78,'SOI Mapping'!$B:$B,0),0)</f>
        <v>Zips</v>
      </c>
      <c r="Q78" s="23"/>
      <c r="R78" s="18" t="s">
        <v>458</v>
      </c>
      <c r="S78" s="63" t="s">
        <v>212</v>
      </c>
      <c r="T78" s="23"/>
      <c r="U78" s="18"/>
      <c r="V78" s="23"/>
      <c r="X78" t="s">
        <v>163</v>
      </c>
    </row>
    <row r="79" spans="3:24">
      <c r="F79" s="18" t="s">
        <v>440</v>
      </c>
      <c r="G79" s="23" t="str">
        <f>+INDEX('SOI Mapping'!$D:$D, MATCH(SOIs!$F79,'SOI Mapping'!$B:$B,0),0)</f>
        <v>Nsi Industries</v>
      </c>
      <c r="I79" s="18" t="s">
        <v>454</v>
      </c>
      <c r="J79" s="23" t="str">
        <f>+INDEX('SOI Mapping'!$D:$D, MATCH(SOIs!$I79,'SOI Mapping'!$B:$B,0),0)</f>
        <v>TVC</v>
      </c>
      <c r="K79" s="23"/>
      <c r="L79" s="23"/>
      <c r="M79" s="23"/>
      <c r="N79" s="23"/>
      <c r="O79" s="18" t="s">
        <v>459</v>
      </c>
      <c r="P79" s="23" t="str">
        <f>+INDEX('SOI Mapping'!$D:$D, MATCH(SOIs!$O79,'SOI Mapping'!$B:$B,0),0)</f>
        <v>Ascensus</v>
      </c>
      <c r="Q79" s="23"/>
      <c r="R79" s="18" t="s">
        <v>440</v>
      </c>
      <c r="S79" s="23" t="str">
        <f>+INDEX('SOI Mapping'!$D:$D, MATCH(SOIs!$R79,'SOI Mapping'!$B:$B,0),0)</f>
        <v>Nsi Industries</v>
      </c>
      <c r="T79" s="23"/>
      <c r="U79" s="18"/>
      <c r="V79" s="23"/>
      <c r="X79" t="s">
        <v>460</v>
      </c>
    </row>
    <row r="80" spans="3:24">
      <c r="F80" s="18" t="s">
        <v>442</v>
      </c>
      <c r="G80" s="23" t="str">
        <f>+INDEX('SOI Mapping'!$D:$D, MATCH(SOIs!$F80,'SOI Mapping'!$B:$B,0),0)</f>
        <v>Zips</v>
      </c>
      <c r="I80" s="18" t="s">
        <v>438</v>
      </c>
      <c r="J80" s="23" t="str">
        <f>+INDEX('SOI Mapping'!$D:$D, MATCH(SOIs!$I80,'SOI Mapping'!$B:$B,0),0)</f>
        <v>Tyto Athene</v>
      </c>
      <c r="K80" s="23"/>
      <c r="L80" s="23"/>
      <c r="M80" s="23"/>
      <c r="N80" s="23"/>
      <c r="O80" s="23"/>
      <c r="P80" s="23"/>
      <c r="Q80" s="23"/>
      <c r="R80" s="18" t="s">
        <v>442</v>
      </c>
      <c r="S80" s="23" t="str">
        <f>+INDEX('SOI Mapping'!$D:$D, MATCH(SOIs!$R80,'SOI Mapping'!$B:$B,0),0)</f>
        <v>Zips</v>
      </c>
      <c r="T80" s="23"/>
      <c r="U80" s="23"/>
      <c r="V80" s="23"/>
      <c r="X80" t="s">
        <v>419</v>
      </c>
    </row>
    <row r="81" spans="4:24">
      <c r="I81" s="18" t="s">
        <v>457</v>
      </c>
      <c r="J81" s="23" t="str">
        <f>+INDEX('SOI Mapping'!$D:$D, MATCH(SOIs!$I81,'SOI Mapping'!$B:$B,0),0)</f>
        <v>Walker Edison</v>
      </c>
      <c r="X81" t="s">
        <v>170</v>
      </c>
    </row>
    <row r="82" spans="4:24">
      <c r="I82" s="18" t="s">
        <v>461</v>
      </c>
      <c r="J82" s="63" t="s">
        <v>237</v>
      </c>
      <c r="X82" t="s">
        <v>172</v>
      </c>
    </row>
    <row r="83" spans="4:24">
      <c r="I83" s="18" t="s">
        <v>440</v>
      </c>
      <c r="J83" s="23" t="str">
        <f>+INDEX('SOI Mapping'!$D:$D, MATCH(SOIs!$I83,'SOI Mapping'!$B:$B,0),0)</f>
        <v>Nsi Industries</v>
      </c>
      <c r="X83" t="s">
        <v>173</v>
      </c>
    </row>
    <row r="84" spans="4:24">
      <c r="I84" s="18" t="s">
        <v>442</v>
      </c>
      <c r="J84" s="23" t="str">
        <f>+INDEX('SOI Mapping'!$D:$D, MATCH(SOIs!$I84,'SOI Mapping'!$B:$B,0),0)</f>
        <v>Zips</v>
      </c>
      <c r="X84" t="s">
        <v>178</v>
      </c>
    </row>
    <row r="85" spans="4:24">
      <c r="I85" s="18" t="s">
        <v>462</v>
      </c>
      <c r="J85" s="23" t="str">
        <f>+INDEX('SOI Mapping'!$D:$D, MATCH(SOIs!$I85,'SOI Mapping'!$B:$B,0),0)</f>
        <v>TEAM Services Group</v>
      </c>
      <c r="X85" t="s">
        <v>179</v>
      </c>
    </row>
    <row r="86" spans="4:24">
      <c r="X86" t="s">
        <v>181</v>
      </c>
    </row>
    <row r="87" spans="4:24">
      <c r="X87" t="s">
        <v>182</v>
      </c>
    </row>
    <row r="88" spans="4:24">
      <c r="X88" t="s">
        <v>184</v>
      </c>
    </row>
    <row r="89" spans="4:24">
      <c r="X89" t="s">
        <v>187</v>
      </c>
    </row>
    <row r="90" spans="4:24">
      <c r="X90" t="s">
        <v>188</v>
      </c>
    </row>
    <row r="91" spans="4:24">
      <c r="X91" t="s">
        <v>191</v>
      </c>
    </row>
    <row r="92" spans="4:24">
      <c r="X92" t="s">
        <v>194</v>
      </c>
    </row>
    <row r="93" spans="4:24">
      <c r="X93" t="s">
        <v>195</v>
      </c>
    </row>
    <row r="94" spans="4:24">
      <c r="X94" t="s">
        <v>196</v>
      </c>
    </row>
    <row r="95" spans="4:24">
      <c r="X95" t="s">
        <v>201</v>
      </c>
    </row>
    <row r="96" spans="4:24">
      <c r="D96" t="s">
        <v>22</v>
      </c>
      <c r="X96" t="s">
        <v>203</v>
      </c>
    </row>
    <row r="97" spans="4:24">
      <c r="D97" t="s">
        <v>235</v>
      </c>
      <c r="X97" t="s">
        <v>204</v>
      </c>
    </row>
    <row r="98" spans="4:24">
      <c r="D98" t="s">
        <v>154</v>
      </c>
      <c r="X98" t="s">
        <v>206</v>
      </c>
    </row>
    <row r="99" spans="4:24">
      <c r="D99" t="s">
        <v>37</v>
      </c>
      <c r="X99" t="s">
        <v>207</v>
      </c>
    </row>
    <row r="100" spans="4:24">
      <c r="D100" t="s">
        <v>38</v>
      </c>
      <c r="X100" t="s">
        <v>208</v>
      </c>
    </row>
    <row r="101" spans="4:24">
      <c r="D101" t="s">
        <v>41</v>
      </c>
      <c r="X101" t="s">
        <v>403</v>
      </c>
    </row>
    <row r="102" spans="4:24">
      <c r="D102" t="s">
        <v>42</v>
      </c>
      <c r="X102" t="s">
        <v>210</v>
      </c>
    </row>
    <row r="103" spans="4:24">
      <c r="D103" t="s">
        <v>54</v>
      </c>
      <c r="X103" t="s">
        <v>212</v>
      </c>
    </row>
    <row r="104" spans="4:24">
      <c r="D104" t="s">
        <v>31</v>
      </c>
      <c r="X104" t="s">
        <v>463</v>
      </c>
    </row>
    <row r="105" spans="4:24">
      <c r="D105" t="s">
        <v>65</v>
      </c>
      <c r="X105" t="s">
        <v>215</v>
      </c>
    </row>
    <row r="106" spans="4:24">
      <c r="D106" t="s">
        <v>71</v>
      </c>
      <c r="M106" t="s">
        <v>13</v>
      </c>
      <c r="X106" t="s">
        <v>435</v>
      </c>
    </row>
    <row r="107" spans="4:24">
      <c r="D107" t="s">
        <v>115</v>
      </c>
      <c r="X107" t="s">
        <v>218</v>
      </c>
    </row>
    <row r="108" spans="4:24">
      <c r="D108" t="s">
        <v>74</v>
      </c>
      <c r="X108" t="s">
        <v>464</v>
      </c>
    </row>
    <row r="109" spans="4:24">
      <c r="D109" t="s">
        <v>82</v>
      </c>
      <c r="X109" t="s">
        <v>221</v>
      </c>
    </row>
    <row r="110" spans="4:24">
      <c r="D110" t="s">
        <v>86</v>
      </c>
      <c r="X110" t="s">
        <v>222</v>
      </c>
    </row>
    <row r="111" spans="4:24">
      <c r="D111" t="s">
        <v>94</v>
      </c>
      <c r="X111" t="s">
        <v>223</v>
      </c>
    </row>
    <row r="112" spans="4:24">
      <c r="D112" t="s">
        <v>91</v>
      </c>
      <c r="X112" t="s">
        <v>224</v>
      </c>
    </row>
    <row r="113" spans="4:24">
      <c r="D113" t="s">
        <v>95</v>
      </c>
      <c r="X113" t="s">
        <v>225</v>
      </c>
    </row>
    <row r="114" spans="4:24">
      <c r="D114" t="s">
        <v>97</v>
      </c>
      <c r="X114" t="s">
        <v>94</v>
      </c>
    </row>
    <row r="115" spans="4:24">
      <c r="D115" t="s">
        <v>116</v>
      </c>
      <c r="X115" t="s">
        <v>465</v>
      </c>
    </row>
    <row r="116" spans="4:24">
      <c r="D116" t="s">
        <v>118</v>
      </c>
      <c r="X116" t="s">
        <v>229</v>
      </c>
    </row>
    <row r="117" spans="4:24">
      <c r="D117" t="s">
        <v>210</v>
      </c>
      <c r="X117" t="s">
        <v>232</v>
      </c>
    </row>
    <row r="118" spans="4:24">
      <c r="D118" t="s">
        <v>119</v>
      </c>
      <c r="X118" t="s">
        <v>233</v>
      </c>
    </row>
    <row r="119" spans="4:24">
      <c r="D119" t="s">
        <v>131</v>
      </c>
      <c r="X119" t="s">
        <v>235</v>
      </c>
    </row>
    <row r="120" spans="4:24">
      <c r="D120" t="s">
        <v>182</v>
      </c>
      <c r="X120" t="s">
        <v>240</v>
      </c>
    </row>
    <row r="121" spans="4:24">
      <c r="D121" t="s">
        <v>132</v>
      </c>
      <c r="X121" t="s">
        <v>243</v>
      </c>
    </row>
    <row r="122" spans="4:24">
      <c r="D122" t="s">
        <v>133</v>
      </c>
      <c r="X122" t="s">
        <v>244</v>
      </c>
    </row>
    <row r="123" spans="4:24">
      <c r="D123" t="s">
        <v>134</v>
      </c>
    </row>
    <row r="124" spans="4:24">
      <c r="D124" t="s">
        <v>139</v>
      </c>
    </row>
    <row r="125" spans="4:24">
      <c r="D125" t="s">
        <v>142</v>
      </c>
    </row>
    <row r="126" spans="4:24">
      <c r="D126" t="s">
        <v>16</v>
      </c>
    </row>
    <row r="127" spans="4:24">
      <c r="D127" t="s">
        <v>141</v>
      </c>
    </row>
    <row r="128" spans="4:24">
      <c r="D128" t="s">
        <v>73</v>
      </c>
    </row>
    <row r="129" spans="4:4">
      <c r="D129" t="s">
        <v>147</v>
      </c>
    </row>
    <row r="130" spans="4:4">
      <c r="D130" t="s">
        <v>149</v>
      </c>
    </row>
    <row r="131" spans="4:4">
      <c r="D131" t="s">
        <v>159</v>
      </c>
    </row>
    <row r="132" spans="4:4">
      <c r="D132" t="s">
        <v>152</v>
      </c>
    </row>
    <row r="133" spans="4:4">
      <c r="D133" t="s">
        <v>157</v>
      </c>
    </row>
    <row r="134" spans="4:4">
      <c r="D134" t="s">
        <v>185</v>
      </c>
    </row>
    <row r="135" spans="4:4">
      <c r="D135" t="s">
        <v>170</v>
      </c>
    </row>
    <row r="136" spans="4:4">
      <c r="D136" t="s">
        <v>419</v>
      </c>
    </row>
    <row r="137" spans="4:4">
      <c r="D137" t="s">
        <v>243</v>
      </c>
    </row>
    <row r="138" spans="4:4">
      <c r="D138" t="s">
        <v>172</v>
      </c>
    </row>
    <row r="139" spans="4:4">
      <c r="D139" t="s">
        <v>179</v>
      </c>
    </row>
    <row r="140" spans="4:4">
      <c r="D140" t="s">
        <v>184</v>
      </c>
    </row>
    <row r="141" spans="4:4">
      <c r="D141" t="s">
        <v>185</v>
      </c>
    </row>
    <row r="142" spans="4:4">
      <c r="D142" t="s">
        <v>194</v>
      </c>
    </row>
    <row r="143" spans="4:4">
      <c r="D143" t="s">
        <v>195</v>
      </c>
    </row>
    <row r="144" spans="4:4">
      <c r="D144" t="s">
        <v>196</v>
      </c>
    </row>
    <row r="145" spans="4:4">
      <c r="D145" t="s">
        <v>201</v>
      </c>
    </row>
    <row r="146" spans="4:4">
      <c r="D146" t="s">
        <v>204</v>
      </c>
    </row>
    <row r="147" spans="4:4">
      <c r="D147" t="s">
        <v>207</v>
      </c>
    </row>
    <row r="148" spans="4:4">
      <c r="D148" t="s">
        <v>208</v>
      </c>
    </row>
    <row r="149" spans="4:4">
      <c r="D149" t="s">
        <v>83</v>
      </c>
    </row>
    <row r="150" spans="4:4">
      <c r="D150" t="s">
        <v>463</v>
      </c>
    </row>
    <row r="151" spans="4:4">
      <c r="D151" t="s">
        <v>221</v>
      </c>
    </row>
    <row r="152" spans="4:4">
      <c r="D152" t="s">
        <v>151</v>
      </c>
    </row>
    <row r="153" spans="4:4">
      <c r="D153" t="s">
        <v>225</v>
      </c>
    </row>
    <row r="154" spans="4:4">
      <c r="D154" t="s">
        <v>61</v>
      </c>
    </row>
    <row r="155" spans="4:4">
      <c r="D155" t="s">
        <v>332</v>
      </c>
    </row>
    <row r="156" spans="4:4">
      <c r="D156" t="s">
        <v>232</v>
      </c>
    </row>
    <row r="157" spans="4:4">
      <c r="D157" t="s">
        <v>223</v>
      </c>
    </row>
    <row r="158" spans="4:4">
      <c r="D158" t="s">
        <v>464</v>
      </c>
    </row>
    <row r="159" spans="4:4">
      <c r="D159" t="s">
        <v>229</v>
      </c>
    </row>
    <row r="160" spans="4:4">
      <c r="D160" t="s">
        <v>237</v>
      </c>
    </row>
    <row r="161" spans="4:4">
      <c r="D161" t="s">
        <v>460</v>
      </c>
    </row>
    <row r="162" spans="4:4">
      <c r="D162" t="s">
        <v>244</v>
      </c>
    </row>
    <row r="163" spans="4:4">
      <c r="D163" t="s">
        <v>22</v>
      </c>
    </row>
    <row r="164" spans="4:4">
      <c r="D164" t="s">
        <v>13</v>
      </c>
    </row>
    <row r="165" spans="4:4">
      <c r="D165" t="s">
        <v>154</v>
      </c>
    </row>
    <row r="166" spans="4:4">
      <c r="D166" t="s">
        <v>37</v>
      </c>
    </row>
    <row r="167" spans="4:4">
      <c r="D167" t="s">
        <v>38</v>
      </c>
    </row>
    <row r="168" spans="4:4">
      <c r="D168" t="s">
        <v>38</v>
      </c>
    </row>
    <row r="169" spans="4:4">
      <c r="D169" t="s">
        <v>38</v>
      </c>
    </row>
    <row r="170" spans="4:4">
      <c r="D170" t="s">
        <v>41</v>
      </c>
    </row>
    <row r="171" spans="4:4">
      <c r="D171" t="s">
        <v>41</v>
      </c>
    </row>
    <row r="172" spans="4:4">
      <c r="D172" t="s">
        <v>42</v>
      </c>
    </row>
    <row r="173" spans="4:4">
      <c r="D173" t="s">
        <v>54</v>
      </c>
    </row>
    <row r="174" spans="4:4">
      <c r="D174" t="s">
        <v>325</v>
      </c>
    </row>
    <row r="175" spans="4:4">
      <c r="D175" t="s">
        <v>328</v>
      </c>
    </row>
    <row r="176" spans="4:4">
      <c r="D176" t="s">
        <v>31</v>
      </c>
    </row>
    <row r="177" spans="4:4">
      <c r="D177" t="s">
        <v>65</v>
      </c>
    </row>
    <row r="178" spans="4:4">
      <c r="D178" t="s">
        <v>71</v>
      </c>
    </row>
    <row r="179" spans="4:4">
      <c r="D179" t="s">
        <v>115</v>
      </c>
    </row>
    <row r="180" spans="4:4">
      <c r="D180" t="s">
        <v>74</v>
      </c>
    </row>
    <row r="181" spans="4:4">
      <c r="D181" t="s">
        <v>82</v>
      </c>
    </row>
    <row r="182" spans="4:4">
      <c r="D182" t="s">
        <v>92</v>
      </c>
    </row>
    <row r="183" spans="4:4">
      <c r="D183" t="s">
        <v>89</v>
      </c>
    </row>
    <row r="184" spans="4:4">
      <c r="D184" t="s">
        <v>91</v>
      </c>
    </row>
    <row r="185" spans="4:4">
      <c r="D185" t="s">
        <v>95</v>
      </c>
    </row>
    <row r="186" spans="4:4">
      <c r="D186" t="s">
        <v>319</v>
      </c>
    </row>
    <row r="187" spans="4:4">
      <c r="D187" t="s">
        <v>107</v>
      </c>
    </row>
    <row r="188" spans="4:4">
      <c r="D188" t="s">
        <v>108</v>
      </c>
    </row>
    <row r="189" spans="4:4">
      <c r="D189" t="s">
        <v>116</v>
      </c>
    </row>
    <row r="190" spans="4:4">
      <c r="D190" t="s">
        <v>173</v>
      </c>
    </row>
    <row r="191" spans="4:4">
      <c r="D191" t="s">
        <v>118</v>
      </c>
    </row>
    <row r="192" spans="4:4">
      <c r="D192" t="s">
        <v>210</v>
      </c>
    </row>
    <row r="193" spans="4:4">
      <c r="D193" t="s">
        <v>405</v>
      </c>
    </row>
    <row r="194" spans="4:4">
      <c r="D194" t="s">
        <v>182</v>
      </c>
    </row>
    <row r="195" spans="4:4">
      <c r="D195" t="s">
        <v>359</v>
      </c>
    </row>
    <row r="196" spans="4:4">
      <c r="D196" t="s">
        <v>132</v>
      </c>
    </row>
    <row r="197" spans="4:4">
      <c r="D197" t="s">
        <v>137</v>
      </c>
    </row>
    <row r="198" spans="4:4">
      <c r="D198" t="s">
        <v>139</v>
      </c>
    </row>
    <row r="199" spans="4:4">
      <c r="D199" t="s">
        <v>142</v>
      </c>
    </row>
    <row r="200" spans="4:4">
      <c r="D200" t="s">
        <v>16</v>
      </c>
    </row>
    <row r="201" spans="4:4">
      <c r="D201" t="s">
        <v>73</v>
      </c>
    </row>
    <row r="202" spans="4:4">
      <c r="D202" t="s">
        <v>144</v>
      </c>
    </row>
    <row r="203" spans="4:4">
      <c r="D203" t="s">
        <v>147</v>
      </c>
    </row>
    <row r="204" spans="4:4">
      <c r="D204" t="s">
        <v>149</v>
      </c>
    </row>
    <row r="205" spans="4:4">
      <c r="D205" t="s">
        <v>160</v>
      </c>
    </row>
    <row r="206" spans="4:4">
      <c r="D206" t="s">
        <v>159</v>
      </c>
    </row>
    <row r="207" spans="4:4">
      <c r="D207" t="s">
        <v>152</v>
      </c>
    </row>
    <row r="208" spans="4:4">
      <c r="D208" t="s">
        <v>157</v>
      </c>
    </row>
    <row r="209" spans="4:4">
      <c r="D209" t="s">
        <v>163</v>
      </c>
    </row>
    <row r="210" spans="4:4">
      <c r="D210" t="s">
        <v>170</v>
      </c>
    </row>
    <row r="211" spans="4:4">
      <c r="D211" t="s">
        <v>172</v>
      </c>
    </row>
    <row r="212" spans="4:4">
      <c r="D212" t="s">
        <v>215</v>
      </c>
    </row>
    <row r="213" spans="4:4">
      <c r="D213" t="s">
        <v>175</v>
      </c>
    </row>
    <row r="214" spans="4:4">
      <c r="D214" t="s">
        <v>178</v>
      </c>
    </row>
    <row r="215" spans="4:4">
      <c r="D215" t="s">
        <v>179</v>
      </c>
    </row>
    <row r="216" spans="4:4">
      <c r="D216" t="s">
        <v>181</v>
      </c>
    </row>
    <row r="217" spans="4:4">
      <c r="D217" t="s">
        <v>184</v>
      </c>
    </row>
    <row r="218" spans="4:4">
      <c r="D218" t="s">
        <v>191</v>
      </c>
    </row>
    <row r="219" spans="4:4">
      <c r="D219" t="s">
        <v>194</v>
      </c>
    </row>
    <row r="220" spans="4:4">
      <c r="D220" t="s">
        <v>201</v>
      </c>
    </row>
    <row r="221" spans="4:4">
      <c r="D221" t="s">
        <v>203</v>
      </c>
    </row>
    <row r="222" spans="4:4">
      <c r="D222" t="s">
        <v>207</v>
      </c>
    </row>
    <row r="223" spans="4:4">
      <c r="D223" t="s">
        <v>83</v>
      </c>
    </row>
    <row r="224" spans="4:4">
      <c r="D224" t="s">
        <v>211</v>
      </c>
    </row>
    <row r="225" spans="4:4">
      <c r="D225" t="s">
        <v>463</v>
      </c>
    </row>
    <row r="226" spans="4:4">
      <c r="D226" t="s">
        <v>221</v>
      </c>
    </row>
    <row r="227" spans="4:4">
      <c r="D227" t="s">
        <v>151</v>
      </c>
    </row>
    <row r="228" spans="4:4">
      <c r="D228" t="s">
        <v>224</v>
      </c>
    </row>
    <row r="229" spans="4:4">
      <c r="D229" t="s">
        <v>225</v>
      </c>
    </row>
    <row r="230" spans="4:4">
      <c r="D230" t="s">
        <v>61</v>
      </c>
    </row>
    <row r="231" spans="4:4">
      <c r="D231" t="s">
        <v>332</v>
      </c>
    </row>
    <row r="232" spans="4:4">
      <c r="D232" t="s">
        <v>223</v>
      </c>
    </row>
    <row r="233" spans="4:4">
      <c r="D233" t="s">
        <v>464</v>
      </c>
    </row>
    <row r="234" spans="4:4">
      <c r="D234" t="s">
        <v>229</v>
      </c>
    </row>
    <row r="235" spans="4:4">
      <c r="D235" t="s">
        <v>237</v>
      </c>
    </row>
    <row r="236" spans="4:4">
      <c r="D236" t="s">
        <v>460</v>
      </c>
    </row>
    <row r="237" spans="4:4">
      <c r="D237" t="s">
        <v>244</v>
      </c>
    </row>
    <row r="238" spans="4:4">
      <c r="D238" t="s">
        <v>22</v>
      </c>
    </row>
    <row r="239" spans="4:4">
      <c r="D239" t="s">
        <v>13</v>
      </c>
    </row>
    <row r="240" spans="4:4">
      <c r="D240" t="s">
        <v>154</v>
      </c>
    </row>
    <row r="241" spans="4:4">
      <c r="D241" t="s">
        <v>38</v>
      </c>
    </row>
    <row r="242" spans="4:4">
      <c r="D242" t="s">
        <v>38</v>
      </c>
    </row>
    <row r="243" spans="4:4">
      <c r="D243" t="s">
        <v>49</v>
      </c>
    </row>
    <row r="244" spans="4:4">
      <c r="D244" t="s">
        <v>31</v>
      </c>
    </row>
    <row r="245" spans="4:4">
      <c r="D245" t="s">
        <v>65</v>
      </c>
    </row>
    <row r="246" spans="4:4">
      <c r="D246" t="s">
        <v>71</v>
      </c>
    </row>
    <row r="247" spans="4:4">
      <c r="D247" t="s">
        <v>115</v>
      </c>
    </row>
    <row r="248" spans="4:4">
      <c r="D248" t="s">
        <v>81</v>
      </c>
    </row>
    <row r="249" spans="4:4">
      <c r="D249" t="s">
        <v>81</v>
      </c>
    </row>
    <row r="250" spans="4:4">
      <c r="D250" t="s">
        <v>82</v>
      </c>
    </row>
    <row r="251" spans="4:4">
      <c r="D251" t="s">
        <v>84</v>
      </c>
    </row>
    <row r="252" spans="4:4">
      <c r="D252" t="s">
        <v>84</v>
      </c>
    </row>
    <row r="253" spans="4:4">
      <c r="D253" t="s">
        <v>86</v>
      </c>
    </row>
    <row r="254" spans="4:4">
      <c r="D254" t="s">
        <v>85</v>
      </c>
    </row>
    <row r="255" spans="4:4">
      <c r="D255" t="s">
        <v>92</v>
      </c>
    </row>
    <row r="256" spans="4:4">
      <c r="D256" t="s">
        <v>89</v>
      </c>
    </row>
    <row r="257" spans="4:4">
      <c r="D257" t="s">
        <v>91</v>
      </c>
    </row>
    <row r="258" spans="4:4">
      <c r="D258" t="s">
        <v>94</v>
      </c>
    </row>
    <row r="259" spans="4:4">
      <c r="D259" t="s">
        <v>95</v>
      </c>
    </row>
    <row r="260" spans="4:4">
      <c r="D260" t="s">
        <v>96</v>
      </c>
    </row>
    <row r="261" spans="4:4">
      <c r="D261" t="s">
        <v>107</v>
      </c>
    </row>
    <row r="262" spans="4:4">
      <c r="D262" t="s">
        <v>108</v>
      </c>
    </row>
    <row r="263" spans="4:4">
      <c r="D263" t="s">
        <v>114</v>
      </c>
    </row>
    <row r="264" spans="4:4">
      <c r="D264" t="s">
        <v>116</v>
      </c>
    </row>
    <row r="265" spans="4:4">
      <c r="D265" t="s">
        <v>173</v>
      </c>
    </row>
    <row r="266" spans="4:4">
      <c r="D266" t="s">
        <v>173</v>
      </c>
    </row>
    <row r="267" spans="4:4">
      <c r="D267" t="s">
        <v>210</v>
      </c>
    </row>
    <row r="268" spans="4:4">
      <c r="D268" t="s">
        <v>119</v>
      </c>
    </row>
    <row r="269" spans="4:4">
      <c r="D269" t="s">
        <v>122</v>
      </c>
    </row>
    <row r="270" spans="4:4">
      <c r="D270" t="s">
        <v>131</v>
      </c>
    </row>
    <row r="271" spans="4:4">
      <c r="D271" t="s">
        <v>182</v>
      </c>
    </row>
    <row r="272" spans="4:4">
      <c r="D272" t="s">
        <v>129</v>
      </c>
    </row>
    <row r="273" spans="4:4">
      <c r="D273" t="s">
        <v>133</v>
      </c>
    </row>
    <row r="274" spans="4:4">
      <c r="D274" t="s">
        <v>135</v>
      </c>
    </row>
    <row r="275" spans="4:4">
      <c r="D275" t="s">
        <v>139</v>
      </c>
    </row>
    <row r="276" spans="4:4">
      <c r="D276" t="s">
        <v>142</v>
      </c>
    </row>
    <row r="277" spans="4:4">
      <c r="D277" t="s">
        <v>141</v>
      </c>
    </row>
    <row r="278" spans="4:4">
      <c r="D278" t="s">
        <v>73</v>
      </c>
    </row>
    <row r="279" spans="4:4">
      <c r="D279" t="s">
        <v>150</v>
      </c>
    </row>
    <row r="280" spans="4:4">
      <c r="D280" t="s">
        <v>149</v>
      </c>
    </row>
    <row r="281" spans="4:4">
      <c r="D281" t="s">
        <v>160</v>
      </c>
    </row>
    <row r="282" spans="4:4">
      <c r="D282" t="s">
        <v>152</v>
      </c>
    </row>
    <row r="283" spans="4:4">
      <c r="D283" t="s">
        <v>155</v>
      </c>
    </row>
    <row r="284" spans="4:4">
      <c r="D284" t="s">
        <v>163</v>
      </c>
    </row>
    <row r="285" spans="4:4">
      <c r="D285" t="s">
        <v>162</v>
      </c>
    </row>
    <row r="286" spans="4:4">
      <c r="D286" t="s">
        <v>170</v>
      </c>
    </row>
    <row r="287" spans="4:4">
      <c r="D287" t="s">
        <v>419</v>
      </c>
    </row>
    <row r="288" spans="4:4">
      <c r="D288" t="s">
        <v>168</v>
      </c>
    </row>
    <row r="289" spans="4:4">
      <c r="D289" t="s">
        <v>243</v>
      </c>
    </row>
    <row r="290" spans="4:4">
      <c r="D290" t="s">
        <v>172</v>
      </c>
    </row>
    <row r="291" spans="4:4">
      <c r="D291" t="s">
        <v>175</v>
      </c>
    </row>
    <row r="292" spans="4:4">
      <c r="D292" t="s">
        <v>178</v>
      </c>
    </row>
    <row r="293" spans="4:4">
      <c r="D293" t="s">
        <v>184</v>
      </c>
    </row>
    <row r="294" spans="4:4">
      <c r="D294" t="s">
        <v>188</v>
      </c>
    </row>
    <row r="295" spans="4:4">
      <c r="D295" t="s">
        <v>188</v>
      </c>
    </row>
    <row r="296" spans="4:4">
      <c r="D296" t="s">
        <v>218</v>
      </c>
    </row>
    <row r="297" spans="4:4">
      <c r="D297" t="s">
        <v>191</v>
      </c>
    </row>
    <row r="298" spans="4:4">
      <c r="D298" t="s">
        <v>194</v>
      </c>
    </row>
    <row r="299" spans="4:4">
      <c r="D299" t="s">
        <v>196</v>
      </c>
    </row>
    <row r="300" spans="4:4">
      <c r="D300" t="s">
        <v>207</v>
      </c>
    </row>
    <row r="301" spans="4:4">
      <c r="D301" t="s">
        <v>211</v>
      </c>
    </row>
    <row r="302" spans="4:4">
      <c r="D302" t="s">
        <v>214</v>
      </c>
    </row>
    <row r="303" spans="4:4">
      <c r="D303" t="s">
        <v>222</v>
      </c>
    </row>
    <row r="304" spans="4:4">
      <c r="D304" t="s">
        <v>151</v>
      </c>
    </row>
    <row r="305" spans="4:4">
      <c r="D305" t="s">
        <v>224</v>
      </c>
    </row>
    <row r="306" spans="4:4">
      <c r="D306" t="s">
        <v>225</v>
      </c>
    </row>
    <row r="307" spans="4:4">
      <c r="D307" t="s">
        <v>61</v>
      </c>
    </row>
    <row r="308" spans="4:4">
      <c r="D308" t="s">
        <v>332</v>
      </c>
    </row>
    <row r="309" spans="4:4">
      <c r="D309" t="s">
        <v>130</v>
      </c>
    </row>
    <row r="310" spans="4:4">
      <c r="D310" t="s">
        <v>232</v>
      </c>
    </row>
    <row r="311" spans="4:4">
      <c r="D311" t="s">
        <v>465</v>
      </c>
    </row>
    <row r="312" spans="4:4">
      <c r="D312" t="s">
        <v>229</v>
      </c>
    </row>
    <row r="313" spans="4:4">
      <c r="D313" t="s">
        <v>237</v>
      </c>
    </row>
    <row r="314" spans="4:4">
      <c r="D314" t="s">
        <v>237</v>
      </c>
    </row>
    <row r="315" spans="4:4">
      <c r="D315" t="s">
        <v>460</v>
      </c>
    </row>
    <row r="316" spans="4:4">
      <c r="D316" t="s">
        <v>244</v>
      </c>
    </row>
    <row r="317" spans="4:4">
      <c r="D317" t="s">
        <v>224</v>
      </c>
    </row>
  </sheetData>
  <sortState xmlns:xlrd2="http://schemas.microsoft.com/office/spreadsheetml/2017/richdata2" ref="M106:M382">
    <sortCondition ref="M106:M382"/>
  </sortState>
  <pageMargins left="0.7" right="0.7" top="0.75" bottom="0.75" header="0.3" footer="0.3"/>
  <pageSetup scale="1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3BB6C-E55F-44B2-8676-AF7E3B563EE4}">
  <sheetPr>
    <tabColor theme="0" tint="-0.34998626667073579"/>
  </sheetPr>
  <dimension ref="A2:I891"/>
  <sheetViews>
    <sheetView topLeftCell="A73" workbookViewId="0">
      <selection activeCell="A840" sqref="A840"/>
    </sheetView>
  </sheetViews>
  <sheetFormatPr defaultColWidth="9.42578125" defaultRowHeight="14.45"/>
  <cols>
    <col min="1" max="1" width="38.5703125" bestFit="1" customWidth="1"/>
    <col min="2" max="2" width="72.5703125" style="59" bestFit="1" customWidth="1"/>
    <col min="3" max="3" width="46.42578125" bestFit="1" customWidth="1"/>
    <col min="4" max="4" width="46.42578125" customWidth="1"/>
    <col min="5" max="5" width="18" bestFit="1" customWidth="1"/>
    <col min="8" max="8" width="16.5703125" bestFit="1" customWidth="1"/>
    <col min="9" max="9" width="14.5703125" bestFit="1" customWidth="1"/>
  </cols>
  <sheetData>
    <row r="2" spans="2:9">
      <c r="B2" s="51" t="s">
        <v>466</v>
      </c>
    </row>
    <row r="3" spans="2:9">
      <c r="B3" s="52" t="s">
        <v>467</v>
      </c>
      <c r="C3" s="49"/>
      <c r="D3" s="49"/>
      <c r="E3" s="49"/>
      <c r="G3" s="20" t="s">
        <v>468</v>
      </c>
      <c r="H3" s="19"/>
      <c r="I3" s="15"/>
    </row>
    <row r="4" spans="2:9">
      <c r="B4" s="53" t="s">
        <v>274</v>
      </c>
      <c r="C4" s="10" t="s">
        <v>469</v>
      </c>
      <c r="D4" s="10" t="s">
        <v>275</v>
      </c>
      <c r="E4" s="10" t="s">
        <v>470</v>
      </c>
      <c r="G4" s="25" t="s">
        <v>471</v>
      </c>
      <c r="H4" s="22"/>
      <c r="I4" s="27"/>
    </row>
    <row r="5" spans="2:9">
      <c r="B5" s="54" t="s">
        <v>472</v>
      </c>
      <c r="C5" s="43" t="s">
        <v>473</v>
      </c>
      <c r="D5" s="44" t="s">
        <v>218</v>
      </c>
      <c r="E5" s="43" t="s">
        <v>474</v>
      </c>
      <c r="G5" s="25" t="s">
        <v>474</v>
      </c>
      <c r="H5" s="22"/>
      <c r="I5" s="27"/>
    </row>
    <row r="6" spans="2:9">
      <c r="B6" s="54" t="s">
        <v>475</v>
      </c>
      <c r="C6" s="43" t="s">
        <v>476</v>
      </c>
      <c r="D6" s="44" t="s">
        <v>77</v>
      </c>
      <c r="E6" s="43" t="s">
        <v>474</v>
      </c>
      <c r="G6" s="16" t="s">
        <v>477</v>
      </c>
      <c r="I6" s="21"/>
    </row>
    <row r="7" spans="2:9">
      <c r="B7" s="54" t="s">
        <v>453</v>
      </c>
      <c r="C7" s="43" t="s">
        <v>478</v>
      </c>
      <c r="D7" s="44" t="s">
        <v>371</v>
      </c>
      <c r="E7" s="43" t="s">
        <v>474</v>
      </c>
      <c r="G7" s="16"/>
      <c r="I7" s="21"/>
    </row>
    <row r="8" spans="2:9">
      <c r="B8" s="54" t="s">
        <v>352</v>
      </c>
      <c r="C8" s="43" t="s">
        <v>479</v>
      </c>
      <c r="D8" s="44" t="s">
        <v>398</v>
      </c>
      <c r="E8" s="43" t="s">
        <v>474</v>
      </c>
      <c r="G8" s="16"/>
      <c r="I8" s="21"/>
    </row>
    <row r="9" spans="2:9">
      <c r="B9" s="54" t="s">
        <v>279</v>
      </c>
      <c r="C9" s="43" t="s">
        <v>480</v>
      </c>
      <c r="D9" s="44" t="s">
        <v>20</v>
      </c>
      <c r="E9" s="43" t="s">
        <v>474</v>
      </c>
      <c r="G9" s="16"/>
      <c r="I9" s="21"/>
    </row>
    <row r="10" spans="2:9">
      <c r="B10" s="54" t="s">
        <v>279</v>
      </c>
      <c r="C10" s="43" t="s">
        <v>481</v>
      </c>
      <c r="D10" s="44" t="s">
        <v>20</v>
      </c>
      <c r="E10" s="43" t="s">
        <v>474</v>
      </c>
      <c r="G10" s="17"/>
      <c r="H10" s="26"/>
      <c r="I10" s="24"/>
    </row>
    <row r="11" spans="2:9">
      <c r="B11" s="54" t="s">
        <v>279</v>
      </c>
      <c r="C11" s="43" t="s">
        <v>482</v>
      </c>
      <c r="D11" s="44" t="s">
        <v>20</v>
      </c>
      <c r="E11" s="43" t="s">
        <v>474</v>
      </c>
      <c r="G11" s="55"/>
    </row>
    <row r="12" spans="2:9">
      <c r="B12" s="54" t="s">
        <v>483</v>
      </c>
      <c r="C12" s="43" t="s">
        <v>484</v>
      </c>
      <c r="D12" s="44" t="s">
        <v>20</v>
      </c>
      <c r="E12" s="43" t="s">
        <v>485</v>
      </c>
    </row>
    <row r="13" spans="2:9">
      <c r="B13" s="54" t="s">
        <v>277</v>
      </c>
      <c r="C13" s="43" t="s">
        <v>486</v>
      </c>
      <c r="D13" s="44" t="s">
        <v>22</v>
      </c>
      <c r="E13" s="43" t="s">
        <v>474</v>
      </c>
      <c r="G13" t="s">
        <v>487</v>
      </c>
    </row>
    <row r="14" spans="2:9">
      <c r="B14" s="54" t="s">
        <v>277</v>
      </c>
      <c r="C14" s="43" t="s">
        <v>486</v>
      </c>
      <c r="D14" s="44" t="s">
        <v>22</v>
      </c>
      <c r="E14" s="43" t="s">
        <v>474</v>
      </c>
      <c r="G14" t="s">
        <v>488</v>
      </c>
    </row>
    <row r="15" spans="2:9">
      <c r="B15" s="54" t="s">
        <v>489</v>
      </c>
      <c r="C15" s="43" t="s">
        <v>490</v>
      </c>
      <c r="D15" s="44" t="s">
        <v>22</v>
      </c>
      <c r="E15" s="43" t="s">
        <v>474</v>
      </c>
      <c r="G15" t="s">
        <v>485</v>
      </c>
    </row>
    <row r="16" spans="2:9">
      <c r="B16" s="54" t="s">
        <v>491</v>
      </c>
      <c r="C16" s="43" t="s">
        <v>490</v>
      </c>
      <c r="D16" s="44" t="s">
        <v>22</v>
      </c>
      <c r="E16" s="43" t="s">
        <v>474</v>
      </c>
    </row>
    <row r="17" spans="2:5">
      <c r="B17" s="54" t="s">
        <v>492</v>
      </c>
      <c r="C17" s="43" t="s">
        <v>493</v>
      </c>
      <c r="D17" s="44" t="s">
        <v>22</v>
      </c>
      <c r="E17" s="43" t="s">
        <v>485</v>
      </c>
    </row>
    <row r="18" spans="2:5">
      <c r="B18" s="54" t="s">
        <v>494</v>
      </c>
      <c r="C18" s="43" t="s">
        <v>493</v>
      </c>
      <c r="D18" s="44" t="s">
        <v>22</v>
      </c>
      <c r="E18" s="43" t="s">
        <v>488</v>
      </c>
    </row>
    <row r="19" spans="2:5">
      <c r="B19" s="54" t="s">
        <v>495</v>
      </c>
      <c r="C19" s="43" t="s">
        <v>496</v>
      </c>
      <c r="D19" s="44" t="s">
        <v>22</v>
      </c>
      <c r="E19" s="43" t="s">
        <v>488</v>
      </c>
    </row>
    <row r="20" spans="2:5">
      <c r="B20" s="54" t="s">
        <v>23</v>
      </c>
      <c r="C20" s="43" t="s">
        <v>497</v>
      </c>
      <c r="D20" s="44" t="s">
        <v>23</v>
      </c>
      <c r="E20" s="43" t="s">
        <v>474</v>
      </c>
    </row>
    <row r="21" spans="2:5">
      <c r="B21" s="54" t="s">
        <v>498</v>
      </c>
      <c r="C21" s="43" t="s">
        <v>497</v>
      </c>
      <c r="D21" s="44" t="s">
        <v>23</v>
      </c>
      <c r="E21" s="43" t="s">
        <v>474</v>
      </c>
    </row>
    <row r="22" spans="2:5">
      <c r="B22" s="54" t="s">
        <v>499</v>
      </c>
      <c r="C22" s="43" t="s">
        <v>497</v>
      </c>
      <c r="D22" s="44" t="s">
        <v>23</v>
      </c>
      <c r="E22" s="43" t="s">
        <v>474</v>
      </c>
    </row>
    <row r="23" spans="2:5">
      <c r="B23" s="54" t="s">
        <v>500</v>
      </c>
      <c r="C23" s="43" t="s">
        <v>501</v>
      </c>
      <c r="D23" s="44" t="s">
        <v>502</v>
      </c>
      <c r="E23" s="43" t="s">
        <v>485</v>
      </c>
    </row>
    <row r="24" spans="2:5">
      <c r="B24" s="54" t="s">
        <v>503</v>
      </c>
      <c r="C24" s="43" t="s">
        <v>504</v>
      </c>
      <c r="D24" s="44" t="s">
        <v>505</v>
      </c>
      <c r="E24" s="43" t="s">
        <v>485</v>
      </c>
    </row>
    <row r="25" spans="2:5">
      <c r="B25" s="54" t="s">
        <v>506</v>
      </c>
      <c r="C25" s="43" t="s">
        <v>504</v>
      </c>
      <c r="D25" s="44" t="s">
        <v>505</v>
      </c>
      <c r="E25" s="43" t="s">
        <v>485</v>
      </c>
    </row>
    <row r="26" spans="2:5">
      <c r="B26" s="54" t="s">
        <v>507</v>
      </c>
      <c r="C26" s="43" t="s">
        <v>504</v>
      </c>
      <c r="D26" s="44" t="s">
        <v>505</v>
      </c>
      <c r="E26" s="43" t="s">
        <v>485</v>
      </c>
    </row>
    <row r="27" spans="2:5">
      <c r="B27" s="54" t="s">
        <v>508</v>
      </c>
      <c r="C27" s="43" t="s">
        <v>509</v>
      </c>
      <c r="D27" s="44" t="s">
        <v>510</v>
      </c>
      <c r="E27" s="43" t="s">
        <v>488</v>
      </c>
    </row>
    <row r="28" spans="2:5">
      <c r="B28" s="54" t="s">
        <v>511</v>
      </c>
      <c r="C28" s="43" t="s">
        <v>512</v>
      </c>
      <c r="D28" s="44" t="s">
        <v>510</v>
      </c>
      <c r="E28" s="43" t="s">
        <v>485</v>
      </c>
    </row>
    <row r="29" spans="2:5">
      <c r="B29" s="54" t="s">
        <v>513</v>
      </c>
      <c r="C29" s="43" t="s">
        <v>509</v>
      </c>
      <c r="D29" s="44" t="s">
        <v>510</v>
      </c>
      <c r="E29" s="43" t="s">
        <v>488</v>
      </c>
    </row>
    <row r="30" spans="2:5">
      <c r="B30" s="54" t="s">
        <v>514</v>
      </c>
      <c r="C30" s="43" t="s">
        <v>515</v>
      </c>
      <c r="D30" s="44" t="s">
        <v>516</v>
      </c>
      <c r="E30" s="43" t="s">
        <v>474</v>
      </c>
    </row>
    <row r="31" spans="2:5">
      <c r="B31" s="54" t="s">
        <v>517</v>
      </c>
      <c r="C31" s="43" t="s">
        <v>518</v>
      </c>
      <c r="D31" s="44" t="s">
        <v>516</v>
      </c>
      <c r="E31" s="43" t="s">
        <v>485</v>
      </c>
    </row>
    <row r="32" spans="2:5">
      <c r="B32" s="54" t="s">
        <v>519</v>
      </c>
      <c r="C32" s="43" t="s">
        <v>520</v>
      </c>
      <c r="D32" s="44" t="s">
        <v>521</v>
      </c>
      <c r="E32" s="43" t="s">
        <v>474</v>
      </c>
    </row>
    <row r="33" spans="2:5">
      <c r="B33" s="54" t="s">
        <v>278</v>
      </c>
      <c r="C33" s="43" t="s">
        <v>522</v>
      </c>
      <c r="D33" s="44" t="s">
        <v>13</v>
      </c>
      <c r="E33" s="43" t="s">
        <v>474</v>
      </c>
    </row>
    <row r="34" spans="2:5">
      <c r="B34" s="54" t="s">
        <v>523</v>
      </c>
      <c r="C34" s="43" t="s">
        <v>524</v>
      </c>
      <c r="D34" s="44" t="s">
        <v>13</v>
      </c>
      <c r="E34" s="43" t="s">
        <v>474</v>
      </c>
    </row>
    <row r="35" spans="2:5">
      <c r="B35" s="54" t="s">
        <v>525</v>
      </c>
      <c r="C35" s="43" t="s">
        <v>526</v>
      </c>
      <c r="D35" s="44" t="s">
        <v>33</v>
      </c>
      <c r="E35" s="43" t="s">
        <v>485</v>
      </c>
    </row>
    <row r="36" spans="2:5">
      <c r="B36" s="54" t="s">
        <v>527</v>
      </c>
      <c r="C36" s="43" t="s">
        <v>528</v>
      </c>
      <c r="D36" s="44" t="s">
        <v>33</v>
      </c>
      <c r="E36" s="43" t="s">
        <v>474</v>
      </c>
    </row>
    <row r="37" spans="2:5">
      <c r="B37" s="54" t="s">
        <v>529</v>
      </c>
      <c r="C37" s="43" t="s">
        <v>530</v>
      </c>
      <c r="D37" s="44" t="s">
        <v>33</v>
      </c>
      <c r="E37" s="43" t="s">
        <v>474</v>
      </c>
    </row>
    <row r="38" spans="2:5">
      <c r="B38" s="54" t="s">
        <v>531</v>
      </c>
      <c r="C38" s="43" t="s">
        <v>530</v>
      </c>
      <c r="D38" s="44" t="s">
        <v>33</v>
      </c>
      <c r="E38" s="43" t="s">
        <v>474</v>
      </c>
    </row>
    <row r="39" spans="2:5">
      <c r="B39" s="54" t="s">
        <v>532</v>
      </c>
      <c r="C39" s="43" t="s">
        <v>533</v>
      </c>
      <c r="D39" s="44" t="e">
        <v>#N/A</v>
      </c>
      <c r="E39" s="43" t="s">
        <v>474</v>
      </c>
    </row>
    <row r="40" spans="2:5">
      <c r="B40" s="54" t="s">
        <v>281</v>
      </c>
      <c r="C40" s="43" t="s">
        <v>534</v>
      </c>
      <c r="D40" s="44" t="s">
        <v>34</v>
      </c>
      <c r="E40" s="43" t="s">
        <v>474</v>
      </c>
    </row>
    <row r="41" spans="2:5">
      <c r="B41" s="54" t="s">
        <v>535</v>
      </c>
      <c r="C41" s="43" t="s">
        <v>536</v>
      </c>
      <c r="D41" s="44" t="s">
        <v>34</v>
      </c>
      <c r="E41" s="43" t="s">
        <v>474</v>
      </c>
    </row>
    <row r="42" spans="2:5">
      <c r="B42" s="54" t="s">
        <v>537</v>
      </c>
      <c r="C42" s="43" t="s">
        <v>538</v>
      </c>
      <c r="D42" s="44" t="s">
        <v>539</v>
      </c>
      <c r="E42" s="43" t="s">
        <v>474</v>
      </c>
    </row>
    <row r="43" spans="2:5">
      <c r="B43" s="54" t="s">
        <v>540</v>
      </c>
      <c r="C43" s="43" t="s">
        <v>541</v>
      </c>
      <c r="D43" s="44" t="s">
        <v>539</v>
      </c>
      <c r="E43" s="43" t="s">
        <v>474</v>
      </c>
    </row>
    <row r="44" spans="2:5">
      <c r="B44" s="54" t="s">
        <v>542</v>
      </c>
      <c r="C44" s="43" t="s">
        <v>543</v>
      </c>
      <c r="D44" s="44" t="s">
        <v>235</v>
      </c>
      <c r="E44" s="43" t="s">
        <v>474</v>
      </c>
    </row>
    <row r="45" spans="2:5">
      <c r="B45" s="54" t="s">
        <v>280</v>
      </c>
      <c r="C45" s="43" t="s">
        <v>543</v>
      </c>
      <c r="D45" s="44" t="s">
        <v>235</v>
      </c>
      <c r="E45" s="43" t="s">
        <v>474</v>
      </c>
    </row>
    <row r="46" spans="2:5">
      <c r="B46" s="54" t="s">
        <v>283</v>
      </c>
      <c r="C46" s="43" t="s">
        <v>544</v>
      </c>
      <c r="D46" s="44" t="s">
        <v>35</v>
      </c>
      <c r="E46" s="43" t="s">
        <v>474</v>
      </c>
    </row>
    <row r="47" spans="2:5">
      <c r="B47" s="54" t="s">
        <v>37</v>
      </c>
      <c r="C47" s="43" t="s">
        <v>545</v>
      </c>
      <c r="D47" s="44" t="s">
        <v>37</v>
      </c>
      <c r="E47" s="43" t="s">
        <v>474</v>
      </c>
    </row>
    <row r="48" spans="2:5">
      <c r="B48" s="54" t="s">
        <v>546</v>
      </c>
      <c r="C48" s="43" t="s">
        <v>547</v>
      </c>
      <c r="D48" s="44" t="s">
        <v>37</v>
      </c>
      <c r="E48" s="43" t="s">
        <v>474</v>
      </c>
    </row>
    <row r="49" spans="2:5">
      <c r="B49" s="54" t="s">
        <v>548</v>
      </c>
      <c r="C49" s="43" t="s">
        <v>549</v>
      </c>
      <c r="D49" s="44" t="s">
        <v>37</v>
      </c>
      <c r="E49" s="43" t="s">
        <v>474</v>
      </c>
    </row>
    <row r="50" spans="2:5">
      <c r="B50" s="54" t="s">
        <v>550</v>
      </c>
      <c r="C50" s="43" t="s">
        <v>551</v>
      </c>
      <c r="D50" s="44" t="s">
        <v>37</v>
      </c>
      <c r="E50" s="43" t="s">
        <v>474</v>
      </c>
    </row>
    <row r="51" spans="2:5">
      <c r="B51" s="54" t="s">
        <v>552</v>
      </c>
      <c r="C51" s="43" t="s">
        <v>553</v>
      </c>
      <c r="D51" s="44" t="s">
        <v>38</v>
      </c>
      <c r="E51" s="43" t="s">
        <v>474</v>
      </c>
    </row>
    <row r="52" spans="2:5">
      <c r="B52" s="54" t="s">
        <v>552</v>
      </c>
      <c r="C52" s="43" t="s">
        <v>554</v>
      </c>
      <c r="D52" s="44" t="s">
        <v>38</v>
      </c>
      <c r="E52" s="43" t="s">
        <v>474</v>
      </c>
    </row>
    <row r="53" spans="2:5">
      <c r="B53" s="54" t="s">
        <v>284</v>
      </c>
      <c r="C53" s="43" t="s">
        <v>553</v>
      </c>
      <c r="D53" s="44" t="s">
        <v>38</v>
      </c>
      <c r="E53" s="43" t="s">
        <v>474</v>
      </c>
    </row>
    <row r="54" spans="2:5">
      <c r="B54" s="54" t="s">
        <v>555</v>
      </c>
      <c r="C54" s="43" t="s">
        <v>556</v>
      </c>
      <c r="D54" s="44" t="s">
        <v>38</v>
      </c>
      <c r="E54" s="43" t="s">
        <v>474</v>
      </c>
    </row>
    <row r="55" spans="2:5">
      <c r="B55" s="54" t="s">
        <v>557</v>
      </c>
      <c r="C55" s="43" t="s">
        <v>556</v>
      </c>
      <c r="D55" s="44" t="s">
        <v>38</v>
      </c>
      <c r="E55" s="43" t="s">
        <v>474</v>
      </c>
    </row>
    <row r="56" spans="2:5">
      <c r="B56" s="54" t="s">
        <v>286</v>
      </c>
      <c r="C56" s="43" t="s">
        <v>558</v>
      </c>
      <c r="D56" s="44" t="s">
        <v>38</v>
      </c>
      <c r="E56" s="43" t="s">
        <v>474</v>
      </c>
    </row>
    <row r="57" spans="2:5">
      <c r="B57" s="54" t="s">
        <v>286</v>
      </c>
      <c r="C57" s="43" t="s">
        <v>558</v>
      </c>
      <c r="D57" s="44" t="s">
        <v>38</v>
      </c>
      <c r="E57" s="43" t="s">
        <v>474</v>
      </c>
    </row>
    <row r="58" spans="2:5">
      <c r="B58" s="54" t="s">
        <v>559</v>
      </c>
      <c r="C58" s="43" t="s">
        <v>556</v>
      </c>
      <c r="D58" s="44" t="s">
        <v>38</v>
      </c>
      <c r="E58" s="43" t="s">
        <v>474</v>
      </c>
    </row>
    <row r="59" spans="2:5">
      <c r="B59" s="54" t="s">
        <v>560</v>
      </c>
      <c r="C59" s="43" t="s">
        <v>561</v>
      </c>
      <c r="D59" s="44" t="s">
        <v>38</v>
      </c>
      <c r="E59" s="43" t="s">
        <v>474</v>
      </c>
    </row>
    <row r="60" spans="2:5">
      <c r="B60" s="54" t="s">
        <v>560</v>
      </c>
      <c r="C60" s="43" t="s">
        <v>562</v>
      </c>
      <c r="D60" s="44" t="s">
        <v>38</v>
      </c>
      <c r="E60" s="43" t="s">
        <v>474</v>
      </c>
    </row>
    <row r="61" spans="2:5">
      <c r="B61" s="54" t="s">
        <v>563</v>
      </c>
      <c r="C61" s="43" t="s">
        <v>564</v>
      </c>
      <c r="D61" s="44" t="s">
        <v>38</v>
      </c>
      <c r="E61" s="43" t="s">
        <v>474</v>
      </c>
    </row>
    <row r="62" spans="2:5">
      <c r="B62" s="54" t="s">
        <v>563</v>
      </c>
      <c r="C62" s="43" t="s">
        <v>564</v>
      </c>
      <c r="D62" s="44" t="s">
        <v>38</v>
      </c>
      <c r="E62" s="43" t="s">
        <v>474</v>
      </c>
    </row>
    <row r="63" spans="2:5">
      <c r="B63" s="54" t="s">
        <v>565</v>
      </c>
      <c r="C63" s="43" t="s">
        <v>564</v>
      </c>
      <c r="D63" s="44" t="s">
        <v>38</v>
      </c>
      <c r="E63" s="43" t="s">
        <v>474</v>
      </c>
    </row>
    <row r="64" spans="2:5">
      <c r="B64" s="54" t="s">
        <v>288</v>
      </c>
      <c r="C64" s="43" t="s">
        <v>562</v>
      </c>
      <c r="D64" s="44" t="s">
        <v>38</v>
      </c>
      <c r="E64" s="43" t="s">
        <v>474</v>
      </c>
    </row>
    <row r="65" spans="2:5">
      <c r="B65" s="54" t="s">
        <v>290</v>
      </c>
      <c r="C65" s="43" t="s">
        <v>558</v>
      </c>
      <c r="D65" s="44" t="s">
        <v>38</v>
      </c>
      <c r="E65" s="43" t="s">
        <v>474</v>
      </c>
    </row>
    <row r="66" spans="2:5">
      <c r="B66" s="54" t="s">
        <v>566</v>
      </c>
      <c r="C66" s="43" t="s">
        <v>567</v>
      </c>
      <c r="D66" s="44" t="s">
        <v>39</v>
      </c>
      <c r="E66" s="43" t="s">
        <v>474</v>
      </c>
    </row>
    <row r="67" spans="2:5">
      <c r="B67" s="54" t="s">
        <v>568</v>
      </c>
      <c r="C67" s="43" t="s">
        <v>569</v>
      </c>
      <c r="D67" s="44" t="s">
        <v>39</v>
      </c>
      <c r="E67" s="43" t="s">
        <v>474</v>
      </c>
    </row>
    <row r="68" spans="2:5">
      <c r="B68" s="54" t="s">
        <v>41</v>
      </c>
      <c r="C68" s="43" t="s">
        <v>570</v>
      </c>
      <c r="D68" s="44" t="s">
        <v>41</v>
      </c>
      <c r="E68" s="43" t="s">
        <v>474</v>
      </c>
    </row>
    <row r="69" spans="2:5">
      <c r="B69" s="54" t="s">
        <v>571</v>
      </c>
      <c r="C69" s="43" t="s">
        <v>571</v>
      </c>
      <c r="D69" s="44" t="s">
        <v>41</v>
      </c>
      <c r="E69" s="43" t="s">
        <v>485</v>
      </c>
    </row>
    <row r="70" spans="2:5">
      <c r="B70" s="54" t="s">
        <v>570</v>
      </c>
      <c r="C70" s="54" t="s">
        <v>570</v>
      </c>
      <c r="D70" s="44" t="s">
        <v>41</v>
      </c>
      <c r="E70" s="43" t="s">
        <v>474</v>
      </c>
    </row>
    <row r="71" spans="2:5">
      <c r="B71" s="54" t="s">
        <v>287</v>
      </c>
      <c r="C71" s="43" t="s">
        <v>570</v>
      </c>
      <c r="D71" s="44" t="s">
        <v>41</v>
      </c>
      <c r="E71" s="43" t="s">
        <v>474</v>
      </c>
    </row>
    <row r="72" spans="2:5">
      <c r="B72" s="54" t="s">
        <v>572</v>
      </c>
      <c r="C72" s="43" t="s">
        <v>573</v>
      </c>
      <c r="D72" s="44" t="s">
        <v>41</v>
      </c>
      <c r="E72" s="43" t="s">
        <v>474</v>
      </c>
    </row>
    <row r="73" spans="2:5">
      <c r="B73" s="54" t="s">
        <v>574</v>
      </c>
      <c r="C73" s="43" t="s">
        <v>573</v>
      </c>
      <c r="D73" s="44" t="s">
        <v>41</v>
      </c>
      <c r="E73" s="43" t="s">
        <v>474</v>
      </c>
    </row>
    <row r="74" spans="2:5">
      <c r="B74" s="54" t="s">
        <v>575</v>
      </c>
      <c r="C74" s="43" t="s">
        <v>576</v>
      </c>
      <c r="D74" s="44" t="s">
        <v>41</v>
      </c>
      <c r="E74" s="43" t="s">
        <v>474</v>
      </c>
    </row>
    <row r="75" spans="2:5">
      <c r="B75" s="54" t="s">
        <v>291</v>
      </c>
      <c r="C75" s="43" t="s">
        <v>577</v>
      </c>
      <c r="D75" s="44" t="s">
        <v>42</v>
      </c>
      <c r="E75" s="43" t="s">
        <v>474</v>
      </c>
    </row>
    <row r="76" spans="2:5">
      <c r="B76" s="54" t="s">
        <v>578</v>
      </c>
      <c r="C76" s="43" t="s">
        <v>579</v>
      </c>
      <c r="D76" s="44" t="s">
        <v>42</v>
      </c>
      <c r="E76" s="43" t="s">
        <v>474</v>
      </c>
    </row>
    <row r="77" spans="2:5">
      <c r="B77" s="54" t="s">
        <v>383</v>
      </c>
      <c r="C77" s="43" t="s">
        <v>580</v>
      </c>
      <c r="D77" s="44" t="s">
        <v>45</v>
      </c>
      <c r="E77" s="43" t="s">
        <v>474</v>
      </c>
    </row>
    <row r="78" spans="2:5">
      <c r="B78" s="54" t="s">
        <v>383</v>
      </c>
      <c r="C78" s="43" t="s">
        <v>581</v>
      </c>
      <c r="D78" s="44" t="s">
        <v>45</v>
      </c>
      <c r="E78" s="43" t="s">
        <v>474</v>
      </c>
    </row>
    <row r="79" spans="2:5">
      <c r="B79" s="54" t="s">
        <v>383</v>
      </c>
      <c r="C79" s="43" t="s">
        <v>582</v>
      </c>
      <c r="D79" s="44" t="s">
        <v>45</v>
      </c>
      <c r="E79" s="43" t="s">
        <v>474</v>
      </c>
    </row>
    <row r="80" spans="2:5">
      <c r="B80" s="54" t="s">
        <v>583</v>
      </c>
      <c r="C80" s="43" t="s">
        <v>584</v>
      </c>
      <c r="D80" s="44" t="s">
        <v>45</v>
      </c>
      <c r="E80" s="43" t="s">
        <v>485</v>
      </c>
    </row>
    <row r="81" spans="2:5">
      <c r="B81" s="54" t="s">
        <v>289</v>
      </c>
      <c r="C81" s="43" t="s">
        <v>585</v>
      </c>
      <c r="D81" s="44" t="s">
        <v>49</v>
      </c>
      <c r="E81" s="43" t="s">
        <v>474</v>
      </c>
    </row>
    <row r="82" spans="2:5">
      <c r="B82" s="54" t="s">
        <v>459</v>
      </c>
      <c r="C82" s="43" t="s">
        <v>586</v>
      </c>
      <c r="D82" s="44" t="s">
        <v>49</v>
      </c>
      <c r="E82" s="43" t="s">
        <v>477</v>
      </c>
    </row>
    <row r="83" spans="2:5">
      <c r="B83" s="54" t="s">
        <v>587</v>
      </c>
      <c r="C83" s="43" t="s">
        <v>588</v>
      </c>
      <c r="D83" s="44" t="e">
        <v>#N/A</v>
      </c>
      <c r="E83" s="43" t="s">
        <v>485</v>
      </c>
    </row>
    <row r="84" spans="2:5">
      <c r="B84" s="54" t="s">
        <v>589</v>
      </c>
      <c r="C84" s="43" t="s">
        <v>590</v>
      </c>
      <c r="D84" s="44" t="s">
        <v>591</v>
      </c>
      <c r="E84" s="43" t="s">
        <v>485</v>
      </c>
    </row>
    <row r="85" spans="2:5">
      <c r="B85" s="54" t="s">
        <v>592</v>
      </c>
      <c r="C85" s="43" t="s">
        <v>593</v>
      </c>
      <c r="D85" s="44" t="s">
        <v>594</v>
      </c>
      <c r="E85" s="43" t="s">
        <v>485</v>
      </c>
    </row>
    <row r="86" spans="2:5">
      <c r="B86" s="54" t="s">
        <v>595</v>
      </c>
      <c r="C86" s="43" t="s">
        <v>594</v>
      </c>
      <c r="D86" s="44" t="s">
        <v>594</v>
      </c>
      <c r="E86" s="43" t="s">
        <v>477</v>
      </c>
    </row>
    <row r="87" spans="2:5">
      <c r="B87" s="54" t="s">
        <v>596</v>
      </c>
      <c r="C87" s="43" t="s">
        <v>597</v>
      </c>
      <c r="D87" s="44" t="e">
        <v>#N/A</v>
      </c>
      <c r="E87" s="43" t="s">
        <v>485</v>
      </c>
    </row>
    <row r="88" spans="2:5">
      <c r="B88" s="54" t="s">
        <v>598</v>
      </c>
      <c r="C88" s="43" t="s">
        <v>599</v>
      </c>
      <c r="D88" s="44" t="s">
        <v>51</v>
      </c>
      <c r="E88" s="43" t="s">
        <v>485</v>
      </c>
    </row>
    <row r="89" spans="2:5">
      <c r="B89" s="54" t="s">
        <v>304</v>
      </c>
      <c r="C89" s="43" t="s">
        <v>600</v>
      </c>
      <c r="D89" s="44" t="s">
        <v>51</v>
      </c>
      <c r="E89" s="43" t="s">
        <v>477</v>
      </c>
    </row>
    <row r="90" spans="2:5">
      <c r="B90" s="54" t="s">
        <v>304</v>
      </c>
      <c r="C90" s="43" t="s">
        <v>601</v>
      </c>
      <c r="D90" s="44" t="s">
        <v>51</v>
      </c>
      <c r="E90" s="43" t="s">
        <v>474</v>
      </c>
    </row>
    <row r="91" spans="2:5">
      <c r="B91" s="54" t="s">
        <v>602</v>
      </c>
      <c r="C91" s="43" t="s">
        <v>603</v>
      </c>
      <c r="D91" s="44" t="s">
        <v>111</v>
      </c>
      <c r="E91" s="43" t="s">
        <v>477</v>
      </c>
    </row>
    <row r="92" spans="2:5">
      <c r="B92" s="54" t="s">
        <v>54</v>
      </c>
      <c r="C92" s="43" t="s">
        <v>604</v>
      </c>
      <c r="D92" s="44" t="s">
        <v>54</v>
      </c>
      <c r="E92" s="43" t="s">
        <v>474</v>
      </c>
    </row>
    <row r="93" spans="2:5">
      <c r="B93" s="54" t="s">
        <v>293</v>
      </c>
      <c r="C93" s="43" t="s">
        <v>604</v>
      </c>
      <c r="D93" s="44" t="s">
        <v>54</v>
      </c>
      <c r="E93" s="43" t="s">
        <v>474</v>
      </c>
    </row>
    <row r="94" spans="2:5">
      <c r="B94" s="54" t="s">
        <v>298</v>
      </c>
      <c r="C94" s="43" t="s">
        <v>605</v>
      </c>
      <c r="D94" s="44" t="s">
        <v>328</v>
      </c>
      <c r="E94" s="43" t="s">
        <v>474</v>
      </c>
    </row>
    <row r="95" spans="2:5">
      <c r="B95" s="54" t="s">
        <v>606</v>
      </c>
      <c r="C95" s="43" t="s">
        <v>607</v>
      </c>
      <c r="D95" s="44" t="s">
        <v>328</v>
      </c>
      <c r="E95" s="43" t="s">
        <v>474</v>
      </c>
    </row>
    <row r="96" spans="2:5">
      <c r="B96" s="54" t="s">
        <v>608</v>
      </c>
      <c r="C96" s="43" t="s">
        <v>607</v>
      </c>
      <c r="D96" s="44" t="s">
        <v>328</v>
      </c>
      <c r="E96" s="43" t="s">
        <v>474</v>
      </c>
    </row>
    <row r="97" spans="2:5">
      <c r="B97" s="54" t="s">
        <v>609</v>
      </c>
      <c r="C97" s="43" t="s">
        <v>610</v>
      </c>
      <c r="D97" s="44" t="s">
        <v>328</v>
      </c>
      <c r="E97" s="43" t="s">
        <v>474</v>
      </c>
    </row>
    <row r="98" spans="2:5">
      <c r="B98" s="54" t="s">
        <v>611</v>
      </c>
      <c r="C98" s="43" t="s">
        <v>64</v>
      </c>
      <c r="D98" s="44" t="e">
        <v>#N/A</v>
      </c>
      <c r="E98" s="43" t="s">
        <v>474</v>
      </c>
    </row>
    <row r="99" spans="2:5">
      <c r="B99" s="54" t="s">
        <v>612</v>
      </c>
      <c r="C99" s="43" t="s">
        <v>31</v>
      </c>
      <c r="D99" s="44" t="s">
        <v>31</v>
      </c>
      <c r="E99" s="43" t="s">
        <v>474</v>
      </c>
    </row>
    <row r="100" spans="2:5">
      <c r="B100" s="54" t="s">
        <v>292</v>
      </c>
      <c r="C100" s="43" t="s">
        <v>31</v>
      </c>
      <c r="D100" s="44" t="s">
        <v>31</v>
      </c>
      <c r="E100" s="43" t="s">
        <v>474</v>
      </c>
    </row>
    <row r="101" spans="2:5">
      <c r="B101" s="54" t="s">
        <v>613</v>
      </c>
      <c r="C101" s="43" t="s">
        <v>614</v>
      </c>
      <c r="D101" s="44" t="s">
        <v>65</v>
      </c>
      <c r="E101" s="43" t="s">
        <v>485</v>
      </c>
    </row>
    <row r="102" spans="2:5">
      <c r="B102" s="54" t="s">
        <v>615</v>
      </c>
      <c r="C102" s="43" t="s">
        <v>614</v>
      </c>
      <c r="D102" s="44" t="s">
        <v>65</v>
      </c>
      <c r="E102" s="43" t="s">
        <v>485</v>
      </c>
    </row>
    <row r="103" spans="2:5">
      <c r="B103" s="54" t="s">
        <v>294</v>
      </c>
      <c r="C103" s="43" t="s">
        <v>616</v>
      </c>
      <c r="D103" s="44" t="s">
        <v>65</v>
      </c>
      <c r="E103" s="43" t="s">
        <v>474</v>
      </c>
    </row>
    <row r="104" spans="2:5">
      <c r="B104" s="54" t="s">
        <v>617</v>
      </c>
      <c r="C104" s="43" t="s">
        <v>618</v>
      </c>
      <c r="D104" s="44" t="s">
        <v>65</v>
      </c>
      <c r="E104" s="43" t="s">
        <v>474</v>
      </c>
    </row>
    <row r="105" spans="2:5">
      <c r="B105" s="54" t="s">
        <v>619</v>
      </c>
      <c r="C105" s="43" t="s">
        <v>618</v>
      </c>
      <c r="D105" s="44" t="s">
        <v>65</v>
      </c>
      <c r="E105" s="43" t="s">
        <v>474</v>
      </c>
    </row>
    <row r="106" spans="2:5">
      <c r="B106" s="54" t="s">
        <v>620</v>
      </c>
      <c r="C106" s="43" t="s">
        <v>621</v>
      </c>
      <c r="D106" s="44" t="s">
        <v>65</v>
      </c>
      <c r="E106" s="43" t="s">
        <v>474</v>
      </c>
    </row>
    <row r="107" spans="2:5">
      <c r="B107" s="54" t="s">
        <v>622</v>
      </c>
      <c r="C107" s="43" t="s">
        <v>616</v>
      </c>
      <c r="D107" s="44" t="s">
        <v>65</v>
      </c>
      <c r="E107" s="43" t="s">
        <v>474</v>
      </c>
    </row>
    <row r="108" spans="2:5">
      <c r="B108" s="54" t="s">
        <v>310</v>
      </c>
      <c r="C108" s="43" t="s">
        <v>67</v>
      </c>
      <c r="D108" s="44" t="s">
        <v>67</v>
      </c>
      <c r="E108" s="43" t="s">
        <v>474</v>
      </c>
    </row>
    <row r="109" spans="2:5">
      <c r="B109" s="54" t="s">
        <v>68</v>
      </c>
      <c r="C109" s="43" t="s">
        <v>623</v>
      </c>
      <c r="D109" s="44" t="e">
        <v>#N/A</v>
      </c>
      <c r="E109" s="43" t="s">
        <v>474</v>
      </c>
    </row>
    <row r="110" spans="2:5">
      <c r="B110" s="54" t="s">
        <v>624</v>
      </c>
      <c r="C110" s="43" t="s">
        <v>623</v>
      </c>
      <c r="D110" s="44" t="e">
        <v>#N/A</v>
      </c>
      <c r="E110" s="43" t="s">
        <v>474</v>
      </c>
    </row>
    <row r="111" spans="2:5">
      <c r="B111" s="54" t="s">
        <v>624</v>
      </c>
      <c r="C111" s="43" t="s">
        <v>623</v>
      </c>
      <c r="D111" s="44" t="e">
        <v>#N/A</v>
      </c>
      <c r="E111" s="43" t="s">
        <v>485</v>
      </c>
    </row>
    <row r="112" spans="2:5">
      <c r="B112" s="54" t="s">
        <v>625</v>
      </c>
      <c r="C112" s="43" t="s">
        <v>626</v>
      </c>
      <c r="D112" s="44" t="s">
        <v>626</v>
      </c>
      <c r="E112" s="43" t="s">
        <v>474</v>
      </c>
    </row>
    <row r="113" spans="2:5">
      <c r="B113" s="54" t="s">
        <v>627</v>
      </c>
      <c r="C113" s="43" t="s">
        <v>628</v>
      </c>
      <c r="D113" s="44" t="s">
        <v>629</v>
      </c>
      <c r="E113" s="43" t="s">
        <v>485</v>
      </c>
    </row>
    <row r="114" spans="2:5">
      <c r="B114" s="54" t="s">
        <v>297</v>
      </c>
      <c r="C114" s="43" t="s">
        <v>630</v>
      </c>
      <c r="D114" s="44" t="s">
        <v>71</v>
      </c>
      <c r="E114" s="43" t="s">
        <v>474</v>
      </c>
    </row>
    <row r="115" spans="2:5">
      <c r="B115" s="54" t="s">
        <v>631</v>
      </c>
      <c r="C115" s="43" t="s">
        <v>632</v>
      </c>
      <c r="D115" s="44" t="s">
        <v>71</v>
      </c>
      <c r="E115" s="43" t="s">
        <v>474</v>
      </c>
    </row>
    <row r="116" spans="2:5">
      <c r="B116" s="54" t="s">
        <v>633</v>
      </c>
      <c r="C116" s="43" t="s">
        <v>632</v>
      </c>
      <c r="D116" s="44" t="s">
        <v>71</v>
      </c>
      <c r="E116" s="43"/>
    </row>
    <row r="117" spans="2:5">
      <c r="B117" s="54" t="s">
        <v>634</v>
      </c>
      <c r="C117" s="43" t="s">
        <v>635</v>
      </c>
      <c r="D117" s="44" t="s">
        <v>71</v>
      </c>
      <c r="E117" s="43" t="s">
        <v>485</v>
      </c>
    </row>
    <row r="118" spans="2:5">
      <c r="B118" s="54" t="s">
        <v>636</v>
      </c>
      <c r="C118" s="43" t="s">
        <v>637</v>
      </c>
      <c r="D118" s="44" t="s">
        <v>638</v>
      </c>
      <c r="E118" s="43" t="s">
        <v>487</v>
      </c>
    </row>
    <row r="119" spans="2:5">
      <c r="B119" s="54" t="s">
        <v>639</v>
      </c>
      <c r="C119" s="43" t="s">
        <v>640</v>
      </c>
      <c r="D119" s="44" t="s">
        <v>638</v>
      </c>
      <c r="E119" s="43" t="s">
        <v>488</v>
      </c>
    </row>
    <row r="120" spans="2:5">
      <c r="B120" s="54" t="s">
        <v>641</v>
      </c>
      <c r="C120" s="43" t="s">
        <v>642</v>
      </c>
      <c r="D120" s="44" t="s">
        <v>638</v>
      </c>
      <c r="E120" s="43" t="s">
        <v>485</v>
      </c>
    </row>
    <row r="121" spans="2:5">
      <c r="B121" s="54" t="s">
        <v>643</v>
      </c>
      <c r="C121" s="43" t="s">
        <v>637</v>
      </c>
      <c r="D121" s="44" t="s">
        <v>638</v>
      </c>
      <c r="E121" s="43" t="s">
        <v>487</v>
      </c>
    </row>
    <row r="122" spans="2:5">
      <c r="B122" s="54" t="s">
        <v>644</v>
      </c>
      <c r="C122" s="43" t="s">
        <v>642</v>
      </c>
      <c r="D122" s="44" t="s">
        <v>638</v>
      </c>
      <c r="E122" s="43" t="s">
        <v>485</v>
      </c>
    </row>
    <row r="123" spans="2:5">
      <c r="B123" s="54" t="s">
        <v>645</v>
      </c>
      <c r="C123" s="43" t="s">
        <v>640</v>
      </c>
      <c r="D123" s="44" t="s">
        <v>638</v>
      </c>
      <c r="E123" s="43" t="s">
        <v>488</v>
      </c>
    </row>
    <row r="124" spans="2:5">
      <c r="B124" s="54" t="s">
        <v>646</v>
      </c>
      <c r="C124" s="43" t="s">
        <v>642</v>
      </c>
      <c r="D124" s="44" t="s">
        <v>638</v>
      </c>
      <c r="E124" s="43" t="s">
        <v>485</v>
      </c>
    </row>
    <row r="125" spans="2:5">
      <c r="B125" s="54" t="s">
        <v>300</v>
      </c>
      <c r="C125" s="43" t="s">
        <v>647</v>
      </c>
      <c r="D125" s="44" t="s">
        <v>115</v>
      </c>
      <c r="E125" s="43" t="s">
        <v>474</v>
      </c>
    </row>
    <row r="126" spans="2:5">
      <c r="B126" s="54" t="s">
        <v>648</v>
      </c>
      <c r="C126" s="43" t="s">
        <v>649</v>
      </c>
      <c r="D126" s="44" t="s">
        <v>115</v>
      </c>
      <c r="E126" s="43" t="s">
        <v>474</v>
      </c>
    </row>
    <row r="127" spans="2:5">
      <c r="B127" s="54" t="s">
        <v>650</v>
      </c>
      <c r="C127" s="43" t="s">
        <v>651</v>
      </c>
      <c r="D127" s="44" t="s">
        <v>115</v>
      </c>
      <c r="E127" s="43" t="s">
        <v>474</v>
      </c>
    </row>
    <row r="128" spans="2:5">
      <c r="B128" s="54" t="s">
        <v>308</v>
      </c>
      <c r="C128" s="43" t="s">
        <v>652</v>
      </c>
      <c r="D128" s="44" t="s">
        <v>74</v>
      </c>
      <c r="E128" s="43" t="s">
        <v>474</v>
      </c>
    </row>
    <row r="129" spans="2:5">
      <c r="B129" s="54" t="s">
        <v>653</v>
      </c>
      <c r="C129" s="43" t="s">
        <v>654</v>
      </c>
      <c r="D129" s="44" t="s">
        <v>74</v>
      </c>
      <c r="E129" s="43" t="s">
        <v>474</v>
      </c>
    </row>
    <row r="130" spans="2:5">
      <c r="B130" s="54" t="s">
        <v>655</v>
      </c>
      <c r="C130" s="43" t="s">
        <v>656</v>
      </c>
      <c r="D130" s="44" t="s">
        <v>76</v>
      </c>
      <c r="E130" s="43" t="s">
        <v>474</v>
      </c>
    </row>
    <row r="131" spans="2:5">
      <c r="B131" s="54" t="s">
        <v>657</v>
      </c>
      <c r="C131" s="43" t="s">
        <v>658</v>
      </c>
      <c r="D131" s="44" t="s">
        <v>76</v>
      </c>
      <c r="E131" s="43" t="s">
        <v>474</v>
      </c>
    </row>
    <row r="132" spans="2:5">
      <c r="B132" s="54" t="s">
        <v>659</v>
      </c>
      <c r="C132" s="43" t="s">
        <v>658</v>
      </c>
      <c r="D132" s="44" t="s">
        <v>76</v>
      </c>
      <c r="E132" s="43" t="s">
        <v>474</v>
      </c>
    </row>
    <row r="133" spans="2:5">
      <c r="B133" s="54" t="s">
        <v>660</v>
      </c>
      <c r="C133" s="43" t="s">
        <v>661</v>
      </c>
      <c r="D133" s="44" t="s">
        <v>662</v>
      </c>
      <c r="E133" s="43" t="s">
        <v>485</v>
      </c>
    </row>
    <row r="134" spans="2:5">
      <c r="B134" s="54" t="s">
        <v>663</v>
      </c>
      <c r="C134" s="43" t="s">
        <v>664</v>
      </c>
      <c r="D134" s="44" t="e">
        <v>#N/A</v>
      </c>
      <c r="E134" s="43" t="s">
        <v>485</v>
      </c>
    </row>
    <row r="135" spans="2:5">
      <c r="B135" s="54" t="s">
        <v>665</v>
      </c>
      <c r="C135" s="43" t="s">
        <v>666</v>
      </c>
      <c r="D135" s="44" t="e">
        <v>#N/A</v>
      </c>
      <c r="E135" s="43" t="s">
        <v>488</v>
      </c>
    </row>
    <row r="136" spans="2:5">
      <c r="B136" s="54" t="s">
        <v>667</v>
      </c>
      <c r="C136" s="43" t="s">
        <v>668</v>
      </c>
      <c r="D136" s="44" t="e">
        <v>#N/A</v>
      </c>
      <c r="E136" s="43" t="s">
        <v>485</v>
      </c>
    </row>
    <row r="137" spans="2:5">
      <c r="B137" s="54" t="s">
        <v>669</v>
      </c>
      <c r="C137" s="43" t="s">
        <v>670</v>
      </c>
      <c r="D137" s="44" t="s">
        <v>80</v>
      </c>
      <c r="E137" s="43" t="s">
        <v>474</v>
      </c>
    </row>
    <row r="138" spans="2:5">
      <c r="B138" s="54" t="s">
        <v>669</v>
      </c>
      <c r="C138" s="43" t="s">
        <v>671</v>
      </c>
      <c r="D138" s="44" t="s">
        <v>80</v>
      </c>
      <c r="E138" s="43" t="s">
        <v>474</v>
      </c>
    </row>
    <row r="139" spans="2:5">
      <c r="B139" s="54" t="s">
        <v>317</v>
      </c>
      <c r="C139" s="43" t="s">
        <v>670</v>
      </c>
      <c r="D139" s="44" t="s">
        <v>80</v>
      </c>
      <c r="E139" s="43" t="s">
        <v>474</v>
      </c>
    </row>
    <row r="140" spans="2:5">
      <c r="B140" s="54" t="s">
        <v>672</v>
      </c>
      <c r="C140" s="43" t="s">
        <v>673</v>
      </c>
      <c r="D140" s="44" t="s">
        <v>80</v>
      </c>
      <c r="E140" s="43" t="s">
        <v>474</v>
      </c>
    </row>
    <row r="141" spans="2:5">
      <c r="B141" s="54" t="s">
        <v>674</v>
      </c>
      <c r="C141" s="43" t="s">
        <v>673</v>
      </c>
      <c r="D141" s="44" t="s">
        <v>80</v>
      </c>
      <c r="E141" s="43" t="s">
        <v>474</v>
      </c>
    </row>
    <row r="142" spans="2:5">
      <c r="B142" s="54" t="s">
        <v>675</v>
      </c>
      <c r="C142" s="43" t="s">
        <v>676</v>
      </c>
      <c r="D142" s="44" t="s">
        <v>80</v>
      </c>
      <c r="E142" s="43" t="s">
        <v>474</v>
      </c>
    </row>
    <row r="143" spans="2:5">
      <c r="B143" s="54" t="s">
        <v>677</v>
      </c>
      <c r="C143" s="43" t="s">
        <v>678</v>
      </c>
      <c r="D143" s="44" t="e">
        <v>#N/A</v>
      </c>
      <c r="E143" s="43" t="s">
        <v>477</v>
      </c>
    </row>
    <row r="144" spans="2:5">
      <c r="B144" s="54" t="s">
        <v>679</v>
      </c>
      <c r="C144" s="43" t="s">
        <v>680</v>
      </c>
      <c r="D144" s="44" t="e">
        <v>#N/A</v>
      </c>
      <c r="E144" s="43" t="s">
        <v>488</v>
      </c>
    </row>
    <row r="145" spans="1:5">
      <c r="B145" s="54" t="s">
        <v>681</v>
      </c>
      <c r="C145" s="43" t="s">
        <v>682</v>
      </c>
      <c r="D145" s="44" t="e">
        <v>#N/A</v>
      </c>
      <c r="E145" s="43" t="s">
        <v>488</v>
      </c>
    </row>
    <row r="146" spans="1:5">
      <c r="B146" s="54" t="s">
        <v>683</v>
      </c>
      <c r="C146" s="43" t="s">
        <v>684</v>
      </c>
      <c r="D146" s="44" t="s">
        <v>685</v>
      </c>
      <c r="E146" s="43" t="s">
        <v>477</v>
      </c>
    </row>
    <row r="147" spans="1:5">
      <c r="A147" s="43"/>
      <c r="B147" s="54" t="s">
        <v>302</v>
      </c>
      <c r="C147" s="43" t="s">
        <v>686</v>
      </c>
      <c r="D147" s="44" t="s">
        <v>81</v>
      </c>
      <c r="E147" s="43" t="s">
        <v>474</v>
      </c>
    </row>
    <row r="148" spans="1:5">
      <c r="A148" s="43"/>
      <c r="B148" s="54" t="s">
        <v>306</v>
      </c>
      <c r="C148" s="43" t="s">
        <v>687</v>
      </c>
      <c r="D148" s="44" t="s">
        <v>81</v>
      </c>
      <c r="E148" s="43" t="s">
        <v>474</v>
      </c>
    </row>
    <row r="149" spans="1:5">
      <c r="A149" s="43"/>
      <c r="B149" s="54" t="s">
        <v>302</v>
      </c>
      <c r="C149" s="43" t="s">
        <v>688</v>
      </c>
      <c r="D149" s="44" t="s">
        <v>81</v>
      </c>
      <c r="E149" s="43" t="s">
        <v>474</v>
      </c>
    </row>
    <row r="150" spans="1:5">
      <c r="B150" s="54" t="s">
        <v>303</v>
      </c>
      <c r="C150" s="43" t="s">
        <v>689</v>
      </c>
      <c r="D150" s="44" t="s">
        <v>82</v>
      </c>
      <c r="E150" s="43" t="s">
        <v>474</v>
      </c>
    </row>
    <row r="151" spans="1:5">
      <c r="B151" s="54" t="s">
        <v>303</v>
      </c>
      <c r="C151" s="43" t="s">
        <v>689</v>
      </c>
      <c r="D151" s="44" t="s">
        <v>82</v>
      </c>
      <c r="E151" s="43" t="s">
        <v>474</v>
      </c>
    </row>
    <row r="152" spans="1:5">
      <c r="B152" s="54" t="s">
        <v>690</v>
      </c>
      <c r="C152" s="43" t="s">
        <v>691</v>
      </c>
      <c r="D152" s="44" t="s">
        <v>82</v>
      </c>
      <c r="E152" s="43" t="s">
        <v>474</v>
      </c>
    </row>
    <row r="153" spans="1:5">
      <c r="B153" s="54" t="s">
        <v>692</v>
      </c>
      <c r="C153" s="43" t="s">
        <v>691</v>
      </c>
      <c r="D153" s="44" t="s">
        <v>82</v>
      </c>
      <c r="E153" s="43" t="s">
        <v>474</v>
      </c>
    </row>
    <row r="154" spans="1:5">
      <c r="B154" s="54" t="s">
        <v>693</v>
      </c>
      <c r="C154" s="43" t="s">
        <v>694</v>
      </c>
      <c r="D154" s="44" t="s">
        <v>82</v>
      </c>
      <c r="E154" s="43" t="s">
        <v>474</v>
      </c>
    </row>
    <row r="155" spans="1:5">
      <c r="B155" s="54" t="s">
        <v>695</v>
      </c>
      <c r="C155" s="43" t="s">
        <v>696</v>
      </c>
      <c r="D155" s="44" t="s">
        <v>82</v>
      </c>
      <c r="E155" s="43" t="s">
        <v>485</v>
      </c>
    </row>
    <row r="156" spans="1:5">
      <c r="B156" s="54" t="s">
        <v>311</v>
      </c>
      <c r="C156" s="43" t="s">
        <v>697</v>
      </c>
      <c r="D156" s="44" t="s">
        <v>84</v>
      </c>
      <c r="E156" s="43" t="s">
        <v>474</v>
      </c>
    </row>
    <row r="157" spans="1:5">
      <c r="B157" s="54" t="s">
        <v>315</v>
      </c>
      <c r="C157" s="43" t="s">
        <v>698</v>
      </c>
      <c r="D157" s="44" t="s">
        <v>84</v>
      </c>
      <c r="E157" s="43" t="s">
        <v>474</v>
      </c>
    </row>
    <row r="158" spans="1:5">
      <c r="B158" s="54" t="s">
        <v>699</v>
      </c>
      <c r="C158" s="43" t="s">
        <v>700</v>
      </c>
      <c r="D158" s="44" t="s">
        <v>701</v>
      </c>
      <c r="E158" s="43" t="s">
        <v>485</v>
      </c>
    </row>
    <row r="159" spans="1:5">
      <c r="B159" s="54" t="s">
        <v>702</v>
      </c>
      <c r="C159" s="43" t="s">
        <v>701</v>
      </c>
      <c r="D159" s="44" t="e">
        <v>#N/A</v>
      </c>
      <c r="E159" s="43" t="s">
        <v>474</v>
      </c>
    </row>
    <row r="160" spans="1:5">
      <c r="B160" s="54" t="s">
        <v>702</v>
      </c>
      <c r="C160" s="43" t="s">
        <v>701</v>
      </c>
      <c r="D160" s="44" t="e">
        <v>#N/A</v>
      </c>
      <c r="E160" s="43" t="s">
        <v>474</v>
      </c>
    </row>
    <row r="161" spans="2:5">
      <c r="B161" s="54" t="s">
        <v>702</v>
      </c>
      <c r="C161" s="43" t="s">
        <v>701</v>
      </c>
      <c r="D161" s="44" t="e">
        <v>#N/A</v>
      </c>
      <c r="E161" s="43" t="s">
        <v>474</v>
      </c>
    </row>
    <row r="162" spans="2:5">
      <c r="B162" s="54" t="s">
        <v>702</v>
      </c>
      <c r="C162" s="43" t="s">
        <v>701</v>
      </c>
      <c r="D162" s="44" t="e">
        <v>#N/A</v>
      </c>
      <c r="E162" s="43" t="s">
        <v>474</v>
      </c>
    </row>
    <row r="163" spans="2:5">
      <c r="B163" s="54" t="s">
        <v>702</v>
      </c>
      <c r="C163" s="43" t="s">
        <v>701</v>
      </c>
      <c r="D163" s="44" t="e">
        <v>#N/A</v>
      </c>
      <c r="E163" s="43" t="s">
        <v>474</v>
      </c>
    </row>
    <row r="164" spans="2:5">
      <c r="B164" s="54" t="s">
        <v>702</v>
      </c>
      <c r="C164" s="43" t="s">
        <v>701</v>
      </c>
      <c r="D164" s="44" t="e">
        <v>#N/A</v>
      </c>
      <c r="E164" s="43" t="s">
        <v>474</v>
      </c>
    </row>
    <row r="165" spans="2:5">
      <c r="B165" s="54" t="s">
        <v>702</v>
      </c>
      <c r="C165" s="43" t="s">
        <v>701</v>
      </c>
      <c r="D165" s="44" t="e">
        <v>#N/A</v>
      </c>
      <c r="E165" s="43" t="s">
        <v>474</v>
      </c>
    </row>
    <row r="166" spans="2:5">
      <c r="B166" s="54" t="s">
        <v>702</v>
      </c>
      <c r="C166" s="43" t="s">
        <v>701</v>
      </c>
      <c r="D166" s="44" t="e">
        <v>#N/A</v>
      </c>
      <c r="E166" s="43" t="s">
        <v>474</v>
      </c>
    </row>
    <row r="167" spans="2:5">
      <c r="B167" s="54" t="s">
        <v>702</v>
      </c>
      <c r="C167" s="43" t="s">
        <v>701</v>
      </c>
      <c r="D167" s="44" t="e">
        <v>#N/A</v>
      </c>
      <c r="E167" s="43" t="s">
        <v>474</v>
      </c>
    </row>
    <row r="168" spans="2:5">
      <c r="B168" s="54" t="s">
        <v>702</v>
      </c>
      <c r="C168" s="43" t="s">
        <v>701</v>
      </c>
      <c r="D168" s="44" t="e">
        <v>#N/A</v>
      </c>
      <c r="E168" s="43" t="s">
        <v>474</v>
      </c>
    </row>
    <row r="169" spans="2:5">
      <c r="B169" s="54" t="s">
        <v>702</v>
      </c>
      <c r="C169" s="43" t="s">
        <v>701</v>
      </c>
      <c r="D169" s="44" t="e">
        <v>#N/A</v>
      </c>
      <c r="E169" s="43" t="s">
        <v>474</v>
      </c>
    </row>
    <row r="170" spans="2:5">
      <c r="B170" s="54" t="s">
        <v>703</v>
      </c>
      <c r="C170" s="43" t="s">
        <v>704</v>
      </c>
      <c r="D170" s="44" t="s">
        <v>701</v>
      </c>
      <c r="E170" s="43" t="s">
        <v>474</v>
      </c>
    </row>
    <row r="171" spans="2:5">
      <c r="B171" s="54" t="s">
        <v>705</v>
      </c>
      <c r="C171" s="43" t="s">
        <v>706</v>
      </c>
      <c r="D171" s="44" t="e">
        <v>#N/A</v>
      </c>
      <c r="E171" s="43" t="s">
        <v>474</v>
      </c>
    </row>
    <row r="172" spans="2:5">
      <c r="B172" s="54" t="s">
        <v>707</v>
      </c>
      <c r="C172" s="43" t="s">
        <v>708</v>
      </c>
      <c r="D172" s="44" t="s">
        <v>701</v>
      </c>
      <c r="E172" s="43" t="s">
        <v>474</v>
      </c>
    </row>
    <row r="173" spans="2:5">
      <c r="B173" s="54" t="s">
        <v>709</v>
      </c>
      <c r="C173" s="43" t="s">
        <v>710</v>
      </c>
      <c r="D173" s="44" t="s">
        <v>701</v>
      </c>
      <c r="E173" s="43" t="s">
        <v>474</v>
      </c>
    </row>
    <row r="174" spans="2:5">
      <c r="B174" s="54" t="s">
        <v>711</v>
      </c>
      <c r="C174" s="43" t="s">
        <v>708</v>
      </c>
      <c r="D174" s="44" t="s">
        <v>701</v>
      </c>
      <c r="E174" s="43" t="s">
        <v>474</v>
      </c>
    </row>
    <row r="175" spans="2:5">
      <c r="B175" s="54" t="s">
        <v>712</v>
      </c>
      <c r="C175" s="43" t="s">
        <v>713</v>
      </c>
      <c r="D175" s="44" t="s">
        <v>701</v>
      </c>
      <c r="E175" s="43" t="s">
        <v>477</v>
      </c>
    </row>
    <row r="176" spans="2:5">
      <c r="B176" s="54" t="s">
        <v>714</v>
      </c>
      <c r="C176" s="43" t="s">
        <v>715</v>
      </c>
      <c r="D176" s="44" t="s">
        <v>328</v>
      </c>
      <c r="E176" s="43" t="s">
        <v>485</v>
      </c>
    </row>
    <row r="177" spans="1:5">
      <c r="B177" s="54" t="s">
        <v>716</v>
      </c>
      <c r="C177" s="43" t="s">
        <v>717</v>
      </c>
      <c r="D177" s="44" t="s">
        <v>212</v>
      </c>
      <c r="E177" s="43" t="s">
        <v>485</v>
      </c>
    </row>
    <row r="178" spans="1:5">
      <c r="B178" s="54" t="s">
        <v>718</v>
      </c>
      <c r="C178" s="43" t="s">
        <v>719</v>
      </c>
      <c r="D178" s="44" t="s">
        <v>212</v>
      </c>
      <c r="E178" s="43" t="s">
        <v>474</v>
      </c>
    </row>
    <row r="179" spans="1:5">
      <c r="B179" s="54" t="s">
        <v>718</v>
      </c>
      <c r="C179" s="43" t="s">
        <v>720</v>
      </c>
      <c r="D179" s="44" t="s">
        <v>212</v>
      </c>
      <c r="E179" s="43" t="s">
        <v>474</v>
      </c>
    </row>
    <row r="180" spans="1:5">
      <c r="B180" s="54" t="s">
        <v>721</v>
      </c>
      <c r="C180" s="43" t="s">
        <v>722</v>
      </c>
      <c r="D180" s="44" t="s">
        <v>325</v>
      </c>
      <c r="E180" s="43" t="s">
        <v>485</v>
      </c>
    </row>
    <row r="181" spans="1:5">
      <c r="B181" s="54" t="s">
        <v>299</v>
      </c>
      <c r="C181" s="43" t="s">
        <v>723</v>
      </c>
      <c r="D181" s="44" t="s">
        <v>325</v>
      </c>
      <c r="E181" s="43" t="s">
        <v>474</v>
      </c>
    </row>
    <row r="182" spans="1:5">
      <c r="B182" s="54" t="s">
        <v>299</v>
      </c>
      <c r="C182" s="43" t="s">
        <v>724</v>
      </c>
      <c r="D182" s="44" t="s">
        <v>325</v>
      </c>
      <c r="E182" s="43" t="s">
        <v>474</v>
      </c>
    </row>
    <row r="183" spans="1:5">
      <c r="B183" s="54" t="s">
        <v>725</v>
      </c>
      <c r="C183" s="43" t="s">
        <v>726</v>
      </c>
      <c r="D183" s="44" t="s">
        <v>727</v>
      </c>
      <c r="E183" s="43" t="s">
        <v>474</v>
      </c>
    </row>
    <row r="184" spans="1:5">
      <c r="A184" s="54"/>
      <c r="B184" s="54" t="s">
        <v>725</v>
      </c>
      <c r="C184" s="43" t="s">
        <v>728</v>
      </c>
      <c r="D184" s="44" t="s">
        <v>727</v>
      </c>
      <c r="E184" s="43" t="s">
        <v>474</v>
      </c>
    </row>
    <row r="185" spans="1:5">
      <c r="A185" s="54"/>
      <c r="B185" s="54" t="s">
        <v>729</v>
      </c>
      <c r="C185" s="43" t="s">
        <v>730</v>
      </c>
      <c r="D185" s="44" t="s">
        <v>727</v>
      </c>
      <c r="E185" s="43" t="s">
        <v>485</v>
      </c>
    </row>
    <row r="186" spans="1:5">
      <c r="A186" s="54"/>
      <c r="B186" s="54" t="s">
        <v>731</v>
      </c>
      <c r="C186" s="43" t="s">
        <v>732</v>
      </c>
      <c r="D186" s="44" t="s">
        <v>164</v>
      </c>
      <c r="E186" s="43" t="s">
        <v>474</v>
      </c>
    </row>
    <row r="187" spans="1:5">
      <c r="B187" s="54" t="s">
        <v>731</v>
      </c>
      <c r="C187" s="43" t="s">
        <v>733</v>
      </c>
      <c r="D187" s="44" t="s">
        <v>164</v>
      </c>
      <c r="E187" s="43" t="s">
        <v>474</v>
      </c>
    </row>
    <row r="188" spans="1:5">
      <c r="B188" s="54" t="s">
        <v>734</v>
      </c>
      <c r="C188" s="43" t="s">
        <v>735</v>
      </c>
      <c r="D188" s="44" t="s">
        <v>164</v>
      </c>
      <c r="E188" s="43" t="s">
        <v>485</v>
      </c>
    </row>
    <row r="189" spans="1:5">
      <c r="B189" s="54" t="s">
        <v>736</v>
      </c>
      <c r="C189" s="43" t="s">
        <v>737</v>
      </c>
      <c r="D189" s="44" t="s">
        <v>319</v>
      </c>
      <c r="E189" s="43" t="s">
        <v>485</v>
      </c>
    </row>
    <row r="190" spans="1:5">
      <c r="B190" s="54" t="s">
        <v>736</v>
      </c>
      <c r="C190" s="43" t="s">
        <v>738</v>
      </c>
      <c r="D190" s="44" t="s">
        <v>319</v>
      </c>
      <c r="E190" s="43" t="s">
        <v>739</v>
      </c>
    </row>
    <row r="191" spans="1:5">
      <c r="B191" s="54" t="s">
        <v>740</v>
      </c>
      <c r="C191" s="43" t="s">
        <v>741</v>
      </c>
      <c r="D191" s="44" t="s">
        <v>319</v>
      </c>
      <c r="E191" s="43" t="s">
        <v>474</v>
      </c>
    </row>
    <row r="192" spans="1:5">
      <c r="B192" s="54" t="s">
        <v>740</v>
      </c>
      <c r="C192" s="43" t="s">
        <v>742</v>
      </c>
      <c r="D192" s="44" t="s">
        <v>319</v>
      </c>
      <c r="E192" s="43" t="s">
        <v>474</v>
      </c>
    </row>
    <row r="193" spans="2:5">
      <c r="B193" s="54" t="s">
        <v>743</v>
      </c>
      <c r="C193" s="43" t="s">
        <v>744</v>
      </c>
      <c r="D193" s="44" t="s">
        <v>86</v>
      </c>
      <c r="E193" s="43" t="s">
        <v>485</v>
      </c>
    </row>
    <row r="194" spans="2:5">
      <c r="B194" s="54" t="s">
        <v>745</v>
      </c>
      <c r="C194" s="43" t="s">
        <v>746</v>
      </c>
      <c r="D194" s="44" t="s">
        <v>86</v>
      </c>
      <c r="E194" s="43" t="s">
        <v>474</v>
      </c>
    </row>
    <row r="195" spans="2:5">
      <c r="B195" s="54" t="s">
        <v>747</v>
      </c>
      <c r="C195" s="43" t="s">
        <v>748</v>
      </c>
      <c r="D195" s="44" t="s">
        <v>86</v>
      </c>
      <c r="E195" s="43" t="s">
        <v>474</v>
      </c>
    </row>
    <row r="196" spans="2:5">
      <c r="B196" s="54" t="s">
        <v>749</v>
      </c>
      <c r="C196" s="43" t="s">
        <v>748</v>
      </c>
      <c r="D196" s="44" t="s">
        <v>86</v>
      </c>
      <c r="E196" s="43" t="s">
        <v>474</v>
      </c>
    </row>
    <row r="197" spans="2:5">
      <c r="B197" s="54" t="s">
        <v>750</v>
      </c>
      <c r="C197" s="43" t="s">
        <v>751</v>
      </c>
      <c r="D197" s="44" t="s">
        <v>86</v>
      </c>
      <c r="E197" s="43" t="s">
        <v>474</v>
      </c>
    </row>
    <row r="198" spans="2:5">
      <c r="B198" s="54" t="s">
        <v>752</v>
      </c>
      <c r="C198" s="43" t="s">
        <v>753</v>
      </c>
      <c r="D198" s="44" t="s">
        <v>87</v>
      </c>
      <c r="E198" s="43" t="s">
        <v>485</v>
      </c>
    </row>
    <row r="199" spans="2:5">
      <c r="B199" s="54" t="s">
        <v>754</v>
      </c>
      <c r="C199" s="43" t="s">
        <v>753</v>
      </c>
      <c r="D199" s="44" t="s">
        <v>87</v>
      </c>
      <c r="E199" s="43" t="s">
        <v>485</v>
      </c>
    </row>
    <row r="200" spans="2:5">
      <c r="B200" s="54" t="s">
        <v>755</v>
      </c>
      <c r="C200" s="43" t="s">
        <v>756</v>
      </c>
      <c r="D200" s="44" t="s">
        <v>756</v>
      </c>
      <c r="E200" s="43" t="s">
        <v>477</v>
      </c>
    </row>
    <row r="201" spans="2:5">
      <c r="B201" s="54" t="s">
        <v>757</v>
      </c>
      <c r="C201" s="43" t="s">
        <v>758</v>
      </c>
      <c r="D201" s="44" t="e">
        <v>#N/A</v>
      </c>
      <c r="E201" s="43" t="s">
        <v>474</v>
      </c>
    </row>
    <row r="202" spans="2:5">
      <c r="B202" s="54" t="s">
        <v>759</v>
      </c>
      <c r="C202" s="43" t="s">
        <v>760</v>
      </c>
      <c r="D202" s="44" t="e">
        <v>#N/A</v>
      </c>
      <c r="E202" s="43" t="s">
        <v>474</v>
      </c>
    </row>
    <row r="203" spans="2:5">
      <c r="B203" s="54" t="s">
        <v>761</v>
      </c>
      <c r="C203" s="43" t="s">
        <v>760</v>
      </c>
      <c r="D203" s="44" t="e">
        <v>#N/A</v>
      </c>
      <c r="E203" s="43" t="s">
        <v>474</v>
      </c>
    </row>
    <row r="204" spans="2:5">
      <c r="B204" s="54" t="s">
        <v>762</v>
      </c>
      <c r="C204" s="43" t="s">
        <v>763</v>
      </c>
      <c r="D204" s="44" t="e">
        <v>#N/A</v>
      </c>
      <c r="E204" s="43" t="s">
        <v>488</v>
      </c>
    </row>
    <row r="205" spans="2:5">
      <c r="B205" s="54" t="s">
        <v>764</v>
      </c>
      <c r="C205" s="43" t="s">
        <v>765</v>
      </c>
      <c r="D205" s="44" t="e">
        <v>#N/A</v>
      </c>
      <c r="E205" s="43" t="s">
        <v>485</v>
      </c>
    </row>
    <row r="206" spans="2:5">
      <c r="B206" s="54" t="s">
        <v>766</v>
      </c>
      <c r="C206" s="43" t="s">
        <v>767</v>
      </c>
      <c r="D206" s="44" t="e">
        <v>#N/A</v>
      </c>
      <c r="E206" s="43" t="s">
        <v>477</v>
      </c>
    </row>
    <row r="207" spans="2:5">
      <c r="B207" s="54" t="s">
        <v>768</v>
      </c>
      <c r="C207" s="43" t="s">
        <v>769</v>
      </c>
      <c r="D207" s="44" t="e">
        <v>#N/A</v>
      </c>
      <c r="E207" s="43" t="s">
        <v>477</v>
      </c>
    </row>
    <row r="208" spans="2:5">
      <c r="B208" s="54" t="s">
        <v>770</v>
      </c>
      <c r="C208" s="43" t="s">
        <v>771</v>
      </c>
      <c r="D208" s="44" t="e">
        <v>#N/A</v>
      </c>
      <c r="E208" s="43" t="s">
        <v>485</v>
      </c>
    </row>
    <row r="209" spans="2:5">
      <c r="B209" s="54" t="s">
        <v>772</v>
      </c>
      <c r="C209" s="43" t="s">
        <v>773</v>
      </c>
      <c r="D209" s="44" t="e">
        <v>#N/A</v>
      </c>
      <c r="E209" s="43" t="s">
        <v>477</v>
      </c>
    </row>
    <row r="210" spans="2:5">
      <c r="B210" s="54" t="s">
        <v>774</v>
      </c>
      <c r="C210" s="43" t="s">
        <v>775</v>
      </c>
      <c r="D210" s="44" t="s">
        <v>207</v>
      </c>
      <c r="E210" s="43" t="s">
        <v>485</v>
      </c>
    </row>
    <row r="211" spans="2:5">
      <c r="B211" s="54" t="s">
        <v>776</v>
      </c>
      <c r="C211" s="43" t="s">
        <v>775</v>
      </c>
      <c r="D211" s="44" t="s">
        <v>207</v>
      </c>
      <c r="E211" s="43" t="s">
        <v>485</v>
      </c>
    </row>
    <row r="212" spans="2:5">
      <c r="B212" s="54" t="s">
        <v>777</v>
      </c>
      <c r="C212" s="43" t="s">
        <v>775</v>
      </c>
      <c r="D212" s="44" t="s">
        <v>207</v>
      </c>
      <c r="E212" s="43" t="s">
        <v>485</v>
      </c>
    </row>
    <row r="213" spans="2:5">
      <c r="B213" s="54" t="s">
        <v>778</v>
      </c>
      <c r="C213" s="43" t="s">
        <v>775</v>
      </c>
      <c r="D213" s="44" t="s">
        <v>207</v>
      </c>
      <c r="E213" s="43" t="s">
        <v>485</v>
      </c>
    </row>
    <row r="214" spans="2:5">
      <c r="B214" s="54" t="s">
        <v>779</v>
      </c>
      <c r="C214" s="43" t="s">
        <v>780</v>
      </c>
      <c r="D214" s="44" t="s">
        <v>780</v>
      </c>
      <c r="E214" s="43" t="s">
        <v>474</v>
      </c>
    </row>
    <row r="215" spans="2:5">
      <c r="B215" s="54" t="s">
        <v>321</v>
      </c>
      <c r="C215" s="43" t="s">
        <v>781</v>
      </c>
      <c r="D215" s="44" t="s">
        <v>85</v>
      </c>
      <c r="E215" s="43" t="s">
        <v>474</v>
      </c>
    </row>
    <row r="216" spans="2:5">
      <c r="B216" s="54" t="s">
        <v>782</v>
      </c>
      <c r="C216" s="43" t="s">
        <v>783</v>
      </c>
      <c r="D216" s="44" t="s">
        <v>90</v>
      </c>
      <c r="E216" s="43" t="s">
        <v>474</v>
      </c>
    </row>
    <row r="217" spans="2:5">
      <c r="B217" s="54" t="s">
        <v>784</v>
      </c>
      <c r="C217" s="43" t="s">
        <v>785</v>
      </c>
      <c r="D217" s="44" t="s">
        <v>90</v>
      </c>
      <c r="E217" s="43" t="s">
        <v>474</v>
      </c>
    </row>
    <row r="218" spans="2:5">
      <c r="B218" s="54" t="s">
        <v>786</v>
      </c>
      <c r="C218" s="43" t="s">
        <v>785</v>
      </c>
      <c r="D218" s="44" t="s">
        <v>90</v>
      </c>
      <c r="E218" s="43" t="s">
        <v>474</v>
      </c>
    </row>
    <row r="219" spans="2:5">
      <c r="B219" s="54" t="s">
        <v>787</v>
      </c>
      <c r="C219" s="43" t="s">
        <v>783</v>
      </c>
      <c r="D219" s="44" t="s">
        <v>90</v>
      </c>
      <c r="E219" s="43" t="s">
        <v>474</v>
      </c>
    </row>
    <row r="220" spans="2:5">
      <c r="B220" s="54" t="s">
        <v>788</v>
      </c>
      <c r="C220" s="43" t="s">
        <v>783</v>
      </c>
      <c r="D220" s="44" t="s">
        <v>90</v>
      </c>
      <c r="E220" s="43" t="s">
        <v>474</v>
      </c>
    </row>
    <row r="221" spans="2:5">
      <c r="B221" s="54" t="s">
        <v>789</v>
      </c>
      <c r="C221" s="43" t="s">
        <v>783</v>
      </c>
      <c r="D221" s="44" t="s">
        <v>90</v>
      </c>
      <c r="E221" s="43" t="s">
        <v>474</v>
      </c>
    </row>
    <row r="222" spans="2:5">
      <c r="B222" s="54" t="s">
        <v>790</v>
      </c>
      <c r="C222" s="43" t="s">
        <v>783</v>
      </c>
      <c r="D222" s="44" t="s">
        <v>90</v>
      </c>
      <c r="E222" s="43" t="s">
        <v>474</v>
      </c>
    </row>
    <row r="223" spans="2:5">
      <c r="B223" s="54" t="s">
        <v>307</v>
      </c>
      <c r="C223" s="43" t="s">
        <v>791</v>
      </c>
      <c r="D223" s="44" t="s">
        <v>92</v>
      </c>
      <c r="E223" s="43" t="s">
        <v>474</v>
      </c>
    </row>
    <row r="224" spans="2:5">
      <c r="B224" s="54" t="s">
        <v>792</v>
      </c>
      <c r="C224" s="43" t="s">
        <v>793</v>
      </c>
      <c r="D224" s="44" t="s">
        <v>92</v>
      </c>
      <c r="E224" s="43" t="s">
        <v>474</v>
      </c>
    </row>
    <row r="225" spans="2:5">
      <c r="B225" s="54" t="s">
        <v>794</v>
      </c>
      <c r="C225" s="43" t="s">
        <v>793</v>
      </c>
      <c r="D225" s="44" t="s">
        <v>92</v>
      </c>
      <c r="E225" s="43" t="s">
        <v>474</v>
      </c>
    </row>
    <row r="226" spans="2:5">
      <c r="B226" s="54" t="s">
        <v>795</v>
      </c>
      <c r="C226" s="43" t="s">
        <v>791</v>
      </c>
      <c r="D226" s="44" t="s">
        <v>92</v>
      </c>
      <c r="E226" s="43" t="s">
        <v>474</v>
      </c>
    </row>
    <row r="227" spans="2:5">
      <c r="B227" s="54" t="s">
        <v>796</v>
      </c>
      <c r="C227" s="43" t="s">
        <v>793</v>
      </c>
      <c r="D227" s="44" t="s">
        <v>92</v>
      </c>
      <c r="E227" s="43" t="s">
        <v>474</v>
      </c>
    </row>
    <row r="228" spans="2:5">
      <c r="B228" s="54" t="s">
        <v>797</v>
      </c>
      <c r="C228" s="43" t="s">
        <v>798</v>
      </c>
      <c r="D228" s="44" t="s">
        <v>92</v>
      </c>
      <c r="E228" s="43" t="s">
        <v>474</v>
      </c>
    </row>
    <row r="229" spans="2:5">
      <c r="B229" s="54" t="s">
        <v>309</v>
      </c>
      <c r="C229" s="43" t="s">
        <v>89</v>
      </c>
      <c r="D229" s="44" t="s">
        <v>89</v>
      </c>
      <c r="E229" s="43" t="s">
        <v>474</v>
      </c>
    </row>
    <row r="230" spans="2:5">
      <c r="B230" s="54" t="s">
        <v>799</v>
      </c>
      <c r="C230" s="43" t="s">
        <v>800</v>
      </c>
      <c r="D230" s="44" t="s">
        <v>91</v>
      </c>
      <c r="E230" s="43" t="s">
        <v>474</v>
      </c>
    </row>
    <row r="231" spans="2:5">
      <c r="B231" s="54" t="s">
        <v>312</v>
      </c>
      <c r="C231" s="43" t="s">
        <v>800</v>
      </c>
      <c r="D231" s="44" t="s">
        <v>91</v>
      </c>
      <c r="E231" s="43" t="s">
        <v>474</v>
      </c>
    </row>
    <row r="232" spans="2:5">
      <c r="B232" s="54" t="s">
        <v>336</v>
      </c>
      <c r="C232" s="43" t="s">
        <v>800</v>
      </c>
      <c r="D232" s="44" t="s">
        <v>91</v>
      </c>
      <c r="E232" s="43" t="s">
        <v>474</v>
      </c>
    </row>
    <row r="233" spans="2:5">
      <c r="B233" s="54" t="s">
        <v>801</v>
      </c>
      <c r="C233" s="43" t="s">
        <v>802</v>
      </c>
      <c r="D233" s="44" t="s">
        <v>91</v>
      </c>
      <c r="E233" s="43" t="s">
        <v>474</v>
      </c>
    </row>
    <row r="234" spans="2:5">
      <c r="B234" s="54" t="s">
        <v>803</v>
      </c>
      <c r="C234" s="43" t="s">
        <v>802</v>
      </c>
      <c r="D234" s="44" t="s">
        <v>91</v>
      </c>
      <c r="E234" s="43" t="s">
        <v>474</v>
      </c>
    </row>
    <row r="235" spans="2:5">
      <c r="B235" s="54" t="s">
        <v>316</v>
      </c>
      <c r="C235" s="43" t="s">
        <v>804</v>
      </c>
      <c r="D235" s="44" t="s">
        <v>94</v>
      </c>
      <c r="E235" s="43" t="s">
        <v>474</v>
      </c>
    </row>
    <row r="236" spans="2:5">
      <c r="B236" s="54" t="s">
        <v>805</v>
      </c>
      <c r="C236" s="43" t="s">
        <v>806</v>
      </c>
      <c r="D236" s="44" t="s">
        <v>94</v>
      </c>
      <c r="E236" s="43" t="s">
        <v>474</v>
      </c>
    </row>
    <row r="237" spans="2:5">
      <c r="B237" s="54" t="s">
        <v>807</v>
      </c>
      <c r="C237" s="43" t="s">
        <v>109</v>
      </c>
      <c r="D237" s="44" t="e">
        <v>#N/A</v>
      </c>
      <c r="E237" s="43" t="s">
        <v>474</v>
      </c>
    </row>
    <row r="238" spans="2:5">
      <c r="B238" s="54" t="s">
        <v>95</v>
      </c>
      <c r="C238" s="43" t="s">
        <v>808</v>
      </c>
      <c r="D238" s="44" t="s">
        <v>95</v>
      </c>
      <c r="E238" s="43" t="s">
        <v>474</v>
      </c>
    </row>
    <row r="239" spans="2:5">
      <c r="B239" s="54" t="s">
        <v>326</v>
      </c>
      <c r="C239" s="43" t="s">
        <v>808</v>
      </c>
      <c r="D239" s="44" t="s">
        <v>95</v>
      </c>
      <c r="E239" s="43" t="s">
        <v>474</v>
      </c>
    </row>
    <row r="240" spans="2:5">
      <c r="B240" s="54" t="s">
        <v>338</v>
      </c>
      <c r="C240" s="43" t="s">
        <v>809</v>
      </c>
      <c r="D240" s="44" t="s">
        <v>96</v>
      </c>
      <c r="E240" s="43" t="s">
        <v>474</v>
      </c>
    </row>
    <row r="241" spans="2:5">
      <c r="B241" s="54" t="s">
        <v>810</v>
      </c>
      <c r="C241" s="43" t="s">
        <v>811</v>
      </c>
      <c r="D241" s="44" t="s">
        <v>96</v>
      </c>
      <c r="E241" s="43" t="s">
        <v>474</v>
      </c>
    </row>
    <row r="242" spans="2:5">
      <c r="B242" s="54" t="s">
        <v>812</v>
      </c>
      <c r="C242" s="43" t="s">
        <v>811</v>
      </c>
      <c r="D242" s="44" t="s">
        <v>96</v>
      </c>
      <c r="E242" s="43" t="s">
        <v>474</v>
      </c>
    </row>
    <row r="243" spans="2:5">
      <c r="B243" s="54" t="s">
        <v>813</v>
      </c>
      <c r="C243" s="43" t="s">
        <v>814</v>
      </c>
      <c r="D243" s="44" t="s">
        <v>96</v>
      </c>
      <c r="E243" s="43" t="s">
        <v>485</v>
      </c>
    </row>
    <row r="244" spans="2:5">
      <c r="B244" s="54" t="s">
        <v>815</v>
      </c>
      <c r="C244" s="43" t="s">
        <v>814</v>
      </c>
      <c r="D244" s="44" t="s">
        <v>96</v>
      </c>
      <c r="E244" s="43" t="s">
        <v>485</v>
      </c>
    </row>
    <row r="245" spans="2:5">
      <c r="B245" s="54" t="s">
        <v>329</v>
      </c>
      <c r="C245" s="43" t="s">
        <v>816</v>
      </c>
      <c r="D245" s="44" t="s">
        <v>97</v>
      </c>
      <c r="E245" s="43" t="s">
        <v>474</v>
      </c>
    </row>
    <row r="246" spans="2:5">
      <c r="B246" s="54" t="s">
        <v>817</v>
      </c>
      <c r="C246" s="43" t="s">
        <v>818</v>
      </c>
      <c r="D246" s="44" t="s">
        <v>97</v>
      </c>
      <c r="E246" s="43" t="s">
        <v>474</v>
      </c>
    </row>
    <row r="247" spans="2:5">
      <c r="B247" s="54" t="s">
        <v>819</v>
      </c>
      <c r="C247" s="43" t="s">
        <v>818</v>
      </c>
      <c r="D247" s="44" t="s">
        <v>97</v>
      </c>
      <c r="E247" s="43" t="s">
        <v>474</v>
      </c>
    </row>
    <row r="248" spans="2:5">
      <c r="B248" s="54" t="s">
        <v>820</v>
      </c>
      <c r="C248" s="43" t="s">
        <v>821</v>
      </c>
      <c r="D248" s="44" t="s">
        <v>97</v>
      </c>
      <c r="E248" s="43" t="s">
        <v>485</v>
      </c>
    </row>
    <row r="249" spans="2:5">
      <c r="B249" s="54" t="s">
        <v>822</v>
      </c>
      <c r="C249" s="43" t="s">
        <v>821</v>
      </c>
      <c r="D249" s="44" t="s">
        <v>97</v>
      </c>
      <c r="E249" s="43" t="s">
        <v>485</v>
      </c>
    </row>
    <row r="250" spans="2:5">
      <c r="B250" s="54" t="s">
        <v>823</v>
      </c>
      <c r="C250" s="43" t="s">
        <v>824</v>
      </c>
      <c r="D250" s="44" t="e">
        <v>#N/A</v>
      </c>
      <c r="E250" s="43" t="s">
        <v>474</v>
      </c>
    </row>
    <row r="251" spans="2:5">
      <c r="B251" s="54" t="s">
        <v>825</v>
      </c>
      <c r="C251" s="43" t="s">
        <v>826</v>
      </c>
      <c r="D251" s="44" t="e">
        <v>#N/A</v>
      </c>
      <c r="E251" s="43" t="s">
        <v>474</v>
      </c>
    </row>
    <row r="252" spans="2:5">
      <c r="B252" s="54" t="s">
        <v>827</v>
      </c>
      <c r="C252" s="43" t="s">
        <v>826</v>
      </c>
      <c r="D252" s="44" t="e">
        <v>#N/A</v>
      </c>
      <c r="E252" s="43" t="s">
        <v>474</v>
      </c>
    </row>
    <row r="253" spans="2:5">
      <c r="B253" s="54" t="s">
        <v>828</v>
      </c>
      <c r="C253" s="43" t="s">
        <v>824</v>
      </c>
      <c r="D253" s="44" t="e">
        <v>#N/A</v>
      </c>
      <c r="E253" s="43" t="s">
        <v>474</v>
      </c>
    </row>
    <row r="254" spans="2:5">
      <c r="B254" s="54" t="s">
        <v>829</v>
      </c>
      <c r="C254" s="43" t="s">
        <v>98</v>
      </c>
      <c r="D254" s="44" t="s">
        <v>98</v>
      </c>
      <c r="E254" s="43" t="s">
        <v>474</v>
      </c>
    </row>
    <row r="255" spans="2:5">
      <c r="B255" s="54" t="s">
        <v>334</v>
      </c>
      <c r="C255" s="43" t="s">
        <v>373</v>
      </c>
      <c r="D255" s="44" t="s">
        <v>373</v>
      </c>
      <c r="E255" s="43" t="s">
        <v>477</v>
      </c>
    </row>
    <row r="256" spans="2:5">
      <c r="B256" s="54" t="s">
        <v>334</v>
      </c>
      <c r="C256" s="43" t="s">
        <v>830</v>
      </c>
      <c r="D256" s="44" t="s">
        <v>373</v>
      </c>
      <c r="E256" s="43" t="s">
        <v>474</v>
      </c>
    </row>
    <row r="257" spans="1:5">
      <c r="B257" s="54" t="s">
        <v>831</v>
      </c>
      <c r="C257" s="43" t="s">
        <v>101</v>
      </c>
      <c r="D257" s="44" t="e">
        <v>#N/A</v>
      </c>
      <c r="E257" s="43" t="s">
        <v>474</v>
      </c>
    </row>
    <row r="258" spans="1:5">
      <c r="B258" s="54" t="s">
        <v>832</v>
      </c>
      <c r="C258" s="43" t="s">
        <v>833</v>
      </c>
      <c r="D258" s="44" t="s">
        <v>834</v>
      </c>
      <c r="E258" s="43" t="s">
        <v>477</v>
      </c>
    </row>
    <row r="259" spans="1:5">
      <c r="B259" s="54" t="s">
        <v>835</v>
      </c>
      <c r="C259" s="43" t="s">
        <v>836</v>
      </c>
      <c r="D259" s="44" t="s">
        <v>837</v>
      </c>
      <c r="E259" s="43" t="s">
        <v>485</v>
      </c>
    </row>
    <row r="260" spans="1:5">
      <c r="B260" s="54" t="s">
        <v>838</v>
      </c>
      <c r="C260" s="43" t="s">
        <v>839</v>
      </c>
      <c r="D260" s="44" t="s">
        <v>837</v>
      </c>
      <c r="E260" s="43" t="s">
        <v>488</v>
      </c>
    </row>
    <row r="261" spans="1:5">
      <c r="B261" s="54" t="s">
        <v>840</v>
      </c>
      <c r="C261" s="43" t="s">
        <v>836</v>
      </c>
      <c r="D261" s="44" t="s">
        <v>837</v>
      </c>
      <c r="E261" s="43" t="s">
        <v>485</v>
      </c>
    </row>
    <row r="262" spans="1:5">
      <c r="B262" s="54" t="s">
        <v>322</v>
      </c>
      <c r="C262" s="43" t="s">
        <v>841</v>
      </c>
      <c r="D262" s="44" t="s">
        <v>107</v>
      </c>
      <c r="E262" s="43" t="s">
        <v>474</v>
      </c>
    </row>
    <row r="263" spans="1:5">
      <c r="B263" s="54" t="s">
        <v>842</v>
      </c>
      <c r="C263" s="43" t="s">
        <v>843</v>
      </c>
      <c r="D263" s="44" t="s">
        <v>107</v>
      </c>
      <c r="E263" s="43" t="s">
        <v>474</v>
      </c>
    </row>
    <row r="264" spans="1:5">
      <c r="A264" s="54"/>
      <c r="B264" s="56" t="s">
        <v>844</v>
      </c>
      <c r="C264" s="57" t="s">
        <v>843</v>
      </c>
      <c r="D264" s="57" t="s">
        <v>107</v>
      </c>
      <c r="E264" s="57" t="s">
        <v>474</v>
      </c>
    </row>
    <row r="265" spans="1:5">
      <c r="A265" s="54"/>
      <c r="B265" s="56" t="s">
        <v>845</v>
      </c>
      <c r="C265" s="57" t="s">
        <v>846</v>
      </c>
      <c r="D265" s="57" t="s">
        <v>107</v>
      </c>
      <c r="E265" s="57" t="s">
        <v>474</v>
      </c>
    </row>
    <row r="266" spans="1:5">
      <c r="A266" s="54"/>
      <c r="B266" s="56" t="s">
        <v>847</v>
      </c>
      <c r="C266" s="57" t="s">
        <v>848</v>
      </c>
      <c r="D266" s="57" t="s">
        <v>107</v>
      </c>
      <c r="E266" s="57" t="s">
        <v>485</v>
      </c>
    </row>
    <row r="267" spans="1:5">
      <c r="B267" s="56" t="s">
        <v>849</v>
      </c>
      <c r="C267" s="57" t="s">
        <v>848</v>
      </c>
      <c r="D267" s="57" t="s">
        <v>107</v>
      </c>
      <c r="E267" s="57" t="s">
        <v>485</v>
      </c>
    </row>
    <row r="268" spans="1:5">
      <c r="B268" s="56" t="s">
        <v>344</v>
      </c>
      <c r="C268" s="57" t="s">
        <v>850</v>
      </c>
      <c r="D268" s="57" t="s">
        <v>108</v>
      </c>
      <c r="E268" s="57" t="s">
        <v>474</v>
      </c>
    </row>
    <row r="269" spans="1:5" s="46" customFormat="1">
      <c r="B269" s="54" t="s">
        <v>108</v>
      </c>
      <c r="C269" s="43" t="s">
        <v>850</v>
      </c>
      <c r="D269" s="44" t="s">
        <v>108</v>
      </c>
      <c r="E269" s="43" t="s">
        <v>474</v>
      </c>
    </row>
    <row r="270" spans="1:5">
      <c r="B270" s="54" t="s">
        <v>851</v>
      </c>
      <c r="C270" s="43" t="s">
        <v>852</v>
      </c>
      <c r="D270" s="44" t="s">
        <v>853</v>
      </c>
      <c r="E270" s="43" t="s">
        <v>485</v>
      </c>
    </row>
    <row r="271" spans="1:5">
      <c r="B271" s="54" t="s">
        <v>854</v>
      </c>
      <c r="C271" s="43" t="s">
        <v>852</v>
      </c>
      <c r="D271" s="44" t="s">
        <v>853</v>
      </c>
      <c r="E271" s="43" t="s">
        <v>485</v>
      </c>
    </row>
    <row r="272" spans="1:5">
      <c r="B272" s="54" t="s">
        <v>855</v>
      </c>
      <c r="C272" s="43" t="s">
        <v>856</v>
      </c>
      <c r="D272" s="44" t="s">
        <v>853</v>
      </c>
      <c r="E272" s="43" t="s">
        <v>485</v>
      </c>
    </row>
    <row r="273" spans="2:5">
      <c r="B273" s="54" t="s">
        <v>857</v>
      </c>
      <c r="C273" s="43" t="s">
        <v>856</v>
      </c>
      <c r="D273" s="44" t="s">
        <v>853</v>
      </c>
      <c r="E273" s="43" t="s">
        <v>485</v>
      </c>
    </row>
    <row r="274" spans="2:5">
      <c r="B274" s="54" t="s">
        <v>858</v>
      </c>
      <c r="C274" s="43" t="s">
        <v>859</v>
      </c>
      <c r="D274" s="44" t="s">
        <v>111</v>
      </c>
      <c r="E274" s="43" t="s">
        <v>485</v>
      </c>
    </row>
    <row r="275" spans="2:5">
      <c r="B275" s="54" t="s">
        <v>860</v>
      </c>
      <c r="C275" s="43" t="s">
        <v>859</v>
      </c>
      <c r="D275" s="44" t="s">
        <v>111</v>
      </c>
      <c r="E275" s="43" t="s">
        <v>485</v>
      </c>
    </row>
    <row r="276" spans="2:5">
      <c r="B276" s="54" t="s">
        <v>861</v>
      </c>
      <c r="C276" s="43" t="s">
        <v>859</v>
      </c>
      <c r="D276" s="44" t="s">
        <v>111</v>
      </c>
      <c r="E276" s="43" t="s">
        <v>485</v>
      </c>
    </row>
    <row r="277" spans="2:5">
      <c r="B277" s="54" t="s">
        <v>862</v>
      </c>
      <c r="C277" s="43" t="s">
        <v>603</v>
      </c>
      <c r="D277" s="44" t="s">
        <v>111</v>
      </c>
      <c r="E277" s="43" t="s">
        <v>477</v>
      </c>
    </row>
    <row r="278" spans="2:5">
      <c r="B278" s="54" t="s">
        <v>863</v>
      </c>
      <c r="C278" s="43" t="s">
        <v>864</v>
      </c>
      <c r="D278" s="44" t="s">
        <v>865</v>
      </c>
      <c r="E278" s="43" t="s">
        <v>474</v>
      </c>
    </row>
    <row r="279" spans="2:5">
      <c r="B279" s="54" t="s">
        <v>866</v>
      </c>
      <c r="C279" s="43" t="s">
        <v>867</v>
      </c>
      <c r="D279" s="44" t="e">
        <v>#N/A</v>
      </c>
      <c r="E279" s="43" t="s">
        <v>474</v>
      </c>
    </row>
    <row r="280" spans="2:5">
      <c r="B280" s="54" t="s">
        <v>868</v>
      </c>
      <c r="C280" s="43" t="s">
        <v>869</v>
      </c>
      <c r="D280" s="44" t="e">
        <v>#N/A</v>
      </c>
      <c r="E280" s="43" t="s">
        <v>474</v>
      </c>
    </row>
    <row r="281" spans="2:5">
      <c r="B281" s="54" t="s">
        <v>870</v>
      </c>
      <c r="C281" s="43" t="s">
        <v>869</v>
      </c>
      <c r="D281" s="44" t="e">
        <v>#N/A</v>
      </c>
      <c r="E281" s="43" t="s">
        <v>474</v>
      </c>
    </row>
    <row r="282" spans="2:5">
      <c r="B282" s="54" t="s">
        <v>871</v>
      </c>
      <c r="C282" s="43" t="s">
        <v>872</v>
      </c>
      <c r="D282" s="44" t="s">
        <v>873</v>
      </c>
      <c r="E282" s="43" t="s">
        <v>487</v>
      </c>
    </row>
    <row r="283" spans="2:5">
      <c r="B283" s="54" t="s">
        <v>346</v>
      </c>
      <c r="C283" s="43" t="s">
        <v>874</v>
      </c>
      <c r="D283" s="44" t="s">
        <v>114</v>
      </c>
      <c r="E283" s="43" t="s">
        <v>474</v>
      </c>
    </row>
    <row r="284" spans="2:5">
      <c r="B284" s="54" t="s">
        <v>875</v>
      </c>
      <c r="C284" s="43" t="s">
        <v>876</v>
      </c>
      <c r="D284" s="44" t="s">
        <v>114</v>
      </c>
      <c r="E284" s="43" t="s">
        <v>474</v>
      </c>
    </row>
    <row r="285" spans="2:5">
      <c r="B285" s="54" t="s">
        <v>877</v>
      </c>
      <c r="C285" s="43" t="s">
        <v>876</v>
      </c>
      <c r="D285" s="44" t="s">
        <v>114</v>
      </c>
      <c r="E285" s="43" t="s">
        <v>474</v>
      </c>
    </row>
    <row r="286" spans="2:5">
      <c r="B286" s="54" t="s">
        <v>878</v>
      </c>
      <c r="C286" s="43" t="s">
        <v>879</v>
      </c>
      <c r="D286" s="44" t="s">
        <v>130</v>
      </c>
      <c r="E286" s="43" t="s">
        <v>485</v>
      </c>
    </row>
    <row r="287" spans="2:5">
      <c r="B287" s="54" t="s">
        <v>880</v>
      </c>
      <c r="C287" s="43" t="s">
        <v>879</v>
      </c>
      <c r="D287" s="44" t="s">
        <v>130</v>
      </c>
      <c r="E287" s="43" t="s">
        <v>485</v>
      </c>
    </row>
    <row r="288" spans="2:5">
      <c r="B288" s="54" t="s">
        <v>881</v>
      </c>
      <c r="C288" s="43" t="s">
        <v>882</v>
      </c>
      <c r="D288" s="44" t="s">
        <v>142</v>
      </c>
      <c r="E288" s="43" t="s">
        <v>485</v>
      </c>
    </row>
    <row r="289" spans="2:5">
      <c r="B289" s="54" t="s">
        <v>881</v>
      </c>
      <c r="C289" s="43" t="s">
        <v>882</v>
      </c>
      <c r="D289" s="44" t="s">
        <v>142</v>
      </c>
      <c r="E289" s="43" t="s">
        <v>485</v>
      </c>
    </row>
    <row r="290" spans="2:5">
      <c r="B290" s="54" t="s">
        <v>883</v>
      </c>
      <c r="C290" s="43" t="s">
        <v>884</v>
      </c>
      <c r="D290" s="44" t="s">
        <v>204</v>
      </c>
      <c r="E290" s="43" t="s">
        <v>485</v>
      </c>
    </row>
    <row r="291" spans="2:5">
      <c r="B291" s="54" t="s">
        <v>885</v>
      </c>
      <c r="C291" s="43" t="s">
        <v>886</v>
      </c>
      <c r="D291" s="44" t="s">
        <v>465</v>
      </c>
      <c r="E291" s="43" t="s">
        <v>485</v>
      </c>
    </row>
    <row r="292" spans="2:5">
      <c r="B292" s="54" t="s">
        <v>887</v>
      </c>
      <c r="C292" s="43" t="s">
        <v>888</v>
      </c>
      <c r="D292" s="44" t="s">
        <v>114</v>
      </c>
      <c r="E292" s="43" t="s">
        <v>485</v>
      </c>
    </row>
    <row r="293" spans="2:5">
      <c r="B293" s="54" t="s">
        <v>889</v>
      </c>
      <c r="C293" s="54" t="s">
        <v>888</v>
      </c>
      <c r="D293" s="44" t="s">
        <v>114</v>
      </c>
      <c r="E293" s="43" t="s">
        <v>485</v>
      </c>
    </row>
    <row r="294" spans="2:5">
      <c r="B294" s="54" t="s">
        <v>890</v>
      </c>
      <c r="C294" s="43" t="s">
        <v>874</v>
      </c>
      <c r="D294" s="44" t="s">
        <v>114</v>
      </c>
      <c r="E294" s="43" t="s">
        <v>474</v>
      </c>
    </row>
    <row r="295" spans="2:5">
      <c r="B295" s="54" t="s">
        <v>891</v>
      </c>
      <c r="C295" s="43" t="s">
        <v>874</v>
      </c>
      <c r="D295" s="44" t="s">
        <v>114</v>
      </c>
      <c r="E295" s="43" t="s">
        <v>474</v>
      </c>
    </row>
    <row r="296" spans="2:5">
      <c r="B296" s="54" t="s">
        <v>892</v>
      </c>
      <c r="C296" s="43" t="s">
        <v>876</v>
      </c>
      <c r="D296" s="44" t="s">
        <v>114</v>
      </c>
      <c r="E296" s="43" t="s">
        <v>474</v>
      </c>
    </row>
    <row r="297" spans="2:5">
      <c r="B297" s="54" t="s">
        <v>893</v>
      </c>
      <c r="C297" s="43" t="s">
        <v>876</v>
      </c>
      <c r="D297" s="44" t="s">
        <v>114</v>
      </c>
      <c r="E297" s="43" t="s">
        <v>474</v>
      </c>
    </row>
    <row r="298" spans="2:5">
      <c r="B298" s="54" t="s">
        <v>894</v>
      </c>
      <c r="C298" s="43" t="s">
        <v>649</v>
      </c>
      <c r="D298" s="44" t="s">
        <v>115</v>
      </c>
      <c r="E298" s="43" t="s">
        <v>474</v>
      </c>
    </row>
    <row r="299" spans="2:5">
      <c r="B299" s="54" t="s">
        <v>895</v>
      </c>
      <c r="C299" s="43" t="s">
        <v>651</v>
      </c>
      <c r="D299" s="44" t="s">
        <v>115</v>
      </c>
      <c r="E299" s="43" t="s">
        <v>474</v>
      </c>
    </row>
    <row r="300" spans="2:5">
      <c r="B300" s="54" t="s">
        <v>327</v>
      </c>
      <c r="C300" s="43" t="s">
        <v>896</v>
      </c>
      <c r="D300" s="44" t="s">
        <v>116</v>
      </c>
      <c r="E300" s="43" t="s">
        <v>474</v>
      </c>
    </row>
    <row r="301" spans="2:5">
      <c r="B301" s="54" t="s">
        <v>897</v>
      </c>
      <c r="C301" s="43" t="s">
        <v>898</v>
      </c>
      <c r="D301" s="44" t="s">
        <v>34</v>
      </c>
      <c r="E301" s="43" t="s">
        <v>485</v>
      </c>
    </row>
    <row r="302" spans="2:5">
      <c r="B302" s="54" t="s">
        <v>899</v>
      </c>
      <c r="C302" s="43" t="s">
        <v>900</v>
      </c>
      <c r="D302" s="44" t="s">
        <v>901</v>
      </c>
      <c r="E302" s="43" t="s">
        <v>474</v>
      </c>
    </row>
    <row r="303" spans="2:5">
      <c r="B303" s="54" t="s">
        <v>902</v>
      </c>
      <c r="C303" s="43" t="s">
        <v>903</v>
      </c>
      <c r="D303" s="44" t="s">
        <v>901</v>
      </c>
      <c r="E303" s="43" t="s">
        <v>474</v>
      </c>
    </row>
    <row r="304" spans="2:5">
      <c r="B304" s="54" t="s">
        <v>904</v>
      </c>
      <c r="C304" s="43" t="s">
        <v>903</v>
      </c>
      <c r="D304" s="44" t="s">
        <v>901</v>
      </c>
      <c r="E304" s="43" t="s">
        <v>474</v>
      </c>
    </row>
    <row r="305" spans="2:5">
      <c r="B305" s="54" t="s">
        <v>905</v>
      </c>
      <c r="C305" s="43" t="s">
        <v>903</v>
      </c>
      <c r="D305" s="44" t="s">
        <v>901</v>
      </c>
      <c r="E305" s="43" t="s">
        <v>474</v>
      </c>
    </row>
    <row r="306" spans="2:5">
      <c r="B306" s="54" t="s">
        <v>906</v>
      </c>
      <c r="C306" s="43" t="s">
        <v>907</v>
      </c>
      <c r="D306" s="44" t="s">
        <v>173</v>
      </c>
      <c r="E306" s="43" t="s">
        <v>474</v>
      </c>
    </row>
    <row r="307" spans="2:5">
      <c r="B307" s="54" t="s">
        <v>908</v>
      </c>
      <c r="C307" s="43" t="s">
        <v>909</v>
      </c>
      <c r="D307" s="44" t="s">
        <v>173</v>
      </c>
      <c r="E307" s="43" t="s">
        <v>474</v>
      </c>
    </row>
    <row r="308" spans="2:5">
      <c r="B308" s="54" t="s">
        <v>910</v>
      </c>
      <c r="C308" s="43" t="s">
        <v>909</v>
      </c>
      <c r="D308" s="44" t="s">
        <v>173</v>
      </c>
      <c r="E308" s="43" t="s">
        <v>474</v>
      </c>
    </row>
    <row r="309" spans="2:5">
      <c r="B309" s="54" t="s">
        <v>911</v>
      </c>
      <c r="C309" s="43" t="s">
        <v>912</v>
      </c>
      <c r="D309" s="44" t="s">
        <v>173</v>
      </c>
      <c r="E309" s="43" t="s">
        <v>474</v>
      </c>
    </row>
    <row r="310" spans="2:5">
      <c r="B310" s="54" t="s">
        <v>913</v>
      </c>
      <c r="C310" s="43" t="s">
        <v>914</v>
      </c>
      <c r="D310" s="44" t="s">
        <v>915</v>
      </c>
      <c r="E310" s="43" t="s">
        <v>485</v>
      </c>
    </row>
    <row r="311" spans="2:5">
      <c r="B311" s="54" t="s">
        <v>916</v>
      </c>
      <c r="C311" s="43" t="s">
        <v>917</v>
      </c>
      <c r="D311" s="44" t="s">
        <v>917</v>
      </c>
      <c r="E311" s="43" t="s">
        <v>477</v>
      </c>
    </row>
    <row r="312" spans="2:5">
      <c r="B312" s="54" t="s">
        <v>918</v>
      </c>
      <c r="C312" s="43" t="s">
        <v>919</v>
      </c>
      <c r="D312" s="44" t="s">
        <v>118</v>
      </c>
      <c r="E312" s="43" t="s">
        <v>485</v>
      </c>
    </row>
    <row r="313" spans="2:5">
      <c r="B313" s="54" t="s">
        <v>333</v>
      </c>
      <c r="C313" s="43" t="s">
        <v>920</v>
      </c>
      <c r="D313" s="44" t="s">
        <v>118</v>
      </c>
      <c r="E313" s="43" t="s">
        <v>474</v>
      </c>
    </row>
    <row r="314" spans="2:5">
      <c r="B314" s="54" t="s">
        <v>921</v>
      </c>
      <c r="C314" s="43" t="s">
        <v>919</v>
      </c>
      <c r="D314" s="44" t="s">
        <v>118</v>
      </c>
      <c r="E314" s="43" t="s">
        <v>485</v>
      </c>
    </row>
    <row r="315" spans="2:5">
      <c r="B315" s="54" t="s">
        <v>922</v>
      </c>
      <c r="C315" s="43" t="s">
        <v>923</v>
      </c>
      <c r="D315" s="44" t="s">
        <v>118</v>
      </c>
      <c r="E315" s="43" t="s">
        <v>474</v>
      </c>
    </row>
    <row r="316" spans="2:5">
      <c r="B316" s="54" t="s">
        <v>924</v>
      </c>
      <c r="C316" s="43" t="s">
        <v>925</v>
      </c>
      <c r="D316" s="44" t="s">
        <v>118</v>
      </c>
      <c r="E316" s="43" t="s">
        <v>474</v>
      </c>
    </row>
    <row r="317" spans="2:5">
      <c r="B317" s="54" t="s">
        <v>926</v>
      </c>
      <c r="C317" s="43" t="s">
        <v>920</v>
      </c>
      <c r="D317" s="44" t="s">
        <v>118</v>
      </c>
      <c r="E317" s="43" t="s">
        <v>474</v>
      </c>
    </row>
    <row r="318" spans="2:5">
      <c r="B318" s="54" t="s">
        <v>927</v>
      </c>
      <c r="C318" s="43" t="s">
        <v>925</v>
      </c>
      <c r="D318" s="44" t="s">
        <v>118</v>
      </c>
      <c r="E318" s="43" t="s">
        <v>474</v>
      </c>
    </row>
    <row r="319" spans="2:5">
      <c r="B319" s="54" t="s">
        <v>928</v>
      </c>
      <c r="C319" s="43" t="s">
        <v>923</v>
      </c>
      <c r="D319" s="44" t="s">
        <v>118</v>
      </c>
      <c r="E319" s="43" t="s">
        <v>474</v>
      </c>
    </row>
    <row r="320" spans="2:5">
      <c r="B320" s="54" t="s">
        <v>335</v>
      </c>
      <c r="C320" s="43" t="s">
        <v>929</v>
      </c>
      <c r="D320" s="44" t="s">
        <v>210</v>
      </c>
      <c r="E320" s="43" t="s">
        <v>474</v>
      </c>
    </row>
    <row r="321" spans="1:5">
      <c r="B321" s="54" t="s">
        <v>930</v>
      </c>
      <c r="C321" s="43" t="s">
        <v>929</v>
      </c>
      <c r="D321" s="44" t="s">
        <v>210</v>
      </c>
      <c r="E321" s="43" t="s">
        <v>474</v>
      </c>
    </row>
    <row r="322" spans="1:5">
      <c r="B322" s="54" t="s">
        <v>931</v>
      </c>
      <c r="C322" s="43" t="s">
        <v>932</v>
      </c>
      <c r="D322" s="44" t="s">
        <v>210</v>
      </c>
      <c r="E322" s="43" t="s">
        <v>474</v>
      </c>
    </row>
    <row r="323" spans="1:5">
      <c r="B323" s="54" t="s">
        <v>933</v>
      </c>
      <c r="C323" s="43" t="s">
        <v>934</v>
      </c>
      <c r="D323" s="44" t="e">
        <v>#N/A</v>
      </c>
      <c r="E323" s="43" t="s">
        <v>474</v>
      </c>
    </row>
    <row r="324" spans="1:5">
      <c r="B324" s="54" t="s">
        <v>935</v>
      </c>
      <c r="C324" s="43" t="s">
        <v>936</v>
      </c>
      <c r="D324" s="44" t="e">
        <v>#N/A</v>
      </c>
      <c r="E324" s="43" t="s">
        <v>474</v>
      </c>
    </row>
    <row r="325" spans="1:5">
      <c r="B325" s="54" t="s">
        <v>937</v>
      </c>
      <c r="C325" s="43" t="s">
        <v>936</v>
      </c>
      <c r="D325" s="44" t="e">
        <v>#N/A</v>
      </c>
      <c r="E325" s="43" t="s">
        <v>474</v>
      </c>
    </row>
    <row r="326" spans="1:5">
      <c r="A326" t="s">
        <v>938</v>
      </c>
      <c r="B326" s="54" t="s">
        <v>939</v>
      </c>
      <c r="C326" s="43" t="s">
        <v>940</v>
      </c>
      <c r="D326" s="44" t="s">
        <v>215</v>
      </c>
      <c r="E326" s="43" t="s">
        <v>474</v>
      </c>
    </row>
    <row r="327" spans="1:5">
      <c r="A327" t="s">
        <v>941</v>
      </c>
      <c r="B327" s="54" t="s">
        <v>942</v>
      </c>
      <c r="C327" s="43" t="s">
        <v>943</v>
      </c>
      <c r="D327" s="44" t="s">
        <v>215</v>
      </c>
      <c r="E327" s="43" t="s">
        <v>474</v>
      </c>
    </row>
    <row r="328" spans="1:5">
      <c r="A328" t="s">
        <v>944</v>
      </c>
      <c r="B328" s="54" t="s">
        <v>945</v>
      </c>
      <c r="C328" s="43" t="s">
        <v>946</v>
      </c>
      <c r="D328" s="44" t="s">
        <v>215</v>
      </c>
      <c r="E328" s="43" t="s">
        <v>474</v>
      </c>
    </row>
    <row r="329" spans="1:5">
      <c r="A329" t="s">
        <v>947</v>
      </c>
      <c r="B329" s="54" t="s">
        <v>948</v>
      </c>
      <c r="C329" s="43" t="s">
        <v>949</v>
      </c>
      <c r="D329" s="44" t="s">
        <v>215</v>
      </c>
      <c r="E329" s="43" t="s">
        <v>485</v>
      </c>
    </row>
    <row r="330" spans="1:5">
      <c r="B330" s="54" t="s">
        <v>353</v>
      </c>
      <c r="C330" s="43" t="s">
        <v>950</v>
      </c>
      <c r="D330" s="44" t="s">
        <v>240</v>
      </c>
      <c r="E330" s="43" t="s">
        <v>951</v>
      </c>
    </row>
    <row r="331" spans="1:5">
      <c r="B331" s="54" t="s">
        <v>952</v>
      </c>
      <c r="C331" s="43" t="s">
        <v>953</v>
      </c>
      <c r="D331" s="44" t="s">
        <v>240</v>
      </c>
      <c r="E331" s="43" t="s">
        <v>485</v>
      </c>
    </row>
    <row r="332" spans="1:5">
      <c r="B332" s="54" t="s">
        <v>954</v>
      </c>
      <c r="C332" s="43" t="s">
        <v>955</v>
      </c>
      <c r="D332" s="44" t="s">
        <v>240</v>
      </c>
      <c r="E332" s="43" t="s">
        <v>474</v>
      </c>
    </row>
    <row r="333" spans="1:5">
      <c r="B333" s="54" t="s">
        <v>956</v>
      </c>
      <c r="C333" s="43" t="s">
        <v>957</v>
      </c>
      <c r="D333" s="44" t="s">
        <v>240</v>
      </c>
      <c r="E333" s="43" t="s">
        <v>474</v>
      </c>
    </row>
    <row r="334" spans="1:5">
      <c r="B334" s="54" t="s">
        <v>958</v>
      </c>
      <c r="C334" s="43" t="s">
        <v>953</v>
      </c>
      <c r="D334" s="44" t="s">
        <v>240</v>
      </c>
      <c r="E334" s="43" t="s">
        <v>485</v>
      </c>
    </row>
    <row r="335" spans="1:5">
      <c r="B335" s="54" t="s">
        <v>337</v>
      </c>
      <c r="C335" s="43" t="s">
        <v>959</v>
      </c>
      <c r="D335" s="44" t="s">
        <v>119</v>
      </c>
      <c r="E335" s="43" t="s">
        <v>474</v>
      </c>
    </row>
    <row r="336" spans="1:5">
      <c r="B336" s="54" t="s">
        <v>960</v>
      </c>
      <c r="C336" s="43" t="s">
        <v>961</v>
      </c>
      <c r="D336" s="44" t="s">
        <v>119</v>
      </c>
      <c r="E336" s="43" t="s">
        <v>474</v>
      </c>
    </row>
    <row r="337" spans="2:5">
      <c r="B337" s="54" t="s">
        <v>962</v>
      </c>
      <c r="C337" s="43" t="s">
        <v>963</v>
      </c>
      <c r="D337" s="44" t="s">
        <v>119</v>
      </c>
      <c r="E337" s="43" t="s">
        <v>474</v>
      </c>
    </row>
    <row r="338" spans="2:5">
      <c r="B338" s="54" t="s">
        <v>964</v>
      </c>
      <c r="C338" s="43" t="s">
        <v>963</v>
      </c>
      <c r="D338" s="44" t="s">
        <v>119</v>
      </c>
      <c r="E338" s="43" t="s">
        <v>474</v>
      </c>
    </row>
    <row r="339" spans="2:5">
      <c r="B339" s="54" t="s">
        <v>965</v>
      </c>
      <c r="C339" s="43" t="s">
        <v>961</v>
      </c>
      <c r="D339" s="44" t="s">
        <v>119</v>
      </c>
      <c r="E339" s="43" t="s">
        <v>474</v>
      </c>
    </row>
    <row r="340" spans="2:5">
      <c r="B340" s="54" t="s">
        <v>966</v>
      </c>
      <c r="C340" s="43"/>
      <c r="D340" s="44" t="e">
        <v>#N/A</v>
      </c>
      <c r="E340" s="43"/>
    </row>
    <row r="341" spans="2:5">
      <c r="B341" s="54" t="s">
        <v>967</v>
      </c>
      <c r="C341" s="43"/>
      <c r="D341" s="44" t="e">
        <v>#N/A</v>
      </c>
      <c r="E341" s="43"/>
    </row>
    <row r="342" spans="2:5">
      <c r="B342" s="54" t="s">
        <v>968</v>
      </c>
      <c r="C342" s="43" t="s">
        <v>959</v>
      </c>
      <c r="D342" s="44" t="s">
        <v>119</v>
      </c>
      <c r="E342" s="43" t="s">
        <v>474</v>
      </c>
    </row>
    <row r="343" spans="2:5">
      <c r="B343" s="54" t="s">
        <v>969</v>
      </c>
      <c r="C343" s="43" t="s">
        <v>970</v>
      </c>
      <c r="D343" s="44" t="s">
        <v>241</v>
      </c>
      <c r="E343" s="43" t="s">
        <v>474</v>
      </c>
    </row>
    <row r="344" spans="2:5">
      <c r="B344" s="54" t="s">
        <v>971</v>
      </c>
      <c r="C344" s="43" t="s">
        <v>970</v>
      </c>
      <c r="D344" s="44" t="s">
        <v>241</v>
      </c>
      <c r="E344" s="43" t="s">
        <v>474</v>
      </c>
    </row>
    <row r="345" spans="2:5">
      <c r="B345" s="54" t="s">
        <v>972</v>
      </c>
      <c r="C345" s="43" t="s">
        <v>973</v>
      </c>
      <c r="D345" s="44" t="s">
        <v>241</v>
      </c>
      <c r="E345" s="43" t="s">
        <v>485</v>
      </c>
    </row>
    <row r="346" spans="2:5">
      <c r="B346" s="54" t="s">
        <v>974</v>
      </c>
      <c r="C346" s="43" t="s">
        <v>973</v>
      </c>
      <c r="D346" s="44" t="s">
        <v>241</v>
      </c>
      <c r="E346" s="43" t="s">
        <v>485</v>
      </c>
    </row>
    <row r="347" spans="2:5">
      <c r="B347" s="54" t="s">
        <v>975</v>
      </c>
      <c r="C347" s="43" t="s">
        <v>976</v>
      </c>
      <c r="D347" s="44" t="s">
        <v>977</v>
      </c>
      <c r="E347" s="43" t="s">
        <v>485</v>
      </c>
    </row>
    <row r="348" spans="2:5">
      <c r="B348" s="54" t="s">
        <v>978</v>
      </c>
      <c r="C348" s="43" t="s">
        <v>976</v>
      </c>
      <c r="D348" s="44" t="s">
        <v>977</v>
      </c>
      <c r="E348" s="43" t="s">
        <v>485</v>
      </c>
    </row>
    <row r="349" spans="2:5">
      <c r="B349" s="54" t="s">
        <v>979</v>
      </c>
      <c r="C349" s="43" t="s">
        <v>980</v>
      </c>
      <c r="D349" s="44" t="s">
        <v>977</v>
      </c>
      <c r="E349" s="43" t="s">
        <v>485</v>
      </c>
    </row>
    <row r="350" spans="2:5">
      <c r="B350" s="54" t="s">
        <v>981</v>
      </c>
      <c r="C350" s="43" t="s">
        <v>980</v>
      </c>
      <c r="D350" s="44" t="s">
        <v>977</v>
      </c>
      <c r="E350" s="43" t="s">
        <v>485</v>
      </c>
    </row>
    <row r="351" spans="2:5">
      <c r="B351" s="54" t="s">
        <v>982</v>
      </c>
      <c r="C351" s="43" t="s">
        <v>983</v>
      </c>
      <c r="D351" s="44" t="s">
        <v>977</v>
      </c>
      <c r="E351" s="43" t="s">
        <v>474</v>
      </c>
    </row>
    <row r="352" spans="2:5">
      <c r="B352" s="54" t="s">
        <v>362</v>
      </c>
      <c r="C352" s="43" t="s">
        <v>984</v>
      </c>
      <c r="D352" s="44" t="s">
        <v>122</v>
      </c>
      <c r="E352" s="43" t="s">
        <v>474</v>
      </c>
    </row>
    <row r="353" spans="2:5">
      <c r="B353" s="54" t="s">
        <v>985</v>
      </c>
      <c r="C353" s="43" t="s">
        <v>986</v>
      </c>
      <c r="D353" s="44" t="s">
        <v>122</v>
      </c>
      <c r="E353" s="43" t="s">
        <v>474</v>
      </c>
    </row>
    <row r="354" spans="2:5">
      <c r="B354" s="54" t="s">
        <v>987</v>
      </c>
      <c r="C354" s="43" t="s">
        <v>986</v>
      </c>
      <c r="D354" s="44" t="s">
        <v>122</v>
      </c>
      <c r="E354" s="43" t="s">
        <v>474</v>
      </c>
    </row>
    <row r="355" spans="2:5">
      <c r="B355" s="54" t="s">
        <v>988</v>
      </c>
      <c r="C355" s="43" t="s">
        <v>989</v>
      </c>
      <c r="D355" s="44" t="s">
        <v>122</v>
      </c>
      <c r="E355" s="43" t="s">
        <v>474</v>
      </c>
    </row>
    <row r="356" spans="2:5">
      <c r="B356" s="54" t="s">
        <v>990</v>
      </c>
      <c r="C356" s="43" t="s">
        <v>991</v>
      </c>
      <c r="D356" s="44" t="e">
        <v>#N/A</v>
      </c>
      <c r="E356" s="43" t="s">
        <v>474</v>
      </c>
    </row>
    <row r="357" spans="2:5">
      <c r="B357" s="54" t="s">
        <v>339</v>
      </c>
      <c r="C357" s="43" t="s">
        <v>992</v>
      </c>
      <c r="D357" s="44" t="s">
        <v>131</v>
      </c>
      <c r="E357" s="43" t="s">
        <v>474</v>
      </c>
    </row>
    <row r="358" spans="2:5">
      <c r="B358" s="54" t="s">
        <v>993</v>
      </c>
      <c r="C358" s="43" t="s">
        <v>994</v>
      </c>
      <c r="D358" s="44" t="s">
        <v>131</v>
      </c>
      <c r="E358" s="43" t="s">
        <v>474</v>
      </c>
    </row>
    <row r="359" spans="2:5">
      <c r="B359" s="54" t="s">
        <v>995</v>
      </c>
      <c r="C359" s="43" t="s">
        <v>994</v>
      </c>
      <c r="D359" s="44" t="s">
        <v>131</v>
      </c>
      <c r="E359" s="43" t="s">
        <v>474</v>
      </c>
    </row>
    <row r="360" spans="2:5">
      <c r="B360" s="54" t="s">
        <v>996</v>
      </c>
      <c r="C360" s="43" t="s">
        <v>997</v>
      </c>
      <c r="D360" s="44" t="s">
        <v>132</v>
      </c>
      <c r="E360" s="43" t="s">
        <v>485</v>
      </c>
    </row>
    <row r="361" spans="2:5">
      <c r="B361" s="54" t="s">
        <v>341</v>
      </c>
      <c r="C361" s="43" t="s">
        <v>998</v>
      </c>
      <c r="D361" s="44" t="s">
        <v>405</v>
      </c>
      <c r="E361" s="43" t="s">
        <v>474</v>
      </c>
    </row>
    <row r="362" spans="2:5">
      <c r="B362" s="54" t="s">
        <v>999</v>
      </c>
      <c r="C362" s="43" t="s">
        <v>1000</v>
      </c>
      <c r="D362" s="44" t="s">
        <v>405</v>
      </c>
      <c r="E362" s="43" t="s">
        <v>474</v>
      </c>
    </row>
    <row r="363" spans="2:5">
      <c r="B363" s="54" t="s">
        <v>1001</v>
      </c>
      <c r="C363" s="43" t="s">
        <v>1002</v>
      </c>
      <c r="D363" s="44" t="s">
        <v>405</v>
      </c>
      <c r="E363" s="43" t="s">
        <v>474</v>
      </c>
    </row>
    <row r="364" spans="2:5">
      <c r="B364" s="54" t="s">
        <v>1003</v>
      </c>
      <c r="C364" s="43" t="s">
        <v>1004</v>
      </c>
      <c r="D364" s="44" t="s">
        <v>405</v>
      </c>
      <c r="E364" s="43" t="s">
        <v>485</v>
      </c>
    </row>
    <row r="365" spans="2:5">
      <c r="B365" s="54" t="s">
        <v>1005</v>
      </c>
      <c r="C365" s="43" t="s">
        <v>1006</v>
      </c>
      <c r="D365" s="44" t="s">
        <v>405</v>
      </c>
      <c r="E365" s="43" t="s">
        <v>488</v>
      </c>
    </row>
    <row r="366" spans="2:5">
      <c r="B366" s="54" t="s">
        <v>1007</v>
      </c>
      <c r="C366" s="43" t="s">
        <v>1006</v>
      </c>
      <c r="D366" s="44" t="s">
        <v>405</v>
      </c>
      <c r="E366" s="43" t="s">
        <v>488</v>
      </c>
    </row>
    <row r="367" spans="2:5">
      <c r="B367" s="54" t="s">
        <v>1008</v>
      </c>
      <c r="C367" s="43" t="s">
        <v>1004</v>
      </c>
      <c r="D367" s="44" t="s">
        <v>405</v>
      </c>
      <c r="E367" s="43" t="s">
        <v>485</v>
      </c>
    </row>
    <row r="368" spans="2:5">
      <c r="B368" s="54" t="s">
        <v>126</v>
      </c>
      <c r="C368" s="43" t="s">
        <v>1009</v>
      </c>
      <c r="D368" s="44" t="e">
        <v>#N/A</v>
      </c>
      <c r="E368" s="43" t="s">
        <v>474</v>
      </c>
    </row>
    <row r="369" spans="1:5">
      <c r="B369" s="54" t="s">
        <v>1010</v>
      </c>
      <c r="C369" s="43" t="s">
        <v>1011</v>
      </c>
      <c r="D369" s="44" t="e">
        <v>#N/A</v>
      </c>
      <c r="E369" s="43" t="s">
        <v>474</v>
      </c>
    </row>
    <row r="370" spans="1:5">
      <c r="A370" s="54"/>
      <c r="B370" s="56" t="s">
        <v>1012</v>
      </c>
      <c r="C370" s="57" t="s">
        <v>1009</v>
      </c>
      <c r="D370" s="57" t="e">
        <v>#N/A</v>
      </c>
      <c r="E370" s="57" t="s">
        <v>474</v>
      </c>
    </row>
    <row r="371" spans="1:5">
      <c r="A371" s="54"/>
      <c r="B371" s="56" t="s">
        <v>1013</v>
      </c>
      <c r="C371" s="57" t="s">
        <v>1011</v>
      </c>
      <c r="D371" s="57" t="e">
        <v>#N/A</v>
      </c>
      <c r="E371" s="57" t="s">
        <v>474</v>
      </c>
    </row>
    <row r="372" spans="1:5">
      <c r="A372" s="54"/>
      <c r="B372" s="56" t="s">
        <v>1014</v>
      </c>
      <c r="C372" s="57" t="s">
        <v>1011</v>
      </c>
      <c r="D372" s="57" t="e">
        <v>#N/A</v>
      </c>
      <c r="E372" s="57" t="s">
        <v>474</v>
      </c>
    </row>
    <row r="373" spans="1:5">
      <c r="A373" s="54"/>
      <c r="B373" s="56" t="s">
        <v>343</v>
      </c>
      <c r="C373" s="57" t="s">
        <v>1015</v>
      </c>
      <c r="D373" s="57" t="s">
        <v>182</v>
      </c>
      <c r="E373" s="57" t="s">
        <v>474</v>
      </c>
    </row>
    <row r="374" spans="1:5">
      <c r="B374" s="56" t="s">
        <v>1016</v>
      </c>
      <c r="C374" s="57" t="s">
        <v>1017</v>
      </c>
      <c r="D374" s="57" t="s">
        <v>182</v>
      </c>
      <c r="E374" s="57" t="s">
        <v>474</v>
      </c>
    </row>
    <row r="375" spans="1:5">
      <c r="B375" s="54" t="s">
        <v>1018</v>
      </c>
      <c r="C375" s="43" t="s">
        <v>1017</v>
      </c>
      <c r="D375" s="44" t="s">
        <v>182</v>
      </c>
      <c r="E375" s="43" t="s">
        <v>474</v>
      </c>
    </row>
    <row r="376" spans="1:5">
      <c r="B376" s="54" t="s">
        <v>363</v>
      </c>
      <c r="C376" s="43" t="s">
        <v>1019</v>
      </c>
      <c r="D376" s="44" t="s">
        <v>127</v>
      </c>
      <c r="E376" s="43" t="s">
        <v>474</v>
      </c>
    </row>
    <row r="377" spans="1:5">
      <c r="B377" s="54" t="s">
        <v>1020</v>
      </c>
      <c r="C377" s="43" t="s">
        <v>1021</v>
      </c>
      <c r="D377" s="44" t="s">
        <v>127</v>
      </c>
      <c r="E377" s="43" t="s">
        <v>474</v>
      </c>
    </row>
    <row r="378" spans="1:5">
      <c r="B378" s="54" t="s">
        <v>1022</v>
      </c>
      <c r="C378" s="43" t="s">
        <v>1023</v>
      </c>
      <c r="D378" s="44" t="s">
        <v>127</v>
      </c>
      <c r="E378" s="43" t="s">
        <v>474</v>
      </c>
    </row>
    <row r="379" spans="1:5">
      <c r="B379" s="54" t="s">
        <v>1024</v>
      </c>
      <c r="C379" s="43" t="s">
        <v>1025</v>
      </c>
      <c r="D379" s="44" t="s">
        <v>127</v>
      </c>
      <c r="E379" s="43" t="s">
        <v>485</v>
      </c>
    </row>
    <row r="380" spans="1:5">
      <c r="B380" s="54" t="s">
        <v>1026</v>
      </c>
      <c r="C380" s="43" t="s">
        <v>1027</v>
      </c>
      <c r="D380" s="44" t="s">
        <v>756</v>
      </c>
      <c r="E380" s="43" t="s">
        <v>485</v>
      </c>
    </row>
    <row r="381" spans="1:5">
      <c r="B381" s="54" t="s">
        <v>1028</v>
      </c>
      <c r="C381" s="43" t="s">
        <v>1027</v>
      </c>
      <c r="D381" s="44" t="s">
        <v>756</v>
      </c>
      <c r="E381" s="43" t="s">
        <v>485</v>
      </c>
    </row>
    <row r="382" spans="1:5">
      <c r="B382" s="54" t="s">
        <v>1029</v>
      </c>
      <c r="C382" s="43" t="s">
        <v>756</v>
      </c>
      <c r="D382" s="44" t="s">
        <v>756</v>
      </c>
      <c r="E382" s="43" t="s">
        <v>477</v>
      </c>
    </row>
    <row r="383" spans="1:5">
      <c r="B383" s="54" t="s">
        <v>367</v>
      </c>
      <c r="C383" s="43" t="s">
        <v>1030</v>
      </c>
      <c r="D383" s="44" t="s">
        <v>129</v>
      </c>
      <c r="E383" s="43" t="s">
        <v>474</v>
      </c>
    </row>
    <row r="384" spans="1:5">
      <c r="B384" s="54" t="s">
        <v>1031</v>
      </c>
      <c r="C384" s="43" t="s">
        <v>1032</v>
      </c>
      <c r="D384" s="44" t="s">
        <v>129</v>
      </c>
      <c r="E384" s="43" t="s">
        <v>474</v>
      </c>
    </row>
    <row r="385" spans="2:5">
      <c r="B385" s="54" t="s">
        <v>1033</v>
      </c>
      <c r="C385" s="43" t="s">
        <v>1033</v>
      </c>
      <c r="D385" s="44" t="s">
        <v>129</v>
      </c>
      <c r="E385" s="43" t="s">
        <v>485</v>
      </c>
    </row>
    <row r="386" spans="2:5">
      <c r="B386" s="54" t="s">
        <v>1034</v>
      </c>
      <c r="C386" s="43" t="s">
        <v>1035</v>
      </c>
      <c r="D386" s="44" t="s">
        <v>1034</v>
      </c>
      <c r="E386" s="43" t="s">
        <v>474</v>
      </c>
    </row>
    <row r="387" spans="2:5">
      <c r="B387" s="54" t="s">
        <v>1036</v>
      </c>
      <c r="C387" s="43" t="s">
        <v>1037</v>
      </c>
      <c r="D387" s="44" t="s">
        <v>1034</v>
      </c>
      <c r="E387" s="43" t="s">
        <v>474</v>
      </c>
    </row>
    <row r="388" spans="2:5">
      <c r="B388" s="54" t="s">
        <v>1038</v>
      </c>
      <c r="C388" s="43" t="s">
        <v>1037</v>
      </c>
      <c r="D388" s="44" t="s">
        <v>1034</v>
      </c>
      <c r="E388" s="43" t="s">
        <v>474</v>
      </c>
    </row>
    <row r="389" spans="2:5">
      <c r="B389" s="54" t="s">
        <v>345</v>
      </c>
      <c r="C389" s="43" t="s">
        <v>1039</v>
      </c>
      <c r="D389" s="44" t="s">
        <v>132</v>
      </c>
      <c r="E389" s="43" t="s">
        <v>474</v>
      </c>
    </row>
    <row r="390" spans="2:5">
      <c r="B390" s="54" t="s">
        <v>1040</v>
      </c>
      <c r="C390" s="43" t="s">
        <v>1041</v>
      </c>
      <c r="D390" s="44" t="s">
        <v>132</v>
      </c>
      <c r="E390" s="43" t="s">
        <v>474</v>
      </c>
    </row>
    <row r="391" spans="2:5">
      <c r="B391" s="54" t="s">
        <v>1042</v>
      </c>
      <c r="C391" s="43" t="s">
        <v>1041</v>
      </c>
      <c r="D391" s="44" t="s">
        <v>132</v>
      </c>
      <c r="E391" s="43" t="s">
        <v>474</v>
      </c>
    </row>
    <row r="392" spans="2:5">
      <c r="B392" s="54" t="s">
        <v>347</v>
      </c>
      <c r="C392" s="43" t="s">
        <v>1043</v>
      </c>
      <c r="D392" s="44" t="s">
        <v>133</v>
      </c>
      <c r="E392" s="43" t="s">
        <v>474</v>
      </c>
    </row>
    <row r="393" spans="2:5">
      <c r="B393" s="54" t="s">
        <v>348</v>
      </c>
      <c r="C393" s="43" t="s">
        <v>1043</v>
      </c>
      <c r="D393" s="44" t="s">
        <v>133</v>
      </c>
      <c r="E393" s="43" t="s">
        <v>474</v>
      </c>
    </row>
    <row r="394" spans="2:5">
      <c r="B394" s="54" t="s">
        <v>1044</v>
      </c>
      <c r="C394" s="43" t="s">
        <v>1045</v>
      </c>
      <c r="D394" s="44" t="s">
        <v>133</v>
      </c>
      <c r="E394" s="43" t="s">
        <v>488</v>
      </c>
    </row>
    <row r="395" spans="2:5">
      <c r="B395" s="54" t="s">
        <v>1046</v>
      </c>
      <c r="C395" s="43" t="s">
        <v>1047</v>
      </c>
      <c r="D395" s="44" t="s">
        <v>133</v>
      </c>
      <c r="E395" s="43" t="s">
        <v>474</v>
      </c>
    </row>
    <row r="396" spans="2:5">
      <c r="B396" s="54" t="s">
        <v>1048</v>
      </c>
      <c r="C396" s="43" t="s">
        <v>1047</v>
      </c>
      <c r="D396" s="44" t="s">
        <v>133</v>
      </c>
      <c r="E396" s="43" t="s">
        <v>474</v>
      </c>
    </row>
    <row r="397" spans="2:5">
      <c r="B397" s="54" t="s">
        <v>1049</v>
      </c>
      <c r="C397" s="43" t="s">
        <v>1045</v>
      </c>
      <c r="D397" s="44" t="s">
        <v>133</v>
      </c>
      <c r="E397" s="43" t="s">
        <v>488</v>
      </c>
    </row>
    <row r="398" spans="2:5">
      <c r="B398" s="54" t="s">
        <v>1050</v>
      </c>
      <c r="C398" s="43" t="s">
        <v>1051</v>
      </c>
      <c r="D398" s="44" t="e">
        <v>#N/A</v>
      </c>
      <c r="E398" s="43" t="s">
        <v>477</v>
      </c>
    </row>
    <row r="399" spans="2:5">
      <c r="B399" s="54" t="s">
        <v>1052</v>
      </c>
      <c r="C399" s="43" t="s">
        <v>1053</v>
      </c>
      <c r="D399" s="44" t="s">
        <v>134</v>
      </c>
      <c r="E399" s="43" t="s">
        <v>477</v>
      </c>
    </row>
    <row r="400" spans="2:5">
      <c r="B400" s="54" t="s">
        <v>350</v>
      </c>
      <c r="C400" s="43" t="s">
        <v>1053</v>
      </c>
      <c r="D400" s="44" t="s">
        <v>134</v>
      </c>
      <c r="E400" s="43" t="s">
        <v>477</v>
      </c>
    </row>
    <row r="401" spans="2:5">
      <c r="B401" s="54" t="s">
        <v>1054</v>
      </c>
      <c r="C401" s="43" t="s">
        <v>1053</v>
      </c>
      <c r="D401" s="44" t="s">
        <v>134</v>
      </c>
      <c r="E401" s="43" t="s">
        <v>477</v>
      </c>
    </row>
    <row r="402" spans="2:5">
      <c r="B402" s="54" t="s">
        <v>1054</v>
      </c>
      <c r="C402" s="43" t="s">
        <v>1055</v>
      </c>
      <c r="D402" s="44" t="s">
        <v>134</v>
      </c>
      <c r="E402" s="43" t="s">
        <v>474</v>
      </c>
    </row>
    <row r="403" spans="2:5">
      <c r="B403" s="54" t="s">
        <v>1054</v>
      </c>
      <c r="C403" s="43" t="s">
        <v>1056</v>
      </c>
      <c r="D403" s="44" t="s">
        <v>134</v>
      </c>
      <c r="E403" s="43" t="s">
        <v>474</v>
      </c>
    </row>
    <row r="404" spans="2:5">
      <c r="B404" s="54" t="s">
        <v>1057</v>
      </c>
      <c r="C404" s="43" t="s">
        <v>571</v>
      </c>
      <c r="D404" s="44" t="s">
        <v>41</v>
      </c>
      <c r="E404" s="43" t="s">
        <v>485</v>
      </c>
    </row>
    <row r="405" spans="2:5">
      <c r="B405" s="54" t="s">
        <v>1058</v>
      </c>
      <c r="C405" s="54" t="s">
        <v>571</v>
      </c>
      <c r="D405" s="44" t="s">
        <v>41</v>
      </c>
      <c r="E405" s="43" t="s">
        <v>485</v>
      </c>
    </row>
    <row r="406" spans="2:5">
      <c r="B406" s="54" t="s">
        <v>1059</v>
      </c>
      <c r="C406" s="43" t="s">
        <v>1060</v>
      </c>
      <c r="D406" s="44" t="s">
        <v>122</v>
      </c>
      <c r="E406" s="43" t="s">
        <v>485</v>
      </c>
    </row>
    <row r="407" spans="2:5">
      <c r="B407" s="56" t="s">
        <v>1061</v>
      </c>
      <c r="C407" s="57" t="s">
        <v>1062</v>
      </c>
      <c r="D407" s="57" t="s">
        <v>68</v>
      </c>
      <c r="E407" s="57" t="s">
        <v>485</v>
      </c>
    </row>
    <row r="408" spans="2:5">
      <c r="B408" s="56" t="s">
        <v>1063</v>
      </c>
      <c r="C408" s="57" t="s">
        <v>1062</v>
      </c>
      <c r="D408" s="57" t="s">
        <v>68</v>
      </c>
      <c r="E408" s="57" t="s">
        <v>485</v>
      </c>
    </row>
    <row r="409" spans="2:5">
      <c r="B409" s="56" t="s">
        <v>1064</v>
      </c>
      <c r="C409" s="57" t="s">
        <v>1062</v>
      </c>
      <c r="D409" s="57" t="s">
        <v>68</v>
      </c>
      <c r="E409" s="57" t="s">
        <v>485</v>
      </c>
    </row>
    <row r="410" spans="2:5">
      <c r="B410" s="56" t="s">
        <v>370</v>
      </c>
      <c r="C410" s="57" t="s">
        <v>1065</v>
      </c>
      <c r="D410" s="57" t="s">
        <v>135</v>
      </c>
      <c r="E410" s="57" t="s">
        <v>474</v>
      </c>
    </row>
    <row r="411" spans="2:5">
      <c r="B411" s="54" t="s">
        <v>1066</v>
      </c>
      <c r="C411" s="43" t="s">
        <v>1067</v>
      </c>
      <c r="D411" s="44" t="s">
        <v>135</v>
      </c>
      <c r="E411" s="43" t="s">
        <v>474</v>
      </c>
    </row>
    <row r="412" spans="2:5">
      <c r="B412" s="54" t="s">
        <v>1068</v>
      </c>
      <c r="C412" s="43" t="s">
        <v>1069</v>
      </c>
      <c r="D412" s="44" t="e">
        <v>#N/A</v>
      </c>
      <c r="E412" s="43" t="s">
        <v>474</v>
      </c>
    </row>
    <row r="413" spans="2:5">
      <c r="B413" s="54" t="s">
        <v>1070</v>
      </c>
      <c r="C413" s="43" t="s">
        <v>1071</v>
      </c>
      <c r="D413" s="44" t="e">
        <v>#N/A</v>
      </c>
      <c r="E413" s="43" t="s">
        <v>485</v>
      </c>
    </row>
    <row r="414" spans="2:5">
      <c r="B414" s="54" t="s">
        <v>1072</v>
      </c>
      <c r="C414" s="43" t="s">
        <v>1073</v>
      </c>
      <c r="D414" s="44" t="s">
        <v>237</v>
      </c>
      <c r="E414" s="43" t="s">
        <v>485</v>
      </c>
    </row>
    <row r="415" spans="2:5">
      <c r="B415" s="54" t="s">
        <v>349</v>
      </c>
      <c r="C415" s="43" t="s">
        <v>1074</v>
      </c>
      <c r="D415" s="44" t="s">
        <v>137</v>
      </c>
      <c r="E415" s="43" t="s">
        <v>474</v>
      </c>
    </row>
    <row r="416" spans="2:5">
      <c r="B416" s="54" t="s">
        <v>1075</v>
      </c>
      <c r="C416" s="43" t="s">
        <v>1076</v>
      </c>
      <c r="D416" s="44" t="s">
        <v>137</v>
      </c>
      <c r="E416" s="43" t="s">
        <v>474</v>
      </c>
    </row>
    <row r="417" spans="2:9">
      <c r="B417" s="54" t="s">
        <v>1077</v>
      </c>
      <c r="C417" s="43" t="s">
        <v>1076</v>
      </c>
      <c r="D417" s="44" t="s">
        <v>137</v>
      </c>
      <c r="E417" s="43" t="s">
        <v>474</v>
      </c>
    </row>
    <row r="418" spans="2:9">
      <c r="B418" s="54" t="s">
        <v>1078</v>
      </c>
      <c r="C418" s="43" t="s">
        <v>1079</v>
      </c>
      <c r="D418" s="44" t="s">
        <v>1080</v>
      </c>
      <c r="E418" s="43" t="s">
        <v>485</v>
      </c>
    </row>
    <row r="419" spans="2:9">
      <c r="B419" s="54" t="s">
        <v>1081</v>
      </c>
      <c r="C419" s="43" t="s">
        <v>1082</v>
      </c>
      <c r="D419" s="44" t="e">
        <v>#N/A</v>
      </c>
      <c r="E419" s="43" t="s">
        <v>474</v>
      </c>
    </row>
    <row r="420" spans="2:9">
      <c r="B420" s="54" t="s">
        <v>1083</v>
      </c>
      <c r="C420" s="43" t="s">
        <v>1084</v>
      </c>
      <c r="D420" s="44" t="e">
        <v>#N/A</v>
      </c>
      <c r="E420" s="43" t="s">
        <v>474</v>
      </c>
    </row>
    <row r="421" spans="2:9">
      <c r="B421" s="54" t="s">
        <v>1085</v>
      </c>
      <c r="C421" s="43" t="s">
        <v>1086</v>
      </c>
      <c r="D421" s="44" t="e">
        <v>#N/A</v>
      </c>
      <c r="E421" s="43" t="s">
        <v>474</v>
      </c>
    </row>
    <row r="422" spans="2:9">
      <c r="B422" s="54" t="s">
        <v>1087</v>
      </c>
      <c r="C422" s="43" t="s">
        <v>1084</v>
      </c>
      <c r="D422" s="44" t="e">
        <v>#N/A</v>
      </c>
      <c r="E422" s="43" t="s">
        <v>474</v>
      </c>
    </row>
    <row r="423" spans="2:9">
      <c r="B423" s="54" t="s">
        <v>1088</v>
      </c>
      <c r="C423" s="43" t="s">
        <v>1086</v>
      </c>
      <c r="D423" s="44" t="e">
        <v>#N/A</v>
      </c>
      <c r="E423" s="43" t="s">
        <v>474</v>
      </c>
    </row>
    <row r="424" spans="2:9">
      <c r="B424" s="54" t="s">
        <v>1089</v>
      </c>
      <c r="C424" s="43" t="s">
        <v>1090</v>
      </c>
      <c r="D424" s="44" t="s">
        <v>95</v>
      </c>
      <c r="E424" s="43" t="s">
        <v>485</v>
      </c>
    </row>
    <row r="425" spans="2:9">
      <c r="B425" s="54" t="s">
        <v>1091</v>
      </c>
      <c r="C425" s="43" t="s">
        <v>1090</v>
      </c>
      <c r="D425" s="44" t="s">
        <v>95</v>
      </c>
      <c r="E425" s="43" t="s">
        <v>485</v>
      </c>
    </row>
    <row r="426" spans="2:9">
      <c r="B426" s="54" t="s">
        <v>1092</v>
      </c>
      <c r="C426" s="43" t="s">
        <v>1093</v>
      </c>
      <c r="D426" s="44" t="e">
        <v>#N/A</v>
      </c>
      <c r="E426" s="43" t="s">
        <v>474</v>
      </c>
    </row>
    <row r="427" spans="2:9" s="33" customFormat="1">
      <c r="B427" s="54" t="s">
        <v>1094</v>
      </c>
      <c r="C427" s="43" t="s">
        <v>1095</v>
      </c>
      <c r="D427" s="44" t="e">
        <v>#N/A</v>
      </c>
      <c r="E427" s="43" t="s">
        <v>474</v>
      </c>
    </row>
    <row r="428" spans="2:9" s="33" customFormat="1">
      <c r="B428" s="54" t="s">
        <v>1096</v>
      </c>
      <c r="C428" s="43" t="s">
        <v>1095</v>
      </c>
      <c r="D428" s="44" t="e">
        <v>#N/A</v>
      </c>
      <c r="E428" s="43" t="s">
        <v>474</v>
      </c>
    </row>
    <row r="429" spans="2:9" s="33" customFormat="1">
      <c r="B429" s="54" t="s">
        <v>354</v>
      </c>
      <c r="C429" s="43" t="s">
        <v>1097</v>
      </c>
      <c r="D429" s="44" t="s">
        <v>139</v>
      </c>
      <c r="E429" s="43" t="s">
        <v>474</v>
      </c>
    </row>
    <row r="430" spans="2:9" s="33" customFormat="1">
      <c r="B430" s="54" t="s">
        <v>1098</v>
      </c>
      <c r="C430" s="43" t="s">
        <v>1099</v>
      </c>
      <c r="D430" s="44" t="s">
        <v>139</v>
      </c>
      <c r="E430" s="43" t="s">
        <v>474</v>
      </c>
    </row>
    <row r="431" spans="2:9" s="33" customFormat="1">
      <c r="B431" s="54" t="s">
        <v>1100</v>
      </c>
      <c r="C431" s="43" t="s">
        <v>1099</v>
      </c>
      <c r="D431" s="44" t="s">
        <v>139</v>
      </c>
      <c r="E431" s="43" t="s">
        <v>474</v>
      </c>
      <c r="F431" s="45"/>
      <c r="G431" s="45"/>
      <c r="H431" s="45"/>
      <c r="I431" s="45"/>
    </row>
    <row r="432" spans="2:9" s="33" customFormat="1">
      <c r="B432" s="54" t="s">
        <v>1101</v>
      </c>
      <c r="C432" s="43" t="s">
        <v>1102</v>
      </c>
      <c r="D432" s="44" t="s">
        <v>139</v>
      </c>
      <c r="E432" s="43" t="s">
        <v>485</v>
      </c>
      <c r="F432" s="45"/>
      <c r="G432" s="45"/>
      <c r="H432" s="45"/>
      <c r="I432" s="45"/>
    </row>
    <row r="433" spans="2:9" s="33" customFormat="1">
      <c r="B433" s="54" t="s">
        <v>1103</v>
      </c>
      <c r="C433" s="43" t="s">
        <v>1104</v>
      </c>
      <c r="D433" s="44" t="s">
        <v>37</v>
      </c>
      <c r="E433" s="43" t="s">
        <v>485</v>
      </c>
      <c r="F433" s="45"/>
      <c r="G433" s="45"/>
      <c r="H433" s="45"/>
      <c r="I433" s="45"/>
    </row>
    <row r="434" spans="2:9" s="33" customFormat="1">
      <c r="B434" s="54" t="s">
        <v>1105</v>
      </c>
      <c r="C434" s="43" t="s">
        <v>1104</v>
      </c>
      <c r="D434" s="44" t="s">
        <v>37</v>
      </c>
      <c r="E434" s="43" t="s">
        <v>485</v>
      </c>
      <c r="F434" s="45"/>
      <c r="G434" s="45"/>
      <c r="H434" s="45"/>
      <c r="I434" s="45"/>
    </row>
    <row r="435" spans="2:9">
      <c r="B435" s="54" t="s">
        <v>1106</v>
      </c>
      <c r="C435" s="43" t="s">
        <v>1107</v>
      </c>
      <c r="D435" s="44" t="s">
        <v>1108</v>
      </c>
      <c r="E435" s="43" t="s">
        <v>485</v>
      </c>
    </row>
    <row r="436" spans="2:9">
      <c r="B436" s="54" t="s">
        <v>1109</v>
      </c>
      <c r="C436" s="43" t="s">
        <v>1110</v>
      </c>
      <c r="D436" s="44" t="s">
        <v>1111</v>
      </c>
      <c r="E436" s="43" t="s">
        <v>485</v>
      </c>
    </row>
    <row r="437" spans="2:9">
      <c r="B437" s="54" t="s">
        <v>1112</v>
      </c>
      <c r="C437" s="43" t="s">
        <v>1113</v>
      </c>
      <c r="D437" s="44" t="s">
        <v>142</v>
      </c>
      <c r="E437" s="43" t="s">
        <v>474</v>
      </c>
    </row>
    <row r="438" spans="2:9">
      <c r="B438" s="54" t="s">
        <v>1114</v>
      </c>
      <c r="C438" s="43" t="s">
        <v>1115</v>
      </c>
      <c r="D438" s="44" t="s">
        <v>142</v>
      </c>
      <c r="E438" s="43" t="s">
        <v>474</v>
      </c>
    </row>
    <row r="439" spans="2:9">
      <c r="B439" s="54" t="s">
        <v>1114</v>
      </c>
      <c r="C439" s="43" t="s">
        <v>1115</v>
      </c>
      <c r="D439" s="44" t="s">
        <v>142</v>
      </c>
      <c r="E439" s="43" t="s">
        <v>474</v>
      </c>
    </row>
    <row r="440" spans="2:9">
      <c r="B440" s="54" t="s">
        <v>1116</v>
      </c>
      <c r="C440" s="43" t="s">
        <v>1113</v>
      </c>
      <c r="D440" s="44" t="s">
        <v>142</v>
      </c>
      <c r="E440" s="43" t="s">
        <v>474</v>
      </c>
    </row>
    <row r="441" spans="2:9">
      <c r="B441" s="54" t="s">
        <v>1117</v>
      </c>
      <c r="C441" s="43" t="s">
        <v>1115</v>
      </c>
      <c r="D441" s="44" t="s">
        <v>142</v>
      </c>
      <c r="E441" s="43" t="s">
        <v>474</v>
      </c>
    </row>
    <row r="442" spans="2:9">
      <c r="B442" s="54" t="s">
        <v>360</v>
      </c>
      <c r="C442" s="43" t="s">
        <v>1118</v>
      </c>
      <c r="D442" s="44" t="s">
        <v>16</v>
      </c>
      <c r="E442" s="43" t="s">
        <v>474</v>
      </c>
    </row>
    <row r="443" spans="2:9">
      <c r="B443" s="54" t="s">
        <v>1119</v>
      </c>
      <c r="C443" s="43" t="s">
        <v>1120</v>
      </c>
      <c r="D443" s="44" t="s">
        <v>16</v>
      </c>
      <c r="E443" s="43" t="s">
        <v>474</v>
      </c>
    </row>
    <row r="444" spans="2:9">
      <c r="B444" s="54" t="s">
        <v>1121</v>
      </c>
      <c r="C444" s="43" t="s">
        <v>1120</v>
      </c>
      <c r="D444" s="44" t="s">
        <v>16</v>
      </c>
      <c r="E444" s="43" t="s">
        <v>474</v>
      </c>
    </row>
    <row r="445" spans="2:9">
      <c r="B445" s="54" t="s">
        <v>1122</v>
      </c>
      <c r="C445" s="43" t="s">
        <v>1123</v>
      </c>
      <c r="D445" s="44" t="s">
        <v>16</v>
      </c>
      <c r="E445" s="43" t="s">
        <v>474</v>
      </c>
    </row>
    <row r="446" spans="2:9">
      <c r="B446" s="54" t="s">
        <v>1124</v>
      </c>
      <c r="C446" s="43" t="s">
        <v>1125</v>
      </c>
      <c r="D446" s="44" t="s">
        <v>1125</v>
      </c>
      <c r="E446" s="43" t="s">
        <v>474</v>
      </c>
    </row>
    <row r="447" spans="2:9">
      <c r="B447" s="54" t="s">
        <v>364</v>
      </c>
      <c r="C447" s="43" t="s">
        <v>1126</v>
      </c>
      <c r="D447" s="44" t="s">
        <v>141</v>
      </c>
      <c r="E447" s="43" t="s">
        <v>474</v>
      </c>
    </row>
    <row r="448" spans="2:9">
      <c r="B448" s="54" t="s">
        <v>1127</v>
      </c>
      <c r="C448" s="43" t="s">
        <v>1128</v>
      </c>
      <c r="D448" s="44" t="s">
        <v>141</v>
      </c>
      <c r="E448" s="43" t="s">
        <v>474</v>
      </c>
    </row>
    <row r="449" spans="2:5">
      <c r="B449" s="54" t="s">
        <v>1129</v>
      </c>
      <c r="C449" s="43" t="s">
        <v>1128</v>
      </c>
      <c r="D449" s="44" t="s">
        <v>141</v>
      </c>
      <c r="E449" s="43" t="s">
        <v>474</v>
      </c>
    </row>
    <row r="450" spans="2:5">
      <c r="B450" s="54" t="s">
        <v>1130</v>
      </c>
      <c r="C450" s="43" t="s">
        <v>1131</v>
      </c>
      <c r="D450" s="44" t="s">
        <v>141</v>
      </c>
      <c r="E450" s="43" t="s">
        <v>485</v>
      </c>
    </row>
    <row r="451" spans="2:5">
      <c r="B451" s="54" t="s">
        <v>1132</v>
      </c>
      <c r="C451" s="43" t="s">
        <v>1133</v>
      </c>
      <c r="D451" s="44" t="s">
        <v>1133</v>
      </c>
      <c r="E451" s="43" t="s">
        <v>474</v>
      </c>
    </row>
    <row r="452" spans="2:5">
      <c r="B452" s="54" t="s">
        <v>368</v>
      </c>
      <c r="C452" s="43" t="s">
        <v>1134</v>
      </c>
      <c r="D452" s="44" t="s">
        <v>73</v>
      </c>
      <c r="E452" s="43" t="s">
        <v>474</v>
      </c>
    </row>
    <row r="453" spans="2:5">
      <c r="B453" s="54" t="s">
        <v>356</v>
      </c>
      <c r="C453" s="43" t="s">
        <v>1134</v>
      </c>
      <c r="D453" s="44" t="s">
        <v>73</v>
      </c>
      <c r="E453" s="43" t="s">
        <v>474</v>
      </c>
    </row>
    <row r="454" spans="2:5">
      <c r="B454" s="54" t="s">
        <v>1135</v>
      </c>
      <c r="C454" s="43" t="s">
        <v>1136</v>
      </c>
      <c r="D454" s="44" t="s">
        <v>73</v>
      </c>
      <c r="E454" s="43" t="s">
        <v>474</v>
      </c>
    </row>
    <row r="455" spans="2:5">
      <c r="B455" s="54" t="s">
        <v>1137</v>
      </c>
      <c r="C455" s="43" t="s">
        <v>1136</v>
      </c>
      <c r="D455" s="44" t="s">
        <v>73</v>
      </c>
      <c r="E455" s="43" t="s">
        <v>474</v>
      </c>
    </row>
    <row r="456" spans="2:5">
      <c r="B456" s="54" t="s">
        <v>1138</v>
      </c>
      <c r="C456" s="43" t="s">
        <v>1139</v>
      </c>
      <c r="D456" s="44" t="s">
        <v>73</v>
      </c>
      <c r="E456" s="43" t="s">
        <v>474</v>
      </c>
    </row>
    <row r="457" spans="2:5">
      <c r="B457" s="54" t="s">
        <v>1140</v>
      </c>
      <c r="C457" s="43" t="s">
        <v>1141</v>
      </c>
      <c r="D457" s="44" t="s">
        <v>73</v>
      </c>
      <c r="E457" s="43" t="s">
        <v>485</v>
      </c>
    </row>
    <row r="458" spans="2:5">
      <c r="B458" s="54" t="s">
        <v>1142</v>
      </c>
      <c r="C458" s="43" t="s">
        <v>1143</v>
      </c>
      <c r="D458" s="44" t="e">
        <v>#N/A</v>
      </c>
      <c r="E458" s="43" t="s">
        <v>474</v>
      </c>
    </row>
    <row r="459" spans="2:5">
      <c r="B459" s="54" t="s">
        <v>1144</v>
      </c>
      <c r="C459" s="43" t="s">
        <v>1145</v>
      </c>
      <c r="D459" s="44" t="s">
        <v>1146</v>
      </c>
      <c r="E459" s="43" t="s">
        <v>474</v>
      </c>
    </row>
    <row r="460" spans="2:5">
      <c r="B460" s="54" t="s">
        <v>1147</v>
      </c>
      <c r="C460" s="43" t="s">
        <v>1148</v>
      </c>
      <c r="D460" s="44" t="s">
        <v>1146</v>
      </c>
      <c r="E460" s="43" t="s">
        <v>474</v>
      </c>
    </row>
    <row r="461" spans="2:5">
      <c r="B461" s="54" t="s">
        <v>1149</v>
      </c>
      <c r="C461" s="43" t="s">
        <v>1148</v>
      </c>
      <c r="D461" s="44" t="s">
        <v>1146</v>
      </c>
      <c r="E461" s="43" t="s">
        <v>474</v>
      </c>
    </row>
    <row r="462" spans="2:5">
      <c r="B462" s="54" t="s">
        <v>1150</v>
      </c>
      <c r="C462" s="43" t="s">
        <v>1151</v>
      </c>
      <c r="D462" s="44" t="s">
        <v>1152</v>
      </c>
      <c r="E462" s="43" t="s">
        <v>474</v>
      </c>
    </row>
    <row r="463" spans="2:5">
      <c r="B463" s="54" t="s">
        <v>1153</v>
      </c>
      <c r="C463" s="43" t="s">
        <v>1154</v>
      </c>
      <c r="D463" s="44" t="s">
        <v>1152</v>
      </c>
      <c r="E463" s="43" t="s">
        <v>474</v>
      </c>
    </row>
    <row r="464" spans="2:5">
      <c r="B464" s="54" t="s">
        <v>1155</v>
      </c>
      <c r="C464" s="43" t="s">
        <v>1156</v>
      </c>
      <c r="D464" s="44" t="e">
        <v>#N/A</v>
      </c>
      <c r="E464" s="43" t="s">
        <v>474</v>
      </c>
    </row>
    <row r="465" spans="2:5">
      <c r="B465" s="54" t="s">
        <v>1157</v>
      </c>
      <c r="C465" s="43" t="s">
        <v>1158</v>
      </c>
      <c r="D465" s="44" t="e">
        <v>#N/A</v>
      </c>
      <c r="E465" s="43" t="s">
        <v>474</v>
      </c>
    </row>
    <row r="466" spans="2:5">
      <c r="B466" s="54" t="s">
        <v>390</v>
      </c>
      <c r="C466" s="43" t="s">
        <v>1159</v>
      </c>
      <c r="D466" s="44" t="s">
        <v>233</v>
      </c>
      <c r="E466" s="43" t="s">
        <v>474</v>
      </c>
    </row>
    <row r="467" spans="2:5">
      <c r="B467" s="54" t="s">
        <v>390</v>
      </c>
      <c r="C467" s="43" t="s">
        <v>1160</v>
      </c>
      <c r="D467" s="44" t="s">
        <v>233</v>
      </c>
      <c r="E467" s="43" t="s">
        <v>474</v>
      </c>
    </row>
    <row r="468" spans="2:5">
      <c r="B468" s="54" t="s">
        <v>384</v>
      </c>
      <c r="C468" s="43" t="s">
        <v>1161</v>
      </c>
      <c r="D468" s="44" t="s">
        <v>144</v>
      </c>
      <c r="E468" s="43" t="s">
        <v>474</v>
      </c>
    </row>
    <row r="469" spans="2:5">
      <c r="B469" s="54" t="s">
        <v>358</v>
      </c>
      <c r="C469" s="43" t="s">
        <v>1162</v>
      </c>
      <c r="D469" s="44" t="s">
        <v>147</v>
      </c>
      <c r="E469" s="43" t="s">
        <v>474</v>
      </c>
    </row>
    <row r="470" spans="2:5">
      <c r="B470" s="54" t="s">
        <v>361</v>
      </c>
      <c r="C470" s="43" t="s">
        <v>1163</v>
      </c>
      <c r="D470" s="44" t="s">
        <v>150</v>
      </c>
      <c r="E470" s="43" t="s">
        <v>474</v>
      </c>
    </row>
    <row r="471" spans="2:5">
      <c r="B471" s="54" t="s">
        <v>1164</v>
      </c>
      <c r="C471" s="43" t="s">
        <v>1165</v>
      </c>
      <c r="D471" s="44" t="s">
        <v>1166</v>
      </c>
      <c r="E471" s="43" t="s">
        <v>477</v>
      </c>
    </row>
    <row r="472" spans="2:5">
      <c r="B472" s="54" t="s">
        <v>1167</v>
      </c>
      <c r="C472" s="43" t="s">
        <v>1165</v>
      </c>
      <c r="D472" s="44" t="s">
        <v>1166</v>
      </c>
      <c r="E472" s="43" t="s">
        <v>477</v>
      </c>
    </row>
    <row r="473" spans="2:5">
      <c r="B473" s="54" t="s">
        <v>1168</v>
      </c>
      <c r="C473" s="43" t="s">
        <v>1165</v>
      </c>
      <c r="D473" s="44" t="s">
        <v>1166</v>
      </c>
      <c r="E473" s="43" t="s">
        <v>477</v>
      </c>
    </row>
    <row r="474" spans="2:5">
      <c r="B474" s="54" t="s">
        <v>1169</v>
      </c>
      <c r="C474" s="43" t="s">
        <v>1170</v>
      </c>
      <c r="D474" s="44" t="s">
        <v>151</v>
      </c>
      <c r="E474" s="43" t="s">
        <v>474</v>
      </c>
    </row>
    <row r="475" spans="2:5">
      <c r="B475" s="54" t="s">
        <v>1171</v>
      </c>
      <c r="C475" s="43" t="s">
        <v>1172</v>
      </c>
      <c r="D475" s="44" t="s">
        <v>151</v>
      </c>
      <c r="E475" s="43" t="s">
        <v>474</v>
      </c>
    </row>
    <row r="476" spans="2:5">
      <c r="B476" s="54" t="s">
        <v>1173</v>
      </c>
      <c r="C476" s="43" t="s">
        <v>1174</v>
      </c>
      <c r="D476" s="44" t="s">
        <v>1175</v>
      </c>
      <c r="E476" s="43" t="s">
        <v>474</v>
      </c>
    </row>
    <row r="477" spans="2:5">
      <c r="B477" s="54" t="s">
        <v>1176</v>
      </c>
      <c r="C477" s="43" t="s">
        <v>1177</v>
      </c>
      <c r="D477" s="44" t="s">
        <v>1175</v>
      </c>
      <c r="E477" s="43" t="s">
        <v>474</v>
      </c>
    </row>
    <row r="478" spans="2:5">
      <c r="B478" s="54" t="s">
        <v>1178</v>
      </c>
      <c r="C478" s="43" t="s">
        <v>1179</v>
      </c>
      <c r="D478" s="44" t="s">
        <v>148</v>
      </c>
      <c r="E478" s="43" t="s">
        <v>474</v>
      </c>
    </row>
    <row r="479" spans="2:5">
      <c r="B479" s="54" t="s">
        <v>1180</v>
      </c>
      <c r="C479" s="43" t="s">
        <v>1181</v>
      </c>
      <c r="D479" s="44" t="s">
        <v>148</v>
      </c>
      <c r="E479" s="43" t="s">
        <v>474</v>
      </c>
    </row>
    <row r="480" spans="2:5">
      <c r="B480" s="54" t="s">
        <v>1182</v>
      </c>
      <c r="C480" s="43" t="s">
        <v>1183</v>
      </c>
      <c r="D480" s="44" t="s">
        <v>148</v>
      </c>
      <c r="E480" s="43" t="s">
        <v>474</v>
      </c>
    </row>
    <row r="481" spans="2:5">
      <c r="B481" s="54" t="s">
        <v>1184</v>
      </c>
      <c r="C481" s="43" t="s">
        <v>1185</v>
      </c>
      <c r="D481" s="44" t="s">
        <v>148</v>
      </c>
      <c r="E481" s="43" t="s">
        <v>474</v>
      </c>
    </row>
    <row r="482" spans="2:5">
      <c r="B482" s="54" t="s">
        <v>1186</v>
      </c>
      <c r="C482" s="43" t="s">
        <v>1183</v>
      </c>
      <c r="D482" s="44" t="s">
        <v>148</v>
      </c>
      <c r="E482" s="43" t="s">
        <v>474</v>
      </c>
    </row>
    <row r="483" spans="2:5">
      <c r="B483" s="54" t="s">
        <v>1187</v>
      </c>
      <c r="C483" s="43" t="s">
        <v>1181</v>
      </c>
      <c r="D483" s="44" t="s">
        <v>148</v>
      </c>
      <c r="E483" s="43" t="s">
        <v>474</v>
      </c>
    </row>
    <row r="484" spans="2:5">
      <c r="B484" s="54" t="s">
        <v>1188</v>
      </c>
      <c r="C484" s="43" t="s">
        <v>1185</v>
      </c>
      <c r="D484" s="44" t="s">
        <v>148</v>
      </c>
      <c r="E484" s="43" t="s">
        <v>474</v>
      </c>
    </row>
    <row r="485" spans="2:5">
      <c r="B485" s="58" t="s">
        <v>1189</v>
      </c>
      <c r="C485" s="43" t="s">
        <v>1185</v>
      </c>
      <c r="D485" s="44" t="s">
        <v>148</v>
      </c>
      <c r="E485" s="43" t="s">
        <v>474</v>
      </c>
    </row>
    <row r="486" spans="2:5">
      <c r="B486" s="54" t="s">
        <v>1190</v>
      </c>
      <c r="C486" s="43" t="s">
        <v>1185</v>
      </c>
      <c r="D486" s="44" t="s">
        <v>148</v>
      </c>
      <c r="E486" s="43" t="s">
        <v>474</v>
      </c>
    </row>
    <row r="487" spans="2:5">
      <c r="B487" s="54" t="s">
        <v>1191</v>
      </c>
      <c r="C487" s="43" t="s">
        <v>1183</v>
      </c>
      <c r="D487" s="44" t="s">
        <v>148</v>
      </c>
      <c r="E487" s="43" t="s">
        <v>474</v>
      </c>
    </row>
    <row r="488" spans="2:5">
      <c r="B488" s="54" t="s">
        <v>365</v>
      </c>
      <c r="C488" s="43" t="s">
        <v>1192</v>
      </c>
      <c r="D488" s="44" t="s">
        <v>149</v>
      </c>
      <c r="E488" s="43" t="s">
        <v>474</v>
      </c>
    </row>
    <row r="489" spans="2:5">
      <c r="B489" s="54" t="s">
        <v>1193</v>
      </c>
      <c r="C489" s="43" t="s">
        <v>1194</v>
      </c>
      <c r="D489" s="44" t="s">
        <v>149</v>
      </c>
      <c r="E489" s="43" t="s">
        <v>474</v>
      </c>
    </row>
    <row r="490" spans="2:5">
      <c r="B490" s="54" t="s">
        <v>1195</v>
      </c>
      <c r="C490" s="43" t="s">
        <v>1196</v>
      </c>
      <c r="D490" s="44" t="s">
        <v>149</v>
      </c>
      <c r="E490" s="43" t="s">
        <v>485</v>
      </c>
    </row>
    <row r="491" spans="2:5">
      <c r="B491" s="54" t="s">
        <v>1197</v>
      </c>
      <c r="C491" s="43" t="s">
        <v>1198</v>
      </c>
      <c r="D491" s="44" t="s">
        <v>149</v>
      </c>
      <c r="E491" s="43" t="s">
        <v>488</v>
      </c>
    </row>
    <row r="492" spans="2:5">
      <c r="B492" s="54" t="s">
        <v>369</v>
      </c>
      <c r="C492" s="43" t="s">
        <v>1199</v>
      </c>
      <c r="D492" s="44" t="s">
        <v>160</v>
      </c>
      <c r="E492" s="43" t="s">
        <v>474</v>
      </c>
    </row>
    <row r="493" spans="2:5">
      <c r="B493" s="54" t="s">
        <v>1200</v>
      </c>
      <c r="C493" s="43" t="s">
        <v>1201</v>
      </c>
      <c r="D493" s="44" t="s">
        <v>160</v>
      </c>
      <c r="E493" s="43" t="s">
        <v>474</v>
      </c>
    </row>
    <row r="494" spans="2:5">
      <c r="B494" s="54" t="s">
        <v>1202</v>
      </c>
      <c r="C494" s="43" t="s">
        <v>1163</v>
      </c>
      <c r="D494" s="44" t="s">
        <v>150</v>
      </c>
      <c r="E494" s="43" t="s">
        <v>474</v>
      </c>
    </row>
    <row r="495" spans="2:5">
      <c r="B495" s="54" t="s">
        <v>1203</v>
      </c>
      <c r="C495" s="43" t="s">
        <v>1204</v>
      </c>
      <c r="D495" s="44" t="s">
        <v>159</v>
      </c>
      <c r="E495" s="43" t="s">
        <v>485</v>
      </c>
    </row>
    <row r="496" spans="2:5">
      <c r="B496" s="54" t="s">
        <v>1205</v>
      </c>
      <c r="C496" s="43" t="s">
        <v>1206</v>
      </c>
      <c r="D496" s="44" t="s">
        <v>159</v>
      </c>
      <c r="E496" s="43" t="s">
        <v>474</v>
      </c>
    </row>
    <row r="497" spans="2:5">
      <c r="B497" s="54" t="s">
        <v>1205</v>
      </c>
      <c r="C497" s="43" t="s">
        <v>1207</v>
      </c>
      <c r="D497" s="44" t="s">
        <v>159</v>
      </c>
      <c r="E497" s="43" t="s">
        <v>474</v>
      </c>
    </row>
    <row r="498" spans="2:5">
      <c r="B498" s="54" t="s">
        <v>1205</v>
      </c>
      <c r="C498" s="43" t="s">
        <v>1208</v>
      </c>
      <c r="D498" s="44" t="s">
        <v>159</v>
      </c>
      <c r="E498" s="43" t="s">
        <v>474</v>
      </c>
    </row>
    <row r="499" spans="2:5">
      <c r="B499" s="54" t="s">
        <v>375</v>
      </c>
      <c r="C499" s="43" t="s">
        <v>1208</v>
      </c>
      <c r="D499" s="44" t="s">
        <v>159</v>
      </c>
      <c r="E499" s="43" t="s">
        <v>474</v>
      </c>
    </row>
    <row r="500" spans="2:5">
      <c r="B500" s="54" t="s">
        <v>1205</v>
      </c>
      <c r="C500" s="43" t="s">
        <v>1209</v>
      </c>
      <c r="D500" s="44" t="s">
        <v>159</v>
      </c>
      <c r="E500" s="43" t="s">
        <v>474</v>
      </c>
    </row>
    <row r="501" spans="2:5">
      <c r="B501" s="54" t="s">
        <v>1205</v>
      </c>
      <c r="C501" s="43" t="s">
        <v>1210</v>
      </c>
      <c r="D501" s="44" t="s">
        <v>159</v>
      </c>
      <c r="E501" s="43" t="s">
        <v>474</v>
      </c>
    </row>
    <row r="502" spans="2:5">
      <c r="B502" s="54" t="s">
        <v>377</v>
      </c>
      <c r="C502" s="43" t="s">
        <v>1211</v>
      </c>
      <c r="D502" s="44" t="s">
        <v>152</v>
      </c>
      <c r="E502" s="43" t="s">
        <v>474</v>
      </c>
    </row>
    <row r="503" spans="2:5">
      <c r="B503" s="54" t="s">
        <v>1212</v>
      </c>
      <c r="C503" s="43" t="s">
        <v>1213</v>
      </c>
      <c r="D503" s="44" t="s">
        <v>152</v>
      </c>
      <c r="E503" s="43" t="s">
        <v>474</v>
      </c>
    </row>
    <row r="504" spans="2:5">
      <c r="B504" s="54" t="s">
        <v>1214</v>
      </c>
      <c r="C504" s="43" t="s">
        <v>1215</v>
      </c>
      <c r="D504" s="44" t="s">
        <v>152</v>
      </c>
      <c r="E504" s="43" t="s">
        <v>474</v>
      </c>
    </row>
    <row r="505" spans="2:5">
      <c r="B505" s="54" t="s">
        <v>1216</v>
      </c>
      <c r="C505" s="43" t="s">
        <v>1217</v>
      </c>
      <c r="D505" s="44" t="s">
        <v>152</v>
      </c>
      <c r="E505" s="43" t="s">
        <v>474</v>
      </c>
    </row>
    <row r="506" spans="2:5">
      <c r="B506" s="54" t="s">
        <v>1218</v>
      </c>
      <c r="C506" s="43" t="s">
        <v>1219</v>
      </c>
      <c r="D506" s="44" t="s">
        <v>152</v>
      </c>
      <c r="E506" s="43" t="s">
        <v>485</v>
      </c>
    </row>
    <row r="507" spans="2:5">
      <c r="B507" s="54" t="s">
        <v>1220</v>
      </c>
      <c r="C507" s="43" t="s">
        <v>1219</v>
      </c>
      <c r="D507" s="44" t="s">
        <v>152</v>
      </c>
      <c r="E507" s="43" t="s">
        <v>485</v>
      </c>
    </row>
    <row r="508" spans="2:5">
      <c r="B508" s="54" t="s">
        <v>1221</v>
      </c>
      <c r="C508" s="43" t="s">
        <v>1222</v>
      </c>
      <c r="D508" s="44" t="e">
        <v>#N/A</v>
      </c>
      <c r="E508" s="43" t="s">
        <v>474</v>
      </c>
    </row>
    <row r="509" spans="2:5">
      <c r="B509" s="54" t="s">
        <v>1223</v>
      </c>
      <c r="C509" s="43" t="s">
        <v>1224</v>
      </c>
      <c r="D509" s="44" t="s">
        <v>853</v>
      </c>
      <c r="E509" s="43" t="s">
        <v>488</v>
      </c>
    </row>
    <row r="510" spans="2:5">
      <c r="B510" s="54" t="s">
        <v>1225</v>
      </c>
      <c r="C510" s="43" t="s">
        <v>1224</v>
      </c>
      <c r="D510" s="44" t="s">
        <v>853</v>
      </c>
      <c r="E510" s="43" t="s">
        <v>488</v>
      </c>
    </row>
    <row r="511" spans="2:5">
      <c r="B511" s="54" t="s">
        <v>1226</v>
      </c>
      <c r="C511" s="43" t="s">
        <v>1227</v>
      </c>
      <c r="D511" s="44" t="s">
        <v>154</v>
      </c>
      <c r="E511" s="43" t="s">
        <v>485</v>
      </c>
    </row>
    <row r="512" spans="2:5">
      <c r="B512" s="54" t="s">
        <v>1228</v>
      </c>
      <c r="C512" s="43" t="s">
        <v>1227</v>
      </c>
      <c r="D512" s="44" t="s">
        <v>154</v>
      </c>
      <c r="E512" s="43" t="s">
        <v>485</v>
      </c>
    </row>
    <row r="513" spans="2:5">
      <c r="B513" s="54" t="s">
        <v>1229</v>
      </c>
      <c r="C513" s="43" t="s">
        <v>1230</v>
      </c>
      <c r="D513" s="44" t="s">
        <v>154</v>
      </c>
      <c r="E513" s="43" t="s">
        <v>488</v>
      </c>
    </row>
    <row r="514" spans="2:5">
      <c r="B514" s="54" t="s">
        <v>1231</v>
      </c>
      <c r="C514" s="43" t="s">
        <v>1230</v>
      </c>
      <c r="D514" s="44" t="s">
        <v>154</v>
      </c>
      <c r="E514" s="43" t="s">
        <v>488</v>
      </c>
    </row>
    <row r="515" spans="2:5">
      <c r="B515" s="54" t="s">
        <v>282</v>
      </c>
      <c r="C515" s="43" t="s">
        <v>1232</v>
      </c>
      <c r="D515" s="44" t="s">
        <v>154</v>
      </c>
      <c r="E515" s="43" t="s">
        <v>474</v>
      </c>
    </row>
    <row r="516" spans="2:5">
      <c r="B516" s="54" t="s">
        <v>1233</v>
      </c>
      <c r="C516" s="43" t="s">
        <v>1234</v>
      </c>
      <c r="D516" s="44" t="s">
        <v>154</v>
      </c>
      <c r="E516" s="43" t="s">
        <v>474</v>
      </c>
    </row>
    <row r="517" spans="2:5">
      <c r="B517" s="54" t="s">
        <v>1235</v>
      </c>
      <c r="C517" s="43" t="s">
        <v>1234</v>
      </c>
      <c r="D517" s="44" t="s">
        <v>154</v>
      </c>
      <c r="E517" s="43" t="s">
        <v>474</v>
      </c>
    </row>
    <row r="518" spans="2:5">
      <c r="B518" s="54" t="s">
        <v>1236</v>
      </c>
      <c r="C518" s="43" t="s">
        <v>1237</v>
      </c>
      <c r="D518" s="44" t="s">
        <v>136</v>
      </c>
      <c r="E518" s="43" t="s">
        <v>485</v>
      </c>
    </row>
    <row r="519" spans="2:5">
      <c r="B519" s="54" t="s">
        <v>1238</v>
      </c>
      <c r="C519" s="43" t="s">
        <v>1239</v>
      </c>
      <c r="D519" s="44" t="s">
        <v>136</v>
      </c>
      <c r="E519" s="43" t="s">
        <v>488</v>
      </c>
    </row>
    <row r="520" spans="2:5">
      <c r="B520" s="54" t="s">
        <v>1240</v>
      </c>
      <c r="C520" s="43" t="s">
        <v>1241</v>
      </c>
      <c r="D520" s="44" t="s">
        <v>136</v>
      </c>
      <c r="E520" s="43" t="s">
        <v>488</v>
      </c>
    </row>
    <row r="521" spans="2:5">
      <c r="B521" s="54" t="s">
        <v>1242</v>
      </c>
      <c r="C521" s="43" t="s">
        <v>1243</v>
      </c>
      <c r="D521" s="44" t="s">
        <v>136</v>
      </c>
      <c r="E521" s="43" t="s">
        <v>474</v>
      </c>
    </row>
    <row r="522" spans="2:5">
      <c r="B522" s="54" t="s">
        <v>1244</v>
      </c>
      <c r="C522" s="43" t="s">
        <v>1245</v>
      </c>
      <c r="D522" s="44" t="s">
        <v>157</v>
      </c>
      <c r="E522" s="43" t="s">
        <v>474</v>
      </c>
    </row>
    <row r="523" spans="2:5">
      <c r="B523" s="54" t="s">
        <v>1246</v>
      </c>
      <c r="C523" s="43" t="s">
        <v>1245</v>
      </c>
      <c r="D523" s="44" t="s">
        <v>157</v>
      </c>
      <c r="E523" s="43" t="s">
        <v>474</v>
      </c>
    </row>
    <row r="524" spans="2:5">
      <c r="B524" s="54" t="s">
        <v>379</v>
      </c>
      <c r="C524" s="43" t="s">
        <v>1247</v>
      </c>
      <c r="D524" s="44" t="s">
        <v>157</v>
      </c>
      <c r="E524" s="43" t="s">
        <v>474</v>
      </c>
    </row>
    <row r="525" spans="2:5">
      <c r="B525" s="54" t="s">
        <v>396</v>
      </c>
      <c r="C525" s="43" t="s">
        <v>1247</v>
      </c>
      <c r="D525" s="44" t="s">
        <v>157</v>
      </c>
      <c r="E525" s="43" t="s">
        <v>474</v>
      </c>
    </row>
    <row r="526" spans="2:5">
      <c r="B526" s="54" t="s">
        <v>1248</v>
      </c>
      <c r="C526" s="43" t="s">
        <v>1249</v>
      </c>
      <c r="D526" s="44" t="s">
        <v>157</v>
      </c>
      <c r="E526" s="43" t="s">
        <v>474</v>
      </c>
    </row>
    <row r="527" spans="2:5">
      <c r="B527" s="54" t="s">
        <v>1250</v>
      </c>
      <c r="C527" s="43" t="s">
        <v>1251</v>
      </c>
      <c r="D527" s="44" t="s">
        <v>1166</v>
      </c>
      <c r="E527" s="43" t="s">
        <v>485</v>
      </c>
    </row>
    <row r="528" spans="2:5">
      <c r="B528" s="54" t="s">
        <v>372</v>
      </c>
      <c r="C528" s="43" t="s">
        <v>1252</v>
      </c>
      <c r="D528" s="44" t="s">
        <v>155</v>
      </c>
      <c r="E528" s="43" t="s">
        <v>474</v>
      </c>
    </row>
    <row r="529" spans="2:5">
      <c r="B529" s="54" t="s">
        <v>1253</v>
      </c>
      <c r="C529" s="43" t="s">
        <v>1254</v>
      </c>
      <c r="D529" s="44" t="s">
        <v>155</v>
      </c>
      <c r="E529" s="43" t="s">
        <v>474</v>
      </c>
    </row>
    <row r="530" spans="2:5">
      <c r="B530" s="54" t="s">
        <v>1255</v>
      </c>
      <c r="C530" s="43" t="s">
        <v>1256</v>
      </c>
      <c r="D530" s="44" t="s">
        <v>155</v>
      </c>
      <c r="E530" s="43" t="s">
        <v>474</v>
      </c>
    </row>
    <row r="531" spans="2:5">
      <c r="B531" s="54" t="s">
        <v>1257</v>
      </c>
      <c r="C531" s="43" t="s">
        <v>1256</v>
      </c>
      <c r="D531" s="44" t="s">
        <v>155</v>
      </c>
      <c r="E531" s="43" t="s">
        <v>474</v>
      </c>
    </row>
    <row r="532" spans="2:5">
      <c r="B532" s="54" t="s">
        <v>1258</v>
      </c>
      <c r="C532" s="43" t="s">
        <v>1254</v>
      </c>
      <c r="D532" s="44" t="s">
        <v>155</v>
      </c>
      <c r="E532" s="43" t="s">
        <v>474</v>
      </c>
    </row>
    <row r="533" spans="2:5">
      <c r="B533" s="54" t="s">
        <v>1259</v>
      </c>
      <c r="C533" s="43" t="s">
        <v>1260</v>
      </c>
      <c r="D533" s="44" t="s">
        <v>155</v>
      </c>
      <c r="E533" s="43" t="s">
        <v>485</v>
      </c>
    </row>
    <row r="534" spans="2:5">
      <c r="B534" s="54" t="s">
        <v>374</v>
      </c>
      <c r="C534" s="43" t="s">
        <v>1261</v>
      </c>
      <c r="D534" s="44" t="s">
        <v>163</v>
      </c>
      <c r="E534" s="43" t="s">
        <v>474</v>
      </c>
    </row>
    <row r="535" spans="2:5">
      <c r="B535" s="54" t="s">
        <v>1262</v>
      </c>
      <c r="C535" s="43" t="s">
        <v>1263</v>
      </c>
      <c r="D535" s="44" t="s">
        <v>163</v>
      </c>
      <c r="E535" s="43" t="s">
        <v>474</v>
      </c>
    </row>
    <row r="536" spans="2:5">
      <c r="B536" s="54" t="s">
        <v>1264</v>
      </c>
      <c r="C536" s="43" t="s">
        <v>1265</v>
      </c>
      <c r="D536" s="44" t="s">
        <v>191</v>
      </c>
      <c r="E536" s="43" t="s">
        <v>485</v>
      </c>
    </row>
    <row r="537" spans="2:5">
      <c r="B537" s="54" t="s">
        <v>1266</v>
      </c>
      <c r="C537" s="43" t="s">
        <v>1265</v>
      </c>
      <c r="D537" s="44" t="s">
        <v>191</v>
      </c>
      <c r="E537" s="43" t="s">
        <v>485</v>
      </c>
    </row>
    <row r="538" spans="2:5">
      <c r="B538" s="54" t="s">
        <v>397</v>
      </c>
      <c r="C538" s="43" t="s">
        <v>1267</v>
      </c>
      <c r="D538" s="44" t="s">
        <v>162</v>
      </c>
      <c r="E538" s="43" t="s">
        <v>474</v>
      </c>
    </row>
    <row r="539" spans="2:5">
      <c r="B539" s="54" t="s">
        <v>163</v>
      </c>
      <c r="C539" s="43" t="s">
        <v>1263</v>
      </c>
      <c r="D539" s="44" t="s">
        <v>163</v>
      </c>
      <c r="E539" s="43" t="s">
        <v>474</v>
      </c>
    </row>
    <row r="540" spans="2:5">
      <c r="B540" s="54" t="s">
        <v>409</v>
      </c>
      <c r="C540" s="43" t="s">
        <v>1268</v>
      </c>
      <c r="D540" s="44" t="s">
        <v>156</v>
      </c>
      <c r="E540" s="43" t="s">
        <v>474</v>
      </c>
    </row>
    <row r="541" spans="2:5">
      <c r="B541" s="54" t="s">
        <v>1269</v>
      </c>
      <c r="C541" s="43" t="s">
        <v>1270</v>
      </c>
      <c r="D541" s="44" t="s">
        <v>148</v>
      </c>
      <c r="E541" s="43" t="s">
        <v>485</v>
      </c>
    </row>
    <row r="542" spans="2:5">
      <c r="B542" s="54" t="s">
        <v>1271</v>
      </c>
      <c r="C542" s="43" t="s">
        <v>1272</v>
      </c>
      <c r="D542" s="44" t="s">
        <v>435</v>
      </c>
      <c r="E542" s="43" t="s">
        <v>485</v>
      </c>
    </row>
    <row r="543" spans="2:5">
      <c r="B543" s="54" t="s">
        <v>1273</v>
      </c>
      <c r="C543" s="43" t="s">
        <v>1274</v>
      </c>
      <c r="D543" s="44" t="s">
        <v>1275</v>
      </c>
      <c r="E543" s="43" t="s">
        <v>474</v>
      </c>
    </row>
    <row r="544" spans="2:5">
      <c r="B544" s="54" t="s">
        <v>1276</v>
      </c>
      <c r="C544" s="43" t="s">
        <v>1277</v>
      </c>
      <c r="D544" s="44" t="s">
        <v>229</v>
      </c>
      <c r="E544" s="43" t="s">
        <v>485</v>
      </c>
    </row>
    <row r="545" spans="2:5">
      <c r="B545" s="54" t="s">
        <v>1278</v>
      </c>
      <c r="C545" s="43" t="s">
        <v>1279</v>
      </c>
      <c r="D545" s="44" t="s">
        <v>229</v>
      </c>
      <c r="E545" s="43" t="s">
        <v>488</v>
      </c>
    </row>
    <row r="546" spans="2:5">
      <c r="B546" s="54" t="s">
        <v>1280</v>
      </c>
      <c r="C546" s="43" t="s">
        <v>1281</v>
      </c>
      <c r="D546" s="44" t="s">
        <v>210</v>
      </c>
      <c r="E546" s="43" t="s">
        <v>485</v>
      </c>
    </row>
    <row r="547" spans="2:5">
      <c r="B547" s="54" t="s">
        <v>1282</v>
      </c>
      <c r="C547" s="43" t="s">
        <v>1281</v>
      </c>
      <c r="D547" s="44" t="s">
        <v>210</v>
      </c>
      <c r="E547" s="43" t="s">
        <v>485</v>
      </c>
    </row>
    <row r="548" spans="2:5">
      <c r="B548" s="54" t="s">
        <v>1283</v>
      </c>
      <c r="C548" s="43" t="s">
        <v>1284</v>
      </c>
      <c r="D548" s="44" t="s">
        <v>53</v>
      </c>
      <c r="E548" s="43" t="s">
        <v>485</v>
      </c>
    </row>
    <row r="549" spans="2:5">
      <c r="B549" s="54" t="s">
        <v>1285</v>
      </c>
      <c r="C549" s="43" t="s">
        <v>1284</v>
      </c>
      <c r="D549" s="44" t="s">
        <v>53</v>
      </c>
      <c r="E549" s="43" t="s">
        <v>485</v>
      </c>
    </row>
    <row r="550" spans="2:5">
      <c r="B550" s="54" t="s">
        <v>1286</v>
      </c>
      <c r="C550" s="43" t="s">
        <v>1284</v>
      </c>
      <c r="D550" s="44" t="s">
        <v>53</v>
      </c>
      <c r="E550" s="43" t="s">
        <v>485</v>
      </c>
    </row>
    <row r="551" spans="2:5">
      <c r="B551" s="54" t="s">
        <v>1287</v>
      </c>
      <c r="C551" s="43" t="s">
        <v>1288</v>
      </c>
      <c r="D551" s="44" t="s">
        <v>53</v>
      </c>
      <c r="E551" s="43" t="s">
        <v>474</v>
      </c>
    </row>
    <row r="552" spans="2:5">
      <c r="B552" s="54" t="s">
        <v>295</v>
      </c>
      <c r="C552" s="43" t="s">
        <v>1288</v>
      </c>
      <c r="D552" s="44" t="s">
        <v>53</v>
      </c>
      <c r="E552" s="43" t="s">
        <v>474</v>
      </c>
    </row>
    <row r="553" spans="2:5">
      <c r="B553" s="54" t="s">
        <v>1289</v>
      </c>
      <c r="C553" s="43" t="s">
        <v>1290</v>
      </c>
      <c r="D553" s="44" t="s">
        <v>1291</v>
      </c>
      <c r="E553" s="43" t="s">
        <v>474</v>
      </c>
    </row>
    <row r="554" spans="2:5">
      <c r="B554" s="54" t="s">
        <v>1292</v>
      </c>
      <c r="C554" s="43" t="s">
        <v>1293</v>
      </c>
      <c r="D554" s="44" t="s">
        <v>1291</v>
      </c>
      <c r="E554" s="43" t="s">
        <v>474</v>
      </c>
    </row>
    <row r="555" spans="2:5">
      <c r="B555" s="54" t="s">
        <v>1294</v>
      </c>
      <c r="C555" s="43" t="s">
        <v>1295</v>
      </c>
      <c r="D555" s="44" t="s">
        <v>1291</v>
      </c>
      <c r="E555" s="43" t="s">
        <v>474</v>
      </c>
    </row>
    <row r="556" spans="2:5">
      <c r="B556" s="54" t="s">
        <v>376</v>
      </c>
      <c r="C556" s="43" t="s">
        <v>1296</v>
      </c>
      <c r="D556" s="44" t="s">
        <v>170</v>
      </c>
      <c r="E556" s="43" t="s">
        <v>474</v>
      </c>
    </row>
    <row r="557" spans="2:5">
      <c r="B557" s="54" t="s">
        <v>419</v>
      </c>
      <c r="C557" s="43" t="s">
        <v>1297</v>
      </c>
      <c r="D557" s="44" t="s">
        <v>419</v>
      </c>
      <c r="E557" s="43" t="s">
        <v>474</v>
      </c>
    </row>
    <row r="558" spans="2:5">
      <c r="B558" s="54" t="s">
        <v>1298</v>
      </c>
      <c r="C558" s="43" t="s">
        <v>1299</v>
      </c>
      <c r="D558" s="44" t="s">
        <v>419</v>
      </c>
      <c r="E558" s="43" t="s">
        <v>474</v>
      </c>
    </row>
    <row r="559" spans="2:5">
      <c r="B559" s="54" t="s">
        <v>1300</v>
      </c>
      <c r="C559" s="43" t="s">
        <v>1301</v>
      </c>
      <c r="D559" s="44" t="s">
        <v>1291</v>
      </c>
      <c r="E559" s="43" t="s">
        <v>485</v>
      </c>
    </row>
    <row r="560" spans="2:5">
      <c r="B560" s="54" t="s">
        <v>387</v>
      </c>
      <c r="C560" s="43" t="s">
        <v>1297</v>
      </c>
      <c r="D560" s="44" t="s">
        <v>419</v>
      </c>
      <c r="E560" s="43" t="s">
        <v>474</v>
      </c>
    </row>
    <row r="561" spans="2:5">
      <c r="B561" s="54" t="s">
        <v>1302</v>
      </c>
      <c r="C561" s="43" t="s">
        <v>1299</v>
      </c>
      <c r="D561" s="44" t="s">
        <v>419</v>
      </c>
      <c r="E561" s="43" t="s">
        <v>474</v>
      </c>
    </row>
    <row r="562" spans="2:5">
      <c r="B562" s="54" t="s">
        <v>1303</v>
      </c>
      <c r="C562" s="43" t="s">
        <v>1304</v>
      </c>
      <c r="D562" s="44" t="s">
        <v>419</v>
      </c>
      <c r="E562" s="43" t="s">
        <v>485</v>
      </c>
    </row>
    <row r="563" spans="2:5">
      <c r="B563" s="54" t="s">
        <v>1305</v>
      </c>
      <c r="C563" s="43" t="s">
        <v>1306</v>
      </c>
      <c r="D563" s="44" t="s">
        <v>419</v>
      </c>
      <c r="E563" s="43" t="s">
        <v>488</v>
      </c>
    </row>
    <row r="564" spans="2:5">
      <c r="B564" s="54" t="s">
        <v>1307</v>
      </c>
      <c r="C564" s="43" t="s">
        <v>1304</v>
      </c>
      <c r="D564" s="44" t="s">
        <v>419</v>
      </c>
      <c r="E564" s="43" t="s">
        <v>485</v>
      </c>
    </row>
    <row r="565" spans="2:5">
      <c r="B565" s="54" t="s">
        <v>1308</v>
      </c>
      <c r="C565" s="43" t="s">
        <v>1306</v>
      </c>
      <c r="D565" s="44" t="s">
        <v>419</v>
      </c>
      <c r="E565" s="43" t="s">
        <v>488</v>
      </c>
    </row>
    <row r="566" spans="2:5">
      <c r="B566" s="54" t="s">
        <v>415</v>
      </c>
      <c r="C566" s="43" t="s">
        <v>1309</v>
      </c>
      <c r="D566" s="44" t="s">
        <v>168</v>
      </c>
      <c r="E566" s="43" t="s">
        <v>474</v>
      </c>
    </row>
    <row r="567" spans="2:5">
      <c r="B567" s="54" t="s">
        <v>1310</v>
      </c>
      <c r="C567" s="43" t="s">
        <v>1311</v>
      </c>
      <c r="D567" s="44" t="s">
        <v>168</v>
      </c>
      <c r="E567" s="43" t="s">
        <v>474</v>
      </c>
    </row>
    <row r="568" spans="2:5">
      <c r="B568" s="54" t="s">
        <v>1312</v>
      </c>
      <c r="C568" s="43" t="s">
        <v>1311</v>
      </c>
      <c r="D568" s="44" t="s">
        <v>168</v>
      </c>
      <c r="E568" s="43" t="s">
        <v>474</v>
      </c>
    </row>
    <row r="569" spans="2:5">
      <c r="B569" s="54" t="s">
        <v>1313</v>
      </c>
      <c r="C569" s="43" t="s">
        <v>1311</v>
      </c>
      <c r="D569" s="44" t="s">
        <v>168</v>
      </c>
      <c r="E569" s="43" t="s">
        <v>474</v>
      </c>
    </row>
    <row r="570" spans="2:5">
      <c r="B570" s="54" t="s">
        <v>1314</v>
      </c>
      <c r="C570" s="43" t="s">
        <v>1315</v>
      </c>
      <c r="D570" s="44" t="s">
        <v>243</v>
      </c>
      <c r="E570" s="43" t="s">
        <v>474</v>
      </c>
    </row>
    <row r="571" spans="2:5">
      <c r="B571" s="54" t="s">
        <v>407</v>
      </c>
      <c r="C571" s="43" t="s">
        <v>1316</v>
      </c>
      <c r="D571" s="44" t="s">
        <v>172</v>
      </c>
      <c r="E571" s="43" t="s">
        <v>474</v>
      </c>
    </row>
    <row r="572" spans="2:5">
      <c r="B572" s="54" t="s">
        <v>423</v>
      </c>
      <c r="C572" s="43" t="s">
        <v>1316</v>
      </c>
      <c r="D572" s="44" t="s">
        <v>172</v>
      </c>
      <c r="E572" s="43" t="s">
        <v>474</v>
      </c>
    </row>
    <row r="573" spans="2:5">
      <c r="B573" s="54" t="s">
        <v>1317</v>
      </c>
      <c r="C573" s="43" t="s">
        <v>1318</v>
      </c>
      <c r="D573" s="44" t="s">
        <v>172</v>
      </c>
      <c r="E573" s="43" t="s">
        <v>474</v>
      </c>
    </row>
    <row r="574" spans="2:5">
      <c r="B574" s="54" t="s">
        <v>1319</v>
      </c>
      <c r="C574" s="43" t="s">
        <v>1318</v>
      </c>
      <c r="D574" s="44" t="s">
        <v>172</v>
      </c>
      <c r="E574" s="43" t="s">
        <v>474</v>
      </c>
    </row>
    <row r="575" spans="2:5">
      <c r="B575" s="60" t="s">
        <v>1320</v>
      </c>
      <c r="C575" s="43" t="s">
        <v>1318</v>
      </c>
      <c r="D575" s="44" t="s">
        <v>172</v>
      </c>
      <c r="E575" s="43" t="s">
        <v>474</v>
      </c>
    </row>
    <row r="576" spans="2:5">
      <c r="B576" s="54" t="s">
        <v>1321</v>
      </c>
      <c r="C576" s="43" t="s">
        <v>1318</v>
      </c>
      <c r="D576" s="44" t="s">
        <v>172</v>
      </c>
      <c r="E576" s="43" t="s">
        <v>474</v>
      </c>
    </row>
    <row r="577" spans="2:5">
      <c r="B577" s="54" t="s">
        <v>391</v>
      </c>
      <c r="C577" s="43" t="s">
        <v>1316</v>
      </c>
      <c r="D577" s="44" t="s">
        <v>172</v>
      </c>
      <c r="E577" s="43" t="s">
        <v>474</v>
      </c>
    </row>
    <row r="578" spans="2:5">
      <c r="B578" s="54" t="s">
        <v>1322</v>
      </c>
      <c r="C578" s="43" t="s">
        <v>1323</v>
      </c>
      <c r="D578" s="44" t="e">
        <v>#N/A</v>
      </c>
      <c r="E578" s="43" t="s">
        <v>477</v>
      </c>
    </row>
    <row r="579" spans="2:5">
      <c r="B579" s="54" t="s">
        <v>1324</v>
      </c>
      <c r="C579" s="43" t="s">
        <v>1325</v>
      </c>
      <c r="D579" s="44" t="e">
        <v>#N/A</v>
      </c>
      <c r="E579" s="43" t="s">
        <v>474</v>
      </c>
    </row>
    <row r="580" spans="2:5">
      <c r="B580" s="54" t="s">
        <v>1326</v>
      </c>
      <c r="C580" s="43" t="s">
        <v>1327</v>
      </c>
      <c r="D580" s="44" t="e">
        <v>#N/A</v>
      </c>
      <c r="E580" s="43" t="s">
        <v>474</v>
      </c>
    </row>
    <row r="581" spans="2:5">
      <c r="B581" s="54" t="s">
        <v>1328</v>
      </c>
      <c r="C581" s="43"/>
      <c r="D581" s="44" t="e">
        <v>#N/A</v>
      </c>
      <c r="E581" s="43"/>
    </row>
    <row r="582" spans="2:5">
      <c r="B582" s="54" t="s">
        <v>1329</v>
      </c>
      <c r="C582" s="43" t="s">
        <v>1330</v>
      </c>
      <c r="D582" s="44" t="e">
        <v>#N/A</v>
      </c>
      <c r="E582" s="43" t="s">
        <v>474</v>
      </c>
    </row>
    <row r="583" spans="2:5">
      <c r="B583" s="54" t="s">
        <v>1331</v>
      </c>
      <c r="C583" s="43" t="s">
        <v>1332</v>
      </c>
      <c r="D583" s="44" t="e">
        <v>#N/A</v>
      </c>
      <c r="E583" s="43" t="s">
        <v>474</v>
      </c>
    </row>
    <row r="584" spans="2:5">
      <c r="B584" s="54" t="s">
        <v>1333</v>
      </c>
      <c r="C584" s="43" t="s">
        <v>1332</v>
      </c>
      <c r="D584" s="44" t="e">
        <v>#N/A</v>
      </c>
      <c r="E584" s="43" t="s">
        <v>474</v>
      </c>
    </row>
    <row r="585" spans="2:5">
      <c r="B585" s="54" t="s">
        <v>1334</v>
      </c>
      <c r="C585" s="43" t="s">
        <v>1335</v>
      </c>
      <c r="D585" s="44" t="e">
        <v>#N/A</v>
      </c>
      <c r="E585" s="43" t="s">
        <v>474</v>
      </c>
    </row>
    <row r="586" spans="2:5">
      <c r="B586" s="54" t="s">
        <v>414</v>
      </c>
      <c r="C586" s="43" t="s">
        <v>175</v>
      </c>
      <c r="D586" s="44" t="s">
        <v>175</v>
      </c>
      <c r="E586" s="43" t="s">
        <v>474</v>
      </c>
    </row>
    <row r="587" spans="2:5">
      <c r="B587" s="54" t="s">
        <v>1336</v>
      </c>
      <c r="C587" s="43" t="s">
        <v>1337</v>
      </c>
      <c r="D587" s="44" t="s">
        <v>178</v>
      </c>
      <c r="E587" s="43" t="s">
        <v>485</v>
      </c>
    </row>
    <row r="588" spans="2:5">
      <c r="B588" s="54" t="s">
        <v>1338</v>
      </c>
      <c r="C588" s="43" t="s">
        <v>1337</v>
      </c>
      <c r="D588" s="44" t="s">
        <v>178</v>
      </c>
      <c r="E588" s="43" t="s">
        <v>485</v>
      </c>
    </row>
    <row r="589" spans="2:5">
      <c r="B589" s="54" t="s">
        <v>417</v>
      </c>
      <c r="C589" s="43" t="s">
        <v>1339</v>
      </c>
      <c r="D589" s="44" t="s">
        <v>178</v>
      </c>
      <c r="E589" s="43" t="s">
        <v>474</v>
      </c>
    </row>
    <row r="590" spans="2:5">
      <c r="B590" s="54" t="s">
        <v>1340</v>
      </c>
      <c r="C590" s="43" t="s">
        <v>1341</v>
      </c>
      <c r="D590" s="44" t="s">
        <v>178</v>
      </c>
      <c r="E590" s="43" t="s">
        <v>474</v>
      </c>
    </row>
    <row r="591" spans="2:5">
      <c r="B591" s="54" t="s">
        <v>1342</v>
      </c>
      <c r="C591" s="43" t="s">
        <v>1341</v>
      </c>
      <c r="D591" s="44" t="s">
        <v>178</v>
      </c>
      <c r="E591" s="43" t="s">
        <v>474</v>
      </c>
    </row>
    <row r="592" spans="2:5">
      <c r="B592" s="54" t="s">
        <v>1343</v>
      </c>
      <c r="C592" s="43" t="s">
        <v>783</v>
      </c>
      <c r="D592" s="44" t="s">
        <v>90</v>
      </c>
      <c r="E592" s="43" t="s">
        <v>474</v>
      </c>
    </row>
    <row r="593" spans="2:5">
      <c r="B593" s="54" t="s">
        <v>380</v>
      </c>
      <c r="C593" s="43" t="s">
        <v>1344</v>
      </c>
      <c r="D593" s="44" t="s">
        <v>179</v>
      </c>
      <c r="E593" s="43" t="s">
        <v>474</v>
      </c>
    </row>
    <row r="594" spans="2:5">
      <c r="B594" s="54" t="s">
        <v>1345</v>
      </c>
      <c r="C594" s="43" t="s">
        <v>1346</v>
      </c>
      <c r="D594" s="44" t="s">
        <v>662</v>
      </c>
      <c r="E594" s="43" t="s">
        <v>474</v>
      </c>
    </row>
    <row r="595" spans="2:5">
      <c r="B595" s="54" t="s">
        <v>1347</v>
      </c>
      <c r="C595" s="43" t="s">
        <v>1348</v>
      </c>
      <c r="D595" s="44" t="s">
        <v>662</v>
      </c>
      <c r="E595" s="43" t="s">
        <v>474</v>
      </c>
    </row>
    <row r="596" spans="2:5">
      <c r="B596" s="54" t="s">
        <v>1349</v>
      </c>
      <c r="C596" s="43" t="s">
        <v>1348</v>
      </c>
      <c r="D596" s="44" t="s">
        <v>662</v>
      </c>
      <c r="E596" s="43" t="s">
        <v>474</v>
      </c>
    </row>
    <row r="597" spans="2:5">
      <c r="B597" s="54" t="s">
        <v>1350</v>
      </c>
      <c r="C597" s="43" t="s">
        <v>1351</v>
      </c>
      <c r="D597" s="44" t="e">
        <v>#N/A</v>
      </c>
      <c r="E597" s="43" t="s">
        <v>477</v>
      </c>
    </row>
    <row r="598" spans="2:5">
      <c r="B598" s="54" t="s">
        <v>1352</v>
      </c>
      <c r="C598" s="43" t="s">
        <v>1353</v>
      </c>
      <c r="D598" s="44" t="e">
        <v>#N/A</v>
      </c>
      <c r="E598" s="43" t="s">
        <v>477</v>
      </c>
    </row>
    <row r="599" spans="2:5">
      <c r="B599" s="54" t="s">
        <v>1354</v>
      </c>
      <c r="C599" s="43" t="s">
        <v>1355</v>
      </c>
      <c r="D599" s="44" t="e">
        <v>#N/A</v>
      </c>
      <c r="E599" s="43" t="s">
        <v>485</v>
      </c>
    </row>
    <row r="600" spans="2:5">
      <c r="B600" s="54" t="s">
        <v>1356</v>
      </c>
      <c r="C600" s="43" t="s">
        <v>1357</v>
      </c>
      <c r="D600" s="44" t="e">
        <v>#N/A</v>
      </c>
      <c r="E600" s="43" t="s">
        <v>488</v>
      </c>
    </row>
    <row r="601" spans="2:5">
      <c r="B601" s="54" t="s">
        <v>1358</v>
      </c>
      <c r="C601" s="43" t="s">
        <v>1353</v>
      </c>
      <c r="D601" s="44" t="e">
        <v>#N/A</v>
      </c>
      <c r="E601" s="43" t="s">
        <v>477</v>
      </c>
    </row>
    <row r="602" spans="2:5">
      <c r="B602" s="54" t="s">
        <v>1359</v>
      </c>
      <c r="C602" s="43" t="s">
        <v>1353</v>
      </c>
      <c r="D602" s="44" t="e">
        <v>#N/A</v>
      </c>
      <c r="E602" s="43" t="s">
        <v>477</v>
      </c>
    </row>
    <row r="603" spans="2:5">
      <c r="B603" s="54" t="s">
        <v>1360</v>
      </c>
      <c r="C603" s="43" t="s">
        <v>1361</v>
      </c>
      <c r="D603" s="44" t="s">
        <v>184</v>
      </c>
      <c r="E603" s="43" t="s">
        <v>474</v>
      </c>
    </row>
    <row r="604" spans="2:5">
      <c r="B604" s="54" t="s">
        <v>1362</v>
      </c>
      <c r="C604" s="43" t="s">
        <v>1363</v>
      </c>
      <c r="D604" s="44" t="s">
        <v>184</v>
      </c>
      <c r="E604" s="43" t="s">
        <v>474</v>
      </c>
    </row>
    <row r="605" spans="2:5">
      <c r="B605" s="54" t="s">
        <v>381</v>
      </c>
      <c r="C605" s="43" t="s">
        <v>1364</v>
      </c>
      <c r="D605" s="44" t="s">
        <v>184</v>
      </c>
      <c r="E605" s="43" t="s">
        <v>474</v>
      </c>
    </row>
    <row r="606" spans="2:5">
      <c r="B606" s="54" t="s">
        <v>1365</v>
      </c>
      <c r="C606" s="43" t="s">
        <v>1361</v>
      </c>
      <c r="D606" s="44" t="s">
        <v>184</v>
      </c>
      <c r="E606" s="43" t="s">
        <v>474</v>
      </c>
    </row>
    <row r="607" spans="2:5">
      <c r="B607" s="54" t="s">
        <v>1366</v>
      </c>
      <c r="C607" s="43" t="s">
        <v>1361</v>
      </c>
      <c r="D607" s="44" t="s">
        <v>184</v>
      </c>
      <c r="E607" s="43" t="s">
        <v>474</v>
      </c>
    </row>
    <row r="608" spans="2:5">
      <c r="B608" s="54" t="s">
        <v>425</v>
      </c>
      <c r="C608" s="43" t="s">
        <v>1363</v>
      </c>
      <c r="D608" s="44" t="s">
        <v>184</v>
      </c>
      <c r="E608" s="43" t="s">
        <v>474</v>
      </c>
    </row>
    <row r="609" spans="2:5">
      <c r="B609" s="54" t="s">
        <v>1367</v>
      </c>
      <c r="C609" s="43" t="s">
        <v>1368</v>
      </c>
      <c r="D609" s="44" t="s">
        <v>1369</v>
      </c>
      <c r="E609" s="43" t="s">
        <v>485</v>
      </c>
    </row>
    <row r="610" spans="2:5">
      <c r="B610" s="56" t="s">
        <v>1370</v>
      </c>
      <c r="C610" s="57" t="s">
        <v>1371</v>
      </c>
      <c r="D610" s="57" t="s">
        <v>1369</v>
      </c>
      <c r="E610" s="57" t="s">
        <v>485</v>
      </c>
    </row>
    <row r="611" spans="2:5">
      <c r="B611" s="56" t="s">
        <v>1372</v>
      </c>
      <c r="C611" s="57" t="s">
        <v>1371</v>
      </c>
      <c r="D611" s="57" t="s">
        <v>1369</v>
      </c>
      <c r="E611" s="57" t="s">
        <v>485</v>
      </c>
    </row>
    <row r="612" spans="2:5">
      <c r="B612" s="54" t="s">
        <v>1373</v>
      </c>
      <c r="C612" s="43" t="s">
        <v>1374</v>
      </c>
      <c r="D612" s="44" t="s">
        <v>1369</v>
      </c>
      <c r="E612" s="43" t="s">
        <v>477</v>
      </c>
    </row>
    <row r="613" spans="2:5">
      <c r="B613" s="54" t="s">
        <v>399</v>
      </c>
      <c r="C613" s="43" t="s">
        <v>1375</v>
      </c>
      <c r="D613" s="44" t="s">
        <v>185</v>
      </c>
      <c r="E613" s="43" t="s">
        <v>474</v>
      </c>
    </row>
    <row r="614" spans="2:5">
      <c r="B614" s="54" t="s">
        <v>1376</v>
      </c>
      <c r="C614" s="43" t="s">
        <v>1377</v>
      </c>
      <c r="D614" s="44" t="s">
        <v>185</v>
      </c>
      <c r="E614" s="43" t="s">
        <v>474</v>
      </c>
    </row>
    <row r="615" spans="2:5">
      <c r="B615" s="54" t="s">
        <v>1378</v>
      </c>
      <c r="C615" s="43" t="s">
        <v>1377</v>
      </c>
      <c r="D615" s="44" t="s">
        <v>185</v>
      </c>
      <c r="E615" s="43" t="s">
        <v>474</v>
      </c>
    </row>
    <row r="616" spans="2:5">
      <c r="B616" s="54" t="s">
        <v>385</v>
      </c>
      <c r="C616" s="43" t="s">
        <v>1379</v>
      </c>
      <c r="D616" s="44" t="s">
        <v>187</v>
      </c>
      <c r="E616" s="43" t="s">
        <v>474</v>
      </c>
    </row>
    <row r="617" spans="2:5">
      <c r="B617" s="54" t="s">
        <v>1380</v>
      </c>
      <c r="C617" s="43" t="s">
        <v>1381</v>
      </c>
      <c r="D617" s="44" t="s">
        <v>187</v>
      </c>
      <c r="E617" s="43" t="s">
        <v>474</v>
      </c>
    </row>
    <row r="618" spans="2:5">
      <c r="B618" s="54" t="s">
        <v>1382</v>
      </c>
      <c r="C618" s="43" t="s">
        <v>1381</v>
      </c>
      <c r="D618" s="44" t="s">
        <v>187</v>
      </c>
      <c r="E618" s="43" t="s">
        <v>474</v>
      </c>
    </row>
    <row r="619" spans="2:5">
      <c r="B619" s="54" t="s">
        <v>1383</v>
      </c>
      <c r="C619" s="43" t="s">
        <v>1384</v>
      </c>
      <c r="D619" s="44" t="s">
        <v>1385</v>
      </c>
      <c r="E619" s="43" t="s">
        <v>474</v>
      </c>
    </row>
    <row r="620" spans="2:5">
      <c r="B620" s="54" t="s">
        <v>1386</v>
      </c>
      <c r="C620" s="43" t="s">
        <v>1387</v>
      </c>
      <c r="D620" s="44" t="s">
        <v>1385</v>
      </c>
      <c r="E620" s="43" t="s">
        <v>474</v>
      </c>
    </row>
    <row r="621" spans="2:5">
      <c r="B621" s="54" t="s">
        <v>1388</v>
      </c>
      <c r="C621" s="43" t="s">
        <v>1389</v>
      </c>
      <c r="D621" s="44" t="s">
        <v>1385</v>
      </c>
      <c r="E621" s="43" t="s">
        <v>485</v>
      </c>
    </row>
    <row r="622" spans="2:5">
      <c r="B622" s="54" t="s">
        <v>1390</v>
      </c>
      <c r="C622" s="43" t="s">
        <v>1391</v>
      </c>
      <c r="D622" s="44" t="s">
        <v>188</v>
      </c>
      <c r="E622" s="43" t="s">
        <v>474</v>
      </c>
    </row>
    <row r="623" spans="2:5">
      <c r="B623" s="54" t="s">
        <v>388</v>
      </c>
      <c r="C623" s="43" t="s">
        <v>1391</v>
      </c>
      <c r="D623" s="44" t="s">
        <v>188</v>
      </c>
      <c r="E623" s="43" t="s">
        <v>474</v>
      </c>
    </row>
    <row r="624" spans="2:5">
      <c r="B624" s="54" t="s">
        <v>436</v>
      </c>
      <c r="C624" s="43" t="s">
        <v>1392</v>
      </c>
      <c r="D624" s="44" t="s">
        <v>188</v>
      </c>
      <c r="E624" s="43" t="s">
        <v>474</v>
      </c>
    </row>
    <row r="625" spans="2:5">
      <c r="B625" s="54" t="s">
        <v>1393</v>
      </c>
      <c r="C625" s="43" t="s">
        <v>1394</v>
      </c>
      <c r="D625" s="44" t="s">
        <v>188</v>
      </c>
      <c r="E625" s="43" t="s">
        <v>474</v>
      </c>
    </row>
    <row r="626" spans="2:5">
      <c r="B626" s="54" t="s">
        <v>1395</v>
      </c>
      <c r="C626" s="43" t="s">
        <v>1394</v>
      </c>
      <c r="D626" s="44" t="s">
        <v>188</v>
      </c>
      <c r="E626" s="43" t="s">
        <v>474</v>
      </c>
    </row>
    <row r="627" spans="2:5">
      <c r="B627" s="54" t="s">
        <v>1396</v>
      </c>
      <c r="C627" s="43" t="s">
        <v>1392</v>
      </c>
      <c r="D627" s="44" t="s">
        <v>188</v>
      </c>
      <c r="E627" s="43" t="s">
        <v>474</v>
      </c>
    </row>
    <row r="628" spans="2:5">
      <c r="B628" s="54" t="s">
        <v>410</v>
      </c>
      <c r="C628" s="43" t="s">
        <v>473</v>
      </c>
      <c r="D628" s="44" t="s">
        <v>218</v>
      </c>
      <c r="E628" s="43" t="s">
        <v>474</v>
      </c>
    </row>
    <row r="629" spans="2:5">
      <c r="B629" s="54" t="s">
        <v>389</v>
      </c>
      <c r="C629" s="43" t="s">
        <v>1397</v>
      </c>
      <c r="D629" s="44" t="s">
        <v>191</v>
      </c>
      <c r="E629" s="43" t="s">
        <v>474</v>
      </c>
    </row>
    <row r="630" spans="2:5">
      <c r="B630" s="54" t="s">
        <v>1398</v>
      </c>
      <c r="C630" s="43" t="s">
        <v>1399</v>
      </c>
      <c r="D630" s="44" t="s">
        <v>191</v>
      </c>
      <c r="E630" s="43" t="s">
        <v>474</v>
      </c>
    </row>
    <row r="631" spans="2:5">
      <c r="B631" s="54" t="s">
        <v>1400</v>
      </c>
      <c r="C631" s="43" t="s">
        <v>1399</v>
      </c>
      <c r="D631" s="44" t="s">
        <v>191</v>
      </c>
      <c r="E631" s="43" t="s">
        <v>474</v>
      </c>
    </row>
    <row r="632" spans="2:5">
      <c r="B632" s="54" t="s">
        <v>1401</v>
      </c>
      <c r="C632" s="43" t="s">
        <v>1397</v>
      </c>
      <c r="D632" s="44" t="s">
        <v>191</v>
      </c>
      <c r="E632" s="43" t="s">
        <v>474</v>
      </c>
    </row>
    <row r="633" spans="2:5">
      <c r="B633" s="54" t="s">
        <v>1402</v>
      </c>
      <c r="C633" s="43" t="s">
        <v>1399</v>
      </c>
      <c r="D633" s="44" t="s">
        <v>191</v>
      </c>
      <c r="E633" s="43" t="s">
        <v>474</v>
      </c>
    </row>
    <row r="634" spans="2:5">
      <c r="B634" s="54" t="s">
        <v>1403</v>
      </c>
      <c r="C634" s="43" t="s">
        <v>1265</v>
      </c>
      <c r="D634" s="44" t="s">
        <v>191</v>
      </c>
      <c r="E634" s="43" t="s">
        <v>485</v>
      </c>
    </row>
    <row r="635" spans="2:5">
      <c r="B635" s="54" t="s">
        <v>1404</v>
      </c>
      <c r="C635" s="43" t="s">
        <v>1405</v>
      </c>
      <c r="D635" s="44" t="e">
        <v>#N/A</v>
      </c>
      <c r="E635" s="43" t="s">
        <v>474</v>
      </c>
    </row>
    <row r="636" spans="2:5">
      <c r="B636" s="54" t="s">
        <v>1406</v>
      </c>
      <c r="C636" s="43" t="s">
        <v>1407</v>
      </c>
      <c r="D636" s="44" t="e">
        <v>#N/A</v>
      </c>
      <c r="E636" s="43" t="s">
        <v>474</v>
      </c>
    </row>
    <row r="637" spans="2:5">
      <c r="B637" s="54" t="s">
        <v>1408</v>
      </c>
      <c r="C637" s="43" t="s">
        <v>1409</v>
      </c>
      <c r="D637" s="44" t="e">
        <v>#N/A</v>
      </c>
      <c r="E637" s="43" t="s">
        <v>474</v>
      </c>
    </row>
    <row r="638" spans="2:5">
      <c r="B638" s="54" t="s">
        <v>1410</v>
      </c>
      <c r="C638" s="43" t="s">
        <v>1409</v>
      </c>
      <c r="D638" s="44" t="e">
        <v>#N/A</v>
      </c>
      <c r="E638" s="43" t="s">
        <v>474</v>
      </c>
    </row>
    <row r="639" spans="2:5">
      <c r="B639" s="54" t="s">
        <v>1411</v>
      </c>
      <c r="C639" s="43" t="s">
        <v>1407</v>
      </c>
      <c r="D639" s="44" t="e">
        <v>#N/A</v>
      </c>
      <c r="E639" s="43" t="s">
        <v>474</v>
      </c>
    </row>
    <row r="640" spans="2:5">
      <c r="B640" s="54" t="s">
        <v>1412</v>
      </c>
      <c r="C640" s="43" t="s">
        <v>1413</v>
      </c>
      <c r="D640" s="44" t="s">
        <v>194</v>
      </c>
      <c r="E640" s="43" t="s">
        <v>474</v>
      </c>
    </row>
    <row r="641" spans="2:5">
      <c r="B641" s="54" t="s">
        <v>1414</v>
      </c>
      <c r="C641" s="43" t="s">
        <v>1413</v>
      </c>
      <c r="D641" s="44" t="s">
        <v>194</v>
      </c>
      <c r="E641" s="43" t="s">
        <v>474</v>
      </c>
    </row>
    <row r="642" spans="2:5">
      <c r="B642" s="54" t="s">
        <v>1415</v>
      </c>
      <c r="C642" s="43" t="s">
        <v>1413</v>
      </c>
      <c r="D642" s="44" t="s">
        <v>194</v>
      </c>
      <c r="E642" s="43" t="s">
        <v>474</v>
      </c>
    </row>
    <row r="643" spans="2:5">
      <c r="B643" s="54" t="s">
        <v>392</v>
      </c>
      <c r="C643" s="43" t="s">
        <v>1413</v>
      </c>
      <c r="D643" s="44" t="s">
        <v>194</v>
      </c>
      <c r="E643" s="43" t="s">
        <v>474</v>
      </c>
    </row>
    <row r="644" spans="2:5">
      <c r="B644" s="54" t="s">
        <v>1416</v>
      </c>
      <c r="C644" s="43" t="s">
        <v>1417</v>
      </c>
      <c r="D644" s="44" t="s">
        <v>188</v>
      </c>
      <c r="E644" s="43" t="s">
        <v>485</v>
      </c>
    </row>
    <row r="645" spans="2:5">
      <c r="B645" s="54" t="s">
        <v>1418</v>
      </c>
      <c r="C645" s="43" t="s">
        <v>1417</v>
      </c>
      <c r="D645" s="44" t="s">
        <v>188</v>
      </c>
      <c r="E645" s="43" t="s">
        <v>485</v>
      </c>
    </row>
    <row r="646" spans="2:5">
      <c r="B646" s="54" t="s">
        <v>394</v>
      </c>
      <c r="C646" s="43" t="s">
        <v>1419</v>
      </c>
      <c r="D646" s="44" t="s">
        <v>195</v>
      </c>
      <c r="E646" s="43" t="s">
        <v>474</v>
      </c>
    </row>
    <row r="647" spans="2:5">
      <c r="B647" s="54" t="s">
        <v>1420</v>
      </c>
      <c r="C647" s="43" t="s">
        <v>1421</v>
      </c>
      <c r="D647" s="44" t="s">
        <v>195</v>
      </c>
      <c r="E647" s="43" t="s">
        <v>474</v>
      </c>
    </row>
    <row r="648" spans="2:5">
      <c r="B648" s="54" t="s">
        <v>1422</v>
      </c>
      <c r="C648" s="43" t="s">
        <v>1421</v>
      </c>
      <c r="D648" s="44" t="s">
        <v>195</v>
      </c>
      <c r="E648" s="43" t="s">
        <v>474</v>
      </c>
    </row>
    <row r="649" spans="2:5">
      <c r="B649" s="54" t="s">
        <v>395</v>
      </c>
      <c r="C649" s="43" t="s">
        <v>1423</v>
      </c>
      <c r="D649" s="44" t="s">
        <v>196</v>
      </c>
      <c r="E649" s="43" t="s">
        <v>474</v>
      </c>
    </row>
    <row r="650" spans="2:5">
      <c r="B650" s="54" t="s">
        <v>406</v>
      </c>
      <c r="C650" s="43" t="s">
        <v>1423</v>
      </c>
      <c r="D650" s="44" t="s">
        <v>196</v>
      </c>
      <c r="E650" s="43" t="s">
        <v>474</v>
      </c>
    </row>
    <row r="651" spans="2:5">
      <c r="B651" s="54" t="s">
        <v>1424</v>
      </c>
      <c r="C651" s="43" t="s">
        <v>1425</v>
      </c>
      <c r="D651" s="44" t="s">
        <v>198</v>
      </c>
      <c r="E651" s="43" t="s">
        <v>488</v>
      </c>
    </row>
    <row r="652" spans="2:5">
      <c r="B652" s="54" t="s">
        <v>1424</v>
      </c>
      <c r="C652" s="43" t="s">
        <v>1426</v>
      </c>
      <c r="D652" s="44" t="s">
        <v>198</v>
      </c>
      <c r="E652" s="43" t="s">
        <v>488</v>
      </c>
    </row>
    <row r="653" spans="2:5">
      <c r="B653" s="54" t="s">
        <v>1424</v>
      </c>
      <c r="C653" s="43" t="s">
        <v>1427</v>
      </c>
      <c r="D653" s="44" t="s">
        <v>198</v>
      </c>
      <c r="E653" s="43" t="s">
        <v>485</v>
      </c>
    </row>
    <row r="654" spans="2:5">
      <c r="B654" s="54" t="s">
        <v>1428</v>
      </c>
      <c r="C654" s="43" t="s">
        <v>1427</v>
      </c>
      <c r="D654" s="44" t="s">
        <v>198</v>
      </c>
      <c r="E654" s="43" t="s">
        <v>485</v>
      </c>
    </row>
    <row r="655" spans="2:5">
      <c r="B655" s="54" t="s">
        <v>1429</v>
      </c>
      <c r="C655" s="43" t="s">
        <v>1425</v>
      </c>
      <c r="D655" s="44" t="s">
        <v>198</v>
      </c>
      <c r="E655" s="43" t="s">
        <v>488</v>
      </c>
    </row>
    <row r="656" spans="2:5">
      <c r="B656" s="54" t="s">
        <v>1430</v>
      </c>
      <c r="C656" s="43" t="s">
        <v>1426</v>
      </c>
      <c r="D656" s="44" t="s">
        <v>198</v>
      </c>
      <c r="E656" s="43" t="s">
        <v>488</v>
      </c>
    </row>
    <row r="657" spans="2:5">
      <c r="B657" s="54" t="s">
        <v>1431</v>
      </c>
      <c r="C657" s="43" t="s">
        <v>1432</v>
      </c>
      <c r="D657" s="44" t="s">
        <v>198</v>
      </c>
      <c r="E657" s="43" t="s">
        <v>488</v>
      </c>
    </row>
    <row r="658" spans="2:5">
      <c r="B658" s="54" t="s">
        <v>1433</v>
      </c>
      <c r="C658" s="43" t="s">
        <v>1434</v>
      </c>
      <c r="D658" s="44" t="s">
        <v>198</v>
      </c>
      <c r="E658" s="43" t="s">
        <v>474</v>
      </c>
    </row>
    <row r="659" spans="2:5">
      <c r="B659" s="54" t="s">
        <v>1433</v>
      </c>
      <c r="C659" s="43" t="s">
        <v>1434</v>
      </c>
      <c r="D659" s="44" t="s">
        <v>198</v>
      </c>
      <c r="E659" s="43" t="s">
        <v>474</v>
      </c>
    </row>
    <row r="660" spans="2:5">
      <c r="B660" s="54" t="s">
        <v>1435</v>
      </c>
      <c r="C660" s="43" t="s">
        <v>1436</v>
      </c>
      <c r="D660" s="44" t="s">
        <v>198</v>
      </c>
      <c r="E660" s="43" t="s">
        <v>474</v>
      </c>
    </row>
    <row r="661" spans="2:5">
      <c r="B661" s="54" t="s">
        <v>1437</v>
      </c>
      <c r="C661" s="43" t="s">
        <v>1436</v>
      </c>
      <c r="D661" s="44" t="s">
        <v>198</v>
      </c>
      <c r="E661" s="43" t="s">
        <v>474</v>
      </c>
    </row>
    <row r="662" spans="2:5">
      <c r="B662" s="54" t="s">
        <v>400</v>
      </c>
      <c r="C662" s="43" t="s">
        <v>1438</v>
      </c>
      <c r="D662" s="44" t="s">
        <v>201</v>
      </c>
      <c r="E662" s="43" t="s">
        <v>474</v>
      </c>
    </row>
    <row r="663" spans="2:5">
      <c r="B663" s="54" t="s">
        <v>1439</v>
      </c>
      <c r="C663" s="43" t="s">
        <v>1440</v>
      </c>
      <c r="D663" s="44" t="s">
        <v>201</v>
      </c>
      <c r="E663" s="43" t="s">
        <v>474</v>
      </c>
    </row>
    <row r="664" spans="2:5">
      <c r="B664" s="54" t="s">
        <v>1441</v>
      </c>
      <c r="C664" s="43" t="s">
        <v>1442</v>
      </c>
      <c r="D664" s="44" t="s">
        <v>201</v>
      </c>
      <c r="E664" s="43" t="s">
        <v>474</v>
      </c>
    </row>
    <row r="665" spans="2:5">
      <c r="B665" s="54" t="s">
        <v>1443</v>
      </c>
      <c r="C665" s="43" t="s">
        <v>1440</v>
      </c>
      <c r="D665" s="44" t="s">
        <v>201</v>
      </c>
      <c r="E665" s="43" t="s">
        <v>474</v>
      </c>
    </row>
    <row r="666" spans="2:5">
      <c r="B666" s="54" t="s">
        <v>1444</v>
      </c>
      <c r="C666" s="43" t="s">
        <v>1442</v>
      </c>
      <c r="D666" s="44" t="s">
        <v>201</v>
      </c>
      <c r="E666" s="43" t="s">
        <v>474</v>
      </c>
    </row>
    <row r="667" spans="2:5">
      <c r="B667" s="54" t="s">
        <v>1445</v>
      </c>
      <c r="C667" s="43" t="s">
        <v>1440</v>
      </c>
      <c r="D667" s="44" t="s">
        <v>201</v>
      </c>
      <c r="E667" s="43" t="s">
        <v>474</v>
      </c>
    </row>
    <row r="668" spans="2:5">
      <c r="B668" s="54" t="s">
        <v>1446</v>
      </c>
      <c r="C668" s="43" t="s">
        <v>1447</v>
      </c>
      <c r="D668" s="44" t="e">
        <v>#N/A</v>
      </c>
      <c r="E668" s="43" t="s">
        <v>474</v>
      </c>
    </row>
    <row r="669" spans="2:5">
      <c r="B669" s="54" t="s">
        <v>401</v>
      </c>
      <c r="C669" s="43" t="s">
        <v>1448</v>
      </c>
      <c r="D669" s="44" t="s">
        <v>203</v>
      </c>
      <c r="E669" s="43" t="s">
        <v>474</v>
      </c>
    </row>
    <row r="670" spans="2:5">
      <c r="B670" s="54" t="s">
        <v>1449</v>
      </c>
      <c r="C670" s="43" t="s">
        <v>1450</v>
      </c>
      <c r="D670" s="44" t="s">
        <v>203</v>
      </c>
      <c r="E670" s="43" t="s">
        <v>474</v>
      </c>
    </row>
    <row r="671" spans="2:5">
      <c r="B671" s="54" t="s">
        <v>1451</v>
      </c>
      <c r="C671" s="43" t="s">
        <v>1450</v>
      </c>
      <c r="D671" s="44" t="s">
        <v>203</v>
      </c>
      <c r="E671" s="43" t="s">
        <v>474</v>
      </c>
    </row>
    <row r="672" spans="2:5">
      <c r="B672" s="54" t="s">
        <v>1452</v>
      </c>
      <c r="C672" s="43" t="s">
        <v>1448</v>
      </c>
      <c r="D672" s="44" t="s">
        <v>203</v>
      </c>
      <c r="E672" s="43" t="s">
        <v>474</v>
      </c>
    </row>
    <row r="673" spans="2:9">
      <c r="B673" s="54" t="s">
        <v>1453</v>
      </c>
      <c r="C673" s="43" t="s">
        <v>1450</v>
      </c>
      <c r="D673" s="44" t="s">
        <v>203</v>
      </c>
      <c r="E673" s="43" t="s">
        <v>474</v>
      </c>
      <c r="F673" s="45"/>
      <c r="G673" s="45"/>
      <c r="H673" s="45"/>
      <c r="I673" s="45"/>
    </row>
    <row r="674" spans="2:9">
      <c r="B674" s="54" t="s">
        <v>1454</v>
      </c>
      <c r="C674" s="43" t="s">
        <v>1450</v>
      </c>
      <c r="D674" s="44" t="s">
        <v>203</v>
      </c>
      <c r="E674" s="43" t="s">
        <v>474</v>
      </c>
      <c r="F674" s="45"/>
      <c r="G674" s="45"/>
      <c r="H674" s="45"/>
      <c r="I674" s="45"/>
    </row>
    <row r="675" spans="2:9">
      <c r="B675" s="54" t="s">
        <v>1455</v>
      </c>
      <c r="C675" s="43" t="s">
        <v>1456</v>
      </c>
      <c r="D675" s="44" t="s">
        <v>201</v>
      </c>
      <c r="E675" s="43" t="s">
        <v>485</v>
      </c>
      <c r="F675" s="45"/>
      <c r="G675" s="45"/>
      <c r="H675" s="45"/>
      <c r="I675" s="45"/>
    </row>
    <row r="676" spans="2:9">
      <c r="B676" s="54" t="s">
        <v>1457</v>
      </c>
      <c r="C676" s="43" t="s">
        <v>1456</v>
      </c>
      <c r="D676" s="44" t="s">
        <v>201</v>
      </c>
      <c r="E676" s="43" t="s">
        <v>485</v>
      </c>
      <c r="F676" s="45"/>
      <c r="G676" s="45"/>
      <c r="H676" s="45"/>
      <c r="I676" s="45"/>
    </row>
    <row r="677" spans="2:9">
      <c r="B677" s="54" t="s">
        <v>1458</v>
      </c>
      <c r="C677" s="43" t="s">
        <v>1456</v>
      </c>
      <c r="D677" s="44" t="s">
        <v>201</v>
      </c>
      <c r="E677" s="43" t="s">
        <v>485</v>
      </c>
      <c r="F677" s="45"/>
      <c r="G677" s="45"/>
      <c r="H677" s="45"/>
      <c r="I677" s="45"/>
    </row>
    <row r="678" spans="2:9">
      <c r="B678" s="54" t="s">
        <v>413</v>
      </c>
      <c r="C678" s="43" t="s">
        <v>1459</v>
      </c>
      <c r="D678" s="44" t="s">
        <v>204</v>
      </c>
      <c r="E678" s="43" t="s">
        <v>474</v>
      </c>
      <c r="F678" s="45"/>
      <c r="G678" s="45"/>
      <c r="H678" s="45"/>
      <c r="I678" s="45"/>
    </row>
    <row r="679" spans="2:9">
      <c r="B679" s="54" t="s">
        <v>1460</v>
      </c>
      <c r="C679" s="43" t="s">
        <v>1461</v>
      </c>
      <c r="D679" s="44" t="s">
        <v>204</v>
      </c>
      <c r="E679" s="43" t="s">
        <v>474</v>
      </c>
      <c r="F679" s="45"/>
      <c r="G679" s="45"/>
      <c r="H679" s="45"/>
      <c r="I679" s="45"/>
    </row>
    <row r="680" spans="2:9">
      <c r="B680" s="54" t="s">
        <v>1462</v>
      </c>
      <c r="C680" s="43" t="s">
        <v>1461</v>
      </c>
      <c r="D680" s="44" t="s">
        <v>204</v>
      </c>
      <c r="E680" s="43" t="s">
        <v>474</v>
      </c>
    </row>
    <row r="681" spans="2:9">
      <c r="B681" s="54" t="s">
        <v>1463</v>
      </c>
      <c r="C681" s="43" t="s">
        <v>1464</v>
      </c>
      <c r="D681" s="44" t="s">
        <v>204</v>
      </c>
      <c r="E681" s="43" t="s">
        <v>474</v>
      </c>
    </row>
    <row r="682" spans="2:9">
      <c r="B682" s="54" t="s">
        <v>404</v>
      </c>
      <c r="C682" s="43" t="s">
        <v>1465</v>
      </c>
      <c r="D682" s="44" t="s">
        <v>206</v>
      </c>
      <c r="E682" s="43" t="s">
        <v>474</v>
      </c>
    </row>
    <row r="683" spans="2:9">
      <c r="B683" s="54" t="s">
        <v>1466</v>
      </c>
      <c r="C683" s="43" t="s">
        <v>1467</v>
      </c>
      <c r="D683" s="44" t="s">
        <v>206</v>
      </c>
      <c r="E683" s="43" t="s">
        <v>474</v>
      </c>
    </row>
    <row r="684" spans="2:9">
      <c r="B684" s="54" t="s">
        <v>1468</v>
      </c>
      <c r="C684" s="43" t="s">
        <v>1467</v>
      </c>
      <c r="D684" s="44" t="s">
        <v>206</v>
      </c>
      <c r="E684" s="43" t="s">
        <v>474</v>
      </c>
    </row>
    <row r="685" spans="2:9">
      <c r="B685" s="54" t="s">
        <v>1469</v>
      </c>
      <c r="C685" s="43" t="s">
        <v>1470</v>
      </c>
      <c r="D685" s="44" t="s">
        <v>206</v>
      </c>
      <c r="E685" s="43" t="s">
        <v>485</v>
      </c>
    </row>
    <row r="686" spans="2:9">
      <c r="B686" s="54" t="s">
        <v>1471</v>
      </c>
      <c r="C686" s="43" t="s">
        <v>1470</v>
      </c>
      <c r="D686" s="44" t="s">
        <v>206</v>
      </c>
      <c r="E686" s="43" t="s">
        <v>485</v>
      </c>
    </row>
    <row r="687" spans="2:9">
      <c r="B687" s="54" t="s">
        <v>1472</v>
      </c>
      <c r="C687" s="43" t="s">
        <v>1470</v>
      </c>
      <c r="D687" s="44" t="s">
        <v>206</v>
      </c>
      <c r="E687" s="43" t="s">
        <v>485</v>
      </c>
    </row>
    <row r="688" spans="2:9">
      <c r="B688" s="54" t="s">
        <v>1473</v>
      </c>
      <c r="C688" s="43" t="s">
        <v>1470</v>
      </c>
      <c r="D688" s="44" t="s">
        <v>206</v>
      </c>
      <c r="E688" s="43" t="s">
        <v>485</v>
      </c>
    </row>
    <row r="689" spans="2:9">
      <c r="B689" s="54" t="s">
        <v>1474</v>
      </c>
      <c r="C689" s="43" t="s">
        <v>1475</v>
      </c>
      <c r="D689" s="44" t="e">
        <v>#N/A</v>
      </c>
      <c r="E689" s="43" t="s">
        <v>474</v>
      </c>
    </row>
    <row r="690" spans="2:9">
      <c r="B690" s="54" t="s">
        <v>1476</v>
      </c>
      <c r="C690" s="43" t="s">
        <v>1477</v>
      </c>
      <c r="D690" s="44" t="e">
        <v>#N/A</v>
      </c>
      <c r="E690" s="43" t="s">
        <v>474</v>
      </c>
    </row>
    <row r="691" spans="2:9">
      <c r="B691" s="54" t="s">
        <v>1478</v>
      </c>
      <c r="C691" s="43" t="s">
        <v>1477</v>
      </c>
      <c r="D691" s="44" t="e">
        <v>#N/A</v>
      </c>
      <c r="E691" s="43" t="s">
        <v>474</v>
      </c>
    </row>
    <row r="692" spans="2:9">
      <c r="B692" s="54" t="s">
        <v>1479</v>
      </c>
      <c r="C692" s="43" t="s">
        <v>1480</v>
      </c>
      <c r="D692" s="44" t="e">
        <v>#N/A</v>
      </c>
      <c r="E692" s="43" t="s">
        <v>474</v>
      </c>
      <c r="F692" s="45"/>
      <c r="G692" s="45"/>
      <c r="H692" s="45"/>
      <c r="I692" s="45"/>
    </row>
    <row r="693" spans="2:9">
      <c r="B693" s="54" t="s">
        <v>366</v>
      </c>
      <c r="C693" s="43" t="s">
        <v>1481</v>
      </c>
      <c r="D693" s="44" t="s">
        <v>123</v>
      </c>
      <c r="E693" s="43" t="s">
        <v>474</v>
      </c>
      <c r="F693" s="45"/>
      <c r="G693" s="45"/>
      <c r="H693" s="45"/>
      <c r="I693" s="45"/>
    </row>
    <row r="694" spans="2:9">
      <c r="B694" t="s">
        <v>1482</v>
      </c>
      <c r="C694" t="s">
        <v>1483</v>
      </c>
      <c r="D694" t="s">
        <v>1484</v>
      </c>
      <c r="E694" t="s">
        <v>474</v>
      </c>
    </row>
    <row r="695" spans="2:9">
      <c r="B695" s="54" t="s">
        <v>1485</v>
      </c>
      <c r="C695" s="43" t="s">
        <v>1486</v>
      </c>
      <c r="D695" s="44" t="s">
        <v>1484</v>
      </c>
      <c r="E695" s="43" t="s">
        <v>485</v>
      </c>
    </row>
    <row r="696" spans="2:9">
      <c r="B696" s="59" t="s">
        <v>1487</v>
      </c>
      <c r="C696" t="s">
        <v>1488</v>
      </c>
      <c r="D696" t="s">
        <v>207</v>
      </c>
      <c r="E696" t="s">
        <v>474</v>
      </c>
    </row>
    <row r="697" spans="2:9">
      <c r="B697" s="59" t="s">
        <v>1489</v>
      </c>
      <c r="C697" t="s">
        <v>1490</v>
      </c>
      <c r="D697" t="s">
        <v>207</v>
      </c>
      <c r="E697" t="s">
        <v>474</v>
      </c>
    </row>
    <row r="698" spans="2:9">
      <c r="B698" s="59" t="s">
        <v>421</v>
      </c>
      <c r="C698" t="s">
        <v>1490</v>
      </c>
      <c r="D698" t="s">
        <v>207</v>
      </c>
      <c r="E698" t="s">
        <v>474</v>
      </c>
    </row>
    <row r="699" spans="2:9">
      <c r="B699" s="59" t="s">
        <v>1491</v>
      </c>
      <c r="C699" t="s">
        <v>1488</v>
      </c>
      <c r="D699" t="s">
        <v>207</v>
      </c>
      <c r="E699" t="s">
        <v>474</v>
      </c>
    </row>
    <row r="700" spans="2:9">
      <c r="B700" s="59" t="s">
        <v>1492</v>
      </c>
      <c r="C700" t="s">
        <v>1488</v>
      </c>
      <c r="D700" t="s">
        <v>207</v>
      </c>
      <c r="E700" t="s">
        <v>474</v>
      </c>
    </row>
    <row r="701" spans="2:9">
      <c r="B701" s="59" t="s">
        <v>1493</v>
      </c>
      <c r="C701" t="s">
        <v>1488</v>
      </c>
      <c r="D701" t="s">
        <v>207</v>
      </c>
      <c r="E701" t="s">
        <v>474</v>
      </c>
    </row>
    <row r="702" spans="2:9">
      <c r="B702" s="59" t="s">
        <v>1494</v>
      </c>
      <c r="C702" t="s">
        <v>1495</v>
      </c>
      <c r="D702" t="s">
        <v>208</v>
      </c>
      <c r="E702" t="s">
        <v>485</v>
      </c>
    </row>
    <row r="703" spans="2:9">
      <c r="B703" s="59" t="s">
        <v>1496</v>
      </c>
      <c r="C703" t="s">
        <v>1497</v>
      </c>
      <c r="D703" t="s">
        <v>208</v>
      </c>
      <c r="E703" t="s">
        <v>488</v>
      </c>
    </row>
    <row r="704" spans="2:9">
      <c r="B704" s="59" t="s">
        <v>408</v>
      </c>
      <c r="C704" t="s">
        <v>1498</v>
      </c>
      <c r="D704" t="s">
        <v>208</v>
      </c>
      <c r="E704" t="s">
        <v>474</v>
      </c>
    </row>
    <row r="705" spans="2:5">
      <c r="B705" s="59" t="s">
        <v>1499</v>
      </c>
      <c r="C705" t="s">
        <v>1500</v>
      </c>
      <c r="D705" t="s">
        <v>208</v>
      </c>
      <c r="E705" t="s">
        <v>474</v>
      </c>
    </row>
    <row r="706" spans="2:5">
      <c r="B706" s="59" t="s">
        <v>1501</v>
      </c>
      <c r="C706" t="s">
        <v>1502</v>
      </c>
      <c r="D706" t="s">
        <v>208</v>
      </c>
      <c r="E706" t="s">
        <v>474</v>
      </c>
    </row>
    <row r="707" spans="2:5">
      <c r="B707" s="59" t="s">
        <v>1503</v>
      </c>
      <c r="C707" t="s">
        <v>1500</v>
      </c>
      <c r="D707" t="s">
        <v>208</v>
      </c>
      <c r="E707" t="s">
        <v>474</v>
      </c>
    </row>
    <row r="708" spans="2:5">
      <c r="B708" s="59" t="s">
        <v>1504</v>
      </c>
      <c r="C708" t="s">
        <v>1502</v>
      </c>
      <c r="D708" t="s">
        <v>208</v>
      </c>
      <c r="E708" t="s">
        <v>474</v>
      </c>
    </row>
    <row r="709" spans="2:5">
      <c r="B709" s="59" t="s">
        <v>1505</v>
      </c>
      <c r="C709" t="s">
        <v>1500</v>
      </c>
      <c r="D709" t="s">
        <v>208</v>
      </c>
      <c r="E709" t="s">
        <v>474</v>
      </c>
    </row>
    <row r="710" spans="2:5">
      <c r="B710" s="59" t="s">
        <v>1506</v>
      </c>
      <c r="C710" t="s">
        <v>1507</v>
      </c>
      <c r="D710" t="s">
        <v>403</v>
      </c>
      <c r="E710" t="s">
        <v>474</v>
      </c>
    </row>
    <row r="711" spans="2:5">
      <c r="B711" s="59" t="s">
        <v>1506</v>
      </c>
      <c r="C711" t="s">
        <v>1508</v>
      </c>
      <c r="D711" t="s">
        <v>403</v>
      </c>
      <c r="E711" t="s">
        <v>474</v>
      </c>
    </row>
    <row r="712" spans="2:5">
      <c r="B712" s="59" t="s">
        <v>1506</v>
      </c>
      <c r="C712" t="s">
        <v>1509</v>
      </c>
      <c r="D712" t="s">
        <v>403</v>
      </c>
      <c r="E712" t="s">
        <v>474</v>
      </c>
    </row>
    <row r="713" spans="2:5">
      <c r="B713" s="59" t="s">
        <v>1510</v>
      </c>
      <c r="C713" t="s">
        <v>1511</v>
      </c>
      <c r="D713" t="s">
        <v>403</v>
      </c>
      <c r="E713" t="s">
        <v>485</v>
      </c>
    </row>
    <row r="714" spans="2:5">
      <c r="B714" s="59" t="s">
        <v>445</v>
      </c>
      <c r="C714" t="s">
        <v>1512</v>
      </c>
      <c r="D714" t="s">
        <v>211</v>
      </c>
      <c r="E714" t="s">
        <v>474</v>
      </c>
    </row>
    <row r="715" spans="2:5">
      <c r="B715" s="59" t="s">
        <v>1513</v>
      </c>
      <c r="C715" t="s">
        <v>1514</v>
      </c>
      <c r="D715" t="s">
        <v>211</v>
      </c>
      <c r="E715" t="s">
        <v>474</v>
      </c>
    </row>
    <row r="716" spans="2:5">
      <c r="B716" s="59" t="s">
        <v>1515</v>
      </c>
      <c r="C716" t="s">
        <v>1514</v>
      </c>
      <c r="D716" t="s">
        <v>211</v>
      </c>
      <c r="E716" t="s">
        <v>474</v>
      </c>
    </row>
    <row r="717" spans="2:5">
      <c r="B717" s="59" t="s">
        <v>1516</v>
      </c>
      <c r="C717" t="s">
        <v>1514</v>
      </c>
      <c r="D717" t="s">
        <v>211</v>
      </c>
      <c r="E717" t="s">
        <v>474</v>
      </c>
    </row>
    <row r="718" spans="2:5">
      <c r="B718" s="59" t="s">
        <v>1517</v>
      </c>
      <c r="C718" t="s">
        <v>1518</v>
      </c>
      <c r="D718" t="s">
        <v>211</v>
      </c>
      <c r="E718" t="s">
        <v>474</v>
      </c>
    </row>
    <row r="719" spans="2:5">
      <c r="B719" s="59" t="s">
        <v>448</v>
      </c>
      <c r="C719" t="s">
        <v>1512</v>
      </c>
      <c r="D719" t="s">
        <v>211</v>
      </c>
      <c r="E719" t="s">
        <v>474</v>
      </c>
    </row>
    <row r="720" spans="2:5">
      <c r="B720" s="59" t="s">
        <v>1519</v>
      </c>
      <c r="C720" t="s">
        <v>1514</v>
      </c>
      <c r="D720" t="s">
        <v>211</v>
      </c>
      <c r="E720" t="s">
        <v>474</v>
      </c>
    </row>
    <row r="721" spans="2:5">
      <c r="B721" s="59" t="s">
        <v>1520</v>
      </c>
      <c r="C721" t="s">
        <v>1514</v>
      </c>
      <c r="D721" t="s">
        <v>211</v>
      </c>
      <c r="E721" t="s">
        <v>474</v>
      </c>
    </row>
    <row r="722" spans="2:5">
      <c r="B722" s="59" t="s">
        <v>1521</v>
      </c>
      <c r="C722" t="s">
        <v>1518</v>
      </c>
      <c r="D722" t="s">
        <v>211</v>
      </c>
      <c r="E722" t="s">
        <v>474</v>
      </c>
    </row>
    <row r="723" spans="2:5">
      <c r="B723" s="59" t="s">
        <v>1522</v>
      </c>
      <c r="C723" t="s">
        <v>1523</v>
      </c>
      <c r="D723" t="s">
        <v>1524</v>
      </c>
      <c r="E723" t="s">
        <v>474</v>
      </c>
    </row>
    <row r="724" spans="2:5">
      <c r="B724" s="59" t="s">
        <v>1525</v>
      </c>
      <c r="C724" t="s">
        <v>1526</v>
      </c>
      <c r="D724" t="s">
        <v>1524</v>
      </c>
      <c r="E724" t="s">
        <v>474</v>
      </c>
    </row>
    <row r="725" spans="2:5">
      <c r="B725" s="59" t="s">
        <v>1527</v>
      </c>
      <c r="C725" t="s">
        <v>1526</v>
      </c>
      <c r="D725" t="s">
        <v>1524</v>
      </c>
      <c r="E725" t="s">
        <v>474</v>
      </c>
    </row>
    <row r="726" spans="2:5">
      <c r="B726" s="59" t="s">
        <v>1528</v>
      </c>
      <c r="C726" t="s">
        <v>1526</v>
      </c>
      <c r="D726" t="s">
        <v>1524</v>
      </c>
      <c r="E726" t="s">
        <v>474</v>
      </c>
    </row>
    <row r="727" spans="2:5">
      <c r="B727" s="59" t="s">
        <v>412</v>
      </c>
      <c r="C727" t="s">
        <v>1529</v>
      </c>
      <c r="D727" t="s">
        <v>463</v>
      </c>
      <c r="E727" t="s">
        <v>474</v>
      </c>
    </row>
    <row r="728" spans="2:5">
      <c r="B728" s="59" t="s">
        <v>446</v>
      </c>
      <c r="C728" t="s">
        <v>1529</v>
      </c>
      <c r="D728" t="s">
        <v>463</v>
      </c>
      <c r="E728" t="s">
        <v>474</v>
      </c>
    </row>
    <row r="729" spans="2:5">
      <c r="B729" s="59" t="s">
        <v>1530</v>
      </c>
      <c r="C729" t="s">
        <v>1531</v>
      </c>
      <c r="D729" t="s">
        <v>463</v>
      </c>
      <c r="E729" t="s">
        <v>474</v>
      </c>
    </row>
    <row r="730" spans="2:5">
      <c r="B730" s="59" t="s">
        <v>1532</v>
      </c>
      <c r="C730" t="s">
        <v>1531</v>
      </c>
      <c r="D730" t="s">
        <v>463</v>
      </c>
      <c r="E730" t="s">
        <v>474</v>
      </c>
    </row>
    <row r="731" spans="2:5">
      <c r="B731" s="59" t="s">
        <v>450</v>
      </c>
      <c r="C731" t="s">
        <v>1533</v>
      </c>
      <c r="D731" t="s">
        <v>214</v>
      </c>
      <c r="E731" t="s">
        <v>474</v>
      </c>
    </row>
    <row r="732" spans="2:5">
      <c r="B732" s="59" t="s">
        <v>1534</v>
      </c>
      <c r="C732" t="s">
        <v>1131</v>
      </c>
      <c r="D732" t="s">
        <v>141</v>
      </c>
      <c r="E732" t="s">
        <v>485</v>
      </c>
    </row>
    <row r="733" spans="2:5">
      <c r="B733" s="59" t="s">
        <v>1535</v>
      </c>
      <c r="C733" t="s">
        <v>1536</v>
      </c>
      <c r="D733" t="s">
        <v>1537</v>
      </c>
      <c r="E733" t="s">
        <v>474</v>
      </c>
    </row>
    <row r="734" spans="2:5">
      <c r="B734" s="59" t="s">
        <v>1538</v>
      </c>
      <c r="C734" t="s">
        <v>1539</v>
      </c>
      <c r="D734" t="s">
        <v>1537</v>
      </c>
      <c r="E734" t="s">
        <v>474</v>
      </c>
    </row>
    <row r="735" spans="2:5">
      <c r="B735" s="59" t="s">
        <v>1540</v>
      </c>
      <c r="C735" t="s">
        <v>1541</v>
      </c>
      <c r="D735" t="e">
        <v>#N/A</v>
      </c>
      <c r="E735" t="s">
        <v>474</v>
      </c>
    </row>
    <row r="736" spans="2:5">
      <c r="B736" s="59" t="s">
        <v>1542</v>
      </c>
      <c r="C736" t="s">
        <v>1543</v>
      </c>
      <c r="D736" t="e">
        <v>#N/A</v>
      </c>
      <c r="E736" t="s">
        <v>474</v>
      </c>
    </row>
    <row r="737" spans="2:5">
      <c r="B737" s="59" t="s">
        <v>1544</v>
      </c>
      <c r="C737" t="s">
        <v>1543</v>
      </c>
      <c r="D737" t="e">
        <v>#N/A</v>
      </c>
      <c r="E737" t="s">
        <v>474</v>
      </c>
    </row>
    <row r="738" spans="2:5">
      <c r="B738" s="59" t="s">
        <v>1545</v>
      </c>
      <c r="C738" t="s">
        <v>1546</v>
      </c>
      <c r="D738" t="s">
        <v>435</v>
      </c>
      <c r="E738" t="s">
        <v>474</v>
      </c>
    </row>
    <row r="739" spans="2:5">
      <c r="B739" s="59" t="s">
        <v>1547</v>
      </c>
      <c r="C739" t="s">
        <v>1548</v>
      </c>
      <c r="D739" t="s">
        <v>435</v>
      </c>
      <c r="E739" t="s">
        <v>474</v>
      </c>
    </row>
    <row r="740" spans="2:5">
      <c r="B740" s="59" t="s">
        <v>1549</v>
      </c>
      <c r="C740" t="s">
        <v>1548</v>
      </c>
      <c r="D740" t="s">
        <v>435</v>
      </c>
      <c r="E740" t="s">
        <v>474</v>
      </c>
    </row>
    <row r="741" spans="2:5">
      <c r="B741" s="59" t="s">
        <v>1550</v>
      </c>
      <c r="C741" t="s">
        <v>1551</v>
      </c>
      <c r="D741" t="s">
        <v>435</v>
      </c>
      <c r="E741" t="s">
        <v>474</v>
      </c>
    </row>
    <row r="742" spans="2:5">
      <c r="B742" s="59" t="s">
        <v>1552</v>
      </c>
      <c r="C742" t="s">
        <v>1553</v>
      </c>
      <c r="D742" t="e">
        <v>#N/A</v>
      </c>
      <c r="E742" t="s">
        <v>477</v>
      </c>
    </row>
    <row r="743" spans="2:5">
      <c r="B743" s="59" t="s">
        <v>1554</v>
      </c>
      <c r="C743" t="s">
        <v>1555</v>
      </c>
      <c r="D743" t="s">
        <v>1555</v>
      </c>
      <c r="E743" t="s">
        <v>477</v>
      </c>
    </row>
    <row r="744" spans="2:5">
      <c r="B744" s="59" t="s">
        <v>1556</v>
      </c>
      <c r="C744" t="s">
        <v>1557</v>
      </c>
      <c r="D744" t="s">
        <v>1558</v>
      </c>
      <c r="E744" t="s">
        <v>485</v>
      </c>
    </row>
    <row r="745" spans="2:5">
      <c r="B745" s="59" t="s">
        <v>1559</v>
      </c>
      <c r="C745" t="s">
        <v>1557</v>
      </c>
      <c r="D745" t="s">
        <v>1558</v>
      </c>
      <c r="E745" t="s">
        <v>485</v>
      </c>
    </row>
    <row r="746" spans="2:5">
      <c r="B746" s="59" t="s">
        <v>1560</v>
      </c>
      <c r="C746" t="s">
        <v>1561</v>
      </c>
      <c r="D746" t="s">
        <v>115</v>
      </c>
      <c r="E746" t="s">
        <v>485</v>
      </c>
    </row>
    <row r="747" spans="2:5">
      <c r="B747" s="59" t="s">
        <v>416</v>
      </c>
      <c r="C747" t="s">
        <v>1562</v>
      </c>
      <c r="D747" t="s">
        <v>221</v>
      </c>
      <c r="E747" t="s">
        <v>474</v>
      </c>
    </row>
    <row r="748" spans="2:5">
      <c r="B748" s="59" t="s">
        <v>439</v>
      </c>
      <c r="C748" t="s">
        <v>222</v>
      </c>
      <c r="D748" t="s">
        <v>222</v>
      </c>
      <c r="E748" t="s">
        <v>474</v>
      </c>
    </row>
    <row r="749" spans="2:5">
      <c r="B749" s="59" t="s">
        <v>1563</v>
      </c>
      <c r="C749" t="s">
        <v>1564</v>
      </c>
      <c r="D749" t="e">
        <v>#N/A</v>
      </c>
      <c r="E749" t="s">
        <v>488</v>
      </c>
    </row>
    <row r="750" spans="2:5">
      <c r="B750" s="59" t="s">
        <v>1565</v>
      </c>
      <c r="C750" t="s">
        <v>1566</v>
      </c>
      <c r="D750" t="e">
        <v>#N/A</v>
      </c>
      <c r="E750" t="s">
        <v>488</v>
      </c>
    </row>
    <row r="751" spans="2:5">
      <c r="B751" s="59" t="s">
        <v>1567</v>
      </c>
      <c r="C751" t="s">
        <v>1568</v>
      </c>
      <c r="D751" t="e">
        <v>#N/A</v>
      </c>
      <c r="E751" t="s">
        <v>485</v>
      </c>
    </row>
    <row r="752" spans="2:5">
      <c r="B752" s="59" t="s">
        <v>1569</v>
      </c>
      <c r="C752" t="s">
        <v>1570</v>
      </c>
      <c r="D752" t="e">
        <v>#N/A</v>
      </c>
      <c r="E752" t="s">
        <v>474</v>
      </c>
    </row>
    <row r="753" spans="2:5">
      <c r="B753" s="59" t="s">
        <v>1571</v>
      </c>
      <c r="C753" t="s">
        <v>1170</v>
      </c>
      <c r="D753" t="s">
        <v>151</v>
      </c>
      <c r="E753" t="s">
        <v>474</v>
      </c>
    </row>
    <row r="754" spans="2:5">
      <c r="B754" s="59" t="s">
        <v>1572</v>
      </c>
      <c r="C754" t="s">
        <v>1172</v>
      </c>
      <c r="D754" t="s">
        <v>151</v>
      </c>
      <c r="E754" t="s">
        <v>474</v>
      </c>
    </row>
    <row r="755" spans="2:5">
      <c r="B755" s="59" t="s">
        <v>422</v>
      </c>
      <c r="C755" t="s">
        <v>1170</v>
      </c>
      <c r="D755" t="s">
        <v>151</v>
      </c>
      <c r="E755" t="s">
        <v>474</v>
      </c>
    </row>
    <row r="756" spans="2:5">
      <c r="B756" s="59" t="s">
        <v>1573</v>
      </c>
      <c r="C756" t="s">
        <v>1574</v>
      </c>
      <c r="D756" t="s">
        <v>1575</v>
      </c>
      <c r="E756" t="s">
        <v>485</v>
      </c>
    </row>
    <row r="757" spans="2:5">
      <c r="B757" s="59" t="s">
        <v>1576</v>
      </c>
      <c r="C757" t="s">
        <v>1574</v>
      </c>
      <c r="D757" t="s">
        <v>1575</v>
      </c>
      <c r="E757" t="s">
        <v>485</v>
      </c>
    </row>
    <row r="758" spans="2:5">
      <c r="B758" s="59" t="s">
        <v>1577</v>
      </c>
      <c r="C758" t="s">
        <v>1578</v>
      </c>
      <c r="D758" t="s">
        <v>1575</v>
      </c>
      <c r="E758" t="s">
        <v>474</v>
      </c>
    </row>
    <row r="759" spans="2:5">
      <c r="B759" s="59" t="s">
        <v>1577</v>
      </c>
      <c r="C759" t="s">
        <v>1578</v>
      </c>
      <c r="D759" t="s">
        <v>1575</v>
      </c>
      <c r="E759" t="s">
        <v>474</v>
      </c>
    </row>
    <row r="760" spans="2:5">
      <c r="B760" s="59" t="s">
        <v>1579</v>
      </c>
      <c r="C760" t="s">
        <v>1578</v>
      </c>
      <c r="D760" t="s">
        <v>1575</v>
      </c>
      <c r="E760" t="s">
        <v>474</v>
      </c>
    </row>
    <row r="761" spans="2:5">
      <c r="B761" s="59" t="s">
        <v>1580</v>
      </c>
      <c r="C761" t="s">
        <v>1581</v>
      </c>
      <c r="D761" t="s">
        <v>1575</v>
      </c>
      <c r="E761" t="s">
        <v>474</v>
      </c>
    </row>
    <row r="762" spans="2:5">
      <c r="B762" s="59" t="s">
        <v>1582</v>
      </c>
      <c r="C762" t="s">
        <v>1581</v>
      </c>
      <c r="D762" t="s">
        <v>1575</v>
      </c>
      <c r="E762" t="s">
        <v>474</v>
      </c>
    </row>
    <row r="763" spans="2:5">
      <c r="B763" s="59" t="s">
        <v>444</v>
      </c>
      <c r="C763" t="s">
        <v>1583</v>
      </c>
      <c r="D763" t="s">
        <v>224</v>
      </c>
      <c r="E763" t="s">
        <v>474</v>
      </c>
    </row>
    <row r="764" spans="2:5">
      <c r="B764" s="59" t="s">
        <v>444</v>
      </c>
      <c r="C764" t="s">
        <v>1584</v>
      </c>
      <c r="D764" t="s">
        <v>224</v>
      </c>
      <c r="E764" t="s">
        <v>477</v>
      </c>
    </row>
    <row r="765" spans="2:5">
      <c r="B765" s="59" t="s">
        <v>462</v>
      </c>
      <c r="C765" t="s">
        <v>1584</v>
      </c>
      <c r="D765" t="s">
        <v>224</v>
      </c>
      <c r="E765" t="s">
        <v>477</v>
      </c>
    </row>
    <row r="766" spans="2:5">
      <c r="B766" s="59" t="s">
        <v>1585</v>
      </c>
      <c r="C766" t="s">
        <v>1586</v>
      </c>
      <c r="D766" t="s">
        <v>1586</v>
      </c>
      <c r="E766" t="s">
        <v>474</v>
      </c>
    </row>
    <row r="767" spans="2:5">
      <c r="B767" s="59" t="s">
        <v>1587</v>
      </c>
      <c r="C767" t="s">
        <v>1586</v>
      </c>
      <c r="D767" t="s">
        <v>1586</v>
      </c>
      <c r="E767" t="s">
        <v>474</v>
      </c>
    </row>
    <row r="768" spans="2:5">
      <c r="B768" s="59" t="s">
        <v>424</v>
      </c>
      <c r="C768" t="s">
        <v>1588</v>
      </c>
      <c r="D768" t="s">
        <v>225</v>
      </c>
      <c r="E768" t="s">
        <v>474</v>
      </c>
    </row>
    <row r="769" spans="2:5">
      <c r="B769" s="59" t="s">
        <v>1589</v>
      </c>
      <c r="C769" t="s">
        <v>1590</v>
      </c>
      <c r="D769" t="e">
        <v>#N/A</v>
      </c>
      <c r="E769" t="s">
        <v>474</v>
      </c>
    </row>
    <row r="770" spans="2:5">
      <c r="B770" s="59" t="s">
        <v>428</v>
      </c>
      <c r="C770" t="s">
        <v>1591</v>
      </c>
      <c r="D770" t="s">
        <v>61</v>
      </c>
      <c r="E770" t="s">
        <v>474</v>
      </c>
    </row>
    <row r="771" spans="2:5">
      <c r="B771" s="59" t="s">
        <v>429</v>
      </c>
      <c r="C771" t="s">
        <v>1592</v>
      </c>
      <c r="D771" t="s">
        <v>332</v>
      </c>
      <c r="E771" t="s">
        <v>474</v>
      </c>
    </row>
    <row r="772" spans="2:5">
      <c r="B772" s="59" t="s">
        <v>1593</v>
      </c>
      <c r="C772" t="s">
        <v>1594</v>
      </c>
      <c r="D772" t="s">
        <v>332</v>
      </c>
      <c r="E772" t="s">
        <v>474</v>
      </c>
    </row>
    <row r="773" spans="2:5">
      <c r="B773" s="59" t="s">
        <v>455</v>
      </c>
      <c r="C773" t="s">
        <v>1595</v>
      </c>
      <c r="D773" t="s">
        <v>130</v>
      </c>
      <c r="E773" t="s">
        <v>474</v>
      </c>
    </row>
    <row r="774" spans="2:5">
      <c r="B774" s="59" t="s">
        <v>1596</v>
      </c>
      <c r="C774" t="s">
        <v>1597</v>
      </c>
      <c r="D774" t="s">
        <v>1598</v>
      </c>
      <c r="E774" t="s">
        <v>474</v>
      </c>
    </row>
    <row r="775" spans="2:5">
      <c r="B775" s="59" t="s">
        <v>1599</v>
      </c>
      <c r="C775" t="s">
        <v>1600</v>
      </c>
      <c r="D775" t="s">
        <v>1598</v>
      </c>
      <c r="E775" t="s">
        <v>474</v>
      </c>
    </row>
    <row r="776" spans="2:5">
      <c r="B776" s="59" t="s">
        <v>1601</v>
      </c>
      <c r="C776" t="s">
        <v>1600</v>
      </c>
      <c r="D776" t="s">
        <v>1598</v>
      </c>
      <c r="E776" t="s">
        <v>474</v>
      </c>
    </row>
    <row r="777" spans="2:5">
      <c r="B777" s="59" t="s">
        <v>1602</v>
      </c>
      <c r="C777" t="s">
        <v>1600</v>
      </c>
      <c r="D777" t="s">
        <v>1598</v>
      </c>
      <c r="E777" t="s">
        <v>474</v>
      </c>
    </row>
    <row r="778" spans="2:5">
      <c r="B778" s="59" t="s">
        <v>1603</v>
      </c>
      <c r="C778" t="s">
        <v>1604</v>
      </c>
      <c r="D778" t="s">
        <v>1598</v>
      </c>
      <c r="E778" t="s">
        <v>474</v>
      </c>
    </row>
    <row r="779" spans="2:5">
      <c r="B779" s="59" t="s">
        <v>430</v>
      </c>
      <c r="C779" t="s">
        <v>1605</v>
      </c>
      <c r="D779" t="s">
        <v>232</v>
      </c>
      <c r="E779" t="s">
        <v>474</v>
      </c>
    </row>
    <row r="780" spans="2:5">
      <c r="B780" s="59" t="s">
        <v>1606</v>
      </c>
      <c r="C780" t="s">
        <v>1607</v>
      </c>
      <c r="D780" t="s">
        <v>232</v>
      </c>
      <c r="E780" t="s">
        <v>474</v>
      </c>
    </row>
    <row r="781" spans="2:5">
      <c r="B781" s="59" t="s">
        <v>1608</v>
      </c>
      <c r="C781" t="s">
        <v>1609</v>
      </c>
      <c r="D781" t="s">
        <v>232</v>
      </c>
      <c r="E781" t="s">
        <v>474</v>
      </c>
    </row>
    <row r="782" spans="2:5">
      <c r="B782" s="59" t="s">
        <v>1610</v>
      </c>
      <c r="C782" t="s">
        <v>1033</v>
      </c>
      <c r="D782" t="s">
        <v>129</v>
      </c>
      <c r="E782" t="s">
        <v>485</v>
      </c>
    </row>
    <row r="783" spans="2:5">
      <c r="B783" s="59" t="s">
        <v>1611</v>
      </c>
      <c r="C783" t="s">
        <v>1033</v>
      </c>
      <c r="D783" t="s">
        <v>129</v>
      </c>
      <c r="E783" t="s">
        <v>485</v>
      </c>
    </row>
    <row r="784" spans="2:5">
      <c r="B784" s="59" t="s">
        <v>1612</v>
      </c>
      <c r="C784" t="s">
        <v>1613</v>
      </c>
      <c r="D784" t="e">
        <v>#N/A</v>
      </c>
      <c r="E784" t="s">
        <v>485</v>
      </c>
    </row>
    <row r="785" spans="2:5">
      <c r="B785" s="59" t="s">
        <v>1614</v>
      </c>
      <c r="C785" t="s">
        <v>1613</v>
      </c>
      <c r="D785" t="e">
        <v>#N/A</v>
      </c>
      <c r="E785" t="s">
        <v>485</v>
      </c>
    </row>
    <row r="786" spans="2:5">
      <c r="B786" s="59" t="s">
        <v>432</v>
      </c>
      <c r="C786" t="s">
        <v>1615</v>
      </c>
      <c r="D786" t="s">
        <v>223</v>
      </c>
      <c r="E786" t="s">
        <v>474</v>
      </c>
    </row>
    <row r="787" spans="2:5">
      <c r="B787" s="59" t="s">
        <v>1616</v>
      </c>
      <c r="C787" t="s">
        <v>1617</v>
      </c>
      <c r="D787" t="s">
        <v>223</v>
      </c>
      <c r="E787" t="s">
        <v>485</v>
      </c>
    </row>
    <row r="788" spans="2:5">
      <c r="B788" s="59" t="s">
        <v>1618</v>
      </c>
      <c r="C788" t="s">
        <v>1619</v>
      </c>
      <c r="D788" t="s">
        <v>223</v>
      </c>
      <c r="E788" t="s">
        <v>488</v>
      </c>
    </row>
    <row r="789" spans="2:5">
      <c r="B789" s="59" t="s">
        <v>1620</v>
      </c>
      <c r="C789" t="s">
        <v>1617</v>
      </c>
      <c r="D789" t="s">
        <v>223</v>
      </c>
      <c r="E789" t="s">
        <v>485</v>
      </c>
    </row>
    <row r="790" spans="2:5">
      <c r="B790" s="59" t="s">
        <v>1621</v>
      </c>
      <c r="C790" t="s">
        <v>1619</v>
      </c>
      <c r="D790" t="s">
        <v>223</v>
      </c>
      <c r="E790" t="s">
        <v>488</v>
      </c>
    </row>
    <row r="791" spans="2:5">
      <c r="B791" s="59" t="s">
        <v>454</v>
      </c>
      <c r="C791" t="s">
        <v>1622</v>
      </c>
      <c r="D791" t="s">
        <v>465</v>
      </c>
      <c r="E791" t="s">
        <v>474</v>
      </c>
    </row>
    <row r="792" spans="2:5">
      <c r="B792" s="59" t="s">
        <v>1623</v>
      </c>
      <c r="C792" t="s">
        <v>1624</v>
      </c>
      <c r="D792" t="s">
        <v>465</v>
      </c>
      <c r="E792" t="s">
        <v>474</v>
      </c>
    </row>
    <row r="793" spans="2:5">
      <c r="B793" s="59" t="s">
        <v>1625</v>
      </c>
      <c r="C793" t="s">
        <v>1624</v>
      </c>
      <c r="D793" t="s">
        <v>465</v>
      </c>
      <c r="E793" t="s">
        <v>474</v>
      </c>
    </row>
    <row r="794" spans="2:5">
      <c r="B794" s="59" t="s">
        <v>1626</v>
      </c>
      <c r="C794" t="s">
        <v>1627</v>
      </c>
      <c r="D794" t="s">
        <v>465</v>
      </c>
      <c r="E794" t="s">
        <v>474</v>
      </c>
    </row>
    <row r="795" spans="2:5">
      <c r="B795" s="59" t="s">
        <v>1628</v>
      </c>
      <c r="C795" t="s">
        <v>1629</v>
      </c>
      <c r="D795" t="s">
        <v>232</v>
      </c>
      <c r="E795" t="s">
        <v>485</v>
      </c>
    </row>
    <row r="796" spans="2:5">
      <c r="B796" s="59" t="s">
        <v>1630</v>
      </c>
      <c r="C796" t="s">
        <v>1631</v>
      </c>
      <c r="D796" t="s">
        <v>232</v>
      </c>
      <c r="E796" t="s">
        <v>488</v>
      </c>
    </row>
    <row r="797" spans="2:5">
      <c r="B797" s="59" t="s">
        <v>1632</v>
      </c>
      <c r="C797" t="s">
        <v>1629</v>
      </c>
      <c r="D797" t="s">
        <v>232</v>
      </c>
      <c r="E797" t="s">
        <v>485</v>
      </c>
    </row>
    <row r="798" spans="2:5">
      <c r="B798" s="59" t="s">
        <v>1633</v>
      </c>
      <c r="C798" t="s">
        <v>1631</v>
      </c>
      <c r="D798" t="s">
        <v>232</v>
      </c>
      <c r="E798" t="s">
        <v>488</v>
      </c>
    </row>
    <row r="799" spans="2:5">
      <c r="B799" s="59" t="s">
        <v>437</v>
      </c>
      <c r="C799" t="s">
        <v>1634</v>
      </c>
      <c r="D799" t="s">
        <v>464</v>
      </c>
      <c r="E799" t="s">
        <v>474</v>
      </c>
    </row>
    <row r="800" spans="2:5">
      <c r="B800" s="59" t="s">
        <v>1635</v>
      </c>
      <c r="C800" t="s">
        <v>1636</v>
      </c>
      <c r="D800" t="s">
        <v>464</v>
      </c>
      <c r="E800" t="s">
        <v>474</v>
      </c>
    </row>
    <row r="801" spans="2:5">
      <c r="B801" s="59" t="s">
        <v>1637</v>
      </c>
      <c r="C801" t="s">
        <v>1636</v>
      </c>
      <c r="D801" t="s">
        <v>464</v>
      </c>
      <c r="E801" t="s">
        <v>474</v>
      </c>
    </row>
    <row r="802" spans="2:5">
      <c r="B802" s="59" t="s">
        <v>438</v>
      </c>
      <c r="C802" t="s">
        <v>1638</v>
      </c>
      <c r="D802" t="s">
        <v>229</v>
      </c>
      <c r="E802" t="s">
        <v>474</v>
      </c>
    </row>
    <row r="803" spans="2:5">
      <c r="B803" s="59" t="s">
        <v>1639</v>
      </c>
      <c r="C803" t="s">
        <v>1640</v>
      </c>
      <c r="D803" t="s">
        <v>229</v>
      </c>
      <c r="E803" t="s">
        <v>474</v>
      </c>
    </row>
    <row r="804" spans="2:5">
      <c r="B804" s="59" t="s">
        <v>1641</v>
      </c>
      <c r="C804" t="s">
        <v>1640</v>
      </c>
      <c r="D804" t="s">
        <v>229</v>
      </c>
      <c r="E804" t="s">
        <v>474</v>
      </c>
    </row>
    <row r="805" spans="2:5">
      <c r="B805" s="59" t="s">
        <v>447</v>
      </c>
      <c r="C805" t="s">
        <v>1638</v>
      </c>
      <c r="D805" t="s">
        <v>229</v>
      </c>
      <c r="E805" t="s">
        <v>474</v>
      </c>
    </row>
    <row r="806" spans="2:5">
      <c r="B806" s="59" t="s">
        <v>1642</v>
      </c>
      <c r="C806" t="s">
        <v>1640</v>
      </c>
      <c r="D806" t="s">
        <v>229</v>
      </c>
      <c r="E806" t="s">
        <v>474</v>
      </c>
    </row>
    <row r="807" spans="2:5">
      <c r="B807" s="59" t="s">
        <v>1643</v>
      </c>
      <c r="C807" t="s">
        <v>1644</v>
      </c>
      <c r="D807" t="s">
        <v>1645</v>
      </c>
      <c r="E807" t="s">
        <v>485</v>
      </c>
    </row>
    <row r="808" spans="2:5">
      <c r="B808" s="59" t="s">
        <v>1646</v>
      </c>
      <c r="C808" t="s">
        <v>1647</v>
      </c>
      <c r="D808" t="s">
        <v>1648</v>
      </c>
      <c r="E808" t="s">
        <v>474</v>
      </c>
    </row>
    <row r="809" spans="2:5">
      <c r="B809" s="59" t="s">
        <v>1649</v>
      </c>
      <c r="C809" t="s">
        <v>1650</v>
      </c>
      <c r="D809" t="s">
        <v>1648</v>
      </c>
      <c r="E809" t="s">
        <v>474</v>
      </c>
    </row>
    <row r="810" spans="2:5">
      <c r="B810" s="59" t="s">
        <v>1651</v>
      </c>
      <c r="C810" t="s">
        <v>1650</v>
      </c>
      <c r="D810" t="s">
        <v>1648</v>
      </c>
      <c r="E810" t="s">
        <v>474</v>
      </c>
    </row>
    <row r="811" spans="2:5">
      <c r="B811" s="59" t="s">
        <v>1652</v>
      </c>
      <c r="C811" t="s">
        <v>1653</v>
      </c>
      <c r="D811" t="s">
        <v>1648</v>
      </c>
      <c r="E811" t="s">
        <v>474</v>
      </c>
    </row>
    <row r="812" spans="2:5">
      <c r="B812" s="59" t="s">
        <v>1654</v>
      </c>
      <c r="C812" t="s">
        <v>1655</v>
      </c>
      <c r="D812" t="s">
        <v>1656</v>
      </c>
      <c r="E812" t="s">
        <v>474</v>
      </c>
    </row>
    <row r="813" spans="2:5">
      <c r="B813" s="59" t="s">
        <v>1657</v>
      </c>
      <c r="C813" t="s">
        <v>1658</v>
      </c>
      <c r="D813" t="s">
        <v>1656</v>
      </c>
      <c r="E813" t="s">
        <v>474</v>
      </c>
    </row>
    <row r="814" spans="2:5">
      <c r="B814" s="59" t="s">
        <v>1659</v>
      </c>
      <c r="C814" t="s">
        <v>1660</v>
      </c>
      <c r="D814" t="s">
        <v>1656</v>
      </c>
      <c r="E814" t="s">
        <v>474</v>
      </c>
    </row>
    <row r="815" spans="2:5">
      <c r="B815" s="59" t="s">
        <v>1661</v>
      </c>
      <c r="C815" t="s">
        <v>1662</v>
      </c>
      <c r="D815" t="e">
        <v>#N/A</v>
      </c>
      <c r="E815" t="s">
        <v>474</v>
      </c>
    </row>
    <row r="816" spans="2:5">
      <c r="B816" s="59" t="s">
        <v>1663</v>
      </c>
      <c r="C816" t="s">
        <v>1664</v>
      </c>
      <c r="D816" t="s">
        <v>1665</v>
      </c>
      <c r="E816" t="s">
        <v>488</v>
      </c>
    </row>
    <row r="817" spans="2:5">
      <c r="B817" s="59" t="s">
        <v>1666</v>
      </c>
      <c r="C817" t="s">
        <v>1667</v>
      </c>
      <c r="D817" t="s">
        <v>1665</v>
      </c>
      <c r="E817" t="s">
        <v>488</v>
      </c>
    </row>
    <row r="818" spans="2:5">
      <c r="B818" s="59" t="s">
        <v>1668</v>
      </c>
      <c r="C818" t="s">
        <v>1669</v>
      </c>
      <c r="D818" t="s">
        <v>1665</v>
      </c>
      <c r="E818" t="s">
        <v>485</v>
      </c>
    </row>
    <row r="819" spans="2:5">
      <c r="B819" s="59" t="s">
        <v>1670</v>
      </c>
      <c r="C819" t="s">
        <v>1671</v>
      </c>
      <c r="D819" t="s">
        <v>1665</v>
      </c>
      <c r="E819" t="s">
        <v>488</v>
      </c>
    </row>
    <row r="820" spans="2:5">
      <c r="B820" s="59" t="s">
        <v>1672</v>
      </c>
      <c r="C820" t="s">
        <v>1669</v>
      </c>
      <c r="D820" t="s">
        <v>1665</v>
      </c>
      <c r="E820" t="s">
        <v>485</v>
      </c>
    </row>
    <row r="821" spans="2:5">
      <c r="B821" s="59" t="s">
        <v>1673</v>
      </c>
      <c r="C821" t="s">
        <v>1674</v>
      </c>
      <c r="D821" t="s">
        <v>1675</v>
      </c>
      <c r="E821" t="s">
        <v>485</v>
      </c>
    </row>
    <row r="822" spans="2:5">
      <c r="B822" s="59" t="s">
        <v>1676</v>
      </c>
      <c r="C822" t="s">
        <v>1677</v>
      </c>
      <c r="D822" t="e">
        <v>#N/A</v>
      </c>
      <c r="E822" t="s">
        <v>474</v>
      </c>
    </row>
    <row r="823" spans="2:5">
      <c r="B823" s="59" t="s">
        <v>1678</v>
      </c>
      <c r="C823" t="s">
        <v>1679</v>
      </c>
      <c r="D823" t="s">
        <v>1558</v>
      </c>
      <c r="E823" t="s">
        <v>474</v>
      </c>
    </row>
    <row r="824" spans="2:5">
      <c r="B824" s="59" t="s">
        <v>1680</v>
      </c>
      <c r="C824" t="s">
        <v>1681</v>
      </c>
      <c r="D824" t="s">
        <v>1558</v>
      </c>
      <c r="E824" t="s">
        <v>474</v>
      </c>
    </row>
    <row r="825" spans="2:5">
      <c r="B825" s="59" t="s">
        <v>1682</v>
      </c>
      <c r="C825" t="s">
        <v>1681</v>
      </c>
      <c r="D825" t="s">
        <v>1558</v>
      </c>
      <c r="E825" t="s">
        <v>474</v>
      </c>
    </row>
    <row r="826" spans="2:5">
      <c r="B826" s="59" t="s">
        <v>1683</v>
      </c>
      <c r="C826" t="s">
        <v>1684</v>
      </c>
      <c r="D826" t="e">
        <v>#N/A</v>
      </c>
      <c r="E826" t="s">
        <v>474</v>
      </c>
    </row>
    <row r="827" spans="2:5">
      <c r="B827" s="59" t="s">
        <v>1685</v>
      </c>
      <c r="C827" t="s">
        <v>1686</v>
      </c>
      <c r="D827" t="s">
        <v>1645</v>
      </c>
      <c r="E827" t="s">
        <v>485</v>
      </c>
    </row>
    <row r="828" spans="2:5">
      <c r="B828" s="59" t="s">
        <v>232</v>
      </c>
      <c r="C828" t="s">
        <v>1605</v>
      </c>
      <c r="D828" t="s">
        <v>232</v>
      </c>
      <c r="E828" t="s">
        <v>474</v>
      </c>
    </row>
    <row r="829" spans="2:5">
      <c r="B829" s="59" t="s">
        <v>1687</v>
      </c>
      <c r="C829" t="s">
        <v>1607</v>
      </c>
      <c r="D829" t="s">
        <v>232</v>
      </c>
      <c r="E829" t="s">
        <v>474</v>
      </c>
    </row>
    <row r="830" spans="2:5">
      <c r="B830" s="59" t="s">
        <v>1688</v>
      </c>
      <c r="C830" t="s">
        <v>1609</v>
      </c>
      <c r="D830" t="s">
        <v>232</v>
      </c>
      <c r="E830" t="s">
        <v>474</v>
      </c>
    </row>
    <row r="831" spans="2:5">
      <c r="B831" s="59" t="s">
        <v>1689</v>
      </c>
      <c r="C831" t="s">
        <v>1690</v>
      </c>
      <c r="D831" t="e">
        <v>#N/A</v>
      </c>
      <c r="E831" t="s">
        <v>474</v>
      </c>
    </row>
    <row r="832" spans="2:5">
      <c r="B832" s="59" t="s">
        <v>1691</v>
      </c>
      <c r="C832" t="s">
        <v>1690</v>
      </c>
      <c r="D832" t="e">
        <v>#N/A</v>
      </c>
      <c r="E832" t="s">
        <v>474</v>
      </c>
    </row>
    <row r="833" spans="2:5">
      <c r="B833" s="59" t="s">
        <v>1692</v>
      </c>
      <c r="C833" t="s">
        <v>543</v>
      </c>
      <c r="D833" t="s">
        <v>235</v>
      </c>
      <c r="E833" t="s">
        <v>474</v>
      </c>
    </row>
    <row r="834" spans="2:5">
      <c r="B834" s="59" t="s">
        <v>1693</v>
      </c>
      <c r="C834" t="s">
        <v>1694</v>
      </c>
      <c r="D834" t="s">
        <v>915</v>
      </c>
      <c r="E834" t="s">
        <v>477</v>
      </c>
    </row>
    <row r="835" spans="2:5">
      <c r="B835" s="59" t="s">
        <v>1693</v>
      </c>
      <c r="C835" t="s">
        <v>1695</v>
      </c>
      <c r="D835" t="s">
        <v>915</v>
      </c>
      <c r="E835" t="s">
        <v>477</v>
      </c>
    </row>
    <row r="836" spans="2:5">
      <c r="B836" s="59" t="s">
        <v>457</v>
      </c>
      <c r="C836" t="s">
        <v>1696</v>
      </c>
      <c r="D836" t="s">
        <v>237</v>
      </c>
      <c r="E836" t="s">
        <v>474</v>
      </c>
    </row>
    <row r="837" spans="2:5">
      <c r="B837" s="59" t="s">
        <v>1697</v>
      </c>
      <c r="C837" t="s">
        <v>1698</v>
      </c>
      <c r="D837" t="s">
        <v>1699</v>
      </c>
      <c r="E837" t="s">
        <v>485</v>
      </c>
    </row>
    <row r="838" spans="2:5">
      <c r="B838" s="59" t="s">
        <v>1700</v>
      </c>
      <c r="C838" t="s">
        <v>1698</v>
      </c>
      <c r="D838" t="s">
        <v>1699</v>
      </c>
      <c r="E838" t="s">
        <v>485</v>
      </c>
    </row>
    <row r="839" spans="2:5">
      <c r="B839" s="59" t="s">
        <v>1701</v>
      </c>
      <c r="C839" t="s">
        <v>1698</v>
      </c>
      <c r="D839" t="s">
        <v>1699</v>
      </c>
      <c r="E839" t="s">
        <v>485</v>
      </c>
    </row>
    <row r="840" spans="2:5">
      <c r="B840" s="59" t="s">
        <v>1702</v>
      </c>
      <c r="C840" t="s">
        <v>1698</v>
      </c>
      <c r="D840" t="s">
        <v>1699</v>
      </c>
      <c r="E840" t="s">
        <v>485</v>
      </c>
    </row>
    <row r="841" spans="2:5">
      <c r="B841" s="59" t="s">
        <v>1703</v>
      </c>
      <c r="C841" t="s">
        <v>1698</v>
      </c>
      <c r="D841" t="s">
        <v>1699</v>
      </c>
      <c r="E841" t="s">
        <v>485</v>
      </c>
    </row>
    <row r="842" spans="2:5">
      <c r="B842" s="59" t="s">
        <v>1704</v>
      </c>
      <c r="C842" t="s">
        <v>1705</v>
      </c>
      <c r="D842" t="s">
        <v>1706</v>
      </c>
      <c r="E842" t="s">
        <v>474</v>
      </c>
    </row>
    <row r="843" spans="2:5">
      <c r="B843" s="59" t="s">
        <v>440</v>
      </c>
      <c r="C843" t="s">
        <v>1707</v>
      </c>
      <c r="D843" t="s">
        <v>460</v>
      </c>
      <c r="E843" t="s">
        <v>474</v>
      </c>
    </row>
    <row r="844" spans="2:5">
      <c r="B844" s="59" t="s">
        <v>1708</v>
      </c>
      <c r="C844" t="s">
        <v>1709</v>
      </c>
      <c r="D844" t="s">
        <v>460</v>
      </c>
      <c r="E844" t="s">
        <v>474</v>
      </c>
    </row>
    <row r="845" spans="2:5">
      <c r="B845" s="59" t="s">
        <v>1710</v>
      </c>
      <c r="C845" t="s">
        <v>1709</v>
      </c>
      <c r="D845" t="s">
        <v>460</v>
      </c>
      <c r="E845" t="s">
        <v>474</v>
      </c>
    </row>
    <row r="846" spans="2:5">
      <c r="B846" s="59" t="s">
        <v>456</v>
      </c>
      <c r="C846" t="s">
        <v>1711</v>
      </c>
      <c r="D846" t="s">
        <v>460</v>
      </c>
      <c r="E846" t="s">
        <v>474</v>
      </c>
    </row>
    <row r="847" spans="2:5">
      <c r="B847" s="59" t="s">
        <v>1712</v>
      </c>
      <c r="C847" t="s">
        <v>1711</v>
      </c>
      <c r="D847" t="s">
        <v>460</v>
      </c>
      <c r="E847" t="s">
        <v>474</v>
      </c>
    </row>
    <row r="848" spans="2:5">
      <c r="B848" s="59" t="s">
        <v>1713</v>
      </c>
      <c r="C848" t="s">
        <v>1711</v>
      </c>
      <c r="D848" t="s">
        <v>460</v>
      </c>
      <c r="E848" t="s">
        <v>474</v>
      </c>
    </row>
    <row r="849" spans="2:5">
      <c r="B849" s="59" t="s">
        <v>1714</v>
      </c>
      <c r="C849" t="s">
        <v>1715</v>
      </c>
      <c r="D849" t="s">
        <v>460</v>
      </c>
      <c r="E849" t="s">
        <v>485</v>
      </c>
    </row>
    <row r="850" spans="2:5">
      <c r="B850" s="59" t="s">
        <v>1716</v>
      </c>
      <c r="C850" t="s">
        <v>1715</v>
      </c>
      <c r="D850" t="s">
        <v>460</v>
      </c>
      <c r="E850" t="s">
        <v>485</v>
      </c>
    </row>
    <row r="851" spans="2:5">
      <c r="B851" s="59" t="s">
        <v>1717</v>
      </c>
      <c r="C851" t="s">
        <v>1718</v>
      </c>
      <c r="D851" t="s">
        <v>244</v>
      </c>
      <c r="E851" t="s">
        <v>474</v>
      </c>
    </row>
    <row r="852" spans="2:5">
      <c r="B852" s="59" t="s">
        <v>442</v>
      </c>
      <c r="C852" t="s">
        <v>1719</v>
      </c>
      <c r="D852" t="s">
        <v>244</v>
      </c>
      <c r="E852" t="s">
        <v>474</v>
      </c>
    </row>
    <row r="853" spans="2:5">
      <c r="B853" s="59" t="s">
        <v>1720</v>
      </c>
      <c r="C853" t="s">
        <v>1718</v>
      </c>
      <c r="D853" t="s">
        <v>244</v>
      </c>
      <c r="E853" t="s">
        <v>474</v>
      </c>
    </row>
    <row r="854" spans="2:5">
      <c r="B854" s="59" t="s">
        <v>1721</v>
      </c>
      <c r="C854" t="s">
        <v>1722</v>
      </c>
      <c r="D854" t="e">
        <v>#N/A</v>
      </c>
      <c r="E854" t="s">
        <v>485</v>
      </c>
    </row>
    <row r="855" spans="2:5">
      <c r="B855" s="59" t="s">
        <v>427</v>
      </c>
      <c r="C855" t="s">
        <v>1723</v>
      </c>
      <c r="D855" t="s">
        <v>181</v>
      </c>
      <c r="E855" t="s">
        <v>474</v>
      </c>
    </row>
    <row r="856" spans="2:5">
      <c r="B856" s="59" t="s">
        <v>1724</v>
      </c>
      <c r="C856" t="s">
        <v>1725</v>
      </c>
      <c r="D856" t="s">
        <v>181</v>
      </c>
      <c r="E856" t="s">
        <v>474</v>
      </c>
    </row>
    <row r="857" spans="2:5">
      <c r="B857" s="59" t="s">
        <v>1726</v>
      </c>
      <c r="C857" t="s">
        <v>1727</v>
      </c>
      <c r="D857" t="s">
        <v>181</v>
      </c>
      <c r="E857" t="s">
        <v>474</v>
      </c>
    </row>
    <row r="858" spans="2:5">
      <c r="B858" s="59" t="s">
        <v>1728</v>
      </c>
      <c r="C858" t="s">
        <v>1729</v>
      </c>
      <c r="D858" t="s">
        <v>181</v>
      </c>
      <c r="E858" t="s">
        <v>485</v>
      </c>
    </row>
    <row r="859" spans="2:5">
      <c r="B859" s="59" t="s">
        <v>1730</v>
      </c>
      <c r="C859" t="s">
        <v>1731</v>
      </c>
      <c r="D859" t="s">
        <v>1732</v>
      </c>
      <c r="E859" t="s">
        <v>485</v>
      </c>
    </row>
    <row r="860" spans="2:5">
      <c r="B860" s="59" t="s">
        <v>1733</v>
      </c>
      <c r="C860" t="s">
        <v>1734</v>
      </c>
      <c r="D860" t="s">
        <v>1732</v>
      </c>
      <c r="E860" t="s">
        <v>487</v>
      </c>
    </row>
    <row r="861" spans="2:5">
      <c r="B861" s="59" t="s">
        <v>331</v>
      </c>
      <c r="C861" t="s">
        <v>1735</v>
      </c>
      <c r="D861" t="s">
        <v>105</v>
      </c>
      <c r="E861" t="s">
        <v>474</v>
      </c>
    </row>
    <row r="862" spans="2:5">
      <c r="B862" s="59" t="s">
        <v>1736</v>
      </c>
      <c r="C862" t="s">
        <v>1737</v>
      </c>
      <c r="D862" t="s">
        <v>105</v>
      </c>
      <c r="E862" t="s">
        <v>474</v>
      </c>
    </row>
    <row r="863" spans="2:5">
      <c r="B863" s="59" t="s">
        <v>331</v>
      </c>
      <c r="C863" t="s">
        <v>1738</v>
      </c>
      <c r="D863" t="s">
        <v>105</v>
      </c>
      <c r="E863" t="s">
        <v>474</v>
      </c>
    </row>
    <row r="864" spans="2:5">
      <c r="B864" s="59" t="s">
        <v>1739</v>
      </c>
      <c r="C864" t="s">
        <v>1740</v>
      </c>
      <c r="D864" t="s">
        <v>105</v>
      </c>
      <c r="E864" t="s">
        <v>485</v>
      </c>
    </row>
    <row r="865" spans="2:5">
      <c r="B865" s="59" t="s">
        <v>1741</v>
      </c>
      <c r="C865" t="s">
        <v>1742</v>
      </c>
      <c r="D865" t="s">
        <v>83</v>
      </c>
      <c r="E865" t="s">
        <v>474</v>
      </c>
    </row>
    <row r="866" spans="2:5">
      <c r="B866" s="59" t="s">
        <v>426</v>
      </c>
      <c r="C866" t="s">
        <v>1742</v>
      </c>
      <c r="D866" t="s">
        <v>83</v>
      </c>
      <c r="E866" t="s">
        <v>474</v>
      </c>
    </row>
    <row r="867" spans="2:5">
      <c r="B867" s="59" t="s">
        <v>1743</v>
      </c>
      <c r="C867" t="s">
        <v>544</v>
      </c>
      <c r="D867" t="s">
        <v>35</v>
      </c>
      <c r="E867" t="s">
        <v>474</v>
      </c>
    </row>
    <row r="868" spans="2:5">
      <c r="B868" s="59" t="s">
        <v>323</v>
      </c>
      <c r="C868" t="s">
        <v>1744</v>
      </c>
      <c r="D868" t="s">
        <v>140</v>
      </c>
      <c r="E868" t="s">
        <v>474</v>
      </c>
    </row>
    <row r="869" spans="2:5">
      <c r="B869" s="59" t="s">
        <v>85</v>
      </c>
      <c r="C869" t="s">
        <v>781</v>
      </c>
      <c r="D869" t="s">
        <v>85</v>
      </c>
      <c r="E869" t="s">
        <v>474</v>
      </c>
    </row>
    <row r="870" spans="2:5">
      <c r="B870" s="59" t="s">
        <v>1745</v>
      </c>
      <c r="C870" t="s">
        <v>1746</v>
      </c>
      <c r="D870" t="s">
        <v>1747</v>
      </c>
      <c r="E870" t="s">
        <v>474</v>
      </c>
    </row>
    <row r="871" spans="2:5">
      <c r="B871" s="59" t="s">
        <v>1748</v>
      </c>
      <c r="C871" t="s">
        <v>1749</v>
      </c>
      <c r="D871" t="s">
        <v>1747</v>
      </c>
      <c r="E871" t="s">
        <v>474</v>
      </c>
    </row>
    <row r="872" spans="2:5">
      <c r="B872" s="59" t="s">
        <v>1750</v>
      </c>
      <c r="C872" t="s">
        <v>1751</v>
      </c>
      <c r="D872" t="s">
        <v>1747</v>
      </c>
      <c r="E872" t="s">
        <v>474</v>
      </c>
    </row>
    <row r="873" spans="2:5">
      <c r="B873" s="59" t="s">
        <v>1752</v>
      </c>
      <c r="C873" t="s">
        <v>1753</v>
      </c>
      <c r="D873" t="s">
        <v>1747</v>
      </c>
      <c r="E873" t="s">
        <v>485</v>
      </c>
    </row>
    <row r="874" spans="2:5">
      <c r="B874" s="59" t="s">
        <v>1754</v>
      </c>
      <c r="C874" t="s">
        <v>1755</v>
      </c>
      <c r="D874" t="s">
        <v>1754</v>
      </c>
      <c r="E874" t="s">
        <v>474</v>
      </c>
    </row>
    <row r="875" spans="2:5">
      <c r="B875" s="59" t="s">
        <v>1756</v>
      </c>
      <c r="C875" t="s">
        <v>1757</v>
      </c>
      <c r="D875" t="s">
        <v>1758</v>
      </c>
      <c r="E875" t="s">
        <v>474</v>
      </c>
    </row>
    <row r="876" spans="2:5">
      <c r="B876" s="59" t="s">
        <v>1759</v>
      </c>
      <c r="C876" t="s">
        <v>1760</v>
      </c>
      <c r="D876" t="s">
        <v>1761</v>
      </c>
      <c r="E876" t="s">
        <v>474</v>
      </c>
    </row>
    <row r="877" spans="2:5">
      <c r="B877" s="59" t="s">
        <v>1762</v>
      </c>
      <c r="C877" t="s">
        <v>1763</v>
      </c>
      <c r="D877" t="s">
        <v>1762</v>
      </c>
      <c r="E877" t="s">
        <v>474</v>
      </c>
    </row>
    <row r="878" spans="2:5">
      <c r="B878" s="59" t="s">
        <v>1764</v>
      </c>
      <c r="C878" t="s">
        <v>1765</v>
      </c>
      <c r="D878" t="s">
        <v>1766</v>
      </c>
      <c r="E878" t="s">
        <v>474</v>
      </c>
    </row>
    <row r="879" spans="2:5">
      <c r="B879" s="59" t="s">
        <v>1767</v>
      </c>
      <c r="C879" t="s">
        <v>1768</v>
      </c>
      <c r="D879" t="s">
        <v>143</v>
      </c>
      <c r="E879" t="s">
        <v>474</v>
      </c>
    </row>
    <row r="880" spans="2:5">
      <c r="B880" s="59" t="s">
        <v>1767</v>
      </c>
      <c r="C880" t="s">
        <v>1769</v>
      </c>
      <c r="D880" t="s">
        <v>143</v>
      </c>
      <c r="E880" t="s">
        <v>474</v>
      </c>
    </row>
    <row r="881" spans="2:5">
      <c r="B881" s="59" t="s">
        <v>1770</v>
      </c>
      <c r="C881" t="s">
        <v>1771</v>
      </c>
      <c r="D881" t="s">
        <v>143</v>
      </c>
      <c r="E881" t="s">
        <v>485</v>
      </c>
    </row>
    <row r="882" spans="2:5">
      <c r="B882" s="59" t="s">
        <v>1772</v>
      </c>
      <c r="C882" t="s">
        <v>1773</v>
      </c>
      <c r="D882" t="s">
        <v>359</v>
      </c>
      <c r="E882" t="s">
        <v>474</v>
      </c>
    </row>
    <row r="883" spans="2:5">
      <c r="B883" s="59" t="s">
        <v>1772</v>
      </c>
      <c r="C883" t="s">
        <v>1774</v>
      </c>
      <c r="D883" t="s">
        <v>359</v>
      </c>
      <c r="E883" t="s">
        <v>474</v>
      </c>
    </row>
    <row r="884" spans="2:5">
      <c r="B884" s="59" t="s">
        <v>1775</v>
      </c>
      <c r="C884" t="s">
        <v>1776</v>
      </c>
      <c r="D884" t="s">
        <v>50</v>
      </c>
      <c r="E884" t="s">
        <v>474</v>
      </c>
    </row>
    <row r="885" spans="2:5">
      <c r="B885" s="59" t="s">
        <v>1775</v>
      </c>
      <c r="C885" t="s">
        <v>1777</v>
      </c>
      <c r="D885" t="s">
        <v>50</v>
      </c>
      <c r="E885" t="s">
        <v>474</v>
      </c>
    </row>
    <row r="886" spans="2:5">
      <c r="B886" s="59" t="s">
        <v>1775</v>
      </c>
      <c r="C886" t="s">
        <v>1778</v>
      </c>
      <c r="D886" t="s">
        <v>50</v>
      </c>
      <c r="E886" t="s">
        <v>474</v>
      </c>
    </row>
    <row r="887" spans="2:5">
      <c r="B887" s="59" t="s">
        <v>1775</v>
      </c>
      <c r="C887" t="s">
        <v>1779</v>
      </c>
      <c r="D887" t="s">
        <v>50</v>
      </c>
      <c r="E887" t="s">
        <v>485</v>
      </c>
    </row>
    <row r="888" spans="2:5">
      <c r="B888" s="59" t="s">
        <v>1780</v>
      </c>
      <c r="C888" t="s">
        <v>1781</v>
      </c>
      <c r="D888" t="s">
        <v>1782</v>
      </c>
      <c r="E888" t="s">
        <v>474</v>
      </c>
    </row>
    <row r="889" spans="2:5">
      <c r="B889" s="59" t="s">
        <v>1780</v>
      </c>
      <c r="C889" t="s">
        <v>1783</v>
      </c>
      <c r="D889" t="s">
        <v>1782</v>
      </c>
      <c r="E889" t="s">
        <v>474</v>
      </c>
    </row>
    <row r="890" spans="2:5">
      <c r="B890" s="59" t="s">
        <v>1780</v>
      </c>
      <c r="C890" t="s">
        <v>1784</v>
      </c>
      <c r="D890" t="s">
        <v>1782</v>
      </c>
      <c r="E890" t="s">
        <v>474</v>
      </c>
    </row>
    <row r="891" spans="2:5">
      <c r="B891" s="59" t="s">
        <v>1785</v>
      </c>
      <c r="C891" t="s">
        <v>1786</v>
      </c>
      <c r="D891" t="s">
        <v>1782</v>
      </c>
      <c r="E891" t="s">
        <v>485</v>
      </c>
    </row>
  </sheetData>
  <conditionalFormatting sqref="A184:A186">
    <cfRule type="duplicateValues" dxfId="38" priority="32"/>
  </conditionalFormatting>
  <conditionalFormatting sqref="A264:A266">
    <cfRule type="duplicateValues" dxfId="37" priority="33"/>
  </conditionalFormatting>
  <conditionalFormatting sqref="A370:A372">
    <cfRule type="duplicateValues" dxfId="36" priority="23"/>
  </conditionalFormatting>
  <conditionalFormatting sqref="A373">
    <cfRule type="duplicateValues" dxfId="35" priority="20"/>
  </conditionalFormatting>
  <conditionalFormatting sqref="B41">
    <cfRule type="duplicateValues" dxfId="34" priority="6"/>
  </conditionalFormatting>
  <conditionalFormatting sqref="B45">
    <cfRule type="duplicateValues" dxfId="33" priority="27"/>
  </conditionalFormatting>
  <conditionalFormatting sqref="B151">
    <cfRule type="duplicateValues" dxfId="32" priority="2"/>
  </conditionalFormatting>
  <conditionalFormatting sqref="B175:B176">
    <cfRule type="duplicateValues" dxfId="31" priority="31"/>
  </conditionalFormatting>
  <conditionalFormatting sqref="B210">
    <cfRule type="duplicateValues" dxfId="30" priority="10"/>
  </conditionalFormatting>
  <conditionalFormatting sqref="B228:B234">
    <cfRule type="duplicateValues" dxfId="29" priority="35"/>
  </conditionalFormatting>
  <conditionalFormatting sqref="B268">
    <cfRule type="duplicateValues" dxfId="28" priority="12"/>
  </conditionalFormatting>
  <conditionalFormatting sqref="B370:B372 B374">
    <cfRule type="duplicateValues" dxfId="27" priority="25"/>
  </conditionalFormatting>
  <conditionalFormatting sqref="B373">
    <cfRule type="duplicateValues" dxfId="26" priority="22"/>
  </conditionalFormatting>
  <conditionalFormatting sqref="B407:B409">
    <cfRule type="duplicateValues" dxfId="25" priority="38"/>
  </conditionalFormatting>
  <conditionalFormatting sqref="B410">
    <cfRule type="duplicateValues" dxfId="24" priority="19"/>
  </conditionalFormatting>
  <conditionalFormatting sqref="B451:B453">
    <cfRule type="duplicateValues" dxfId="23" priority="4"/>
  </conditionalFormatting>
  <conditionalFormatting sqref="B575">
    <cfRule type="duplicateValues" dxfId="22" priority="29"/>
  </conditionalFormatting>
  <conditionalFormatting sqref="B607">
    <cfRule type="duplicateValues" dxfId="21" priority="8"/>
  </conditionalFormatting>
  <conditionalFormatting sqref="B610">
    <cfRule type="duplicateValues" dxfId="20" priority="15"/>
  </conditionalFormatting>
  <conditionalFormatting sqref="B611">
    <cfRule type="duplicateValues" dxfId="19" priority="14"/>
  </conditionalFormatting>
  <conditionalFormatting sqref="B695:B1048576 B612:B693 B576:B606 B1:B40 B42:B44 B46:B150 B375:B406 B177:B209 B411:B450 C70 B235:B267 C293 B269:B369 B211:B227 B608:B609 B454:B574 B152:B174">
    <cfRule type="duplicateValues" dxfId="18" priority="37"/>
  </conditionalFormatting>
  <conditionalFormatting sqref="C41">
    <cfRule type="duplicateValues" dxfId="17" priority="5"/>
  </conditionalFormatting>
  <conditionalFormatting sqref="C45">
    <cfRule type="duplicateValues" dxfId="16" priority="26"/>
  </conditionalFormatting>
  <conditionalFormatting sqref="C151">
    <cfRule type="duplicateValues" dxfId="15" priority="1"/>
  </conditionalFormatting>
  <conditionalFormatting sqref="C175:C176">
    <cfRule type="duplicateValues" dxfId="14" priority="30"/>
  </conditionalFormatting>
  <conditionalFormatting sqref="C210">
    <cfRule type="duplicateValues" dxfId="13" priority="9"/>
  </conditionalFormatting>
  <conditionalFormatting sqref="C228:C234">
    <cfRule type="duplicateValues" dxfId="12" priority="34"/>
  </conditionalFormatting>
  <conditionalFormatting sqref="C268">
    <cfRule type="duplicateValues" dxfId="11" priority="11"/>
  </conditionalFormatting>
  <conditionalFormatting sqref="C370:C372 C374">
    <cfRule type="duplicateValues" dxfId="10" priority="24"/>
  </conditionalFormatting>
  <conditionalFormatting sqref="C373">
    <cfRule type="duplicateValues" dxfId="9" priority="21"/>
  </conditionalFormatting>
  <conditionalFormatting sqref="C405">
    <cfRule type="duplicateValues" dxfId="8" priority="17"/>
  </conditionalFormatting>
  <conditionalFormatting sqref="C407:C409">
    <cfRule type="duplicateValues" dxfId="7" priority="39"/>
  </conditionalFormatting>
  <conditionalFormatting sqref="C410">
    <cfRule type="duplicateValues" dxfId="6" priority="18"/>
  </conditionalFormatting>
  <conditionalFormatting sqref="C451:C453">
    <cfRule type="duplicateValues" dxfId="5" priority="3"/>
  </conditionalFormatting>
  <conditionalFormatting sqref="C575">
    <cfRule type="duplicateValues" dxfId="4" priority="28"/>
  </conditionalFormatting>
  <conditionalFormatting sqref="C607">
    <cfRule type="duplicateValues" dxfId="3" priority="7"/>
  </conditionalFormatting>
  <conditionalFormatting sqref="C610">
    <cfRule type="duplicateValues" dxfId="2" priority="16"/>
  </conditionalFormatting>
  <conditionalFormatting sqref="C611">
    <cfRule type="duplicateValues" dxfId="1" priority="13"/>
  </conditionalFormatting>
  <conditionalFormatting sqref="C695:C1048576 C612:C693 C576:C606 C1:C40 C42:C44 C46:C69 C375:C404 C177:C209 C411:C450 C406 C235:C267 C71:C150 C294:C369 C269:C292 C211:C227 C608:C609 C454:C574 C152:C174">
    <cfRule type="duplicateValues" dxfId="0" priority="36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6C0B0299502459BE057F60D45F7A2" ma:contentTypeVersion="16" ma:contentTypeDescription="Create a new document." ma:contentTypeScope="" ma:versionID="f50657443db3cca893bf2a77a6b82c8e">
  <xsd:schema xmlns:xsd="http://www.w3.org/2001/XMLSchema" xmlns:xs="http://www.w3.org/2001/XMLSchema" xmlns:p="http://schemas.microsoft.com/office/2006/metadata/properties" xmlns:ns2="ecf2865c-a0c0-4830-9c97-c878b24eefc5" xmlns:ns3="0c3f3349-3fde-44b2-91dd-1461469ae59c" targetNamespace="http://schemas.microsoft.com/office/2006/metadata/properties" ma:root="true" ma:fieldsID="ffe86a2076484ea9f4ac21488ba3d86b" ns2:_="" ns3:_="">
    <xsd:import namespace="ecf2865c-a0c0-4830-9c97-c878b24eefc5"/>
    <xsd:import namespace="0c3f3349-3fde-44b2-91dd-1461469ae59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2865c-a0c0-4830-9c97-c878b24eefc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4104d38-e8e4-4984-a0bc-6afa79dcdd70}" ma:internalName="TaxCatchAll" ma:showField="CatchAllData" ma:web="ecf2865c-a0c0-4830-9c97-c878b24ee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f3349-3fde-44b2-91dd-1461469ae5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236efef-33c7-4880-a5c8-aa8024ac55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3f3349-3fde-44b2-91dd-1461469ae59c">
      <Terms xmlns="http://schemas.microsoft.com/office/infopath/2007/PartnerControls"/>
    </lcf76f155ced4ddcb4097134ff3c332f>
    <_Flow_SignoffStatus xmlns="0c3f3349-3fde-44b2-91dd-1461469ae59c" xsi:nil="true"/>
    <TaxCatchAll xmlns="ecf2865c-a0c0-4830-9c97-c878b24eefc5" xsi:nil="true"/>
  </documentManagement>
</p:properties>
</file>

<file path=customXml/itemProps1.xml><?xml version="1.0" encoding="utf-8"?>
<ds:datastoreItem xmlns:ds="http://schemas.openxmlformats.org/officeDocument/2006/customXml" ds:itemID="{EE6F2742-987B-4EE0-B800-D10EB3B9C769}"/>
</file>

<file path=customXml/itemProps2.xml><?xml version="1.0" encoding="utf-8"?>
<ds:datastoreItem xmlns:ds="http://schemas.openxmlformats.org/officeDocument/2006/customXml" ds:itemID="{431C042E-CCD9-4DDB-89A0-48073A84716D}"/>
</file>

<file path=customXml/itemProps3.xml><?xml version="1.0" encoding="utf-8"?>
<ds:datastoreItem xmlns:ds="http://schemas.openxmlformats.org/officeDocument/2006/customXml" ds:itemID="{467578DD-6D90-498A-A958-14988D163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Liou</dc:creator>
  <cp:keywords/>
  <dc:description/>
  <cp:lastModifiedBy/>
  <cp:revision/>
  <dcterms:created xsi:type="dcterms:W3CDTF">2019-05-20T20:42:06Z</dcterms:created>
  <dcterms:modified xsi:type="dcterms:W3CDTF">2025-11-03T05:17:35Z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0x010100E2D6C0B0299502459BE057F60D45F7A2</vt:lpwstr>
  </property>
  <property fmtid="{D5CDD505-2E9C-101B-9397-08002B2CF9AE}" pid="3" name="MediaServiceImageTags">
    <vt:lpwstr/>
  </property>
</Properties>
</file>