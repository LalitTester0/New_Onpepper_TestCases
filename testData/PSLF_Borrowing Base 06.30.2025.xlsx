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NNT JV\1 - BNP Credit Facility\Borrowing Base Reporting\2025\9. June\"/>
    </mc:Choice>
  </mc:AlternateContent>
  <xr:revisionPtr revIDLastSave="0" documentId="13_ncr:1_{47C7659F-EA9B-4CC6-A7CA-9BA7303C9293}" xr6:coauthVersionLast="36" xr6:coauthVersionMax="47" xr10:uidLastSave="{00000000-0000-0000-0000-000000000000}"/>
  <bookViews>
    <workbookView xWindow="0" yWindow="0" windowWidth="24000" windowHeight="9225" tabRatio="795" firstSheet="1" activeTab="2" xr2:uid="{00000000-000D-0000-FFFF-FFFF00000000}"/>
  </bookViews>
  <sheets>
    <sheet name="aresinput" sheetId="33" state="hidden" r:id="rId1"/>
    <sheet name="Summary " sheetId="8" r:id="rId2"/>
    <sheet name="Calcs" sheetId="7" r:id="rId3"/>
    <sheet name="Loan List " sheetId="39" r:id="rId4"/>
    <sheet name="Diversity Score" sheetId="9" r:id="rId5"/>
    <sheet name="Loan Tape Consolidated" sheetId="18" state="hidden" r:id="rId6"/>
    <sheet name="Concentration Limitations" sheetId="10" r:id="rId7"/>
    <sheet name="Facility Summary" sheetId="15" state="hidden" r:id="rId8"/>
    <sheet name="VariableSheet_Pol" sheetId="20" state="hidden" r:id="rId9"/>
    <sheet name="VariableSheet" sheetId="21" state="hidden" r:id="rId10"/>
    <sheet name="Core Tax Lot Appraisal_SFERS" sheetId="32" state="hidden" r:id="rId11"/>
    <sheet name="Core Tax Lot Appraisal_lmahakal" sheetId="29" state="hidden" r:id="rId12"/>
    <sheet name="Sheet1" sheetId="38" state="hidden" r:id="rId13"/>
  </sheets>
  <externalReferences>
    <externalReference r:id="rId14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URRENT" hidden="1">#REF!</definedName>
    <definedName name="__123Graph_E" hidden="1">#REF!</definedName>
    <definedName name="__123Graph_F" hidden="1">#REF!</definedName>
    <definedName name="_1__123Graph_ACHART_1A" hidden="1">#REF!</definedName>
    <definedName name="_2__123Graph_BCHART_1A" hidden="1">#REF!</definedName>
    <definedName name="_3__123Graph_CCHART_1A" hidden="1">#REF!</definedName>
    <definedName name="_4__123Graph_DCHART_1A" hidden="1">#REF!</definedName>
    <definedName name="_5__123Graph_ECHART_1A" hidden="1">#REF!</definedName>
    <definedName name="_6__123Graph_FCHART_1A" hidden="1">#REF!</definedName>
    <definedName name="_dma1">#REF!</definedName>
    <definedName name="_dma2">#REF!</definedName>
    <definedName name="_dma3">#REF!</definedName>
    <definedName name="_dmb1">#REF!</definedName>
    <definedName name="_dmb2">#REF!</definedName>
    <definedName name="_dmc1">#REF!</definedName>
    <definedName name="_dmc2">#REF!</definedName>
    <definedName name="_dmd1">#REF!</definedName>
    <definedName name="_dmd2">#REF!</definedName>
    <definedName name="_Fill" localSheetId="0" hidden="1">#REF!</definedName>
    <definedName name="_Fill" hidden="1">#REF!</definedName>
    <definedName name="_xlnm._FilterDatabase" localSheetId="2" hidden="1">Calcs!$A$16:$DP$88</definedName>
    <definedName name="_xlnm._FilterDatabase" localSheetId="6" hidden="1">'Concentration Limitations'!$F$11:$DW$131</definedName>
    <definedName name="_xlnm._FilterDatabase" localSheetId="11" hidden="1">'Core Tax Lot Appraisal_lmahakal'!$A$1:$Y$46</definedName>
    <definedName name="_xlnm._FilterDatabase" localSheetId="4" hidden="1">'Diversity Score'!$R$3:$U$102</definedName>
    <definedName name="_xlnm._FilterDatabase" localSheetId="5" hidden="1">'Loan Tape Consolidated'!$A$5:$W$57</definedName>
    <definedName name="_Key1" localSheetId="0" hidden="1">#REF!</definedName>
    <definedName name="_Key1" hidden="1">#REF!</definedName>
    <definedName name="_Lag1">#REF!</definedName>
    <definedName name="_Lag2">#REF!</definedName>
    <definedName name="_Order1" hidden="1">255</definedName>
    <definedName name="_PV1">7</definedName>
    <definedName name="_Sort" localSheetId="0" hidden="1">#REF!</definedName>
    <definedName name="_Sort" hidden="1">#REF!</definedName>
    <definedName name="a">#REF!</definedName>
    <definedName name="A1loss">#REF!</definedName>
    <definedName name="A2loss">#REF!</definedName>
    <definedName name="A3loss">#REF!</definedName>
    <definedName name="AB">#REF!</definedName>
    <definedName name="AB_H">#REF!</definedName>
    <definedName name="AB_Orig">#REF!</definedName>
    <definedName name="ABS_Senior_____10">"FitchRecoverybyType"</definedName>
    <definedName name="ActiveRows">#REF!</definedName>
    <definedName name="Actual">#REF!</definedName>
    <definedName name="Actual12moChargeoffRatio">#REF!</definedName>
    <definedName name="Actual3moChargeoffRatio">#REF!</definedName>
    <definedName name="Actual3moDefaultRatio">#REF!</definedName>
    <definedName name="AdjAdvRate">#REF!</definedName>
    <definedName name="adv_rate">#REF!</definedName>
    <definedName name="adv_rate_reduced">#REF!</definedName>
    <definedName name="adv_rate_type">#REF!</definedName>
    <definedName name="advance_outstanding">#REF!</definedName>
    <definedName name="AdvancesOS">#REF!</definedName>
    <definedName name="agg_commit_bal">#REF!</definedName>
    <definedName name="AggregateAdjustedBalanceUSD">#REF!</definedName>
    <definedName name="AgingsDetail">#REF!</definedName>
    <definedName name="agreed_currency">#REF!</definedName>
    <definedName name="amort_adv_outstanding">#REF!</definedName>
    <definedName name="amort_period">#REF!</definedName>
    <definedName name="AOLB">#REF!</definedName>
    <definedName name="AOLBrange">#REF!</definedName>
    <definedName name="applicable_margin">#REF!</definedName>
    <definedName name="asfsdf">#REF!</definedName>
    <definedName name="ASH">#REF!</definedName>
    <definedName name="ASL">#REF!</definedName>
    <definedName name="asset_rating">#REF!</definedName>
    <definedName name="asset_types">#REF!</definedName>
    <definedName name="asset_value">#REF!</definedName>
    <definedName name="AUSTRALIA_NET">110</definedName>
    <definedName name="AUSTRIA_NET">107</definedName>
    <definedName name="AvailableCollections">#REF!</definedName>
    <definedName name="AverageABAgg">#REF!</definedName>
    <definedName name="AverageABL">#REF!</definedName>
    <definedName name="averageABL2">#REF!</definedName>
    <definedName name="AverageAgg">#REF!</definedName>
    <definedName name="b">#REF!</definedName>
    <definedName name="B1loss">#REF!</definedName>
    <definedName name="B2loss">#REF!</definedName>
    <definedName name="BackupServiceFee">#REF!</definedName>
    <definedName name="balances">#REF!</definedName>
    <definedName name="BeginningABAgg">#REF!</definedName>
    <definedName name="BeginningABL">#REF!</definedName>
    <definedName name="BegOPLB">#REF!</definedName>
    <definedName name="BegPeriodDate">#REF!</definedName>
    <definedName name="BEL_NET">111</definedName>
    <definedName name="BondBeg">#REF!</definedName>
    <definedName name="BondFin">#REF!</definedName>
    <definedName name="borrowing_base">#REF!</definedName>
    <definedName name="BorrowingBase">#REF!</definedName>
    <definedName name="BRA_NET">122</definedName>
    <definedName name="breakcolumn">#REF!</definedName>
    <definedName name="breakrownumber">#REF!</definedName>
    <definedName name="BRI_NET">104</definedName>
    <definedName name="C_1loss">#REF!</definedName>
    <definedName name="C_2loss">#REF!</definedName>
    <definedName name="C_L">#REF!</definedName>
    <definedName name="C_R">#REF!</definedName>
    <definedName name="CAD">#REF!</definedName>
    <definedName name="CADD">#REF!</definedName>
    <definedName name="CADRate">#REF!</definedName>
    <definedName name="Call">#REF!</definedName>
    <definedName name="CAN_NET">116</definedName>
    <definedName name="CHFRate">#REF!</definedName>
    <definedName name="choice">#REF!</definedName>
    <definedName name="CIQWBGuid" localSheetId="0" hidden="1">"HY stats.xls"</definedName>
    <definedName name="CIQWBGuid" hidden="1">"Audax Credit Opportunities Offshore Ltd. Collateral Management Report_Audax _Current.xlsx"</definedName>
    <definedName name="Class">#REF!</definedName>
    <definedName name="ClassA1">#REF!</definedName>
    <definedName name="ClassA2">#REF!</definedName>
    <definedName name="ClassA3">#REF!</definedName>
    <definedName name="ClassB1">#REF!</definedName>
    <definedName name="ClassB2">#REF!</definedName>
    <definedName name="ClassC1">#REF!</definedName>
    <definedName name="ClassC2">#REF!</definedName>
    <definedName name="ClassD">#REF!</definedName>
    <definedName name="ClassE">#REF!</definedName>
    <definedName name="ClassF">#REF!</definedName>
    <definedName name="Classification">#REF!</definedName>
    <definedName name="ClassRange">#REF!</definedName>
    <definedName name="ClassStart">#REF!</definedName>
    <definedName name="closing_date">#REF!</definedName>
    <definedName name="collect_acct_int">#REF!</definedName>
    <definedName name="collect_acct_prin">#REF!</definedName>
    <definedName name="collect_acct_prin_net">#REF!</definedName>
    <definedName name="collect_acct_total">#REF!</definedName>
    <definedName name="commit_fee">#REF!</definedName>
    <definedName name="commit_fee_rate">#REF!</definedName>
    <definedName name="CoNames">#REF!</definedName>
    <definedName name="Concentration.Den">#REF!</definedName>
    <definedName name="ConcentrationExcess">#REF!</definedName>
    <definedName name="ConcentrationExcesses">#REF!</definedName>
    <definedName name="Country">#REF!</definedName>
    <definedName name="Currencies">#REF!</definedName>
    <definedName name="Currency">#REF!</definedName>
    <definedName name="CurrentDefaultRatio">#REF!</definedName>
    <definedName name="CurveBeg">#REF!</definedName>
    <definedName name="CurveFin">#REF!</definedName>
    <definedName name="CustodianFee">#REF!</definedName>
    <definedName name="CutOffBackup">#REF!</definedName>
    <definedName name="CutOffCopyTarget">#REF!</definedName>
    <definedName name="D_L">#REF!</definedName>
    <definedName name="D_NET">5</definedName>
    <definedName name="D_R">#REF!</definedName>
    <definedName name="D1loss">#REF!</definedName>
    <definedName name="D2loss">#REF!</definedName>
    <definedName name="daf.">#REF!</definedName>
    <definedName name="data">#REF!</definedName>
    <definedName name="_xlnm.Database">#REF!</definedName>
    <definedName name="DataSortSelection">#REF!</definedName>
    <definedName name="DAYAN" localSheetId="0" hidden="1">{"LIBOR",#N/A,TRUE,"Model";"Caps",#N/A,TRUE,"Model";"Assets",#N/A,TRUE,"Model";"Liabilities",#N/A,TRUE,"Model";"Tests",#N/A,TRUE,"Model";"Results",#N/A,TRUE,"Model"}</definedName>
    <definedName name="DAYAN" hidden="1">{"LIBOR",#N/A,TRUE,"Model";"Caps",#N/A,TRUE,"Model";"Assets",#N/A,TRUE,"Model";"Liabilities",#N/A,TRUE,"Model";"Tests",#N/A,TRUE,"Model";"Results",#N/A,TRUE,"Model"}</definedName>
    <definedName name="dboutputA1">#REF!</definedName>
    <definedName name="dboutputA2">#REF!</definedName>
    <definedName name="dboutputB1">#REF!</definedName>
    <definedName name="dboutputB2">#REF!</definedName>
    <definedName name="dboutputC1">#REF!</definedName>
    <definedName name="dboutputC2">#REF!</definedName>
    <definedName name="dboutputD1">#REF!</definedName>
    <definedName name="dboutputD2">#REF!</definedName>
    <definedName name="dboutputE1">#REF!</definedName>
    <definedName name="dboutputE2">#REF!</definedName>
    <definedName name="deal_name">#REF!</definedName>
    <definedName name="default_matrix">#REF!</definedName>
    <definedName name="DefaultCurve">#REF!</definedName>
    <definedName name="defaultcurvemoodys">#REF!</definedName>
    <definedName name="DefaultUtil">#REF!</definedName>
    <definedName name="DefCurve">#REF!</definedName>
    <definedName name="DefTiming1">#REF!</definedName>
    <definedName name="DefTiming2">#REF!</definedName>
    <definedName name="DelayBeg">#REF!</definedName>
    <definedName name="DelayFin">#REF!</definedName>
    <definedName name="Delete1">#REF!</definedName>
    <definedName name="Delete2">#REF!</definedName>
    <definedName name="DeleteRange3">#REF!</definedName>
    <definedName name="DEN_NET">100</definedName>
    <definedName name="determination_date">#REF!</definedName>
    <definedName name="diffa1">#REF!</definedName>
    <definedName name="diffa2">#REF!</definedName>
    <definedName name="diffa3">#REF!</definedName>
    <definedName name="diffb1">#REF!</definedName>
    <definedName name="diffb2">#REF!</definedName>
    <definedName name="diffc1">#REF!</definedName>
    <definedName name="diffc2">#REF!</definedName>
    <definedName name="diffd1">#REF!</definedName>
    <definedName name="diffd2">#REF!</definedName>
    <definedName name="diffdura1">#REF!</definedName>
    <definedName name="diffdura2">#REF!</definedName>
    <definedName name="diffdura3">#REF!</definedName>
    <definedName name="diffdurb1">#REF!</definedName>
    <definedName name="diffdurb2">#REF!</definedName>
    <definedName name="diffdurc1">#REF!</definedName>
    <definedName name="diffdurc2">#REF!</definedName>
    <definedName name="diffdurd1">#REF!</definedName>
    <definedName name="diffdurd2">#REF!</definedName>
    <definedName name="diffdure">#REF!</definedName>
    <definedName name="diffe">#REF!</definedName>
    <definedName name="diffpvswap">#REF!</definedName>
    <definedName name="DIRTY">4</definedName>
    <definedName name="DistributionDate">#REF!</definedName>
    <definedName name="Div.Score.Table">#REF!</definedName>
    <definedName name="DiversityScore">#REF!</definedName>
    <definedName name="DKKRate">#REF!</definedName>
    <definedName name="dme">#REF!</definedName>
    <definedName name="dpwam">#REF!</definedName>
    <definedName name="dpwam1">#REF!</definedName>
    <definedName name="dscore">#REF!</definedName>
    <definedName name="dscore1">#REF!</definedName>
    <definedName name="dscore2">#REF!</definedName>
    <definedName name="DurationA1">#REF!</definedName>
    <definedName name="DurationA2">#REF!</definedName>
    <definedName name="DurationA3">#REF!</definedName>
    <definedName name="DurationB1">#REF!</definedName>
    <definedName name="DurationB2">#REF!</definedName>
    <definedName name="DurationC1">#REF!</definedName>
    <definedName name="DurationC2">#REF!</definedName>
    <definedName name="DurationD1">#REF!</definedName>
    <definedName name="DurationE">#REF!</definedName>
    <definedName name="durationtable">#REF!</definedName>
    <definedName name="earliest_maturity">#REF!</definedName>
    <definedName name="EffectiveDefaultRate">#REF!</definedName>
    <definedName name="endAOLB">#REF!</definedName>
    <definedName name="EndingABAgg">#REF!</definedName>
    <definedName name="EndingABL">#REF!</definedName>
    <definedName name="EndPeriodDate">#REF!</definedName>
    <definedName name="eod">#REF!</definedName>
    <definedName name="eqloss">#REF!</definedName>
    <definedName name="EquityContribution">#REF!</definedName>
    <definedName name="EraseRatings">#REF!</definedName>
    <definedName name="EstimatedAmount">#REF!</definedName>
    <definedName name="EU.Score">#REF!</definedName>
    <definedName name="eur">#REF!</definedName>
    <definedName name="EURRate">#REF!</definedName>
    <definedName name="excess_conc_amt">#REF!</definedName>
    <definedName name="ExcessConcentrationAmount">#REF!</definedName>
    <definedName name="ExcessWithoutDuplication">#REF!</definedName>
    <definedName name="expduration1">#REF!</definedName>
    <definedName name="expduration2">#REF!</definedName>
    <definedName name="expduration3">#REF!</definedName>
    <definedName name="expduration4">#REF!</definedName>
    <definedName name="expduration5">#REF!</definedName>
    <definedName name="expduration6">#REF!</definedName>
    <definedName name="expduration7">#REF!</definedName>
    <definedName name="expduration8">#REF!</definedName>
    <definedName name="expduration9">#REF!</definedName>
    <definedName name="exploss1">#REF!</definedName>
    <definedName name="exploss2">#REF!</definedName>
    <definedName name="exploss3">#REF!</definedName>
    <definedName name="exploss4">#REF!</definedName>
    <definedName name="exploss5">#REF!</definedName>
    <definedName name="exploss6">#REF!</definedName>
    <definedName name="exploss7">#REF!</definedName>
    <definedName name="exploss8">#REF!</definedName>
    <definedName name="exploss9">#REF!</definedName>
    <definedName name="ExpLossA1">#REF!</definedName>
    <definedName name="ExpLossA2">#REF!</definedName>
    <definedName name="ExpLossA3">#REF!</definedName>
    <definedName name="ExpLossB1">#REF!</definedName>
    <definedName name="ExpLossB2">#REF!</definedName>
    <definedName name="ExpLossC1">#REF!</definedName>
    <definedName name="ExpLossC2">#REF!</definedName>
    <definedName name="ExpLossD1">#REF!</definedName>
    <definedName name="ExpLossE">#REF!</definedName>
    <definedName name="explosspath">#REF!</definedName>
    <definedName name="Exposure">#REF!</definedName>
    <definedName name="F_NET">6</definedName>
    <definedName name="facility_amount">#REF!</definedName>
    <definedName name="FacilityAmount">#REF!</definedName>
    <definedName name="FacilityEffectiveDate">#REF!</definedName>
    <definedName name="FacilityFee">#REF!</definedName>
    <definedName name="fee_basis_amt">#REF!</definedName>
    <definedName name="fgdf">#REF!</definedName>
    <definedName name="FIN_NET">102</definedName>
    <definedName name="final_mat">#REF!</definedName>
    <definedName name="FIX">#REF!</definedName>
    <definedName name="FixedFloating">#REF!</definedName>
    <definedName name="FixedRatePerct">#REF!</definedName>
    <definedName name="FRA_NET">112</definedName>
    <definedName name="freq">#REF!</definedName>
    <definedName name="fz0">#REF!</definedName>
    <definedName name="gbp">#REF!</definedName>
    <definedName name="GBPRate">#REF!</definedName>
    <definedName name="GER_NET">101</definedName>
    <definedName name="GetRatingOutput">#REF!</definedName>
    <definedName name="Grade2ExcessAmount">#REF!</definedName>
    <definedName name="GRE_NET">117</definedName>
    <definedName name="GrossDef1">#REF!</definedName>
    <definedName name="GrossDef2">#REF!</definedName>
    <definedName name="HedgeAmount">#REF!</definedName>
    <definedName name="HedgeNotionalAmount">#REF!</definedName>
    <definedName name="HedgePayments">#REF!</definedName>
    <definedName name="HedgePerct">#REF!</definedName>
    <definedName name="HedgeThresholdAmount">#REF!</definedName>
    <definedName name="high_code">#REF!</definedName>
    <definedName name="high_ind_code">#REF!</definedName>
    <definedName name="high_sen_code">#REF!</definedName>
    <definedName name="HOL_NET">105</definedName>
    <definedName name="IncludeYN">#REF!</definedName>
    <definedName name="Industry">#REF!</definedName>
    <definedName name="industry_concn">#REF!</definedName>
    <definedName name="IndustryConcentration">#REF!</definedName>
    <definedName name="IndustryLimits">#REF!</definedName>
    <definedName name="IndustryRange">#REF!</definedName>
    <definedName name="IndustryStart">#REF!</definedName>
    <definedName name="InitUtil">#REF!</definedName>
    <definedName name="int_accrual_beg_date">#REF!</definedName>
    <definedName name="int_accrual_end_date">#REF!</definedName>
    <definedName name="IntCollections">#REF!</definedName>
    <definedName name="INTEREST">2</definedName>
    <definedName name="interest_accrual_days">#REF!</definedName>
    <definedName name="interim_bb_period">#REF!</definedName>
    <definedName name="IntExpense">#REF!</definedName>
    <definedName name="iorder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HIGH_REC_REUT" hidden="1">"c3870"</definedName>
    <definedName name="IQ_EST_NUM_HIGHEST_REC_REUT" hidden="1">"c3869"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1387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localSheetId="0" hidden="1">43545.6403125</definedName>
    <definedName name="IQ_NAMES_REVISION_DATE_" hidden="1">43019.6044444444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ISION_DATE" hidden="1">39545.6064814815</definedName>
    <definedName name="IQ_REVISION_DATE_" hidden="1">38765.6984722222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_NET">103</definedName>
    <definedName name="IssuerIDs">#REF!</definedName>
    <definedName name="ITA_NET">115</definedName>
    <definedName name="JAP_NET">113</definedName>
    <definedName name="jurisdication">#REF!</definedName>
    <definedName name="KOR_NET">121</definedName>
    <definedName name="lab_assets_CDSCounterpartyID">#REF!</definedName>
    <definedName name="lab_assets_financialGuarantorID">#REF!</definedName>
    <definedName name="lab_assets_longShort">#REF!</definedName>
    <definedName name="lab_counterparty_assetType">#REF!</definedName>
    <definedName name="lab_counterparty_counterparty">#REF!</definedName>
    <definedName name="lab_counterparty_counterpartyID">#REF!</definedName>
    <definedName name="lab_counterparty_countryCode">#REF!</definedName>
    <definedName name="lab_counterparty_soverignForeignCurrencyRating">#REF!</definedName>
    <definedName name="lab_counterparty_spCreditRating">#REF!</definedName>
    <definedName name="Label_Collateral_Type">#REF!</definedName>
    <definedName name="Label_Industry">#REF!</definedName>
    <definedName name="Label_Ratings">#REF!</definedName>
    <definedName name="Lag1a">#REF!</definedName>
    <definedName name="Lag2a">#REF!</definedName>
    <definedName name="LargeLoanLimit">#REF!</definedName>
    <definedName name="LAT">#REF!</definedName>
    <definedName name="latest_maturity">#REF!</definedName>
    <definedName name="LeverageRatio">#REF!</definedName>
    <definedName name="LIBOR">#REF!</definedName>
    <definedName name="libor_rate">#REF!</definedName>
    <definedName name="LiborBeg">#REF!</definedName>
    <definedName name="LiborFin">#REF!</definedName>
    <definedName name="lied_table">#REF!</definedName>
    <definedName name="lien_type">#REF!</definedName>
    <definedName name="limcount" hidden="1">1</definedName>
    <definedName name="Liquidation1">#REF!</definedName>
    <definedName name="Liquidation2">#REF!</definedName>
    <definedName name="loan">#REF!</definedName>
    <definedName name="Loan_Asset">#REF!</definedName>
    <definedName name="LoanAmount">#REF!</definedName>
    <definedName name="LoanCountSIC">#REF!</definedName>
    <definedName name="LoanSortSelection">#REF!</definedName>
    <definedName name="lockout1">#REF!</definedName>
    <definedName name="lockout2">#REF!</definedName>
    <definedName name="loss_rates">#REF!</definedName>
    <definedName name="loss_sev_used">#REF!</definedName>
    <definedName name="loss_severity">#REF!</definedName>
    <definedName name="loss_threshold">#REF!</definedName>
    <definedName name="lossA1">#REF!</definedName>
    <definedName name="lossA2">#REF!</definedName>
    <definedName name="lossA3">#REF!</definedName>
    <definedName name="lossB1">#REF!</definedName>
    <definedName name="lossB2">#REF!</definedName>
    <definedName name="LossC1">#REF!</definedName>
    <definedName name="lossC2">#REF!</definedName>
    <definedName name="lossD1">#REF!</definedName>
    <definedName name="lossE">#REF!</definedName>
    <definedName name="losstable">#REF!</definedName>
    <definedName name="low_code">#REF!</definedName>
    <definedName name="low_ind_code">#REF!</definedName>
    <definedName name="low_sen_code">#REF!</definedName>
    <definedName name="Lst_MoodysRatings">#REF!</definedName>
    <definedName name="Lst_SPRatings">#REF!</definedName>
    <definedName name="lt_a">#REF!</definedName>
    <definedName name="lt_aa">#REF!</definedName>
    <definedName name="lt_aaa">#REF!</definedName>
    <definedName name="lt_aam">#REF!</definedName>
    <definedName name="lt_aap">#REF!</definedName>
    <definedName name="lt_am">#REF!</definedName>
    <definedName name="lt_ap">#REF!</definedName>
    <definedName name="lt_b">#REF!</definedName>
    <definedName name="lt_bb">#REF!</definedName>
    <definedName name="lt_bbb">#REF!</definedName>
    <definedName name="lt_bbbm">#REF!</definedName>
    <definedName name="lt_bbbp">#REF!</definedName>
    <definedName name="lt_bbm">#REF!</definedName>
    <definedName name="lt_bbp">#REF!</definedName>
    <definedName name="lt_bm">#REF!</definedName>
    <definedName name="lt_bp">#REF!</definedName>
    <definedName name="lt_ccc">#REF!</definedName>
    <definedName name="lt_cccm">#REF!</definedName>
    <definedName name="lt_cccp">#REF!</definedName>
    <definedName name="MacroStart">#REF!</definedName>
    <definedName name="MarktoMarket">#REF!</definedName>
    <definedName name="max_amt">#REF!</definedName>
    <definedName name="max_assets">#REF!</definedName>
    <definedName name="max_loss">#REF!</definedName>
    <definedName name="Max12moChargeoffRatio">#REF!</definedName>
    <definedName name="Max3moChargeoffRatio">#REF!</definedName>
    <definedName name="Max3moDefaultRatio">#REF!</definedName>
    <definedName name="MaxAvailability">#REF!</definedName>
    <definedName name="MaximumFacilityAmount" localSheetId="0">#REF!</definedName>
    <definedName name="MaximumFacilityAmount">#REF!</definedName>
    <definedName name="MaxLeverageRatio">#REF!</definedName>
    <definedName name="mdygrp1dft">#REF!</definedName>
    <definedName name="mdygrp2dft">#REF!</definedName>
    <definedName name="mendbond">#REF!</definedName>
    <definedName name="mendcurve">#REF!</definedName>
    <definedName name="mendrate">#REF!</definedName>
    <definedName name="meya1">#REF!</definedName>
    <definedName name="meya2">#REF!</definedName>
    <definedName name="meya3">#REF!</definedName>
    <definedName name="meyb1">#REF!</definedName>
    <definedName name="meyb2">#REF!</definedName>
    <definedName name="meyc1">#REF!</definedName>
    <definedName name="meyc2">#REF!</definedName>
    <definedName name="meyd1">#REF!</definedName>
    <definedName name="meyd2">#REF!</definedName>
    <definedName name="meye">#REF!</definedName>
    <definedName name="min_amt">#REF!</definedName>
    <definedName name="min_obligors">#REF!</definedName>
    <definedName name="min_thresh">#REF!</definedName>
    <definedName name="Min3moPortYield">#REF!</definedName>
    <definedName name="MinimumTargetAmount">#REF!</definedName>
    <definedName name="MinNetWorth">#REF!</definedName>
    <definedName name="Minnn">#REF!</definedName>
    <definedName name="MinOCamount">#REF!</definedName>
    <definedName name="moodys_ind_no">#REF!</definedName>
    <definedName name="Moodys_Industry">#REF!</definedName>
    <definedName name="Moodys_Senior">#REF!</definedName>
    <definedName name="Moodys_Sub">#REF!</definedName>
    <definedName name="Moodys2010">#REF!</definedName>
    <definedName name="MoodysRatings">#REF!</definedName>
    <definedName name="MoodysRatingsq">#REF!</definedName>
    <definedName name="mstartbond">#REF!</definedName>
    <definedName name="mstartcurve">#REF!</definedName>
    <definedName name="mstartrate">#REF!</definedName>
    <definedName name="names">#REF!</definedName>
    <definedName name="NetWorth">#REF!</definedName>
    <definedName name="nnnnnnnnnnnnnnnnnnn" localSheetId="0" hidden="1">{"LIBOR",#N/A,TRUE,"Model";"Caps",#N/A,TRUE,"Model";"Assets",#N/A,TRUE,"Model";"Liabilities",#N/A,TRUE,"Model";"Tests",#N/A,TRUE,"Model";"Results",#N/A,TRUE,"Model"}</definedName>
    <definedName name="nnnnnnnnnnnnnnnnnnn" hidden="1">{"LIBOR",#N/A,TRUE,"Model";"Caps",#N/A,TRUE,"Model";"Assets",#N/A,TRUE,"Model";"Liabilities",#N/A,TRUE,"Model";"Tests",#N/A,TRUE,"Model";"Results",#N/A,TRUE,"Model"}</definedName>
    <definedName name="NOKRate">#REF!</definedName>
    <definedName name="NOR_NET">106</definedName>
    <definedName name="notch_lim1">#REF!</definedName>
    <definedName name="notch_lim2">#REF!</definedName>
    <definedName name="notch_lim3">#REF!</definedName>
    <definedName name="notch_limit">#REF!</definedName>
    <definedName name="NR">#REF!</definedName>
    <definedName name="num_assets">#REF!</definedName>
    <definedName name="num_bins">#REF!</definedName>
    <definedName name="num_notch_a">#REF!</definedName>
    <definedName name="num_notch_b">#REF!</definedName>
    <definedName name="num_notch_c">#REF!</definedName>
    <definedName name="num_notch_d">#REF!</definedName>
    <definedName name="num_obligors">#REF!</definedName>
    <definedName name="O_S_L">#REF!</definedName>
    <definedName name="O_S_R">#REF!</definedName>
    <definedName name="OBLIG">#REF!</definedName>
    <definedName name="ObligorCount">#REF!</definedName>
    <definedName name="ObligorLimits">#REF!</definedName>
    <definedName name="ObligorRange">#REF!</definedName>
    <definedName name="ObligorTotal">#REF!</definedName>
    <definedName name="ObligorTotalRange">#REF!</definedName>
    <definedName name="OCamount">#REF!</definedName>
    <definedName name="OF_A_32">9</definedName>
    <definedName name="OF_AN_01">8</definedName>
    <definedName name="opt_ratings">#REF!</definedName>
    <definedName name="OtherColl">#REF!</definedName>
    <definedName name="outputtable">#REF!</definedName>
    <definedName name="payment_date">#REF!</definedName>
    <definedName name="PaymentDate">#REF!</definedName>
    <definedName name="pchksum">#REF!</definedName>
    <definedName name="PeakRange">#REF!</definedName>
    <definedName name="percentage_unused">'Summary '!$I$39</definedName>
    <definedName name="PercentageH">#REF!</definedName>
    <definedName name="PercentageL">#REF!</definedName>
    <definedName name="PeriodEnd">#REF!</definedName>
    <definedName name="plot_loss_distn">#REF!</definedName>
    <definedName name="plot_pool_distn">#REF!</definedName>
    <definedName name="PoolAgings">#REF!</definedName>
    <definedName name="PortYield">#REF!</definedName>
    <definedName name="PrePays">#REF!</definedName>
    <definedName name="PRINCIPAL">1</definedName>
    <definedName name="PrincipalCollection">#REF!</definedName>
    <definedName name="PrincipalCollectionCash">#REF!</definedName>
    <definedName name="PrinCollections">#REF!</definedName>
    <definedName name="_xlnm.Print_Area" localSheetId="2">Calcs!$A$1:$BO$47</definedName>
    <definedName name="_xlnm.Print_Area" localSheetId="5">'Loan Tape Consolidated'!$B$1:$V$62</definedName>
    <definedName name="_xlnm.Print_Area" localSheetId="1">'Summary '!$A$1:$L$93</definedName>
    <definedName name="_xlnm.Print_Titles" localSheetId="5">'Loan Tape Consolidated'!$1:$5</definedName>
    <definedName name="PrintResults">#REF!</definedName>
    <definedName name="ProgramFee">#REF!</definedName>
    <definedName name="PSelect">"Dialog Frame 1"</definedName>
    <definedName name="Q">#REF!</definedName>
    <definedName name="qa">#REF!</definedName>
    <definedName name="QQ">#REF!</definedName>
    <definedName name="RampPeriod">#REF!</definedName>
    <definedName name="RampPeriodEnd">#REF!</definedName>
    <definedName name="Ranges">#REF!</definedName>
    <definedName name="Rates">#REF!</definedName>
    <definedName name="rating_table">#REF!</definedName>
    <definedName name="RatingOutput">#REF!</definedName>
    <definedName name="ratings_ccc">#REF!</definedName>
    <definedName name="ratings_moodys">#REF!</definedName>
    <definedName name="ratings_sp">#REF!</definedName>
    <definedName name="recincr">#REF!</definedName>
    <definedName name="Recov1">#REF!</definedName>
    <definedName name="Recov2">#REF!</definedName>
    <definedName name="Recovery">#REF!</definedName>
    <definedName name="recprec">#REF!</definedName>
    <definedName name="ref">#REF!</definedName>
    <definedName name="reinvest_term_date">#REF!</definedName>
    <definedName name="ReportAsOf">#REF!</definedName>
    <definedName name="ReportDate">#REF!</definedName>
    <definedName name="ReportingDate">#REF!</definedName>
    <definedName name="Repurchased">#REF!</definedName>
    <definedName name="ReqEquityContribution">#REF!</definedName>
    <definedName name="RequiredReserveAmount">#REF!</definedName>
    <definedName name="ReserveReleases">#REF!</definedName>
    <definedName name="RevolverFlag">#REF!</definedName>
    <definedName name="rngMAsOfDate">#REF!</definedName>
    <definedName name="rngMCashBox">#REF!</definedName>
    <definedName name="rngMDealName">#REF!</definedName>
    <definedName name="rngMInputs">#REF!</definedName>
    <definedName name="rngMPath">#REF!</definedName>
    <definedName name="rngOC">#REF!</definedName>
    <definedName name="rngWAP">#REF!</definedName>
    <definedName name="rngWAR">#REF!</definedName>
    <definedName name="rngWAS">#REF!</definedName>
    <definedName name="Rollforward">#REF!</definedName>
    <definedName name="s">#REF!</definedName>
    <definedName name="S_L">#REF!</definedName>
    <definedName name="S_R">#REF!</definedName>
    <definedName name="sampling_opt">#REF!</definedName>
    <definedName name="Scenario1">#REF!</definedName>
    <definedName name="Scenario2">#REF!</definedName>
    <definedName name="ScenarioRange">#REF!</definedName>
    <definedName name="SchedPrinColl">#REF!</definedName>
    <definedName name="ScoreStart">#REF!</definedName>
    <definedName name="sdefincr">#REF!</definedName>
    <definedName name="SEKRate">#REF!</definedName>
    <definedName name="sencount" hidden="1">1</definedName>
    <definedName name="servicing_fee_sr">#REF!</definedName>
    <definedName name="servicing_fee_sub">#REF!</definedName>
    <definedName name="ServicingFee">#REF!</definedName>
    <definedName name="ShiftFactor">#REF!</definedName>
    <definedName name="shiodsf">#REF!</definedName>
    <definedName name="SICcodes">#REF!</definedName>
    <definedName name="SIClist">#REF!</definedName>
    <definedName name="SICPerct">#REF!</definedName>
    <definedName name="SICRange">#REF!</definedName>
    <definedName name="SicSortRange">#REF!</definedName>
    <definedName name="sigma">#REF!</definedName>
    <definedName name="SigmaRange">#REF!</definedName>
    <definedName name="SIN_NET">119</definedName>
    <definedName name="SINKING_FUND">10</definedName>
    <definedName name="SNPIntCurve">#REF!</definedName>
    <definedName name="SNPOutput">#REF!</definedName>
    <definedName name="SNPOutput1">#REF!</definedName>
    <definedName name="SP">#REF!</definedName>
    <definedName name="SP_Industry">#REF!</definedName>
    <definedName name="SPA_NET">114</definedName>
    <definedName name="SPDeleteRange">#REF!</definedName>
    <definedName name="SPindustries">#REF!</definedName>
    <definedName name="SPindustriesRange">#REF!</definedName>
    <definedName name="SPRatings">#REF!</definedName>
    <definedName name="sprecise">#REF!</definedName>
    <definedName name="SPStart">#REF!</definedName>
    <definedName name="Start">#REF!</definedName>
    <definedName name="Start1">#REF!</definedName>
    <definedName name="Start2">#REF!</definedName>
    <definedName name="StartAOLB">#REF!</definedName>
    <definedName name="StartObligor">#REF!</definedName>
    <definedName name="StartSic">#REF!</definedName>
    <definedName name="StateInsertRange">#REF!</definedName>
    <definedName name="SumAssetSales">#REF!</definedName>
    <definedName name="SumCommitted">#REF!</definedName>
    <definedName name="SumNetCommitted">#REF!</definedName>
    <definedName name="SwapBal">#REF!</definedName>
    <definedName name="SWE_NET">108</definedName>
    <definedName name="SWI_NET">118</definedName>
    <definedName name="SyndLoanTotalDebt">#REF!</definedName>
    <definedName name="SyndLoanTrancheSize">#REF!</definedName>
    <definedName name="Tables">#REF!</definedName>
    <definedName name="TenLargestLoans">#REF!</definedName>
    <definedName name="TermEventFlag">#REF!</definedName>
    <definedName name="TmPayOff">#REF!</definedName>
    <definedName name="TotalLoan">#REF!</definedName>
    <definedName name="TotalObligor">#REF!</definedName>
    <definedName name="trustee_fee_basis">#REF!</definedName>
    <definedName name="UDCopyArea">#REF!</definedName>
    <definedName name="UDCopyTarget">#REF!</definedName>
    <definedName name="unf_res_req_amt">#REF!</definedName>
    <definedName name="unf_res_req_amt_net">#REF!</definedName>
    <definedName name="unfunded_reserve_acct">#REF!</definedName>
    <definedName name="UnfundedExposureAccount">#REF!</definedName>
    <definedName name="UnfundedExposureAmount">#REF!</definedName>
    <definedName name="UnitScoreRange">#REF!</definedName>
    <definedName name="USA_NET">109</definedName>
    <definedName name="usd">#REF!</definedName>
    <definedName name="use_notched_ratings">#REF!</definedName>
    <definedName name="WA.Adv.Rate">#REF!</definedName>
    <definedName name="WAAdvRate">#REF!</definedName>
    <definedName name="wadp">#REF!</definedName>
    <definedName name="wal">#REF!</definedName>
    <definedName name="wals">#REF!</definedName>
    <definedName name="wam">#REF!</definedName>
    <definedName name="wam_a">#REF!</definedName>
    <definedName name="wam_aa">#REF!</definedName>
    <definedName name="wam_aaa">#REF!</definedName>
    <definedName name="wam_aam">#REF!</definedName>
    <definedName name="wam_aap">#REF!</definedName>
    <definedName name="wam_am">#REF!</definedName>
    <definedName name="wam_ap">#REF!</definedName>
    <definedName name="wam_b">#REF!</definedName>
    <definedName name="wam_bb">#REF!</definedName>
    <definedName name="wam_bbb">#REF!</definedName>
    <definedName name="wam_bbbm">#REF!</definedName>
    <definedName name="wam_bbbp">#REF!</definedName>
    <definedName name="wam_bbm">#REF!</definedName>
    <definedName name="wam_bbp">#REF!</definedName>
    <definedName name="wam_bm">#REF!</definedName>
    <definedName name="wam_bp">#REF!</definedName>
    <definedName name="wam_ccc">#REF!</definedName>
    <definedName name="wam_cccm">#REF!</definedName>
    <definedName name="wam_cccp">#REF!</definedName>
    <definedName name="wam1_a">#REF!</definedName>
    <definedName name="wam1_aa">#REF!</definedName>
    <definedName name="wam1_aaa">#REF!</definedName>
    <definedName name="wam1_aam">#REF!</definedName>
    <definedName name="wam1_aap">#REF!</definedName>
    <definedName name="wam1_am">#REF!</definedName>
    <definedName name="wam1_ap">#REF!</definedName>
    <definedName name="wam1_b">#REF!</definedName>
    <definedName name="wam1_bb">#REF!</definedName>
    <definedName name="wam1_bbb">#REF!</definedName>
    <definedName name="wam1_bbbm">#REF!</definedName>
    <definedName name="wam1_bbbp">#REF!</definedName>
    <definedName name="wam1_bbm">#REF!</definedName>
    <definedName name="wam1_bbp">#REF!</definedName>
    <definedName name="wam1_bm">#REF!</definedName>
    <definedName name="wam1_bp">#REF!</definedName>
    <definedName name="wam1_ccc">#REF!</definedName>
    <definedName name="wam1_cccm">#REF!</definedName>
    <definedName name="wam1_cccp">#REF!</definedName>
    <definedName name="WAS">#REF!</definedName>
    <definedName name="WeightedAverageAdvanceRate">#REF!</definedName>
    <definedName name="wrn.Assumptions." localSheetId="0" hidden="1">{"Assumptions",#N/A,FALSE,"Model"}</definedName>
    <definedName name="wrn.Assumptions." hidden="1">{"Assumptions",#N/A,FALSE,"Model"}</definedName>
    <definedName name="wrn.Main._.CBO._.Report." localSheetId="0" hidden="1">{"LIBOR",#N/A,TRUE,"Model";"Caps",#N/A,TRUE,"Model";"Assets",#N/A,TRUE,"Model";"Liabilities",#N/A,TRUE,"Model";"Tests",#N/A,TRUE,"Model";"Results",#N/A,TRUE,"Model"}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tdAvgApplicablePercentage">#REF!</definedName>
    <definedName name="WtdAvgLife">#REF!</definedName>
    <definedName name="ww" localSheetId="0" hidden="1">{"Assumptions",#N/A,FALSE,"Model"}</definedName>
    <definedName name="ww" hidden="1">{"Assumptions",#N/A,FALSE,"Model"}</definedName>
    <definedName name="X_L">#REF!</definedName>
    <definedName name="X_R">#REF!</definedName>
    <definedName name="YesNo">#REF!</definedName>
    <definedName name="zsdsdf">#REF!</definedName>
  </definedNames>
  <calcPr calcId="191029"/>
  <pivotCaches>
    <pivotCache cacheId="1" r:id="rId15"/>
  </pivotCaches>
</workbook>
</file>

<file path=xl/calcChain.xml><?xml version="1.0" encoding="utf-8"?>
<calcChain xmlns="http://schemas.openxmlformats.org/spreadsheetml/2006/main">
  <c r="AY64" i="39" l="1"/>
  <c r="AM77" i="39"/>
  <c r="AM76" i="39"/>
  <c r="AM75" i="39"/>
  <c r="AM74" i="39"/>
  <c r="AM73" i="39"/>
  <c r="AM72" i="39"/>
  <c r="AM71" i="39"/>
  <c r="AM70" i="39"/>
  <c r="AM69" i="39"/>
  <c r="AM68" i="39"/>
  <c r="AM67" i="39"/>
  <c r="AM66" i="39"/>
  <c r="AM65" i="39"/>
  <c r="AM64" i="39"/>
  <c r="AM63" i="39"/>
  <c r="AM62" i="39"/>
  <c r="AM61" i="39"/>
  <c r="AM60" i="39"/>
  <c r="AM59" i="39"/>
  <c r="AM58" i="39"/>
  <c r="AM57" i="39"/>
  <c r="AM56" i="39"/>
  <c r="AM55" i="39"/>
  <c r="AM54" i="39"/>
  <c r="AM53" i="39"/>
  <c r="AM52" i="39"/>
  <c r="AM51" i="39"/>
  <c r="AM50" i="39"/>
  <c r="AM49" i="39"/>
  <c r="AM48" i="39"/>
  <c r="AM47" i="39"/>
  <c r="AM46" i="39"/>
  <c r="AM45" i="39"/>
  <c r="AM44" i="39"/>
  <c r="AM43" i="39"/>
  <c r="AM42" i="39"/>
  <c r="AM41" i="39"/>
  <c r="AM40" i="39"/>
  <c r="AM39" i="39"/>
  <c r="AM38" i="39"/>
  <c r="AM37" i="39"/>
  <c r="AM36" i="39"/>
  <c r="AM35" i="39"/>
  <c r="AM34" i="39"/>
  <c r="AM33" i="39"/>
  <c r="AM32" i="39"/>
  <c r="AM31" i="39"/>
  <c r="AM30" i="39"/>
  <c r="AM29" i="39"/>
  <c r="AM28" i="39"/>
  <c r="AM27" i="39"/>
  <c r="AM26" i="39"/>
  <c r="AM25" i="39"/>
  <c r="AM24" i="39"/>
  <c r="AM23" i="39"/>
  <c r="AM22" i="39"/>
  <c r="AM21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M8" i="39"/>
  <c r="AM7" i="39"/>
  <c r="AO77" i="39"/>
  <c r="AO76" i="39"/>
  <c r="AO75" i="39"/>
  <c r="AO74" i="39"/>
  <c r="AO73" i="39"/>
  <c r="AO72" i="39"/>
  <c r="AO71" i="39"/>
  <c r="AO70" i="39"/>
  <c r="AO69" i="39"/>
  <c r="AO68" i="39"/>
  <c r="AO67" i="39"/>
  <c r="AO66" i="39"/>
  <c r="AO65" i="39"/>
  <c r="AO64" i="39"/>
  <c r="AO63" i="39"/>
  <c r="AO62" i="39"/>
  <c r="AO61" i="39"/>
  <c r="AO60" i="39"/>
  <c r="AO59" i="39"/>
  <c r="AO58" i="39"/>
  <c r="AO57" i="39"/>
  <c r="AO56" i="39"/>
  <c r="AO55" i="39"/>
  <c r="AO54" i="39"/>
  <c r="AO53" i="39"/>
  <c r="AO52" i="39"/>
  <c r="AO51" i="39"/>
  <c r="AO50" i="39"/>
  <c r="AO49" i="39"/>
  <c r="AO48" i="39"/>
  <c r="AO47" i="39"/>
  <c r="AO46" i="39"/>
  <c r="AO45" i="39"/>
  <c r="AO44" i="39"/>
  <c r="AO43" i="39"/>
  <c r="AO42" i="39"/>
  <c r="AO41" i="39"/>
  <c r="AO40" i="39"/>
  <c r="AO39" i="39"/>
  <c r="AO38" i="39"/>
  <c r="AO37" i="39"/>
  <c r="AO36" i="39"/>
  <c r="AO35" i="39"/>
  <c r="AO34" i="39"/>
  <c r="AO33" i="39"/>
  <c r="AO32" i="39"/>
  <c r="AO31" i="39"/>
  <c r="AO30" i="39"/>
  <c r="AO29" i="39"/>
  <c r="AO28" i="39"/>
  <c r="AO27" i="39"/>
  <c r="AO26" i="39"/>
  <c r="AO25" i="39"/>
  <c r="AO24" i="39"/>
  <c r="AO23" i="39"/>
  <c r="AO22" i="39"/>
  <c r="AO21" i="39"/>
  <c r="AO20" i="39"/>
  <c r="AO19" i="39"/>
  <c r="AO18" i="39"/>
  <c r="AO17" i="39"/>
  <c r="AO16" i="39"/>
  <c r="AO15" i="39"/>
  <c r="AO14" i="39"/>
  <c r="AO13" i="39"/>
  <c r="AO12" i="39"/>
  <c r="AO11" i="39"/>
  <c r="AO10" i="39"/>
  <c r="AO9" i="39"/>
  <c r="AO8" i="39"/>
  <c r="AO7" i="39"/>
  <c r="AO6" i="39"/>
  <c r="AM6" i="39"/>
  <c r="AZ57" i="39" l="1"/>
  <c r="J76" i="9"/>
  <c r="J77" i="9"/>
  <c r="J78" i="9"/>
  <c r="J79" i="9"/>
  <c r="J80" i="9"/>
  <c r="J81" i="9"/>
  <c r="J82" i="9"/>
  <c r="J83" i="9"/>
  <c r="J8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DH84" i="10"/>
  <c r="DH85" i="10"/>
  <c r="DH86" i="10"/>
  <c r="DH87" i="10"/>
  <c r="DH88" i="10"/>
  <c r="DH89" i="10"/>
  <c r="DH90" i="10"/>
  <c r="DH91" i="10"/>
  <c r="DH92" i="10"/>
  <c r="DH93" i="10"/>
  <c r="BX84" i="10"/>
  <c r="BX85" i="10"/>
  <c r="BX86" i="10"/>
  <c r="BX87" i="10"/>
  <c r="BX88" i="10"/>
  <c r="BX89" i="10"/>
  <c r="BX90" i="10"/>
  <c r="BX91" i="10"/>
  <c r="BX92" i="10"/>
  <c r="BX93" i="10"/>
  <c r="BT84" i="10"/>
  <c r="BT85" i="10"/>
  <c r="BT86" i="10"/>
  <c r="BT87" i="10"/>
  <c r="BT88" i="10"/>
  <c r="BT89" i="10"/>
  <c r="BT90" i="10"/>
  <c r="BT91" i="10"/>
  <c r="BT92" i="10"/>
  <c r="BT93" i="10"/>
  <c r="BL39" i="10"/>
  <c r="BL69" i="10"/>
  <c r="BL84" i="10"/>
  <c r="BL85" i="10"/>
  <c r="BL86" i="10"/>
  <c r="BL87" i="10"/>
  <c r="BL88" i="10"/>
  <c r="BL89" i="10"/>
  <c r="BL90" i="10"/>
  <c r="BL91" i="10"/>
  <c r="BL92" i="10"/>
  <c r="BL93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AZ84" i="10"/>
  <c r="AZ85" i="10"/>
  <c r="AZ86" i="10"/>
  <c r="AZ87" i="10"/>
  <c r="AZ88" i="10"/>
  <c r="AZ89" i="10"/>
  <c r="AZ90" i="10"/>
  <c r="AZ91" i="10"/>
  <c r="AZ92" i="10"/>
  <c r="AZ93" i="10"/>
  <c r="AV84" i="10"/>
  <c r="AV85" i="10"/>
  <c r="AV86" i="10"/>
  <c r="AV87" i="10"/>
  <c r="AV88" i="10"/>
  <c r="AV89" i="10"/>
  <c r="AV90" i="10"/>
  <c r="AV91" i="10"/>
  <c r="AV92" i="10"/>
  <c r="AV93" i="10"/>
  <c r="AR84" i="10"/>
  <c r="AR85" i="10"/>
  <c r="AR86" i="10"/>
  <c r="AR87" i="10"/>
  <c r="AR88" i="10"/>
  <c r="AR89" i="10"/>
  <c r="AR90" i="10"/>
  <c r="AR91" i="10"/>
  <c r="AR92" i="10"/>
  <c r="AR93" i="10"/>
  <c r="AN84" i="10"/>
  <c r="AN85" i="10"/>
  <c r="AN86" i="10"/>
  <c r="AN87" i="10"/>
  <c r="AN88" i="10"/>
  <c r="AN89" i="10"/>
  <c r="AN90" i="10"/>
  <c r="AN91" i="10"/>
  <c r="AN92" i="10"/>
  <c r="AN93" i="10"/>
  <c r="AJ84" i="10"/>
  <c r="AJ85" i="10"/>
  <c r="AJ86" i="10"/>
  <c r="AJ87" i="10"/>
  <c r="AJ88" i="10"/>
  <c r="AJ89" i="10"/>
  <c r="AJ90" i="10"/>
  <c r="AJ91" i="10"/>
  <c r="AJ92" i="10"/>
  <c r="AJ93" i="10"/>
  <c r="AF84" i="10"/>
  <c r="AF85" i="10"/>
  <c r="AF86" i="10"/>
  <c r="AF87" i="10"/>
  <c r="AF88" i="10"/>
  <c r="AF89" i="10"/>
  <c r="AF90" i="10"/>
  <c r="AF91" i="10"/>
  <c r="AF92" i="10"/>
  <c r="AF93" i="10"/>
  <c r="AE84" i="10"/>
  <c r="AE85" i="10"/>
  <c r="AE86" i="10"/>
  <c r="AE87" i="10"/>
  <c r="AE88" i="10"/>
  <c r="AE89" i="10"/>
  <c r="AE90" i="10"/>
  <c r="AE91" i="10"/>
  <c r="AE92" i="10"/>
  <c r="AE93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5" i="10"/>
  <c r="AB46" i="10"/>
  <c r="AB48" i="10"/>
  <c r="AB49" i="10"/>
  <c r="AB50" i="10"/>
  <c r="AB51" i="10"/>
  <c r="AB52" i="10"/>
  <c r="AB55" i="10"/>
  <c r="AB56" i="10"/>
  <c r="AB57" i="10"/>
  <c r="AB58" i="10"/>
  <c r="AB59" i="10"/>
  <c r="AB60" i="10"/>
  <c r="AB63" i="10"/>
  <c r="AB64" i="10"/>
  <c r="AB66" i="10"/>
  <c r="AB67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W84" i="10"/>
  <c r="W85" i="10"/>
  <c r="W86" i="10"/>
  <c r="W87" i="10"/>
  <c r="W88" i="10"/>
  <c r="W89" i="10"/>
  <c r="W90" i="10"/>
  <c r="W91" i="10"/>
  <c r="W92" i="10"/>
  <c r="W93" i="10"/>
  <c r="L84" i="10"/>
  <c r="L85" i="10"/>
  <c r="L86" i="10"/>
  <c r="L87" i="10"/>
  <c r="L88" i="10"/>
  <c r="L89" i="10"/>
  <c r="L90" i="10"/>
  <c r="L91" i="10"/>
  <c r="L92" i="10"/>
  <c r="L93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H51" i="9" l="1"/>
  <c r="H52" i="9"/>
  <c r="H53" i="9"/>
  <c r="H54" i="9"/>
  <c r="H55" i="9"/>
  <c r="H56" i="9"/>
  <c r="H57" i="9"/>
  <c r="H58" i="9"/>
  <c r="H59" i="9"/>
  <c r="H60" i="9"/>
  <c r="H61" i="9"/>
  <c r="H62" i="9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AO87" i="7" l="1"/>
  <c r="AU87" i="7" s="1"/>
  <c r="AO88" i="7"/>
  <c r="AU88" i="7" s="1"/>
  <c r="Y88" i="7"/>
  <c r="Y87" i="7"/>
  <c r="C88" i="7"/>
  <c r="BI88" i="7" s="1"/>
  <c r="BX83" i="10" s="1"/>
  <c r="C87" i="7"/>
  <c r="BI87" i="7" s="1"/>
  <c r="BX82" i="10" s="1"/>
  <c r="BG88" i="7"/>
  <c r="BE88" i="7" s="1"/>
  <c r="BG87" i="7"/>
  <c r="BE87" i="7" s="1"/>
  <c r="F88" i="7"/>
  <c r="F87" i="7"/>
  <c r="B87" i="7"/>
  <c r="B88" i="7"/>
  <c r="B86" i="7"/>
  <c r="C86" i="7"/>
  <c r="BI86" i="7" s="1"/>
  <c r="BX81" i="10" s="1"/>
  <c r="D86" i="7"/>
  <c r="BH86" i="7" s="1"/>
  <c r="F86" i="7"/>
  <c r="I86" i="7"/>
  <c r="H86" i="7" s="1"/>
  <c r="L86" i="7"/>
  <c r="DI86" i="7" s="1"/>
  <c r="N86" i="7"/>
  <c r="T86" i="7"/>
  <c r="V86" i="7"/>
  <c r="Y86" i="7"/>
  <c r="AD86" i="7"/>
  <c r="AO86" i="7"/>
  <c r="AU86" i="7" s="1"/>
  <c r="AV86" i="7" s="1"/>
  <c r="AP86" i="7"/>
  <c r="AQ86" i="7"/>
  <c r="AZ86" i="7"/>
  <c r="BA86" i="7"/>
  <c r="BF86" i="7"/>
  <c r="DJ86" i="7" s="1"/>
  <c r="BG86" i="7"/>
  <c r="BE86" i="7" s="1"/>
  <c r="BK86" i="7"/>
  <c r="BL86" i="7"/>
  <c r="BM86" i="7"/>
  <c r="DM86" i="7" s="1"/>
  <c r="BS86" i="7"/>
  <c r="BT86" i="7"/>
  <c r="BU86" i="7"/>
  <c r="BC86" i="7" s="1"/>
  <c r="AV81" i="10" s="1"/>
  <c r="BY86" i="7"/>
  <c r="AJ81" i="10" s="1"/>
  <c r="BZ86" i="7"/>
  <c r="CF86" i="7"/>
  <c r="CG86" i="7"/>
  <c r="CK86" i="7"/>
  <c r="AE86" i="7" s="1"/>
  <c r="CL86" i="7"/>
  <c r="D87" i="7"/>
  <c r="BH87" i="7" s="1"/>
  <c r="I87" i="7"/>
  <c r="H87" i="7" s="1"/>
  <c r="L87" i="7"/>
  <c r="DI87" i="7" s="1"/>
  <c r="N87" i="7"/>
  <c r="T87" i="7"/>
  <c r="V87" i="7"/>
  <c r="AD87" i="7"/>
  <c r="AP87" i="7"/>
  <c r="AQ87" i="7"/>
  <c r="AZ87" i="7"/>
  <c r="BA87" i="7"/>
  <c r="BF87" i="7"/>
  <c r="DJ87" i="7" s="1"/>
  <c r="BK87" i="7"/>
  <c r="BL87" i="7"/>
  <c r="BM87" i="7"/>
  <c r="DM87" i="7" s="1"/>
  <c r="BS87" i="7"/>
  <c r="BT87" i="7"/>
  <c r="BU87" i="7"/>
  <c r="BC87" i="7" s="1"/>
  <c r="AV82" i="10" s="1"/>
  <c r="BY87" i="7"/>
  <c r="BZ87" i="7"/>
  <c r="CF87" i="7"/>
  <c r="CG87" i="7"/>
  <c r="CK87" i="7"/>
  <c r="AE87" i="7" s="1"/>
  <c r="CL87" i="7"/>
  <c r="D88" i="7"/>
  <c r="BB88" i="7" s="1"/>
  <c r="BT83" i="10" s="1"/>
  <c r="I88" i="7"/>
  <c r="H88" i="7" s="1"/>
  <c r="L88" i="7"/>
  <c r="DI88" i="7" s="1"/>
  <c r="N88" i="7"/>
  <c r="T88" i="7"/>
  <c r="V88" i="7"/>
  <c r="AD88" i="7"/>
  <c r="AP88" i="7"/>
  <c r="AQ88" i="7"/>
  <c r="AZ88" i="7"/>
  <c r="BA88" i="7"/>
  <c r="BF88" i="7"/>
  <c r="BD88" i="7" s="1"/>
  <c r="BK88" i="7"/>
  <c r="BL88" i="7"/>
  <c r="BM88" i="7"/>
  <c r="DM88" i="7" s="1"/>
  <c r="BS88" i="7"/>
  <c r="BT88" i="7"/>
  <c r="BU88" i="7"/>
  <c r="BC88" i="7" s="1"/>
  <c r="AV83" i="10" s="1"/>
  <c r="BY88" i="7"/>
  <c r="BZ88" i="7"/>
  <c r="CF88" i="7"/>
  <c r="CG88" i="7"/>
  <c r="CK88" i="7"/>
  <c r="AE88" i="7" s="1"/>
  <c r="CL88" i="7"/>
  <c r="BX77" i="39"/>
  <c r="BW77" i="39"/>
  <c r="BZ77" i="39" s="1"/>
  <c r="BE77" i="39" s="1"/>
  <c r="BQ77" i="39"/>
  <c r="BX76" i="39"/>
  <c r="BW76" i="39"/>
  <c r="BZ76" i="39" s="1"/>
  <c r="BE76" i="39" s="1"/>
  <c r="BQ76" i="39"/>
  <c r="BX75" i="39"/>
  <c r="BW75" i="39"/>
  <c r="BZ75" i="39" s="1"/>
  <c r="BE75" i="39" s="1"/>
  <c r="BQ75" i="39"/>
  <c r="BP77" i="39"/>
  <c r="BJ88" i="7" s="1"/>
  <c r="BO77" i="39"/>
  <c r="BN77" i="39"/>
  <c r="BM77" i="39"/>
  <c r="BL77" i="39"/>
  <c r="BK77" i="39"/>
  <c r="BJ77" i="39"/>
  <c r="BI77" i="39"/>
  <c r="BH77" i="39"/>
  <c r="BP76" i="39"/>
  <c r="BJ87" i="7" s="1"/>
  <c r="BO76" i="39"/>
  <c r="BN76" i="39"/>
  <c r="BM76" i="39"/>
  <c r="BL76" i="39"/>
  <c r="BK76" i="39"/>
  <c r="BJ76" i="39"/>
  <c r="BI76" i="39"/>
  <c r="BH76" i="39"/>
  <c r="BP75" i="39"/>
  <c r="BJ86" i="7" s="1"/>
  <c r="BO75" i="39"/>
  <c r="BN75" i="39"/>
  <c r="BM75" i="39"/>
  <c r="BL75" i="39"/>
  <c r="BK75" i="39"/>
  <c r="BJ75" i="39"/>
  <c r="BI75" i="39"/>
  <c r="BH75" i="39"/>
  <c r="AZ77" i="39"/>
  <c r="BS77" i="39" s="1"/>
  <c r="BU77" i="39" s="1"/>
  <c r="AZ76" i="39"/>
  <c r="BS76" i="39" s="1"/>
  <c r="BU76" i="39" s="1"/>
  <c r="AZ75" i="39"/>
  <c r="BS75" i="39" s="1"/>
  <c r="BU75" i="39" s="1"/>
  <c r="AP77" i="39"/>
  <c r="AP76" i="39"/>
  <c r="AP75" i="39"/>
  <c r="BF77" i="39"/>
  <c r="BG77" i="39"/>
  <c r="BF76" i="39"/>
  <c r="BG76" i="39"/>
  <c r="BF75" i="39"/>
  <c r="BG75" i="39"/>
  <c r="AJ83" i="10" l="1"/>
  <c r="AF83" i="10"/>
  <c r="AF82" i="10"/>
  <c r="AJ82" i="10"/>
  <c r="DH82" i="10"/>
  <c r="K74" i="9"/>
  <c r="DH83" i="10"/>
  <c r="K75" i="9"/>
  <c r="DH81" i="10"/>
  <c r="K73" i="9"/>
  <c r="DJ88" i="7"/>
  <c r="CT86" i="7"/>
  <c r="CT87" i="7"/>
  <c r="AJ86" i="7"/>
  <c r="AF86" i="7"/>
  <c r="AH86" i="7" s="1"/>
  <c r="CQ87" i="7"/>
  <c r="CU87" i="7" s="1"/>
  <c r="CQ86" i="7"/>
  <c r="CU86" i="7" s="1"/>
  <c r="CS87" i="7"/>
  <c r="CT88" i="7"/>
  <c r="CR87" i="7"/>
  <c r="CQ88" i="7"/>
  <c r="CU88" i="7" s="1"/>
  <c r="BD87" i="7"/>
  <c r="O86" i="7"/>
  <c r="P86" i="7"/>
  <c r="P88" i="7"/>
  <c r="BB87" i="7"/>
  <c r="BB86" i="7"/>
  <c r="O88" i="7"/>
  <c r="W88" i="7"/>
  <c r="AV88" i="7"/>
  <c r="AW88" i="7" s="1"/>
  <c r="BL83" i="10" s="1"/>
  <c r="AW86" i="7"/>
  <c r="P87" i="7"/>
  <c r="AG88" i="7"/>
  <c r="AJ88" i="7"/>
  <c r="AK88" i="7"/>
  <c r="AF88" i="7"/>
  <c r="AH88" i="7" s="1"/>
  <c r="AV87" i="7"/>
  <c r="AW87" i="7" s="1"/>
  <c r="BL82" i="10" s="1"/>
  <c r="AF87" i="7"/>
  <c r="AH87" i="7" s="1"/>
  <c r="AJ87" i="7"/>
  <c r="AK87" i="7"/>
  <c r="BH88" i="7"/>
  <c r="CS86" i="7"/>
  <c r="BD86" i="7"/>
  <c r="W86" i="7"/>
  <c r="AK86" i="7"/>
  <c r="W87" i="7"/>
  <c r="O87" i="7"/>
  <c r="CR88" i="7"/>
  <c r="CR86" i="7"/>
  <c r="CS88" i="7"/>
  <c r="F83" i="7"/>
  <c r="AP74" i="39"/>
  <c r="AP73" i="39"/>
  <c r="AP72" i="39"/>
  <c r="AZ74" i="39"/>
  <c r="AZ73" i="39"/>
  <c r="AZ72" i="39"/>
  <c r="AG86" i="7" l="1"/>
  <c r="BT81" i="10"/>
  <c r="K70" i="9"/>
  <c r="DH78" i="10"/>
  <c r="AG87" i="7"/>
  <c r="AI87" i="7" s="1"/>
  <c r="AL87" i="7" s="1"/>
  <c r="BT82" i="10"/>
  <c r="DN86" i="7"/>
  <c r="DP86" i="7" s="1"/>
  <c r="E86" i="7" s="1"/>
  <c r="U86" i="7" s="1"/>
  <c r="BL81" i="10"/>
  <c r="CV87" i="7"/>
  <c r="CW87" i="7" s="1"/>
  <c r="S87" i="7" s="1"/>
  <c r="CV88" i="7"/>
  <c r="CW88" i="7" s="1"/>
  <c r="S88" i="7" s="1"/>
  <c r="AI86" i="7"/>
  <c r="AL86" i="7" s="1"/>
  <c r="AX86" i="7"/>
  <c r="AX88" i="7"/>
  <c r="DN88" i="7"/>
  <c r="DP88" i="7" s="1"/>
  <c r="E88" i="7" s="1"/>
  <c r="U88" i="7" s="1"/>
  <c r="AI88" i="7"/>
  <c r="AL88" i="7" s="1"/>
  <c r="DN87" i="7"/>
  <c r="DP87" i="7" s="1"/>
  <c r="E87" i="7" s="1"/>
  <c r="U87" i="7" s="1"/>
  <c r="AX87" i="7"/>
  <c r="CV86" i="7"/>
  <c r="CL85" i="7"/>
  <c r="CK85" i="7"/>
  <c r="AE85" i="7" s="1"/>
  <c r="AK85" i="7" s="1"/>
  <c r="CG85" i="7"/>
  <c r="CF85" i="7"/>
  <c r="BZ85" i="7"/>
  <c r="BY85" i="7"/>
  <c r="BU85" i="7"/>
  <c r="CS85" i="7" s="1"/>
  <c r="BT85" i="7"/>
  <c r="CQ85" i="7" s="1"/>
  <c r="CU85" i="7" s="1"/>
  <c r="BS85" i="7"/>
  <c r="BM85" i="7"/>
  <c r="DM85" i="7" s="1"/>
  <c r="BL85" i="7"/>
  <c r="BK85" i="7"/>
  <c r="BG85" i="7"/>
  <c r="BE85" i="7" s="1"/>
  <c r="BF85" i="7"/>
  <c r="DJ85" i="7" s="1"/>
  <c r="BA85" i="7"/>
  <c r="AZ85" i="7"/>
  <c r="AQ85" i="7"/>
  <c r="AP85" i="7"/>
  <c r="AO85" i="7"/>
  <c r="AU85" i="7" s="1"/>
  <c r="AD85" i="7"/>
  <c r="Y85" i="7"/>
  <c r="V85" i="7"/>
  <c r="T85" i="7"/>
  <c r="N85" i="7"/>
  <c r="L85" i="7"/>
  <c r="DI85" i="7" s="1"/>
  <c r="I85" i="7"/>
  <c r="F85" i="7"/>
  <c r="D85" i="7"/>
  <c r="BH85" i="7" s="1"/>
  <c r="C85" i="7"/>
  <c r="BI85" i="7" s="1"/>
  <c r="BX80" i="10" s="1"/>
  <c r="B85" i="7"/>
  <c r="CL84" i="7"/>
  <c r="CK84" i="7"/>
  <c r="AE84" i="7" s="1"/>
  <c r="AK84" i="7" s="1"/>
  <c r="CG84" i="7"/>
  <c r="CF84" i="7"/>
  <c r="BZ84" i="7"/>
  <c r="BY84" i="7"/>
  <c r="BU84" i="7"/>
  <c r="BT84" i="7"/>
  <c r="BS84" i="7"/>
  <c r="BM84" i="7"/>
  <c r="DM84" i="7" s="1"/>
  <c r="BL84" i="7"/>
  <c r="BK84" i="7"/>
  <c r="BG84" i="7"/>
  <c r="BE84" i="7" s="1"/>
  <c r="BF84" i="7"/>
  <c r="BD84" i="7" s="1"/>
  <c r="BA84" i="7"/>
  <c r="AZ84" i="7"/>
  <c r="AQ84" i="7"/>
  <c r="AP84" i="7"/>
  <c r="AO84" i="7"/>
  <c r="AU84" i="7" s="1"/>
  <c r="AD84" i="7"/>
  <c r="Y84" i="7"/>
  <c r="V84" i="7"/>
  <c r="T84" i="7"/>
  <c r="N84" i="7"/>
  <c r="L84" i="7"/>
  <c r="DI84" i="7" s="1"/>
  <c r="I84" i="7"/>
  <c r="F84" i="7"/>
  <c r="D84" i="7"/>
  <c r="BB84" i="7" s="1"/>
  <c r="BT79" i="10" s="1"/>
  <c r="C84" i="7"/>
  <c r="BI84" i="7" s="1"/>
  <c r="BX79" i="10" s="1"/>
  <c r="B84" i="7"/>
  <c r="CL83" i="7"/>
  <c r="CK83" i="7"/>
  <c r="AE83" i="7" s="1"/>
  <c r="CG83" i="7"/>
  <c r="CF83" i="7"/>
  <c r="BZ83" i="7"/>
  <c r="BY83" i="7"/>
  <c r="BU83" i="7"/>
  <c r="BC83" i="7" s="1"/>
  <c r="AV78" i="10" s="1"/>
  <c r="BT83" i="7"/>
  <c r="BS83" i="7"/>
  <c r="BM83" i="7"/>
  <c r="DM83" i="7" s="1"/>
  <c r="BL83" i="7"/>
  <c r="BK83" i="7"/>
  <c r="BG83" i="7"/>
  <c r="BE83" i="7" s="1"/>
  <c r="BF83" i="7"/>
  <c r="DJ83" i="7" s="1"/>
  <c r="BA83" i="7"/>
  <c r="AZ83" i="7"/>
  <c r="AQ83" i="7"/>
  <c r="AP83" i="7"/>
  <c r="AO83" i="7"/>
  <c r="AU83" i="7" s="1"/>
  <c r="AV83" i="7" s="1"/>
  <c r="AW83" i="7" s="1"/>
  <c r="BL78" i="10" s="1"/>
  <c r="AD83" i="7"/>
  <c r="Y83" i="7"/>
  <c r="V83" i="7"/>
  <c r="T83" i="7"/>
  <c r="N83" i="7"/>
  <c r="L83" i="7"/>
  <c r="DI83" i="7" s="1"/>
  <c r="I83" i="7"/>
  <c r="H83" i="7" s="1"/>
  <c r="D83" i="7"/>
  <c r="BH83" i="7" s="1"/>
  <c r="C83" i="7"/>
  <c r="BI83" i="7" s="1"/>
  <c r="BX78" i="10" s="1"/>
  <c r="B83" i="7"/>
  <c r="BX74" i="39"/>
  <c r="BW74" i="39"/>
  <c r="BZ74" i="39" s="1"/>
  <c r="BE74" i="39" s="1"/>
  <c r="BS74" i="39"/>
  <c r="BU74" i="39" s="1"/>
  <c r="BQ74" i="39"/>
  <c r="BP74" i="39"/>
  <c r="BJ85" i="7" s="1"/>
  <c r="BO74" i="39"/>
  <c r="BN74" i="39"/>
  <c r="BM74" i="39"/>
  <c r="BL74" i="39"/>
  <c r="BK74" i="39"/>
  <c r="BJ74" i="39"/>
  <c r="BI74" i="39"/>
  <c r="BH74" i="39"/>
  <c r="BG74" i="39"/>
  <c r="BF74" i="39"/>
  <c r="BX73" i="39"/>
  <c r="BW73" i="39"/>
  <c r="BZ73" i="39" s="1"/>
  <c r="BE73" i="39" s="1"/>
  <c r="BS73" i="39"/>
  <c r="BU73" i="39" s="1"/>
  <c r="BQ73" i="39"/>
  <c r="BP73" i="39"/>
  <c r="BJ84" i="7" s="1"/>
  <c r="BO73" i="39"/>
  <c r="BN73" i="39"/>
  <c r="BM73" i="39"/>
  <c r="BL73" i="39"/>
  <c r="BK73" i="39"/>
  <c r="BJ73" i="39"/>
  <c r="BI73" i="39"/>
  <c r="BH73" i="39"/>
  <c r="BG73" i="39"/>
  <c r="BF73" i="39"/>
  <c r="BX72" i="39"/>
  <c r="BW72" i="39"/>
  <c r="BZ72" i="39" s="1"/>
  <c r="BE72" i="39" s="1"/>
  <c r="BS72" i="39"/>
  <c r="BU72" i="39" s="1"/>
  <c r="BQ72" i="39"/>
  <c r="BP72" i="39"/>
  <c r="BJ83" i="7" s="1"/>
  <c r="BO72" i="39"/>
  <c r="BN72" i="39"/>
  <c r="BM72" i="39"/>
  <c r="BL72" i="39"/>
  <c r="BK72" i="39"/>
  <c r="BJ72" i="39"/>
  <c r="BI72" i="39"/>
  <c r="BH72" i="39"/>
  <c r="BG72" i="39"/>
  <c r="BF72" i="39"/>
  <c r="CT83" i="7" l="1"/>
  <c r="AJ78" i="10"/>
  <c r="AF78" i="10"/>
  <c r="AJ79" i="10"/>
  <c r="AF79" i="10"/>
  <c r="AJ80" i="10"/>
  <c r="AF80" i="10"/>
  <c r="DH80" i="10"/>
  <c r="K72" i="9"/>
  <c r="K71" i="9"/>
  <c r="DH79" i="10"/>
  <c r="W81" i="10"/>
  <c r="L81" i="10"/>
  <c r="W83" i="10"/>
  <c r="L83" i="10"/>
  <c r="W82" i="10"/>
  <c r="L82" i="10"/>
  <c r="BD83" i="7"/>
  <c r="CT84" i="7"/>
  <c r="CW86" i="7"/>
  <c r="S86" i="7" s="1"/>
  <c r="BC85" i="7"/>
  <c r="CR85" i="7"/>
  <c r="CV85" i="7" s="1"/>
  <c r="CW85" i="7" s="1"/>
  <c r="S85" i="7" s="1"/>
  <c r="CQ83" i="7"/>
  <c r="CU83" i="7" s="1"/>
  <c r="CS83" i="7"/>
  <c r="CQ84" i="7"/>
  <c r="CU84" i="7" s="1"/>
  <c r="CS84" i="7"/>
  <c r="AG84" i="7"/>
  <c r="CT85" i="7"/>
  <c r="O85" i="7"/>
  <c r="H85" i="7"/>
  <c r="BB85" i="7"/>
  <c r="BH84" i="7"/>
  <c r="W83" i="7"/>
  <c r="W84" i="7"/>
  <c r="W85" i="7"/>
  <c r="AV84" i="7"/>
  <c r="AW84" i="7" s="1"/>
  <c r="BL79" i="10" s="1"/>
  <c r="O83" i="7"/>
  <c r="AF83" i="7"/>
  <c r="AH83" i="7" s="1"/>
  <c r="AK83" i="7"/>
  <c r="AJ83" i="7"/>
  <c r="AX83" i="7"/>
  <c r="DN83" i="7"/>
  <c r="DP83" i="7" s="1"/>
  <c r="E83" i="7" s="1"/>
  <c r="AV85" i="7"/>
  <c r="AW85" i="7" s="1"/>
  <c r="BL80" i="10" s="1"/>
  <c r="O84" i="7"/>
  <c r="AF84" i="7"/>
  <c r="AH84" i="7" s="1"/>
  <c r="BD85" i="7"/>
  <c r="DJ84" i="7"/>
  <c r="CR83" i="7"/>
  <c r="AJ84" i="7"/>
  <c r="P84" i="7"/>
  <c r="AF85" i="7"/>
  <c r="AH85" i="7" s="1"/>
  <c r="P85" i="7"/>
  <c r="H84" i="7"/>
  <c r="BC84" i="7"/>
  <c r="AV79" i="10" s="1"/>
  <c r="CR84" i="7"/>
  <c r="AJ85" i="7"/>
  <c r="BB83" i="7"/>
  <c r="P83" i="7"/>
  <c r="CV83" i="7" l="1"/>
  <c r="AG83" i="7"/>
  <c r="AI83" i="7" s="1"/>
  <c r="AL83" i="7" s="1"/>
  <c r="BT78" i="10"/>
  <c r="AG85" i="7"/>
  <c r="AI85" i="7" s="1"/>
  <c r="AL85" i="7" s="1"/>
  <c r="BT80" i="10"/>
  <c r="AI84" i="7"/>
  <c r="AL84" i="7" s="1"/>
  <c r="CW83" i="7"/>
  <c r="S83" i="7" s="1"/>
  <c r="CV84" i="7"/>
  <c r="CW84" i="7" s="1"/>
  <c r="S84" i="7" s="1"/>
  <c r="U83" i="7"/>
  <c r="AX84" i="7"/>
  <c r="DN84" i="7"/>
  <c r="DP84" i="7" s="1"/>
  <c r="E84" i="7" s="1"/>
  <c r="U84" i="7" s="1"/>
  <c r="DN85" i="7"/>
  <c r="DP85" i="7" s="1"/>
  <c r="E85" i="7" s="1"/>
  <c r="U85" i="7" s="1"/>
  <c r="AX85" i="7"/>
  <c r="L80" i="10" l="1"/>
  <c r="W80" i="10"/>
  <c r="W79" i="10"/>
  <c r="L79" i="10"/>
  <c r="W78" i="10"/>
  <c r="L78" i="10"/>
  <c r="AY43" i="39"/>
  <c r="BZ48" i="39"/>
  <c r="BX71" i="39"/>
  <c r="BW71" i="39"/>
  <c r="BZ71" i="39" s="1"/>
  <c r="BE71" i="39" s="1"/>
  <c r="BQ71" i="39"/>
  <c r="BX70" i="39"/>
  <c r="BW70" i="39"/>
  <c r="BZ70" i="39" s="1"/>
  <c r="BE70" i="39" s="1"/>
  <c r="BQ70" i="39"/>
  <c r="BX69" i="39"/>
  <c r="BW69" i="39"/>
  <c r="BZ69" i="39" s="1"/>
  <c r="BE69" i="39" s="1"/>
  <c r="BQ69" i="39"/>
  <c r="AO13" i="10"/>
  <c r="AS13" i="10"/>
  <c r="CS13" i="10"/>
  <c r="CW13" i="10"/>
  <c r="AO14" i="10"/>
  <c r="AS14" i="10"/>
  <c r="CS14" i="10"/>
  <c r="CW14" i="10"/>
  <c r="AO15" i="10"/>
  <c r="AS15" i="10"/>
  <c r="CS15" i="10"/>
  <c r="CW15" i="10"/>
  <c r="AO16" i="10"/>
  <c r="AS16" i="10"/>
  <c r="CS16" i="10"/>
  <c r="CW16" i="10"/>
  <c r="AO17" i="10"/>
  <c r="AS17" i="10"/>
  <c r="CS17" i="10"/>
  <c r="CW17" i="10"/>
  <c r="AO18" i="10"/>
  <c r="AS18" i="10"/>
  <c r="CS18" i="10"/>
  <c r="CW18" i="10"/>
  <c r="AO19" i="10"/>
  <c r="AS19" i="10"/>
  <c r="CS19" i="10"/>
  <c r="CW19" i="10"/>
  <c r="AO20" i="10"/>
  <c r="AS20" i="10"/>
  <c r="CS20" i="10"/>
  <c r="CW20" i="10"/>
  <c r="AO21" i="10"/>
  <c r="AS21" i="10"/>
  <c r="CS21" i="10"/>
  <c r="CW21" i="10"/>
  <c r="AO22" i="10"/>
  <c r="AS22" i="10"/>
  <c r="CS22" i="10"/>
  <c r="CW22" i="10"/>
  <c r="AO23" i="10"/>
  <c r="AS23" i="10"/>
  <c r="CS23" i="10"/>
  <c r="CW23" i="10"/>
  <c r="AO24" i="10"/>
  <c r="AS24" i="10"/>
  <c r="CS24" i="10"/>
  <c r="CW24" i="10"/>
  <c r="AO25" i="10"/>
  <c r="AS25" i="10"/>
  <c r="CS25" i="10"/>
  <c r="CW25" i="10"/>
  <c r="AO26" i="10"/>
  <c r="AS26" i="10"/>
  <c r="CS26" i="10"/>
  <c r="CW26" i="10"/>
  <c r="AO27" i="10"/>
  <c r="AS27" i="10"/>
  <c r="CS27" i="10"/>
  <c r="CW27" i="10"/>
  <c r="AO28" i="10"/>
  <c r="AS28" i="10"/>
  <c r="CS28" i="10"/>
  <c r="CW28" i="10"/>
  <c r="AO29" i="10"/>
  <c r="AS29" i="10"/>
  <c r="CS29" i="10"/>
  <c r="CW29" i="10"/>
  <c r="AO30" i="10"/>
  <c r="AS30" i="10"/>
  <c r="CS30" i="10"/>
  <c r="CW30" i="10"/>
  <c r="AO31" i="10"/>
  <c r="AS31" i="10"/>
  <c r="CS31" i="10"/>
  <c r="CW31" i="10"/>
  <c r="AO32" i="10"/>
  <c r="AS32" i="10"/>
  <c r="CS32" i="10"/>
  <c r="CW32" i="10"/>
  <c r="AO33" i="10"/>
  <c r="AS33" i="10"/>
  <c r="CS33" i="10"/>
  <c r="CW33" i="10"/>
  <c r="AO34" i="10"/>
  <c r="AS34" i="10"/>
  <c r="CS34" i="10"/>
  <c r="CW34" i="10"/>
  <c r="AO35" i="10"/>
  <c r="AS35" i="10"/>
  <c r="CS35" i="10"/>
  <c r="CW35" i="10"/>
  <c r="AO36" i="10"/>
  <c r="AS36" i="10"/>
  <c r="CS36" i="10"/>
  <c r="CW36" i="10"/>
  <c r="AO37" i="10"/>
  <c r="AS37" i="10"/>
  <c r="CS37" i="10"/>
  <c r="CW37" i="10"/>
  <c r="AO38" i="10"/>
  <c r="AS38" i="10"/>
  <c r="CS38" i="10"/>
  <c r="CW38" i="10"/>
  <c r="AO39" i="10"/>
  <c r="AS39" i="10"/>
  <c r="CS39" i="10"/>
  <c r="CW39" i="10"/>
  <c r="AO40" i="10"/>
  <c r="AS40" i="10"/>
  <c r="CS40" i="10"/>
  <c r="CW40" i="10"/>
  <c r="AO41" i="10"/>
  <c r="AS41" i="10"/>
  <c r="CS41" i="10"/>
  <c r="CW41" i="10"/>
  <c r="AO42" i="10"/>
  <c r="AS42" i="10"/>
  <c r="CS42" i="10"/>
  <c r="CW42" i="10"/>
  <c r="AO43" i="10"/>
  <c r="AS43" i="10"/>
  <c r="CS43" i="10"/>
  <c r="CW43" i="10"/>
  <c r="AO44" i="10"/>
  <c r="AS44" i="10"/>
  <c r="CS44" i="10"/>
  <c r="CW44" i="10"/>
  <c r="AO45" i="10"/>
  <c r="AS45" i="10"/>
  <c r="CS45" i="10"/>
  <c r="CW45" i="10"/>
  <c r="AO46" i="10"/>
  <c r="AS46" i="10"/>
  <c r="CS46" i="10"/>
  <c r="CW46" i="10"/>
  <c r="AO47" i="10"/>
  <c r="AS47" i="10"/>
  <c r="CS47" i="10"/>
  <c r="CW47" i="10"/>
  <c r="AO48" i="10"/>
  <c r="AS48" i="10"/>
  <c r="CS48" i="10"/>
  <c r="CW48" i="10"/>
  <c r="AO49" i="10"/>
  <c r="AS49" i="10"/>
  <c r="CS49" i="10"/>
  <c r="CW49" i="10"/>
  <c r="AO50" i="10"/>
  <c r="AS50" i="10"/>
  <c r="CS50" i="10"/>
  <c r="CW50" i="10"/>
  <c r="AO51" i="10"/>
  <c r="AS51" i="10"/>
  <c r="CS51" i="10"/>
  <c r="CW51" i="10"/>
  <c r="AO52" i="10"/>
  <c r="AS52" i="10"/>
  <c r="CS52" i="10"/>
  <c r="CW52" i="10"/>
  <c r="AO53" i="10"/>
  <c r="AS53" i="10"/>
  <c r="CS53" i="10"/>
  <c r="CW53" i="10"/>
  <c r="AO54" i="10"/>
  <c r="AS54" i="10"/>
  <c r="CS54" i="10"/>
  <c r="CW54" i="10"/>
  <c r="AO55" i="10"/>
  <c r="AS55" i="10"/>
  <c r="CS55" i="10"/>
  <c r="CW55" i="10"/>
  <c r="AO56" i="10"/>
  <c r="AS56" i="10"/>
  <c r="CS56" i="10"/>
  <c r="CW56" i="10"/>
  <c r="AO57" i="10"/>
  <c r="AS57" i="10"/>
  <c r="CS57" i="10"/>
  <c r="CW57" i="10"/>
  <c r="AO58" i="10"/>
  <c r="AS58" i="10"/>
  <c r="CS58" i="10"/>
  <c r="CW58" i="10"/>
  <c r="AO59" i="10"/>
  <c r="AS59" i="10"/>
  <c r="CS59" i="10"/>
  <c r="CW59" i="10"/>
  <c r="AO60" i="10"/>
  <c r="AS60" i="10"/>
  <c r="CS60" i="10"/>
  <c r="CW60" i="10"/>
  <c r="AO61" i="10"/>
  <c r="AS61" i="10"/>
  <c r="CS61" i="10"/>
  <c r="CW61" i="10"/>
  <c r="AO62" i="10"/>
  <c r="AS62" i="10"/>
  <c r="CS62" i="10"/>
  <c r="CW62" i="10"/>
  <c r="AO63" i="10"/>
  <c r="AS63" i="10"/>
  <c r="CS63" i="10"/>
  <c r="CW63" i="10"/>
  <c r="AO64" i="10"/>
  <c r="AS64" i="10"/>
  <c r="CS64" i="10"/>
  <c r="CW64" i="10"/>
  <c r="AO65" i="10"/>
  <c r="AS65" i="10"/>
  <c r="CS65" i="10"/>
  <c r="CW65" i="10"/>
  <c r="AO66" i="10"/>
  <c r="AS66" i="10"/>
  <c r="CS66" i="10"/>
  <c r="CW66" i="10"/>
  <c r="AO67" i="10"/>
  <c r="AS67" i="10"/>
  <c r="CS67" i="10"/>
  <c r="CW67" i="10"/>
  <c r="AO68" i="10"/>
  <c r="AS68" i="10"/>
  <c r="CS68" i="10"/>
  <c r="CW68" i="10"/>
  <c r="AO69" i="10"/>
  <c r="AS69" i="10"/>
  <c r="CS69" i="10"/>
  <c r="CW69" i="10"/>
  <c r="AO70" i="10"/>
  <c r="AS70" i="10"/>
  <c r="CS70" i="10"/>
  <c r="CW70" i="10"/>
  <c r="AO71" i="10"/>
  <c r="AS71" i="10"/>
  <c r="CS71" i="10"/>
  <c r="CW71" i="10"/>
  <c r="AO72" i="10"/>
  <c r="AS72" i="10"/>
  <c r="CS72" i="10"/>
  <c r="CW72" i="10"/>
  <c r="AO73" i="10"/>
  <c r="AS73" i="10"/>
  <c r="CS73" i="10"/>
  <c r="CW73" i="10"/>
  <c r="AO74" i="10"/>
  <c r="AS74" i="10"/>
  <c r="CS74" i="10"/>
  <c r="CW74" i="10"/>
  <c r="AO75" i="10"/>
  <c r="AS75" i="10"/>
  <c r="CS75" i="10"/>
  <c r="CW75" i="10"/>
  <c r="AO76" i="10"/>
  <c r="AS76" i="10"/>
  <c r="CS76" i="10"/>
  <c r="CW76" i="10"/>
  <c r="AO77" i="10"/>
  <c r="AS77" i="10"/>
  <c r="CS77" i="10"/>
  <c r="CW77" i="10"/>
  <c r="AO78" i="10"/>
  <c r="AS78" i="10"/>
  <c r="CS78" i="10"/>
  <c r="CW78" i="10"/>
  <c r="AO79" i="10"/>
  <c r="AS79" i="10"/>
  <c r="CS79" i="10"/>
  <c r="CW79" i="10"/>
  <c r="AO80" i="10"/>
  <c r="AS80" i="10"/>
  <c r="CS80" i="10"/>
  <c r="CW80" i="10"/>
  <c r="X81" i="10"/>
  <c r="AO81" i="10"/>
  <c r="AS81" i="10"/>
  <c r="CS81" i="10"/>
  <c r="CW81" i="10"/>
  <c r="X82" i="10"/>
  <c r="AO82" i="10"/>
  <c r="AS82" i="10"/>
  <c r="CS82" i="10"/>
  <c r="CW82" i="10"/>
  <c r="X83" i="10"/>
  <c r="AO83" i="10"/>
  <c r="AS83" i="10"/>
  <c r="CS83" i="10"/>
  <c r="CW83" i="10"/>
  <c r="AA84" i="10"/>
  <c r="AO84" i="10"/>
  <c r="AS84" i="10"/>
  <c r="CS84" i="10"/>
  <c r="CW84" i="10"/>
  <c r="AA85" i="10"/>
  <c r="AO85" i="10"/>
  <c r="AS85" i="10"/>
  <c r="CS85" i="10"/>
  <c r="CW85" i="10"/>
  <c r="X86" i="10"/>
  <c r="AO86" i="10"/>
  <c r="AS86" i="10"/>
  <c r="CS86" i="10"/>
  <c r="CW86" i="10"/>
  <c r="X87" i="10"/>
  <c r="AO87" i="10"/>
  <c r="AS87" i="10"/>
  <c r="CS87" i="10"/>
  <c r="CW87" i="10"/>
  <c r="X88" i="10"/>
  <c r="AO88" i="10"/>
  <c r="AS88" i="10"/>
  <c r="CS88" i="10"/>
  <c r="CW88" i="10"/>
  <c r="X89" i="10"/>
  <c r="AO89" i="10"/>
  <c r="AS89" i="10"/>
  <c r="CS89" i="10"/>
  <c r="CW89" i="10"/>
  <c r="X90" i="10"/>
  <c r="AO90" i="10"/>
  <c r="AS90" i="10"/>
  <c r="CS90" i="10"/>
  <c r="CW90" i="10"/>
  <c r="X91" i="10"/>
  <c r="AO91" i="10"/>
  <c r="AS91" i="10"/>
  <c r="CS91" i="10"/>
  <c r="CW91" i="10"/>
  <c r="X92" i="10"/>
  <c r="AO92" i="10"/>
  <c r="AS92" i="10"/>
  <c r="CS92" i="10"/>
  <c r="CW92" i="10"/>
  <c r="X93" i="10"/>
  <c r="AO93" i="10"/>
  <c r="AS93" i="10"/>
  <c r="CS93" i="10"/>
  <c r="CW93" i="10"/>
  <c r="G87" i="10"/>
  <c r="G88" i="10"/>
  <c r="G89" i="10"/>
  <c r="G90" i="10"/>
  <c r="G91" i="10"/>
  <c r="G92" i="10"/>
  <c r="G93" i="10"/>
  <c r="BF69" i="39"/>
  <c r="BG69" i="39"/>
  <c r="BH69" i="39"/>
  <c r="BI69" i="39"/>
  <c r="BJ69" i="39"/>
  <c r="BK69" i="39"/>
  <c r="BL69" i="39"/>
  <c r="BM69" i="39"/>
  <c r="BN69" i="39"/>
  <c r="BO69" i="39"/>
  <c r="BP69" i="39"/>
  <c r="BF70" i="39"/>
  <c r="BG70" i="39"/>
  <c r="BH70" i="39"/>
  <c r="BI70" i="39"/>
  <c r="BJ70" i="39"/>
  <c r="BK70" i="39"/>
  <c r="BL70" i="39"/>
  <c r="BM70" i="39"/>
  <c r="BN70" i="39"/>
  <c r="BO70" i="39"/>
  <c r="BP70" i="39"/>
  <c r="BF71" i="39"/>
  <c r="BG71" i="39"/>
  <c r="BH71" i="39"/>
  <c r="BI71" i="39"/>
  <c r="BJ71" i="39"/>
  <c r="BK71" i="39"/>
  <c r="BL71" i="39"/>
  <c r="BM71" i="39"/>
  <c r="BN71" i="39"/>
  <c r="BO71" i="39"/>
  <c r="BP71" i="39"/>
  <c r="AZ71" i="39"/>
  <c r="BS71" i="39" s="1"/>
  <c r="BU71" i="39" s="1"/>
  <c r="AZ70" i="39"/>
  <c r="BS70" i="39" s="1"/>
  <c r="BU70" i="39" s="1"/>
  <c r="AZ69" i="39"/>
  <c r="BS69" i="39" s="1"/>
  <c r="BU69" i="39" s="1"/>
  <c r="AP71" i="39"/>
  <c r="AP70" i="39"/>
  <c r="AP69" i="39"/>
  <c r="AA90" i="10" l="1"/>
  <c r="AA93" i="10"/>
  <c r="AA88" i="10"/>
  <c r="AA87" i="10"/>
  <c r="AI90" i="10"/>
  <c r="AM90" i="10" s="1"/>
  <c r="AA92" i="10"/>
  <c r="X84" i="10"/>
  <c r="AA82" i="10"/>
  <c r="AE82" i="10" s="1"/>
  <c r="AA81" i="10"/>
  <c r="AE81" i="10" s="1"/>
  <c r="AF81" i="10" s="1"/>
  <c r="AA83" i="10"/>
  <c r="AE83" i="10" s="1"/>
  <c r="AA91" i="10"/>
  <c r="AI84" i="10"/>
  <c r="AI87" i="10"/>
  <c r="AA86" i="10"/>
  <c r="X85" i="10"/>
  <c r="AA89" i="10"/>
  <c r="AI83" i="10" l="1"/>
  <c r="AM83" i="10" s="1"/>
  <c r="AN83" i="10" s="1"/>
  <c r="AI92" i="10"/>
  <c r="AM84" i="10"/>
  <c r="AI85" i="10"/>
  <c r="AM87" i="10"/>
  <c r="AI93" i="10"/>
  <c r="AI88" i="10"/>
  <c r="AI82" i="10"/>
  <c r="AP90" i="10"/>
  <c r="AQ90" i="10"/>
  <c r="AI81" i="10"/>
  <c r="AP83" i="10" l="1"/>
  <c r="AQ83" i="10"/>
  <c r="AR83" i="10" s="1"/>
  <c r="AM92" i="10"/>
  <c r="AU90" i="10"/>
  <c r="AT90" i="10"/>
  <c r="AM82" i="10"/>
  <c r="AN82" i="10" s="1"/>
  <c r="AP87" i="10"/>
  <c r="AQ87" i="10"/>
  <c r="AM93" i="10"/>
  <c r="AI86" i="10"/>
  <c r="AM85" i="10"/>
  <c r="AI91" i="10"/>
  <c r="AI89" i="10"/>
  <c r="AM88" i="10"/>
  <c r="AM81" i="10"/>
  <c r="AN81" i="10" s="1"/>
  <c r="AP84" i="10"/>
  <c r="AQ84" i="10"/>
  <c r="AT87" i="10" l="1"/>
  <c r="AU87" i="10"/>
  <c r="AP82" i="10"/>
  <c r="AQ82" i="10"/>
  <c r="AR82" i="10" s="1"/>
  <c r="AQ88" i="10"/>
  <c r="AP88" i="10"/>
  <c r="AT84" i="10"/>
  <c r="AU84" i="10"/>
  <c r="AQ92" i="10"/>
  <c r="AP92" i="10"/>
  <c r="AM91" i="10"/>
  <c r="AQ85" i="10"/>
  <c r="AP85" i="10"/>
  <c r="AY90" i="10"/>
  <c r="CA90" i="10"/>
  <c r="AQ93" i="10"/>
  <c r="AP93" i="10"/>
  <c r="AU83" i="10"/>
  <c r="AT83" i="10"/>
  <c r="AM89" i="10"/>
  <c r="AQ81" i="10"/>
  <c r="AR81" i="10" s="1"/>
  <c r="AP81" i="10"/>
  <c r="AM86" i="10"/>
  <c r="AT93" i="10" l="1"/>
  <c r="AU93" i="10"/>
  <c r="CA83" i="10"/>
  <c r="AY83" i="10"/>
  <c r="AZ83" i="10" s="1"/>
  <c r="CA84" i="10"/>
  <c r="AY84" i="10"/>
  <c r="AT81" i="10"/>
  <c r="AU81" i="10"/>
  <c r="AT85" i="10"/>
  <c r="AU85" i="10"/>
  <c r="AT82" i="10"/>
  <c r="AU82" i="10"/>
  <c r="AP89" i="10"/>
  <c r="AQ89" i="10"/>
  <c r="AT92" i="10"/>
  <c r="AU92" i="10"/>
  <c r="AU88" i="10"/>
  <c r="AT88" i="10"/>
  <c r="CD90" i="10"/>
  <c r="CE90" i="10"/>
  <c r="AP91" i="10"/>
  <c r="AQ91" i="10"/>
  <c r="AP86" i="10"/>
  <c r="AQ86" i="10"/>
  <c r="BC90" i="10"/>
  <c r="BG90" i="10" s="1"/>
  <c r="AY87" i="10"/>
  <c r="CA87" i="10"/>
  <c r="AT86" i="10" l="1"/>
  <c r="AU86" i="10"/>
  <c r="BC83" i="10"/>
  <c r="BG83" i="10" s="1"/>
  <c r="BC87" i="10"/>
  <c r="BG87" i="10" s="1"/>
  <c r="AY92" i="10"/>
  <c r="CA92" i="10"/>
  <c r="CA81" i="10"/>
  <c r="AY81" i="10"/>
  <c r="AZ81" i="10" s="1"/>
  <c r="AT91" i="10"/>
  <c r="AU91" i="10"/>
  <c r="CE87" i="10"/>
  <c r="CD87" i="10"/>
  <c r="CA88" i="10"/>
  <c r="AY88" i="10"/>
  <c r="AY82" i="10"/>
  <c r="AZ82" i="10" s="1"/>
  <c r="CA82" i="10"/>
  <c r="BC84" i="10"/>
  <c r="BG84" i="10" s="1"/>
  <c r="AY85" i="10"/>
  <c r="CA85" i="10"/>
  <c r="CD84" i="10"/>
  <c r="CE84" i="10"/>
  <c r="AT89" i="10"/>
  <c r="AU89" i="10"/>
  <c r="CA93" i="10"/>
  <c r="AY93" i="10"/>
  <c r="CD83" i="10"/>
  <c r="CE83" i="10"/>
  <c r="BK90" i="10"/>
  <c r="CI90" i="10"/>
  <c r="CH90" i="10"/>
  <c r="AY86" i="10" l="1"/>
  <c r="CA86" i="10"/>
  <c r="BK83" i="10"/>
  <c r="BO90" i="10"/>
  <c r="CD85" i="10"/>
  <c r="CE85" i="10"/>
  <c r="CD82" i="10"/>
  <c r="CE82" i="10"/>
  <c r="BC81" i="10"/>
  <c r="BG81" i="10" s="1"/>
  <c r="BC85" i="10"/>
  <c r="BG85" i="10" s="1"/>
  <c r="BK84" i="10"/>
  <c r="BC82" i="10"/>
  <c r="BG82" i="10" s="1"/>
  <c r="CD88" i="10"/>
  <c r="CE88" i="10"/>
  <c r="CD93" i="10"/>
  <c r="CE93" i="10"/>
  <c r="BK87" i="10"/>
  <c r="CA91" i="10"/>
  <c r="AY91" i="10"/>
  <c r="CL90" i="10"/>
  <c r="CM90" i="10"/>
  <c r="CH83" i="10"/>
  <c r="CI83" i="10"/>
  <c r="BC93" i="10"/>
  <c r="BG93" i="10" s="1"/>
  <c r="BC88" i="10"/>
  <c r="BG88" i="10" s="1"/>
  <c r="CI87" i="10"/>
  <c r="CH87" i="10"/>
  <c r="CE92" i="10"/>
  <c r="CD92" i="10"/>
  <c r="CD81" i="10"/>
  <c r="CE81" i="10"/>
  <c r="AY89" i="10"/>
  <c r="CA89" i="10"/>
  <c r="CI84" i="10"/>
  <c r="CH84" i="10"/>
  <c r="BC92" i="10"/>
  <c r="BG92" i="10" s="1"/>
  <c r="BK85" i="10" l="1"/>
  <c r="CH93" i="10"/>
  <c r="CI93" i="10"/>
  <c r="CM87" i="10"/>
  <c r="CL87" i="10"/>
  <c r="BC86" i="10"/>
  <c r="BG86" i="10" s="1"/>
  <c r="CI92" i="10"/>
  <c r="CH92" i="10"/>
  <c r="BS90" i="10"/>
  <c r="BO83" i="10"/>
  <c r="CE86" i="10"/>
  <c r="CD86" i="10"/>
  <c r="BK82" i="10"/>
  <c r="BK88" i="10"/>
  <c r="BK81" i="10"/>
  <c r="BC91" i="10"/>
  <c r="BG91" i="10" s="1"/>
  <c r="CI81" i="10"/>
  <c r="CH81" i="10"/>
  <c r="CD91" i="10"/>
  <c r="CE91" i="10"/>
  <c r="BK92" i="10"/>
  <c r="CL84" i="10"/>
  <c r="CM84" i="10"/>
  <c r="CH88" i="10"/>
  <c r="CI88" i="10"/>
  <c r="CE89" i="10"/>
  <c r="CD89" i="10"/>
  <c r="BC89" i="10"/>
  <c r="BG89" i="10" s="1"/>
  <c r="BK93" i="10"/>
  <c r="CL83" i="10"/>
  <c r="CM83" i="10"/>
  <c r="CP90" i="10"/>
  <c r="CQ90" i="10"/>
  <c r="BO84" i="10"/>
  <c r="CI82" i="10"/>
  <c r="CH82" i="10"/>
  <c r="CH85" i="10"/>
  <c r="CI85" i="10"/>
  <c r="BO87" i="10"/>
  <c r="CL92" i="10" l="1"/>
  <c r="CM92" i="10"/>
  <c r="CP87" i="10"/>
  <c r="CQ87" i="10"/>
  <c r="BO93" i="10"/>
  <c r="BO81" i="10"/>
  <c r="CM88" i="10"/>
  <c r="CL88" i="10"/>
  <c r="BO82" i="10"/>
  <c r="BK86" i="10"/>
  <c r="BS87" i="10"/>
  <c r="BS83" i="10"/>
  <c r="CM85" i="10"/>
  <c r="CL85" i="10"/>
  <c r="BK89" i="10"/>
  <c r="CH86" i="10"/>
  <c r="CI86" i="10"/>
  <c r="BW90" i="10"/>
  <c r="CI89" i="10"/>
  <c r="CH89" i="10"/>
  <c r="CP84" i="10"/>
  <c r="CQ84" i="10"/>
  <c r="CL93" i="10"/>
  <c r="CM93" i="10"/>
  <c r="CQ83" i="10"/>
  <c r="CP83" i="10"/>
  <c r="BO88" i="10"/>
  <c r="BO85" i="10"/>
  <c r="CH91" i="10"/>
  <c r="CI91" i="10"/>
  <c r="CL81" i="10"/>
  <c r="CM81" i="10"/>
  <c r="CM82" i="10"/>
  <c r="CL82" i="10"/>
  <c r="BS84" i="10"/>
  <c r="CU90" i="10"/>
  <c r="CT90" i="10"/>
  <c r="BO92" i="10"/>
  <c r="BK91" i="10"/>
  <c r="BS93" i="10" l="1"/>
  <c r="BS92" i="10"/>
  <c r="CT84" i="10"/>
  <c r="CU84" i="10"/>
  <c r="CP85" i="10"/>
  <c r="CQ85" i="10"/>
  <c r="CL91" i="10"/>
  <c r="CM91" i="10"/>
  <c r="BW87" i="10"/>
  <c r="CL86" i="10"/>
  <c r="CM86" i="10"/>
  <c r="CT87" i="10"/>
  <c r="CU87" i="10"/>
  <c r="CL89" i="10"/>
  <c r="CM89" i="10"/>
  <c r="CQ82" i="10"/>
  <c r="CP82" i="10"/>
  <c r="BS85" i="10"/>
  <c r="BS88" i="10"/>
  <c r="CT83" i="10"/>
  <c r="CU83" i="10"/>
  <c r="BS82" i="10"/>
  <c r="CX90" i="10"/>
  <c r="CY90" i="10"/>
  <c r="BW83" i="10"/>
  <c r="BO91" i="10"/>
  <c r="BW84" i="10"/>
  <c r="BO89" i="10"/>
  <c r="CP92" i="10"/>
  <c r="CQ92" i="10"/>
  <c r="BS81" i="10"/>
  <c r="CP81" i="10"/>
  <c r="CQ81" i="10"/>
  <c r="CP93" i="10"/>
  <c r="CQ93" i="10"/>
  <c r="BO86" i="10"/>
  <c r="CQ88" i="10"/>
  <c r="CP88" i="10"/>
  <c r="CQ91" i="10" l="1"/>
  <c r="CP91" i="10"/>
  <c r="CT88" i="10"/>
  <c r="CU88" i="10"/>
  <c r="DB90" i="10"/>
  <c r="DC90" i="10"/>
  <c r="DF90" i="10" s="1"/>
  <c r="DG90" i="10" s="1"/>
  <c r="BW85" i="10"/>
  <c r="CP89" i="10"/>
  <c r="CQ89" i="10"/>
  <c r="BW88" i="10"/>
  <c r="CT81" i="10"/>
  <c r="CU81" i="10"/>
  <c r="BS86" i="10"/>
  <c r="CQ86" i="10"/>
  <c r="CP86" i="10"/>
  <c r="BW82" i="10"/>
  <c r="BS89" i="10"/>
  <c r="BW92" i="10"/>
  <c r="BW93" i="10"/>
  <c r="BS91" i="10"/>
  <c r="CX87" i="10"/>
  <c r="CY87" i="10"/>
  <c r="CT85" i="10"/>
  <c r="CU85" i="10"/>
  <c r="CU93" i="10"/>
  <c r="CT93" i="10"/>
  <c r="CX83" i="10"/>
  <c r="CY83" i="10"/>
  <c r="BW81" i="10"/>
  <c r="CX84" i="10"/>
  <c r="CY84" i="10"/>
  <c r="CT92" i="10"/>
  <c r="CU92" i="10"/>
  <c r="CT82" i="10"/>
  <c r="CU82" i="10"/>
  <c r="DI90" i="10" l="1"/>
  <c r="DJ90" i="10" s="1"/>
  <c r="CU89" i="10"/>
  <c r="CT89" i="10"/>
  <c r="DC83" i="10"/>
  <c r="DF83" i="10" s="1"/>
  <c r="DG83" i="10" s="1"/>
  <c r="DB83" i="10"/>
  <c r="CX85" i="10"/>
  <c r="CY85" i="10"/>
  <c r="CX81" i="10"/>
  <c r="CY81" i="10"/>
  <c r="BW89" i="10"/>
  <c r="DB84" i="10"/>
  <c r="DC84" i="10"/>
  <c r="DF84" i="10" s="1"/>
  <c r="DG84" i="10" s="1"/>
  <c r="CX92" i="10"/>
  <c r="CY92" i="10"/>
  <c r="BW86" i="10"/>
  <c r="CX93" i="10"/>
  <c r="CY93" i="10"/>
  <c r="BW91" i="10"/>
  <c r="CX82" i="10"/>
  <c r="CY82" i="10"/>
  <c r="DB87" i="10"/>
  <c r="DC87" i="10"/>
  <c r="DF87" i="10" s="1"/>
  <c r="DG87" i="10" s="1"/>
  <c r="CT86" i="10"/>
  <c r="CU86" i="10"/>
  <c r="CX88" i="10"/>
  <c r="CY88" i="10"/>
  <c r="CT91" i="10"/>
  <c r="CU91" i="10"/>
  <c r="CY86" i="10" l="1"/>
  <c r="CX86" i="10"/>
  <c r="DB85" i="10"/>
  <c r="DC85" i="10"/>
  <c r="DF85" i="10" s="1"/>
  <c r="DG85" i="10" s="1"/>
  <c r="CX91" i="10"/>
  <c r="CY91" i="10"/>
  <c r="DI87" i="10"/>
  <c r="DJ87" i="10" s="1"/>
  <c r="CY89" i="10"/>
  <c r="CX89" i="10"/>
  <c r="DB93" i="10"/>
  <c r="DC93" i="10"/>
  <c r="DF93" i="10" s="1"/>
  <c r="DG93" i="10" s="1"/>
  <c r="DC81" i="10"/>
  <c r="DF81" i="10" s="1"/>
  <c r="DG81" i="10" s="1"/>
  <c r="DB81" i="10"/>
  <c r="DC92" i="10"/>
  <c r="DF92" i="10" s="1"/>
  <c r="DG92" i="10" s="1"/>
  <c r="DB92" i="10"/>
  <c r="DB82" i="10"/>
  <c r="DC82" i="10"/>
  <c r="DF82" i="10" s="1"/>
  <c r="DG82" i="10" s="1"/>
  <c r="DB88" i="10"/>
  <c r="DC88" i="10"/>
  <c r="DF88" i="10" s="1"/>
  <c r="DG88" i="10" s="1"/>
  <c r="DB86" i="10" l="1"/>
  <c r="DC86" i="10"/>
  <c r="DF86" i="10" s="1"/>
  <c r="DG86" i="10" s="1"/>
  <c r="DI88" i="10"/>
  <c r="DJ88" i="10" s="1"/>
  <c r="DI92" i="10"/>
  <c r="DJ92" i="10" s="1"/>
  <c r="DB89" i="10"/>
  <c r="DC89" i="10"/>
  <c r="DF89" i="10" s="1"/>
  <c r="DG89" i="10" s="1"/>
  <c r="DI93" i="10"/>
  <c r="DJ93" i="10" s="1"/>
  <c r="DB91" i="10"/>
  <c r="DC91" i="10"/>
  <c r="DF91" i="10" s="1"/>
  <c r="DG91" i="10" s="1"/>
  <c r="DI89" i="10" l="1"/>
  <c r="DJ89" i="10" s="1"/>
  <c r="DI91" i="10"/>
  <c r="DJ91" i="10" s="1"/>
  <c r="B80" i="7" l="1"/>
  <c r="C80" i="7"/>
  <c r="BI80" i="7" s="1"/>
  <c r="BX75" i="10" s="1"/>
  <c r="D80" i="7"/>
  <c r="BH80" i="7" s="1"/>
  <c r="F80" i="7"/>
  <c r="I80" i="7"/>
  <c r="L80" i="7"/>
  <c r="DI80" i="7" s="1"/>
  <c r="N80" i="7"/>
  <c r="T80" i="7"/>
  <c r="V80" i="7"/>
  <c r="Y80" i="7"/>
  <c r="AD80" i="7"/>
  <c r="AO80" i="7"/>
  <c r="AU80" i="7" s="1"/>
  <c r="AP80" i="7"/>
  <c r="AQ80" i="7"/>
  <c r="AZ80" i="7"/>
  <c r="BA80" i="7"/>
  <c r="BF80" i="7"/>
  <c r="DJ80" i="7" s="1"/>
  <c r="BG80" i="7"/>
  <c r="BE80" i="7" s="1"/>
  <c r="BJ80" i="7"/>
  <c r="BK80" i="7"/>
  <c r="BL80" i="7"/>
  <c r="BM80" i="7"/>
  <c r="BS80" i="7"/>
  <c r="BT80" i="7"/>
  <c r="BU80" i="7"/>
  <c r="BC80" i="7" s="1"/>
  <c r="BY80" i="7"/>
  <c r="BZ80" i="7"/>
  <c r="CF80" i="7"/>
  <c r="CG80" i="7"/>
  <c r="CK80" i="7"/>
  <c r="AE80" i="7" s="1"/>
  <c r="CL80" i="7"/>
  <c r="B81" i="7"/>
  <c r="C81" i="7"/>
  <c r="BI81" i="7" s="1"/>
  <c r="BX76" i="10" s="1"/>
  <c r="D81" i="7"/>
  <c r="BB81" i="7" s="1"/>
  <c r="BT76" i="10" s="1"/>
  <c r="F81" i="7"/>
  <c r="I81" i="7"/>
  <c r="H81" i="7" s="1"/>
  <c r="L81" i="7"/>
  <c r="DI81" i="7" s="1"/>
  <c r="N81" i="7"/>
  <c r="T81" i="7"/>
  <c r="V81" i="7"/>
  <c r="Y81" i="7"/>
  <c r="AD81" i="7"/>
  <c r="AO81" i="7"/>
  <c r="AU81" i="7" s="1"/>
  <c r="AP81" i="7"/>
  <c r="AQ81" i="7"/>
  <c r="AZ81" i="7"/>
  <c r="BA81" i="7"/>
  <c r="BF81" i="7"/>
  <c r="BD81" i="7" s="1"/>
  <c r="BG81" i="7"/>
  <c r="BE81" i="7" s="1"/>
  <c r="BJ81" i="7"/>
  <c r="BK81" i="7"/>
  <c r="BL81" i="7"/>
  <c r="BM81" i="7"/>
  <c r="BS81" i="7"/>
  <c r="BT81" i="7"/>
  <c r="BU81" i="7"/>
  <c r="BC81" i="7" s="1"/>
  <c r="AV76" i="10" s="1"/>
  <c r="BY81" i="7"/>
  <c r="BZ81" i="7"/>
  <c r="CF81" i="7"/>
  <c r="CG81" i="7"/>
  <c r="CK81" i="7"/>
  <c r="AE81" i="7" s="1"/>
  <c r="CL81" i="7"/>
  <c r="B82" i="7"/>
  <c r="C82" i="7"/>
  <c r="BI82" i="7" s="1"/>
  <c r="BX77" i="10" s="1"/>
  <c r="D82" i="7"/>
  <c r="BH82" i="7" s="1"/>
  <c r="F82" i="7"/>
  <c r="I82" i="7"/>
  <c r="H82" i="7" s="1"/>
  <c r="L82" i="7"/>
  <c r="N82" i="7"/>
  <c r="T82" i="7"/>
  <c r="V82" i="7"/>
  <c r="Y82" i="7"/>
  <c r="AD82" i="7"/>
  <c r="AO82" i="7"/>
  <c r="AU82" i="7" s="1"/>
  <c r="AP82" i="7"/>
  <c r="AQ82" i="7"/>
  <c r="AZ82" i="7"/>
  <c r="BA82" i="7"/>
  <c r="BF82" i="7"/>
  <c r="DJ82" i="7" s="1"/>
  <c r="BG82" i="7"/>
  <c r="BE82" i="7" s="1"/>
  <c r="BJ82" i="7"/>
  <c r="BK82" i="7"/>
  <c r="BL82" i="7"/>
  <c r="BM82" i="7"/>
  <c r="BS82" i="7"/>
  <c r="BT82" i="7"/>
  <c r="BU82" i="7"/>
  <c r="BC82" i="7" s="1"/>
  <c r="AV77" i="10" s="1"/>
  <c r="BY82" i="7"/>
  <c r="BZ82" i="7"/>
  <c r="CF82" i="7"/>
  <c r="CG82" i="7"/>
  <c r="CK82" i="7"/>
  <c r="CL82" i="7"/>
  <c r="AJ77" i="10" l="1"/>
  <c r="AF77" i="10"/>
  <c r="AF75" i="10"/>
  <c r="AJ75" i="10"/>
  <c r="K68" i="9"/>
  <c r="DH76" i="10"/>
  <c r="K69" i="9"/>
  <c r="DH77" i="10"/>
  <c r="DH75" i="10"/>
  <c r="K67" i="9"/>
  <c r="BD80" i="7"/>
  <c r="DJ81" i="7"/>
  <c r="DM82" i="7"/>
  <c r="DM80" i="7"/>
  <c r="DM81" i="7"/>
  <c r="CS82" i="7"/>
  <c r="BB80" i="7"/>
  <c r="BT75" i="10" s="1"/>
  <c r="BH81" i="7"/>
  <c r="CQ81" i="7"/>
  <c r="CU81" i="7" s="1"/>
  <c r="W80" i="7"/>
  <c r="BB82" i="7"/>
  <c r="BT77" i="10" s="1"/>
  <c r="CQ80" i="7"/>
  <c r="CU80" i="7" s="1"/>
  <c r="CT82" i="7"/>
  <c r="CR80" i="7"/>
  <c r="O80" i="7"/>
  <c r="CR82" i="7"/>
  <c r="CQ82" i="7"/>
  <c r="CU82" i="7" s="1"/>
  <c r="P80" i="7"/>
  <c r="AJ81" i="7"/>
  <c r="AF81" i="7"/>
  <c r="AH81" i="7" s="1"/>
  <c r="AK81" i="7"/>
  <c r="AG81" i="7"/>
  <c r="AE82" i="7"/>
  <c r="CT80" i="7"/>
  <c r="CT81" i="7"/>
  <c r="P81" i="7"/>
  <c r="O81" i="7"/>
  <c r="AV81" i="7"/>
  <c r="AW81" i="7" s="1"/>
  <c r="BL76" i="10" s="1"/>
  <c r="P82" i="7"/>
  <c r="W81" i="7"/>
  <c r="AJ80" i="7"/>
  <c r="AF80" i="7"/>
  <c r="AH80" i="7" s="1"/>
  <c r="AK80" i="7"/>
  <c r="AV82" i="7"/>
  <c r="AW82" i="7" s="1"/>
  <c r="BL77" i="10" s="1"/>
  <c r="AV80" i="7"/>
  <c r="AW80" i="7" s="1"/>
  <c r="BL75" i="10" s="1"/>
  <c r="DI82" i="7"/>
  <c r="O82" i="7"/>
  <c r="CS80" i="7"/>
  <c r="H80" i="7"/>
  <c r="CS81" i="7"/>
  <c r="BD82" i="7"/>
  <c r="W82" i="7"/>
  <c r="CR81" i="7"/>
  <c r="AG80" i="7" l="1"/>
  <c r="AI80" i="7" s="1"/>
  <c r="AL80" i="7" s="1"/>
  <c r="CV82" i="7"/>
  <c r="CW82" i="7" s="1"/>
  <c r="S82" i="7" s="1"/>
  <c r="AG82" i="7"/>
  <c r="AI81" i="7"/>
  <c r="AL81" i="7" s="1"/>
  <c r="CV80" i="7"/>
  <c r="CW80" i="7" s="1"/>
  <c r="AJ82" i="7"/>
  <c r="AF82" i="7"/>
  <c r="AH82" i="7" s="1"/>
  <c r="AK82" i="7"/>
  <c r="AX81" i="7"/>
  <c r="DN81" i="7"/>
  <c r="DP81" i="7" s="1"/>
  <c r="E81" i="7" s="1"/>
  <c r="U81" i="7" s="1"/>
  <c r="AX82" i="7"/>
  <c r="DN82" i="7"/>
  <c r="DP82" i="7" s="1"/>
  <c r="E82" i="7" s="1"/>
  <c r="U82" i="7" s="1"/>
  <c r="AX80" i="7"/>
  <c r="DN80" i="7"/>
  <c r="DP80" i="7" s="1"/>
  <c r="E80" i="7" s="1"/>
  <c r="U80" i="7" s="1"/>
  <c r="CV81" i="7"/>
  <c r="L77" i="10" l="1"/>
  <c r="W77" i="10"/>
  <c r="L76" i="10"/>
  <c r="W76" i="10"/>
  <c r="L75" i="10"/>
  <c r="W75" i="10"/>
  <c r="AI82" i="7"/>
  <c r="AL82" i="7" s="1"/>
  <c r="S80" i="7"/>
  <c r="CW81" i="7"/>
  <c r="S81" i="7" s="1"/>
  <c r="AA77" i="10" l="1"/>
  <c r="X77" i="10"/>
  <c r="AA79" i="10"/>
  <c r="AE79" i="10" s="1"/>
  <c r="X79" i="10"/>
  <c r="X80" i="10"/>
  <c r="AA80" i="10"/>
  <c r="AE80" i="10" s="1"/>
  <c r="AA78" i="10"/>
  <c r="X78" i="10"/>
  <c r="AE78" i="10" l="1"/>
  <c r="AI78" i="10" s="1"/>
  <c r="AM78" i="10" s="1"/>
  <c r="AE77" i="10"/>
  <c r="AI77" i="10" s="1"/>
  <c r="AM77" i="10" s="1"/>
  <c r="AI80" i="10"/>
  <c r="AM80" i="10" s="1"/>
  <c r="AI79" i="10"/>
  <c r="AM79" i="10" s="1"/>
  <c r="AN79" i="10" s="1"/>
  <c r="AN77" i="10" l="1"/>
  <c r="AP77" i="10"/>
  <c r="AQ77" i="10"/>
  <c r="AR77" i="10" s="1"/>
  <c r="AN78" i="10"/>
  <c r="AP78" i="10"/>
  <c r="AQ78" i="10"/>
  <c r="AR78" i="10" s="1"/>
  <c r="AQ80" i="10"/>
  <c r="AR80" i="10" s="1"/>
  <c r="AN80" i="10"/>
  <c r="AP80" i="10"/>
  <c r="AT77" i="10"/>
  <c r="AP79" i="10"/>
  <c r="AQ79" i="10"/>
  <c r="AR79" i="10" s="1"/>
  <c r="AU77" i="10" l="1"/>
  <c r="AY77" i="10" s="1"/>
  <c r="AZ77" i="10" s="1"/>
  <c r="AU78" i="10"/>
  <c r="AY78" i="10" s="1"/>
  <c r="AZ78" i="10" s="1"/>
  <c r="AT78" i="10"/>
  <c r="AT80" i="10"/>
  <c r="AU80" i="10"/>
  <c r="AV80" i="10" s="1"/>
  <c r="AT79" i="10"/>
  <c r="AU79" i="10"/>
  <c r="CA77" i="10" l="1"/>
  <c r="CD77" i="10" s="1"/>
  <c r="AY80" i="10"/>
  <c r="AZ80" i="10" s="1"/>
  <c r="CA80" i="10"/>
  <c r="CE80" i="10" s="1"/>
  <c r="CA78" i="10"/>
  <c r="CD78" i="10" s="1"/>
  <c r="BC77" i="10"/>
  <c r="BG77" i="10" s="1"/>
  <c r="BK77" i="10" s="1"/>
  <c r="BO77" i="10" s="1"/>
  <c r="BS77" i="10" s="1"/>
  <c r="BW77" i="10" s="1"/>
  <c r="AY79" i="10"/>
  <c r="AZ79" i="10" s="1"/>
  <c r="CA79" i="10"/>
  <c r="BC78" i="10"/>
  <c r="BG78" i="10" s="1"/>
  <c r="BK78" i="10" s="1"/>
  <c r="BO78" i="10" s="1"/>
  <c r="BS78" i="10" s="1"/>
  <c r="BW78" i="10" s="1"/>
  <c r="CE77" i="10" l="1"/>
  <c r="CD80" i="10"/>
  <c r="BC80" i="10"/>
  <c r="BG80" i="10" s="1"/>
  <c r="BK80" i="10" s="1"/>
  <c r="BO80" i="10" s="1"/>
  <c r="BS80" i="10" s="1"/>
  <c r="BW80" i="10" s="1"/>
  <c r="CE78" i="10"/>
  <c r="CH78" i="10" s="1"/>
  <c r="CI80" i="10"/>
  <c r="CH80" i="10"/>
  <c r="CD79" i="10"/>
  <c r="CE79" i="10"/>
  <c r="BC79" i="10"/>
  <c r="BG79" i="10" s="1"/>
  <c r="BK79" i="10" s="1"/>
  <c r="BO79" i="10" s="1"/>
  <c r="BS79" i="10" s="1"/>
  <c r="BW79" i="10" s="1"/>
  <c r="CH77" i="10"/>
  <c r="CI77" i="10"/>
  <c r="CI78" i="10" l="1"/>
  <c r="CM78" i="10" s="1"/>
  <c r="CL77" i="10"/>
  <c r="CM77" i="10"/>
  <c r="CH79" i="10"/>
  <c r="CI79" i="10"/>
  <c r="CL80" i="10"/>
  <c r="CM80" i="10"/>
  <c r="CL78" i="10" l="1"/>
  <c r="CP78" i="10"/>
  <c r="CQ78" i="10"/>
  <c r="CQ80" i="10"/>
  <c r="CP80" i="10"/>
  <c r="CL79" i="10"/>
  <c r="CM79" i="10"/>
  <c r="CQ77" i="10"/>
  <c r="CP77" i="10"/>
  <c r="CT77" i="10" l="1"/>
  <c r="CU77" i="10"/>
  <c r="CQ79" i="10"/>
  <c r="CP79" i="10"/>
  <c r="CT80" i="10"/>
  <c r="CU80" i="10"/>
  <c r="CT78" i="10"/>
  <c r="CU78" i="10"/>
  <c r="CX78" i="10" l="1"/>
  <c r="CY78" i="10"/>
  <c r="CY80" i="10"/>
  <c r="CX80" i="10"/>
  <c r="CU79" i="10"/>
  <c r="CT79" i="10"/>
  <c r="CY77" i="10"/>
  <c r="CX77" i="10"/>
  <c r="DB77" i="10" l="1"/>
  <c r="DC77" i="10"/>
  <c r="DF77" i="10" s="1"/>
  <c r="DG77" i="10" s="1"/>
  <c r="CX79" i="10"/>
  <c r="CY79" i="10"/>
  <c r="DB80" i="10"/>
  <c r="DC80" i="10"/>
  <c r="DF80" i="10" s="1"/>
  <c r="DG80" i="10" s="1"/>
  <c r="DB78" i="10"/>
  <c r="DC78" i="10"/>
  <c r="DF78" i="10" s="1"/>
  <c r="DG78" i="10" s="1"/>
  <c r="DB79" i="10" l="1"/>
  <c r="DC79" i="10"/>
  <c r="DF79" i="10" s="1"/>
  <c r="DG79" i="10" s="1"/>
  <c r="H90" i="8" l="1"/>
  <c r="AZ68" i="39" l="1"/>
  <c r="AZ67" i="39"/>
  <c r="AZ66" i="39"/>
  <c r="AZ65" i="39"/>
  <c r="AZ64" i="39"/>
  <c r="AZ63" i="39"/>
  <c r="AZ62" i="39"/>
  <c r="AZ61" i="39"/>
  <c r="AZ60" i="39"/>
  <c r="AZ59" i="39"/>
  <c r="AZ58" i="39"/>
  <c r="AZ56" i="39"/>
  <c r="AZ55" i="39"/>
  <c r="AZ54" i="39"/>
  <c r="AZ53" i="39"/>
  <c r="AZ52" i="39"/>
  <c r="AZ51" i="39"/>
  <c r="AZ50" i="39"/>
  <c r="AZ49" i="39"/>
  <c r="AZ48" i="39"/>
  <c r="AZ47" i="39"/>
  <c r="AZ46" i="39"/>
  <c r="AZ45" i="39"/>
  <c r="AZ44" i="39"/>
  <c r="AZ43" i="39"/>
  <c r="AZ42" i="39"/>
  <c r="AZ41" i="39"/>
  <c r="AZ40" i="39"/>
  <c r="AZ39" i="39"/>
  <c r="AZ38" i="39"/>
  <c r="AZ37" i="39"/>
  <c r="AZ36" i="39"/>
  <c r="AZ35" i="39"/>
  <c r="AZ34" i="39"/>
  <c r="AZ33" i="39"/>
  <c r="AZ32" i="39"/>
  <c r="AZ31" i="39"/>
  <c r="AZ30" i="39"/>
  <c r="AZ29" i="39"/>
  <c r="AZ28" i="39"/>
  <c r="AZ27" i="39"/>
  <c r="AZ26" i="39"/>
  <c r="AZ25" i="39"/>
  <c r="AZ24" i="39"/>
  <c r="AZ23" i="39"/>
  <c r="AZ22" i="39"/>
  <c r="AZ21" i="39"/>
  <c r="AZ20" i="39"/>
  <c r="AZ19" i="39"/>
  <c r="AZ18" i="39"/>
  <c r="AZ17" i="39"/>
  <c r="AZ16" i="39"/>
  <c r="AZ15" i="39"/>
  <c r="AZ14" i="39"/>
  <c r="AZ13" i="39"/>
  <c r="AZ12" i="39"/>
  <c r="AZ11" i="39"/>
  <c r="AZ10" i="39"/>
  <c r="AZ9" i="39"/>
  <c r="AZ8" i="39"/>
  <c r="AZ7" i="39"/>
  <c r="AZ6" i="39"/>
  <c r="Q1" i="8" l="1"/>
  <c r="F74" i="7" l="1"/>
  <c r="F75" i="7"/>
  <c r="F76" i="7"/>
  <c r="F77" i="7"/>
  <c r="F78" i="7"/>
  <c r="CK79" i="7"/>
  <c r="AE79" i="7" s="1"/>
  <c r="AJ79" i="7" s="1"/>
  <c r="CK78" i="7"/>
  <c r="AE78" i="7" s="1"/>
  <c r="CK77" i="7"/>
  <c r="AE77" i="7" s="1"/>
  <c r="CK76" i="7"/>
  <c r="AE76" i="7" s="1"/>
  <c r="CK75" i="7"/>
  <c r="AE75" i="7" s="1"/>
  <c r="CK74" i="7"/>
  <c r="CK73" i="7"/>
  <c r="CK72" i="7"/>
  <c r="CK71" i="7"/>
  <c r="CK70" i="7"/>
  <c r="CK69" i="7"/>
  <c r="CK68" i="7"/>
  <c r="CK67" i="7"/>
  <c r="CK66" i="7"/>
  <c r="CK65" i="7"/>
  <c r="CK64" i="7"/>
  <c r="CK63" i="7"/>
  <c r="CK62" i="7"/>
  <c r="CK61" i="7"/>
  <c r="CK60" i="7"/>
  <c r="CK59" i="7"/>
  <c r="CK58" i="7"/>
  <c r="CK57" i="7"/>
  <c r="CK56" i="7"/>
  <c r="CK55" i="7"/>
  <c r="CK54" i="7"/>
  <c r="CK53" i="7"/>
  <c r="CK52" i="7"/>
  <c r="CK51" i="7"/>
  <c r="CK50" i="7"/>
  <c r="CK49" i="7"/>
  <c r="CK48" i="7"/>
  <c r="CK47" i="7"/>
  <c r="CK46" i="7"/>
  <c r="CK45" i="7"/>
  <c r="CK44" i="7"/>
  <c r="CK43" i="7"/>
  <c r="CK42" i="7"/>
  <c r="CK41" i="7"/>
  <c r="CK40" i="7"/>
  <c r="CK39" i="7"/>
  <c r="CK38" i="7"/>
  <c r="CK37" i="7"/>
  <c r="CK36" i="7"/>
  <c r="CK35" i="7"/>
  <c r="CK34" i="7"/>
  <c r="CK33" i="7"/>
  <c r="CK32" i="7"/>
  <c r="CK31" i="7"/>
  <c r="CK30" i="7"/>
  <c r="CK29" i="7"/>
  <c r="CK28" i="7"/>
  <c r="CK27" i="7"/>
  <c r="CK26" i="7"/>
  <c r="CK25" i="7"/>
  <c r="CK24" i="7"/>
  <c r="CK23" i="7"/>
  <c r="CK22" i="7"/>
  <c r="CK21" i="7"/>
  <c r="CK20" i="7"/>
  <c r="CK19" i="7"/>
  <c r="CK18" i="7"/>
  <c r="CG79" i="7"/>
  <c r="CF79" i="7"/>
  <c r="CG78" i="7"/>
  <c r="CF78" i="7"/>
  <c r="CG77" i="7"/>
  <c r="CF77" i="7"/>
  <c r="CG76" i="7"/>
  <c r="CF76" i="7"/>
  <c r="CG75" i="7"/>
  <c r="CF75" i="7"/>
  <c r="CG74" i="7"/>
  <c r="CF74" i="7"/>
  <c r="CG73" i="7"/>
  <c r="CF73" i="7"/>
  <c r="CG72" i="7"/>
  <c r="CF72" i="7"/>
  <c r="CG71" i="7"/>
  <c r="CF71" i="7"/>
  <c r="CG70" i="7"/>
  <c r="CF70" i="7"/>
  <c r="CG69" i="7"/>
  <c r="CF69" i="7"/>
  <c r="CG68" i="7"/>
  <c r="CF68" i="7"/>
  <c r="CG67" i="7"/>
  <c r="CF67" i="7"/>
  <c r="CG66" i="7"/>
  <c r="CF66" i="7"/>
  <c r="CG65" i="7"/>
  <c r="CF65" i="7"/>
  <c r="CG64" i="7"/>
  <c r="CF64" i="7"/>
  <c r="CG63" i="7"/>
  <c r="CF63" i="7"/>
  <c r="CG62" i="7"/>
  <c r="CF62" i="7"/>
  <c r="CG61" i="7"/>
  <c r="CF61" i="7"/>
  <c r="CG60" i="7"/>
  <c r="CF60" i="7"/>
  <c r="CG59" i="7"/>
  <c r="CF59" i="7"/>
  <c r="CG58" i="7"/>
  <c r="CF58" i="7"/>
  <c r="CG57" i="7"/>
  <c r="CF57" i="7"/>
  <c r="CG56" i="7"/>
  <c r="CF56" i="7"/>
  <c r="CG55" i="7"/>
  <c r="CF55" i="7"/>
  <c r="CG54" i="7"/>
  <c r="CF54" i="7"/>
  <c r="CG53" i="7"/>
  <c r="CF53" i="7"/>
  <c r="CG52" i="7"/>
  <c r="CF52" i="7"/>
  <c r="CG51" i="7"/>
  <c r="CF51" i="7"/>
  <c r="CG50" i="7"/>
  <c r="CF50" i="7"/>
  <c r="CG49" i="7"/>
  <c r="CF49" i="7"/>
  <c r="CG48" i="7"/>
  <c r="CF48" i="7"/>
  <c r="CG47" i="7"/>
  <c r="CF47" i="7"/>
  <c r="CG46" i="7"/>
  <c r="CF46" i="7"/>
  <c r="CG45" i="7"/>
  <c r="CF45" i="7"/>
  <c r="CG44" i="7"/>
  <c r="CF44" i="7"/>
  <c r="CG43" i="7"/>
  <c r="CF43" i="7"/>
  <c r="CG42" i="7"/>
  <c r="CF42" i="7"/>
  <c r="CG41" i="7"/>
  <c r="CF41" i="7"/>
  <c r="CG40" i="7"/>
  <c r="CF40" i="7"/>
  <c r="CG39" i="7"/>
  <c r="CF39" i="7"/>
  <c r="CG38" i="7"/>
  <c r="CF38" i="7"/>
  <c r="CG37" i="7"/>
  <c r="CF37" i="7"/>
  <c r="CG36" i="7"/>
  <c r="CF36" i="7"/>
  <c r="CG35" i="7"/>
  <c r="CF35" i="7"/>
  <c r="CG34" i="7"/>
  <c r="CF34" i="7"/>
  <c r="CG33" i="7"/>
  <c r="CF33" i="7"/>
  <c r="CG32" i="7"/>
  <c r="CF32" i="7"/>
  <c r="CG31" i="7"/>
  <c r="CF31" i="7"/>
  <c r="CG30" i="7"/>
  <c r="CF30" i="7"/>
  <c r="CG29" i="7"/>
  <c r="CF29" i="7"/>
  <c r="CG28" i="7"/>
  <c r="CF28" i="7"/>
  <c r="CG27" i="7"/>
  <c r="CF27" i="7"/>
  <c r="CG26" i="7"/>
  <c r="CF26" i="7"/>
  <c r="CG25" i="7"/>
  <c r="CF25" i="7"/>
  <c r="CG24" i="7"/>
  <c r="CF24" i="7"/>
  <c r="CG23" i="7"/>
  <c r="CF23" i="7"/>
  <c r="CG22" i="7"/>
  <c r="CF22" i="7"/>
  <c r="CG21" i="7"/>
  <c r="CF21" i="7"/>
  <c r="CG20" i="7"/>
  <c r="CF20" i="7"/>
  <c r="CG19" i="7"/>
  <c r="CF19" i="7"/>
  <c r="CG18" i="7"/>
  <c r="CF18" i="7"/>
  <c r="BZ79" i="7"/>
  <c r="BZ78" i="7"/>
  <c r="BZ77" i="7"/>
  <c r="BZ76" i="7"/>
  <c r="BZ75" i="7"/>
  <c r="BZ74" i="7"/>
  <c r="BZ73" i="7"/>
  <c r="BZ72" i="7"/>
  <c r="BZ71" i="7"/>
  <c r="BZ70" i="7"/>
  <c r="BZ69" i="7"/>
  <c r="BZ68" i="7"/>
  <c r="BZ67" i="7"/>
  <c r="BZ66" i="7"/>
  <c r="BZ65" i="7"/>
  <c r="BZ64" i="7"/>
  <c r="BZ63" i="7"/>
  <c r="BZ62" i="7"/>
  <c r="BZ61" i="7"/>
  <c r="BZ60" i="7"/>
  <c r="BZ59" i="7"/>
  <c r="BZ58" i="7"/>
  <c r="BZ57" i="7"/>
  <c r="BZ56" i="7"/>
  <c r="BZ55" i="7"/>
  <c r="BZ54" i="7"/>
  <c r="BZ53" i="7"/>
  <c r="BZ52" i="7"/>
  <c r="BZ51" i="7"/>
  <c r="BZ50" i="7"/>
  <c r="BZ49" i="7"/>
  <c r="BZ48" i="7"/>
  <c r="BZ47" i="7"/>
  <c r="BZ46" i="7"/>
  <c r="BZ45" i="7"/>
  <c r="BZ44" i="7"/>
  <c r="BZ43" i="7"/>
  <c r="BZ42" i="7"/>
  <c r="BZ41" i="7"/>
  <c r="BZ40" i="7"/>
  <c r="BZ39" i="7"/>
  <c r="BZ38" i="7"/>
  <c r="BZ37" i="7"/>
  <c r="BZ36" i="7"/>
  <c r="BZ35" i="7"/>
  <c r="BZ34" i="7"/>
  <c r="BZ33" i="7"/>
  <c r="BZ32" i="7"/>
  <c r="BZ31" i="7"/>
  <c r="BZ30" i="7"/>
  <c r="BZ29" i="7"/>
  <c r="BZ28" i="7"/>
  <c r="BZ27" i="7"/>
  <c r="BZ26" i="7"/>
  <c r="BZ25" i="7"/>
  <c r="BZ24" i="7"/>
  <c r="BZ23" i="7"/>
  <c r="BZ22" i="7"/>
  <c r="BZ21" i="7"/>
  <c r="BZ20" i="7"/>
  <c r="BZ19" i="7"/>
  <c r="BZ18" i="7"/>
  <c r="BY79" i="7"/>
  <c r="BY78" i="7"/>
  <c r="AJ73" i="10" s="1"/>
  <c r="BY77" i="7"/>
  <c r="BY76" i="7"/>
  <c r="BY75" i="7"/>
  <c r="BY74" i="7"/>
  <c r="BY73" i="7"/>
  <c r="AJ68" i="10" s="1"/>
  <c r="BY72" i="7"/>
  <c r="BY71" i="7"/>
  <c r="BY70" i="7"/>
  <c r="BY69" i="7"/>
  <c r="BY68" i="7"/>
  <c r="BY67" i="7"/>
  <c r="BY66" i="7"/>
  <c r="BY65" i="7"/>
  <c r="BY64" i="7"/>
  <c r="BY63" i="7"/>
  <c r="BY62" i="7"/>
  <c r="BY61" i="7"/>
  <c r="BY60" i="7"/>
  <c r="BY59" i="7"/>
  <c r="BY58" i="7"/>
  <c r="BY57" i="7"/>
  <c r="BY56" i="7"/>
  <c r="BY55" i="7"/>
  <c r="BY54" i="7"/>
  <c r="BY53" i="7"/>
  <c r="BY52" i="7"/>
  <c r="BY51" i="7"/>
  <c r="AJ46" i="10" s="1"/>
  <c r="BY50" i="7"/>
  <c r="BY49" i="7"/>
  <c r="BY48" i="7"/>
  <c r="BY47" i="7"/>
  <c r="BY46" i="7"/>
  <c r="BY45" i="7"/>
  <c r="BY44" i="7"/>
  <c r="BY43" i="7"/>
  <c r="BY42" i="7"/>
  <c r="BY41" i="7"/>
  <c r="BY40" i="7"/>
  <c r="BY39" i="7"/>
  <c r="BY38" i="7"/>
  <c r="BY37" i="7"/>
  <c r="BY36" i="7"/>
  <c r="AJ31" i="10" s="1"/>
  <c r="BY35" i="7"/>
  <c r="BY34" i="7"/>
  <c r="BY33" i="7"/>
  <c r="BY32" i="7"/>
  <c r="BY31" i="7"/>
  <c r="BY30" i="7"/>
  <c r="BY29" i="7"/>
  <c r="BY28" i="7"/>
  <c r="BY27" i="7"/>
  <c r="BY26" i="7"/>
  <c r="AJ21" i="10" s="1"/>
  <c r="BY25" i="7"/>
  <c r="BY24" i="7"/>
  <c r="BY23" i="7"/>
  <c r="BY22" i="7"/>
  <c r="BY21" i="7"/>
  <c r="BY20" i="7"/>
  <c r="BY19" i="7"/>
  <c r="BY18" i="7"/>
  <c r="BU79" i="7"/>
  <c r="BC79" i="7" s="1"/>
  <c r="AV74" i="10" s="1"/>
  <c r="BT79" i="7"/>
  <c r="BU78" i="7"/>
  <c r="BC78" i="7" s="1"/>
  <c r="AV73" i="10" s="1"/>
  <c r="BT78" i="7"/>
  <c r="BU77" i="7"/>
  <c r="BC77" i="7" s="1"/>
  <c r="AV72" i="10" s="1"/>
  <c r="BT77" i="7"/>
  <c r="BU76" i="7"/>
  <c r="BC76" i="7" s="1"/>
  <c r="AV71" i="10" s="1"/>
  <c r="BT76" i="7"/>
  <c r="BU75" i="7"/>
  <c r="BC75" i="7" s="1"/>
  <c r="AV70" i="10" s="1"/>
  <c r="BT75" i="7"/>
  <c r="BU74" i="7"/>
  <c r="BT74" i="7"/>
  <c r="BU73" i="7"/>
  <c r="BT73" i="7"/>
  <c r="BU72" i="7"/>
  <c r="BT72" i="7"/>
  <c r="BU71" i="7"/>
  <c r="BT71" i="7"/>
  <c r="BU70" i="7"/>
  <c r="BT70" i="7"/>
  <c r="BU69" i="7"/>
  <c r="BT69" i="7"/>
  <c r="BU68" i="7"/>
  <c r="BT68" i="7"/>
  <c r="BU67" i="7"/>
  <c r="BT67" i="7"/>
  <c r="BU66" i="7"/>
  <c r="BT66" i="7"/>
  <c r="BU65" i="7"/>
  <c r="BT65" i="7"/>
  <c r="BU64" i="7"/>
  <c r="BT64" i="7"/>
  <c r="BU63" i="7"/>
  <c r="BT63" i="7"/>
  <c r="BU62" i="7"/>
  <c r="BT62" i="7"/>
  <c r="BU61" i="7"/>
  <c r="BT61" i="7"/>
  <c r="BU60" i="7"/>
  <c r="BT60" i="7"/>
  <c r="BU59" i="7"/>
  <c r="BT59" i="7"/>
  <c r="BU58" i="7"/>
  <c r="BT58" i="7"/>
  <c r="BU57" i="7"/>
  <c r="BT57" i="7"/>
  <c r="BU56" i="7"/>
  <c r="BT56" i="7"/>
  <c r="BU55" i="7"/>
  <c r="BT55" i="7"/>
  <c r="BU54" i="7"/>
  <c r="BT54" i="7"/>
  <c r="BU53" i="7"/>
  <c r="BT53" i="7"/>
  <c r="BU52" i="7"/>
  <c r="BT52" i="7"/>
  <c r="BU51" i="7"/>
  <c r="BT51" i="7"/>
  <c r="BU50" i="7"/>
  <c r="BT50" i="7"/>
  <c r="BU49" i="7"/>
  <c r="BT49" i="7"/>
  <c r="BU48" i="7"/>
  <c r="BT48" i="7"/>
  <c r="BU47" i="7"/>
  <c r="BT47" i="7"/>
  <c r="BU46" i="7"/>
  <c r="BT46" i="7"/>
  <c r="BU45" i="7"/>
  <c r="BT45" i="7"/>
  <c r="BU44" i="7"/>
  <c r="BT44" i="7"/>
  <c r="BU43" i="7"/>
  <c r="BT43" i="7"/>
  <c r="BU42" i="7"/>
  <c r="BT42" i="7"/>
  <c r="BU41" i="7"/>
  <c r="BT41" i="7"/>
  <c r="BU40" i="7"/>
  <c r="BT40" i="7"/>
  <c r="BU39" i="7"/>
  <c r="BT39" i="7"/>
  <c r="BU38" i="7"/>
  <c r="BT38" i="7"/>
  <c r="BU37" i="7"/>
  <c r="BT37" i="7"/>
  <c r="BU36" i="7"/>
  <c r="BT36" i="7"/>
  <c r="BU35" i="7"/>
  <c r="BT35" i="7"/>
  <c r="BU34" i="7"/>
  <c r="BT34" i="7"/>
  <c r="BU33" i="7"/>
  <c r="BT33" i="7"/>
  <c r="BU32" i="7"/>
  <c r="BT32" i="7"/>
  <c r="BU31" i="7"/>
  <c r="BT31" i="7"/>
  <c r="BU30" i="7"/>
  <c r="BT30" i="7"/>
  <c r="BU29" i="7"/>
  <c r="BT29" i="7"/>
  <c r="BU28" i="7"/>
  <c r="BT28" i="7"/>
  <c r="BU27" i="7"/>
  <c r="BT27" i="7"/>
  <c r="BU26" i="7"/>
  <c r="BT26" i="7"/>
  <c r="BU25" i="7"/>
  <c r="BT25" i="7"/>
  <c r="BU24" i="7"/>
  <c r="BT24" i="7"/>
  <c r="BU23" i="7"/>
  <c r="BT23" i="7"/>
  <c r="BU22" i="7"/>
  <c r="BT22" i="7"/>
  <c r="BU21" i="7"/>
  <c r="BT21" i="7"/>
  <c r="BU20" i="7"/>
  <c r="BT20" i="7"/>
  <c r="BU19" i="7"/>
  <c r="BT19" i="7"/>
  <c r="BU18" i="7"/>
  <c r="BT18" i="7"/>
  <c r="BS79" i="7"/>
  <c r="BS78" i="7"/>
  <c r="BS77" i="7"/>
  <c r="BS76" i="7"/>
  <c r="BS75" i="7"/>
  <c r="BS74" i="7"/>
  <c r="BS73" i="7"/>
  <c r="BS72" i="7"/>
  <c r="BS71" i="7"/>
  <c r="BS70" i="7"/>
  <c r="BS69" i="7"/>
  <c r="BS68" i="7"/>
  <c r="BS67" i="7"/>
  <c r="BS66" i="7"/>
  <c r="BS65" i="7"/>
  <c r="BS64" i="7"/>
  <c r="BS63" i="7"/>
  <c r="BS62" i="7"/>
  <c r="BS61" i="7"/>
  <c r="BS60" i="7"/>
  <c r="BS59" i="7"/>
  <c r="BS58" i="7"/>
  <c r="BS57" i="7"/>
  <c r="BS56" i="7"/>
  <c r="BS55" i="7"/>
  <c r="BS54" i="7"/>
  <c r="BS53" i="7"/>
  <c r="BS52" i="7"/>
  <c r="BS51" i="7"/>
  <c r="BS50" i="7"/>
  <c r="BS49" i="7"/>
  <c r="BS48" i="7"/>
  <c r="BS47" i="7"/>
  <c r="BS46" i="7"/>
  <c r="BS45" i="7"/>
  <c r="BS44" i="7"/>
  <c r="BS43" i="7"/>
  <c r="BS42" i="7"/>
  <c r="BS41" i="7"/>
  <c r="BS40" i="7"/>
  <c r="BS39" i="7"/>
  <c r="BS38" i="7"/>
  <c r="BS37" i="7"/>
  <c r="BS36" i="7"/>
  <c r="BS35" i="7"/>
  <c r="BS34" i="7"/>
  <c r="BS33" i="7"/>
  <c r="BS32" i="7"/>
  <c r="BS31" i="7"/>
  <c r="BS30" i="7"/>
  <c r="BS29" i="7"/>
  <c r="BS28" i="7"/>
  <c r="BS27" i="7"/>
  <c r="BS26" i="7"/>
  <c r="BS24" i="7"/>
  <c r="BS23" i="7"/>
  <c r="BS22" i="7"/>
  <c r="BS21" i="7"/>
  <c r="BS20" i="7"/>
  <c r="BS19" i="7"/>
  <c r="BS18" i="7"/>
  <c r="BM79" i="7"/>
  <c r="BM78" i="7"/>
  <c r="BM77" i="7"/>
  <c r="BM76" i="7"/>
  <c r="BM75" i="7"/>
  <c r="BM74" i="7"/>
  <c r="BM73" i="7"/>
  <c r="BM72" i="7"/>
  <c r="BM71" i="7"/>
  <c r="BM70" i="7"/>
  <c r="BM69" i="7"/>
  <c r="BM68" i="7"/>
  <c r="BM67" i="7"/>
  <c r="BM66" i="7"/>
  <c r="BM65" i="7"/>
  <c r="BM64" i="7"/>
  <c r="BM63" i="7"/>
  <c r="BM62" i="7"/>
  <c r="BM61" i="7"/>
  <c r="BM60" i="7"/>
  <c r="BM59" i="7"/>
  <c r="BM58" i="7"/>
  <c r="BM57" i="7"/>
  <c r="BM56" i="7"/>
  <c r="BM55" i="7"/>
  <c r="BM54" i="7"/>
  <c r="BM53" i="7"/>
  <c r="BM52" i="7"/>
  <c r="BM51" i="7"/>
  <c r="BM50" i="7"/>
  <c r="BM49" i="7"/>
  <c r="BM48" i="7"/>
  <c r="BM47" i="7"/>
  <c r="BM46" i="7"/>
  <c r="BM45" i="7"/>
  <c r="BM44" i="7"/>
  <c r="BM43" i="7"/>
  <c r="BM42" i="7"/>
  <c r="BM41" i="7"/>
  <c r="BM40" i="7"/>
  <c r="BM39" i="7"/>
  <c r="BM38" i="7"/>
  <c r="BM37" i="7"/>
  <c r="BM36" i="7"/>
  <c r="BM35" i="7"/>
  <c r="BM34" i="7"/>
  <c r="BM33" i="7"/>
  <c r="BM32" i="7"/>
  <c r="BM31" i="7"/>
  <c r="BM30" i="7"/>
  <c r="BM29" i="7"/>
  <c r="BM28" i="7"/>
  <c r="BM27" i="7"/>
  <c r="BM26" i="7"/>
  <c r="BM25" i="7"/>
  <c r="BM24" i="7"/>
  <c r="AB19" i="10" s="1"/>
  <c r="BM23" i="7"/>
  <c r="AB18" i="10" s="1"/>
  <c r="BM22" i="7"/>
  <c r="BM21" i="7"/>
  <c r="AB16" i="10" s="1"/>
  <c r="BM20" i="7"/>
  <c r="AB15" i="10" s="1"/>
  <c r="BM19" i="7"/>
  <c r="AB14" i="10" s="1"/>
  <c r="BM18" i="7"/>
  <c r="BL79" i="7"/>
  <c r="BL78" i="7"/>
  <c r="BL77" i="7"/>
  <c r="BL76" i="7"/>
  <c r="BL75" i="7"/>
  <c r="BK79" i="7"/>
  <c r="BK78" i="7"/>
  <c r="BK77" i="7"/>
  <c r="BK76" i="7"/>
  <c r="BK75" i="7"/>
  <c r="BG79" i="7"/>
  <c r="BE79" i="7" s="1"/>
  <c r="BG78" i="7"/>
  <c r="BE78" i="7" s="1"/>
  <c r="BG77" i="7"/>
  <c r="BE77" i="7" s="1"/>
  <c r="BG76" i="7"/>
  <c r="BE76" i="7" s="1"/>
  <c r="BG75" i="7"/>
  <c r="BE75" i="7" s="1"/>
  <c r="BF79" i="7"/>
  <c r="BD79" i="7" s="1"/>
  <c r="BF78" i="7"/>
  <c r="BD78" i="7" s="1"/>
  <c r="BF77" i="7"/>
  <c r="BD77" i="7" s="1"/>
  <c r="BF76" i="7"/>
  <c r="DJ76" i="7" s="1"/>
  <c r="BF75" i="7"/>
  <c r="BD75" i="7" s="1"/>
  <c r="BF74" i="7"/>
  <c r="BF73" i="7"/>
  <c r="BF72" i="7"/>
  <c r="BF71" i="7"/>
  <c r="BF70" i="7"/>
  <c r="BF69" i="7"/>
  <c r="BF68" i="7"/>
  <c r="BF67" i="7"/>
  <c r="BF66" i="7"/>
  <c r="BF65" i="7"/>
  <c r="BF64" i="7"/>
  <c r="BF63" i="7"/>
  <c r="BF62" i="7"/>
  <c r="BF61" i="7"/>
  <c r="BF60" i="7"/>
  <c r="BF59" i="7"/>
  <c r="BF58" i="7"/>
  <c r="BF57" i="7"/>
  <c r="BF56" i="7"/>
  <c r="BF55" i="7"/>
  <c r="BF54" i="7"/>
  <c r="BF53" i="7"/>
  <c r="BF52" i="7"/>
  <c r="BF51" i="7"/>
  <c r="BF50" i="7"/>
  <c r="BF49" i="7"/>
  <c r="BF48" i="7"/>
  <c r="BF47" i="7"/>
  <c r="BF46" i="7"/>
  <c r="BF45" i="7"/>
  <c r="BF44" i="7"/>
  <c r="BF43" i="7"/>
  <c r="BF42" i="7"/>
  <c r="BF41" i="7"/>
  <c r="BF40" i="7"/>
  <c r="BF39" i="7"/>
  <c r="BF38" i="7"/>
  <c r="BF37" i="7"/>
  <c r="BF36" i="7"/>
  <c r="BF35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BA48" i="7"/>
  <c r="BA47" i="7"/>
  <c r="BA46" i="7"/>
  <c r="BA45" i="7"/>
  <c r="BA44" i="7"/>
  <c r="BA43" i="7"/>
  <c r="BA42" i="7"/>
  <c r="BA41" i="7"/>
  <c r="BA40" i="7"/>
  <c r="BA39" i="7"/>
  <c r="BA38" i="7"/>
  <c r="BA37" i="7"/>
  <c r="BA36" i="7"/>
  <c r="BA35" i="7"/>
  <c r="BA34" i="7"/>
  <c r="BA33" i="7"/>
  <c r="BA32" i="7"/>
  <c r="BA31" i="7"/>
  <c r="BA30" i="7"/>
  <c r="BA29" i="7"/>
  <c r="BA28" i="7"/>
  <c r="BA27" i="7"/>
  <c r="BA26" i="7"/>
  <c r="BA25" i="7"/>
  <c r="BA24" i="7"/>
  <c r="BA23" i="7"/>
  <c r="BA22" i="7"/>
  <c r="BA21" i="7"/>
  <c r="BA20" i="7"/>
  <c r="BA19" i="7"/>
  <c r="BA18" i="7"/>
  <c r="AZ79" i="7"/>
  <c r="AZ78" i="7"/>
  <c r="AZ77" i="7"/>
  <c r="AZ76" i="7"/>
  <c r="AZ75" i="7"/>
  <c r="AQ79" i="7"/>
  <c r="AP79" i="7"/>
  <c r="AQ78" i="7"/>
  <c r="AP78" i="7"/>
  <c r="AQ77" i="7"/>
  <c r="AP77" i="7"/>
  <c r="AQ76" i="7"/>
  <c r="AP76" i="7"/>
  <c r="AQ75" i="7"/>
  <c r="AP75" i="7"/>
  <c r="AO79" i="7"/>
  <c r="AU79" i="7" s="1"/>
  <c r="AV79" i="7" s="1"/>
  <c r="AW79" i="7" s="1"/>
  <c r="BL74" i="10" s="1"/>
  <c r="AO78" i="7"/>
  <c r="AU78" i="7" s="1"/>
  <c r="AV78" i="7" s="1"/>
  <c r="AO77" i="7"/>
  <c r="AU77" i="7" s="1"/>
  <c r="AO76" i="7"/>
  <c r="AU76" i="7" s="1"/>
  <c r="AV76" i="7" s="1"/>
  <c r="AW76" i="7" s="1"/>
  <c r="BL71" i="10" s="1"/>
  <c r="AO75" i="7"/>
  <c r="AU75" i="7" s="1"/>
  <c r="AD75" i="7"/>
  <c r="AD76" i="7"/>
  <c r="AD77" i="7"/>
  <c r="AD78" i="7"/>
  <c r="AD79" i="7"/>
  <c r="Y75" i="7"/>
  <c r="Y76" i="7"/>
  <c r="Y77" i="7"/>
  <c r="Y78" i="7"/>
  <c r="Y79" i="7"/>
  <c r="CL79" i="7"/>
  <c r="CL78" i="7"/>
  <c r="CL77" i="7"/>
  <c r="CL76" i="7"/>
  <c r="CL75" i="7"/>
  <c r="V79" i="7"/>
  <c r="V78" i="7"/>
  <c r="V77" i="7"/>
  <c r="V76" i="7"/>
  <c r="V75" i="7"/>
  <c r="T79" i="7"/>
  <c r="T78" i="7"/>
  <c r="T77" i="7"/>
  <c r="T76" i="7"/>
  <c r="T75" i="7"/>
  <c r="N79" i="7"/>
  <c r="N78" i="7"/>
  <c r="N77" i="7"/>
  <c r="N76" i="7"/>
  <c r="N75" i="7"/>
  <c r="L79" i="7"/>
  <c r="DI79" i="7" s="1"/>
  <c r="L78" i="7"/>
  <c r="DI78" i="7" s="1"/>
  <c r="L77" i="7"/>
  <c r="L76" i="7"/>
  <c r="DI76" i="7" s="1"/>
  <c r="L75" i="7"/>
  <c r="I79" i="7"/>
  <c r="H79" i="7" s="1"/>
  <c r="I78" i="7"/>
  <c r="H78" i="7" s="1"/>
  <c r="I77" i="7"/>
  <c r="I76" i="7"/>
  <c r="H76" i="7" s="1"/>
  <c r="I75" i="7"/>
  <c r="H75" i="7" s="1"/>
  <c r="F79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DH18" i="10" s="1"/>
  <c r="F22" i="7"/>
  <c r="DH17" i="10" s="1"/>
  <c r="F21" i="7"/>
  <c r="DH16" i="10" s="1"/>
  <c r="F20" i="7"/>
  <c r="DH15" i="10" s="1"/>
  <c r="F19" i="7"/>
  <c r="DH14" i="10" s="1"/>
  <c r="F18" i="7"/>
  <c r="DH13" i="10" s="1"/>
  <c r="D75" i="7"/>
  <c r="BH75" i="7" s="1"/>
  <c r="D76" i="7"/>
  <c r="BB76" i="7" s="1"/>
  <c r="BT71" i="10" s="1"/>
  <c r="D77" i="7"/>
  <c r="BH77" i="7" s="1"/>
  <c r="D78" i="7"/>
  <c r="BB78" i="7" s="1"/>
  <c r="BT73" i="10" s="1"/>
  <c r="D79" i="7"/>
  <c r="BB79" i="7" s="1"/>
  <c r="BT74" i="10" s="1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B76" i="7"/>
  <c r="B77" i="7"/>
  <c r="B78" i="7"/>
  <c r="B79" i="7"/>
  <c r="C75" i="7"/>
  <c r="BI75" i="7" s="1"/>
  <c r="BX70" i="10" s="1"/>
  <c r="C76" i="7"/>
  <c r="BI76" i="7" s="1"/>
  <c r="BX71" i="10" s="1"/>
  <c r="C77" i="7"/>
  <c r="BI77" i="7" s="1"/>
  <c r="BX72" i="10" s="1"/>
  <c r="C78" i="7"/>
  <c r="BI78" i="7" s="1"/>
  <c r="BX73" i="10" s="1"/>
  <c r="C79" i="7"/>
  <c r="BI79" i="7" s="1"/>
  <c r="BX74" i="10" s="1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F17" i="7"/>
  <c r="D17" i="7"/>
  <c r="BP68" i="39"/>
  <c r="BJ79" i="7" s="1"/>
  <c r="BO68" i="39"/>
  <c r="BN68" i="39"/>
  <c r="BM68" i="39"/>
  <c r="BL68" i="39"/>
  <c r="BK68" i="39"/>
  <c r="BJ68" i="39"/>
  <c r="BI68" i="39"/>
  <c r="BH68" i="39"/>
  <c r="BG68" i="39"/>
  <c r="BF68" i="39"/>
  <c r="BP67" i="39"/>
  <c r="BJ78" i="7" s="1"/>
  <c r="BO67" i="39"/>
  <c r="BN67" i="39"/>
  <c r="BM67" i="39"/>
  <c r="BL67" i="39"/>
  <c r="BK67" i="39"/>
  <c r="BJ67" i="39"/>
  <c r="BI67" i="39"/>
  <c r="BH67" i="39"/>
  <c r="BG67" i="39"/>
  <c r="BF67" i="39"/>
  <c r="BP66" i="39"/>
  <c r="BJ77" i="7" s="1"/>
  <c r="BO66" i="39"/>
  <c r="BN66" i="39"/>
  <c r="BM66" i="39"/>
  <c r="BL66" i="39"/>
  <c r="BK66" i="39"/>
  <c r="BJ66" i="39"/>
  <c r="BI66" i="39"/>
  <c r="BH66" i="39"/>
  <c r="BG66" i="39"/>
  <c r="BF66" i="39"/>
  <c r="BP65" i="39"/>
  <c r="BJ76" i="7" s="1"/>
  <c r="BO65" i="39"/>
  <c r="BN65" i="39"/>
  <c r="BM65" i="39"/>
  <c r="BL65" i="39"/>
  <c r="BK65" i="39"/>
  <c r="BJ65" i="39"/>
  <c r="BI65" i="39"/>
  <c r="BH65" i="39"/>
  <c r="BG65" i="39"/>
  <c r="BF65" i="39"/>
  <c r="BP64" i="39"/>
  <c r="BJ75" i="7" s="1"/>
  <c r="BO64" i="39"/>
  <c r="BN64" i="39"/>
  <c r="BM64" i="39"/>
  <c r="BL64" i="39"/>
  <c r="BK64" i="39"/>
  <c r="BJ64" i="39"/>
  <c r="BI64" i="39"/>
  <c r="BH64" i="39"/>
  <c r="BG64" i="39"/>
  <c r="BF64" i="39"/>
  <c r="BP63" i="39"/>
  <c r="BJ74" i="7" s="1"/>
  <c r="BO63" i="39"/>
  <c r="BN63" i="39"/>
  <c r="BM63" i="39"/>
  <c r="BL63" i="39"/>
  <c r="BK63" i="39"/>
  <c r="BJ63" i="39"/>
  <c r="BI63" i="39"/>
  <c r="BH63" i="39"/>
  <c r="BG63" i="39"/>
  <c r="BF63" i="39"/>
  <c r="BP62" i="39"/>
  <c r="BJ73" i="7" s="1"/>
  <c r="BO62" i="39"/>
  <c r="BN62" i="39"/>
  <c r="BM62" i="39"/>
  <c r="BL62" i="39"/>
  <c r="BK62" i="39"/>
  <c r="BJ62" i="39"/>
  <c r="BI62" i="39"/>
  <c r="BH62" i="39"/>
  <c r="BG62" i="39"/>
  <c r="BF62" i="39"/>
  <c r="BP61" i="39"/>
  <c r="BJ72" i="7" s="1"/>
  <c r="BO61" i="39"/>
  <c r="BN61" i="39"/>
  <c r="BM61" i="39"/>
  <c r="BL61" i="39"/>
  <c r="BK61" i="39"/>
  <c r="BJ61" i="39"/>
  <c r="BI61" i="39"/>
  <c r="BH61" i="39"/>
  <c r="BG61" i="39"/>
  <c r="BF61" i="39"/>
  <c r="BP60" i="39"/>
  <c r="BJ71" i="7" s="1"/>
  <c r="BO60" i="39"/>
  <c r="BN60" i="39"/>
  <c r="BM60" i="39"/>
  <c r="BL60" i="39"/>
  <c r="BK60" i="39"/>
  <c r="BJ60" i="39"/>
  <c r="BI60" i="39"/>
  <c r="BH60" i="39"/>
  <c r="BG60" i="39"/>
  <c r="BF60" i="39"/>
  <c r="BP59" i="39"/>
  <c r="BJ70" i="7" s="1"/>
  <c r="BO59" i="39"/>
  <c r="BN59" i="39"/>
  <c r="BM59" i="39"/>
  <c r="BL59" i="39"/>
  <c r="BK59" i="39"/>
  <c r="BJ59" i="39"/>
  <c r="BI59" i="39"/>
  <c r="BH59" i="39"/>
  <c r="BG59" i="39"/>
  <c r="BF59" i="39"/>
  <c r="BP58" i="39"/>
  <c r="BJ69" i="7" s="1"/>
  <c r="BO58" i="39"/>
  <c r="BN58" i="39"/>
  <c r="BM58" i="39"/>
  <c r="BL58" i="39"/>
  <c r="BK58" i="39"/>
  <c r="BJ58" i="39"/>
  <c r="BI58" i="39"/>
  <c r="BH58" i="39"/>
  <c r="BG58" i="39"/>
  <c r="BF58" i="39"/>
  <c r="BP57" i="39"/>
  <c r="BJ68" i="7" s="1"/>
  <c r="BO57" i="39"/>
  <c r="BN57" i="39"/>
  <c r="BM57" i="39"/>
  <c r="BL57" i="39"/>
  <c r="BK57" i="39"/>
  <c r="BJ57" i="39"/>
  <c r="BI57" i="39"/>
  <c r="BH57" i="39"/>
  <c r="BG57" i="39"/>
  <c r="BF57" i="39"/>
  <c r="BP56" i="39"/>
  <c r="BJ67" i="7" s="1"/>
  <c r="BO56" i="39"/>
  <c r="BN56" i="39"/>
  <c r="BM56" i="39"/>
  <c r="BL56" i="39"/>
  <c r="BK56" i="39"/>
  <c r="BJ56" i="39"/>
  <c r="BI56" i="39"/>
  <c r="BH56" i="39"/>
  <c r="BG56" i="39"/>
  <c r="BF56" i="39"/>
  <c r="BP55" i="39"/>
  <c r="BJ66" i="7" s="1"/>
  <c r="BO55" i="39"/>
  <c r="BN55" i="39"/>
  <c r="BM55" i="39"/>
  <c r="BL55" i="39"/>
  <c r="BK55" i="39"/>
  <c r="BJ55" i="39"/>
  <c r="BI55" i="39"/>
  <c r="BH55" i="39"/>
  <c r="BG55" i="39"/>
  <c r="BF55" i="39"/>
  <c r="BP54" i="39"/>
  <c r="BJ65" i="7" s="1"/>
  <c r="BO54" i="39"/>
  <c r="BN54" i="39"/>
  <c r="BM54" i="39"/>
  <c r="BL54" i="39"/>
  <c r="BK54" i="39"/>
  <c r="BJ54" i="39"/>
  <c r="BI54" i="39"/>
  <c r="BH54" i="39"/>
  <c r="BG54" i="39"/>
  <c r="BF54" i="39"/>
  <c r="BP53" i="39"/>
  <c r="BJ64" i="7" s="1"/>
  <c r="BO53" i="39"/>
  <c r="BN53" i="39"/>
  <c r="BM53" i="39"/>
  <c r="BL53" i="39"/>
  <c r="BK53" i="39"/>
  <c r="BJ53" i="39"/>
  <c r="BI53" i="39"/>
  <c r="BH53" i="39"/>
  <c r="BG53" i="39"/>
  <c r="BF53" i="39"/>
  <c r="BP52" i="39"/>
  <c r="BJ63" i="7" s="1"/>
  <c r="BO52" i="39"/>
  <c r="BN52" i="39"/>
  <c r="BM52" i="39"/>
  <c r="BL52" i="39"/>
  <c r="BK52" i="39"/>
  <c r="BJ52" i="39"/>
  <c r="BI52" i="39"/>
  <c r="BH52" i="39"/>
  <c r="BG52" i="39"/>
  <c r="BF52" i="39"/>
  <c r="BP51" i="39"/>
  <c r="BJ62" i="7" s="1"/>
  <c r="BO51" i="39"/>
  <c r="BN51" i="39"/>
  <c r="BM51" i="39"/>
  <c r="BL51" i="39"/>
  <c r="BK51" i="39"/>
  <c r="BJ51" i="39"/>
  <c r="BI51" i="39"/>
  <c r="BH51" i="39"/>
  <c r="BG51" i="39"/>
  <c r="BF51" i="39"/>
  <c r="BP50" i="39"/>
  <c r="BJ61" i="7" s="1"/>
  <c r="BO50" i="39"/>
  <c r="BN50" i="39"/>
  <c r="BM50" i="39"/>
  <c r="BL50" i="39"/>
  <c r="BK50" i="39"/>
  <c r="BJ50" i="39"/>
  <c r="BI50" i="39"/>
  <c r="BH50" i="39"/>
  <c r="BG50" i="39"/>
  <c r="BF50" i="39"/>
  <c r="BP49" i="39"/>
  <c r="BJ60" i="7" s="1"/>
  <c r="BO49" i="39"/>
  <c r="BN49" i="39"/>
  <c r="BM49" i="39"/>
  <c r="BL49" i="39"/>
  <c r="BK49" i="39"/>
  <c r="BJ49" i="39"/>
  <c r="BI49" i="39"/>
  <c r="BH49" i="39"/>
  <c r="BG49" i="39"/>
  <c r="BF49" i="39"/>
  <c r="BP48" i="39"/>
  <c r="BJ59" i="7" s="1"/>
  <c r="BO48" i="39"/>
  <c r="BN48" i="39"/>
  <c r="BM48" i="39"/>
  <c r="BL48" i="39"/>
  <c r="BK48" i="39"/>
  <c r="BJ48" i="39"/>
  <c r="BI48" i="39"/>
  <c r="BH48" i="39"/>
  <c r="BG48" i="39"/>
  <c r="BF48" i="39"/>
  <c r="BP47" i="39"/>
  <c r="BJ58" i="7" s="1"/>
  <c r="BO47" i="39"/>
  <c r="BN47" i="39"/>
  <c r="BM47" i="39"/>
  <c r="BL47" i="39"/>
  <c r="BK47" i="39"/>
  <c r="BJ47" i="39"/>
  <c r="BI47" i="39"/>
  <c r="BH47" i="39"/>
  <c r="BG47" i="39"/>
  <c r="BF47" i="39"/>
  <c r="BP46" i="39"/>
  <c r="BJ57" i="7" s="1"/>
  <c r="BO46" i="39"/>
  <c r="BN46" i="39"/>
  <c r="BM46" i="39"/>
  <c r="BL46" i="39"/>
  <c r="BK46" i="39"/>
  <c r="BJ46" i="39"/>
  <c r="BI46" i="39"/>
  <c r="BH46" i="39"/>
  <c r="BG46" i="39"/>
  <c r="BF46" i="39"/>
  <c r="BP45" i="39"/>
  <c r="BJ56" i="7" s="1"/>
  <c r="BO45" i="39"/>
  <c r="BN45" i="39"/>
  <c r="BM45" i="39"/>
  <c r="BL45" i="39"/>
  <c r="BK45" i="39"/>
  <c r="BJ45" i="39"/>
  <c r="BI45" i="39"/>
  <c r="BH45" i="39"/>
  <c r="BG45" i="39"/>
  <c r="BF45" i="39"/>
  <c r="BP44" i="39"/>
  <c r="BJ55" i="7" s="1"/>
  <c r="BO44" i="39"/>
  <c r="BN44" i="39"/>
  <c r="BM44" i="39"/>
  <c r="BL44" i="39"/>
  <c r="BK44" i="39"/>
  <c r="BJ44" i="39"/>
  <c r="BI44" i="39"/>
  <c r="BH44" i="39"/>
  <c r="BG44" i="39"/>
  <c r="BF44" i="39"/>
  <c r="BP43" i="39"/>
  <c r="BJ54" i="7" s="1"/>
  <c r="BO43" i="39"/>
  <c r="BN43" i="39"/>
  <c r="BM43" i="39"/>
  <c r="BL43" i="39"/>
  <c r="BK43" i="39"/>
  <c r="BJ43" i="39"/>
  <c r="BI43" i="39"/>
  <c r="BH43" i="39"/>
  <c r="BG43" i="39"/>
  <c r="BF43" i="39"/>
  <c r="BP42" i="39"/>
  <c r="BJ53" i="7" s="1"/>
  <c r="BO42" i="39"/>
  <c r="BN42" i="39"/>
  <c r="BM42" i="39"/>
  <c r="BL42" i="39"/>
  <c r="BK42" i="39"/>
  <c r="BJ42" i="39"/>
  <c r="BI42" i="39"/>
  <c r="BH42" i="39"/>
  <c r="BG42" i="39"/>
  <c r="BF42" i="39"/>
  <c r="BP41" i="39"/>
  <c r="BJ52" i="7" s="1"/>
  <c r="BO41" i="39"/>
  <c r="BN41" i="39"/>
  <c r="BM41" i="39"/>
  <c r="BL41" i="39"/>
  <c r="BK41" i="39"/>
  <c r="BJ41" i="39"/>
  <c r="BI41" i="39"/>
  <c r="BH41" i="39"/>
  <c r="BG41" i="39"/>
  <c r="BF41" i="39"/>
  <c r="BP40" i="39"/>
  <c r="BJ51" i="7" s="1"/>
  <c r="BO40" i="39"/>
  <c r="BN40" i="39"/>
  <c r="BM40" i="39"/>
  <c r="BL40" i="39"/>
  <c r="BK40" i="39"/>
  <c r="BJ40" i="39"/>
  <c r="BI40" i="39"/>
  <c r="BH40" i="39"/>
  <c r="BG40" i="39"/>
  <c r="BF40" i="39"/>
  <c r="BP39" i="39"/>
  <c r="BJ50" i="7" s="1"/>
  <c r="BO39" i="39"/>
  <c r="BN39" i="39"/>
  <c r="BM39" i="39"/>
  <c r="BL39" i="39"/>
  <c r="BK39" i="39"/>
  <c r="BJ39" i="39"/>
  <c r="BI39" i="39"/>
  <c r="BH39" i="39"/>
  <c r="BG39" i="39"/>
  <c r="BF39" i="39"/>
  <c r="BP38" i="39"/>
  <c r="BJ49" i="7" s="1"/>
  <c r="BO38" i="39"/>
  <c r="BN38" i="39"/>
  <c r="BM38" i="39"/>
  <c r="BL38" i="39"/>
  <c r="BK38" i="39"/>
  <c r="BJ38" i="39"/>
  <c r="BI38" i="39"/>
  <c r="BH38" i="39"/>
  <c r="BG38" i="39"/>
  <c r="BF38" i="39"/>
  <c r="BP37" i="39"/>
  <c r="BJ48" i="7" s="1"/>
  <c r="BO37" i="39"/>
  <c r="BN37" i="39"/>
  <c r="BM37" i="39"/>
  <c r="BL37" i="39"/>
  <c r="BK37" i="39"/>
  <c r="BJ37" i="39"/>
  <c r="BI37" i="39"/>
  <c r="BH37" i="39"/>
  <c r="BG37" i="39"/>
  <c r="BF37" i="39"/>
  <c r="BP36" i="39"/>
  <c r="BJ47" i="7" s="1"/>
  <c r="BO36" i="39"/>
  <c r="BN36" i="39"/>
  <c r="BM36" i="39"/>
  <c r="BL36" i="39"/>
  <c r="BK36" i="39"/>
  <c r="BJ36" i="39"/>
  <c r="BI36" i="39"/>
  <c r="BH36" i="39"/>
  <c r="BG36" i="39"/>
  <c r="BF36" i="39"/>
  <c r="BP35" i="39"/>
  <c r="BJ46" i="7" s="1"/>
  <c r="BO35" i="39"/>
  <c r="BN35" i="39"/>
  <c r="BM35" i="39"/>
  <c r="BL35" i="39"/>
  <c r="BK35" i="39"/>
  <c r="BJ35" i="39"/>
  <c r="BI35" i="39"/>
  <c r="BH35" i="39"/>
  <c r="BG35" i="39"/>
  <c r="BF35" i="39"/>
  <c r="BP34" i="39"/>
  <c r="BJ45" i="7" s="1"/>
  <c r="BO34" i="39"/>
  <c r="BN34" i="39"/>
  <c r="BM34" i="39"/>
  <c r="BL34" i="39"/>
  <c r="BK34" i="39"/>
  <c r="BJ34" i="39"/>
  <c r="BI34" i="39"/>
  <c r="BH34" i="39"/>
  <c r="BG34" i="39"/>
  <c r="BF34" i="39"/>
  <c r="BP33" i="39"/>
  <c r="BJ44" i="7" s="1"/>
  <c r="BO33" i="39"/>
  <c r="BN33" i="39"/>
  <c r="BM33" i="39"/>
  <c r="BL33" i="39"/>
  <c r="BK33" i="39"/>
  <c r="BJ33" i="39"/>
  <c r="BI33" i="39"/>
  <c r="BH33" i="39"/>
  <c r="BG33" i="39"/>
  <c r="BF33" i="39"/>
  <c r="BP32" i="39"/>
  <c r="BJ43" i="7" s="1"/>
  <c r="BO32" i="39"/>
  <c r="BN32" i="39"/>
  <c r="BM32" i="39"/>
  <c r="BL32" i="39"/>
  <c r="BK32" i="39"/>
  <c r="BJ32" i="39"/>
  <c r="BI32" i="39"/>
  <c r="BH32" i="39"/>
  <c r="BG32" i="39"/>
  <c r="BF32" i="39"/>
  <c r="BP31" i="39"/>
  <c r="BJ42" i="7" s="1"/>
  <c r="BO31" i="39"/>
  <c r="BN31" i="39"/>
  <c r="BM31" i="39"/>
  <c r="BL31" i="39"/>
  <c r="BK31" i="39"/>
  <c r="BJ31" i="39"/>
  <c r="BI31" i="39"/>
  <c r="BH31" i="39"/>
  <c r="BG31" i="39"/>
  <c r="BF31" i="39"/>
  <c r="BP30" i="39"/>
  <c r="BJ41" i="7" s="1"/>
  <c r="BO30" i="39"/>
  <c r="BN30" i="39"/>
  <c r="BM30" i="39"/>
  <c r="BL30" i="39"/>
  <c r="BK30" i="39"/>
  <c r="BJ30" i="39"/>
  <c r="BI30" i="39"/>
  <c r="BH30" i="39"/>
  <c r="BG30" i="39"/>
  <c r="BF30" i="39"/>
  <c r="BP29" i="39"/>
  <c r="BJ40" i="7" s="1"/>
  <c r="BO29" i="39"/>
  <c r="BN29" i="39"/>
  <c r="BM29" i="39"/>
  <c r="BL29" i="39"/>
  <c r="BK29" i="39"/>
  <c r="BJ29" i="39"/>
  <c r="BI29" i="39"/>
  <c r="BH29" i="39"/>
  <c r="BG29" i="39"/>
  <c r="BF29" i="39"/>
  <c r="BP28" i="39"/>
  <c r="BJ39" i="7" s="1"/>
  <c r="BO28" i="39"/>
  <c r="BN28" i="39"/>
  <c r="BM28" i="39"/>
  <c r="BL28" i="39"/>
  <c r="BK28" i="39"/>
  <c r="BJ28" i="39"/>
  <c r="BI28" i="39"/>
  <c r="BH28" i="39"/>
  <c r="BG28" i="39"/>
  <c r="BF28" i="39"/>
  <c r="BP27" i="39"/>
  <c r="BJ38" i="7" s="1"/>
  <c r="BO27" i="39"/>
  <c r="BN27" i="39"/>
  <c r="BM27" i="39"/>
  <c r="BL27" i="39"/>
  <c r="BK27" i="39"/>
  <c r="BJ27" i="39"/>
  <c r="BI27" i="39"/>
  <c r="BH27" i="39"/>
  <c r="BG27" i="39"/>
  <c r="BF27" i="39"/>
  <c r="BP26" i="39"/>
  <c r="BJ37" i="7" s="1"/>
  <c r="BO26" i="39"/>
  <c r="BN26" i="39"/>
  <c r="BM26" i="39"/>
  <c r="BL26" i="39"/>
  <c r="BK26" i="39"/>
  <c r="BJ26" i="39"/>
  <c r="BI26" i="39"/>
  <c r="BH26" i="39"/>
  <c r="BG26" i="39"/>
  <c r="BF26" i="39"/>
  <c r="BP25" i="39"/>
  <c r="BJ36" i="7" s="1"/>
  <c r="BO25" i="39"/>
  <c r="BN25" i="39"/>
  <c r="BM25" i="39"/>
  <c r="BL25" i="39"/>
  <c r="BK25" i="39"/>
  <c r="BJ25" i="39"/>
  <c r="BI25" i="39"/>
  <c r="BH25" i="39"/>
  <c r="BG25" i="39"/>
  <c r="BF25" i="39"/>
  <c r="BP24" i="39"/>
  <c r="BJ35" i="7" s="1"/>
  <c r="BO24" i="39"/>
  <c r="BN24" i="39"/>
  <c r="BM24" i="39"/>
  <c r="BL24" i="39"/>
  <c r="BK24" i="39"/>
  <c r="BJ24" i="39"/>
  <c r="BI24" i="39"/>
  <c r="BH24" i="39"/>
  <c r="BG24" i="39"/>
  <c r="BF24" i="39"/>
  <c r="BP23" i="39"/>
  <c r="BJ34" i="7" s="1"/>
  <c r="BO23" i="39"/>
  <c r="BN23" i="39"/>
  <c r="BM23" i="39"/>
  <c r="BL23" i="39"/>
  <c r="BK23" i="39"/>
  <c r="BJ23" i="39"/>
  <c r="BI23" i="39"/>
  <c r="BH23" i="39"/>
  <c r="BG23" i="39"/>
  <c r="BF23" i="39"/>
  <c r="BP22" i="39"/>
  <c r="BJ33" i="7" s="1"/>
  <c r="BO22" i="39"/>
  <c r="BN22" i="39"/>
  <c r="BM22" i="39"/>
  <c r="BL22" i="39"/>
  <c r="BK22" i="39"/>
  <c r="BJ22" i="39"/>
  <c r="BI22" i="39"/>
  <c r="BH22" i="39"/>
  <c r="BG22" i="39"/>
  <c r="BF22" i="39"/>
  <c r="BP21" i="39"/>
  <c r="BJ32" i="7" s="1"/>
  <c r="BO21" i="39"/>
  <c r="BN21" i="39"/>
  <c r="BM21" i="39"/>
  <c r="BL21" i="39"/>
  <c r="BK21" i="39"/>
  <c r="BJ21" i="39"/>
  <c r="BI21" i="39"/>
  <c r="BH21" i="39"/>
  <c r="BG21" i="39"/>
  <c r="BF21" i="39"/>
  <c r="BP20" i="39"/>
  <c r="BJ31" i="7" s="1"/>
  <c r="BO20" i="39"/>
  <c r="BN20" i="39"/>
  <c r="BM20" i="39"/>
  <c r="BL20" i="39"/>
  <c r="BK20" i="39"/>
  <c r="BJ20" i="39"/>
  <c r="BI20" i="39"/>
  <c r="BH20" i="39"/>
  <c r="BG20" i="39"/>
  <c r="BF20" i="39"/>
  <c r="BP19" i="39"/>
  <c r="BJ30" i="7" s="1"/>
  <c r="BO19" i="39"/>
  <c r="BN19" i="39"/>
  <c r="BM19" i="39"/>
  <c r="BL19" i="39"/>
  <c r="BK19" i="39"/>
  <c r="BJ19" i="39"/>
  <c r="BI19" i="39"/>
  <c r="BH19" i="39"/>
  <c r="BG19" i="39"/>
  <c r="BF19" i="39"/>
  <c r="BP18" i="39"/>
  <c r="BJ29" i="7" s="1"/>
  <c r="BO18" i="39"/>
  <c r="BN18" i="39"/>
  <c r="BM18" i="39"/>
  <c r="BL18" i="39"/>
  <c r="BK18" i="39"/>
  <c r="BJ18" i="39"/>
  <c r="BI18" i="39"/>
  <c r="BH18" i="39"/>
  <c r="BG18" i="39"/>
  <c r="BF18" i="39"/>
  <c r="BP17" i="39"/>
  <c r="BJ28" i="7" s="1"/>
  <c r="BO17" i="39"/>
  <c r="BN17" i="39"/>
  <c r="BM17" i="39"/>
  <c r="BL17" i="39"/>
  <c r="BK17" i="39"/>
  <c r="BJ17" i="39"/>
  <c r="BI17" i="39"/>
  <c r="BH17" i="39"/>
  <c r="BG17" i="39"/>
  <c r="BF17" i="39"/>
  <c r="BP16" i="39"/>
  <c r="BJ27" i="7" s="1"/>
  <c r="BO16" i="39"/>
  <c r="BN16" i="39"/>
  <c r="BM16" i="39"/>
  <c r="BL16" i="39"/>
  <c r="BK16" i="39"/>
  <c r="BJ16" i="39"/>
  <c r="BI16" i="39"/>
  <c r="BH16" i="39"/>
  <c r="BG16" i="39"/>
  <c r="BF16" i="39"/>
  <c r="BP15" i="39"/>
  <c r="BJ26" i="7" s="1"/>
  <c r="BO15" i="39"/>
  <c r="BN15" i="39"/>
  <c r="BM15" i="39"/>
  <c r="BL15" i="39"/>
  <c r="BK15" i="39"/>
  <c r="BJ15" i="39"/>
  <c r="BI15" i="39"/>
  <c r="BH15" i="39"/>
  <c r="BG15" i="39"/>
  <c r="BF15" i="39"/>
  <c r="BP14" i="39"/>
  <c r="BJ25" i="7" s="1"/>
  <c r="BO14" i="39"/>
  <c r="BN14" i="39"/>
  <c r="BM14" i="39"/>
  <c r="BL14" i="39"/>
  <c r="BK14" i="39"/>
  <c r="BJ14" i="39"/>
  <c r="BI14" i="39"/>
  <c r="BH14" i="39"/>
  <c r="BG14" i="39"/>
  <c r="BF14" i="39"/>
  <c r="BP13" i="39"/>
  <c r="BJ24" i="7" s="1"/>
  <c r="BH19" i="10" s="1"/>
  <c r="BO13" i="39"/>
  <c r="BN13" i="39"/>
  <c r="BM13" i="39"/>
  <c r="BL13" i="39"/>
  <c r="BK13" i="39"/>
  <c r="BJ13" i="39"/>
  <c r="BI13" i="39"/>
  <c r="BH13" i="39"/>
  <c r="BG13" i="39"/>
  <c r="BF13" i="39"/>
  <c r="BP12" i="39"/>
  <c r="BJ23" i="7" s="1"/>
  <c r="BH18" i="10" s="1"/>
  <c r="BO12" i="39"/>
  <c r="BN12" i="39"/>
  <c r="BM12" i="39"/>
  <c r="BL12" i="39"/>
  <c r="BK12" i="39"/>
  <c r="BJ12" i="39"/>
  <c r="BI12" i="39"/>
  <c r="BH12" i="39"/>
  <c r="BG12" i="39"/>
  <c r="BF12" i="39"/>
  <c r="BP11" i="39"/>
  <c r="BJ22" i="7" s="1"/>
  <c r="BH17" i="10" s="1"/>
  <c r="BO11" i="39"/>
  <c r="BN11" i="39"/>
  <c r="BM11" i="39"/>
  <c r="BL11" i="39"/>
  <c r="BK11" i="39"/>
  <c r="BJ11" i="39"/>
  <c r="BI11" i="39"/>
  <c r="BH11" i="39"/>
  <c r="BG11" i="39"/>
  <c r="BF11" i="39"/>
  <c r="BP10" i="39"/>
  <c r="BJ21" i="7" s="1"/>
  <c r="BH16" i="10" s="1"/>
  <c r="BO10" i="39"/>
  <c r="BN10" i="39"/>
  <c r="BM10" i="39"/>
  <c r="BL10" i="39"/>
  <c r="BK10" i="39"/>
  <c r="BJ10" i="39"/>
  <c r="BI10" i="39"/>
  <c r="BH10" i="39"/>
  <c r="BG10" i="39"/>
  <c r="BF10" i="39"/>
  <c r="BP9" i="39"/>
  <c r="BJ20" i="7" s="1"/>
  <c r="BH15" i="10" s="1"/>
  <c r="BO9" i="39"/>
  <c r="BN9" i="39"/>
  <c r="BM9" i="39"/>
  <c r="BL9" i="39"/>
  <c r="BK9" i="39"/>
  <c r="BJ9" i="39"/>
  <c r="BI9" i="39"/>
  <c r="BH9" i="39"/>
  <c r="BG9" i="39"/>
  <c r="BF9" i="39"/>
  <c r="BP8" i="39"/>
  <c r="BJ19" i="7" s="1"/>
  <c r="BH14" i="10" s="1"/>
  <c r="BO8" i="39"/>
  <c r="BN8" i="39"/>
  <c r="BM8" i="39"/>
  <c r="BL8" i="39"/>
  <c r="BK8" i="39"/>
  <c r="BJ8" i="39"/>
  <c r="BI8" i="39"/>
  <c r="BH8" i="39"/>
  <c r="BG8" i="39"/>
  <c r="BF8" i="39"/>
  <c r="BP7" i="39"/>
  <c r="BJ18" i="7" s="1"/>
  <c r="BH13" i="10" s="1"/>
  <c r="BO7" i="39"/>
  <c r="BN7" i="39"/>
  <c r="BM7" i="39"/>
  <c r="BL7" i="39"/>
  <c r="BK7" i="39"/>
  <c r="BJ7" i="39"/>
  <c r="BI7" i="39"/>
  <c r="BH7" i="39"/>
  <c r="BG7" i="39"/>
  <c r="BF7" i="39"/>
  <c r="BP6" i="39"/>
  <c r="BO6" i="39"/>
  <c r="BN6" i="39"/>
  <c r="BM6" i="39"/>
  <c r="BL6" i="39"/>
  <c r="BK6" i="39"/>
  <c r="BJ6" i="39"/>
  <c r="BI6" i="39"/>
  <c r="BH6" i="39"/>
  <c r="BG6" i="39"/>
  <c r="BF6" i="39"/>
  <c r="BQ67" i="39"/>
  <c r="BQ66" i="39"/>
  <c r="BQ65" i="39"/>
  <c r="BQ64" i="39"/>
  <c r="BQ63" i="39"/>
  <c r="BQ62" i="39"/>
  <c r="BQ61" i="39"/>
  <c r="BQ60" i="39"/>
  <c r="BQ59" i="39"/>
  <c r="BQ58" i="39"/>
  <c r="BQ57" i="39"/>
  <c r="BQ56" i="39"/>
  <c r="BQ55" i="39"/>
  <c r="BQ54" i="39"/>
  <c r="BQ53" i="39"/>
  <c r="BQ52" i="39"/>
  <c r="BQ51" i="39"/>
  <c r="BQ50" i="39"/>
  <c r="BQ49" i="39"/>
  <c r="BQ48" i="39"/>
  <c r="BQ47" i="39"/>
  <c r="BQ46" i="39"/>
  <c r="BQ45" i="39"/>
  <c r="BQ44" i="39"/>
  <c r="BQ43" i="39"/>
  <c r="BQ42" i="39"/>
  <c r="BQ41" i="39"/>
  <c r="BQ40" i="39"/>
  <c r="BQ39" i="39"/>
  <c r="BQ38" i="39"/>
  <c r="BQ37" i="39"/>
  <c r="BQ36" i="39"/>
  <c r="BQ35" i="39"/>
  <c r="BQ34" i="39"/>
  <c r="BQ33" i="39"/>
  <c r="BQ32" i="39"/>
  <c r="BQ31" i="39"/>
  <c r="BQ30" i="39"/>
  <c r="BQ29" i="39"/>
  <c r="BQ28" i="39"/>
  <c r="BQ27" i="39"/>
  <c r="BQ26" i="39"/>
  <c r="BQ25" i="39"/>
  <c r="BQ24" i="39"/>
  <c r="BQ23" i="39"/>
  <c r="BQ22" i="39"/>
  <c r="BQ21" i="39"/>
  <c r="BQ20" i="39"/>
  <c r="BQ19" i="39"/>
  <c r="BQ18" i="39"/>
  <c r="BQ17" i="39"/>
  <c r="BQ16" i="39"/>
  <c r="BQ15" i="39"/>
  <c r="BQ14" i="39"/>
  <c r="BQ13" i="39"/>
  <c r="BQ12" i="39"/>
  <c r="BQ11" i="39"/>
  <c r="BQ10" i="39"/>
  <c r="BQ9" i="39"/>
  <c r="BQ8" i="39"/>
  <c r="BQ7" i="39"/>
  <c r="BQ6" i="39"/>
  <c r="BS64" i="39"/>
  <c r="BU64" i="39" s="1"/>
  <c r="BS63" i="39"/>
  <c r="BU63" i="39" s="1"/>
  <c r="BS62" i="39"/>
  <c r="BU62" i="39" s="1"/>
  <c r="BS61" i="39"/>
  <c r="BU61" i="39" s="1"/>
  <c r="BS60" i="39"/>
  <c r="BU60" i="39" s="1"/>
  <c r="BS59" i="39"/>
  <c r="BU59" i="39" s="1"/>
  <c r="BS58" i="39"/>
  <c r="BU58" i="39" s="1"/>
  <c r="BS57" i="39"/>
  <c r="BU57" i="39" s="1"/>
  <c r="BS56" i="39"/>
  <c r="BU56" i="39" s="1"/>
  <c r="BS55" i="39"/>
  <c r="BU55" i="39" s="1"/>
  <c r="BS54" i="39"/>
  <c r="BU54" i="39" s="1"/>
  <c r="BS53" i="39"/>
  <c r="BU53" i="39" s="1"/>
  <c r="BS52" i="39"/>
  <c r="BU52" i="39" s="1"/>
  <c r="BS51" i="39"/>
  <c r="BU51" i="39" s="1"/>
  <c r="BS50" i="39"/>
  <c r="BU50" i="39" s="1"/>
  <c r="BS49" i="39"/>
  <c r="BU49" i="39" s="1"/>
  <c r="BS48" i="39"/>
  <c r="BU48" i="39" s="1"/>
  <c r="BS47" i="39"/>
  <c r="BU47" i="39" s="1"/>
  <c r="BS46" i="39"/>
  <c r="BU46" i="39" s="1"/>
  <c r="BS45" i="39"/>
  <c r="BU45" i="39" s="1"/>
  <c r="BS44" i="39"/>
  <c r="BU44" i="39" s="1"/>
  <c r="BS43" i="39"/>
  <c r="BU43" i="39" s="1"/>
  <c r="BS42" i="39"/>
  <c r="BU42" i="39" s="1"/>
  <c r="BS41" i="39"/>
  <c r="BU41" i="39" s="1"/>
  <c r="BS40" i="39"/>
  <c r="BU40" i="39" s="1"/>
  <c r="BS39" i="39"/>
  <c r="BU39" i="39" s="1"/>
  <c r="BS38" i="39"/>
  <c r="BU38" i="39" s="1"/>
  <c r="BS37" i="39"/>
  <c r="BU37" i="39" s="1"/>
  <c r="BS36" i="39"/>
  <c r="BU36" i="39" s="1"/>
  <c r="BS35" i="39"/>
  <c r="BU35" i="39" s="1"/>
  <c r="BS34" i="39"/>
  <c r="BU34" i="39" s="1"/>
  <c r="BS33" i="39"/>
  <c r="BU33" i="39" s="1"/>
  <c r="BS32" i="39"/>
  <c r="BU32" i="39" s="1"/>
  <c r="BS31" i="39"/>
  <c r="BU31" i="39" s="1"/>
  <c r="BS30" i="39"/>
  <c r="BU30" i="39" s="1"/>
  <c r="BS29" i="39"/>
  <c r="BU29" i="39" s="1"/>
  <c r="BS28" i="39"/>
  <c r="BU28" i="39" s="1"/>
  <c r="BS27" i="39"/>
  <c r="BU27" i="39" s="1"/>
  <c r="BS26" i="39"/>
  <c r="BU26" i="39" s="1"/>
  <c r="BS25" i="39"/>
  <c r="BU25" i="39" s="1"/>
  <c r="BS24" i="39"/>
  <c r="BU24" i="39" s="1"/>
  <c r="BS23" i="39"/>
  <c r="BU23" i="39" s="1"/>
  <c r="BS22" i="39"/>
  <c r="BU22" i="39" s="1"/>
  <c r="BS21" i="39"/>
  <c r="BU21" i="39" s="1"/>
  <c r="BS20" i="39"/>
  <c r="BU20" i="39" s="1"/>
  <c r="BS19" i="39"/>
  <c r="BU19" i="39" s="1"/>
  <c r="BS18" i="39"/>
  <c r="BU18" i="39" s="1"/>
  <c r="BS17" i="39"/>
  <c r="BU17" i="39" s="1"/>
  <c r="BS16" i="39"/>
  <c r="BU16" i="39" s="1"/>
  <c r="BS15" i="39"/>
  <c r="BU15" i="39" s="1"/>
  <c r="BS14" i="39"/>
  <c r="BU14" i="39" s="1"/>
  <c r="BS13" i="39"/>
  <c r="BU13" i="39" s="1"/>
  <c r="BS12" i="39"/>
  <c r="BU12" i="39" s="1"/>
  <c r="BS11" i="39"/>
  <c r="BU11" i="39" s="1"/>
  <c r="BS10" i="39"/>
  <c r="BU10" i="39" s="1"/>
  <c r="BS9" i="39"/>
  <c r="BU9" i="39" s="1"/>
  <c r="BS8" i="39"/>
  <c r="BU8" i="39" s="1"/>
  <c r="BS7" i="39"/>
  <c r="BU7" i="39" s="1"/>
  <c r="BS6" i="39"/>
  <c r="BU6" i="39" s="1"/>
  <c r="BW67" i="39"/>
  <c r="BZ67" i="39" s="1"/>
  <c r="BE67" i="39" s="1"/>
  <c r="BW66" i="39"/>
  <c r="BZ66" i="39" s="1"/>
  <c r="BE66" i="39" s="1"/>
  <c r="BW65" i="39"/>
  <c r="BZ65" i="39" s="1"/>
  <c r="BE65" i="39" s="1"/>
  <c r="BW64" i="39"/>
  <c r="BZ64" i="39" s="1"/>
  <c r="BE64" i="39" s="1"/>
  <c r="BW63" i="39"/>
  <c r="BZ63" i="39" s="1"/>
  <c r="BE63" i="39" s="1"/>
  <c r="BW62" i="39"/>
  <c r="BZ62" i="39" s="1"/>
  <c r="BE62" i="39" s="1"/>
  <c r="BW61" i="39"/>
  <c r="BZ61" i="39" s="1"/>
  <c r="BE61" i="39" s="1"/>
  <c r="BW60" i="39"/>
  <c r="BZ60" i="39" s="1"/>
  <c r="BE60" i="39" s="1"/>
  <c r="BW59" i="39"/>
  <c r="BZ59" i="39" s="1"/>
  <c r="BE59" i="39" s="1"/>
  <c r="BW58" i="39"/>
  <c r="BZ58" i="39" s="1"/>
  <c r="BE58" i="39" s="1"/>
  <c r="BW57" i="39"/>
  <c r="BZ57" i="39" s="1"/>
  <c r="BE57" i="39" s="1"/>
  <c r="BW56" i="39"/>
  <c r="BZ56" i="39" s="1"/>
  <c r="BE56" i="39" s="1"/>
  <c r="BW55" i="39"/>
  <c r="BZ55" i="39" s="1"/>
  <c r="BE55" i="39" s="1"/>
  <c r="BW54" i="39"/>
  <c r="BZ54" i="39" s="1"/>
  <c r="BE54" i="39" s="1"/>
  <c r="BW53" i="39"/>
  <c r="BZ53" i="39" s="1"/>
  <c r="BE53" i="39" s="1"/>
  <c r="BW52" i="39"/>
  <c r="BZ52" i="39" s="1"/>
  <c r="BE52" i="39" s="1"/>
  <c r="BW51" i="39"/>
  <c r="BZ51" i="39" s="1"/>
  <c r="BE51" i="39" s="1"/>
  <c r="BW50" i="39"/>
  <c r="BZ50" i="39" s="1"/>
  <c r="BE50" i="39" s="1"/>
  <c r="BW49" i="39"/>
  <c r="BZ49" i="39" s="1"/>
  <c r="BE49" i="39" s="1"/>
  <c r="BW48" i="39"/>
  <c r="BE48" i="39" s="1"/>
  <c r="BW47" i="39"/>
  <c r="BZ47" i="39" s="1"/>
  <c r="BE47" i="39" s="1"/>
  <c r="BW46" i="39"/>
  <c r="BZ46" i="39" s="1"/>
  <c r="BE46" i="39" s="1"/>
  <c r="BW45" i="39"/>
  <c r="BZ45" i="39" s="1"/>
  <c r="BE45" i="39" s="1"/>
  <c r="BW44" i="39"/>
  <c r="BZ44" i="39" s="1"/>
  <c r="BE44" i="39" s="1"/>
  <c r="BW43" i="39"/>
  <c r="BZ43" i="39" s="1"/>
  <c r="BE43" i="39" s="1"/>
  <c r="BW42" i="39"/>
  <c r="BZ42" i="39" s="1"/>
  <c r="BE42" i="39" s="1"/>
  <c r="BW41" i="39"/>
  <c r="BZ41" i="39" s="1"/>
  <c r="BE41" i="39" s="1"/>
  <c r="BW40" i="39"/>
  <c r="BZ40" i="39" s="1"/>
  <c r="BE40" i="39" s="1"/>
  <c r="BW39" i="39"/>
  <c r="BZ39" i="39" s="1"/>
  <c r="BE39" i="39" s="1"/>
  <c r="BW38" i="39"/>
  <c r="BZ38" i="39" s="1"/>
  <c r="BE38" i="39" s="1"/>
  <c r="BW37" i="39"/>
  <c r="BZ37" i="39" s="1"/>
  <c r="BE37" i="39" s="1"/>
  <c r="BW36" i="39"/>
  <c r="BZ36" i="39" s="1"/>
  <c r="BE36" i="39" s="1"/>
  <c r="BW35" i="39"/>
  <c r="BZ35" i="39" s="1"/>
  <c r="BE35" i="39" s="1"/>
  <c r="BW34" i="39"/>
  <c r="BZ34" i="39" s="1"/>
  <c r="BE34" i="39" s="1"/>
  <c r="BW33" i="39"/>
  <c r="BZ33" i="39" s="1"/>
  <c r="BE33" i="39" s="1"/>
  <c r="BW32" i="39"/>
  <c r="BZ32" i="39" s="1"/>
  <c r="BE32" i="39" s="1"/>
  <c r="BW31" i="39"/>
  <c r="BZ31" i="39" s="1"/>
  <c r="BE31" i="39" s="1"/>
  <c r="BW30" i="39"/>
  <c r="BZ30" i="39" s="1"/>
  <c r="BE30" i="39" s="1"/>
  <c r="BW29" i="39"/>
  <c r="BZ29" i="39" s="1"/>
  <c r="BE29" i="39" s="1"/>
  <c r="BW28" i="39"/>
  <c r="BZ28" i="39" s="1"/>
  <c r="BE28" i="39" s="1"/>
  <c r="BW27" i="39"/>
  <c r="BZ27" i="39" s="1"/>
  <c r="BE27" i="39" s="1"/>
  <c r="BW26" i="39"/>
  <c r="BZ26" i="39" s="1"/>
  <c r="BE26" i="39" s="1"/>
  <c r="BW25" i="39"/>
  <c r="BZ25" i="39" s="1"/>
  <c r="BE25" i="39" s="1"/>
  <c r="BW24" i="39"/>
  <c r="BZ24" i="39" s="1"/>
  <c r="BE24" i="39" s="1"/>
  <c r="BW23" i="39"/>
  <c r="BZ23" i="39" s="1"/>
  <c r="BE23" i="39" s="1"/>
  <c r="BW22" i="39"/>
  <c r="BZ22" i="39" s="1"/>
  <c r="BE22" i="39" s="1"/>
  <c r="BW21" i="39"/>
  <c r="BZ21" i="39" s="1"/>
  <c r="BE21" i="39" s="1"/>
  <c r="BW20" i="39"/>
  <c r="BZ20" i="39" s="1"/>
  <c r="BE20" i="39" s="1"/>
  <c r="BW19" i="39"/>
  <c r="BZ19" i="39" s="1"/>
  <c r="BE19" i="39" s="1"/>
  <c r="BW18" i="39"/>
  <c r="BZ18" i="39" s="1"/>
  <c r="BE18" i="39" s="1"/>
  <c r="BW17" i="39"/>
  <c r="BZ17" i="39" s="1"/>
  <c r="BE17" i="39" s="1"/>
  <c r="BW16" i="39"/>
  <c r="BZ16" i="39" s="1"/>
  <c r="BE16" i="39" s="1"/>
  <c r="BW15" i="39"/>
  <c r="BZ15" i="39" s="1"/>
  <c r="BE15" i="39" s="1"/>
  <c r="BW14" i="39"/>
  <c r="BZ14" i="39" s="1"/>
  <c r="BE14" i="39" s="1"/>
  <c r="BW13" i="39"/>
  <c r="BZ13" i="39" s="1"/>
  <c r="BE13" i="39" s="1"/>
  <c r="BW12" i="39"/>
  <c r="BZ12" i="39" s="1"/>
  <c r="BE12" i="39" s="1"/>
  <c r="BW11" i="39"/>
  <c r="BZ11" i="39" s="1"/>
  <c r="BE11" i="39" s="1"/>
  <c r="BW10" i="39"/>
  <c r="BZ10" i="39" s="1"/>
  <c r="BE10" i="39" s="1"/>
  <c r="BW9" i="39"/>
  <c r="BZ9" i="39" s="1"/>
  <c r="BE9" i="39" s="1"/>
  <c r="BW8" i="39"/>
  <c r="BZ8" i="39" s="1"/>
  <c r="BE8" i="39" s="1"/>
  <c r="BW7" i="39"/>
  <c r="BZ7" i="39" s="1"/>
  <c r="BE7" i="39" s="1"/>
  <c r="BW6" i="39"/>
  <c r="BZ6" i="39" s="1"/>
  <c r="BE6" i="39" s="1"/>
  <c r="BX67" i="39"/>
  <c r="BX66" i="39"/>
  <c r="BX65" i="39"/>
  <c r="BX64" i="39"/>
  <c r="BX63" i="39"/>
  <c r="BX62" i="39"/>
  <c r="BX61" i="39"/>
  <c r="BX60" i="39"/>
  <c r="BX59" i="39"/>
  <c r="BX58" i="39"/>
  <c r="BX57" i="39"/>
  <c r="BX56" i="39"/>
  <c r="BX55" i="39"/>
  <c r="BX54" i="39"/>
  <c r="BX53" i="39"/>
  <c r="BX52" i="39"/>
  <c r="BX51" i="39"/>
  <c r="BX50" i="39"/>
  <c r="BX49" i="39"/>
  <c r="BX48" i="39"/>
  <c r="BX47" i="39"/>
  <c r="BX46" i="39"/>
  <c r="BX45" i="39"/>
  <c r="BX44" i="39"/>
  <c r="BX43" i="39"/>
  <c r="BX42" i="39"/>
  <c r="BX41" i="39"/>
  <c r="BX40" i="39"/>
  <c r="BX39" i="39"/>
  <c r="BX38" i="39"/>
  <c r="BX37" i="39"/>
  <c r="BX36" i="39"/>
  <c r="BX35" i="39"/>
  <c r="BX34" i="39"/>
  <c r="BX33" i="39"/>
  <c r="BX32" i="39"/>
  <c r="BX31" i="39"/>
  <c r="BX30" i="39"/>
  <c r="BX29" i="39"/>
  <c r="BX28" i="39"/>
  <c r="BX27" i="39"/>
  <c r="BX26" i="39"/>
  <c r="BX25" i="39"/>
  <c r="BX24" i="39"/>
  <c r="BX23" i="39"/>
  <c r="BX22" i="39"/>
  <c r="BX21" i="39"/>
  <c r="BX20" i="39"/>
  <c r="BX19" i="39"/>
  <c r="BX18" i="39"/>
  <c r="BX17" i="39"/>
  <c r="BX16" i="39"/>
  <c r="BX15" i="39"/>
  <c r="BX14" i="39"/>
  <c r="BX13" i="39"/>
  <c r="BX12" i="39"/>
  <c r="BX11" i="39"/>
  <c r="BX10" i="39"/>
  <c r="BX9" i="39"/>
  <c r="BX8" i="39"/>
  <c r="BX7" i="39"/>
  <c r="BX6" i="39"/>
  <c r="BX68" i="39"/>
  <c r="AP67" i="39"/>
  <c r="AP66" i="39"/>
  <c r="AP65" i="39"/>
  <c r="AP64" i="39"/>
  <c r="AP63" i="39"/>
  <c r="AP62" i="39"/>
  <c r="AP61" i="39"/>
  <c r="AP60" i="39"/>
  <c r="AP59" i="39"/>
  <c r="AP58" i="39"/>
  <c r="AP57" i="39"/>
  <c r="AP56" i="39"/>
  <c r="AP55" i="39"/>
  <c r="AP54" i="39"/>
  <c r="AP53" i="39"/>
  <c r="AP52" i="39"/>
  <c r="AP51" i="39"/>
  <c r="AP50" i="39"/>
  <c r="AP49" i="39"/>
  <c r="AP48" i="39"/>
  <c r="AP47" i="39"/>
  <c r="AP46" i="39"/>
  <c r="AP45" i="39"/>
  <c r="AP44" i="39"/>
  <c r="AP43" i="39"/>
  <c r="AP42" i="39"/>
  <c r="AP41" i="39"/>
  <c r="AP40" i="39"/>
  <c r="AP39" i="39"/>
  <c r="AP38" i="39"/>
  <c r="AP37" i="39"/>
  <c r="AP36" i="39"/>
  <c r="AP35" i="39"/>
  <c r="AP34" i="39"/>
  <c r="AP33" i="39"/>
  <c r="AP32" i="39"/>
  <c r="AP31" i="39"/>
  <c r="AP30" i="39"/>
  <c r="AP29" i="39"/>
  <c r="AP28" i="39"/>
  <c r="AP27" i="39"/>
  <c r="AP26" i="39"/>
  <c r="AP25" i="39"/>
  <c r="AP24" i="39"/>
  <c r="AP23" i="39"/>
  <c r="AP22" i="39"/>
  <c r="AP21" i="39"/>
  <c r="AP20" i="39"/>
  <c r="AP19" i="39"/>
  <c r="AP18" i="39"/>
  <c r="AP17" i="39"/>
  <c r="AP16" i="39"/>
  <c r="AP15" i="39"/>
  <c r="AP14" i="39"/>
  <c r="AP13" i="39"/>
  <c r="AP12" i="39"/>
  <c r="AP11" i="39"/>
  <c r="AP10" i="39"/>
  <c r="AP9" i="39"/>
  <c r="AP8" i="39"/>
  <c r="AP7" i="39"/>
  <c r="AP6" i="39"/>
  <c r="AP68" i="39"/>
  <c r="AJ28" i="10" l="1"/>
  <c r="AF28" i="10"/>
  <c r="AJ40" i="10"/>
  <c r="AF40" i="10"/>
  <c r="AF64" i="10"/>
  <c r="AJ64" i="10"/>
  <c r="AF29" i="10"/>
  <c r="AJ29" i="10"/>
  <c r="AJ41" i="10"/>
  <c r="AF41" i="10"/>
  <c r="AJ53" i="10"/>
  <c r="AF53" i="10"/>
  <c r="AJ65" i="10"/>
  <c r="AF65" i="10"/>
  <c r="AF30" i="10"/>
  <c r="AJ30" i="10"/>
  <c r="AJ54" i="10"/>
  <c r="AF54" i="10"/>
  <c r="AJ66" i="10"/>
  <c r="AF66" i="10"/>
  <c r="AF43" i="10"/>
  <c r="AJ43" i="10"/>
  <c r="AJ55" i="10"/>
  <c r="AF55" i="10"/>
  <c r="AF67" i="10"/>
  <c r="AJ67" i="10"/>
  <c r="AJ22" i="10"/>
  <c r="AF22" i="10"/>
  <c r="AF70" i="10"/>
  <c r="AJ70" i="10"/>
  <c r="AJ23" i="10"/>
  <c r="AF23" i="10"/>
  <c r="AF35" i="10"/>
  <c r="AJ35" i="10"/>
  <c r="AJ47" i="10"/>
  <c r="AF47" i="10"/>
  <c r="AF59" i="10"/>
  <c r="AJ59" i="10"/>
  <c r="AJ71" i="10"/>
  <c r="AF71" i="10"/>
  <c r="AJ34" i="10"/>
  <c r="AF34" i="10"/>
  <c r="AF24" i="10"/>
  <c r="AJ24" i="10"/>
  <c r="AF36" i="10"/>
  <c r="AJ36" i="10"/>
  <c r="AJ48" i="10"/>
  <c r="AF48" i="10"/>
  <c r="AF60" i="10"/>
  <c r="AJ60" i="10"/>
  <c r="AJ72" i="10"/>
  <c r="AF72" i="10"/>
  <c r="AF25" i="10"/>
  <c r="AJ25" i="10"/>
  <c r="AJ37" i="10"/>
  <c r="AF37" i="10"/>
  <c r="AJ61" i="10"/>
  <c r="AF61" i="10"/>
  <c r="AJ26" i="10"/>
  <c r="AF26" i="10"/>
  <c r="AJ38" i="10"/>
  <c r="AF38" i="10"/>
  <c r="AJ50" i="10"/>
  <c r="AF50" i="10"/>
  <c r="AJ62" i="10"/>
  <c r="AF62" i="10"/>
  <c r="AF74" i="10"/>
  <c r="AJ74" i="10"/>
  <c r="AF42" i="10"/>
  <c r="AJ42" i="10"/>
  <c r="AJ20" i="10"/>
  <c r="AF20" i="10"/>
  <c r="AF32" i="10"/>
  <c r="AJ32" i="10"/>
  <c r="AF44" i="10"/>
  <c r="AJ44" i="10"/>
  <c r="AF56" i="10"/>
  <c r="AJ56" i="10"/>
  <c r="AF33" i="10"/>
  <c r="AJ33" i="10"/>
  <c r="AJ45" i="10"/>
  <c r="AF45" i="10"/>
  <c r="AJ57" i="10"/>
  <c r="AF57" i="10"/>
  <c r="AF27" i="10"/>
  <c r="AJ27" i="10"/>
  <c r="AJ39" i="10"/>
  <c r="AF39" i="10"/>
  <c r="AJ51" i="10"/>
  <c r="AF51" i="10"/>
  <c r="AF63" i="10"/>
  <c r="AJ63" i="10"/>
  <c r="K55" i="9"/>
  <c r="DH63" i="10"/>
  <c r="K32" i="9"/>
  <c r="DH40" i="10"/>
  <c r="K21" i="9"/>
  <c r="DH29" i="10"/>
  <c r="K33" i="9"/>
  <c r="DH41" i="10"/>
  <c r="K45" i="9"/>
  <c r="DH53" i="10"/>
  <c r="K57" i="9"/>
  <c r="DH65" i="10"/>
  <c r="K22" i="9"/>
  <c r="DH30" i="10"/>
  <c r="K34" i="9"/>
  <c r="DH42" i="10"/>
  <c r="K46" i="9"/>
  <c r="DH54" i="10"/>
  <c r="K58" i="9"/>
  <c r="DH66" i="10"/>
  <c r="DH51" i="10"/>
  <c r="K43" i="9"/>
  <c r="K20" i="9"/>
  <c r="DH28" i="10"/>
  <c r="DH19" i="10"/>
  <c r="K11" i="9"/>
  <c r="K23" i="9"/>
  <c r="DH31" i="10"/>
  <c r="K35" i="9"/>
  <c r="DH43" i="10"/>
  <c r="K47" i="9"/>
  <c r="DH55" i="10"/>
  <c r="K59" i="9"/>
  <c r="DH67" i="10"/>
  <c r="DH20" i="10"/>
  <c r="K12" i="9"/>
  <c r="DH32" i="10"/>
  <c r="K24" i="9"/>
  <c r="DH44" i="10"/>
  <c r="K36" i="9"/>
  <c r="DH56" i="10"/>
  <c r="K48" i="9"/>
  <c r="DH68" i="10"/>
  <c r="K60" i="9"/>
  <c r="K31" i="9"/>
  <c r="DH39" i="10"/>
  <c r="K56" i="9"/>
  <c r="DH64" i="10"/>
  <c r="DH33" i="10"/>
  <c r="K25" i="9"/>
  <c r="DH74" i="10"/>
  <c r="K66" i="9"/>
  <c r="DH22" i="10"/>
  <c r="K14" i="9"/>
  <c r="DH58" i="10"/>
  <c r="K50" i="9"/>
  <c r="DH23" i="10"/>
  <c r="K15" i="9"/>
  <c r="DH59" i="10"/>
  <c r="K51" i="9"/>
  <c r="K16" i="9"/>
  <c r="DH24" i="10"/>
  <c r="K28" i="9"/>
  <c r="DH36" i="10"/>
  <c r="K40" i="9"/>
  <c r="DH48" i="10"/>
  <c r="K52" i="9"/>
  <c r="DH60" i="10"/>
  <c r="DH71" i="10"/>
  <c r="K63" i="9"/>
  <c r="K19" i="9"/>
  <c r="DH27" i="10"/>
  <c r="K44" i="9"/>
  <c r="DH52" i="10"/>
  <c r="DH21" i="10"/>
  <c r="K13" i="9"/>
  <c r="DH57" i="10"/>
  <c r="K49" i="9"/>
  <c r="DH46" i="10"/>
  <c r="K38" i="9"/>
  <c r="DH73" i="10"/>
  <c r="K65" i="9"/>
  <c r="DH35" i="10"/>
  <c r="K27" i="9"/>
  <c r="DH47" i="10"/>
  <c r="K39" i="9"/>
  <c r="K64" i="9"/>
  <c r="DH72" i="10"/>
  <c r="K17" i="9"/>
  <c r="DH25" i="10"/>
  <c r="DH37" i="10"/>
  <c r="K29" i="9"/>
  <c r="K41" i="9"/>
  <c r="DH49" i="10"/>
  <c r="K53" i="9"/>
  <c r="DH61" i="10"/>
  <c r="DH70" i="10"/>
  <c r="K62" i="9"/>
  <c r="DH45" i="10"/>
  <c r="K37" i="9"/>
  <c r="DH34" i="10"/>
  <c r="K26" i="9"/>
  <c r="K18" i="9"/>
  <c r="DH26" i="10"/>
  <c r="DH38" i="10"/>
  <c r="K30" i="9"/>
  <c r="DH50" i="10"/>
  <c r="K42" i="9"/>
  <c r="K54" i="9"/>
  <c r="DH62" i="10"/>
  <c r="DH69" i="10"/>
  <c r="K61" i="9"/>
  <c r="CQ78" i="7"/>
  <c r="CU78" i="7" s="1"/>
  <c r="DM76" i="7"/>
  <c r="CQ79" i="7"/>
  <c r="CU79" i="7" s="1"/>
  <c r="DM79" i="7"/>
  <c r="DM78" i="7"/>
  <c r="DM77" i="7"/>
  <c r="DM75" i="7"/>
  <c r="AJ13" i="10"/>
  <c r="AF13" i="10"/>
  <c r="AF14" i="10"/>
  <c r="AJ14" i="10"/>
  <c r="AF16" i="10"/>
  <c r="AJ16" i="10"/>
  <c r="AF17" i="10"/>
  <c r="AJ17" i="10"/>
  <c r="AF18" i="10"/>
  <c r="AJ18" i="10"/>
  <c r="AF19" i="10"/>
  <c r="AJ19" i="10"/>
  <c r="CT79" i="7"/>
  <c r="DJ75" i="7"/>
  <c r="CR76" i="7"/>
  <c r="CQ76" i="7"/>
  <c r="CU76" i="7" s="1"/>
  <c r="W77" i="7"/>
  <c r="P75" i="7"/>
  <c r="AJ77" i="7"/>
  <c r="AK77" i="7"/>
  <c r="AJ76" i="7"/>
  <c r="AF76" i="7"/>
  <c r="AH76" i="7" s="1"/>
  <c r="AG76" i="7"/>
  <c r="DJ79" i="7"/>
  <c r="CR78" i="7"/>
  <c r="BD76" i="7"/>
  <c r="CT76" i="7"/>
  <c r="CS77" i="7"/>
  <c r="CT75" i="7"/>
  <c r="DJ78" i="7"/>
  <c r="CS78" i="7"/>
  <c r="DJ77" i="7"/>
  <c r="CS79" i="7"/>
  <c r="W79" i="7"/>
  <c r="P79" i="7"/>
  <c r="P77" i="7"/>
  <c r="H77" i="7"/>
  <c r="BH78" i="7"/>
  <c r="BB77" i="7"/>
  <c r="BT72" i="10" s="1"/>
  <c r="BH76" i="7"/>
  <c r="BH79" i="7"/>
  <c r="P78" i="7"/>
  <c r="BB75" i="7"/>
  <c r="BT70" i="10" s="1"/>
  <c r="W76" i="7"/>
  <c r="W78" i="7"/>
  <c r="W75" i="7"/>
  <c r="DI75" i="7"/>
  <c r="P76" i="7"/>
  <c r="DI77" i="7"/>
  <c r="AK78" i="7"/>
  <c r="AJ78" i="7"/>
  <c r="AG78" i="7"/>
  <c r="AF78" i="7"/>
  <c r="AH78" i="7" s="1"/>
  <c r="AJ75" i="7"/>
  <c r="AF75" i="7"/>
  <c r="AH75" i="7" s="1"/>
  <c r="AK75" i="7"/>
  <c r="CT78" i="7"/>
  <c r="AK76" i="7"/>
  <c r="AK79" i="7"/>
  <c r="AF77" i="7"/>
  <c r="AH77" i="7" s="1"/>
  <c r="AF79" i="7"/>
  <c r="AH79" i="7" s="1"/>
  <c r="AG79" i="7"/>
  <c r="CT77" i="7"/>
  <c r="CS75" i="7"/>
  <c r="CS76" i="7"/>
  <c r="CQ77" i="7"/>
  <c r="CU77" i="7" s="1"/>
  <c r="CQ75" i="7"/>
  <c r="CU75" i="7" s="1"/>
  <c r="CR79" i="7"/>
  <c r="DN76" i="7"/>
  <c r="DP76" i="7" s="1"/>
  <c r="E76" i="7" s="1"/>
  <c r="AX76" i="7"/>
  <c r="DN79" i="7"/>
  <c r="AX79" i="7"/>
  <c r="AV75" i="7"/>
  <c r="AW75" i="7" s="1"/>
  <c r="BL70" i="10" s="1"/>
  <c r="AW78" i="7"/>
  <c r="BL73" i="10" s="1"/>
  <c r="AV77" i="7"/>
  <c r="AW77" i="7" s="1"/>
  <c r="BL72" i="10" s="1"/>
  <c r="CR75" i="7"/>
  <c r="CR77" i="7"/>
  <c r="O75" i="7"/>
  <c r="O76" i="7"/>
  <c r="O77" i="7"/>
  <c r="O78" i="7"/>
  <c r="O79" i="7"/>
  <c r="CV76" i="7" l="1"/>
  <c r="CW76" i="7" s="1"/>
  <c r="S76" i="7" s="1"/>
  <c r="AG75" i="7"/>
  <c r="AI75" i="7" s="1"/>
  <c r="AL75" i="7" s="1"/>
  <c r="AG77" i="7"/>
  <c r="AI77" i="7" s="1"/>
  <c r="AL77" i="7" s="1"/>
  <c r="AI76" i="7"/>
  <c r="AL76" i="7" s="1"/>
  <c r="DP79" i="7"/>
  <c r="E79" i="7" s="1"/>
  <c r="U79" i="7" s="1"/>
  <c r="AI79" i="7"/>
  <c r="AL79" i="7" s="1"/>
  <c r="CV78" i="7"/>
  <c r="CW78" i="7" s="1"/>
  <c r="S78" i="7" s="1"/>
  <c r="CV79" i="7"/>
  <c r="CW79" i="7" s="1"/>
  <c r="S79" i="7" s="1"/>
  <c r="AI78" i="7"/>
  <c r="AL78" i="7" s="1"/>
  <c r="CV75" i="7"/>
  <c r="CW75" i="7" s="1"/>
  <c r="S75" i="7" s="1"/>
  <c r="CV77" i="7"/>
  <c r="CW77" i="7" s="1"/>
  <c r="S77" i="7" s="1"/>
  <c r="U76" i="7"/>
  <c r="AX77" i="7"/>
  <c r="DN77" i="7"/>
  <c r="DP77" i="7" s="1"/>
  <c r="E77" i="7" s="1"/>
  <c r="U77" i="7" s="1"/>
  <c r="AX78" i="7"/>
  <c r="DN78" i="7"/>
  <c r="DP78" i="7" s="1"/>
  <c r="E78" i="7" s="1"/>
  <c r="U78" i="7" s="1"/>
  <c r="AX75" i="7"/>
  <c r="DN75" i="7"/>
  <c r="DP75" i="7" s="1"/>
  <c r="E75" i="7" s="1"/>
  <c r="U75" i="7" s="1"/>
  <c r="W71" i="10" l="1"/>
  <c r="L71" i="10"/>
  <c r="W70" i="10"/>
  <c r="L70" i="10"/>
  <c r="W74" i="10"/>
  <c r="L74" i="10"/>
  <c r="W73" i="10"/>
  <c r="L73" i="10"/>
  <c r="W72" i="10"/>
  <c r="L72" i="10"/>
  <c r="BW68" i="39"/>
  <c r="BZ68" i="39" s="1"/>
  <c r="BE68" i="39" s="1"/>
  <c r="X72" i="10" l="1"/>
  <c r="AA72" i="10"/>
  <c r="AA73" i="10"/>
  <c r="X73" i="10"/>
  <c r="AA74" i="10"/>
  <c r="X74" i="10"/>
  <c r="AA75" i="10"/>
  <c r="AE75" i="10" s="1"/>
  <c r="X75" i="10"/>
  <c r="X71" i="10"/>
  <c r="AA71" i="10"/>
  <c r="AA76" i="10"/>
  <c r="AE76" i="10" s="1"/>
  <c r="X76" i="10"/>
  <c r="BQ68" i="39"/>
  <c r="BS68" i="39"/>
  <c r="BU68" i="39" s="1"/>
  <c r="BS67" i="39"/>
  <c r="BU67" i="39" s="1"/>
  <c r="BS66" i="39"/>
  <c r="BU66" i="39" s="1"/>
  <c r="BS65" i="39"/>
  <c r="BU65" i="39" s="1"/>
  <c r="AJ76" i="10" l="1"/>
  <c r="AF76" i="10"/>
  <c r="AE71" i="10"/>
  <c r="AI71" i="10" s="1"/>
  <c r="AM71" i="10" s="1"/>
  <c r="AE74" i="10"/>
  <c r="AI74" i="10" s="1"/>
  <c r="AM74" i="10" s="1"/>
  <c r="AE73" i="10"/>
  <c r="AF73" i="10" s="1"/>
  <c r="AE72" i="10"/>
  <c r="AI72" i="10" s="1"/>
  <c r="AM72" i="10" s="1"/>
  <c r="AI76" i="10"/>
  <c r="AM76" i="10" s="1"/>
  <c r="AI75" i="10"/>
  <c r="AM75" i="10" s="1"/>
  <c r="AN75" i="10" s="1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17" i="7"/>
  <c r="AN72" i="10" l="1"/>
  <c r="AP72" i="10"/>
  <c r="AQ72" i="10"/>
  <c r="AR72" i="10" s="1"/>
  <c r="AN74" i="10"/>
  <c r="AP74" i="10"/>
  <c r="AQ74" i="10"/>
  <c r="AR74" i="10" s="1"/>
  <c r="AN71" i="10"/>
  <c r="AQ71" i="10"/>
  <c r="AR71" i="10" s="1"/>
  <c r="AP71" i="10"/>
  <c r="AI73" i="10"/>
  <c r="AM73" i="10" s="1"/>
  <c r="AP76" i="10"/>
  <c r="AN76" i="10"/>
  <c r="AQ76" i="10"/>
  <c r="AQ75" i="10"/>
  <c r="AR75" i="10" s="1"/>
  <c r="AP75" i="10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17" i="7"/>
  <c r="T18" i="7"/>
  <c r="T19" i="7"/>
  <c r="T20" i="7"/>
  <c r="T21" i="7"/>
  <c r="AU72" i="10" l="1"/>
  <c r="CA72" i="10" s="1"/>
  <c r="AT72" i="10"/>
  <c r="AU71" i="10"/>
  <c r="CA71" i="10" s="1"/>
  <c r="AT71" i="10"/>
  <c r="AU74" i="10"/>
  <c r="CA74" i="10" s="1"/>
  <c r="AT74" i="10"/>
  <c r="AN73" i="10"/>
  <c r="AQ73" i="10"/>
  <c r="AP73" i="10"/>
  <c r="AT76" i="10"/>
  <c r="AR76" i="10"/>
  <c r="AU76" i="10"/>
  <c r="AY76" i="10" s="1"/>
  <c r="AZ76" i="10" s="1"/>
  <c r="AY72" i="10"/>
  <c r="AZ72" i="10" s="1"/>
  <c r="AU75" i="10"/>
  <c r="AV75" i="10" s="1"/>
  <c r="AT75" i="10"/>
  <c r="Q79" i="8"/>
  <c r="G13" i="10"/>
  <c r="G14" i="10"/>
  <c r="G15" i="10"/>
  <c r="G16" i="10"/>
  <c r="G17" i="10"/>
  <c r="G18" i="10"/>
  <c r="G19" i="10"/>
  <c r="AY74" i="10" l="1"/>
  <c r="AZ74" i="10" s="1"/>
  <c r="AY71" i="10"/>
  <c r="AZ71" i="10" s="1"/>
  <c r="AR73" i="10"/>
  <c r="AU73" i="10"/>
  <c r="AT73" i="10"/>
  <c r="CA76" i="10"/>
  <c r="CE76" i="10" s="1"/>
  <c r="CE71" i="10"/>
  <c r="CD71" i="10"/>
  <c r="AY75" i="10"/>
  <c r="AZ75" i="10" s="1"/>
  <c r="CA75" i="10"/>
  <c r="CD72" i="10"/>
  <c r="CE72" i="10"/>
  <c r="BC76" i="10"/>
  <c r="BG76" i="10" s="1"/>
  <c r="BK76" i="10" s="1"/>
  <c r="BO76" i="10" s="1"/>
  <c r="BS76" i="10" s="1"/>
  <c r="BW76" i="10" s="1"/>
  <c r="CD74" i="10"/>
  <c r="CE74" i="10"/>
  <c r="BC72" i="10"/>
  <c r="BG72" i="10" s="1"/>
  <c r="BK72" i="10" s="1"/>
  <c r="BO72" i="10" s="1"/>
  <c r="BS72" i="10" s="1"/>
  <c r="BW72" i="10" s="1"/>
  <c r="AQ74" i="7"/>
  <c r="AP74" i="7"/>
  <c r="AQ73" i="7"/>
  <c r="AP73" i="7"/>
  <c r="AQ72" i="7"/>
  <c r="AP72" i="7"/>
  <c r="AQ71" i="7"/>
  <c r="AP71" i="7"/>
  <c r="AQ70" i="7"/>
  <c r="AP70" i="7"/>
  <c r="AQ69" i="7"/>
  <c r="AP69" i="7"/>
  <c r="AQ68" i="7"/>
  <c r="AP68" i="7"/>
  <c r="AQ67" i="7"/>
  <c r="AP67" i="7"/>
  <c r="AQ66" i="7"/>
  <c r="AP66" i="7"/>
  <c r="AQ65" i="7"/>
  <c r="AP65" i="7"/>
  <c r="AQ64" i="7"/>
  <c r="AP64" i="7"/>
  <c r="AQ63" i="7"/>
  <c r="AP63" i="7"/>
  <c r="AQ62" i="7"/>
  <c r="AP62" i="7"/>
  <c r="AQ61" i="7"/>
  <c r="AP61" i="7"/>
  <c r="AQ60" i="7"/>
  <c r="AP60" i="7"/>
  <c r="AQ59" i="7"/>
  <c r="AP59" i="7"/>
  <c r="AQ58" i="7"/>
  <c r="AP58" i="7"/>
  <c r="AQ57" i="7"/>
  <c r="AP57" i="7"/>
  <c r="AQ56" i="7"/>
  <c r="AP56" i="7"/>
  <c r="AQ55" i="7"/>
  <c r="AP55" i="7"/>
  <c r="AQ54" i="7"/>
  <c r="AP54" i="7"/>
  <c r="AQ53" i="7"/>
  <c r="AP53" i="7"/>
  <c r="AQ52" i="7"/>
  <c r="AP52" i="7"/>
  <c r="AQ51" i="7"/>
  <c r="AP51" i="7"/>
  <c r="AQ50" i="7"/>
  <c r="AP50" i="7"/>
  <c r="AQ49" i="7"/>
  <c r="AP49" i="7"/>
  <c r="AQ48" i="7"/>
  <c r="AP48" i="7"/>
  <c r="AQ47" i="7"/>
  <c r="AP47" i="7"/>
  <c r="AQ46" i="7"/>
  <c r="AP46" i="7"/>
  <c r="AQ45" i="7"/>
  <c r="AP45" i="7"/>
  <c r="AQ44" i="7"/>
  <c r="AP44" i="7"/>
  <c r="AQ43" i="7"/>
  <c r="AP43" i="7"/>
  <c r="AQ42" i="7"/>
  <c r="AP42" i="7"/>
  <c r="AQ41" i="7"/>
  <c r="AP41" i="7"/>
  <c r="AQ40" i="7"/>
  <c r="AP40" i="7"/>
  <c r="AQ39" i="7"/>
  <c r="AP39" i="7"/>
  <c r="AQ38" i="7"/>
  <c r="AP38" i="7"/>
  <c r="AQ37" i="7"/>
  <c r="AP37" i="7"/>
  <c r="AQ36" i="7"/>
  <c r="AP36" i="7"/>
  <c r="AQ35" i="7"/>
  <c r="AP35" i="7"/>
  <c r="AQ34" i="7"/>
  <c r="AP34" i="7"/>
  <c r="AQ33" i="7"/>
  <c r="AP33" i="7"/>
  <c r="AQ32" i="7"/>
  <c r="AP32" i="7"/>
  <c r="AQ31" i="7"/>
  <c r="AP31" i="7"/>
  <c r="AQ30" i="7"/>
  <c r="AP30" i="7"/>
  <c r="AQ29" i="7"/>
  <c r="AP29" i="7"/>
  <c r="AQ28" i="7"/>
  <c r="AP28" i="7"/>
  <c r="AQ27" i="7"/>
  <c r="AP27" i="7"/>
  <c r="AQ26" i="7"/>
  <c r="AP26" i="7"/>
  <c r="AQ25" i="7"/>
  <c r="AP25" i="7"/>
  <c r="AQ24" i="7"/>
  <c r="AP24" i="7"/>
  <c r="AQ23" i="7"/>
  <c r="AP23" i="7"/>
  <c r="AQ22" i="7"/>
  <c r="AP22" i="7"/>
  <c r="AQ21" i="7"/>
  <c r="AP21" i="7"/>
  <c r="AQ20" i="7"/>
  <c r="AP20" i="7"/>
  <c r="AQ19" i="7"/>
  <c r="AP19" i="7"/>
  <c r="AQ18" i="7"/>
  <c r="AP18" i="7"/>
  <c r="AQ17" i="7"/>
  <c r="AP17" i="7"/>
  <c r="T22" i="7"/>
  <c r="BC71" i="10" l="1"/>
  <c r="BG71" i="10" s="1"/>
  <c r="BK71" i="10" s="1"/>
  <c r="BO71" i="10" s="1"/>
  <c r="BS71" i="10" s="1"/>
  <c r="BW71" i="10" s="1"/>
  <c r="BC74" i="10"/>
  <c r="BG74" i="10" s="1"/>
  <c r="BK74" i="10" s="1"/>
  <c r="BO74" i="10" s="1"/>
  <c r="BS74" i="10" s="1"/>
  <c r="BW74" i="10" s="1"/>
  <c r="AY73" i="10"/>
  <c r="CA73" i="10"/>
  <c r="CD76" i="10"/>
  <c r="CH72" i="10"/>
  <c r="CI72" i="10"/>
  <c r="BC75" i="10"/>
  <c r="BG75" i="10" s="1"/>
  <c r="BK75" i="10" s="1"/>
  <c r="BO75" i="10" s="1"/>
  <c r="BS75" i="10" s="1"/>
  <c r="BW75" i="10" s="1"/>
  <c r="CH74" i="10"/>
  <c r="CI74" i="10"/>
  <c r="CH76" i="10"/>
  <c r="CI76" i="10"/>
  <c r="CE75" i="10"/>
  <c r="CD75" i="10"/>
  <c r="CH71" i="10"/>
  <c r="CI71" i="10"/>
  <c r="CE73" i="10" l="1"/>
  <c r="CD73" i="10"/>
  <c r="AZ73" i="10"/>
  <c r="BC73" i="10"/>
  <c r="BG73" i="10" s="1"/>
  <c r="BK73" i="10" s="1"/>
  <c r="BO73" i="10" s="1"/>
  <c r="BS73" i="10" s="1"/>
  <c r="BW73" i="10" s="1"/>
  <c r="CI75" i="10"/>
  <c r="CH75" i="10"/>
  <c r="CM72" i="10"/>
  <c r="CL72" i="10"/>
  <c r="CL76" i="10"/>
  <c r="CM76" i="10"/>
  <c r="CM74" i="10"/>
  <c r="CL74" i="10"/>
  <c r="CM71" i="10"/>
  <c r="CL71" i="10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17" i="7"/>
  <c r="I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17" i="7"/>
  <c r="K93" i="10"/>
  <c r="K92" i="10"/>
  <c r="L83" i="9"/>
  <c r="L80" i="9"/>
  <c r="CI73" i="10" l="1"/>
  <c r="CH73" i="10"/>
  <c r="CP71" i="10"/>
  <c r="CQ71" i="10"/>
  <c r="CP74" i="10"/>
  <c r="CQ74" i="10"/>
  <c r="CP72" i="10"/>
  <c r="CQ72" i="10"/>
  <c r="CP76" i="10"/>
  <c r="CQ76" i="10"/>
  <c r="CL75" i="10"/>
  <c r="CM75" i="10"/>
  <c r="L84" i="9"/>
  <c r="L78" i="9"/>
  <c r="O17" i="7"/>
  <c r="L82" i="9"/>
  <c r="L81" i="9"/>
  <c r="L79" i="9"/>
  <c r="K91" i="10"/>
  <c r="K86" i="10"/>
  <c r="K87" i="10"/>
  <c r="K88" i="10"/>
  <c r="K90" i="10"/>
  <c r="K89" i="10"/>
  <c r="CL73" i="10" l="1"/>
  <c r="CM73" i="10"/>
  <c r="CQ75" i="10"/>
  <c r="CP75" i="10"/>
  <c r="CU76" i="10"/>
  <c r="CT76" i="10"/>
  <c r="CT72" i="10"/>
  <c r="CU72" i="10"/>
  <c r="CT74" i="10"/>
  <c r="CU74" i="10"/>
  <c r="CT71" i="10"/>
  <c r="CU71" i="10"/>
  <c r="L1" i="10"/>
  <c r="CP73" i="10" l="1"/>
  <c r="CQ73" i="10"/>
  <c r="CX71" i="10"/>
  <c r="CY71" i="10"/>
  <c r="CY74" i="10"/>
  <c r="CX74" i="10"/>
  <c r="CU75" i="10"/>
  <c r="CT75" i="10"/>
  <c r="CY72" i="10"/>
  <c r="CX72" i="10"/>
  <c r="CX76" i="10"/>
  <c r="CY76" i="10"/>
  <c r="Q44" i="8"/>
  <c r="Q41" i="8"/>
  <c r="K71" i="8"/>
  <c r="I73" i="8" s="1"/>
  <c r="C6" i="8"/>
  <c r="I18" i="7"/>
  <c r="O18" i="7" s="1"/>
  <c r="I19" i="7"/>
  <c r="O19" i="7" s="1"/>
  <c r="I20" i="7"/>
  <c r="O20" i="7" s="1"/>
  <c r="I21" i="7"/>
  <c r="O21" i="7" s="1"/>
  <c r="I22" i="7"/>
  <c r="O22" i="7" s="1"/>
  <c r="I23" i="7"/>
  <c r="O23" i="7" s="1"/>
  <c r="I24" i="7"/>
  <c r="O24" i="7" s="1"/>
  <c r="I25" i="7"/>
  <c r="O25" i="7" s="1"/>
  <c r="I26" i="7"/>
  <c r="O26" i="7" s="1"/>
  <c r="I27" i="7"/>
  <c r="O27" i="7" s="1"/>
  <c r="I28" i="7"/>
  <c r="O28" i="7" s="1"/>
  <c r="I29" i="7"/>
  <c r="O29" i="7" s="1"/>
  <c r="I30" i="7"/>
  <c r="O30" i="7" s="1"/>
  <c r="I31" i="7"/>
  <c r="O31" i="7" s="1"/>
  <c r="I32" i="7"/>
  <c r="O32" i="7" s="1"/>
  <c r="I33" i="7"/>
  <c r="O33" i="7" s="1"/>
  <c r="I34" i="7"/>
  <c r="O34" i="7" s="1"/>
  <c r="I35" i="7"/>
  <c r="O35" i="7" s="1"/>
  <c r="I36" i="7"/>
  <c r="O36" i="7" s="1"/>
  <c r="I37" i="7"/>
  <c r="O37" i="7" s="1"/>
  <c r="I38" i="7"/>
  <c r="O38" i="7" s="1"/>
  <c r="I39" i="7"/>
  <c r="O39" i="7" s="1"/>
  <c r="I40" i="7"/>
  <c r="O40" i="7" s="1"/>
  <c r="I41" i="7"/>
  <c r="O41" i="7" s="1"/>
  <c r="I42" i="7"/>
  <c r="O42" i="7" s="1"/>
  <c r="I43" i="7"/>
  <c r="O43" i="7" s="1"/>
  <c r="I44" i="7"/>
  <c r="O44" i="7" s="1"/>
  <c r="I45" i="7"/>
  <c r="O45" i="7" s="1"/>
  <c r="I46" i="7"/>
  <c r="O46" i="7" s="1"/>
  <c r="I47" i="7"/>
  <c r="O47" i="7" s="1"/>
  <c r="I48" i="7"/>
  <c r="O48" i="7" s="1"/>
  <c r="I49" i="7"/>
  <c r="O49" i="7" s="1"/>
  <c r="I50" i="7"/>
  <c r="O50" i="7" s="1"/>
  <c r="I51" i="7"/>
  <c r="O51" i="7" s="1"/>
  <c r="I52" i="7"/>
  <c r="O52" i="7" s="1"/>
  <c r="I53" i="7"/>
  <c r="O53" i="7" s="1"/>
  <c r="I54" i="7"/>
  <c r="O54" i="7" s="1"/>
  <c r="I55" i="7"/>
  <c r="O55" i="7" s="1"/>
  <c r="I56" i="7"/>
  <c r="O56" i="7" s="1"/>
  <c r="I57" i="7"/>
  <c r="O57" i="7" s="1"/>
  <c r="I58" i="7"/>
  <c r="O58" i="7" s="1"/>
  <c r="I59" i="7"/>
  <c r="O59" i="7" s="1"/>
  <c r="I60" i="7"/>
  <c r="O60" i="7" s="1"/>
  <c r="I61" i="7"/>
  <c r="O61" i="7" s="1"/>
  <c r="I62" i="7"/>
  <c r="O62" i="7" s="1"/>
  <c r="I63" i="7"/>
  <c r="O63" i="7" s="1"/>
  <c r="I64" i="7"/>
  <c r="O64" i="7" s="1"/>
  <c r="I65" i="7"/>
  <c r="O65" i="7" s="1"/>
  <c r="I66" i="7"/>
  <c r="O66" i="7" s="1"/>
  <c r="I67" i="7"/>
  <c r="O67" i="7" s="1"/>
  <c r="I68" i="7"/>
  <c r="O68" i="7" s="1"/>
  <c r="I69" i="7"/>
  <c r="O69" i="7" s="1"/>
  <c r="I70" i="7"/>
  <c r="O70" i="7" s="1"/>
  <c r="I71" i="7"/>
  <c r="O71" i="7" s="1"/>
  <c r="I72" i="7"/>
  <c r="O72" i="7" s="1"/>
  <c r="I73" i="7"/>
  <c r="O73" i="7" s="1"/>
  <c r="I74" i="7"/>
  <c r="O74" i="7" s="1"/>
  <c r="CT73" i="10" l="1"/>
  <c r="CU73" i="10"/>
  <c r="DB76" i="10"/>
  <c r="DC76" i="10"/>
  <c r="DF76" i="10" s="1"/>
  <c r="DG76" i="10" s="1"/>
  <c r="DB72" i="10"/>
  <c r="DC72" i="10"/>
  <c r="DF72" i="10" s="1"/>
  <c r="DG72" i="10" s="1"/>
  <c r="CX75" i="10"/>
  <c r="CY75" i="10"/>
  <c r="DB74" i="10"/>
  <c r="DC74" i="10"/>
  <c r="DF74" i="10" s="1"/>
  <c r="DG74" i="10" s="1"/>
  <c r="DB71" i="10"/>
  <c r="DC71" i="10"/>
  <c r="DF71" i="10" s="1"/>
  <c r="DG71" i="10" s="1"/>
  <c r="J38" i="8"/>
  <c r="I39" i="8" s="1"/>
  <c r="I71" i="8"/>
  <c r="I72" i="8"/>
  <c r="CY73" i="10" l="1"/>
  <c r="CX73" i="10"/>
  <c r="DC75" i="10"/>
  <c r="DF75" i="10" s="1"/>
  <c r="DG75" i="10" s="1"/>
  <c r="DB75" i="10"/>
  <c r="K67" i="8"/>
  <c r="F67" i="8" l="1"/>
  <c r="J71" i="8" s="1"/>
  <c r="DC73" i="10"/>
  <c r="DF73" i="10" s="1"/>
  <c r="DG73" i="10" s="1"/>
  <c r="DB73" i="10"/>
  <c r="F68" i="8"/>
  <c r="J72" i="8" s="1"/>
  <c r="BL26" i="7"/>
  <c r="BL27" i="7"/>
  <c r="BL28" i="7"/>
  <c r="BL29" i="7"/>
  <c r="BL30" i="7"/>
  <c r="BL31" i="7"/>
  <c r="BL32" i="7"/>
  <c r="BL33" i="7"/>
  <c r="BL34" i="7"/>
  <c r="BL35" i="7"/>
  <c r="BL36" i="7"/>
  <c r="BL37" i="7"/>
  <c r="BL38" i="7"/>
  <c r="BL39" i="7"/>
  <c r="BL40" i="7"/>
  <c r="BL41" i="7"/>
  <c r="BL42" i="7"/>
  <c r="BL43" i="7"/>
  <c r="BL44" i="7"/>
  <c r="BL45" i="7"/>
  <c r="BL46" i="7"/>
  <c r="BL47" i="7"/>
  <c r="BL48" i="7"/>
  <c r="BL49" i="7"/>
  <c r="BL50" i="7"/>
  <c r="BL51" i="7"/>
  <c r="BL52" i="7"/>
  <c r="BL53" i="7"/>
  <c r="BL54" i="7"/>
  <c r="BL55" i="7"/>
  <c r="BL56" i="7"/>
  <c r="BL57" i="7"/>
  <c r="BL58" i="7"/>
  <c r="BL59" i="7"/>
  <c r="BL60" i="7"/>
  <c r="BL61" i="7"/>
  <c r="BL62" i="7"/>
  <c r="BL63" i="7"/>
  <c r="BL64" i="7"/>
  <c r="BL65" i="7"/>
  <c r="BL66" i="7"/>
  <c r="BL67" i="7"/>
  <c r="BL68" i="7"/>
  <c r="BL69" i="7"/>
  <c r="BL70" i="7"/>
  <c r="BL71" i="7"/>
  <c r="BL72" i="7"/>
  <c r="BL73" i="7"/>
  <c r="BL74" i="7"/>
  <c r="F69" i="8" l="1"/>
  <c r="J73" i="8" s="1"/>
  <c r="BA17" i="7"/>
  <c r="DM36" i="7"/>
  <c r="DM40" i="7"/>
  <c r="DM44" i="7"/>
  <c r="DM45" i="7"/>
  <c r="DM58" i="7"/>
  <c r="DM60" i="7"/>
  <c r="DM62" i="7"/>
  <c r="DM65" i="7"/>
  <c r="DM67" i="7"/>
  <c r="BM17" i="7"/>
  <c r="BD18" i="7"/>
  <c r="BD19" i="7"/>
  <c r="BD20" i="7"/>
  <c r="DJ21" i="7"/>
  <c r="DJ22" i="7"/>
  <c r="BD23" i="7"/>
  <c r="DJ24" i="7"/>
  <c r="BD25" i="7"/>
  <c r="DJ26" i="7"/>
  <c r="DJ27" i="7"/>
  <c r="DJ28" i="7"/>
  <c r="DJ29" i="7"/>
  <c r="DJ30" i="7"/>
  <c r="BD31" i="7"/>
  <c r="DJ32" i="7"/>
  <c r="DJ33" i="7"/>
  <c r="DJ34" i="7"/>
  <c r="DJ35" i="7"/>
  <c r="DJ36" i="7"/>
  <c r="DJ37" i="7"/>
  <c r="DJ38" i="7"/>
  <c r="BD39" i="7"/>
  <c r="DJ40" i="7"/>
  <c r="DJ41" i="7"/>
  <c r="DJ42" i="7"/>
  <c r="DJ43" i="7"/>
  <c r="DJ44" i="7"/>
  <c r="DJ45" i="7"/>
  <c r="BD46" i="7"/>
  <c r="DJ47" i="7"/>
  <c r="DJ48" i="7"/>
  <c r="DJ49" i="7"/>
  <c r="DJ50" i="7"/>
  <c r="DJ51" i="7"/>
  <c r="DJ52" i="7"/>
  <c r="DJ53" i="7"/>
  <c r="BD54" i="7"/>
  <c r="DJ55" i="7"/>
  <c r="DJ56" i="7"/>
  <c r="DJ57" i="7"/>
  <c r="DJ58" i="7"/>
  <c r="DJ59" i="7"/>
  <c r="DJ60" i="7"/>
  <c r="BD61" i="7"/>
  <c r="DJ62" i="7"/>
  <c r="DJ63" i="7"/>
  <c r="DJ64" i="7"/>
  <c r="DJ65" i="7"/>
  <c r="DJ66" i="7"/>
  <c r="DJ67" i="7"/>
  <c r="BD68" i="7"/>
  <c r="DJ69" i="7"/>
  <c r="DJ70" i="7"/>
  <c r="DJ71" i="7"/>
  <c r="DJ72" i="7"/>
  <c r="DJ73" i="7"/>
  <c r="DJ74" i="7"/>
  <c r="BF17" i="7"/>
  <c r="DJ17" i="7" s="1"/>
  <c r="DJ20" i="7"/>
  <c r="DJ19" i="7" l="1"/>
  <c r="DJ23" i="7"/>
  <c r="DJ25" i="7"/>
  <c r="DM56" i="7"/>
  <c r="DM26" i="7"/>
  <c r="BD38" i="7"/>
  <c r="DJ39" i="7"/>
  <c r="DM63" i="7"/>
  <c r="DM34" i="7"/>
  <c r="BD30" i="7"/>
  <c r="DJ31" i="7"/>
  <c r="DM61" i="7"/>
  <c r="DM31" i="7"/>
  <c r="DM54" i="7"/>
  <c r="BD67" i="7"/>
  <c r="DJ68" i="7"/>
  <c r="DM49" i="7"/>
  <c r="BD60" i="7"/>
  <c r="DJ61" i="7"/>
  <c r="DM46" i="7"/>
  <c r="BD53" i="7"/>
  <c r="DJ54" i="7"/>
  <c r="DM71" i="7"/>
  <c r="DM41" i="7"/>
  <c r="DJ18" i="7"/>
  <c r="BD17" i="7"/>
  <c r="BD45" i="7"/>
  <c r="DJ46" i="7"/>
  <c r="DM68" i="7"/>
  <c r="DM39" i="7"/>
  <c r="DM33" i="7"/>
  <c r="DM69" i="7"/>
  <c r="DM47" i="7"/>
  <c r="DM32" i="7"/>
  <c r="DM53" i="7"/>
  <c r="DM38" i="7"/>
  <c r="DM30" i="7"/>
  <c r="DM70" i="7"/>
  <c r="DM74" i="7"/>
  <c r="DM66" i="7"/>
  <c r="DM59" i="7"/>
  <c r="DM52" i="7"/>
  <c r="DM37" i="7"/>
  <c r="DM29" i="7"/>
  <c r="DM48" i="7"/>
  <c r="DM17" i="7"/>
  <c r="AB12" i="10"/>
  <c r="DM73" i="7"/>
  <c r="DM51" i="7"/>
  <c r="DM43" i="7"/>
  <c r="DM28" i="7"/>
  <c r="DM55" i="7"/>
  <c r="DM72" i="7"/>
  <c r="DM64" i="7"/>
  <c r="DM57" i="7"/>
  <c r="DM50" i="7"/>
  <c r="DM42" i="7"/>
  <c r="DM35" i="7"/>
  <c r="DM27" i="7"/>
  <c r="BD74" i="7"/>
  <c r="BD66" i="7"/>
  <c r="BD59" i="7"/>
  <c r="BD52" i="7"/>
  <c r="BD44" i="7"/>
  <c r="BD37" i="7"/>
  <c r="BD29" i="7"/>
  <c r="BD22" i="7"/>
  <c r="BD73" i="7"/>
  <c r="BD65" i="7"/>
  <c r="BD58" i="7"/>
  <c r="BD51" i="7"/>
  <c r="BD43" i="7"/>
  <c r="BD36" i="7"/>
  <c r="BD28" i="7"/>
  <c r="BD21" i="7"/>
  <c r="BD72" i="7"/>
  <c r="BD64" i="7"/>
  <c r="BD57" i="7"/>
  <c r="BD50" i="7"/>
  <c r="BD42" i="7"/>
  <c r="BD35" i="7"/>
  <c r="BD27" i="7"/>
  <c r="BD71" i="7"/>
  <c r="BD63" i="7"/>
  <c r="BD56" i="7"/>
  <c r="BD49" i="7"/>
  <c r="BD41" i="7"/>
  <c r="BD34" i="7"/>
  <c r="BD26" i="7"/>
  <c r="BD70" i="7"/>
  <c r="BD55" i="7"/>
  <c r="BD48" i="7"/>
  <c r="BD40" i="7"/>
  <c r="BD33" i="7"/>
  <c r="BD69" i="7"/>
  <c r="BD62" i="7"/>
  <c r="BD47" i="7"/>
  <c r="BD32" i="7"/>
  <c r="BD24" i="7"/>
  <c r="BC18" i="7" l="1"/>
  <c r="CG17" i="7"/>
  <c r="CL26" i="7"/>
  <c r="CL27" i="7"/>
  <c r="CL28" i="7"/>
  <c r="CL29" i="7"/>
  <c r="CL30" i="7"/>
  <c r="CL31" i="7"/>
  <c r="CL32" i="7"/>
  <c r="CL33" i="7"/>
  <c r="CL34" i="7"/>
  <c r="CL35" i="7"/>
  <c r="CL36" i="7"/>
  <c r="CL37" i="7"/>
  <c r="CL38" i="7"/>
  <c r="CL39" i="7"/>
  <c r="CL40" i="7"/>
  <c r="CL41" i="7"/>
  <c r="CL42" i="7"/>
  <c r="CL43" i="7"/>
  <c r="CL44" i="7"/>
  <c r="CL45" i="7"/>
  <c r="CL46" i="7"/>
  <c r="CL47" i="7"/>
  <c r="CL48" i="7"/>
  <c r="CL49" i="7"/>
  <c r="CL50" i="7"/>
  <c r="CL51" i="7"/>
  <c r="CL52" i="7"/>
  <c r="CL53" i="7"/>
  <c r="CL54" i="7"/>
  <c r="CL55" i="7"/>
  <c r="CL56" i="7"/>
  <c r="CL57" i="7"/>
  <c r="CL58" i="7"/>
  <c r="CL59" i="7"/>
  <c r="CL60" i="7"/>
  <c r="CL61" i="7"/>
  <c r="CL62" i="7"/>
  <c r="CL63" i="7"/>
  <c r="CL64" i="7"/>
  <c r="CL65" i="7"/>
  <c r="CL66" i="7"/>
  <c r="CL67" i="7"/>
  <c r="CL68" i="7"/>
  <c r="CL69" i="7"/>
  <c r="CL70" i="7"/>
  <c r="CL71" i="7"/>
  <c r="CL72" i="7"/>
  <c r="CL73" i="7"/>
  <c r="CL74" i="7"/>
  <c r="CL18" i="7"/>
  <c r="CL19" i="7"/>
  <c r="CL20" i="7"/>
  <c r="CL21" i="7"/>
  <c r="CL22" i="7"/>
  <c r="CL23" i="7"/>
  <c r="CL24" i="7"/>
  <c r="CL25" i="7"/>
  <c r="CL17" i="7"/>
  <c r="AE27" i="7"/>
  <c r="AE28" i="7"/>
  <c r="AE29" i="7"/>
  <c r="AE30" i="7"/>
  <c r="AE31" i="7"/>
  <c r="AE32" i="7"/>
  <c r="AE33" i="7"/>
  <c r="AE35" i="7"/>
  <c r="AE36" i="7"/>
  <c r="AE37" i="7"/>
  <c r="AE38" i="7"/>
  <c r="AE39" i="7"/>
  <c r="AE40" i="7"/>
  <c r="AE42" i="7"/>
  <c r="AE44" i="7"/>
  <c r="AE45" i="7"/>
  <c r="AE46" i="7"/>
  <c r="AE47" i="7"/>
  <c r="AE48" i="7"/>
  <c r="AE50" i="7"/>
  <c r="AE51" i="7"/>
  <c r="AE52" i="7"/>
  <c r="AE53" i="7"/>
  <c r="AE54" i="7"/>
  <c r="AE55" i="7"/>
  <c r="AE57" i="7"/>
  <c r="AE58" i="7"/>
  <c r="AE59" i="7"/>
  <c r="AE60" i="7"/>
  <c r="AE61" i="7"/>
  <c r="AE62" i="7"/>
  <c r="AE64" i="7"/>
  <c r="AE65" i="7"/>
  <c r="AE66" i="7"/>
  <c r="AE67" i="7"/>
  <c r="AE68" i="7"/>
  <c r="AE69" i="7"/>
  <c r="AE70" i="7"/>
  <c r="AE72" i="7"/>
  <c r="AE73" i="7"/>
  <c r="AE74" i="7"/>
  <c r="AE18" i="7"/>
  <c r="AE19" i="7"/>
  <c r="AE20" i="7"/>
  <c r="AE21" i="7"/>
  <c r="AE22" i="7"/>
  <c r="AE23" i="7"/>
  <c r="AE24" i="7"/>
  <c r="AE25" i="7"/>
  <c r="CK17" i="7"/>
  <c r="AE17" i="7" s="1"/>
  <c r="BZ17" i="7"/>
  <c r="BY17" i="7"/>
  <c r="BC19" i="7"/>
  <c r="BC20" i="7"/>
  <c r="AV15" i="10" s="1"/>
  <c r="BC21" i="7"/>
  <c r="AV16" i="10" s="1"/>
  <c r="BC22" i="7"/>
  <c r="BC23" i="7"/>
  <c r="AV18" i="10" s="1"/>
  <c r="BC24" i="7"/>
  <c r="BC25" i="7"/>
  <c r="AV20" i="10" s="1"/>
  <c r="BC28" i="7"/>
  <c r="AV23" i="10" s="1"/>
  <c r="BC29" i="7"/>
  <c r="AV24" i="10" s="1"/>
  <c r="BC32" i="7"/>
  <c r="AV27" i="10" s="1"/>
  <c r="BC36" i="7"/>
  <c r="AV31" i="10" s="1"/>
  <c r="BC37" i="7"/>
  <c r="AV32" i="10" s="1"/>
  <c r="CS40" i="7"/>
  <c r="BC43" i="7"/>
  <c r="AV38" i="10" s="1"/>
  <c r="BC44" i="7"/>
  <c r="BC47" i="7"/>
  <c r="AV42" i="10" s="1"/>
  <c r="BC51" i="7"/>
  <c r="BC58" i="7"/>
  <c r="AV53" i="10" s="1"/>
  <c r="BC62" i="7"/>
  <c r="BC65" i="7"/>
  <c r="BC69" i="7"/>
  <c r="AV64" i="10" s="1"/>
  <c r="BC73" i="7"/>
  <c r="AV68" i="10" s="1"/>
  <c r="BU17" i="7"/>
  <c r="BC17" i="7" s="1"/>
  <c r="BT17" i="7"/>
  <c r="BS17" i="7"/>
  <c r="CT72" i="7" l="1"/>
  <c r="CT64" i="7"/>
  <c r="CT73" i="7"/>
  <c r="CT58" i="7"/>
  <c r="CS59" i="7"/>
  <c r="BC59" i="7"/>
  <c r="AV54" i="10" s="1"/>
  <c r="CR50" i="7"/>
  <c r="BC50" i="7"/>
  <c r="AV45" i="10" s="1"/>
  <c r="CT51" i="7"/>
  <c r="CS51" i="7"/>
  <c r="CS57" i="7"/>
  <c r="BC57" i="7"/>
  <c r="AV52" i="10" s="1"/>
  <c r="CT36" i="7"/>
  <c r="CR71" i="7"/>
  <c r="BC71" i="7"/>
  <c r="AV66" i="10" s="1"/>
  <c r="CR63" i="7"/>
  <c r="BC63" i="7"/>
  <c r="CS56" i="7"/>
  <c r="BC56" i="7"/>
  <c r="AV51" i="10" s="1"/>
  <c r="CR49" i="7"/>
  <c r="BC49" i="7"/>
  <c r="AV44" i="10" s="1"/>
  <c r="CS41" i="7"/>
  <c r="BC41" i="7"/>
  <c r="AV36" i="10" s="1"/>
  <c r="CR34" i="7"/>
  <c r="BC34" i="7"/>
  <c r="CS26" i="7"/>
  <c r="BC26" i="7"/>
  <c r="CT50" i="7"/>
  <c r="CT35" i="7"/>
  <c r="CS64" i="7"/>
  <c r="CR57" i="7"/>
  <c r="CS50" i="7"/>
  <c r="CR42" i="7"/>
  <c r="CR27" i="7"/>
  <c r="CR72" i="7"/>
  <c r="BC72" i="7"/>
  <c r="AV67" i="10" s="1"/>
  <c r="CS42" i="7"/>
  <c r="BC42" i="7"/>
  <c r="AV37" i="10" s="1"/>
  <c r="CT65" i="7"/>
  <c r="CS65" i="7"/>
  <c r="CS70" i="7"/>
  <c r="BC70" i="7"/>
  <c r="AV65" i="10" s="1"/>
  <c r="CS55" i="7"/>
  <c r="BC55" i="7"/>
  <c r="AV50" i="10" s="1"/>
  <c r="CR48" i="7"/>
  <c r="BC48" i="7"/>
  <c r="AV43" i="10" s="1"/>
  <c r="CR40" i="7"/>
  <c r="CV40" i="7" s="1"/>
  <c r="BC40" i="7"/>
  <c r="AV35" i="10" s="1"/>
  <c r="CR33" i="7"/>
  <c r="BC33" i="7"/>
  <c r="AV28" i="10" s="1"/>
  <c r="CS63" i="7"/>
  <c r="CR56" i="7"/>
  <c r="CS49" i="7"/>
  <c r="CR41" i="7"/>
  <c r="CR26" i="7"/>
  <c r="CT57" i="7"/>
  <c r="CR55" i="7"/>
  <c r="CT42" i="7"/>
  <c r="CS27" i="7"/>
  <c r="BC27" i="7"/>
  <c r="AV22" i="10" s="1"/>
  <c r="CR28" i="7"/>
  <c r="CS68" i="7"/>
  <c r="BC68" i="7"/>
  <c r="AV63" i="10" s="1"/>
  <c r="CS61" i="7"/>
  <c r="BC61" i="7"/>
  <c r="AV56" i="10" s="1"/>
  <c r="CS54" i="7"/>
  <c r="BC54" i="7"/>
  <c r="AV49" i="10" s="1"/>
  <c r="CR46" i="7"/>
  <c r="BC46" i="7"/>
  <c r="CR39" i="7"/>
  <c r="BC39" i="7"/>
  <c r="AV34" i="10" s="1"/>
  <c r="CR31" i="7"/>
  <c r="BC31" i="7"/>
  <c r="AV26" i="10" s="1"/>
  <c r="CR70" i="7"/>
  <c r="CT27" i="7"/>
  <c r="CS74" i="7"/>
  <c r="BC74" i="7"/>
  <c r="CS66" i="7"/>
  <c r="BC66" i="7"/>
  <c r="AV61" i="10" s="1"/>
  <c r="CS52" i="7"/>
  <c r="BC52" i="7"/>
  <c r="AV47" i="10" s="1"/>
  <c r="CR64" i="7"/>
  <c r="BC64" i="7"/>
  <c r="AV59" i="10" s="1"/>
  <c r="CS35" i="7"/>
  <c r="BC35" i="7"/>
  <c r="AV30" i="10" s="1"/>
  <c r="CR43" i="7"/>
  <c r="CS67" i="7"/>
  <c r="BC67" i="7"/>
  <c r="AV62" i="10" s="1"/>
  <c r="CS60" i="7"/>
  <c r="BC60" i="7"/>
  <c r="AV55" i="10" s="1"/>
  <c r="CS53" i="7"/>
  <c r="BC53" i="7"/>
  <c r="AV48" i="10" s="1"/>
  <c r="CS45" i="7"/>
  <c r="BC45" i="7"/>
  <c r="AV40" i="10" s="1"/>
  <c r="CS38" i="7"/>
  <c r="BC38" i="7"/>
  <c r="AV33" i="10" s="1"/>
  <c r="CS30" i="7"/>
  <c r="BC30" i="7"/>
  <c r="AV25" i="10" s="1"/>
  <c r="CS46" i="7"/>
  <c r="CT55" i="7"/>
  <c r="CT48" i="7"/>
  <c r="CT69" i="7"/>
  <c r="CT43" i="7"/>
  <c r="AE43" i="7"/>
  <c r="CT40" i="7"/>
  <c r="CT70" i="7"/>
  <c r="CT33" i="7"/>
  <c r="CT62" i="7"/>
  <c r="CT47" i="7"/>
  <c r="CT32" i="7"/>
  <c r="CR73" i="7"/>
  <c r="CR65" i="7"/>
  <c r="CR58" i="7"/>
  <c r="CR51" i="7"/>
  <c r="CS43" i="7"/>
  <c r="CS36" i="7"/>
  <c r="CS28" i="7"/>
  <c r="CT71" i="7"/>
  <c r="AE71" i="7"/>
  <c r="CT63" i="7"/>
  <c r="AE63" i="7"/>
  <c r="CT56" i="7"/>
  <c r="AE56" i="7"/>
  <c r="CT49" i="7"/>
  <c r="AE49" i="7"/>
  <c r="CT41" i="7"/>
  <c r="AE41" i="7"/>
  <c r="CT34" i="7"/>
  <c r="AE34" i="7"/>
  <c r="CT26" i="7"/>
  <c r="AE26" i="7"/>
  <c r="CT28" i="7"/>
  <c r="CR52" i="7"/>
  <c r="CS48" i="7"/>
  <c r="CS34" i="7"/>
  <c r="CR74" i="7"/>
  <c r="CR36" i="7"/>
  <c r="CS73" i="7"/>
  <c r="CS58" i="7"/>
  <c r="CS37" i="7"/>
  <c r="CR37" i="7"/>
  <c r="CT54" i="7"/>
  <c r="CS33" i="7"/>
  <c r="CS69" i="7"/>
  <c r="CR69" i="7"/>
  <c r="CR35" i="7"/>
  <c r="CS72" i="7"/>
  <c r="CS44" i="7"/>
  <c r="CR44" i="7"/>
  <c r="CS29" i="7"/>
  <c r="CR29" i="7"/>
  <c r="CT61" i="7"/>
  <c r="CT46" i="7"/>
  <c r="CT39" i="7"/>
  <c r="CR66" i="7"/>
  <c r="CT67" i="7"/>
  <c r="CT53" i="7"/>
  <c r="CT45" i="7"/>
  <c r="CT30" i="7"/>
  <c r="CT74" i="7"/>
  <c r="CT59" i="7"/>
  <c r="CT44" i="7"/>
  <c r="CT29" i="7"/>
  <c r="CS62" i="7"/>
  <c r="CR62" i="7"/>
  <c r="CS47" i="7"/>
  <c r="CR47" i="7"/>
  <c r="CS32" i="7"/>
  <c r="CR32" i="7"/>
  <c r="CR59" i="7"/>
  <c r="CS71" i="7"/>
  <c r="CT68" i="7"/>
  <c r="CT31" i="7"/>
  <c r="CT60" i="7"/>
  <c r="CT38" i="7"/>
  <c r="CT66" i="7"/>
  <c r="CT52" i="7"/>
  <c r="CT37" i="7"/>
  <c r="CS39" i="7"/>
  <c r="CS31" i="7"/>
  <c r="CR68" i="7"/>
  <c r="CR61" i="7"/>
  <c r="CR54" i="7"/>
  <c r="CR67" i="7"/>
  <c r="CR60" i="7"/>
  <c r="CR53" i="7"/>
  <c r="CR45" i="7"/>
  <c r="CR38" i="7"/>
  <c r="CR30" i="7"/>
  <c r="CQ63" i="7"/>
  <c r="CU63" i="7" s="1"/>
  <c r="CQ64" i="7"/>
  <c r="CU64" i="7" s="1"/>
  <c r="CQ65" i="7"/>
  <c r="CU65" i="7" s="1"/>
  <c r="CQ66" i="7"/>
  <c r="CU66" i="7" s="1"/>
  <c r="CQ67" i="7"/>
  <c r="CU67" i="7" s="1"/>
  <c r="CQ68" i="7"/>
  <c r="CU68" i="7" s="1"/>
  <c r="CQ69" i="7"/>
  <c r="CU69" i="7" s="1"/>
  <c r="CQ70" i="7"/>
  <c r="CU70" i="7" s="1"/>
  <c r="CQ71" i="7"/>
  <c r="CU71" i="7" s="1"/>
  <c r="CQ72" i="7"/>
  <c r="CU72" i="7" s="1"/>
  <c r="CQ73" i="7"/>
  <c r="CU73" i="7" s="1"/>
  <c r="CQ74" i="7"/>
  <c r="CU74" i="7" s="1"/>
  <c r="CQ26" i="7"/>
  <c r="CU26" i="7" s="1"/>
  <c r="CQ27" i="7"/>
  <c r="CU27" i="7" s="1"/>
  <c r="CQ28" i="7"/>
  <c r="CU28" i="7" s="1"/>
  <c r="CQ29" i="7"/>
  <c r="CU29" i="7" s="1"/>
  <c r="CQ30" i="7"/>
  <c r="CU30" i="7" s="1"/>
  <c r="CQ31" i="7"/>
  <c r="CU31" i="7" s="1"/>
  <c r="CQ32" i="7"/>
  <c r="CU32" i="7" s="1"/>
  <c r="CQ33" i="7"/>
  <c r="CU33" i="7" s="1"/>
  <c r="CQ34" i="7"/>
  <c r="CU34" i="7" s="1"/>
  <c r="CQ35" i="7"/>
  <c r="CU35" i="7" s="1"/>
  <c r="CQ36" i="7"/>
  <c r="CU36" i="7" s="1"/>
  <c r="CQ37" i="7"/>
  <c r="CU37" i="7" s="1"/>
  <c r="CQ38" i="7"/>
  <c r="CU38" i="7" s="1"/>
  <c r="CQ39" i="7"/>
  <c r="CU39" i="7" s="1"/>
  <c r="CQ40" i="7"/>
  <c r="CU40" i="7" s="1"/>
  <c r="CQ41" i="7"/>
  <c r="CU41" i="7" s="1"/>
  <c r="CQ42" i="7"/>
  <c r="CU42" i="7" s="1"/>
  <c r="CQ43" i="7"/>
  <c r="CU43" i="7" s="1"/>
  <c r="CQ44" i="7"/>
  <c r="CU44" i="7" s="1"/>
  <c r="CQ45" i="7"/>
  <c r="CU45" i="7" s="1"/>
  <c r="CQ46" i="7"/>
  <c r="CU46" i="7" s="1"/>
  <c r="CQ47" i="7"/>
  <c r="CU47" i="7" s="1"/>
  <c r="CQ48" i="7"/>
  <c r="CU48" i="7" s="1"/>
  <c r="CQ49" i="7"/>
  <c r="CU49" i="7" s="1"/>
  <c r="CQ50" i="7"/>
  <c r="CU50" i="7" s="1"/>
  <c r="CQ51" i="7"/>
  <c r="CU51" i="7" s="1"/>
  <c r="CQ52" i="7"/>
  <c r="CU52" i="7" s="1"/>
  <c r="CQ53" i="7"/>
  <c r="CU53" i="7" s="1"/>
  <c r="CQ54" i="7"/>
  <c r="CU54" i="7" s="1"/>
  <c r="CQ55" i="7"/>
  <c r="CU55" i="7" s="1"/>
  <c r="CQ56" i="7"/>
  <c r="CU56" i="7" s="1"/>
  <c r="CQ57" i="7"/>
  <c r="CU57" i="7" s="1"/>
  <c r="CQ58" i="7"/>
  <c r="CU58" i="7" s="1"/>
  <c r="CQ59" i="7"/>
  <c r="CU59" i="7" s="1"/>
  <c r="CQ60" i="7"/>
  <c r="CU60" i="7" s="1"/>
  <c r="CQ61" i="7"/>
  <c r="CU61" i="7" s="1"/>
  <c r="CQ62" i="7"/>
  <c r="CU62" i="7" s="1"/>
  <c r="CF17" i="7"/>
  <c r="BO8" i="7"/>
  <c r="BJ17" i="7"/>
  <c r="BH12" i="10" s="1"/>
  <c r="BK26" i="7"/>
  <c r="BK27" i="7"/>
  <c r="BK28" i="7"/>
  <c r="BK29" i="7"/>
  <c r="BK30" i="7"/>
  <c r="BK31" i="7"/>
  <c r="BK32" i="7"/>
  <c r="BK33" i="7"/>
  <c r="BK34" i="7"/>
  <c r="BK35" i="7"/>
  <c r="BK36" i="7"/>
  <c r="BK37" i="7"/>
  <c r="BK38" i="7"/>
  <c r="BK39" i="7"/>
  <c r="BK40" i="7"/>
  <c r="BK41" i="7"/>
  <c r="BK42" i="7"/>
  <c r="BK43" i="7"/>
  <c r="BK44" i="7"/>
  <c r="BK45" i="7"/>
  <c r="BK46" i="7"/>
  <c r="BK47" i="7"/>
  <c r="BK48" i="7"/>
  <c r="BK49" i="7"/>
  <c r="BK50" i="7"/>
  <c r="BK51" i="7"/>
  <c r="BK52" i="7"/>
  <c r="BK53" i="7"/>
  <c r="BK54" i="7"/>
  <c r="BK55" i="7"/>
  <c r="BK56" i="7"/>
  <c r="BK57" i="7"/>
  <c r="BK58" i="7"/>
  <c r="BK59" i="7"/>
  <c r="BK60" i="7"/>
  <c r="BK61" i="7"/>
  <c r="BK62" i="7"/>
  <c r="BK63" i="7"/>
  <c r="BK64" i="7"/>
  <c r="BK65" i="7"/>
  <c r="BK66" i="7"/>
  <c r="BK67" i="7"/>
  <c r="BK68" i="7"/>
  <c r="BK69" i="7"/>
  <c r="BK70" i="7"/>
  <c r="BK71" i="7"/>
  <c r="BK72" i="7"/>
  <c r="BK73" i="7"/>
  <c r="BK74" i="7"/>
  <c r="BG26" i="7"/>
  <c r="BE26" i="7" s="1"/>
  <c r="BG27" i="7"/>
  <c r="BE27" i="7" s="1"/>
  <c r="BG28" i="7"/>
  <c r="BE28" i="7" s="1"/>
  <c r="BG29" i="7"/>
  <c r="BE29" i="7" s="1"/>
  <c r="BG30" i="7"/>
  <c r="BE30" i="7" s="1"/>
  <c r="BG31" i="7"/>
  <c r="BE31" i="7" s="1"/>
  <c r="BG32" i="7"/>
  <c r="BE32" i="7" s="1"/>
  <c r="BG33" i="7"/>
  <c r="BE33" i="7" s="1"/>
  <c r="BG34" i="7"/>
  <c r="BE34" i="7" s="1"/>
  <c r="BG35" i="7"/>
  <c r="BE35" i="7" s="1"/>
  <c r="BG36" i="7"/>
  <c r="BE36" i="7" s="1"/>
  <c r="BG37" i="7"/>
  <c r="BE37" i="7" s="1"/>
  <c r="BG38" i="7"/>
  <c r="BE38" i="7" s="1"/>
  <c r="BG39" i="7"/>
  <c r="BE39" i="7" s="1"/>
  <c r="BG40" i="7"/>
  <c r="BE40" i="7" s="1"/>
  <c r="BG41" i="7"/>
  <c r="BE41" i="7" s="1"/>
  <c r="BG42" i="7"/>
  <c r="BE42" i="7" s="1"/>
  <c r="BG43" i="7"/>
  <c r="BE43" i="7" s="1"/>
  <c r="BG44" i="7"/>
  <c r="BE44" i="7" s="1"/>
  <c r="BG45" i="7"/>
  <c r="BE45" i="7" s="1"/>
  <c r="BG46" i="7"/>
  <c r="BE46" i="7" s="1"/>
  <c r="BG47" i="7"/>
  <c r="BE47" i="7" s="1"/>
  <c r="BG48" i="7"/>
  <c r="BE48" i="7" s="1"/>
  <c r="BG49" i="7"/>
  <c r="BE49" i="7" s="1"/>
  <c r="BG50" i="7"/>
  <c r="BE50" i="7" s="1"/>
  <c r="BG51" i="7"/>
  <c r="BE51" i="7" s="1"/>
  <c r="BG52" i="7"/>
  <c r="BE52" i="7" s="1"/>
  <c r="BG53" i="7"/>
  <c r="BE53" i="7" s="1"/>
  <c r="BG54" i="7"/>
  <c r="BE54" i="7" s="1"/>
  <c r="BG55" i="7"/>
  <c r="BE55" i="7" s="1"/>
  <c r="BG56" i="7"/>
  <c r="BE56" i="7" s="1"/>
  <c r="BG57" i="7"/>
  <c r="BE57" i="7" s="1"/>
  <c r="BG58" i="7"/>
  <c r="BE58" i="7" s="1"/>
  <c r="BG59" i="7"/>
  <c r="BE59" i="7" s="1"/>
  <c r="BG60" i="7"/>
  <c r="BE60" i="7" s="1"/>
  <c r="BG61" i="7"/>
  <c r="BE61" i="7" s="1"/>
  <c r="BG62" i="7"/>
  <c r="BE62" i="7" s="1"/>
  <c r="BG63" i="7"/>
  <c r="BE63" i="7" s="1"/>
  <c r="BG64" i="7"/>
  <c r="BE64" i="7" s="1"/>
  <c r="BG65" i="7"/>
  <c r="BE65" i="7" s="1"/>
  <c r="BG66" i="7"/>
  <c r="BE66" i="7" s="1"/>
  <c r="BG67" i="7"/>
  <c r="BE67" i="7" s="1"/>
  <c r="BG68" i="7"/>
  <c r="BE68" i="7" s="1"/>
  <c r="BG69" i="7"/>
  <c r="BE69" i="7" s="1"/>
  <c r="BG70" i="7"/>
  <c r="BE70" i="7" s="1"/>
  <c r="BG71" i="7"/>
  <c r="BE71" i="7" s="1"/>
  <c r="BG72" i="7"/>
  <c r="BE72" i="7" s="1"/>
  <c r="BG73" i="7"/>
  <c r="BE73" i="7" s="1"/>
  <c r="BG74" i="7"/>
  <c r="BE74" i="7" s="1"/>
  <c r="BG18" i="7"/>
  <c r="BE18" i="7" s="1"/>
  <c r="BG19" i="7"/>
  <c r="BE19" i="7" s="1"/>
  <c r="BG20" i="7"/>
  <c r="BE20" i="7" s="1"/>
  <c r="BG21" i="7"/>
  <c r="BE21" i="7" s="1"/>
  <c r="BG22" i="7"/>
  <c r="BE22" i="7" s="1"/>
  <c r="BG23" i="7"/>
  <c r="BE23" i="7" s="1"/>
  <c r="BG24" i="7"/>
  <c r="BE24" i="7" s="1"/>
  <c r="BG25" i="7"/>
  <c r="BE25" i="7" s="1"/>
  <c r="BG17" i="7"/>
  <c r="BE17" i="7" s="1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51" i="7"/>
  <c r="AZ52" i="7"/>
  <c r="AZ53" i="7"/>
  <c r="AZ54" i="7"/>
  <c r="AZ55" i="7"/>
  <c r="AZ56" i="7"/>
  <c r="AZ57" i="7"/>
  <c r="AZ58" i="7"/>
  <c r="AZ59" i="7"/>
  <c r="AZ60" i="7"/>
  <c r="AZ61" i="7"/>
  <c r="AZ62" i="7"/>
  <c r="AZ63" i="7"/>
  <c r="AZ64" i="7"/>
  <c r="AZ65" i="7"/>
  <c r="AZ66" i="7"/>
  <c r="AZ67" i="7"/>
  <c r="AZ68" i="7"/>
  <c r="AZ69" i="7"/>
  <c r="AZ70" i="7"/>
  <c r="AZ71" i="7"/>
  <c r="AZ72" i="7"/>
  <c r="AZ73" i="7"/>
  <c r="AZ74" i="7"/>
  <c r="AO18" i="7"/>
  <c r="AO19" i="7"/>
  <c r="AO20" i="7"/>
  <c r="AO21" i="7"/>
  <c r="AO22" i="7"/>
  <c r="AO23" i="7"/>
  <c r="AO24" i="7"/>
  <c r="AO25" i="7"/>
  <c r="AO26" i="7"/>
  <c r="AU26" i="7" s="1"/>
  <c r="AO27" i="7"/>
  <c r="AU27" i="7" s="1"/>
  <c r="AO28" i="7"/>
  <c r="AU28" i="7" s="1"/>
  <c r="AV28" i="7" s="1"/>
  <c r="AO29" i="7"/>
  <c r="AU29" i="7" s="1"/>
  <c r="AO30" i="7"/>
  <c r="AU30" i="7" s="1"/>
  <c r="AO31" i="7"/>
  <c r="AU31" i="7" s="1"/>
  <c r="AO32" i="7"/>
  <c r="AU32" i="7" s="1"/>
  <c r="AO33" i="7"/>
  <c r="AU33" i="7" s="1"/>
  <c r="AO34" i="7"/>
  <c r="AU34" i="7" s="1"/>
  <c r="AO35" i="7"/>
  <c r="AU35" i="7" s="1"/>
  <c r="AO36" i="7"/>
  <c r="AU36" i="7" s="1"/>
  <c r="AO37" i="7"/>
  <c r="AU37" i="7" s="1"/>
  <c r="AO38" i="7"/>
  <c r="AU38" i="7" s="1"/>
  <c r="AO39" i="7"/>
  <c r="AU39" i="7" s="1"/>
  <c r="AO40" i="7"/>
  <c r="AU40" i="7" s="1"/>
  <c r="AO41" i="7"/>
  <c r="AU41" i="7" s="1"/>
  <c r="AO42" i="7"/>
  <c r="AU42" i="7" s="1"/>
  <c r="AO43" i="7"/>
  <c r="AU43" i="7" s="1"/>
  <c r="AU44" i="7"/>
  <c r="AO45" i="7"/>
  <c r="AU45" i="7" s="1"/>
  <c r="AO46" i="7"/>
  <c r="AU46" i="7" s="1"/>
  <c r="AO47" i="7"/>
  <c r="AU47" i="7" s="1"/>
  <c r="AO48" i="7"/>
  <c r="AU48" i="7" s="1"/>
  <c r="AO49" i="7"/>
  <c r="AU49" i="7" s="1"/>
  <c r="AO50" i="7"/>
  <c r="AU50" i="7" s="1"/>
  <c r="AO51" i="7"/>
  <c r="AU51" i="7" s="1"/>
  <c r="AV51" i="7" s="1"/>
  <c r="AO52" i="7"/>
  <c r="AU52" i="7" s="1"/>
  <c r="AO53" i="7"/>
  <c r="AU53" i="7" s="1"/>
  <c r="AO54" i="7"/>
  <c r="AU54" i="7" s="1"/>
  <c r="AO55" i="7"/>
  <c r="AU55" i="7" s="1"/>
  <c r="AO56" i="7"/>
  <c r="AU56" i="7" s="1"/>
  <c r="AO57" i="7"/>
  <c r="AU57" i="7" s="1"/>
  <c r="AO58" i="7"/>
  <c r="AU58" i="7" s="1"/>
  <c r="AV58" i="7" s="1"/>
  <c r="AO59" i="7"/>
  <c r="AU59" i="7" s="1"/>
  <c r="AO60" i="7"/>
  <c r="AU60" i="7" s="1"/>
  <c r="AO61" i="7"/>
  <c r="AU61" i="7" s="1"/>
  <c r="AO62" i="7"/>
  <c r="AU62" i="7" s="1"/>
  <c r="AO63" i="7"/>
  <c r="AU63" i="7" s="1"/>
  <c r="AO64" i="7"/>
  <c r="AU64" i="7" s="1"/>
  <c r="AO65" i="7"/>
  <c r="AU65" i="7" s="1"/>
  <c r="AO66" i="7"/>
  <c r="AU66" i="7" s="1"/>
  <c r="AO67" i="7"/>
  <c r="AU67" i="7" s="1"/>
  <c r="AO68" i="7"/>
  <c r="AU68" i="7" s="1"/>
  <c r="AO69" i="7"/>
  <c r="AU69" i="7" s="1"/>
  <c r="AO70" i="7"/>
  <c r="AU70" i="7" s="1"/>
  <c r="AO71" i="7"/>
  <c r="AU71" i="7" s="1"/>
  <c r="AO72" i="7"/>
  <c r="AU72" i="7" s="1"/>
  <c r="AO73" i="7"/>
  <c r="AU73" i="7" s="1"/>
  <c r="AV73" i="7" s="1"/>
  <c r="AU74" i="7"/>
  <c r="AO17" i="7"/>
  <c r="CV66" i="7" l="1"/>
  <c r="CW66" i="7" s="1"/>
  <c r="S66" i="7" s="1"/>
  <c r="CV54" i="7"/>
  <c r="CW54" i="7" s="1"/>
  <c r="S54" i="7" s="1"/>
  <c r="CV33" i="7"/>
  <c r="CW33" i="7" s="1"/>
  <c r="S33" i="7" s="1"/>
  <c r="CV65" i="7"/>
  <c r="CW65" i="7" s="1"/>
  <c r="S65" i="7" s="1"/>
  <c r="CV67" i="7"/>
  <c r="CW67" i="7" s="1"/>
  <c r="S67" i="7" s="1"/>
  <c r="CV42" i="7"/>
  <c r="CW42" i="7" s="1"/>
  <c r="S42" i="7" s="1"/>
  <c r="CV27" i="7"/>
  <c r="CW27" i="7" s="1"/>
  <c r="S27" i="7" s="1"/>
  <c r="CV51" i="7"/>
  <c r="CW51" i="7" s="1"/>
  <c r="S51" i="7" s="1"/>
  <c r="CV48" i="7"/>
  <c r="CW48" i="7" s="1"/>
  <c r="S48" i="7" s="1"/>
  <c r="CV38" i="7"/>
  <c r="CW38" i="7" s="1"/>
  <c r="S38" i="7" s="1"/>
  <c r="CV45" i="7"/>
  <c r="CW45" i="7" s="1"/>
  <c r="S45" i="7" s="1"/>
  <c r="CV50" i="7"/>
  <c r="CW50" i="7" s="1"/>
  <c r="S50" i="7" s="1"/>
  <c r="CV59" i="7"/>
  <c r="CW59" i="7" s="1"/>
  <c r="S59" i="7" s="1"/>
  <c r="CV57" i="7"/>
  <c r="CW57" i="7" s="1"/>
  <c r="S57" i="7" s="1"/>
  <c r="M78" i="9"/>
  <c r="CV63" i="7"/>
  <c r="CW63" i="7" s="1"/>
  <c r="S63" i="7" s="1"/>
  <c r="CV70" i="7"/>
  <c r="CW70" i="7" s="1"/>
  <c r="S70" i="7" s="1"/>
  <c r="CV68" i="7"/>
  <c r="CW68" i="7" s="1"/>
  <c r="S68" i="7" s="1"/>
  <c r="CV35" i="7"/>
  <c r="CW35" i="7" s="1"/>
  <c r="S35" i="7" s="1"/>
  <c r="CV34" i="7"/>
  <c r="CW34" i="7" s="1"/>
  <c r="S34" i="7" s="1"/>
  <c r="CV28" i="7"/>
  <c r="CW28" i="7" s="1"/>
  <c r="S28" i="7" s="1"/>
  <c r="CV74" i="7"/>
  <c r="CW74" i="7" s="1"/>
  <c r="S74" i="7" s="1"/>
  <c r="CV39" i="7"/>
  <c r="CW39" i="7" s="1"/>
  <c r="S39" i="7" s="1"/>
  <c r="CV64" i="7"/>
  <c r="CW64" i="7" s="1"/>
  <c r="S64" i="7" s="1"/>
  <c r="CV58" i="7"/>
  <c r="CW58" i="7" s="1"/>
  <c r="S58" i="7" s="1"/>
  <c r="M80" i="9"/>
  <c r="M79" i="9"/>
  <c r="CV52" i="7"/>
  <c r="CW52" i="7" s="1"/>
  <c r="S52" i="7" s="1"/>
  <c r="CV43" i="7"/>
  <c r="CW43" i="7" s="1"/>
  <c r="S43" i="7" s="1"/>
  <c r="M84" i="9"/>
  <c r="CV53" i="7"/>
  <c r="CW53" i="7" s="1"/>
  <c r="S53" i="7" s="1"/>
  <c r="M83" i="9"/>
  <c r="CV46" i="7"/>
  <c r="CW46" i="7" s="1"/>
  <c r="S46" i="7" s="1"/>
  <c r="CV49" i="7"/>
  <c r="CW49" i="7" s="1"/>
  <c r="S49" i="7" s="1"/>
  <c r="M82" i="9"/>
  <c r="CV71" i="7"/>
  <c r="CW71" i="7" s="1"/>
  <c r="S71" i="7" s="1"/>
  <c r="CV55" i="7"/>
  <c r="CW55" i="7" s="1"/>
  <c r="S55" i="7" s="1"/>
  <c r="M81" i="9"/>
  <c r="CV30" i="7"/>
  <c r="CW30" i="7" s="1"/>
  <c r="S30" i="7" s="1"/>
  <c r="CV61" i="7"/>
  <c r="CW61" i="7" s="1"/>
  <c r="S61" i="7" s="1"/>
  <c r="CV26" i="7"/>
  <c r="CW26" i="7" s="1"/>
  <c r="S26" i="7" s="1"/>
  <c r="CV56" i="7"/>
  <c r="CW56" i="7" s="1"/>
  <c r="S56" i="7" s="1"/>
  <c r="CV31" i="7"/>
  <c r="CW31" i="7" s="1"/>
  <c r="S31" i="7" s="1"/>
  <c r="CV69" i="7"/>
  <c r="CW69" i="7" s="1"/>
  <c r="S69" i="7" s="1"/>
  <c r="CV36" i="7"/>
  <c r="CW36" i="7" s="1"/>
  <c r="S36" i="7" s="1"/>
  <c r="CV60" i="7"/>
  <c r="CW60" i="7" s="1"/>
  <c r="S60" i="7" s="1"/>
  <c r="CV72" i="7"/>
  <c r="CW72" i="7" s="1"/>
  <c r="S72" i="7" s="1"/>
  <c r="CV41" i="7"/>
  <c r="CW41" i="7" s="1"/>
  <c r="S41" i="7" s="1"/>
  <c r="CV73" i="7"/>
  <c r="CW73" i="7" s="1"/>
  <c r="S73" i="7" s="1"/>
  <c r="CV32" i="7"/>
  <c r="CW40" i="7"/>
  <c r="S40" i="7" s="1"/>
  <c r="CV62" i="7"/>
  <c r="CW62" i="7" s="1"/>
  <c r="CV44" i="7"/>
  <c r="CV37" i="7"/>
  <c r="CW37" i="7" s="1"/>
  <c r="CV47" i="7"/>
  <c r="CW47" i="7" s="1"/>
  <c r="CV29" i="7"/>
  <c r="CW29" i="7" s="1"/>
  <c r="AV36" i="7"/>
  <c r="AW36" i="7" s="1"/>
  <c r="BL31" i="10" s="1"/>
  <c r="AV29" i="7"/>
  <c r="AW29" i="7" s="1"/>
  <c r="BL24" i="10" s="1"/>
  <c r="AV37" i="7"/>
  <c r="AW37" i="7" s="1"/>
  <c r="BL32" i="10" s="1"/>
  <c r="AV72" i="7"/>
  <c r="AW72" i="7" s="1"/>
  <c r="BL67" i="10" s="1"/>
  <c r="AV64" i="7"/>
  <c r="AW64" i="7" s="1"/>
  <c r="BL59" i="10" s="1"/>
  <c r="AV57" i="7"/>
  <c r="AW57" i="7" s="1"/>
  <c r="BL52" i="10" s="1"/>
  <c r="AV50" i="7"/>
  <c r="AW50" i="7" s="1"/>
  <c r="BL45" i="10" s="1"/>
  <c r="AV42" i="7"/>
  <c r="AW42" i="7" s="1"/>
  <c r="BL37" i="10" s="1"/>
  <c r="AV35" i="7"/>
  <c r="AW35" i="7" s="1"/>
  <c r="BL30" i="10" s="1"/>
  <c r="AV27" i="7"/>
  <c r="AW27" i="7" s="1"/>
  <c r="BL22" i="10" s="1"/>
  <c r="AV52" i="7"/>
  <c r="AW52" i="7" s="1"/>
  <c r="BL47" i="10" s="1"/>
  <c r="AV71" i="7"/>
  <c r="AW71" i="7" s="1"/>
  <c r="BL66" i="10" s="1"/>
  <c r="AV63" i="7"/>
  <c r="AW63" i="7" s="1"/>
  <c r="BL58" i="10" s="1"/>
  <c r="AV56" i="7"/>
  <c r="AW56" i="7" s="1"/>
  <c r="BL51" i="10" s="1"/>
  <c r="AV49" i="7"/>
  <c r="AW49" i="7" s="1"/>
  <c r="BL44" i="10" s="1"/>
  <c r="AV41" i="7"/>
  <c r="AW41" i="7" s="1"/>
  <c r="BL36" i="10" s="1"/>
  <c r="AV34" i="7"/>
  <c r="AW34" i="7" s="1"/>
  <c r="BL29" i="10" s="1"/>
  <c r="AV26" i="7"/>
  <c r="AW26" i="7" s="1"/>
  <c r="BL21" i="10" s="1"/>
  <c r="AV44" i="7"/>
  <c r="AW44" i="7" s="1"/>
  <c r="AV70" i="7"/>
  <c r="AW70" i="7" s="1"/>
  <c r="BL65" i="10" s="1"/>
  <c r="AV55" i="7"/>
  <c r="AW55" i="7" s="1"/>
  <c r="BL50" i="10" s="1"/>
  <c r="AV48" i="7"/>
  <c r="AW48" i="7" s="1"/>
  <c r="BL43" i="10" s="1"/>
  <c r="AV40" i="7"/>
  <c r="AW40" i="7" s="1"/>
  <c r="BL35" i="10" s="1"/>
  <c r="AV33" i="7"/>
  <c r="AW33" i="7" s="1"/>
  <c r="BL28" i="10" s="1"/>
  <c r="AV59" i="7"/>
  <c r="AW59" i="7" s="1"/>
  <c r="BL54" i="10" s="1"/>
  <c r="AV69" i="7"/>
  <c r="AW69" i="7" s="1"/>
  <c r="BL64" i="10" s="1"/>
  <c r="AV62" i="7"/>
  <c r="AW62" i="7" s="1"/>
  <c r="BL57" i="10" s="1"/>
  <c r="AV47" i="7"/>
  <c r="AW47" i="7" s="1"/>
  <c r="BL42" i="10" s="1"/>
  <c r="AV32" i="7"/>
  <c r="AW32" i="7" s="1"/>
  <c r="BL27" i="10" s="1"/>
  <c r="AV66" i="7"/>
  <c r="AW66" i="7" s="1"/>
  <c r="BL61" i="10" s="1"/>
  <c r="AV68" i="7"/>
  <c r="AW68" i="7" s="1"/>
  <c r="BL63" i="10" s="1"/>
  <c r="AV61" i="7"/>
  <c r="AW61" i="7" s="1"/>
  <c r="BL56" i="10" s="1"/>
  <c r="AV54" i="7"/>
  <c r="AW54" i="7" s="1"/>
  <c r="BL49" i="10" s="1"/>
  <c r="AV46" i="7"/>
  <c r="AW46" i="7" s="1"/>
  <c r="BL41" i="10" s="1"/>
  <c r="AV39" i="7"/>
  <c r="AW39" i="7" s="1"/>
  <c r="BL34" i="10" s="1"/>
  <c r="AV31" i="7"/>
  <c r="AW31" i="7" s="1"/>
  <c r="BL26" i="10" s="1"/>
  <c r="AV74" i="7"/>
  <c r="AW74" i="7" s="1"/>
  <c r="AV67" i="7"/>
  <c r="AW67" i="7" s="1"/>
  <c r="BL62" i="10" s="1"/>
  <c r="AV60" i="7"/>
  <c r="AW60" i="7" s="1"/>
  <c r="BL55" i="10" s="1"/>
  <c r="AV53" i="7"/>
  <c r="AW53" i="7" s="1"/>
  <c r="BL48" i="10" s="1"/>
  <c r="AV45" i="7"/>
  <c r="AW45" i="7" s="1"/>
  <c r="BL40" i="10" s="1"/>
  <c r="AV38" i="7"/>
  <c r="AW38" i="7" s="1"/>
  <c r="BL33" i="10" s="1"/>
  <c r="AV30" i="7"/>
  <c r="AW30" i="7" s="1"/>
  <c r="BL25" i="10" s="1"/>
  <c r="AV65" i="7"/>
  <c r="AW65" i="7" s="1"/>
  <c r="BL60" i="10" s="1"/>
  <c r="AV43" i="7"/>
  <c r="AW43" i="7" s="1"/>
  <c r="BL38" i="10" s="1"/>
  <c r="AW73" i="7"/>
  <c r="BL68" i="10" s="1"/>
  <c r="AW58" i="7"/>
  <c r="BL53" i="10" s="1"/>
  <c r="AW51" i="7"/>
  <c r="BL46" i="10" s="1"/>
  <c r="AW28" i="7"/>
  <c r="BL23" i="10" s="1"/>
  <c r="DN35" i="7" l="1"/>
  <c r="DN42" i="7"/>
  <c r="DN31" i="7"/>
  <c r="DN48" i="7"/>
  <c r="DN49" i="7"/>
  <c r="DN50" i="7"/>
  <c r="DN73" i="7"/>
  <c r="DN34" i="7"/>
  <c r="DN32" i="7"/>
  <c r="DN30" i="7"/>
  <c r="DN39" i="7"/>
  <c r="DN47" i="7"/>
  <c r="DN55" i="7"/>
  <c r="DN56" i="7"/>
  <c r="DN57" i="7"/>
  <c r="DN41" i="7"/>
  <c r="DN38" i="7"/>
  <c r="DN63" i="7"/>
  <c r="DN64" i="7"/>
  <c r="DN66" i="7"/>
  <c r="DN74" i="7"/>
  <c r="DN28" i="7"/>
  <c r="DN54" i="7"/>
  <c r="DN62" i="7"/>
  <c r="DN70" i="7"/>
  <c r="DN71" i="7"/>
  <c r="DN72" i="7"/>
  <c r="DN33" i="7"/>
  <c r="DN43" i="7"/>
  <c r="DN65" i="7"/>
  <c r="DN45" i="7"/>
  <c r="DN51" i="7"/>
  <c r="DN53" i="7"/>
  <c r="DN61" i="7"/>
  <c r="DN69" i="7"/>
  <c r="DN44" i="7"/>
  <c r="DN52" i="7"/>
  <c r="DN37" i="7"/>
  <c r="DN67" i="7"/>
  <c r="DN40" i="7"/>
  <c r="DN46" i="7"/>
  <c r="DN58" i="7"/>
  <c r="DN60" i="7"/>
  <c r="DN68" i="7"/>
  <c r="DN59" i="7"/>
  <c r="DN26" i="7"/>
  <c r="DN27" i="7"/>
  <c r="DN29" i="7"/>
  <c r="DN36" i="7"/>
  <c r="CW32" i="7"/>
  <c r="S32" i="7" s="1"/>
  <c r="S37" i="7"/>
  <c r="S29" i="7"/>
  <c r="S47" i="7"/>
  <c r="S62" i="7"/>
  <c r="CW44" i="7"/>
  <c r="S44" i="7" s="1"/>
  <c r="AX36" i="7"/>
  <c r="AX64" i="7"/>
  <c r="AX45" i="7"/>
  <c r="AX32" i="7"/>
  <c r="AX72" i="7"/>
  <c r="AX63" i="7"/>
  <c r="AX35" i="7"/>
  <c r="AX44" i="7"/>
  <c r="AX70" i="7"/>
  <c r="AX43" i="7"/>
  <c r="AX34" i="7"/>
  <c r="AX50" i="7"/>
  <c r="AX65" i="7"/>
  <c r="AX66" i="7"/>
  <c r="AX40" i="7"/>
  <c r="AX41" i="7"/>
  <c r="AX48" i="7"/>
  <c r="AX49" i="7"/>
  <c r="AX52" i="7"/>
  <c r="AX30" i="7"/>
  <c r="AX60" i="7"/>
  <c r="AX74" i="7"/>
  <c r="AX54" i="7"/>
  <c r="AX69" i="7"/>
  <c r="AX26" i="7"/>
  <c r="AX56" i="7"/>
  <c r="AX53" i="7"/>
  <c r="AX55" i="7"/>
  <c r="AX27" i="7"/>
  <c r="AX57" i="7"/>
  <c r="AX37" i="7"/>
  <c r="AX38" i="7"/>
  <c r="AX67" i="7"/>
  <c r="AX31" i="7"/>
  <c r="AX61" i="7"/>
  <c r="AX47" i="7"/>
  <c r="AX42" i="7"/>
  <c r="AX28" i="7"/>
  <c r="AX33" i="7"/>
  <c r="AX71" i="7"/>
  <c r="AX51" i="7"/>
  <c r="AX39" i="7"/>
  <c r="AX68" i="7"/>
  <c r="AX29" i="7"/>
  <c r="AX73" i="7"/>
  <c r="AX46" i="7"/>
  <c r="AX62" i="7"/>
  <c r="AX59" i="7"/>
  <c r="AX58" i="7"/>
  <c r="AD26" i="7" l="1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17" i="7"/>
  <c r="P18" i="7"/>
  <c r="P19" i="7"/>
  <c r="P20" i="7"/>
  <c r="P21" i="7"/>
  <c r="P22" i="7"/>
  <c r="P23" i="7"/>
  <c r="P24" i="7"/>
  <c r="P25" i="7"/>
  <c r="H47" i="7"/>
  <c r="BI26" i="7"/>
  <c r="BX21" i="10" s="1"/>
  <c r="BI27" i="7"/>
  <c r="BX22" i="10" s="1"/>
  <c r="BI28" i="7"/>
  <c r="BX23" i="10" s="1"/>
  <c r="BI29" i="7"/>
  <c r="BX24" i="10" s="1"/>
  <c r="BI30" i="7"/>
  <c r="BX25" i="10" s="1"/>
  <c r="BI31" i="7"/>
  <c r="BX26" i="10" s="1"/>
  <c r="BI32" i="7"/>
  <c r="BX27" i="10" s="1"/>
  <c r="BI33" i="7"/>
  <c r="BX28" i="10" s="1"/>
  <c r="BI34" i="7"/>
  <c r="BX29" i="10" s="1"/>
  <c r="BI35" i="7"/>
  <c r="BX30" i="10" s="1"/>
  <c r="BI36" i="7"/>
  <c r="BX31" i="10" s="1"/>
  <c r="BI37" i="7"/>
  <c r="BX32" i="10" s="1"/>
  <c r="BI38" i="7"/>
  <c r="BX33" i="10" s="1"/>
  <c r="BI39" i="7"/>
  <c r="BX34" i="10" s="1"/>
  <c r="BI40" i="7"/>
  <c r="BX35" i="10" s="1"/>
  <c r="BI41" i="7"/>
  <c r="BX36" i="10" s="1"/>
  <c r="BI42" i="7"/>
  <c r="BX37" i="10" s="1"/>
  <c r="BI43" i="7"/>
  <c r="BX38" i="10" s="1"/>
  <c r="BI44" i="7"/>
  <c r="BX39" i="10" s="1"/>
  <c r="BI45" i="7"/>
  <c r="BX40" i="10" s="1"/>
  <c r="BI46" i="7"/>
  <c r="BX41" i="10" s="1"/>
  <c r="BI47" i="7"/>
  <c r="BX42" i="10" s="1"/>
  <c r="BI48" i="7"/>
  <c r="BX43" i="10" s="1"/>
  <c r="BI49" i="7"/>
  <c r="BX44" i="10" s="1"/>
  <c r="BI50" i="7"/>
  <c r="BX45" i="10" s="1"/>
  <c r="BI51" i="7"/>
  <c r="BX46" i="10" s="1"/>
  <c r="BI52" i="7"/>
  <c r="BX47" i="10" s="1"/>
  <c r="BI53" i="7"/>
  <c r="BX48" i="10" s="1"/>
  <c r="BI54" i="7"/>
  <c r="BX49" i="10" s="1"/>
  <c r="BI55" i="7"/>
  <c r="BX50" i="10" s="1"/>
  <c r="BI56" i="7"/>
  <c r="BX51" i="10" s="1"/>
  <c r="BI57" i="7"/>
  <c r="BX52" i="10" s="1"/>
  <c r="BI58" i="7"/>
  <c r="BX53" i="10" s="1"/>
  <c r="BI59" i="7"/>
  <c r="BX54" i="10" s="1"/>
  <c r="BI60" i="7"/>
  <c r="BX55" i="10" s="1"/>
  <c r="BI61" i="7"/>
  <c r="BX56" i="10" s="1"/>
  <c r="BI62" i="7"/>
  <c r="BX57" i="10" s="1"/>
  <c r="BI63" i="7"/>
  <c r="BX58" i="10" s="1"/>
  <c r="BI64" i="7"/>
  <c r="BX59" i="10" s="1"/>
  <c r="BI65" i="7"/>
  <c r="BX60" i="10" s="1"/>
  <c r="BI66" i="7"/>
  <c r="BX61" i="10" s="1"/>
  <c r="BI67" i="7"/>
  <c r="BX62" i="10" s="1"/>
  <c r="BI68" i="7"/>
  <c r="BX63" i="10" s="1"/>
  <c r="BI69" i="7"/>
  <c r="BX64" i="10" s="1"/>
  <c r="BI70" i="7"/>
  <c r="BX65" i="10" s="1"/>
  <c r="BI71" i="7"/>
  <c r="BX66" i="10" s="1"/>
  <c r="BI72" i="7"/>
  <c r="BX67" i="10" s="1"/>
  <c r="BI73" i="7"/>
  <c r="BX68" i="10" s="1"/>
  <c r="BI74" i="7"/>
  <c r="BX69" i="10" s="1"/>
  <c r="BI18" i="7"/>
  <c r="BX13" i="10" s="1"/>
  <c r="BI19" i="7"/>
  <c r="BX14" i="10" s="1"/>
  <c r="BI20" i="7"/>
  <c r="BX15" i="10" s="1"/>
  <c r="BI21" i="7"/>
  <c r="BX16" i="10" s="1"/>
  <c r="BI22" i="7"/>
  <c r="BX17" i="10" s="1"/>
  <c r="BI23" i="7"/>
  <c r="BX18" i="10" s="1"/>
  <c r="BI24" i="7"/>
  <c r="BX19" i="10" s="1"/>
  <c r="BI25" i="7"/>
  <c r="BX20" i="10" s="1"/>
  <c r="C17" i="7"/>
  <c r="BI17" i="7" s="1"/>
  <c r="BX12" i="10" s="1"/>
  <c r="K10" i="9" l="1"/>
  <c r="K9" i="9"/>
  <c r="K8" i="9"/>
  <c r="K7" i="9"/>
  <c r="K6" i="9"/>
  <c r="K5" i="9"/>
  <c r="BX9" i="10"/>
  <c r="BH22" i="7"/>
  <c r="BB22" i="7"/>
  <c r="BT17" i="10" s="1"/>
  <c r="BH68" i="7"/>
  <c r="BB68" i="7"/>
  <c r="BT63" i="10" s="1"/>
  <c r="BH61" i="7"/>
  <c r="BB61" i="7"/>
  <c r="BT56" i="10" s="1"/>
  <c r="BH54" i="7"/>
  <c r="BB54" i="7"/>
  <c r="BT49" i="10" s="1"/>
  <c r="BH46" i="7"/>
  <c r="BB46" i="7"/>
  <c r="BT41" i="10" s="1"/>
  <c r="BH39" i="7"/>
  <c r="BB39" i="7"/>
  <c r="BT34" i="10" s="1"/>
  <c r="BH31" i="7"/>
  <c r="BB31" i="7"/>
  <c r="BT26" i="10" s="1"/>
  <c r="P74" i="7"/>
  <c r="DI74" i="7"/>
  <c r="DP74" i="7" s="1"/>
  <c r="E74" i="7" s="1"/>
  <c r="P66" i="7"/>
  <c r="DI66" i="7"/>
  <c r="DP66" i="7" s="1"/>
  <c r="E66" i="7" s="1"/>
  <c r="P59" i="7"/>
  <c r="DI59" i="7"/>
  <c r="DP59" i="7" s="1"/>
  <c r="E59" i="7" s="1"/>
  <c r="P52" i="7"/>
  <c r="DI52" i="7"/>
  <c r="DP52" i="7" s="1"/>
  <c r="E52" i="7" s="1"/>
  <c r="P44" i="7"/>
  <c r="DI44" i="7"/>
  <c r="DP44" i="7" s="1"/>
  <c r="E44" i="7" s="1"/>
  <c r="P37" i="7"/>
  <c r="DI37" i="7"/>
  <c r="DP37" i="7" s="1"/>
  <c r="E37" i="7" s="1"/>
  <c r="P29" i="7"/>
  <c r="DI29" i="7"/>
  <c r="DP29" i="7" s="1"/>
  <c r="E29" i="7" s="1"/>
  <c r="BH21" i="7"/>
  <c r="BB21" i="7"/>
  <c r="BT16" i="10" s="1"/>
  <c r="BH67" i="7"/>
  <c r="BB67" i="7"/>
  <c r="BT62" i="10" s="1"/>
  <c r="BH60" i="7"/>
  <c r="BB60" i="7"/>
  <c r="BT55" i="10" s="1"/>
  <c r="BH53" i="7"/>
  <c r="BB53" i="7"/>
  <c r="BT48" i="10" s="1"/>
  <c r="BH45" i="7"/>
  <c r="BB45" i="7"/>
  <c r="BT40" i="10" s="1"/>
  <c r="BH38" i="7"/>
  <c r="BB38" i="7"/>
  <c r="BT33" i="10" s="1"/>
  <c r="BH30" i="7"/>
  <c r="BB30" i="7"/>
  <c r="BT25" i="10" s="1"/>
  <c r="P73" i="7"/>
  <c r="DI73" i="7"/>
  <c r="DP73" i="7" s="1"/>
  <c r="E73" i="7" s="1"/>
  <c r="P65" i="7"/>
  <c r="DI65" i="7"/>
  <c r="DP65" i="7" s="1"/>
  <c r="E65" i="7" s="1"/>
  <c r="P58" i="7"/>
  <c r="DI58" i="7"/>
  <c r="DP58" i="7" s="1"/>
  <c r="E58" i="7" s="1"/>
  <c r="P51" i="7"/>
  <c r="DI51" i="7"/>
  <c r="DP51" i="7" s="1"/>
  <c r="E51" i="7" s="1"/>
  <c r="P43" i="7"/>
  <c r="DI43" i="7"/>
  <c r="DP43" i="7" s="1"/>
  <c r="E43" i="7" s="1"/>
  <c r="P36" i="7"/>
  <c r="DI36" i="7"/>
  <c r="DP36" i="7" s="1"/>
  <c r="E36" i="7" s="1"/>
  <c r="P28" i="7"/>
  <c r="DI28" i="7"/>
  <c r="DP28" i="7" s="1"/>
  <c r="E28" i="7" s="1"/>
  <c r="BH20" i="7"/>
  <c r="BB20" i="7"/>
  <c r="BT15" i="10" s="1"/>
  <c r="BH74" i="7"/>
  <c r="BB74" i="7"/>
  <c r="BT69" i="10" s="1"/>
  <c r="BH66" i="7"/>
  <c r="BB66" i="7"/>
  <c r="BT61" i="10" s="1"/>
  <c r="BH59" i="7"/>
  <c r="BB59" i="7"/>
  <c r="BH52" i="7"/>
  <c r="BB52" i="7"/>
  <c r="BT47" i="10" s="1"/>
  <c r="BH44" i="7"/>
  <c r="BB44" i="7"/>
  <c r="BT39" i="10" s="1"/>
  <c r="BH37" i="7"/>
  <c r="BB37" i="7"/>
  <c r="BT32" i="10" s="1"/>
  <c r="BH29" i="7"/>
  <c r="BB29" i="7"/>
  <c r="BT24" i="10" s="1"/>
  <c r="P72" i="7"/>
  <c r="DI72" i="7"/>
  <c r="DP72" i="7" s="1"/>
  <c r="E72" i="7" s="1"/>
  <c r="P64" i="7"/>
  <c r="DI64" i="7"/>
  <c r="DP64" i="7" s="1"/>
  <c r="E64" i="7" s="1"/>
  <c r="P57" i="7"/>
  <c r="DI57" i="7"/>
  <c r="DP57" i="7" s="1"/>
  <c r="E57" i="7" s="1"/>
  <c r="P50" i="7"/>
  <c r="DI50" i="7"/>
  <c r="DP50" i="7" s="1"/>
  <c r="E50" i="7" s="1"/>
  <c r="P42" i="7"/>
  <c r="DI42" i="7"/>
  <c r="DP42" i="7" s="1"/>
  <c r="E42" i="7" s="1"/>
  <c r="P35" i="7"/>
  <c r="DI35" i="7"/>
  <c r="DP35" i="7" s="1"/>
  <c r="E35" i="7" s="1"/>
  <c r="P27" i="7"/>
  <c r="DI27" i="7"/>
  <c r="DP27" i="7" s="1"/>
  <c r="E27" i="7" s="1"/>
  <c r="AF29" i="7"/>
  <c r="AH29" i="7" s="1"/>
  <c r="BH17" i="7"/>
  <c r="BB17" i="7"/>
  <c r="BT12" i="10" s="1"/>
  <c r="BH19" i="7"/>
  <c r="BB19" i="7"/>
  <c r="BT14" i="10" s="1"/>
  <c r="BH73" i="7"/>
  <c r="BB73" i="7"/>
  <c r="BT68" i="10" s="1"/>
  <c r="BH65" i="7"/>
  <c r="BB65" i="7"/>
  <c r="BT60" i="10" s="1"/>
  <c r="BH58" i="7"/>
  <c r="BB58" i="7"/>
  <c r="BT53" i="10" s="1"/>
  <c r="BH51" i="7"/>
  <c r="BB51" i="7"/>
  <c r="BT46" i="10" s="1"/>
  <c r="BH43" i="7"/>
  <c r="BB43" i="7"/>
  <c r="BT38" i="10" s="1"/>
  <c r="BH36" i="7"/>
  <c r="BB36" i="7"/>
  <c r="BT31" i="10" s="1"/>
  <c r="BH28" i="7"/>
  <c r="BB28" i="7"/>
  <c r="BT23" i="10" s="1"/>
  <c r="P71" i="7"/>
  <c r="DI71" i="7"/>
  <c r="DP71" i="7" s="1"/>
  <c r="E71" i="7" s="1"/>
  <c r="P63" i="7"/>
  <c r="DI63" i="7"/>
  <c r="DP63" i="7" s="1"/>
  <c r="E63" i="7" s="1"/>
  <c r="P56" i="7"/>
  <c r="DI56" i="7"/>
  <c r="DP56" i="7" s="1"/>
  <c r="E56" i="7" s="1"/>
  <c r="P49" i="7"/>
  <c r="DI49" i="7"/>
  <c r="DP49" i="7" s="1"/>
  <c r="E49" i="7" s="1"/>
  <c r="P41" i="7"/>
  <c r="DI41" i="7"/>
  <c r="DP41" i="7" s="1"/>
  <c r="E41" i="7" s="1"/>
  <c r="P34" i="7"/>
  <c r="DI34" i="7"/>
  <c r="DP34" i="7" s="1"/>
  <c r="E34" i="7" s="1"/>
  <c r="P26" i="7"/>
  <c r="DI26" i="7"/>
  <c r="DP26" i="7" s="1"/>
  <c r="E26" i="7" s="1"/>
  <c r="AF73" i="7"/>
  <c r="AH73" i="7" s="1"/>
  <c r="AK65" i="7"/>
  <c r="BH25" i="7"/>
  <c r="BB25" i="7"/>
  <c r="BT20" i="10" s="1"/>
  <c r="BH18" i="7"/>
  <c r="BB18" i="7"/>
  <c r="BT13" i="10" s="1"/>
  <c r="BH72" i="7"/>
  <c r="BB72" i="7"/>
  <c r="BT67" i="10" s="1"/>
  <c r="BH64" i="7"/>
  <c r="BB64" i="7"/>
  <c r="BT59" i="10" s="1"/>
  <c r="BH57" i="7"/>
  <c r="BB57" i="7"/>
  <c r="BT52" i="10" s="1"/>
  <c r="BH50" i="7"/>
  <c r="BB50" i="7"/>
  <c r="BT45" i="10" s="1"/>
  <c r="BH42" i="7"/>
  <c r="BB42" i="7"/>
  <c r="BT37" i="10" s="1"/>
  <c r="BH35" i="7"/>
  <c r="BB35" i="7"/>
  <c r="BT30" i="10" s="1"/>
  <c r="BH27" i="7"/>
  <c r="BB27" i="7"/>
  <c r="BT22" i="10" s="1"/>
  <c r="P70" i="7"/>
  <c r="DI70" i="7"/>
  <c r="DP70" i="7" s="1"/>
  <c r="E70" i="7" s="1"/>
  <c r="P55" i="7"/>
  <c r="DI55" i="7"/>
  <c r="DP55" i="7" s="1"/>
  <c r="E55" i="7" s="1"/>
  <c r="P48" i="7"/>
  <c r="DI48" i="7"/>
  <c r="DP48" i="7" s="1"/>
  <c r="E48" i="7" s="1"/>
  <c r="P40" i="7"/>
  <c r="DI40" i="7"/>
  <c r="DP40" i="7" s="1"/>
  <c r="E40" i="7" s="1"/>
  <c r="P33" i="7"/>
  <c r="DI33" i="7"/>
  <c r="DP33" i="7" s="1"/>
  <c r="E33" i="7" s="1"/>
  <c r="AF35" i="7"/>
  <c r="AH35" i="7" s="1"/>
  <c r="BH71" i="7"/>
  <c r="BB71" i="7"/>
  <c r="BT66" i="10" s="1"/>
  <c r="BH63" i="7"/>
  <c r="BB63" i="7"/>
  <c r="BT58" i="10" s="1"/>
  <c r="BH56" i="7"/>
  <c r="BB56" i="7"/>
  <c r="BT51" i="10" s="1"/>
  <c r="BH49" i="7"/>
  <c r="BB49" i="7"/>
  <c r="BT44" i="10" s="1"/>
  <c r="BH41" i="7"/>
  <c r="BB41" i="7"/>
  <c r="BT36" i="10" s="1"/>
  <c r="BH34" i="7"/>
  <c r="BB34" i="7"/>
  <c r="BT29" i="10" s="1"/>
  <c r="BH26" i="7"/>
  <c r="BB26" i="7"/>
  <c r="BT21" i="10" s="1"/>
  <c r="P69" i="7"/>
  <c r="DI69" i="7"/>
  <c r="DP69" i="7" s="1"/>
  <c r="E69" i="7" s="1"/>
  <c r="P62" i="7"/>
  <c r="DI62" i="7"/>
  <c r="DP62" i="7" s="1"/>
  <c r="E62" i="7" s="1"/>
  <c r="P47" i="7"/>
  <c r="DI47" i="7"/>
  <c r="DP47" i="7" s="1"/>
  <c r="E47" i="7" s="1"/>
  <c r="P32" i="7"/>
  <c r="DI32" i="7"/>
  <c r="DP32" i="7" s="1"/>
  <c r="E32" i="7" s="1"/>
  <c r="AJ26" i="7"/>
  <c r="BH24" i="7"/>
  <c r="BB24" i="7"/>
  <c r="BT19" i="10" s="1"/>
  <c r="BH70" i="7"/>
  <c r="BB70" i="7"/>
  <c r="BT65" i="10" s="1"/>
  <c r="BH55" i="7"/>
  <c r="BB55" i="7"/>
  <c r="BT50" i="10" s="1"/>
  <c r="BH48" i="7"/>
  <c r="BB48" i="7"/>
  <c r="BT43" i="10" s="1"/>
  <c r="BH40" i="7"/>
  <c r="BB40" i="7"/>
  <c r="BT35" i="10" s="1"/>
  <c r="BH33" i="7"/>
  <c r="BB33" i="7"/>
  <c r="BT28" i="10" s="1"/>
  <c r="P68" i="7"/>
  <c r="DI68" i="7"/>
  <c r="DP68" i="7" s="1"/>
  <c r="E68" i="7" s="1"/>
  <c r="P61" i="7"/>
  <c r="DI61" i="7"/>
  <c r="DP61" i="7" s="1"/>
  <c r="E61" i="7" s="1"/>
  <c r="P54" i="7"/>
  <c r="DI54" i="7"/>
  <c r="DP54" i="7" s="1"/>
  <c r="E54" i="7" s="1"/>
  <c r="P46" i="7"/>
  <c r="DI46" i="7"/>
  <c r="DP46" i="7" s="1"/>
  <c r="E46" i="7" s="1"/>
  <c r="P39" i="7"/>
  <c r="DI39" i="7"/>
  <c r="DP39" i="7" s="1"/>
  <c r="E39" i="7" s="1"/>
  <c r="P31" i="7"/>
  <c r="DI31" i="7"/>
  <c r="DP31" i="7" s="1"/>
  <c r="E31" i="7" s="1"/>
  <c r="AJ55" i="7"/>
  <c r="BH23" i="7"/>
  <c r="BB23" i="7"/>
  <c r="BT18" i="10" s="1"/>
  <c r="BH69" i="7"/>
  <c r="BB69" i="7"/>
  <c r="BT64" i="10" s="1"/>
  <c r="BH62" i="7"/>
  <c r="BB62" i="7"/>
  <c r="BT57" i="10" s="1"/>
  <c r="BH47" i="7"/>
  <c r="BB47" i="7"/>
  <c r="BT42" i="10" s="1"/>
  <c r="BH32" i="7"/>
  <c r="BB32" i="7"/>
  <c r="BT27" i="10" s="1"/>
  <c r="P67" i="7"/>
  <c r="DI67" i="7"/>
  <c r="DP67" i="7" s="1"/>
  <c r="E67" i="7" s="1"/>
  <c r="P60" i="7"/>
  <c r="DI60" i="7"/>
  <c r="DP60" i="7" s="1"/>
  <c r="E60" i="7" s="1"/>
  <c r="P53" i="7"/>
  <c r="DI53" i="7"/>
  <c r="DP53" i="7" s="1"/>
  <c r="E53" i="7" s="1"/>
  <c r="P45" i="7"/>
  <c r="DI45" i="7"/>
  <c r="DP45" i="7" s="1"/>
  <c r="E45" i="7" s="1"/>
  <c r="P38" i="7"/>
  <c r="DI38" i="7"/>
  <c r="DP38" i="7" s="1"/>
  <c r="E38" i="7" s="1"/>
  <c r="P30" i="7"/>
  <c r="DI30" i="7"/>
  <c r="DP30" i="7" s="1"/>
  <c r="E30" i="7" s="1"/>
  <c r="H41" i="7"/>
  <c r="H33" i="7"/>
  <c r="H34" i="7"/>
  <c r="H63" i="7"/>
  <c r="W70" i="7"/>
  <c r="W55" i="7"/>
  <c r="W48" i="7"/>
  <c r="W40" i="7"/>
  <c r="W33" i="7"/>
  <c r="H49" i="7"/>
  <c r="W74" i="7"/>
  <c r="W66" i="7"/>
  <c r="W59" i="7"/>
  <c r="W52" i="7"/>
  <c r="W44" i="7"/>
  <c r="W37" i="7"/>
  <c r="W29" i="7"/>
  <c r="H68" i="7"/>
  <c r="H46" i="7"/>
  <c r="W73" i="7"/>
  <c r="W65" i="7"/>
  <c r="W58" i="7"/>
  <c r="W43" i="7"/>
  <c r="W36" i="7"/>
  <c r="W28" i="7"/>
  <c r="H67" i="7"/>
  <c r="H53" i="7"/>
  <c r="H38" i="7"/>
  <c r="H30" i="7"/>
  <c r="H71" i="7"/>
  <c r="W72" i="7"/>
  <c r="W64" i="7"/>
  <c r="W57" i="7"/>
  <c r="W50" i="7"/>
  <c r="W42" i="7"/>
  <c r="W35" i="7"/>
  <c r="W27" i="7"/>
  <c r="AK74" i="7"/>
  <c r="AJ74" i="7"/>
  <c r="AF74" i="7"/>
  <c r="AH74" i="7" s="1"/>
  <c r="AF59" i="7"/>
  <c r="AH59" i="7" s="1"/>
  <c r="AK59" i="7"/>
  <c r="AJ59" i="7"/>
  <c r="AF52" i="7"/>
  <c r="AH52" i="7" s="1"/>
  <c r="AJ52" i="7"/>
  <c r="AK52" i="7"/>
  <c r="AJ44" i="7"/>
  <c r="AK44" i="7"/>
  <c r="AF44" i="7"/>
  <c r="AH44" i="7" s="1"/>
  <c r="AK29" i="7"/>
  <c r="AJ29" i="7"/>
  <c r="H69" i="7"/>
  <c r="W71" i="7"/>
  <c r="W63" i="7"/>
  <c r="W56" i="7"/>
  <c r="W49" i="7"/>
  <c r="W41" i="7"/>
  <c r="W34" i="7"/>
  <c r="W26" i="7"/>
  <c r="AK58" i="7"/>
  <c r="AF58" i="7"/>
  <c r="AH58" i="7" s="1"/>
  <c r="AJ58" i="7"/>
  <c r="AJ43" i="7"/>
  <c r="AK43" i="7"/>
  <c r="AF43" i="7"/>
  <c r="AH43" i="7" s="1"/>
  <c r="AJ36" i="7"/>
  <c r="AK36" i="7"/>
  <c r="AF36" i="7"/>
  <c r="AH36" i="7" s="1"/>
  <c r="AK28" i="7"/>
  <c r="AF28" i="7"/>
  <c r="AH28" i="7" s="1"/>
  <c r="AJ28" i="7"/>
  <c r="AF72" i="7"/>
  <c r="AH72" i="7" s="1"/>
  <c r="AJ72" i="7"/>
  <c r="AK72" i="7"/>
  <c r="AF50" i="7"/>
  <c r="AH50" i="7" s="1"/>
  <c r="AJ50" i="7"/>
  <c r="AK50" i="7"/>
  <c r="AF42" i="7"/>
  <c r="AH42" i="7" s="1"/>
  <c r="AJ42" i="7"/>
  <c r="AK42" i="7"/>
  <c r="H72" i="7"/>
  <c r="H64" i="7"/>
  <c r="H57" i="7"/>
  <c r="H50" i="7"/>
  <c r="H42" i="7"/>
  <c r="H35" i="7"/>
  <c r="H27" i="7"/>
  <c r="H62" i="7"/>
  <c r="W69" i="7"/>
  <c r="W62" i="7"/>
  <c r="W47" i="7"/>
  <c r="W32" i="7"/>
  <c r="AJ71" i="7"/>
  <c r="AK71" i="7"/>
  <c r="AF71" i="7"/>
  <c r="AH71" i="7" s="1"/>
  <c r="AK56" i="7"/>
  <c r="AF56" i="7"/>
  <c r="AH56" i="7" s="1"/>
  <c r="AJ56" i="7"/>
  <c r="AJ41" i="7"/>
  <c r="AK41" i="7"/>
  <c r="AF41" i="7"/>
  <c r="AH41" i="7" s="1"/>
  <c r="H56" i="7"/>
  <c r="H32" i="7"/>
  <c r="W68" i="7"/>
  <c r="W61" i="7"/>
  <c r="W54" i="7"/>
  <c r="W46" i="7"/>
  <c r="W39" i="7"/>
  <c r="W31" i="7"/>
  <c r="AK70" i="7"/>
  <c r="AF70" i="7"/>
  <c r="AH70" i="7" s="1"/>
  <c r="AJ70" i="7"/>
  <c r="AK55" i="7"/>
  <c r="AF55" i="7"/>
  <c r="AH55" i="7" s="1"/>
  <c r="AK40" i="7"/>
  <c r="AJ40" i="7"/>
  <c r="AF40" i="7"/>
  <c r="AH40" i="7" s="1"/>
  <c r="H70" i="7"/>
  <c r="H55" i="7"/>
  <c r="H48" i="7"/>
  <c r="H40" i="7"/>
  <c r="H26" i="7"/>
  <c r="W67" i="7"/>
  <c r="W60" i="7"/>
  <c r="W53" i="7"/>
  <c r="W45" i="7"/>
  <c r="W38" i="7"/>
  <c r="W30" i="7"/>
  <c r="AK62" i="7"/>
  <c r="AF62" i="7"/>
  <c r="AH62" i="7" s="1"/>
  <c r="AJ62" i="7"/>
  <c r="AK47" i="7"/>
  <c r="AF47" i="7"/>
  <c r="AH47" i="7" s="1"/>
  <c r="AJ47" i="7"/>
  <c r="H74" i="7"/>
  <c r="H66" i="7"/>
  <c r="H59" i="7"/>
  <c r="H52" i="7"/>
  <c r="H44" i="7"/>
  <c r="H37" i="7"/>
  <c r="H29" i="7"/>
  <c r="H60" i="7"/>
  <c r="H45" i="7"/>
  <c r="H73" i="7"/>
  <c r="H65" i="7"/>
  <c r="H58" i="7"/>
  <c r="H43" i="7"/>
  <c r="H36" i="7"/>
  <c r="H28" i="7"/>
  <c r="H61" i="7"/>
  <c r="H54" i="7"/>
  <c r="H39" i="7"/>
  <c r="H31" i="7"/>
  <c r="U54" i="7" l="1"/>
  <c r="AG40" i="7"/>
  <c r="AI40" i="7" s="1"/>
  <c r="AL40" i="7" s="1"/>
  <c r="AG59" i="7"/>
  <c r="AI59" i="7" s="1"/>
  <c r="AL59" i="7" s="1"/>
  <c r="AG26" i="7"/>
  <c r="AG50" i="7"/>
  <c r="AI50" i="7" s="1"/>
  <c r="AL50" i="7" s="1"/>
  <c r="AG65" i="7"/>
  <c r="AG36" i="7"/>
  <c r="AI36" i="7" s="1"/>
  <c r="AL36" i="7" s="1"/>
  <c r="AG56" i="7"/>
  <c r="AI56" i="7" s="1"/>
  <c r="AL56" i="7" s="1"/>
  <c r="AG41" i="7"/>
  <c r="AI41" i="7" s="1"/>
  <c r="AL41" i="7" s="1"/>
  <c r="AG71" i="7"/>
  <c r="AI71" i="7" s="1"/>
  <c r="AL71" i="7" s="1"/>
  <c r="AG52" i="7"/>
  <c r="AI52" i="7" s="1"/>
  <c r="AL52" i="7" s="1"/>
  <c r="AG42" i="7"/>
  <c r="AI42" i="7" s="1"/>
  <c r="AL42" i="7" s="1"/>
  <c r="AG55" i="7"/>
  <c r="AI55" i="7" s="1"/>
  <c r="AL55" i="7" s="1"/>
  <c r="AG72" i="7"/>
  <c r="AI72" i="7" s="1"/>
  <c r="AL72" i="7" s="1"/>
  <c r="AG62" i="7"/>
  <c r="AI62" i="7" s="1"/>
  <c r="AL62" i="7" s="1"/>
  <c r="AG33" i="7"/>
  <c r="AG47" i="7"/>
  <c r="AI47" i="7" s="1"/>
  <c r="AL47" i="7" s="1"/>
  <c r="U51" i="7"/>
  <c r="AG28" i="7"/>
  <c r="AI28" i="7" s="1"/>
  <c r="AL28" i="7" s="1"/>
  <c r="AG58" i="7"/>
  <c r="AI58" i="7" s="1"/>
  <c r="AL58" i="7" s="1"/>
  <c r="AG35" i="7"/>
  <c r="AI35" i="7" s="1"/>
  <c r="AG74" i="7"/>
  <c r="AI74" i="7" s="1"/>
  <c r="AL74" i="7" s="1"/>
  <c r="AG73" i="7"/>
  <c r="AI73" i="7" s="1"/>
  <c r="AG44" i="7"/>
  <c r="AI44" i="7" s="1"/>
  <c r="AL44" i="7" s="1"/>
  <c r="AG70" i="7"/>
  <c r="AI70" i="7" s="1"/>
  <c r="AL70" i="7" s="1"/>
  <c r="AG29" i="7"/>
  <c r="AI29" i="7" s="1"/>
  <c r="AL29" i="7" s="1"/>
  <c r="AG63" i="7"/>
  <c r="AK26" i="7"/>
  <c r="AJ73" i="7"/>
  <c r="AF26" i="7"/>
  <c r="AH26" i="7" s="1"/>
  <c r="AK73" i="7"/>
  <c r="AG57" i="7"/>
  <c r="AG43" i="7"/>
  <c r="AI43" i="7" s="1"/>
  <c r="AL43" i="7" s="1"/>
  <c r="U61" i="7"/>
  <c r="AK54" i="7"/>
  <c r="U45" i="7"/>
  <c r="U40" i="7"/>
  <c r="U70" i="7"/>
  <c r="U49" i="7"/>
  <c r="U27" i="7"/>
  <c r="U57" i="7"/>
  <c r="U44" i="7"/>
  <c r="U74" i="7"/>
  <c r="AF33" i="7"/>
  <c r="AH33" i="7" s="1"/>
  <c r="AJ67" i="7"/>
  <c r="U39" i="7"/>
  <c r="U68" i="7"/>
  <c r="AJ63" i="7"/>
  <c r="U53" i="7"/>
  <c r="U32" i="7"/>
  <c r="U62" i="7"/>
  <c r="U48" i="7"/>
  <c r="U26" i="7"/>
  <c r="U56" i="7"/>
  <c r="U35" i="7"/>
  <c r="U64" i="7"/>
  <c r="U28" i="7"/>
  <c r="U58" i="7"/>
  <c r="U52" i="7"/>
  <c r="AG69" i="7"/>
  <c r="AJ33" i="7"/>
  <c r="AK63" i="7"/>
  <c r="AF67" i="7"/>
  <c r="AH67" i="7" s="1"/>
  <c r="U46" i="7"/>
  <c r="AK33" i="7"/>
  <c r="AK35" i="7"/>
  <c r="AJ65" i="7"/>
  <c r="U30" i="7"/>
  <c r="U60" i="7"/>
  <c r="U69" i="7"/>
  <c r="U55" i="7"/>
  <c r="U34" i="7"/>
  <c r="U63" i="7"/>
  <c r="U42" i="7"/>
  <c r="U72" i="7"/>
  <c r="U36" i="7"/>
  <c r="U65" i="7"/>
  <c r="U29" i="7"/>
  <c r="U59" i="7"/>
  <c r="AF63" i="7"/>
  <c r="AH63" i="7" s="1"/>
  <c r="AJ35" i="7"/>
  <c r="AF65" i="7"/>
  <c r="AH65" i="7" s="1"/>
  <c r="AJ54" i="7"/>
  <c r="U31" i="7"/>
  <c r="U38" i="7"/>
  <c r="U67" i="7"/>
  <c r="U47" i="7"/>
  <c r="U33" i="7"/>
  <c r="U41" i="7"/>
  <c r="U71" i="7"/>
  <c r="U50" i="7"/>
  <c r="U43" i="7"/>
  <c r="U73" i="7"/>
  <c r="U37" i="7"/>
  <c r="U66" i="7"/>
  <c r="W61" i="10" l="1"/>
  <c r="L61" i="10"/>
  <c r="W26" i="10"/>
  <c r="L26" i="10"/>
  <c r="L32" i="10"/>
  <c r="W32" i="10"/>
  <c r="W55" i="10"/>
  <c r="L55" i="10"/>
  <c r="W25" i="10"/>
  <c r="L25" i="10"/>
  <c r="W39" i="10"/>
  <c r="L39" i="10"/>
  <c r="W50" i="10"/>
  <c r="L50" i="10"/>
  <c r="L53" i="10"/>
  <c r="W53" i="10"/>
  <c r="W59" i="10"/>
  <c r="L59" i="10"/>
  <c r="W54" i="10"/>
  <c r="L54" i="10"/>
  <c r="W66" i="10"/>
  <c r="L66" i="10"/>
  <c r="L41" i="10"/>
  <c r="W41" i="10"/>
  <c r="L40" i="10"/>
  <c r="W40" i="10"/>
  <c r="W63" i="10"/>
  <c r="L63" i="10"/>
  <c r="W34" i="10"/>
  <c r="L34" i="10"/>
  <c r="W23" i="10"/>
  <c r="L23" i="10"/>
  <c r="W30" i="10"/>
  <c r="L30" i="10"/>
  <c r="W46" i="10"/>
  <c r="L46" i="10"/>
  <c r="W21" i="10"/>
  <c r="L21" i="10"/>
  <c r="W31" i="10"/>
  <c r="L31" i="10"/>
  <c r="L57" i="10"/>
  <c r="W57" i="10"/>
  <c r="W44" i="10"/>
  <c r="L44" i="10"/>
  <c r="W47" i="10"/>
  <c r="L47" i="10"/>
  <c r="L64" i="10"/>
  <c r="W64" i="10"/>
  <c r="W68" i="10"/>
  <c r="L68" i="10"/>
  <c r="W69" i="10"/>
  <c r="L69" i="10"/>
  <c r="W24" i="10"/>
  <c r="L24" i="10"/>
  <c r="W36" i="10"/>
  <c r="L36" i="10"/>
  <c r="L52" i="10"/>
  <c r="W52" i="10"/>
  <c r="W43" i="10"/>
  <c r="L43" i="10"/>
  <c r="W42" i="10"/>
  <c r="L42" i="10"/>
  <c r="W62" i="10"/>
  <c r="L62" i="10"/>
  <c r="W37" i="10"/>
  <c r="L37" i="10"/>
  <c r="L27" i="10"/>
  <c r="W27" i="10"/>
  <c r="L65" i="10"/>
  <c r="W65" i="10"/>
  <c r="L29" i="10"/>
  <c r="W29" i="10"/>
  <c r="W56" i="10"/>
  <c r="L56" i="10"/>
  <c r="W38" i="10"/>
  <c r="L38" i="10"/>
  <c r="W45" i="10"/>
  <c r="L45" i="10"/>
  <c r="W51" i="10"/>
  <c r="L51" i="10"/>
  <c r="W60" i="10"/>
  <c r="L60" i="10"/>
  <c r="L28" i="10"/>
  <c r="W28" i="10"/>
  <c r="W22" i="10"/>
  <c r="L22" i="10"/>
  <c r="W67" i="10"/>
  <c r="L67" i="10"/>
  <c r="W33" i="10"/>
  <c r="L33" i="10"/>
  <c r="W58" i="10"/>
  <c r="L58" i="10"/>
  <c r="W48" i="10"/>
  <c r="L48" i="10"/>
  <c r="W35" i="10"/>
  <c r="L35" i="10"/>
  <c r="W49" i="10"/>
  <c r="L49" i="10"/>
  <c r="AI65" i="7"/>
  <c r="AL65" i="7" s="1"/>
  <c r="AI26" i="7"/>
  <c r="AL26" i="7" s="1"/>
  <c r="AI63" i="7"/>
  <c r="AL63" i="7" s="1"/>
  <c r="AI33" i="7"/>
  <c r="AL33" i="7" s="1"/>
  <c r="AL73" i="7"/>
  <c r="AL35" i="7"/>
  <c r="AK67" i="7"/>
  <c r="AG67" i="7"/>
  <c r="AI67" i="7" s="1"/>
  <c r="AF57" i="7"/>
  <c r="AH57" i="7" s="1"/>
  <c r="AI57" i="7" s="1"/>
  <c r="AJ57" i="7"/>
  <c r="AK57" i="7"/>
  <c r="AF37" i="7"/>
  <c r="AH37" i="7" s="1"/>
  <c r="AJ37" i="7"/>
  <c r="AK37" i="7"/>
  <c r="AG37" i="7"/>
  <c r="AF27" i="7"/>
  <c r="AH27" i="7" s="1"/>
  <c r="AJ27" i="7"/>
  <c r="AK27" i="7"/>
  <c r="AF54" i="7"/>
  <c r="AH54" i="7" s="1"/>
  <c r="AG54" i="7"/>
  <c r="AG27" i="7"/>
  <c r="AG49" i="7"/>
  <c r="AJ49" i="7"/>
  <c r="AK49" i="7"/>
  <c r="AF49" i="7"/>
  <c r="AH49" i="7" s="1"/>
  <c r="AJ30" i="7"/>
  <c r="AK30" i="7"/>
  <c r="AG30" i="7"/>
  <c r="AF30" i="7"/>
  <c r="AH30" i="7" s="1"/>
  <c r="AG60" i="7"/>
  <c r="AJ60" i="7"/>
  <c r="AF60" i="7"/>
  <c r="AH60" i="7" s="1"/>
  <c r="AK60" i="7"/>
  <c r="AK31" i="7"/>
  <c r="AG31" i="7"/>
  <c r="AF31" i="7"/>
  <c r="AH31" i="7" s="1"/>
  <c r="AJ31" i="7"/>
  <c r="AJ38" i="7"/>
  <c r="AK38" i="7"/>
  <c r="AG38" i="7"/>
  <c r="AF38" i="7"/>
  <c r="AH38" i="7" s="1"/>
  <c r="AF64" i="7"/>
  <c r="AH64" i="7" s="1"/>
  <c r="AJ64" i="7"/>
  <c r="AK64" i="7"/>
  <c r="AG64" i="7"/>
  <c r="AK48" i="7"/>
  <c r="AG48" i="7"/>
  <c r="AF48" i="7"/>
  <c r="AH48" i="7" s="1"/>
  <c r="AJ48" i="7"/>
  <c r="AF39" i="7"/>
  <c r="AH39" i="7" s="1"/>
  <c r="AJ39" i="7"/>
  <c r="AK39" i="7"/>
  <c r="AG39" i="7"/>
  <c r="AK32" i="7"/>
  <c r="AJ32" i="7"/>
  <c r="AF32" i="7"/>
  <c r="AH32" i="7" s="1"/>
  <c r="AG32" i="7"/>
  <c r="AG34" i="7"/>
  <c r="AJ34" i="7"/>
  <c r="AK34" i="7"/>
  <c r="AF34" i="7"/>
  <c r="AH34" i="7" s="1"/>
  <c r="AJ68" i="7"/>
  <c r="AF68" i="7"/>
  <c r="AH68" i="7" s="1"/>
  <c r="AG68" i="7"/>
  <c r="AK68" i="7"/>
  <c r="AK69" i="7"/>
  <c r="AJ69" i="7"/>
  <c r="AF69" i="7"/>
  <c r="AH69" i="7" s="1"/>
  <c r="AI69" i="7" s="1"/>
  <c r="AK61" i="7"/>
  <c r="AF61" i="7"/>
  <c r="AH61" i="7" s="1"/>
  <c r="AJ61" i="7"/>
  <c r="AG61" i="7"/>
  <c r="AK46" i="7"/>
  <c r="AF46" i="7"/>
  <c r="AH46" i="7" s="1"/>
  <c r="AG46" i="7"/>
  <c r="AJ46" i="7"/>
  <c r="AJ53" i="7"/>
  <c r="AK53" i="7"/>
  <c r="AG53" i="7"/>
  <c r="AF53" i="7"/>
  <c r="AH53" i="7" s="1"/>
  <c r="AJ66" i="7"/>
  <c r="AF66" i="7"/>
  <c r="AH66" i="7" s="1"/>
  <c r="AG66" i="7"/>
  <c r="AK66" i="7"/>
  <c r="AF51" i="7"/>
  <c r="AH51" i="7" s="1"/>
  <c r="AK51" i="7"/>
  <c r="AJ51" i="7"/>
  <c r="AG51" i="7"/>
  <c r="AK45" i="7"/>
  <c r="AF45" i="7"/>
  <c r="AH45" i="7" s="1"/>
  <c r="AG45" i="7"/>
  <c r="AJ45" i="7"/>
  <c r="X68" i="10" l="1"/>
  <c r="AA68" i="10"/>
  <c r="AA59" i="10"/>
  <c r="AE59" i="10" s="1"/>
  <c r="X59" i="10"/>
  <c r="AA49" i="10"/>
  <c r="X49" i="10"/>
  <c r="AA38" i="10"/>
  <c r="X38" i="10"/>
  <c r="AA69" i="10"/>
  <c r="AE69" i="10" s="1"/>
  <c r="X69" i="10"/>
  <c r="X63" i="10"/>
  <c r="AA63" i="10"/>
  <c r="AE63" i="10" s="1"/>
  <c r="AA43" i="10"/>
  <c r="X43" i="10"/>
  <c r="AA44" i="10"/>
  <c r="X44" i="10"/>
  <c r="AA54" i="10"/>
  <c r="X54" i="10"/>
  <c r="AA47" i="10"/>
  <c r="X47" i="10"/>
  <c r="AA51" i="10"/>
  <c r="X51" i="10"/>
  <c r="AA56" i="10"/>
  <c r="X56" i="10"/>
  <c r="AA41" i="10"/>
  <c r="X41" i="10"/>
  <c r="AA23" i="10"/>
  <c r="X23" i="10"/>
  <c r="X24" i="10"/>
  <c r="AA24" i="10"/>
  <c r="AE24" i="10" s="1"/>
  <c r="AA37" i="10"/>
  <c r="X37" i="10"/>
  <c r="AA22" i="10"/>
  <c r="AE22" i="10" s="1"/>
  <c r="X22" i="10"/>
  <c r="AA33" i="10"/>
  <c r="AE33" i="10" s="1"/>
  <c r="X33" i="10"/>
  <c r="AA60" i="10"/>
  <c r="X60" i="10"/>
  <c r="X39" i="10"/>
  <c r="AA39" i="10"/>
  <c r="AA30" i="10"/>
  <c r="X30" i="10"/>
  <c r="AA42" i="10"/>
  <c r="AE42" i="10" s="1"/>
  <c r="X42" i="10"/>
  <c r="AA40" i="10"/>
  <c r="X40" i="10"/>
  <c r="AA32" i="10"/>
  <c r="AE32" i="10" s="1"/>
  <c r="X32" i="10"/>
  <c r="X52" i="10"/>
  <c r="AA52" i="10"/>
  <c r="AE52" i="10" s="1"/>
  <c r="AA26" i="10"/>
  <c r="X26" i="10"/>
  <c r="AA35" i="10"/>
  <c r="X35" i="10"/>
  <c r="X27" i="10"/>
  <c r="AA27" i="10"/>
  <c r="AA67" i="10"/>
  <c r="X67" i="10"/>
  <c r="AA61" i="10"/>
  <c r="X61" i="10"/>
  <c r="AA53" i="10"/>
  <c r="X53" i="10"/>
  <c r="AA45" i="10"/>
  <c r="AE45" i="10" s="1"/>
  <c r="X45" i="10"/>
  <c r="AA29" i="10"/>
  <c r="X29" i="10"/>
  <c r="AA25" i="10"/>
  <c r="X25" i="10"/>
  <c r="AA48" i="10"/>
  <c r="AE48" i="10" s="1"/>
  <c r="X48" i="10"/>
  <c r="AA62" i="10"/>
  <c r="X62" i="10"/>
  <c r="AA31" i="10"/>
  <c r="AE31" i="10" s="1"/>
  <c r="AF31" i="10" s="1"/>
  <c r="X31" i="10"/>
  <c r="AA66" i="10"/>
  <c r="AE66" i="10" s="1"/>
  <c r="X66" i="10"/>
  <c r="AA70" i="10"/>
  <c r="AE70" i="10" s="1"/>
  <c r="X70" i="10"/>
  <c r="AA64" i="10"/>
  <c r="AE64" i="10" s="1"/>
  <c r="X64" i="10"/>
  <c r="X46" i="10"/>
  <c r="AA46" i="10"/>
  <c r="AE46" i="10" s="1"/>
  <c r="AF46" i="10" s="1"/>
  <c r="AA28" i="10"/>
  <c r="X28" i="10"/>
  <c r="AA36" i="10"/>
  <c r="X36" i="10"/>
  <c r="AA57" i="10"/>
  <c r="X57" i="10"/>
  <c r="AA34" i="10"/>
  <c r="X34" i="10"/>
  <c r="AA58" i="10"/>
  <c r="X58" i="10"/>
  <c r="X65" i="10"/>
  <c r="AA65" i="10"/>
  <c r="AA55" i="10"/>
  <c r="AE55" i="10" s="1"/>
  <c r="X55" i="10"/>
  <c r="AA50" i="10"/>
  <c r="AE50" i="10" s="1"/>
  <c r="X50" i="10"/>
  <c r="AL69" i="7"/>
  <c r="AI27" i="7"/>
  <c r="AL27" i="7" s="1"/>
  <c r="AI34" i="7"/>
  <c r="AL34" i="7" s="1"/>
  <c r="AI49" i="7"/>
  <c r="AL49" i="7" s="1"/>
  <c r="AI38" i="7"/>
  <c r="AL38" i="7" s="1"/>
  <c r="AI45" i="7"/>
  <c r="AL45" i="7" s="1"/>
  <c r="AI37" i="7"/>
  <c r="AL37" i="7" s="1"/>
  <c r="AL67" i="7"/>
  <c r="AI60" i="7"/>
  <c r="AL60" i="7" s="1"/>
  <c r="AL57" i="7"/>
  <c r="AI61" i="7"/>
  <c r="AL61" i="7" s="1"/>
  <c r="AI32" i="7"/>
  <c r="AL32" i="7" s="1"/>
  <c r="AI66" i="7"/>
  <c r="AL66" i="7" s="1"/>
  <c r="AI68" i="7"/>
  <c r="AL68" i="7" s="1"/>
  <c r="AI54" i="7"/>
  <c r="AL54" i="7" s="1"/>
  <c r="AI51" i="7"/>
  <c r="AL51" i="7" s="1"/>
  <c r="AI31" i="7"/>
  <c r="AL31" i="7" s="1"/>
  <c r="AI46" i="7"/>
  <c r="AL46" i="7" s="1"/>
  <c r="AI39" i="7"/>
  <c r="AL39" i="7" s="1"/>
  <c r="AI64" i="7"/>
  <c r="AL64" i="7" s="1"/>
  <c r="AI30" i="7"/>
  <c r="AL30" i="7" s="1"/>
  <c r="AI53" i="7"/>
  <c r="AL53" i="7" s="1"/>
  <c r="AI48" i="7"/>
  <c r="AL48" i="7" s="1"/>
  <c r="AE65" i="10" l="1"/>
  <c r="AI65" i="10" s="1"/>
  <c r="AM65" i="10" s="1"/>
  <c r="AN65" i="10" s="1"/>
  <c r="AB65" i="10"/>
  <c r="AE27" i="10"/>
  <c r="AI27" i="10" s="1"/>
  <c r="AM27" i="10" s="1"/>
  <c r="AE37" i="10"/>
  <c r="AI37" i="10" s="1"/>
  <c r="AM37" i="10" s="1"/>
  <c r="AE47" i="10"/>
  <c r="AB47" i="10"/>
  <c r="AE38" i="10"/>
  <c r="AI38" i="10" s="1"/>
  <c r="AM38" i="10" s="1"/>
  <c r="AE56" i="10"/>
  <c r="AI56" i="10" s="1"/>
  <c r="AM56" i="10" s="1"/>
  <c r="AJ69" i="10"/>
  <c r="AF69" i="10"/>
  <c r="AE28" i="10"/>
  <c r="AI28" i="10" s="1"/>
  <c r="AM28" i="10" s="1"/>
  <c r="AE67" i="10"/>
  <c r="AI67" i="10" s="1"/>
  <c r="AM67" i="10" s="1"/>
  <c r="AE34" i="10"/>
  <c r="AI34" i="10" s="1"/>
  <c r="AM34" i="10" s="1"/>
  <c r="AE29" i="10"/>
  <c r="AI29" i="10" s="1"/>
  <c r="AM29" i="10" s="1"/>
  <c r="AE35" i="10"/>
  <c r="AI35" i="10" s="1"/>
  <c r="AM35" i="10" s="1"/>
  <c r="AE30" i="10"/>
  <c r="AI30" i="10" s="1"/>
  <c r="AM30" i="10" s="1"/>
  <c r="AE54" i="10"/>
  <c r="AB54" i="10"/>
  <c r="AE49" i="10"/>
  <c r="AE62" i="10"/>
  <c r="AI62" i="10" s="1"/>
  <c r="AM62" i="10" s="1"/>
  <c r="AN62" i="10" s="1"/>
  <c r="AB62" i="10"/>
  <c r="AE51" i="10"/>
  <c r="AI51" i="10" s="1"/>
  <c r="AM51" i="10" s="1"/>
  <c r="AE25" i="10"/>
  <c r="AI25" i="10" s="1"/>
  <c r="AM25" i="10" s="1"/>
  <c r="AE39" i="10"/>
  <c r="AI39" i="10" s="1"/>
  <c r="AM39" i="10" s="1"/>
  <c r="AE61" i="10"/>
  <c r="AI61" i="10" s="1"/>
  <c r="AM61" i="10" s="1"/>
  <c r="AB61" i="10"/>
  <c r="AE57" i="10"/>
  <c r="AI57" i="10" s="1"/>
  <c r="AM57" i="10" s="1"/>
  <c r="AE26" i="10"/>
  <c r="AI26" i="10" s="1"/>
  <c r="AM26" i="10" s="1"/>
  <c r="AE23" i="10"/>
  <c r="AI23" i="10" s="1"/>
  <c r="AM23" i="10" s="1"/>
  <c r="AB44" i="10"/>
  <c r="AE44" i="10"/>
  <c r="AI44" i="10" s="1"/>
  <c r="AM44" i="10" s="1"/>
  <c r="AN44" i="10" s="1"/>
  <c r="AE40" i="10"/>
  <c r="AI40" i="10" s="1"/>
  <c r="AM40" i="10" s="1"/>
  <c r="AJ52" i="10"/>
  <c r="AF52" i="10"/>
  <c r="AB68" i="10"/>
  <c r="AE68" i="10"/>
  <c r="AF68" i="10" s="1"/>
  <c r="AE58" i="10"/>
  <c r="AE36" i="10"/>
  <c r="AI36" i="10" s="1"/>
  <c r="AM36" i="10" s="1"/>
  <c r="AN36" i="10" s="1"/>
  <c r="AE53" i="10"/>
  <c r="AI53" i="10" s="1"/>
  <c r="AM53" i="10" s="1"/>
  <c r="AN53" i="10" s="1"/>
  <c r="AB53" i="10"/>
  <c r="AE60" i="10"/>
  <c r="AI60" i="10" s="1"/>
  <c r="AM60" i="10" s="1"/>
  <c r="AE41" i="10"/>
  <c r="AI41" i="10" s="1"/>
  <c r="AM41" i="10" s="1"/>
  <c r="AE43" i="10"/>
  <c r="AI43" i="10" s="1"/>
  <c r="AM43" i="10" s="1"/>
  <c r="AI33" i="10"/>
  <c r="AM33" i="10" s="1"/>
  <c r="AI24" i="10"/>
  <c r="AM24" i="10" s="1"/>
  <c r="AI64" i="10"/>
  <c r="AM64" i="10" s="1"/>
  <c r="AI52" i="10"/>
  <c r="AM52" i="10" s="1"/>
  <c r="AN52" i="10" s="1"/>
  <c r="AI31" i="10"/>
  <c r="AM31" i="10" s="1"/>
  <c r="AN31" i="10" s="1"/>
  <c r="AI32" i="10"/>
  <c r="AM32" i="10" s="1"/>
  <c r="AN32" i="10" s="1"/>
  <c r="AI22" i="10"/>
  <c r="AM22" i="10" s="1"/>
  <c r="AN22" i="10" s="1"/>
  <c r="AI46" i="10"/>
  <c r="AM46" i="10" s="1"/>
  <c r="AN46" i="10" s="1"/>
  <c r="AI42" i="10"/>
  <c r="AM42" i="10" s="1"/>
  <c r="AN42" i="10" s="1"/>
  <c r="AI47" i="10"/>
  <c r="AM47" i="10" s="1"/>
  <c r="AN47" i="10" s="1"/>
  <c r="AI70" i="10"/>
  <c r="AM70" i="10" s="1"/>
  <c r="AN70" i="10" s="1"/>
  <c r="AI54" i="10"/>
  <c r="AM54" i="10" s="1"/>
  <c r="AN54" i="10" s="1"/>
  <c r="AI50" i="10"/>
  <c r="AM50" i="10" s="1"/>
  <c r="AN50" i="10" s="1"/>
  <c r="AI66" i="10"/>
  <c r="AM66" i="10" s="1"/>
  <c r="AN66" i="10" s="1"/>
  <c r="AI45" i="10"/>
  <c r="AM45" i="10" s="1"/>
  <c r="AN45" i="10" s="1"/>
  <c r="AI59" i="10"/>
  <c r="AM59" i="10" s="1"/>
  <c r="AN59" i="10" s="1"/>
  <c r="AI55" i="10"/>
  <c r="AM55" i="10" s="1"/>
  <c r="AN55" i="10" s="1"/>
  <c r="AN67" i="10" l="1"/>
  <c r="AP67" i="10"/>
  <c r="AQ67" i="10"/>
  <c r="AR67" i="10" s="1"/>
  <c r="AN51" i="10"/>
  <c r="AQ51" i="10"/>
  <c r="AR51" i="10" s="1"/>
  <c r="AP51" i="10"/>
  <c r="AN41" i="10"/>
  <c r="AP41" i="10"/>
  <c r="AQ41" i="10"/>
  <c r="AR41" i="10" s="1"/>
  <c r="AN28" i="10"/>
  <c r="AQ28" i="10"/>
  <c r="AR28" i="10" s="1"/>
  <c r="AP28" i="10"/>
  <c r="AN40" i="10"/>
  <c r="AP40" i="10"/>
  <c r="AQ40" i="10"/>
  <c r="AR40" i="10" s="1"/>
  <c r="AN60" i="10"/>
  <c r="AP60" i="10"/>
  <c r="AQ60" i="10"/>
  <c r="AR60" i="10" s="1"/>
  <c r="AN30" i="10"/>
  <c r="AQ30" i="10"/>
  <c r="AR30" i="10" s="1"/>
  <c r="AP30" i="10"/>
  <c r="AN29" i="10"/>
  <c r="AQ29" i="10"/>
  <c r="AR29" i="10" s="1"/>
  <c r="AP29" i="10"/>
  <c r="AN39" i="10"/>
  <c r="AQ39" i="10"/>
  <c r="AR39" i="10" s="1"/>
  <c r="AP39" i="10"/>
  <c r="AN25" i="10"/>
  <c r="AP25" i="10"/>
  <c r="AQ25" i="10"/>
  <c r="AR25" i="10" s="1"/>
  <c r="AN43" i="10"/>
  <c r="AP43" i="10"/>
  <c r="AQ43" i="10"/>
  <c r="AR43" i="10" s="1"/>
  <c r="AN56" i="10"/>
  <c r="AQ56" i="10"/>
  <c r="AR56" i="10" s="1"/>
  <c r="AP56" i="10"/>
  <c r="AN38" i="10"/>
  <c r="AQ38" i="10"/>
  <c r="AR38" i="10" s="1"/>
  <c r="AP38" i="10"/>
  <c r="AN23" i="10"/>
  <c r="AQ23" i="10"/>
  <c r="AR23" i="10" s="1"/>
  <c r="AP23" i="10"/>
  <c r="AN26" i="10"/>
  <c r="AQ26" i="10"/>
  <c r="AR26" i="10" s="1"/>
  <c r="AP26" i="10"/>
  <c r="AN37" i="10"/>
  <c r="AQ37" i="10"/>
  <c r="AR37" i="10" s="1"/>
  <c r="AP37" i="10"/>
  <c r="AN57" i="10"/>
  <c r="AP57" i="10"/>
  <c r="AQ57" i="10"/>
  <c r="AR57" i="10" s="1"/>
  <c r="AN35" i="10"/>
  <c r="AQ35" i="10"/>
  <c r="AR35" i="10" s="1"/>
  <c r="AP35" i="10"/>
  <c r="AN27" i="10"/>
  <c r="AQ27" i="10"/>
  <c r="AR27" i="10" s="1"/>
  <c r="AP27" i="10"/>
  <c r="AN61" i="10"/>
  <c r="AQ61" i="10"/>
  <c r="AR61" i="10" s="1"/>
  <c r="AP61" i="10"/>
  <c r="AN34" i="10"/>
  <c r="AQ34" i="10"/>
  <c r="AR34" i="10" s="1"/>
  <c r="AP34" i="10"/>
  <c r="AI68" i="10"/>
  <c r="AM68" i="10" s="1"/>
  <c r="AP33" i="10"/>
  <c r="AN33" i="10"/>
  <c r="AF49" i="10"/>
  <c r="AJ49" i="10"/>
  <c r="AQ24" i="10"/>
  <c r="AR24" i="10" s="1"/>
  <c r="AN24" i="10"/>
  <c r="AP44" i="10"/>
  <c r="AI49" i="10"/>
  <c r="AM49" i="10" s="1"/>
  <c r="AJ58" i="10"/>
  <c r="AF58" i="10"/>
  <c r="AI58" i="10"/>
  <c r="AM58" i="10" s="1"/>
  <c r="AQ44" i="10"/>
  <c r="AR44" i="10" s="1"/>
  <c r="AP36" i="10"/>
  <c r="AQ36" i="10"/>
  <c r="AR36" i="10" s="1"/>
  <c r="AQ64" i="10"/>
  <c r="AR64" i="10" s="1"/>
  <c r="AN64" i="10"/>
  <c r="AQ65" i="10"/>
  <c r="AP65" i="10"/>
  <c r="AP53" i="10"/>
  <c r="AQ53" i="10"/>
  <c r="AQ33" i="10"/>
  <c r="AP24" i="10"/>
  <c r="AP64" i="10"/>
  <c r="AQ52" i="10"/>
  <c r="AQ31" i="10"/>
  <c r="AI48" i="10"/>
  <c r="AM48" i="10" s="1"/>
  <c r="AP31" i="10"/>
  <c r="AP52" i="10"/>
  <c r="AQ32" i="10"/>
  <c r="AR32" i="10" s="1"/>
  <c r="AP32" i="10"/>
  <c r="AT36" i="10"/>
  <c r="AP55" i="10"/>
  <c r="AQ55" i="10"/>
  <c r="AR55" i="10" s="1"/>
  <c r="AQ59" i="10"/>
  <c r="AR59" i="10" s="1"/>
  <c r="AP59" i="10"/>
  <c r="AP66" i="10"/>
  <c r="AQ66" i="10"/>
  <c r="AR66" i="10" s="1"/>
  <c r="AT67" i="10"/>
  <c r="AU67" i="10"/>
  <c r="AQ45" i="10"/>
  <c r="AR45" i="10" s="1"/>
  <c r="AP45" i="10"/>
  <c r="AI69" i="10"/>
  <c r="AM69" i="10" s="1"/>
  <c r="AN69" i="10" s="1"/>
  <c r="AQ54" i="10"/>
  <c r="AR54" i="10" s="1"/>
  <c r="AP54" i="10"/>
  <c r="AP70" i="10"/>
  <c r="AQ70" i="10"/>
  <c r="AR70" i="10" s="1"/>
  <c r="AQ62" i="10"/>
  <c r="AR62" i="10" s="1"/>
  <c r="AP62" i="10"/>
  <c r="AQ46" i="10"/>
  <c r="AR46" i="10" s="1"/>
  <c r="AP46" i="10"/>
  <c r="AQ50" i="10"/>
  <c r="AR50" i="10" s="1"/>
  <c r="AP50" i="10"/>
  <c r="AP42" i="10"/>
  <c r="AQ42" i="10"/>
  <c r="AR42" i="10" s="1"/>
  <c r="AQ22" i="10"/>
  <c r="AR22" i="10" s="1"/>
  <c r="AP22" i="10"/>
  <c r="AP47" i="10"/>
  <c r="AQ47" i="10"/>
  <c r="AR47" i="10" s="1"/>
  <c r="AI63" i="10"/>
  <c r="AM63" i="10" s="1"/>
  <c r="AN63" i="10" s="1"/>
  <c r="CQ25" i="7"/>
  <c r="CU25" i="7" s="1"/>
  <c r="AU25" i="7"/>
  <c r="H17" i="7"/>
  <c r="H18" i="7"/>
  <c r="H19" i="7"/>
  <c r="H20" i="7"/>
  <c r="H21" i="7"/>
  <c r="H22" i="7"/>
  <c r="H23" i="7"/>
  <c r="H24" i="7"/>
  <c r="H25" i="7"/>
  <c r="W25" i="7"/>
  <c r="AD25" i="7"/>
  <c r="AZ25" i="7"/>
  <c r="BK25" i="7"/>
  <c r="BL25" i="7"/>
  <c r="DI25" i="7"/>
  <c r="DM25" i="7"/>
  <c r="AU36" i="10" l="1"/>
  <c r="AU57" i="10"/>
  <c r="AT34" i="10"/>
  <c r="AU34" i="10"/>
  <c r="AY34" i="10" s="1"/>
  <c r="AZ34" i="10" s="1"/>
  <c r="AU39" i="10"/>
  <c r="AV39" i="10" s="1"/>
  <c r="AT39" i="10"/>
  <c r="AU40" i="10"/>
  <c r="AY40" i="10" s="1"/>
  <c r="AZ40" i="10" s="1"/>
  <c r="AU23" i="10"/>
  <c r="CA23" i="10" s="1"/>
  <c r="AT30" i="10"/>
  <c r="AT40" i="10"/>
  <c r="AT23" i="10"/>
  <c r="AU44" i="10"/>
  <c r="CA44" i="10" s="1"/>
  <c r="AT57" i="10"/>
  <c r="AU38" i="10"/>
  <c r="AY38" i="10" s="1"/>
  <c r="AZ38" i="10" s="1"/>
  <c r="AT27" i="10"/>
  <c r="AU41" i="10"/>
  <c r="AV41" i="10" s="1"/>
  <c r="AU30" i="10"/>
  <c r="CA30" i="10" s="1"/>
  <c r="AT38" i="10"/>
  <c r="AT37" i="10"/>
  <c r="AU56" i="10"/>
  <c r="CA56" i="10" s="1"/>
  <c r="AU60" i="10"/>
  <c r="AV60" i="10" s="1"/>
  <c r="AT44" i="10"/>
  <c r="AT51" i="10"/>
  <c r="AU51" i="10"/>
  <c r="AY51" i="10" s="1"/>
  <c r="AZ51" i="10" s="1"/>
  <c r="AU25" i="10"/>
  <c r="CA25" i="10" s="1"/>
  <c r="AT60" i="10"/>
  <c r="AU27" i="10"/>
  <c r="CA27" i="10" s="1"/>
  <c r="AT25" i="10"/>
  <c r="AU65" i="10"/>
  <c r="CA65" i="10" s="1"/>
  <c r="AR65" i="10"/>
  <c r="AN49" i="10"/>
  <c r="AQ49" i="10"/>
  <c r="AP49" i="10"/>
  <c r="AU53" i="10"/>
  <c r="AY53" i="10" s="1"/>
  <c r="AZ53" i="10" s="1"/>
  <c r="AR53" i="10"/>
  <c r="AU37" i="10"/>
  <c r="AY37" i="10" s="1"/>
  <c r="AZ37" i="10" s="1"/>
  <c r="AT64" i="10"/>
  <c r="AT31" i="10"/>
  <c r="AR31" i="10"/>
  <c r="AU64" i="10"/>
  <c r="AY64" i="10" s="1"/>
  <c r="AZ64" i="10" s="1"/>
  <c r="AT24" i="10"/>
  <c r="AT52" i="10"/>
  <c r="AR52" i="10"/>
  <c r="AN68" i="10"/>
  <c r="AP68" i="10"/>
  <c r="AQ68" i="10"/>
  <c r="AQ48" i="10"/>
  <c r="AR48" i="10" s="1"/>
  <c r="AN48" i="10"/>
  <c r="AU43" i="10"/>
  <c r="AY43" i="10" s="1"/>
  <c r="AZ43" i="10" s="1"/>
  <c r="AU28" i="10"/>
  <c r="AY28" i="10" s="1"/>
  <c r="AZ28" i="10" s="1"/>
  <c r="AU61" i="10"/>
  <c r="AY61" i="10" s="1"/>
  <c r="AZ61" i="10" s="1"/>
  <c r="AU24" i="10"/>
  <c r="CA24" i="10" s="1"/>
  <c r="AN58" i="10"/>
  <c r="AQ58" i="10"/>
  <c r="AP58" i="10"/>
  <c r="AT43" i="10"/>
  <c r="AT28" i="10"/>
  <c r="AT61" i="10"/>
  <c r="AT29" i="10"/>
  <c r="AT26" i="10"/>
  <c r="AT35" i="10"/>
  <c r="AT41" i="10"/>
  <c r="AT56" i="10"/>
  <c r="AU29" i="10"/>
  <c r="AU26" i="10"/>
  <c r="AY26" i="10" s="1"/>
  <c r="AZ26" i="10" s="1"/>
  <c r="AU35" i="10"/>
  <c r="AY35" i="10" s="1"/>
  <c r="AZ35" i="10" s="1"/>
  <c r="AT33" i="10"/>
  <c r="AR33" i="10"/>
  <c r="AT65" i="10"/>
  <c r="AT53" i="10"/>
  <c r="AU33" i="10"/>
  <c r="AY33" i="10" s="1"/>
  <c r="AZ33" i="10" s="1"/>
  <c r="AP48" i="10"/>
  <c r="AU31" i="10"/>
  <c r="CA31" i="10" s="1"/>
  <c r="AU52" i="10"/>
  <c r="AY52" i="10" s="1"/>
  <c r="AZ52" i="10" s="1"/>
  <c r="AT66" i="10"/>
  <c r="AU66" i="10"/>
  <c r="CA36" i="10"/>
  <c r="AY36" i="10"/>
  <c r="AZ36" i="10" s="1"/>
  <c r="AU46" i="10"/>
  <c r="AV46" i="10" s="1"/>
  <c r="AT46" i="10"/>
  <c r="AU50" i="10"/>
  <c r="AT50" i="10"/>
  <c r="CA67" i="10"/>
  <c r="AY67" i="10"/>
  <c r="AZ67" i="10" s="1"/>
  <c r="AU32" i="10"/>
  <c r="AT32" i="10"/>
  <c r="AT62" i="10"/>
  <c r="AU62" i="10"/>
  <c r="AT54" i="10"/>
  <c r="AU54" i="10"/>
  <c r="AU59" i="10"/>
  <c r="AT59" i="10"/>
  <c r="AQ63" i="10"/>
  <c r="AR63" i="10" s="1"/>
  <c r="AP63" i="10"/>
  <c r="AT22" i="10"/>
  <c r="AU22" i="10"/>
  <c r="AU47" i="10"/>
  <c r="AT47" i="10"/>
  <c r="AT42" i="10"/>
  <c r="AU42" i="10"/>
  <c r="AT70" i="10"/>
  <c r="AU70" i="10"/>
  <c r="AP69" i="10"/>
  <c r="AQ69" i="10"/>
  <c r="AR69" i="10" s="1"/>
  <c r="AT45" i="10"/>
  <c r="AU45" i="10"/>
  <c r="AU55" i="10"/>
  <c r="AT55" i="10"/>
  <c r="AV25" i="7"/>
  <c r="AW25" i="7" s="1"/>
  <c r="BL20" i="10" s="1"/>
  <c r="CT25" i="7"/>
  <c r="CR25" i="7"/>
  <c r="CS25" i="7"/>
  <c r="AJ25" i="7"/>
  <c r="AD18" i="7"/>
  <c r="AD19" i="7"/>
  <c r="AD20" i="7"/>
  <c r="AD21" i="7"/>
  <c r="AD22" i="7"/>
  <c r="AD23" i="7"/>
  <c r="AD24" i="7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M67" i="9"/>
  <c r="L67" i="9"/>
  <c r="CA29" i="10" l="1"/>
  <c r="CD29" i="10" s="1"/>
  <c r="AV29" i="10"/>
  <c r="CA57" i="10"/>
  <c r="AV57" i="10"/>
  <c r="AY57" i="10"/>
  <c r="AZ57" i="10" s="1"/>
  <c r="CA34" i="10"/>
  <c r="CE34" i="10" s="1"/>
  <c r="AY39" i="10"/>
  <c r="AZ39" i="10" s="1"/>
  <c r="AY30" i="10"/>
  <c r="AZ30" i="10" s="1"/>
  <c r="CA39" i="10"/>
  <c r="CE39" i="10" s="1"/>
  <c r="CA26" i="10"/>
  <c r="CD26" i="10" s="1"/>
  <c r="AY44" i="10"/>
  <c r="AZ44" i="10" s="1"/>
  <c r="CA40" i="10"/>
  <c r="CE40" i="10" s="1"/>
  <c r="AY23" i="10"/>
  <c r="AZ23" i="10" s="1"/>
  <c r="AY65" i="10"/>
  <c r="AZ65" i="10" s="1"/>
  <c r="AY56" i="10"/>
  <c r="AZ56" i="10" s="1"/>
  <c r="CA38" i="10"/>
  <c r="CE38" i="10" s="1"/>
  <c r="CA53" i="10"/>
  <c r="CD53" i="10" s="1"/>
  <c r="AY60" i="10"/>
  <c r="AZ60" i="10" s="1"/>
  <c r="CA41" i="10"/>
  <c r="CD41" i="10" s="1"/>
  <c r="AY41" i="10"/>
  <c r="AZ41" i="10" s="1"/>
  <c r="CA51" i="10"/>
  <c r="CD51" i="10" s="1"/>
  <c r="CA60" i="10"/>
  <c r="CE60" i="10" s="1"/>
  <c r="AY25" i="10"/>
  <c r="AZ25" i="10" s="1"/>
  <c r="CA43" i="10"/>
  <c r="CE43" i="10" s="1"/>
  <c r="CA28" i="10"/>
  <c r="CE28" i="10" s="1"/>
  <c r="AY27" i="10"/>
  <c r="AZ27" i="10" s="1"/>
  <c r="CA37" i="10"/>
  <c r="CE37" i="10" s="1"/>
  <c r="CA35" i="10"/>
  <c r="CD35" i="10" s="1"/>
  <c r="AR68" i="10"/>
  <c r="AU68" i="10"/>
  <c r="AT68" i="10"/>
  <c r="CA61" i="10"/>
  <c r="CD61" i="10" s="1"/>
  <c r="AY29" i="10"/>
  <c r="AZ29" i="10" s="1"/>
  <c r="AU48" i="10"/>
  <c r="AY48" i="10" s="1"/>
  <c r="AZ48" i="10" s="1"/>
  <c r="AR49" i="10"/>
  <c r="AU49" i="10"/>
  <c r="AT49" i="10"/>
  <c r="AT48" i="10"/>
  <c r="AY24" i="10"/>
  <c r="AZ24" i="10" s="1"/>
  <c r="CA64" i="10"/>
  <c r="CD64" i="10" s="1"/>
  <c r="AR58" i="10"/>
  <c r="AT58" i="10"/>
  <c r="AU58" i="10"/>
  <c r="CA33" i="10"/>
  <c r="CD33" i="10" s="1"/>
  <c r="AY31" i="10"/>
  <c r="CA52" i="10"/>
  <c r="CD52" i="10" s="1"/>
  <c r="AY70" i="10"/>
  <c r="AZ70" i="10" s="1"/>
  <c r="CA70" i="10"/>
  <c r="CE56" i="10"/>
  <c r="CD56" i="10"/>
  <c r="CD44" i="10"/>
  <c r="CE44" i="10"/>
  <c r="CA55" i="10"/>
  <c r="AY55" i="10"/>
  <c r="AZ55" i="10" s="1"/>
  <c r="BC34" i="10"/>
  <c r="BG34" i="10" s="1"/>
  <c r="BK34" i="10" s="1"/>
  <c r="BO34" i="10" s="1"/>
  <c r="BS34" i="10" s="1"/>
  <c r="BW34" i="10" s="1"/>
  <c r="CD23" i="10"/>
  <c r="CE23" i="10"/>
  <c r="CD65" i="10"/>
  <c r="CE65" i="10"/>
  <c r="BC61" i="10"/>
  <c r="BG61" i="10" s="1"/>
  <c r="BK61" i="10" s="1"/>
  <c r="BO61" i="10" s="1"/>
  <c r="BS61" i="10" s="1"/>
  <c r="BW61" i="10" s="1"/>
  <c r="BC52" i="10"/>
  <c r="BG52" i="10" s="1"/>
  <c r="BK52" i="10" s="1"/>
  <c r="BO52" i="10" s="1"/>
  <c r="BS52" i="10" s="1"/>
  <c r="BW52" i="10" s="1"/>
  <c r="CA45" i="10"/>
  <c r="AY45" i="10"/>
  <c r="AZ45" i="10" s="1"/>
  <c r="CA42" i="10"/>
  <c r="AY42" i="10"/>
  <c r="AZ42" i="10" s="1"/>
  <c r="AY22" i="10"/>
  <c r="AZ22" i="10" s="1"/>
  <c r="CA22" i="10"/>
  <c r="CD30" i="10"/>
  <c r="CE30" i="10"/>
  <c r="BC67" i="10"/>
  <c r="BG67" i="10" s="1"/>
  <c r="BK67" i="10" s="1"/>
  <c r="BO67" i="10" s="1"/>
  <c r="BS67" i="10" s="1"/>
  <c r="BW67" i="10" s="1"/>
  <c r="AY50" i="10"/>
  <c r="AZ50" i="10" s="1"/>
  <c r="CA50" i="10"/>
  <c r="BC35" i="10"/>
  <c r="BG35" i="10" s="1"/>
  <c r="BK35" i="10" s="1"/>
  <c r="BO35" i="10" s="1"/>
  <c r="BS35" i="10" s="1"/>
  <c r="BW35" i="10" s="1"/>
  <c r="CE67" i="10"/>
  <c r="CD67" i="10"/>
  <c r="CA46" i="10"/>
  <c r="AY46" i="10"/>
  <c r="AZ46" i="10" s="1"/>
  <c r="CD57" i="10"/>
  <c r="CE57" i="10"/>
  <c r="AT69" i="10"/>
  <c r="AU69" i="10"/>
  <c r="AV69" i="10" s="1"/>
  <c r="CA54" i="10"/>
  <c r="AY54" i="10"/>
  <c r="AZ54" i="10" s="1"/>
  <c r="BC26" i="10"/>
  <c r="BG26" i="10" s="1"/>
  <c r="BK26" i="10" s="1"/>
  <c r="BO26" i="10" s="1"/>
  <c r="BS26" i="10" s="1"/>
  <c r="BW26" i="10" s="1"/>
  <c r="BC28" i="10"/>
  <c r="BG28" i="10" s="1"/>
  <c r="BK28" i="10" s="1"/>
  <c r="BO28" i="10" s="1"/>
  <c r="BS28" i="10" s="1"/>
  <c r="BW28" i="10" s="1"/>
  <c r="CD24" i="10"/>
  <c r="CE24" i="10"/>
  <c r="AY47" i="10"/>
  <c r="AZ47" i="10" s="1"/>
  <c r="CA47" i="10"/>
  <c r="AT63" i="10"/>
  <c r="AU63" i="10"/>
  <c r="CE25" i="10"/>
  <c r="CD25" i="10"/>
  <c r="BC53" i="10"/>
  <c r="BG53" i="10" s="1"/>
  <c r="BK53" i="10" s="1"/>
  <c r="BO53" i="10" s="1"/>
  <c r="BS53" i="10" s="1"/>
  <c r="BW53" i="10" s="1"/>
  <c r="AY32" i="10"/>
  <c r="AZ32" i="10" s="1"/>
  <c r="CA32" i="10"/>
  <c r="BC43" i="10"/>
  <c r="BG43" i="10" s="1"/>
  <c r="BK43" i="10" s="1"/>
  <c r="BO43" i="10" s="1"/>
  <c r="BS43" i="10" s="1"/>
  <c r="BW43" i="10" s="1"/>
  <c r="BC36" i="10"/>
  <c r="BG36" i="10" s="1"/>
  <c r="BK36" i="10" s="1"/>
  <c r="BO36" i="10" s="1"/>
  <c r="BS36" i="10" s="1"/>
  <c r="BW36" i="10" s="1"/>
  <c r="BC64" i="10"/>
  <c r="BG64" i="10" s="1"/>
  <c r="BK64" i="10" s="1"/>
  <c r="BO64" i="10" s="1"/>
  <c r="BS64" i="10" s="1"/>
  <c r="BW64" i="10" s="1"/>
  <c r="BC37" i="10"/>
  <c r="BG37" i="10" s="1"/>
  <c r="BK37" i="10" s="1"/>
  <c r="BO37" i="10" s="1"/>
  <c r="BS37" i="10" s="1"/>
  <c r="BW37" i="10" s="1"/>
  <c r="CA62" i="10"/>
  <c r="AY62" i="10"/>
  <c r="AZ62" i="10" s="1"/>
  <c r="BC38" i="10"/>
  <c r="BG38" i="10" s="1"/>
  <c r="BK38" i="10" s="1"/>
  <c r="BO38" i="10" s="1"/>
  <c r="BS38" i="10" s="1"/>
  <c r="BW38" i="10" s="1"/>
  <c r="CD36" i="10"/>
  <c r="CE36" i="10"/>
  <c r="BC33" i="10"/>
  <c r="BG33" i="10" s="1"/>
  <c r="BK33" i="10" s="1"/>
  <c r="BO33" i="10" s="1"/>
  <c r="BS33" i="10" s="1"/>
  <c r="BW33" i="10" s="1"/>
  <c r="CA59" i="10"/>
  <c r="AY59" i="10"/>
  <c r="AZ59" i="10" s="1"/>
  <c r="BC40" i="10"/>
  <c r="BG40" i="10" s="1"/>
  <c r="BK40" i="10" s="1"/>
  <c r="BO40" i="10" s="1"/>
  <c r="BS40" i="10" s="1"/>
  <c r="BW40" i="10" s="1"/>
  <c r="CD31" i="10"/>
  <c r="CE31" i="10"/>
  <c r="AY66" i="10"/>
  <c r="AZ66" i="10" s="1"/>
  <c r="CA66" i="10"/>
  <c r="CE27" i="10"/>
  <c r="CD27" i="10"/>
  <c r="BC51" i="10"/>
  <c r="BG51" i="10" s="1"/>
  <c r="BK51" i="10" s="1"/>
  <c r="BO51" i="10" s="1"/>
  <c r="BS51" i="10" s="1"/>
  <c r="BW51" i="10" s="1"/>
  <c r="CV25" i="7"/>
  <c r="CW25" i="7" s="1"/>
  <c r="DN25" i="7"/>
  <c r="DP25" i="7" s="1"/>
  <c r="E25" i="7" s="1"/>
  <c r="AX25" i="7"/>
  <c r="AK25" i="7"/>
  <c r="AG25" i="7"/>
  <c r="AF25" i="7"/>
  <c r="AH25" i="7" s="1"/>
  <c r="M62" i="9"/>
  <c r="M44" i="9"/>
  <c r="M57" i="9"/>
  <c r="M47" i="9"/>
  <c r="M59" i="9"/>
  <c r="M49" i="9"/>
  <c r="M42" i="9"/>
  <c r="M50" i="9"/>
  <c r="M65" i="9"/>
  <c r="M51" i="9"/>
  <c r="M54" i="9"/>
  <c r="M64" i="9"/>
  <c r="M56" i="9"/>
  <c r="M46" i="9"/>
  <c r="M66" i="9"/>
  <c r="M60" i="9"/>
  <c r="M58" i="9"/>
  <c r="M52" i="9"/>
  <c r="M45" i="9"/>
  <c r="M43" i="9"/>
  <c r="M48" i="9"/>
  <c r="M63" i="9"/>
  <c r="M61" i="9"/>
  <c r="M55" i="9"/>
  <c r="M53" i="9"/>
  <c r="CE29" i="10" l="1"/>
  <c r="CI29" i="10" s="1"/>
  <c r="BC30" i="10"/>
  <c r="BG30" i="10" s="1"/>
  <c r="BK30" i="10" s="1"/>
  <c r="BO30" i="10" s="1"/>
  <c r="BS30" i="10" s="1"/>
  <c r="BW30" i="10" s="1"/>
  <c r="BC57" i="10"/>
  <c r="BG57" i="10" s="1"/>
  <c r="BK57" i="10" s="1"/>
  <c r="BO57" i="10" s="1"/>
  <c r="BS57" i="10" s="1"/>
  <c r="BW57" i="10" s="1"/>
  <c r="CD34" i="10"/>
  <c r="BC44" i="10"/>
  <c r="BG44" i="10" s="1"/>
  <c r="BK44" i="10" s="1"/>
  <c r="BO44" i="10" s="1"/>
  <c r="BS44" i="10" s="1"/>
  <c r="BW44" i="10" s="1"/>
  <c r="CD40" i="10"/>
  <c r="BC39" i="10"/>
  <c r="BG39" i="10" s="1"/>
  <c r="BK39" i="10" s="1"/>
  <c r="BO39" i="10" s="1"/>
  <c r="BS39" i="10" s="1"/>
  <c r="BW39" i="10" s="1"/>
  <c r="CE26" i="10"/>
  <c r="CH26" i="10" s="1"/>
  <c r="BC65" i="10"/>
  <c r="BG65" i="10" s="1"/>
  <c r="BK65" i="10" s="1"/>
  <c r="BO65" i="10" s="1"/>
  <c r="BS65" i="10" s="1"/>
  <c r="BW65" i="10" s="1"/>
  <c r="CD39" i="10"/>
  <c r="CD38" i="10"/>
  <c r="CD37" i="10"/>
  <c r="CE41" i="10"/>
  <c r="CH41" i="10" s="1"/>
  <c r="CE53" i="10"/>
  <c r="CI53" i="10" s="1"/>
  <c r="BC56" i="10"/>
  <c r="BG56" i="10" s="1"/>
  <c r="BK56" i="10" s="1"/>
  <c r="BO56" i="10" s="1"/>
  <c r="BS56" i="10" s="1"/>
  <c r="BW56" i="10" s="1"/>
  <c r="BC23" i="10"/>
  <c r="BG23" i="10" s="1"/>
  <c r="BK23" i="10" s="1"/>
  <c r="BO23" i="10" s="1"/>
  <c r="BS23" i="10" s="1"/>
  <c r="BW23" i="10" s="1"/>
  <c r="CD43" i="10"/>
  <c r="CD60" i="10"/>
  <c r="CA48" i="10"/>
  <c r="CD48" i="10" s="1"/>
  <c r="BC29" i="10"/>
  <c r="BG29" i="10" s="1"/>
  <c r="BK29" i="10" s="1"/>
  <c r="BO29" i="10" s="1"/>
  <c r="BS29" i="10" s="1"/>
  <c r="BW29" i="10" s="1"/>
  <c r="BC60" i="10"/>
  <c r="BG60" i="10" s="1"/>
  <c r="BK60" i="10" s="1"/>
  <c r="BO60" i="10" s="1"/>
  <c r="BS60" i="10" s="1"/>
  <c r="BW60" i="10" s="1"/>
  <c r="BC41" i="10"/>
  <c r="BG41" i="10" s="1"/>
  <c r="BK41" i="10" s="1"/>
  <c r="BO41" i="10" s="1"/>
  <c r="BS41" i="10" s="1"/>
  <c r="BW41" i="10" s="1"/>
  <c r="CD28" i="10"/>
  <c r="CE51" i="10"/>
  <c r="CH51" i="10" s="1"/>
  <c r="CE35" i="10"/>
  <c r="CI35" i="10" s="1"/>
  <c r="BC27" i="10"/>
  <c r="BG27" i="10" s="1"/>
  <c r="BK27" i="10" s="1"/>
  <c r="BO27" i="10" s="1"/>
  <c r="BS27" i="10" s="1"/>
  <c r="BW27" i="10" s="1"/>
  <c r="BC25" i="10"/>
  <c r="BG25" i="10" s="1"/>
  <c r="BK25" i="10" s="1"/>
  <c r="BO25" i="10" s="1"/>
  <c r="BS25" i="10" s="1"/>
  <c r="BW25" i="10" s="1"/>
  <c r="CE61" i="10"/>
  <c r="CH61" i="10" s="1"/>
  <c r="CA49" i="10"/>
  <c r="AY49" i="10"/>
  <c r="BC24" i="10"/>
  <c r="BG24" i="10" s="1"/>
  <c r="BK24" i="10" s="1"/>
  <c r="BO24" i="10" s="1"/>
  <c r="BS24" i="10" s="1"/>
  <c r="BW24" i="10" s="1"/>
  <c r="BC31" i="10"/>
  <c r="BG31" i="10" s="1"/>
  <c r="BK31" i="10" s="1"/>
  <c r="BO31" i="10" s="1"/>
  <c r="BS31" i="10" s="1"/>
  <c r="BW31" i="10" s="1"/>
  <c r="AZ31" i="10"/>
  <c r="CE64" i="10"/>
  <c r="CH64" i="10" s="1"/>
  <c r="AV58" i="10"/>
  <c r="AY58" i="10"/>
  <c r="CA58" i="10"/>
  <c r="AY68" i="10"/>
  <c r="CA68" i="10"/>
  <c r="CE33" i="10"/>
  <c r="CI33" i="10" s="1"/>
  <c r="CE52" i="10"/>
  <c r="CI52" i="10" s="1"/>
  <c r="BC66" i="10"/>
  <c r="BG66" i="10" s="1"/>
  <c r="BK66" i="10" s="1"/>
  <c r="BO66" i="10" s="1"/>
  <c r="BS66" i="10" s="1"/>
  <c r="BW66" i="10" s="1"/>
  <c r="CI43" i="10"/>
  <c r="CH43" i="10"/>
  <c r="CH39" i="10"/>
  <c r="CI39" i="10"/>
  <c r="CD50" i="10"/>
  <c r="CE50" i="10"/>
  <c r="CD22" i="10"/>
  <c r="CE22" i="10"/>
  <c r="CI34" i="10"/>
  <c r="CH34" i="10"/>
  <c r="BC47" i="10"/>
  <c r="BG47" i="10" s="1"/>
  <c r="BK47" i="10" s="1"/>
  <c r="BO47" i="10" s="1"/>
  <c r="BS47" i="10" s="1"/>
  <c r="BW47" i="10" s="1"/>
  <c r="CH44" i="10"/>
  <c r="CI44" i="10"/>
  <c r="CI36" i="10"/>
  <c r="CH36" i="10"/>
  <c r="BC46" i="10"/>
  <c r="BG46" i="10" s="1"/>
  <c r="BK46" i="10" s="1"/>
  <c r="BO46" i="10" s="1"/>
  <c r="BS46" i="10" s="1"/>
  <c r="BW46" i="10" s="1"/>
  <c r="BC42" i="10"/>
  <c r="BG42" i="10" s="1"/>
  <c r="BK42" i="10" s="1"/>
  <c r="BO42" i="10" s="1"/>
  <c r="BS42" i="10" s="1"/>
  <c r="BW42" i="10" s="1"/>
  <c r="CI40" i="10"/>
  <c r="CH40" i="10"/>
  <c r="BC48" i="10"/>
  <c r="BG48" i="10" s="1"/>
  <c r="BK48" i="10" s="1"/>
  <c r="BO48" i="10" s="1"/>
  <c r="BS48" i="10" s="1"/>
  <c r="BW48" i="10" s="1"/>
  <c r="CI38" i="10"/>
  <c r="CH38" i="10"/>
  <c r="BC59" i="10"/>
  <c r="BG59" i="10" s="1"/>
  <c r="BK59" i="10" s="1"/>
  <c r="BO59" i="10" s="1"/>
  <c r="BS59" i="10" s="1"/>
  <c r="BW59" i="10" s="1"/>
  <c r="CH37" i="10"/>
  <c r="CI37" i="10"/>
  <c r="BC54" i="10"/>
  <c r="BG54" i="10" s="1"/>
  <c r="BK54" i="10" s="1"/>
  <c r="BO54" i="10" s="1"/>
  <c r="BS54" i="10" s="1"/>
  <c r="CD46" i="10"/>
  <c r="CE46" i="10"/>
  <c r="CD42" i="10"/>
  <c r="CE42" i="10"/>
  <c r="CH65" i="10"/>
  <c r="CI65" i="10"/>
  <c r="CH25" i="10"/>
  <c r="CI25" i="10"/>
  <c r="BC45" i="10"/>
  <c r="BG45" i="10" s="1"/>
  <c r="BK45" i="10" s="1"/>
  <c r="BO45" i="10" s="1"/>
  <c r="BS45" i="10" s="1"/>
  <c r="BW45" i="10" s="1"/>
  <c r="BC55" i="10"/>
  <c r="BG55" i="10" s="1"/>
  <c r="BK55" i="10" s="1"/>
  <c r="BO55" i="10" s="1"/>
  <c r="BS55" i="10" s="1"/>
  <c r="CH60" i="10"/>
  <c r="CI60" i="10"/>
  <c r="CE32" i="10"/>
  <c r="CD32" i="10"/>
  <c r="CA69" i="10"/>
  <c r="AY69" i="10"/>
  <c r="AZ69" i="10" s="1"/>
  <c r="CI30" i="10"/>
  <c r="CH30" i="10"/>
  <c r="CD45" i="10"/>
  <c r="CE45" i="10"/>
  <c r="CE55" i="10"/>
  <c r="CD55" i="10"/>
  <c r="CI56" i="10"/>
  <c r="CH56" i="10"/>
  <c r="BC50" i="10"/>
  <c r="BG50" i="10" s="1"/>
  <c r="BK50" i="10" s="1"/>
  <c r="BO50" i="10" s="1"/>
  <c r="BS50" i="10" s="1"/>
  <c r="BW50" i="10" s="1"/>
  <c r="CD59" i="10"/>
  <c r="CE59" i="10"/>
  <c r="CH31" i="10"/>
  <c r="CI31" i="10"/>
  <c r="BC32" i="10"/>
  <c r="BG32" i="10" s="1"/>
  <c r="BK32" i="10" s="1"/>
  <c r="BO32" i="10" s="1"/>
  <c r="BS32" i="10" s="1"/>
  <c r="BW32" i="10" s="1"/>
  <c r="AY63" i="10"/>
  <c r="AZ63" i="10" s="1"/>
  <c r="CA63" i="10"/>
  <c r="CH24" i="10"/>
  <c r="CI24" i="10"/>
  <c r="CH67" i="10"/>
  <c r="CI67" i="10"/>
  <c r="BC22" i="10"/>
  <c r="BG22" i="10" s="1"/>
  <c r="BK22" i="10" s="1"/>
  <c r="BO22" i="10" s="1"/>
  <c r="BS22" i="10" s="1"/>
  <c r="BW22" i="10" s="1"/>
  <c r="CE54" i="10"/>
  <c r="CD54" i="10"/>
  <c r="CI27" i="10"/>
  <c r="CH27" i="10"/>
  <c r="BC62" i="10"/>
  <c r="BG62" i="10" s="1"/>
  <c r="BK62" i="10" s="1"/>
  <c r="BO62" i="10" s="1"/>
  <c r="BS62" i="10" s="1"/>
  <c r="BW62" i="10" s="1"/>
  <c r="CH57" i="10"/>
  <c r="CI57" i="10"/>
  <c r="CD70" i="10"/>
  <c r="CE70" i="10"/>
  <c r="CI28" i="10"/>
  <c r="CH28" i="10"/>
  <c r="CD66" i="10"/>
  <c r="CE66" i="10"/>
  <c r="CD62" i="10"/>
  <c r="CE62" i="10"/>
  <c r="CD47" i="10"/>
  <c r="CE47" i="10"/>
  <c r="CH23" i="10"/>
  <c r="CI23" i="10"/>
  <c r="BC70" i="10"/>
  <c r="BG70" i="10" s="1"/>
  <c r="BK70" i="10" s="1"/>
  <c r="BO70" i="10" s="1"/>
  <c r="BS70" i="10" s="1"/>
  <c r="BW70" i="10" s="1"/>
  <c r="S25" i="7"/>
  <c r="U25" i="7"/>
  <c r="AI25" i="7"/>
  <c r="AL25" i="7" s="1"/>
  <c r="CH29" i="10" l="1"/>
  <c r="CI41" i="10"/>
  <c r="CL41" i="10" s="1"/>
  <c r="CH53" i="10"/>
  <c r="CI26" i="10"/>
  <c r="CM26" i="10" s="1"/>
  <c r="CE48" i="10"/>
  <c r="CH48" i="10" s="1"/>
  <c r="CI51" i="10"/>
  <c r="CL51" i="10" s="1"/>
  <c r="CH35" i="10"/>
  <c r="CI61" i="10"/>
  <c r="CL61" i="10" s="1"/>
  <c r="CI64" i="10"/>
  <c r="CL64" i="10" s="1"/>
  <c r="CE68" i="10"/>
  <c r="CD68" i="10"/>
  <c r="CE58" i="10"/>
  <c r="CD58" i="10"/>
  <c r="BW54" i="10"/>
  <c r="BT54" i="10"/>
  <c r="BT9" i="10" s="1"/>
  <c r="AZ49" i="10"/>
  <c r="BC49" i="10"/>
  <c r="BG49" i="10" s="1"/>
  <c r="BK49" i="10" s="1"/>
  <c r="BO49" i="10" s="1"/>
  <c r="BS49" i="10" s="1"/>
  <c r="BW49" i="10" s="1"/>
  <c r="AZ68" i="10"/>
  <c r="BC68" i="10"/>
  <c r="BG68" i="10" s="1"/>
  <c r="BK68" i="10" s="1"/>
  <c r="BO68" i="10" s="1"/>
  <c r="BS68" i="10" s="1"/>
  <c r="BW68" i="10" s="1"/>
  <c r="AZ58" i="10"/>
  <c r="BC58" i="10"/>
  <c r="BG58" i="10" s="1"/>
  <c r="BK58" i="10" s="1"/>
  <c r="BO58" i="10" s="1"/>
  <c r="BS58" i="10" s="1"/>
  <c r="BW58" i="10" s="1"/>
  <c r="L20" i="10"/>
  <c r="W20" i="10"/>
  <c r="CD49" i="10"/>
  <c r="CE49" i="10"/>
  <c r="CH33" i="10"/>
  <c r="CH52" i="10"/>
  <c r="BW55" i="10"/>
  <c r="CL24" i="10"/>
  <c r="CM24" i="10"/>
  <c r="CL28" i="10"/>
  <c r="CM28" i="10"/>
  <c r="CL36" i="10"/>
  <c r="CM36" i="10"/>
  <c r="CH66" i="10"/>
  <c r="CI66" i="10"/>
  <c r="CI50" i="10"/>
  <c r="CH50" i="10"/>
  <c r="CL60" i="10"/>
  <c r="CM60" i="10"/>
  <c r="CM29" i="10"/>
  <c r="CL29" i="10"/>
  <c r="CM23" i="10"/>
  <c r="CL23" i="10"/>
  <c r="CL31" i="10"/>
  <c r="CM31" i="10"/>
  <c r="CH45" i="10"/>
  <c r="CI45" i="10"/>
  <c r="CL65" i="10"/>
  <c r="CM65" i="10"/>
  <c r="CM39" i="10"/>
  <c r="CL39" i="10"/>
  <c r="CL53" i="10"/>
  <c r="CM53" i="10"/>
  <c r="CM37" i="10"/>
  <c r="CL37" i="10"/>
  <c r="CH70" i="10"/>
  <c r="CI70" i="10"/>
  <c r="CM33" i="10"/>
  <c r="CL33" i="10"/>
  <c r="CD63" i="10"/>
  <c r="CE63" i="10"/>
  <c r="CL40" i="10"/>
  <c r="CM40" i="10"/>
  <c r="CL56" i="10"/>
  <c r="CM56" i="10"/>
  <c r="CI55" i="10"/>
  <c r="CH55" i="10"/>
  <c r="CL44" i="10"/>
  <c r="CM44" i="10"/>
  <c r="CI32" i="10"/>
  <c r="CH32" i="10"/>
  <c r="BC63" i="10"/>
  <c r="BG63" i="10" s="1"/>
  <c r="BK63" i="10" s="1"/>
  <c r="BO63" i="10" s="1"/>
  <c r="BS63" i="10" s="1"/>
  <c r="BW63" i="10" s="1"/>
  <c r="CL27" i="10"/>
  <c r="CM27" i="10"/>
  <c r="CM57" i="10"/>
  <c r="CL57" i="10"/>
  <c r="CL52" i="10"/>
  <c r="CM52" i="10"/>
  <c r="CH54" i="10"/>
  <c r="CI54" i="10"/>
  <c r="CI47" i="10"/>
  <c r="CH47" i="10"/>
  <c r="CH59" i="10"/>
  <c r="CI59" i="10"/>
  <c r="CH42" i="10"/>
  <c r="CI42" i="10"/>
  <c r="CL35" i="10"/>
  <c r="CM35" i="10"/>
  <c r="CL30" i="10"/>
  <c r="CM30" i="10"/>
  <c r="CM34" i="10"/>
  <c r="CL34" i="10"/>
  <c r="CL43" i="10"/>
  <c r="CM43" i="10"/>
  <c r="CH62" i="10"/>
  <c r="CI62" i="10"/>
  <c r="CL67" i="10"/>
  <c r="CM67" i="10"/>
  <c r="BC69" i="10"/>
  <c r="BG69" i="10" s="1"/>
  <c r="BK69" i="10" s="1"/>
  <c r="BO69" i="10" s="1"/>
  <c r="BS69" i="10" s="1"/>
  <c r="BW69" i="10" s="1"/>
  <c r="CL25" i="10"/>
  <c r="CM25" i="10"/>
  <c r="CH46" i="10"/>
  <c r="CI46" i="10"/>
  <c r="CH22" i="10"/>
  <c r="CI22" i="10"/>
  <c r="CE69" i="10"/>
  <c r="CD69" i="10"/>
  <c r="CM38" i="10"/>
  <c r="CL38" i="10"/>
  <c r="CT18" i="7"/>
  <c r="CT19" i="7"/>
  <c r="CT20" i="7"/>
  <c r="CT21" i="7"/>
  <c r="CT22" i="7"/>
  <c r="CT23" i="7"/>
  <c r="CT24" i="7"/>
  <c r="CT17" i="7"/>
  <c r="CL26" i="10" l="1"/>
  <c r="CM41" i="10"/>
  <c r="CM61" i="10"/>
  <c r="CQ61" i="10" s="1"/>
  <c r="CI48" i="10"/>
  <c r="CL48" i="10" s="1"/>
  <c r="CM51" i="10"/>
  <c r="CP51" i="10" s="1"/>
  <c r="CM64" i="10"/>
  <c r="CQ64" i="10" s="1"/>
  <c r="CI49" i="10"/>
  <c r="CH49" i="10"/>
  <c r="CI58" i="10"/>
  <c r="CH58" i="10"/>
  <c r="CI68" i="10"/>
  <c r="CH68" i="10"/>
  <c r="CL70" i="10"/>
  <c r="CM70" i="10"/>
  <c r="CM50" i="10"/>
  <c r="CL50" i="10"/>
  <c r="CQ31" i="10"/>
  <c r="CP31" i="10"/>
  <c r="CL66" i="10"/>
  <c r="CM66" i="10"/>
  <c r="CQ65" i="10"/>
  <c r="CP65" i="10"/>
  <c r="CQ37" i="10"/>
  <c r="CP37" i="10"/>
  <c r="CM42" i="10"/>
  <c r="CL42" i="10"/>
  <c r="CI69" i="10"/>
  <c r="CH69" i="10"/>
  <c r="CM22" i="10"/>
  <c r="CL22" i="10"/>
  <c r="CP43" i="10"/>
  <c r="CQ43" i="10"/>
  <c r="CQ26" i="10"/>
  <c r="CP26" i="10"/>
  <c r="CH63" i="10"/>
  <c r="CI63" i="10"/>
  <c r="CP53" i="10"/>
  <c r="CQ53" i="10"/>
  <c r="CQ36" i="10"/>
  <c r="CP36" i="10"/>
  <c r="CP41" i="10"/>
  <c r="CQ41" i="10"/>
  <c r="CQ23" i="10"/>
  <c r="CP23" i="10"/>
  <c r="CQ60" i="10"/>
  <c r="CP60" i="10"/>
  <c r="CM45" i="10"/>
  <c r="CL45" i="10"/>
  <c r="CP44" i="10"/>
  <c r="CQ44" i="10"/>
  <c r="CQ28" i="10"/>
  <c r="CP28" i="10"/>
  <c r="CQ35" i="10"/>
  <c r="CP35" i="10"/>
  <c r="CM62" i="10"/>
  <c r="CL62" i="10"/>
  <c r="CQ52" i="10"/>
  <c r="CP52" i="10"/>
  <c r="CM32" i="10"/>
  <c r="CL32" i="10"/>
  <c r="CM54" i="10"/>
  <c r="CL54" i="10"/>
  <c r="CQ56" i="10"/>
  <c r="CP56" i="10"/>
  <c r="AA21" i="10"/>
  <c r="X21" i="10"/>
  <c r="CP34" i="10"/>
  <c r="CQ34" i="10"/>
  <c r="CQ25" i="10"/>
  <c r="CP25" i="10"/>
  <c r="CQ30" i="10"/>
  <c r="CP30" i="10"/>
  <c r="CP24" i="10"/>
  <c r="CQ24" i="10"/>
  <c r="CQ27" i="10"/>
  <c r="CP27" i="10"/>
  <c r="CP67" i="10"/>
  <c r="CQ67" i="10"/>
  <c r="CP38" i="10"/>
  <c r="CQ38" i="10"/>
  <c r="CP40" i="10"/>
  <c r="CQ40" i="10"/>
  <c r="CM46" i="10"/>
  <c r="CL46" i="10"/>
  <c r="CL59" i="10"/>
  <c r="CM59" i="10"/>
  <c r="CL47" i="10"/>
  <c r="CM47" i="10"/>
  <c r="CQ57" i="10"/>
  <c r="CP57" i="10"/>
  <c r="CL55" i="10"/>
  <c r="CM55" i="10"/>
  <c r="CQ33" i="10"/>
  <c r="CP33" i="10"/>
  <c r="CP39" i="10"/>
  <c r="CQ39" i="10"/>
  <c r="CP29" i="10"/>
  <c r="CQ29" i="10"/>
  <c r="K82" i="10"/>
  <c r="CP61" i="10" l="1"/>
  <c r="CM48" i="10"/>
  <c r="CP48" i="10" s="1"/>
  <c r="CQ51" i="10"/>
  <c r="CU51" i="10" s="1"/>
  <c r="CP64" i="10"/>
  <c r="CM68" i="10"/>
  <c r="CL68" i="10"/>
  <c r="AE21" i="10"/>
  <c r="AF21" i="10" s="1"/>
  <c r="CM58" i="10"/>
  <c r="CL58" i="10"/>
  <c r="CM49" i="10"/>
  <c r="CL49" i="10"/>
  <c r="CT36" i="10"/>
  <c r="CU36" i="10"/>
  <c r="CU65" i="10"/>
  <c r="CT65" i="10"/>
  <c r="CM69" i="10"/>
  <c r="CL69" i="10"/>
  <c r="CP55" i="10"/>
  <c r="CQ55" i="10"/>
  <c r="CP22" i="10"/>
  <c r="CQ22" i="10"/>
  <c r="CU34" i="10"/>
  <c r="CT34" i="10"/>
  <c r="CP66" i="10"/>
  <c r="CQ66" i="10"/>
  <c r="CU57" i="10"/>
  <c r="CT57" i="10"/>
  <c r="CP32" i="10"/>
  <c r="CQ32" i="10"/>
  <c r="CP62" i="10"/>
  <c r="CQ62" i="10"/>
  <c r="CU60" i="10"/>
  <c r="CT60" i="10"/>
  <c r="CP50" i="10"/>
  <c r="CQ50" i="10"/>
  <c r="CM63" i="10"/>
  <c r="CL63" i="10"/>
  <c r="CT64" i="10"/>
  <c r="CU64" i="10"/>
  <c r="CT31" i="10"/>
  <c r="CU31" i="10"/>
  <c r="CT24" i="10"/>
  <c r="CU24" i="10"/>
  <c r="CQ70" i="10"/>
  <c r="CP70" i="10"/>
  <c r="CU38" i="10"/>
  <c r="CT38" i="10"/>
  <c r="CT28" i="10"/>
  <c r="CU28" i="10"/>
  <c r="CT44" i="10"/>
  <c r="CU44" i="10"/>
  <c r="CQ47" i="10"/>
  <c r="CP47" i="10"/>
  <c r="CT27" i="10"/>
  <c r="CU27" i="10"/>
  <c r="CT52" i="10"/>
  <c r="CU52" i="10"/>
  <c r="CP59" i="10"/>
  <c r="CQ59" i="10"/>
  <c r="CP46" i="10"/>
  <c r="CQ46" i="10"/>
  <c r="CT23" i="10"/>
  <c r="CU23" i="10"/>
  <c r="CU37" i="10"/>
  <c r="CT37" i="10"/>
  <c r="CQ45" i="10"/>
  <c r="CP45" i="10"/>
  <c r="CU29" i="10"/>
  <c r="CT29" i="10"/>
  <c r="CU41" i="10"/>
  <c r="CT41" i="10"/>
  <c r="CT61" i="10"/>
  <c r="CU61" i="10"/>
  <c r="CU67" i="10"/>
  <c r="CT67" i="10"/>
  <c r="CT53" i="10"/>
  <c r="CU53" i="10"/>
  <c r="CP42" i="10"/>
  <c r="CQ42" i="10"/>
  <c r="CT39" i="10"/>
  <c r="CU39" i="10"/>
  <c r="CT30" i="10"/>
  <c r="CU30" i="10"/>
  <c r="CT56" i="10"/>
  <c r="CU56" i="10"/>
  <c r="CT26" i="10"/>
  <c r="CU26" i="10"/>
  <c r="CT40" i="10"/>
  <c r="CU40" i="10"/>
  <c r="CT43" i="10"/>
  <c r="CU43" i="10"/>
  <c r="CT33" i="10"/>
  <c r="CU33" i="10"/>
  <c r="CT25" i="10"/>
  <c r="CU25" i="10"/>
  <c r="CQ54" i="10"/>
  <c r="CP54" i="10"/>
  <c r="CU35" i="10"/>
  <c r="CT35" i="10"/>
  <c r="K83" i="10"/>
  <c r="K80" i="10"/>
  <c r="K79" i="10"/>
  <c r="K78" i="10"/>
  <c r="K81" i="10"/>
  <c r="K85" i="10"/>
  <c r="K77" i="10"/>
  <c r="K70" i="10"/>
  <c r="K75" i="10"/>
  <c r="K66" i="10"/>
  <c r="K73" i="10"/>
  <c r="K67" i="10"/>
  <c r="K65" i="10"/>
  <c r="K61" i="10"/>
  <c r="K59" i="10"/>
  <c r="K51" i="10"/>
  <c r="K58" i="10"/>
  <c r="K72" i="10"/>
  <c r="K53" i="10"/>
  <c r="K63" i="10"/>
  <c r="K54" i="10"/>
  <c r="K52" i="10"/>
  <c r="K62" i="10"/>
  <c r="K50" i="10"/>
  <c r="K64" i="10"/>
  <c r="K56" i="10"/>
  <c r="K74" i="10"/>
  <c r="K60" i="10"/>
  <c r="K69" i="10"/>
  <c r="K55" i="10"/>
  <c r="K57" i="10"/>
  <c r="K71" i="10"/>
  <c r="K76" i="10"/>
  <c r="K68" i="10"/>
  <c r="K84" i="10"/>
  <c r="CT51" i="10" l="1"/>
  <c r="CQ48" i="10"/>
  <c r="CU48" i="10" s="1"/>
  <c r="CQ49" i="10"/>
  <c r="CP49" i="10"/>
  <c r="CP58" i="10"/>
  <c r="CQ58" i="10"/>
  <c r="AI21" i="10"/>
  <c r="AM21" i="10" s="1"/>
  <c r="CP68" i="10"/>
  <c r="CQ68" i="10"/>
  <c r="CU50" i="10"/>
  <c r="CT50" i="10"/>
  <c r="CU66" i="10"/>
  <c r="CT66" i="10"/>
  <c r="CY23" i="10"/>
  <c r="CX23" i="10"/>
  <c r="CY65" i="10"/>
  <c r="CX65" i="10"/>
  <c r="CU62" i="10"/>
  <c r="CT62" i="10"/>
  <c r="CY33" i="10"/>
  <c r="CX33" i="10"/>
  <c r="CU46" i="10"/>
  <c r="CT46" i="10"/>
  <c r="CX64" i="10"/>
  <c r="CY64" i="10"/>
  <c r="CT59" i="10"/>
  <c r="CU59" i="10"/>
  <c r="CX57" i="10"/>
  <c r="CY57" i="10"/>
  <c r="CT42" i="10"/>
  <c r="CU42" i="10"/>
  <c r="CT70" i="10"/>
  <c r="CU70" i="10"/>
  <c r="CX35" i="10"/>
  <c r="CY35" i="10"/>
  <c r="CX53" i="10"/>
  <c r="CY53" i="10"/>
  <c r="CX27" i="10"/>
  <c r="CY27" i="10"/>
  <c r="CX44" i="10"/>
  <c r="CY44" i="10"/>
  <c r="CU32" i="10"/>
  <c r="CT32" i="10"/>
  <c r="CY41" i="10"/>
  <c r="CX41" i="10"/>
  <c r="CX38" i="10"/>
  <c r="CY38" i="10"/>
  <c r="CX52" i="10"/>
  <c r="CY52" i="10"/>
  <c r="CX26" i="10"/>
  <c r="CY26" i="10"/>
  <c r="CY56" i="10"/>
  <c r="CX56" i="10"/>
  <c r="CT45" i="10"/>
  <c r="CU45" i="10"/>
  <c r="CX51" i="10"/>
  <c r="CY51" i="10"/>
  <c r="CX34" i="10"/>
  <c r="CY34" i="10"/>
  <c r="CU55" i="10"/>
  <c r="CT55" i="10"/>
  <c r="CY39" i="10"/>
  <c r="CX39" i="10"/>
  <c r="CY61" i="10"/>
  <c r="CX61" i="10"/>
  <c r="CX43" i="10"/>
  <c r="CY43" i="10"/>
  <c r="CX40" i="10"/>
  <c r="CY40" i="10"/>
  <c r="CQ63" i="10"/>
  <c r="CP63" i="10"/>
  <c r="CY29" i="10"/>
  <c r="CX29" i="10"/>
  <c r="CT54" i="10"/>
  <c r="CU54" i="10"/>
  <c r="CX24" i="10"/>
  <c r="CY24" i="10"/>
  <c r="CU22" i="10"/>
  <c r="CT22" i="10"/>
  <c r="CX36" i="10"/>
  <c r="CY36" i="10"/>
  <c r="CX31" i="10"/>
  <c r="CY31" i="10"/>
  <c r="CX28" i="10"/>
  <c r="CY28" i="10"/>
  <c r="CP69" i="10"/>
  <c r="CQ69" i="10"/>
  <c r="CY25" i="10"/>
  <c r="CX25" i="10"/>
  <c r="CY30" i="10"/>
  <c r="CX30" i="10"/>
  <c r="CY67" i="10"/>
  <c r="CX67" i="10"/>
  <c r="CX37" i="10"/>
  <c r="CY37" i="10"/>
  <c r="CU47" i="10"/>
  <c r="CT47" i="10"/>
  <c r="CX60" i="10"/>
  <c r="CY60" i="10"/>
  <c r="AZ22" i="7"/>
  <c r="AZ18" i="7"/>
  <c r="K49" i="10"/>
  <c r="K41" i="10"/>
  <c r="K33" i="10"/>
  <c r="K25" i="10"/>
  <c r="CT48" i="10" l="1"/>
  <c r="CU68" i="10"/>
  <c r="CT68" i="10"/>
  <c r="AN21" i="10"/>
  <c r="AP21" i="10"/>
  <c r="AQ21" i="10"/>
  <c r="CU58" i="10"/>
  <c r="CT58" i="10"/>
  <c r="CU49" i="10"/>
  <c r="CT49" i="10"/>
  <c r="DB65" i="10"/>
  <c r="DC65" i="10"/>
  <c r="DF65" i="10" s="1"/>
  <c r="DG65" i="10" s="1"/>
  <c r="DB30" i="10"/>
  <c r="DC30" i="10"/>
  <c r="DF30" i="10" s="1"/>
  <c r="DG30" i="10" s="1"/>
  <c r="DB67" i="10"/>
  <c r="DC67" i="10"/>
  <c r="DF67" i="10" s="1"/>
  <c r="DG67" i="10" s="1"/>
  <c r="DB24" i="10"/>
  <c r="DC24" i="10"/>
  <c r="DF24" i="10" s="1"/>
  <c r="DG24" i="10" s="1"/>
  <c r="CT69" i="10"/>
  <c r="CU69" i="10"/>
  <c r="CX45" i="10"/>
  <c r="CY45" i="10"/>
  <c r="CX70" i="10"/>
  <c r="CY70" i="10"/>
  <c r="CX66" i="10"/>
  <c r="CY66" i="10"/>
  <c r="DB34" i="10"/>
  <c r="DC34" i="10"/>
  <c r="DF34" i="10" s="1"/>
  <c r="DG34" i="10" s="1"/>
  <c r="DB64" i="10"/>
  <c r="DC64" i="10"/>
  <c r="DF64" i="10" s="1"/>
  <c r="DG64" i="10" s="1"/>
  <c r="DC60" i="10"/>
  <c r="DF60" i="10" s="1"/>
  <c r="DG60" i="10" s="1"/>
  <c r="DB60" i="10"/>
  <c r="DC61" i="10"/>
  <c r="DF61" i="10" s="1"/>
  <c r="DG61" i="10" s="1"/>
  <c r="DB61" i="10"/>
  <c r="CY32" i="10"/>
  <c r="CX32" i="10"/>
  <c r="DB43" i="10"/>
  <c r="DC43" i="10"/>
  <c r="DF43" i="10" s="1"/>
  <c r="DG43" i="10" s="1"/>
  <c r="DB23" i="10"/>
  <c r="DC23" i="10"/>
  <c r="DF23" i="10" s="1"/>
  <c r="DG23" i="10" s="1"/>
  <c r="CX48" i="10"/>
  <c r="CY48" i="10"/>
  <c r="CY46" i="10"/>
  <c r="CX46" i="10"/>
  <c r="CX50" i="10"/>
  <c r="CY50" i="10"/>
  <c r="DB38" i="10"/>
  <c r="DC38" i="10"/>
  <c r="DF38" i="10" s="1"/>
  <c r="DG38" i="10" s="1"/>
  <c r="DC35" i="10"/>
  <c r="DF35" i="10" s="1"/>
  <c r="DG35" i="10" s="1"/>
  <c r="DB35" i="10"/>
  <c r="CY47" i="10"/>
  <c r="CX47" i="10"/>
  <c r="DC56" i="10"/>
  <c r="DF56" i="10" s="1"/>
  <c r="DG56" i="10" s="1"/>
  <c r="DB56" i="10"/>
  <c r="DC51" i="10"/>
  <c r="DF51" i="10" s="1"/>
  <c r="DG51" i="10" s="1"/>
  <c r="DB51" i="10"/>
  <c r="DC41" i="10"/>
  <c r="DF41" i="10" s="1"/>
  <c r="DG41" i="10" s="1"/>
  <c r="DB41" i="10"/>
  <c r="DC37" i="10"/>
  <c r="DF37" i="10" s="1"/>
  <c r="DG37" i="10" s="1"/>
  <c r="DB37" i="10"/>
  <c r="DB57" i="10"/>
  <c r="DC57" i="10"/>
  <c r="DF57" i="10" s="1"/>
  <c r="DG57" i="10" s="1"/>
  <c r="DC33" i="10"/>
  <c r="DF33" i="10" s="1"/>
  <c r="DG33" i="10" s="1"/>
  <c r="DB33" i="10"/>
  <c r="CX22" i="10"/>
  <c r="CY22" i="10"/>
  <c r="CX54" i="10"/>
  <c r="CY54" i="10"/>
  <c r="DB28" i="10"/>
  <c r="DC28" i="10"/>
  <c r="DF28" i="10" s="1"/>
  <c r="DG28" i="10" s="1"/>
  <c r="CY42" i="10"/>
  <c r="CX42" i="10"/>
  <c r="DC53" i="10"/>
  <c r="DF53" i="10" s="1"/>
  <c r="DG53" i="10" s="1"/>
  <c r="DB53" i="10"/>
  <c r="DC25" i="10"/>
  <c r="DF25" i="10" s="1"/>
  <c r="DG25" i="10" s="1"/>
  <c r="DB25" i="10"/>
  <c r="DC44" i="10"/>
  <c r="DF44" i="10" s="1"/>
  <c r="DG44" i="10" s="1"/>
  <c r="DB44" i="10"/>
  <c r="DB29" i="10"/>
  <c r="DC29" i="10"/>
  <c r="DF29" i="10" s="1"/>
  <c r="DG29" i="10" s="1"/>
  <c r="DC39" i="10"/>
  <c r="DF39" i="10" s="1"/>
  <c r="DG39" i="10" s="1"/>
  <c r="DB39" i="10"/>
  <c r="DC31" i="10"/>
  <c r="DF31" i="10" s="1"/>
  <c r="DG31" i="10" s="1"/>
  <c r="DB31" i="10"/>
  <c r="DB26" i="10"/>
  <c r="DC26" i="10"/>
  <c r="DF26" i="10" s="1"/>
  <c r="DG26" i="10" s="1"/>
  <c r="CU63" i="10"/>
  <c r="CT63" i="10"/>
  <c r="CX55" i="10"/>
  <c r="CY55" i="10"/>
  <c r="DB36" i="10"/>
  <c r="DC36" i="10"/>
  <c r="DF36" i="10" s="1"/>
  <c r="DG36" i="10" s="1"/>
  <c r="DC40" i="10"/>
  <c r="DF40" i="10" s="1"/>
  <c r="DG40" i="10" s="1"/>
  <c r="DB40" i="10"/>
  <c r="DB52" i="10"/>
  <c r="DC52" i="10"/>
  <c r="DF52" i="10" s="1"/>
  <c r="DG52" i="10" s="1"/>
  <c r="DC27" i="10"/>
  <c r="DF27" i="10" s="1"/>
  <c r="DG27" i="10" s="1"/>
  <c r="DB27" i="10"/>
  <c r="CX59" i="10"/>
  <c r="CY59" i="10"/>
  <c r="CX62" i="10"/>
  <c r="CY62" i="10"/>
  <c r="K34" i="10"/>
  <c r="K43" i="10"/>
  <c r="K28" i="10"/>
  <c r="K37" i="10"/>
  <c r="K27" i="10"/>
  <c r="K36" i="10"/>
  <c r="K29" i="10"/>
  <c r="K30" i="10"/>
  <c r="K38" i="10"/>
  <c r="K46" i="10"/>
  <c r="K31" i="10"/>
  <c r="K39" i="10"/>
  <c r="K47" i="10"/>
  <c r="K26" i="10"/>
  <c r="K42" i="10"/>
  <c r="K35" i="10"/>
  <c r="K44" i="10"/>
  <c r="K45" i="10"/>
  <c r="K22" i="10"/>
  <c r="K23" i="10"/>
  <c r="K24" i="10"/>
  <c r="K32" i="10"/>
  <c r="K40" i="10"/>
  <c r="K48" i="10"/>
  <c r="AZ19" i="7"/>
  <c r="AZ23" i="7"/>
  <c r="AZ20" i="7"/>
  <c r="AZ24" i="7"/>
  <c r="AZ21" i="7"/>
  <c r="K14" i="10"/>
  <c r="K16" i="10"/>
  <c r="K17" i="10"/>
  <c r="K18" i="10"/>
  <c r="K15" i="10"/>
  <c r="K19" i="10"/>
  <c r="K20" i="10"/>
  <c r="K21" i="10"/>
  <c r="CY58" i="10" l="1"/>
  <c r="CX58" i="10"/>
  <c r="AR21" i="10"/>
  <c r="AU21" i="10"/>
  <c r="AT21" i="10"/>
  <c r="CX49" i="10"/>
  <c r="CY49" i="10"/>
  <c r="CY68" i="10"/>
  <c r="CX68" i="10"/>
  <c r="DB66" i="10"/>
  <c r="DC66" i="10"/>
  <c r="DF66" i="10" s="1"/>
  <c r="DG66" i="10" s="1"/>
  <c r="CX69" i="10"/>
  <c r="CY69" i="10"/>
  <c r="CX63" i="10"/>
  <c r="CY63" i="10"/>
  <c r="DC42" i="10"/>
  <c r="DF42" i="10" s="1"/>
  <c r="DG42" i="10" s="1"/>
  <c r="DB42" i="10"/>
  <c r="DB62" i="10"/>
  <c r="DC62" i="10"/>
  <c r="DF62" i="10" s="1"/>
  <c r="DG62" i="10" s="1"/>
  <c r="DB59" i="10"/>
  <c r="DC59" i="10"/>
  <c r="DF59" i="10" s="1"/>
  <c r="DG59" i="10" s="1"/>
  <c r="DB54" i="10"/>
  <c r="DC54" i="10"/>
  <c r="DF54" i="10" s="1"/>
  <c r="DG54" i="10" s="1"/>
  <c r="DB50" i="10"/>
  <c r="DC50" i="10"/>
  <c r="DF50" i="10" s="1"/>
  <c r="DG50" i="10" s="1"/>
  <c r="DB70" i="10"/>
  <c r="DC70" i="10"/>
  <c r="DF70" i="10" s="1"/>
  <c r="DG70" i="10" s="1"/>
  <c r="DC47" i="10"/>
  <c r="DF47" i="10" s="1"/>
  <c r="DG47" i="10" s="1"/>
  <c r="DB47" i="10"/>
  <c r="DC32" i="10"/>
  <c r="DF32" i="10" s="1"/>
  <c r="DG32" i="10" s="1"/>
  <c r="DB32" i="10"/>
  <c r="DC55" i="10"/>
  <c r="DF55" i="10" s="1"/>
  <c r="DG55" i="10" s="1"/>
  <c r="DB55" i="10"/>
  <c r="DC22" i="10"/>
  <c r="DF22" i="10" s="1"/>
  <c r="DG22" i="10" s="1"/>
  <c r="DB22" i="10"/>
  <c r="DC45" i="10"/>
  <c r="DF45" i="10" s="1"/>
  <c r="DG45" i="10" s="1"/>
  <c r="DB45" i="10"/>
  <c r="DB48" i="10"/>
  <c r="DC48" i="10"/>
  <c r="DF48" i="10" s="1"/>
  <c r="DG48" i="10" s="1"/>
  <c r="DB46" i="10"/>
  <c r="DC46" i="10"/>
  <c r="DF46" i="10" s="1"/>
  <c r="DG46" i="10" s="1"/>
  <c r="K13" i="10"/>
  <c r="DB68" i="10" l="1"/>
  <c r="DC68" i="10"/>
  <c r="DF68" i="10" s="1"/>
  <c r="DG68" i="10" s="1"/>
  <c r="DB49" i="10"/>
  <c r="DC49" i="10"/>
  <c r="DF49" i="10" s="1"/>
  <c r="DG49" i="10" s="1"/>
  <c r="AV21" i="10"/>
  <c r="AY21" i="10"/>
  <c r="CA21" i="10"/>
  <c r="DC58" i="10"/>
  <c r="DF58" i="10" s="1"/>
  <c r="DG58" i="10" s="1"/>
  <c r="DB58" i="10"/>
  <c r="DC69" i="10"/>
  <c r="DF69" i="10" s="1"/>
  <c r="DG69" i="10" s="1"/>
  <c r="DB69" i="10"/>
  <c r="DB63" i="10"/>
  <c r="DC63" i="10"/>
  <c r="DF63" i="10" s="1"/>
  <c r="DG63" i="10" s="1"/>
  <c r="BR2" i="33"/>
  <c r="L41" i="9"/>
  <c r="L40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CE21" i="10" l="1"/>
  <c r="CD21" i="10"/>
  <c r="AZ21" i="10"/>
  <c r="BC21" i="10"/>
  <c r="BG21" i="10" s="1"/>
  <c r="BK21" i="10" s="1"/>
  <c r="BO21" i="10" s="1"/>
  <c r="BS21" i="10" s="1"/>
  <c r="BW21" i="10" s="1"/>
  <c r="M41" i="9"/>
  <c r="L32" i="9"/>
  <c r="L33" i="9"/>
  <c r="L39" i="9"/>
  <c r="L38" i="9"/>
  <c r="L37" i="9"/>
  <c r="L36" i="9"/>
  <c r="L35" i="9"/>
  <c r="L34" i="9"/>
  <c r="L31" i="9"/>
  <c r="M40" i="9"/>
  <c r="CH21" i="10" l="1"/>
  <c r="CI21" i="10"/>
  <c r="M37" i="9"/>
  <c r="M32" i="9"/>
  <c r="M31" i="9"/>
  <c r="M34" i="9"/>
  <c r="M33" i="9"/>
  <c r="L26" i="9"/>
  <c r="L25" i="9"/>
  <c r="L24" i="9"/>
  <c r="M30" i="9"/>
  <c r="L30" i="9"/>
  <c r="L29" i="9"/>
  <c r="L28" i="9"/>
  <c r="L27" i="9"/>
  <c r="M38" i="9"/>
  <c r="M39" i="9"/>
  <c r="M36" i="9"/>
  <c r="M35" i="9"/>
  <c r="CL21" i="10" l="1"/>
  <c r="CM21" i="10"/>
  <c r="M27" i="9"/>
  <c r="M25" i="9"/>
  <c r="M28" i="9"/>
  <c r="M29" i="9"/>
  <c r="M26" i="9"/>
  <c r="M24" i="9"/>
  <c r="CR18" i="7"/>
  <c r="CR19" i="7"/>
  <c r="CR20" i="7"/>
  <c r="CR21" i="7"/>
  <c r="CS22" i="7"/>
  <c r="CR23" i="7"/>
  <c r="CR24" i="7"/>
  <c r="DI17" i="7"/>
  <c r="AD17" i="7"/>
  <c r="BK17" i="7"/>
  <c r="CR17" i="7"/>
  <c r="CQ21" i="10" l="1"/>
  <c r="CP21" i="10"/>
  <c r="CS23" i="7"/>
  <c r="CV23" i="7" s="1"/>
  <c r="CS20" i="7"/>
  <c r="CV20" i="7" s="1"/>
  <c r="CR22" i="7"/>
  <c r="CV22" i="7" s="1"/>
  <c r="CS18" i="7"/>
  <c r="CV18" i="7" s="1"/>
  <c r="CS19" i="7"/>
  <c r="CV19" i="7" s="1"/>
  <c r="CS21" i="7"/>
  <c r="CV21" i="7" s="1"/>
  <c r="CS24" i="7"/>
  <c r="CV24" i="7" s="1"/>
  <c r="AU17" i="7"/>
  <c r="AZ17" i="7"/>
  <c r="BL17" i="7"/>
  <c r="P17" i="7"/>
  <c r="CS17" i="7"/>
  <c r="CV17" i="7" s="1"/>
  <c r="CT21" i="10" l="1"/>
  <c r="CU21" i="10"/>
  <c r="AV17" i="7"/>
  <c r="AJ17" i="7"/>
  <c r="AK17" i="7"/>
  <c r="AF17" i="7"/>
  <c r="AH17" i="7" s="1"/>
  <c r="AG17" i="7"/>
  <c r="CY21" i="10" l="1"/>
  <c r="CX21" i="10"/>
  <c r="AW17" i="7"/>
  <c r="DN17" i="7" s="1"/>
  <c r="DP17" i="7" s="1"/>
  <c r="H51" i="7"/>
  <c r="W51" i="7"/>
  <c r="AI17" i="7"/>
  <c r="AL17" i="7" s="1"/>
  <c r="M23" i="9"/>
  <c r="L23" i="9"/>
  <c r="BK23" i="7"/>
  <c r="DI24" i="7"/>
  <c r="BK24" i="7"/>
  <c r="DB21" i="10" l="1"/>
  <c r="DC21" i="10"/>
  <c r="DF21" i="10" s="1"/>
  <c r="DG21" i="10" s="1"/>
  <c r="AX17" i="7"/>
  <c r="W17" i="7"/>
  <c r="E17" i="7"/>
  <c r="U17" i="7" s="1"/>
  <c r="H15" i="7"/>
  <c r="L14" i="9"/>
  <c r="L12" i="9"/>
  <c r="L10" i="9"/>
  <c r="W23" i="7"/>
  <c r="L22" i="9"/>
  <c r="M22" i="9"/>
  <c r="L20" i="9"/>
  <c r="L18" i="9"/>
  <c r="L16" i="9"/>
  <c r="L21" i="9"/>
  <c r="L19" i="9"/>
  <c r="L17" i="9"/>
  <c r="L15" i="9"/>
  <c r="L13" i="9"/>
  <c r="L11" i="9"/>
  <c r="AU24" i="7"/>
  <c r="BL23" i="7"/>
  <c r="AU23" i="7"/>
  <c r="BL24" i="7"/>
  <c r="DI23" i="7"/>
  <c r="AV2" i="33"/>
  <c r="D2" i="33"/>
  <c r="AV23" i="7" l="1"/>
  <c r="AW23" i="7" s="1"/>
  <c r="BL18" i="10" s="1"/>
  <c r="AV24" i="7"/>
  <c r="AW24" i="7" s="1"/>
  <c r="BL19" i="10" s="1"/>
  <c r="AK24" i="7"/>
  <c r="AG24" i="7"/>
  <c r="AF24" i="7"/>
  <c r="AH24" i="7" s="1"/>
  <c r="AJ24" i="7"/>
  <c r="M16" i="9"/>
  <c r="W24" i="7"/>
  <c r="M15" i="9"/>
  <c r="M20" i="9"/>
  <c r="M19" i="9"/>
  <c r="M21" i="9"/>
  <c r="M10" i="9"/>
  <c r="M14" i="9"/>
  <c r="M18" i="9"/>
  <c r="M12" i="9"/>
  <c r="M17" i="9"/>
  <c r="M11" i="9"/>
  <c r="M13" i="9"/>
  <c r="C2" i="33"/>
  <c r="M9" i="9"/>
  <c r="AI24" i="7" l="1"/>
  <c r="AL24" i="7" s="1"/>
  <c r="AK23" i="7"/>
  <c r="AG23" i="7"/>
  <c r="AJ23" i="7"/>
  <c r="AF23" i="7"/>
  <c r="AH23" i="7" s="1"/>
  <c r="DM24" i="7"/>
  <c r="DM23" i="7"/>
  <c r="DN23" i="7"/>
  <c r="DN24" i="7"/>
  <c r="AX23" i="7"/>
  <c r="AX24" i="7"/>
  <c r="M7" i="9"/>
  <c r="M6" i="9"/>
  <c r="M8" i="9"/>
  <c r="M5" i="9"/>
  <c r="AI23" i="7" l="1"/>
  <c r="AL23" i="7" s="1"/>
  <c r="DP23" i="7"/>
  <c r="E23" i="7" s="1"/>
  <c r="DP24" i="7"/>
  <c r="E24" i="7" s="1"/>
  <c r="BN15" i="7"/>
  <c r="J29" i="8"/>
  <c r="U13" i="7"/>
  <c r="C83" i="8" s="1"/>
  <c r="U11" i="7"/>
  <c r="U10" i="7"/>
  <c r="BN88" i="7" l="1"/>
  <c r="BN87" i="7"/>
  <c r="BN86" i="7"/>
  <c r="BN83" i="7"/>
  <c r="BN84" i="7"/>
  <c r="BN85" i="7"/>
  <c r="BN81" i="7"/>
  <c r="BN82" i="7"/>
  <c r="BN80" i="7"/>
  <c r="BN79" i="7"/>
  <c r="BN68" i="7"/>
  <c r="BN57" i="7"/>
  <c r="BN46" i="7"/>
  <c r="BN35" i="7"/>
  <c r="BN24" i="7"/>
  <c r="BN66" i="7"/>
  <c r="BN33" i="7"/>
  <c r="BN63" i="7"/>
  <c r="BN62" i="7"/>
  <c r="BN36" i="7"/>
  <c r="BN78" i="7"/>
  <c r="BN67" i="7"/>
  <c r="BN56" i="7"/>
  <c r="BN45" i="7"/>
  <c r="BN34" i="7"/>
  <c r="BN23" i="7"/>
  <c r="BN77" i="7"/>
  <c r="BN55" i="7"/>
  <c r="BN44" i="7"/>
  <c r="BN22" i="7"/>
  <c r="BN53" i="7"/>
  <c r="BN51" i="7"/>
  <c r="BN76" i="7"/>
  <c r="BN65" i="7"/>
  <c r="BN43" i="7"/>
  <c r="BN32" i="7"/>
  <c r="BN21" i="7"/>
  <c r="BN64" i="7"/>
  <c r="BN54" i="7"/>
  <c r="BN42" i="7"/>
  <c r="BN31" i="7"/>
  <c r="BN20" i="7"/>
  <c r="BN75" i="7"/>
  <c r="BN41" i="7"/>
  <c r="BN30" i="7"/>
  <c r="BN19" i="7"/>
  <c r="BN74" i="7"/>
  <c r="BN52" i="7"/>
  <c r="BN40" i="7"/>
  <c r="BN29" i="7"/>
  <c r="BN18" i="7"/>
  <c r="BN73" i="7"/>
  <c r="BN28" i="7"/>
  <c r="BN72" i="7"/>
  <c r="BN61" i="7"/>
  <c r="BN50" i="7"/>
  <c r="BN39" i="7"/>
  <c r="BN27" i="7"/>
  <c r="BN71" i="7"/>
  <c r="BN60" i="7"/>
  <c r="BN49" i="7"/>
  <c r="BN38" i="7"/>
  <c r="BN26" i="7"/>
  <c r="BN70" i="7"/>
  <c r="BN59" i="7"/>
  <c r="BN48" i="7"/>
  <c r="BN37" i="7"/>
  <c r="BN25" i="7"/>
  <c r="BN69" i="7"/>
  <c r="BN58" i="7"/>
  <c r="BN47" i="7"/>
  <c r="U23" i="7"/>
  <c r="U24" i="7"/>
  <c r="BN17" i="7"/>
  <c r="L18" i="10" l="1"/>
  <c r="W18" i="10"/>
  <c r="L19" i="10"/>
  <c r="W19" i="10"/>
  <c r="CQ21" i="7"/>
  <c r="CU21" i="7" s="1"/>
  <c r="CW21" i="7" s="1"/>
  <c r="CQ23" i="7"/>
  <c r="CU23" i="7" s="1"/>
  <c r="CW23" i="7" s="1"/>
  <c r="CQ19" i="7"/>
  <c r="CU19" i="7" s="1"/>
  <c r="CW19" i="7" s="1"/>
  <c r="X20" i="10" l="1"/>
  <c r="AA20" i="10"/>
  <c r="AA19" i="10"/>
  <c r="AE19" i="10" s="1"/>
  <c r="AI19" i="10" s="1"/>
  <c r="AM19" i="10" s="1"/>
  <c r="X19" i="10"/>
  <c r="AA18" i="10"/>
  <c r="AE18" i="10" s="1"/>
  <c r="AI18" i="10" s="1"/>
  <c r="AM18" i="10" s="1"/>
  <c r="X18" i="10"/>
  <c r="CQ20" i="7"/>
  <c r="CU20" i="7" s="1"/>
  <c r="CW20" i="7" s="1"/>
  <c r="CQ24" i="7"/>
  <c r="CU24" i="7" s="1"/>
  <c r="CW24" i="7" s="1"/>
  <c r="CQ18" i="7"/>
  <c r="CU18" i="7" s="1"/>
  <c r="CW18" i="7" s="1"/>
  <c r="CQ17" i="7"/>
  <c r="AE20" i="10" l="1"/>
  <c r="AI20" i="10" s="1"/>
  <c r="AM20" i="10" s="1"/>
  <c r="AN19" i="10"/>
  <c r="AQ19" i="10"/>
  <c r="AP19" i="10"/>
  <c r="AN18" i="10"/>
  <c r="AQ18" i="10"/>
  <c r="AP18" i="10"/>
  <c r="CU17" i="7"/>
  <c r="CW17" i="7" s="1"/>
  <c r="CQ22" i="7"/>
  <c r="CU22" i="7" s="1"/>
  <c r="CW22" i="7" s="1"/>
  <c r="L105" i="15"/>
  <c r="K105" i="15"/>
  <c r="J105" i="15"/>
  <c r="I105" i="15"/>
  <c r="H105" i="15" a="1"/>
  <c r="H105" i="15" s="1"/>
  <c r="M105" i="15" s="1"/>
  <c r="L104" i="15"/>
  <c r="K104" i="15"/>
  <c r="J104" i="15"/>
  <c r="I104" i="15"/>
  <c r="H104" i="15" a="1"/>
  <c r="H104" i="15" s="1"/>
  <c r="M104" i="15" s="1"/>
  <c r="L103" i="15"/>
  <c r="K103" i="15"/>
  <c r="J103" i="15"/>
  <c r="I103" i="15"/>
  <c r="H103" i="15" a="1"/>
  <c r="H103" i="15" s="1"/>
  <c r="M103" i="15" s="1"/>
  <c r="L102" i="15"/>
  <c r="K102" i="15"/>
  <c r="J102" i="15"/>
  <c r="I102" i="15"/>
  <c r="H102" i="15" a="1"/>
  <c r="H102" i="15" s="1"/>
  <c r="M102" i="15" s="1"/>
  <c r="L100" i="15"/>
  <c r="K100" i="15"/>
  <c r="J100" i="15"/>
  <c r="I100" i="15"/>
  <c r="H100" i="15" a="1"/>
  <c r="H100" i="15" s="1"/>
  <c r="M100" i="15" s="1"/>
  <c r="L99" i="15"/>
  <c r="K99" i="15"/>
  <c r="J99" i="15"/>
  <c r="I99" i="15"/>
  <c r="H99" i="15" a="1"/>
  <c r="H99" i="15" s="1"/>
  <c r="M99" i="15" s="1"/>
  <c r="L98" i="15"/>
  <c r="K98" i="15"/>
  <c r="J98" i="15"/>
  <c r="I98" i="15"/>
  <c r="H98" i="15" a="1"/>
  <c r="H98" i="15" s="1"/>
  <c r="M98" i="15" s="1"/>
  <c r="L97" i="15"/>
  <c r="K97" i="15"/>
  <c r="J97" i="15"/>
  <c r="I97" i="15"/>
  <c r="H97" i="15" a="1"/>
  <c r="H97" i="15" s="1"/>
  <c r="M97" i="15" s="1"/>
  <c r="L96" i="15"/>
  <c r="K96" i="15"/>
  <c r="J96" i="15"/>
  <c r="I96" i="15"/>
  <c r="H96" i="15" a="1"/>
  <c r="H96" i="15" s="1"/>
  <c r="M96" i="15" s="1"/>
  <c r="L95" i="15"/>
  <c r="K95" i="15"/>
  <c r="J95" i="15"/>
  <c r="I95" i="15"/>
  <c r="H95" i="15" a="1"/>
  <c r="H95" i="15" s="1"/>
  <c r="M95" i="15" s="1"/>
  <c r="L94" i="15"/>
  <c r="K94" i="15"/>
  <c r="J94" i="15"/>
  <c r="I94" i="15"/>
  <c r="H94" i="15" a="1"/>
  <c r="H94" i="15" s="1"/>
  <c r="M94" i="15" s="1"/>
  <c r="L93" i="15"/>
  <c r="K93" i="15"/>
  <c r="J93" i="15"/>
  <c r="I93" i="15"/>
  <c r="H93" i="15" a="1"/>
  <c r="H93" i="15" s="1"/>
  <c r="M93" i="15" s="1"/>
  <c r="L92" i="15"/>
  <c r="K92" i="15"/>
  <c r="J92" i="15"/>
  <c r="I92" i="15"/>
  <c r="H92" i="15" a="1"/>
  <c r="H92" i="15" s="1"/>
  <c r="M92" i="15" s="1"/>
  <c r="L91" i="15"/>
  <c r="K91" i="15"/>
  <c r="J91" i="15"/>
  <c r="I91" i="15"/>
  <c r="H91" i="15" a="1"/>
  <c r="H91" i="15" s="1"/>
  <c r="M91" i="15" s="1"/>
  <c r="L90" i="15"/>
  <c r="K90" i="15"/>
  <c r="J90" i="15"/>
  <c r="I90" i="15"/>
  <c r="H90" i="15" a="1"/>
  <c r="H90" i="15" s="1"/>
  <c r="M90" i="15" s="1"/>
  <c r="L89" i="15"/>
  <c r="K89" i="15"/>
  <c r="J89" i="15"/>
  <c r="I89" i="15"/>
  <c r="H89" i="15" a="1"/>
  <c r="H89" i="15" s="1"/>
  <c r="M89" i="15" s="1"/>
  <c r="L88" i="15"/>
  <c r="K88" i="15"/>
  <c r="J88" i="15"/>
  <c r="I88" i="15"/>
  <c r="H88" i="15" a="1"/>
  <c r="H88" i="15" s="1"/>
  <c r="M88" i="15" s="1"/>
  <c r="L87" i="15"/>
  <c r="K87" i="15"/>
  <c r="J87" i="15"/>
  <c r="I87" i="15"/>
  <c r="H87" i="15" a="1"/>
  <c r="H87" i="15" s="1"/>
  <c r="M87" i="15" s="1"/>
  <c r="L86" i="15"/>
  <c r="K86" i="15"/>
  <c r="J86" i="15"/>
  <c r="I86" i="15"/>
  <c r="H86" i="15" a="1"/>
  <c r="H86" i="15" s="1"/>
  <c r="M86" i="15" s="1"/>
  <c r="L85" i="15"/>
  <c r="K85" i="15"/>
  <c r="J85" i="15"/>
  <c r="I85" i="15"/>
  <c r="H85" i="15" a="1"/>
  <c r="H85" i="15" s="1"/>
  <c r="M85" i="15" s="1"/>
  <c r="L84" i="15"/>
  <c r="K84" i="15"/>
  <c r="J84" i="15"/>
  <c r="I84" i="15"/>
  <c r="H84" i="15" a="1"/>
  <c r="H84" i="15" s="1"/>
  <c r="M84" i="15" s="1"/>
  <c r="L83" i="15"/>
  <c r="K83" i="15"/>
  <c r="J83" i="15"/>
  <c r="I83" i="15"/>
  <c r="H83" i="15" a="1"/>
  <c r="H83" i="15" s="1"/>
  <c r="M83" i="15" s="1"/>
  <c r="L82" i="15"/>
  <c r="K82" i="15"/>
  <c r="J82" i="15"/>
  <c r="I82" i="15"/>
  <c r="H82" i="15" a="1"/>
  <c r="H82" i="15" s="1"/>
  <c r="M82" i="15" s="1"/>
  <c r="L81" i="15"/>
  <c r="K81" i="15"/>
  <c r="J81" i="15"/>
  <c r="I81" i="15"/>
  <c r="H81" i="15" a="1"/>
  <c r="H81" i="15" s="1"/>
  <c r="M81" i="15" s="1"/>
  <c r="L80" i="15"/>
  <c r="K80" i="15"/>
  <c r="J80" i="15"/>
  <c r="I80" i="15"/>
  <c r="H80" i="15" a="1"/>
  <c r="H80" i="15" s="1"/>
  <c r="M80" i="15" s="1"/>
  <c r="L79" i="15"/>
  <c r="K79" i="15"/>
  <c r="J79" i="15"/>
  <c r="I79" i="15"/>
  <c r="H79" i="15" a="1"/>
  <c r="H79" i="15" s="1"/>
  <c r="M79" i="15" s="1"/>
  <c r="L78" i="15"/>
  <c r="K78" i="15"/>
  <c r="J78" i="15"/>
  <c r="I78" i="15"/>
  <c r="H78" i="15" a="1"/>
  <c r="H78" i="15" s="1"/>
  <c r="M78" i="15" s="1"/>
  <c r="L77" i="15"/>
  <c r="K77" i="15"/>
  <c r="J77" i="15"/>
  <c r="I77" i="15"/>
  <c r="H77" i="15" a="1"/>
  <c r="H77" i="15" s="1"/>
  <c r="M77" i="15" s="1"/>
  <c r="L76" i="15"/>
  <c r="K76" i="15"/>
  <c r="J76" i="15"/>
  <c r="I76" i="15"/>
  <c r="H76" i="15" a="1"/>
  <c r="H76" i="15" s="1"/>
  <c r="M76" i="15" s="1"/>
  <c r="L75" i="15"/>
  <c r="K75" i="15"/>
  <c r="J75" i="15"/>
  <c r="I75" i="15"/>
  <c r="H75" i="15" a="1"/>
  <c r="H75" i="15" s="1"/>
  <c r="M75" i="15" s="1"/>
  <c r="L74" i="15"/>
  <c r="K74" i="15"/>
  <c r="J74" i="15"/>
  <c r="I74" i="15"/>
  <c r="H74" i="15" a="1"/>
  <c r="H74" i="15" s="1"/>
  <c r="M74" i="15" s="1"/>
  <c r="L73" i="15"/>
  <c r="K73" i="15"/>
  <c r="J73" i="15"/>
  <c r="I73" i="15"/>
  <c r="H73" i="15" a="1"/>
  <c r="H73" i="15" s="1"/>
  <c r="M73" i="15" s="1"/>
  <c r="L72" i="15"/>
  <c r="K72" i="15"/>
  <c r="J72" i="15"/>
  <c r="I72" i="15"/>
  <c r="H72" i="15" a="1"/>
  <c r="H72" i="15" s="1"/>
  <c r="M72" i="15" s="1"/>
  <c r="L71" i="15"/>
  <c r="K71" i="15"/>
  <c r="J71" i="15"/>
  <c r="I71" i="15"/>
  <c r="H71" i="15" a="1"/>
  <c r="H71" i="15" s="1"/>
  <c r="M71" i="15" s="1"/>
  <c r="L70" i="15"/>
  <c r="K70" i="15"/>
  <c r="J70" i="15"/>
  <c r="I70" i="15"/>
  <c r="H70" i="15" a="1"/>
  <c r="H70" i="15" s="1"/>
  <c r="M70" i="15" s="1"/>
  <c r="L69" i="15"/>
  <c r="K69" i="15"/>
  <c r="J69" i="15"/>
  <c r="I69" i="15"/>
  <c r="H69" i="15" a="1"/>
  <c r="H69" i="15" s="1"/>
  <c r="M69" i="15" s="1"/>
  <c r="L68" i="15"/>
  <c r="K68" i="15"/>
  <c r="J68" i="15"/>
  <c r="I68" i="15"/>
  <c r="H68" i="15" a="1"/>
  <c r="H68" i="15" s="1"/>
  <c r="M68" i="15" s="1"/>
  <c r="L67" i="15"/>
  <c r="K67" i="15"/>
  <c r="J67" i="15"/>
  <c r="I67" i="15"/>
  <c r="H67" i="15" a="1"/>
  <c r="H67" i="15" s="1"/>
  <c r="M67" i="15" s="1"/>
  <c r="L66" i="15"/>
  <c r="K66" i="15"/>
  <c r="J66" i="15"/>
  <c r="I66" i="15"/>
  <c r="H66" i="15" a="1"/>
  <c r="H66" i="15" s="1"/>
  <c r="M66" i="15" s="1"/>
  <c r="L65" i="15"/>
  <c r="K65" i="15"/>
  <c r="J65" i="15"/>
  <c r="I65" i="15"/>
  <c r="H65" i="15" a="1"/>
  <c r="H65" i="15" s="1"/>
  <c r="M65" i="15" s="1"/>
  <c r="L64" i="15"/>
  <c r="K64" i="15"/>
  <c r="J64" i="15"/>
  <c r="I64" i="15"/>
  <c r="H64" i="15" a="1"/>
  <c r="H64" i="15" s="1"/>
  <c r="M64" i="15" s="1"/>
  <c r="L63" i="15"/>
  <c r="K63" i="15"/>
  <c r="J63" i="15"/>
  <c r="I63" i="15"/>
  <c r="H63" i="15" a="1"/>
  <c r="H63" i="15" s="1"/>
  <c r="M63" i="15" s="1"/>
  <c r="L62" i="15"/>
  <c r="K62" i="15"/>
  <c r="J62" i="15"/>
  <c r="I62" i="15"/>
  <c r="H62" i="15" a="1"/>
  <c r="H62" i="15" s="1"/>
  <c r="M62" i="15" s="1"/>
  <c r="L61" i="15"/>
  <c r="K61" i="15"/>
  <c r="J61" i="15"/>
  <c r="I61" i="15"/>
  <c r="H61" i="15" a="1"/>
  <c r="H61" i="15" s="1"/>
  <c r="M61" i="15" s="1"/>
  <c r="L60" i="15"/>
  <c r="K60" i="15"/>
  <c r="J60" i="15"/>
  <c r="I60" i="15"/>
  <c r="H60" i="15" a="1"/>
  <c r="H60" i="15" s="1"/>
  <c r="M60" i="15" s="1"/>
  <c r="L59" i="15"/>
  <c r="K59" i="15"/>
  <c r="J59" i="15"/>
  <c r="I59" i="15"/>
  <c r="H59" i="15" a="1"/>
  <c r="H59" i="15" s="1"/>
  <c r="M59" i="15" s="1"/>
  <c r="L58" i="15"/>
  <c r="K58" i="15"/>
  <c r="J58" i="15"/>
  <c r="I58" i="15"/>
  <c r="H58" i="15" a="1"/>
  <c r="H58" i="15" s="1"/>
  <c r="M58" i="15" s="1"/>
  <c r="L57" i="15"/>
  <c r="K57" i="15"/>
  <c r="J57" i="15"/>
  <c r="I57" i="15"/>
  <c r="H57" i="15" a="1"/>
  <c r="H57" i="15" s="1"/>
  <c r="M57" i="15" s="1"/>
  <c r="L56" i="15"/>
  <c r="K56" i="15"/>
  <c r="J56" i="15"/>
  <c r="I56" i="15"/>
  <c r="H56" i="15" a="1"/>
  <c r="H56" i="15" s="1"/>
  <c r="M56" i="15" s="1"/>
  <c r="L55" i="15"/>
  <c r="K55" i="15"/>
  <c r="J55" i="15"/>
  <c r="I55" i="15"/>
  <c r="H55" i="15" a="1"/>
  <c r="H55" i="15" s="1"/>
  <c r="M55" i="15" s="1"/>
  <c r="L54" i="15"/>
  <c r="K54" i="15"/>
  <c r="J54" i="15"/>
  <c r="I54" i="15"/>
  <c r="H54" i="15" a="1"/>
  <c r="H54" i="15" s="1"/>
  <c r="M54" i="15" s="1"/>
  <c r="L53" i="15"/>
  <c r="K53" i="15"/>
  <c r="J53" i="15"/>
  <c r="I53" i="15"/>
  <c r="H53" i="15" a="1"/>
  <c r="H53" i="15" s="1"/>
  <c r="M53" i="15" s="1"/>
  <c r="L52" i="15"/>
  <c r="K52" i="15"/>
  <c r="J52" i="15"/>
  <c r="I52" i="15"/>
  <c r="H52" i="15" a="1"/>
  <c r="H52" i="15" s="1"/>
  <c r="M52" i="15" s="1"/>
  <c r="L51" i="15"/>
  <c r="K51" i="15"/>
  <c r="J51" i="15"/>
  <c r="I51" i="15"/>
  <c r="H51" i="15" a="1"/>
  <c r="H51" i="15" s="1"/>
  <c r="M51" i="15" s="1"/>
  <c r="L50" i="15"/>
  <c r="K50" i="15"/>
  <c r="J50" i="15"/>
  <c r="I50" i="15"/>
  <c r="H50" i="15" a="1"/>
  <c r="H50" i="15" s="1"/>
  <c r="M50" i="15" s="1"/>
  <c r="L49" i="15"/>
  <c r="K49" i="15"/>
  <c r="J49" i="15"/>
  <c r="I49" i="15"/>
  <c r="H49" i="15" a="1"/>
  <c r="H49" i="15" s="1"/>
  <c r="M49" i="15" s="1"/>
  <c r="L48" i="15"/>
  <c r="K48" i="15"/>
  <c r="J48" i="15"/>
  <c r="I48" i="15"/>
  <c r="H48" i="15" a="1"/>
  <c r="H48" i="15" s="1"/>
  <c r="M48" i="15" s="1"/>
  <c r="L47" i="15"/>
  <c r="K47" i="15"/>
  <c r="J47" i="15"/>
  <c r="I47" i="15"/>
  <c r="H47" i="15" a="1"/>
  <c r="H47" i="15" s="1"/>
  <c r="M47" i="15" s="1"/>
  <c r="L46" i="15"/>
  <c r="K46" i="15"/>
  <c r="J46" i="15"/>
  <c r="I46" i="15"/>
  <c r="H46" i="15" a="1"/>
  <c r="H46" i="15" s="1"/>
  <c r="M46" i="15" s="1"/>
  <c r="L45" i="15"/>
  <c r="K45" i="15"/>
  <c r="J45" i="15"/>
  <c r="I45" i="15"/>
  <c r="H45" i="15" a="1"/>
  <c r="H45" i="15" s="1"/>
  <c r="M45" i="15" s="1"/>
  <c r="L44" i="15"/>
  <c r="K44" i="15"/>
  <c r="J44" i="15"/>
  <c r="I44" i="15"/>
  <c r="H44" i="15" a="1"/>
  <c r="H44" i="15" s="1"/>
  <c r="M44" i="15" s="1"/>
  <c r="L43" i="15"/>
  <c r="K43" i="15"/>
  <c r="J43" i="15"/>
  <c r="I43" i="15"/>
  <c r="H43" i="15" a="1"/>
  <c r="H43" i="15" s="1"/>
  <c r="M43" i="15" s="1"/>
  <c r="L42" i="15"/>
  <c r="K42" i="15"/>
  <c r="J42" i="15"/>
  <c r="I42" i="15"/>
  <c r="H42" i="15" a="1"/>
  <c r="H42" i="15" s="1"/>
  <c r="M42" i="15" s="1"/>
  <c r="L41" i="15"/>
  <c r="K41" i="15"/>
  <c r="J41" i="15"/>
  <c r="I41" i="15"/>
  <c r="H41" i="15" a="1"/>
  <c r="H41" i="15" s="1"/>
  <c r="M41" i="15" s="1"/>
  <c r="L40" i="15"/>
  <c r="K40" i="15"/>
  <c r="J40" i="15"/>
  <c r="I40" i="15"/>
  <c r="H40" i="15" a="1"/>
  <c r="H40" i="15" s="1"/>
  <c r="M40" i="15" s="1"/>
  <c r="L39" i="15"/>
  <c r="K39" i="15"/>
  <c r="J39" i="15"/>
  <c r="I39" i="15"/>
  <c r="H39" i="15" a="1"/>
  <c r="H39" i="15" s="1"/>
  <c r="M39" i="15" s="1"/>
  <c r="L38" i="15"/>
  <c r="K38" i="15"/>
  <c r="J38" i="15"/>
  <c r="I38" i="15"/>
  <c r="H38" i="15"/>
  <c r="M38" i="15" s="1"/>
  <c r="H38" i="15" a="1"/>
  <c r="L37" i="15"/>
  <c r="K37" i="15"/>
  <c r="J37" i="15"/>
  <c r="I37" i="15"/>
  <c r="H37" i="15" a="1"/>
  <c r="H37" i="15" s="1"/>
  <c r="M37" i="15" s="1"/>
  <c r="L36" i="15"/>
  <c r="K36" i="15"/>
  <c r="J36" i="15"/>
  <c r="I36" i="15"/>
  <c r="H36" i="15" a="1"/>
  <c r="H36" i="15" s="1"/>
  <c r="M36" i="15" s="1"/>
  <c r="L35" i="15"/>
  <c r="K35" i="15"/>
  <c r="J35" i="15"/>
  <c r="I35" i="15"/>
  <c r="H35" i="15" a="1"/>
  <c r="H35" i="15" s="1"/>
  <c r="M35" i="15" s="1"/>
  <c r="L34" i="15"/>
  <c r="K34" i="15"/>
  <c r="J34" i="15"/>
  <c r="I34" i="15"/>
  <c r="H34" i="15" a="1"/>
  <c r="H34" i="15" s="1"/>
  <c r="M34" i="15" s="1"/>
  <c r="L33" i="15"/>
  <c r="K33" i="15"/>
  <c r="J33" i="15"/>
  <c r="I33" i="15"/>
  <c r="H33" i="15" a="1"/>
  <c r="H33" i="15" s="1"/>
  <c r="M33" i="15" s="1"/>
  <c r="L32" i="15"/>
  <c r="K32" i="15"/>
  <c r="J32" i="15"/>
  <c r="I32" i="15"/>
  <c r="H32" i="15" a="1"/>
  <c r="H32" i="15" s="1"/>
  <c r="M32" i="15" s="1"/>
  <c r="L31" i="15"/>
  <c r="K31" i="15"/>
  <c r="J31" i="15"/>
  <c r="I31" i="15"/>
  <c r="H31" i="15" a="1"/>
  <c r="H31" i="15" s="1"/>
  <c r="M31" i="15" s="1"/>
  <c r="L30" i="15"/>
  <c r="K30" i="15"/>
  <c r="J30" i="15"/>
  <c r="I30" i="15"/>
  <c r="H30" i="15" a="1"/>
  <c r="H30" i="15" s="1"/>
  <c r="M30" i="15" s="1"/>
  <c r="L29" i="15"/>
  <c r="K29" i="15"/>
  <c r="J29" i="15"/>
  <c r="I29" i="15"/>
  <c r="H29" i="15" a="1"/>
  <c r="H29" i="15" s="1"/>
  <c r="M29" i="15" s="1"/>
  <c r="L28" i="15"/>
  <c r="K28" i="15"/>
  <c r="J28" i="15"/>
  <c r="I28" i="15"/>
  <c r="H28" i="15" a="1"/>
  <c r="H28" i="15" s="1"/>
  <c r="M28" i="15" s="1"/>
  <c r="E28" i="15"/>
  <c r="L27" i="15"/>
  <c r="K27" i="15"/>
  <c r="J27" i="15"/>
  <c r="I27" i="15"/>
  <c r="H27" i="15" a="1"/>
  <c r="H27" i="15" s="1"/>
  <c r="M27" i="15" s="1"/>
  <c r="L26" i="15"/>
  <c r="K26" i="15"/>
  <c r="J26" i="15"/>
  <c r="I26" i="15"/>
  <c r="H26" i="15" a="1"/>
  <c r="H26" i="15" s="1"/>
  <c r="M26" i="15" s="1"/>
  <c r="L25" i="15"/>
  <c r="K25" i="15"/>
  <c r="J25" i="15"/>
  <c r="I25" i="15"/>
  <c r="H25" i="15" a="1"/>
  <c r="H25" i="15" s="1"/>
  <c r="M25" i="15" s="1"/>
  <c r="L24" i="15"/>
  <c r="K24" i="15"/>
  <c r="J24" i="15"/>
  <c r="I24" i="15"/>
  <c r="H24" i="15" a="1"/>
  <c r="H24" i="15" s="1"/>
  <c r="M24" i="15" s="1"/>
  <c r="L23" i="15"/>
  <c r="K23" i="15"/>
  <c r="J23" i="15"/>
  <c r="I23" i="15"/>
  <c r="H23" i="15" a="1"/>
  <c r="H23" i="15" s="1"/>
  <c r="M23" i="15" s="1"/>
  <c r="L22" i="15"/>
  <c r="K22" i="15"/>
  <c r="J22" i="15"/>
  <c r="I22" i="15"/>
  <c r="H22" i="15" a="1"/>
  <c r="H22" i="15" s="1"/>
  <c r="M22" i="15" s="1"/>
  <c r="L21" i="15"/>
  <c r="K21" i="15"/>
  <c r="J21" i="15"/>
  <c r="I21" i="15"/>
  <c r="H21" i="15" a="1"/>
  <c r="H21" i="15" s="1"/>
  <c r="M21" i="15" s="1"/>
  <c r="L20" i="15"/>
  <c r="K20" i="15"/>
  <c r="J20" i="15"/>
  <c r="I20" i="15"/>
  <c r="H20" i="15" a="1"/>
  <c r="H20" i="15" s="1"/>
  <c r="M20" i="15" s="1"/>
  <c r="L19" i="15"/>
  <c r="K19" i="15"/>
  <c r="J19" i="15"/>
  <c r="I19" i="15"/>
  <c r="H19" i="15" a="1"/>
  <c r="H19" i="15" s="1"/>
  <c r="M19" i="15" s="1"/>
  <c r="L18" i="15"/>
  <c r="K18" i="15"/>
  <c r="J18" i="15"/>
  <c r="I18" i="15"/>
  <c r="H18" i="15" a="1"/>
  <c r="H18" i="15" s="1"/>
  <c r="M18" i="15" s="1"/>
  <c r="L17" i="15"/>
  <c r="K17" i="15"/>
  <c r="J17" i="15"/>
  <c r="I17" i="15"/>
  <c r="H17" i="15" a="1"/>
  <c r="H17" i="15" s="1"/>
  <c r="M17" i="15" s="1"/>
  <c r="L16" i="15"/>
  <c r="K16" i="15"/>
  <c r="J16" i="15"/>
  <c r="I16" i="15"/>
  <c r="H16" i="15" a="1"/>
  <c r="H16" i="15" s="1"/>
  <c r="M16" i="15" s="1"/>
  <c r="L15" i="15"/>
  <c r="K15" i="15"/>
  <c r="J15" i="15"/>
  <c r="I15" i="15"/>
  <c r="H15" i="15" a="1"/>
  <c r="H15" i="15" s="1"/>
  <c r="M15" i="15" s="1"/>
  <c r="L14" i="15"/>
  <c r="K14" i="15"/>
  <c r="J14" i="15"/>
  <c r="I14" i="15"/>
  <c r="H14" i="15" a="1"/>
  <c r="H14" i="15" s="1"/>
  <c r="M14" i="15" s="1"/>
  <c r="L13" i="15"/>
  <c r="K13" i="15"/>
  <c r="J13" i="15"/>
  <c r="I13" i="15"/>
  <c r="H13" i="15" a="1"/>
  <c r="H13" i="15" s="1"/>
  <c r="M13" i="15" s="1"/>
  <c r="L12" i="15"/>
  <c r="K12" i="15"/>
  <c r="J12" i="15"/>
  <c r="I12" i="15"/>
  <c r="H12" i="15" a="1"/>
  <c r="H12" i="15" s="1"/>
  <c r="M12" i="15" s="1"/>
  <c r="L11" i="15"/>
  <c r="K11" i="15"/>
  <c r="J11" i="15"/>
  <c r="I11" i="15"/>
  <c r="H11" i="15" a="1"/>
  <c r="H11" i="15" s="1"/>
  <c r="M11" i="15" s="1"/>
  <c r="E11" i="15"/>
  <c r="L10" i="15"/>
  <c r="K10" i="15"/>
  <c r="J10" i="15"/>
  <c r="I10" i="15"/>
  <c r="H10" i="15" a="1"/>
  <c r="H10" i="15" s="1"/>
  <c r="M10" i="15" s="1"/>
  <c r="L9" i="15"/>
  <c r="K9" i="15"/>
  <c r="J9" i="15"/>
  <c r="I9" i="15"/>
  <c r="H9" i="15" a="1"/>
  <c r="H9" i="15" s="1"/>
  <c r="M9" i="15" s="1"/>
  <c r="L8" i="15"/>
  <c r="K8" i="15"/>
  <c r="J8" i="15"/>
  <c r="I8" i="15"/>
  <c r="H8" i="15" a="1"/>
  <c r="H8" i="15" s="1"/>
  <c r="M8" i="15" s="1"/>
  <c r="E2" i="15"/>
  <c r="CW12" i="10"/>
  <c r="CW9" i="10" s="1"/>
  <c r="CS12" i="10"/>
  <c r="CS9" i="10" s="1"/>
  <c r="AS12" i="10"/>
  <c r="AO12" i="10"/>
  <c r="BP9" i="10"/>
  <c r="P7" i="10"/>
  <c r="L6" i="10"/>
  <c r="L5" i="10"/>
  <c r="F60" i="18"/>
  <c r="E60" i="18"/>
  <c r="T60" i="18" s="1"/>
  <c r="H5" i="9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BK22" i="7"/>
  <c r="AU22" i="7"/>
  <c r="DI22" i="7"/>
  <c r="BK21" i="7"/>
  <c r="AU21" i="7"/>
  <c r="DI21" i="7"/>
  <c r="BK20" i="7"/>
  <c r="AU20" i="7"/>
  <c r="DI20" i="7"/>
  <c r="BK19" i="7"/>
  <c r="AU19" i="7"/>
  <c r="DI19" i="7"/>
  <c r="BK18" i="7"/>
  <c r="AU18" i="7"/>
  <c r="DI18" i="7"/>
  <c r="BO13" i="7"/>
  <c r="C23" i="8"/>
  <c r="BP8" i="7"/>
  <c r="O4" i="7"/>
  <c r="O2" i="7"/>
  <c r="J1" i="7"/>
  <c r="J31" i="8"/>
  <c r="I20" i="8"/>
  <c r="I23" i="8" s="1"/>
  <c r="I25" i="8" s="1"/>
  <c r="G7" i="15" a="1"/>
  <c r="B32" i="15"/>
  <c r="D32" i="15"/>
  <c r="C30" i="15"/>
  <c r="D34" i="15"/>
  <c r="B33" i="15"/>
  <c r="B34" i="15"/>
  <c r="B30" i="15"/>
  <c r="D33" i="15"/>
  <c r="B31" i="15"/>
  <c r="C34" i="15"/>
  <c r="C33" i="15"/>
  <c r="D30" i="15"/>
  <c r="C32" i="15"/>
  <c r="C31" i="15"/>
  <c r="D31" i="15"/>
  <c r="D17" i="15"/>
  <c r="AN20" i="10" l="1"/>
  <c r="AQ20" i="10"/>
  <c r="AR20" i="10" s="1"/>
  <c r="AP20" i="10"/>
  <c r="AT18" i="10"/>
  <c r="AU18" i="10"/>
  <c r="AR18" i="10"/>
  <c r="AT19" i="10"/>
  <c r="AU19" i="10"/>
  <c r="AV19" i="10" s="1"/>
  <c r="AR19" i="10"/>
  <c r="L60" i="18"/>
  <c r="J60" i="18"/>
  <c r="G7" i="15"/>
  <c r="J7" i="15" s="1"/>
  <c r="I7" i="15"/>
  <c r="L7" i="15"/>
  <c r="K7" i="15"/>
  <c r="U60" i="18"/>
  <c r="I60" i="18"/>
  <c r="Q60" i="18"/>
  <c r="R60" i="18"/>
  <c r="H40" i="9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S60" i="18"/>
  <c r="AV20" i="7"/>
  <c r="AW20" i="7" s="1"/>
  <c r="BL15" i="10" s="1"/>
  <c r="AV19" i="7"/>
  <c r="AW19" i="7" s="1"/>
  <c r="BL14" i="10" s="1"/>
  <c r="AV21" i="7"/>
  <c r="AW21" i="7" s="1"/>
  <c r="BL16" i="10" s="1"/>
  <c r="AV22" i="7"/>
  <c r="AW22" i="7" s="1"/>
  <c r="BL17" i="10" s="1"/>
  <c r="AV18" i="7"/>
  <c r="AW18" i="7" s="1"/>
  <c r="BL13" i="10" s="1"/>
  <c r="S17" i="7"/>
  <c r="S24" i="7"/>
  <c r="L5" i="9"/>
  <c r="L6" i="9"/>
  <c r="L7" i="9"/>
  <c r="W21" i="7"/>
  <c r="W20" i="7"/>
  <c r="L8" i="9"/>
  <c r="W22" i="7"/>
  <c r="L9" i="9"/>
  <c r="S23" i="7"/>
  <c r="J15" i="7"/>
  <c r="BL18" i="7"/>
  <c r="BL20" i="7"/>
  <c r="S18" i="7"/>
  <c r="BL21" i="7"/>
  <c r="BL19" i="7"/>
  <c r="BL22" i="7"/>
  <c r="AS9" i="10"/>
  <c r="E21" i="15" s="1"/>
  <c r="AO9" i="10"/>
  <c r="E20" i="15" s="1"/>
  <c r="DH12" i="10"/>
  <c r="K4" i="9"/>
  <c r="G12" i="10"/>
  <c r="I4" i="9"/>
  <c r="AT20" i="10" l="1"/>
  <c r="AU20" i="10"/>
  <c r="CA20" i="10" s="1"/>
  <c r="AY19" i="10"/>
  <c r="CA19" i="10"/>
  <c r="CA18" i="10"/>
  <c r="AY18" i="10"/>
  <c r="H7" i="15" a="1"/>
  <c r="H7" i="15" s="1"/>
  <c r="M7" i="15" s="1"/>
  <c r="DN18" i="7"/>
  <c r="AK22" i="7"/>
  <c r="AG22" i="7"/>
  <c r="AJ22" i="7"/>
  <c r="AF22" i="7"/>
  <c r="AH22" i="7" s="1"/>
  <c r="AK20" i="7"/>
  <c r="AJ20" i="7"/>
  <c r="AF20" i="7"/>
  <c r="AH20" i="7" s="1"/>
  <c r="AG20" i="7"/>
  <c r="AF19" i="7"/>
  <c r="AH19" i="7" s="1"/>
  <c r="AK19" i="7"/>
  <c r="AG19" i="7"/>
  <c r="AJ19" i="7"/>
  <c r="AK18" i="7"/>
  <c r="AJ18" i="7"/>
  <c r="AF18" i="7"/>
  <c r="AH18" i="7" s="1"/>
  <c r="AG18" i="7"/>
  <c r="AF21" i="7"/>
  <c r="AH21" i="7" s="1"/>
  <c r="AK21" i="7"/>
  <c r="AG21" i="7"/>
  <c r="AJ21" i="7"/>
  <c r="CU15" i="7"/>
  <c r="J45" i="8"/>
  <c r="DN19" i="7"/>
  <c r="DN22" i="7"/>
  <c r="AX18" i="7"/>
  <c r="W18" i="7"/>
  <c r="BS2" i="33"/>
  <c r="DM18" i="7"/>
  <c r="W19" i="7"/>
  <c r="V15" i="7"/>
  <c r="C10" i="8" s="1"/>
  <c r="I15" i="7"/>
  <c r="L4" i="9"/>
  <c r="AX19" i="7"/>
  <c r="S20" i="7"/>
  <c r="BL12" i="10"/>
  <c r="S21" i="7"/>
  <c r="AX22" i="7"/>
  <c r="S19" i="7"/>
  <c r="M4" i="9"/>
  <c r="K12" i="10"/>
  <c r="AY20" i="10" l="1"/>
  <c r="AZ20" i="10" s="1"/>
  <c r="K86" i="7"/>
  <c r="K87" i="7"/>
  <c r="K88" i="7"/>
  <c r="K85" i="7"/>
  <c r="K84" i="7"/>
  <c r="K83" i="7"/>
  <c r="AZ19" i="10"/>
  <c r="BC19" i="10"/>
  <c r="BG19" i="10" s="1"/>
  <c r="BK19" i="10" s="1"/>
  <c r="BO19" i="10" s="1"/>
  <c r="BS19" i="10" s="1"/>
  <c r="BW19" i="10" s="1"/>
  <c r="AZ18" i="10"/>
  <c r="BC18" i="10"/>
  <c r="BG18" i="10" s="1"/>
  <c r="BK18" i="10" s="1"/>
  <c r="BO18" i="10" s="1"/>
  <c r="BS18" i="10" s="1"/>
  <c r="BW18" i="10" s="1"/>
  <c r="CE18" i="10"/>
  <c r="CD18" i="10"/>
  <c r="CD20" i="10"/>
  <c r="CE20" i="10"/>
  <c r="CD19" i="10"/>
  <c r="CE19" i="10"/>
  <c r="K82" i="7"/>
  <c r="K81" i="7"/>
  <c r="K80" i="7"/>
  <c r="K76" i="7"/>
  <c r="K75" i="7"/>
  <c r="K77" i="7"/>
  <c r="K79" i="7"/>
  <c r="K78" i="7"/>
  <c r="DP18" i="7"/>
  <c r="C78" i="8"/>
  <c r="K26" i="7"/>
  <c r="K34" i="7"/>
  <c r="K41" i="7"/>
  <c r="K49" i="7"/>
  <c r="K56" i="7"/>
  <c r="K63" i="7"/>
  <c r="K71" i="7"/>
  <c r="K27" i="7"/>
  <c r="K35" i="7"/>
  <c r="K42" i="7"/>
  <c r="K50" i="7"/>
  <c r="K57" i="7"/>
  <c r="K64" i="7"/>
  <c r="K72" i="7"/>
  <c r="K47" i="7"/>
  <c r="K55" i="7"/>
  <c r="K32" i="7"/>
  <c r="K62" i="7"/>
  <c r="K69" i="7"/>
  <c r="K33" i="7"/>
  <c r="K48" i="7"/>
  <c r="K70" i="7"/>
  <c r="K40" i="7"/>
  <c r="K67" i="7"/>
  <c r="K59" i="7"/>
  <c r="K28" i="7"/>
  <c r="K68" i="7"/>
  <c r="K37" i="7"/>
  <c r="K30" i="7"/>
  <c r="K54" i="7"/>
  <c r="K60" i="7"/>
  <c r="K52" i="7"/>
  <c r="K65" i="7"/>
  <c r="K39" i="7"/>
  <c r="K53" i="7"/>
  <c r="K44" i="7"/>
  <c r="K73" i="7"/>
  <c r="K74" i="7"/>
  <c r="K43" i="7"/>
  <c r="K36" i="7"/>
  <c r="K45" i="7"/>
  <c r="K66" i="7"/>
  <c r="K31" i="7"/>
  <c r="K38" i="7"/>
  <c r="K46" i="7"/>
  <c r="K29" i="7"/>
  <c r="K58" i="7"/>
  <c r="K61" i="7"/>
  <c r="K51" i="7"/>
  <c r="AI22" i="7"/>
  <c r="AL22" i="7" s="1"/>
  <c r="AI19" i="7"/>
  <c r="AL19" i="7" s="1"/>
  <c r="AI20" i="7"/>
  <c r="AL20" i="7" s="1"/>
  <c r="AI21" i="7"/>
  <c r="AL21" i="7" s="1"/>
  <c r="AI18" i="7"/>
  <c r="AL18" i="7" s="1"/>
  <c r="K25" i="7"/>
  <c r="F12" i="7"/>
  <c r="DM22" i="7"/>
  <c r="DP22" i="7" s="1"/>
  <c r="DM20" i="7"/>
  <c r="DM19" i="7"/>
  <c r="DP19" i="7" s="1"/>
  <c r="DM21" i="7"/>
  <c r="DN21" i="7"/>
  <c r="DN20" i="7"/>
  <c r="AX21" i="7"/>
  <c r="AX20" i="7"/>
  <c r="BK2" i="33"/>
  <c r="AO15" i="7"/>
  <c r="I29" i="8" s="1"/>
  <c r="I31" i="8" s="1"/>
  <c r="E12" i="7"/>
  <c r="C12" i="7"/>
  <c r="K20" i="7"/>
  <c r="K18" i="7"/>
  <c r="D12" i="7"/>
  <c r="K21" i="7"/>
  <c r="O15" i="7"/>
  <c r="O3" i="10" s="1"/>
  <c r="K24" i="7"/>
  <c r="K19" i="7"/>
  <c r="K22" i="7"/>
  <c r="K17" i="7"/>
  <c r="AC17" i="7" s="1"/>
  <c r="K23" i="7"/>
  <c r="CV15" i="7"/>
  <c r="J49" i="8"/>
  <c r="S22" i="7"/>
  <c r="E5" i="9"/>
  <c r="BC20" i="10" l="1"/>
  <c r="BG20" i="10" s="1"/>
  <c r="BK20" i="10" s="1"/>
  <c r="BO20" i="10" s="1"/>
  <c r="BS20" i="10" s="1"/>
  <c r="BW20" i="10" s="1"/>
  <c r="AB88" i="7"/>
  <c r="AC88" i="7"/>
  <c r="AB87" i="7"/>
  <c r="AC87" i="7"/>
  <c r="AB86" i="7"/>
  <c r="AC86" i="7"/>
  <c r="AC84" i="7"/>
  <c r="AB84" i="7"/>
  <c r="AB83" i="7"/>
  <c r="AC83" i="7"/>
  <c r="F13" i="7" s="1"/>
  <c r="AC85" i="7"/>
  <c r="AB85" i="7"/>
  <c r="CI19" i="10"/>
  <c r="CH19" i="10"/>
  <c r="CI20" i="10"/>
  <c r="CH20" i="10"/>
  <c r="CH18" i="10"/>
  <c r="CI18" i="10"/>
  <c r="AB80" i="7"/>
  <c r="AC80" i="7"/>
  <c r="AB81" i="7"/>
  <c r="AC81" i="7"/>
  <c r="AB82" i="7"/>
  <c r="AC82" i="7"/>
  <c r="AB78" i="7"/>
  <c r="AC78" i="7"/>
  <c r="AB79" i="7"/>
  <c r="AC79" i="7"/>
  <c r="AB75" i="7"/>
  <c r="AC75" i="7"/>
  <c r="AB77" i="7"/>
  <c r="AC77" i="7"/>
  <c r="AB76" i="7"/>
  <c r="AC76" i="7"/>
  <c r="E22" i="7"/>
  <c r="U22" i="7" s="1"/>
  <c r="E18" i="7"/>
  <c r="U18" i="7" s="1"/>
  <c r="W13" i="10" s="1"/>
  <c r="E19" i="7"/>
  <c r="U19" i="7" s="1"/>
  <c r="W14" i="10" s="1"/>
  <c r="AL15" i="7"/>
  <c r="J53" i="8"/>
  <c r="AC45" i="7"/>
  <c r="AB45" i="7"/>
  <c r="AC72" i="7"/>
  <c r="AB72" i="7"/>
  <c r="AC22" i="7"/>
  <c r="AB22" i="7"/>
  <c r="AC20" i="7"/>
  <c r="AB20" i="7"/>
  <c r="AC61" i="7"/>
  <c r="AB61" i="7"/>
  <c r="AC53" i="7"/>
  <c r="AB53" i="7"/>
  <c r="AC30" i="7"/>
  <c r="AB30" i="7"/>
  <c r="AC40" i="7"/>
  <c r="AB40" i="7"/>
  <c r="AC69" i="7"/>
  <c r="AB69" i="7"/>
  <c r="AC64" i="7"/>
  <c r="AB64" i="7"/>
  <c r="AB71" i="7"/>
  <c r="AC71" i="7"/>
  <c r="AC58" i="7"/>
  <c r="AB58" i="7"/>
  <c r="AC36" i="7"/>
  <c r="AB36" i="7"/>
  <c r="AC39" i="7"/>
  <c r="AB39" i="7"/>
  <c r="AC37" i="7"/>
  <c r="AB37" i="7"/>
  <c r="AC62" i="7"/>
  <c r="AB62" i="7"/>
  <c r="AC57" i="7"/>
  <c r="AB57" i="7"/>
  <c r="AB63" i="7"/>
  <c r="AC63" i="7"/>
  <c r="AB18" i="7"/>
  <c r="AC18" i="7"/>
  <c r="AC19" i="7"/>
  <c r="AB19" i="7"/>
  <c r="AC29" i="7"/>
  <c r="AB29" i="7"/>
  <c r="AC65" i="7"/>
  <c r="AB65" i="7"/>
  <c r="AC68" i="7"/>
  <c r="AB68" i="7"/>
  <c r="AC50" i="7"/>
  <c r="AB50" i="7"/>
  <c r="AB56" i="7"/>
  <c r="AC56" i="7"/>
  <c r="AC24" i="7"/>
  <c r="AB24" i="7"/>
  <c r="AC46" i="7"/>
  <c r="AB46" i="7"/>
  <c r="AB49" i="7"/>
  <c r="AC49" i="7"/>
  <c r="AC38" i="7"/>
  <c r="AB38" i="7"/>
  <c r="AC74" i="7"/>
  <c r="AB74" i="7"/>
  <c r="AC52" i="7"/>
  <c r="AB52" i="7"/>
  <c r="AC59" i="7"/>
  <c r="AB59" i="7"/>
  <c r="AC70" i="7"/>
  <c r="AB70" i="7"/>
  <c r="AC35" i="7"/>
  <c r="AB35" i="7"/>
  <c r="AB41" i="7"/>
  <c r="AC41" i="7"/>
  <c r="AC28" i="7"/>
  <c r="AB28" i="7"/>
  <c r="AC42" i="7"/>
  <c r="AB42" i="7"/>
  <c r="AC21" i="7"/>
  <c r="AB21" i="7"/>
  <c r="AB25" i="7"/>
  <c r="AC25" i="7"/>
  <c r="AC31" i="7"/>
  <c r="AB31" i="7"/>
  <c r="AC73" i="7"/>
  <c r="AB73" i="7"/>
  <c r="AC60" i="7"/>
  <c r="AB60" i="7"/>
  <c r="AC67" i="7"/>
  <c r="AB67" i="7"/>
  <c r="AC48" i="7"/>
  <c r="AB48" i="7"/>
  <c r="AC55" i="7"/>
  <c r="AB55" i="7"/>
  <c r="AC27" i="7"/>
  <c r="AB27" i="7"/>
  <c r="AB34" i="7"/>
  <c r="AC34" i="7"/>
  <c r="AC43" i="7"/>
  <c r="AB43" i="7"/>
  <c r="AC32" i="7"/>
  <c r="AB32" i="7"/>
  <c r="AC23" i="7"/>
  <c r="AB23" i="7"/>
  <c r="AC51" i="7"/>
  <c r="AB51" i="7"/>
  <c r="AC66" i="7"/>
  <c r="AB66" i="7"/>
  <c r="AC44" i="7"/>
  <c r="AB44" i="7"/>
  <c r="AC54" i="7"/>
  <c r="AB54" i="7"/>
  <c r="AC33" i="7"/>
  <c r="AB33" i="7"/>
  <c r="AC47" i="7"/>
  <c r="AB47" i="7"/>
  <c r="AB26" i="7"/>
  <c r="AC26" i="7"/>
  <c r="DP21" i="7"/>
  <c r="E21" i="7" s="1"/>
  <c r="DP20" i="7"/>
  <c r="E20" i="7" s="1"/>
  <c r="AB17" i="7"/>
  <c r="O3" i="7"/>
  <c r="O1" i="7" s="1"/>
  <c r="O1" i="10" s="1"/>
  <c r="D58" i="8"/>
  <c r="BU2" i="33" s="1"/>
  <c r="C59" i="8"/>
  <c r="D59" i="8"/>
  <c r="BT2" i="33" s="1"/>
  <c r="BN12" i="7"/>
  <c r="I10" i="8" s="1"/>
  <c r="I12" i="8" s="1"/>
  <c r="C60" i="8"/>
  <c r="C61" i="8"/>
  <c r="D61" i="8"/>
  <c r="D60" i="8"/>
  <c r="C58" i="8"/>
  <c r="CW15" i="7"/>
  <c r="L12" i="10"/>
  <c r="W12" i="10"/>
  <c r="CM18" i="10" l="1"/>
  <c r="CL18" i="10"/>
  <c r="X14" i="10"/>
  <c r="AA14" i="10"/>
  <c r="AE14" i="10" s="1"/>
  <c r="AI14" i="10" s="1"/>
  <c r="AM14" i="10" s="1"/>
  <c r="AA13" i="10"/>
  <c r="X13" i="10"/>
  <c r="L17" i="10"/>
  <c r="W17" i="10"/>
  <c r="CM20" i="10"/>
  <c r="CL20" i="10"/>
  <c r="CL19" i="10"/>
  <c r="CM19" i="10"/>
  <c r="L14" i="10"/>
  <c r="L13" i="10"/>
  <c r="E32" i="15"/>
  <c r="N6" i="10"/>
  <c r="E61" i="8"/>
  <c r="D14" i="7"/>
  <c r="D13" i="7"/>
  <c r="F14" i="7"/>
  <c r="U20" i="7"/>
  <c r="U21" i="7"/>
  <c r="E13" i="7"/>
  <c r="C13" i="7"/>
  <c r="E14" i="7"/>
  <c r="Q7" i="10"/>
  <c r="E30" i="15"/>
  <c r="E31" i="15"/>
  <c r="E33" i="15"/>
  <c r="E34" i="15"/>
  <c r="C14" i="7"/>
  <c r="E58" i="8"/>
  <c r="AB2" i="33"/>
  <c r="AC2" i="33"/>
  <c r="AD2" i="33"/>
  <c r="E60" i="8"/>
  <c r="E59" i="8"/>
  <c r="BD9" i="10"/>
  <c r="X12" i="10"/>
  <c r="AA12" i="10"/>
  <c r="CP19" i="10" l="1"/>
  <c r="CQ19" i="10"/>
  <c r="L16" i="10"/>
  <c r="W16" i="10"/>
  <c r="L15" i="10"/>
  <c r="W15" i="10"/>
  <c r="CP20" i="10"/>
  <c r="CQ20" i="10"/>
  <c r="X17" i="10"/>
  <c r="AA17" i="10"/>
  <c r="AE13" i="10"/>
  <c r="AI13" i="10" s="1"/>
  <c r="AM13" i="10" s="1"/>
  <c r="AB13" i="10"/>
  <c r="AP14" i="10"/>
  <c r="AN14" i="10"/>
  <c r="AQ14" i="10"/>
  <c r="CP18" i="10"/>
  <c r="CQ18" i="10"/>
  <c r="U12" i="7"/>
  <c r="U15" i="7" s="1"/>
  <c r="C79" i="8" s="1"/>
  <c r="AE12" i="10"/>
  <c r="N12" i="10" l="1" a="1"/>
  <c r="N12" i="10" s="1"/>
  <c r="N91" i="10"/>
  <c r="Q91" i="10" s="1"/>
  <c r="AB17" i="10"/>
  <c r="AE17" i="10"/>
  <c r="AI17" i="10" s="1"/>
  <c r="AM17" i="10" s="1"/>
  <c r="AN13" i="10"/>
  <c r="AP13" i="10"/>
  <c r="AQ13" i="10"/>
  <c r="CT20" i="10"/>
  <c r="CU20" i="10"/>
  <c r="X15" i="10"/>
  <c r="AA15" i="10"/>
  <c r="AE15" i="10" s="1"/>
  <c r="CT18" i="10"/>
  <c r="CU18" i="10"/>
  <c r="AA16" i="10"/>
  <c r="AE16" i="10" s="1"/>
  <c r="AI16" i="10" s="1"/>
  <c r="AM16" i="10" s="1"/>
  <c r="X16" i="10"/>
  <c r="AT14" i="10"/>
  <c r="AU14" i="10"/>
  <c r="AR14" i="10"/>
  <c r="CT19" i="10"/>
  <c r="CU19" i="10"/>
  <c r="AJ12" i="10"/>
  <c r="AF12" i="10"/>
  <c r="N92" i="10"/>
  <c r="Q92" i="10" s="1"/>
  <c r="N90" i="10"/>
  <c r="N89" i="10"/>
  <c r="N93" i="10"/>
  <c r="Q93" i="10" s="1"/>
  <c r="O89" i="10"/>
  <c r="O23" i="10"/>
  <c r="O91" i="10"/>
  <c r="O90" i="10"/>
  <c r="O86" i="10"/>
  <c r="O92" i="10"/>
  <c r="N86" i="10"/>
  <c r="Q86" i="10" s="1"/>
  <c r="O93" i="10"/>
  <c r="N87" i="10"/>
  <c r="O87" i="10"/>
  <c r="N88" i="10"/>
  <c r="Q88" i="10" s="1"/>
  <c r="O88" i="10"/>
  <c r="O2" i="10"/>
  <c r="N5" i="10" s="1"/>
  <c r="BP7" i="10" s="1"/>
  <c r="C80" i="8"/>
  <c r="N14" i="10"/>
  <c r="Q14" i="10" s="1"/>
  <c r="O19" i="10"/>
  <c r="N16" i="10"/>
  <c r="Q16" i="10" s="1"/>
  <c r="O21" i="10"/>
  <c r="O14" i="10"/>
  <c r="O12" i="10"/>
  <c r="O58" i="10"/>
  <c r="O49" i="10"/>
  <c r="N25" i="10"/>
  <c r="Q25" i="10" s="1"/>
  <c r="O80" i="10"/>
  <c r="O72" i="10"/>
  <c r="O44" i="10"/>
  <c r="N66" i="10"/>
  <c r="Q66" i="10" s="1"/>
  <c r="W9" i="10"/>
  <c r="N59" i="10"/>
  <c r="N78" i="10"/>
  <c r="Q78" i="10" s="1"/>
  <c r="N29" i="10"/>
  <c r="Q29" i="10" s="1"/>
  <c r="O65" i="10"/>
  <c r="O59" i="10"/>
  <c r="O27" i="10"/>
  <c r="N51" i="10"/>
  <c r="Q51" i="10" s="1"/>
  <c r="O48" i="10"/>
  <c r="O85" i="10"/>
  <c r="N85" i="10"/>
  <c r="Q85" i="10" s="1"/>
  <c r="N72" i="10"/>
  <c r="N21" i="10"/>
  <c r="Q21" i="10" s="1"/>
  <c r="O39" i="10"/>
  <c r="O25" i="10"/>
  <c r="O37" i="10"/>
  <c r="N36" i="10"/>
  <c r="Q36" i="10" s="1"/>
  <c r="O42" i="10"/>
  <c r="O52" i="10"/>
  <c r="N15" i="10"/>
  <c r="Q15" i="10" s="1"/>
  <c r="N52" i="10"/>
  <c r="Q52" i="10" s="1"/>
  <c r="N74" i="10"/>
  <c r="Q74" i="10" s="1"/>
  <c r="O46" i="10"/>
  <c r="O60" i="10"/>
  <c r="N64" i="10"/>
  <c r="Q64" i="10" s="1"/>
  <c r="N65" i="10"/>
  <c r="Q65" i="10" s="1"/>
  <c r="N18" i="10"/>
  <c r="Q18" i="10" s="1"/>
  <c r="N33" i="10"/>
  <c r="Q33" i="10" s="1"/>
  <c r="N83" i="10"/>
  <c r="N41" i="10"/>
  <c r="Q41" i="10" s="1"/>
  <c r="N73" i="10"/>
  <c r="Q73" i="10" s="1"/>
  <c r="N60" i="10"/>
  <c r="Q60" i="10" s="1"/>
  <c r="N17" i="10"/>
  <c r="N71" i="10"/>
  <c r="Q71" i="10" s="1"/>
  <c r="O53" i="10"/>
  <c r="O67" i="10"/>
  <c r="N32" i="10"/>
  <c r="Q32" i="10" s="1"/>
  <c r="N75" i="10"/>
  <c r="O13" i="10"/>
  <c r="O47" i="10"/>
  <c r="N37" i="10"/>
  <c r="Q37" i="10" s="1"/>
  <c r="O73" i="10"/>
  <c r="O36" i="10"/>
  <c r="O26" i="10"/>
  <c r="N13" i="10"/>
  <c r="Q13" i="10" s="1"/>
  <c r="O66" i="10"/>
  <c r="N43" i="10"/>
  <c r="Q43" i="10" s="1"/>
  <c r="O70" i="10"/>
  <c r="N34" i="10"/>
  <c r="N46" i="10"/>
  <c r="Q46" i="10" s="1"/>
  <c r="N30" i="10"/>
  <c r="Q30" i="10" s="1"/>
  <c r="N19" i="10"/>
  <c r="Q19" i="10" s="1"/>
  <c r="L9" i="10"/>
  <c r="O82" i="10"/>
  <c r="O28" i="10"/>
  <c r="O34" i="10"/>
  <c r="N79" i="10"/>
  <c r="O57" i="10"/>
  <c r="O43" i="10"/>
  <c r="N20" i="10"/>
  <c r="N22" i="10"/>
  <c r="Q22" i="10" s="1"/>
  <c r="N45" i="10"/>
  <c r="N54" i="10"/>
  <c r="Q54" i="10" s="1"/>
  <c r="N63" i="10"/>
  <c r="Q63" i="10" s="1"/>
  <c r="O40" i="10"/>
  <c r="O29" i="10"/>
  <c r="N77" i="10"/>
  <c r="Q77" i="10" s="1"/>
  <c r="O31" i="10"/>
  <c r="O79" i="10"/>
  <c r="O56" i="10"/>
  <c r="N47" i="10"/>
  <c r="Q47" i="10" s="1"/>
  <c r="O76" i="10"/>
  <c r="O62" i="10"/>
  <c r="O77" i="10"/>
  <c r="N55" i="10"/>
  <c r="Q55" i="10" s="1"/>
  <c r="N68" i="10"/>
  <c r="Q68" i="10" s="1"/>
  <c r="O69" i="10"/>
  <c r="O68" i="10"/>
  <c r="N70" i="10"/>
  <c r="Q70" i="10" s="1"/>
  <c r="O45" i="10"/>
  <c r="N27" i="10"/>
  <c r="Q27" i="10" s="1"/>
  <c r="N50" i="10"/>
  <c r="Q50" i="10" s="1"/>
  <c r="O71" i="10"/>
  <c r="O84" i="10"/>
  <c r="N56" i="10"/>
  <c r="Q56" i="10" s="1"/>
  <c r="O78" i="10"/>
  <c r="N58" i="10"/>
  <c r="Q58" i="10" s="1"/>
  <c r="O30" i="10"/>
  <c r="O35" i="10"/>
  <c r="O50" i="10"/>
  <c r="N49" i="10"/>
  <c r="O64" i="10"/>
  <c r="N69" i="10"/>
  <c r="Q69" i="10" s="1"/>
  <c r="O22" i="10"/>
  <c r="N28" i="10"/>
  <c r="N80" i="10"/>
  <c r="N24" i="10"/>
  <c r="Q24" i="10" s="1"/>
  <c r="O61" i="10"/>
  <c r="O51" i="10"/>
  <c r="N76" i="10"/>
  <c r="Q76" i="10" s="1"/>
  <c r="N57" i="10"/>
  <c r="Q57" i="10" s="1"/>
  <c r="N61" i="10"/>
  <c r="Q61" i="10" s="1"/>
  <c r="N44" i="10"/>
  <c r="Q44" i="10" s="1"/>
  <c r="N81" i="10"/>
  <c r="Q81" i="10" s="1"/>
  <c r="O38" i="10"/>
  <c r="N84" i="10"/>
  <c r="Q84" i="10" s="1"/>
  <c r="N82" i="10"/>
  <c r="O75" i="10"/>
  <c r="O74" i="10"/>
  <c r="O32" i="10"/>
  <c r="N67" i="10"/>
  <c r="Q67" i="10" s="1"/>
  <c r="O83" i="10"/>
  <c r="O24" i="10"/>
  <c r="N42" i="10"/>
  <c r="Q42" i="10" s="1"/>
  <c r="O33" i="10"/>
  <c r="N23" i="10"/>
  <c r="N39" i="10"/>
  <c r="Q39" i="10" s="1"/>
  <c r="N62" i="10"/>
  <c r="Q62" i="10" s="1"/>
  <c r="N26" i="10"/>
  <c r="Q26" i="10" s="1"/>
  <c r="N40" i="10"/>
  <c r="Q40" i="10" s="1"/>
  <c r="O81" i="10"/>
  <c r="O63" i="10"/>
  <c r="N48" i="10"/>
  <c r="Q48" i="10" s="1"/>
  <c r="N35" i="10"/>
  <c r="Q35" i="10" s="1"/>
  <c r="O55" i="10"/>
  <c r="N31" i="10"/>
  <c r="Q31" i="10" s="1"/>
  <c r="N53" i="10"/>
  <c r="Q53" i="10" s="1"/>
  <c r="N38" i="10"/>
  <c r="Q38" i="10" s="1"/>
  <c r="O54" i="10"/>
  <c r="O41" i="10"/>
  <c r="O15" i="10"/>
  <c r="O18" i="10"/>
  <c r="O16" i="10"/>
  <c r="O17" i="10"/>
  <c r="O20" i="10"/>
  <c r="AI12" i="10"/>
  <c r="X9" i="10" l="1"/>
  <c r="Q90" i="10"/>
  <c r="Q83" i="10"/>
  <c r="Q87" i="10"/>
  <c r="AF15" i="10"/>
  <c r="AJ15" i="10"/>
  <c r="AI15" i="10"/>
  <c r="AM15" i="10" s="1"/>
  <c r="Q89" i="10"/>
  <c r="CY18" i="10"/>
  <c r="CX18" i="10"/>
  <c r="Q45" i="10"/>
  <c r="Q75" i="10"/>
  <c r="CX19" i="10"/>
  <c r="CY19" i="10"/>
  <c r="CY20" i="10"/>
  <c r="CX20" i="10"/>
  <c r="Q34" i="10"/>
  <c r="Q59" i="10"/>
  <c r="Q80" i="10"/>
  <c r="Q20" i="10"/>
  <c r="AT13" i="10"/>
  <c r="AU13" i="10"/>
  <c r="AR13" i="10"/>
  <c r="Q28" i="10"/>
  <c r="Q72" i="10"/>
  <c r="CA14" i="10"/>
  <c r="AV14" i="10"/>
  <c r="AY14" i="10"/>
  <c r="Q23" i="10"/>
  <c r="Q79" i="10"/>
  <c r="Q17" i="10"/>
  <c r="AN17" i="10"/>
  <c r="AP17" i="10"/>
  <c r="AQ17" i="10"/>
  <c r="Q82" i="10"/>
  <c r="Q49" i="10"/>
  <c r="AN16" i="10"/>
  <c r="AQ16" i="10"/>
  <c r="AP16" i="10"/>
  <c r="BQ14" i="10"/>
  <c r="BQ13" i="10"/>
  <c r="BQ20" i="10"/>
  <c r="BR20" i="10" s="1"/>
  <c r="BQ17" i="10"/>
  <c r="BQ21" i="10"/>
  <c r="BR21" i="10" s="1"/>
  <c r="BQ32" i="10"/>
  <c r="BR32" i="10" s="1"/>
  <c r="BQ38" i="10"/>
  <c r="BR38" i="10" s="1"/>
  <c r="BQ16" i="10"/>
  <c r="BQ27" i="10"/>
  <c r="BR27" i="10" s="1"/>
  <c r="BQ22" i="10"/>
  <c r="BR22" i="10" s="1"/>
  <c r="BQ24" i="10"/>
  <c r="BR24" i="10" s="1"/>
  <c r="BQ35" i="10"/>
  <c r="BR35" i="10" s="1"/>
  <c r="BQ39" i="10"/>
  <c r="BR39" i="10" s="1"/>
  <c r="BQ15" i="10"/>
  <c r="BQ19" i="10"/>
  <c r="BR19" i="10" s="1"/>
  <c r="BQ30" i="10"/>
  <c r="BR30" i="10" s="1"/>
  <c r="BQ36" i="10"/>
  <c r="BR36" i="10" s="1"/>
  <c r="BQ23" i="10"/>
  <c r="BR23" i="10" s="1"/>
  <c r="BQ25" i="10"/>
  <c r="BR25" i="10" s="1"/>
  <c r="BQ34" i="10"/>
  <c r="BR34" i="10" s="1"/>
  <c r="BQ26" i="10"/>
  <c r="BR26" i="10" s="1"/>
  <c r="BQ33" i="10"/>
  <c r="BR33" i="10" s="1"/>
  <c r="BQ48" i="10"/>
  <c r="BR48" i="10" s="1"/>
  <c r="BQ18" i="10"/>
  <c r="BR18" i="10" s="1"/>
  <c r="BQ45" i="10"/>
  <c r="BR45" i="10" s="1"/>
  <c r="BQ40" i="10"/>
  <c r="BR40" i="10" s="1"/>
  <c r="BQ55" i="10"/>
  <c r="BR55" i="10" s="1"/>
  <c r="BQ60" i="10"/>
  <c r="BR60" i="10" s="1"/>
  <c r="BQ37" i="10"/>
  <c r="BR37" i="10" s="1"/>
  <c r="BQ42" i="10"/>
  <c r="BR42" i="10" s="1"/>
  <c r="BQ43" i="10"/>
  <c r="BR43" i="10" s="1"/>
  <c r="BQ44" i="10"/>
  <c r="BR44" i="10" s="1"/>
  <c r="BQ31" i="10"/>
  <c r="BR31" i="10" s="1"/>
  <c r="BQ47" i="10"/>
  <c r="BR47" i="10" s="1"/>
  <c r="BQ53" i="10"/>
  <c r="BR53" i="10" s="1"/>
  <c r="BQ57" i="10"/>
  <c r="BR57" i="10" s="1"/>
  <c r="BQ59" i="10"/>
  <c r="BR59" i="10" s="1"/>
  <c r="BQ61" i="10"/>
  <c r="BR61" i="10" s="1"/>
  <c r="BQ67" i="10"/>
  <c r="BR67" i="10" s="1"/>
  <c r="BQ28" i="10"/>
  <c r="BR28" i="10" s="1"/>
  <c r="BQ46" i="10"/>
  <c r="BR46" i="10" s="1"/>
  <c r="BQ50" i="10"/>
  <c r="BR50" i="10" s="1"/>
  <c r="BQ54" i="10"/>
  <c r="BR54" i="10" s="1"/>
  <c r="BQ63" i="10"/>
  <c r="BR63" i="10" s="1"/>
  <c r="BQ66" i="10"/>
  <c r="BR66" i="10" s="1"/>
  <c r="BQ51" i="10"/>
  <c r="BR51" i="10" s="1"/>
  <c r="BQ52" i="10"/>
  <c r="BR52" i="10" s="1"/>
  <c r="BQ69" i="10"/>
  <c r="BR69" i="10" s="1"/>
  <c r="BQ74" i="10"/>
  <c r="BR74" i="10" s="1"/>
  <c r="BQ80" i="10"/>
  <c r="BR80" i="10" s="1"/>
  <c r="BQ86" i="10"/>
  <c r="BR86" i="10" s="1"/>
  <c r="BQ56" i="10"/>
  <c r="BR56" i="10" s="1"/>
  <c r="BQ70" i="10"/>
  <c r="BR70" i="10" s="1"/>
  <c r="BQ71" i="10"/>
  <c r="BR71" i="10" s="1"/>
  <c r="BQ41" i="10"/>
  <c r="BR41" i="10" s="1"/>
  <c r="BQ58" i="10"/>
  <c r="BR58" i="10" s="1"/>
  <c r="BQ72" i="10"/>
  <c r="BR72" i="10" s="1"/>
  <c r="BQ83" i="10"/>
  <c r="BR83" i="10" s="1"/>
  <c r="BQ49" i="10"/>
  <c r="BR49" i="10" s="1"/>
  <c r="BQ65" i="10"/>
  <c r="BR65" i="10" s="1"/>
  <c r="BQ75" i="10"/>
  <c r="BR75" i="10" s="1"/>
  <c r="BQ78" i="10"/>
  <c r="BR78" i="10" s="1"/>
  <c r="BQ90" i="10"/>
  <c r="BR90" i="10" s="1"/>
  <c r="BQ87" i="10"/>
  <c r="BR87" i="10" s="1"/>
  <c r="BQ89" i="10"/>
  <c r="BR89" i="10" s="1"/>
  <c r="BQ82" i="10"/>
  <c r="BR82" i="10" s="1"/>
  <c r="BQ64" i="10"/>
  <c r="BR64" i="10" s="1"/>
  <c r="BQ68" i="10"/>
  <c r="BR68" i="10" s="1"/>
  <c r="BQ76" i="10"/>
  <c r="BR76" i="10" s="1"/>
  <c r="BQ88" i="10"/>
  <c r="BR88" i="10" s="1"/>
  <c r="BQ81" i="10"/>
  <c r="BR81" i="10" s="1"/>
  <c r="BQ93" i="10"/>
  <c r="BR93" i="10" s="1"/>
  <c r="BQ73" i="10"/>
  <c r="BR73" i="10" s="1"/>
  <c r="BQ91" i="10"/>
  <c r="BR91" i="10" s="1"/>
  <c r="BQ79" i="10"/>
  <c r="BR79" i="10" s="1"/>
  <c r="BQ84" i="10"/>
  <c r="BR84" i="10" s="1"/>
  <c r="BQ62" i="10"/>
  <c r="BR62" i="10" s="1"/>
  <c r="BQ92" i="10"/>
  <c r="BR92" i="10" s="1"/>
  <c r="BQ85" i="10"/>
  <c r="BR85" i="10" s="1"/>
  <c r="BQ77" i="10"/>
  <c r="BR77" i="10" s="1"/>
  <c r="BQ29" i="10"/>
  <c r="BR29" i="10" s="1"/>
  <c r="M93" i="10"/>
  <c r="P93" i="10" s="1"/>
  <c r="R93" i="10" s="1"/>
  <c r="S93" i="10" s="1"/>
  <c r="M92" i="10"/>
  <c r="P92" i="10" s="1"/>
  <c r="R92" i="10" s="1"/>
  <c r="S92" i="10" s="1"/>
  <c r="Q12" i="10"/>
  <c r="M89" i="10"/>
  <c r="P89" i="10" s="1"/>
  <c r="M87" i="10"/>
  <c r="P87" i="10" s="1"/>
  <c r="M91" i="10"/>
  <c r="P91" i="10" s="1"/>
  <c r="R91" i="10" s="1"/>
  <c r="S91" i="10" s="1"/>
  <c r="M90" i="10"/>
  <c r="P90" i="10" s="1"/>
  <c r="M88" i="10"/>
  <c r="P88" i="10" s="1"/>
  <c r="R88" i="10" s="1"/>
  <c r="S88" i="10" s="1"/>
  <c r="M86" i="10"/>
  <c r="P86" i="10" s="1"/>
  <c r="R86" i="10" s="1"/>
  <c r="S86" i="10" s="1"/>
  <c r="N7" i="10"/>
  <c r="BT7" i="10" s="1"/>
  <c r="AB9" i="10"/>
  <c r="BQ12" i="10"/>
  <c r="M47" i="10"/>
  <c r="P47" i="10" s="1"/>
  <c r="R47" i="10" s="1"/>
  <c r="S47" i="10" s="1"/>
  <c r="M70" i="10"/>
  <c r="P70" i="10" s="1"/>
  <c r="R70" i="10" s="1"/>
  <c r="S70" i="10" s="1"/>
  <c r="M65" i="10"/>
  <c r="P65" i="10" s="1"/>
  <c r="R65" i="10" s="1"/>
  <c r="S65" i="10" s="1"/>
  <c r="M71" i="10"/>
  <c r="P71" i="10" s="1"/>
  <c r="R71" i="10" s="1"/>
  <c r="S71" i="10" s="1"/>
  <c r="M43" i="10"/>
  <c r="P43" i="10" s="1"/>
  <c r="R43" i="10" s="1"/>
  <c r="S43" i="10" s="1"/>
  <c r="M45" i="10"/>
  <c r="P45" i="10" s="1"/>
  <c r="M44" i="10"/>
  <c r="P44" i="10" s="1"/>
  <c r="R44" i="10" s="1"/>
  <c r="S44" i="10" s="1"/>
  <c r="M72" i="10"/>
  <c r="P72" i="10" s="1"/>
  <c r="M59" i="10"/>
  <c r="P59" i="10" s="1"/>
  <c r="M51" i="10"/>
  <c r="P51" i="10" s="1"/>
  <c r="R51" i="10" s="1"/>
  <c r="S51" i="10" s="1"/>
  <c r="M78" i="10"/>
  <c r="P78" i="10" s="1"/>
  <c r="R78" i="10" s="1"/>
  <c r="S78" i="10" s="1"/>
  <c r="M31" i="10"/>
  <c r="P31" i="10" s="1"/>
  <c r="R31" i="10" s="1"/>
  <c r="S31" i="10" s="1"/>
  <c r="M27" i="10"/>
  <c r="P27" i="10" s="1"/>
  <c r="R27" i="10" s="1"/>
  <c r="S27" i="10" s="1"/>
  <c r="M75" i="10"/>
  <c r="P75" i="10" s="1"/>
  <c r="M56" i="10"/>
  <c r="P56" i="10" s="1"/>
  <c r="R56" i="10" s="1"/>
  <c r="S56" i="10" s="1"/>
  <c r="M69" i="10"/>
  <c r="P69" i="10" s="1"/>
  <c r="R69" i="10" s="1"/>
  <c r="S69" i="10" s="1"/>
  <c r="M85" i="10"/>
  <c r="P85" i="10" s="1"/>
  <c r="R85" i="10" s="1"/>
  <c r="S85" i="10" s="1"/>
  <c r="M66" i="10"/>
  <c r="P66" i="10" s="1"/>
  <c r="R66" i="10" s="1"/>
  <c r="S66" i="10" s="1"/>
  <c r="M46" i="10"/>
  <c r="P46" i="10" s="1"/>
  <c r="R46" i="10" s="1"/>
  <c r="S46" i="10" s="1"/>
  <c r="M53" i="10"/>
  <c r="P53" i="10" s="1"/>
  <c r="R53" i="10" s="1"/>
  <c r="S53" i="10" s="1"/>
  <c r="M49" i="10"/>
  <c r="P49" i="10" s="1"/>
  <c r="M40" i="10"/>
  <c r="P40" i="10" s="1"/>
  <c r="R40" i="10" s="1"/>
  <c r="S40" i="10" s="1"/>
  <c r="M24" i="10"/>
  <c r="P24" i="10" s="1"/>
  <c r="R24" i="10" s="1"/>
  <c r="S24" i="10" s="1"/>
  <c r="M28" i="10"/>
  <c r="P28" i="10" s="1"/>
  <c r="M68" i="10"/>
  <c r="P68" i="10" s="1"/>
  <c r="R68" i="10" s="1"/>
  <c r="S68" i="10" s="1"/>
  <c r="M22" i="10"/>
  <c r="P22" i="10" s="1"/>
  <c r="R22" i="10" s="1"/>
  <c r="S22" i="10" s="1"/>
  <c r="M84" i="10"/>
  <c r="P84" i="10" s="1"/>
  <c r="R84" i="10" s="1"/>
  <c r="S84" i="10" s="1"/>
  <c r="M77" i="10"/>
  <c r="P77" i="10" s="1"/>
  <c r="R77" i="10" s="1"/>
  <c r="S77" i="10" s="1"/>
  <c r="M54" i="10"/>
  <c r="P54" i="10" s="1"/>
  <c r="R54" i="10" s="1"/>
  <c r="S54" i="10" s="1"/>
  <c r="M37" i="10"/>
  <c r="P37" i="10" s="1"/>
  <c r="R37" i="10" s="1"/>
  <c r="S37" i="10" s="1"/>
  <c r="M63" i="10"/>
  <c r="P63" i="10" s="1"/>
  <c r="R63" i="10" s="1"/>
  <c r="S63" i="10" s="1"/>
  <c r="M30" i="10"/>
  <c r="P30" i="10" s="1"/>
  <c r="R30" i="10" s="1"/>
  <c r="S30" i="10" s="1"/>
  <c r="M50" i="10"/>
  <c r="P50" i="10" s="1"/>
  <c r="R50" i="10" s="1"/>
  <c r="S50" i="10" s="1"/>
  <c r="M33" i="10"/>
  <c r="P33" i="10" s="1"/>
  <c r="R33" i="10" s="1"/>
  <c r="S33" i="10" s="1"/>
  <c r="M55" i="10"/>
  <c r="P55" i="10" s="1"/>
  <c r="R55" i="10" s="1"/>
  <c r="S55" i="10" s="1"/>
  <c r="M34" i="10"/>
  <c r="P34" i="10" s="1"/>
  <c r="M39" i="10"/>
  <c r="P39" i="10" s="1"/>
  <c r="R39" i="10" s="1"/>
  <c r="S39" i="10" s="1"/>
  <c r="D27" i="15"/>
  <c r="M67" i="10"/>
  <c r="P67" i="10" s="1"/>
  <c r="R67" i="10" s="1"/>
  <c r="S67" i="10" s="1"/>
  <c r="M61" i="10"/>
  <c r="P61" i="10" s="1"/>
  <c r="R61" i="10" s="1"/>
  <c r="S61" i="10" s="1"/>
  <c r="M76" i="10"/>
  <c r="P76" i="10" s="1"/>
  <c r="R76" i="10" s="1"/>
  <c r="S76" i="10" s="1"/>
  <c r="M25" i="10"/>
  <c r="P25" i="10" s="1"/>
  <c r="R25" i="10" s="1"/>
  <c r="S25" i="10" s="1"/>
  <c r="M58" i="10"/>
  <c r="P58" i="10" s="1"/>
  <c r="R58" i="10" s="1"/>
  <c r="S58" i="10" s="1"/>
  <c r="M80" i="10"/>
  <c r="P80" i="10" s="1"/>
  <c r="M60" i="10"/>
  <c r="P60" i="10" s="1"/>
  <c r="R60" i="10" s="1"/>
  <c r="S60" i="10" s="1"/>
  <c r="M32" i="10"/>
  <c r="P32" i="10" s="1"/>
  <c r="R32" i="10" s="1"/>
  <c r="S32" i="10" s="1"/>
  <c r="M83" i="10"/>
  <c r="P83" i="10" s="1"/>
  <c r="M48" i="10"/>
  <c r="P48" i="10" s="1"/>
  <c r="R48" i="10" s="1"/>
  <c r="S48" i="10" s="1"/>
  <c r="M29" i="10"/>
  <c r="P29" i="10" s="1"/>
  <c r="R29" i="10" s="1"/>
  <c r="S29" i="10" s="1"/>
  <c r="M64" i="10"/>
  <c r="P64" i="10" s="1"/>
  <c r="R64" i="10" s="1"/>
  <c r="S64" i="10" s="1"/>
  <c r="M73" i="10"/>
  <c r="P73" i="10" s="1"/>
  <c r="R73" i="10" s="1"/>
  <c r="S73" i="10" s="1"/>
  <c r="M36" i="10"/>
  <c r="P36" i="10" s="1"/>
  <c r="R36" i="10" s="1"/>
  <c r="S36" i="10" s="1"/>
  <c r="M38" i="10"/>
  <c r="P38" i="10" s="1"/>
  <c r="R38" i="10" s="1"/>
  <c r="S38" i="10" s="1"/>
  <c r="M41" i="10"/>
  <c r="P41" i="10" s="1"/>
  <c r="R41" i="10" s="1"/>
  <c r="S41" i="10" s="1"/>
  <c r="M57" i="10"/>
  <c r="P57" i="10" s="1"/>
  <c r="R57" i="10" s="1"/>
  <c r="S57" i="10" s="1"/>
  <c r="M23" i="10"/>
  <c r="P23" i="10" s="1"/>
  <c r="M62" i="10"/>
  <c r="P62" i="10" s="1"/>
  <c r="R62" i="10" s="1"/>
  <c r="S62" i="10" s="1"/>
  <c r="M42" i="10"/>
  <c r="P42" i="10" s="1"/>
  <c r="R42" i="10" s="1"/>
  <c r="S42" i="10" s="1"/>
  <c r="M74" i="10"/>
  <c r="P74" i="10" s="1"/>
  <c r="R74" i="10" s="1"/>
  <c r="S74" i="10" s="1"/>
  <c r="M26" i="10"/>
  <c r="P26" i="10" s="1"/>
  <c r="R26" i="10" s="1"/>
  <c r="S26" i="10" s="1"/>
  <c r="M35" i="10"/>
  <c r="P35" i="10" s="1"/>
  <c r="R35" i="10" s="1"/>
  <c r="S35" i="10" s="1"/>
  <c r="M81" i="10"/>
  <c r="P81" i="10" s="1"/>
  <c r="R81" i="10" s="1"/>
  <c r="S81" i="10" s="1"/>
  <c r="M79" i="10"/>
  <c r="P79" i="10" s="1"/>
  <c r="M52" i="10"/>
  <c r="P52" i="10" s="1"/>
  <c r="R52" i="10" s="1"/>
  <c r="S52" i="10" s="1"/>
  <c r="M82" i="10"/>
  <c r="P82" i="10" s="1"/>
  <c r="AA9" i="10"/>
  <c r="M21" i="10"/>
  <c r="P21" i="10" s="1"/>
  <c r="R21" i="10" s="1"/>
  <c r="S21" i="10" s="1"/>
  <c r="M18" i="10"/>
  <c r="P18" i="10" s="1"/>
  <c r="R18" i="10" s="1"/>
  <c r="S18" i="10" s="1"/>
  <c r="M19" i="10"/>
  <c r="P19" i="10" s="1"/>
  <c r="R19" i="10" s="1"/>
  <c r="S19" i="10" s="1"/>
  <c r="N9" i="10"/>
  <c r="M20" i="10"/>
  <c r="P20" i="10" s="1"/>
  <c r="M12" i="10"/>
  <c r="M17" i="10"/>
  <c r="P17" i="10" s="1"/>
  <c r="M14" i="10"/>
  <c r="P14" i="10" s="1"/>
  <c r="R14" i="10" s="1"/>
  <c r="S14" i="10" s="1"/>
  <c r="M15" i="10"/>
  <c r="P15" i="10" s="1"/>
  <c r="R15" i="10" s="1"/>
  <c r="S15" i="10" s="1"/>
  <c r="M16" i="10"/>
  <c r="P16" i="10" s="1"/>
  <c r="R16" i="10" s="1"/>
  <c r="S16" i="10" s="1"/>
  <c r="M13" i="10"/>
  <c r="P13" i="10" s="1"/>
  <c r="R13" i="10" s="1"/>
  <c r="S13" i="10" s="1"/>
  <c r="BE9" i="10"/>
  <c r="E24" i="15" s="1"/>
  <c r="AM12" i="10"/>
  <c r="R90" i="10" l="1"/>
  <c r="S90" i="10" s="1"/>
  <c r="R49" i="10"/>
  <c r="S49" i="10" s="1"/>
  <c r="R28" i="10"/>
  <c r="S28" i="10" s="1"/>
  <c r="R87" i="10"/>
  <c r="S87" i="10" s="1"/>
  <c r="R23" i="10"/>
  <c r="S23" i="10" s="1"/>
  <c r="R59" i="10"/>
  <c r="S59" i="10" s="1"/>
  <c r="R82" i="10"/>
  <c r="S82" i="10" s="1"/>
  <c r="AT17" i="10"/>
  <c r="AU17" i="10"/>
  <c r="AR17" i="10"/>
  <c r="R20" i="10"/>
  <c r="S20" i="10" s="1"/>
  <c r="R34" i="10"/>
  <c r="S34" i="10" s="1"/>
  <c r="R72" i="10"/>
  <c r="S72" i="10" s="1"/>
  <c r="DB20" i="10"/>
  <c r="DC20" i="10"/>
  <c r="DF20" i="10" s="1"/>
  <c r="DG20" i="10" s="1"/>
  <c r="R45" i="10"/>
  <c r="S45" i="10" s="1"/>
  <c r="R17" i="10"/>
  <c r="S17" i="10" s="1"/>
  <c r="R80" i="10"/>
  <c r="S80" i="10" s="1"/>
  <c r="DB19" i="10"/>
  <c r="DC19" i="10"/>
  <c r="DF19" i="10" s="1"/>
  <c r="DG19" i="10" s="1"/>
  <c r="DB18" i="10"/>
  <c r="DC18" i="10"/>
  <c r="DF18" i="10" s="1"/>
  <c r="DG18" i="10" s="1"/>
  <c r="R83" i="10"/>
  <c r="S83" i="10" s="1"/>
  <c r="R89" i="10"/>
  <c r="S89" i="10" s="1"/>
  <c r="R75" i="10"/>
  <c r="S75" i="10" s="1"/>
  <c r="AP15" i="10"/>
  <c r="AQ15" i="10"/>
  <c r="AN15" i="10"/>
  <c r="R79" i="10"/>
  <c r="S79" i="10" s="1"/>
  <c r="BC14" i="10"/>
  <c r="BG14" i="10" s="1"/>
  <c r="BK14" i="10" s="1"/>
  <c r="BO14" i="10" s="1"/>
  <c r="BS14" i="10" s="1"/>
  <c r="BW14" i="10" s="1"/>
  <c r="AZ14" i="10"/>
  <c r="AT16" i="10"/>
  <c r="AU16" i="10"/>
  <c r="AR16" i="10"/>
  <c r="AY13" i="10"/>
  <c r="CA13" i="10"/>
  <c r="AV13" i="10"/>
  <c r="CE14" i="10"/>
  <c r="CD14" i="10"/>
  <c r="BU16" i="10"/>
  <c r="BY18" i="10"/>
  <c r="BZ18" i="10" s="1"/>
  <c r="BY14" i="10"/>
  <c r="BY16" i="10"/>
  <c r="BU18" i="10"/>
  <c r="BV18" i="10" s="1"/>
  <c r="BU15" i="10"/>
  <c r="BU20" i="10"/>
  <c r="BV20" i="10" s="1"/>
  <c r="BY15" i="10"/>
  <c r="BU17" i="10"/>
  <c r="BY27" i="10"/>
  <c r="BZ27" i="10" s="1"/>
  <c r="BY30" i="10"/>
  <c r="BZ30" i="10" s="1"/>
  <c r="BU34" i="10"/>
  <c r="BV34" i="10" s="1"/>
  <c r="BY36" i="10"/>
  <c r="BZ36" i="10" s="1"/>
  <c r="BU13" i="10"/>
  <c r="BU19" i="10"/>
  <c r="BV19" i="10" s="1"/>
  <c r="BY22" i="10"/>
  <c r="BZ22" i="10" s="1"/>
  <c r="BU28" i="10"/>
  <c r="BV28" i="10" s="1"/>
  <c r="BU14" i="10"/>
  <c r="BY21" i="10"/>
  <c r="BZ21" i="10" s="1"/>
  <c r="BY23" i="10"/>
  <c r="BZ23" i="10" s="1"/>
  <c r="BY20" i="10"/>
  <c r="BZ20" i="10" s="1"/>
  <c r="BY28" i="10"/>
  <c r="BZ28" i="10" s="1"/>
  <c r="BY32" i="10"/>
  <c r="BZ32" i="10" s="1"/>
  <c r="BY35" i="10"/>
  <c r="BZ35" i="10" s="1"/>
  <c r="BY13" i="10"/>
  <c r="BU29" i="10"/>
  <c r="BV29" i="10" s="1"/>
  <c r="BU41" i="10"/>
  <c r="BV41" i="10" s="1"/>
  <c r="BU25" i="10"/>
  <c r="BV25" i="10" s="1"/>
  <c r="BY25" i="10"/>
  <c r="BZ25" i="10" s="1"/>
  <c r="BU26" i="10"/>
  <c r="BV26" i="10" s="1"/>
  <c r="BY31" i="10"/>
  <c r="BZ31" i="10" s="1"/>
  <c r="BY37" i="10"/>
  <c r="BZ37" i="10" s="1"/>
  <c r="BU50" i="10"/>
  <c r="BV50" i="10" s="1"/>
  <c r="BY19" i="10"/>
  <c r="BZ19" i="10" s="1"/>
  <c r="BU44" i="10"/>
  <c r="BV44" i="10" s="1"/>
  <c r="BU45" i="10"/>
  <c r="BV45" i="10" s="1"/>
  <c r="BY17" i="10"/>
  <c r="BY24" i="10"/>
  <c r="BZ24" i="10" s="1"/>
  <c r="BY26" i="10"/>
  <c r="BZ26" i="10" s="1"/>
  <c r="BU33" i="10"/>
  <c r="BV33" i="10" s="1"/>
  <c r="BY33" i="10"/>
  <c r="BZ33" i="10" s="1"/>
  <c r="BU35" i="10"/>
  <c r="BV35" i="10" s="1"/>
  <c r="BY41" i="10"/>
  <c r="BZ41" i="10" s="1"/>
  <c r="BU51" i="10"/>
  <c r="BV51" i="10" s="1"/>
  <c r="BU52" i="10"/>
  <c r="BV52" i="10" s="1"/>
  <c r="BU30" i="10"/>
  <c r="BV30" i="10" s="1"/>
  <c r="BY43" i="10"/>
  <c r="BZ43" i="10" s="1"/>
  <c r="BU47" i="10"/>
  <c r="BV47" i="10" s="1"/>
  <c r="BU23" i="10"/>
  <c r="BV23" i="10" s="1"/>
  <c r="BY29" i="10"/>
  <c r="BZ29" i="10" s="1"/>
  <c r="BU38" i="10"/>
  <c r="BV38" i="10" s="1"/>
  <c r="BY44" i="10"/>
  <c r="BZ44" i="10" s="1"/>
  <c r="BU49" i="10"/>
  <c r="BV49" i="10" s="1"/>
  <c r="BU31" i="10"/>
  <c r="BV31" i="10" s="1"/>
  <c r="BY55" i="10"/>
  <c r="BZ55" i="10" s="1"/>
  <c r="BY47" i="10"/>
  <c r="BZ47" i="10" s="1"/>
  <c r="BU48" i="10"/>
  <c r="BV48" i="10" s="1"/>
  <c r="BY49" i="10"/>
  <c r="BZ49" i="10" s="1"/>
  <c r="BU32" i="10"/>
  <c r="BV32" i="10" s="1"/>
  <c r="BU39" i="10"/>
  <c r="BV39" i="10" s="1"/>
  <c r="BU57" i="10"/>
  <c r="BV57" i="10" s="1"/>
  <c r="BU21" i="10"/>
  <c r="BV21" i="10" s="1"/>
  <c r="BU22" i="10"/>
  <c r="BV22" i="10" s="1"/>
  <c r="BY46" i="10"/>
  <c r="BZ46" i="10" s="1"/>
  <c r="BY51" i="10"/>
  <c r="BZ51" i="10" s="1"/>
  <c r="BU63" i="10"/>
  <c r="BV63" i="10" s="1"/>
  <c r="BY65" i="10"/>
  <c r="BZ65" i="10" s="1"/>
  <c r="BU69" i="10"/>
  <c r="BV69" i="10" s="1"/>
  <c r="BY71" i="10"/>
  <c r="BZ71" i="10" s="1"/>
  <c r="BY40" i="10"/>
  <c r="BZ40" i="10" s="1"/>
  <c r="BU27" i="10"/>
  <c r="BV27" i="10" s="1"/>
  <c r="BU58" i="10"/>
  <c r="BV58" i="10" s="1"/>
  <c r="BU36" i="10"/>
  <c r="BV36" i="10" s="1"/>
  <c r="BU53" i="10"/>
  <c r="BV53" i="10" s="1"/>
  <c r="BY57" i="10"/>
  <c r="BZ57" i="10" s="1"/>
  <c r="BY59" i="10"/>
  <c r="BZ59" i="10" s="1"/>
  <c r="BY45" i="10"/>
  <c r="BZ45" i="10" s="1"/>
  <c r="BY58" i="10"/>
  <c r="BZ58" i="10" s="1"/>
  <c r="BU62" i="10"/>
  <c r="BV62" i="10" s="1"/>
  <c r="BU43" i="10"/>
  <c r="BV43" i="10" s="1"/>
  <c r="BY61" i="10"/>
  <c r="BZ61" i="10" s="1"/>
  <c r="BY64" i="10"/>
  <c r="BZ64" i="10" s="1"/>
  <c r="BU46" i="10"/>
  <c r="BV46" i="10" s="1"/>
  <c r="BY53" i="10"/>
  <c r="BZ53" i="10" s="1"/>
  <c r="BU65" i="10"/>
  <c r="BV65" i="10" s="1"/>
  <c r="BU24" i="10"/>
  <c r="BV24" i="10" s="1"/>
  <c r="BU37" i="10"/>
  <c r="BV37" i="10" s="1"/>
  <c r="BY39" i="10"/>
  <c r="BZ39" i="10" s="1"/>
  <c r="BY62" i="10"/>
  <c r="BZ62" i="10" s="1"/>
  <c r="BU71" i="10"/>
  <c r="BV71" i="10" s="1"/>
  <c r="BY72" i="10"/>
  <c r="BZ72" i="10" s="1"/>
  <c r="BU76" i="10"/>
  <c r="BV76" i="10" s="1"/>
  <c r="BY78" i="10"/>
  <c r="BZ78" i="10" s="1"/>
  <c r="BU82" i="10"/>
  <c r="BV82" i="10" s="1"/>
  <c r="BY84" i="10"/>
  <c r="BZ84" i="10" s="1"/>
  <c r="BY38" i="10"/>
  <c r="BZ38" i="10" s="1"/>
  <c r="BU40" i="10"/>
  <c r="BV40" i="10" s="1"/>
  <c r="BU42" i="10"/>
  <c r="BV42" i="10" s="1"/>
  <c r="BU61" i="10"/>
  <c r="BV61" i="10" s="1"/>
  <c r="BU73" i="10"/>
  <c r="BV73" i="10" s="1"/>
  <c r="BY75" i="10"/>
  <c r="BZ75" i="10" s="1"/>
  <c r="BY54" i="10"/>
  <c r="BZ54" i="10" s="1"/>
  <c r="BY60" i="10"/>
  <c r="BZ60" i="10" s="1"/>
  <c r="BU64" i="10"/>
  <c r="BV64" i="10" s="1"/>
  <c r="BY68" i="10"/>
  <c r="BZ68" i="10" s="1"/>
  <c r="BU56" i="10"/>
  <c r="BV56" i="10" s="1"/>
  <c r="BY42" i="10"/>
  <c r="BZ42" i="10" s="1"/>
  <c r="BY56" i="10"/>
  <c r="BZ56" i="10" s="1"/>
  <c r="BY73" i="10"/>
  <c r="BZ73" i="10" s="1"/>
  <c r="BU85" i="10"/>
  <c r="BV85" i="10" s="1"/>
  <c r="BU87" i="10"/>
  <c r="BV87" i="10" s="1"/>
  <c r="BU66" i="10"/>
  <c r="BV66" i="10" s="1"/>
  <c r="BU67" i="10"/>
  <c r="BV67" i="10" s="1"/>
  <c r="BU74" i="10"/>
  <c r="BV74" i="10" s="1"/>
  <c r="BY76" i="10"/>
  <c r="BZ76" i="10" s="1"/>
  <c r="BU55" i="10"/>
  <c r="BV55" i="10" s="1"/>
  <c r="BU70" i="10"/>
  <c r="BV70" i="10" s="1"/>
  <c r="BU92" i="10"/>
  <c r="BV92" i="10" s="1"/>
  <c r="BU77" i="10"/>
  <c r="BV77" i="10" s="1"/>
  <c r="BY79" i="10"/>
  <c r="BZ79" i="10" s="1"/>
  <c r="BY88" i="10"/>
  <c r="BZ88" i="10" s="1"/>
  <c r="BY50" i="10"/>
  <c r="BZ50" i="10" s="1"/>
  <c r="BY67" i="10"/>
  <c r="BZ67" i="10" s="1"/>
  <c r="BY80" i="10"/>
  <c r="BZ80" i="10" s="1"/>
  <c r="BY81" i="10"/>
  <c r="BZ81" i="10" s="1"/>
  <c r="BU86" i="10"/>
  <c r="BV86" i="10" s="1"/>
  <c r="BU91" i="10"/>
  <c r="BV91" i="10" s="1"/>
  <c r="BY93" i="10"/>
  <c r="BZ93" i="10" s="1"/>
  <c r="BY69" i="10"/>
  <c r="BZ69" i="10" s="1"/>
  <c r="BU72" i="10"/>
  <c r="BV72" i="10" s="1"/>
  <c r="BY77" i="10"/>
  <c r="BZ77" i="10" s="1"/>
  <c r="BY52" i="10"/>
  <c r="BZ52" i="10" s="1"/>
  <c r="BU79" i="10"/>
  <c r="BV79" i="10" s="1"/>
  <c r="BU84" i="10"/>
  <c r="BV84" i="10" s="1"/>
  <c r="BU60" i="10"/>
  <c r="BV60" i="10" s="1"/>
  <c r="BU75" i="10"/>
  <c r="BV75" i="10" s="1"/>
  <c r="BU83" i="10"/>
  <c r="BV83" i="10" s="1"/>
  <c r="BY85" i="10"/>
  <c r="BZ85" i="10" s="1"/>
  <c r="BY92" i="10"/>
  <c r="BZ92" i="10" s="1"/>
  <c r="BY86" i="10"/>
  <c r="BZ86" i="10" s="1"/>
  <c r="BU89" i="10"/>
  <c r="BV89" i="10" s="1"/>
  <c r="BU90" i="10"/>
  <c r="BV90" i="10" s="1"/>
  <c r="BY91" i="10"/>
  <c r="BZ91" i="10" s="1"/>
  <c r="BY34" i="10"/>
  <c r="BZ34" i="10" s="1"/>
  <c r="BY83" i="10"/>
  <c r="BZ83" i="10" s="1"/>
  <c r="BY87" i="10"/>
  <c r="BZ87" i="10" s="1"/>
  <c r="BU68" i="10"/>
  <c r="BV68" i="10" s="1"/>
  <c r="BY74" i="10"/>
  <c r="BZ74" i="10" s="1"/>
  <c r="BY82" i="10"/>
  <c r="BZ82" i="10" s="1"/>
  <c r="BU54" i="10"/>
  <c r="BV54" i="10" s="1"/>
  <c r="BY63" i="10"/>
  <c r="BZ63" i="10" s="1"/>
  <c r="BY70" i="10"/>
  <c r="BZ70" i="10" s="1"/>
  <c r="BU80" i="10"/>
  <c r="BV80" i="10" s="1"/>
  <c r="BU81" i="10"/>
  <c r="BV81" i="10" s="1"/>
  <c r="BU78" i="10"/>
  <c r="BV78" i="10" s="1"/>
  <c r="BY89" i="10"/>
  <c r="BZ89" i="10" s="1"/>
  <c r="BU93" i="10"/>
  <c r="BV93" i="10" s="1"/>
  <c r="BY66" i="10"/>
  <c r="BZ66" i="10" s="1"/>
  <c r="BU88" i="10"/>
  <c r="BV88" i="10" s="1"/>
  <c r="BY48" i="10"/>
  <c r="BZ48" i="10" s="1"/>
  <c r="BU59" i="10"/>
  <c r="BV59" i="10" s="1"/>
  <c r="BY90" i="10"/>
  <c r="BZ90" i="10" s="1"/>
  <c r="AE9" i="10"/>
  <c r="AJ9" i="10"/>
  <c r="AJ7" i="10" s="1"/>
  <c r="AF9" i="10"/>
  <c r="AF7" i="10" s="1"/>
  <c r="X7" i="10"/>
  <c r="BX7" i="10"/>
  <c r="D37" i="8" s="1"/>
  <c r="E37" i="8" s="1"/>
  <c r="D36" i="8"/>
  <c r="BD7" i="10"/>
  <c r="D24" i="15" s="1"/>
  <c r="AB7" i="10"/>
  <c r="P12" i="10"/>
  <c r="R12" i="10" s="1"/>
  <c r="BY12" i="10"/>
  <c r="BU12" i="10"/>
  <c r="D28" i="15"/>
  <c r="AP12" i="10"/>
  <c r="AQ12" i="10"/>
  <c r="AN12" i="10"/>
  <c r="BZ14" i="10" l="1"/>
  <c r="BV14" i="10"/>
  <c r="BR14" i="10"/>
  <c r="CH14" i="10"/>
  <c r="CI14" i="10"/>
  <c r="CD13" i="10"/>
  <c r="CE13" i="10"/>
  <c r="AY17" i="10"/>
  <c r="CA17" i="10"/>
  <c r="AV17" i="10"/>
  <c r="BC13" i="10"/>
  <c r="BG13" i="10" s="1"/>
  <c r="BK13" i="10" s="1"/>
  <c r="BO13" i="10" s="1"/>
  <c r="AZ13" i="10"/>
  <c r="AT15" i="10"/>
  <c r="AU15" i="10"/>
  <c r="AR15" i="10"/>
  <c r="AY16" i="10"/>
  <c r="CA16" i="10"/>
  <c r="Y18" i="10"/>
  <c r="Z18" i="10" s="1"/>
  <c r="Y17" i="10"/>
  <c r="Z17" i="10" s="1"/>
  <c r="Y16" i="10"/>
  <c r="Z16" i="10" s="1"/>
  <c r="Y20" i="10"/>
  <c r="Z20" i="10" s="1"/>
  <c r="Y13" i="10"/>
  <c r="Z13" i="10" s="1"/>
  <c r="Y14" i="10"/>
  <c r="Z14" i="10" s="1"/>
  <c r="Y19" i="10"/>
  <c r="Z19" i="10" s="1"/>
  <c r="Y30" i="10"/>
  <c r="Z30" i="10" s="1"/>
  <c r="Y36" i="10"/>
  <c r="Z36" i="10" s="1"/>
  <c r="Y24" i="10"/>
  <c r="Z24" i="10" s="1"/>
  <c r="Y27" i="10"/>
  <c r="Z27" i="10" s="1"/>
  <c r="Y22" i="10"/>
  <c r="Z22" i="10" s="1"/>
  <c r="Y23" i="10"/>
  <c r="Z23" i="10" s="1"/>
  <c r="Y15" i="10"/>
  <c r="Z15" i="10" s="1"/>
  <c r="Y37" i="10"/>
  <c r="Z37" i="10" s="1"/>
  <c r="Y21" i="10"/>
  <c r="Z21" i="10" s="1"/>
  <c r="Y26" i="10"/>
  <c r="Z26" i="10" s="1"/>
  <c r="Y31" i="10"/>
  <c r="Z31" i="10" s="1"/>
  <c r="Y28" i="10"/>
  <c r="Z28" i="10" s="1"/>
  <c r="Y33" i="10"/>
  <c r="Z33" i="10" s="1"/>
  <c r="Y49" i="10"/>
  <c r="Z49" i="10" s="1"/>
  <c r="Y51" i="10"/>
  <c r="Z51" i="10" s="1"/>
  <c r="Y38" i="10"/>
  <c r="Z38" i="10" s="1"/>
  <c r="Y41" i="10"/>
  <c r="Z41" i="10" s="1"/>
  <c r="Y25" i="10"/>
  <c r="Z25" i="10" s="1"/>
  <c r="Y47" i="10"/>
  <c r="Z47" i="10" s="1"/>
  <c r="Y48" i="10"/>
  <c r="Z48" i="10" s="1"/>
  <c r="Y42" i="10"/>
  <c r="Z42" i="10" s="1"/>
  <c r="Y29" i="10"/>
  <c r="Z29" i="10" s="1"/>
  <c r="Y35" i="10"/>
  <c r="Z35" i="10" s="1"/>
  <c r="Y45" i="10"/>
  <c r="Z45" i="10" s="1"/>
  <c r="Y44" i="10"/>
  <c r="Z44" i="10" s="1"/>
  <c r="Y55" i="10"/>
  <c r="Z55" i="10" s="1"/>
  <c r="Y39" i="10"/>
  <c r="Z39" i="10" s="1"/>
  <c r="Y32" i="10"/>
  <c r="Z32" i="10" s="1"/>
  <c r="Y40" i="10"/>
  <c r="Z40" i="10" s="1"/>
  <c r="Y52" i="10"/>
  <c r="Z52" i="10" s="1"/>
  <c r="Y43" i="10"/>
  <c r="Z43" i="10" s="1"/>
  <c r="Y59" i="10"/>
  <c r="Z59" i="10" s="1"/>
  <c r="Y65" i="10"/>
  <c r="Z65" i="10" s="1"/>
  <c r="Y71" i="10"/>
  <c r="Z71" i="10" s="1"/>
  <c r="Y46" i="10"/>
  <c r="Z46" i="10" s="1"/>
  <c r="Y50" i="10"/>
  <c r="Z50" i="10" s="1"/>
  <c r="Y58" i="10"/>
  <c r="Z58" i="10" s="1"/>
  <c r="Y63" i="10"/>
  <c r="Z63" i="10" s="1"/>
  <c r="Y54" i="10"/>
  <c r="Z54" i="10" s="1"/>
  <c r="Y69" i="10"/>
  <c r="Z69" i="10" s="1"/>
  <c r="Y66" i="10"/>
  <c r="Z66" i="10" s="1"/>
  <c r="Y34" i="10"/>
  <c r="Z34" i="10" s="1"/>
  <c r="Y60" i="10"/>
  <c r="Z60" i="10" s="1"/>
  <c r="Y61" i="10"/>
  <c r="Z61" i="10" s="1"/>
  <c r="Y72" i="10"/>
  <c r="Z72" i="10" s="1"/>
  <c r="Y78" i="10"/>
  <c r="Z78" i="10" s="1"/>
  <c r="Y84" i="10"/>
  <c r="Z84" i="10" s="1"/>
  <c r="Y74" i="10"/>
  <c r="Z74" i="10" s="1"/>
  <c r="Y62" i="10"/>
  <c r="Z62" i="10" s="1"/>
  <c r="Y77" i="10"/>
  <c r="Z77" i="10" s="1"/>
  <c r="Y64" i="10"/>
  <c r="Z64" i="10" s="1"/>
  <c r="Y75" i="10"/>
  <c r="Z75" i="10" s="1"/>
  <c r="Y86" i="10"/>
  <c r="Z86" i="10" s="1"/>
  <c r="Y89" i="10"/>
  <c r="Z89" i="10" s="1"/>
  <c r="Y67" i="10"/>
  <c r="Z67" i="10" s="1"/>
  <c r="Y81" i="10"/>
  <c r="Z81" i="10" s="1"/>
  <c r="Y88" i="10"/>
  <c r="Z88" i="10" s="1"/>
  <c r="Y91" i="10"/>
  <c r="Z91" i="10" s="1"/>
  <c r="Y53" i="10"/>
  <c r="Z53" i="10" s="1"/>
  <c r="Y76" i="10"/>
  <c r="Z76" i="10" s="1"/>
  <c r="Y90" i="10"/>
  <c r="Z90" i="10" s="1"/>
  <c r="Y56" i="10"/>
  <c r="Z56" i="10" s="1"/>
  <c r="Y80" i="10"/>
  <c r="Z80" i="10" s="1"/>
  <c r="Y87" i="10"/>
  <c r="Z87" i="10" s="1"/>
  <c r="Y68" i="10"/>
  <c r="Z68" i="10" s="1"/>
  <c r="Y85" i="10"/>
  <c r="Z85" i="10" s="1"/>
  <c r="Y70" i="10"/>
  <c r="Z70" i="10" s="1"/>
  <c r="Y79" i="10"/>
  <c r="Z79" i="10" s="1"/>
  <c r="Y83" i="10"/>
  <c r="Z83" i="10" s="1"/>
  <c r="Y92" i="10"/>
  <c r="Z92" i="10" s="1"/>
  <c r="Y73" i="10"/>
  <c r="Z73" i="10" s="1"/>
  <c r="Y82" i="10"/>
  <c r="Z82" i="10" s="1"/>
  <c r="Y57" i="10"/>
  <c r="Z57" i="10" s="1"/>
  <c r="Y93" i="10"/>
  <c r="Z93" i="10" s="1"/>
  <c r="AG16" i="10"/>
  <c r="AH16" i="10" s="1"/>
  <c r="AG18" i="10"/>
  <c r="AH18" i="10" s="1"/>
  <c r="AG19" i="10"/>
  <c r="AH19" i="10" s="1"/>
  <c r="AG15" i="10"/>
  <c r="AH15" i="10" s="1"/>
  <c r="AG22" i="10"/>
  <c r="AH22" i="10" s="1"/>
  <c r="AG25" i="10"/>
  <c r="AH25" i="10" s="1"/>
  <c r="AG34" i="10"/>
  <c r="AH34" i="10" s="1"/>
  <c r="AG17" i="10"/>
  <c r="AH17" i="10" s="1"/>
  <c r="AG26" i="10"/>
  <c r="AH26" i="10" s="1"/>
  <c r="AG13" i="10"/>
  <c r="AH13" i="10" s="1"/>
  <c r="AG29" i="10"/>
  <c r="AH29" i="10" s="1"/>
  <c r="AG30" i="10"/>
  <c r="AH30" i="10" s="1"/>
  <c r="AG31" i="10"/>
  <c r="AH31" i="10" s="1"/>
  <c r="AG35" i="10"/>
  <c r="AH35" i="10" s="1"/>
  <c r="AG38" i="10"/>
  <c r="AH38" i="10" s="1"/>
  <c r="AG23" i="10"/>
  <c r="AH23" i="10" s="1"/>
  <c r="AG14" i="10"/>
  <c r="AH14" i="10" s="1"/>
  <c r="AG20" i="10"/>
  <c r="AH20" i="10" s="1"/>
  <c r="AG21" i="10"/>
  <c r="AH21" i="10" s="1"/>
  <c r="AG27" i="10"/>
  <c r="AH27" i="10" s="1"/>
  <c r="AG36" i="10"/>
  <c r="AH36" i="10" s="1"/>
  <c r="AG24" i="10"/>
  <c r="AH24" i="10" s="1"/>
  <c r="AG46" i="10"/>
  <c r="AH46" i="10" s="1"/>
  <c r="AG28" i="10"/>
  <c r="AH28" i="10" s="1"/>
  <c r="AG37" i="10"/>
  <c r="AH37" i="10" s="1"/>
  <c r="AG48" i="10"/>
  <c r="AH48" i="10" s="1"/>
  <c r="AG50" i="10"/>
  <c r="AH50" i="10" s="1"/>
  <c r="AG45" i="10"/>
  <c r="AH45" i="10" s="1"/>
  <c r="AG57" i="10"/>
  <c r="AH57" i="10" s="1"/>
  <c r="AG39" i="10"/>
  <c r="AH39" i="10" s="1"/>
  <c r="AG42" i="10"/>
  <c r="AH42" i="10" s="1"/>
  <c r="AG52" i="10"/>
  <c r="AH52" i="10" s="1"/>
  <c r="AG58" i="10"/>
  <c r="AH58" i="10" s="1"/>
  <c r="AG63" i="10"/>
  <c r="AH63" i="10" s="1"/>
  <c r="AG69" i="10"/>
  <c r="AH69" i="10" s="1"/>
  <c r="AG49" i="10"/>
  <c r="AH49" i="10" s="1"/>
  <c r="AG51" i="10"/>
  <c r="AH51" i="10" s="1"/>
  <c r="AG60" i="10"/>
  <c r="AH60" i="10" s="1"/>
  <c r="AG61" i="10"/>
  <c r="AH61" i="10" s="1"/>
  <c r="AG32" i="10"/>
  <c r="AH32" i="10" s="1"/>
  <c r="AG55" i="10"/>
  <c r="AH55" i="10" s="1"/>
  <c r="AG56" i="10"/>
  <c r="AH56" i="10" s="1"/>
  <c r="AG64" i="10"/>
  <c r="AH64" i="10" s="1"/>
  <c r="AG67" i="10"/>
  <c r="AH67" i="10" s="1"/>
  <c r="AG44" i="10"/>
  <c r="AH44" i="10" s="1"/>
  <c r="AG53" i="10"/>
  <c r="AH53" i="10" s="1"/>
  <c r="AG33" i="10"/>
  <c r="AH33" i="10" s="1"/>
  <c r="AG65" i="10"/>
  <c r="AH65" i="10" s="1"/>
  <c r="AG76" i="10"/>
  <c r="AH76" i="10" s="1"/>
  <c r="AG82" i="10"/>
  <c r="AH82" i="10" s="1"/>
  <c r="AG78" i="10"/>
  <c r="AH78" i="10" s="1"/>
  <c r="AG81" i="10"/>
  <c r="AH81" i="10" s="1"/>
  <c r="AG43" i="10"/>
  <c r="AH43" i="10" s="1"/>
  <c r="AG59" i="10"/>
  <c r="AH59" i="10" s="1"/>
  <c r="AG87" i="10"/>
  <c r="AH87" i="10" s="1"/>
  <c r="AG62" i="10"/>
  <c r="AH62" i="10" s="1"/>
  <c r="AG79" i="10"/>
  <c r="AH79" i="10" s="1"/>
  <c r="AG66" i="10"/>
  <c r="AH66" i="10" s="1"/>
  <c r="AG92" i="10"/>
  <c r="AH92" i="10" s="1"/>
  <c r="AG47" i="10"/>
  <c r="AH47" i="10" s="1"/>
  <c r="AG70" i="10"/>
  <c r="AH70" i="10" s="1"/>
  <c r="AG77" i="10"/>
  <c r="AH77" i="10" s="1"/>
  <c r="AG40" i="10"/>
  <c r="AH40" i="10" s="1"/>
  <c r="AG73" i="10"/>
  <c r="AH73" i="10" s="1"/>
  <c r="AG83" i="10"/>
  <c r="AH83" i="10" s="1"/>
  <c r="AG88" i="10"/>
  <c r="AH88" i="10" s="1"/>
  <c r="AG93" i="10"/>
  <c r="AH93" i="10" s="1"/>
  <c r="AG71" i="10"/>
  <c r="AH71" i="10" s="1"/>
  <c r="AG54" i="10"/>
  <c r="AH54" i="10" s="1"/>
  <c r="AG72" i="10"/>
  <c r="AH72" i="10" s="1"/>
  <c r="AG74" i="10"/>
  <c r="AH74" i="10" s="1"/>
  <c r="AG75" i="10"/>
  <c r="AH75" i="10" s="1"/>
  <c r="AG91" i="10"/>
  <c r="AH91" i="10" s="1"/>
  <c r="AG80" i="10"/>
  <c r="AH80" i="10" s="1"/>
  <c r="AG86" i="10"/>
  <c r="AH86" i="10" s="1"/>
  <c r="AG85" i="10"/>
  <c r="AH85" i="10" s="1"/>
  <c r="AG89" i="10"/>
  <c r="AH89" i="10" s="1"/>
  <c r="AG90" i="10"/>
  <c r="AH90" i="10" s="1"/>
  <c r="AG41" i="10"/>
  <c r="AH41" i="10" s="1"/>
  <c r="AG68" i="10"/>
  <c r="AH68" i="10" s="1"/>
  <c r="AG84" i="10"/>
  <c r="AH84" i="10" s="1"/>
  <c r="AK18" i="10"/>
  <c r="AL18" i="10" s="1"/>
  <c r="AK13" i="10"/>
  <c r="AL13" i="10" s="1"/>
  <c r="AK14" i="10"/>
  <c r="AL14" i="10" s="1"/>
  <c r="AK19" i="10"/>
  <c r="AL19" i="10" s="1"/>
  <c r="AK15" i="10"/>
  <c r="AL15" i="10" s="1"/>
  <c r="AK24" i="10"/>
  <c r="AL24" i="10" s="1"/>
  <c r="AK30" i="10"/>
  <c r="AL30" i="10" s="1"/>
  <c r="AK36" i="10"/>
  <c r="AL36" i="10" s="1"/>
  <c r="AK27" i="10"/>
  <c r="AL27" i="10" s="1"/>
  <c r="AK16" i="10"/>
  <c r="AL16" i="10" s="1"/>
  <c r="AK26" i="10"/>
  <c r="AL26" i="10" s="1"/>
  <c r="AK37" i="10"/>
  <c r="AL37" i="10" s="1"/>
  <c r="AK31" i="10"/>
  <c r="AL31" i="10" s="1"/>
  <c r="AK35" i="10"/>
  <c r="AL35" i="10" s="1"/>
  <c r="AK22" i="10"/>
  <c r="AL22" i="10" s="1"/>
  <c r="AK32" i="10"/>
  <c r="AL32" i="10" s="1"/>
  <c r="AK46" i="10"/>
  <c r="AL46" i="10" s="1"/>
  <c r="AK49" i="10"/>
  <c r="AL49" i="10" s="1"/>
  <c r="AK51" i="10"/>
  <c r="AL51" i="10" s="1"/>
  <c r="AK25" i="10"/>
  <c r="AL25" i="10" s="1"/>
  <c r="AK21" i="10"/>
  <c r="AL21" i="10" s="1"/>
  <c r="AK28" i="10"/>
  <c r="AL28" i="10" s="1"/>
  <c r="AK29" i="10"/>
  <c r="AL29" i="10" s="1"/>
  <c r="AK45" i="10"/>
  <c r="AL45" i="10" s="1"/>
  <c r="AK33" i="10"/>
  <c r="AL33" i="10" s="1"/>
  <c r="AK17" i="10"/>
  <c r="AL17" i="10" s="1"/>
  <c r="AK20" i="10"/>
  <c r="AL20" i="10" s="1"/>
  <c r="AK47" i="10"/>
  <c r="AL47" i="10" s="1"/>
  <c r="AK53" i="10"/>
  <c r="AL53" i="10" s="1"/>
  <c r="AK55" i="10"/>
  <c r="AL55" i="10" s="1"/>
  <c r="AK50" i="10"/>
  <c r="AL50" i="10" s="1"/>
  <c r="AK65" i="10"/>
  <c r="AL65" i="10" s="1"/>
  <c r="AK71" i="10"/>
  <c r="AL71" i="10" s="1"/>
  <c r="AK34" i="10"/>
  <c r="AL34" i="10" s="1"/>
  <c r="AK39" i="10"/>
  <c r="AL39" i="10" s="1"/>
  <c r="AK42" i="10"/>
  <c r="AL42" i="10" s="1"/>
  <c r="AK52" i="10"/>
  <c r="AL52" i="10" s="1"/>
  <c r="AK57" i="10"/>
  <c r="AL57" i="10" s="1"/>
  <c r="AK41" i="10"/>
  <c r="AL41" i="10" s="1"/>
  <c r="AK66" i="10"/>
  <c r="AL66" i="10" s="1"/>
  <c r="AK23" i="10"/>
  <c r="AL23" i="10" s="1"/>
  <c r="AK43" i="10"/>
  <c r="AL43" i="10" s="1"/>
  <c r="AK60" i="10"/>
  <c r="AL60" i="10" s="1"/>
  <c r="AK64" i="10"/>
  <c r="AL64" i="10" s="1"/>
  <c r="AK72" i="10"/>
  <c r="AL72" i="10" s="1"/>
  <c r="AK78" i="10"/>
  <c r="AL78" i="10" s="1"/>
  <c r="AK84" i="10"/>
  <c r="AL84" i="10" s="1"/>
  <c r="AK44" i="10"/>
  <c r="AL44" i="10" s="1"/>
  <c r="AK40" i="10"/>
  <c r="AL40" i="10" s="1"/>
  <c r="AK63" i="10"/>
  <c r="AL63" i="10" s="1"/>
  <c r="AK77" i="10"/>
  <c r="AL77" i="10" s="1"/>
  <c r="AK70" i="10"/>
  <c r="AL70" i="10" s="1"/>
  <c r="AK80" i="10"/>
  <c r="AL80" i="10" s="1"/>
  <c r="AK61" i="10"/>
  <c r="AL61" i="10" s="1"/>
  <c r="AK69" i="10"/>
  <c r="AL69" i="10" s="1"/>
  <c r="AK38" i="10"/>
  <c r="AL38" i="10" s="1"/>
  <c r="AK81" i="10"/>
  <c r="AL81" i="10" s="1"/>
  <c r="AK59" i="10"/>
  <c r="AL59" i="10" s="1"/>
  <c r="AK76" i="10"/>
  <c r="AL76" i="10" s="1"/>
  <c r="AK88" i="10"/>
  <c r="AL88" i="10" s="1"/>
  <c r="AK68" i="10"/>
  <c r="AL68" i="10" s="1"/>
  <c r="AK87" i="10"/>
  <c r="AL87" i="10" s="1"/>
  <c r="AK85" i="10"/>
  <c r="AL85" i="10" s="1"/>
  <c r="AK90" i="10"/>
  <c r="AL90" i="10" s="1"/>
  <c r="AK89" i="10"/>
  <c r="AL89" i="10" s="1"/>
  <c r="AK86" i="10"/>
  <c r="AL86" i="10" s="1"/>
  <c r="AK82" i="10"/>
  <c r="AL82" i="10" s="1"/>
  <c r="AK73" i="10"/>
  <c r="AL73" i="10" s="1"/>
  <c r="AK79" i="10"/>
  <c r="AL79" i="10" s="1"/>
  <c r="AK83" i="10"/>
  <c r="AL83" i="10" s="1"/>
  <c r="AK92" i="10"/>
  <c r="AL92" i="10" s="1"/>
  <c r="AK93" i="10"/>
  <c r="AL93" i="10" s="1"/>
  <c r="AK74" i="10"/>
  <c r="AL74" i="10" s="1"/>
  <c r="AK91" i="10"/>
  <c r="AL91" i="10" s="1"/>
  <c r="AK54" i="10"/>
  <c r="AL54" i="10" s="1"/>
  <c r="AK75" i="10"/>
  <c r="AL75" i="10" s="1"/>
  <c r="AK67" i="10"/>
  <c r="AL67" i="10" s="1"/>
  <c r="AK48" i="10"/>
  <c r="AL48" i="10" s="1"/>
  <c r="AK56" i="10"/>
  <c r="AL56" i="10" s="1"/>
  <c r="AK62" i="10"/>
  <c r="AL62" i="10" s="1"/>
  <c r="AK58" i="10"/>
  <c r="AL58" i="10" s="1"/>
  <c r="AC14" i="10"/>
  <c r="AD14" i="10" s="1"/>
  <c r="AC13" i="10"/>
  <c r="AD13" i="10" s="1"/>
  <c r="AC15" i="10"/>
  <c r="AD15" i="10" s="1"/>
  <c r="AC17" i="10"/>
  <c r="AD17" i="10" s="1"/>
  <c r="AC28" i="10"/>
  <c r="AD28" i="10" s="1"/>
  <c r="AC32" i="10"/>
  <c r="AD32" i="10" s="1"/>
  <c r="AC38" i="10"/>
  <c r="AD38" i="10" s="1"/>
  <c r="AC16" i="10"/>
  <c r="AD16" i="10" s="1"/>
  <c r="AC20" i="10"/>
  <c r="AD20" i="10" s="1"/>
  <c r="AC21" i="10"/>
  <c r="AD21" i="10" s="1"/>
  <c r="AC23" i="10"/>
  <c r="AD23" i="10" s="1"/>
  <c r="AC26" i="10"/>
  <c r="AD26" i="10" s="1"/>
  <c r="AC25" i="10"/>
  <c r="AD25" i="10" s="1"/>
  <c r="AC18" i="10"/>
  <c r="AD18" i="10" s="1"/>
  <c r="AC19" i="10"/>
  <c r="AD19" i="10" s="1"/>
  <c r="AC22" i="10"/>
  <c r="AD22" i="10" s="1"/>
  <c r="AC29" i="10"/>
  <c r="AD29" i="10" s="1"/>
  <c r="AC31" i="10"/>
  <c r="AD31" i="10" s="1"/>
  <c r="AC48" i="10"/>
  <c r="AD48" i="10" s="1"/>
  <c r="AC34" i="10"/>
  <c r="AD34" i="10" s="1"/>
  <c r="AC35" i="10"/>
  <c r="AD35" i="10" s="1"/>
  <c r="AC42" i="10"/>
  <c r="AD42" i="10" s="1"/>
  <c r="AC44" i="10"/>
  <c r="AD44" i="10" s="1"/>
  <c r="AC46" i="10"/>
  <c r="AD46" i="10" s="1"/>
  <c r="AC27" i="10"/>
  <c r="AD27" i="10" s="1"/>
  <c r="AC52" i="10"/>
  <c r="AD52" i="10" s="1"/>
  <c r="AC39" i="10"/>
  <c r="AD39" i="10" s="1"/>
  <c r="AC40" i="10"/>
  <c r="AD40" i="10" s="1"/>
  <c r="AC41" i="10"/>
  <c r="AD41" i="10" s="1"/>
  <c r="AC43" i="10"/>
  <c r="AD43" i="10" s="1"/>
  <c r="AC45" i="10"/>
  <c r="AD45" i="10" s="1"/>
  <c r="AC36" i="10"/>
  <c r="AD36" i="10" s="1"/>
  <c r="AC33" i="10"/>
  <c r="AD33" i="10" s="1"/>
  <c r="AC53" i="10"/>
  <c r="AD53" i="10" s="1"/>
  <c r="AC55" i="10"/>
  <c r="AD55" i="10" s="1"/>
  <c r="AC60" i="10"/>
  <c r="AD60" i="10" s="1"/>
  <c r="AC49" i="10"/>
  <c r="AD49" i="10" s="1"/>
  <c r="AC54" i="10"/>
  <c r="AD54" i="10" s="1"/>
  <c r="AC61" i="10"/>
  <c r="AD61" i="10" s="1"/>
  <c r="AC67" i="10"/>
  <c r="AD67" i="10" s="1"/>
  <c r="AC24" i="10"/>
  <c r="AD24" i="10" s="1"/>
  <c r="AC56" i="10"/>
  <c r="AD56" i="10" s="1"/>
  <c r="AC59" i="10"/>
  <c r="AD59" i="10" s="1"/>
  <c r="AC30" i="10"/>
  <c r="AD30" i="10" s="1"/>
  <c r="AC57" i="10"/>
  <c r="AD57" i="10" s="1"/>
  <c r="AC62" i="10"/>
  <c r="AD62" i="10" s="1"/>
  <c r="AC65" i="10"/>
  <c r="AD65" i="10" s="1"/>
  <c r="AC37" i="10"/>
  <c r="AD37" i="10" s="1"/>
  <c r="AC50" i="10"/>
  <c r="AD50" i="10" s="1"/>
  <c r="AC68" i="10"/>
  <c r="AD68" i="10" s="1"/>
  <c r="AC74" i="10"/>
  <c r="AD74" i="10" s="1"/>
  <c r="AC80" i="10"/>
  <c r="AD80" i="10" s="1"/>
  <c r="AC86" i="10"/>
  <c r="AD86" i="10" s="1"/>
  <c r="AC47" i="10"/>
  <c r="AD47" i="10" s="1"/>
  <c r="AC79" i="10"/>
  <c r="AD79" i="10" s="1"/>
  <c r="AC82" i="10"/>
  <c r="AD82" i="10" s="1"/>
  <c r="AC66" i="10"/>
  <c r="AD66" i="10" s="1"/>
  <c r="AC77" i="10"/>
  <c r="AD77" i="10" s="1"/>
  <c r="AC63" i="10"/>
  <c r="AD63" i="10" s="1"/>
  <c r="AC72" i="10"/>
  <c r="AD72" i="10" s="1"/>
  <c r="AC71" i="10"/>
  <c r="AD71" i="10" s="1"/>
  <c r="AC90" i="10"/>
  <c r="AD90" i="10" s="1"/>
  <c r="AC73" i="10"/>
  <c r="AD73" i="10" s="1"/>
  <c r="AC83" i="10"/>
  <c r="AD83" i="10" s="1"/>
  <c r="AC88" i="10"/>
  <c r="AD88" i="10" s="1"/>
  <c r="AC92" i="10"/>
  <c r="AD92" i="10" s="1"/>
  <c r="AC93" i="10"/>
  <c r="AD93" i="10" s="1"/>
  <c r="AC87" i="10"/>
  <c r="AD87" i="10" s="1"/>
  <c r="AC69" i="10"/>
  <c r="AD69" i="10" s="1"/>
  <c r="AC75" i="10"/>
  <c r="AD75" i="10" s="1"/>
  <c r="AC91" i="10"/>
  <c r="AD91" i="10" s="1"/>
  <c r="AC76" i="10"/>
  <c r="AD76" i="10" s="1"/>
  <c r="AC58" i="10"/>
  <c r="AD58" i="10" s="1"/>
  <c r="AC84" i="10"/>
  <c r="AD84" i="10" s="1"/>
  <c r="AC89" i="10"/>
  <c r="AD89" i="10" s="1"/>
  <c r="AC85" i="10"/>
  <c r="AD85" i="10" s="1"/>
  <c r="AC70" i="10"/>
  <c r="AD70" i="10" s="1"/>
  <c r="AC78" i="10"/>
  <c r="AD78" i="10" s="1"/>
  <c r="AC51" i="10"/>
  <c r="AD51" i="10" s="1"/>
  <c r="AC81" i="10"/>
  <c r="AD81" i="10" s="1"/>
  <c r="AC64" i="10"/>
  <c r="AD64" i="10" s="1"/>
  <c r="D41" i="8"/>
  <c r="E41" i="8" s="1"/>
  <c r="AK12" i="10"/>
  <c r="AL12" i="10" s="1"/>
  <c r="AM9" i="10"/>
  <c r="AI9" i="10"/>
  <c r="D31" i="8"/>
  <c r="E31" i="8" s="1"/>
  <c r="Y12" i="10"/>
  <c r="Z12" i="10" s="1"/>
  <c r="D40" i="8"/>
  <c r="E40" i="8" s="1"/>
  <c r="AG12" i="10"/>
  <c r="AH12" i="10" s="1"/>
  <c r="D18" i="15"/>
  <c r="AP9" i="10"/>
  <c r="AN9" i="10"/>
  <c r="AN7" i="10" s="1"/>
  <c r="D32" i="8" s="1"/>
  <c r="E32" i="8" s="1"/>
  <c r="D39" i="8"/>
  <c r="E39" i="8" s="1"/>
  <c r="D19" i="15"/>
  <c r="AC12" i="10"/>
  <c r="AD12" i="10" s="1"/>
  <c r="S12" i="10"/>
  <c r="U34" i="10" s="1" a="1"/>
  <c r="U34" i="10" s="1"/>
  <c r="R9" i="10"/>
  <c r="E17" i="15" s="1"/>
  <c r="AT12" i="10"/>
  <c r="AU12" i="10"/>
  <c r="AV12" i="10" s="1"/>
  <c r="AR12" i="10"/>
  <c r="U75" i="10" l="1" a="1"/>
  <c r="U75" i="10" s="1"/>
  <c r="F75" i="10" s="1"/>
  <c r="U17" i="10" a="1"/>
  <c r="U17" i="10" s="1"/>
  <c r="F17" i="10" s="1"/>
  <c r="U20" i="10" a="1"/>
  <c r="U20" i="10" s="1"/>
  <c r="F20" i="10" s="1"/>
  <c r="U80" i="10" a="1"/>
  <c r="U80" i="10" s="1"/>
  <c r="F80" i="10" s="1"/>
  <c r="U79" i="10" a="1"/>
  <c r="U79" i="10" s="1"/>
  <c r="F79" i="10" s="1"/>
  <c r="U83" i="10" a="1"/>
  <c r="U83" i="10" s="1"/>
  <c r="F83" i="10" s="1"/>
  <c r="CI13" i="10"/>
  <c r="CH13" i="10"/>
  <c r="BS13" i="10"/>
  <c r="BR13" i="10"/>
  <c r="U89" i="10" a="1"/>
  <c r="U89" i="10" s="1"/>
  <c r="F89" i="10" s="1"/>
  <c r="CL14" i="10"/>
  <c r="CM14" i="10"/>
  <c r="U45" i="10" a="1"/>
  <c r="U45" i="10" s="1"/>
  <c r="F45" i="10" s="1"/>
  <c r="CD16" i="10"/>
  <c r="CE16" i="10"/>
  <c r="BC16" i="10"/>
  <c r="BG16" i="10" s="1"/>
  <c r="BK16" i="10" s="1"/>
  <c r="BO16" i="10" s="1"/>
  <c r="AZ16" i="10"/>
  <c r="AZ17" i="10"/>
  <c r="BC17" i="10"/>
  <c r="BG17" i="10" s="1"/>
  <c r="BK17" i="10" s="1"/>
  <c r="BO17" i="10" s="1"/>
  <c r="CD17" i="10"/>
  <c r="CE17" i="10"/>
  <c r="T47" i="10"/>
  <c r="V47" i="10" s="1"/>
  <c r="T81" i="10"/>
  <c r="V81" i="10" s="1"/>
  <c r="T22" i="10"/>
  <c r="V22" i="10" s="1"/>
  <c r="T35" i="10"/>
  <c r="V35" i="10" s="1"/>
  <c r="T49" i="10"/>
  <c r="V49" i="10" s="1"/>
  <c r="T93" i="10"/>
  <c r="V93" i="10" s="1"/>
  <c r="T30" i="10"/>
  <c r="V30" i="10" s="1"/>
  <c r="T23" i="10"/>
  <c r="V23" i="10" s="1"/>
  <c r="T75" i="10"/>
  <c r="V75" i="10" s="1"/>
  <c r="T38" i="10"/>
  <c r="V38" i="10" s="1"/>
  <c r="T32" i="10"/>
  <c r="V32" i="10" s="1"/>
  <c r="T15" i="10"/>
  <c r="V15" i="10" s="1"/>
  <c r="T50" i="10"/>
  <c r="V50" i="10" s="1"/>
  <c r="T88" i="10"/>
  <c r="V88" i="10" s="1"/>
  <c r="T40" i="10"/>
  <c r="V40" i="10" s="1"/>
  <c r="T29" i="10"/>
  <c r="V29" i="10" s="1"/>
  <c r="T26" i="10"/>
  <c r="V26" i="10" s="1"/>
  <c r="T60" i="10"/>
  <c r="V60" i="10" s="1"/>
  <c r="T41" i="10"/>
  <c r="V41" i="10" s="1"/>
  <c r="T46" i="10"/>
  <c r="V46" i="10" s="1"/>
  <c r="T79" i="10"/>
  <c r="V79" i="10" s="1"/>
  <c r="T92" i="10"/>
  <c r="V92" i="10" s="1"/>
  <c r="T27" i="10"/>
  <c r="V27" i="10" s="1"/>
  <c r="T31" i="10"/>
  <c r="V31" i="10" s="1"/>
  <c r="T64" i="10"/>
  <c r="V64" i="10" s="1"/>
  <c r="T37" i="10"/>
  <c r="V37" i="10" s="1"/>
  <c r="T62" i="10"/>
  <c r="V62" i="10" s="1"/>
  <c r="T28" i="10"/>
  <c r="V28" i="10" s="1"/>
  <c r="T19" i="10"/>
  <c r="V19" i="10" s="1"/>
  <c r="T82" i="10"/>
  <c r="V82" i="10" s="1"/>
  <c r="T71" i="10"/>
  <c r="V71" i="10" s="1"/>
  <c r="T18" i="10"/>
  <c r="V18" i="10" s="1"/>
  <c r="T53" i="10"/>
  <c r="V53" i="10" s="1"/>
  <c r="T16" i="10"/>
  <c r="V16" i="10" s="1"/>
  <c r="T48" i="10"/>
  <c r="V48" i="10" s="1"/>
  <c r="T59" i="10"/>
  <c r="V59" i="10" s="1"/>
  <c r="T34" i="10"/>
  <c r="V34" i="10" s="1"/>
  <c r="T36" i="10"/>
  <c r="V36" i="10" s="1"/>
  <c r="T83" i="10"/>
  <c r="V83" i="10" s="1"/>
  <c r="T74" i="10"/>
  <c r="V74" i="10" s="1"/>
  <c r="T78" i="10"/>
  <c r="V78" i="10" s="1"/>
  <c r="T44" i="10"/>
  <c r="V44" i="10" s="1"/>
  <c r="T17" i="10"/>
  <c r="V17" i="10" s="1"/>
  <c r="T21" i="10"/>
  <c r="V21" i="10" s="1"/>
  <c r="T55" i="10"/>
  <c r="V55" i="10" s="1"/>
  <c r="T61" i="10"/>
  <c r="V61" i="10" s="1"/>
  <c r="T52" i="10"/>
  <c r="V52" i="10" s="1"/>
  <c r="T20" i="10"/>
  <c r="V20" i="10" s="1"/>
  <c r="T89" i="10"/>
  <c r="V89" i="10" s="1"/>
  <c r="T14" i="10"/>
  <c r="V14" i="10" s="1"/>
  <c r="T90" i="10"/>
  <c r="V90" i="10" s="1"/>
  <c r="T43" i="10"/>
  <c r="V43" i="10" s="1"/>
  <c r="T42" i="10"/>
  <c r="V42" i="10" s="1"/>
  <c r="T73" i="10"/>
  <c r="V73" i="10" s="1"/>
  <c r="T54" i="10"/>
  <c r="V54" i="10" s="1"/>
  <c r="T85" i="10"/>
  <c r="V85" i="10" s="1"/>
  <c r="T80" i="10"/>
  <c r="V80" i="10" s="1"/>
  <c r="T39" i="10"/>
  <c r="V39" i="10" s="1"/>
  <c r="T86" i="10"/>
  <c r="V86" i="10" s="1"/>
  <c r="T65" i="10"/>
  <c r="V65" i="10" s="1"/>
  <c r="T45" i="10"/>
  <c r="V45" i="10" s="1"/>
  <c r="T91" i="10"/>
  <c r="V91" i="10" s="1"/>
  <c r="T58" i="10"/>
  <c r="V58" i="10" s="1"/>
  <c r="T51" i="10"/>
  <c r="V51" i="10" s="1"/>
  <c r="T57" i="10"/>
  <c r="V57" i="10" s="1"/>
  <c r="T63" i="10"/>
  <c r="V63" i="10" s="1"/>
  <c r="T87" i="10"/>
  <c r="V87" i="10" s="1"/>
  <c r="T84" i="10"/>
  <c r="V84" i="10" s="1"/>
  <c r="T70" i="10"/>
  <c r="V70" i="10" s="1"/>
  <c r="T72" i="10"/>
  <c r="V72" i="10" s="1"/>
  <c r="T24" i="10"/>
  <c r="V24" i="10" s="1"/>
  <c r="T13" i="10"/>
  <c r="V13" i="10" s="1"/>
  <c r="T56" i="10"/>
  <c r="V56" i="10" s="1"/>
  <c r="T69" i="10"/>
  <c r="V69" i="10" s="1"/>
  <c r="T77" i="10"/>
  <c r="V77" i="10" s="1"/>
  <c r="T76" i="10"/>
  <c r="V76" i="10" s="1"/>
  <c r="T66" i="10"/>
  <c r="V66" i="10" s="1"/>
  <c r="T68" i="10"/>
  <c r="V68" i="10" s="1"/>
  <c r="T67" i="10"/>
  <c r="V67" i="10" s="1"/>
  <c r="T33" i="10"/>
  <c r="V33" i="10" s="1"/>
  <c r="T25" i="10"/>
  <c r="V25" i="10" s="1"/>
  <c r="U28" i="10" a="1"/>
  <c r="U28" i="10" s="1"/>
  <c r="F28" i="10" s="1"/>
  <c r="U35" i="10" a="1"/>
  <c r="U35" i="10" s="1"/>
  <c r="F35" i="10" s="1"/>
  <c r="U31" i="10" a="1"/>
  <c r="U31" i="10" s="1"/>
  <c r="F31" i="10" s="1"/>
  <c r="U23" i="10" a="1"/>
  <c r="U23" i="10" s="1"/>
  <c r="F23" i="10" s="1"/>
  <c r="U60" i="10" a="1"/>
  <c r="U60" i="10" s="1"/>
  <c r="F60" i="10" s="1"/>
  <c r="U49" i="10" a="1"/>
  <c r="U49" i="10" s="1"/>
  <c r="F49" i="10" s="1"/>
  <c r="U88" i="10" a="1"/>
  <c r="U88" i="10" s="1"/>
  <c r="F88" i="10" s="1"/>
  <c r="U46" i="10" a="1"/>
  <c r="U46" i="10" s="1"/>
  <c r="F46" i="10" s="1"/>
  <c r="U57" i="10" a="1"/>
  <c r="U57" i="10" s="1"/>
  <c r="F57" i="10" s="1"/>
  <c r="U50" i="10" a="1"/>
  <c r="U50" i="10" s="1"/>
  <c r="F50" i="10" s="1"/>
  <c r="U52" i="10" a="1"/>
  <c r="U52" i="10" s="1"/>
  <c r="F52" i="10" s="1"/>
  <c r="U64" i="10" a="1"/>
  <c r="U64" i="10" s="1"/>
  <c r="F64" i="10" s="1"/>
  <c r="U78" i="10" a="1"/>
  <c r="U78" i="10" s="1"/>
  <c r="F78" i="10" s="1"/>
  <c r="U91" i="10" a="1"/>
  <c r="U91" i="10" s="1"/>
  <c r="F91" i="10" s="1"/>
  <c r="U38" i="10" a="1"/>
  <c r="U38" i="10" s="1"/>
  <c r="F38" i="10" s="1"/>
  <c r="U77" i="10" a="1"/>
  <c r="U77" i="10" s="1"/>
  <c r="F77" i="10" s="1"/>
  <c r="U22" i="10" a="1"/>
  <c r="U22" i="10" s="1"/>
  <c r="F22" i="10" s="1"/>
  <c r="U42" i="10" a="1"/>
  <c r="U42" i="10" s="1"/>
  <c r="F42" i="10" s="1"/>
  <c r="U90" i="10" a="1"/>
  <c r="U90" i="10" s="1"/>
  <c r="F90" i="10" s="1"/>
  <c r="U14" i="10" a="1"/>
  <c r="U14" i="10" s="1"/>
  <c r="F14" i="10" s="1"/>
  <c r="U58" i="10" a="1"/>
  <c r="U58" i="10" s="1"/>
  <c r="F58" i="10" s="1"/>
  <c r="U81" i="10" a="1"/>
  <c r="U81" i="10" s="1"/>
  <c r="F81" i="10" s="1"/>
  <c r="U70" i="10" a="1"/>
  <c r="U70" i="10" s="1"/>
  <c r="F70" i="10" s="1"/>
  <c r="U19" i="10" a="1"/>
  <c r="U19" i="10" s="1"/>
  <c r="F19" i="10" s="1"/>
  <c r="U13" i="10" a="1"/>
  <c r="U13" i="10" s="1"/>
  <c r="F13" i="10" s="1"/>
  <c r="U51" i="10" a="1"/>
  <c r="U51" i="10" s="1"/>
  <c r="F51" i="10" s="1"/>
  <c r="U15" i="10" a="1"/>
  <c r="U15" i="10" s="1"/>
  <c r="F15" i="10" s="1"/>
  <c r="U48" i="10" a="1"/>
  <c r="U48" i="10" s="1"/>
  <c r="F48" i="10" s="1"/>
  <c r="U73" i="10" a="1"/>
  <c r="U73" i="10" s="1"/>
  <c r="F73" i="10" s="1"/>
  <c r="U21" i="10" a="1"/>
  <c r="U21" i="10" s="1"/>
  <c r="F21" i="10" s="1"/>
  <c r="U33" i="10" a="1"/>
  <c r="U33" i="10" s="1"/>
  <c r="F33" i="10" s="1"/>
  <c r="U41" i="10" a="1"/>
  <c r="U41" i="10" s="1"/>
  <c r="F41" i="10" s="1"/>
  <c r="U87" i="10" a="1"/>
  <c r="U87" i="10" s="1"/>
  <c r="F87" i="10" s="1"/>
  <c r="U67" i="10" a="1"/>
  <c r="U67" i="10" s="1"/>
  <c r="F67" i="10" s="1"/>
  <c r="U36" i="10" a="1"/>
  <c r="U36" i="10" s="1"/>
  <c r="F36" i="10" s="1"/>
  <c r="U55" i="10" a="1"/>
  <c r="U55" i="10" s="1"/>
  <c r="F55" i="10" s="1"/>
  <c r="U25" i="10" a="1"/>
  <c r="U25" i="10" s="1"/>
  <c r="F25" i="10" s="1"/>
  <c r="U85" i="10" a="1"/>
  <c r="U85" i="10" s="1"/>
  <c r="F85" i="10" s="1"/>
  <c r="U74" i="10" a="1"/>
  <c r="U74" i="10" s="1"/>
  <c r="F74" i="10" s="1"/>
  <c r="U26" i="10" a="1"/>
  <c r="U26" i="10" s="1"/>
  <c r="F26" i="10" s="1"/>
  <c r="U53" i="10" a="1"/>
  <c r="U53" i="10" s="1"/>
  <c r="F53" i="10" s="1"/>
  <c r="U37" i="10" a="1"/>
  <c r="U37" i="10" s="1"/>
  <c r="F37" i="10" s="1"/>
  <c r="U16" i="10" a="1"/>
  <c r="U16" i="10" s="1"/>
  <c r="F16" i="10" s="1"/>
  <c r="U29" i="10" a="1"/>
  <c r="U29" i="10" s="1"/>
  <c r="F29" i="10" s="1"/>
  <c r="U59" i="10" a="1"/>
  <c r="U59" i="10" s="1"/>
  <c r="F59" i="10" s="1"/>
  <c r="U66" i="10" a="1"/>
  <c r="U66" i="10" s="1"/>
  <c r="F66" i="10" s="1"/>
  <c r="U84" i="10" a="1"/>
  <c r="U84" i="10" s="1"/>
  <c r="F84" i="10" s="1"/>
  <c r="U69" i="10" a="1"/>
  <c r="U69" i="10" s="1"/>
  <c r="F69" i="10" s="1"/>
  <c r="U18" i="10" a="1"/>
  <c r="U18" i="10" s="1"/>
  <c r="F18" i="10" s="1"/>
  <c r="U93" i="10" a="1"/>
  <c r="U93" i="10" s="1"/>
  <c r="F93" i="10" s="1"/>
  <c r="U24" i="10" a="1"/>
  <c r="U24" i="10" s="1"/>
  <c r="F24" i="10" s="1"/>
  <c r="U43" i="10" a="1"/>
  <c r="U43" i="10" s="1"/>
  <c r="F43" i="10" s="1"/>
  <c r="U39" i="10" a="1"/>
  <c r="U39" i="10" s="1"/>
  <c r="F39" i="10" s="1"/>
  <c r="U40" i="10" a="1"/>
  <c r="U40" i="10" s="1"/>
  <c r="F40" i="10" s="1"/>
  <c r="U86" i="10" a="1"/>
  <c r="U86" i="10" s="1"/>
  <c r="F86" i="10" s="1"/>
  <c r="U76" i="10" a="1"/>
  <c r="U76" i="10" s="1"/>
  <c r="F76" i="10" s="1"/>
  <c r="U32" i="10" a="1"/>
  <c r="U32" i="10" s="1"/>
  <c r="F32" i="10" s="1"/>
  <c r="U82" i="10" a="1"/>
  <c r="U82" i="10" s="1"/>
  <c r="F82" i="10" s="1"/>
  <c r="U54" i="10" a="1"/>
  <c r="U54" i="10" s="1"/>
  <c r="F54" i="10" s="1"/>
  <c r="U71" i="10" a="1"/>
  <c r="U71" i="10" s="1"/>
  <c r="F71" i="10" s="1"/>
  <c r="U62" i="10" a="1"/>
  <c r="U62" i="10" s="1"/>
  <c r="F62" i="10" s="1"/>
  <c r="U92" i="10" a="1"/>
  <c r="U92" i="10" s="1"/>
  <c r="F92" i="10" s="1"/>
  <c r="U61" i="10" a="1"/>
  <c r="U61" i="10" s="1"/>
  <c r="F61" i="10" s="1"/>
  <c r="U68" i="10" a="1"/>
  <c r="U68" i="10" s="1"/>
  <c r="F68" i="10" s="1"/>
  <c r="U63" i="10" a="1"/>
  <c r="U63" i="10" s="1"/>
  <c r="F63" i="10" s="1"/>
  <c r="U30" i="10" a="1"/>
  <c r="U30" i="10" s="1"/>
  <c r="F30" i="10" s="1"/>
  <c r="U44" i="10" a="1"/>
  <c r="U44" i="10" s="1"/>
  <c r="F44" i="10" s="1"/>
  <c r="U56" i="10" a="1"/>
  <c r="U56" i="10" s="1"/>
  <c r="F56" i="10" s="1"/>
  <c r="U27" i="10" a="1"/>
  <c r="U27" i="10" s="1"/>
  <c r="F27" i="10" s="1"/>
  <c r="U65" i="10" a="1"/>
  <c r="U65" i="10" s="1"/>
  <c r="F65" i="10" s="1"/>
  <c r="U47" i="10" a="1"/>
  <c r="U47" i="10" s="1"/>
  <c r="F47" i="10" s="1"/>
  <c r="CA15" i="10"/>
  <c r="AY15" i="10"/>
  <c r="U72" i="10" a="1"/>
  <c r="U72" i="10" s="1"/>
  <c r="F72" i="10" s="1"/>
  <c r="AK9" i="10"/>
  <c r="AQ9" i="10"/>
  <c r="AL9" i="10"/>
  <c r="AH9" i="10"/>
  <c r="AG9" i="10"/>
  <c r="AT9" i="10"/>
  <c r="AU9" i="10"/>
  <c r="Z9" i="10"/>
  <c r="Y9" i="10"/>
  <c r="E18" i="15" s="1"/>
  <c r="S9" i="10"/>
  <c r="U12" i="10" a="1"/>
  <c r="U12" i="10" s="1"/>
  <c r="F12" i="10" s="1"/>
  <c r="T12" i="10"/>
  <c r="V12" i="10" s="1"/>
  <c r="AD9" i="10"/>
  <c r="AC9" i="10"/>
  <c r="E19" i="15" s="1"/>
  <c r="F34" i="10"/>
  <c r="AR9" i="10"/>
  <c r="AR7" i="10" s="1"/>
  <c r="D33" i="8" s="1"/>
  <c r="E33" i="8" s="1"/>
  <c r="D20" i="15"/>
  <c r="AY12" i="10"/>
  <c r="CA12" i="10"/>
  <c r="BS16" i="10" l="1"/>
  <c r="BR16" i="10"/>
  <c r="CI16" i="10"/>
  <c r="CH16" i="10"/>
  <c r="CP14" i="10"/>
  <c r="CQ14" i="10"/>
  <c r="CI17" i="10"/>
  <c r="CH17" i="10"/>
  <c r="BC15" i="10"/>
  <c r="BG15" i="10" s="1"/>
  <c r="BK15" i="10" s="1"/>
  <c r="BO15" i="10" s="1"/>
  <c r="AZ15" i="10"/>
  <c r="BW13" i="10"/>
  <c r="BZ13" i="10" s="1"/>
  <c r="BV13" i="10"/>
  <c r="BS17" i="10"/>
  <c r="BR17" i="10"/>
  <c r="CE15" i="10"/>
  <c r="CD15" i="10"/>
  <c r="CL13" i="10"/>
  <c r="CM13" i="10"/>
  <c r="AV9" i="10"/>
  <c r="AV7" i="10" s="1"/>
  <c r="CA9" i="10"/>
  <c r="V9" i="10"/>
  <c r="T9" i="10"/>
  <c r="D50" i="8"/>
  <c r="C51" i="8"/>
  <c r="D51" i="8"/>
  <c r="B52" i="8"/>
  <c r="D52" i="8"/>
  <c r="B53" i="8"/>
  <c r="C52" i="8"/>
  <c r="C53" i="8"/>
  <c r="B51" i="8"/>
  <c r="C50" i="8"/>
  <c r="B50" i="8"/>
  <c r="D53" i="8"/>
  <c r="D21" i="15"/>
  <c r="CE12" i="10"/>
  <c r="CD12" i="10"/>
  <c r="BC12" i="10"/>
  <c r="AZ12" i="10"/>
  <c r="BS15" i="10" l="1"/>
  <c r="BR15" i="10"/>
  <c r="CL17" i="10"/>
  <c r="CM17" i="10"/>
  <c r="CP13" i="10"/>
  <c r="CQ13" i="10"/>
  <c r="CU14" i="10"/>
  <c r="CT14" i="10"/>
  <c r="CI15" i="10"/>
  <c r="CH15" i="10"/>
  <c r="CM16" i="10"/>
  <c r="CL16" i="10"/>
  <c r="BW17" i="10"/>
  <c r="BZ17" i="10" s="1"/>
  <c r="BV17" i="10"/>
  <c r="BW16" i="10"/>
  <c r="BZ16" i="10" s="1"/>
  <c r="BV16" i="10"/>
  <c r="AW18" i="10"/>
  <c r="AX18" i="10" s="1"/>
  <c r="AW15" i="10"/>
  <c r="AX15" i="10" s="1"/>
  <c r="AW17" i="10"/>
  <c r="AX17" i="10" s="1"/>
  <c r="AW24" i="10"/>
  <c r="AX24" i="10" s="1"/>
  <c r="AW30" i="10"/>
  <c r="AX30" i="10" s="1"/>
  <c r="AW36" i="10"/>
  <c r="AX36" i="10" s="1"/>
  <c r="AW27" i="10"/>
  <c r="AX27" i="10" s="1"/>
  <c r="AW13" i="10"/>
  <c r="AX13" i="10" s="1"/>
  <c r="AW20" i="10"/>
  <c r="AX20" i="10" s="1"/>
  <c r="AW26" i="10"/>
  <c r="AX26" i="10" s="1"/>
  <c r="AW25" i="10"/>
  <c r="AX25" i="10" s="1"/>
  <c r="AW23" i="10"/>
  <c r="AX23" i="10" s="1"/>
  <c r="AW16" i="10"/>
  <c r="AX16" i="10" s="1"/>
  <c r="AW22" i="10"/>
  <c r="AX22" i="10" s="1"/>
  <c r="AW34" i="10"/>
  <c r="AX34" i="10" s="1"/>
  <c r="AW21" i="10"/>
  <c r="AX21" i="10" s="1"/>
  <c r="AW14" i="10"/>
  <c r="AX14" i="10" s="1"/>
  <c r="AW41" i="10"/>
  <c r="AX41" i="10" s="1"/>
  <c r="AW49" i="10"/>
  <c r="AX49" i="10" s="1"/>
  <c r="AW28" i="10"/>
  <c r="AX28" i="10" s="1"/>
  <c r="AW29" i="10"/>
  <c r="AX29" i="10" s="1"/>
  <c r="AW19" i="10"/>
  <c r="AX19" i="10" s="1"/>
  <c r="AW38" i="10"/>
  <c r="AX38" i="10" s="1"/>
  <c r="AW46" i="10"/>
  <c r="AX46" i="10" s="1"/>
  <c r="AW48" i="10"/>
  <c r="AX48" i="10" s="1"/>
  <c r="AW55" i="10"/>
  <c r="AX55" i="10" s="1"/>
  <c r="AW31" i="10"/>
  <c r="AX31" i="10" s="1"/>
  <c r="AW35" i="10"/>
  <c r="AX35" i="10" s="1"/>
  <c r="AW39" i="10"/>
  <c r="AX39" i="10" s="1"/>
  <c r="AW40" i="10"/>
  <c r="AX40" i="10" s="1"/>
  <c r="AW42" i="10"/>
  <c r="AX42" i="10" s="1"/>
  <c r="AW45" i="10"/>
  <c r="AX45" i="10" s="1"/>
  <c r="AW43" i="10"/>
  <c r="AX43" i="10" s="1"/>
  <c r="AW65" i="10"/>
  <c r="AX65" i="10" s="1"/>
  <c r="AW71" i="10"/>
  <c r="AX71" i="10" s="1"/>
  <c r="AW32" i="10"/>
  <c r="AX32" i="10" s="1"/>
  <c r="AW37" i="10"/>
  <c r="AX37" i="10" s="1"/>
  <c r="AW50" i="10"/>
  <c r="AX50" i="10" s="1"/>
  <c r="AW51" i="10"/>
  <c r="AX51" i="10" s="1"/>
  <c r="AW57" i="10"/>
  <c r="AX57" i="10" s="1"/>
  <c r="AW53" i="10"/>
  <c r="AX53" i="10" s="1"/>
  <c r="AW66" i="10"/>
  <c r="AX66" i="10" s="1"/>
  <c r="AW60" i="10"/>
  <c r="AX60" i="10" s="1"/>
  <c r="AW47" i="10"/>
  <c r="AX47" i="10" s="1"/>
  <c r="AW56" i="10"/>
  <c r="AX56" i="10" s="1"/>
  <c r="AW54" i="10"/>
  <c r="AX54" i="10" s="1"/>
  <c r="AW58" i="10"/>
  <c r="AX58" i="10" s="1"/>
  <c r="AW72" i="10"/>
  <c r="AX72" i="10" s="1"/>
  <c r="AW78" i="10"/>
  <c r="AX78" i="10" s="1"/>
  <c r="AW84" i="10"/>
  <c r="AX84" i="10" s="1"/>
  <c r="AW59" i="10"/>
  <c r="AX59" i="10" s="1"/>
  <c r="AW67" i="10"/>
  <c r="AX67" i="10" s="1"/>
  <c r="AW80" i="10"/>
  <c r="AX80" i="10" s="1"/>
  <c r="AW83" i="10"/>
  <c r="AX83" i="10" s="1"/>
  <c r="AW62" i="10"/>
  <c r="AX62" i="10" s="1"/>
  <c r="AW81" i="10"/>
  <c r="AX81" i="10" s="1"/>
  <c r="AW68" i="10"/>
  <c r="AX68" i="10" s="1"/>
  <c r="AW73" i="10"/>
  <c r="AX73" i="10" s="1"/>
  <c r="AW44" i="10"/>
  <c r="AX44" i="10" s="1"/>
  <c r="AW76" i="10"/>
  <c r="AX76" i="10" s="1"/>
  <c r="AW88" i="10"/>
  <c r="AX88" i="10" s="1"/>
  <c r="AW77" i="10"/>
  <c r="AX77" i="10" s="1"/>
  <c r="AW86" i="10"/>
  <c r="AX86" i="10" s="1"/>
  <c r="AW89" i="10"/>
  <c r="AX89" i="10" s="1"/>
  <c r="AW90" i="10"/>
  <c r="AX90" i="10" s="1"/>
  <c r="AW69" i="10"/>
  <c r="AX69" i="10" s="1"/>
  <c r="AW79" i="10"/>
  <c r="AX79" i="10" s="1"/>
  <c r="AW82" i="10"/>
  <c r="AX82" i="10" s="1"/>
  <c r="AW33" i="10"/>
  <c r="AX33" i="10" s="1"/>
  <c r="AW75" i="10"/>
  <c r="AX75" i="10" s="1"/>
  <c r="AW74" i="10"/>
  <c r="AX74" i="10" s="1"/>
  <c r="AW93" i="10"/>
  <c r="AX93" i="10" s="1"/>
  <c r="AW92" i="10"/>
  <c r="AX92" i="10" s="1"/>
  <c r="AW52" i="10"/>
  <c r="AX52" i="10" s="1"/>
  <c r="AW61" i="10"/>
  <c r="AX61" i="10" s="1"/>
  <c r="AW87" i="10"/>
  <c r="AX87" i="10" s="1"/>
  <c r="AW70" i="10"/>
  <c r="AX70" i="10" s="1"/>
  <c r="AW85" i="10"/>
  <c r="AX85" i="10" s="1"/>
  <c r="AW63" i="10"/>
  <c r="AX63" i="10" s="1"/>
  <c r="AW91" i="10"/>
  <c r="AX91" i="10" s="1"/>
  <c r="AW64" i="10"/>
  <c r="AX64" i="10" s="1"/>
  <c r="AY9" i="10"/>
  <c r="D22" i="15"/>
  <c r="AW12" i="10"/>
  <c r="AX12" i="10" s="1"/>
  <c r="D34" i="8"/>
  <c r="E34" i="8" s="1"/>
  <c r="AZ9" i="10"/>
  <c r="AZ7" i="10" s="1"/>
  <c r="CD9" i="10"/>
  <c r="CE9" i="10"/>
  <c r="E50" i="8"/>
  <c r="E51" i="8"/>
  <c r="E52" i="8"/>
  <c r="E53" i="8"/>
  <c r="BL9" i="10"/>
  <c r="BL7" i="10" s="1"/>
  <c r="CH12" i="10"/>
  <c r="CI12" i="10"/>
  <c r="BG12" i="10"/>
  <c r="BF9" i="10"/>
  <c r="CP16" i="10" l="1"/>
  <c r="CQ16" i="10"/>
  <c r="CL15" i="10"/>
  <c r="CM15" i="10"/>
  <c r="CY14" i="10"/>
  <c r="CX14" i="10"/>
  <c r="CT13" i="10"/>
  <c r="CU13" i="10"/>
  <c r="CQ17" i="10"/>
  <c r="CP17" i="10"/>
  <c r="BW15" i="10"/>
  <c r="BZ15" i="10" s="1"/>
  <c r="BV15" i="10"/>
  <c r="D43" i="8"/>
  <c r="E43" i="8" s="1"/>
  <c r="BM18" i="10"/>
  <c r="BN18" i="10" s="1"/>
  <c r="BM17" i="10"/>
  <c r="BN17" i="10" s="1"/>
  <c r="BM16" i="10"/>
  <c r="BN16" i="10" s="1"/>
  <c r="BM22" i="10"/>
  <c r="BN22" i="10" s="1"/>
  <c r="BM28" i="10"/>
  <c r="BN28" i="10" s="1"/>
  <c r="BM14" i="10"/>
  <c r="BN14" i="10" s="1"/>
  <c r="BM20" i="10"/>
  <c r="BN20" i="10" s="1"/>
  <c r="BM19" i="10"/>
  <c r="BN19" i="10" s="1"/>
  <c r="BM13" i="10"/>
  <c r="BN13" i="10" s="1"/>
  <c r="BM24" i="10"/>
  <c r="BN24" i="10" s="1"/>
  <c r="BM27" i="10"/>
  <c r="BN27" i="10" s="1"/>
  <c r="BM30" i="10"/>
  <c r="BN30" i="10" s="1"/>
  <c r="BM25" i="10"/>
  <c r="BN25" i="10" s="1"/>
  <c r="BM15" i="10"/>
  <c r="BN15" i="10" s="1"/>
  <c r="BM44" i="10"/>
  <c r="BN44" i="10" s="1"/>
  <c r="BM50" i="10"/>
  <c r="BN50" i="10" s="1"/>
  <c r="BM34" i="10"/>
  <c r="BN34" i="10" s="1"/>
  <c r="BM26" i="10"/>
  <c r="BN26" i="10" s="1"/>
  <c r="BM29" i="10"/>
  <c r="BN29" i="10" s="1"/>
  <c r="BM41" i="10"/>
  <c r="BN41" i="10" s="1"/>
  <c r="BM49" i="10"/>
  <c r="BN49" i="10" s="1"/>
  <c r="BM23" i="10"/>
  <c r="BN23" i="10" s="1"/>
  <c r="BM38" i="10"/>
  <c r="BN38" i="10" s="1"/>
  <c r="BM37" i="10"/>
  <c r="BN37" i="10" s="1"/>
  <c r="BM40" i="10"/>
  <c r="BN40" i="10" s="1"/>
  <c r="BM39" i="10"/>
  <c r="BN39" i="10" s="1"/>
  <c r="BM32" i="10"/>
  <c r="BN32" i="10" s="1"/>
  <c r="BM21" i="10"/>
  <c r="BN21" i="10" s="1"/>
  <c r="BM43" i="10"/>
  <c r="BN43" i="10" s="1"/>
  <c r="BM35" i="10"/>
  <c r="BN35" i="10" s="1"/>
  <c r="BM42" i="10"/>
  <c r="BN42" i="10" s="1"/>
  <c r="BM33" i="10"/>
  <c r="BN33" i="10" s="1"/>
  <c r="BM46" i="10"/>
  <c r="BN46" i="10" s="1"/>
  <c r="BM55" i="10"/>
  <c r="BN55" i="10" s="1"/>
  <c r="BM63" i="10"/>
  <c r="BN63" i="10" s="1"/>
  <c r="BM54" i="10"/>
  <c r="BN54" i="10" s="1"/>
  <c r="BM56" i="10"/>
  <c r="BN56" i="10" s="1"/>
  <c r="BM60" i="10"/>
  <c r="BN60" i="10" s="1"/>
  <c r="BM66" i="10"/>
  <c r="BN66" i="10" s="1"/>
  <c r="BM69" i="10"/>
  <c r="BN69" i="10" s="1"/>
  <c r="BM51" i="10"/>
  <c r="BN51" i="10" s="1"/>
  <c r="BM59" i="10"/>
  <c r="BN59" i="10" s="1"/>
  <c r="BM52" i="10"/>
  <c r="BN52" i="10" s="1"/>
  <c r="BM48" i="10"/>
  <c r="BN48" i="10" s="1"/>
  <c r="BM62" i="10"/>
  <c r="BN62" i="10" s="1"/>
  <c r="BM72" i="10"/>
  <c r="BN72" i="10" s="1"/>
  <c r="BM80" i="10"/>
  <c r="BN80" i="10" s="1"/>
  <c r="BM83" i="10"/>
  <c r="BN83" i="10" s="1"/>
  <c r="BM47" i="10"/>
  <c r="BN47" i="10" s="1"/>
  <c r="BM58" i="10"/>
  <c r="BN58" i="10" s="1"/>
  <c r="BM65" i="10"/>
  <c r="BN65" i="10" s="1"/>
  <c r="BM31" i="10"/>
  <c r="BN31" i="10" s="1"/>
  <c r="BM68" i="10"/>
  <c r="BN68" i="10" s="1"/>
  <c r="BM81" i="10"/>
  <c r="BN81" i="10" s="1"/>
  <c r="BM84" i="10"/>
  <c r="BN84" i="10" s="1"/>
  <c r="BM89" i="10"/>
  <c r="BN89" i="10" s="1"/>
  <c r="BM73" i="10"/>
  <c r="BN73" i="10" s="1"/>
  <c r="BM71" i="10"/>
  <c r="BN71" i="10" s="1"/>
  <c r="BM74" i="10"/>
  <c r="BN74" i="10" s="1"/>
  <c r="BM64" i="10"/>
  <c r="BN64" i="10" s="1"/>
  <c r="BM76" i="10"/>
  <c r="BN76" i="10" s="1"/>
  <c r="BM93" i="10"/>
  <c r="BN93" i="10" s="1"/>
  <c r="BM91" i="10"/>
  <c r="BN91" i="10" s="1"/>
  <c r="BM53" i="10"/>
  <c r="BN53" i="10" s="1"/>
  <c r="BM88" i="10"/>
  <c r="BN88" i="10" s="1"/>
  <c r="BM70" i="10"/>
  <c r="BN70" i="10" s="1"/>
  <c r="BM78" i="10"/>
  <c r="BN78" i="10" s="1"/>
  <c r="BM92" i="10"/>
  <c r="BN92" i="10" s="1"/>
  <c r="BM77" i="10"/>
  <c r="BN77" i="10" s="1"/>
  <c r="BM86" i="10"/>
  <c r="BN86" i="10" s="1"/>
  <c r="BM85" i="10"/>
  <c r="BN85" i="10" s="1"/>
  <c r="BM75" i="10"/>
  <c r="BN75" i="10" s="1"/>
  <c r="BM79" i="10"/>
  <c r="BN79" i="10" s="1"/>
  <c r="BM82" i="10"/>
  <c r="BN82" i="10" s="1"/>
  <c r="BM87" i="10"/>
  <c r="BN87" i="10" s="1"/>
  <c r="BM57" i="10"/>
  <c r="BN57" i="10" s="1"/>
  <c r="BM67" i="10"/>
  <c r="BN67" i="10" s="1"/>
  <c r="BM61" i="10"/>
  <c r="BN61" i="10" s="1"/>
  <c r="BM90" i="10"/>
  <c r="BN90" i="10" s="1"/>
  <c r="BM36" i="10"/>
  <c r="BN36" i="10" s="1"/>
  <c r="BM45" i="10"/>
  <c r="BN45" i="10" s="1"/>
  <c r="BA14" i="10"/>
  <c r="BB14" i="10" s="1"/>
  <c r="BA13" i="10"/>
  <c r="BB13" i="10" s="1"/>
  <c r="BA18" i="10"/>
  <c r="BB18" i="10" s="1"/>
  <c r="BA15" i="10"/>
  <c r="BB15" i="10" s="1"/>
  <c r="BA23" i="10"/>
  <c r="BB23" i="10" s="1"/>
  <c r="BA19" i="10"/>
  <c r="BB19" i="10" s="1"/>
  <c r="BA32" i="10"/>
  <c r="BB32" i="10" s="1"/>
  <c r="BA38" i="10"/>
  <c r="BB38" i="10" s="1"/>
  <c r="BA17" i="10"/>
  <c r="BB17" i="10" s="1"/>
  <c r="BA21" i="10"/>
  <c r="BB21" i="10" s="1"/>
  <c r="BA24" i="10"/>
  <c r="BB24" i="10" s="1"/>
  <c r="BA25" i="10"/>
  <c r="BB25" i="10" s="1"/>
  <c r="BA16" i="10"/>
  <c r="BB16" i="10" s="1"/>
  <c r="BA22" i="10"/>
  <c r="BB22" i="10" s="1"/>
  <c r="BA33" i="10"/>
  <c r="BB33" i="10" s="1"/>
  <c r="BA40" i="10"/>
  <c r="BB40" i="10" s="1"/>
  <c r="BA41" i="10"/>
  <c r="BB41" i="10" s="1"/>
  <c r="BA20" i="10"/>
  <c r="BB20" i="10" s="1"/>
  <c r="BA42" i="10"/>
  <c r="BB42" i="10" s="1"/>
  <c r="BA47" i="10"/>
  <c r="BB47" i="10" s="1"/>
  <c r="BA48" i="10"/>
  <c r="BB48" i="10" s="1"/>
  <c r="BA50" i="10"/>
  <c r="BB50" i="10" s="1"/>
  <c r="BA31" i="10"/>
  <c r="BB31" i="10" s="1"/>
  <c r="BA45" i="10"/>
  <c r="BB45" i="10" s="1"/>
  <c r="BA28" i="10"/>
  <c r="BB28" i="10" s="1"/>
  <c r="BA29" i="10"/>
  <c r="BB29" i="10" s="1"/>
  <c r="BA30" i="10"/>
  <c r="BB30" i="10" s="1"/>
  <c r="BA37" i="10"/>
  <c r="BB37" i="10" s="1"/>
  <c r="BA27" i="10"/>
  <c r="BB27" i="10" s="1"/>
  <c r="BA36" i="10"/>
  <c r="BB36" i="10" s="1"/>
  <c r="BA39" i="10"/>
  <c r="BB39" i="10" s="1"/>
  <c r="BA55" i="10"/>
  <c r="BB55" i="10" s="1"/>
  <c r="BA60" i="10"/>
  <c r="BB60" i="10" s="1"/>
  <c r="BA35" i="10"/>
  <c r="BB35" i="10" s="1"/>
  <c r="BA57" i="10"/>
  <c r="BB57" i="10" s="1"/>
  <c r="BA61" i="10"/>
  <c r="BB61" i="10" s="1"/>
  <c r="BA67" i="10"/>
  <c r="BB67" i="10" s="1"/>
  <c r="BA46" i="10"/>
  <c r="BB46" i="10" s="1"/>
  <c r="BA26" i="10"/>
  <c r="BB26" i="10" s="1"/>
  <c r="BA34" i="10"/>
  <c r="BB34" i="10" s="1"/>
  <c r="BA44" i="10"/>
  <c r="BB44" i="10" s="1"/>
  <c r="BA54" i="10"/>
  <c r="BB54" i="10" s="1"/>
  <c r="BA56" i="10"/>
  <c r="BB56" i="10" s="1"/>
  <c r="BA51" i="10"/>
  <c r="BB51" i="10" s="1"/>
  <c r="BA49" i="10"/>
  <c r="BB49" i="10" s="1"/>
  <c r="BA53" i="10"/>
  <c r="BB53" i="10" s="1"/>
  <c r="BA63" i="10"/>
  <c r="BB63" i="10" s="1"/>
  <c r="BA69" i="10"/>
  <c r="BB69" i="10" s="1"/>
  <c r="BA74" i="10"/>
  <c r="BB74" i="10" s="1"/>
  <c r="BA80" i="10"/>
  <c r="BB80" i="10" s="1"/>
  <c r="BA86" i="10"/>
  <c r="BB86" i="10" s="1"/>
  <c r="BA59" i="10"/>
  <c r="BB59" i="10" s="1"/>
  <c r="BA64" i="10"/>
  <c r="BB64" i="10" s="1"/>
  <c r="BA71" i="10"/>
  <c r="BB71" i="10" s="1"/>
  <c r="BA72" i="10"/>
  <c r="BB72" i="10" s="1"/>
  <c r="BA83" i="10"/>
  <c r="BB83" i="10" s="1"/>
  <c r="BA75" i="10"/>
  <c r="BB75" i="10" s="1"/>
  <c r="BA78" i="10"/>
  <c r="BB78" i="10" s="1"/>
  <c r="BA90" i="10"/>
  <c r="BB90" i="10" s="1"/>
  <c r="BA66" i="10"/>
  <c r="BB66" i="10" s="1"/>
  <c r="BA81" i="10"/>
  <c r="BB81" i="10" s="1"/>
  <c r="BA91" i="10"/>
  <c r="BB91" i="10" s="1"/>
  <c r="BA85" i="10"/>
  <c r="BB85" i="10" s="1"/>
  <c r="BA87" i="10"/>
  <c r="BB87" i="10" s="1"/>
  <c r="BA77" i="10"/>
  <c r="BB77" i="10" s="1"/>
  <c r="BA89" i="10"/>
  <c r="BB89" i="10" s="1"/>
  <c r="BA58" i="10"/>
  <c r="BB58" i="10" s="1"/>
  <c r="BA73" i="10"/>
  <c r="BB73" i="10" s="1"/>
  <c r="BA43" i="10"/>
  <c r="BB43" i="10" s="1"/>
  <c r="BA79" i="10"/>
  <c r="BB79" i="10" s="1"/>
  <c r="BA62" i="10"/>
  <c r="BB62" i="10" s="1"/>
  <c r="BA82" i="10"/>
  <c r="BB82" i="10" s="1"/>
  <c r="BA52" i="10"/>
  <c r="BB52" i="10" s="1"/>
  <c r="BA88" i="10"/>
  <c r="BB88" i="10" s="1"/>
  <c r="BA76" i="10"/>
  <c r="BB76" i="10" s="1"/>
  <c r="BA84" i="10"/>
  <c r="BB84" i="10" s="1"/>
  <c r="BA68" i="10"/>
  <c r="BB68" i="10" s="1"/>
  <c r="BA65" i="10"/>
  <c r="BB65" i="10" s="1"/>
  <c r="BA92" i="10"/>
  <c r="BB92" i="10" s="1"/>
  <c r="BA70" i="10"/>
  <c r="BB70" i="10" s="1"/>
  <c r="BA93" i="10"/>
  <c r="BB93" i="10" s="1"/>
  <c r="BC9" i="10"/>
  <c r="AW9" i="10"/>
  <c r="E22" i="15" s="1"/>
  <c r="CH9" i="10"/>
  <c r="CI9" i="10"/>
  <c r="D35" i="8"/>
  <c r="E35" i="8" s="1"/>
  <c r="D42" i="8"/>
  <c r="E42" i="8" s="1"/>
  <c r="BA12" i="10"/>
  <c r="BB12" i="10" s="1"/>
  <c r="D23" i="15"/>
  <c r="E36" i="8"/>
  <c r="D26" i="15"/>
  <c r="BM12" i="10"/>
  <c r="BH9" i="10"/>
  <c r="BH7" i="10" s="1"/>
  <c r="BK12" i="10"/>
  <c r="BG9" i="10"/>
  <c r="AX9" i="10"/>
  <c r="CM12" i="10"/>
  <c r="CL12" i="10"/>
  <c r="CT17" i="10" l="1"/>
  <c r="CU17" i="10"/>
  <c r="CX13" i="10"/>
  <c r="CY13" i="10"/>
  <c r="DC14" i="10"/>
  <c r="DF14" i="10" s="1"/>
  <c r="DG14" i="10" s="1"/>
  <c r="DB14" i="10"/>
  <c r="CP15" i="10"/>
  <c r="CQ15" i="10"/>
  <c r="CU16" i="10"/>
  <c r="CT16" i="10"/>
  <c r="BI16" i="10"/>
  <c r="BJ16" i="10" s="1"/>
  <c r="BI15" i="10"/>
  <c r="BJ15" i="10" s="1"/>
  <c r="BI14" i="10"/>
  <c r="BJ14" i="10" s="1"/>
  <c r="BI20" i="10"/>
  <c r="BJ20" i="10" s="1"/>
  <c r="BI26" i="10"/>
  <c r="BJ26" i="10" s="1"/>
  <c r="BI18" i="10"/>
  <c r="BJ18" i="10" s="1"/>
  <c r="BI13" i="10"/>
  <c r="BJ13" i="10" s="1"/>
  <c r="BI22" i="10"/>
  <c r="BJ22" i="10" s="1"/>
  <c r="BI23" i="10"/>
  <c r="BJ23" i="10" s="1"/>
  <c r="BI38" i="10"/>
  <c r="BJ38" i="10" s="1"/>
  <c r="BI42" i="10"/>
  <c r="BJ42" i="10" s="1"/>
  <c r="BI48" i="10"/>
  <c r="BJ48" i="10" s="1"/>
  <c r="BI27" i="10"/>
  <c r="BJ27" i="10" s="1"/>
  <c r="BI24" i="10"/>
  <c r="BJ24" i="10" s="1"/>
  <c r="BI32" i="10"/>
  <c r="BJ32" i="10" s="1"/>
  <c r="BI19" i="10"/>
  <c r="BJ19" i="10" s="1"/>
  <c r="BI44" i="10"/>
  <c r="BJ44" i="10" s="1"/>
  <c r="BI52" i="10"/>
  <c r="BJ52" i="10" s="1"/>
  <c r="BI31" i="10"/>
  <c r="BJ31" i="10" s="1"/>
  <c r="BI46" i="10"/>
  <c r="BJ46" i="10" s="1"/>
  <c r="BI37" i="10"/>
  <c r="BJ37" i="10" s="1"/>
  <c r="BI41" i="10"/>
  <c r="BJ41" i="10" s="1"/>
  <c r="BI25" i="10"/>
  <c r="BJ25" i="10" s="1"/>
  <c r="BI33" i="10"/>
  <c r="BJ33" i="10" s="1"/>
  <c r="BI43" i="10"/>
  <c r="BJ43" i="10" s="1"/>
  <c r="BI40" i="10"/>
  <c r="BJ40" i="10" s="1"/>
  <c r="BI21" i="10"/>
  <c r="BJ21" i="10" s="1"/>
  <c r="BI29" i="10"/>
  <c r="BJ29" i="10" s="1"/>
  <c r="BI30" i="10"/>
  <c r="BJ30" i="10" s="1"/>
  <c r="BI47" i="10"/>
  <c r="BJ47" i="10" s="1"/>
  <c r="BI49" i="10"/>
  <c r="BJ49" i="10" s="1"/>
  <c r="BI17" i="10"/>
  <c r="BJ17" i="10" s="1"/>
  <c r="BI34" i="10"/>
  <c r="BJ34" i="10" s="1"/>
  <c r="BI50" i="10"/>
  <c r="BJ50" i="10" s="1"/>
  <c r="BI55" i="10"/>
  <c r="BJ55" i="10" s="1"/>
  <c r="BI56" i="10"/>
  <c r="BJ56" i="10" s="1"/>
  <c r="BI51" i="10"/>
  <c r="BJ51" i="10" s="1"/>
  <c r="BI45" i="10"/>
  <c r="BJ45" i="10" s="1"/>
  <c r="BI28" i="10"/>
  <c r="BJ28" i="10" s="1"/>
  <c r="BI57" i="10"/>
  <c r="BJ57" i="10" s="1"/>
  <c r="BI61" i="10"/>
  <c r="BJ61" i="10" s="1"/>
  <c r="BI39" i="10"/>
  <c r="BJ39" i="10" s="1"/>
  <c r="BI58" i="10"/>
  <c r="BJ58" i="10" s="1"/>
  <c r="BI64" i="10"/>
  <c r="BJ64" i="10" s="1"/>
  <c r="BI67" i="10"/>
  <c r="BJ67" i="10" s="1"/>
  <c r="BI62" i="10"/>
  <c r="BJ62" i="10" s="1"/>
  <c r="BI68" i="10"/>
  <c r="BJ68" i="10" s="1"/>
  <c r="BI63" i="10"/>
  <c r="BJ63" i="10" s="1"/>
  <c r="BI81" i="10"/>
  <c r="BJ81" i="10" s="1"/>
  <c r="BI73" i="10"/>
  <c r="BJ73" i="10" s="1"/>
  <c r="BI36" i="10"/>
  <c r="BJ36" i="10" s="1"/>
  <c r="BI60" i="10"/>
  <c r="BJ60" i="10" s="1"/>
  <c r="BI79" i="10"/>
  <c r="BJ79" i="10" s="1"/>
  <c r="BI82" i="10"/>
  <c r="BJ82" i="10" s="1"/>
  <c r="BI87" i="10"/>
  <c r="BJ87" i="10" s="1"/>
  <c r="H87" i="10" s="1"/>
  <c r="BI93" i="10"/>
  <c r="BJ93" i="10" s="1"/>
  <c r="H93" i="10" s="1"/>
  <c r="BI59" i="10"/>
  <c r="BJ59" i="10" s="1"/>
  <c r="BI85" i="10"/>
  <c r="BJ85" i="10" s="1"/>
  <c r="BI53" i="10"/>
  <c r="BJ53" i="10" s="1"/>
  <c r="BI70" i="10"/>
  <c r="BJ70" i="10" s="1"/>
  <c r="BI88" i="10"/>
  <c r="BJ88" i="10" s="1"/>
  <c r="H88" i="10" s="1"/>
  <c r="BI80" i="10"/>
  <c r="BJ80" i="10" s="1"/>
  <c r="BI89" i="10"/>
  <c r="BJ89" i="10" s="1"/>
  <c r="H89" i="10" s="1"/>
  <c r="BI92" i="10"/>
  <c r="BJ92" i="10" s="1"/>
  <c r="H92" i="10" s="1"/>
  <c r="BI35" i="10"/>
  <c r="BJ35" i="10" s="1"/>
  <c r="BI65" i="10"/>
  <c r="BJ65" i="10" s="1"/>
  <c r="BI90" i="10"/>
  <c r="BJ90" i="10" s="1"/>
  <c r="H90" i="10" s="1"/>
  <c r="BI54" i="10"/>
  <c r="BJ54" i="10" s="1"/>
  <c r="BI78" i="10"/>
  <c r="BJ78" i="10" s="1"/>
  <c r="BI91" i="10"/>
  <c r="BJ91" i="10" s="1"/>
  <c r="H91" i="10" s="1"/>
  <c r="BI66" i="10"/>
  <c r="BJ66" i="10" s="1"/>
  <c r="BI77" i="10"/>
  <c r="BJ77" i="10" s="1"/>
  <c r="BI84" i="10"/>
  <c r="BJ84" i="10" s="1"/>
  <c r="BI72" i="10"/>
  <c r="BJ72" i="10" s="1"/>
  <c r="BI69" i="10"/>
  <c r="BJ69" i="10" s="1"/>
  <c r="BI86" i="10"/>
  <c r="BJ86" i="10" s="1"/>
  <c r="BI74" i="10"/>
  <c r="BJ74" i="10" s="1"/>
  <c r="BI75" i="10"/>
  <c r="BJ75" i="10" s="1"/>
  <c r="BI76" i="10"/>
  <c r="BJ76" i="10" s="1"/>
  <c r="BI71" i="10"/>
  <c r="BJ71" i="10" s="1"/>
  <c r="BI83" i="10"/>
  <c r="BJ83" i="10" s="1"/>
  <c r="CM9" i="10"/>
  <c r="CL9" i="10"/>
  <c r="BA9" i="10"/>
  <c r="E23" i="15" s="1"/>
  <c r="BB9" i="10"/>
  <c r="BQ9" i="10"/>
  <c r="E27" i="15" s="1"/>
  <c r="BM9" i="10"/>
  <c r="E26" i="15" s="1"/>
  <c r="BO12" i="10"/>
  <c r="BK9" i="10"/>
  <c r="BN12" i="10"/>
  <c r="BN9" i="10" s="1"/>
  <c r="CP12" i="10"/>
  <c r="CQ12" i="10"/>
  <c r="D25" i="15"/>
  <c r="D38" i="8"/>
  <c r="E38" i="8" s="1"/>
  <c r="BI12" i="10"/>
  <c r="CX16" i="10" l="1"/>
  <c r="CY16" i="10"/>
  <c r="DB13" i="10"/>
  <c r="DC13" i="10"/>
  <c r="DF13" i="10" s="1"/>
  <c r="DG13" i="10" s="1"/>
  <c r="CX17" i="10"/>
  <c r="CY17" i="10"/>
  <c r="CT15" i="10"/>
  <c r="CU15" i="10"/>
  <c r="CQ9" i="10"/>
  <c r="CP9" i="10"/>
  <c r="BJ12" i="10"/>
  <c r="BI9" i="10"/>
  <c r="E25" i="15" s="1"/>
  <c r="BS12" i="10"/>
  <c r="BO9" i="10"/>
  <c r="BR12" i="10"/>
  <c r="BR9" i="10" s="1"/>
  <c r="CU12" i="10"/>
  <c r="CT12" i="10"/>
  <c r="CX15" i="10" l="1"/>
  <c r="CY15" i="10"/>
  <c r="DB17" i="10"/>
  <c r="DC17" i="10"/>
  <c r="DF17" i="10" s="1"/>
  <c r="DG17" i="10" s="1"/>
  <c r="DB16" i="10"/>
  <c r="DC16" i="10"/>
  <c r="DF16" i="10" s="1"/>
  <c r="DG16" i="10" s="1"/>
  <c r="CT9" i="10"/>
  <c r="CU9" i="10"/>
  <c r="BW12" i="10"/>
  <c r="BV12" i="10"/>
  <c r="BV9" i="10" s="1"/>
  <c r="BS9" i="10"/>
  <c r="BJ9" i="10"/>
  <c r="CY12" i="10"/>
  <c r="CX12" i="10"/>
  <c r="DC15" i="10" l="1"/>
  <c r="DF15" i="10" s="1"/>
  <c r="DG15" i="10" s="1"/>
  <c r="DB15" i="10"/>
  <c r="CY9" i="10"/>
  <c r="CX9" i="10"/>
  <c r="DB12" i="10"/>
  <c r="DC12" i="10"/>
  <c r="BZ12" i="10"/>
  <c r="BZ9" i="10" s="1"/>
  <c r="BW9" i="10"/>
  <c r="DB9" i="10" l="1"/>
  <c r="DF12" i="10"/>
  <c r="DC9" i="10" l="1"/>
  <c r="DF9" i="10"/>
  <c r="DG12" i="10"/>
  <c r="DQ13" i="10" l="1" a="1"/>
  <c r="DQ13" i="10" s="1"/>
  <c r="DQ21" i="10" a="1"/>
  <c r="DQ21" i="10" s="1"/>
  <c r="DQ29" i="10" a="1"/>
  <c r="DQ29" i="10" s="1"/>
  <c r="DQ37" i="10" a="1"/>
  <c r="DQ37" i="10" s="1"/>
  <c r="DQ14" i="10" a="1"/>
  <c r="DQ14" i="10" s="1"/>
  <c r="DQ22" i="10" a="1"/>
  <c r="DQ22" i="10" s="1"/>
  <c r="DQ30" i="10" a="1"/>
  <c r="DQ30" i="10" s="1"/>
  <c r="DQ38" i="10" a="1"/>
  <c r="DQ38" i="10" s="1"/>
  <c r="DQ46" i="10" a="1"/>
  <c r="DQ46" i="10" s="1"/>
  <c r="DQ54" i="10" a="1"/>
  <c r="DQ54" i="10" s="1"/>
  <c r="DQ62" i="10" a="1"/>
  <c r="DQ62" i="10" s="1"/>
  <c r="DQ70" i="10" a="1"/>
  <c r="DQ70" i="10" s="1"/>
  <c r="DQ78" i="10" a="1"/>
  <c r="DQ78" i="10" s="1"/>
  <c r="DQ86" i="10" a="1"/>
  <c r="DQ86" i="10" s="1"/>
  <c r="DQ94" i="10" a="1"/>
  <c r="DQ94" i="10" s="1"/>
  <c r="DQ92" i="10" a="1"/>
  <c r="DQ92" i="10" s="1"/>
  <c r="DQ69" i="10" a="1"/>
  <c r="DQ69" i="10" s="1"/>
  <c r="DQ15" i="10" a="1"/>
  <c r="DQ15" i="10" s="1"/>
  <c r="DQ23" i="10" a="1"/>
  <c r="DQ23" i="10" s="1"/>
  <c r="DQ31" i="10" a="1"/>
  <c r="DQ31" i="10" s="1"/>
  <c r="DQ39" i="10" a="1"/>
  <c r="DQ39" i="10" s="1"/>
  <c r="DQ47" i="10" a="1"/>
  <c r="DQ47" i="10" s="1"/>
  <c r="DQ55" i="10" a="1"/>
  <c r="DQ55" i="10" s="1"/>
  <c r="DQ63" i="10" a="1"/>
  <c r="DQ63" i="10" s="1"/>
  <c r="DQ71" i="10" a="1"/>
  <c r="DQ71" i="10" s="1"/>
  <c r="DQ79" i="10" a="1"/>
  <c r="DQ79" i="10" s="1"/>
  <c r="DQ87" i="10" a="1"/>
  <c r="DQ87" i="10" s="1"/>
  <c r="DQ12" i="10" a="1"/>
  <c r="DQ12" i="10" s="1"/>
  <c r="DQ52" i="10" a="1"/>
  <c r="DQ52" i="10" s="1"/>
  <c r="DQ45" i="10" a="1"/>
  <c r="DQ45" i="10" s="1"/>
  <c r="DQ93" i="10" a="1"/>
  <c r="DQ93" i="10" s="1"/>
  <c r="DQ16" i="10" a="1"/>
  <c r="DQ16" i="10" s="1"/>
  <c r="DQ24" i="10" a="1"/>
  <c r="DQ24" i="10" s="1"/>
  <c r="DQ32" i="10" a="1"/>
  <c r="DQ32" i="10" s="1"/>
  <c r="DQ40" i="10" a="1"/>
  <c r="DQ40" i="10" s="1"/>
  <c r="DQ48" i="10" a="1"/>
  <c r="DQ48" i="10" s="1"/>
  <c r="DQ56" i="10" a="1"/>
  <c r="DQ56" i="10" s="1"/>
  <c r="DQ64" i="10" a="1"/>
  <c r="DQ64" i="10" s="1"/>
  <c r="DQ72" i="10" a="1"/>
  <c r="DQ72" i="10" s="1"/>
  <c r="DQ80" i="10" a="1"/>
  <c r="DQ80" i="10" s="1"/>
  <c r="DQ88" i="10" a="1"/>
  <c r="DQ88" i="10" s="1"/>
  <c r="DQ20" i="10" a="1"/>
  <c r="DQ20" i="10" s="1"/>
  <c r="DQ60" i="10" a="1"/>
  <c r="DQ60" i="10" s="1"/>
  <c r="DQ61" i="10" a="1"/>
  <c r="DQ61" i="10" s="1"/>
  <c r="DQ17" i="10" a="1"/>
  <c r="DQ17" i="10" s="1"/>
  <c r="DQ25" i="10" a="1"/>
  <c r="DQ25" i="10" s="1"/>
  <c r="DQ33" i="10" a="1"/>
  <c r="DQ33" i="10" s="1"/>
  <c r="DQ41" i="10" a="1"/>
  <c r="DQ41" i="10" s="1"/>
  <c r="DQ49" i="10" a="1"/>
  <c r="DQ49" i="10" s="1"/>
  <c r="DQ57" i="10" a="1"/>
  <c r="DQ57" i="10" s="1"/>
  <c r="DQ65" i="10" a="1"/>
  <c r="DQ65" i="10" s="1"/>
  <c r="DQ73" i="10" a="1"/>
  <c r="DQ73" i="10" s="1"/>
  <c r="DQ81" i="10" a="1"/>
  <c r="DQ81" i="10" s="1"/>
  <c r="DQ89" i="10" a="1"/>
  <c r="DQ89" i="10" s="1"/>
  <c r="DQ28" i="10" a="1"/>
  <c r="DQ28" i="10" s="1"/>
  <c r="DQ68" i="10" a="1"/>
  <c r="DQ68" i="10" s="1"/>
  <c r="DQ53" i="10" a="1"/>
  <c r="DQ53" i="10" s="1"/>
  <c r="DQ18" i="10" a="1"/>
  <c r="DQ18" i="10" s="1"/>
  <c r="DQ26" i="10" a="1"/>
  <c r="DQ26" i="10" s="1"/>
  <c r="DQ34" i="10" a="1"/>
  <c r="DQ34" i="10" s="1"/>
  <c r="DQ42" i="10" a="1"/>
  <c r="DQ42" i="10" s="1"/>
  <c r="DQ50" i="10" a="1"/>
  <c r="DQ50" i="10" s="1"/>
  <c r="DQ58" i="10" a="1"/>
  <c r="DQ58" i="10" s="1"/>
  <c r="DQ66" i="10" a="1"/>
  <c r="DQ66" i="10" s="1"/>
  <c r="DQ74" i="10" a="1"/>
  <c r="DQ74" i="10" s="1"/>
  <c r="DQ82" i="10" a="1"/>
  <c r="DQ82" i="10" s="1"/>
  <c r="DQ90" i="10" a="1"/>
  <c r="DQ90" i="10" s="1"/>
  <c r="DQ44" i="10" a="1"/>
  <c r="DQ44" i="10" s="1"/>
  <c r="DQ84" i="10" a="1"/>
  <c r="DQ84" i="10" s="1"/>
  <c r="DQ85" i="10" a="1"/>
  <c r="DQ85" i="10" s="1"/>
  <c r="DQ19" i="10" a="1"/>
  <c r="DQ19" i="10" s="1"/>
  <c r="DQ27" i="10" a="1"/>
  <c r="DQ27" i="10" s="1"/>
  <c r="DQ35" i="10" a="1"/>
  <c r="DQ35" i="10" s="1"/>
  <c r="DQ43" i="10" a="1"/>
  <c r="DQ43" i="10" s="1"/>
  <c r="DQ51" i="10" a="1"/>
  <c r="DQ51" i="10" s="1"/>
  <c r="DQ59" i="10" a="1"/>
  <c r="DQ59" i="10" s="1"/>
  <c r="DQ67" i="10" a="1"/>
  <c r="DQ67" i="10" s="1"/>
  <c r="DQ75" i="10" a="1"/>
  <c r="DQ75" i="10" s="1"/>
  <c r="DQ83" i="10" a="1"/>
  <c r="DQ83" i="10" s="1"/>
  <c r="DQ91" i="10" a="1"/>
  <c r="DQ91" i="10" s="1"/>
  <c r="DQ36" i="10" a="1"/>
  <c r="DQ36" i="10" s="1"/>
  <c r="DQ76" i="10" a="1"/>
  <c r="DQ76" i="10" s="1"/>
  <c r="DQ77" i="10" a="1"/>
  <c r="DQ77" i="10" s="1"/>
  <c r="DG9" i="10"/>
  <c r="T2" i="33" l="1"/>
  <c r="J39" i="8"/>
  <c r="F2" i="33"/>
  <c r="C22" i="8"/>
  <c r="C21" i="8" s="1"/>
  <c r="E13" i="15" l="1"/>
  <c r="DR12" i="10" l="1"/>
  <c r="DK12" i="10" s="1"/>
  <c r="DR93" i="10"/>
  <c r="DR94" i="10"/>
  <c r="DR90" i="10"/>
  <c r="DR92" i="10"/>
  <c r="DR91" i="10"/>
  <c r="DR89" i="10"/>
  <c r="DR88" i="10"/>
  <c r="DR87" i="10"/>
  <c r="DR14" i="10"/>
  <c r="DR64" i="10"/>
  <c r="DR31" i="10"/>
  <c r="DR51" i="10"/>
  <c r="DR86" i="10"/>
  <c r="DR29" i="10"/>
  <c r="DR21" i="10"/>
  <c r="DR20" i="10"/>
  <c r="DR85" i="10"/>
  <c r="DU85" i="10" s="1"/>
  <c r="DR49" i="10"/>
  <c r="DR54" i="10"/>
  <c r="DR76" i="10"/>
  <c r="DR37" i="10"/>
  <c r="DR70" i="10"/>
  <c r="DR34" i="10"/>
  <c r="DK34" i="10" s="1"/>
  <c r="DR50" i="10"/>
  <c r="DR27" i="10"/>
  <c r="DR35" i="10"/>
  <c r="DR15" i="10"/>
  <c r="DR57" i="10"/>
  <c r="DR53" i="10"/>
  <c r="DR75" i="10"/>
  <c r="DR66" i="10"/>
  <c r="DR40" i="10"/>
  <c r="DR67" i="10"/>
  <c r="DR44" i="10"/>
  <c r="DR63" i="10"/>
  <c r="DR42" i="10"/>
  <c r="DR81" i="10"/>
  <c r="DU81" i="10" s="1"/>
  <c r="DR13" i="10"/>
  <c r="DR41" i="10"/>
  <c r="DR73" i="10"/>
  <c r="DR83" i="10"/>
  <c r="DU83" i="10" s="1"/>
  <c r="DR23" i="10"/>
  <c r="DR59" i="10"/>
  <c r="DR25" i="10"/>
  <c r="DR32" i="10"/>
  <c r="DR47" i="10"/>
  <c r="DR72" i="10"/>
  <c r="DR28" i="10"/>
  <c r="DR77" i="10"/>
  <c r="DR16" i="10"/>
  <c r="DR39" i="10"/>
  <c r="DR46" i="10"/>
  <c r="DR45" i="10"/>
  <c r="DK45" i="10" s="1"/>
  <c r="DR60" i="10"/>
  <c r="DR18" i="10"/>
  <c r="DR36" i="10"/>
  <c r="DR43" i="10"/>
  <c r="DR74" i="10"/>
  <c r="DR52" i="10"/>
  <c r="DR55" i="10"/>
  <c r="DR71" i="10"/>
  <c r="DR65" i="10"/>
  <c r="DR62" i="10"/>
  <c r="DR30" i="10"/>
  <c r="DR48" i="10"/>
  <c r="DR79" i="10"/>
  <c r="DR38" i="10"/>
  <c r="DR78" i="10"/>
  <c r="DR68" i="10"/>
  <c r="DR22" i="10"/>
  <c r="DR33" i="10"/>
  <c r="DR82" i="10"/>
  <c r="DU82" i="10" s="1"/>
  <c r="DR80" i="10"/>
  <c r="DR17" i="10"/>
  <c r="DR69" i="10"/>
  <c r="DR19" i="10"/>
  <c r="DR58" i="10"/>
  <c r="DR56" i="10"/>
  <c r="DR84" i="10"/>
  <c r="DU84" i="10" s="1"/>
  <c r="DR61" i="10"/>
  <c r="DR26" i="10"/>
  <c r="DR24" i="10"/>
  <c r="DU12" i="10" l="1"/>
  <c r="DU18" i="10"/>
  <c r="DV18" i="10" s="1"/>
  <c r="DK18" i="10"/>
  <c r="DU21" i="10"/>
  <c r="DV21" i="10" s="1"/>
  <c r="DK21" i="10"/>
  <c r="DU56" i="10"/>
  <c r="DV56" i="10" s="1"/>
  <c r="DK56" i="10"/>
  <c r="DU22" i="10"/>
  <c r="DK22" i="10"/>
  <c r="DU65" i="10"/>
  <c r="DK65" i="10"/>
  <c r="DU60" i="10"/>
  <c r="DV60" i="10" s="1"/>
  <c r="DK60" i="10"/>
  <c r="DU47" i="10"/>
  <c r="DV47" i="10" s="1"/>
  <c r="DK47" i="10"/>
  <c r="DU13" i="10"/>
  <c r="DK13" i="10"/>
  <c r="DU75" i="10"/>
  <c r="DV75" i="10" s="1"/>
  <c r="DK75" i="10"/>
  <c r="DU70" i="10"/>
  <c r="DV70" i="10" s="1"/>
  <c r="DK70" i="10"/>
  <c r="DU29" i="10"/>
  <c r="DK29" i="10"/>
  <c r="DU72" i="10"/>
  <c r="DK72" i="10"/>
  <c r="DU58" i="10"/>
  <c r="DK58" i="10"/>
  <c r="DU68" i="10"/>
  <c r="DK68" i="10"/>
  <c r="DU71" i="10"/>
  <c r="DK71" i="10"/>
  <c r="DU32" i="10"/>
  <c r="DV32" i="10" s="1"/>
  <c r="DK32" i="10"/>
  <c r="DU53" i="10"/>
  <c r="DK53" i="10"/>
  <c r="DU37" i="10"/>
  <c r="DV37" i="10" s="1"/>
  <c r="DK37" i="10"/>
  <c r="DU61" i="10"/>
  <c r="DV61" i="10" s="1"/>
  <c r="DK61" i="10"/>
  <c r="DU41" i="10"/>
  <c r="DV41" i="10" s="1"/>
  <c r="DK41" i="10"/>
  <c r="DU19" i="10"/>
  <c r="DV19" i="10" s="1"/>
  <c r="DK19" i="10"/>
  <c r="DU55" i="10"/>
  <c r="DV55" i="10" s="1"/>
  <c r="DK55" i="10"/>
  <c r="DU46" i="10"/>
  <c r="DK46" i="10"/>
  <c r="DU25" i="10"/>
  <c r="DK25" i="10"/>
  <c r="DU42" i="10"/>
  <c r="DK42" i="10"/>
  <c r="DU57" i="10"/>
  <c r="DV57" i="10" s="1"/>
  <c r="DK57" i="10"/>
  <c r="DU76" i="10"/>
  <c r="DV76" i="10" s="1"/>
  <c r="DK76" i="10"/>
  <c r="DU51" i="10"/>
  <c r="DV51" i="10" s="1"/>
  <c r="DK51" i="10"/>
  <c r="DU66" i="10"/>
  <c r="DV66" i="10" s="1"/>
  <c r="DK66" i="10"/>
  <c r="DU78" i="10"/>
  <c r="DK78" i="10"/>
  <c r="DU69" i="10"/>
  <c r="DK69" i="10"/>
  <c r="DU38" i="10"/>
  <c r="DK38" i="10"/>
  <c r="DU52" i="10"/>
  <c r="DK52" i="10"/>
  <c r="DU39" i="10"/>
  <c r="DV39" i="10" s="1"/>
  <c r="DK39" i="10"/>
  <c r="DU59" i="10"/>
  <c r="DV59" i="10" s="1"/>
  <c r="DK59" i="10"/>
  <c r="DU63" i="10"/>
  <c r="DV63" i="10" s="1"/>
  <c r="DK63" i="10"/>
  <c r="DU15" i="10"/>
  <c r="DV15" i="10" s="1"/>
  <c r="DK15" i="10"/>
  <c r="DU54" i="10"/>
  <c r="DK54" i="10"/>
  <c r="DU31" i="10"/>
  <c r="DK31" i="10"/>
  <c r="DU33" i="10"/>
  <c r="DK33" i="10"/>
  <c r="DU17" i="10"/>
  <c r="DV17" i="10" s="1"/>
  <c r="DK17" i="10"/>
  <c r="DU79" i="10"/>
  <c r="DV79" i="10" s="1"/>
  <c r="DK79" i="10"/>
  <c r="DU74" i="10"/>
  <c r="DV74" i="10" s="1"/>
  <c r="DK74" i="10"/>
  <c r="DU16" i="10"/>
  <c r="DK16" i="10"/>
  <c r="DU23" i="10"/>
  <c r="DK23" i="10"/>
  <c r="DU44" i="10"/>
  <c r="DK44" i="10"/>
  <c r="DU35" i="10"/>
  <c r="DK35" i="10"/>
  <c r="DU49" i="10"/>
  <c r="DV49" i="10" s="1"/>
  <c r="DK49" i="10"/>
  <c r="DU64" i="10"/>
  <c r="DV64" i="10" s="1"/>
  <c r="DK64" i="10"/>
  <c r="DU62" i="10"/>
  <c r="DV62" i="10" s="1"/>
  <c r="DK62" i="10"/>
  <c r="DU24" i="10"/>
  <c r="DV24" i="10" s="1"/>
  <c r="DK24" i="10"/>
  <c r="DU26" i="10"/>
  <c r="DV26" i="10" s="1"/>
  <c r="DK26" i="10"/>
  <c r="DU80" i="10"/>
  <c r="DV80" i="10" s="1"/>
  <c r="DK80" i="10"/>
  <c r="DU48" i="10"/>
  <c r="DV48" i="10" s="1"/>
  <c r="DK48" i="10"/>
  <c r="DU43" i="10"/>
  <c r="DV43" i="10" s="1"/>
  <c r="DK43" i="10"/>
  <c r="DU77" i="10"/>
  <c r="DV77" i="10" s="1"/>
  <c r="DK77" i="10"/>
  <c r="DU67" i="10"/>
  <c r="DK67" i="10"/>
  <c r="DU27" i="10"/>
  <c r="DV27" i="10" s="1"/>
  <c r="DK27" i="10"/>
  <c r="DU14" i="10"/>
  <c r="DV14" i="10" s="1"/>
  <c r="DK14" i="10"/>
  <c r="DU30" i="10"/>
  <c r="DK30" i="10"/>
  <c r="DU36" i="10"/>
  <c r="DI12" i="10" s="1"/>
  <c r="DJ12" i="10" s="1"/>
  <c r="DK36" i="10"/>
  <c r="DU28" i="10"/>
  <c r="DK28" i="10"/>
  <c r="DU73" i="10"/>
  <c r="DK73" i="10"/>
  <c r="DU40" i="10"/>
  <c r="DK40" i="10"/>
  <c r="DU50" i="10"/>
  <c r="DV50" i="10" s="1"/>
  <c r="DK50" i="10"/>
  <c r="DU20" i="10"/>
  <c r="DV20" i="10" s="1"/>
  <c r="DK20" i="10"/>
  <c r="DU94" i="10"/>
  <c r="DV94" i="10" s="1"/>
  <c r="DU93" i="10"/>
  <c r="DV93" i="10" s="1"/>
  <c r="DU91" i="10"/>
  <c r="DV91" i="10" s="1"/>
  <c r="DU92" i="10"/>
  <c r="DV92" i="10" s="1"/>
  <c r="DU90" i="10"/>
  <c r="DV90" i="10" s="1"/>
  <c r="DU87" i="10"/>
  <c r="DV87" i="10" s="1"/>
  <c r="DU88" i="10"/>
  <c r="DV88" i="10" s="1"/>
  <c r="DU89" i="10"/>
  <c r="DV89" i="10" s="1"/>
  <c r="DU34" i="10"/>
  <c r="DV34" i="10" s="1"/>
  <c r="DU45" i="10"/>
  <c r="DV45" i="10" s="1"/>
  <c r="DU86" i="10"/>
  <c r="DV86" i="10" s="1"/>
  <c r="DV83" i="10"/>
  <c r="DV81" i="10"/>
  <c r="DV84" i="10"/>
  <c r="DV85" i="10"/>
  <c r="DV82" i="10"/>
  <c r="DI81" i="10" l="1"/>
  <c r="DJ81" i="10" s="1"/>
  <c r="H81" i="10" s="1"/>
  <c r="BO86" i="7" s="1"/>
  <c r="DI78" i="10"/>
  <c r="DJ78" i="10" s="1"/>
  <c r="H78" i="10" s="1"/>
  <c r="BO83" i="7" s="1"/>
  <c r="DI84" i="10"/>
  <c r="DJ84" i="10" s="1"/>
  <c r="DI85" i="10"/>
  <c r="DJ85" i="10" s="1"/>
  <c r="DI86" i="10"/>
  <c r="DJ86" i="10" s="1"/>
  <c r="DI79" i="10"/>
  <c r="DJ79" i="10" s="1"/>
  <c r="H79" i="10" s="1"/>
  <c r="BO84" i="7" s="1"/>
  <c r="DI83" i="10"/>
  <c r="DJ83" i="10" s="1"/>
  <c r="H83" i="10" s="1"/>
  <c r="BO88" i="7" s="1"/>
  <c r="DI80" i="10"/>
  <c r="DJ80" i="10" s="1"/>
  <c r="H80" i="10" s="1"/>
  <c r="BO85" i="7" s="1"/>
  <c r="DI82" i="10"/>
  <c r="DJ82" i="10" s="1"/>
  <c r="H82" i="10" s="1"/>
  <c r="BO87" i="7" s="1"/>
  <c r="DV69" i="10"/>
  <c r="DI77" i="10"/>
  <c r="DJ77" i="10" s="1"/>
  <c r="H77" i="10" s="1"/>
  <c r="BO82" i="7" s="1"/>
  <c r="DV72" i="10"/>
  <c r="DI50" i="10"/>
  <c r="DJ50" i="10" s="1"/>
  <c r="H50" i="10" s="1"/>
  <c r="BO55" i="7" s="1"/>
  <c r="DI52" i="10"/>
  <c r="DJ52" i="10" s="1"/>
  <c r="H52" i="10" s="1"/>
  <c r="BO57" i="7" s="1"/>
  <c r="DI27" i="10"/>
  <c r="DJ27" i="10" s="1"/>
  <c r="H27" i="10" s="1"/>
  <c r="BO32" i="7" s="1"/>
  <c r="DI67" i="10"/>
  <c r="DJ67" i="10" s="1"/>
  <c r="H67" i="10" s="1"/>
  <c r="BO72" i="7" s="1"/>
  <c r="DI68" i="10"/>
  <c r="DJ68" i="10" s="1"/>
  <c r="H68" i="10" s="1"/>
  <c r="BO73" i="7" s="1"/>
  <c r="DI62" i="10"/>
  <c r="DJ62" i="10" s="1"/>
  <c r="H62" i="10" s="1"/>
  <c r="BO67" i="7" s="1"/>
  <c r="DI24" i="10"/>
  <c r="DJ24" i="10" s="1"/>
  <c r="H24" i="10" s="1"/>
  <c r="BO29" i="7" s="1"/>
  <c r="DI28" i="10"/>
  <c r="DJ28" i="10" s="1"/>
  <c r="H28" i="10" s="1"/>
  <c r="BO33" i="7" s="1"/>
  <c r="DI34" i="10"/>
  <c r="DJ34" i="10" s="1"/>
  <c r="H34" i="10" s="1"/>
  <c r="BO39" i="7" s="1"/>
  <c r="DI18" i="10"/>
  <c r="DJ18" i="10" s="1"/>
  <c r="H18" i="10" s="1"/>
  <c r="BO23" i="7" s="1"/>
  <c r="DI32" i="10"/>
  <c r="DJ32" i="10" s="1"/>
  <c r="H32" i="10" s="1"/>
  <c r="BO37" i="7" s="1"/>
  <c r="DV22" i="10"/>
  <c r="DI59" i="10"/>
  <c r="DJ59" i="10" s="1"/>
  <c r="H59" i="10" s="1"/>
  <c r="BO64" i="7" s="1"/>
  <c r="DI41" i="10"/>
  <c r="DJ41" i="10" s="1"/>
  <c r="H41" i="10" s="1"/>
  <c r="BO46" i="7" s="1"/>
  <c r="DI33" i="10"/>
  <c r="DJ33" i="10" s="1"/>
  <c r="H33" i="10" s="1"/>
  <c r="BO38" i="7" s="1"/>
  <c r="DI45" i="10"/>
  <c r="DJ45" i="10" s="1"/>
  <c r="H45" i="10" s="1"/>
  <c r="BO50" i="7" s="1"/>
  <c r="DI37" i="10"/>
  <c r="DJ37" i="10" s="1"/>
  <c r="H37" i="10" s="1"/>
  <c r="BO42" i="7" s="1"/>
  <c r="DI69" i="10"/>
  <c r="DJ69" i="10" s="1"/>
  <c r="H69" i="10" s="1"/>
  <c r="BO74" i="7" s="1"/>
  <c r="DI46" i="10"/>
  <c r="DJ46" i="10" s="1"/>
  <c r="H46" i="10" s="1"/>
  <c r="BO51" i="7" s="1"/>
  <c r="DI26" i="10"/>
  <c r="DJ26" i="10" s="1"/>
  <c r="H26" i="10" s="1"/>
  <c r="BO31" i="7" s="1"/>
  <c r="DI64" i="10"/>
  <c r="DJ64" i="10" s="1"/>
  <c r="H64" i="10" s="1"/>
  <c r="BO69" i="7" s="1"/>
  <c r="DI70" i="10"/>
  <c r="DJ70" i="10" s="1"/>
  <c r="H70" i="10" s="1"/>
  <c r="BO75" i="7" s="1"/>
  <c r="DV31" i="10"/>
  <c r="DI35" i="10"/>
  <c r="DJ35" i="10" s="1"/>
  <c r="H35" i="10" s="1"/>
  <c r="BO40" i="7" s="1"/>
  <c r="DI15" i="10"/>
  <c r="DJ15" i="10" s="1"/>
  <c r="H15" i="10" s="1"/>
  <c r="BO20" i="7" s="1"/>
  <c r="DI75" i="10"/>
  <c r="DJ75" i="10" s="1"/>
  <c r="H75" i="10" s="1"/>
  <c r="BO80" i="7" s="1"/>
  <c r="DI29" i="10"/>
  <c r="DJ29" i="10" s="1"/>
  <c r="H29" i="10" s="1"/>
  <c r="BO34" i="7" s="1"/>
  <c r="DI43" i="10"/>
  <c r="DJ43" i="10" s="1"/>
  <c r="H43" i="10" s="1"/>
  <c r="BO48" i="7" s="1"/>
  <c r="DI65" i="10"/>
  <c r="DJ65" i="10" s="1"/>
  <c r="H65" i="10" s="1"/>
  <c r="BO70" i="7" s="1"/>
  <c r="DI42" i="10"/>
  <c r="DJ42" i="10" s="1"/>
  <c r="H42" i="10" s="1"/>
  <c r="BO47" i="7" s="1"/>
  <c r="DI39" i="10"/>
  <c r="DJ39" i="10" s="1"/>
  <c r="H39" i="10" s="1"/>
  <c r="BO44" i="7" s="1"/>
  <c r="DI13" i="10"/>
  <c r="DJ13" i="10" s="1"/>
  <c r="H13" i="10" s="1"/>
  <c r="BO18" i="7" s="1"/>
  <c r="DI19" i="10"/>
  <c r="DJ19" i="10" s="1"/>
  <c r="H19" i="10" s="1"/>
  <c r="BO24" i="7" s="1"/>
  <c r="DI25" i="10"/>
  <c r="DJ25" i="10" s="1"/>
  <c r="H25" i="10" s="1"/>
  <c r="BO30" i="7" s="1"/>
  <c r="DI44" i="10"/>
  <c r="DJ44" i="10" s="1"/>
  <c r="H44" i="10" s="1"/>
  <c r="BO49" i="7" s="1"/>
  <c r="DV28" i="10"/>
  <c r="DI14" i="10"/>
  <c r="DJ14" i="10" s="1"/>
  <c r="DV16" i="10"/>
  <c r="DI66" i="10"/>
  <c r="DJ66" i="10" s="1"/>
  <c r="H66" i="10" s="1"/>
  <c r="BO71" i="7" s="1"/>
  <c r="DI17" i="10"/>
  <c r="DJ17" i="10" s="1"/>
  <c r="H17" i="10" s="1"/>
  <c r="BO22" i="7" s="1"/>
  <c r="DV54" i="10"/>
  <c r="DI30" i="10"/>
  <c r="DJ30" i="10" s="1"/>
  <c r="H30" i="10" s="1"/>
  <c r="BO35" i="7" s="1"/>
  <c r="DI56" i="10"/>
  <c r="DJ56" i="10" s="1"/>
  <c r="H56" i="10" s="1"/>
  <c r="BO61" i="7" s="1"/>
  <c r="DV13" i="10"/>
  <c r="DI47" i="10"/>
  <c r="DJ47" i="10" s="1"/>
  <c r="H47" i="10" s="1"/>
  <c r="BO52" i="7" s="1"/>
  <c r="DI53" i="10"/>
  <c r="DJ53" i="10" s="1"/>
  <c r="H53" i="10" s="1"/>
  <c r="BO58" i="7" s="1"/>
  <c r="DV30" i="10"/>
  <c r="DI48" i="10"/>
  <c r="DJ48" i="10" s="1"/>
  <c r="H48" i="10" s="1"/>
  <c r="BO53" i="7" s="1"/>
  <c r="DI55" i="10"/>
  <c r="DJ55" i="10" s="1"/>
  <c r="H55" i="10" s="1"/>
  <c r="BO60" i="7" s="1"/>
  <c r="DI54" i="10"/>
  <c r="DJ54" i="10" s="1"/>
  <c r="H54" i="10" s="1"/>
  <c r="BO59" i="7" s="1"/>
  <c r="DI16" i="10"/>
  <c r="DJ16" i="10" s="1"/>
  <c r="H16" i="10" s="1"/>
  <c r="BO21" i="7" s="1"/>
  <c r="DI58" i="10"/>
  <c r="DJ58" i="10" s="1"/>
  <c r="H58" i="10" s="1"/>
  <c r="BO63" i="7" s="1"/>
  <c r="DI60" i="10"/>
  <c r="DJ60" i="10" s="1"/>
  <c r="H60" i="10" s="1"/>
  <c r="BO65" i="7" s="1"/>
  <c r="DI71" i="10"/>
  <c r="DJ71" i="10" s="1"/>
  <c r="H71" i="10" s="1"/>
  <c r="BO76" i="7" s="1"/>
  <c r="DI21" i="10"/>
  <c r="DJ21" i="10" s="1"/>
  <c r="H21" i="10" s="1"/>
  <c r="BO26" i="7" s="1"/>
  <c r="DV42" i="10"/>
  <c r="DI49" i="10"/>
  <c r="DJ49" i="10" s="1"/>
  <c r="H49" i="10" s="1"/>
  <c r="BO54" i="7" s="1"/>
  <c r="DI23" i="10"/>
  <c r="DJ23" i="10" s="1"/>
  <c r="H23" i="10" s="1"/>
  <c r="BO28" i="7" s="1"/>
  <c r="DI22" i="10"/>
  <c r="DJ22" i="10" s="1"/>
  <c r="H22" i="10" s="1"/>
  <c r="BO27" i="7" s="1"/>
  <c r="DI36" i="10"/>
  <c r="DJ36" i="10" s="1"/>
  <c r="H36" i="10" s="1"/>
  <c r="BO41" i="7" s="1"/>
  <c r="DI63" i="10"/>
  <c r="DJ63" i="10" s="1"/>
  <c r="H63" i="10" s="1"/>
  <c r="BO68" i="7" s="1"/>
  <c r="DI38" i="10"/>
  <c r="DJ38" i="10" s="1"/>
  <c r="H38" i="10" s="1"/>
  <c r="BO43" i="7" s="1"/>
  <c r="DV65" i="10"/>
  <c r="DI40" i="10"/>
  <c r="DJ40" i="10" s="1"/>
  <c r="H40" i="10" s="1"/>
  <c r="BO45" i="7" s="1"/>
  <c r="DI73" i="10"/>
  <c r="DJ73" i="10" s="1"/>
  <c r="H73" i="10" s="1"/>
  <c r="BO78" i="7" s="1"/>
  <c r="DI72" i="10"/>
  <c r="DJ72" i="10" s="1"/>
  <c r="H72" i="10" s="1"/>
  <c r="BO77" i="7" s="1"/>
  <c r="DI57" i="10"/>
  <c r="DJ57" i="10" s="1"/>
  <c r="H57" i="10" s="1"/>
  <c r="BO62" i="7" s="1"/>
  <c r="DI31" i="10"/>
  <c r="DJ31" i="10" s="1"/>
  <c r="H31" i="10" s="1"/>
  <c r="BO36" i="7" s="1"/>
  <c r="DI51" i="10"/>
  <c r="DJ51" i="10" s="1"/>
  <c r="H51" i="10" s="1"/>
  <c r="BO56" i="7" s="1"/>
  <c r="DI20" i="10"/>
  <c r="DJ20" i="10" s="1"/>
  <c r="H20" i="10" s="1"/>
  <c r="BO25" i="7" s="1"/>
  <c r="DI61" i="10"/>
  <c r="DJ61" i="10" s="1"/>
  <c r="H61" i="10" s="1"/>
  <c r="BO66" i="7" s="1"/>
  <c r="DI74" i="10"/>
  <c r="DJ74" i="10" s="1"/>
  <c r="H74" i="10" s="1"/>
  <c r="BO79" i="7" s="1"/>
  <c r="DI76" i="10"/>
  <c r="DJ76" i="10" s="1"/>
  <c r="H76" i="10" s="1"/>
  <c r="BO81" i="7" s="1"/>
  <c r="DV44" i="10"/>
  <c r="DV35" i="10"/>
  <c r="H12" i="10"/>
  <c r="BO17" i="7" s="1"/>
  <c r="BP17" i="7" s="1"/>
  <c r="DV67" i="10"/>
  <c r="DV36" i="10"/>
  <c r="DV53" i="10"/>
  <c r="B46" i="8"/>
  <c r="DV78" i="10"/>
  <c r="J70" i="9"/>
  <c r="DV29" i="10"/>
  <c r="DV71" i="10"/>
  <c r="DV58" i="10"/>
  <c r="DV33" i="10"/>
  <c r="DV38" i="10"/>
  <c r="DV25" i="10"/>
  <c r="DV46" i="10"/>
  <c r="DV52" i="10"/>
  <c r="DV68" i="10"/>
  <c r="C47" i="8"/>
  <c r="B48" i="8"/>
  <c r="C45" i="8"/>
  <c r="B45" i="8"/>
  <c r="C48" i="8"/>
  <c r="B47" i="8"/>
  <c r="C46" i="8"/>
  <c r="DV12" i="10"/>
  <c r="DV40" i="10"/>
  <c r="DV73" i="10"/>
  <c r="DV23" i="10"/>
  <c r="D29" i="15"/>
  <c r="BP21" i="7" l="1"/>
  <c r="J8" i="9"/>
  <c r="BP18" i="7"/>
  <c r="J5" i="9"/>
  <c r="BP20" i="7"/>
  <c r="J7" i="9"/>
  <c r="H86" i="10"/>
  <c r="J75" i="9" s="1"/>
  <c r="H85" i="10"/>
  <c r="J74" i="9" s="1"/>
  <c r="H84" i="10"/>
  <c r="J73" i="9" s="1"/>
  <c r="J42" i="9"/>
  <c r="J50" i="9"/>
  <c r="J41" i="9"/>
  <c r="J44" i="9"/>
  <c r="J61" i="9"/>
  <c r="J32" i="9"/>
  <c r="J55" i="9"/>
  <c r="J39" i="9"/>
  <c r="J47" i="9"/>
  <c r="J30" i="9"/>
  <c r="J71" i="9"/>
  <c r="J35" i="9"/>
  <c r="J38" i="9"/>
  <c r="J37" i="9"/>
  <c r="J49" i="9"/>
  <c r="J60" i="9"/>
  <c r="J72" i="9"/>
  <c r="J29" i="9"/>
  <c r="J56" i="9"/>
  <c r="J28" i="9"/>
  <c r="J53" i="9"/>
  <c r="J40" i="9"/>
  <c r="J36" i="9"/>
  <c r="J59" i="9"/>
  <c r="J43" i="9"/>
  <c r="J62" i="9"/>
  <c r="J51" i="9"/>
  <c r="J48" i="9"/>
  <c r="J31" i="9"/>
  <c r="J33" i="9"/>
  <c r="J57" i="9"/>
  <c r="J34" i="9"/>
  <c r="J27" i="9"/>
  <c r="J45" i="9"/>
  <c r="J58" i="9"/>
  <c r="J52" i="9"/>
  <c r="J46" i="9"/>
  <c r="BP83" i="7"/>
  <c r="J19" i="9"/>
  <c r="J54" i="9"/>
  <c r="J15" i="9"/>
  <c r="J64" i="9"/>
  <c r="J69" i="9"/>
  <c r="J18" i="9"/>
  <c r="J23" i="9"/>
  <c r="J22" i="9"/>
  <c r="J16" i="9"/>
  <c r="J11" i="9"/>
  <c r="J26" i="9"/>
  <c r="J14" i="9"/>
  <c r="J67" i="9"/>
  <c r="J13" i="9"/>
  <c r="J24" i="9"/>
  <c r="J12" i="9"/>
  <c r="J63" i="9"/>
  <c r="J65" i="9"/>
  <c r="J21" i="9"/>
  <c r="J66" i="9"/>
  <c r="J20" i="9"/>
  <c r="J68" i="9"/>
  <c r="J17" i="9"/>
  <c r="J25" i="9"/>
  <c r="BO11" i="7"/>
  <c r="BO6" i="7"/>
  <c r="C20" i="8" s="1"/>
  <c r="J4" i="9"/>
  <c r="DI9" i="10"/>
  <c r="E29" i="15" s="1"/>
  <c r="DS77" i="10" a="1"/>
  <c r="DS77" i="10" s="1"/>
  <c r="BP22" i="7" l="1"/>
  <c r="J9" i="9"/>
  <c r="BP23" i="7"/>
  <c r="J10" i="9"/>
  <c r="BP36" i="7"/>
  <c r="BP79" i="7"/>
  <c r="BP76" i="7"/>
  <c r="BP31" i="7"/>
  <c r="BP77" i="7"/>
  <c r="BP26" i="7"/>
  <c r="BP67" i="7"/>
  <c r="BP32" i="7"/>
  <c r="BP33" i="7"/>
  <c r="BP39" i="7"/>
  <c r="BP25" i="7"/>
  <c r="BP37" i="7"/>
  <c r="BP80" i="7"/>
  <c r="BP29" i="7"/>
  <c r="BP35" i="7"/>
  <c r="BP88" i="7"/>
  <c r="BP87" i="7"/>
  <c r="BP86" i="7"/>
  <c r="BP40" i="7"/>
  <c r="BP71" i="7"/>
  <c r="BP49" i="7"/>
  <c r="BP48" i="7"/>
  <c r="BP58" i="7"/>
  <c r="BP53" i="7"/>
  <c r="BP84" i="7"/>
  <c r="BP66" i="7"/>
  <c r="BP43" i="7"/>
  <c r="BP47" i="7"/>
  <c r="BP41" i="7"/>
  <c r="BP60" i="7"/>
  <c r="BP70" i="7"/>
  <c r="BP69" i="7"/>
  <c r="BP52" i="7"/>
  <c r="BP46" i="7"/>
  <c r="BP42" i="7"/>
  <c r="BP68" i="7"/>
  <c r="BP44" i="7"/>
  <c r="BP45" i="7"/>
  <c r="BP61" i="7"/>
  <c r="BP74" i="7"/>
  <c r="BP64" i="7"/>
  <c r="BP73" i="7"/>
  <c r="BP57" i="7"/>
  <c r="BP75" i="7"/>
  <c r="BP62" i="7"/>
  <c r="BP54" i="7"/>
  <c r="BP59" i="7"/>
  <c r="BP56" i="7"/>
  <c r="BP50" i="7"/>
  <c r="BP63" i="7"/>
  <c r="BP65" i="7"/>
  <c r="BP72" i="7"/>
  <c r="BP51" i="7"/>
  <c r="BP55" i="7"/>
  <c r="BP85" i="7"/>
  <c r="BP82" i="7"/>
  <c r="BP38" i="7"/>
  <c r="BP34" i="7"/>
  <c r="BP28" i="7"/>
  <c r="BP78" i="7"/>
  <c r="BP24" i="7"/>
  <c r="BP30" i="7"/>
  <c r="BP81" i="7"/>
  <c r="BP27" i="7"/>
  <c r="BP6" i="7"/>
  <c r="C19" i="8" s="1"/>
  <c r="C18" i="8" s="1"/>
  <c r="DS13" i="10" a="1"/>
  <c r="DS13" i="10" s="1"/>
  <c r="DS45" i="10" a="1"/>
  <c r="DS45" i="10" s="1"/>
  <c r="DS16" i="10" a="1"/>
  <c r="DS16" i="10" s="1"/>
  <c r="DS15" i="10" a="1"/>
  <c r="DS15" i="10" s="1"/>
  <c r="DS58" i="10" a="1"/>
  <c r="DS58" i="10" s="1"/>
  <c r="DS54" i="10" a="1"/>
  <c r="DS54" i="10" s="1"/>
  <c r="DS29" i="10" a="1"/>
  <c r="DS29" i="10" s="1"/>
  <c r="DS36" i="10" a="1"/>
  <c r="DS36" i="10" s="1"/>
  <c r="DS24" i="10" a="1"/>
  <c r="DS24" i="10" s="1"/>
  <c r="DS90" i="10" a="1"/>
  <c r="DS90" i="10" s="1"/>
  <c r="DS86" i="10" a="1"/>
  <c r="DS86" i="10" s="1"/>
  <c r="DS30" i="10" a="1"/>
  <c r="DS30" i="10" s="1"/>
  <c r="DS17" i="10" a="1"/>
  <c r="DS17" i="10" s="1"/>
  <c r="DS71" i="10" a="1"/>
  <c r="DS71" i="10" s="1"/>
  <c r="DS68" i="10" a="1"/>
  <c r="DS68" i="10" s="1"/>
  <c r="DS72" i="10" a="1"/>
  <c r="DS72" i="10" s="1"/>
  <c r="DS73" i="10" a="1"/>
  <c r="DS73" i="10" s="1"/>
  <c r="DS93" i="10" a="1"/>
  <c r="DS93" i="10" s="1"/>
  <c r="DS43" i="10" a="1"/>
  <c r="DS43" i="10" s="1"/>
  <c r="DS35" i="10" a="1"/>
  <c r="DS35" i="10" s="1"/>
  <c r="DS34" i="10" a="1"/>
  <c r="DS34" i="10" s="1"/>
  <c r="DS20" i="10" a="1"/>
  <c r="DS20" i="10" s="1"/>
  <c r="DS53" i="10" a="1"/>
  <c r="DS53" i="10" s="1"/>
  <c r="DS32" i="10" a="1"/>
  <c r="DS32" i="10" s="1"/>
  <c r="DS75" i="10" a="1"/>
  <c r="DS75" i="10" s="1"/>
  <c r="DS66" i="10" a="1"/>
  <c r="DS66" i="10" s="1"/>
  <c r="DS62" i="10" a="1"/>
  <c r="DS62" i="10" s="1"/>
  <c r="DS33" i="10" a="1"/>
  <c r="DS33" i="10" s="1"/>
  <c r="DS56" i="10" a="1"/>
  <c r="DS56" i="10" s="1"/>
  <c r="DS44" i="10" a="1"/>
  <c r="DS44" i="10" s="1"/>
  <c r="DS94" i="10" a="1"/>
  <c r="DS94" i="10" s="1"/>
  <c r="DS42" i="10" a="1"/>
  <c r="DS42" i="10" s="1"/>
  <c r="DS38" i="10" a="1"/>
  <c r="DS38" i="10" s="1"/>
  <c r="DS85" i="10" a="1"/>
  <c r="DS85" i="10" s="1"/>
  <c r="DS23" i="10" a="1"/>
  <c r="DS23" i="10" s="1"/>
  <c r="DS88" i="10" a="1"/>
  <c r="DS88" i="10" s="1"/>
  <c r="DS92" i="10" a="1"/>
  <c r="DS92" i="10" s="1"/>
  <c r="DS81" i="10" a="1"/>
  <c r="DS81" i="10" s="1"/>
  <c r="DS49" i="10" a="1"/>
  <c r="DS49" i="10" s="1"/>
  <c r="DS51" i="10" a="1"/>
  <c r="DS51" i="10" s="1"/>
  <c r="DS47" i="10" a="1"/>
  <c r="DS47" i="10" s="1"/>
  <c r="DS28" i="10" a="1"/>
  <c r="DS28" i="10" s="1"/>
  <c r="DS40" i="10" a="1"/>
  <c r="DS40" i="10" s="1"/>
  <c r="DS21" i="10" a="1"/>
  <c r="DS21" i="10" s="1"/>
  <c r="DS79" i="10" a="1"/>
  <c r="DS79" i="10" s="1"/>
  <c r="DS83" i="10" a="1"/>
  <c r="DS83" i="10" s="1"/>
  <c r="DS74" i="10" a="1"/>
  <c r="DS74" i="10" s="1"/>
  <c r="DS70" i="10" a="1"/>
  <c r="DS70" i="10" s="1"/>
  <c r="DS37" i="10" a="1"/>
  <c r="DS37" i="10" s="1"/>
  <c r="DS80" i="10" a="1"/>
  <c r="DS80" i="10" s="1"/>
  <c r="DS64" i="10" a="1"/>
  <c r="DS64" i="10" s="1"/>
  <c r="DS59" i="10" a="1"/>
  <c r="DS59" i="10" s="1"/>
  <c r="DS50" i="10" a="1"/>
  <c r="DS50" i="10" s="1"/>
  <c r="DS61" i="10" a="1"/>
  <c r="DS61" i="10" s="1"/>
  <c r="DS60" i="10" a="1"/>
  <c r="DS60" i="10" s="1"/>
  <c r="DS31" i="10" a="1"/>
  <c r="DS31" i="10" s="1"/>
  <c r="DS19" i="10" a="1"/>
  <c r="DS19" i="10" s="1"/>
  <c r="DS14" i="10" a="1"/>
  <c r="DS14" i="10" s="1"/>
  <c r="DS18" i="10" a="1"/>
  <c r="DS18" i="10" s="1"/>
  <c r="DS57" i="10" a="1"/>
  <c r="DS57" i="10" s="1"/>
  <c r="DS55" i="10" a="1"/>
  <c r="DS55" i="10" s="1"/>
  <c r="DS84" i="10" a="1"/>
  <c r="DS84" i="10" s="1"/>
  <c r="DS48" i="10" a="1"/>
  <c r="DS48" i="10" s="1"/>
  <c r="DS46" i="10" a="1"/>
  <c r="DS46" i="10" s="1"/>
  <c r="DS25" i="10" a="1"/>
  <c r="DS25" i="10" s="1"/>
  <c r="DS91" i="10" a="1"/>
  <c r="DS91" i="10" s="1"/>
  <c r="DS87" i="10" a="1"/>
  <c r="DS87" i="10" s="1"/>
  <c r="DS82" i="10" a="1"/>
  <c r="DS82" i="10" s="1"/>
  <c r="DS78" i="10" a="1"/>
  <c r="DS78" i="10" s="1"/>
  <c r="DS41" i="10" a="1"/>
  <c r="DS41" i="10" s="1"/>
  <c r="DS89" i="10" a="1"/>
  <c r="DS89" i="10" s="1"/>
  <c r="DS63" i="10" a="1"/>
  <c r="DS63" i="10" s="1"/>
  <c r="DS67" i="10" a="1"/>
  <c r="DS67" i="10" s="1"/>
  <c r="DS52" i="10" a="1"/>
  <c r="DS52" i="10" s="1"/>
  <c r="DS69" i="10" a="1"/>
  <c r="DS69" i="10" s="1"/>
  <c r="DS76" i="10" a="1"/>
  <c r="DS76" i="10" s="1"/>
  <c r="DS39" i="10" a="1"/>
  <c r="DS39" i="10" s="1"/>
  <c r="DS27" i="10" a="1"/>
  <c r="DS27" i="10" s="1"/>
  <c r="DS26" i="10" a="1"/>
  <c r="DS26" i="10" s="1"/>
  <c r="DS22" i="10" a="1"/>
  <c r="DS22" i="10" s="1"/>
  <c r="DS65" i="10" a="1"/>
  <c r="DS65" i="10" s="1"/>
  <c r="H14" i="10"/>
  <c r="BO19" i="7" s="1"/>
  <c r="DS12" i="10" a="1"/>
  <c r="DS12" i="10" s="1"/>
  <c r="DJ9" i="10"/>
  <c r="BP19" i="7" l="1"/>
  <c r="BP15" i="7" s="1"/>
  <c r="J6" i="9"/>
  <c r="U4" i="9" s="1"/>
  <c r="DT91" i="10"/>
  <c r="DT93" i="10"/>
  <c r="DT94" i="10"/>
  <c r="DT87" i="10"/>
  <c r="DT88" i="10"/>
  <c r="DT90" i="10"/>
  <c r="DT92" i="10"/>
  <c r="DT89" i="10"/>
  <c r="D48" i="8"/>
  <c r="E48" i="8" s="1"/>
  <c r="D45" i="8"/>
  <c r="E45" i="8" s="1"/>
  <c r="D47" i="8"/>
  <c r="E47" i="8" s="1"/>
  <c r="D46" i="8"/>
  <c r="E46" i="8" s="1"/>
  <c r="DT76" i="10"/>
  <c r="DT47" i="10"/>
  <c r="DT32" i="10"/>
  <c r="DT75" i="10"/>
  <c r="DT55" i="10"/>
  <c r="DT39" i="10"/>
  <c r="DT30" i="10"/>
  <c r="DT12" i="10"/>
  <c r="DT17" i="10"/>
  <c r="DT59" i="10"/>
  <c r="DT21" i="10"/>
  <c r="DT64" i="10"/>
  <c r="DT49" i="10"/>
  <c r="H9" i="10"/>
  <c r="DT71" i="10"/>
  <c r="DT65" i="10"/>
  <c r="DT45" i="10"/>
  <c r="DT70" i="10"/>
  <c r="DT52" i="10"/>
  <c r="DT74" i="10"/>
  <c r="DT81" i="10"/>
  <c r="DT84" i="10"/>
  <c r="DT44" i="10"/>
  <c r="DT50" i="10"/>
  <c r="DT53" i="10"/>
  <c r="DT69" i="10"/>
  <c r="DT62" i="10"/>
  <c r="DT48" i="10"/>
  <c r="DT46" i="10"/>
  <c r="DT83" i="10"/>
  <c r="DT29" i="10"/>
  <c r="DT86" i="10"/>
  <c r="DT31" i="10"/>
  <c r="DT41" i="10"/>
  <c r="DT79" i="10"/>
  <c r="DT43" i="10"/>
  <c r="DT85" i="10"/>
  <c r="DT78" i="10"/>
  <c r="DT73" i="10"/>
  <c r="DT67" i="10"/>
  <c r="DT51" i="10"/>
  <c r="DT33" i="10"/>
  <c r="DT24" i="10"/>
  <c r="DT54" i="10"/>
  <c r="DT13" i="10"/>
  <c r="DT60" i="10"/>
  <c r="DT80" i="10"/>
  <c r="DT23" i="10"/>
  <c r="DT57" i="10"/>
  <c r="DT14" i="10"/>
  <c r="DT38" i="10"/>
  <c r="DT66" i="10"/>
  <c r="DT56" i="10"/>
  <c r="DT68" i="10"/>
  <c r="DT34" i="10"/>
  <c r="DT19" i="10"/>
  <c r="DT82" i="10"/>
  <c r="DT22" i="10"/>
  <c r="DT28" i="10"/>
  <c r="DT72" i="10"/>
  <c r="DT15" i="10"/>
  <c r="DT42" i="10"/>
  <c r="DT40" i="10"/>
  <c r="DT63" i="10"/>
  <c r="DT37" i="10"/>
  <c r="DT58" i="10"/>
  <c r="DT27" i="10"/>
  <c r="DT18" i="10"/>
  <c r="DT35" i="10"/>
  <c r="DT61" i="10"/>
  <c r="DT26" i="10"/>
  <c r="DT25" i="10"/>
  <c r="DT20" i="10"/>
  <c r="DT16" i="10"/>
  <c r="DT77" i="10"/>
  <c r="DT36" i="10"/>
  <c r="C81" i="8" l="1"/>
  <c r="C82" i="8" s="1"/>
  <c r="K45" i="8"/>
  <c r="K49" i="8"/>
  <c r="BO7" i="7"/>
  <c r="BO15" i="7"/>
  <c r="BL2" i="33" s="1"/>
  <c r="BM2" i="33" s="1"/>
  <c r="BO12" i="7"/>
  <c r="C9" i="8" s="1"/>
  <c r="C84" i="8" l="1"/>
  <c r="L45" i="8"/>
  <c r="L49" i="8"/>
  <c r="K53" i="8"/>
  <c r="N78" i="9"/>
  <c r="N80" i="9"/>
  <c r="N81" i="9"/>
  <c r="N82" i="9"/>
  <c r="N84" i="9"/>
  <c r="N79" i="9"/>
  <c r="N83" i="9"/>
  <c r="N76" i="9"/>
  <c r="N62" i="9"/>
  <c r="N60" i="9"/>
  <c r="N47" i="9"/>
  <c r="N64" i="9"/>
  <c r="N45" i="9"/>
  <c r="N31" i="9"/>
  <c r="N34" i="9"/>
  <c r="N53" i="9"/>
  <c r="N16" i="9"/>
  <c r="N13" i="9"/>
  <c r="N77" i="9"/>
  <c r="N65" i="9"/>
  <c r="N6" i="9"/>
  <c r="N21" i="9"/>
  <c r="N46" i="9"/>
  <c r="N67" i="9"/>
  <c r="N74" i="9"/>
  <c r="N49" i="9"/>
  <c r="N7" i="9"/>
  <c r="N70" i="9"/>
  <c r="N36" i="9"/>
  <c r="N38" i="9"/>
  <c r="N61" i="9"/>
  <c r="N20" i="9"/>
  <c r="N55" i="9"/>
  <c r="N24" i="9"/>
  <c r="N69" i="9"/>
  <c r="N41" i="9"/>
  <c r="N71" i="9"/>
  <c r="N28" i="9"/>
  <c r="N58" i="9"/>
  <c r="N63" i="9"/>
  <c r="N17" i="9"/>
  <c r="N43" i="9"/>
  <c r="N52" i="9"/>
  <c r="N39" i="9"/>
  <c r="N27" i="9"/>
  <c r="N66" i="9"/>
  <c r="N8" i="9"/>
  <c r="N48" i="9"/>
  <c r="N19" i="9"/>
  <c r="N73" i="9"/>
  <c r="N18" i="9"/>
  <c r="N40" i="9"/>
  <c r="N57" i="9"/>
  <c r="N75" i="9"/>
  <c r="N29" i="9"/>
  <c r="N42" i="9"/>
  <c r="N37" i="9"/>
  <c r="N23" i="9"/>
  <c r="N50" i="9"/>
  <c r="N10" i="9"/>
  <c r="N68" i="9"/>
  <c r="N54" i="9"/>
  <c r="N72" i="9"/>
  <c r="N12" i="9"/>
  <c r="N26" i="9"/>
  <c r="N56" i="9"/>
  <c r="N59" i="9"/>
  <c r="N51" i="9"/>
  <c r="N32" i="9"/>
  <c r="N25" i="9"/>
  <c r="N5" i="9"/>
  <c r="N15" i="9"/>
  <c r="N9" i="9"/>
  <c r="N35" i="9"/>
  <c r="N44" i="9"/>
  <c r="N14" i="9"/>
  <c r="N22" i="9"/>
  <c r="N11" i="9"/>
  <c r="N33" i="9"/>
  <c r="N30" i="9"/>
  <c r="U72" i="9"/>
  <c r="U10" i="9"/>
  <c r="U23" i="9"/>
  <c r="U39" i="9"/>
  <c r="U16" i="9"/>
  <c r="U46" i="9"/>
  <c r="U14" i="9"/>
  <c r="U56" i="9"/>
  <c r="U27" i="9"/>
  <c r="U66" i="9"/>
  <c r="U19" i="9"/>
  <c r="U35" i="9"/>
  <c r="U20" i="9"/>
  <c r="U55" i="9"/>
  <c r="U34" i="9"/>
  <c r="U43" i="9"/>
  <c r="U32" i="9"/>
  <c r="U37" i="9"/>
  <c r="U33" i="9"/>
  <c r="U45" i="9"/>
  <c r="U40" i="9"/>
  <c r="U44" i="9"/>
  <c r="U29" i="9"/>
  <c r="U64" i="9"/>
  <c r="U36" i="9"/>
  <c r="U52" i="9"/>
  <c r="U70" i="9"/>
  <c r="U18" i="9"/>
  <c r="U26" i="9"/>
  <c r="U6" i="9"/>
  <c r="U62" i="9"/>
  <c r="U9" i="9"/>
  <c r="U58" i="9"/>
  <c r="U15" i="9"/>
  <c r="U31" i="9"/>
  <c r="U50" i="9"/>
  <c r="U28" i="9"/>
  <c r="U68" i="9"/>
  <c r="U60" i="9"/>
  <c r="U11" i="9"/>
  <c r="U25" i="9"/>
  <c r="U5" i="9"/>
  <c r="U53" i="9"/>
  <c r="U17" i="9"/>
  <c r="U47" i="9"/>
  <c r="U49" i="9"/>
  <c r="U8" i="9"/>
  <c r="U7" i="9"/>
  <c r="U71" i="9"/>
  <c r="U59" i="9"/>
  <c r="U65" i="9"/>
  <c r="U51" i="9"/>
  <c r="U13" i="9"/>
  <c r="U61" i="9"/>
  <c r="U48" i="9"/>
  <c r="U67" i="9"/>
  <c r="U63" i="9"/>
  <c r="U12" i="9"/>
  <c r="U41" i="9"/>
  <c r="U38" i="9"/>
  <c r="U69" i="9"/>
  <c r="U57" i="9"/>
  <c r="U30" i="9"/>
  <c r="U54" i="9"/>
  <c r="U22" i="9"/>
  <c r="U24" i="9"/>
  <c r="U21" i="9"/>
  <c r="U42" i="9"/>
  <c r="AN15" i="7"/>
  <c r="BP7" i="7"/>
  <c r="E4" i="9"/>
  <c r="E6" i="9" s="1"/>
  <c r="N4" i="9"/>
  <c r="L53" i="8" l="1"/>
  <c r="P83" i="9"/>
  <c r="P79" i="9"/>
  <c r="P84" i="9"/>
  <c r="P82" i="9"/>
  <c r="P81" i="9"/>
  <c r="P80" i="9"/>
  <c r="P78" i="9"/>
  <c r="O83" i="9"/>
  <c r="O79" i="9"/>
  <c r="O84" i="9"/>
  <c r="O82" i="9"/>
  <c r="O81" i="9"/>
  <c r="O80" i="9"/>
  <c r="O78" i="9"/>
  <c r="O45" i="9"/>
  <c r="O65" i="9"/>
  <c r="O44" i="9"/>
  <c r="O49" i="9"/>
  <c r="O56" i="9"/>
  <c r="O47" i="9"/>
  <c r="O42" i="9"/>
  <c r="O48" i="9"/>
  <c r="O53" i="9"/>
  <c r="O52" i="9"/>
  <c r="O50" i="9"/>
  <c r="O59" i="9"/>
  <c r="O58" i="9"/>
  <c r="O67" i="9"/>
  <c r="O66" i="9"/>
  <c r="O60" i="9"/>
  <c r="O54" i="9"/>
  <c r="O63" i="9"/>
  <c r="O62" i="9"/>
  <c r="O64" i="9"/>
  <c r="O57" i="9"/>
  <c r="O55" i="9"/>
  <c r="O43" i="9"/>
  <c r="O51" i="9"/>
  <c r="O61" i="9"/>
  <c r="O46" i="9"/>
  <c r="O25" i="9"/>
  <c r="P25" i="9"/>
  <c r="O27" i="9"/>
  <c r="P27" i="9"/>
  <c r="O16" i="9"/>
  <c r="P16" i="9"/>
  <c r="P19" i="9"/>
  <c r="O19" i="9"/>
  <c r="P22" i="9"/>
  <c r="O22" i="9"/>
  <c r="P34" i="9"/>
  <c r="O34" i="9"/>
  <c r="O18" i="9"/>
  <c r="P18" i="9"/>
  <c r="O37" i="9"/>
  <c r="P37" i="9"/>
  <c r="P46" i="9"/>
  <c r="P60" i="9"/>
  <c r="P58" i="9"/>
  <c r="P53" i="9"/>
  <c r="P55" i="9"/>
  <c r="P54" i="9"/>
  <c r="P59" i="9"/>
  <c r="P57" i="9"/>
  <c r="P44" i="9"/>
  <c r="P66" i="9"/>
  <c r="P43" i="9"/>
  <c r="P50" i="9"/>
  <c r="P49" i="9"/>
  <c r="P62" i="9"/>
  <c r="P42" i="9"/>
  <c r="P47" i="9"/>
  <c r="P52" i="9"/>
  <c r="P56" i="9"/>
  <c r="P64" i="9"/>
  <c r="P61" i="9"/>
  <c r="P51" i="9"/>
  <c r="P67" i="9"/>
  <c r="P65" i="9"/>
  <c r="P63" i="9"/>
  <c r="P45" i="9"/>
  <c r="P48" i="9"/>
  <c r="P15" i="9"/>
  <c r="O15" i="9"/>
  <c r="P26" i="9"/>
  <c r="O26" i="9"/>
  <c r="O40" i="9"/>
  <c r="P40" i="9"/>
  <c r="P68" i="9"/>
  <c r="O68" i="9"/>
  <c r="O39" i="9"/>
  <c r="P39" i="9"/>
  <c r="P32" i="9"/>
  <c r="O32" i="9"/>
  <c r="P5" i="9"/>
  <c r="O5" i="9"/>
  <c r="O6" i="9"/>
  <c r="P6" i="9"/>
  <c r="P17" i="9"/>
  <c r="O17" i="9"/>
  <c r="P9" i="9"/>
  <c r="O9" i="9"/>
  <c r="P31" i="9"/>
  <c r="O31" i="9"/>
  <c r="O36" i="9"/>
  <c r="P36" i="9"/>
  <c r="P76" i="9"/>
  <c r="O76" i="9"/>
  <c r="P69" i="9"/>
  <c r="O69" i="9"/>
  <c r="P20" i="9"/>
  <c r="O20" i="9"/>
  <c r="O12" i="9"/>
  <c r="P12" i="9"/>
  <c r="P35" i="9"/>
  <c r="O35" i="9"/>
  <c r="P30" i="9"/>
  <c r="O30" i="9"/>
  <c r="P24" i="9"/>
  <c r="O24" i="9"/>
  <c r="P23" i="9"/>
  <c r="O23" i="9"/>
  <c r="O33" i="9"/>
  <c r="P33" i="9"/>
  <c r="P41" i="9"/>
  <c r="O41" i="9"/>
  <c r="P71" i="9"/>
  <c r="O71" i="9"/>
  <c r="P38" i="9"/>
  <c r="O38" i="9"/>
  <c r="O11" i="9"/>
  <c r="P11" i="9"/>
  <c r="P14" i="9"/>
  <c r="O14" i="9"/>
  <c r="O4" i="9"/>
  <c r="P4" i="9"/>
  <c r="O13" i="9"/>
  <c r="P13" i="9"/>
  <c r="O28" i="9"/>
  <c r="P28" i="9"/>
  <c r="P8" i="9"/>
  <c r="O8" i="9"/>
  <c r="P70" i="9"/>
  <c r="O70" i="9"/>
  <c r="O29" i="9"/>
  <c r="P29" i="9"/>
  <c r="P72" i="9"/>
  <c r="O72" i="9"/>
  <c r="O74" i="9"/>
  <c r="P74" i="9"/>
  <c r="O21" i="9"/>
  <c r="P21" i="9"/>
  <c r="O75" i="9"/>
  <c r="P75" i="9"/>
  <c r="O73" i="9"/>
  <c r="P73" i="9"/>
  <c r="O7" i="9"/>
  <c r="P7" i="9"/>
  <c r="O77" i="9"/>
  <c r="P77" i="9"/>
  <c r="O10" i="9"/>
  <c r="P10" i="9"/>
  <c r="AA4" i="9" l="1" a="1"/>
  <c r="AA4" i="9" s="1"/>
  <c r="AB4" i="9" s="1"/>
  <c r="AA5" i="9" a="1"/>
  <c r="AA5" i="9" s="1"/>
  <c r="AB5" i="9" s="1"/>
  <c r="AA9" i="9" a="1"/>
  <c r="AA9" i="9" s="1"/>
  <c r="AB9" i="9" s="1"/>
  <c r="AA13" i="9" a="1"/>
  <c r="AA13" i="9" s="1"/>
  <c r="AB13" i="9" s="1"/>
  <c r="AA17" i="9" a="1"/>
  <c r="AA17" i="9" s="1"/>
  <c r="AB17" i="9" s="1"/>
  <c r="AA21" i="9" a="1"/>
  <c r="AA21" i="9" s="1"/>
  <c r="AB21" i="9" s="1"/>
  <c r="AA25" i="9" a="1"/>
  <c r="AA25" i="9" s="1"/>
  <c r="AB25" i="9" s="1"/>
  <c r="AA29" i="9" a="1"/>
  <c r="AA29" i="9" s="1"/>
  <c r="AB29" i="9" s="1"/>
  <c r="AA33" i="9" a="1"/>
  <c r="AA33" i="9" s="1"/>
  <c r="AB33" i="9" s="1"/>
  <c r="AA37" i="9" a="1"/>
  <c r="AA37" i="9" s="1"/>
  <c r="AB37" i="9" s="1"/>
  <c r="AA41" i="9" a="1"/>
  <c r="AA41" i="9" s="1"/>
  <c r="AB41" i="9" s="1"/>
  <c r="AA45" i="9" a="1"/>
  <c r="AA45" i="9" s="1"/>
  <c r="AB45" i="9" s="1"/>
  <c r="AA49" i="9" a="1"/>
  <c r="AA49" i="9" s="1"/>
  <c r="AB49" i="9" s="1"/>
  <c r="AA53" i="9" a="1"/>
  <c r="AA53" i="9" s="1"/>
  <c r="AB53" i="9" s="1"/>
  <c r="AA57" i="9" a="1"/>
  <c r="AA57" i="9" s="1"/>
  <c r="AB57" i="9" s="1"/>
  <c r="AA61" i="9" a="1"/>
  <c r="AA61" i="9" s="1"/>
  <c r="AB61" i="9" s="1"/>
  <c r="AA65" i="9" a="1"/>
  <c r="AA65" i="9" s="1"/>
  <c r="AB65" i="9" s="1"/>
  <c r="AA69" i="9" a="1"/>
  <c r="AA69" i="9" s="1"/>
  <c r="AB69" i="9" s="1"/>
  <c r="AA73" i="9" a="1"/>
  <c r="AA73" i="9" s="1"/>
  <c r="AB73" i="9" s="1"/>
  <c r="AA97" i="9" a="1"/>
  <c r="AA97" i="9" s="1"/>
  <c r="AB97" i="9" s="1"/>
  <c r="AA26" i="9" a="1"/>
  <c r="AA26" i="9" s="1"/>
  <c r="AB26" i="9" s="1"/>
  <c r="AA38" i="9" a="1"/>
  <c r="AA38" i="9" s="1"/>
  <c r="AB38" i="9" s="1"/>
  <c r="AA46" i="9" a="1"/>
  <c r="AA46" i="9" s="1"/>
  <c r="AB46" i="9" s="1"/>
  <c r="AA58" i="9" a="1"/>
  <c r="AA58" i="9" s="1"/>
  <c r="AB58" i="9" s="1"/>
  <c r="AA66" i="9" a="1"/>
  <c r="AA66" i="9" s="1"/>
  <c r="AB66" i="9" s="1"/>
  <c r="AA74" i="9" a="1"/>
  <c r="AA74" i="9" s="1"/>
  <c r="AB74" i="9" s="1"/>
  <c r="AA82" i="9" a="1"/>
  <c r="AA82" i="9" s="1"/>
  <c r="AB82" i="9" s="1"/>
  <c r="AA90" i="9" a="1"/>
  <c r="AA90" i="9" s="1"/>
  <c r="AB90" i="9" s="1"/>
  <c r="AA98" i="9" a="1"/>
  <c r="AA98" i="9" s="1"/>
  <c r="AB98" i="9" s="1"/>
  <c r="AA93" i="9" a="1"/>
  <c r="AA93" i="9" s="1"/>
  <c r="AB93" i="9" s="1"/>
  <c r="AA6" i="9" a="1"/>
  <c r="AA6" i="9" s="1"/>
  <c r="AB6" i="9" s="1"/>
  <c r="AA10" i="9" a="1"/>
  <c r="AA10" i="9" s="1"/>
  <c r="AB10" i="9" s="1"/>
  <c r="AA14" i="9" a="1"/>
  <c r="AA14" i="9" s="1"/>
  <c r="AB14" i="9" s="1"/>
  <c r="AA18" i="9" a="1"/>
  <c r="AA18" i="9" s="1"/>
  <c r="AB18" i="9" s="1"/>
  <c r="AA22" i="9" a="1"/>
  <c r="AA22" i="9" s="1"/>
  <c r="AB22" i="9" s="1"/>
  <c r="AA30" i="9" a="1"/>
  <c r="AA30" i="9" s="1"/>
  <c r="AB30" i="9" s="1"/>
  <c r="AA34" i="9" a="1"/>
  <c r="AA34" i="9" s="1"/>
  <c r="AB34" i="9" s="1"/>
  <c r="AA42" i="9" a="1"/>
  <c r="AA42" i="9" s="1"/>
  <c r="AB42" i="9" s="1"/>
  <c r="AA50" i="9" a="1"/>
  <c r="AA50" i="9" s="1"/>
  <c r="AB50" i="9" s="1"/>
  <c r="AA54" i="9" a="1"/>
  <c r="AA54" i="9" s="1"/>
  <c r="AB54" i="9" s="1"/>
  <c r="AA62" i="9" a="1"/>
  <c r="AA62" i="9" s="1"/>
  <c r="AB62" i="9" s="1"/>
  <c r="AA70" i="9" a="1"/>
  <c r="AA70" i="9" s="1"/>
  <c r="AB70" i="9" s="1"/>
  <c r="AA78" i="9" a="1"/>
  <c r="AA78" i="9" s="1"/>
  <c r="AB78" i="9" s="1"/>
  <c r="AA86" i="9" a="1"/>
  <c r="AA86" i="9" s="1"/>
  <c r="AB86" i="9" s="1"/>
  <c r="AA94" i="9" a="1"/>
  <c r="AA94" i="9" s="1"/>
  <c r="AB94" i="9" s="1"/>
  <c r="AA77" i="9" a="1"/>
  <c r="AA77" i="9" s="1"/>
  <c r="AB77" i="9" s="1"/>
  <c r="AA27" i="9" a="1"/>
  <c r="AA27" i="9" s="1"/>
  <c r="AB27" i="9" s="1"/>
  <c r="AA39" i="9" a="1"/>
  <c r="AA39" i="9" s="1"/>
  <c r="AB39" i="9" s="1"/>
  <c r="AA47" i="9" a="1"/>
  <c r="AA47" i="9" s="1"/>
  <c r="AB47" i="9" s="1"/>
  <c r="AA55" i="9" a="1"/>
  <c r="AA55" i="9" s="1"/>
  <c r="AB55" i="9" s="1"/>
  <c r="AA63" i="9" a="1"/>
  <c r="AA63" i="9" s="1"/>
  <c r="AB63" i="9" s="1"/>
  <c r="AA71" i="9" a="1"/>
  <c r="AA71" i="9" s="1"/>
  <c r="AB71" i="9" s="1"/>
  <c r="AA75" i="9" a="1"/>
  <c r="AA75" i="9" s="1"/>
  <c r="AB75" i="9" s="1"/>
  <c r="AA83" i="9" a="1"/>
  <c r="AA83" i="9" s="1"/>
  <c r="AB83" i="9" s="1"/>
  <c r="AA95" i="9" a="1"/>
  <c r="AA95" i="9" s="1"/>
  <c r="AB95" i="9" s="1"/>
  <c r="AA81" i="9" a="1"/>
  <c r="AA81" i="9" s="1"/>
  <c r="AB81" i="9" s="1"/>
  <c r="AA7" i="9" a="1"/>
  <c r="AA7" i="9" s="1"/>
  <c r="AB7" i="9" s="1"/>
  <c r="AA11" i="9" a="1"/>
  <c r="AA11" i="9" s="1"/>
  <c r="AB11" i="9" s="1"/>
  <c r="AA15" i="9" a="1"/>
  <c r="AA15" i="9" s="1"/>
  <c r="AB15" i="9" s="1"/>
  <c r="AA19" i="9" a="1"/>
  <c r="AA19" i="9" s="1"/>
  <c r="AB19" i="9" s="1"/>
  <c r="AA23" i="9" a="1"/>
  <c r="AA23" i="9" s="1"/>
  <c r="AB23" i="9" s="1"/>
  <c r="AA31" i="9" a="1"/>
  <c r="AA31" i="9" s="1"/>
  <c r="AB31" i="9" s="1"/>
  <c r="AA35" i="9" a="1"/>
  <c r="AA35" i="9" s="1"/>
  <c r="AB35" i="9" s="1"/>
  <c r="AA43" i="9" a="1"/>
  <c r="AA43" i="9" s="1"/>
  <c r="AB43" i="9" s="1"/>
  <c r="AA51" i="9" a="1"/>
  <c r="AA51" i="9" s="1"/>
  <c r="AB51" i="9" s="1"/>
  <c r="AA59" i="9" a="1"/>
  <c r="AA59" i="9" s="1"/>
  <c r="AB59" i="9" s="1"/>
  <c r="AA67" i="9" a="1"/>
  <c r="AA67" i="9" s="1"/>
  <c r="AB67" i="9" s="1"/>
  <c r="AA79" i="9" a="1"/>
  <c r="AA79" i="9" s="1"/>
  <c r="AB79" i="9" s="1"/>
  <c r="AA87" i="9" a="1"/>
  <c r="AA87" i="9" s="1"/>
  <c r="AB87" i="9" s="1"/>
  <c r="AA91" i="9" a="1"/>
  <c r="AA91" i="9" s="1"/>
  <c r="AB91" i="9" s="1"/>
  <c r="AA99" i="9" a="1"/>
  <c r="AA99" i="9" s="1"/>
  <c r="AB99" i="9" s="1"/>
  <c r="AA28" i="9" a="1"/>
  <c r="AA28" i="9" s="1"/>
  <c r="AB28" i="9" s="1"/>
  <c r="AA40" i="9" a="1"/>
  <c r="AA40" i="9" s="1"/>
  <c r="AB40" i="9" s="1"/>
  <c r="AA48" i="9" a="1"/>
  <c r="AA48" i="9" s="1"/>
  <c r="AB48" i="9" s="1"/>
  <c r="AA56" i="9" a="1"/>
  <c r="AA56" i="9" s="1"/>
  <c r="AB56" i="9" s="1"/>
  <c r="AA64" i="9" a="1"/>
  <c r="AA64" i="9" s="1"/>
  <c r="AB64" i="9" s="1"/>
  <c r="AA72" i="9" a="1"/>
  <c r="AA72" i="9" s="1"/>
  <c r="AB72" i="9" s="1"/>
  <c r="AA80" i="9" a="1"/>
  <c r="AA80" i="9" s="1"/>
  <c r="AB80" i="9" s="1"/>
  <c r="AA88" i="9" a="1"/>
  <c r="AA88" i="9" s="1"/>
  <c r="AB88" i="9" s="1"/>
  <c r="AA96" i="9" a="1"/>
  <c r="AA96" i="9" s="1"/>
  <c r="AB96" i="9" s="1"/>
  <c r="AA85" i="9" a="1"/>
  <c r="AA85" i="9" s="1"/>
  <c r="AB85" i="9" s="1"/>
  <c r="AA101" i="9" a="1"/>
  <c r="AA101" i="9" s="1"/>
  <c r="AB101" i="9" s="1"/>
  <c r="AA8" i="9" a="1"/>
  <c r="AA8" i="9" s="1"/>
  <c r="AB8" i="9" s="1"/>
  <c r="AA12" i="9" a="1"/>
  <c r="AA12" i="9" s="1"/>
  <c r="AB12" i="9" s="1"/>
  <c r="AA16" i="9" a="1"/>
  <c r="AA16" i="9" s="1"/>
  <c r="AB16" i="9" s="1"/>
  <c r="AA20" i="9" a="1"/>
  <c r="AA20" i="9" s="1"/>
  <c r="AB20" i="9" s="1"/>
  <c r="AA24" i="9" a="1"/>
  <c r="AA24" i="9" s="1"/>
  <c r="AB24" i="9" s="1"/>
  <c r="AA32" i="9" a="1"/>
  <c r="AA32" i="9" s="1"/>
  <c r="AB32" i="9" s="1"/>
  <c r="AA36" i="9" a="1"/>
  <c r="AA36" i="9" s="1"/>
  <c r="AB36" i="9" s="1"/>
  <c r="AA44" i="9" a="1"/>
  <c r="AA44" i="9" s="1"/>
  <c r="AB44" i="9" s="1"/>
  <c r="AA52" i="9" a="1"/>
  <c r="AA52" i="9" s="1"/>
  <c r="AB52" i="9" s="1"/>
  <c r="AA60" i="9" a="1"/>
  <c r="AA60" i="9" s="1"/>
  <c r="AB60" i="9" s="1"/>
  <c r="AA68" i="9" a="1"/>
  <c r="AA68" i="9" s="1"/>
  <c r="AB68" i="9" s="1"/>
  <c r="AA76" i="9" a="1"/>
  <c r="AA76" i="9" s="1"/>
  <c r="AB76" i="9" s="1"/>
  <c r="AA84" i="9" a="1"/>
  <c r="AA84" i="9" s="1"/>
  <c r="AB84" i="9" s="1"/>
  <c r="AA92" i="9" a="1"/>
  <c r="AA92" i="9" s="1"/>
  <c r="AB92" i="9" s="1"/>
  <c r="AA100" i="9" a="1"/>
  <c r="AA100" i="9" s="1"/>
  <c r="AB100" i="9" s="1"/>
  <c r="AA89" i="9" a="1"/>
  <c r="AA89" i="9" s="1"/>
  <c r="AB89" i="9" s="1"/>
  <c r="E3" i="9" l="1"/>
  <c r="E7" i="9" l="1"/>
  <c r="K69" i="8"/>
  <c r="AM88" i="7" l="1"/>
  <c r="AN88" i="7" s="1"/>
  <c r="AM86" i="7"/>
  <c r="AN86" i="7" s="1"/>
  <c r="AM87" i="7"/>
  <c r="AN87" i="7" s="1"/>
  <c r="AM85" i="7"/>
  <c r="AN85" i="7" s="1"/>
  <c r="AM84" i="7"/>
  <c r="AN84" i="7" s="1"/>
  <c r="AM83" i="7"/>
  <c r="AN83" i="7" s="1"/>
  <c r="AM82" i="7"/>
  <c r="AN82" i="7" s="1"/>
  <c r="AM81" i="7"/>
  <c r="AN81" i="7" s="1"/>
  <c r="AM80" i="7"/>
  <c r="AN80" i="7" s="1"/>
  <c r="AM79" i="7"/>
  <c r="AN79" i="7" s="1"/>
  <c r="AM76" i="7"/>
  <c r="AN76" i="7" s="1"/>
  <c r="AM78" i="7"/>
  <c r="AN78" i="7" s="1"/>
  <c r="AM75" i="7"/>
  <c r="AN75" i="7" s="1"/>
  <c r="AM77" i="7"/>
  <c r="AN77" i="7" s="1"/>
  <c r="AM21" i="7"/>
  <c r="AN21" i="7" s="1"/>
  <c r="AM26" i="7"/>
  <c r="AN26" i="7" s="1"/>
  <c r="AM47" i="7"/>
  <c r="AN47" i="7" s="1"/>
  <c r="AM45" i="7"/>
  <c r="AN45" i="7" s="1"/>
  <c r="AM73" i="7"/>
  <c r="AN73" i="7" s="1"/>
  <c r="AM30" i="7"/>
  <c r="AN30" i="7" s="1"/>
  <c r="AM65" i="7"/>
  <c r="AN65" i="7" s="1"/>
  <c r="AM35" i="7"/>
  <c r="AN35" i="7" s="1"/>
  <c r="AM32" i="7"/>
  <c r="AN32" i="7" s="1"/>
  <c r="AM42" i="7"/>
  <c r="AN42" i="7" s="1"/>
  <c r="AM66" i="7"/>
  <c r="AN66" i="7" s="1"/>
  <c r="AM43" i="7"/>
  <c r="AN43" i="7" s="1"/>
  <c r="AM17" i="7"/>
  <c r="AN17" i="7" s="1"/>
  <c r="AM67" i="7"/>
  <c r="AN67" i="7" s="1"/>
  <c r="AM52" i="7"/>
  <c r="AN52" i="7" s="1"/>
  <c r="AM19" i="7"/>
  <c r="AN19" i="7" s="1"/>
  <c r="AM62" i="7"/>
  <c r="AN62" i="7" s="1"/>
  <c r="AM61" i="7"/>
  <c r="AN61" i="7" s="1"/>
  <c r="AM60" i="7"/>
  <c r="AN60" i="7" s="1"/>
  <c r="AM44" i="7"/>
  <c r="AN44" i="7" s="1"/>
  <c r="AM48" i="7"/>
  <c r="AN48" i="7" s="1"/>
  <c r="AM46" i="7"/>
  <c r="AN46" i="7" s="1"/>
  <c r="AM63" i="7"/>
  <c r="AN63" i="7" s="1"/>
  <c r="AM40" i="7"/>
  <c r="AN40" i="7" s="1"/>
  <c r="AM39" i="7"/>
  <c r="AN39" i="7" s="1"/>
  <c r="AM41" i="7"/>
  <c r="AN41" i="7" s="1"/>
  <c r="AM33" i="7"/>
  <c r="AN33" i="7" s="1"/>
  <c r="AM31" i="7"/>
  <c r="AN31" i="7" s="1"/>
  <c r="AM51" i="7"/>
  <c r="AN51" i="7" s="1"/>
  <c r="AM50" i="7"/>
  <c r="AN50" i="7" s="1"/>
  <c r="AM57" i="7"/>
  <c r="AN57" i="7" s="1"/>
  <c r="AM24" i="7"/>
  <c r="AN24" i="7" s="1"/>
  <c r="AM59" i="7"/>
  <c r="AN59" i="7" s="1"/>
  <c r="AM28" i="7"/>
  <c r="AN28" i="7" s="1"/>
  <c r="AM70" i="7"/>
  <c r="AN70" i="7" s="1"/>
  <c r="AM68" i="7"/>
  <c r="AN68" i="7" s="1"/>
  <c r="AM64" i="7"/>
  <c r="AN64" i="7" s="1"/>
  <c r="AM55" i="7"/>
  <c r="AN55" i="7" s="1"/>
  <c r="AM54" i="7"/>
  <c r="AN54" i="7" s="1"/>
  <c r="AM53" i="7"/>
  <c r="AN53" i="7" s="1"/>
  <c r="AM71" i="7"/>
  <c r="AN71" i="7" s="1"/>
  <c r="C8" i="8"/>
  <c r="K65" i="8" s="1"/>
  <c r="AM69" i="7"/>
  <c r="AN69" i="7" s="1"/>
  <c r="AM74" i="7"/>
  <c r="AN74" i="7" s="1"/>
  <c r="AM58" i="7"/>
  <c r="AN58" i="7" s="1"/>
  <c r="AM49" i="7"/>
  <c r="AN49" i="7" s="1"/>
  <c r="AM22" i="7"/>
  <c r="AN22" i="7" s="1"/>
  <c r="AM38" i="7"/>
  <c r="AN38" i="7" s="1"/>
  <c r="AM29" i="7"/>
  <c r="AN29" i="7" s="1"/>
  <c r="AM72" i="7"/>
  <c r="AN72" i="7" s="1"/>
  <c r="AM34" i="7"/>
  <c r="AN34" i="7" s="1"/>
  <c r="AM18" i="7"/>
  <c r="AN18" i="7" s="1"/>
  <c r="AM27" i="7"/>
  <c r="AN27" i="7" s="1"/>
  <c r="AM23" i="7"/>
  <c r="AN23" i="7" s="1"/>
  <c r="AM25" i="7"/>
  <c r="AN25" i="7" s="1"/>
  <c r="AM37" i="7"/>
  <c r="AN37" i="7" s="1"/>
  <c r="AM36" i="7"/>
  <c r="AN36" i="7" s="1"/>
  <c r="AM56" i="7"/>
  <c r="AN56" i="7" s="1"/>
  <c r="AM20" i="7"/>
  <c r="AN20" i="7" s="1"/>
  <c r="C7" i="15"/>
  <c r="V2" i="33" l="1"/>
  <c r="BN2" i="33"/>
  <c r="BO2" i="33" s="1"/>
  <c r="C7" i="8"/>
  <c r="D7" i="15"/>
  <c r="C8" i="15"/>
  <c r="C9" i="15" s="1"/>
  <c r="D8" i="15"/>
  <c r="E8" i="15" s="1" a="1"/>
  <c r="E8" i="15" s="1"/>
  <c r="E7" i="15" a="1"/>
  <c r="E7" i="15" s="1"/>
  <c r="BP2" i="33" l="1"/>
  <c r="D9" i="15"/>
  <c r="E9" i="15" s="1"/>
  <c r="BS25" i="7" l="1"/>
  <c r="C75" i="8" l="1"/>
  <c r="C68" i="8" l="1"/>
  <c r="K68" i="8" s="1"/>
  <c r="C11" i="8" l="1"/>
  <c r="K38" i="8" s="1"/>
  <c r="K39" i="8" s="1"/>
  <c r="C17" i="8" l="1"/>
  <c r="C24" i="8" s="1"/>
  <c r="C26" i="8" s="1"/>
  <c r="BQ2" i="33"/>
  <c r="E2" i="33"/>
  <c r="W2" i="33" s="1"/>
  <c r="C89" i="8"/>
  <c r="C88" i="8" s="1"/>
  <c r="E12" i="15" l="1"/>
  <c r="E14" i="15" s="1"/>
  <c r="C16" i="8"/>
  <c r="G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Alison WONG</author>
    <author>tc={38DBC2AF-28DD-40A7-805E-DB4FF92BFAB7}</author>
  </authors>
  <commentList>
    <comment ref="O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Alison WONG:</t>
        </r>
        <r>
          <rPr>
            <sz val="9"/>
            <color indexed="81"/>
            <rFont val="Tahoma"/>
            <family val="2"/>
          </rPr>
          <t xml:space="preserve">
To be filled by Ares</t>
        </r>
      </text>
    </comment>
    <comment ref="CA16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RR in BB for now, might be removed later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Jasen YANG</author>
    <author>Matthew Foreman</author>
    <author>Leonardo Marques</author>
  </authors>
  <commentList>
    <comment ref="K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describe underlying structure, do not apply "deemed FL" logic in RCSA</t>
        </r>
      </text>
    </comment>
    <comment ref="BD8" authorId="1" shapeId="0" xr:uid="{00000000-0006-0000-0300-000002000000}">
      <text>
        <r>
          <rPr>
            <sz val="9"/>
            <color indexed="81"/>
            <rFont val="Tahoma"/>
            <family val="2"/>
          </rPr>
          <t>Per BNP 11/19/24</t>
        </r>
      </text>
    </comment>
    <comment ref="BD33" authorId="1" shapeId="0" xr:uid="{00000000-0006-0000-0300-000003000000}">
      <text>
        <r>
          <rPr>
            <sz val="9"/>
            <color indexed="81"/>
            <rFont val="Tahoma"/>
            <family val="2"/>
          </rPr>
          <t>As determined by LM team</t>
        </r>
      </text>
    </comment>
    <comment ref="BD43" authorId="1" shapeId="0" xr:uid="{00000000-0006-0000-0300-000005000000}">
      <text>
        <r>
          <rPr>
            <sz val="9"/>
            <color indexed="81"/>
            <rFont val="Tahoma"/>
            <family val="2"/>
          </rPr>
          <t xml:space="preserve">
Per BNP notice 9.13.24</t>
        </r>
      </text>
    </comment>
    <comment ref="BD48" authorId="1" shapeId="0" xr:uid="{00000000-0006-0000-0300-000006000000}">
      <text>
        <r>
          <rPr>
            <sz val="9"/>
            <color indexed="81"/>
            <rFont val="Tahoma"/>
            <family val="2"/>
          </rPr>
          <t>10/31 quote WSO</t>
        </r>
      </text>
    </comment>
    <comment ref="X60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Matthew Foreman:</t>
        </r>
        <r>
          <rPr>
            <sz val="9"/>
            <color indexed="81"/>
            <rFont val="Tahoma"/>
            <family val="2"/>
          </rPr>
          <t xml:space="preserve">
From funding memo 10.25.24</t>
        </r>
      </text>
    </comment>
    <comment ref="BD64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Matthew Foreman:</t>
        </r>
        <r>
          <rPr>
            <sz val="9"/>
            <color indexed="81"/>
            <rFont val="Tahoma"/>
            <family val="2"/>
          </rPr>
          <t xml:space="preserve">
From BNP 7.12.24</t>
        </r>
      </text>
    </comment>
    <comment ref="X81" authorId="2" shapeId="0" xr:uid="{00000000-0006-0000-0300-00000B000000}">
      <text>
        <r>
          <rPr>
            <sz val="9"/>
            <color indexed="81"/>
            <rFont val="Tahoma"/>
            <family val="2"/>
          </rPr>
          <t xml:space="preserve">
Secondary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Sonja</author>
  </authors>
  <commentList>
    <comment ref="C1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Miller, Sonja:</t>
        </r>
        <r>
          <rPr>
            <sz val="9"/>
            <color indexed="81"/>
            <rFont val="Tahoma"/>
            <family val="2"/>
          </rPr>
          <t xml:space="preserve">
1st Largest / 2nd Largest / All others</t>
        </r>
      </text>
    </comment>
    <comment ref="D1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Miller, Sonja:</t>
        </r>
        <r>
          <rPr>
            <sz val="9"/>
            <color indexed="81"/>
            <rFont val="Tahoma"/>
            <family val="2"/>
          </rPr>
          <t xml:space="preserve">
1st Largest / 2nd Largest / All others</t>
        </r>
      </text>
    </comment>
    <comment ref="C29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Miller, Sonja:</t>
        </r>
        <r>
          <rPr>
            <sz val="9"/>
            <color indexed="81"/>
            <rFont val="Tahoma"/>
            <family val="2"/>
          </rPr>
          <t xml:space="preserve">
1st Largest / 2nd Largest / All others</t>
        </r>
      </text>
    </comment>
    <comment ref="D2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Miller, Sonja:</t>
        </r>
        <r>
          <rPr>
            <sz val="9"/>
            <color indexed="81"/>
            <rFont val="Tahoma"/>
            <family val="2"/>
          </rPr>
          <t xml:space="preserve">
1st Largest / 2nd Largest / All others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<sst xmlns="http://schemas.openxmlformats.org/spreadsheetml/2006/main" count="7325" uniqueCount="1384">
  <si>
    <t>Lien</t>
  </si>
  <si>
    <t>Spread</t>
  </si>
  <si>
    <t>EBITDA</t>
  </si>
  <si>
    <t>AR</t>
  </si>
  <si>
    <t>Tranche Size</t>
  </si>
  <si>
    <t>1L</t>
  </si>
  <si>
    <t>2L</t>
  </si>
  <si>
    <t>Class 1</t>
  </si>
  <si>
    <t>Class 2</t>
  </si>
  <si>
    <t>Class</t>
  </si>
  <si>
    <t>Sr Lev Cut-Off</t>
  </si>
  <si>
    <t>Sr Lev Cap</t>
  </si>
  <si>
    <t>1L AR</t>
  </si>
  <si>
    <t>1L LO AR</t>
  </si>
  <si>
    <t>1L_AR</t>
  </si>
  <si>
    <t>2L_AR</t>
  </si>
  <si>
    <t>Avg AR</t>
  </si>
  <si>
    <t>Notional %</t>
  </si>
  <si>
    <t>[greater than]</t>
  </si>
  <si>
    <t>[less than]</t>
  </si>
  <si>
    <t>2L AR</t>
  </si>
  <si>
    <t>Avg Leverage</t>
  </si>
  <si>
    <t>LTV</t>
  </si>
  <si>
    <t>% of Port</t>
  </si>
  <si>
    <t>%Lev</t>
  </si>
  <si>
    <t>%AR</t>
  </si>
  <si>
    <t>[Reserved]</t>
  </si>
  <si>
    <t xml:space="preserve">THE SUM OF: </t>
  </si>
  <si>
    <t>Amount (USD)</t>
  </si>
  <si>
    <t>Purchase Price</t>
  </si>
  <si>
    <t>Borrowing Base</t>
  </si>
  <si>
    <t>OC Ratio</t>
  </si>
  <si>
    <t>(x) the Outstanding Principal Balance of the Facility and</t>
  </si>
  <si>
    <t>(y) the aggregate purchase price of all Loans purchased but not settled</t>
  </si>
  <si>
    <t>Minimum Threshold</t>
  </si>
  <si>
    <t>Result</t>
  </si>
  <si>
    <t>Status</t>
  </si>
  <si>
    <t>BOUGHT UNSETTLED</t>
  </si>
  <si>
    <t>SETTLED</t>
  </si>
  <si>
    <t>SOLD UNSETTLED</t>
  </si>
  <si>
    <t>Revaluation Event</t>
  </si>
  <si>
    <t>Adjusted Collateral Value</t>
  </si>
  <si>
    <t>Sale Price</t>
  </si>
  <si>
    <t>AR Adjustment</t>
  </si>
  <si>
    <t>Loan Portfolio</t>
  </si>
  <si>
    <t>Obligor</t>
  </si>
  <si>
    <t>Par Amount</t>
  </si>
  <si>
    <t>Industry</t>
  </si>
  <si>
    <t>Issuer Concentration</t>
  </si>
  <si>
    <t>Equivalent Unit Score</t>
  </si>
  <si>
    <t>Industry Code</t>
  </si>
  <si>
    <t>%</t>
  </si>
  <si>
    <t>Diversity Score</t>
  </si>
  <si>
    <t>Code</t>
  </si>
  <si>
    <t>Aggregate Industry Equivalent Unit</t>
  </si>
  <si>
    <t>Industry Diversity Score</t>
  </si>
  <si>
    <t>Portfolio Statistics</t>
  </si>
  <si>
    <t>Diversity Score:</t>
  </si>
  <si>
    <t>Total Par:</t>
  </si>
  <si>
    <t>Number of Issuers:</t>
  </si>
  <si>
    <t>Average Par Amount:</t>
  </si>
  <si>
    <t>Diversity Score Adjustment</t>
  </si>
  <si>
    <t>Adjusted AR</t>
  </si>
  <si>
    <t>Concentration Limit:</t>
  </si>
  <si>
    <t>Current %:</t>
  </si>
  <si>
    <t>Party Name</t>
  </si>
  <si>
    <t>Mult.</t>
  </si>
  <si>
    <t>Pro-Rata Eligible Col. Bal.</t>
  </si>
  <si>
    <t>Rank</t>
  </si>
  <si>
    <t>Adjusted Balance</t>
  </si>
  <si>
    <t>Obligor Adj. Bal.</t>
  </si>
  <si>
    <t>Excess Conc. Limit</t>
  </si>
  <si>
    <t>Current %</t>
  </si>
  <si>
    <t>Reduction</t>
  </si>
  <si>
    <t>Allowed Amount</t>
  </si>
  <si>
    <t>Obligor Allowed Amt.</t>
  </si>
  <si>
    <t>PF Rank</t>
  </si>
  <si>
    <t>Pro-rata Allowed Amount</t>
  </si>
  <si>
    <t>Second Lien</t>
  </si>
  <si>
    <t>Fixed Rate</t>
  </si>
  <si>
    <t>Actual</t>
  </si>
  <si>
    <t>PF %</t>
  </si>
  <si>
    <t>Limit</t>
  </si>
  <si>
    <t>Closing Date</t>
  </si>
  <si>
    <t>Max. Port. Amount</t>
  </si>
  <si>
    <t xml:space="preserve">Equity Contrib. </t>
  </si>
  <si>
    <t>FLLO/2nd Lien</t>
  </si>
  <si>
    <t>Cov-Lite</t>
  </si>
  <si>
    <t>2nd Lien</t>
  </si>
  <si>
    <t>FLLO/Second Lien</t>
  </si>
  <si>
    <t>USD</t>
  </si>
  <si>
    <t>non-USD</t>
  </si>
  <si>
    <t>Currency</t>
  </si>
  <si>
    <t>Obligor Domicile</t>
  </si>
  <si>
    <t>Revolving Term Loan or DDTLs</t>
  </si>
  <si>
    <t>Class 1, Caa1 or below</t>
  </si>
  <si>
    <t>CCC+/Caa1 or below</t>
  </si>
  <si>
    <t>Industry Concentration</t>
  </si>
  <si>
    <t>LXID</t>
  </si>
  <si>
    <t>Security Type</t>
  </si>
  <si>
    <t>Reference Rate</t>
  </si>
  <si>
    <t>Floor</t>
  </si>
  <si>
    <t>Spread above Reference Rate</t>
  </si>
  <si>
    <t>Fixed Rate Spread</t>
  </si>
  <si>
    <t>Class 3</t>
  </si>
  <si>
    <t>First</t>
  </si>
  <si>
    <t>(y) the Aggregate Net Collateral Balance (excluding Loans sold but not settled)</t>
  </si>
  <si>
    <t>(i) Principal Collection Subaccount</t>
  </si>
  <si>
    <t>(i) The Borrowing Base</t>
  </si>
  <si>
    <t>divided by (ii) the sum of:</t>
  </si>
  <si>
    <t>Agg. Adj. Collateral Balance</t>
  </si>
  <si>
    <t>Adjusted Net Collateral Balance</t>
  </si>
  <si>
    <t>FLLO</t>
  </si>
  <si>
    <t>US Obligor</t>
  </si>
  <si>
    <t>Recurring Revenue</t>
  </si>
  <si>
    <t>Loan Value</t>
  </si>
  <si>
    <t>Aggregate Net Collateral Balance</t>
  </si>
  <si>
    <t>Aggregate Net Collateral Balance x AR (excl. sales)</t>
  </si>
  <si>
    <t>Denom:</t>
  </si>
  <si>
    <t>non-US Obligor</t>
  </si>
  <si>
    <t>Obligor Excess Concentration Limit</t>
  </si>
  <si>
    <t>Denom (Obligor &amp; Industry):</t>
  </si>
  <si>
    <t>No</t>
  </si>
  <si>
    <t>Second</t>
  </si>
  <si>
    <t>Class 4</t>
  </si>
  <si>
    <t>Margin</t>
  </si>
  <si>
    <t>Total used</t>
  </si>
  <si>
    <t>Facility size</t>
  </si>
  <si>
    <t>Inception Date</t>
  </si>
  <si>
    <t>Unfunded</t>
  </si>
  <si>
    <t>Sale Proceeds</t>
  </si>
  <si>
    <t>Purchase Price Value</t>
  </si>
  <si>
    <t>(iii) The product of:</t>
  </si>
  <si>
    <t xml:space="preserve">(iV) Sale price of all Loans not yet settled </t>
  </si>
  <si>
    <t>(ii) Trust Subaccount</t>
  </si>
  <si>
    <t>Override</t>
  </si>
  <si>
    <t>Borrowing Proposal</t>
  </si>
  <si>
    <t>Maximum advance</t>
  </si>
  <si>
    <t>Partial PIK Loans</t>
  </si>
  <si>
    <t>Partial PIK</t>
  </si>
  <si>
    <t>Cov-Lite &amp; &lt;$75mm EBITDA</t>
  </si>
  <si>
    <t xml:space="preserve">Obligor NOT in US </t>
  </si>
  <si>
    <t>Advance Rate</t>
  </si>
  <si>
    <t>Maturity Date</t>
  </si>
  <si>
    <t>Total</t>
  </si>
  <si>
    <t>Loan Type</t>
  </si>
  <si>
    <t>NR</t>
  </si>
  <si>
    <t>IC Ratio at Cut-Off</t>
  </si>
  <si>
    <t>Sr Lev at Cut-Off</t>
  </si>
  <si>
    <t>EBITDA at Cut-Off</t>
  </si>
  <si>
    <t>Financial Statement at Cut Off</t>
  </si>
  <si>
    <t>Cash Interest Coverage Ratio % Change</t>
  </si>
  <si>
    <t>Metrics at Entry</t>
  </si>
  <si>
    <t>Value Adjustment Events</t>
  </si>
  <si>
    <t>Ratios</t>
  </si>
  <si>
    <t>Cash Interest Coverage Ratio</t>
  </si>
  <si>
    <t>Total Leverage Ratio</t>
  </si>
  <si>
    <t xml:space="preserve">Increase (from Cut-Off Date) &gt;=:  </t>
  </si>
  <si>
    <t>Trigger</t>
  </si>
  <si>
    <t># Assets</t>
  </si>
  <si>
    <t>Outstanding Bal</t>
  </si>
  <si>
    <t>Borrowing Value * AR</t>
  </si>
  <si>
    <t>Loan Assets with VAE</t>
  </si>
  <si>
    <t>Moody's at Cut-Off</t>
  </si>
  <si>
    <t>S&amp;P at Cut-Off</t>
  </si>
  <si>
    <t>Sr Lev % Change</t>
  </si>
  <si>
    <t>Sr Lev Change</t>
  </si>
  <si>
    <t>Sr Leverage Ratio VAE?</t>
  </si>
  <si>
    <t>Is less than</t>
  </si>
  <si>
    <t>Moody's</t>
  </si>
  <si>
    <t>S&amp;P</t>
  </si>
  <si>
    <t>Total VAE</t>
  </si>
  <si>
    <t>Airlines</t>
  </si>
  <si>
    <t>Automobiles</t>
  </si>
  <si>
    <t>Banks</t>
  </si>
  <si>
    <t>Biotechnology</t>
  </si>
  <si>
    <t>Building Products</t>
  </si>
  <si>
    <t>Capital Markets</t>
  </si>
  <si>
    <t>Chemicals</t>
  </si>
  <si>
    <t>Commercial Services and Supplies</t>
  </si>
  <si>
    <t>Construction Materials</t>
  </si>
  <si>
    <t>Consumer Finance</t>
  </si>
  <si>
    <t>Distributors</t>
  </si>
  <si>
    <t>Diversified Consumer Services</t>
  </si>
  <si>
    <t>Diversified Telecommunication Services</t>
  </si>
  <si>
    <t>Electrical Equipment</t>
  </si>
  <si>
    <t>Entertainment</t>
  </si>
  <si>
    <t>Equity Real Estate Investment Trusts (REITs)</t>
  </si>
  <si>
    <t>Food Products</t>
  </si>
  <si>
    <t>Gas Utilities</t>
  </si>
  <si>
    <t>Health Care Technology</t>
  </si>
  <si>
    <t>Industrial Conglomerates</t>
  </si>
  <si>
    <t>Insurance</t>
  </si>
  <si>
    <t>IT Services</t>
  </si>
  <si>
    <t>Leisure Products</t>
  </si>
  <si>
    <t>Machinery</t>
  </si>
  <si>
    <t>Marine</t>
  </si>
  <si>
    <t>Media</t>
  </si>
  <si>
    <t>Pharmaceuticals</t>
  </si>
  <si>
    <t>Professional Services</t>
  </si>
  <si>
    <t>Software</t>
  </si>
  <si>
    <t>Specialty Retail</t>
  </si>
  <si>
    <t>Facility Summary</t>
  </si>
  <si>
    <t>Asset Type</t>
  </si>
  <si>
    <t>Weighted Avg. Advance Rate</t>
  </si>
  <si>
    <t>Concentration Limit Excess</t>
  </si>
  <si>
    <t>Concentration Limit</t>
  </si>
  <si>
    <t>10% / 7.5% / 5%</t>
  </si>
  <si>
    <t>EBITDA &lt; $20mm</t>
  </si>
  <si>
    <t>Facility Size</t>
  </si>
  <si>
    <t>Drawn</t>
  </si>
  <si>
    <t>Cushion</t>
  </si>
  <si>
    <t>Obligor Concentration</t>
  </si>
  <si>
    <t>Sum of:</t>
  </si>
  <si>
    <t>(ii) Implied Equity: of Cashless Contributions</t>
  </si>
  <si>
    <t>(a) Weighted Average Advance Rate of Cashless Contributions</t>
  </si>
  <si>
    <t>EQUITY CONTRIBUTED</t>
  </si>
  <si>
    <t>Issuer</t>
  </si>
  <si>
    <t>Lien Type</t>
  </si>
  <si>
    <t>Availability</t>
  </si>
  <si>
    <t>Under Levered Names</t>
  </si>
  <si>
    <t>Commitment</t>
  </si>
  <si>
    <t>Mark</t>
  </si>
  <si>
    <t>Mark Price</t>
  </si>
  <si>
    <t>Capacity</t>
  </si>
  <si>
    <t>SOFR</t>
  </si>
  <si>
    <t>OHDCC T HY - BNP</t>
  </si>
  <si>
    <t>25% / 20% / 12%</t>
  </si>
  <si>
    <t>GBP</t>
  </si>
  <si>
    <t>EUR</t>
  </si>
  <si>
    <t>Coupon</t>
  </si>
  <si>
    <t>Yes</t>
  </si>
  <si>
    <t>Aerospace &amp; Defense</t>
  </si>
  <si>
    <t>Traditional</t>
  </si>
  <si>
    <t>Financial Services</t>
  </si>
  <si>
    <t>1st Lien</t>
  </si>
  <si>
    <t>Construction &amp; Enginerring</t>
  </si>
  <si>
    <t xml:space="preserve">Health Care Equipment </t>
  </si>
  <si>
    <t>Commercial &amp; Professional Services</t>
  </si>
  <si>
    <t>Consumer Services</t>
  </si>
  <si>
    <t>BBSY</t>
  </si>
  <si>
    <t>AUD</t>
  </si>
  <si>
    <t>SONIA</t>
  </si>
  <si>
    <t>Textiles, Apparel &amp; Luxury Goods</t>
  </si>
  <si>
    <t>Containers &amp; Packaging</t>
  </si>
  <si>
    <t>EURIBOR1</t>
  </si>
  <si>
    <t>As of Date</t>
  </si>
  <si>
    <t>Interest Coverage Ratio</t>
  </si>
  <si>
    <t>Total Net Lev</t>
  </si>
  <si>
    <t>First Lien Sr Net Lev</t>
  </si>
  <si>
    <t>LTM EBITDA*</t>
  </si>
  <si>
    <t>Cov-Lite?</t>
  </si>
  <si>
    <t>GICS Industry</t>
  </si>
  <si>
    <t>FB Funding</t>
  </si>
  <si>
    <t>PIK Rate</t>
  </si>
  <si>
    <t>PIK Option</t>
  </si>
  <si>
    <t>LIBOR Floor</t>
  </si>
  <si>
    <t>Spread Type</t>
  </si>
  <si>
    <t>Funded Par (Local)</t>
  </si>
  <si>
    <t>Funded Par (USD)</t>
  </si>
  <si>
    <t>Redacted Name</t>
  </si>
  <si>
    <t>$ in millions</t>
  </si>
  <si>
    <t>CONFIDENTIAL</t>
  </si>
  <si>
    <t>ARES SAMPLE LOAN TAPE</t>
  </si>
  <si>
    <t>Investment #1</t>
  </si>
  <si>
    <t>Investment #2</t>
  </si>
  <si>
    <t>Investment #3</t>
  </si>
  <si>
    <t>Investment #4</t>
  </si>
  <si>
    <t>Investment #5</t>
  </si>
  <si>
    <t>Investment #6</t>
  </si>
  <si>
    <t>Investment #7</t>
  </si>
  <si>
    <t>Investment #8</t>
  </si>
  <si>
    <t>Investment #9</t>
  </si>
  <si>
    <t>Investment #10</t>
  </si>
  <si>
    <t>Investment #11</t>
  </si>
  <si>
    <t>Investment #12</t>
  </si>
  <si>
    <t>Investment #13</t>
  </si>
  <si>
    <t>Investment #14</t>
  </si>
  <si>
    <t>Investment #15</t>
  </si>
  <si>
    <t>Investment #16</t>
  </si>
  <si>
    <t>Investment #17</t>
  </si>
  <si>
    <t>Investment #18</t>
  </si>
  <si>
    <t>Investment #19</t>
  </si>
  <si>
    <t>Investment #20</t>
  </si>
  <si>
    <t>Investment #21</t>
  </si>
  <si>
    <t>Investment #22</t>
  </si>
  <si>
    <t>Investment #23</t>
  </si>
  <si>
    <t>Investment #24</t>
  </si>
  <si>
    <t>Investment #25</t>
  </si>
  <si>
    <t>Consumer Staples Distribution and Retail</t>
  </si>
  <si>
    <t>Investment #26</t>
  </si>
  <si>
    <t>Investment #27</t>
  </si>
  <si>
    <t>Investment #28</t>
  </si>
  <si>
    <t>Investment #29</t>
  </si>
  <si>
    <t>Investment #30</t>
  </si>
  <si>
    <t>Investment #31</t>
  </si>
  <si>
    <t>Investment #32</t>
  </si>
  <si>
    <t>Investment #33</t>
  </si>
  <si>
    <t>Investment #34</t>
  </si>
  <si>
    <t>Investment #35</t>
  </si>
  <si>
    <t>Investment #36</t>
  </si>
  <si>
    <t>Investment #38</t>
  </si>
  <si>
    <t>Investment #39</t>
  </si>
  <si>
    <t>Investment #40</t>
  </si>
  <si>
    <t>Investment #41</t>
  </si>
  <si>
    <t>Investment #42</t>
  </si>
  <si>
    <t>Investment #43</t>
  </si>
  <si>
    <t>Investment #44</t>
  </si>
  <si>
    <t>Investment #45</t>
  </si>
  <si>
    <t>Investment #46</t>
  </si>
  <si>
    <t>Investment #47</t>
  </si>
  <si>
    <t>Investment #48</t>
  </si>
  <si>
    <t>Investment #49</t>
  </si>
  <si>
    <t>Investment #50</t>
  </si>
  <si>
    <t>Investment #51</t>
  </si>
  <si>
    <t>Current Cash Pay</t>
  </si>
  <si>
    <t>Current</t>
  </si>
  <si>
    <t>Electronic Equipment, Instruments &amp; Components</t>
  </si>
  <si>
    <t>Trading Companies &amp; Distributors</t>
  </si>
  <si>
    <t>Air Freight &amp; Logistics</t>
  </si>
  <si>
    <t>Life Sciences Tools &amp; Services</t>
  </si>
  <si>
    <t>Hotels, Restaurants &amp; Leisure</t>
  </si>
  <si>
    <t>Health Care Providers &amp; Services</t>
  </si>
  <si>
    <t>Interactive Media &amp; Services</t>
  </si>
  <si>
    <t>Food &amp; Staples Retailing</t>
  </si>
  <si>
    <t>Commercial Services &amp; Supplies</t>
  </si>
  <si>
    <t>Oil, Gas &amp; Consumable Fuels</t>
  </si>
  <si>
    <t>Non-Accrual Loan</t>
  </si>
  <si>
    <t>Ineligible Partial PIK</t>
  </si>
  <si>
    <t>Advance (Pro Forma)</t>
  </si>
  <si>
    <t>WAL Test</t>
  </si>
  <si>
    <t>Weighted Average Life</t>
  </si>
  <si>
    <t>Test Satisfied?</t>
  </si>
  <si>
    <t>Interest Coverage Test</t>
  </si>
  <si>
    <t>(a) aggregate amount of Interest Proceeds not received but expected</t>
  </si>
  <si>
    <t>(b) all amounts on deposit in the Interest Collection Subaccount</t>
  </si>
  <si>
    <t>Interest Coverage Amount</t>
  </si>
  <si>
    <t xml:space="preserve">the amounts payable on the related Payment Date pursuant to Sections 9.01(a)(i)(A) and 9.01(a)(i)(B) </t>
  </si>
  <si>
    <t>all amounts due and payable pursuant to Section 9.01(a)(i)(D) on the related Payment Date.</t>
  </si>
  <si>
    <t>Is greater than</t>
  </si>
  <si>
    <t>WAL</t>
  </si>
  <si>
    <t>Interest Coverage Ratio VAE?</t>
  </si>
  <si>
    <t>WAS Spread Test</t>
  </si>
  <si>
    <t>Floating</t>
  </si>
  <si>
    <t>Fixed</t>
  </si>
  <si>
    <t xml:space="preserve">WAS </t>
  </si>
  <si>
    <t>Is more than</t>
  </si>
  <si>
    <t>Concentration Limit Partial PIK</t>
  </si>
  <si>
    <t>Company Name</t>
  </si>
  <si>
    <t>Recurring Revenue Loans</t>
  </si>
  <si>
    <t>Indicative Borrowing Base</t>
  </si>
  <si>
    <t xml:space="preserve">Eligibility Criteria </t>
  </si>
  <si>
    <t>Maximum Portfolio Amount</t>
  </si>
  <si>
    <t>Maximum Facility Size</t>
  </si>
  <si>
    <t>Collateral Purchase Amount</t>
  </si>
  <si>
    <t>Borrowings</t>
  </si>
  <si>
    <t>Principal Distributions</t>
  </si>
  <si>
    <t>Current Metrics</t>
  </si>
  <si>
    <t>LTV at Cut-Off</t>
  </si>
  <si>
    <t>LTM Revenue at Cut-Off</t>
  </si>
  <si>
    <t>First Out Leverage at Cut-Off</t>
  </si>
  <si>
    <t>Financial Statement</t>
  </si>
  <si>
    <t xml:space="preserve">IC Ratio </t>
  </si>
  <si>
    <t xml:space="preserve">Sr Lev </t>
  </si>
  <si>
    <t xml:space="preserve">First Out Leverage </t>
  </si>
  <si>
    <t xml:space="preserve">LTV </t>
  </si>
  <si>
    <t xml:space="preserve">LTM Revenue </t>
  </si>
  <si>
    <t xml:space="preserve">S&amp;P </t>
  </si>
  <si>
    <t>Obligor NOT in US</t>
  </si>
  <si>
    <t>Comittment (USD)</t>
  </si>
  <si>
    <t>Commitment (Local)</t>
  </si>
  <si>
    <t>Core IPA_SDLIII</t>
  </si>
  <si>
    <t>Client Reporting Roll Up</t>
  </si>
  <si>
    <t>Security Name</t>
  </si>
  <si>
    <t>Group By BasketInvestmentCode</t>
  </si>
  <si>
    <t>SUM(AccruedInterestLocal)</t>
  </si>
  <si>
    <t>SUM(AccruedInterestBase)</t>
  </si>
  <si>
    <t>Senior Direct Lending III</t>
  </si>
  <si>
    <t>SEI - Geneva</t>
  </si>
  <si>
    <t>Term Loan</t>
  </si>
  <si>
    <t>LX219956</t>
  </si>
  <si>
    <t>Bamboo US BidCo LLC/Initial Euro Term Loan 9/23</t>
  </si>
  <si>
    <t>LX217182</t>
  </si>
  <si>
    <t>Riser Interco, LLC/ Initial GBP Term Loans 10/23</t>
  </si>
  <si>
    <t>LX219098</t>
  </si>
  <si>
    <t>Accession Risk Management Group, Inc./Initial Term Loan 10/19</t>
  </si>
  <si>
    <t>LX183615</t>
  </si>
  <si>
    <t>Accession Risk Management Group, Inc./Tranche C Term Loan 11/21</t>
  </si>
  <si>
    <t>LX200468</t>
  </si>
  <si>
    <t>AffiniPay Midco, LLC/Fifth Amendment Term Loan 11/23</t>
  </si>
  <si>
    <t>LX220296</t>
  </si>
  <si>
    <t>Bamboo US BidCo LLC/Initial Dollar Term Loan 9/23</t>
  </si>
  <si>
    <t>LX217181</t>
  </si>
  <si>
    <t>Bottomline Technologies, Inc. and Legal Spend Holdings, LLC/Second Amendment Term Loan 10/23</t>
  </si>
  <si>
    <t>LX217633</t>
  </si>
  <si>
    <t>Echo Purchaser, Inc./Term Loan 11/23</t>
  </si>
  <si>
    <t>LX218793</t>
  </si>
  <si>
    <t>Faraday Buyer, LLC/First Amendment Term Loan 11/23</t>
  </si>
  <si>
    <t>LX220166</t>
  </si>
  <si>
    <t>Lightbeam Bidco, Inc./First Amendment Incremental Term Loan 11/23</t>
  </si>
  <si>
    <t>LX219388</t>
  </si>
  <si>
    <t>Next Holdco, LLC/Term Loan 11/23</t>
  </si>
  <si>
    <t>LX219475</t>
  </si>
  <si>
    <t>PerkinElmer U.S. LLC/2023 Incremental Term Loan 10/23</t>
  </si>
  <si>
    <t>LX218937</t>
  </si>
  <si>
    <t>PetVet Care Centers, LLC/Initial Term Loan 11/23</t>
  </si>
  <si>
    <t>LX219173</t>
  </si>
  <si>
    <t>LX222313</t>
  </si>
  <si>
    <t>Wildcat BuyerCo, Inc./First Incremental Term Loan 11/21</t>
  </si>
  <si>
    <t>LX200513</t>
  </si>
  <si>
    <t>LX186170</t>
  </si>
  <si>
    <t>LX219497</t>
  </si>
  <si>
    <t>Riser Interco, LLC/ Initial Dollar Term Loans 10/23</t>
  </si>
  <si>
    <t>LX219093</t>
  </si>
  <si>
    <t>Cloud Software Group, Inc./ USD Term Loan 09/22</t>
  </si>
  <si>
    <t>LX202639</t>
  </si>
  <si>
    <t>Core Tax Lot Appraisal</t>
  </si>
  <si>
    <t>{"CreatedBy":"nlifors","CreatedOn":"\/Date(1542094747600+0530)\/","DataSetName":"Tax Lot Detail","EmailAllUsers":false,"FilterInfo":{"Attributes":[{"DataType":"varchar","DerivedDataType":"string","DisplayName":"Client Reporting Roll Up","ExcelColFormat":null,"FormulaInfo":null,"GroupedFunc":null,"IsComputed":false,"IsGrouped":true,"IsRefType":true,"IsSelected":true,"Precision":0,"RealName":"ClientReportingRollup","Scale":0,"SortBy":0,"SortingIndex":null,"Tags":null,"ToolTipText":null},{"DataType":"varchar","DerivedDataType":"string","DisplayName":"LocalCurrency","ExcelColFormat":null,"FormulaInfo":null,"GroupedFunc":null,"IsComputed":false,"IsGrouped":true,"IsRefType":false,"IsSelected":true,"Precision":0,"RealName":"LocalCurrency","Scale":0,"SortBy":0,"SortingIndex":null,"Tags":null,"ToolTipText":null},{"DataType":"varchar","DerivedDataType":"string","DisplayName":"Investment Type","ExcelColFormat":null,"FormulaInfo":null,"GroupedFunc":null,"IsComputed":false,"IsGrouped":true,"IsRefType":false,"IsSelected":true,"Precision":0,"Real</t>
  </si>
  <si>
    <t>Name":"InvestmentType","Scale":0,"SortBy":0,"SortingIndex":null,"Tags":null,"ToolTipText":null},{"DataType":"varchar","DerivedDataType":"string","DisplayName":"Security Name","ExcelColFormat":null,"FormulaInfo":null,"GroupedFunc":null,"IsComputed":false,"IsGrouped":true,"IsRefType":false,"IsSelected":true,"Precision":0,"RealName":"SecurityName","Scale":0,"SortBy":0,"SortingIndex":null,"Tags":null,"ToolTipText":null},{"DataType":"datetime","DerivedDataType":"string","DisplayName":"PurchaseTradeDate","ExcelColFormat":null,"FormulaInfo":null,"GroupedFunc":null,"IsComputed":false,"IsGrouped":true,"IsRefType":false,"IsSelected":true,"Precision":23,"RealName":"PurchaseTradeDate","Scale":3,"SortBy":0,"SortingIndex":null,"Tags":null,"ToolTipText":null},{"DataType":"varchar","DerivedDataType":"string","DisplayName":"CustodianAccount","ExcelColFormat":null,"FormulaInfo":null,"GroupedFunc":null,"IsComputed":false,"IsGrouped":true,"IsRefType":false,"IsSelected":true,"Precision":0,"RealName":"CustodianAccount","Scale":0,"SortBy":0,"SortingIndex</t>
  </si>
  <si>
    <t>":null,"Tags":null,"ToolTipText":null},{"DataType":"varchar","DerivedDataType":"string","DisplayName":"Group By BasketInvestmentCode","ExcelColFormat":null,"FormulaInfo":null,"GroupedFunc":null,"IsComputed":false,"IsGrouped":true,"IsRefType":false,"IsSelected":true,"Precision":0,"RealName":"BasketInvestmentCode","Scale":0,"SortBy":0,"SortingIndex":null,"Tags":null,"ToolTipText":null},{"DataType":"datetime","DerivedDataType":"string","DisplayName":"ContractualSettleDate","ExcelColFormat":null,"FormulaInfo":null,"GroupedFunc":null,"IsComputed":false,"IsGrouped":true,"IsRefType":false,"IsSelected":true,"Precision":23,"RealName":"ContractualSettleDate","Scale":3,"SortBy":0,"SortingIndex":null,"Tags":null,"ToolTipText":null},{"DataType":"varchar","DerivedDataType":"string","DisplayName":"Group By Geneva Asset Aga Id","ExcelColFormat":null,"FormulaInfo":null,"GroupedFunc":null,"IsComputed":false,"IsGrouped":true,"IsRefType":false,"IsSelected":true,"Precision":0,"RealName":"GenevaAssetAgaId","Scale":0,"SortBy":0,"SortingIndex":null,"Tags"</t>
  </si>
  <si>
    <t>:null,"ToolTipText":null},{"DataType":"datetime","DerivedDataType":"string","DisplayName":"Group By KnowledgeDate","ExcelColFormat":null,"FormulaInfo":null,"GroupedFunc":null,"IsComputed":false,"IsGrouped":true,"IsRefType":false,"IsSelected":true,"Precision":23,"RealName":"KnowledgeDate","Scale":3,"SortBy":0,"SortingIndex":null,"Tags":null,"ToolTipText":null},{"DataType":"varchar","DerivedDataType":"string","DisplayName":"Group By SourceSystem","ExcelColFormat":null,"FormulaInfo":null,"GroupedFunc":null,"IsComputed":false,"IsGrouped":true,"IsRefType":false,"IsSelected":true,"Precision":0,"RealName":"SourceSystem","Scale":0,"SortBy":0,"SortingIndex":null,"Tags":null,"ToolTipText":null},{"DataType":"numeric","DerivedDataType":"numeric","DisplayName":"SUM(CostBase)","ExcelColFormat":null,"FormulaInfo":null,"GroupedFunc":"SUM(x)","IsComputed":false,"IsGrouped":false,"IsRefType":false,"IsSelected":true,"Precision":38,"RealName":"CostBase","Scale":38,"SortBy":0,"SortingIndex":null,"Tags":null,"ToolTipText":null},{"DataType":"numeric","De</t>
  </si>
  <si>
    <t>rivedDataType":"numeric","DisplayName":"SUM(CostLocal)","ExcelColFormat":null,"FormulaInfo":null,"GroupedFunc":"SUM(x)","IsComputed":false,"IsGrouped":false,"IsRefType":false,"IsSelected":true,"Precision":38,"RealName":"CostLocal","Scale":38,"SortBy":0,"SortingIndex":null,"Tags":null,"ToolTipText":null},{"DataType":"numeric","DerivedDataType":"numeric","DisplayName":"SUM(MarketValueBase)","ExcelColFormat":null,"FormulaInfo":null,"GroupedFunc":"SUM(x)","IsComputed":false,"IsGrouped":false,"IsRefType":false,"IsSelected":true,"Precision":38,"RealName":"MarketValueBase","Scale":38,"SortBy":0,"SortingIndex":null,"Tags":null,"ToolTipText":null},{"DataType":"numeric","DerivedDataType":"numeric","DisplayName":"SUM(MarketValueLocal)","ExcelColFormat":null,"FormulaInfo":null,"GroupedFunc":"SUM(x)","IsComputed":false,"IsGrouped":false,"IsRefType":false,"IsSelected":true,"Precision":38,"RealName":"MarketValueLocal","Scale":38,"SortBy":0,"SortingIndex":null,"Tags":null,"ToolTipText":null},{"DataType":"numeric","DerivedDataType":"numeric","Displ</t>
  </si>
  <si>
    <t>ayName":"SUM(AccruedInterestBase)","ExcelColFormat":null,"FormulaInfo":null,"GroupedFunc":"SUM(x)","IsComputed":false,"IsGrouped":false,"IsRefType":false,"IsSelected":true,"Precision":38,"RealName":"AccruedInterestBase","Scale":38,"SortBy":0,"SortingIndex":null,"Tags":null,"ToolTipText":null},{"DataType":"numeric","DerivedDataType":"numeric","DisplayName":"SUM(AccruedInterestLocal)","ExcelColFormat":null,"FormulaInfo":null,"GroupedFunc":"SUM(x)","IsComputed":false,"IsGrouped":false,"IsRefType":false,"IsSelected":true,"Precision":38,"RealName":"AccruedInterestLocal","Scale":38,"SortBy":0,"SortingIndex":null,"Tags":null,"ToolTipText":null},{"DataType":"numeric","DerivedDataType":"numeric","DisplayName":"SUM(AmortizationBase)","ExcelColFormat":null,"FormulaInfo":null,"GroupedFunc":"SUM(x)","IsComputed":false,"IsGrouped":false,"IsRefType":false,"IsSelected":true,"Precision":38,"RealName":"AmortizationBase","Scale":38,"SortBy":0,"SortingIndex":null,"Tags":null,"ToolTipText":null},{"DataType":"numeric","DerivedDataType":"numeric","Displa</t>
  </si>
  <si>
    <t>yName":"Unrealized FX Gain\/Loss Base","ExcelColFormat":null,"FormulaInfo":null,"GroupedFunc":"SUM(x)","IsComputed":false,"IsGrouped":false,"IsRefType":false,"IsSelected":true,"Precision":38,"RealName":"UnrealFxBase","Scale":38,"SortBy":0,"SortingIndex":null,"Tags":null,"ToolTipText":null},{"DataType":"numeric","DerivedDataType":"numeric","DisplayName":"Unrealized Price Gain\/Loss Base","ExcelColFormat":null,"FormulaInfo":null,"GroupedFunc":"SUM(x)","IsComputed":false,"IsGrouped":false,"IsRefType":false,"IsSelected":true,"Precision":38,"RealName":"UnrealPriceBase","Scale":38,"SortBy":0,"SortingIndex":null,"Tags":null,"ToolTipText":null},{"DataType":"numeric","DerivedDataType":"numeric","DisplayName":"SUM(AmortizationLocal)","ExcelColFormat":null,"FormulaInfo":null,"GroupedFunc":"SUM(x)","IsComputed":false,"IsGrouped":false,"IsRefType":false,"IsSelected":true,"Precision":38,"RealName":"AmortizationLocal","Scale":38,"SortBy":0,"SortingIndex":null,"Tags":null,"ToolTipText":null},{"DataType":"numeric","DerivedDataType":"numeric","Displ</t>
  </si>
  <si>
    <t>ayName":"MAX(MarketPriceBase)","ExcelColFormat":null,"FormulaInfo":null,"GroupedFunc":"MAX(x)","IsComputed":false,"IsGrouped":false,"IsRefType":false,"IsSelected":true,"Precision":38,"RealName":"MarketPriceBase","Scale":38,"SortBy":0,"SortingIndex":null,"Tags":null,"ToolTipText":null},{"DataType":"numeric","DerivedDataType":"numeric","DisplayName":"MAX(MarketPriceLocal)","ExcelColFormat":null,"FormulaInfo":null,"GroupedFunc":"MAX(x)","IsComputed":false,"IsGrouped":false,"IsRefType":false,"IsSelected":true,"Precision":38,"RealName":"MarketPriceLocal","Scale":38,"SortBy":0,"SortingIndex":null,"Tags":null,"ToolTipText":null},{"DataType":"numeric","DerivedDataType":"numeric","DisplayName":"MAX(PurchasePriceBase)","ExcelColFormat":null,"FormulaInfo":null,"GroupedFunc":"MAX(x)","IsComputed":false,"IsGrouped":false,"IsRefType":false,"IsSelected":true,"Precision":38,"RealName":"PurchasePriceBase","Scale":38,"SortBy":0,"SortingIndex":null,"Tags":null,"ToolTipText":null},{"DataType":"numeric","DerivedDataType":"numeric","DisplayName":"MAX(Pu</t>
  </si>
  <si>
    <t>rchasePriceLocal)","ExcelColFormat":null,"FormulaInfo":null,"GroupedFunc":"MAX(x)","IsComputed":false,"IsGrouped":false,"IsRefType":false,"IsSelected":true,"Precision":38,"RealName":"PurchasePriceLocal","Scale":38,"SortBy":0,"SortingIndex":null,"Tags":null,"ToolTipText":null}],"DataSetName":"Tax Lot Detail","DataViewType":1,"FilterContent":[{"Condition":"EQUALS","DataType":"datetime","DateValueType":null,"DisplayFilterName":"AsOfDate","GroupedFunc":null,"Id":1,"IsDynamic":false,"IsRefType":false,"NestedFilters":null,"Operator":0,"RealFilterName":"AsOfDate","Values":["2019-06-30 00:00:00"]},{"Condition":"EQUALS","DataType":"bit","DateValueType":null,"DisplayFilterName":"IsInternalPrimary","GroupedFunc":null,"Id":2,"IsDynamic":false,"IsRefType":false,"NestedFilters":null,"Operator":0,"RealFilterName":"IsInternalPrimary","Values":["True"]}],"GroupName":"Profit And Loss","HavingFilterContent":[{"Condition":"NOT EQUALS","DataType":"","DateValueType":null,"DisplayFilterName":"SUM(MarketValueBase)","GroupedFunc":null,"Id":1,"IsDynamic":fa</t>
  </si>
  <si>
    <t>lse,"IsRefType":false,"NestedFilters":null,"Operator":1,"RealFilterName":"SUM(MarketValueBase)","Values":["0"]},{"Condition":"NOT EQUALS","DataType":"","DateValueType":null,"DisplayFilterName":"SUM(AccruedInterestBase)","GroupedFunc":null,"Id":2,"IsDynamic":false,"IsRefType":false,"NestedFilters":null,"Operator":1,"RealFilterName":"SUM(AccruedInterestBase)","Values":["0"]},{"Condition":"NOT EQUALS","DataType":"","DateValueType":null,"DisplayFilterName":"SUM(CostBase)","GroupedFunc":null,"Id":3,"IsDynamic":false,"IsRefType":false,"NestedFilters":null,"Operator":0,"RealFilterName":"SUM(CostBase)","Values":["0"]}],"IsDistinct":false},"GroupName":"Profit And Loss","IsAggregatedView":true,"IsAutoLoad":false,"IsDeletable":false,"IsEditable":false,"IsRefreshTimeEnabled":false,"IsReplace":false,"IsStarred":false,"ModifiedBy":"nagnew","ModifiedOn":"\/Date(1569929075510+0530)\/","SharedGroups":[""],"SharedWithRole":[""],"Source":null,"TemplateId":62,"TemplateName":"Core Tax Lot Appraisal","TemplateType":2,"UserName":"nlifors","sharedWithUser":[""]}</t>
  </si>
  <si>
    <t>LocalCurrency</t>
  </si>
  <si>
    <t>Investment Type</t>
  </si>
  <si>
    <t>Group By KnowledgeDate</t>
  </si>
  <si>
    <t>Core Tax Lot Appraisal_lmahakalkar</t>
  </si>
  <si>
    <t>AI Fire Buyer, Inc./2023 Incremental Term Loan10/23</t>
  </si>
  <si>
    <t>LX219094</t>
  </si>
  <si>
    <t>Demakes Borrower, LLC/Term Loan B 12/23</t>
  </si>
  <si>
    <t>LX221693</t>
  </si>
  <si>
    <t>Inszone Mid, LLC/A&amp;R Term Loan 11/23</t>
  </si>
  <si>
    <t>LX220398</t>
  </si>
  <si>
    <t xml:space="preserve">Primary / Secondary </t>
  </si>
  <si>
    <t>PIK (LTM actual annualized PIK spread)</t>
  </si>
  <si>
    <t>Lev Cut-off</t>
  </si>
  <si>
    <t>Lev Cap</t>
  </si>
  <si>
    <t xml:space="preserve">LTM ARR </t>
  </si>
  <si>
    <t>LTM ARR at Cut Off</t>
  </si>
  <si>
    <t>Revaluation Adjustment</t>
  </si>
  <si>
    <r>
      <t>Moody's</t>
    </r>
    <r>
      <rPr>
        <b/>
        <i/>
        <sz val="10"/>
        <color theme="0"/>
        <rFont val="Arial"/>
        <family val="2"/>
      </rPr>
      <t xml:space="preserve"> or </t>
    </r>
    <r>
      <rPr>
        <b/>
        <sz val="10"/>
        <color theme="0"/>
        <rFont val="Arial"/>
        <family val="2"/>
      </rPr>
      <t>S&amp;P Rated</t>
    </r>
  </si>
  <si>
    <t xml:space="preserve">WA Credit Stats </t>
  </si>
  <si>
    <t>At Acquisition</t>
  </si>
  <si>
    <t>EBITDA (Cash Flow Loans)</t>
  </si>
  <si>
    <t>IC Ratio (Cash Flow Loans)</t>
  </si>
  <si>
    <t>Sr Leverage (Cash Flow Loans)</t>
  </si>
  <si>
    <t xml:space="preserve">% change </t>
  </si>
  <si>
    <t>Primary</t>
  </si>
  <si>
    <t xml:space="preserve">Cushion </t>
  </si>
  <si>
    <t>Harded Items</t>
  </si>
  <si>
    <t>=Hardcodes</t>
  </si>
  <si>
    <t>Purchase Price Requirement</t>
  </si>
  <si>
    <t>EBITDA Threshold Covlite</t>
  </si>
  <si>
    <t>EBITDA Minimum</t>
  </si>
  <si>
    <t>Partial PIK Spread Test</t>
  </si>
  <si>
    <t>Defaulted Obligation?</t>
  </si>
  <si>
    <t>Eligible Loan?</t>
  </si>
  <si>
    <t xml:space="preserve">(b) Adj. Principal Balance of Cashless Contribution </t>
  </si>
  <si>
    <t>Material Modification</t>
  </si>
  <si>
    <t>Concentration Calculation Amount</t>
  </si>
  <si>
    <t>Agg Adjusted Collat Balance</t>
  </si>
  <si>
    <t>Adv Rate per Each Category</t>
  </si>
  <si>
    <t>Bought Not Settled (cashless)</t>
  </si>
  <si>
    <t>Settled NCB</t>
  </si>
  <si>
    <t>Sold Unsettled</t>
  </si>
  <si>
    <t>Net Debt to RR</t>
  </si>
  <si>
    <t>Net Debt to RR at Cut Off</t>
  </si>
  <si>
    <t>Broadcast Music, Inc./Initial Term Loan 1/24</t>
  </si>
  <si>
    <t>LX225033</t>
  </si>
  <si>
    <t>Saldon Holdings, Inc./Term Loan 1/24</t>
  </si>
  <si>
    <t>LX224718</t>
  </si>
  <si>
    <t>Collateral_Tax Lot</t>
  </si>
  <si>
    <t>{"CreatedBy":"ebrooks","CreatedOn":"\/Date(1593997396197+0530)\/","DataSetName":"Tax Lot Detail","EmailAllUsers":false,"FilterInfo":{"Attributes":[{"DataType":"varchar","DerivedDataType":"string","DisplayName":"Client Reporting Roll UpžGroup By ClientReportingRollup","ExcelColFormat":null,"FormulaInfo":null,"GroupedFunc":null,"IsComputed":false,"IsGrouped":true,"IsRefType":true,"IsSelected":true,"Precision":0,"RealName":"ClientReportingRollup","Scale":0,"SortBy":0,"SortingIndex":null,"Tags":null,"ToolTipText":null},{"DataType":"varchar","DerivedDataType":"string","DisplayName":"žGroup By Portfolio","ExcelColFormat":null,"FormulaInfo":null,"GroupedFunc":null,"IsComputed":false,"IsGrouped":true,"IsRefType":true,"IsSelect</t>
  </si>
  <si>
    <t>ed":true,"Precision":0,"RealName":"Portfolio","Scale":0,"SortBy":0,"SortingIndex":null,"Tags":null,"ToolTipText":null},{"DataType":"varchar","DerivedDataType":"string","DisplayName":"žGroup By LongShort","ExcelColFormat":null,"FormulaInfo":null,"GroupedFunc":null,"IsComputed":false,"IsGrouped":true,"IsRefType":false,"IsSelected":true,"Precision":0,"RealName":"LongShort","Scale":0,"SortBy":0,"SortingIndex":null,"Tags":null,"ToolTipText":null},{"DataType":"varchar","DerivedDataType":"string","DisplayName":"Investment TypežGroup By InvestmentType","ExcelColFormat":null,"FormulaInfo":null,"GroupedFunc":null,"IsComputed":false,"IsGrouped":true,"IsRefType":false,"IsSelected":true,"Precision":0,"RealName":"InvestmentType","Sc</t>
  </si>
  <si>
    <t>ale":0,"SortBy":0,"SortingIndex":null,"Tags":null,"ToolTipText":null},{"DataType":"varchar","DerivedDataType":"string","DisplayName":"LocalCurrencyžGroup By LocalCurrency","ExcelColFormat":null,"FormulaInfo":null,"GroupedFunc":null,"IsComputed":false,"IsGrouped":true,"IsRefType":false,"IsSelected":true,"Precision":0,"RealName":"LocalCurrency","Scale":0,"SortBy":0,"SortingIndex":null,"Tags":null,"ToolTipText":null},{"DataType":"varchar","DerivedDataType":"string","DisplayName":"Group By BasketInvestmentCodežGroup By BasketInvestmentCode","ExcelColFormat":null,"FormulaInfo":null,"GroupedFunc":null,"IsComputed":false,"IsGrouped":true,"IsRefType":false,"IsSelected":true,"Precision":0,"RealName":"BasketInvestmentCode","Scal</t>
  </si>
  <si>
    <t>e":0,"SortBy":0,"SortingIndex":null,"Tags":null,"ToolTipText":null},{"DataType":"varchar","DerivedDataType":"string","DisplayName":"žGroup By Issuer","ExcelColFormat":null,"FormulaInfo":null,"GroupedFunc":null,"IsComputed":false,"IsGrouped":true,"IsRefType":false,"IsSelected":true,"Precision":0,"RealName":"Issuer","Scale":0,"SortBy":0,"SortingIndex":null,"Tags":null,"ToolTipText":null},{"DataType":"varchar","DerivedDataType":"string","DisplayName":"žGroup By ParentIssuer","ExcelColFormat":null,"FormulaInfo":null,"GroupedFunc":null,"IsComputed":false,"IsGrouped":true,"IsRefType":false,"IsSelected":true,"Precision":0,"RealName":"ParentIssuer","Scale":0,"SortBy":0,"SortingIndex":null,"Tags":null,"ToolTipText":null},{"Data</t>
  </si>
  <si>
    <t>Type":"varchar","DerivedDataType":"string","DisplayName":"Security NamežGroup By SecurityName","ExcelColFormat":null,"FormulaInfo":null,"GroupedFunc":null,"IsComputed":false,"IsGrouped":true,"IsRefType":false,"IsSelected":true,"Precision":0,"RealName":"SecurityName","Scale":0,"SortBy":0,"SortingIndex":null,"Tags":null,"ToolTipText":null},{"DataType":"datetime","DerivedDataType":"string","DisplayName":"žGroup By AsOfDate","ExcelColFormat":null,"FormulaInfo":null,"GroupedFunc":null,"IsComputed":false,"IsGrouped":true,"IsRefType":false,"IsSelected":true,"Precision":23,"RealName":"AsOfDate","Scale":3,"SortBy":0,"SortingIndex":null,"Tags":null,"ToolTipText":null},{"DataType":"datetime","DerivedDataType":"string","DisplayNam</t>
  </si>
  <si>
    <t>e":"Group By KnowledgeDatežGroup By KnowledgeDate","ExcelColFormat":null,"FormulaInfo":null,"GroupedFunc":null,"IsComputed":false,"IsGrouped":true,"IsRefType":false,"IsSelected":true,"Precision":23,"RealName":"KnowledgeDate","Scale":3,"SortBy":0,"SortingIndex":null,"Tags":null,"ToolTipText":null},{"DataType":"numeric","DerivedDataType":"numeric","DisplayName":"žGroup By CostBase","ExcelColFormat":null,"FormulaInfo":null,"GroupedFunc":null,"IsComputed":false,"IsGrouped":true,"IsRefType":false,"IsSelected":true,"Precision":38,"RealName":"CostBase","Scale":38,"SortBy":0,"SortingIndex":null,"Tags":null,"ToolTipText":null},{"DataType":"numeric","DerivedDataType":"numeric","DisplayName":"žGroup By CostLocal","ExcelColFormat"</t>
  </si>
  <si>
    <t>:null,"FormulaInfo":null,"GroupedFunc":null,"IsComputed":false,"IsGrouped":true,"IsRefType":false,"IsSelected":true,"Precision":38,"RealName":"CostLocal","Scale":38,"SortBy":0,"SortingIndex":null,"Tags":null,"ToolTipText":null},{"DataType":"numeric","DerivedDataType":"numeric","DisplayName":"žGroup By PurchasePriceBase","ExcelColFormat":null,"FormulaInfo":null,"GroupedFunc":null,"IsComputed":false,"IsGrouped":true,"IsRefType":false,"IsSelected":true,"Precision":38,"RealName":"PurchasePriceBase","Scale":38,"SortBy":0,"SortingIndex":null,"Tags":null,"ToolTipText":null},{"DataType":"numeric","DerivedDataType":"numeric","DisplayName":"žGroup By PurchasePriceLocal","ExcelColFormat":null,"FormulaInfo":null,"GroupedFunc":null</t>
  </si>
  <si>
    <t>,"IsComputed":false,"IsGrouped":true,"IsRefType":false,"IsSelected":true,"Precision":38,"RealName":"PurchasePriceLocal","Scale":38,"SortBy":0,"SortingIndex":null,"Tags":null,"ToolTipText":null},{"DataType":"datetime","DerivedDataType":"string","DisplayName":"žGroup By PurchaseTradeDate","ExcelColFormat":null,"FormulaInfo":null,"GroupedFunc":null,"IsComputed":false,"IsGrouped":true,"IsRefType":false,"IsSelected":true,"Precision":23,"RealName":"PurchaseTradeDate","Scale":3,"SortBy":0,"SortingIndex":null,"Tags":null,"ToolTipText":null},{"DataType":"datetime","DerivedDataType":"string","DisplayName":"žGroup By PurchaseSettleDate","ExcelColFormat":null,"FormulaInfo":null,"GroupedFunc":null,"IsComputed":false,"IsGrouped":tru</t>
  </si>
  <si>
    <t>e,"IsRefType":false,"IsSelected":true,"Precision":23,"RealName":"PurchaseSettleDate","Scale":3,"SortBy":0,"SortingIndex":null,"Tags":null,"ToolTipText":null}],"DataSetName":"Tax Lot Detail","DataViewType":1,"FilterContent":[{"Condition":"EQUALS","DataType":"datetime","DateValueType":null,"DisplayFilterName":"AsOfDate","GroupedFunc":null,"Id":1,"IsDynamic":false,"IsRefType":false,"NestedFilters":null,"Operator":0,"RealFilterName":"AsOfDate","Values":["2020-07-06 00:00:00"]},{"Condition":"EQUALS","DataType":"varchar","DateValueType":null,"DisplayFilterName":"Portfolio","GroupedFunc":null,"Id":2,"IsDynamic":false,"IsRefType":true,"NestedFilters":null,"Operator":0,"RealFilterName":"Portfolio","Values":["AECO_II_B"]},{"Cond</t>
  </si>
  <si>
    <t>ition":"EQUALS","DataType":"bit","DateValueType":null,"DisplayFilterName":"IsInternalPrimary","GroupedFunc":null,"Id":3,"IsDynamic":false,"IsRefType":false,"NestedFilters":null,"Operator":0,"RealFilterName":"IsInternalPrimary","Values":["True"]}],"GroupName":"Profit And Loss","HavingFilterContent":[],"IsDistinct":false},"GroupName":"Profit And Loss","IsAggregatedView":true,"IsAutoLoad":false,"IsDeletable":false,"IsEditable":false,"IsRefreshTimeEnabled":false,"IsReplace":false,"IsStarred":false,"ModifiedBy":"ebrooks","ModifiedOn":"\/Date(1594086653213+0530)\/","SharedGroups":[""],"SharedWithRole":[""],"Source":null,"TemplateId":316,"TemplateName":"Collateral_Tax Lot","TemplateType":2,"UserName":"ebrooks","sharedWithUser":[""]}</t>
  </si>
  <si>
    <t>Collateral_Tax Lot_lmahakalkar</t>
  </si>
  <si>
    <t>{"CreatedBy":"ebrooks","CreatedOn":null,"DataSetName":"Tax Lot Detail","EmailAllUsers":false,"FilterInfo":{"Attributes":[{"DataType":"varchar","DerivedDataType":"string","DisplayName":"Client Reporting Roll UpžGroup By ClientReportingRollup","ExcelColFormat":null,"FormulaInfo":null,"GroupedFunc":null,"IsComputed":false,"IsGrouped":true,"IsRefType":true,"IsSelected":true,"Precision":null,"RealName":"ClientReportingRollup","Scale":null,"SortBy":0,"SortingIndex":null,"Tags":null,"ToolTipText":null},{"DataType":"varchar","DerivedDataType":"string","DisplayName":"žGroup By Portfolio","ExcelColFormat":null,"FormulaInfo":null,"GroupedFunc":null,"IsComputed":false,"IsGrouped":true,"IsRefType":true,"IsSelected":true,"Precision":nul</t>
  </si>
  <si>
    <t>l,"RealName":"Portfolio","Scale":null,"SortBy":0,"SortingIndex":null,"Tags":null,"ToolTipText":null},{"DataType":"varchar","DerivedDataType":"string","DisplayName":"žGroup By LongShort","ExcelColFormat":null,"FormulaInfo":null,"GroupedFunc":null,"IsComputed":false,"IsGrouped":true,"IsRefType":false,"IsSelected":true,"Precision":null,"RealName":"LongShort","Scale":null,"SortBy":0,"SortingIndex":null,"Tags":null,"ToolTipText":null},{"DataType":"varchar","DerivedDataType":"string","DisplayName":"Investment TypežGroup By InvestmentType","ExcelColFormat":null,"FormulaInfo":null,"GroupedFunc":null,"IsComputed":false,"IsGrouped":true,"IsRefType":false,"IsSelected":true,"Precision":null,"RealName":"InvestmentType","Scale":null,"So</t>
  </si>
  <si>
    <t>rtBy":0,"SortingIndex":null,"Tags":null,"ToolTipText":null},{"DataType":"varchar","DerivedDataType":"string","DisplayName":"LocalCurrencyžGroup By LocalCurrency","ExcelColFormat":null,"FormulaInfo":null,"GroupedFunc":null,"IsComputed":false,"IsGrouped":true,"IsRefType":false,"IsSelected":true,"Precision":null,"RealName":"LocalCurrency","Scale":null,"SortBy":0,"SortingIndex":null,"Tags":null,"ToolTipText":null},{"DataType":"varchar","DerivedDataType":"string","DisplayName":"Group By BasketInvestmentCodežGroup By BasketInvestmentCode","ExcelColFormat":null,"FormulaInfo":null,"GroupedFunc":null,"IsComputed":false,"IsGrouped":true,"IsRefType":false,"IsSelected":true,"Precision":null,"RealName":"BasketInvestmentCode","Scale":nu</t>
  </si>
  <si>
    <t>ll,"SortBy":0,"SortingIndex":null,"Tags":null,"ToolTipText":null},{"DataType":"varchar","DerivedDataType":"string","DisplayName":"žGroup By Issuer","ExcelColFormat":null,"FormulaInfo":null,"GroupedFunc":null,"IsComputed":false,"IsGrouped":true,"IsRefType":false,"IsSelected":true,"Precision":null,"RealName":"Issuer","Scale":null,"SortBy":0,"SortingIndex":null,"Tags":null,"ToolTipText":null},{"DataType":"varchar","DerivedDataType":"string","DisplayName":"žGroup By ParentIssuer","ExcelColFormat":null,"FormulaInfo":null,"GroupedFunc":null,"IsComputed":false,"IsGrouped":true,"IsRefType":false,"IsSelected":true,"Precision":null,"RealName":"ParentIssuer","Scale":null,"SortBy":0,"SortingIndex":null,"Tags":null,"ToolTipText":null},</t>
  </si>
  <si>
    <t>{"DataType":"varchar","DerivedDataType":"string","DisplayName":"Security NamežGroup By SecurityName","ExcelColFormat":null,"FormulaInfo":null,"GroupedFunc":null,"IsComputed":false,"IsGrouped":true,"IsRefType":false,"IsSelected":true,"Precision":null,"RealName":"SecurityName","Scale":null,"SortBy":0,"SortingIndex":null,"Tags":null,"ToolTipText":null},{"DataType":"datetime","DerivedDataType":"string","DisplayName":"žGroup By AsOfDate","ExcelColFormat":null,"FormulaInfo":null,"GroupedFunc":null,"IsComputed":false,"IsGrouped":true,"IsRefType":false,"IsSelected":true,"Precision":null,"RealName":"AsOfDate","Scale":null,"SortBy":0,"SortingIndex":null,"Tags":null,"ToolTipText":null},{"DataType":"datetime","DerivedDataType":"string</t>
  </si>
  <si>
    <t>","DisplayName":"Group By KnowledgeDatežGroup By KnowledgeDate","ExcelColFormat":null,"FormulaInfo":null,"GroupedFunc":null,"IsComputed":false,"IsGrouped":true,"IsRefType":false,"IsSelected":true,"Precision":null,"RealName":"KnowledgeDate","Scale":null,"SortBy":0,"SortingIndex":null,"Tags":null,"ToolTipText":null},{"DataType":"numeric","DerivedDataType":"numeric","DisplayName":"žGroup By CostBase","ExcelColFormat":null,"FormulaInfo":null,"GroupedFunc":null,"IsComputed":false,"IsGrouped":true,"IsRefType":false,"IsSelected":true,"Precision":38,"RealName":"CostBase","Scale":8,"SortBy":0,"SortingIndex":null,"Tags":null,"ToolTipText":null},{"DataType":"numeric","DerivedDataType":"numeric","DisplayName":"žGroup By CostLocal","Ex</t>
  </si>
  <si>
    <t>celColFormat":null,"FormulaInfo":null,"GroupedFunc":null,"IsComputed":false,"IsGrouped":true,"IsRefType":false,"IsSelected":true,"Precision":38,"RealName":"CostLocal","Scale":8,"SortBy":0,"SortingIndex":null,"Tags":null,"ToolTipText":null},{"DataType":"numeric","DerivedDataType":"numeric","DisplayName":"žGroup By PurchasePriceBase","ExcelColFormat":null,"FormulaInfo":null,"GroupedFunc":null,"IsComputed":false,"IsGrouped":true,"IsRefType":false,"IsSelected":true,"Precision":38,"RealName":"PurchasePriceBase","Scale":8,"SortBy":0,"SortingIndex":null,"Tags":null,"ToolTipText":null},{"DataType":"numeric","DerivedDataType":"numeric","DisplayName":"žGroup By PurchasePriceLocal","ExcelColFormat":null,"FormulaInfo":null,"GroupedFun</t>
  </si>
  <si>
    <t>c":null,"IsComputed":false,"IsGrouped":true,"IsRefType":false,"IsSelected":true,"Precision":38,"RealName":"PurchasePriceLocal","Scale":8,"SortBy":0,"SortingIndex":null,"Tags":null,"ToolTipText":null},{"DataType":"datetime","DerivedDataType":"string","DisplayName":"žGroup By PurchaseTradeDate","ExcelColFormat":null,"FormulaInfo":null,"GroupedFunc":null,"IsComputed":false,"IsGrouped":true,"IsRefType":false,"IsSelected":true,"Precision":null,"RealName":"PurchaseTradeDate","Scale":null,"SortBy":0,"SortingIndex":null,"Tags":null,"ToolTipText":null},{"DataType":"datetime","DerivedDataType":"string","DisplayName":"žGroup By PurchaseSettleDate","ExcelColFormat":null,"FormulaInfo":null,"GroupedFunc":null,"IsComputed":false,"IsGroup</t>
  </si>
  <si>
    <t>ed":true,"IsRefType":false,"IsSelected":true,"Precision":null,"RealName":"PurchaseSettleDate","Scale":null,"SortBy":0,"SortingIndex":null,"Tags":null,"ToolTipText":null}],"DataSetName":"Tax Lot Detail","DataViewType":1,"FilterContent":[{"Condition":"EQUALS","DataType":"datetime","DateValueType":[0],"DisplayFilterName":"AsOfDate","GroupedFunc":null,"Id":1,"IsDynamic":false,"IsRefType":false,"NestedFilters":null,"Operator":0,"RealFilterName":"AsOfDate","Values":["2024-02-12 00:00:00"]},{"Condition":"EQUALS","DataType":"varchar","DateValueType":null,"DisplayFilterName":"Portfolio","GroupedFunc":null,"Id":2,"IsDynamic":false,"IsRefType":true,"NestedFilters":null,"Operator":0,"RealFilterName":"Portfolio","Values":["SDL_III_L_MA</t>
  </si>
  <si>
    <t>STER"]},{"Condition":"EQUALS","DataType":"bit","DateValueType":null,"DisplayFilterName":"IsInternalPrimary","GroupedFunc":null,"Id":3,"IsDynamic":false,"IsRefType":false,"NestedFilters":null,"Operator":0,"RealFilterName":"IsInternalPrimary","Values":["True"]}],"GroupName":"Profit And Loss","HavingFilterContent":[],"IsDistinct":false},"GroupName":"Profit And Loss","IsAggregatedView":true,"IsAutoLoad":false,"IsDeletable":true,"IsEditable":false,"IsRefreshTimeEnabled":false,"IsReplace":false,"IsStarred":false,"ModifiedBy":null,"ModifiedOn":null,"SharedGroups":null,"SharedWithRole":null,"Source":null,"TemplateId":-1,"TemplateName":"Collateral_Tax Lot_lmahakalkar","TemplateType":1,"UserName":"lmahakalkar","sharedWithUser":null}</t>
  </si>
  <si>
    <t>PurchaseTradeDate</t>
  </si>
  <si>
    <t>CustodianAccount</t>
  </si>
  <si>
    <t>ContractualSettleDate</t>
  </si>
  <si>
    <t>Group By Geneva Asset Aga Id</t>
  </si>
  <si>
    <t>Group By SourceSystem</t>
  </si>
  <si>
    <t>SUM(CostBase)</t>
  </si>
  <si>
    <t>SUM(CostLocal)</t>
  </si>
  <si>
    <t>SUM(MarketValueBase)</t>
  </si>
  <si>
    <t>SUM(MarketValueLocal)</t>
  </si>
  <si>
    <t>SUM(AmortizationBase)</t>
  </si>
  <si>
    <t>Unrealized FX Gain/Loss Base</t>
  </si>
  <si>
    <t>Unrealized Price Gain/Loss Base</t>
  </si>
  <si>
    <t>SUM(AmortizationLocal)</t>
  </si>
  <si>
    <t>MAX(MarketPriceBase)</t>
  </si>
  <si>
    <t>MAX(MarketPriceLocal)</t>
  </si>
  <si>
    <t>MAX(PurchasePriceBase)</t>
  </si>
  <si>
    <t>MAX(PurchasePriceLocal)</t>
  </si>
  <si>
    <t>Bank of New York - Collection</t>
  </si>
  <si>
    <t>{"CreatedBy":"nlifors","CreatedOn":null,"DataSetName":"Tax Lot Detail","EmailAllUsers":false,"FilterInfo":{"Attributes":[{"DataType":"varchar","DerivedDataType":"string","DisplayName":"Client Reporting Roll UpžGroup By ClientReportingRollup","ExcelColFormat":null,"FormulaInfo":null,"GroupedFunc":null,"IsComputed":false,"IsGrouped":true,"IsRefType":true,"IsSelected":true,"Precision":null,"RealName":"ClientReportingRollup","Scale":null,"SortBy":0,"SortingIndex":null,"Tags":null,"ToolTipText":null},{"DataType":"varchar","DerivedDataType":"string","DisplayName":"LocalCurrencyžGroup By LocalCurrency","ExcelColFormat":null,"FormulaInfo":null,"GroupedFunc":null,"IsComputed":false,"IsGrouped":true,"IsRefType":false,"IsSelected":true,"Precision":null,"RealName":"LocalCurrency","Scale":null,"SortBy":0,"SortingIndex":null,"Tags":null,"ToolTipText":null},{"DataType":"varchar","DerivedDataType":"string","DisplayName":"Investment TypežGroup By InvestmentType","ExcelColFormat":null,"FormulaInfo":null,"GroupedFunc":null,"IsComputed":false,"IsGrouped":true,"IsRefType":false,"IsSelected":true,"Precision":null,"RealName":"InvestmentTyp</t>
  </si>
  <si>
    <t>e","Scale":null,"SortBy":0,"SortingIndex":null,"Tags":null,"ToolTipText":null},{"DataType":"varchar","DerivedDataType":"string","DisplayName":"Security NamežGroup By SecurityName","ExcelColFormat":null,"FormulaInfo":null,"GroupedFunc":null,"IsComputed":false,"IsGrouped":true,"IsRefType":false,"IsSelected":true,"Precision":null,"RealName":"SecurityName","Scale":null,"SortBy":0,"SortingIndex":null,"Tags":null,"ToolTipText":null},{"DataType":"datetime","DerivedDataType":"string","DisplayName":"PurchaseTradeDatežGroup By PurchaseTradeDate","ExcelColFormat":null,"FormulaInfo":null,"GroupedFunc":null,"IsComputed":false,"IsGrouped":true,"IsRefType":false,"IsSelected":true,"Precision":null,"RealName":"PurchaseTradeDate","Scale":null,"SortBy":0,"SortingIndex":null,"Tags":null,"ToolTipText":null},{"DataType":"varchar","DerivedDataType":"string","DisplayName":"CustodianAccountžGroup By CustodianAccount","ExcelColFormat":null,"FormulaInfo":null,"GroupedFunc":null,"IsComputed":false,"IsGrouped":true,"IsRefType":false,"IsSelected":true,"Precision":null,"RealName":"CustodianAccount","Scale":null,"SortBy":0,"SortingIndex":null,"Tags</t>
  </si>
  <si>
    <t>":null,"ToolTipText":null},{"DataType":"varchar","DerivedDataType":"string","DisplayName":"Group By BasketInvestmentCodežGroup By BasketInvestmentCode","ExcelColFormat":null,"FormulaInfo":null,"GroupedFunc":null,"IsComputed":false,"IsGrouped":true,"IsRefType":false,"IsSelected":true,"Precision":null,"RealName":"BasketInvestmentCode","Scale":null,"SortBy":0,"SortingIndex":null,"Tags":null,"ToolTipText":null},{"DataType":"datetime","DerivedDataType":"string","DisplayName":"ContractualSettleDatežGroup By ContractualSettleDate","ExcelColFormat":null,"FormulaInfo":null,"GroupedFunc":null,"IsComputed":false,"IsGrouped":true,"IsRefType":false,"IsSelected":true,"Precision":null,"RealName":"ContractualSettleDate","Scale":null,"SortBy":0,"SortingIndex":null,"Tags":null,"ToolTipText":null},{"DataType":"varchar","DerivedDataType":"string","DisplayName":"Group By Geneva Asset Aga IdžGroup By GenevaAssetAgaId","ExcelColFormat":null,"FormulaInfo":null,"GroupedFunc":null,"IsComputed":false,"IsGrouped":true,"IsRefType":false,"IsSelected":true,"Precision":null,"RealName":"GenevaAssetAgaId","Scale":null,"SortBy":0,"SortingIndex":null,"</t>
  </si>
  <si>
    <t>Tags":null,"ToolTipText":null},{"DataType":"datetime","DerivedDataType":"string","DisplayName":"Group By KnowledgeDatežGroup By KnowledgeDate","ExcelColFormat":null,"FormulaInfo":null,"GroupedFunc":null,"IsComputed":false,"IsGrouped":true,"IsRefType":false,"IsSelected":true,"Precision":null,"RealName":"KnowledgeDate","Scale":null,"SortBy":0,"SortingIndex":null,"Tags":null,"ToolTipText":null},{"DataType":"varchar","DerivedDataType":"string","DisplayName":"Group By SourceSystemžGroup By SourceSystem","ExcelColFormat":null,"FormulaInfo":null,"GroupedFunc":null,"IsComputed":false,"IsGrouped":true,"IsRefType":false,"IsSelected":true,"Precision":null,"RealName":"SourceSystem","Scale":null,"SortBy":0,"SortingIndex":null,"Tags":null,"ToolTipText":null},{"DataType":"numeric","DerivedDataType":"numeric","DisplayName":"SUM(CostBase)žSUM(CostBase)","ExcelColFormat":null,"FormulaInfo":null,"GroupedFunc":"SUM(x)","IsComputed":false,"IsGrouped":false,"IsRefType":false,"IsSelected":true,"Precision":38,"RealName":"CostBase","Scale":8,"SortBy":0,"SortingIndex":null,"Tags":null,"ToolTipText":null},{"DataType":"numeric","DerivedDataType</t>
  </si>
  <si>
    <t>":"numeric","DisplayName":"SUM(CostLocal)žSUM(CostLocal)","ExcelColFormat":null,"FormulaInfo":null,"GroupedFunc":"SUM(x)","IsComputed":false,"IsGrouped":false,"IsRefType":false,"IsSelected":true,"Precision":38,"RealName":"CostLocal","Scale":8,"SortBy":0,"SortingIndex":null,"Tags":null,"ToolTipText":null},{"DataType":"numeric","DerivedDataType":"numeric","DisplayName":"SUM(MarketValueBase)žSUM(MarketValueBase)","ExcelColFormat":null,"FormulaInfo":null,"GroupedFunc":"SUM(x)","IsComputed":false,"IsGrouped":false,"IsRefType":false,"IsSelected":true,"Precision":38,"RealName":"MarketValueBase","Scale":8,"SortBy":0,"SortingIndex":null,"Tags":null,"ToolTipText":null},{"DataType":"numeric","DerivedDataType":"numeric","DisplayName":"SUM(MarketValueLocal)žSUM(MarketValueLocal)","ExcelColFormat":null,"FormulaInfo":null,"GroupedFunc":"SUM(x)","IsComputed":false,"IsGrouped":false,"IsRefType":false,"IsSelected":true,"Precision":38,"RealName":"MarketValueLocal","Scale":8,"SortBy":0,"SortingIndex":null,"Tags":null,"ToolTipText":null},{"DataType":"numeric","DerivedDataType":"numeric","DisplayName":"SUM(AccruedInterestBase)žSUM(Accrued</t>
  </si>
  <si>
    <t>InterestBase)","ExcelColFormat":null,"FormulaInfo":null,"GroupedFunc":"SUM(x)","IsComputed":false,"IsGrouped":false,"IsRefType":false,"IsSelected":true,"Precision":38,"RealName":"AccruedInterestBase","Scale":8,"SortBy":0,"SortingIndex":null,"Tags":null,"ToolTipText":null},{"DataType":"numeric","DerivedDataType":"numeric","DisplayName":"SUM(AccruedInterestLocal)žSUM(AccruedInterestLocal)","ExcelColFormat":null,"FormulaInfo":null,"GroupedFunc":"SUM(x)","IsComputed":false,"IsGrouped":false,"IsRefType":false,"IsSelected":true,"Precision":38,"RealName":"AccruedInterestLocal","Scale":8,"SortBy":0,"SortingIndex":null,"Tags":null,"ToolTipText":null},{"DataType":"numeric","DerivedDataType":"numeric","DisplayName":"SUM(AmortizationBase)žSUM(AmortizationBase)","ExcelColFormat":null,"FormulaInfo":null,"GroupedFunc":"SUM(x)","IsComputed":false,"IsGrouped":false,"IsRefType":false,"IsSelected":true,"Precision":38,"RealName":"AmortizationBase","Scale":8,"SortBy":0,"SortingIndex":null,"Tags":null,"ToolTipText":null},{"DataType":"numeric","DerivedDataType":"numeric","DisplayName":"Unrealized FX Gain\/Loss BasežSUM(UnrealFxBase)","Exce</t>
  </si>
  <si>
    <t>lColFormat":null,"FormulaInfo":null,"GroupedFunc":"SUM(x)","IsComputed":false,"IsGrouped":false,"IsRefType":false,"IsSelected":true,"Precision":38,"RealName":"UnrealFxBase","Scale":8,"SortBy":0,"SortingIndex":null,"Tags":null,"ToolTipText":null},{"DataType":"numeric","DerivedDataType":"numeric","DisplayName":"Unrealized Price Gain\/Loss BasežSUM(UnrealPriceBase)","ExcelColFormat":null,"FormulaInfo":null,"GroupedFunc":"SUM(x)","IsComputed":false,"IsGrouped":false,"IsRefType":false,"IsSelected":true,"Precision":38,"RealName":"UnrealPriceBase","Scale":8,"SortBy":0,"SortingIndex":null,"Tags":null,"ToolTipText":null},{"DataType":"numeric","DerivedDataType":"numeric","DisplayName":"SUM(AmortizationLocal)žSUM(AmortizationLocal)","ExcelColFormat":null,"FormulaInfo":null,"GroupedFunc":"SUM(x)","IsComputed":false,"IsGrouped":false,"IsRefType":false,"IsSelected":true,"Precision":38,"RealName":"AmortizationLocal","Scale":8,"SortBy":0,"SortingIndex":null,"Tags":null,"ToolTipText":null},{"DataType":"numeric","DerivedDataType":"numeric","DisplayName":"MAX(MarketPriceBase)žMAX(MarketPriceBase)","ExcelColFormat":null,"FormulaInfo":nu</t>
  </si>
  <si>
    <t>ll,"GroupedFunc":"MAX(x)","IsComputed":false,"IsGrouped":false,"IsRefType":false,"IsSelected":true,"Precision":38,"RealName":"MarketPriceBase","Scale":14,"SortBy":0,"SortingIndex":null,"Tags":null,"ToolTipText":null},{"DataType":"numeric","DerivedDataType":"numeric","DisplayName":"MAX(MarketPriceLocal)žMAX(MarketPriceLocal)","ExcelColFormat":null,"FormulaInfo":null,"GroupedFunc":"MAX(x)","IsComputed":false,"IsGrouped":false,"IsRefType":false,"IsSelected":true,"Precision":38,"RealName":"MarketPriceLocal","Scale":14,"SortBy":0,"SortingIndex":null,"Tags":null,"ToolTipText":null},{"DataType":"numeric","DerivedDataType":"numeric","DisplayName":"MAX(PurchasePriceBase)žMAX(PurchasePriceBase)","ExcelColFormat":null,"FormulaInfo":null,"GroupedFunc":"MAX(x)","IsComputed":false,"IsGrouped":false,"IsRefType":false,"IsSelected":true,"Precision":38,"RealName":"PurchasePriceBase","Scale":8,"SortBy":0,"SortingIndex":null,"Tags":null,"ToolTipText":null},{"DataType":"numeric","DerivedDataType":"numeric","DisplayName":"MAX(PurchasePriceLocal)žMAX(PurchasePriceLocal)","ExcelColFormat":null,"FormulaInfo":null,"GroupedFunc":"MAX(x)","IsCo</t>
  </si>
  <si>
    <t>isplayFilterName":"SUM(MarketValueBase)","GroupedFunc":null,"Id":1,"IsDynamic":false,"IsRefType":false,"NestedFilters":null,"Operator":1,"RealFilterName":"SUM(MarketValueBase)","Values":["0"]},{"Condition":"NOT EQUALS","DataType":"numeric","DateValueType":null,"DisplayFilterName":"SUM(AccruedInterestBase)","GroupedFunc":null,"Id":2,"IsDynamic":false,"IsRefType":false,"NestedFilters":null,"Operator":1,"RealFilterName":"SUM(AccruedInterestBase)","Values":["0"]},{"Condition":"NOT EQUALS","DataType":"numeric","DateValueType":null,"DisplayFilterName":"SUM(CostBase)","GroupedFunc":null,"Id":3,"IsDynamic":false,"IsRefType":false,"NestedFilters":null,"Operator":0,"RealFilterName":"SUM(CostBase)","Values":["0"]}],"IsDistinct":false},"GroupName":"Profit And Loss","IsAggregatedView":true,"IsAutoLoad":false,"IsDeletable":true,"IsEditable":false,"IsRefreshTimeEnabled":false,"IsReplace":false,"IsStarred":false,"ModifiedBy":null,"ModifiedOn":null,"SharedGroups":null,"SharedWithRole":null,"Source":null,"TemplateId":-1,"TemplateName":"Core Tax Lot Appraisal_lmahakalkar","TemplateType":1,"UserName":"lmahakalkar","sharedWithUser":null}</t>
  </si>
  <si>
    <t>LX1836150X00df820bcf000079</t>
  </si>
  <si>
    <t>LX2004680X00e35c149a00002e</t>
  </si>
  <si>
    <t>LX2005130X00e360050a00000d</t>
  </si>
  <si>
    <t>CAD</t>
  </si>
  <si>
    <t>LX219957</t>
  </si>
  <si>
    <t>LX216416</t>
  </si>
  <si>
    <t>LX217594</t>
  </si>
  <si>
    <t>LX219095</t>
  </si>
  <si>
    <t>LX219590</t>
  </si>
  <si>
    <t>LX219795</t>
  </si>
  <si>
    <t>LX218579</t>
  </si>
  <si>
    <t>LX222436</t>
  </si>
  <si>
    <t>LX225014</t>
  </si>
  <si>
    <t>LX216118</t>
  </si>
  <si>
    <t>LX217184</t>
  </si>
  <si>
    <t>LX225696</t>
  </si>
  <si>
    <t>LX222913</t>
  </si>
  <si>
    <t>LX219100</t>
  </si>
  <si>
    <t>LX216177</t>
  </si>
  <si>
    <t>LX219678</t>
  </si>
  <si>
    <t>LX226594</t>
  </si>
  <si>
    <t>LX221694</t>
  </si>
  <si>
    <t>LX222088</t>
  </si>
  <si>
    <t>LX218794</t>
  </si>
  <si>
    <t>LX221354</t>
  </si>
  <si>
    <t>LX220162</t>
  </si>
  <si>
    <t>LX219918</t>
  </si>
  <si>
    <t>LX217509</t>
  </si>
  <si>
    <t>LX219596</t>
  </si>
  <si>
    <t>LX221557</t>
  </si>
  <si>
    <t>LX221556</t>
  </si>
  <si>
    <t>LX219880</t>
  </si>
  <si>
    <t>LX220399</t>
  </si>
  <si>
    <t>LX222737</t>
  </si>
  <si>
    <t>LX219387</t>
  </si>
  <si>
    <t>LX217034</t>
  </si>
  <si>
    <t>LX221933</t>
  </si>
  <si>
    <t>LX219580</t>
  </si>
  <si>
    <t>LX219476</t>
  </si>
  <si>
    <t>LX219016</t>
  </si>
  <si>
    <t>LX219773</t>
  </si>
  <si>
    <t>LX222014</t>
  </si>
  <si>
    <t>LX217551</t>
  </si>
  <si>
    <t>LX222037</t>
  </si>
  <si>
    <t>LX216195</t>
  </si>
  <si>
    <t>LX222233</t>
  </si>
  <si>
    <t>LX217498</t>
  </si>
  <si>
    <t>LX216591</t>
  </si>
  <si>
    <t>LX219255</t>
  </si>
  <si>
    <t>LX219499</t>
  </si>
  <si>
    <t>LX218674</t>
  </si>
  <si>
    <t>LX216187</t>
  </si>
  <si>
    <t>LX219096</t>
  </si>
  <si>
    <t>LX217458</t>
  </si>
  <si>
    <t>E65096</t>
  </si>
  <si>
    <t>LX219881</t>
  </si>
  <si>
    <t>LX217596</t>
  </si>
  <si>
    <t>LX183616</t>
  </si>
  <si>
    <t>LX222052</t>
  </si>
  <si>
    <t>LX219591</t>
  </si>
  <si>
    <t>LX218580</t>
  </si>
  <si>
    <t>LX225015</t>
  </si>
  <si>
    <t>LX189325</t>
  </si>
  <si>
    <t>LX218494</t>
  </si>
  <si>
    <t>LX217183</t>
  </si>
  <si>
    <t>LX210114</t>
  </si>
  <si>
    <t>LX219101</t>
  </si>
  <si>
    <t>LX216178</t>
  </si>
  <si>
    <t>LX217456</t>
  </si>
  <si>
    <t>LX218300</t>
  </si>
  <si>
    <t>LX222089</t>
  </si>
  <si>
    <t>LX218795</t>
  </si>
  <si>
    <t>LX221355</t>
  </si>
  <si>
    <t>LX216818</t>
  </si>
  <si>
    <t>LX217510</t>
  </si>
  <si>
    <t>LX219597</t>
  </si>
  <si>
    <t>LX216048</t>
  </si>
  <si>
    <t>LX220400</t>
  </si>
  <si>
    <t>LX201640</t>
  </si>
  <si>
    <t>LX207402</t>
  </si>
  <si>
    <t>LX185511</t>
  </si>
  <si>
    <t>LX219581</t>
  </si>
  <si>
    <t>LX219477</t>
  </si>
  <si>
    <t>LX219017</t>
  </si>
  <si>
    <t>LX217544</t>
  </si>
  <si>
    <t>LX219774</t>
  </si>
  <si>
    <t>LX217497</t>
  </si>
  <si>
    <t>LX219254</t>
  </si>
  <si>
    <t>LX219225</t>
  </si>
  <si>
    <t>LX187901</t>
  </si>
  <si>
    <t>LX179427</t>
  </si>
  <si>
    <t>LX219097</t>
  </si>
  <si>
    <t>Eternal Aus Bidco Pty Ltd/Facility B Term Loan 11/23</t>
  </si>
  <si>
    <t>Applied Technical Services, LLC/Fifth Amendment Term Loan 1/24</t>
  </si>
  <si>
    <t>LX225155</t>
  </si>
  <si>
    <t>Aptean, Inc./Term Loan 1/24</t>
  </si>
  <si>
    <t>LX222533</t>
  </si>
  <si>
    <t>AQ Sunshine, Inc./Tranche F Term Loan 12/23</t>
  </si>
  <si>
    <t>LX222435</t>
  </si>
  <si>
    <t>Artivion, Inc./Initial Term Loan 1/24</t>
  </si>
  <si>
    <t>LX225013</t>
  </si>
  <si>
    <t>Benecon Midco II LLC/Initial Term Loan 1/24</t>
  </si>
  <si>
    <t>LX224375</t>
  </si>
  <si>
    <t>Collision SP Subco, LLC/Initial Term Loan 1/24</t>
  </si>
  <si>
    <t>LX225937</t>
  </si>
  <si>
    <t>Computer Services, Inc./2024-1 Incremental Term Loan 2/24</t>
  </si>
  <si>
    <t>LX226593</t>
  </si>
  <si>
    <t>Enverus Holdings, Inc./Term Loan 12/23</t>
  </si>
  <si>
    <t>LX221353</t>
  </si>
  <si>
    <t>Icefall Parent, Inc./Term Loan 1/24</t>
  </si>
  <si>
    <t>LX225694</t>
  </si>
  <si>
    <t>Kene Acquisition, Inc./Initial Term Loan 2/24</t>
  </si>
  <si>
    <t>LX226618</t>
  </si>
  <si>
    <t>PDI TA Holdings, Inc./Initial Term Loan 2/24</t>
  </si>
  <si>
    <t>LX225958</t>
  </si>
  <si>
    <t>Truck-Lite Co., LLC and Ecco Holdings Corp./Initial Term Loan 2/24</t>
  </si>
  <si>
    <t>LX226773</t>
  </si>
  <si>
    <t>Wildcat BuyerCo, Inc./Initial Term Loan 02/20</t>
  </si>
  <si>
    <t>Wildcat BuyerCo, Inc./Third Incremental Term Loan 11/23</t>
  </si>
  <si>
    <t>87190HAC3</t>
  </si>
  <si>
    <t>Symplr Software Inc./First Lien Term Loan 12/20</t>
  </si>
  <si>
    <t>LX190915</t>
  </si>
  <si>
    <t>mputed":false,"IsGrouped":false,"IsRefType":false,"IsSelected":true,"Precision":38,"RealName":"PurchasePriceLocal","Scale":8,"SortBy":0,"SortingIndex":null,"Tags":null,"ToolTipText":null}],"DataSetName":"Tax Lot Detail","DataViewType":1,"FilterContent":[{"Condition":"EQUALS","DataType":"datetime","DateValueType":[0],"DisplayFilterName":"AsOfDate","GroupedFunc":null,"Id":1,"IsDynamic":false,"IsRefType":false,"NestedFilters":null,"Operator":0,"RealFilterName":"AsOfDate","Values":["2024-02-15 00:00:00"]},{"Condition":"EQUALS","DataType":"bit","DateValueType":null,"DisplayFilterName":"IsInternalPrimary","GroupedFunc":null,"Id":2,"IsDynamic":false,"IsRefType":false,"NestedFilters":null,"Operator":0,"RealFilterName":"IsInternalPrimary","Values":["True"]},{"Condition":"EQUALS","DataType":"varchar","DateValueType":null,"DisplayFilterName":"Portfolio","GroupedFunc":null,"Id":3,"IsDynamic":false,"IsRefType":true,"NestedFilters":null,"Operator":0,"RealFilterName":"Portfolio","Values":["SDL_III_L_MASTER"]}],"GroupName":"Profit And Loss","HavingFilterContent":[{"Condition":"NOT EQUALS","DataType":"numeric","DateValueType":null,"D</t>
  </si>
  <si>
    <t>LX1909150X00e296246700001a</t>
  </si>
  <si>
    <t>LX1861700X00e0217e6900004d</t>
  </si>
  <si>
    <t>{"CreatedBy":"lmahakalkar","CreatedOn":null,"DataSetName":"Position P&amp;L","EmailAllUsers":false,"FilterInfo":{"Attributes":[{"DataType":"varchar","DerivedDataType":"string","DisplayName":"Client Reporting Roll UpžGroup By Client Reporting Roll Up","ExcelColFormat":null,"FormulaInfo":null,"GroupedFunc":null,"IsComputed":false,"IsGrouped":true,"IsRefType":true,"IsSelected":true,"Precision":null,"RealName":"client_reporting_rollup","Scale":null,"SortBy":0,"SortingIndex":null,"Tags":null,"ToolTipText":null},{"DataType":"varchar","DerivedDataType":"string","DisplayName":"PortfoliožGroup By Portfolio","ExcelColFormat":null,"FormulaInfo":null,"GroupedFunc":null,"IsComputed":false,"IsGrouped":true,"IsRefType":true,"IsSelected":true,"Precision":null,"RealName":"portfolio","Scale":null,"SortBy":0,"SortingIndex":null,"Tags":null,"ToolTipText":null},{"DataType":"varchar","DerivedDataType":"string","DisplayName":"Long ShortžGroup By Long Short","ExcelColFormat":null,"FormulaInfo":null,"GroupedFunc":null,"IsComputed":false,"IsGrouped":true,"IsRefType":false,"IsSelected":true,"Precision":null,"RealName":"long_short","Scale":null,"SortBy":0,"SortingIndex":null,"Tags":null,"ToolTipText":null},{"DataType":"varchar","DerivedDataType":"string","DisplayName":"žGroup By Investment Type","ExcelColFormat":null,"FormulaInfo":null,"GroupedFunc":null,"IsComputed":false,"IsGrouped":true,"IsRefType":false,"IsSelected":true,"Precision":null,"RealName":"investment_type","Scale":null,"SortBy":0,"SortingIndex":null,"Tags":null,"ToolTipText":null},{"DataType":"varchar","DerivedDataType":"string","DisplayName":"Local CurrencyžGroup By Local Currency","ExcelColFormat":null,"FormulaInfo":null,"GroupedFunc":null,"IsComputed":false,"IsGrouped":true,"IsRefType":false,"IsSelected":true,"Precision":null,"RealName":"local_currency","Scale":null,"SortBy":0,"SortingIndex":null,"Tags":null,"ToolTipText":null},{"DataType":"varchar","DerivedDataType":"string","DisplayName":"CusipžGroup By Cusip","ExcelColFormat":null,"FormulaInfo":null,"GroupedFunc":null,"IsComputed":false,"IsGrouped":true,"IsRefType":false,"IsSelected":true,"Precision":null,"RealName":"cusip","Scale":null,"SortBy":0,"SortingIndex":null,"Tags":null,"ToolTipText":null},{"DataType":"varchar","DerivedDataType":"string","DisplayName":"ISINžGroup By ISIN","ExcelColFormat":null,"FormulaInfo":null,"GroupedFunc":null,"IsComputed":false,"IsGrouped":true,"IsRefType":false,"IsSelected":true,"Precision":null,"RealName":"isin","Scale":null,"SortBy":0,"SortingIndex":null,"Tags":null,"ToolTipText":null},{"DataType":"varchar","DerivedDataType":"string","DisplayName":"IssueržGroup By Issuer","ExcelColFormat":null,"FormulaInfo":null,"GroupedFunc":null,"IsComputed":false,"IsGrouped":true,"IsRefType":false,"IsSelected":true,"Precision":null,"RealName":"issuer","Scale":null,"SortBy":0,"SortingIndex":null,"Tags":null,"ToolTipText":null},{"DataType":"varchar","DerivedDataType":"string","DisplayName":"Parent IssueržGroup By Parent Issuer","ExcelColFormat":null,"FormulaInfo":null,"GroupedFunc":null,"IsComputed":false,"IsGrouped":true,"IsRefType":false,"IsSelected":true,"Precision":null,"RealName"</t>
  </si>
  <si>
    <t>:"parent_issuer","Scale":null,"SortBy":0,"SortingIndex":null,"Tags":null,"ToolTipText":null},{"DataType":"varchar","DerivedDataType":"string","DisplayName":"Security NamežGroup By Security Name","ExcelColFormat":null,"FormulaInfo":null,"GroupedFunc":null,"IsComputed":false,"IsGrouped":true,"IsRefType":false,"IsSelected":true,"Precision":null,"RealName":"security_name","Scale":null,"SortBy":0,"SortingIndex":null,"Tags":null,"ToolTipText":null},{"DataType":"datetime","DerivedDataType":"string","DisplayName":"MaturityDatežGroup By MaturityDate","ExcelColFormat":null,"FormulaInfo":null,"GroupedFunc":null,"IsComputed":false,"IsGrouped":true,"IsRefType":false,"IsSelected":true,"Precision":null,"RealName":"maturity_date","Scale":null,"SortBy":0,"SortingIndex":null,"Tags":null,"ToolTipText":null},{"DataType":"varchar","DerivedDataType":"string","DisplayName":"Group By BasketInvestmentCodežGroup By BasketInvestmentCode","ExcelColFormat":null,"FormulaInfo":null,"GroupedFunc":null,"IsComputed":false,"IsGrouped":true,"IsRefType":false,"IsSelected":true,"Precision":null,"RealName":"basket_investment_code","Scale":null,"SortBy":0,"SortingIndex":null,"Tags":null,"ToolTipText":null},{"DataType":"datetime","DerivedDataType":"string","DisplayName":"Group By As of DatežGroup By As of Date","ExcelColFormat":null,"FormulaInfo":null,"GroupedFunc":null,"IsComputed":false,"IsGrouped":true,"IsRefType":false,"IsSelected":true,"Precision":null,"RealName":"as_of_date","Scale":null,"SortBy":0,"SortingIndex":null,"Tags":null,"ToolTipText":null},{"DataType":"datetime","DerivedDataType":"string","DisplayName":"Group By Knowledge DatežGroup By Knowledge Date","ExcelColFormat":null,"FormulaInfo":null,"GroupedFunc":null,"IsComputed":false,"IsGrouped":true,"IsRefType":false,"IsSelected":true,"Precision":null,"RealName":"knowledge_date","Scale":null,"SortBy":0,"SortingIndex":null,"Tags":null,"ToolTipText":null},{"DataType":"varchar","DerivedDataType":"string","DisplayName":"Group By Source SystemžGroup By Source System","ExcelColFormat":null,"FormulaInfo":null,"GroupedFunc":null,"IsComputed":false,"IsGrouped":true,"IsRefType":false,"IsSelected":true,"Precision":null,"RealName":"source_system","Scale":null,"SortBy":0,"SortingIndex":null,"Tags":null,"ToolTipText":null},{"DataType":"varchar","DerivedDataType":"string","DisplayName":"žGroup By IssueCountry","ExcelColFormat":null,"FormulaInfo":null,"GroupedFunc":null,"IsComputed":false,"IsGrouped":true,"IsRefType":false,"IsSelected":true,"Precision":null,"RealName":"issue_country","Scale":null,"SortBy":0,"SortingIndex":null,"Tags":null,"ToolTipText":null},{"DataType":"numeric","DerivedDataType":"numeric","DisplayName":"SUM(QuantityEOD)žSUM(QuantityEOD)","ExcelColFormat":null,"FormulaInfo":null,"GroupedFunc":"SUM(x)","IsComputed":false,"IsGrouped":false,"IsRefType":false,"IsSelected":true,"Precision":38,"RealName":"quantity_eod","Scale":8,"SortBy":0,"SortingIndex":null,"Tags":null,"ToolTipText":null},{"DataType":"numeric","DerivedDataType":"numeric","DisplayName":"SUM(FundedQuantityBook)žSUM(FundedQuantityBook)","ExcelColFormat":null,"FormulaInfo":null,"GroupedFunc":"SUM(x)","IsComp</t>
  </si>
  <si>
    <t>uted":false,"IsGrouped":false,"IsRefType":false,"IsSelected":true,"Precision":38,"RealName":"funded_quantity_base","Scale":8,"SortBy":0,"SortingIndex":null,"Tags":null,"ToolTipText":null},{"DataType":"numeric","DerivedDataType":"numeric","DisplayName":"SUM(FundedQuantitylocal)žSUM(FundedQuantitylocal)","ExcelColFormat":null,"FormulaInfo":null,"GroupedFunc":"SUM(x)","IsComputed":false,"IsGrouped":false,"IsRefType":false,"IsSelected":true,"Precision":38,"RealName":"funded_quantity_local","Scale":8,"SortBy":0,"SortingIndex":null,"Tags":null,"ToolTipText":null},{"DataType":"numeric","DerivedDataType":"numeric","DisplayName":"SUM(UnfundedQuantityBook)žSUM(UnfundedQuantityBook)","ExcelColFormat":null,"FormulaInfo":null,"GroupedFunc":"SUM(x)","IsComputed":false,"IsGrouped":false,"IsRefType":false,"IsSelected":true,"Precision":38,"RealName":"unfunded_quantity_base","Scale":8,"SortBy":0,"SortingIndex":null,"Tags":null,"ToolTipText":null},{"DataType":"numeric","DerivedDataType":"numeric","DisplayName":"SUM(UnfundedQuantityLocal)žSUM(UnfundedQuantityLocal)","ExcelColFormat":null,"FormulaInfo":null,"GroupedFunc":"SUM(x)","IsComputed":false,"IsGrouped":false,"IsRefType":false,"IsSelected":true,"Precision":38,"RealName":"unfunded_quantity_local","Scale":8,"SortBy":0,"SortingIndex":null,"Tags":null,"ToolTipText":null},{"DataType":"numeric","DerivedDataType":"numeric","DisplayName":"SUM(MarketValueBaseEOD)žSUM(MarketValueBaseEOD)","ExcelColFormat":null,"FormulaInfo":null,"GroupedFunc":"SUM(x)","IsComputed":false,"IsGrouped":false,"IsRefType":false,"IsSelected":true,"Precision":38,"RealName":"market_value_base_eod","Scale":8,"SortBy":0,"SortingIndex":null,"Tags":null,"ToolTipText":null},{"DataType":"numeric","DerivedDataType":"numeric","DisplayName":"SUM(MarketValueLocalEOD)žSUM(MarketValueLocalEOD)","ExcelColFormat":null,"FormulaInfo":null,"GroupedFunc":"SUM(x)","IsComputed":false,"IsGrouped":false,"IsRefType":false,"IsSelected":true,"Precision":38,"RealName":"market_value_local_eod","Scale":8,"SortBy":0,"SortingIndex":null,"Tags":null,"ToolTipText":null},{"DataType":"numeric","DerivedDataType":"numeric","DisplayName":"SUM(TotalCostBase)žSUM(TotalCostBase)","ExcelColFormat":null,"FormulaInfo":null,"GroupedFunc":"SUM(x)","IsComputed":false,"IsGrouped":false,"IsRefType":false,"IsSelected":true,"Precision":38,"RealName":"total_cost_base","Scale":8,"SortBy":0,"SortingIndex":null,"Tags":null,"ToolTipText":null},{"DataType":"numeric","DerivedDataType":"numeric","DisplayName":"SUM(TotalCostLocal)žSUM(TotalCostLocal)","ExcelColFormat":null,"FormulaInfo":null,"GroupedFunc":"SUM(x)","IsComputed":false,"IsGrouped":false,"IsRefType":false,"IsSelected":true,"Precision":38,"RealName":"total_cost_local","Scale":8,"SortBy":0,"SortingIndex":null,"Tags":null,"ToolTipText":null},{"DataType":"numeric","DerivedDataType":"numeric","DisplayName":"SUM(AccruedInterestLocal)žSUM(AccruedInterestLocal)","ExcelColFormat":null,"FormulaInfo":null,"GroupedFunc":"SUM(x)","IsComputed":false,"IsGrouped":false,"IsRefType":false,"IsSelected":true,"Precision":38,"RealName":"accrued_interest_local","Scale":8,"SortBy":0,"SortingIndex":null,"Tags</t>
  </si>
  <si>
    <t>":null,"ToolTipText":null},{"DataType":"numeric","DerivedDataType":"numeric","DisplayName":"SUM(AccruedInterestBase)žSUM(AccruedInterestBase)","ExcelColFormat":null,"FormulaInfo":null,"GroupedFunc":"SUM(x)","IsComputed":false,"IsGrouped":false,"IsRefType":false,"IsSelected":true,"Precision":38,"RealName":"accrued_interest_base","Scale":8,"SortBy":0,"SortingIndex":null,"Tags":null,"ToolTipText":null},{"DataType":"numeric","DerivedDataType":"numeric","DisplayName":"SUM(UnRealFxBase)žSUM(UnRealFxBase)","ExcelColFormat":null,"FormulaInfo":null,"GroupedFunc":"SUM(x)","IsComputed":false,"IsGrouped":false,"IsRefType":false,"IsSelected":true,"Precision":38,"RealName":"unreal_fx_base","Scale":8,"SortBy":0,"SortingIndex":null,"Tags":null,"ToolTipText":null},{"DataType":"numeric","DerivedDataType":"numeric","DisplayName":"SUM(UnRealPriceBase)žSUM(UnRealPriceBase)","ExcelColFormat":null,"FormulaInfo":null,"GroupedFunc":"SUM(x)","IsComputed":false,"IsGrouped":false,"IsRefType":false,"IsSelected":true,"Precision":38,"RealName":"unreal_price_base","Scale":8,"SortBy":0,"SortingIndex":null,"Tags":null,"ToolTipText":null},{"DataType":"numeric","DerivedDataType":"numeric","DisplayName":"Unamortized Cost BasežSUM(OriginalCostBase)","ExcelColFormat":null,"FormulaInfo":null,"GroupedFunc":"SUM(x)","IsComputed":false,"IsGrouped":false,"IsRefType":false,"IsSelected":true,"Precision":38,"RealName":"original_cost_base","Scale":8,"SortBy":0,"SortingIndex":null,"Tags":null,"ToolTipText":null},{"DataType":"numeric","DerivedDataType":"numeric","DisplayName":"Unamortized Cost LocalžSUM(OriginalCostLocal)","ExcelColFormat":null,"FormulaInfo":null,"GroupedFunc":"SUM(x)","IsComputed":false,"IsGrouped":false,"IsRefType":false,"IsSelected":true,"Precision":38,"RealName":"original_cost_local","Scale":8,"SortBy":0,"SortingIndex":null,"Tags":null,"ToolTipText":null},{"DataType":"numeric","DerivedDataType":"numeric","DisplayName":"MAX(MarketPriceLocalEOD)žMAX(MarketPriceLocalEOD)","ExcelColFormat":null,"FormulaInfo":null,"GroupedFunc":"MAX(x)","IsComputed":false,"IsGrouped":false,"IsRefType":false,"IsSelected":true,"Precision":38,"RealName":"market_price_local_eod","Scale":14,"SortBy":0,"SortingIndex":null,"Tags":null,"ToolTipText":null},{"DataType":"numeric","DerivedDataType":"numeric","DisplayName":"FXRateEODžMAX(FXRateEOD)","ExcelColFormat":null,"FormulaInfo":null,"GroupedFunc":"MAX(x)","IsComputed":false,"IsGrouped":false,"IsRefType":false,"IsSelected":true,"Precision":38,"RealName":"fx_rate_eod","Scale":8,"SortBy":0,"SortingIndex":null,"Tags":null,"ToolTipText":null},{"DataType":"numeric","DerivedDataType":"numeric","DisplayName":"žGroup By Facility Initial Amount","ExcelColFormat":null,"FormulaInfo":null,"GroupedFunc":null,"IsComputed":false,"IsGrouped":true,"IsRefType":false,"IsSelected":true,"Precision":38,"RealName":"facility_initial_amount","Scale":8,"SortBy":0,"SortingIndex":null,"Tags":null,"ToolTipText":null},{"DataType":"varchar","DerivedDataType":"string","DisplayName":"žGroup By Geneva Asset ID","ExcelColFormat":null,"FormulaInfo":null,"GroupedFunc":null,"IsComputed":false,"IsGrouped":true,"IsRefType":false,"IsSele</t>
  </si>
  <si>
    <t>cted":true,"Precision":null,"RealName":"geneva_asset_id","Scale":null,"SortBy":0,"SortingIndex":null,"Tags":null,"ToolTipText":null},{"DataType":"datetime","DerivedDataType":"string","DisplayName":"žGroup By Issue Date","ExcelColFormat":null,"FormulaInfo":null,"GroupedFunc":null,"IsComputed":false,"IsGrouped":true,"IsRefType":false,"IsSelected":true,"Precision":null,"RealName":"issue_date","Scale":null,"SortBy":0,"SortingIndex":null,"Tags":null,"ToolTipText":null},{"DataType":"varchar","DerivedDataType":"string","DisplayName":"žGroup By Primary Asset ID","ExcelColFormat":null,"FormulaInfo":null,"GroupedFunc":null,"IsComputed":false,"IsGrouped":true,"IsRefType":false,"IsSelected":true,"Precision":null,"RealName":"primary_asset_id","Scale":null,"SortBy":0,"SortingIndex":null,"Tags":null,"ToolTipText":null},{"DataType":"varchar","DerivedDataType":"string","DisplayName":"žGroup By Bms Spread Type","ExcelColFormat":null,"FormulaInfo":null,"GroupedFunc":null,"IsComputed":false,"IsGrouped":true,"IsRefType":false,"IsSelected":true,"Precision":null,"RealName":"bms_spread_type","Scale":null,"SortBy":0,"SortingIndex":null,"Tags":null,"ToolTipText":null},{"DataType":"numeric","DerivedDataType":"numeric","DisplayName":"žGroup By Spread","ExcelColFormat":null,"FormulaInfo":null,"GroupedFunc":null,"IsComputed":false,"IsGrouped":true,"IsRefType":false,"IsSelected":true,"Precision":38,"RealName":"spread","Scale":8,"SortBy":0,"SortingIndex":null,"Tags":null,"ToolTipText":null},{"DataType":"numeric","DerivedDataType":"numeric","DisplayName":"žGroup By Libor Floor","ExcelColFormat":null,"FormulaInfo":null,"GroupedFunc":null,"IsComputed":false,"IsGrouped":true,"IsRefType":false,"IsSelected":true,"Precision":38,"RealName":"libor_floor","Scale":8,"SortBy":0,"SortingIndex":null,"Tags":null,"ToolTipText":null},{"DataType":"bit","DerivedDataType":"bit","DisplayName":"žGroup By Is Covenant Lite","ExcelColFormat":null,"FormulaInfo":null,"GroupedFunc":null,"IsComputed":false,"IsGrouped":true,"IsRefType":false,"IsSelected":true,"Precision":null,"RealName":"is_covenant_lite","Scale":null,"SortBy":0,"SortingIndex":null,"Tags":null,"ToolTipText":null},{"DataType":"numeric","DerivedDataType":"numeric","DisplayName":"žGroup By SettleNetQuantity","ExcelColFormat":null,"FormulaInfo":null,"GroupedFunc":null,"IsComputed":false,"IsGrouped":true,"IsRefType":false,"IsSelected":true,"Precision":38,"RealName":"settle_net_quantity","Scale":8,"SortBy":0,"SortingIndex":null,"Tags":null,"ToolTipText":null},{"DataType":"numeric","DerivedDataType":"numeric","DisplayName":"žGroup By Deal Global Amount","ExcelColFormat":null,"FormulaInfo":null,"GroupedFunc":null,"IsComputed":false,"IsGrouped":true,"IsRefType":false,"IsSelected":true,"Precision":38,"RealName":"deal_global_amount","Scale":8,"SortBy":0,"SortingIndex":null,"Tags":null,"ToolTipText":null},{"DataType":"varchar","DerivedDataType":"string","DisplayName":"žGroup By Lien Type","ExcelColFormat":null,"FormulaInfo":null,"GroupedFunc":null,"IsComputed":false,"IsGrouped":true,"IsRefType":false,"IsSelected":true,"Precision":null,"RealName":"lien_type","Scale":null,"SortBy":0,"SortingIndex":</t>
  </si>
  <si>
    <t>null,"Tags":null,"ToolTipText":null},{"DataType":"numeric","DerivedDataType":"numeric","DisplayName":"žGroup By Unfunded Fee Rate","ExcelColFormat":null,"FormulaInfo":null,"GroupedFunc":null,"IsComputed":false,"IsGrouped":true,"IsRefType":false,"IsSelected":true,"Precision":38,"RealName":"unfunded_fee_rate","Scale":9,"SortBy":0,"SortingIndex":null,"Tags":null,"ToolTipText":null},{"DataType":"bit","DerivedDataType":"bit","DisplayName":"žGroup By Is PIK","ExcelColFormat":null,"FormulaInfo":null,"GroupedFunc":null,"IsComputed":false,"IsGrouped":true,"IsRefType":false,"IsSelected":true,"Precision":null,"RealName":"is_pik","Scale":null,"SortBy":0,"SortingIndex":null,"Tags":null,"ToolTipText":null},{"DataType":"bit","DerivedDataType":"bit","DisplayName":"žGroup By PIK Toggle","ExcelColFormat":null,"FormulaInfo":null,"GroupedFunc":null,"IsComputed":false,"IsGrouped":true,"IsRefType":false,"IsSelected":true,"Precision":null,"RealName":"pik_toggle","Scale":null,"SortBy":0,"SortingIndex":null,"Tags":null,"ToolTipText":null},{"DataType":"numeric","DerivedDataType":"numeric","DisplayName":"žGroup By PIK Coupon","ExcelColFormat":null,"FormulaInfo":null,"GroupedFunc":null,"IsComputed":false,"IsGrouped":true,"IsRefType":false,"IsSelected":true,"Precision":38,"RealName":"pik_coupon","Scale":9,"SortBy":0,"SortingIndex":null,"Tags":null,"ToolTipText":null},{"DataType":"numeric","DerivedDataType":"numeric","DisplayName":"žGroup By FXRateEOD","ExcelColFormat":null,"FormulaInfo":null,"GroupedFunc":null,"IsComputed":false,"IsGrouped":true,"IsRefType":false,"IsSelected":true,"Precision":38,"RealName":"fx_rate_eod","Scale":8,"SortBy":0,"SortingIndex":null,"Tags":null,"ToolTipText":null},{"DataType":"varchar","DerivedDataType":"string","DisplayName":"žGroup By GICSIndustry","ExcelColFormat":null,"FormulaInfo":null,"GroupedFunc":null,"IsComputed":false,"IsGrouped":true,"IsRefType":false,"IsSelected":true,"Precision":null,"RealName":"gics_industry","Scale":null,"SortBy":0,"SortingIndex":null,"Tags":null,"ToolTipText":null},{"DataType":"varchar","DerivedDataType":"string","DisplayName":"žGroup By GICSIndustryGroup","ExcelColFormat":null,"FormulaInfo":null,"GroupedFunc":null,"IsComputed":false,"IsGrouped":true,"IsRefType":false,"IsSelected":true,"Precision":null,"RealName":"gics_industry_group","Scale":null,"SortBy":0,"SortingIndex":null,"Tags":null,"ToolTipText":null},{"DataType":"varchar","DerivedDataType":"string","DisplayName":"žGroup By MarketPriceFairMarketValue","ExcelColFormat":null,"FormulaInfo":null,"GroupedFunc":null,"IsComputed":false,"IsGrouped":true,"IsRefType":false,"IsSelected":true,"Precision":null,"RealName":"market_price_fair_market_value","Scale":null,"SortBy":0,"SortingIndex":null,"Tags":null,"ToolTipText":null},{"DataType":"numeric","DerivedDataType":"numeric","DisplayName":"žGroup By Coupon","ExcelColFormat":null,"FormulaInfo":null,"GroupedFunc":null,"IsComputed":false,"IsGrouped":true,"IsRefType":false,"IsSelected":true,"Precision":38,"RealName":"coupon","Scale":8,"SortBy":0,"SortingIndex":null,"Tags":null,"ToolTipText":null},{"DataType":"varchar","DerivedDataType":"string","DisplayName":"žGroup</t>
  </si>
  <si>
    <t xml:space="preserve"> By Current S&amp;amp;P Ratings Security","ExcelColFormat":null,"FormulaInfo":null,"GroupedFunc":null,"IsComputed":false,"IsGrouped":true,"IsRefType":false,"IsSelected":true,"Precision":null,"RealName":"snp_rating","Scale":null,"SortBy":0,"SortingIndex":null,"Tags":null,"ToolTipText":null},{"DataType":"varchar","DerivedDataType":"string","DisplayName":"žGroup By Current Moodys Ratings Security","ExcelColFormat":null,"FormulaInfo":null,"GroupedFunc":null,"IsComputed":false,"IsGrouped":true,"IsRefType":false,"IsSelected":true,"Precision":null,"RealName":"moodys_rating","Scale":null,"SortBy":0,"SortingIndex":null,"Tags":null,"ToolTipText":null},{"DataType":"varchar","DerivedDataType":"string","DisplayName":"žGroup By Initial Moodys Ratings Security","ExcelColFormat":null,"FormulaInfo":null,"GroupedFunc":null,"IsComputed":false,"IsGrouped":true,"IsRefType":false,"IsSelected":true,"Precision":null,"RealName":"initial_moodys_ratings","Scale":null,"SortBy":0,"SortingIndex":null,"Tags":null,"ToolTipText":null},{"DataType":"varchar","DerivedDataType":"string","DisplayName":"žGroup By Initial S&amp;amp;P Ratings Security","ExcelColFormat":null,"FormulaInfo":null,"GroupedFunc":null,"IsComputed":false,"IsGrouped":true,"IsRefType":false,"IsSelected":true,"Precision":null,"RealName":"initial_snp_ratings","Scale":null,"SortBy":0,"SortingIndex":null,"Tags":null,"ToolTipText":null},{"DataType":"varchar","DerivedDataType":"string","DisplayName":"žGroup By Ares Moodys Rating","ExcelColFormat":null,"FormulaInfo":null,"GroupedFunc":null,"IsComputed":false,"IsGrouped":true,"IsRefType":false,"IsSelected":true,"Precision":null,"RealName":"Ares_Moodys_Rating","Scale":null,"SortBy":0,"SortingIndex":null,"Tags":null,"ToolTipText":null},{"DataType":"varchar","DerivedDataType":"string","DisplayName":"žGroup By Ares S&amp;amp;P Rating","ExcelColFormat":null,"FormulaInfo":null,"GroupedFunc":null,"IsComputed":false,"IsGrouped":true,"IsRefType":false,"IsSelected":true,"Precision":null,"RealName":"Ares_SnP_Rating","Scale":null,"SortBy":0,"SortingIndex":null,"Tags":null,"ToolTipText":null},{"DataType":"varchar","DerivedDataType":"string","DisplayName":"žGroup By EganJonesRatingSecurity","ExcelColFormat":null,"FormulaInfo":null,"GroupedFunc":null,"IsComputed":false,"IsGrouped":true,"IsRefType":false,"IsSelected":true,"Precision":null,"RealName":"egan_jones_rating_security","Scale":null,"SortBy":0,"SortingIndex":null,"Tags":null,"ToolTipText":null},{"DataType":"varchar","DerivedDataType":"string","DisplayName":"žGroup By FitchIDRRatingSecurity","ExcelColFormat":null,"FormulaInfo":null,"GroupedFunc":null,"IsComputed":false,"IsGrouped":true,"IsRefType":false,"IsSelected":true,"Precision":null,"RealName":"fitch_idr_rating_security","Scale":null,"SortBy":0,"SortingIndex":null,"Tags":null,"ToolTipText":null},{"DataType":"varchar","DerivedDataType":"string","DisplayName":"žGroup By FitchRecoveryRatingSecurity","ExcelColFormat":null,"FormulaInfo":null,"GroupedFunc":null,"IsComputed":false,"IsGrouped":true,"IsRefType":false,"IsSelected":true,"Precision":null,"RealName":"fitch_recovery_rating_security","Scale":null,"SortBy":0,"SortingIndex":null,"</t>
  </si>
  <si>
    <t>Tags":null,"ToolTipText":null},{"DataType":"varchar","DerivedDataType":"string","DisplayName":"žGroup By MorningstarRatingSecurity","ExcelColFormat":null,"FormulaInfo":null,"GroupedFunc":null,"IsComputed":false,"IsGrouped":true,"IsRefType":false,"IsSelected":true,"Precision":null,"RealName":"morningstar_rating_security","Scale":null,"SortBy":0,"SortingIndex":null,"Tags":null,"ToolTipText":null},{"DataType":"varchar","DerivedDataType":"string","DisplayName":"žGroup By KrollRatingSecurity","ExcelColFormat":null,"FormulaInfo":null,"GroupedFunc":null,"IsComputed":false,"IsGrouped":true,"IsRefType":false,"IsSelected":true,"Precision":null,"RealName":"kroll_rating_security","Scale":null,"SortBy":0,"SortingIndex":null,"Tags":null,"ToolTipText":null},{"DataType":"varchar","DerivedDataType":"string","DisplayName":"žGroup By DBRSRatingSecurity","ExcelColFormat":null,"FormulaInfo":null,"GroupedFunc":null,"IsComputed":false,"IsGrouped":true,"IsRefType":false,"IsSelected":true,"Precision":null,"RealName":"dbrs_rating_security","Scale":null,"SortBy":0,"SortingIndex":null,"Tags":null,"ToolTipText":null},{"DataType":"varchar","DerivedDataType":"string","DisplayName":"žGroup By Moodys Corporate Rating Issuer","ExcelColFormat":null,"FormulaInfo":null,"GroupedFunc":null,"IsComputed":false,"IsGrouped":true,"IsRefType":false,"IsSelected":true,"Precision":null,"RealName":"moodys_corporate_rating_issuer","Scale":null,"SortBy":0,"SortingIndex":null,"Tags":null,"ToolTipText":null},{"DataType":"varchar","DerivedDataType":"string","DisplayName":"žGroup By Initial Moodys Rating Issuer","ExcelColFormat":null,"FormulaInfo":null,"GroupedFunc":null,"IsComputed":false,"IsGrouped":true,"IsRefType":false,"IsSelected":true,"Precision":null,"RealName":"initial_moodys_rating_issuer","Scale":null,"SortBy":0,"SortingIndex":null,"Tags":null,"ToolTipText":null},{"DataType":"varchar","DerivedDataType":"string","DisplayName":"žGroup By SNP Corporate Rating Issuer","ExcelColFormat":null,"FormulaInfo":null,"GroupedFunc":null,"IsComputed":false,"IsGrouped":true,"IsRefType":false,"IsSelected":true,"Precision":null,"RealName":"snp_corporate_rating_issuer","Scale":null,"SortBy":0,"SortingIndex":null,"Tags":null,"ToolTipText":null},{"DataType":"varchar","DerivedDataType":"string","DisplayName":"žGroup By Initial Snp Rating Issuer","ExcelColFormat":null,"FormulaInfo":null,"GroupedFunc":null,"IsComputed":false,"IsGrouped":true,"IsRefType":false,"IsSelected":true,"Precision":null,"RealName":"initial_snp_rating_issuer","Scale":null,"SortBy":0,"SortingIndex":null,"Tags":null,"ToolTipText":null},{"DataType":"varchar","DerivedDataType":"string","DisplayName":"žGroup By Egan Jones Rating Issuer","ExcelColFormat":null,"FormulaInfo":null,"GroupedFunc":null,"IsComputed":false,"IsGrouped":true,"IsRefType":false,"IsSelected":true,"Precision":null,"RealName":"egan_jones_rating_issuer","Scale":null,"SortBy":0,"SortingIndex":null,"Tags":null,"ToolTipText":null},{"DataType":"varchar","DerivedDataType":"string","DisplayName":"žGroup By DLUS Risk Rating","ExcelColFormat":null,"FormulaInfo":null,"GroupedFunc":null,"IsComputed":false,"IsGrouped":true,"IsRefType</t>
  </si>
  <si>
    <t>":false,"IsSelected":true,"Precision":null,"RealName":"dlus_risk_rating","Scale":null,"SortBy":0,"SortingIndex":null,"Tags":null,"ToolTipText":null},{"DataType":"varchar","DerivedDataType":"string","DisplayName":"žGroup By Fitch Rating Security","ExcelColFormat":null,"FormulaInfo":null,"GroupedFunc":null,"IsComputed":false,"IsGrouped":true,"IsRefType":false,"IsSelected":true,"Precision":null,"RealName":"Fitch Rating Security","Scale":null,"SortBy":0,"SortingIndex":null,"Tags":null,"ToolTipText":null},{"DataType":"varchar","DerivedDataType":"string","DisplayName":"žGroup By Fitch Outlook Rating Security","ExcelColFormat":null,"FormulaInfo":null,"GroupedFunc":null,"IsComputed":false,"IsGrouped":true,"IsRefType":false,"IsSelected":true,"Precision":null,"RealName":"Fitch Outlook Rating Security","Scale":null,"SortBy":0,"SortingIndex":null,"Tags":null,"ToolTipText":null},{"DataType":"varchar","DerivedDataType":"string","DisplayName":"žGroup By Fitch Recovery Rating Security","ExcelColFormat":null,"FormulaInfo":null,"GroupedFunc":null,"IsComputed":false,"IsGrouped":true,"IsRefType":false,"IsSelected":true,"Precision":null,"RealName":"Fitch Recovery Rating Security","Scale":null,"SortBy":0,"SortingIndex":null,"Tags":null,"ToolTipText":null},{"DataType":"varchar","DerivedDataType":"string","DisplayName":"žGroup By Fitch Watchlist Rating Security","ExcelColFormat":null,"FormulaInfo":null,"GroupedFunc":null,"IsComputed":false,"IsGrouped":true,"IsRefType":false,"IsSelected":true,"Precision":null,"RealName":"Fitch Watchlist Rating Security","Scale":null,"SortBy":0,"SortingIndex":null,"Tags":null,"ToolTipText":null},{"DataType":"varchar","DerivedDataType":"string","DisplayName":"žGroup By Fitch Rating Issuer","ExcelColFormat":null,"FormulaInfo":null,"GroupedFunc":null,"IsComputed":false,"IsGrouped":true,"IsRefType":false,"IsSelected":true,"Precision":null,"RealName":"Fitch Rating Issuer","Scale":null,"SortBy":0,"SortingIndex":null,"Tags":null,"ToolTipText":null},{"DataType":"varchar","DerivedDataType":"string","DisplayName":"žGroup By Fitch Watchlist Rating Issuer","ExcelColFormat":null,"FormulaInfo":null,"GroupedFunc":null,"IsComputed":false,"IsGrouped":true,"IsRefType":false,"IsSelected":true,"Precision":null,"RealName":"Fitch Watchlist Rating Issuer","Scale":null,"SortBy":0,"SortingIndex":null,"Tags":null,"ToolTipText":null},{"DataType":"varchar","DerivedDataType":"string","DisplayName":"žGroup By Fitch Outlook Rating Issuer","ExcelColFormat":null,"FormulaInfo":null,"GroupedFunc":null,"IsComputed":false,"IsGrouped":true,"IsRefType":false,"IsSelected":true,"Precision":null,"RealName":"Fitch Outlook Rating Issuer","Scale":null,"SortBy":0,"SortingIndex":null,"Tags":null,"ToolTipText":null},{"DataType":"numeric","DerivedDataType":"numeric","DisplayName":"žGroup By PIK Rate","ExcelColFormat":null,"FormulaInfo":null,"GroupedFunc":null,"IsComputed":false,"IsGrouped":true,"IsRefType":false,"IsSelected":true,"Precision":null,"RealName":"PIK Rate","Scale":null,"SortBy":0,"SortingIndex":null,"Tags":null,"ToolTipText":null},{"DataType":"varchar","DerivedDataType":"string","DisplayName":"žGroup By PIK Availabilit</t>
  </si>
  <si>
    <t>Principal Cash</t>
  </si>
  <si>
    <t>FX Rate</t>
  </si>
  <si>
    <t>Change in Partial PIK Status</t>
  </si>
  <si>
    <t>LX225795</t>
  </si>
  <si>
    <t>Australian Dollar</t>
  </si>
  <si>
    <t>Canadian Dollar</t>
  </si>
  <si>
    <t>Euro</t>
  </si>
  <si>
    <t>U.K. Pound</t>
  </si>
  <si>
    <t>U.S. Dollars</t>
  </si>
  <si>
    <t>Delay Draw Loan</t>
  </si>
  <si>
    <t>Ardonagh Finco Pty. Limited/Facility B2 AUD Delayed Draw Term Loan 2/24</t>
  </si>
  <si>
    <t>LX227463</t>
  </si>
  <si>
    <t>Eternal Aus Bidco Pty Ltd/Facility C Delayed Draw TL 11/23</t>
  </si>
  <si>
    <t>Gestion ABS Bidco Inc./ABS Bidco Holdings Inc./Delayed Draw Term Loan 2/24</t>
  </si>
  <si>
    <t>LX227658</t>
  </si>
  <si>
    <t>People Corporation/Delayed Draw 3 Term Loan 9/23</t>
  </si>
  <si>
    <t>Ardonagh Finco B.V. and Ardonagh Finco LLC/Facility B2 EUR Delayed Draw Term Loan 2/24</t>
  </si>
  <si>
    <t>LX227464</t>
  </si>
  <si>
    <t xml:space="preserve">3 Step Sports LLC/Delayed Draw Term Loan 10/2023 </t>
  </si>
  <si>
    <t>AI Fire Buyer, Inc./2023 Delayed Draw Term Loan 10/23</t>
  </si>
  <si>
    <t>Airx Climate Solutions, Inc./Delayed Draw Term Loan 11/23</t>
  </si>
  <si>
    <t>Alera Group, Inc./ 2023 Delayed Draw Term Loan 11/23</t>
  </si>
  <si>
    <t>Apex Service Partners, LLC/Delayed Draw Term Loan 10/23</t>
  </si>
  <si>
    <t>Applied Technical Services, LLC/Fifth Amendment Delayed Draw Term Loan 1/24</t>
  </si>
  <si>
    <t>LX225156</t>
  </si>
  <si>
    <t>Aptean, Inc./Delayed Draw Term Loan 1/24</t>
  </si>
  <si>
    <t>LX222534</t>
  </si>
  <si>
    <t>AQ Sunshine, Inc./Tranche F Delayed Draw Term Loan 12/23</t>
  </si>
  <si>
    <t>Ardonagh Finco B.V. and Ardonagh Finco LLC/Facility B2 USD Delayed Draw Term Loan 2/24</t>
  </si>
  <si>
    <t>LX227465</t>
  </si>
  <si>
    <t>Artivion, Inc./Delayed Draw Term Loan 1/24</t>
  </si>
  <si>
    <t>ATI Restoration, LLC/Amendment No. 2 Delayed Draw Term Loan 8/23</t>
  </si>
  <si>
    <t>Bamboo US BidCo LLC/Initial Delayed Draw Term Loan 9/23</t>
  </si>
  <si>
    <t>Banyan Software Holdings, LLC/Amendment No. 5 Delayed Draw Term Loan 1/24</t>
  </si>
  <si>
    <t>BR PJK Produce, LLC/Delayed Draw Term A-4 Loan 12/23</t>
  </si>
  <si>
    <t>BradyIFS Holdings, LLC/Delayed Draw Term Loan 10/23</t>
  </si>
  <si>
    <t>City Line Distributors LLC/Delayed Draw Term Loan 08/2023</t>
  </si>
  <si>
    <t>CMG HoldCo, LLC/Delayed Draw Term Loan 11/23</t>
  </si>
  <si>
    <t>Collision SP Subco, LLC/Delayed Draw Term Loan 1/24</t>
  </si>
  <si>
    <t>LX225938</t>
  </si>
  <si>
    <t>Computer Services, Inc./Incremental Delayed Draw Term Loan 2/24</t>
  </si>
  <si>
    <t>Demakes Borrower, LLC/Delayed Draw Term Loan 12/23</t>
  </si>
  <si>
    <t>DOXA Insurance Holdings LLC/Delayed Draw Term Loan 12/23</t>
  </si>
  <si>
    <t>Echo Purchaser, Inc./Delayed Draw Term Loan 11/23</t>
  </si>
  <si>
    <t>Edmunds GovTech, Inc./Delayed Draw Term Loan 2/24</t>
  </si>
  <si>
    <t>LX227416</t>
  </si>
  <si>
    <t>Enverus Holdings, Inc./Delayed Draw Term Loan 12/23</t>
  </si>
  <si>
    <t>Faraday Buyer, LLC/Delayed Draw Term Loan 11/23</t>
  </si>
  <si>
    <t>Foundation Risk Partners, Corp./Amendment No. 4 Delayed Draw Term Loan 11/23</t>
  </si>
  <si>
    <t>Guidepoint Security Holdings, LLC/Delayed Draw Term Loan 10/23</t>
  </si>
  <si>
    <t>Hills Distribution, Inc./Delayed Draw Term Loan 11/23</t>
  </si>
  <si>
    <t>HP RSS Buyer, Inc./General Purpose DDTL 12/23</t>
  </si>
  <si>
    <t>HP RSS Buyer, Inc./Special Purpose DDTL 12/23</t>
  </si>
  <si>
    <t>Infinity Home Services HoldCo, Inc./Amendment No. 1 Delayed Draw Term Loan 11/23</t>
  </si>
  <si>
    <t>Inszone Mid, LLC/A&amp;R Delayed Draw Term Loan Facility 11/23</t>
  </si>
  <si>
    <t>Kene Acquisition, Inc./Initial Delayed Draw Term Loan 2/24</t>
  </si>
  <si>
    <t>LX226619</t>
  </si>
  <si>
    <t>Keystone Agency Partners LLC/Delayed Draw Term D Loan 12/23</t>
  </si>
  <si>
    <t>Lightbeam Bidco, Inc./First Amendment Incremental Delayed Draw Term Loan 11/23</t>
  </si>
  <si>
    <t>MEYER LABORATORY, LLC/Delayed Draw Term Loan 2/24</t>
  </si>
  <si>
    <t>LX227616</t>
  </si>
  <si>
    <t>Modigent, LLC/Amendment No. 3 Delayed Draw Term Loan 9/23</t>
  </si>
  <si>
    <t>MRI Software LLC/Tranche 5 Delayed Draw Term Loan 12/23</t>
  </si>
  <si>
    <t>New Churchill Holdco LLC/Delayed Draw Term Loan 11/23</t>
  </si>
  <si>
    <t>Next Holdco, LLC/Delayed Draw Term Loan 11/23</t>
  </si>
  <si>
    <t>Oakbridge Insurance Agency LLC/Delayed Draw Term Loan 11/23</t>
  </si>
  <si>
    <t>PCS Midco, Inc./Delayed Draw Term Loan 1/24</t>
  </si>
  <si>
    <t>LX225796</t>
  </si>
  <si>
    <t>PDI TA Holdings, Inc./Delayed Draw Term Loan 2/24</t>
  </si>
  <si>
    <t>LX225959</t>
  </si>
  <si>
    <t>PetVet Care Centers, LLC/Delayed Draw Term Loan 11/23</t>
  </si>
  <si>
    <t>PSC Group LLC/Delayed Draw Term Loan 12/2023</t>
  </si>
  <si>
    <t>Pye-Barker Fire &amp; Safety, LLC/Delayed Draw Term Loan No. 7 9/23</t>
  </si>
  <si>
    <t>Reddy Ice LLC/Tranche D Delayed Draw Term Loan 12/23</t>
  </si>
  <si>
    <t>Saldon Holdings, Inc./Delayed Draw Term Loan 1/24</t>
  </si>
  <si>
    <t>LX224720</t>
  </si>
  <si>
    <t>Shermco Intermediate Holdings, Inc./Third Amendment Incremental Delayed Draw Term 9/23</t>
  </si>
  <si>
    <t>Steward Partners Global Advisory, LLC/Incremental Delayed Draw Term Loan 12/23</t>
  </si>
  <si>
    <t>TCP Hawker Intermediate LLC/Seventh Amendment Delayed Draw Term Loan 10/23</t>
  </si>
  <si>
    <t>The Arcticom Group, LLC/Delayed Draw Term Loan C 9/23</t>
  </si>
  <si>
    <t>Truck-Lite Co., LLC and Ecco Holdings Corp./Delayed Draw Term Loan 2/24</t>
  </si>
  <si>
    <t>LX226774</t>
  </si>
  <si>
    <t>Vertex Service Partners, LLC/Delayed Draw Term Loan 11/23</t>
  </si>
  <si>
    <t>Watermill Express, LLC/Second Amendment Incremental DDTL 1/24</t>
  </si>
  <si>
    <t>LX224302</t>
  </si>
  <si>
    <t>Wealth Enhancement Group, LLC/Delayed Draw Term Loan 1/24</t>
  </si>
  <si>
    <t>LX226136</t>
  </si>
  <si>
    <t>Wildcat BuyerCo, Inc./Third Incremental Delayed Draw Term Loan 11/23</t>
  </si>
  <si>
    <t>World Insurance Associates, LLC/Tranche 8 DDTL 10/23</t>
  </si>
  <si>
    <t>ZB Holdco LLC/2023-1 Delayed Draw Term Loan 8/23</t>
  </si>
  <si>
    <t>Riser Interco, LLC/ Delayed Draw Term Loan 10/23</t>
  </si>
  <si>
    <t>Sugar PPC Buyer LLC/Delayed Draw Term Loan 10/23</t>
  </si>
  <si>
    <t>FX Forward</t>
  </si>
  <si>
    <t>USD_FWD</t>
  </si>
  <si>
    <t>fUSD</t>
  </si>
  <si>
    <t>Intercompany Equity</t>
  </si>
  <si>
    <t>Ares_SDL_III_Aggregator_LP</t>
  </si>
  <si>
    <t>Preferred Shares</t>
  </si>
  <si>
    <t>City Line Investments LLC/Class A Units 8/23</t>
  </si>
  <si>
    <t>Revolver Loan</t>
  </si>
  <si>
    <t>Gestion ABS Bidco Inc./ABS Bidco Holdings Inc./Revolver 2/24</t>
  </si>
  <si>
    <t>LX227659</t>
  </si>
  <si>
    <t>Infinity Home Services HoldCo, Inc./CAD Revolver 11/23</t>
  </si>
  <si>
    <t>3 Step Sports LLC/Revolver 10/23</t>
  </si>
  <si>
    <t>Accession Risk Management Group, Inc./Initial Revolving Loan 10/19</t>
  </si>
  <si>
    <t>ADMA BIOLOGICS, INC./ Revolving Facility 12/23</t>
  </si>
  <si>
    <t>Airx Climate Solutions, Inc./Revolver 11/23</t>
  </si>
  <si>
    <t>Apex Service Partners, LLC/Revolver 10/23</t>
  </si>
  <si>
    <t>Applied Technical Services, LLC/Revolving Loan 12/20</t>
  </si>
  <si>
    <t>LX191808</t>
  </si>
  <si>
    <t>Aptean, Inc./Revolver 1/24</t>
  </si>
  <si>
    <t>LX222535</t>
  </si>
  <si>
    <t>Artivion, Inc./Revolver 1/24</t>
  </si>
  <si>
    <t>ATI Restoration, LLC/Revolving Credit Loan 07/20</t>
  </si>
  <si>
    <t>Avalign Technologies, Inc./Revolver 2/24</t>
  </si>
  <si>
    <t>LX227336</t>
  </si>
  <si>
    <t>Avetta, LLC/Revolver 10/23</t>
  </si>
  <si>
    <t>Bamboo US BidCo LLC/Revolver 9/23</t>
  </si>
  <si>
    <t>Banyan Software Holdings, LLC/Amendment No. 3 Revolver 12/22</t>
  </si>
  <si>
    <t>Benecon Midco II LLC/Revolver 1/24</t>
  </si>
  <si>
    <t>LX224377</t>
  </si>
  <si>
    <t>BradyIFS Holdings, LLC/Revolver 10/23</t>
  </si>
  <si>
    <t>Broadcast Music, Inc./Revolver 1/24</t>
  </si>
  <si>
    <t>LX225034</t>
  </si>
  <si>
    <t>City Line Distributors LLC/Revolver 08/2023</t>
  </si>
  <si>
    <t>Cliffwater LLC/Revolver 10/2023</t>
  </si>
  <si>
    <t>Collision SP Subco, LLC/Revolver 1/24</t>
  </si>
  <si>
    <t>LX225939</t>
  </si>
  <si>
    <t>Cube Industrials Buyer, Inc. &amp; Cube A&amp;D Buyer Inc./Multicurrency Revolver 10/23</t>
  </si>
  <si>
    <t>DOXA Insurance Holdings LLC/Revolving Credit 12/23</t>
  </si>
  <si>
    <t>Echo Purchaser, Inc./Revolving Credit 11/23</t>
  </si>
  <si>
    <t>Edmunds GovTech, Inc./Revolver 2/24</t>
  </si>
  <si>
    <t>LX227417</t>
  </si>
  <si>
    <t>Enverus Holdings, Inc./Revolver 12/23</t>
  </si>
  <si>
    <t xml:space="preserve">Finastra USA, Inc./Société DH (Canada) and Finastra Europe S.à r.l. (Lux)/Multicurrency Revolving Loan 09/23 </t>
  </si>
  <si>
    <t xml:space="preserve">Guidepoint Security Holdings, LLC/Revolver 10/23 </t>
  </si>
  <si>
    <t>Hills Distribution, Inc./Revolver 11/23</t>
  </si>
  <si>
    <t>Hyland Software, Inc./Revolver Credit 09/23</t>
  </si>
  <si>
    <t>Icefall Parent, Inc./Revolver 1/24</t>
  </si>
  <si>
    <t>LX225695</t>
  </si>
  <si>
    <t>Inszone Mid, LLC/A&amp;R Revolving Credit Facility 11/23</t>
  </si>
  <si>
    <t>Kene Acquisition, Inc./Revolver 2/24</t>
  </si>
  <si>
    <t>LX226620</t>
  </si>
  <si>
    <t>Keystone Agency Partners LLC/Revolver 05/21</t>
  </si>
  <si>
    <t>MEYER LABORATORY, LLC/Revolver 2/24</t>
  </si>
  <si>
    <t>LX227617</t>
  </si>
  <si>
    <t>Modigent, LLC/Revolver 8/22</t>
  </si>
  <si>
    <t>MRI Software LLC/Revolving Loan 02/20</t>
  </si>
  <si>
    <t>New Churchill Holdco LLC/Revolver 11/23</t>
  </si>
  <si>
    <t>Next Holdco, LLC/Revolver 11/23</t>
  </si>
  <si>
    <t>Oakbridge Insurance Agency LLC/Revolver 11/23</t>
  </si>
  <si>
    <t xml:space="preserve">OMH-HealthEdge Holdings, LLC/Revolver 10/2023 </t>
  </si>
  <si>
    <t>PCS Midco, Inc./Revolver 1/24</t>
  </si>
  <si>
    <t>LX225797</t>
  </si>
  <si>
    <t>PDI TA Holdings, Inc./Revolver 2/24</t>
  </si>
  <si>
    <t>LX225960</t>
  </si>
  <si>
    <t>PetVet Care Centers, LLC/Revolver 11/23</t>
  </si>
  <si>
    <t>Premise Health Holding Corp./Revolver 2/24</t>
  </si>
  <si>
    <t>LX227322</t>
  </si>
  <si>
    <t>Rawlings Sporting Goods Company, Inc./Revolving Loan 12/20</t>
  </si>
  <si>
    <t>LX191498</t>
  </si>
  <si>
    <t>Saldon Holdings, Inc./Revolver 3/19</t>
  </si>
  <si>
    <t>LX179168</t>
  </si>
  <si>
    <t>TCP Hawker Intermediate LLC/2023 Revolver 10/23</t>
  </si>
  <si>
    <t>Truck-Lite Co., LLC and Ecco Holdings Corp./Revolver 2/24</t>
  </si>
  <si>
    <t>LX226776</t>
  </si>
  <si>
    <t>Vertex Service Partners, LLC/Revolver 11/23</t>
  </si>
  <si>
    <t>Watermill Express, LLC/Revolver 4/21</t>
  </si>
  <si>
    <t>LX194218</t>
  </si>
  <si>
    <t>WCI-BXC Purchaser, LLC/Revolver 11/23</t>
  </si>
  <si>
    <t>Wealth Enhancement Group, LLC/Revolving Loan 10/19</t>
  </si>
  <si>
    <t>LX183048</t>
  </si>
  <si>
    <t>World Insurance Associates, LLC/Revolving Loan 04/20</t>
  </si>
  <si>
    <t>00216CAC7</t>
  </si>
  <si>
    <t>AQ Sunshine, Inc./Initial Revolving Loan 04/19</t>
  </si>
  <si>
    <t>Riser Interco, LLC/ Revolver 10/23</t>
  </si>
  <si>
    <t>STIF</t>
  </si>
  <si>
    <t>BNY MELLON CASH RESERVE</t>
  </si>
  <si>
    <t>X9USDBMCR</t>
  </si>
  <si>
    <t>Ardonagh Finco Pty. Limited/Facility B1 AUD Term Loan 2/24</t>
  </si>
  <si>
    <t>LX227460</t>
  </si>
  <si>
    <t>Gestion ABS Bidco Inc./ABS Bidco Holdings Inc./Initial Term Loan 2/24</t>
  </si>
  <si>
    <t>LX227657</t>
  </si>
  <si>
    <t>Ardonagh Finco B.V. and Ardonagh Finco LLC/Facility B1 EUR Term Loan 2/24</t>
  </si>
  <si>
    <t>LX227461</t>
  </si>
  <si>
    <t>Ardonagh Finco B.V. and Ardonagh Finco LLC/Facility B1 USD Term Loan 2/24</t>
  </si>
  <si>
    <t>LX227462</t>
  </si>
  <si>
    <t>Avalign Technologies, Inc./Initial Term Loan 2/24</t>
  </si>
  <si>
    <t>LX227335</t>
  </si>
  <si>
    <t>Edmunds GovTech, Inc./Initial Term Loan 2/24</t>
  </si>
  <si>
    <t>LX227415</t>
  </si>
  <si>
    <t>Leviathan Intermediate Holdco, LLC/Term Loan 12/22</t>
  </si>
  <si>
    <t>LX210007</t>
  </si>
  <si>
    <t>MEYER LABORATORY, LLC/Initial Term Loan 2/24</t>
  </si>
  <si>
    <t>LX227615</t>
  </si>
  <si>
    <t>PCS Midco, Inc./Term Loan 1/24</t>
  </si>
  <si>
    <t>Premise Health Holding Corp./Initial Term Loan 2/24</t>
  </si>
  <si>
    <t>LX227321</t>
  </si>
  <si>
    <t>Rawlings Sporting Goods Company, Inc./Third Amendment Incremental Term Loan 1/24</t>
  </si>
  <si>
    <t>LX223793</t>
  </si>
  <si>
    <t>Steward Partners Global Advisory, LLC/Incremental Term Loan B 12/23</t>
  </si>
  <si>
    <t>AUD_FWD</t>
  </si>
  <si>
    <t>fAUD</t>
  </si>
  <si>
    <t>CAD_FWD</t>
  </si>
  <si>
    <t>fCAD</t>
  </si>
  <si>
    <t>EUR_FWD</t>
  </si>
  <si>
    <t>fEUR</t>
  </si>
  <si>
    <t>GBP_FWD</t>
  </si>
  <si>
    <t>fGBP</t>
  </si>
  <si>
    <t>Subscription Line</t>
  </si>
  <si>
    <t>Sumitomo Mitsui Banking Corporation/Subline of Credit 08/23</t>
  </si>
  <si>
    <t>SMBC_SUB</t>
  </si>
  <si>
    <t>Core Tax Lot Appraisal_SFERS</t>
  </si>
  <si>
    <t>Group By PurchaseSettleDate</t>
  </si>
  <si>
    <t>Group By GenevaAssetId</t>
  </si>
  <si>
    <t>AUD0X00cae4b4100028ff</t>
  </si>
  <si>
    <t>CAD0X00cae4b410002912</t>
  </si>
  <si>
    <t>EUR0X00cae4b410002999</t>
  </si>
  <si>
    <t>GBP0X00cae4b410002991</t>
  </si>
  <si>
    <t>USD0X005c2b1e</t>
  </si>
  <si>
    <t>{"CreatedBy":"lmahakalkar","CreatedOn":null,"DataSetName":"Tax Lot Detail","EmailAllUsers":false,"FilterInfo":{"Attributes":[{"DataType":"varchar","DerivedDataType":"string","DisplayName":"Client Reporting Roll UpžGroup By ClientReportingRollup","ExcelColFormat":null,"FormulaInfo":null,"GroupedFunc":null,"IsComputed":false,"IsGrouped":true,"IsRefType":true,"IsSelected":true,"Precision":null,"RealName":"ClientReportingRollup","Scale":null,"SortBy":0,"SortingIndex":null,"Tags":null,"ToolTipText":null},{"DataType":"varchar","DerivedDataType":"string","DisplayName":"LocalCurrencyžGroup By LocalCurrency","ExcelColFormat":null,"FormulaInfo":null,"GroupedFunc":null,"IsComputed":false,"IsGrouped":true,"IsRefType":false,"IsSelected":true,"Precision":null,"RealName":"LocalCurrency","Scale":null,"SortBy":0,"SortingIndex":null,"Tags":null,"ToolTipText":null},{"DataType":"varchar","DerivedDataType":"string","DisplayName":"Investment TypežGroup By InvestmentType","ExcelColFormat":null,"FormulaInfo":null,"GroupedFunc":null,"IsComputed":false,"IsGrouped":true,"IsRefType":false,"IsSelected":true,"Precision":null,"RealName":"InvestmentType","Scale":null,"SortBy":0,"SortingIndex":null,"Tags":null,"ToolT</t>
  </si>
  <si>
    <t>ipText":null},{"DataType":"varchar","DerivedDataType":"string","DisplayName":"Security NamežGroup By SecurityName","ExcelColFormat":null,"FormulaInfo":null,"GroupedFunc":null,"IsComputed":false,"IsGrouped":true,"IsRefType":false,"IsSelected":true,"Precision":null,"RealName":"SecurityName","Scale":null,"SortBy":0,"SortingIndex":null,"Tags":null,"ToolTipText":null},{"DataType":"datetime","DerivedDataType":"string","DisplayName":"PurchaseTradeDatežGroup By PurchaseTradeDate","ExcelColFormat":null,"FormulaInfo":null,"GroupedFunc":null,"IsComputed":false,"IsGrouped":true,"IsRefType":false,"IsSelected":true,"Precision":null,"RealName":"PurchaseTradeDate","Scale":null,"SortBy":0,"SortingIndex":null,"Tags":null,"ToolTipText":null},{"DataType":"varchar","DerivedDataType":"string","DisplayName":"CustodianAccountžGroup By CustodianAccount","ExcelColFormat":null,"FormulaInfo":null,"GroupedFunc":null,"IsComputed":false,"IsGrouped":true,"IsRefType":false,"IsSelected":true,"Precision":null,"RealName":"CustodianAccount","Scale":null,"SortBy":0,"SortingIndex":null,"Tags":null,"ToolTipText":null},{"DataType":"varchar","DerivedDataType":"string","DisplayName":"Group By BasketInvestmentCodežGroup By Bask</t>
  </si>
  <si>
    <t>etInvestmentCode","ExcelColFormat":null,"FormulaInfo":null,"GroupedFunc":null,"IsComputed":false,"IsGrouped":true,"IsRefType":false,"IsSelected":true,"Precision":null,"RealName":"BasketInvestmentCode","Scale":null,"SortBy":0,"SortingIndex":null,"Tags":null,"ToolTipText":null},{"DataType":"datetime","DerivedDataType":"string","DisplayName":"ContractualSettleDatežGroup By ContractualSettleDate","ExcelColFormat":null,"FormulaInfo":null,"GroupedFunc":null,"IsComputed":false,"IsGrouped":true,"IsRefType":false,"IsSelected":true,"Precision":null,"RealName":"ContractualSettleDate","Scale":null,"SortBy":0,"SortingIndex":null,"Tags":null,"ToolTipText":null},{"DataType":"varchar","DerivedDataType":"string","DisplayName":"Group By Geneva Asset Aga IdžGroup By GenevaAssetAgaId","ExcelColFormat":null,"FormulaInfo":null,"GroupedFunc":null,"IsComputed":false,"IsGrouped":true,"IsRefType":false,"IsSelected":true,"Precision":null,"RealName":"GenevaAssetAgaId","Scale":null,"SortBy":0,"SortingIndex":null,"Tags":null,"ToolTipText":null},{"DataType":"datetime","DerivedDataType":"string","DisplayName":"Group By KnowledgeDatežGroup By KnowledgeDate","ExcelColFormat":null,"FormulaInfo":null,"GroupedFunc":null,</t>
  </si>
  <si>
    <t>"IsComputed":false,"IsGrouped":true,"IsRefType":false,"IsSelected":true,"Precision":null,"RealName":"KnowledgeDate","Scale":null,"SortBy":0,"SortingIndex":null,"Tags":null,"ToolTipText":null},{"DataType":"varchar","DerivedDataType":"string","DisplayName":"Group By SourceSystemžGroup By SourceSystem","ExcelColFormat":null,"FormulaInfo":null,"GroupedFunc":null,"IsComputed":false,"IsGrouped":true,"IsRefType":false,"IsSelected":true,"Precision":null,"RealName":"SourceSystem","Scale":null,"SortBy":0,"SortingIndex":null,"Tags":null,"ToolTipText":null},{"DataType":"numeric","DerivedDataType":"numeric","DisplayName":"SUM(CostBase)žSUM(CostBase)","ExcelColFormat":null,"FormulaInfo":null,"GroupedFunc":"SUM(x)","IsComputed":false,"IsGrouped":false,"IsRefType":false,"IsSelected":true,"Precision":38,"RealName":"CostBase","Scale":8,"SortBy":0,"SortingIndex":null,"Tags":null,"ToolTipText":null},{"DataType":"numeric","DerivedDataType":"numeric","DisplayName":"SUM(CostLocal)žSUM(CostLocal)","ExcelColFormat":null,"FormulaInfo":null,"GroupedFunc":"SUM(x)","IsComputed":false,"IsGrouped":false,"IsRefType":false,"IsSelected":true,"Precision":38,"RealName":"CostLocal","Scale":8,"SortBy":0,"SortingIndex":nul</t>
  </si>
  <si>
    <t>l,"Tags":null,"ToolTipText":null},{"DataType":"numeric","DerivedDataType":"numeric","DisplayName":"SUM(MarketValueBase)žSUM(MarketValueBase)","ExcelColFormat":null,"FormulaInfo":null,"GroupedFunc":"SUM(x)","IsComputed":false,"IsGrouped":false,"IsRefType":false,"IsSelected":true,"Precision":38,"RealName":"MarketValueBase","Scale":8,"SortBy":0,"SortingIndex":null,"Tags":null,"ToolTipText":null},{"DataType":"numeric","DerivedDataType":"numeric","DisplayName":"SUM(MarketValueLocal)žSUM(MarketValueLocal)","ExcelColFormat":null,"FormulaInfo":null,"GroupedFunc":"SUM(x)","IsComputed":false,"IsGrouped":false,"IsRefType":false,"IsSelected":true,"Precision":38,"RealName":"MarketValueLocal","Scale":8,"SortBy":0,"SortingIndex":null,"Tags":null,"ToolTipText":null},{"DataType":"numeric","DerivedDataType":"numeric","DisplayName":"SUM(AccruedInterestBase)žSUM(AccruedInterestBase)","ExcelColFormat":null,"FormulaInfo":null,"GroupedFunc":"SUM(x)","IsComputed":false,"IsGrouped":false,"IsRefType":false,"IsSelected":true,"Precision":38,"RealName":"AccruedInterestBase","Scale":8,"SortBy":0,"SortingIndex":null,"Tags":null,"ToolTipText":null},{"DataType":"numeric","DerivedDataType":"numeric","DisplayName":"SUM</t>
  </si>
  <si>
    <t>(AccruedInterestLocal)žSUM(AccruedInterestLocal)","ExcelColFormat":null,"FormulaInfo":null,"GroupedFunc":"SUM(x)","IsComputed":false,"IsGrouped":false,"IsRefType":false,"IsSelected":true,"Precision":38,"RealName":"AccruedInterestLocal","Scale":8,"SortBy":0,"SortingIndex":null,"Tags":null,"ToolTipText":null},{"DataType":"numeric","DerivedDataType":"numeric","DisplayName":"SUM(AmortizationBase)žSUM(AmortizationBase)","ExcelColFormat":null,"FormulaInfo":null,"GroupedFunc":"SUM(x)","IsComputed":false,"IsGrouped":false,"IsRefType":false,"IsSelected":true,"Precision":38,"RealName":"AmortizationBase","Scale":8,"SortBy":0,"SortingIndex":null,"Tags":null,"ToolTipText":null},{"DataType":"numeric","DerivedDataType":"numeric","DisplayName":"Unrealized FX Gain\/Loss BasežSUM(UnrealFxBase)","ExcelColFormat":null,"FormulaInfo":null,"GroupedFunc":"SUM(x)","IsComputed":false,"IsGrouped":false,"IsRefType":false,"IsSelected":true,"Precision":38,"RealName":"UnrealFxBase","Scale":8,"SortBy":0,"SortingIndex":null,"Tags":null,"ToolTipText":null},{"DataType":"numeric","DerivedDataType":"numeric","DisplayName":"Unrealized Price Gain\/Loss BasežSUM(UnrealPriceBase)","ExcelColFormat":null,"FormulaInfo":null,"Gr</t>
  </si>
  <si>
    <t>oupedFunc":"SUM(x)","IsComputed":false,"IsGrouped":false,"IsRefType":false,"IsSelected":true,"Precision":38,"RealName":"UnrealPriceBase","Scale":8,"SortBy":0,"SortingIndex":null,"Tags":null,"ToolTipText":null},{"DataType":"numeric","DerivedDataType":"numeric","DisplayName":"SUM(AmortizationLocal)žSUM(AmortizationLocal)","ExcelColFormat":null,"FormulaInfo":null,"GroupedFunc":"SUM(x)","IsComputed":false,"IsGrouped":false,"IsRefType":false,"IsSelected":true,"Precision":38,"RealName":"AmortizationLocal","Scale":8,"SortBy":0,"SortingIndex":null,"Tags":null,"ToolTipText":null},{"DataType":"numeric","DerivedDataType":"numeric","DisplayName":"MAX(MarketPriceBase)žMAX(MarketPriceBase)","ExcelColFormat":null,"FormulaInfo":null,"GroupedFunc":"MAX(x)","IsComputed":false,"IsGrouped":false,"IsRefType":false,"IsSelected":true,"Precision":38,"RealName":"MarketPriceBase","Scale":14,"SortBy":0,"SortingIndex":null,"Tags":null,"ToolTipText":null},{"DataType":"numeric","DerivedDataType":"numeric","DisplayName":"MAX(MarketPriceLocal)žMAX(MarketPriceLocal)","ExcelColFormat":null,"FormulaInfo":null,"GroupedFunc":"MAX(x)","IsComputed":false,"IsGrouped":false,"IsRefType":false,"IsSelected":true,"Precision":38,</t>
  </si>
  <si>
    <t>"RealName":"MarketPriceLocal","Scale":14,"SortBy":0,"SortingIndex":null,"Tags":null,"ToolTipText":null},{"DataType":"numeric","DerivedDataType":"numeric","DisplayName":"MAX(PurchasePriceBase)žMAX(PurchasePriceBase)","ExcelColFormat":null,"FormulaInfo":null,"GroupedFunc":"MAX(x)","IsComputed":false,"IsGrouped":false,"IsRefType":false,"IsSelected":true,"Precision":38,"RealName":"PurchasePriceBase","Scale":8,"SortBy":0,"SortingIndex":null,"Tags":null,"ToolTipText":null},{"DataType":"numeric","DerivedDataType":"numeric","DisplayName":"MAX(PurchasePriceLocal)žMAX(PurchasePriceLocal)","ExcelColFormat":null,"FormulaInfo":null,"GroupedFunc":"MAX(x)","IsComputed":false,"IsGrouped":false,"IsRefType":false,"IsSelected":true,"Precision":38,"RealName":"PurchasePriceLocal","Scale":8,"SortBy":0,"SortingIndex":null,"Tags":null,"ToolTipText":null},{"DataType":"datetime","DerivedDataType":"string","DisplayName":"žGroup By PurchaseSettleDate","ExcelColFormat":null,"FormulaInfo":null,"GroupedFunc":null,"IsComputed":false,"IsGrouped":true,"IsRefType":false,"IsSelected":true,"Precision":null,"RealName":"PurchaseSettleDate","Scale":null,"SortBy":0,"SortingIndex":null,"Tags":null,"ToolTipText":null},{"DataTy</t>
  </si>
  <si>
    <t>pe":"varchar","DerivedDataType":"string","DisplayName":"žGroup By GenevaAssetId","ExcelColFormat":null,"FormulaInfo":null,"GroupedFunc":null,"IsComputed":false,"IsGrouped":true,"IsRefType":false,"IsSelected":true,"Precision":null,"RealName":"GenevaAssetId","Scale":null,"SortBy":0,"SortingIndex":null,"Tags":null,"ToolTipText":null}],"DataSetName":"Tax Lot Detail","DataViewType":1,"FilterContent":[{"Condition":"EQUALS","DataType":"datetime","DateValueType":[0],"DisplayFilterName":"AsOfDate","GroupedFunc":null,"Id":1,"IsDynamic":false,"IsRefType":false,"NestedFilters":null,"Operator":0,"RealFilterName":"AsOfDate","Values":["2024-03-01 00:00:00"]},{"Condition":"EQUALS","DataType":"bit","DateValueType":null,"DisplayFilterName":"IsInternalPrimary","GroupedFunc":null,"Id":2,"IsDynamic":false,"IsRefType":false,"NestedFilters":null,"Operator":0,"RealFilterName":"IsInternalPrimary","Values":["True"]},{"Condition":"EQUALS","DataType":"varchar","DateValueType":null,"DisplayFilterName":"Portfolio","GroupedFunc":null,"Id":3,"IsDynamic":false,"IsRefType":true,"NestedFilters":null,"Operator":0,"RealFilterName":"Portfolio","Values":["SDL_III_L_MASTER"]}],"GroupName":"Profit And Loss","HavingFilterCont</t>
  </si>
  <si>
    <t>ent":[{"Condition":"NOT EQUALS","DataType":"numeric","DateValueType":null,"DisplayFilterName":"SUM(MarketValueBase)","GroupedFunc":null,"Id":1,"IsDynamic":false,"IsRefType":false,"NestedFilters":null,"Operator":1,"RealFilterName":"SUM(MarketValueBase)","Values":["0"]},{"Condition":"NOT EQUALS","DataType":"numeric","DateValueType":null,"DisplayFilterName":"SUM(AccruedInterestBase)","GroupedFunc":null,"Id":2,"IsDynamic":false,"IsRefType":false,"NestedFilters":null,"Operator":1,"RealFilterName":"SUM(AccruedInterestBase)","Values":["0"]},{"Condition":"NOT EQUALS","DataType":"numeric","DateValueType":null,"DisplayFilterName":"SUM(CostBase)","GroupedFunc":null,"Id":3,"IsDynamic":false,"IsRefType":false,"NestedFilters":null,"Operator":0,"RealFilterName":"SUM(CostBase)","Values":["0"]}],"IsDistinct":false},"GroupName":"Profit And Loss","IsAggregatedView":true,"IsAutoLoad":false,"IsDeletable":true,"IsEditable":false,"IsRefreshTimeEnabled":false,"IsReplace":false,"IsStarred":false,"ModifiedBy":null,"ModifiedOn":null,"SharedGroups":null,"SharedWithRole":null,"Source":null,"TemplateId":488,"TemplateName":"Core Tax Lot Appraisal_SFERS","TemplateType":1,"UserName":"lmahakalkar","sharedWithUser":null}</t>
  </si>
  <si>
    <t>AUD_FWD0X00cdbad2fc06b781</t>
  </si>
  <si>
    <t>CAD_FWD0X00cdbad31c06b784</t>
  </si>
  <si>
    <t>EURO_FWD0X00cc014a2d031688</t>
  </si>
  <si>
    <t>GBP_FWD0X00cdbad2de06b77f</t>
  </si>
  <si>
    <t>USD_FWD0X00cc014a5f03168b</t>
  </si>
  <si>
    <t>LX1836160X00df85fc5f00023e</t>
  </si>
  <si>
    <t>LX1794270X00de7e09f200005d</t>
  </si>
  <si>
    <t>LX1893250X00e0edb519000035</t>
  </si>
  <si>
    <t>LX1855110X00e00b3d3f0000f3</t>
  </si>
  <si>
    <t>LX1914980X00e1b76447000023</t>
  </si>
  <si>
    <t>LX1791680X00de4fe3d600000a</t>
  </si>
  <si>
    <t>LX1942180X00e2488edd000038</t>
  </si>
  <si>
    <t>LX1830480X00df5e85e6000011</t>
  </si>
  <si>
    <t>Fund</t>
  </si>
  <si>
    <t>Lender</t>
  </si>
  <si>
    <t>Date</t>
  </si>
  <si>
    <t>Outstanding (total)</t>
  </si>
  <si>
    <t>FX BB - GBP</t>
  </si>
  <si>
    <t>GBP Outstanding</t>
  </si>
  <si>
    <t>FX BB - EUR</t>
  </si>
  <si>
    <t>EUR Outstanding</t>
  </si>
  <si>
    <t>FX BB - CAD</t>
  </si>
  <si>
    <t>CAD Outstanding</t>
  </si>
  <si>
    <t>FX BB - SEK</t>
  </si>
  <si>
    <t>SEK Outstanding</t>
  </si>
  <si>
    <t>FX BB - DKK</t>
  </si>
  <si>
    <t>DKK Outstanding</t>
  </si>
  <si>
    <t>FX BB - NOK</t>
  </si>
  <si>
    <t>NOK Outstanding</t>
  </si>
  <si>
    <t>Outstanding Loan Balance (Commitment)</t>
  </si>
  <si>
    <t>Adjusted Borrowing Value</t>
  </si>
  <si>
    <t>Wtd Avg Advance Rate</t>
  </si>
  <si>
    <t>Wtd. Avg Advance Rate (Effective)</t>
  </si>
  <si>
    <t>Unfunded Commitments</t>
  </si>
  <si>
    <t>Unfunded Exposure</t>
  </si>
  <si>
    <t>Excess Concentrations</t>
  </si>
  <si>
    <t># of Obligors</t>
  </si>
  <si>
    <t>TTM EBITDA</t>
  </si>
  <si>
    <t>Interest Coverage</t>
  </si>
  <si>
    <t>Senior Net Leverage</t>
  </si>
  <si>
    <t>Total Net Leverage</t>
  </si>
  <si>
    <t>VAE#s</t>
  </si>
  <si>
    <t>VAEs (based on ABV Post Haircut - USD)</t>
  </si>
  <si>
    <t>VAEs as of percent of ABV Post Haircut</t>
  </si>
  <si>
    <t>VAEs (based on OLB in USD)</t>
  </si>
  <si>
    <t>VAEs as of percent of OLB</t>
  </si>
  <si>
    <t>Min Required Equity</t>
  </si>
  <si>
    <t>First Lien - OLB</t>
  </si>
  <si>
    <t>First Lien - ABV</t>
  </si>
  <si>
    <t>First Lien Last Out - OLB</t>
  </si>
  <si>
    <t>First Lien Last Out - ABV</t>
  </si>
  <si>
    <t>Second Lien - OLB</t>
  </si>
  <si>
    <t>Second Lien - ABV</t>
  </si>
  <si>
    <t>BSL - OLB</t>
  </si>
  <si>
    <t>BSL - ABV</t>
  </si>
  <si>
    <t>Wtd. Avg Spread</t>
  </si>
  <si>
    <t>Capital Call Availability / SCV</t>
  </si>
  <si>
    <t>Unconstrained BB</t>
  </si>
  <si>
    <t>FX Cash - CAD</t>
  </si>
  <si>
    <t>FX Cash - EUR</t>
  </si>
  <si>
    <t>FX Cash - GBP</t>
  </si>
  <si>
    <t>FX Cash - DKK</t>
  </si>
  <si>
    <t>FX Cash - SEK</t>
  </si>
  <si>
    <t>FX Cash - NOK</t>
  </si>
  <si>
    <t>Principal Cash USD</t>
  </si>
  <si>
    <t>MF Cash - CAD</t>
  </si>
  <si>
    <t>MF Cash - EUR</t>
  </si>
  <si>
    <t>MF Cash - GBP</t>
  </si>
  <si>
    <t>MF Cash - DKK</t>
  </si>
  <si>
    <t>MF Cash - SEK</t>
  </si>
  <si>
    <t>MF Cash - NOK</t>
  </si>
  <si>
    <t>Principal O/S Pledged</t>
  </si>
  <si>
    <t>Adjusted Borrowing Value (USD)</t>
  </si>
  <si>
    <t>Wtd avg. Assigned Value</t>
  </si>
  <si>
    <t>Wtd avg. advance rate</t>
  </si>
  <si>
    <t>Effective Avg Adv rate</t>
  </si>
  <si>
    <t>Adjusted balance</t>
  </si>
  <si>
    <t>Borrowing base2</t>
  </si>
  <si>
    <t>Borrowing outstanding</t>
  </si>
  <si>
    <t>Wtd. avg portfolio leverage</t>
  </si>
  <si>
    <t>Wtd. avg portfolio interest coverage</t>
  </si>
  <si>
    <t>Wtd. avg portfolio EBITDA?</t>
  </si>
  <si>
    <t>Fund 2</t>
  </si>
  <si>
    <t>SDL III</t>
  </si>
  <si>
    <t>BNP</t>
  </si>
  <si>
    <t>SDL III D</t>
  </si>
  <si>
    <t>Core Tax Lot_SDL III D</t>
  </si>
  <si>
    <t>Containers and Packaging</t>
  </si>
  <si>
    <t>CME Term SOFR Capitalized Interest</t>
  </si>
  <si>
    <t>EURIBOR1 Capitalized Interest</t>
  </si>
  <si>
    <t>Facility Increase - PIK</t>
  </si>
  <si>
    <t>{"CreatedBy":"srathi","CreatedOn":null,"DataSetName":"Tax Lot Detail","EmailAllUsers":false,"FilterInfo":{"Attributes":[{"DataType":"varchar","DerivedDataType":"string","DisplayName":"Client Reporting Roll UpžGroup By ClientReportingRollup","ExcelColFormat":null,"FormulaInfo":null,"GroupedFunc":null,"IsComputed":false,"IsGrouped":true,"IsRefType":true,"IsSelected":true,"Precision":null,"RealName":"ClientReportingRollup","Scale":null,"SortBy":0,"SortingIndex":null,"Tags":null,"ToolTipText":null},{"DataType":"varchar","DerivedDataType":"string","DisplayName":"LocalCurrencyžGroup By LocalCurrency","ExcelColFormat":null,"FormulaInfo":null,"GroupedFunc":null,"IsComputed":false,"IsGrouped":true,"IsRefType":false,"IsSelected":true,"Precision":null,"RealName":"LocalCurrency","Scale":null,"SortBy":0,"SortingIndex":null,"Tags":null,"ToolTipText":null},{"DataType":"varchar","DerivedDataType":"string","DisplayName":"Investment TypežGroup By InvestmentType","ExcelColFormat":null,"FormulaInfo":null,"GroupedFunc":null,"IsComputed":false,"IsGrouped":true,"IsRefType":false,"IsSelected":true,"Precision":null,"RealName":"InvestmentType","Scale":null,"SortBy":0,"SortingIndex":null,"Tags":null,"ToolTipText":null},{"DataType":"varchar","DerivedDataType":"string","Disp</t>
  </si>
  <si>
    <t>layName":"Security NamežGroup By SecurityName","ExcelColFormat":null,"FormulaInfo":null,"GroupedFunc":null,"IsComputed":false,"IsGrouped":true,"IsRefType":false,"IsSelected":true,"Precision":null,"RealName":"SecurityName","Scale":null,"SortBy":0,"SortingIndex":null,"Tags":null,"ToolTipText":null},{"DataType":"datetime","DerivedDataType":"string","DisplayName":"PurchaseTradeDatežGroup By PurchaseTradeDate","ExcelColFormat":null,"FormulaInfo":null,"GroupedFunc":null,"IsComputed":false,"IsGrouped":true,"IsRefType":false,"IsSelected":true,"Precision":null,"RealName":"PurchaseTradeDate","Scale":null,"SortBy":0,"SortingIndex":null,"Tags":null,"ToolTipText":null},{"DataType":"varchar","DerivedDataType":"string","DisplayName":"CustodianAccountžGroup By CustodianAccount","ExcelColFormat":null,"FormulaInfo":null,"GroupedFunc":null,"IsComputed":false,"IsGrouped":true,"IsRefType":false,"IsSelected":true,"Precision":null,"RealName":"CustodianAccount","Scale":null,"SortBy":0,"SortingIndex":null,"Tags":null,"ToolTipText":null},{"DataType":"varchar","DerivedDataType":"string","DisplayName":"Group By BasketInvestmentCodežGroup By BasketInvestmentCode","ExcelColFormat":null,"FormulaInfo":null,"GroupedFunc":null,"IsComputed":false,"IsGrouped":true,"IsRefType":false</t>
  </si>
  <si>
    <t>,"IsSelected":true,"Precision":null,"RealName":"BasketInvestmentCode","Scale":null,"SortBy":0,"SortingIndex":null,"Tags":null,"ToolTipText":null},{"DataType":"datetime","DerivedDataType":"string","DisplayName":"ContractualSettleDatežGroup By ContractualSettleDate","ExcelColFormat":null,"FormulaInfo":null,"GroupedFunc":null,"IsComputed":false,"IsGrouped":true,"IsRefType":false,"IsSelected":true,"Precision":null,"RealName":"ContractualSettleDate","Scale":null,"SortBy":0,"SortingIndex":null,"Tags":null,"ToolTipText":null},{"DataType":"varchar","DerivedDataType":"string","DisplayName":"Group By Geneva Asset Aga IdžGroup By GenevaAssetAgaId","ExcelColFormat":null,"FormulaInfo":null,"GroupedFunc":null,"IsComputed":false,"IsGrouped":true,"IsRefType":false,"IsSelected":true,"Precision":null,"RealName":"GenevaAssetAgaId","Scale":null,"SortBy":0,"SortingIndex":null,"Tags":null,"ToolTipText":null},{"DataType":"datetime","DerivedDataType":"string","DisplayName":"Group By KnowledgeDatežGroup By KnowledgeDate","ExcelColFormat":null,"FormulaInfo":null,"GroupedFunc":null,"IsComputed":false,"IsGrouped":true,"IsRefType":false,"IsSelected":true,"Precision":null,"RealName":"KnowledgeDate","Scale":null,"SortBy":0,"SortingIndex":null,"Tags":null,"ToolTipText":null},{"</t>
  </si>
  <si>
    <t>DataType":"varchar","DerivedDataType":"string","DisplayName":"Group By SourceSystemžGroup By SourceSystem","ExcelColFormat":null,"FormulaInfo":null,"GroupedFunc":null,"IsComputed":false,"IsGrouped":true,"IsRefType":false,"IsSelected":true,"Precision":null,"RealName":"SourceSystem","Scale":null,"SortBy":0,"SortingIndex":null,"Tags":null,"ToolTipText":null},{"DataType":"numeric","DerivedDataType":"numeric","DisplayName":"SUM(CostBase)žSUM(CostBase)","ExcelColFormat":null,"FormulaInfo":null,"GroupedFunc":"SUM(x)","IsComputed":false,"IsGrouped":false,"IsRefType":false,"IsSelected":true,"Precision":38,"RealName":"CostBase","Scale":8,"SortBy":0,"SortingIndex":null,"Tags":null,"ToolTipText":null},{"DataType":"numeric","DerivedDataType":"numeric","DisplayName":"SUM(CostLocal)žSUM(CostLocal)","ExcelColFormat":null,"FormulaInfo":null,"GroupedFunc":"SUM(x)","IsComputed":false,"IsGrouped":false,"IsRefType":false,"IsSelected":true,"Precision":38,"RealName":"CostLocal","Scale":8,"SortBy":0,"SortingIndex":null,"Tags":null,"ToolTipText":null},{"DataType":"numeric","DerivedDataType":"numeric","DisplayName":"SUM(MarketValueBase)žSUM(MarketValueBase)","ExcelColFormat":null,"FormulaInfo":null,"GroupedFunc":"SUM(x)","IsComputed":false,"IsGrouped":false,"IsRefType":fa</t>
  </si>
  <si>
    <t>lse,"IsSelected":true,"Precision":38,"RealName":"MarketValueBase","Scale":8,"SortBy":0,"SortingIndex":null,"Tags":null,"ToolTipText":null},{"DataType":"numeric","DerivedDataType":"numeric","DisplayName":"SUM(MarketValueLocal)žSUM(MarketValueLocal)","ExcelColFormat":null,"FormulaInfo":null,"GroupedFunc":"SUM(x)","IsComputed":false,"IsGrouped":false,"IsRefType":false,"IsSelected":true,"Precision":38,"RealName":"MarketValueLocal","Scale":8,"SortBy":0,"SortingIndex":null,"Tags":null,"ToolTipText":null},{"DataType":"numeric","DerivedDataType":"numeric","DisplayName":"SUM(AccruedInterestBase)žSUM(AccruedInterestBase)","ExcelColFormat":null,"FormulaInfo":null,"GroupedFunc":"SUM(x)","IsComputed":false,"IsGrouped":false,"IsRefType":false,"IsSelected":true,"Precision":38,"RealName":"AccruedInterestBase","Scale":8,"SortBy":0,"SortingIndex":null,"Tags":null,"ToolTipText":null},{"DataType":"numeric","DerivedDataType":"numeric","DisplayName":"SUM(AccruedInterestLocal)žSUM(AccruedInterestLocal)","ExcelColFormat":null,"FormulaInfo":null,"GroupedFunc":"SUM(x)","IsComputed":false,"IsGrouped":false,"IsRefType":false,"IsSelected":true,"Precision":38,"RealName":"AccruedInterestLocal","Scale":8,"SortBy":0,"SortingIndex":null,"Tags":null,"ToolTipText":null},{"DataType"</t>
  </si>
  <si>
    <t>:"numeric","DerivedDataType":"numeric","DisplayName":"SUM(AmortizationBase)žSUM(AmortizationBase)","ExcelColFormat":null,"FormulaInfo":null,"GroupedFunc":"SUM(x)","IsComputed":false,"IsGrouped":false,"IsRefType":false,"IsSelected":true,"Precision":38,"RealName":"AmortizationBase","Scale":8,"SortBy":0,"SortingIndex":null,"Tags":null,"ToolTipText":null},{"DataType":"numeric","DerivedDataType":"numeric","DisplayName":"Unrealized FX Gain\/Loss BasežSUM(UnrealFxBase)","ExcelColFormat":null,"FormulaInfo":null,"GroupedFunc":"SUM(x)","IsComputed":false,"IsGrouped":false,"IsRefType":false,"IsSelected":true,"Precision":38,"RealName":"UnrealFxBase","Scale":8,"SortBy":0,"SortingIndex":null,"Tags":null,"ToolTipText":null},{"DataType":"numeric","DerivedDataType":"numeric","DisplayName":"Unrealized Price Gain\/Loss BasežSUM(UnrealPriceBase)","ExcelColFormat":null,"FormulaInfo":null,"GroupedFunc":"SUM(x)","IsComputed":false,"IsGrouped":false,"IsRefType":false,"IsSelected":true,"Precision":38,"RealName":"UnrealPriceBase","Scale":8,"SortBy":0,"SortingIndex":null,"Tags":null,"ToolTipText":null},{"DataType":"numeric","DerivedDataType":"numeric","DisplayName":"SUM(AmortizationLocal)žSUM(AmortizationLocal)","ExcelColFormat":null,"FormulaInfo":null,"GroupedFunc":"SUM(x</t>
  </si>
  <si>
    <t>)","IsComputed":false,"IsGrouped":false,"IsRefType":false,"IsSelected":true,"Precision":38,"RealName":"AmortizationLocal","Scale":8,"SortBy":0,"SortingIndex":null,"Tags":null,"ToolTipText":null},{"DataType":"numeric","DerivedDataType":"numeric","DisplayName":"MAX(MarketPriceBase)žMAX(MarketPriceBase)","ExcelColFormat":null,"FormulaInfo":null,"GroupedFunc":"MAX(x)","IsComputed":false,"IsGrouped":false,"IsRefType":false,"IsSelected":true,"Precision":38,"RealName":"MarketPriceBase","Scale":14,"SortBy":0,"SortingIndex":null,"Tags":null,"ToolTipText":null},{"DataType":"numeric","DerivedDataType":"numeric","DisplayName":"MAX(MarketPriceLocal)žMAX(MarketPriceLocal)","ExcelColFormat":null,"FormulaInfo":null,"GroupedFunc":"MAX(x)","IsComputed":false,"IsGrouped":false,"IsRefType":false,"IsSelected":true,"Precision":38,"RealName":"MarketPriceLocal","Scale":14,"SortBy":0,"SortingIndex":null,"Tags":null,"ToolTipText":null},{"DataType":"numeric","DerivedDataType":"numeric","DisplayName":"MAX(PurchasePriceBase)žMAX(PurchasePriceBase)","ExcelColFormat":null,"FormulaInfo":null,"GroupedFunc":"MAX(x)","IsComputed":false,"IsGrouped":false,"IsRefType":false,"IsSelected":true,"Precision":38,"RealName":"PurchasePriceBase","Scale":8,"SortBy":0,"SortingIndex":null,"Tags"</t>
  </si>
  <si>
    <t>:null,"ToolTipText":null},{"DataType":"numeric","DerivedDataType":"numeric","DisplayName":"MAX(PurchasePriceLocal)žMAX(PurchasePriceLocal)","ExcelColFormat":null,"FormulaInfo":null,"GroupedFunc":"MAX(x)","IsComputed":false,"IsGrouped":false,"IsRefType":false,"IsSelected":true,"Precision":38,"RealName":"PurchasePriceLocal","Scale":8,"SortBy":0,"SortingIndex":null,"Tags":null,"ToolTipText":null},{"DataType":"varchar","DerivedDataType":"string","DisplayName":"žGroup By Portfolio","ExcelColFormat":null,"FormulaInfo":null,"GroupedFunc":null,"IsComputed":false,"IsGrouped":true,"IsRefType":true,"IsSelected":true,"Precision":null,"RealName":"Portfolio","Scale":null,"SortBy":0,"SortingIndex":null,"Tags":null,"ToolTipText":null},{"DataType":"varchar","DerivedDataType":"string","DisplayName":"žGroup By Issuer","ExcelColFormat":null,"FormulaInfo":null,"GroupedFunc":null,"IsComputed":false,"IsGrouped":true,"IsRefType":false,"IsSelected":true,"Precision":null,"RealName":"Issuer","Scale":null,"SortBy":0,"SortingIndex":null,"Tags":null,"ToolTipText":null},{"DataType":"varchar","DerivedDataType":"string","DisplayName":"žGroup By ParentIssuer","ExcelColFormat":null,"FormulaInfo":null,"GroupedFunc":null,"IsComputed":false,"IsGrouped":true,"IsRefType":false,"IsSelec</t>
  </si>
  <si>
    <t>Row Labels</t>
  </si>
  <si>
    <t>Grand Total</t>
  </si>
  <si>
    <t>Sum of TranAsset_Outstanding</t>
  </si>
  <si>
    <t>y","ExcelColFormat":null,"FormulaInfo":null,"GroupedFunc":null,"IsComputed":false,"IsGrouped":true,"IsRefType":false,"IsSelected":true,"Precision":null,"RealName":"PIK Availability","Scale":null,"SortBy":0,"SortingIndex":null,"Tags":null,"ToolTipText":null}],"DataSetName":"Position P&amp;L","DataViewType":1,"FilterContent":[{"Condition":"EQUALS","DataType":"datetime","DateValueType":[2],"DisplayFilterName":"As of Date","GroupedFunc":null,"Id":1,"IsDynamic":false,"IsRefType":false,"NestedFilters":null,"Operator":0,"RealFilterName":"as_of_date","Values":["Previous Month End"]},{"Condition":"EQUALS","DataType":"varchar","DateValueType":null,"DisplayFilterName":"Portfolio","GroupedFunc":null,"Id":2,"IsDynamic":false,"IsRefType":true,"NestedFilters":null,"Operator":0,"RealFilterName":"portfolio","Values":["SDL_III_CREDIT_D"]},{"Condition":"EQUALS","DataType":"bit","DateValueType":null,"DisplayFilterName":"IsInternalPrimary","GroupedFunc":null,"Id":3,"IsDynamic":false,"IsRefType":false,"NestedFilters":null,"Operator":0,"RealFilterName":"is_internal_primary","Values":["True"]}],"GroupName":"Profit And Loss","HavingFilterContent":[{"Condition":"NOT EQUALS","DataType":"numeric","DateValueType":null,"DisplayFilterName":"SUM(QuantityEOD)","GroupedFunc":null,"Id":1,"IsDynamic":false,"IsRefType":false,"NestedFilters":null,"Operator":1,"RealFilterName":"SUM(quantity_eod)","Values":["0"]},{"Condition":"NOT EQUALS","DataType":"numeric","DateValueType":null,"DisplayFilterName":"SUM(FundedQuantitylocal)","GroupedFunc":null,"Id":2,"IsDynamic":false,"IsRefType":false,"NestedFilters":null,"Operator":1,"RealFilterName":"SUM(funded_quantity_local)","Values":["0"]},{"Condition":"NOT EQUALS","DataType":"numeric","DateValueType":null,"DisplayFilterName":"SUM(UnfundedQuantityLocal)","GroupedFunc":null,"Id":3,"IsDynamic":false,"IsRefType":false,"NestedFilters":null,"Operator":1,"RealFilterName":"SUM(unfunded_quantity_local)","Values":["0"]},{"Condition":"NOT EQUALS","DataType":"numeric","DateValueType":null,"DisplayFilterName":"SUM(MarketValueBaseEOD)","GroupedFunc":null,"Id":4,"IsDynamic":false,"IsRefType":false,"NestedFilters":null,"Operator":1,"RealFilterName":"SUM(market_value_base_eod)","Values":["0"]},{"Condition":"NOT EQUALS","DataType":"numeric","DateValueType":null,"DisplayFilterName":"SUM(AccruedInterestBase)","GroupedFunc":null,"Id":5,"IsDynamic":false,"IsRefType":false,"NestedFilters":null,"Operator":1,"RealFilterName":"SUM(accrued_interest_base)","Values":["0"]},{"Condition":"NOT EQUALS","DataType":"numeric","DateValueType":null,"DisplayFilterName":"SUM(TotalCostBase)","GroupedFunc":null,"Id":6,"IsDynamic":false,"IsRefType":false,"NestedFilters":null,"Operator":0,"RealFilterName":"SUM(total_cost_base)","Values":["0"]}],"IsDistinct":false},"GroupName":"Profit And Loss","IsAggregatedView":true,"IsAutoLoad":false,"IsDeletable":true,"IsEditable":false,"IsRefreshTimeEnabled":false,"IsReplace":false,"IsStarred":false,"ModifiedBy":null,"ModifiedOn":null,"SharedGroups":null,"SharedWithRole":null,"Source":null,"TemplateId":480,"TemplateName":"Core IPA_SDLIII","TemplateType":1,"UserName":"srathi","sharedWithUser":null}</t>
  </si>
  <si>
    <t>ted":true,"Precision":null,"RealName":"ParentIssuer","Scale":null,"SortBy":0,"SortingIndex":null,"Tags":null,"ToolTipText":null},{"DataType":"varchar","DerivedDataType":"string","DisplayName":"žGroup By Primary Asset Id","ExcelColFormat":null,"FormulaInfo":null,"GroupedFunc":null,"IsComputed":false,"IsGrouped":true,"IsRefType":false,"IsSelected":true,"Precision":null,"RealName":"Primary Asset Id","Scale":null,"SortBy":0,"SortingIndex":null,"Tags":null,"ToolTipText":null}],"DataSetName":"Tax Lot Detail","DataViewType":1,"FilterContent":[{"Condition":"EQUALS","DataType":"datetime","DateValueType":[2],"DisplayFilterName":"AsOfDate","GroupedFunc":null,"Id":1,"IsDynamic":false,"IsRefType":false,"NestedFilters":null,"Operator":0,"RealFilterName":"AsOfDate","Values":["Previous Month End"]},{"Condition":"EQUALS","DataType":"bit","DateValueType":null,"DisplayFilterName":"IsInternalPrimary","GroupedFunc":null,"Id":2,"IsDynamic":false,"IsRefType":false,"NestedFilters":null,"Operator":0,"RealFilterName":"IsInternalPrimary","Values":["True"]},{"Condition":"EQUALS","DataType":"varchar","DateValueType":null,"DisplayFilterName":"Portfolio","GroupedFunc":null,"Id":3,"IsDynamic":false,"IsRefType":true,"NestedFilters":null,"Operator":0,"RealFilterName":"Portfolio",</t>
  </si>
  <si>
    <t>"Values":["SDL_III_CREDIT_D"]}],"GroupName":"Profit And Loss","HavingFilterContent":[{"Condition":"NOT EQUALS","DataType":"numeric","DateValueType":null,"DisplayFilterName":"SUM(MarketValueBase)","GroupedFunc":null,"Id":1,"IsDynamic":false,"IsRefType":false,"NestedFilters":null,"Operator":1,"RealFilterName":"SUM(MarketValueBase)","Values":["0"]},{"Condition":"NOT EQUALS","DataType":"numeric","DateValueType":null,"DisplayFilterName":"SUM(AccruedInterestBase)","GroupedFunc":null,"Id":2,"IsDynamic":false,"IsRefType":false,"NestedFilters":null,"Operator":1,"RealFilterName":"SUM(AccruedInterestBase)","Values":["0"]},{"Condition":"NOT EQUALS","DataType":"numeric","DateValueType":null,"DisplayFilterName":"SUM(CostBase)","GroupedFunc":null,"Id":3,"IsDynamic":false,"IsRefType":false,"NestedFilters":null,"Operator":0,"RealFilterName":"SUM(CostBase)","Values":["0"]}],"IsDistinct":false},"GroupName":"Profit And Loss","IsAggregatedView":true,"IsAutoLoad":false,"IsDeletable":true,"IsEditable":false,"IsRefreshTimeEnabled":false,"IsReplace":false,"IsStarred":false,"ModifiedBy":null,"ModifiedOn":null,"SharedGroups":null,"SharedWithRole":null,"Source":null,"TemplateId":951,"TemplateName":"Core Tax Lot_SDL III D","TemplateType":1,"UserName":"srathi","sharedWithUser":null}</t>
  </si>
  <si>
    <t>PnL Refresh Time:Aug  7 2024  1:16AM || Trade Refresh Time:Aug  7 2024  1:16AM</t>
  </si>
  <si>
    <t>Tranche Size/ EBITDA</t>
  </si>
  <si>
    <t xml:space="preserve">BORROWING BASE CALCULATION </t>
  </si>
  <si>
    <t>or decreases (from Cut-Off Date) &gt;:</t>
  </si>
  <si>
    <t>or Increases (from Cut-Off Date) &gt;:</t>
  </si>
  <si>
    <t>EBITDA Change</t>
  </si>
  <si>
    <t>Issuer Occurrence</t>
  </si>
  <si>
    <t>Issuer Par Amount</t>
  </si>
  <si>
    <t>EBITDA&lt;$10mm</t>
  </si>
  <si>
    <t>EBITDA &lt;$10mm</t>
  </si>
  <si>
    <t>10% / 7% / 5%</t>
  </si>
  <si>
    <t>Admin Agent</t>
  </si>
  <si>
    <t>Portfolio Name</t>
  </si>
  <si>
    <t>Issuer Name</t>
  </si>
  <si>
    <t>Loan number</t>
  </si>
  <si>
    <t>Facility Name</t>
  </si>
  <si>
    <t>OutstandingAmount</t>
  </si>
  <si>
    <t>LoanX Id / CUSIP</t>
  </si>
  <si>
    <t>Loan Type (Underlying Structure)</t>
  </si>
  <si>
    <t>Fixed/Float</t>
  </si>
  <si>
    <t>SOFR/LIBOR Index</t>
  </si>
  <si>
    <t>LIBOR/SOFR Floor</t>
  </si>
  <si>
    <t>Payment Freq (1=monthly, 3=quarterly)</t>
  </si>
  <si>
    <t>Default Date</t>
  </si>
  <si>
    <t>Seniority</t>
  </si>
  <si>
    <t>Average Life</t>
  </si>
  <si>
    <t>Market Price</t>
  </si>
  <si>
    <t>EBITDA
(at acquisition)</t>
  </si>
  <si>
    <t>Cash Interest Coverage Ratio (at acquisition)</t>
  </si>
  <si>
    <t>Senior Net Leverage Ratio (at acquisition)</t>
  </si>
  <si>
    <t>Total Leverage Ratio
(at acquisition)</t>
  </si>
  <si>
    <t>Date of Latest Financial Reporting</t>
  </si>
  <si>
    <t>ABL / FO Lev Ratio</t>
  </si>
  <si>
    <t>Net Senior Lev Ratio</t>
  </si>
  <si>
    <t>EBITDA ($m)</t>
  </si>
  <si>
    <t>Change in Net Senior Lev Ratio Since Acquisition</t>
  </si>
  <si>
    <t>Total Leverage Ratio
(current)</t>
  </si>
  <si>
    <t>Change in Total Lev Ratio Since Acquisition</t>
  </si>
  <si>
    <t>Cash Interest Coverage Ratio (current)</t>
  </si>
  <si>
    <t>Change in Cash Interest Coverage Ratio Since Acquisition</t>
  </si>
  <si>
    <t>Global Original Facility</t>
  </si>
  <si>
    <t>Global Bank Deal</t>
  </si>
  <si>
    <t>Covenant Type</t>
  </si>
  <si>
    <t>Covenant Lite</t>
  </si>
  <si>
    <t>Firm Asset ID/ ISIN</t>
  </si>
  <si>
    <t>Par Balance (Unadjusted for PIK)</t>
  </si>
  <si>
    <t>PIK Amount</t>
  </si>
  <si>
    <t>Principal Balance (Adjusted for PIK)</t>
  </si>
  <si>
    <t>Eligible Collateral Loan</t>
  </si>
  <si>
    <t>Assigned MV</t>
  </si>
  <si>
    <t>Not First Lien</t>
  </si>
  <si>
    <t>FLLO or 2L</t>
  </si>
  <si>
    <t>Non-USD</t>
  </si>
  <si>
    <t>Non-US Domiciled</t>
  </si>
  <si>
    <t>EBITDA &lt; 15mm</t>
  </si>
  <si>
    <t>EBITDA &lt; $10mm</t>
  </si>
  <si>
    <t>Senior Net Lev &gt; 5.5x</t>
  </si>
  <si>
    <t>Purchase Market Value</t>
  </si>
  <si>
    <t>Adjusted Principal Balance</t>
  </si>
  <si>
    <t>Net Principal Balance</t>
  </si>
  <si>
    <t>EBITDA Bucket</t>
  </si>
  <si>
    <t>ABL / FO Bucket</t>
  </si>
  <si>
    <t>Designated FL</t>
  </si>
  <si>
    <t>AR Category</t>
  </si>
  <si>
    <t>PennantPark Investment Funding I</t>
  </si>
  <si>
    <t>A1 Garage Merger Sub, LLC</t>
  </si>
  <si>
    <t>A1 Garage (Term Loan)</t>
  </si>
  <si>
    <t>PNNT 1</t>
  </si>
  <si>
    <t>First Lien</t>
  </si>
  <si>
    <t>FL</t>
  </si>
  <si>
    <t>Energy Equipment &amp; Services</t>
  </si>
  <si>
    <t>Float</t>
  </si>
  <si>
    <t>Senior Secured</t>
  </si>
  <si>
    <t>USA</t>
  </si>
  <si>
    <t>Y</t>
  </si>
  <si>
    <t>AFC - Dell Holding Corp.</t>
  </si>
  <si>
    <t>AFC Industries (TL)</t>
  </si>
  <si>
    <t>PNNT 4</t>
  </si>
  <si>
    <t>Aeronix (TL)</t>
  </si>
  <si>
    <t>PNNT 5</t>
  </si>
  <si>
    <t>Alpine Acquisition Corp II</t>
  </si>
  <si>
    <t>48Forty (Term Loan)</t>
  </si>
  <si>
    <t>PNNT 7</t>
  </si>
  <si>
    <t>BBB Industries</t>
  </si>
  <si>
    <t>BBB Industries (First Lien Term Loan)</t>
  </si>
  <si>
    <t>PNNT 10</t>
  </si>
  <si>
    <t>Beacon Behavioral Support  Services, LLC</t>
  </si>
  <si>
    <t>Beacon Behavioral (Term Loan)</t>
  </si>
  <si>
    <t>PNNT 75</t>
  </si>
  <si>
    <t>Construction &amp; Engineering</t>
  </si>
  <si>
    <t>Health Care Equipment &amp; Supplies</t>
  </si>
  <si>
    <t>BlackHawk Industrial</t>
  </si>
  <si>
    <t>BlackHawk Industrial (TL)</t>
  </si>
  <si>
    <t>PNNT 14</t>
  </si>
  <si>
    <t>Carisk Buyer, Inc.</t>
  </si>
  <si>
    <t>Carisk Partners (TL)</t>
  </si>
  <si>
    <t>PNNT 16</t>
  </si>
  <si>
    <t>Cartessa</t>
  </si>
  <si>
    <t>Cartessa (TL)</t>
  </si>
  <si>
    <t>PNNT 17</t>
  </si>
  <si>
    <t>Centauri</t>
  </si>
  <si>
    <t>Centauri Health (TL)</t>
  </si>
  <si>
    <t>PNNT 18</t>
  </si>
  <si>
    <t>Comprehensive Rehab Consultants</t>
  </si>
  <si>
    <t>Comprehensive Rehab Consultants (Term Loan)</t>
  </si>
  <si>
    <t>PNNT 19</t>
  </si>
  <si>
    <t>Personal Products</t>
  </si>
  <si>
    <t xml:space="preserve">Dr. Squatch, LLC </t>
  </si>
  <si>
    <t>Dr. Squatch (Term Loan)</t>
  </si>
  <si>
    <t>PNNT 22</t>
  </si>
  <si>
    <t>Research Now / SSI (1st)</t>
  </si>
  <si>
    <t>PNNT 53</t>
  </si>
  <si>
    <t xml:space="preserve"> </t>
  </si>
  <si>
    <t>PNNT 54</t>
  </si>
  <si>
    <t>EDS Buyers, LLC</t>
  </si>
  <si>
    <t>Epiq (TL)</t>
  </si>
  <si>
    <t>PNNT 24</t>
  </si>
  <si>
    <t>Eval Home Health Solutions Intermediate, LLC</t>
  </si>
  <si>
    <t>EvAl (Term Loan)</t>
  </si>
  <si>
    <t>PNNT 26</t>
  </si>
  <si>
    <t>HEC Purchaser Corp.</t>
  </si>
  <si>
    <t>Health-E Commerce (Term Loan)</t>
  </si>
  <si>
    <t>PNNT 74</t>
  </si>
  <si>
    <t>HW Holdco, LLC</t>
  </si>
  <si>
    <t>Hanley Wood (TL)</t>
  </si>
  <si>
    <t>PNNT 30</t>
  </si>
  <si>
    <t>Infinity Home Services Holdco, Inc.</t>
  </si>
  <si>
    <t>Infinity Home Services (Term Loan)</t>
  </si>
  <si>
    <t>PNNT 31</t>
  </si>
  <si>
    <t>Infolinks</t>
  </si>
  <si>
    <t>Infolinks (TL)</t>
  </si>
  <si>
    <t>PNNT 32</t>
  </si>
  <si>
    <t xml:space="preserve">Inventus Power Inc.  </t>
  </si>
  <si>
    <t>Inventus (TL)</t>
  </si>
  <si>
    <t>PNNT 33</t>
  </si>
  <si>
    <t>Lash OpCo, LLC</t>
  </si>
  <si>
    <t>Lilly Lashes (TL)</t>
  </si>
  <si>
    <t>PNNT 35</t>
  </si>
  <si>
    <t>Telecommunications</t>
  </si>
  <si>
    <t>Real Estate Management and Development</t>
  </si>
  <si>
    <t>Megawatt Acquisitionco, Inc.</t>
  </si>
  <si>
    <t>Mission Microwave (Term Loan)</t>
  </si>
  <si>
    <t>PNNT 39</t>
  </si>
  <si>
    <t>MOREgroup Holdings, LLC</t>
  </si>
  <si>
    <t>MOREgroup (Term Loan)</t>
  </si>
  <si>
    <t>PNNT 41</t>
  </si>
  <si>
    <t>NORA ACQUISITION, LLC</t>
  </si>
  <si>
    <t>NORA (Term Loan)</t>
  </si>
  <si>
    <t>PNNT 42</t>
  </si>
  <si>
    <t>Omnia Exterior Solutions, LLC</t>
  </si>
  <si>
    <t>Omnia (TL)</t>
  </si>
  <si>
    <t>PNNT 43</t>
  </si>
  <si>
    <t>Diversified Financial Services</t>
  </si>
  <si>
    <t>PL Acquisitionco, LLC</t>
  </si>
  <si>
    <t>Pink Lily (Term Loan)</t>
  </si>
  <si>
    <t>PNNT 48</t>
  </si>
  <si>
    <t>Radius Aerospace</t>
  </si>
  <si>
    <t>Radius Aerospace (Term Loan)</t>
  </si>
  <si>
    <t>PNNT 51</t>
  </si>
  <si>
    <t>RTIC subsidiary Holdings, LLC</t>
  </si>
  <si>
    <t>RTIC (TL)</t>
  </si>
  <si>
    <t>PNNT 55</t>
  </si>
  <si>
    <t>Seaway Plastics</t>
  </si>
  <si>
    <t>Seaway (TL)</t>
  </si>
  <si>
    <t>PNNT 58</t>
  </si>
  <si>
    <t>Sigma Defense Systems, LLC</t>
  </si>
  <si>
    <t>Sigma Defense (Term Loan)</t>
  </si>
  <si>
    <t>PNNT 59</t>
  </si>
  <si>
    <t xml:space="preserve">System Planning and Analysis, Inc. </t>
  </si>
  <si>
    <t>MCR (Term Loan)</t>
  </si>
  <si>
    <t>PNNT 61</t>
  </si>
  <si>
    <t>Team Services Group, LLC</t>
  </si>
  <si>
    <t>TEAM Services Group (First Lien Term Loan)</t>
  </si>
  <si>
    <t>PNNT 62</t>
  </si>
  <si>
    <t>TCD 3.0 Jogger Acquisitionco, Inc. Term Loan</t>
  </si>
  <si>
    <t>BiggerPockets (TL)</t>
  </si>
  <si>
    <t>PNNT 63</t>
  </si>
  <si>
    <t>The Bluebird Group LLC</t>
  </si>
  <si>
    <t>Bluebird (Term Loan)</t>
  </si>
  <si>
    <t>PNNT 64</t>
  </si>
  <si>
    <t>Household Products</t>
  </si>
  <si>
    <t>Transgo</t>
  </si>
  <si>
    <t>TransGo (TL)</t>
  </si>
  <si>
    <t>PNNT 66</t>
  </si>
  <si>
    <t>UROLOGY MANAGEMENT HOLDINGS, INC.</t>
  </si>
  <si>
    <t>Solaris Health (Term Loan)</t>
  </si>
  <si>
    <t>PNNT 68</t>
  </si>
  <si>
    <t>Watchtower Buyer, LLC</t>
  </si>
  <si>
    <t>Watchtower (TL)</t>
  </si>
  <si>
    <t>PNNT 70</t>
  </si>
  <si>
    <t>Watterson</t>
  </si>
  <si>
    <t>Watterson (TL)</t>
  </si>
  <si>
    <t>PNNT 71</t>
  </si>
  <si>
    <t>Zips Car Wash, LLC</t>
  </si>
  <si>
    <t>Zips (DDTL)</t>
  </si>
  <si>
    <t>PNNT 73</t>
  </si>
  <si>
    <t>Maintenance Covenants</t>
  </si>
  <si>
    <t>N</t>
  </si>
  <si>
    <t xml:space="preserve">S&amp;P Industry </t>
  </si>
  <si>
    <t>Water Utilities</t>
  </si>
  <si>
    <t>Transportation Infrastructure</t>
  </si>
  <si>
    <t>Tobacco</t>
  </si>
  <si>
    <t>Thrifts &amp; Mortgage Finance</t>
  </si>
  <si>
    <t>Technology Hardware, Storage &amp; Peripherals</t>
  </si>
  <si>
    <t>Semiconductors &amp; Semiconductor Equipment</t>
  </si>
  <si>
    <t>Road &amp; Rail</t>
  </si>
  <si>
    <t>Paper &amp; Forest Products</t>
  </si>
  <si>
    <t>Multi-Utilities</t>
  </si>
  <si>
    <t>Multiline Retail</t>
  </si>
  <si>
    <t>Mortgage Real Estate Investment Trusts (REITs)</t>
  </si>
  <si>
    <t>Metals &amp; Mining</t>
  </si>
  <si>
    <t>Internet &amp; Direct Marketing Retail</t>
  </si>
  <si>
    <t>Independent Power &amp; Renewable Electricity Producers</t>
  </si>
  <si>
    <t>Household Durables</t>
  </si>
  <si>
    <t>Electric Utilities</t>
  </si>
  <si>
    <t>Communications Equipment</t>
  </si>
  <si>
    <t>Beverages</t>
  </si>
  <si>
    <t>Auto Components</t>
  </si>
  <si>
    <t>S&amp;P Industries</t>
  </si>
  <si>
    <t xml:space="preserve">Admin Agent </t>
  </si>
  <si>
    <t xml:space="preserve">Reserved </t>
  </si>
  <si>
    <t xml:space="preserve">Tranche Size (at acquisition) </t>
  </si>
  <si>
    <t>Excluded PIK: Cash Pay &gt; 4.5%</t>
  </si>
  <si>
    <t xml:space="preserve">Recurring Revenue </t>
  </si>
  <si>
    <t>-</t>
  </si>
  <si>
    <t xml:space="preserve">Revenue (at acquisition) </t>
  </si>
  <si>
    <t xml:space="preserve">Revenue (current) </t>
  </si>
  <si>
    <t>and SNL is above 4x</t>
  </si>
  <si>
    <t>Senior Net Leverage &lt;6.0x</t>
  </si>
  <si>
    <r>
      <t>(b)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Times New Roman"/>
        <family val="1"/>
      </rPr>
      <t>for which the related Obligor has a Senior Net Leverage Ratio of not more than 6.0x;</t>
    </r>
  </si>
  <si>
    <t>Covenent Type</t>
  </si>
  <si>
    <t>EBITDA&lt;$15mm</t>
  </si>
  <si>
    <t>RP End</t>
  </si>
  <si>
    <t xml:space="preserve">Facility Termination </t>
  </si>
  <si>
    <t>Accounts</t>
  </si>
  <si>
    <t>Interest Collection Account #5652058400</t>
  </si>
  <si>
    <t>Principal Collection Account (PF for unsettled trades)</t>
  </si>
  <si>
    <t>Trust Account</t>
  </si>
  <si>
    <t>Activity</t>
  </si>
  <si>
    <t>Current Cash Balance - Principal Collection #5652098400</t>
  </si>
  <si>
    <t>Pro-Forma Cash Balance - Principal Collection</t>
  </si>
  <si>
    <t>Portfolio Summary</t>
  </si>
  <si>
    <t>Aggregate Principal Balance</t>
  </si>
  <si>
    <t>Discount per Discount Factors</t>
  </si>
  <si>
    <t>Aggregate Adjusted Collateral Value</t>
  </si>
  <si>
    <t>Pending Sales</t>
  </si>
  <si>
    <t>Aggregate Adjusted Collateral Value (net of Sales)</t>
  </si>
  <si>
    <t>Maximum Facility Amount</t>
  </si>
  <si>
    <t>Current Availability</t>
  </si>
  <si>
    <t>Maximum Availability</t>
  </si>
  <si>
    <t>Outstandings ($mm)</t>
  </si>
  <si>
    <t>BNP Paribas (All Lenders)</t>
  </si>
  <si>
    <t>BNP Paribas</t>
  </si>
  <si>
    <t>Facility Details</t>
  </si>
  <si>
    <t>Weighted Average Advance Rate:</t>
  </si>
  <si>
    <t>Advances Outstanding</t>
  </si>
  <si>
    <t>Effective Advance Rate</t>
  </si>
  <si>
    <t>Comm. %</t>
  </si>
  <si>
    <t>Outstanding %</t>
  </si>
  <si>
    <t>Notes Payable: USD</t>
  </si>
  <si>
    <t>Day</t>
  </si>
  <si>
    <t>Amount</t>
  </si>
  <si>
    <t>Normal</t>
  </si>
  <si>
    <t>12/8/20202</t>
  </si>
  <si>
    <t>Eligible Partial PIK (Mat Mod) Loans</t>
  </si>
  <si>
    <t xml:space="preserve">Eligible Partial PIK Loans (origination) </t>
  </si>
  <si>
    <t xml:space="preserve">Cov-lite </t>
  </si>
  <si>
    <t>EBITDA &lt;$15mm</t>
  </si>
  <si>
    <t>Senior Net Lev Ratio&gt; 5.5x</t>
  </si>
  <si>
    <t>SNL&gt;5.5x</t>
  </si>
  <si>
    <t>Not FL</t>
  </si>
  <si>
    <t xml:space="preserve">Not FL </t>
  </si>
  <si>
    <t>20% / 15% / 12%</t>
  </si>
  <si>
    <t>Senior Net Lev &gt;5.5x</t>
  </si>
  <si>
    <t xml:space="preserve">Cov-Lite </t>
  </si>
  <si>
    <t>Second Liens</t>
  </si>
  <si>
    <t>Partial PIK Loans (Material Mod)</t>
  </si>
  <si>
    <t xml:space="preserve">Partial PIK loans (Origination) </t>
  </si>
  <si>
    <t>Eligible</t>
  </si>
  <si>
    <t>Carnegie Dartlet, LLC</t>
  </si>
  <si>
    <t>Crane 1 Services, Inc.</t>
  </si>
  <si>
    <t>Municipal Emergency Services, Inc.</t>
  </si>
  <si>
    <t>Research Now Group, LLC and Dynata, LLC - First Out Term Loan</t>
  </si>
  <si>
    <t>Research Now Group, LLC and Dynata, LLC-Last Out Term loan</t>
  </si>
  <si>
    <t>US Fertility</t>
  </si>
  <si>
    <t>C5MI Acquisition LLC  First Lien  Term Loan  T - CF</t>
  </si>
  <si>
    <t>Carnegie Dartlet (Term Loan)</t>
  </si>
  <si>
    <t>Crane 1 (Term Loan)</t>
  </si>
  <si>
    <t>MES (Term Loan)</t>
  </si>
  <si>
    <t>STG (TL)</t>
  </si>
  <si>
    <t>US Fertility (Term Loan)</t>
  </si>
  <si>
    <t>PNNT 81</t>
  </si>
  <si>
    <t>PNNT 76</t>
  </si>
  <si>
    <t>PNNT 77</t>
  </si>
  <si>
    <t>PNNT 79</t>
  </si>
  <si>
    <t>PNNT 84</t>
  </si>
  <si>
    <t>PNNT 86</t>
  </si>
  <si>
    <t>C5MI Acquisition, LLC</t>
  </si>
  <si>
    <t>Archer Lewis</t>
  </si>
  <si>
    <t>Argano, LLC</t>
  </si>
  <si>
    <t>CF512, Inc.</t>
  </si>
  <si>
    <t>Case Works</t>
  </si>
  <si>
    <t>GGG Midco, LLC</t>
  </si>
  <si>
    <t>Harris &amp; Co. LLC</t>
  </si>
  <si>
    <t>MDI Buyer Inc.</t>
  </si>
  <si>
    <t>Michael Baker International, LLC</t>
  </si>
  <si>
    <t>NFS - CFP Holdings, LLC</t>
  </si>
  <si>
    <t>PAR Excellence</t>
  </si>
  <si>
    <t>Rancho Medical</t>
  </si>
  <si>
    <t>Reception Purchaser, LLC -First Out Term loan</t>
  </si>
  <si>
    <t>SV- Aero Holdings, LLC (Aeronix)</t>
  </si>
  <si>
    <t>The Vertex Companies, LLC</t>
  </si>
  <si>
    <t>Archer Lewis (Term Loan)</t>
  </si>
  <si>
    <t>Argano (Term Loan)</t>
  </si>
  <si>
    <t>Gen3 Marketing (Term Loan)</t>
  </si>
  <si>
    <t xml:space="preserve">Case Works Group (Term Loan) </t>
  </si>
  <si>
    <t>Guild Garage Group (Term Loan)</t>
  </si>
  <si>
    <t>Harris (DDTL A)</t>
  </si>
  <si>
    <t>MDI (TL)</t>
  </si>
  <si>
    <t>Michael Baker (Term Loan)</t>
  </si>
  <si>
    <t>Commercial Fire Protection (Term Loan)</t>
  </si>
  <si>
    <t>PAR Excellence (Term Loan)</t>
  </si>
  <si>
    <t>Rancho (TL)</t>
  </si>
  <si>
    <t>Vertex (Term Loan)</t>
  </si>
  <si>
    <t>PNNT 87</t>
  </si>
  <si>
    <t>PNNT 93</t>
  </si>
  <si>
    <t>PNNT 97</t>
  </si>
  <si>
    <t>PNNT 88</t>
  </si>
  <si>
    <t>PNNT 95</t>
  </si>
  <si>
    <t>PNNT 89</t>
  </si>
  <si>
    <t>PNNT 98</t>
  </si>
  <si>
    <t>PNNT 99</t>
  </si>
  <si>
    <t>PNNT 100</t>
  </si>
  <si>
    <t>PNNT 90</t>
  </si>
  <si>
    <t>PNNT 96</t>
  </si>
  <si>
    <t>PNNT 92</t>
  </si>
  <si>
    <t>(x) the Weighted Average Advance Rate and (y) the Portfolio Advance Rate Adj.</t>
  </si>
  <si>
    <t>Sabel Systems Technology Solutions, LLC</t>
  </si>
  <si>
    <t>PNNT 102</t>
  </si>
  <si>
    <t>Sabel Systems (Term Loan)</t>
  </si>
  <si>
    <t>Arcfield</t>
  </si>
  <si>
    <t>PNNT 104</t>
  </si>
  <si>
    <t>PNNT 105</t>
  </si>
  <si>
    <t>PNNT 106</t>
  </si>
  <si>
    <t>PNNT 107</t>
  </si>
  <si>
    <t>Bland Landscaping</t>
  </si>
  <si>
    <t>Federal Advisory Partners</t>
  </si>
  <si>
    <t xml:space="preserve">Lynx Technologies </t>
  </si>
  <si>
    <t>Federal Advisory Partners (First Lien Term Loan)</t>
  </si>
  <si>
    <t>Arcfield (Term Loan)</t>
  </si>
  <si>
    <t>Bland Landscaping (Term Loan)</t>
  </si>
  <si>
    <t>Lynx Technologies (TL)</t>
  </si>
  <si>
    <t>Unsettled trades</t>
  </si>
  <si>
    <t>Webster Bank</t>
  </si>
  <si>
    <t>IN WITNESS WHEREOF, the undersigned has duly executed this Report.</t>
  </si>
  <si>
    <t>By:</t>
  </si>
  <si>
    <t>Signature</t>
  </si>
  <si>
    <t xml:space="preserve">Andrew Jordan </t>
  </si>
  <si>
    <t>(Print Name)</t>
  </si>
  <si>
    <t>Managing Director</t>
  </si>
  <si>
    <t>Title</t>
  </si>
  <si>
    <t>RealmOne</t>
  </si>
  <si>
    <t>Seacoast</t>
  </si>
  <si>
    <t>Marketplace</t>
  </si>
  <si>
    <t>PNNT 109</t>
  </si>
  <si>
    <t>PNNT 110</t>
  </si>
  <si>
    <t>PNNT 111</t>
  </si>
  <si>
    <t>RealmOne (Term Loan)</t>
  </si>
  <si>
    <t>Seacoast Service Partners (Term Loan)</t>
  </si>
  <si>
    <t>Marketplace Events (USD Term Loan)</t>
  </si>
  <si>
    <t xml:space="preserve">FLLO </t>
  </si>
  <si>
    <t>Emergency Care Partners LLC</t>
  </si>
  <si>
    <t>Amsive Holding Corporation</t>
  </si>
  <si>
    <t>LAV Gear Holdings, Inc.</t>
  </si>
  <si>
    <t>PNNT 112</t>
  </si>
  <si>
    <t>PNNT 113</t>
  </si>
  <si>
    <t>PNNT 114</t>
  </si>
  <si>
    <t>Emergency Care Partners (Term Loan)</t>
  </si>
  <si>
    <t>4Wall Entertainment (Term Loan)</t>
  </si>
  <si>
    <t>Vision Integrated (TL)</t>
  </si>
  <si>
    <t>Boss Industries</t>
  </si>
  <si>
    <t>Tranzact</t>
  </si>
  <si>
    <t xml:space="preserve">Ro Health </t>
  </si>
  <si>
    <t>PNNT 115</t>
  </si>
  <si>
    <t>PNNT 116</t>
  </si>
  <si>
    <t>PNNT 117</t>
  </si>
  <si>
    <t>Boss Industries (Term Loan)</t>
  </si>
  <si>
    <t>Tranzact (Term Loan)</t>
  </si>
  <si>
    <t>Ro Health (Term Loan)</t>
  </si>
  <si>
    <t>Paydown</t>
  </si>
  <si>
    <t xml:space="preserve">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</si>
</sst>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$&quot;#,##0.00"/>
    <numFmt numFmtId="167" formatCode="0\ &quot;years&quot;"/>
    <numFmt numFmtId="168" formatCode="#,##0.0"/>
    <numFmt numFmtId="169" formatCode="_(&quot;$&quot;* #,##0_);_(&quot;$&quot;* \(#,##0\);_(&quot;$&quot;* &quot;-&quot;??_);_(@_)"/>
    <numFmt numFmtId="170" formatCode="0.0&quot;x&quot;"/>
    <numFmt numFmtId="171" formatCode="0.00\x"/>
    <numFmt numFmtId="172" formatCode="_(* #,##0.000_);_(* \(#,##0.000\);_(* &quot;-&quot;??_);_(@_)"/>
    <numFmt numFmtId="173" formatCode="&quot;First Liens &lt; &quot;0.0%"/>
    <numFmt numFmtId="174" formatCode="&quot;Second Lines &lt; &quot;0.0%"/>
    <numFmt numFmtId="175" formatCode="_(* #,##0.0_);_(* \(#,##0.0\);_(* &quot;-&quot;?_);_(@_)"/>
    <numFmt numFmtId="176" formatCode="#,##0.00\x_);\(#,##0.00\x\)"/>
    <numFmt numFmtId="177" formatCode="yyyy\-mm\-dd\ hh:mm:ss"/>
    <numFmt numFmtId="178" formatCode="##,##0.00000000"/>
    <numFmt numFmtId="179" formatCode="##,##0.00000000000000"/>
    <numFmt numFmtId="180" formatCode="0.0"/>
    <numFmt numFmtId="181" formatCode="0.0\x"/>
    <numFmt numFmtId="182" formatCode="0.000%"/>
    <numFmt numFmtId="183" formatCode="mm/dd/yyyy"/>
    <numFmt numFmtId="184" formatCode="0.000000%"/>
    <numFmt numFmtId="185" formatCode="0.00\x;\ \(0.00\x\);&quot;-- &quot;"/>
    <numFmt numFmtId="186" formatCode="#,##0.00;\(#,##0.00\);\-"/>
    <numFmt numFmtId="187" formatCode="#,##0;\(#,##0\);\-"/>
    <numFmt numFmtId="188" formatCode="_(* #,##0.00\x_);_(* \(#,##0.00\x\);_(* &quot;-&quot;??_);_(@_)"/>
    <numFmt numFmtId="189" formatCode="mm/dd/yy;@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70C0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Helvetica Neue"/>
    </font>
    <font>
      <b/>
      <sz val="10"/>
      <color theme="0"/>
      <name val="Helvetica Neue"/>
    </font>
    <font>
      <sz val="10"/>
      <color indexed="8"/>
      <name val="Helvetica Neue"/>
    </font>
    <font>
      <b/>
      <sz val="7"/>
      <color indexed="8"/>
      <name val="Helvetica Neue"/>
    </font>
    <font>
      <sz val="7"/>
      <color indexed="8"/>
      <name val="Helvetica Neue"/>
    </font>
    <font>
      <sz val="11"/>
      <name val="Segoe UI"/>
      <family val="2"/>
    </font>
    <font>
      <sz val="28"/>
      <color rgb="FF00B050"/>
      <name val="Calibri"/>
      <family val="2"/>
      <scheme val="minor"/>
    </font>
    <font>
      <sz val="8"/>
      <color indexed="2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Helvetica"/>
    </font>
    <font>
      <i/>
      <sz val="9"/>
      <color theme="0"/>
      <name val="Helvetica"/>
    </font>
    <font>
      <i/>
      <sz val="8"/>
      <color theme="1"/>
      <name val="Helvetica"/>
    </font>
    <font>
      <b/>
      <sz val="9"/>
      <color theme="1"/>
      <name val="Helvetica"/>
    </font>
    <font>
      <sz val="9"/>
      <color theme="1"/>
      <name val="Helvetica"/>
    </font>
    <font>
      <b/>
      <sz val="9"/>
      <color theme="0"/>
      <name val="Helvetica"/>
    </font>
    <font>
      <sz val="9"/>
      <color rgb="FF0033CC"/>
      <name val="Helvetica"/>
    </font>
    <font>
      <sz val="9"/>
      <color rgb="FFFF0000"/>
      <name val="Helvetica"/>
    </font>
    <font>
      <sz val="11"/>
      <color theme="2"/>
      <name val="Calibri"/>
      <family val="2"/>
      <scheme val="minor"/>
    </font>
    <font>
      <b/>
      <sz val="12"/>
      <name val="Helvetica"/>
    </font>
    <font>
      <b/>
      <i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FF"/>
      <name val="Segoe UI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EAE4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1400E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00B050"/>
      <name val="Calibri"/>
      <family val="2"/>
    </font>
    <font>
      <b/>
      <sz val="10"/>
      <color rgb="FFB4C6E7"/>
      <name val="Calibri"/>
      <family val="2"/>
    </font>
    <font>
      <sz val="10"/>
      <name val="Calibri"/>
      <family val="2"/>
    </font>
    <font>
      <sz val="10"/>
      <color rgb="FF1600F5"/>
      <name val="Calibri"/>
      <family val="2"/>
    </font>
    <font>
      <sz val="10"/>
      <color rgb="FF1400E1"/>
      <name val="Calibri"/>
      <family val="2"/>
    </font>
    <font>
      <sz val="11"/>
      <color rgb="FF000000"/>
      <name val="Calibri"/>
      <family val="2"/>
    </font>
    <font>
      <sz val="10"/>
      <color rgb="FF44546A"/>
      <name val="Calibri"/>
      <family val="2"/>
    </font>
    <font>
      <sz val="10"/>
      <color rgb="FF000000"/>
      <name val="Calibri"/>
      <family val="2"/>
    </font>
    <font>
      <sz val="10"/>
      <color rgb="FF806000"/>
      <name val="Calibri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0"/>
      <color rgb="FF1600F5"/>
      <name val="Calibri"/>
      <family val="2"/>
      <scheme val="minor"/>
    </font>
    <font>
      <sz val="9"/>
      <color rgb="FF1600F5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1400E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1939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5EFFF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5E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696969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rgb="FF000000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thin">
        <color auto="1"/>
      </bottom>
      <diagonal/>
    </border>
    <border>
      <left/>
      <right style="dotted">
        <color indexed="64"/>
      </right>
      <top/>
      <bottom style="thin">
        <color auto="1"/>
      </bottom>
      <diagonal/>
    </border>
    <border>
      <left style="dotted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dotted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  <border>
      <left style="thin">
        <color rgb="FFDCDCDC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44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43" fontId="50" fillId="0" borderId="0" applyFont="0" applyFill="0" applyBorder="0" applyAlignment="0" applyProtection="0"/>
    <xf numFmtId="0" fontId="1" fillId="0" borderId="0"/>
    <xf numFmtId="0" fontId="6" fillId="0" borderId="0"/>
  </cellStyleXfs>
  <cellXfs count="682">
    <xf numFmtId="0" fontId="0" fillId="0" borderId="0" xfId="0"/>
    <xf numFmtId="10" fontId="0" fillId="0" borderId="0" xfId="2" applyNumberFormat="1" applyFont="1"/>
    <xf numFmtId="0" fontId="4" fillId="0" borderId="0" xfId="0" applyFont="1"/>
    <xf numFmtId="43" fontId="0" fillId="0" borderId="0" xfId="1" applyFont="1"/>
    <xf numFmtId="9" fontId="0" fillId="0" borderId="0" xfId="2" applyFont="1"/>
    <xf numFmtId="9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0" fontId="0" fillId="0" borderId="0" xfId="0" applyNumberFormat="1"/>
    <xf numFmtId="43" fontId="0" fillId="0" borderId="0" xfId="0" applyNumberFormat="1"/>
    <xf numFmtId="0" fontId="2" fillId="0" borderId="0" xfId="0" applyFont="1"/>
    <xf numFmtId="44" fontId="0" fillId="0" borderId="0" xfId="9" applyFont="1"/>
    <xf numFmtId="0" fontId="2" fillId="0" borderId="11" xfId="0" applyFont="1" applyBorder="1"/>
    <xf numFmtId="44" fontId="0" fillId="0" borderId="0" xfId="0" applyNumberFormat="1"/>
    <xf numFmtId="0" fontId="0" fillId="0" borderId="12" xfId="0" applyBorder="1"/>
    <xf numFmtId="0" fontId="2" fillId="0" borderId="14" xfId="0" applyFont="1" applyBorder="1"/>
    <xf numFmtId="0" fontId="0" fillId="0" borderId="14" xfId="0" applyBorder="1"/>
    <xf numFmtId="0" fontId="2" fillId="0" borderId="3" xfId="0" applyFont="1" applyBorder="1"/>
    <xf numFmtId="0" fontId="2" fillId="0" borderId="15" xfId="0" applyFont="1" applyBorder="1"/>
    <xf numFmtId="9" fontId="2" fillId="0" borderId="13" xfId="0" applyNumberFormat="1" applyFont="1" applyBorder="1"/>
    <xf numFmtId="0" fontId="2" fillId="0" borderId="16" xfId="0" applyFont="1" applyBorder="1" applyAlignment="1">
      <alignment horizontal="right"/>
    </xf>
    <xf numFmtId="0" fontId="2" fillId="3" borderId="17" xfId="0" applyFont="1" applyFill="1" applyBorder="1"/>
    <xf numFmtId="0" fontId="0" fillId="3" borderId="18" xfId="0" applyFill="1" applyBorder="1" applyAlignment="1">
      <alignment horizontal="left"/>
    </xf>
    <xf numFmtId="0" fontId="0" fillId="3" borderId="18" xfId="0" applyFill="1" applyBorder="1"/>
    <xf numFmtId="0" fontId="0" fillId="3" borderId="19" xfId="0" applyFill="1" applyBorder="1"/>
    <xf numFmtId="0" fontId="0" fillId="3" borderId="17" xfId="0" applyFill="1" applyBorder="1"/>
    <xf numFmtId="0" fontId="2" fillId="0" borderId="20" xfId="0" applyFont="1" applyBorder="1"/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1" xfId="0" applyFont="1" applyBorder="1"/>
    <xf numFmtId="3" fontId="11" fillId="0" borderId="22" xfId="0" quotePrefix="1" applyNumberFormat="1" applyFont="1" applyBorder="1" applyAlignment="1">
      <alignment horizontal="center" vertical="top"/>
    </xf>
    <xf numFmtId="0" fontId="0" fillId="7" borderId="23" xfId="3" applyFont="1" applyFill="1" applyBorder="1" applyAlignment="1">
      <alignment horizontal="left"/>
    </xf>
    <xf numFmtId="166" fontId="1" fillId="7" borderId="23" xfId="3" applyNumberFormat="1" applyFont="1" applyFill="1" applyBorder="1" applyAlignment="1">
      <alignment horizontal="center"/>
    </xf>
    <xf numFmtId="167" fontId="1" fillId="7" borderId="23" xfId="3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2" xfId="0" applyBorder="1"/>
    <xf numFmtId="165" fontId="0" fillId="0" borderId="24" xfId="0" applyNumberFormat="1" applyBorder="1" applyAlignment="1">
      <alignment horizontal="center"/>
    </xf>
    <xf numFmtId="168" fontId="12" fillId="8" borderId="17" xfId="0" applyNumberFormat="1" applyFont="1" applyFill="1" applyBorder="1" applyAlignment="1">
      <alignment vertical="top"/>
    </xf>
    <xf numFmtId="168" fontId="12" fillId="8" borderId="18" xfId="0" applyNumberFormat="1" applyFont="1" applyFill="1" applyBorder="1" applyAlignment="1">
      <alignment vertical="top"/>
    </xf>
    <xf numFmtId="168" fontId="12" fillId="8" borderId="18" xfId="0" quotePrefix="1" applyNumberFormat="1" applyFont="1" applyFill="1" applyBorder="1" applyAlignment="1">
      <alignment vertical="top"/>
    </xf>
    <xf numFmtId="168" fontId="13" fillId="9" borderId="22" xfId="0" applyNumberFormat="1" applyFont="1" applyFill="1" applyBorder="1" applyAlignment="1">
      <alignment horizontal="left" vertical="top"/>
    </xf>
    <xf numFmtId="168" fontId="14" fillId="9" borderId="0" xfId="0" quotePrefix="1" applyNumberFormat="1" applyFont="1" applyFill="1" applyAlignment="1">
      <alignment horizontal="center" vertical="top"/>
    </xf>
    <xf numFmtId="4" fontId="13" fillId="9" borderId="28" xfId="0" quotePrefix="1" applyNumberFormat="1" applyFont="1" applyFill="1" applyBorder="1" applyAlignment="1">
      <alignment horizontal="center" vertical="top"/>
    </xf>
    <xf numFmtId="168" fontId="12" fillId="0" borderId="0" xfId="0" quotePrefix="1" applyNumberFormat="1" applyFont="1" applyAlignment="1">
      <alignment vertical="top"/>
    </xf>
    <xf numFmtId="168" fontId="13" fillId="3" borderId="22" xfId="0" applyNumberFormat="1" applyFont="1" applyFill="1" applyBorder="1" applyAlignment="1">
      <alignment horizontal="left" vertical="top"/>
    </xf>
    <xf numFmtId="168" fontId="14" fillId="3" borderId="0" xfId="0" quotePrefix="1" applyNumberFormat="1" applyFont="1" applyFill="1" applyAlignment="1">
      <alignment horizontal="center" vertical="top"/>
    </xf>
    <xf numFmtId="8" fontId="13" fillId="3" borderId="28" xfId="0" quotePrefix="1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3" fontId="13" fillId="9" borderId="28" xfId="0" quotePrefix="1" applyNumberFormat="1" applyFont="1" applyFill="1" applyBorder="1" applyAlignment="1">
      <alignment horizontal="center" vertical="top"/>
    </xf>
    <xf numFmtId="168" fontId="14" fillId="0" borderId="0" xfId="0" quotePrefix="1" applyNumberFormat="1" applyFont="1" applyAlignment="1">
      <alignment horizontal="center" vertical="top"/>
    </xf>
    <xf numFmtId="168" fontId="13" fillId="3" borderId="25" xfId="0" applyNumberFormat="1" applyFont="1" applyFill="1" applyBorder="1" applyAlignment="1">
      <alignment horizontal="left" vertical="top"/>
    </xf>
    <xf numFmtId="0" fontId="15" fillId="3" borderId="26" xfId="0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0" fillId="0" borderId="0" xfId="0" applyAlignment="1">
      <alignment horizontal="left"/>
    </xf>
    <xf numFmtId="0" fontId="2" fillId="0" borderId="22" xfId="0" applyFont="1" applyBorder="1"/>
    <xf numFmtId="0" fontId="2" fillId="0" borderId="24" xfId="0" applyFont="1" applyBorder="1"/>
    <xf numFmtId="44" fontId="0" fillId="0" borderId="0" xfId="9" applyFont="1" applyBorder="1"/>
    <xf numFmtId="44" fontId="7" fillId="0" borderId="0" xfId="9" applyFont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9" xfId="0" applyBorder="1"/>
    <xf numFmtId="44" fontId="0" fillId="0" borderId="0" xfId="9" applyFont="1" applyBorder="1" applyAlignment="1">
      <alignment horizontal="left"/>
    </xf>
    <xf numFmtId="0" fontId="0" fillId="0" borderId="29" xfId="0" applyBorder="1" applyAlignment="1">
      <alignment horizontal="left"/>
    </xf>
    <xf numFmtId="6" fontId="0" fillId="0" borderId="0" xfId="0" applyNumberFormat="1"/>
    <xf numFmtId="169" fontId="0" fillId="0" borderId="0" xfId="0" applyNumberFormat="1"/>
    <xf numFmtId="165" fontId="3" fillId="0" borderId="0" xfId="2" applyNumberFormat="1" applyFont="1"/>
    <xf numFmtId="165" fontId="3" fillId="0" borderId="12" xfId="2" applyNumberFormat="1" applyFont="1" applyBorder="1"/>
    <xf numFmtId="165" fontId="3" fillId="0" borderId="0" xfId="2" applyNumberFormat="1" applyFont="1" applyBorder="1"/>
    <xf numFmtId="165" fontId="0" fillId="0" borderId="0" xfId="0" applyNumberFormat="1"/>
    <xf numFmtId="165" fontId="0" fillId="0" borderId="12" xfId="0" applyNumberFormat="1" applyBorder="1"/>
    <xf numFmtId="6" fontId="0" fillId="0" borderId="29" xfId="0" applyNumberFormat="1" applyBorder="1"/>
    <xf numFmtId="169" fontId="0" fillId="0" borderId="0" xfId="9" applyNumberFormat="1" applyFont="1" applyBorder="1"/>
    <xf numFmtId="169" fontId="0" fillId="0" borderId="12" xfId="9" applyNumberFormat="1" applyFont="1" applyBorder="1"/>
    <xf numFmtId="169" fontId="0" fillId="0" borderId="29" xfId="9" applyNumberFormat="1" applyFont="1" applyBorder="1"/>
    <xf numFmtId="169" fontId="0" fillId="0" borderId="0" xfId="9" applyNumberFormat="1" applyFont="1" applyBorder="1" applyAlignment="1">
      <alignment horizontal="left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44" fontId="9" fillId="4" borderId="32" xfId="9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3" xfId="0" applyFont="1" applyFill="1" applyBorder="1" applyAlignment="1">
      <alignment horizontal="center" vertical="center" wrapText="1"/>
    </xf>
    <xf numFmtId="44" fontId="9" fillId="8" borderId="32" xfId="9" applyFont="1" applyFill="1" applyBorder="1" applyAlignment="1">
      <alignment horizontal="center" vertical="center" wrapText="1"/>
    </xf>
    <xf numFmtId="44" fontId="9" fillId="8" borderId="12" xfId="9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vertical="center"/>
    </xf>
    <xf numFmtId="0" fontId="10" fillId="8" borderId="18" xfId="0" applyFont="1" applyFill="1" applyBorder="1" applyAlignment="1">
      <alignment vertical="center"/>
    </xf>
    <xf numFmtId="0" fontId="10" fillId="8" borderId="19" xfId="0" applyFont="1" applyFill="1" applyBorder="1" applyAlignment="1">
      <alignment vertical="center"/>
    </xf>
    <xf numFmtId="0" fontId="7" fillId="3" borderId="29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44" fontId="7" fillId="3" borderId="0" xfId="9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44" fontId="7" fillId="3" borderId="12" xfId="9" applyFont="1" applyFill="1" applyBorder="1" applyAlignment="1">
      <alignment horizontal="left"/>
    </xf>
    <xf numFmtId="0" fontId="7" fillId="3" borderId="29" xfId="0" applyFont="1" applyFill="1" applyBorder="1" applyAlignment="1">
      <alignment horizontal="left"/>
    </xf>
    <xf numFmtId="44" fontId="7" fillId="3" borderId="29" xfId="9" applyFont="1" applyFill="1" applyBorder="1" applyAlignment="1">
      <alignment horizontal="left"/>
    </xf>
    <xf numFmtId="169" fontId="0" fillId="0" borderId="12" xfId="0" applyNumberFormat="1" applyBorder="1"/>
    <xf numFmtId="169" fontId="0" fillId="0" borderId="0" xfId="9" applyNumberFormat="1" applyFont="1" applyBorder="1" applyAlignment="1">
      <alignment horizontal="center"/>
    </xf>
    <xf numFmtId="169" fontId="0" fillId="0" borderId="12" xfId="9" applyNumberFormat="1" applyFont="1" applyBorder="1" applyAlignment="1">
      <alignment horizontal="center"/>
    </xf>
    <xf numFmtId="44" fontId="0" fillId="0" borderId="0" xfId="9" applyFont="1" applyBorder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0" fontId="9" fillId="8" borderId="34" xfId="0" applyFont="1" applyFill="1" applyBorder="1" applyAlignment="1">
      <alignment vertical="center" wrapText="1"/>
    </xf>
    <xf numFmtId="169" fontId="0" fillId="0" borderId="22" xfId="0" applyNumberFormat="1" applyBorder="1"/>
    <xf numFmtId="0" fontId="9" fillId="8" borderId="35" xfId="0" applyFont="1" applyFill="1" applyBorder="1" applyAlignment="1">
      <alignment vertical="center" wrapText="1"/>
    </xf>
    <xf numFmtId="0" fontId="7" fillId="3" borderId="22" xfId="0" applyFont="1" applyFill="1" applyBorder="1" applyAlignment="1">
      <alignment horizontal="left"/>
    </xf>
    <xf numFmtId="44" fontId="1" fillId="7" borderId="23" xfId="9" applyFont="1" applyFill="1" applyBorder="1" applyAlignment="1">
      <alignment horizontal="center"/>
    </xf>
    <xf numFmtId="9" fontId="13" fillId="3" borderId="28" xfId="2" quotePrefix="1" applyFont="1" applyFill="1" applyBorder="1" applyAlignment="1">
      <alignment horizontal="center" vertical="top"/>
    </xf>
    <xf numFmtId="0" fontId="0" fillId="0" borderId="0" xfId="0" quotePrefix="1"/>
    <xf numFmtId="43" fontId="0" fillId="5" borderId="7" xfId="1" applyFont="1" applyFill="1" applyBorder="1" applyAlignment="1">
      <alignment horizontal="center"/>
    </xf>
    <xf numFmtId="2" fontId="0" fillId="0" borderId="22" xfId="1" applyNumberFormat="1" applyFont="1" applyBorder="1" applyAlignment="1">
      <alignment horizontal="center"/>
    </xf>
    <xf numFmtId="2" fontId="0" fillId="0" borderId="25" xfId="1" applyNumberFormat="1" applyFont="1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0" fillId="0" borderId="27" xfId="2" applyFont="1" applyBorder="1" applyAlignment="1">
      <alignment horizontal="center"/>
    </xf>
    <xf numFmtId="0" fontId="4" fillId="0" borderId="22" xfId="0" applyFont="1" applyBorder="1"/>
    <xf numFmtId="169" fontId="0" fillId="0" borderId="36" xfId="9" applyNumberFormat="1" applyFont="1" applyBorder="1"/>
    <xf numFmtId="0" fontId="9" fillId="8" borderId="37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vertical="center" wrapText="1"/>
    </xf>
    <xf numFmtId="165" fontId="0" fillId="0" borderId="0" xfId="2" applyNumberFormat="1" applyFont="1" applyAlignment="1">
      <alignment horizontal="center"/>
    </xf>
    <xf numFmtId="0" fontId="5" fillId="0" borderId="20" xfId="0" applyFont="1" applyBorder="1"/>
    <xf numFmtId="0" fontId="0" fillId="0" borderId="11" xfId="0" applyBorder="1"/>
    <xf numFmtId="0" fontId="2" fillId="9" borderId="0" xfId="0" applyFont="1" applyFill="1"/>
    <xf numFmtId="165" fontId="2" fillId="9" borderId="0" xfId="2" applyNumberFormat="1" applyFont="1" applyFill="1"/>
    <xf numFmtId="0" fontId="0" fillId="0" borderId="42" xfId="0" applyBorder="1"/>
    <xf numFmtId="164" fontId="2" fillId="5" borderId="8" xfId="1" applyNumberFormat="1" applyFont="1" applyFill="1" applyBorder="1"/>
    <xf numFmtId="0" fontId="0" fillId="0" borderId="15" xfId="0" applyBorder="1"/>
    <xf numFmtId="0" fontId="20" fillId="0" borderId="0" xfId="0" applyFont="1"/>
    <xf numFmtId="169" fontId="20" fillId="0" borderId="0" xfId="0" applyNumberFormat="1" applyFont="1"/>
    <xf numFmtId="0" fontId="19" fillId="0" borderId="0" xfId="0" applyFont="1"/>
    <xf numFmtId="165" fontId="19" fillId="0" borderId="0" xfId="2" applyNumberFormat="1" applyFont="1"/>
    <xf numFmtId="169" fontId="19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43" fontId="23" fillId="0" borderId="0" xfId="0" applyNumberFormat="1" applyFont="1" applyAlignment="1">
      <alignment horizontal="right"/>
    </xf>
    <xf numFmtId="9" fontId="24" fillId="0" borderId="0" xfId="0" applyNumberFormat="1" applyFont="1" applyAlignment="1">
      <alignment horizontal="center"/>
    </xf>
    <xf numFmtId="172" fontId="0" fillId="0" borderId="0" xfId="0" applyNumberFormat="1"/>
    <xf numFmtId="172" fontId="0" fillId="0" borderId="0" xfId="0" applyNumberFormat="1" applyAlignment="1">
      <alignment horizontal="right"/>
    </xf>
    <xf numFmtId="0" fontId="2" fillId="0" borderId="43" xfId="0" applyFont="1" applyBorder="1"/>
    <xf numFmtId="0" fontId="2" fillId="0" borderId="45" xfId="0" applyFont="1" applyBorder="1"/>
    <xf numFmtId="43" fontId="2" fillId="0" borderId="0" xfId="1" applyFont="1"/>
    <xf numFmtId="165" fontId="0" fillId="0" borderId="43" xfId="2" applyNumberFormat="1" applyFont="1" applyBorder="1"/>
    <xf numFmtId="0" fontId="0" fillId="0" borderId="0" xfId="0" applyAlignment="1">
      <alignment vertical="center"/>
    </xf>
    <xf numFmtId="9" fontId="2" fillId="0" borderId="13" xfId="2" applyFont="1" applyBorder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25" fillId="0" borderId="0" xfId="0" applyFont="1"/>
    <xf numFmtId="165" fontId="25" fillId="0" borderId="0" xfId="0" applyNumberFormat="1" applyFont="1"/>
    <xf numFmtId="10" fontId="25" fillId="0" borderId="0" xfId="0" applyNumberFormat="1" applyFont="1"/>
    <xf numFmtId="9" fontId="0" fillId="13" borderId="2" xfId="0" applyNumberFormat="1" applyFill="1" applyBorder="1"/>
    <xf numFmtId="44" fontId="0" fillId="13" borderId="2" xfId="9" applyFont="1" applyFill="1" applyBorder="1"/>
    <xf numFmtId="0" fontId="0" fillId="13" borderId="2" xfId="0" applyFill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4" fontId="28" fillId="0" borderId="13" xfId="0" applyNumberFormat="1" applyFont="1" applyBorder="1" applyAlignment="1">
      <alignment horizontal="center" vertical="center"/>
    </xf>
    <xf numFmtId="0" fontId="29" fillId="0" borderId="0" xfId="0" applyFont="1"/>
    <xf numFmtId="0" fontId="30" fillId="11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164" fontId="29" fillId="0" borderId="0" xfId="1" applyNumberFormat="1" applyFont="1" applyAlignment="1">
      <alignment horizontal="center" vertical="center"/>
    </xf>
    <xf numFmtId="165" fontId="29" fillId="0" borderId="0" xfId="2" applyNumberFormat="1" applyFont="1" applyAlignment="1">
      <alignment horizontal="center" vertical="center"/>
    </xf>
    <xf numFmtId="0" fontId="29" fillId="0" borderId="11" xfId="0" applyFont="1" applyBorder="1" applyAlignment="1">
      <alignment vertical="center"/>
    </xf>
    <xf numFmtId="164" fontId="29" fillId="0" borderId="11" xfId="1" applyNumberFormat="1" applyFont="1" applyBorder="1" applyAlignment="1">
      <alignment horizontal="center" vertical="center"/>
    </xf>
    <xf numFmtId="165" fontId="29" fillId="0" borderId="11" xfId="2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65" fontId="31" fillId="0" borderId="0" xfId="2" applyNumberFormat="1" applyFont="1" applyAlignment="1">
      <alignment horizontal="center" vertical="center"/>
    </xf>
    <xf numFmtId="165" fontId="29" fillId="0" borderId="0" xfId="2" applyNumberFormat="1" applyFont="1" applyAlignment="1">
      <alignment vertical="center"/>
    </xf>
    <xf numFmtId="0" fontId="27" fillId="0" borderId="0" xfId="0" applyFont="1" applyAlignment="1">
      <alignment horizontal="left" vertical="center" indent="2"/>
    </xf>
    <xf numFmtId="165" fontId="27" fillId="0" borderId="0" xfId="2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2" fillId="0" borderId="0" xfId="0" applyFont="1" applyAlignment="1">
      <alignment horizontal="right" vertical="center"/>
    </xf>
    <xf numFmtId="164" fontId="32" fillId="0" borderId="0" xfId="1" applyNumberFormat="1" applyFont="1" applyAlignment="1">
      <alignment horizontal="center" vertical="center"/>
    </xf>
    <xf numFmtId="0" fontId="30" fillId="11" borderId="0" xfId="0" applyFont="1" applyFill="1" applyAlignment="1">
      <alignment vertical="center"/>
    </xf>
    <xf numFmtId="165" fontId="30" fillId="11" borderId="0" xfId="2" applyNumberFormat="1" applyFont="1" applyFill="1" applyAlignment="1">
      <alignment vertical="center"/>
    </xf>
    <xf numFmtId="0" fontId="28" fillId="0" borderId="0" xfId="0" applyFont="1" applyAlignment="1">
      <alignment horizontal="left" vertical="center"/>
    </xf>
    <xf numFmtId="164" fontId="29" fillId="0" borderId="0" xfId="1" applyNumberFormat="1" applyFont="1" applyAlignment="1">
      <alignment vertical="center"/>
    </xf>
    <xf numFmtId="0" fontId="27" fillId="0" borderId="0" xfId="0" applyFont="1" applyAlignment="1">
      <alignment horizontal="right" vertical="center"/>
    </xf>
    <xf numFmtId="10" fontId="29" fillId="0" borderId="0" xfId="2" applyNumberFormat="1" applyFont="1" applyAlignment="1">
      <alignment vertical="center"/>
    </xf>
    <xf numFmtId="173" fontId="27" fillId="0" borderId="0" xfId="2" applyNumberFormat="1" applyFont="1" applyAlignment="1">
      <alignment vertical="center"/>
    </xf>
    <xf numFmtId="174" fontId="27" fillId="0" borderId="0" xfId="2" applyNumberFormat="1" applyFont="1" applyAlignment="1">
      <alignment horizontal="right" vertical="center"/>
    </xf>
    <xf numFmtId="0" fontId="33" fillId="0" borderId="0" xfId="0" applyFont="1" applyAlignment="1">
      <alignment horizontal="left"/>
    </xf>
    <xf numFmtId="164" fontId="27" fillId="0" borderId="0" xfId="1" applyNumberFormat="1" applyFont="1" applyFill="1" applyBorder="1" applyAlignment="1">
      <alignment horizontal="center" vertical="center"/>
    </xf>
    <xf numFmtId="0" fontId="30" fillId="11" borderId="0" xfId="0" applyFont="1" applyFill="1" applyAlignment="1">
      <alignment horizontal="center" vertical="center" wrapText="1"/>
    </xf>
    <xf numFmtId="0" fontId="34" fillId="0" borderId="0" xfId="0" applyFont="1" applyAlignment="1">
      <alignment vertical="center"/>
    </xf>
    <xf numFmtId="175" fontId="25" fillId="0" borderId="0" xfId="0" applyNumberFormat="1" applyFont="1"/>
    <xf numFmtId="43" fontId="29" fillId="0" borderId="0" xfId="1" applyFont="1" applyAlignment="1">
      <alignment horizontal="center" vertical="center"/>
    </xf>
    <xf numFmtId="165" fontId="0" fillId="0" borderId="0" xfId="2" applyNumberFormat="1" applyFont="1" applyBorder="1" applyAlignment="1">
      <alignment horizontal="center"/>
    </xf>
    <xf numFmtId="165" fontId="31" fillId="0" borderId="0" xfId="2" applyNumberFormat="1" applyFont="1" applyFill="1" applyAlignment="1">
      <alignment horizontal="center" vertical="center"/>
    </xf>
    <xf numFmtId="164" fontId="29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14" fontId="5" fillId="15" borderId="50" xfId="0" applyNumberFormat="1" applyFont="1" applyFill="1" applyBorder="1" applyAlignment="1">
      <alignment horizontal="center"/>
    </xf>
    <xf numFmtId="9" fontId="5" fillId="15" borderId="51" xfId="2" applyFont="1" applyFill="1" applyBorder="1" applyAlignment="1">
      <alignment horizontal="center"/>
    </xf>
    <xf numFmtId="176" fontId="5" fillId="15" borderId="51" xfId="9" applyNumberFormat="1" applyFont="1" applyFill="1" applyBorder="1" applyAlignment="1">
      <alignment horizontal="center"/>
    </xf>
    <xf numFmtId="44" fontId="5" fillId="15" borderId="52" xfId="9" applyFont="1" applyFill="1" applyBorder="1"/>
    <xf numFmtId="0" fontId="5" fillId="15" borderId="50" xfId="0" applyFont="1" applyFill="1" applyBorder="1" applyAlignment="1">
      <alignment horizontal="center"/>
    </xf>
    <xf numFmtId="0" fontId="5" fillId="15" borderId="51" xfId="0" applyFont="1" applyFill="1" applyBorder="1" applyAlignment="1">
      <alignment horizontal="center"/>
    </xf>
    <xf numFmtId="0" fontId="5" fillId="15" borderId="51" xfId="0" applyFont="1" applyFill="1" applyBorder="1"/>
    <xf numFmtId="10" fontId="5" fillId="15" borderId="51" xfId="2" applyNumberFormat="1" applyFont="1" applyFill="1" applyBorder="1"/>
    <xf numFmtId="10" fontId="5" fillId="15" borderId="50" xfId="2" applyNumberFormat="1" applyFont="1" applyFill="1" applyBorder="1"/>
    <xf numFmtId="44" fontId="5" fillId="15" borderId="50" xfId="9" applyFont="1" applyFill="1" applyBorder="1"/>
    <xf numFmtId="44" fontId="5" fillId="15" borderId="53" xfId="9" applyFont="1" applyFill="1" applyBorder="1"/>
    <xf numFmtId="0" fontId="5" fillId="15" borderId="52" xfId="0" applyFont="1" applyFill="1" applyBorder="1" applyAlignment="1">
      <alignment horizontal="left"/>
    </xf>
    <xf numFmtId="14" fontId="4" fillId="0" borderId="50" xfId="0" applyNumberFormat="1" applyFont="1" applyBorder="1" applyAlignment="1">
      <alignment horizontal="center"/>
    </xf>
    <xf numFmtId="9" fontId="4" fillId="0" borderId="51" xfId="2" applyFont="1" applyBorder="1" applyAlignment="1">
      <alignment horizontal="center"/>
    </xf>
    <xf numFmtId="176" fontId="4" fillId="0" borderId="51" xfId="9" applyNumberFormat="1" applyFont="1" applyBorder="1" applyAlignment="1">
      <alignment horizontal="center"/>
    </xf>
    <xf numFmtId="44" fontId="4" fillId="0" borderId="52" xfId="9" applyFont="1" applyBorder="1"/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1" xfId="0" applyFont="1" applyBorder="1"/>
    <xf numFmtId="10" fontId="4" fillId="0" borderId="51" xfId="2" applyNumberFormat="1" applyFont="1" applyBorder="1"/>
    <xf numFmtId="10" fontId="4" fillId="0" borderId="50" xfId="2" applyNumberFormat="1" applyFont="1" applyBorder="1"/>
    <xf numFmtId="44" fontId="4" fillId="0" borderId="50" xfId="9" applyFont="1" applyBorder="1"/>
    <xf numFmtId="44" fontId="4" fillId="0" borderId="53" xfId="9" applyFont="1" applyBorder="1"/>
    <xf numFmtId="0" fontId="4" fillId="0" borderId="52" xfId="0" applyFont="1" applyBorder="1" applyAlignment="1">
      <alignment horizontal="left"/>
    </xf>
    <xf numFmtId="14" fontId="4" fillId="0" borderId="54" xfId="0" applyNumberFormat="1" applyFont="1" applyBorder="1" applyAlignment="1">
      <alignment horizontal="center"/>
    </xf>
    <xf numFmtId="9" fontId="4" fillId="0" borderId="49" xfId="2" applyFont="1" applyBorder="1" applyAlignment="1">
      <alignment horizontal="center"/>
    </xf>
    <xf numFmtId="176" fontId="4" fillId="0" borderId="49" xfId="9" applyNumberFormat="1" applyFont="1" applyBorder="1" applyAlignment="1">
      <alignment horizontal="center"/>
    </xf>
    <xf numFmtId="44" fontId="4" fillId="0" borderId="55" xfId="9" applyFont="1" applyBorder="1"/>
    <xf numFmtId="0" fontId="4" fillId="0" borderId="54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Font="1" applyBorder="1"/>
    <xf numFmtId="10" fontId="4" fillId="0" borderId="49" xfId="2" applyNumberFormat="1" applyFont="1" applyBorder="1"/>
    <xf numFmtId="10" fontId="4" fillId="0" borderId="54" xfId="2" applyNumberFormat="1" applyFont="1" applyBorder="1"/>
    <xf numFmtId="44" fontId="4" fillId="0" borderId="54" xfId="9" applyFont="1" applyBorder="1"/>
    <xf numFmtId="44" fontId="4" fillId="0" borderId="56" xfId="9" applyFont="1" applyBorder="1"/>
    <xf numFmtId="0" fontId="4" fillId="0" borderId="55" xfId="0" applyFont="1" applyBorder="1" applyAlignment="1">
      <alignment horizontal="left"/>
    </xf>
    <xf numFmtId="0" fontId="4" fillId="0" borderId="49" xfId="0" applyFont="1" applyBorder="1" applyAlignment="1">
      <alignment wrapText="1"/>
    </xf>
    <xf numFmtId="0" fontId="9" fillId="8" borderId="6" xfId="0" applyFont="1" applyFill="1" applyBorder="1" applyAlignment="1">
      <alignment horizontal="center" wrapText="1"/>
    </xf>
    <xf numFmtId="0" fontId="9" fillId="8" borderId="39" xfId="0" applyFont="1" applyFill="1" applyBorder="1" applyAlignment="1">
      <alignment horizontal="center" wrapText="1"/>
    </xf>
    <xf numFmtId="0" fontId="9" fillId="8" borderId="5" xfId="0" applyFont="1" applyFill="1" applyBorder="1" applyAlignment="1">
      <alignment horizontal="center" wrapText="1"/>
    </xf>
    <xf numFmtId="0" fontId="9" fillId="8" borderId="39" xfId="0" applyFont="1" applyFill="1" applyBorder="1" applyAlignment="1">
      <alignment horizontal="center"/>
    </xf>
    <xf numFmtId="0" fontId="9" fillId="8" borderId="39" xfId="0" applyFont="1" applyFill="1" applyBorder="1"/>
    <xf numFmtId="0" fontId="9" fillId="8" borderId="57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left"/>
    </xf>
    <xf numFmtId="0" fontId="35" fillId="0" borderId="0" xfId="0" applyFont="1"/>
    <xf numFmtId="0" fontId="36" fillId="0" borderId="0" xfId="0" applyFont="1" applyAlignment="1">
      <alignment horizontal="right"/>
    </xf>
    <xf numFmtId="0" fontId="37" fillId="0" borderId="0" xfId="0" applyFont="1"/>
    <xf numFmtId="0" fontId="4" fillId="0" borderId="58" xfId="0" applyFont="1" applyBorder="1" applyAlignment="1">
      <alignment horizontal="left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44" fontId="4" fillId="0" borderId="61" xfId="9" applyFont="1" applyFill="1" applyBorder="1"/>
    <xf numFmtId="10" fontId="4" fillId="0" borderId="59" xfId="2" applyNumberFormat="1" applyFont="1" applyFill="1" applyBorder="1"/>
    <xf numFmtId="10" fontId="4" fillId="0" borderId="60" xfId="2" applyNumberFormat="1" applyFont="1" applyFill="1" applyBorder="1"/>
    <xf numFmtId="0" fontId="4" fillId="0" borderId="59" xfId="0" applyFont="1" applyBorder="1"/>
    <xf numFmtId="43" fontId="4" fillId="0" borderId="58" xfId="1" applyFont="1" applyFill="1" applyBorder="1"/>
    <xf numFmtId="176" fontId="4" fillId="0" borderId="59" xfId="9" applyNumberFormat="1" applyFont="1" applyFill="1" applyBorder="1" applyAlignment="1">
      <alignment horizontal="center"/>
    </xf>
    <xf numFmtId="9" fontId="4" fillId="0" borderId="59" xfId="2" applyFont="1" applyFill="1" applyBorder="1" applyAlignment="1">
      <alignment horizontal="center"/>
    </xf>
    <xf numFmtId="14" fontId="4" fillId="0" borderId="60" xfId="0" applyNumberFormat="1" applyFont="1" applyBorder="1" applyAlignment="1">
      <alignment horizontal="center"/>
    </xf>
    <xf numFmtId="44" fontId="4" fillId="0" borderId="56" xfId="9" applyFont="1" applyFill="1" applyBorder="1"/>
    <xf numFmtId="10" fontId="4" fillId="0" borderId="49" xfId="2" applyNumberFormat="1" applyFont="1" applyFill="1" applyBorder="1"/>
    <xf numFmtId="10" fontId="4" fillId="0" borderId="54" xfId="2" applyNumberFormat="1" applyFont="1" applyFill="1" applyBorder="1"/>
    <xf numFmtId="43" fontId="4" fillId="0" borderId="55" xfId="1" applyFont="1" applyFill="1" applyBorder="1"/>
    <xf numFmtId="176" fontId="4" fillId="0" borderId="49" xfId="9" applyNumberFormat="1" applyFont="1" applyFill="1" applyBorder="1" applyAlignment="1">
      <alignment horizontal="center"/>
    </xf>
    <xf numFmtId="9" fontId="4" fillId="0" borderId="49" xfId="2" applyFont="1" applyFill="1" applyBorder="1" applyAlignment="1">
      <alignment horizontal="center"/>
    </xf>
    <xf numFmtId="0" fontId="5" fillId="0" borderId="0" xfId="0" applyFont="1"/>
    <xf numFmtId="44" fontId="4" fillId="0" borderId="55" xfId="9" applyFont="1" applyFill="1" applyBorder="1"/>
    <xf numFmtId="44" fontId="4" fillId="0" borderId="54" xfId="9" applyFont="1" applyFill="1" applyBorder="1"/>
    <xf numFmtId="0" fontId="0" fillId="14" borderId="0" xfId="0" applyFill="1"/>
    <xf numFmtId="165" fontId="3" fillId="0" borderId="0" xfId="2" applyNumberFormat="1" applyFont="1" applyFill="1"/>
    <xf numFmtId="14" fontId="0" fillId="0" borderId="0" xfId="2" applyNumberFormat="1" applyFont="1"/>
    <xf numFmtId="10" fontId="0" fillId="0" borderId="0" xfId="2" applyNumberFormat="1" applyFont="1" applyFill="1" applyBorder="1"/>
    <xf numFmtId="0" fontId="2" fillId="12" borderId="5" xfId="0" applyFont="1" applyFill="1" applyBorder="1"/>
    <xf numFmtId="0" fontId="2" fillId="12" borderId="6" xfId="0" applyFont="1" applyFill="1" applyBorder="1"/>
    <xf numFmtId="2" fontId="0" fillId="0" borderId="2" xfId="1" applyNumberFormat="1" applyFont="1" applyBorder="1" applyAlignment="1">
      <alignment horizontal="center"/>
    </xf>
    <xf numFmtId="44" fontId="38" fillId="10" borderId="63" xfId="9" applyFont="1" applyFill="1" applyBorder="1"/>
    <xf numFmtId="43" fontId="2" fillId="0" borderId="62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0" fillId="9" borderId="0" xfId="0" applyFill="1"/>
    <xf numFmtId="43" fontId="0" fillId="9" borderId="0" xfId="1" applyFont="1" applyFill="1"/>
    <xf numFmtId="44" fontId="0" fillId="9" borderId="0" xfId="9" applyFont="1" applyFill="1"/>
    <xf numFmtId="9" fontId="0" fillId="9" borderId="0" xfId="0" applyNumberFormat="1" applyFill="1"/>
    <xf numFmtId="0" fontId="2" fillId="12" borderId="6" xfId="0" applyFont="1" applyFill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9" fontId="3" fillId="0" borderId="0" xfId="0" applyNumberFormat="1" applyFont="1"/>
    <xf numFmtId="0" fontId="39" fillId="0" borderId="29" xfId="0" applyFont="1" applyBorder="1" applyAlignment="1">
      <alignment horizontal="left"/>
    </xf>
    <xf numFmtId="0" fontId="17" fillId="9" borderId="0" xfId="0" applyFont="1" applyFill="1"/>
    <xf numFmtId="0" fontId="5" fillId="0" borderId="42" xfId="0" applyFont="1" applyBorder="1" applyAlignment="1" applyProtection="1">
      <alignment vertical="center"/>
      <protection locked="0"/>
    </xf>
    <xf numFmtId="0" fontId="4" fillId="0" borderId="47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44" fontId="0" fillId="9" borderId="44" xfId="9" applyFont="1" applyFill="1" applyBorder="1"/>
    <xf numFmtId="44" fontId="0" fillId="9" borderId="65" xfId="9" applyFont="1" applyFill="1" applyBorder="1"/>
    <xf numFmtId="44" fontId="0" fillId="9" borderId="45" xfId="9" applyFont="1" applyFill="1" applyBorder="1"/>
    <xf numFmtId="0" fontId="0" fillId="0" borderId="43" xfId="0" applyBorder="1"/>
    <xf numFmtId="0" fontId="0" fillId="0" borderId="45" xfId="0" applyBorder="1"/>
    <xf numFmtId="9" fontId="0" fillId="0" borderId="0" xfId="0" applyNumberFormat="1" applyAlignment="1">
      <alignment horizontal="center"/>
    </xf>
    <xf numFmtId="165" fontId="33" fillId="0" borderId="0" xfId="0" applyNumberFormat="1" applyFont="1" applyAlignment="1">
      <alignment horizontal="left"/>
    </xf>
    <xf numFmtId="0" fontId="10" fillId="0" borderId="0" xfId="0" applyFont="1"/>
    <xf numFmtId="164" fontId="4" fillId="0" borderId="0" xfId="0" applyNumberFormat="1" applyFont="1"/>
    <xf numFmtId="164" fontId="40" fillId="0" borderId="0" xfId="1" applyNumberFormat="1" applyFont="1" applyAlignment="1">
      <alignment horizontal="center" vertical="center"/>
    </xf>
    <xf numFmtId="164" fontId="5" fillId="0" borderId="44" xfId="6" applyNumberFormat="1" applyFont="1" applyBorder="1" applyAlignment="1" applyProtection="1">
      <alignment vertical="center"/>
    </xf>
    <xf numFmtId="165" fontId="0" fillId="0" borderId="43" xfId="2" applyNumberFormat="1" applyFont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41" xfId="0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65" fontId="0" fillId="0" borderId="11" xfId="2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69" xfId="1" applyNumberFormat="1" applyFont="1" applyBorder="1" applyAlignment="1">
      <alignment horizontal="center" vertical="center"/>
    </xf>
    <xf numFmtId="14" fontId="0" fillId="0" borderId="9" xfId="0" applyNumberFormat="1" applyBorder="1"/>
    <xf numFmtId="0" fontId="0" fillId="0" borderId="14" xfId="0" applyBorder="1" applyAlignment="1">
      <alignment wrapText="1"/>
    </xf>
    <xf numFmtId="0" fontId="0" fillId="0" borderId="0" xfId="0" applyAlignment="1">
      <alignment horizontal="left" indent="1"/>
    </xf>
    <xf numFmtId="0" fontId="0" fillId="0" borderId="14" xfId="0" applyBorder="1" applyAlignment="1">
      <alignment horizontal="left" indent="1"/>
    </xf>
    <xf numFmtId="164" fontId="0" fillId="0" borderId="43" xfId="0" applyNumberFormat="1" applyBorder="1"/>
    <xf numFmtId="171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2" applyNumberFormat="1" applyFont="1" applyFill="1"/>
    <xf numFmtId="164" fontId="0" fillId="0" borderId="0" xfId="1" applyNumberFormat="1" applyFont="1" applyAlignment="1">
      <alignment horizontal="center" vertical="center"/>
    </xf>
    <xf numFmtId="0" fontId="2" fillId="9" borderId="14" xfId="0" applyFont="1" applyFill="1" applyBorder="1"/>
    <xf numFmtId="0" fontId="2" fillId="12" borderId="3" xfId="0" applyFont="1" applyFill="1" applyBorder="1"/>
    <xf numFmtId="49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4" fillId="9" borderId="7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10" fontId="4" fillId="9" borderId="7" xfId="2" applyNumberFormat="1" applyFont="1" applyFill="1" applyBorder="1" applyAlignment="1">
      <alignment horizontal="center"/>
    </xf>
    <xf numFmtId="10" fontId="0" fillId="9" borderId="7" xfId="2" applyNumberFormat="1" applyFont="1" applyFill="1" applyBorder="1" applyAlignment="1">
      <alignment horizontal="center"/>
    </xf>
    <xf numFmtId="14" fontId="4" fillId="9" borderId="7" xfId="1" applyNumberFormat="1" applyFont="1" applyFill="1" applyBorder="1" applyAlignment="1">
      <alignment horizontal="center"/>
    </xf>
    <xf numFmtId="43" fontId="4" fillId="9" borderId="7" xfId="1" applyFont="1" applyFill="1" applyBorder="1" applyAlignment="1">
      <alignment horizontal="center"/>
    </xf>
    <xf numFmtId="10" fontId="16" fillId="16" borderId="7" xfId="2" applyNumberFormat="1" applyFont="1" applyFill="1" applyBorder="1" applyAlignment="1">
      <alignment horizontal="center"/>
    </xf>
    <xf numFmtId="43" fontId="16" fillId="16" borderId="7" xfId="1" applyFont="1" applyFill="1" applyBorder="1" applyAlignment="1">
      <alignment horizontal="center"/>
    </xf>
    <xf numFmtId="43" fontId="0" fillId="9" borderId="7" xfId="1" applyFont="1" applyFill="1" applyBorder="1" applyAlignment="1">
      <alignment horizontal="center"/>
    </xf>
    <xf numFmtId="2" fontId="16" fillId="16" borderId="7" xfId="1" applyNumberFormat="1" applyFont="1" applyFill="1" applyBorder="1" applyAlignment="1">
      <alignment horizontal="center"/>
    </xf>
    <xf numFmtId="2" fontId="4" fillId="16" borderId="7" xfId="0" applyNumberFormat="1" applyFont="1" applyFill="1" applyBorder="1" applyAlignment="1">
      <alignment horizontal="center"/>
    </xf>
    <xf numFmtId="165" fontId="4" fillId="9" borderId="7" xfId="2" applyNumberFormat="1" applyFont="1" applyFill="1" applyBorder="1" applyAlignment="1">
      <alignment horizontal="center"/>
    </xf>
    <xf numFmtId="9" fontId="4" fillId="9" borderId="7" xfId="2" applyFont="1" applyFill="1" applyBorder="1" applyAlignment="1">
      <alignment horizontal="center"/>
    </xf>
    <xf numFmtId="10" fontId="0" fillId="16" borderId="7" xfId="2" applyNumberFormat="1" applyFont="1" applyFill="1" applyBorder="1" applyAlignment="1">
      <alignment horizontal="center"/>
    </xf>
    <xf numFmtId="10" fontId="4" fillId="16" borderId="7" xfId="2" applyNumberFormat="1" applyFont="1" applyFill="1" applyBorder="1" applyAlignment="1">
      <alignment horizontal="center"/>
    </xf>
    <xf numFmtId="2" fontId="4" fillId="9" borderId="7" xfId="0" applyNumberFormat="1" applyFont="1" applyFill="1" applyBorder="1" applyAlignment="1">
      <alignment horizontal="center"/>
    </xf>
    <xf numFmtId="44" fontId="0" fillId="9" borderId="7" xfId="0" applyNumberFormat="1" applyFill="1" applyBorder="1"/>
    <xf numFmtId="44" fontId="4" fillId="9" borderId="7" xfId="0" applyNumberFormat="1" applyFont="1" applyFill="1" applyBorder="1"/>
    <xf numFmtId="43" fontId="0" fillId="16" borderId="7" xfId="1" applyFont="1" applyFill="1" applyBorder="1" applyAlignment="1"/>
    <xf numFmtId="164" fontId="0" fillId="16" borderId="7" xfId="1" applyNumberFormat="1" applyFont="1" applyFill="1" applyBorder="1" applyAlignment="1"/>
    <xf numFmtId="43" fontId="4" fillId="9" borderId="46" xfId="1" applyFont="1" applyFill="1" applyBorder="1" applyAlignment="1">
      <alignment horizontal="center"/>
    </xf>
    <xf numFmtId="43" fontId="0" fillId="9" borderId="46" xfId="1" applyFont="1" applyFill="1" applyBorder="1" applyAlignment="1">
      <alignment horizontal="center"/>
    </xf>
    <xf numFmtId="9" fontId="0" fillId="9" borderId="46" xfId="1" applyNumberFormat="1" applyFont="1" applyFill="1" applyBorder="1" applyAlignment="1">
      <alignment horizontal="center"/>
    </xf>
    <xf numFmtId="43" fontId="4" fillId="9" borderId="67" xfId="1" applyFont="1" applyFill="1" applyBorder="1" applyAlignment="1">
      <alignment horizontal="center"/>
    </xf>
    <xf numFmtId="10" fontId="0" fillId="9" borderId="64" xfId="2" applyNumberFormat="1" applyFont="1" applyFill="1" applyBorder="1" applyAlignment="1">
      <alignment horizontal="center"/>
    </xf>
    <xf numFmtId="10" fontId="0" fillId="9" borderId="46" xfId="2" applyNumberFormat="1" applyFont="1" applyFill="1" applyBorder="1" applyAlignment="1">
      <alignment horizontal="center"/>
    </xf>
    <xf numFmtId="43" fontId="0" fillId="9" borderId="46" xfId="1" applyFont="1" applyFill="1" applyBorder="1" applyAlignment="1"/>
    <xf numFmtId="2" fontId="0" fillId="9" borderId="46" xfId="1" applyNumberFormat="1" applyFont="1" applyFill="1" applyBorder="1" applyAlignment="1">
      <alignment horizontal="center"/>
    </xf>
    <xf numFmtId="10" fontId="8" fillId="16" borderId="7" xfId="2" applyNumberFormat="1" applyFont="1" applyFill="1" applyBorder="1" applyAlignment="1">
      <alignment horizontal="center"/>
    </xf>
    <xf numFmtId="43" fontId="8" fillId="16" borderId="7" xfId="1" applyFont="1" applyFill="1" applyBorder="1" applyAlignment="1">
      <alignment horizontal="center"/>
    </xf>
    <xf numFmtId="10" fontId="41" fillId="5" borderId="7" xfId="2" applyNumberFormat="1" applyFont="1" applyFill="1" applyBorder="1" applyAlignment="1">
      <alignment horizontal="center"/>
    </xf>
    <xf numFmtId="10" fontId="3" fillId="6" borderId="7" xfId="2" applyNumberFormat="1" applyFont="1" applyFill="1" applyBorder="1" applyAlignment="1">
      <alignment horizontal="center"/>
    </xf>
    <xf numFmtId="10" fontId="4" fillId="6" borderId="7" xfId="2" applyNumberFormat="1" applyFont="1" applyFill="1" applyBorder="1" applyAlignment="1">
      <alignment horizontal="center"/>
    </xf>
    <xf numFmtId="10" fontId="3" fillId="9" borderId="0" xfId="2" applyNumberFormat="1" applyFont="1" applyFill="1" applyBorder="1" applyAlignment="1">
      <alignment horizontal="center" vertical="center"/>
    </xf>
    <xf numFmtId="165" fontId="0" fillId="9" borderId="0" xfId="2" applyNumberFormat="1" applyFont="1" applyFill="1" applyBorder="1" applyAlignment="1">
      <alignment horizontal="center" vertical="center"/>
    </xf>
    <xf numFmtId="3" fontId="3" fillId="9" borderId="42" xfId="0" applyNumberFormat="1" applyFont="1" applyFill="1" applyBorder="1" applyAlignment="1">
      <alignment horizontal="center" vertical="center"/>
    </xf>
    <xf numFmtId="3" fontId="0" fillId="9" borderId="47" xfId="0" applyNumberFormat="1" applyFill="1" applyBorder="1" applyAlignment="1">
      <alignment horizontal="center" vertical="center"/>
    </xf>
    <xf numFmtId="3" fontId="0" fillId="9" borderId="44" xfId="0" applyNumberFormat="1" applyFill="1" applyBorder="1" applyAlignment="1">
      <alignment horizontal="center" vertical="center"/>
    </xf>
    <xf numFmtId="3" fontId="3" fillId="9" borderId="14" xfId="0" applyNumberFormat="1" applyFont="1" applyFill="1" applyBorder="1" applyAlignment="1">
      <alignment horizontal="center" vertical="center"/>
    </xf>
    <xf numFmtId="3" fontId="3" fillId="9" borderId="65" xfId="0" applyNumberFormat="1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65" xfId="0" applyFont="1" applyFill="1" applyBorder="1" applyAlignment="1">
      <alignment horizontal="center" vertical="center"/>
    </xf>
    <xf numFmtId="10" fontId="3" fillId="9" borderId="14" xfId="2" applyNumberFormat="1" applyFont="1" applyFill="1" applyBorder="1" applyAlignment="1">
      <alignment horizontal="center" vertical="center"/>
    </xf>
    <xf numFmtId="10" fontId="3" fillId="9" borderId="65" xfId="2" applyNumberFormat="1" applyFont="1" applyFill="1" applyBorder="1" applyAlignment="1">
      <alignment horizontal="center" vertical="center"/>
    </xf>
    <xf numFmtId="10" fontId="3" fillId="9" borderId="14" xfId="0" applyNumberFormat="1" applyFont="1" applyFill="1" applyBorder="1" applyAlignment="1">
      <alignment horizontal="center" vertical="center"/>
    </xf>
    <xf numFmtId="10" fontId="3" fillId="9" borderId="65" xfId="0" applyNumberFormat="1" applyFont="1" applyFill="1" applyBorder="1" applyAlignment="1">
      <alignment horizontal="center" vertical="center"/>
    </xf>
    <xf numFmtId="165" fontId="0" fillId="9" borderId="14" xfId="2" applyNumberFormat="1" applyFont="1" applyFill="1" applyBorder="1" applyAlignment="1">
      <alignment horizontal="center" vertical="center"/>
    </xf>
    <xf numFmtId="165" fontId="0" fillId="9" borderId="65" xfId="2" applyNumberFormat="1" applyFont="1" applyFill="1" applyBorder="1" applyAlignment="1">
      <alignment horizontal="center" vertical="center"/>
    </xf>
    <xf numFmtId="165" fontId="0" fillId="9" borderId="39" xfId="2" applyNumberFormat="1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44" fontId="0" fillId="9" borderId="39" xfId="9" applyFont="1" applyFill="1" applyBorder="1" applyAlignment="1">
      <alignment horizontal="center" vertical="center"/>
    </xf>
    <xf numFmtId="2" fontId="2" fillId="9" borderId="39" xfId="0" applyNumberFormat="1" applyFont="1" applyFill="1" applyBorder="1" applyAlignment="1">
      <alignment horizontal="center" vertical="center"/>
    </xf>
    <xf numFmtId="164" fontId="0" fillId="9" borderId="39" xfId="1" applyNumberFormat="1" applyFont="1" applyFill="1" applyBorder="1" applyAlignment="1">
      <alignment horizontal="center" vertical="center"/>
    </xf>
    <xf numFmtId="10" fontId="0" fillId="9" borderId="39" xfId="2" applyNumberFormat="1" applyFont="1" applyFill="1" applyBorder="1" applyAlignment="1">
      <alignment horizontal="center" vertical="center"/>
    </xf>
    <xf numFmtId="14" fontId="0" fillId="9" borderId="39" xfId="0" applyNumberFormat="1" applyFill="1" applyBorder="1" applyAlignment="1">
      <alignment horizontal="center" vertical="center"/>
    </xf>
    <xf numFmtId="44" fontId="0" fillId="9" borderId="39" xfId="0" applyNumberFormat="1" applyFill="1" applyBorder="1" applyAlignment="1">
      <alignment horizontal="center" vertical="center"/>
    </xf>
    <xf numFmtId="43" fontId="3" fillId="5" borderId="46" xfId="1" applyFont="1" applyFill="1" applyBorder="1" applyAlignment="1">
      <alignment horizontal="center"/>
    </xf>
    <xf numFmtId="14" fontId="3" fillId="5" borderId="66" xfId="1" applyNumberFormat="1" applyFont="1" applyFill="1" applyBorder="1" applyAlignment="1">
      <alignment horizontal="center"/>
    </xf>
    <xf numFmtId="9" fontId="3" fillId="5" borderId="46" xfId="1" applyNumberFormat="1" applyFont="1" applyFill="1" applyBorder="1" applyAlignment="1">
      <alignment horizontal="center"/>
    </xf>
    <xf numFmtId="43" fontId="4" fillId="5" borderId="46" xfId="1" applyFont="1" applyFill="1" applyBorder="1" applyAlignment="1">
      <alignment horizontal="center"/>
    </xf>
    <xf numFmtId="43" fontId="4" fillId="5" borderId="67" xfId="1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180" fontId="0" fillId="9" borderId="15" xfId="1" applyNumberFormat="1" applyFont="1" applyFill="1" applyBorder="1" applyAlignment="1">
      <alignment horizontal="center" vertical="center"/>
    </xf>
    <xf numFmtId="180" fontId="0" fillId="9" borderId="43" xfId="1" applyNumberFormat="1" applyFont="1" applyFill="1" applyBorder="1" applyAlignment="1">
      <alignment horizontal="center" vertical="center"/>
    </xf>
    <xf numFmtId="180" fontId="0" fillId="9" borderId="45" xfId="1" applyNumberFormat="1" applyFont="1" applyFill="1" applyBorder="1" applyAlignment="1">
      <alignment horizontal="center" vertical="center"/>
    </xf>
    <xf numFmtId="180" fontId="5" fillId="9" borderId="39" xfId="1" applyNumberFormat="1" applyFont="1" applyFill="1" applyBorder="1" applyAlignment="1">
      <alignment horizontal="center" vertical="center"/>
    </xf>
    <xf numFmtId="168" fontId="5" fillId="9" borderId="39" xfId="1" applyNumberFormat="1" applyFont="1" applyFill="1" applyBorder="1" applyAlignment="1">
      <alignment horizontal="center" vertical="center"/>
    </xf>
    <xf numFmtId="164" fontId="2" fillId="0" borderId="47" xfId="0" applyNumberFormat="1" applyFont="1" applyBorder="1" applyAlignment="1">
      <alignment vertical="center"/>
    </xf>
    <xf numFmtId="164" fontId="2" fillId="0" borderId="44" xfId="0" applyNumberFormat="1" applyFont="1" applyBorder="1" applyAlignment="1">
      <alignment vertical="center"/>
    </xf>
    <xf numFmtId="164" fontId="2" fillId="0" borderId="42" xfId="0" applyNumberFormat="1" applyFont="1" applyBorder="1" applyAlignment="1">
      <alignment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165" fontId="0" fillId="0" borderId="65" xfId="2" applyNumberFormat="1" applyFont="1" applyFill="1" applyBorder="1" applyAlignment="1">
      <alignment horizontal="center"/>
    </xf>
    <xf numFmtId="165" fontId="0" fillId="0" borderId="45" xfId="2" applyNumberFormat="1" applyFont="1" applyFill="1" applyBorder="1" applyAlignment="1">
      <alignment horizontal="center"/>
    </xf>
    <xf numFmtId="165" fontId="0" fillId="0" borderId="43" xfId="2" applyNumberFormat="1" applyFont="1" applyFill="1" applyBorder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41" xfId="0" applyFont="1" applyFill="1" applyBorder="1"/>
    <xf numFmtId="181" fontId="0" fillId="0" borderId="0" xfId="0" applyNumberFormat="1" applyAlignment="1">
      <alignment horizontal="center" vertical="center"/>
    </xf>
    <xf numFmtId="0" fontId="0" fillId="0" borderId="70" xfId="0" applyBorder="1"/>
    <xf numFmtId="165" fontId="0" fillId="0" borderId="0" xfId="2" applyNumberFormat="1" applyFont="1"/>
    <xf numFmtId="10" fontId="41" fillId="6" borderId="7" xfId="2" quotePrefix="1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9" fontId="0" fillId="0" borderId="65" xfId="2" applyFont="1" applyBorder="1" applyAlignment="1">
      <alignment horizontal="center" vertical="center"/>
    </xf>
    <xf numFmtId="0" fontId="44" fillId="0" borderId="68" xfId="0" applyFont="1" applyBorder="1"/>
    <xf numFmtId="9" fontId="0" fillId="0" borderId="45" xfId="2" applyFont="1" applyBorder="1" applyAlignment="1">
      <alignment horizontal="center" vertical="center"/>
    </xf>
    <xf numFmtId="0" fontId="45" fillId="9" borderId="0" xfId="0" applyFont="1" applyFill="1"/>
    <xf numFmtId="0" fontId="0" fillId="5" borderId="2" xfId="0" applyFill="1" applyBorder="1"/>
    <xf numFmtId="0" fontId="46" fillId="0" borderId="0" xfId="0" applyFont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9" fontId="0" fillId="0" borderId="71" xfId="2" applyFont="1" applyBorder="1" applyAlignment="1">
      <alignment horizontal="center" vertical="center"/>
    </xf>
    <xf numFmtId="0" fontId="0" fillId="0" borderId="47" xfId="0" applyBorder="1"/>
    <xf numFmtId="164" fontId="0" fillId="0" borderId="47" xfId="1" applyNumberFormat="1" applyFont="1" applyFill="1" applyBorder="1"/>
    <xf numFmtId="0" fontId="0" fillId="0" borderId="0" xfId="2" applyNumberFormat="1" applyFont="1"/>
    <xf numFmtId="0" fontId="47" fillId="0" borderId="0" xfId="0" applyFont="1"/>
    <xf numFmtId="2" fontId="0" fillId="16" borderId="7" xfId="0" applyNumberFormat="1" applyFill="1" applyBorder="1" applyAlignment="1">
      <alignment horizontal="center" vertical="center"/>
    </xf>
    <xf numFmtId="2" fontId="3" fillId="16" borderId="7" xfId="0" applyNumberFormat="1" applyFont="1" applyFill="1" applyBorder="1" applyAlignment="1">
      <alignment horizontal="center" vertical="center"/>
    </xf>
    <xf numFmtId="2" fontId="0" fillId="16" borderId="7" xfId="0" applyNumberFormat="1" applyFill="1" applyBorder="1" applyAlignment="1">
      <alignment horizontal="center"/>
    </xf>
    <xf numFmtId="0" fontId="0" fillId="5" borderId="0" xfId="0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72" xfId="0" applyFont="1" applyBorder="1"/>
    <xf numFmtId="44" fontId="0" fillId="0" borderId="1" xfId="9" applyFont="1" applyBorder="1"/>
    <xf numFmtId="10" fontId="0" fillId="0" borderId="73" xfId="2" applyNumberFormat="1" applyFont="1" applyBorder="1" applyAlignment="1">
      <alignment horizontal="center"/>
    </xf>
    <xf numFmtId="0" fontId="2" fillId="0" borderId="29" xfId="0" applyFont="1" applyBorder="1"/>
    <xf numFmtId="10" fontId="0" fillId="0" borderId="12" xfId="2" applyNumberFormat="1" applyFont="1" applyBorder="1" applyAlignment="1">
      <alignment horizontal="center"/>
    </xf>
    <xf numFmtId="10" fontId="0" fillId="0" borderId="38" xfId="2" applyNumberFormat="1" applyFont="1" applyBorder="1" applyAlignment="1">
      <alignment horizontal="center"/>
    </xf>
    <xf numFmtId="44" fontId="0" fillId="0" borderId="11" xfId="9" applyFont="1" applyBorder="1"/>
    <xf numFmtId="0" fontId="2" fillId="0" borderId="10" xfId="0" applyFont="1" applyBorder="1"/>
    <xf numFmtId="0" fontId="0" fillId="9" borderId="7" xfId="0" applyFill="1" applyBorder="1" applyAlignment="1">
      <alignment horizontal="left"/>
    </xf>
    <xf numFmtId="43" fontId="1" fillId="5" borderId="7" xfId="1" applyFont="1" applyFill="1" applyBorder="1" applyAlignment="1">
      <alignment horizontal="center"/>
    </xf>
    <xf numFmtId="9" fontId="1" fillId="9" borderId="7" xfId="2" applyFont="1" applyFill="1" applyBorder="1" applyAlignment="1">
      <alignment horizontal="center"/>
    </xf>
    <xf numFmtId="165" fontId="1" fillId="9" borderId="7" xfId="2" applyNumberFormat="1" applyFont="1" applyFill="1" applyBorder="1" applyAlignment="1">
      <alignment horizontal="center"/>
    </xf>
    <xf numFmtId="43" fontId="1" fillId="9" borderId="7" xfId="1" applyFont="1" applyFill="1" applyBorder="1" applyAlignment="1">
      <alignment horizontal="center"/>
    </xf>
    <xf numFmtId="43" fontId="1" fillId="16" borderId="7" xfId="1" applyFont="1" applyFill="1" applyBorder="1" applyAlignment="1"/>
    <xf numFmtId="164" fontId="1" fillId="16" borderId="7" xfId="1" applyNumberFormat="1" applyFont="1" applyFill="1" applyBorder="1" applyAlignment="1"/>
    <xf numFmtId="10" fontId="1" fillId="9" borderId="64" xfId="2" applyNumberFormat="1" applyFont="1" applyFill="1" applyBorder="1" applyAlignment="1">
      <alignment horizontal="center"/>
    </xf>
    <xf numFmtId="10" fontId="1" fillId="9" borderId="46" xfId="2" applyNumberFormat="1" applyFont="1" applyFill="1" applyBorder="1" applyAlignment="1">
      <alignment horizontal="center"/>
    </xf>
    <xf numFmtId="2" fontId="1" fillId="9" borderId="46" xfId="1" applyNumberFormat="1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14" fontId="38" fillId="10" borderId="2" xfId="1" applyNumberFormat="1" applyFont="1" applyFill="1" applyBorder="1"/>
    <xf numFmtId="180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right"/>
    </xf>
    <xf numFmtId="0" fontId="2" fillId="12" borderId="13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2" fontId="0" fillId="16" borderId="46" xfId="0" applyNumberFormat="1" applyFill="1" applyBorder="1" applyAlignment="1">
      <alignment horizontal="center"/>
    </xf>
    <xf numFmtId="0" fontId="0" fillId="11" borderId="1" xfId="0" applyFill="1" applyBorder="1"/>
    <xf numFmtId="43" fontId="0" fillId="11" borderId="1" xfId="1" applyFont="1" applyFill="1" applyBorder="1" applyAlignment="1">
      <alignment horizontal="center"/>
    </xf>
    <xf numFmtId="2" fontId="0" fillId="18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4" xfId="0" applyBorder="1"/>
    <xf numFmtId="10" fontId="0" fillId="0" borderId="43" xfId="2" applyNumberFormat="1" applyFont="1" applyBorder="1"/>
    <xf numFmtId="165" fontId="0" fillId="0" borderId="45" xfId="2" applyNumberFormat="1" applyFont="1" applyBorder="1"/>
    <xf numFmtId="164" fontId="0" fillId="5" borderId="76" xfId="1" applyNumberFormat="1" applyFont="1" applyFill="1" applyBorder="1"/>
    <xf numFmtId="10" fontId="0" fillId="5" borderId="75" xfId="2" applyNumberFormat="1" applyFont="1" applyFill="1" applyBorder="1"/>
    <xf numFmtId="0" fontId="9" fillId="19" borderId="77" xfId="10" applyFont="1" applyFill="1" applyBorder="1"/>
    <xf numFmtId="0" fontId="18" fillId="0" borderId="0" xfId="10"/>
    <xf numFmtId="0" fontId="49" fillId="20" borderId="78" xfId="10" applyFont="1" applyFill="1" applyBorder="1"/>
    <xf numFmtId="0" fontId="49" fillId="20" borderId="77" xfId="10" applyFont="1" applyFill="1" applyBorder="1"/>
    <xf numFmtId="14" fontId="49" fillId="0" borderId="0" xfId="10" applyNumberFormat="1" applyFont="1"/>
    <xf numFmtId="43" fontId="49" fillId="0" borderId="0" xfId="10" applyNumberFormat="1" applyFont="1"/>
    <xf numFmtId="10" fontId="49" fillId="0" borderId="0" xfId="10" applyNumberFormat="1" applyFont="1"/>
    <xf numFmtId="9" fontId="40" fillId="0" borderId="0" xfId="11" applyFont="1"/>
    <xf numFmtId="0" fontId="49" fillId="0" borderId="0" xfId="10" applyFont="1"/>
    <xf numFmtId="8" fontId="49" fillId="0" borderId="0" xfId="10" applyNumberFormat="1" applyFont="1"/>
    <xf numFmtId="164" fontId="40" fillId="0" borderId="0" xfId="12" applyNumberFormat="1" applyFont="1"/>
    <xf numFmtId="43" fontId="40" fillId="0" borderId="0" xfId="12" applyFont="1"/>
    <xf numFmtId="44" fontId="49" fillId="0" borderId="0" xfId="10" applyNumberFormat="1" applyFont="1"/>
    <xf numFmtId="43" fontId="0" fillId="9" borderId="0" xfId="0" applyNumberFormat="1" applyFill="1"/>
    <xf numFmtId="0" fontId="4" fillId="0" borderId="48" xfId="0" applyFont="1" applyBorder="1"/>
    <xf numFmtId="10" fontId="49" fillId="0" borderId="0" xfId="2" applyNumberFormat="1" applyFont="1"/>
    <xf numFmtId="43" fontId="49" fillId="0" borderId="0" xfId="1" applyFont="1"/>
    <xf numFmtId="0" fontId="0" fillId="0" borderId="0" xfId="0" pivotButton="1"/>
    <xf numFmtId="3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0" fontId="3" fillId="9" borderId="0" xfId="0" applyNumberFormat="1" applyFont="1" applyFill="1" applyAlignment="1">
      <alignment horizontal="center" vertical="center"/>
    </xf>
    <xf numFmtId="164" fontId="0" fillId="14" borderId="40" xfId="1" applyNumberFormat="1" applyFont="1" applyFill="1" applyBorder="1"/>
    <xf numFmtId="10" fontId="0" fillId="9" borderId="46" xfId="2" applyNumberFormat="1" applyFont="1" applyFill="1" applyBorder="1" applyAlignment="1"/>
    <xf numFmtId="2" fontId="0" fillId="0" borderId="7" xfId="0" applyNumberFormat="1" applyBorder="1" applyAlignment="1">
      <alignment horizontal="center"/>
    </xf>
    <xf numFmtId="10" fontId="41" fillId="22" borderId="7" xfId="2" quotePrefix="1" applyNumberFormat="1" applyFont="1" applyFill="1" applyBorder="1" applyAlignment="1">
      <alignment horizontal="center"/>
    </xf>
    <xf numFmtId="10" fontId="41" fillId="21" borderId="7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43" fontId="4" fillId="0" borderId="46" xfId="1" applyFont="1" applyFill="1" applyBorder="1" applyAlignment="1">
      <alignment horizontal="center"/>
    </xf>
    <xf numFmtId="43" fontId="3" fillId="0" borderId="46" xfId="1" applyFont="1" applyFill="1" applyBorder="1" applyAlignment="1">
      <alignment horizontal="center"/>
    </xf>
    <xf numFmtId="9" fontId="3" fillId="5" borderId="46" xfId="2" applyFont="1" applyFill="1" applyBorder="1" applyAlignment="1">
      <alignment horizontal="center"/>
    </xf>
    <xf numFmtId="10" fontId="4" fillId="23" borderId="7" xfId="2" applyNumberFormat="1" applyFont="1" applyFill="1" applyBorder="1" applyAlignment="1">
      <alignment horizontal="center"/>
    </xf>
    <xf numFmtId="10" fontId="0" fillId="23" borderId="7" xfId="2" applyNumberFormat="1" applyFont="1" applyFill="1" applyBorder="1" applyAlignment="1">
      <alignment horizontal="center"/>
    </xf>
    <xf numFmtId="43" fontId="3" fillId="17" borderId="46" xfId="1" applyFont="1" applyFill="1" applyBorder="1" applyAlignment="1">
      <alignment horizontal="center"/>
    </xf>
    <xf numFmtId="0" fontId="0" fillId="0" borderId="1" xfId="0" applyBorder="1"/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3" fillId="0" borderId="7" xfId="0" applyFont="1" applyBorder="1" applyAlignment="1">
      <alignment horizontal="center"/>
    </xf>
    <xf numFmtId="10" fontId="0" fillId="0" borderId="7" xfId="2" applyNumberFormat="1" applyFont="1" applyFill="1" applyBorder="1" applyAlignment="1">
      <alignment horizontal="center"/>
    </xf>
    <xf numFmtId="14" fontId="4" fillId="0" borderId="7" xfId="1" applyNumberFormat="1" applyFont="1" applyFill="1" applyBorder="1" applyAlignment="1">
      <alignment horizontal="center"/>
    </xf>
    <xf numFmtId="10" fontId="41" fillId="0" borderId="7" xfId="2" applyNumberFormat="1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10" fontId="3" fillId="0" borderId="7" xfId="2" applyNumberFormat="1" applyFont="1" applyFill="1" applyBorder="1" applyAlignment="1">
      <alignment horizontal="center"/>
    </xf>
    <xf numFmtId="164" fontId="38" fillId="0" borderId="42" xfId="1" applyNumberFormat="1" applyFont="1" applyFill="1" applyBorder="1"/>
    <xf numFmtId="43" fontId="38" fillId="0" borderId="44" xfId="1" applyFont="1" applyFill="1" applyBorder="1"/>
    <xf numFmtId="164" fontId="38" fillId="0" borderId="14" xfId="1" applyNumberFormat="1" applyFont="1" applyFill="1" applyBorder="1"/>
    <xf numFmtId="43" fontId="38" fillId="0" borderId="65" xfId="1" applyFont="1" applyFill="1" applyBorder="1"/>
    <xf numFmtId="164" fontId="38" fillId="0" borderId="15" xfId="1" applyNumberFormat="1" applyFont="1" applyFill="1" applyBorder="1"/>
    <xf numFmtId="43" fontId="38" fillId="0" borderId="45" xfId="1" applyFont="1" applyFill="1" applyBorder="1"/>
    <xf numFmtId="0" fontId="57" fillId="24" borderId="79" xfId="0" applyFont="1" applyFill="1" applyBorder="1" applyAlignment="1">
      <alignment horizontal="center" vertical="center" wrapText="1"/>
    </xf>
    <xf numFmtId="43" fontId="57" fillId="24" borderId="79" xfId="18" applyFont="1" applyFill="1" applyBorder="1" applyAlignment="1">
      <alignment horizontal="center" vertical="center" wrapText="1"/>
    </xf>
    <xf numFmtId="0" fontId="57" fillId="24" borderId="80" xfId="0" applyFont="1" applyFill="1" applyBorder="1" applyAlignment="1">
      <alignment horizontal="center" vertical="center" wrapText="1"/>
    </xf>
    <xf numFmtId="0" fontId="58" fillId="24" borderId="79" xfId="0" applyFont="1" applyFill="1" applyBorder="1" applyAlignment="1">
      <alignment horizontal="center" vertical="center" wrapText="1"/>
    </xf>
    <xf numFmtId="0" fontId="57" fillId="25" borderId="81" xfId="0" applyFont="1" applyFill="1" applyBorder="1" applyAlignment="1">
      <alignment horizontal="center" vertical="center" wrapText="1"/>
    </xf>
    <xf numFmtId="0" fontId="57" fillId="24" borderId="81" xfId="0" applyFont="1" applyFill="1" applyBorder="1" applyAlignment="1">
      <alignment horizontal="center" vertical="center" wrapText="1"/>
    </xf>
    <xf numFmtId="0" fontId="59" fillId="25" borderId="81" xfId="0" applyFont="1" applyFill="1" applyBorder="1" applyAlignment="1">
      <alignment horizontal="center" vertical="center" wrapText="1"/>
    </xf>
    <xf numFmtId="0" fontId="57" fillId="25" borderId="80" xfId="0" applyFont="1" applyFill="1" applyBorder="1" applyAlignment="1">
      <alignment horizontal="center" vertical="center" wrapText="1"/>
    </xf>
    <xf numFmtId="0" fontId="57" fillId="25" borderId="0" xfId="0" applyFont="1" applyFill="1" applyAlignment="1">
      <alignment horizontal="center" vertical="center" wrapText="1"/>
    </xf>
    <xf numFmtId="0" fontId="57" fillId="25" borderId="79" xfId="0" applyFont="1" applyFill="1" applyBorder="1" applyAlignment="1">
      <alignment horizontal="center" vertical="center" wrapText="1"/>
    </xf>
    <xf numFmtId="43" fontId="61" fillId="0" borderId="0" xfId="1" applyFont="1" applyFill="1" applyBorder="1" applyAlignment="1">
      <alignment horizontal="left" vertical="top"/>
    </xf>
    <xf numFmtId="2" fontId="61" fillId="0" borderId="0" xfId="1" applyNumberFormat="1" applyFont="1" applyFill="1" applyBorder="1" applyAlignment="1">
      <alignment horizontal="center" vertical="top"/>
    </xf>
    <xf numFmtId="185" fontId="61" fillId="0" borderId="0" xfId="1" applyNumberFormat="1" applyFont="1" applyFill="1" applyBorder="1" applyAlignment="1">
      <alignment horizontal="right"/>
    </xf>
    <xf numFmtId="43" fontId="66" fillId="0" borderId="0" xfId="1" applyFont="1" applyFill="1" applyBorder="1" applyAlignment="1">
      <alignment horizontal="left" vertical="top"/>
    </xf>
    <xf numFmtId="43" fontId="61" fillId="0" borderId="79" xfId="1" applyFont="1" applyFill="1" applyBorder="1" applyAlignment="1">
      <alignment horizontal="left" vertical="top"/>
    </xf>
    <xf numFmtId="2" fontId="61" fillId="0" borderId="79" xfId="1" applyNumberFormat="1" applyFont="1" applyFill="1" applyBorder="1" applyAlignment="1">
      <alignment horizontal="center" vertical="top"/>
    </xf>
    <xf numFmtId="185" fontId="61" fillId="0" borderId="80" xfId="1" applyNumberFormat="1" applyFont="1" applyFill="1" applyBorder="1" applyAlignment="1">
      <alignment horizontal="right"/>
    </xf>
    <xf numFmtId="180" fontId="0" fillId="0" borderId="24" xfId="0" applyNumberFormat="1" applyBorder="1" applyAlignment="1">
      <alignment horizontal="center"/>
    </xf>
    <xf numFmtId="180" fontId="0" fillId="0" borderId="25" xfId="0" applyNumberFormat="1" applyBorder="1" applyAlignment="1">
      <alignment horizontal="center"/>
    </xf>
    <xf numFmtId="180" fontId="0" fillId="0" borderId="22" xfId="0" applyNumberFormat="1" applyBorder="1" applyAlignment="1">
      <alignment horizontal="center"/>
    </xf>
    <xf numFmtId="0" fontId="63" fillId="0" borderId="0" xfId="0" applyFont="1" applyAlignment="1">
      <alignment vertical="center"/>
    </xf>
    <xf numFmtId="43" fontId="0" fillId="0" borderId="7" xfId="1" applyFont="1" applyBorder="1" applyAlignment="1">
      <alignment horizontal="center"/>
    </xf>
    <xf numFmtId="43" fontId="5" fillId="9" borderId="39" xfId="1" applyFont="1" applyFill="1" applyBorder="1" applyAlignment="1">
      <alignment horizontal="center" vertical="center"/>
    </xf>
    <xf numFmtId="164" fontId="16" fillId="16" borderId="7" xfId="1" applyNumberFormat="1" applyFont="1" applyFill="1" applyBorder="1" applyAlignment="1">
      <alignment horizontal="center"/>
    </xf>
    <xf numFmtId="0" fontId="55" fillId="0" borderId="22" xfId="0" applyFont="1" applyBorder="1"/>
    <xf numFmtId="2" fontId="55" fillId="0" borderId="0" xfId="0" applyNumberFormat="1" applyFont="1" applyAlignment="1">
      <alignment horizontal="center"/>
    </xf>
    <xf numFmtId="2" fontId="55" fillId="0" borderId="24" xfId="0" applyNumberFormat="1" applyFont="1" applyBorder="1" applyAlignment="1">
      <alignment horizontal="center"/>
    </xf>
    <xf numFmtId="10" fontId="3" fillId="14" borderId="7" xfId="2" applyNumberFormat="1" applyFont="1" applyFill="1" applyBorder="1" applyAlignment="1">
      <alignment horizontal="center"/>
    </xf>
    <xf numFmtId="10" fontId="4" fillId="14" borderId="7" xfId="2" applyNumberFormat="1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/>
    </xf>
    <xf numFmtId="14" fontId="4" fillId="14" borderId="66" xfId="1" applyNumberFormat="1" applyFont="1" applyFill="1" applyBorder="1" applyAlignment="1">
      <alignment horizontal="center"/>
    </xf>
    <xf numFmtId="0" fontId="0" fillId="14" borderId="1" xfId="0" applyFill="1" applyBorder="1"/>
    <xf numFmtId="43" fontId="3" fillId="9" borderId="46" xfId="1" applyFont="1" applyFill="1" applyBorder="1" applyAlignment="1">
      <alignment horizontal="center"/>
    </xf>
    <xf numFmtId="43" fontId="3" fillId="9" borderId="67" xfId="1" applyFont="1" applyFill="1" applyBorder="1" applyAlignment="1">
      <alignment horizontal="center"/>
    </xf>
    <xf numFmtId="43" fontId="3" fillId="5" borderId="67" xfId="1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2" fontId="0" fillId="26" borderId="7" xfId="0" applyNumberForma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0" fontId="67" fillId="0" borderId="0" xfId="0" applyFont="1" applyAlignment="1">
      <alignment horizontal="justify" vertical="center"/>
    </xf>
    <xf numFmtId="14" fontId="3" fillId="9" borderId="0" xfId="0" applyNumberFormat="1" applyFont="1" applyFill="1" applyAlignment="1">
      <alignment horizontal="right"/>
    </xf>
    <xf numFmtId="169" fontId="0" fillId="9" borderId="0" xfId="0" applyNumberFormat="1" applyFill="1"/>
    <xf numFmtId="0" fontId="7" fillId="9" borderId="0" xfId="0" applyFont="1" applyFill="1" applyAlignment="1">
      <alignment horizontal="left" indent="2"/>
    </xf>
    <xf numFmtId="169" fontId="7" fillId="9" borderId="11" xfId="0" applyNumberFormat="1" applyFont="1" applyFill="1" applyBorder="1"/>
    <xf numFmtId="169" fontId="3" fillId="9" borderId="0" xfId="9" applyNumberFormat="1" applyFont="1" applyFill="1" applyAlignment="1">
      <alignment horizontal="right"/>
    </xf>
    <xf numFmtId="169" fontId="4" fillId="9" borderId="0" xfId="9" applyNumberFormat="1" applyFont="1" applyFill="1"/>
    <xf numFmtId="164" fontId="4" fillId="0" borderId="0" xfId="1" applyNumberFormat="1" applyFont="1" applyFill="1"/>
    <xf numFmtId="10" fontId="0" fillId="9" borderId="0" xfId="0" applyNumberFormat="1" applyFill="1" applyAlignment="1">
      <alignment horizontal="center"/>
    </xf>
    <xf numFmtId="0" fontId="0" fillId="9" borderId="0" xfId="0" applyFill="1" applyAlignment="1">
      <alignment horizontal="left"/>
    </xf>
    <xf numFmtId="14" fontId="0" fillId="0" borderId="9" xfId="0" applyNumberFormat="1" applyBorder="1" applyAlignment="1">
      <alignment horizontal="right"/>
    </xf>
    <xf numFmtId="44" fontId="3" fillId="0" borderId="0" xfId="9" applyFont="1"/>
    <xf numFmtId="44" fontId="38" fillId="0" borderId="0" xfId="9" applyFont="1"/>
    <xf numFmtId="164" fontId="3" fillId="9" borderId="0" xfId="1" applyNumberFormat="1" applyFont="1" applyFill="1"/>
    <xf numFmtId="44" fontId="0" fillId="9" borderId="0" xfId="0" applyNumberFormat="1" applyFill="1"/>
    <xf numFmtId="0" fontId="0" fillId="9" borderId="0" xfId="0" applyFill="1" applyAlignment="1">
      <alignment horizontal="center"/>
    </xf>
    <xf numFmtId="10" fontId="0" fillId="9" borderId="0" xfId="2" applyNumberFormat="1" applyFont="1" applyFill="1" applyAlignment="1">
      <alignment horizontal="center"/>
    </xf>
    <xf numFmtId="169" fontId="3" fillId="9" borderId="0" xfId="9" applyNumberFormat="1" applyFont="1" applyFill="1" applyAlignment="1">
      <alignment horizontal="center"/>
    </xf>
    <xf numFmtId="10" fontId="0" fillId="9" borderId="0" xfId="0" applyNumberFormat="1" applyFill="1" applyAlignment="1">
      <alignment horizontal="right"/>
    </xf>
    <xf numFmtId="2" fontId="4" fillId="9" borderId="0" xfId="0" applyNumberFormat="1" applyFont="1" applyFill="1" applyAlignment="1">
      <alignment horizontal="right"/>
    </xf>
    <xf numFmtId="0" fontId="24" fillId="9" borderId="0" xfId="0" applyFont="1" applyFill="1" applyAlignment="1">
      <alignment horizontal="center"/>
    </xf>
    <xf numFmtId="0" fontId="0" fillId="9" borderId="0" xfId="0" applyFill="1" applyAlignment="1">
      <alignment horizontal="right"/>
    </xf>
    <xf numFmtId="0" fontId="3" fillId="9" borderId="0" xfId="0" applyFont="1" applyFill="1" applyAlignment="1">
      <alignment horizontal="left"/>
    </xf>
    <xf numFmtId="169" fontId="3" fillId="0" borderId="0" xfId="9" applyNumberFormat="1" applyFont="1" applyFill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12" borderId="82" xfId="0" applyFont="1" applyFill="1" applyBorder="1"/>
    <xf numFmtId="0" fontId="2" fillId="12" borderId="83" xfId="0" applyFont="1" applyFill="1" applyBorder="1" applyAlignment="1">
      <alignment horizontal="center"/>
    </xf>
    <xf numFmtId="0" fontId="2" fillId="12" borderId="84" xfId="0" applyFont="1" applyFill="1" applyBorder="1"/>
    <xf numFmtId="0" fontId="24" fillId="3" borderId="85" xfId="0" applyFont="1" applyFill="1" applyBorder="1" applyAlignment="1">
      <alignment horizontal="center"/>
    </xf>
    <xf numFmtId="0" fontId="24" fillId="3" borderId="86" xfId="0" applyFont="1" applyFill="1" applyBorder="1" applyAlignment="1">
      <alignment horizontal="left"/>
    </xf>
    <xf numFmtId="169" fontId="24" fillId="3" borderId="87" xfId="9" applyNumberFormat="1" applyFont="1" applyFill="1" applyBorder="1" applyAlignment="1">
      <alignment horizontal="right"/>
    </xf>
    <xf numFmtId="0" fontId="2" fillId="12" borderId="4" xfId="0" applyFont="1" applyFill="1" applyBorder="1"/>
    <xf numFmtId="14" fontId="0" fillId="0" borderId="16" xfId="0" applyNumberFormat="1" applyBorder="1" applyAlignment="1">
      <alignment horizontal="right"/>
    </xf>
    <xf numFmtId="169" fontId="4" fillId="9" borderId="0" xfId="9" applyNumberFormat="1" applyFont="1" applyFill="1" applyAlignment="1">
      <alignment horizontal="right"/>
    </xf>
    <xf numFmtId="0" fontId="39" fillId="14" borderId="29" xfId="0" applyFont="1" applyFill="1" applyBorder="1" applyAlignment="1">
      <alignment horizontal="left"/>
    </xf>
    <xf numFmtId="0" fontId="0" fillId="14" borderId="29" xfId="0" applyFill="1" applyBorder="1"/>
    <xf numFmtId="165" fontId="3" fillId="14" borderId="0" xfId="2" applyNumberFormat="1" applyFont="1" applyFill="1"/>
    <xf numFmtId="165" fontId="3" fillId="14" borderId="0" xfId="2" applyNumberFormat="1" applyFont="1" applyFill="1" applyBorder="1"/>
    <xf numFmtId="6" fontId="0" fillId="14" borderId="29" xfId="0" applyNumberFormat="1" applyFill="1" applyBorder="1"/>
    <xf numFmtId="165" fontId="0" fillId="14" borderId="0" xfId="0" applyNumberFormat="1" applyFill="1"/>
    <xf numFmtId="169" fontId="0" fillId="14" borderId="29" xfId="9" applyNumberFormat="1" applyFont="1" applyFill="1" applyBorder="1"/>
    <xf numFmtId="169" fontId="0" fillId="14" borderId="0" xfId="9" applyNumberFormat="1" applyFont="1" applyFill="1" applyBorder="1"/>
    <xf numFmtId="169" fontId="0" fillId="14" borderId="12" xfId="9" applyNumberFormat="1" applyFont="1" applyFill="1" applyBorder="1"/>
    <xf numFmtId="164" fontId="0" fillId="14" borderId="0" xfId="1" applyNumberFormat="1" applyFont="1" applyFill="1"/>
    <xf numFmtId="10" fontId="0" fillId="0" borderId="9" xfId="2" applyNumberFormat="1" applyFont="1" applyBorder="1"/>
    <xf numFmtId="43" fontId="69" fillId="0" borderId="0" xfId="1" applyFont="1" applyFill="1" applyBorder="1" applyAlignment="1">
      <alignment horizontal="left" vertical="top"/>
    </xf>
    <xf numFmtId="44" fontId="38" fillId="27" borderId="62" xfId="9" applyFont="1" applyFill="1" applyBorder="1"/>
    <xf numFmtId="169" fontId="0" fillId="0" borderId="0" xfId="9" applyNumberFormat="1" applyFont="1" applyFill="1"/>
    <xf numFmtId="164" fontId="0" fillId="0" borderId="7" xfId="1" applyNumberFormat="1" applyFont="1" applyFill="1" applyBorder="1" applyAlignment="1">
      <alignment horizontal="center"/>
    </xf>
    <xf numFmtId="164" fontId="4" fillId="9" borderId="7" xfId="1" applyNumberFormat="1" applyFont="1" applyFill="1" applyBorder="1" applyAlignment="1">
      <alignment horizontal="center"/>
    </xf>
    <xf numFmtId="0" fontId="71" fillId="0" borderId="0" xfId="0" applyFont="1"/>
    <xf numFmtId="164" fontId="5" fillId="0" borderId="9" xfId="1" applyNumberFormat="1" applyFont="1" applyFill="1" applyBorder="1"/>
    <xf numFmtId="164" fontId="2" fillId="0" borderId="9" xfId="1" applyNumberFormat="1" applyFont="1" applyFill="1" applyBorder="1"/>
    <xf numFmtId="164" fontId="2" fillId="0" borderId="9" xfId="1" applyNumberFormat="1" applyFont="1" applyBorder="1"/>
    <xf numFmtId="164" fontId="0" fillId="0" borderId="9" xfId="1" applyNumberFormat="1" applyFont="1" applyBorder="1"/>
    <xf numFmtId="164" fontId="2" fillId="0" borderId="13" xfId="1" applyNumberFormat="1" applyFont="1" applyBorder="1"/>
    <xf numFmtId="164" fontId="2" fillId="0" borderId="8" xfId="1" applyNumberFormat="1" applyFont="1" applyBorder="1"/>
    <xf numFmtId="164" fontId="0" fillId="0" borderId="9" xfId="1" applyNumberFormat="1" applyFont="1" applyFill="1" applyBorder="1"/>
    <xf numFmtId="164" fontId="0" fillId="0" borderId="16" xfId="1" applyNumberFormat="1" applyFont="1" applyBorder="1"/>
    <xf numFmtId="164" fontId="4" fillId="27" borderId="40" xfId="1" applyNumberFormat="1" applyFont="1" applyFill="1" applyBorder="1"/>
    <xf numFmtId="164" fontId="0" fillId="9" borderId="0" xfId="1" applyNumberFormat="1" applyFont="1" applyFill="1"/>
    <xf numFmtId="164" fontId="0" fillId="27" borderId="0" xfId="1" applyNumberFormat="1" applyFont="1" applyFill="1" applyAlignment="1"/>
    <xf numFmtId="164" fontId="19" fillId="0" borderId="0" xfId="1" applyNumberFormat="1" applyFont="1"/>
    <xf numFmtId="0" fontId="56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/>
    </xf>
    <xf numFmtId="183" fontId="60" fillId="0" borderId="0" xfId="0" applyNumberFormat="1" applyFont="1" applyAlignment="1">
      <alignment horizontal="center" vertical="top"/>
    </xf>
    <xf numFmtId="0" fontId="61" fillId="0" borderId="0" xfId="0" applyFont="1" applyAlignment="1">
      <alignment horizontal="center" vertical="top"/>
    </xf>
    <xf numFmtId="0" fontId="56" fillId="0" borderId="0" xfId="0" applyFont="1" applyAlignment="1">
      <alignment horizontal="center" vertical="top"/>
    </xf>
    <xf numFmtId="2" fontId="69" fillId="0" borderId="0" xfId="0" applyNumberFormat="1" applyFont="1" applyAlignment="1">
      <alignment horizontal="center" vertical="top"/>
    </xf>
    <xf numFmtId="164" fontId="61" fillId="0" borderId="0" xfId="1" applyNumberFormat="1" applyFont="1" applyFill="1" applyBorder="1" applyAlignment="1">
      <alignment horizontal="left" vertical="top"/>
    </xf>
    <xf numFmtId="0" fontId="69" fillId="0" borderId="0" xfId="0" applyFont="1" applyAlignment="1">
      <alignment horizontal="center" vertical="top"/>
    </xf>
    <xf numFmtId="10" fontId="69" fillId="0" borderId="0" xfId="0" applyNumberFormat="1" applyFont="1" applyAlignment="1">
      <alignment horizontal="center" vertical="top"/>
    </xf>
    <xf numFmtId="184" fontId="70" fillId="0" borderId="0" xfId="0" applyNumberFormat="1" applyFont="1" applyAlignment="1">
      <alignment horizontal="center" vertical="top"/>
    </xf>
    <xf numFmtId="14" fontId="70" fillId="0" borderId="0" xfId="0" applyNumberFormat="1" applyFont="1" applyAlignment="1">
      <alignment horizontal="center" vertical="top"/>
    </xf>
    <xf numFmtId="2" fontId="69" fillId="0" borderId="0" xfId="1" applyNumberFormat="1" applyFont="1" applyFill="1" applyBorder="1" applyAlignment="1">
      <alignment horizontal="center" vertical="top"/>
    </xf>
    <xf numFmtId="180" fontId="61" fillId="0" borderId="0" xfId="0" applyNumberFormat="1" applyFont="1"/>
    <xf numFmtId="2" fontId="61" fillId="0" borderId="0" xfId="0" applyNumberFormat="1" applyFont="1" applyAlignment="1">
      <alignment horizontal="center"/>
    </xf>
    <xf numFmtId="14" fontId="61" fillId="0" borderId="0" xfId="0" applyNumberFormat="1" applyFont="1" applyAlignment="1">
      <alignment horizontal="center" vertical="top"/>
    </xf>
    <xf numFmtId="185" fontId="61" fillId="0" borderId="0" xfId="1" applyNumberFormat="1" applyFont="1" applyFill="1" applyBorder="1" applyAlignment="1">
      <alignment horizontal="center"/>
    </xf>
    <xf numFmtId="0" fontId="61" fillId="0" borderId="0" xfId="0" applyFont="1" applyAlignment="1">
      <alignment horizontal="left" vertical="top"/>
    </xf>
    <xf numFmtId="186" fontId="60" fillId="0" borderId="0" xfId="0" applyNumberFormat="1" applyFont="1" applyAlignment="1">
      <alignment horizontal="right" vertical="top"/>
    </xf>
    <xf numFmtId="3" fontId="64" fillId="0" borderId="0" xfId="0" applyNumberFormat="1" applyFont="1" applyAlignment="1">
      <alignment horizontal="center"/>
    </xf>
    <xf numFmtId="0" fontId="60" fillId="0" borderId="0" xfId="0" applyFont="1" applyAlignment="1">
      <alignment horizontal="center" vertical="top"/>
    </xf>
    <xf numFmtId="186" fontId="60" fillId="0" borderId="0" xfId="0" applyNumberFormat="1" applyFont="1"/>
    <xf numFmtId="186" fontId="60" fillId="0" borderId="0" xfId="0" applyNumberFormat="1" applyFont="1" applyAlignment="1">
      <alignment horizontal="center"/>
    </xf>
    <xf numFmtId="43" fontId="65" fillId="0" borderId="0" xfId="18" applyFont="1" applyFill="1" applyBorder="1"/>
    <xf numFmtId="186" fontId="64" fillId="0" borderId="0" xfId="0" applyNumberFormat="1" applyFont="1" applyAlignment="1">
      <alignment horizontal="right" vertical="top"/>
    </xf>
    <xf numFmtId="183" fontId="64" fillId="0" borderId="0" xfId="0" applyNumberFormat="1" applyFont="1" applyAlignment="1">
      <alignment horizontal="left" vertical="top"/>
    </xf>
    <xf numFmtId="180" fontId="61" fillId="0" borderId="80" xfId="0" applyNumberFormat="1" applyFont="1" applyBorder="1"/>
    <xf numFmtId="2" fontId="61" fillId="0" borderId="80" xfId="0" applyNumberFormat="1" applyFont="1" applyBorder="1" applyAlignment="1">
      <alignment horizontal="center" vertical="top"/>
    </xf>
    <xf numFmtId="186" fontId="61" fillId="0" borderId="79" xfId="0" applyNumberFormat="1" applyFont="1" applyBorder="1" applyAlignment="1">
      <alignment horizontal="right" vertical="top"/>
    </xf>
    <xf numFmtId="0" fontId="61" fillId="0" borderId="79" xfId="0" applyFont="1" applyBorder="1" applyAlignment="1">
      <alignment horizontal="left" vertical="top"/>
    </xf>
    <xf numFmtId="187" fontId="60" fillId="0" borderId="0" xfId="0" applyNumberFormat="1" applyFont="1" applyAlignment="1">
      <alignment horizontal="right" vertical="top"/>
    </xf>
    <xf numFmtId="2" fontId="61" fillId="0" borderId="80" xfId="0" applyNumberFormat="1" applyFont="1" applyBorder="1" applyAlignment="1">
      <alignment horizontal="center"/>
    </xf>
    <xf numFmtId="0" fontId="72" fillId="0" borderId="0" xfId="0" applyFont="1" applyAlignment="1">
      <alignment horizontal="left" vertical="top"/>
    </xf>
    <xf numFmtId="0" fontId="73" fillId="0" borderId="0" xfId="0" applyFont="1"/>
    <xf numFmtId="176" fontId="4" fillId="9" borderId="7" xfId="0" applyNumberFormat="1" applyFont="1" applyFill="1" applyBorder="1" applyAlignment="1">
      <alignment horizontal="center"/>
    </xf>
    <xf numFmtId="188" fontId="4" fillId="0" borderId="46" xfId="1" applyNumberFormat="1" applyFont="1" applyFill="1" applyBorder="1" applyAlignment="1">
      <alignment horizontal="center"/>
    </xf>
    <xf numFmtId="183" fontId="74" fillId="0" borderId="0" xfId="0" applyNumberFormat="1" applyFont="1" applyAlignment="1">
      <alignment horizontal="center" vertical="top"/>
    </xf>
    <xf numFmtId="185" fontId="69" fillId="0" borderId="0" xfId="1" applyNumberFormat="1" applyFont="1" applyFill="1" applyBorder="1" applyAlignment="1">
      <alignment horizontal="right"/>
    </xf>
    <xf numFmtId="14" fontId="69" fillId="0" borderId="0" xfId="0" applyNumberFormat="1" applyFont="1" applyAlignment="1">
      <alignment horizontal="center" vertical="top"/>
    </xf>
    <xf numFmtId="2" fontId="69" fillId="0" borderId="0" xfId="0" applyNumberFormat="1" applyFont="1" applyAlignment="1">
      <alignment horizontal="center"/>
    </xf>
    <xf numFmtId="2" fontId="69" fillId="0" borderId="80" xfId="0" applyNumberFormat="1" applyFont="1" applyBorder="1" applyAlignment="1">
      <alignment horizontal="center" vertical="top"/>
    </xf>
    <xf numFmtId="185" fontId="69" fillId="0" borderId="80" xfId="1" applyNumberFormat="1" applyFont="1" applyFill="1" applyBorder="1" applyAlignment="1">
      <alignment horizontal="right"/>
    </xf>
    <xf numFmtId="186" fontId="69" fillId="0" borderId="0" xfId="0" applyNumberFormat="1" applyFont="1" applyAlignment="1">
      <alignment horizontal="right" vertical="top"/>
    </xf>
    <xf numFmtId="185" fontId="69" fillId="0" borderId="0" xfId="1" applyNumberFormat="1" applyFont="1" applyFill="1" applyBorder="1" applyAlignment="1">
      <alignment horizontal="center"/>
    </xf>
    <xf numFmtId="186" fontId="69" fillId="0" borderId="79" xfId="0" applyNumberFormat="1" applyFont="1" applyBorder="1" applyAlignment="1">
      <alignment horizontal="right" vertical="top"/>
    </xf>
    <xf numFmtId="3" fontId="75" fillId="0" borderId="0" xfId="0" applyNumberFormat="1" applyFont="1" applyAlignment="1">
      <alignment horizontal="center"/>
    </xf>
    <xf numFmtId="3" fontId="75" fillId="28" borderId="0" xfId="0" applyNumberFormat="1" applyFont="1" applyFill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9" fontId="0" fillId="0" borderId="65" xfId="2" applyFont="1" applyFill="1" applyBorder="1" applyAlignment="1">
      <alignment horizontal="center" vertical="center"/>
    </xf>
    <xf numFmtId="164" fontId="4" fillId="0" borderId="65" xfId="1" applyNumberFormat="1" applyFont="1" applyBorder="1" applyAlignment="1">
      <alignment vertical="center"/>
    </xf>
    <xf numFmtId="164" fontId="3" fillId="5" borderId="65" xfId="1" applyNumberFormat="1" applyFont="1" applyFill="1" applyBorder="1" applyAlignment="1" applyProtection="1">
      <alignment vertical="center"/>
      <protection locked="0"/>
    </xf>
    <xf numFmtId="0" fontId="74" fillId="0" borderId="0" xfId="0" applyFont="1" applyAlignment="1">
      <alignment horizontal="center" vertical="top"/>
    </xf>
    <xf numFmtId="164" fontId="3" fillId="0" borderId="0" xfId="1" applyNumberFormat="1" applyFont="1" applyFill="1"/>
    <xf numFmtId="164" fontId="0" fillId="0" borderId="0" xfId="1" applyNumberFormat="1" applyFont="1" applyFill="1"/>
    <xf numFmtId="0" fontId="76" fillId="9" borderId="0" xfId="0" quotePrefix="1" applyFont="1" applyFill="1" applyAlignment="1">
      <alignment horizontal="left" vertical="top"/>
    </xf>
    <xf numFmtId="0" fontId="77" fillId="9" borderId="0" xfId="20" applyFont="1" applyFill="1"/>
    <xf numFmtId="0" fontId="4" fillId="9" borderId="0" xfId="0" applyFont="1" applyFill="1" applyAlignment="1">
      <alignment horizontal="left"/>
    </xf>
    <xf numFmtId="0" fontId="4" fillId="9" borderId="43" xfId="0" applyFont="1" applyFill="1" applyBorder="1" applyAlignment="1">
      <alignment horizontal="left"/>
    </xf>
    <xf numFmtId="0" fontId="5" fillId="9" borderId="43" xfId="0" applyFont="1" applyFill="1" applyBorder="1" applyAlignment="1">
      <alignment horizontal="left"/>
    </xf>
    <xf numFmtId="189" fontId="5" fillId="9" borderId="43" xfId="0" applyNumberFormat="1" applyFont="1" applyFill="1" applyBorder="1" applyAlignment="1">
      <alignment horizontal="left"/>
    </xf>
    <xf numFmtId="182" fontId="57" fillId="29" borderId="79" xfId="0" applyNumberFormat="1" applyFont="1" applyFill="1" applyBorder="1" applyAlignment="1">
      <alignment horizontal="center" vertical="center" wrapText="1"/>
    </xf>
    <xf numFmtId="0" fontId="57" fillId="29" borderId="80" xfId="0" applyFont="1" applyFill="1" applyBorder="1" applyAlignment="1">
      <alignment horizontal="center" vertical="center" wrapText="1"/>
    </xf>
    <xf numFmtId="0" fontId="57" fillId="29" borderId="79" xfId="0" applyFont="1" applyFill="1" applyBorder="1" applyAlignment="1">
      <alignment horizontal="center" vertical="center" wrapText="1"/>
    </xf>
    <xf numFmtId="43" fontId="61" fillId="0" borderId="0" xfId="1" applyFont="1" applyFill="1" applyBorder="1" applyAlignment="1">
      <alignment horizontal="right"/>
    </xf>
    <xf numFmtId="0" fontId="2" fillId="12" borderId="42" xfId="0" applyFont="1" applyFill="1" applyBorder="1" applyAlignment="1">
      <alignment horizontal="left"/>
    </xf>
    <xf numFmtId="0" fontId="2" fillId="12" borderId="47" xfId="0" applyFont="1" applyFill="1" applyBorder="1" applyAlignment="1">
      <alignment horizontal="left"/>
    </xf>
    <xf numFmtId="0" fontId="2" fillId="12" borderId="44" xfId="0" applyFont="1" applyFill="1" applyBorder="1" applyAlignment="1">
      <alignment horizontal="left"/>
    </xf>
  </cellXfs>
  <cellStyles count="21">
    <cellStyle name="Comma" xfId="1" builtinId="3"/>
    <cellStyle name="Comma 13" xfId="18" xr:uid="{00000000-0005-0000-0000-000001000000}"/>
    <cellStyle name="Comma 2" xfId="6" xr:uid="{00000000-0005-0000-0000-000002000000}"/>
    <cellStyle name="Comma 3" xfId="12" xr:uid="{00000000-0005-0000-0000-000003000000}"/>
    <cellStyle name="Currency" xfId="9" builtinId="4"/>
    <cellStyle name="Currency 2 2 2" xfId="5" xr:uid="{00000000-0005-0000-0000-000005000000}"/>
    <cellStyle name="Normal" xfId="0" builtinId="0"/>
    <cellStyle name="Normal 11" xfId="3" xr:uid="{00000000-0005-0000-0000-000007000000}"/>
    <cellStyle name="Normal 11 2" xfId="19" xr:uid="{00000000-0005-0000-0000-000008000000}"/>
    <cellStyle name="Normal 2" xfId="8" xr:uid="{00000000-0005-0000-0000-000009000000}"/>
    <cellStyle name="Normal 2 2" xfId="7" xr:uid="{00000000-0005-0000-0000-00000A000000}"/>
    <cellStyle name="Normal 3" xfId="13" xr:uid="{00000000-0005-0000-0000-00000B000000}"/>
    <cellStyle name="Normal 4" xfId="14" xr:uid="{00000000-0005-0000-0000-00000C000000}"/>
    <cellStyle name="Normal 5" xfId="15" xr:uid="{00000000-0005-0000-0000-00000D000000}"/>
    <cellStyle name="Normal 6" xfId="16" xr:uid="{00000000-0005-0000-0000-00000E000000}"/>
    <cellStyle name="Normal 67" xfId="10" xr:uid="{00000000-0005-0000-0000-00000F000000}"/>
    <cellStyle name="Normal 7" xfId="17" xr:uid="{00000000-0005-0000-0000-000010000000}"/>
    <cellStyle name="Normal_Sample Borrowing Base Certificate" xfId="20" xr:uid="{6848F094-EF3A-4A90-A111-653455CC844E}"/>
    <cellStyle name="Percent" xfId="2" builtinId="5"/>
    <cellStyle name="Percent 2" xfId="4" xr:uid="{00000000-0005-0000-0000-000012000000}"/>
    <cellStyle name="Percent 3" xfId="11" xr:uid="{00000000-0005-0000-0000-000013000000}"/>
  </cellStyles>
  <dxfs count="95">
    <dxf>
      <numFmt numFmtId="35" formatCode="_(* #,##0.00_);_(* \(#,##0.00\);_(* &quot;-&quot;??_);_(@_)"/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color theme="1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  <color rgb="FFE5EFFF"/>
      <color rgb="FF1939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nnantPark%20Investment%20Funding%20I,%20LLC_Cash%20File_06.30.2025_0630251824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ransactions"/>
      <sheetName val="Outstanding Payments"/>
      <sheetName val="Sheet1"/>
      <sheetName val="BB"/>
      <sheetName val="SOI"/>
      <sheetName val="Holdings"/>
      <sheetName val="Pending Trad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Borrowing Base</v>
          </cell>
          <cell r="E1" t="str">
            <v>Coupon</v>
          </cell>
          <cell r="F1" t="str">
            <v>Spread</v>
          </cell>
          <cell r="G1" t="str">
            <v>Date of Latest Financial Reporting</v>
          </cell>
          <cell r="H1" t="str">
            <v>Net Senior Lev Ratio</v>
          </cell>
          <cell r="I1" t="str">
            <v>EBITDA ($m)</v>
          </cell>
          <cell r="J1" t="str">
            <v>Total Leverage Ratio
(current)</v>
          </cell>
          <cell r="K1" t="str">
            <v>Cash Interest Coverage Ratio (current)</v>
          </cell>
        </row>
        <row r="2">
          <cell r="C2" t="str">
            <v>A1 Garage Merger Sub, LLC</v>
          </cell>
          <cell r="D2">
            <v>3183892.61</v>
          </cell>
          <cell r="E2">
            <v>8.8267999999999999E-2</v>
          </cell>
          <cell r="F2">
            <v>4.4999999999999998E-2</v>
          </cell>
          <cell r="G2">
            <v>45808</v>
          </cell>
          <cell r="H2">
            <v>2.0889824866269762</v>
          </cell>
          <cell r="I2">
            <v>66.177999999999997</v>
          </cell>
          <cell r="J2">
            <v>2.0889824866269762</v>
          </cell>
          <cell r="K2">
            <v>3.6700803105276805</v>
          </cell>
        </row>
        <row r="3">
          <cell r="C3" t="str">
            <v>AFC - Dell Holding Corp.</v>
          </cell>
          <cell r="D3">
            <v>268902.61</v>
          </cell>
          <cell r="E3">
            <v>9.8200400719575864E-2</v>
          </cell>
          <cell r="F3">
            <v>5.5E-2</v>
          </cell>
          <cell r="G3">
            <v>45808</v>
          </cell>
          <cell r="H3">
            <v>6.2544801166998543</v>
          </cell>
          <cell r="I3">
            <v>74.476344488005637</v>
          </cell>
          <cell r="J3">
            <v>7.3477771530033653</v>
          </cell>
          <cell r="K3">
            <v>1.3038534472351153</v>
          </cell>
        </row>
        <row r="4">
          <cell r="C4" t="str">
            <v>Alpine Acquisition Corp II</v>
          </cell>
          <cell r="D4">
            <v>3988970.95</v>
          </cell>
          <cell r="E4">
            <v>0.10423867229075129</v>
          </cell>
          <cell r="F4">
            <v>6.0999999999999999E-2</v>
          </cell>
          <cell r="G4">
            <v>45777</v>
          </cell>
          <cell r="H4">
            <v>20.461364406501755</v>
          </cell>
          <cell r="I4">
            <v>91.483000000000004</v>
          </cell>
          <cell r="J4">
            <v>21.060524906266739</v>
          </cell>
          <cell r="K4">
            <v>0.74807019265364871</v>
          </cell>
        </row>
        <row r="5">
          <cell r="C5" t="str">
            <v>Archer Lewis</v>
          </cell>
          <cell r="D5">
            <v>3893383.44</v>
          </cell>
          <cell r="E5">
            <v>0.10049803526551059</v>
          </cell>
          <cell r="F5">
            <v>5.7500000000000002E-2</v>
          </cell>
          <cell r="G5">
            <v>45777</v>
          </cell>
          <cell r="H5">
            <v>3.7470930601057781</v>
          </cell>
          <cell r="I5">
            <v>15.684637167335501</v>
          </cell>
          <cell r="J5">
            <v>3.7470930601057781</v>
          </cell>
          <cell r="K5">
            <v>3.5015353013232922</v>
          </cell>
        </row>
        <row r="6">
          <cell r="C6" t="str">
            <v>Argano, LLC</v>
          </cell>
          <cell r="D6">
            <v>820443.75</v>
          </cell>
          <cell r="E6">
            <v>0.100767</v>
          </cell>
          <cell r="F6">
            <v>5.7500000000000002E-2</v>
          </cell>
          <cell r="G6">
            <v>45777</v>
          </cell>
          <cell r="H6">
            <v>4.7915590404508261</v>
          </cell>
          <cell r="I6">
            <v>78.649518</v>
          </cell>
          <cell r="J6">
            <v>6.6987544539052353</v>
          </cell>
          <cell r="K6">
            <v>1.9659378987282068</v>
          </cell>
        </row>
        <row r="7">
          <cell r="C7" t="str">
            <v>BBB Industries</v>
          </cell>
          <cell r="D7">
            <v>247692.39</v>
          </cell>
          <cell r="E7">
            <v>9.6491999999999994E-2</v>
          </cell>
          <cell r="F7">
            <v>5.3499999999999999E-2</v>
          </cell>
          <cell r="G7">
            <v>45747</v>
          </cell>
          <cell r="H7">
            <v>5.7475792988313863</v>
          </cell>
          <cell r="I7">
            <v>299.5</v>
          </cell>
          <cell r="J7">
            <v>6.937228714524208</v>
          </cell>
          <cell r="K7">
            <v>1.4094117647058824</v>
          </cell>
        </row>
        <row r="8">
          <cell r="C8" t="str">
            <v>Beacon Behavioral Support  Services, LLC</v>
          </cell>
          <cell r="D8">
            <v>12139547.219999999</v>
          </cell>
          <cell r="E8">
            <v>9.8032852127280176E-2</v>
          </cell>
          <cell r="F8">
            <v>5.5E-2</v>
          </cell>
          <cell r="G8">
            <v>45808</v>
          </cell>
          <cell r="H8">
            <v>5.1793885806758384</v>
          </cell>
          <cell r="I8">
            <v>21.173978202366602</v>
          </cell>
          <cell r="J8">
            <v>5.8076004444489522</v>
          </cell>
          <cell r="K8">
            <v>1.852747307651202</v>
          </cell>
        </row>
        <row r="9">
          <cell r="C9" t="str">
            <v>BlackHawk Industrial</v>
          </cell>
          <cell r="D9">
            <v>8631215.8200000003</v>
          </cell>
          <cell r="E9">
            <v>9.6993426014872861E-2</v>
          </cell>
          <cell r="F9">
            <v>5.3999999999999999E-2</v>
          </cell>
          <cell r="G9">
            <v>45808</v>
          </cell>
          <cell r="H9">
            <v>6.125175245343482</v>
          </cell>
          <cell r="I9">
            <v>49.93</v>
          </cell>
          <cell r="J9">
            <v>6.7313238533947528</v>
          </cell>
          <cell r="K9">
            <v>1.2612407800343539</v>
          </cell>
        </row>
        <row r="10">
          <cell r="C10" t="str">
            <v>C5MI Acquisition, LLC</v>
          </cell>
          <cell r="D10">
            <v>1488750</v>
          </cell>
          <cell r="E10">
            <v>0.10299200000000003</v>
          </cell>
          <cell r="F10">
            <v>0.06</v>
          </cell>
          <cell r="G10">
            <v>45808</v>
          </cell>
          <cell r="H10">
            <v>4.2271481555449366</v>
          </cell>
          <cell r="I10">
            <v>17.975770000000001</v>
          </cell>
          <cell r="J10">
            <v>4.9058237839046663</v>
          </cell>
          <cell r="K10">
            <v>1.9968640302155076</v>
          </cell>
        </row>
        <row r="11">
          <cell r="C11" t="str">
            <v>CF512, Inc.</v>
          </cell>
          <cell r="D11">
            <v>6282197.3100000005</v>
          </cell>
          <cell r="E11">
            <v>0.10503471536011028</v>
          </cell>
          <cell r="F11">
            <v>6.1899999999999997E-2</v>
          </cell>
          <cell r="G11">
            <v>45808</v>
          </cell>
          <cell r="H11">
            <v>5.4929051530993265</v>
          </cell>
          <cell r="I11">
            <v>12.051000000000002</v>
          </cell>
          <cell r="J11">
            <v>5.4929051530993265</v>
          </cell>
          <cell r="K11">
            <v>1.5540854224698237</v>
          </cell>
        </row>
        <row r="12">
          <cell r="C12" t="str">
            <v>Carnegie Dartlet, LLC</v>
          </cell>
          <cell r="D12">
            <v>6882726.1399999997</v>
          </cell>
          <cell r="E12">
            <v>9.8268000000000008E-2</v>
          </cell>
          <cell r="F12">
            <v>5.5E-2</v>
          </cell>
          <cell r="G12">
            <v>45777</v>
          </cell>
          <cell r="H12">
            <v>4.7598750700888512</v>
          </cell>
          <cell r="I12">
            <v>18.576537975890503</v>
          </cell>
          <cell r="J12">
            <v>4.7598750700888512</v>
          </cell>
          <cell r="K12">
            <v>1.9328322592667</v>
          </cell>
        </row>
        <row r="13">
          <cell r="C13" t="str">
            <v>Carisk Buyer, Inc.</v>
          </cell>
          <cell r="D13">
            <v>1113939.3600000001</v>
          </cell>
          <cell r="E13">
            <v>9.5492000000000021E-2</v>
          </cell>
          <cell r="F13">
            <v>5.2499999999999998E-2</v>
          </cell>
          <cell r="G13">
            <v>45777</v>
          </cell>
          <cell r="H13">
            <v>3.0847821323011551</v>
          </cell>
          <cell r="I13">
            <v>19.206771</v>
          </cell>
          <cell r="J13">
            <v>3.0847821323011551</v>
          </cell>
          <cell r="K13">
            <v>2.210207674772124</v>
          </cell>
        </row>
        <row r="14">
          <cell r="C14" t="str">
            <v>Cartessa</v>
          </cell>
          <cell r="D14">
            <v>5192492.34</v>
          </cell>
          <cell r="E14">
            <v>0.100492</v>
          </cell>
          <cell r="F14">
            <v>5.7500000000000002E-2</v>
          </cell>
          <cell r="G14">
            <v>45777</v>
          </cell>
          <cell r="H14">
            <v>3.8016816504191553</v>
          </cell>
          <cell r="I14">
            <v>17.179532238635421</v>
          </cell>
          <cell r="J14">
            <v>3.8016816504191553</v>
          </cell>
          <cell r="K14">
            <v>1.9667672110059979</v>
          </cell>
        </row>
        <row r="15">
          <cell r="C15" t="str">
            <v>Case Works</v>
          </cell>
          <cell r="D15">
            <v>4491992.74</v>
          </cell>
          <cell r="E15">
            <v>9.5492000000000007E-2</v>
          </cell>
          <cell r="F15">
            <v>5.2499999999999998E-2</v>
          </cell>
          <cell r="G15">
            <v>45777</v>
          </cell>
          <cell r="H15">
            <v>4.657301640807411</v>
          </cell>
          <cell r="I15">
            <v>19.55827758113783</v>
          </cell>
          <cell r="J15">
            <v>6.9478918941743784</v>
          </cell>
          <cell r="K15">
            <v>1.5484278693377418</v>
          </cell>
        </row>
        <row r="16">
          <cell r="C16" t="str">
            <v>Centauri</v>
          </cell>
          <cell r="D16">
            <v>2500143.9300000002</v>
          </cell>
          <cell r="E16">
            <v>9.0491999999999989E-2</v>
          </cell>
          <cell r="F16">
            <v>4.7500000000000001E-2</v>
          </cell>
          <cell r="G16">
            <v>45777</v>
          </cell>
          <cell r="H16">
            <v>3.6916259904912838</v>
          </cell>
          <cell r="I16">
            <v>78.875</v>
          </cell>
          <cell r="J16">
            <v>3.6916259904912838</v>
          </cell>
          <cell r="K16">
            <v>2.7843670050939</v>
          </cell>
        </row>
        <row r="17">
          <cell r="C17" t="str">
            <v>Comprehensive Rehab Consultants</v>
          </cell>
          <cell r="D17">
            <v>3727355.9</v>
          </cell>
          <cell r="E17">
            <v>0.105492</v>
          </cell>
          <cell r="F17">
            <v>6.25E-2</v>
          </cell>
          <cell r="G17">
            <v>45808</v>
          </cell>
          <cell r="H17">
            <v>3.6877484780158927</v>
          </cell>
          <cell r="I17">
            <v>19.221484443032701</v>
          </cell>
          <cell r="J17">
            <v>3.6877484780158927</v>
          </cell>
          <cell r="K17">
            <v>2.1060024589714801</v>
          </cell>
        </row>
        <row r="18">
          <cell r="C18" t="str">
            <v>Crane 1 Services, Inc.</v>
          </cell>
          <cell r="D18">
            <v>992500</v>
          </cell>
          <cell r="E18">
            <v>9.6912999999999985E-2</v>
          </cell>
          <cell r="F18">
            <v>5.3600000000000002E-2</v>
          </cell>
          <cell r="G18">
            <v>45808</v>
          </cell>
          <cell r="H18">
            <v>5.385151433931922</v>
          </cell>
          <cell r="I18">
            <v>26.117000000000001</v>
          </cell>
          <cell r="J18">
            <v>5.385151433931922</v>
          </cell>
          <cell r="K18">
            <v>1.894045978678657</v>
          </cell>
        </row>
        <row r="19">
          <cell r="C19" t="str">
            <v xml:space="preserve">Dr. Squatch, LLC </v>
          </cell>
          <cell r="D19">
            <v>14391474.029999999</v>
          </cell>
          <cell r="E19">
            <v>9.6603450333978991E-2</v>
          </cell>
          <cell r="F19">
            <v>5.3499999999999999E-2</v>
          </cell>
          <cell r="G19">
            <v>45747</v>
          </cell>
          <cell r="H19">
            <v>1.0515937434535187</v>
          </cell>
          <cell r="I19">
            <v>105.25377061155207</v>
          </cell>
          <cell r="J19">
            <v>1.0515937434535187</v>
          </cell>
          <cell r="K19">
            <v>6.1260243697738339</v>
          </cell>
        </row>
        <row r="20">
          <cell r="C20" t="str">
            <v>EDS Buyers, LLC</v>
          </cell>
          <cell r="D20">
            <v>5438891.75</v>
          </cell>
          <cell r="E20">
            <v>0.10046712956052216</v>
          </cell>
          <cell r="F20">
            <v>5.7500000000000002E-2</v>
          </cell>
          <cell r="G20">
            <v>45777</v>
          </cell>
          <cell r="H20">
            <v>2.8726453492804902</v>
          </cell>
          <cell r="I20">
            <v>29.707113000000003</v>
          </cell>
          <cell r="J20">
            <v>2.8726453492804902</v>
          </cell>
          <cell r="K20">
            <v>2.4905948480673334</v>
          </cell>
        </row>
        <row r="21">
          <cell r="C21" t="str">
            <v>Eval Home Health Solutions Intermediate, LLC</v>
          </cell>
          <cell r="D21">
            <v>1358911.12</v>
          </cell>
          <cell r="E21">
            <v>0.10076800000000001</v>
          </cell>
          <cell r="F21">
            <v>5.7500000000000002E-2</v>
          </cell>
          <cell r="G21">
            <v>45777</v>
          </cell>
          <cell r="H21">
            <v>3.6212288521252662</v>
          </cell>
          <cell r="I21">
            <v>12.719275936666678</v>
          </cell>
          <cell r="J21">
            <v>3.6212288521252662</v>
          </cell>
          <cell r="K21">
            <v>2.4908462430126619</v>
          </cell>
        </row>
        <row r="22">
          <cell r="C22" t="str">
            <v>GGG Midco, LLC</v>
          </cell>
          <cell r="D22">
            <v>6561913.8300000001</v>
          </cell>
          <cell r="E22">
            <v>9.302871339092636E-2</v>
          </cell>
          <cell r="F22">
            <v>0.05</v>
          </cell>
          <cell r="G22">
            <v>45777</v>
          </cell>
          <cell r="H22">
            <v>3.1761983067081339</v>
          </cell>
          <cell r="I22">
            <v>20.841533999999999</v>
          </cell>
          <cell r="J22">
            <v>3.4832774305384624</v>
          </cell>
          <cell r="K22">
            <v>2.9354273239436619</v>
          </cell>
        </row>
        <row r="23">
          <cell r="C23" t="str">
            <v>HEC Purchaser Corp.</v>
          </cell>
          <cell r="D23">
            <v>1965112.77</v>
          </cell>
          <cell r="E23">
            <v>9.7166000000000016E-2</v>
          </cell>
          <cell r="F23">
            <v>5.5E-2</v>
          </cell>
          <cell r="G23">
            <v>45747</v>
          </cell>
          <cell r="H23">
            <v>3.783015855568912</v>
          </cell>
          <cell r="I23">
            <v>60.42995337</v>
          </cell>
          <cell r="J23">
            <v>3.783015855568912</v>
          </cell>
          <cell r="K23">
            <v>2.4764341666683758</v>
          </cell>
        </row>
        <row r="24">
          <cell r="C24" t="str">
            <v>Harris &amp; Co. LLC</v>
          </cell>
          <cell r="D24">
            <v>8205680.5499999998</v>
          </cell>
          <cell r="E24">
            <v>9.326799999999999E-2</v>
          </cell>
          <cell r="F24">
            <v>0.05</v>
          </cell>
          <cell r="G24">
            <v>45808</v>
          </cell>
          <cell r="H24">
            <v>4.257358030076916</v>
          </cell>
          <cell r="I24">
            <v>30.997393000000002</v>
          </cell>
          <cell r="J24">
            <v>4.257358030076916</v>
          </cell>
          <cell r="K24">
            <v>2.1264590107703918</v>
          </cell>
        </row>
        <row r="25">
          <cell r="C25" t="str">
            <v>HW Holdco, LLC</v>
          </cell>
          <cell r="D25">
            <v>7618243.3600000003</v>
          </cell>
          <cell r="E25">
            <v>0.10183187546724938</v>
          </cell>
          <cell r="F25">
            <v>5.8999999999999997E-2</v>
          </cell>
          <cell r="G25">
            <v>45777</v>
          </cell>
          <cell r="H25">
            <v>2.9773456800497455</v>
          </cell>
          <cell r="I25">
            <v>59.503</v>
          </cell>
          <cell r="J25">
            <v>2.9773456800497455</v>
          </cell>
          <cell r="K25">
            <v>2.6691338088189118</v>
          </cell>
        </row>
        <row r="26">
          <cell r="C26" t="str">
            <v>Infinity Home Services Holdco, Inc.</v>
          </cell>
          <cell r="D26">
            <v>5105362.6500000004</v>
          </cell>
          <cell r="E26">
            <v>9.799200000000001E-2</v>
          </cell>
          <cell r="F26">
            <v>5.5E-2</v>
          </cell>
          <cell r="G26">
            <v>45808</v>
          </cell>
          <cell r="H26">
            <v>5.3019417301058294</v>
          </cell>
          <cell r="I26">
            <v>62.197778999999997</v>
          </cell>
          <cell r="J26">
            <v>5.3019417301058294</v>
          </cell>
          <cell r="K26">
            <v>1.8775399653330955</v>
          </cell>
        </row>
        <row r="27">
          <cell r="C27" t="str">
            <v>Infolinks</v>
          </cell>
          <cell r="D27">
            <v>2048423.5</v>
          </cell>
          <cell r="E27">
            <v>9.7991999999999996E-2</v>
          </cell>
          <cell r="F27">
            <v>5.5E-2</v>
          </cell>
          <cell r="G27">
            <v>45808</v>
          </cell>
          <cell r="H27">
            <v>3.9202492235771995</v>
          </cell>
          <cell r="I27">
            <v>41.925995753408337</v>
          </cell>
          <cell r="J27">
            <v>3.9202492235771995</v>
          </cell>
          <cell r="K27">
            <v>2.4149625329842621</v>
          </cell>
        </row>
        <row r="28">
          <cell r="C28" t="str">
            <v xml:space="preserve">Inventus Power Inc.  </v>
          </cell>
          <cell r="D28">
            <v>1970457.8</v>
          </cell>
          <cell r="E28">
            <v>0.11941300000000002</v>
          </cell>
          <cell r="F28">
            <v>7.6100000000000001E-2</v>
          </cell>
          <cell r="G28">
            <v>45808</v>
          </cell>
          <cell r="H28">
            <v>4.6511100269359069</v>
          </cell>
          <cell r="I28">
            <v>56.058999999999997</v>
          </cell>
          <cell r="J28">
            <v>4.6511100269359069</v>
          </cell>
          <cell r="K28">
            <v>1.6064131587242456</v>
          </cell>
        </row>
        <row r="29">
          <cell r="C29" t="str">
            <v>Lash OpCo, LLC</v>
          </cell>
          <cell r="D29">
            <v>3369991.77</v>
          </cell>
          <cell r="E29">
            <v>0.12129699999999999</v>
          </cell>
          <cell r="F29">
            <v>7.7499999999999999E-2</v>
          </cell>
          <cell r="G29">
            <v>45808</v>
          </cell>
          <cell r="H29">
            <v>7.7855547599496155</v>
          </cell>
          <cell r="I29">
            <v>63.074203353644897</v>
          </cell>
          <cell r="J29">
            <v>7.7855547599496155</v>
          </cell>
          <cell r="K29">
            <v>0.97264013605321897</v>
          </cell>
        </row>
        <row r="30">
          <cell r="C30" t="str">
            <v>MDI Buyer Inc.</v>
          </cell>
          <cell r="D30">
            <v>4779960.4400000004</v>
          </cell>
          <cell r="E30">
            <v>9.3271415820021464E-2</v>
          </cell>
          <cell r="F30">
            <v>0.05</v>
          </cell>
          <cell r="G30">
            <v>45808</v>
          </cell>
          <cell r="H30">
            <v>4.9183791840301527</v>
          </cell>
          <cell r="I30">
            <v>36.502035865101846</v>
          </cell>
          <cell r="J30">
            <v>6.3715821088213724</v>
          </cell>
          <cell r="K30">
            <v>2.33</v>
          </cell>
        </row>
        <row r="31">
          <cell r="C31" t="str">
            <v>Megawatt Acquisitionco, Inc.</v>
          </cell>
          <cell r="D31">
            <v>4930075.2</v>
          </cell>
          <cell r="E31">
            <v>9.799200000000001E-2</v>
          </cell>
          <cell r="F31">
            <v>5.5E-2</v>
          </cell>
          <cell r="G31">
            <v>45808</v>
          </cell>
          <cell r="H31">
            <v>6.6734372012999428</v>
          </cell>
          <cell r="I31">
            <v>20.923999999999999</v>
          </cell>
          <cell r="J31">
            <v>6.6734372012999428</v>
          </cell>
          <cell r="K31">
            <v>1.3672242550967066</v>
          </cell>
        </row>
        <row r="32">
          <cell r="C32" t="str">
            <v>Michael Baker International, LLC</v>
          </cell>
          <cell r="D32">
            <v>496253.14</v>
          </cell>
          <cell r="E32">
            <v>8.2796999999999996E-2</v>
          </cell>
          <cell r="F32">
            <v>0.04</v>
          </cell>
          <cell r="G32">
            <v>45747</v>
          </cell>
          <cell r="H32">
            <v>4.1108670181605156</v>
          </cell>
          <cell r="I32">
            <v>184.35599999999999</v>
          </cell>
          <cell r="J32">
            <v>4.1108670181605156</v>
          </cell>
          <cell r="K32">
            <v>2.9371485016011598</v>
          </cell>
        </row>
        <row r="33">
          <cell r="C33" t="str">
            <v>Municipal Emergency Services, Inc.</v>
          </cell>
          <cell r="D33">
            <v>2493635.9900000002</v>
          </cell>
          <cell r="E33">
            <v>9.449378683696194E-2</v>
          </cell>
          <cell r="F33">
            <v>5.1499999999999997E-2</v>
          </cell>
          <cell r="G33">
            <v>45808</v>
          </cell>
          <cell r="H33">
            <v>3.4205034658883613</v>
          </cell>
          <cell r="I33">
            <v>41.115000000000002</v>
          </cell>
          <cell r="J33">
            <v>3.4205034658883613</v>
          </cell>
          <cell r="K33">
            <v>3.1896594058180039</v>
          </cell>
        </row>
        <row r="34">
          <cell r="C34" t="str">
            <v>MOREgroup Holdings, LLC</v>
          </cell>
          <cell r="D34">
            <v>4241967.99</v>
          </cell>
          <cell r="E34">
            <v>9.5492000000000007E-2</v>
          </cell>
          <cell r="F34">
            <v>5.2499999999999998E-2</v>
          </cell>
          <cell r="G34">
            <v>45777</v>
          </cell>
          <cell r="H34">
            <v>2.6014454560234803</v>
          </cell>
          <cell r="I34">
            <v>69.673244749500498</v>
          </cell>
          <cell r="J34">
            <v>2.6014454560234803</v>
          </cell>
          <cell r="K34">
            <v>2.8006856657025412</v>
          </cell>
        </row>
        <row r="35">
          <cell r="C35" t="str">
            <v>NFS - CFP Holdings, LLC</v>
          </cell>
          <cell r="D35">
            <v>3980866.8899999997</v>
          </cell>
          <cell r="E35">
            <v>9.0605120307342524E-2</v>
          </cell>
          <cell r="F35">
            <v>4.7500000000000001E-2</v>
          </cell>
          <cell r="G35">
            <v>45777</v>
          </cell>
          <cell r="H35">
            <v>3.4362807011936263</v>
          </cell>
          <cell r="I35">
            <v>22.710747845160572</v>
          </cell>
          <cell r="J35">
            <v>3.4362807011936263</v>
          </cell>
          <cell r="K35">
            <v>2.8747782082481734</v>
          </cell>
        </row>
        <row r="36">
          <cell r="C36" t="str">
            <v>NORA ACQUISITION, LLC</v>
          </cell>
          <cell r="D36">
            <v>3768234.86</v>
          </cell>
          <cell r="E36">
            <v>0.10645099999999999</v>
          </cell>
          <cell r="F36">
            <v>6.3500000000000001E-2</v>
          </cell>
          <cell r="G36">
            <v>45777</v>
          </cell>
          <cell r="H36">
            <v>5.880961863972634</v>
          </cell>
          <cell r="I36">
            <v>12.82188953</v>
          </cell>
          <cell r="J36">
            <v>6.2417025862490014</v>
          </cell>
          <cell r="K36">
            <v>1.3526751022148324</v>
          </cell>
        </row>
        <row r="37">
          <cell r="C37" t="str">
            <v>Omnia Exterior Solutions, LLC</v>
          </cell>
          <cell r="D37">
            <v>7118722.4500000002</v>
          </cell>
          <cell r="E37">
            <v>9.5491999999999994E-2</v>
          </cell>
          <cell r="F37">
            <v>5.2499999999999998E-2</v>
          </cell>
          <cell r="G37">
            <v>45808</v>
          </cell>
          <cell r="H37">
            <v>4.0064688521840264</v>
          </cell>
          <cell r="I37">
            <v>31.4897663440527</v>
          </cell>
          <cell r="J37">
            <v>4.0064688521840264</v>
          </cell>
          <cell r="K37">
            <v>2.7559559901362953</v>
          </cell>
        </row>
        <row r="38">
          <cell r="C38" t="str">
            <v>PAR Excellence</v>
          </cell>
          <cell r="D38">
            <v>995000</v>
          </cell>
          <cell r="E38">
            <v>9.3185000000000004E-2</v>
          </cell>
          <cell r="F38">
            <v>0.05</v>
          </cell>
          <cell r="G38">
            <v>45747</v>
          </cell>
          <cell r="H38">
            <v>3.9253892787965685</v>
          </cell>
          <cell r="I38">
            <v>39.753</v>
          </cell>
          <cell r="J38">
            <v>3.9253892787965685</v>
          </cell>
          <cell r="K38">
            <v>2.564709677419355</v>
          </cell>
        </row>
        <row r="39">
          <cell r="C39" t="str">
            <v>PL Acquisitionco, LLC</v>
          </cell>
          <cell r="D39">
            <v>8608914.4700000007</v>
          </cell>
          <cell r="E39">
            <v>0.11501600000000001</v>
          </cell>
          <cell r="F39">
            <v>7.2499999999999995E-2</v>
          </cell>
          <cell r="G39">
            <v>45777</v>
          </cell>
          <cell r="H39">
            <v>-13.523283346487768</v>
          </cell>
          <cell r="I39">
            <v>-5.0679999999999996</v>
          </cell>
          <cell r="J39">
            <v>-13.523283346487768</v>
          </cell>
          <cell r="K39">
            <v>-0.54890068233510225</v>
          </cell>
        </row>
        <row r="40">
          <cell r="C40" t="str">
            <v>Radius Aerospace</v>
          </cell>
          <cell r="D40">
            <v>11810532.25</v>
          </cell>
          <cell r="E40">
            <v>0.10513730459316767</v>
          </cell>
          <cell r="F40">
            <v>6.1499999999999999E-2</v>
          </cell>
          <cell r="G40">
            <v>45777</v>
          </cell>
          <cell r="H40">
            <v>5.4418084709973922</v>
          </cell>
          <cell r="I40">
            <v>24.152999999999999</v>
          </cell>
          <cell r="J40">
            <v>5.4418084709973922</v>
          </cell>
          <cell r="K40">
            <v>1.3522002015451797</v>
          </cell>
        </row>
        <row r="41">
          <cell r="C41" t="str">
            <v>Rancho Medical</v>
          </cell>
          <cell r="D41">
            <v>17282079.379999999</v>
          </cell>
          <cell r="E41">
            <v>9.5476000000000005E-2</v>
          </cell>
          <cell r="F41">
            <v>5.2499999999999998E-2</v>
          </cell>
          <cell r="G41">
            <v>45777</v>
          </cell>
          <cell r="H41">
            <v>3.4240511341903401</v>
          </cell>
          <cell r="I41">
            <v>19.015552294818701</v>
          </cell>
          <cell r="J41">
            <v>3.4240511341903401</v>
          </cell>
          <cell r="K41">
            <v>2.521770782934464</v>
          </cell>
        </row>
        <row r="42">
          <cell r="C42" t="str">
            <v>Reception Purchaser, LLC -First Out Term loan</v>
          </cell>
          <cell r="D42">
            <v>1429975.79</v>
          </cell>
          <cell r="E42">
            <v>0.12678500000000001</v>
          </cell>
          <cell r="F42">
            <v>8.3500000000000005E-2</v>
          </cell>
          <cell r="G42">
            <v>45747</v>
          </cell>
          <cell r="H42">
            <v>-102.26243305279267</v>
          </cell>
          <cell r="I42">
            <v>-9.1489999999999991</v>
          </cell>
          <cell r="J42">
            <v>-102.26243305279267</v>
          </cell>
          <cell r="K42">
            <v>-7.6520968200598852E-2</v>
          </cell>
        </row>
        <row r="43">
          <cell r="C43" t="str">
            <v>Research Now Group, LLC and Dynata, LLC - First Out Term Loan</v>
          </cell>
          <cell r="D43">
            <v>1576230.82</v>
          </cell>
          <cell r="E43">
            <v>9.5860000000000001E-2</v>
          </cell>
          <cell r="F43">
            <v>5.2600000000000001E-2</v>
          </cell>
          <cell r="G43">
            <v>45747</v>
          </cell>
          <cell r="H43">
            <v>4.8901320652934004</v>
          </cell>
          <cell r="I43">
            <v>150.15299999999999</v>
          </cell>
          <cell r="J43">
            <v>4.8901320652934004</v>
          </cell>
          <cell r="K43">
            <v>1.4486820778017906</v>
          </cell>
        </row>
        <row r="44">
          <cell r="C44" t="str">
            <v>Research Now Group, LLC and Dynata, LLC-Last Out Term loan</v>
          </cell>
          <cell r="D44">
            <v>5725814.4500000002</v>
          </cell>
          <cell r="E44">
            <v>0.10086000000000001</v>
          </cell>
          <cell r="F44">
            <v>5.7599999999999998E-2</v>
          </cell>
          <cell r="G44">
            <v>45747</v>
          </cell>
          <cell r="H44">
            <v>4.8901320652934004</v>
          </cell>
          <cell r="I44">
            <v>150.15299999999999</v>
          </cell>
          <cell r="J44">
            <v>4.8901320652934004</v>
          </cell>
          <cell r="K44">
            <v>1.4486820778017906</v>
          </cell>
        </row>
        <row r="45">
          <cell r="C45" t="str">
            <v>RTIC subsidiary Holdings, LLC</v>
          </cell>
          <cell r="D45">
            <v>8862707.1400000006</v>
          </cell>
          <cell r="E45">
            <v>0.10049200000000001</v>
          </cell>
          <cell r="F45">
            <v>5.7500000000000002E-2</v>
          </cell>
          <cell r="G45">
            <v>45777</v>
          </cell>
          <cell r="H45">
            <v>4.397149361595055</v>
          </cell>
          <cell r="I45">
            <v>31.900467938418402</v>
          </cell>
          <cell r="J45">
            <v>4.397149361595055</v>
          </cell>
          <cell r="K45">
            <v>1.8625228175866675</v>
          </cell>
        </row>
        <row r="46">
          <cell r="C46" t="str">
            <v>SV- Aero Holdings, LLC (Aeronix)</v>
          </cell>
          <cell r="D46">
            <v>790000</v>
          </cell>
          <cell r="E46">
            <v>9.5491999999999994E-2</v>
          </cell>
          <cell r="F46">
            <v>5.2499999999999998E-2</v>
          </cell>
          <cell r="G46">
            <v>45747</v>
          </cell>
          <cell r="H46">
            <v>2.8124517765395987</v>
          </cell>
          <cell r="I46">
            <v>89.497414000000006</v>
          </cell>
          <cell r="J46">
            <v>2.8124517765395987</v>
          </cell>
          <cell r="K46">
            <v>3.2544514181818185</v>
          </cell>
        </row>
        <row r="47">
          <cell r="C47" t="str">
            <v>Sabel Systems Technology Solutions, LLC</v>
          </cell>
          <cell r="D47">
            <v>5970000</v>
          </cell>
          <cell r="E47">
            <v>0.105492</v>
          </cell>
          <cell r="F47">
            <v>6.25E-2</v>
          </cell>
          <cell r="G47">
            <v>45808</v>
          </cell>
          <cell r="H47">
            <v>3.4096996318518475</v>
          </cell>
          <cell r="I47">
            <v>25.770875000000004</v>
          </cell>
          <cell r="J47">
            <v>3.4096996318518475</v>
          </cell>
          <cell r="K47">
            <v>5.7508190231616032</v>
          </cell>
        </row>
        <row r="48">
          <cell r="C48" t="str">
            <v>Seaway Plastics</v>
          </cell>
          <cell r="D48">
            <v>606535.84</v>
          </cell>
          <cell r="E48">
            <v>0.10449199999999999</v>
          </cell>
          <cell r="F48">
            <v>6.1499999999999999E-2</v>
          </cell>
          <cell r="G48">
            <v>45777</v>
          </cell>
          <cell r="H48">
            <v>7.7784061515774372</v>
          </cell>
          <cell r="I48">
            <v>8.072336</v>
          </cell>
          <cell r="J48">
            <v>7.7784061515774372</v>
          </cell>
          <cell r="K48">
            <v>2.8889999999999998</v>
          </cell>
        </row>
        <row r="49">
          <cell r="C49" t="str">
            <v>Sigma Defense Systems, LLC</v>
          </cell>
          <cell r="D49">
            <v>18161284.460000001</v>
          </cell>
          <cell r="E49">
            <v>0.11449200000000001</v>
          </cell>
          <cell r="F49">
            <v>6.9000000000000006E-2</v>
          </cell>
          <cell r="G49">
            <v>45808</v>
          </cell>
          <cell r="H49">
            <v>4.1450098334546892</v>
          </cell>
          <cell r="I49">
            <v>31.399442999999994</v>
          </cell>
          <cell r="J49">
            <v>6.1119555528421321</v>
          </cell>
          <cell r="K49">
            <v>1.8190374919546715</v>
          </cell>
        </row>
        <row r="50">
          <cell r="C50" t="str">
            <v xml:space="preserve">System Planning and Analysis, Inc. </v>
          </cell>
          <cell r="D50">
            <v>1278782.1200000001</v>
          </cell>
          <cell r="E50">
            <v>9.2849000000000015E-2</v>
          </cell>
          <cell r="F50">
            <v>0.05</v>
          </cell>
          <cell r="G50">
            <v>45747</v>
          </cell>
          <cell r="H50">
            <v>5.5662560428653824</v>
          </cell>
          <cell r="I50">
            <v>82.467292999999998</v>
          </cell>
          <cell r="J50">
            <v>5.5662560428653824</v>
          </cell>
          <cell r="K50">
            <v>4.8899999999999997</v>
          </cell>
        </row>
        <row r="51">
          <cell r="C51" t="str">
            <v>Team Services Group, LLC</v>
          </cell>
          <cell r="D51">
            <v>995000</v>
          </cell>
          <cell r="E51">
            <v>9.5021942694232711E-2</v>
          </cell>
          <cell r="F51">
            <v>5.2499999999999998E-2</v>
          </cell>
          <cell r="G51">
            <v>45747</v>
          </cell>
          <cell r="H51">
            <v>3.3042353005665599</v>
          </cell>
          <cell r="I51">
            <v>255.40100000000001</v>
          </cell>
          <cell r="J51">
            <v>3.793661731943101</v>
          </cell>
          <cell r="K51">
            <v>2.1270831424740364</v>
          </cell>
        </row>
        <row r="52">
          <cell r="C52" t="str">
            <v>TCD 3.0 Jogger Acquisitionco, Inc. Term Loan</v>
          </cell>
          <cell r="D52">
            <v>3920226.14</v>
          </cell>
          <cell r="E52">
            <v>0.10799200000000002</v>
          </cell>
          <cell r="F52">
            <v>6.5000000000000002E-2</v>
          </cell>
          <cell r="G52">
            <v>45808</v>
          </cell>
          <cell r="H52">
            <v>3.8763245585453259</v>
          </cell>
          <cell r="I52">
            <v>15.1566495562095</v>
          </cell>
          <cell r="J52">
            <v>3.8763245585453259</v>
          </cell>
          <cell r="K52">
            <v>2.0688258821861387</v>
          </cell>
        </row>
        <row r="53">
          <cell r="C53" t="str">
            <v>The Bluebird Group LLC</v>
          </cell>
          <cell r="D53">
            <v>3610766.51</v>
          </cell>
          <cell r="E53">
            <v>0.10199199999999999</v>
          </cell>
          <cell r="F53">
            <v>5.8999999999999997E-2</v>
          </cell>
          <cell r="G53">
            <v>45808</v>
          </cell>
          <cell r="H53">
            <v>1.7300619564736683</v>
          </cell>
          <cell r="I53">
            <v>26.115817067091072</v>
          </cell>
          <cell r="J53">
            <v>1.7300619564736683</v>
          </cell>
          <cell r="K53">
            <v>4.2526263281398045</v>
          </cell>
        </row>
        <row r="54">
          <cell r="C54" t="str">
            <v>The Vertex Companies, LLC</v>
          </cell>
          <cell r="D54">
            <v>6965000</v>
          </cell>
          <cell r="E54">
            <v>9.3864706091448952E-2</v>
          </cell>
          <cell r="F54">
            <v>0.05</v>
          </cell>
          <cell r="G54">
            <v>45777</v>
          </cell>
          <cell r="H54">
            <v>5.4193199184921044</v>
          </cell>
          <cell r="I54">
            <v>31.407999999999998</v>
          </cell>
          <cell r="J54">
            <v>5.4193199184921044</v>
          </cell>
          <cell r="K54">
            <v>2.641579733310456</v>
          </cell>
        </row>
        <row r="55">
          <cell r="C55" t="str">
            <v>Transgo</v>
          </cell>
          <cell r="D55">
            <v>3040931.77</v>
          </cell>
          <cell r="E55">
            <v>0.10076800000000001</v>
          </cell>
          <cell r="F55">
            <v>5.7500000000000002E-2</v>
          </cell>
          <cell r="G55">
            <v>45808</v>
          </cell>
          <cell r="H55">
            <v>3.4050119783207391</v>
          </cell>
          <cell r="I55">
            <v>19.73796287</v>
          </cell>
          <cell r="J55">
            <v>3.4050119783207391</v>
          </cell>
          <cell r="K55">
            <v>2.1824747035662639</v>
          </cell>
        </row>
        <row r="56">
          <cell r="C56" t="str">
            <v>UROLOGY MANAGEMENT HOLDINGS, INC.</v>
          </cell>
          <cell r="D56">
            <v>2665549.9</v>
          </cell>
          <cell r="E56">
            <v>9.7991999999999996E-2</v>
          </cell>
          <cell r="F56">
            <v>5.5E-2</v>
          </cell>
          <cell r="G56">
            <v>45747</v>
          </cell>
          <cell r="H56">
            <v>4.4294337509804729</v>
          </cell>
          <cell r="I56">
            <v>121.11499999999999</v>
          </cell>
          <cell r="J56">
            <v>4.4294337509804729</v>
          </cell>
          <cell r="K56">
            <v>1.7749515312213437</v>
          </cell>
        </row>
        <row r="57">
          <cell r="C57" t="str">
            <v>US Fertility</v>
          </cell>
          <cell r="D57">
            <v>4987500</v>
          </cell>
          <cell r="E57">
            <v>8.784900000000001E-2</v>
          </cell>
          <cell r="F57">
            <v>4.4999999999999998E-2</v>
          </cell>
          <cell r="G57">
            <v>45747</v>
          </cell>
          <cell r="H57">
            <v>4.4237458193979942</v>
          </cell>
          <cell r="I57">
            <v>119.6</v>
          </cell>
          <cell r="J57">
            <v>4.4237458193979942</v>
          </cell>
          <cell r="K57">
            <v>1.8066465256797581</v>
          </cell>
        </row>
        <row r="58">
          <cell r="C58" t="str">
            <v>Watchtower Buyer, LLC</v>
          </cell>
          <cell r="D58">
            <v>6427124.3100000005</v>
          </cell>
          <cell r="E58">
            <v>0.10299200000000001</v>
          </cell>
          <cell r="F58">
            <v>0.06</v>
          </cell>
          <cell r="G58">
            <v>45808</v>
          </cell>
          <cell r="H58">
            <v>5.0173086509501541</v>
          </cell>
          <cell r="I58">
            <v>11.023990260102</v>
          </cell>
          <cell r="J58">
            <v>5.0173086509501541</v>
          </cell>
          <cell r="K58">
            <v>1.6023310338436321</v>
          </cell>
        </row>
        <row r="59">
          <cell r="C59" t="str">
            <v>Watterson</v>
          </cell>
          <cell r="D59">
            <v>9422717.2100000009</v>
          </cell>
          <cell r="E59">
            <v>0.12</v>
          </cell>
          <cell r="F59">
            <v>0</v>
          </cell>
          <cell r="G59">
            <v>45777</v>
          </cell>
          <cell r="H59">
            <v>16.890788644618542</v>
          </cell>
          <cell r="I59">
            <v>7.3422162700207503</v>
          </cell>
          <cell r="J59">
            <v>16.890788644618542</v>
          </cell>
          <cell r="K59">
            <v>0.4632950738439518</v>
          </cell>
        </row>
        <row r="60">
          <cell r="C60" t="str">
            <v>Zips Car Wash, LLC</v>
          </cell>
          <cell r="D60">
            <v>1919563.63</v>
          </cell>
          <cell r="E60">
            <v>9.5000000000000001E-2</v>
          </cell>
          <cell r="F60">
            <v>5.5E-2</v>
          </cell>
          <cell r="G60">
            <v>45777</v>
          </cell>
          <cell r="H60">
            <v>3.884031206422192</v>
          </cell>
          <cell r="I60">
            <v>53.065999999999995</v>
          </cell>
          <cell r="J60">
            <v>6.7106998831643621</v>
          </cell>
          <cell r="K60">
            <v>2.3690178571428571</v>
          </cell>
        </row>
        <row r="61">
          <cell r="C61" t="str">
            <v>Federal Advisory Partners</v>
          </cell>
          <cell r="D61">
            <v>6963940.1600000001</v>
          </cell>
          <cell r="E61">
            <v>0.11049200000000001</v>
          </cell>
          <cell r="F61">
            <v>6.7500000000000004E-2</v>
          </cell>
          <cell r="G61">
            <v>45808</v>
          </cell>
          <cell r="H61">
            <v>4.4645336279665164</v>
          </cell>
          <cell r="I61">
            <v>70.811008957276698</v>
          </cell>
          <cell r="J61">
            <v>4.8082879614866947</v>
          </cell>
          <cell r="K61">
            <v>1.9699999669847252</v>
          </cell>
        </row>
        <row r="62">
          <cell r="C62" t="str">
            <v>Arcfield</v>
          </cell>
          <cell r="D62">
            <v>2315058.27</v>
          </cell>
          <cell r="E62">
            <v>9.2826000000000006E-2</v>
          </cell>
          <cell r="F62">
            <v>0.05</v>
          </cell>
          <cell r="G62">
            <v>45747</v>
          </cell>
          <cell r="H62">
            <v>4.3704656922255127</v>
          </cell>
          <cell r="I62">
            <v>61.779000000000003</v>
          </cell>
          <cell r="J62">
            <v>4.3704656922255127</v>
          </cell>
          <cell r="K62">
            <v>1.8366382257632969</v>
          </cell>
        </row>
        <row r="63">
          <cell r="C63" t="str">
            <v>Bland Landscaping</v>
          </cell>
          <cell r="D63">
            <v>2093291.07</v>
          </cell>
          <cell r="E63">
            <v>9.0491999999999989E-2</v>
          </cell>
          <cell r="F63">
            <v>4.7500000000000001E-2</v>
          </cell>
          <cell r="G63">
            <v>45808</v>
          </cell>
          <cell r="H63">
            <v>3.9429104849775691</v>
          </cell>
          <cell r="I63">
            <v>14.539722679077292</v>
          </cell>
          <cell r="J63">
            <v>3.9429104849775691</v>
          </cell>
          <cell r="K63">
            <v>2.0839723043394098</v>
          </cell>
        </row>
        <row r="64">
          <cell r="C64" t="str">
            <v xml:space="preserve">Lynx Technologies </v>
          </cell>
          <cell r="D64">
            <v>12989293.380000001</v>
          </cell>
          <cell r="E64">
            <v>0.100492</v>
          </cell>
          <cell r="F64">
            <v>5.7500000000000002E-2</v>
          </cell>
          <cell r="G64">
            <v>45777</v>
          </cell>
          <cell r="H64">
            <v>4.1491994545179045</v>
          </cell>
          <cell r="I64">
            <v>19.798999999999999</v>
          </cell>
          <cell r="J64">
            <v>4.6542754684580023</v>
          </cell>
          <cell r="K64">
            <v>3.5160717456934822</v>
          </cell>
        </row>
        <row r="65">
          <cell r="C65" t="str">
            <v>RealmOne</v>
          </cell>
          <cell r="D65">
            <v>5970000</v>
          </cell>
          <cell r="E65">
            <v>9.5491999999999994E-2</v>
          </cell>
          <cell r="F65">
            <v>5.2499999999999998E-2</v>
          </cell>
          <cell r="G65">
            <v>45777</v>
          </cell>
          <cell r="H65">
            <v>5.2453727922402136</v>
          </cell>
          <cell r="I65">
            <v>22.035960511900001</v>
          </cell>
          <cell r="J65">
            <v>5.2453727922402136</v>
          </cell>
          <cell r="K65">
            <v>1.5991844115784608</v>
          </cell>
        </row>
        <row r="66">
          <cell r="C66" t="str">
            <v>Seacoast</v>
          </cell>
          <cell r="D66">
            <v>4975000</v>
          </cell>
          <cell r="E66">
            <v>9.2992000000000005E-2</v>
          </cell>
          <cell r="F66">
            <v>0.05</v>
          </cell>
          <cell r="G66">
            <v>45777</v>
          </cell>
          <cell r="H66">
            <v>2.6610762594034663</v>
          </cell>
          <cell r="I66">
            <v>9.0241488890601023</v>
          </cell>
          <cell r="J66">
            <v>2.6610762594034663</v>
          </cell>
          <cell r="K66">
            <v>3.3436306574838133</v>
          </cell>
        </row>
        <row r="67">
          <cell r="C67" t="str">
            <v>Marketplace</v>
          </cell>
          <cell r="D67">
            <v>19950000</v>
          </cell>
          <cell r="E67">
            <v>9.4666E-2</v>
          </cell>
          <cell r="F67">
            <v>5.2499999999999998E-2</v>
          </cell>
          <cell r="G67">
            <v>45777</v>
          </cell>
          <cell r="H67">
            <v>4.9947366131628161</v>
          </cell>
          <cell r="I67">
            <v>22.989000000000001</v>
          </cell>
          <cell r="J67">
            <v>4.9947366131628161</v>
          </cell>
          <cell r="K67">
            <v>1.8379437160217464</v>
          </cell>
        </row>
        <row r="68">
          <cell r="C68" t="str">
            <v>Emergency Care Partners LLC</v>
          </cell>
          <cell r="D68">
            <v>992500</v>
          </cell>
          <cell r="E68">
            <v>9.7992000000000024E-2</v>
          </cell>
          <cell r="F68">
            <v>5.5E-2</v>
          </cell>
          <cell r="G68">
            <v>45777</v>
          </cell>
          <cell r="H68">
            <v>4.4471711453871388</v>
          </cell>
          <cell r="I68">
            <v>33.991542850065102</v>
          </cell>
          <cell r="J68">
            <v>4.4471711453871388</v>
          </cell>
          <cell r="K68">
            <v>1.6981029191710504</v>
          </cell>
        </row>
        <row r="69">
          <cell r="C69" t="str">
            <v>Amsive Holding Corporation</v>
          </cell>
          <cell r="D69">
            <v>15121.31</v>
          </cell>
          <cell r="E69">
            <v>0.10674881296059056</v>
          </cell>
          <cell r="F69">
            <v>6.3500000000000001E-2</v>
          </cell>
          <cell r="G69">
            <v>45808</v>
          </cell>
          <cell r="H69">
            <v>4.5545555192507399</v>
          </cell>
          <cell r="I69">
            <v>33.751487819779307</v>
          </cell>
          <cell r="J69">
            <v>6.9435472114257859</v>
          </cell>
          <cell r="K69">
            <v>1.1738646222239846</v>
          </cell>
        </row>
        <row r="70">
          <cell r="C70" t="str">
            <v>LAV Gear Holdings, Inc.</v>
          </cell>
          <cell r="D70">
            <v>308218.27</v>
          </cell>
          <cell r="E70">
            <v>0.1</v>
          </cell>
          <cell r="F70">
            <v>0</v>
          </cell>
          <cell r="G70">
            <v>45777</v>
          </cell>
          <cell r="H70">
            <v>8.5093651973672273</v>
          </cell>
          <cell r="I70">
            <v>55.150999999999996</v>
          </cell>
          <cell r="J70">
            <v>9.0515131185291278</v>
          </cell>
          <cell r="K70">
            <v>0.96517386815071482</v>
          </cell>
        </row>
        <row r="71">
          <cell r="C71" t="str">
            <v>Boss Industries</v>
          </cell>
          <cell r="D71">
            <v>5970000</v>
          </cell>
          <cell r="E71">
            <v>9.299170000000001E-2</v>
          </cell>
          <cell r="F71">
            <v>0.05</v>
          </cell>
          <cell r="G71">
            <v>45747</v>
          </cell>
          <cell r="H71">
            <v>3.487687551566014</v>
          </cell>
          <cell r="I71">
            <v>11.396799</v>
          </cell>
          <cell r="J71">
            <v>3.487687551566014</v>
          </cell>
          <cell r="K71">
            <v>1</v>
          </cell>
        </row>
        <row r="72">
          <cell r="C72" t="str">
            <v>Tranzact</v>
          </cell>
          <cell r="D72">
            <v>5985000</v>
          </cell>
          <cell r="E72">
            <v>0.10049200000000003</v>
          </cell>
          <cell r="F72">
            <v>5.7500000000000002E-2</v>
          </cell>
          <cell r="G72">
            <v>45747</v>
          </cell>
          <cell r="H72">
            <v>1.5541428237860642</v>
          </cell>
          <cell r="I72">
            <v>127.73665133065496</v>
          </cell>
          <cell r="J72">
            <v>1.5541428237860642</v>
          </cell>
          <cell r="K72">
            <v>1</v>
          </cell>
        </row>
        <row r="73">
          <cell r="C73" t="str">
            <v xml:space="preserve">Ro Health </v>
          </cell>
          <cell r="D73">
            <v>10000000</v>
          </cell>
          <cell r="E73">
            <v>9.2992000000000005E-2</v>
          </cell>
          <cell r="F73">
            <v>0.05</v>
          </cell>
          <cell r="G73">
            <v>45747</v>
          </cell>
          <cell r="H73">
            <v>3.4039624162937558</v>
          </cell>
          <cell r="I73">
            <v>21.486219089819791</v>
          </cell>
          <cell r="J73">
            <v>3.4039624162937558</v>
          </cell>
          <cell r="K73">
            <v>1</v>
          </cell>
        </row>
      </sheetData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eerah JAFFER" id="{EC39376D-07FE-45DB-B207-CA6520D753D2}" userId="Ameerah JAFFE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Rathi" refreshedDate="45453.81664409722" createdVersion="8" refreshedVersion="8" minRefreshableVersion="3" recordCount="74" xr:uid="{00000000-000A-0000-FFFF-FFFF00000000}">
  <cacheSource type="worksheet">
    <worksheetSource name="PrincipalAct"/>
  </cacheSource>
  <cacheFields count="22">
    <cacheField name="NetAmount" numFmtId="0">
      <sharedItems containsSemiMixedTypes="0" containsString="0" containsNumber="1" minValue="-4107949.53" maxValue="21153334.049466599"/>
    </cacheField>
    <cacheField name="Issuer_Name" numFmtId="0">
      <sharedItems/>
    </cacheField>
    <cacheField name="Asset_Name" numFmtId="0">
      <sharedItems/>
    </cacheField>
    <cacheField name="Position_Name" numFmtId="0">
      <sharedItems/>
    </cacheField>
    <cacheField name="Portfolio_Name" numFmtId="0">
      <sharedItems/>
    </cacheField>
    <cacheField name="CurrencyType_Identifier" numFmtId="0">
      <sharedItems/>
    </cacheField>
    <cacheField name="Asset_SecurityID" numFmtId="0">
      <sharedItems/>
    </cacheField>
    <cacheField name="Position_ID" numFmtId="0">
      <sharedItems containsSemiMixedTypes="0" containsString="0" containsNumber="1" containsInteger="1" minValue="363454" maxValue="379922"/>
    </cacheField>
    <cacheField name="TranAsset_TradeDate" numFmtId="0">
      <sharedItems containsSemiMixedTypes="0" containsDate="1" containsString="0" containsMixedTypes="1" minDate="2024-03-05T00:00:00" maxDate="1900-01-02T03:51:04"/>
    </cacheField>
    <cacheField name="TranAsset_SettleDate" numFmtId="0">
      <sharedItems containsSemiMixedTypes="0" containsDate="1" containsString="0" containsMixedTypes="1" minDate="2024-03-12T00:00:00" maxDate="1900-01-02T03:51:04"/>
    </cacheField>
    <cacheField name="TranAsset_ParAmount" numFmtId="0">
      <sharedItems containsSemiMixedTypes="0" containsString="0" containsNumber="1" minValue="-4300000" maxValue="21692427"/>
    </cacheField>
    <cacheField name="TranAsset_Outstanding" numFmtId="0">
      <sharedItems containsSemiMixedTypes="0" containsString="0" containsNumber="1" minValue="-4300000" maxValue="21692427"/>
    </cacheField>
    <cacheField name="TranAsset_Price" numFmtId="0">
      <sharedItems containsSemiMixedTypes="0" containsString="0" containsNumber="1" minValue="93.895448880000004" maxValue="100"/>
    </cacheField>
    <cacheField name="TranAsset_Settled" numFmtId="0">
      <sharedItems containsSemiMixedTypes="0" containsString="0" containsNumber="1" containsInteger="1" minValue="-1" maxValue="-1"/>
    </cacheField>
    <cacheField name="TranAsset_Name" numFmtId="0">
      <sharedItems count="9">
        <s v="Buy"/>
        <s v="CME Term SOFR Capitalized Interest"/>
        <s v="Early CME Term SOFR Paydown"/>
        <s v="EURIBOR1 Capitalized Interest"/>
        <s v="Facility Increase - PIK"/>
        <s v="Partial CME Term SOFR Paydown"/>
        <s v="Restructure"/>
        <s v="Unscheduled Early CME Term SOFR Paydown"/>
        <s v="Unscheduled Partial CME Term SOFR Paydown"/>
      </sharedItems>
    </cacheField>
    <cacheField name="TranAsset_ActionCode_ID" numFmtId="0">
      <sharedItems containsSemiMixedTypes="0" containsString="0" containsNumber="1" containsInteger="1" minValue="884400" maxValue="961533"/>
    </cacheField>
    <cacheField name="TranAsset_Notes" numFmtId="0">
      <sharedItems containsBlank="1"/>
    </cacheField>
    <cacheField name="TranAsset_PriceFactor" numFmtId="0">
      <sharedItems containsSemiMixedTypes="0" containsString="0" containsNumber="1" minValue="0.01" maxValue="0.01"/>
    </cacheField>
    <cacheField name="Position_AssetDetail_Type" numFmtId="0">
      <sharedItems containsSemiMixedTypes="0" containsString="0" containsNumber="1" containsInteger="1" minValue="4" maxValue="4"/>
    </cacheField>
    <cacheField name="TranAsset_Amount" numFmtId="0">
      <sharedItems containsSemiMixedTypes="0" containsString="0" containsNumber="1" minValue="-4107949.53" maxValue="21153334.0495"/>
    </cacheField>
    <cacheField name="TranAsset_ID" numFmtId="0">
      <sharedItems containsSemiMixedTypes="0" containsString="0" containsNumber="1" containsInteger="1" minValue="3418455" maxValue="3547920"/>
    </cacheField>
    <cacheField name="TranAsset_CurrencyType_Identif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13262958.860880001"/>
    <s v="Broadcast Music, Inc."/>
    <s v="Initial Term Loan 1/24"/>
    <s v="Assignment"/>
    <s v="SDL_III_CREDIT_D"/>
    <s v="USD"/>
    <s v="LX225033"/>
    <n v="363457"/>
    <d v="2024-03-05T00:00:00"/>
    <d v="2024-03-12T00:00:00"/>
    <n v="13600000"/>
    <n v="13600000"/>
    <n v="97.521756330000002"/>
    <n v="-1"/>
    <x v="0"/>
    <n v="961001"/>
    <m/>
    <n v="0.01"/>
    <n v="4"/>
    <n v="13262958.8609"/>
    <n v="3418458"/>
    <s v="USD"/>
  </r>
  <r>
    <n v="6209676.18432"/>
    <s v="NEXT HOLDCO, LLC"/>
    <s v="Term Loan 11/23"/>
    <s v="Assignment"/>
    <s v="SDL_III_CREDIT_D"/>
    <s v="USD"/>
    <s v="LX219475"/>
    <n v="363459"/>
    <d v="2024-03-05T00:00:00"/>
    <d v="2024-03-12T00:00:00"/>
    <n v="6300000"/>
    <n v="6300000"/>
    <n v="98.566288639999996"/>
    <n v="-1"/>
    <x v="0"/>
    <n v="961001"/>
    <m/>
    <n v="0.01"/>
    <n v="4"/>
    <n v="6209676.1842999998"/>
    <n v="3418464"/>
    <s v="USD"/>
  </r>
  <r>
    <n v="2694357.3706499999"/>
    <s v="AI Fire Buyer, Inc."/>
    <s v="Term Loan 10/23"/>
    <s v="Assignment"/>
    <s v="SDL_III_CREDIT_D"/>
    <s v="USD"/>
    <s v="LX219094"/>
    <n v="363454"/>
    <d v="2024-03-05T00:00:00"/>
    <d v="2024-03-15T00:00:00"/>
    <n v="2750000"/>
    <n v="2750000"/>
    <n v="97.976631659999995"/>
    <n v="-1"/>
    <x v="0"/>
    <n v="961001"/>
    <m/>
    <n v="0.01"/>
    <n v="4"/>
    <n v="2694357.3706999999"/>
    <n v="3418455"/>
    <s v="USD"/>
  </r>
  <r>
    <n v="10730394.612299999"/>
    <s v="Artivion, Inc."/>
    <s v="Initial Term Loan 1/24"/>
    <s v="Assignment"/>
    <s v="SDL_III_CREDIT_D"/>
    <s v="USD"/>
    <s v="LX225013"/>
    <n v="363456"/>
    <d v="2024-03-05T00:00:00"/>
    <d v="2024-03-15T00:00:00"/>
    <n v="11000000"/>
    <n v="11000000"/>
    <n v="97.549041930000001"/>
    <n v="-1"/>
    <x v="0"/>
    <n v="961001"/>
    <m/>
    <n v="0.01"/>
    <n v="4"/>
    <n v="10730394.612299999"/>
    <n v="3418457"/>
    <s v="USD"/>
  </r>
  <r>
    <n v="2110087.9327699998"/>
    <s v="Bottomline Technologies, Inc. and Legal Spend Holdings, LLC"/>
    <s v="Second Amendment Term Loan 10/23"/>
    <s v="Assignment"/>
    <s v="SDL_III_CREDIT_D"/>
    <s v="USD"/>
    <s v="LX217633"/>
    <n v="363471"/>
    <d v="2024-03-05T00:00:00"/>
    <d v="2024-03-15T00:00:00"/>
    <n v="2150000"/>
    <n v="2150000"/>
    <n v="98.143624779999996"/>
    <n v="-1"/>
    <x v="0"/>
    <n v="961001"/>
    <m/>
    <n v="0.01"/>
    <n v="4"/>
    <n v="2110087.9328000001"/>
    <n v="3418532"/>
    <s v="USD"/>
  </r>
  <r>
    <n v="990500.84380000003"/>
    <s v="Lightbeam Bidco, INC."/>
    <s v="First Amendment Incremental Term Loan 11/23"/>
    <s v="Assignment"/>
    <s v="SDL_III_CREDIT_D"/>
    <s v="USD"/>
    <s v="LX219388"/>
    <n v="363469"/>
    <d v="2024-03-05T00:00:00"/>
    <d v="2024-03-18T00:00:00"/>
    <n v="1000000"/>
    <n v="1000000"/>
    <n v="99.050084380000001"/>
    <n v="-1"/>
    <x v="0"/>
    <n v="961001"/>
    <m/>
    <n v="0.01"/>
    <n v="4"/>
    <n v="990500.84380000003"/>
    <n v="3418483"/>
    <s v="USD"/>
  </r>
  <r>
    <n v="5590430.0514000002"/>
    <s v="Saldon Holdings, Inc."/>
    <s v="Term Loan 1/24"/>
    <s v="Assignment"/>
    <s v="SDL_III_CREDIT_D"/>
    <s v="USD"/>
    <s v="LX224718"/>
    <n v="363467"/>
    <d v="2024-03-05T00:00:00"/>
    <d v="2024-03-19T00:00:00"/>
    <n v="5700000"/>
    <n v="5700000"/>
    <n v="98.077720200000002"/>
    <n v="-1"/>
    <x v="0"/>
    <n v="961001"/>
    <m/>
    <n v="0.01"/>
    <n v="4"/>
    <n v="5590430.0514000002"/>
    <n v="3418481"/>
    <s v="USD"/>
  </r>
  <r>
    <n v="1900000"/>
    <s v="AffiniPay Midco, LLC"/>
    <s v="Fifth Amendment Term Loan 11/23"/>
    <s v="Assignment"/>
    <s v="SDL_III_CREDIT_D"/>
    <s v="USD"/>
    <s v="LX220296"/>
    <n v="363470"/>
    <d v="2024-03-05T00:00:00"/>
    <d v="2024-03-20T00:00:00"/>
    <n v="1900000"/>
    <n v="1900000"/>
    <n v="100"/>
    <n v="-1"/>
    <x v="0"/>
    <n v="961001"/>
    <m/>
    <n v="0.01"/>
    <n v="4"/>
    <n v="1900000"/>
    <n v="3418484"/>
    <s v="USD"/>
  </r>
  <r>
    <n v="1471225.6269"/>
    <s v="Applied Technical Services, LLC"/>
    <s v="Fifth Amendment Term Loan 1/24"/>
    <s v="Assignment"/>
    <s v="SDL_III_CREDIT_D"/>
    <s v="USD"/>
    <s v="LX225155"/>
    <n v="363483"/>
    <d v="2024-03-05T00:00:00"/>
    <d v="2024-03-20T00:00:00"/>
    <n v="1500000"/>
    <n v="1500000"/>
    <n v="98.081708460000002"/>
    <n v="-1"/>
    <x v="0"/>
    <n v="961001"/>
    <m/>
    <n v="0.01"/>
    <n v="4"/>
    <n v="1471225.6269"/>
    <n v="3418585"/>
    <s v="USD"/>
  </r>
  <r>
    <n v="5148616.11472"/>
    <s v="Computer Services, Inc."/>
    <s v="2024-1 Incremental Term Loan 2/24"/>
    <s v="Assignment"/>
    <s v="SDL_III_CREDIT_D"/>
    <s v="USD"/>
    <s v="LX226593"/>
    <n v="363478"/>
    <d v="2024-03-05T00:00:00"/>
    <d v="2024-03-20T00:00:00"/>
    <n v="5200000"/>
    <n v="5200000"/>
    <n v="99.011848360000002"/>
    <n v="-1"/>
    <x v="0"/>
    <n v="961001"/>
    <m/>
    <n v="0.01"/>
    <n v="4"/>
    <n v="5148616.1146999998"/>
    <n v="3418544"/>
    <s v="USD"/>
  </r>
  <r>
    <n v="4488066.6677400004"/>
    <s v="Rawlings Sporting Goods Company, Inc."/>
    <s v="Third Amendment Incremental Term Loan 1/24"/>
    <s v="Assignment"/>
    <s v="SDL_III_CREDIT_D"/>
    <s v="USD"/>
    <s v="LX223793"/>
    <n v="365082"/>
    <d v="2024-03-14T00:00:00"/>
    <d v="2024-03-20T00:00:00"/>
    <n v="4600000"/>
    <n v="4600000"/>
    <n v="97.566666690000005"/>
    <n v="-1"/>
    <x v="0"/>
    <n v="961001"/>
    <m/>
    <n v="0.01"/>
    <n v="4"/>
    <n v="4488066.6677000001"/>
    <n v="3428062"/>
    <s v="USD"/>
  </r>
  <r>
    <n v="1578304.6368"/>
    <s v="Wildcat BuyerCo, Inc."/>
    <s v="First Incremental Term Loan 11/21"/>
    <s v="Assignment"/>
    <s v="SDL_III_CREDIT_D"/>
    <s v="USD"/>
    <s v="LX200513"/>
    <n v="363475"/>
    <d v="2024-03-05T00:00:00"/>
    <d v="2024-03-20T00:00:00"/>
    <n v="1600000"/>
    <n v="1600000"/>
    <n v="98.644039800000002"/>
    <n v="-1"/>
    <x v="0"/>
    <n v="961001"/>
    <m/>
    <n v="0.01"/>
    <n v="4"/>
    <n v="1578304.6368"/>
    <n v="3418536"/>
    <s v="USD"/>
  </r>
  <r>
    <n v="512949.00784400001"/>
    <s v="Wildcat BuyerCo, Inc."/>
    <s v="Initial Term Loan 02/20"/>
    <s v="Assignment"/>
    <s v="SDL_III_CREDIT_D"/>
    <s v="USD"/>
    <s v="LX186170"/>
    <n v="363477"/>
    <d v="2024-03-05T00:00:00"/>
    <d v="2024-03-20T00:00:00"/>
    <n v="520000"/>
    <n v="520000"/>
    <n v="98.644039969999994"/>
    <n v="-1"/>
    <x v="0"/>
    <n v="961001"/>
    <m/>
    <n v="0.01"/>
    <n v="4"/>
    <n v="512949.00780000002"/>
    <n v="3418543"/>
    <s v="USD"/>
  </r>
  <r>
    <n v="4222193.8671500003"/>
    <s v="Wildcat BuyerCo, Inc."/>
    <s v="Third Incremental Term Loan 11/23"/>
    <s v="Assignment"/>
    <s v="SDL_III_CREDIT_D"/>
    <s v="USD"/>
    <s v="LX219497"/>
    <n v="363463"/>
    <d v="2024-03-05T00:00:00"/>
    <d v="2024-03-20T00:00:00"/>
    <n v="4300000"/>
    <n v="4300000"/>
    <n v="98.19055505"/>
    <n v="-1"/>
    <x v="0"/>
    <n v="961001"/>
    <m/>
    <n v="0.01"/>
    <n v="4"/>
    <n v="4222193.8672000002"/>
    <n v="3418473"/>
    <s v="USD"/>
  </r>
  <r>
    <n v="5953065.69551"/>
    <s v="Demakes Borrower, LLC"/>
    <s v="Term Loan B 12/23"/>
    <s v="Assignment"/>
    <s v="SDL_III_CREDIT_D"/>
    <s v="USD"/>
    <s v="LX221693"/>
    <n v="363473"/>
    <d v="2024-03-05T00:00:00"/>
    <d v="2024-03-21T00:00:00"/>
    <n v="6100000"/>
    <n v="6100000"/>
    <n v="97.591240909999996"/>
    <n v="-1"/>
    <x v="0"/>
    <n v="961001"/>
    <m/>
    <n v="0.01"/>
    <n v="4"/>
    <n v="5953065.6955000004"/>
    <n v="3418534"/>
    <s v="USD"/>
  </r>
  <r>
    <n v="8723532.0807099994"/>
    <s v="Kene Acquisition, Inc."/>
    <s v="Initial Term Loan 2/24"/>
    <s v="Assignment"/>
    <s v="SDL_III_CREDIT_D"/>
    <s v="USD"/>
    <s v="LX226618"/>
    <n v="363479"/>
    <d v="2024-03-05T00:00:00"/>
    <d v="2024-03-21T00:00:00"/>
    <n v="8900000"/>
    <n v="8900000"/>
    <n v="98.017214390000007"/>
    <n v="-1"/>
    <x v="0"/>
    <n v="961001"/>
    <m/>
    <n v="0.01"/>
    <n v="4"/>
    <n v="8723532.0807000007"/>
    <n v="3418545"/>
    <s v="USD"/>
  </r>
  <r>
    <n v="19161931.952240001"/>
    <s v="Truck-Lite Co., LLC and Ecco Holdings Corp."/>
    <s v="Initial Term Loan 2/24"/>
    <s v="Assignment"/>
    <s v="SDL_III_CREDIT_D"/>
    <s v="USD"/>
    <s v="LX226773"/>
    <n v="363464"/>
    <d v="2024-03-05T00:00:00"/>
    <d v="2024-03-21T00:00:00"/>
    <n v="19600000"/>
    <n v="19600000"/>
    <n v="97.76495894"/>
    <n v="-1"/>
    <x v="0"/>
    <n v="961001"/>
    <m/>
    <n v="0.01"/>
    <n v="4"/>
    <n v="19161931.952199999"/>
    <n v="3418474"/>
    <s v="USD"/>
  </r>
  <r>
    <n v="2844775.7524000001"/>
    <s v="Echo Purchaser, Inc."/>
    <s v="Term Loan 11/23"/>
    <s v="Assignment"/>
    <s v="SDL_III_CREDIT_D"/>
    <s v="USD"/>
    <s v="LX218793"/>
    <n v="363486"/>
    <d v="2024-03-05T00:00:00"/>
    <d v="2024-03-22T00:00:00"/>
    <n v="2900000"/>
    <n v="2900000"/>
    <n v="98.095715600000005"/>
    <n v="-1"/>
    <x v="0"/>
    <n v="961001"/>
    <m/>
    <n v="0.01"/>
    <n v="4"/>
    <n v="2844775.7524000001"/>
    <n v="3418593"/>
    <s v="USD"/>
  </r>
  <r>
    <n v="13069627.681439999"/>
    <s v="Aptean, Inc."/>
    <s v="Term Loan 1/24"/>
    <s v="Assignment"/>
    <s v="SDL_III_CREDIT_D"/>
    <s v="USD"/>
    <s v="LX222533"/>
    <n v="363480"/>
    <d v="2024-03-05T00:00:00"/>
    <d v="2024-03-26T00:00:00"/>
    <n v="13200000"/>
    <n v="13200000"/>
    <n v="99.012330919999997"/>
    <n v="-1"/>
    <x v="0"/>
    <n v="961001"/>
    <m/>
    <n v="0.01"/>
    <n v="4"/>
    <n v="13069627.681399999"/>
    <n v="3418563"/>
    <s v="USD"/>
  </r>
  <r>
    <n v="4215255.4770200001"/>
    <s v="Collision SP Subco, LLC"/>
    <s v="Initial Term Loan 1/24"/>
    <s v="Assignment"/>
    <s v="SDL_III_CREDIT_D"/>
    <s v="USD"/>
    <s v="LX225937"/>
    <n v="363487"/>
    <d v="2024-03-05T00:00:00"/>
    <d v="2024-03-26T00:00:00"/>
    <n v="4300000"/>
    <n v="4300000"/>
    <n v="98.029197139999994"/>
    <n v="-1"/>
    <x v="0"/>
    <n v="961001"/>
    <m/>
    <n v="0.01"/>
    <n v="4"/>
    <n v="4215255.477"/>
    <n v="3418594"/>
    <s v="USD"/>
  </r>
  <r>
    <n v="4741591.1547317198"/>
    <s v="Accession Risk Management Group, Inc."/>
    <s v="Initial Term Loan 10/19"/>
    <s v="Assignment"/>
    <s v="SDL_III_CREDIT_D"/>
    <s v="USD"/>
    <s v="LX183615"/>
    <n v="363476"/>
    <d v="2024-03-05T00:00:00"/>
    <d v="2024-04-02T00:00:00"/>
    <n v="4787514.9325999999"/>
    <n v="4787514.9325999999"/>
    <n v="99.040759589999993"/>
    <n v="-1"/>
    <x v="0"/>
    <n v="961001"/>
    <m/>
    <n v="0.01"/>
    <n v="4"/>
    <n v="4741591.1546999998"/>
    <n v="3418542"/>
    <s v="USD"/>
  </r>
  <r>
    <n v="16474720.14384"/>
    <s v="Enverus Holdings, Inc."/>
    <s v="Term Loan 12/23"/>
    <s v="Assignment"/>
    <s v="SDL_III_CREDIT_D"/>
    <s v="USD"/>
    <s v="LX221353"/>
    <n v="363474"/>
    <d v="2024-03-05T00:00:00"/>
    <d v="2024-04-02T00:00:00"/>
    <n v="16800000"/>
    <n v="16800000"/>
    <n v="98.063810380000007"/>
    <n v="-1"/>
    <x v="0"/>
    <n v="961001"/>
    <m/>
    <n v="0.01"/>
    <n v="4"/>
    <n v="16474720.1438"/>
    <n v="3418535"/>
    <s v="USD"/>
  </r>
  <r>
    <n v="4514225.0194600001"/>
    <s v="Ardonagh Finco B.V. and Ardonagh Finco LLC"/>
    <s v="Facility B1 EUR Term Loan 2/24"/>
    <s v="Assignment"/>
    <s v="SDL_III_CREDIT_D"/>
    <s v="EUR"/>
    <s v="LX227461"/>
    <n v="365078"/>
    <d v="2024-03-14T00:00:00"/>
    <d v="2024-04-04T00:00:00"/>
    <n v="4600000"/>
    <n v="4600000"/>
    <n v="98.135326509999999"/>
    <n v="-1"/>
    <x v="0"/>
    <n v="961001"/>
    <m/>
    <n v="0.01"/>
    <n v="4"/>
    <n v="4514225.0195000004"/>
    <n v="3428057"/>
    <s v="EUR"/>
  </r>
  <r>
    <n v="15897922.894619999"/>
    <s v="Ardonagh Finco B.V. and Ardonagh Finco LLC"/>
    <s v="Facility B1 USD Term Loan 2/24"/>
    <s v="Assignment"/>
    <s v="SDL_III_CREDIT_D"/>
    <s v="USD"/>
    <s v="LX227462"/>
    <n v="365080"/>
    <d v="2024-03-14T00:00:00"/>
    <d v="2024-04-04T00:00:00"/>
    <n v="16200000"/>
    <n v="16200000"/>
    <n v="98.135326509999999"/>
    <n v="-1"/>
    <x v="0"/>
    <n v="961001"/>
    <m/>
    <n v="0.01"/>
    <n v="4"/>
    <n v="15897922.8946"/>
    <n v="3428059"/>
    <s v="USD"/>
  </r>
  <r>
    <n v="1079487.35455"/>
    <s v="Ardonagh Finco Pty Limited"/>
    <s v="Facility B1 AUD Term Loan 2/24"/>
    <s v="Assignment"/>
    <s v="SDL_III_CREDIT_D"/>
    <s v="AUD"/>
    <s v="LX227460"/>
    <n v="365084"/>
    <d v="2024-03-14T00:00:00"/>
    <d v="2024-04-04T00:00:00"/>
    <n v="1100000"/>
    <n v="1100000"/>
    <n v="98.135214050000002"/>
    <n v="-1"/>
    <x v="0"/>
    <n v="961001"/>
    <m/>
    <n v="0.01"/>
    <n v="4"/>
    <n v="1079487.3546"/>
    <n v="3428067"/>
    <s v="AUD"/>
  </r>
  <r>
    <n v="7286294.2787091397"/>
    <s v="Leviathan Intermediate Holdco, LLC"/>
    <s v="Term Loan 12/22"/>
    <s v="Assignment"/>
    <s v="SDL_III_CREDIT_D"/>
    <s v="USD"/>
    <s v="LX210007"/>
    <n v="365451"/>
    <d v="2024-03-15T00:00:00"/>
    <d v="2024-04-04T00:00:00"/>
    <n v="7432089.5800000001"/>
    <n v="7432089.5800000001"/>
    <n v="98.038300000000007"/>
    <n v="-1"/>
    <x v="0"/>
    <n v="961001"/>
    <m/>
    <n v="0.01"/>
    <n v="4"/>
    <n v="7286294.2786999997"/>
    <n v="3430479"/>
    <s v="USD"/>
  </r>
  <r>
    <n v="831795.28260359995"/>
    <s v="Riser Topco II, LLC"/>
    <s v="Initial GBP Term Loans 10/23"/>
    <s v="Assignment"/>
    <s v="SDL_III_CREDIT_D"/>
    <s v="GBP"/>
    <s v="LX219098"/>
    <n v="363472"/>
    <d v="2024-03-05T00:00:00"/>
    <d v="2024-04-04T00:00:00"/>
    <n v="847875"/>
    <n v="847875"/>
    <n v="98.103527360000001"/>
    <n v="-1"/>
    <x v="0"/>
    <n v="961001"/>
    <m/>
    <n v="0.01"/>
    <n v="4"/>
    <n v="831795.28260000004"/>
    <n v="3418533"/>
    <s v="GBP"/>
  </r>
  <r>
    <n v="4856670.8514999999"/>
    <s v="Eternal Aus Bidco Pty Ltd"/>
    <s v="Facility B Term Loan 11/23"/>
    <s v="Assignment"/>
    <s v="SDL_III_CREDIT_D"/>
    <s v="AUD"/>
    <s v="LX219956"/>
    <n v="365081"/>
    <d v="2024-03-14T00:00:00"/>
    <d v="2024-04-05T00:00:00"/>
    <n v="5000000"/>
    <n v="5000000"/>
    <n v="97.133417030000004"/>
    <n v="-1"/>
    <x v="0"/>
    <n v="961001"/>
    <m/>
    <n v="0.01"/>
    <n v="4"/>
    <n v="4856670.8514999999"/>
    <n v="3428060"/>
    <s v="AUD"/>
  </r>
  <r>
    <n v="5137854.9352374999"/>
    <s v="AQ Sunshine, Inc."/>
    <s v="Tranche F Term Loan 12/23"/>
    <s v="Assignment"/>
    <s v="SDL_III_CREDIT_D"/>
    <s v="USD"/>
    <s v="LX222435"/>
    <n v="363465"/>
    <d v="2024-03-05T00:00:00"/>
    <d v="2024-04-08T00:00:00"/>
    <n v="5186967.4188000001"/>
    <n v="5186967.4188000001"/>
    <n v="99.053156119999997"/>
    <n v="-1"/>
    <x v="0"/>
    <n v="961001"/>
    <m/>
    <n v="0.01"/>
    <n v="4"/>
    <n v="5137854.9353"/>
    <n v="3418475"/>
    <s v="USD"/>
  </r>
  <r>
    <n v="4109226.7329130499"/>
    <s v="Inszone Mid, LLC"/>
    <s v="A&amp;R Term Loan 11/23"/>
    <s v="Assignment"/>
    <s v="SDL_III_CREDIT_D"/>
    <s v="USD"/>
    <s v="LX220398"/>
    <n v="363468"/>
    <d v="2024-03-05T00:00:00"/>
    <d v="2024-04-08T00:00:00"/>
    <n v="4189500"/>
    <n v="4189500"/>
    <n v="98.083941589999995"/>
    <n v="-1"/>
    <x v="0"/>
    <n v="961001"/>
    <m/>
    <n v="0.01"/>
    <n v="4"/>
    <n v="4109226.7329000002"/>
    <n v="3418482"/>
    <s v="USD"/>
  </r>
  <r>
    <n v="5880277.5217912598"/>
    <s v="PCS Midco, Inc."/>
    <s v="Term Loan 1/24"/>
    <s v="Assignment"/>
    <s v="SDL_III_CREDIT_D"/>
    <s v="USD"/>
    <s v="LX225795"/>
    <n v="363574"/>
    <d v="2024-03-06T00:00:00"/>
    <d v="2024-04-10T00:00:00"/>
    <n v="6000000"/>
    <n v="6000000"/>
    <n v="98.0046253631876"/>
    <n v="-1"/>
    <x v="0"/>
    <n v="961001"/>
    <m/>
    <n v="0.01"/>
    <n v="4"/>
    <n v="5880277.5218000002"/>
    <n v="3419910"/>
    <s v="USD"/>
  </r>
  <r>
    <n v="276607.19382309797"/>
    <s v="Accession Risk Management Group, Inc."/>
    <s v="Term Loan 11/21"/>
    <s v="Assignment"/>
    <s v="SDL_III_CREDIT_D"/>
    <s v="USD"/>
    <s v="LX200468"/>
    <n v="363462"/>
    <d v="2024-03-05T00:00:00"/>
    <d v="2024-04-15T00:00:00"/>
    <n v="279286.22379999998"/>
    <n v="279286.22379999998"/>
    <n v="99.040758280000006"/>
    <n v="-1"/>
    <x v="0"/>
    <n v="961001"/>
    <m/>
    <n v="0.01"/>
    <n v="4"/>
    <n v="276607.19380000001"/>
    <n v="3418472"/>
    <s v="USD"/>
  </r>
  <r>
    <n v="13234313.096100001"/>
    <s v="Icefall Parent, Inc."/>
    <s v="Term Loan 1/24"/>
    <s v="Assignment"/>
    <s v="SDL_III_CREDIT_D"/>
    <s v="USD"/>
    <s v="LX225694"/>
    <n v="363460"/>
    <d v="2024-03-05T00:00:00"/>
    <d v="2024-04-16T00:00:00"/>
    <n v="13500000"/>
    <n v="13500000"/>
    <n v="98.03194886"/>
    <n v="-1"/>
    <x v="0"/>
    <n v="961001"/>
    <m/>
    <n v="0.01"/>
    <n v="4"/>
    <n v="13234313.096100001"/>
    <n v="3418465"/>
    <s v="USD"/>
  </r>
  <r>
    <n v="12117662.1063"/>
    <s v="PDI TA Holdings, Inc."/>
    <s v="Initial Term Loan 2/24"/>
    <s v="Assignment"/>
    <s v="SDL_III_CREDIT_D"/>
    <s v="USD"/>
    <s v="LX225958"/>
    <n v="363481"/>
    <d v="2024-03-05T00:00:00"/>
    <d v="2024-04-16T00:00:00"/>
    <n v="12300000"/>
    <n v="12300000"/>
    <n v="98.517578099999994"/>
    <n v="-1"/>
    <x v="0"/>
    <n v="961001"/>
    <m/>
    <n v="0.01"/>
    <n v="4"/>
    <n v="12117662.1063"/>
    <n v="3418567"/>
    <s v="USD"/>
  </r>
  <r>
    <n v="6753127.3130176198"/>
    <s v="Faraday Buyer, LLC"/>
    <s v="First Amendment Term Loan 11/23"/>
    <s v="Assignment"/>
    <s v="SDL_III_CREDIT_D"/>
    <s v="USD"/>
    <s v="LX220166"/>
    <n v="363458"/>
    <d v="2024-03-05T00:00:00"/>
    <d v="2024-04-17T00:00:00"/>
    <n v="6882706.7669000002"/>
    <n v="6882706.7669000002"/>
    <n v="98.117318400000002"/>
    <n v="-1"/>
    <x v="0"/>
    <n v="961001"/>
    <m/>
    <n v="0.01"/>
    <n v="4"/>
    <n v="6753127.3130000001"/>
    <n v="3418463"/>
    <s v="USD"/>
  </r>
  <r>
    <n v="5498147.0939149996"/>
    <s v="Majesco"/>
    <s v="Term Loan 9/20"/>
    <s v="Assignment"/>
    <s v="SDL_III_CREDIT_D"/>
    <s v="USD"/>
    <s v="LX189967"/>
    <n v="369527"/>
    <d v="2024-04-08T00:00:00"/>
    <d v="2024-04-17T00:00:00"/>
    <n v="5525450"/>
    <n v="5525450"/>
    <n v="99.505870000000002"/>
    <n v="-1"/>
    <x v="0"/>
    <n v="961001"/>
    <m/>
    <n v="0.01"/>
    <n v="4"/>
    <n v="5498147.0938999997"/>
    <n v="3491530"/>
    <s v="USD"/>
  </r>
  <r>
    <n v="6018283.5085603101"/>
    <s v="Riser Topco II, LLC"/>
    <s v="Initial Dollar Term Loans 10/23"/>
    <s v="Assignment"/>
    <s v="SDL_III_CREDIT_D"/>
    <s v="USD"/>
    <s v="LX219093"/>
    <n v="363455"/>
    <d v="2024-03-05T00:00:00"/>
    <d v="2024-04-17T00:00:00"/>
    <n v="6134625"/>
    <n v="6134625"/>
    <n v="98.103527249999999"/>
    <n v="-1"/>
    <x v="0"/>
    <n v="961001"/>
    <m/>
    <n v="0.01"/>
    <n v="4"/>
    <n v="6018283.5085000005"/>
    <n v="3418456"/>
    <s v="USD"/>
  </r>
  <r>
    <n v="5529082.7384920698"/>
    <s v="AMCP Clean Acquisition Company, LLC"/>
    <s v="Initial Term Loan 3/24"/>
    <s v="Assignment"/>
    <s v="SDL_III_CREDIT_D"/>
    <s v="USD"/>
    <s v="LX227260"/>
    <n v="367038"/>
    <d v="2024-03-27T00:00:00"/>
    <d v="2024-04-18T00:00:00"/>
    <n v="5613112.1500000004"/>
    <n v="5613112.1500000004"/>
    <n v="98.502979999999994"/>
    <n v="-1"/>
    <x v="0"/>
    <n v="961001"/>
    <m/>
    <n v="0.01"/>
    <n v="4"/>
    <n v="5529082.7385"/>
    <n v="3441055"/>
    <s v="USD"/>
  </r>
  <r>
    <n v="5951894.4224477997"/>
    <s v="Heavy Construction Systems Specialists, LLC"/>
    <s v="2024 Term Loan 3/24"/>
    <s v="Assignment"/>
    <s v="SDL_III_CREDIT_D"/>
    <s v="USD"/>
    <s v="LX228513"/>
    <n v="369526"/>
    <d v="2024-04-08T00:00:00"/>
    <d v="2024-04-22T00:00:00"/>
    <n v="6011479"/>
    <n v="6011479"/>
    <n v="99.00882"/>
    <n v="-1"/>
    <x v="0"/>
    <n v="961001"/>
    <m/>
    <n v="0.01"/>
    <n v="4"/>
    <n v="5951894.4223999996"/>
    <n v="3491527"/>
    <s v="USD"/>
  </r>
  <r>
    <n v="8435849.3276996706"/>
    <s v="BAMBOO US BIDCO LLC"/>
    <s v="Initial Dollar Term Loan 9/23"/>
    <s v="Assignment"/>
    <s v="SDL_III_CREDIT_D"/>
    <s v="USD"/>
    <s v="LX217181"/>
    <n v="363461"/>
    <d v="2024-03-05T00:00:00"/>
    <d v="2024-04-25T00:00:00"/>
    <n v="8678435.9896000009"/>
    <n v="8678435.9896000009"/>
    <n v="97.204719119999993"/>
    <n v="-1"/>
    <x v="0"/>
    <n v="961001"/>
    <m/>
    <n v="0.01"/>
    <n v="4"/>
    <n v="8435849.3277000003"/>
    <n v="3418466"/>
    <s v="USD"/>
  </r>
  <r>
    <n v="9647896.6505957507"/>
    <s v="BAMBOO US BIDCO LLC"/>
    <s v="Initial Euro Term Loan 9/23"/>
    <s v="Assignment"/>
    <s v="SDL_III_CREDIT_D"/>
    <s v="EUR"/>
    <s v="LX217182"/>
    <n v="363488"/>
    <d v="2024-03-05T00:00:00"/>
    <d v="2024-04-25T00:00:00"/>
    <n v="9925337.7129999995"/>
    <n v="9925337.7129999995"/>
    <n v="97.204719170000004"/>
    <n v="-1"/>
    <x v="0"/>
    <n v="961001"/>
    <m/>
    <n v="0.01"/>
    <n v="4"/>
    <n v="9647896.6505999994"/>
    <n v="3418595"/>
    <s v="EUR"/>
  </r>
  <r>
    <n v="2649515.7658500001"/>
    <s v="PerkinElmer U.S. LLC"/>
    <s v="2023 Incremental Term Loan 10/23"/>
    <s v="Assignment"/>
    <s v="SDL_III_CREDIT_D"/>
    <s v="USD"/>
    <s v="LX218937"/>
    <n v="363485"/>
    <d v="2024-03-05T00:00:00"/>
    <d v="2024-04-29T00:00:00"/>
    <n v="2700000"/>
    <n v="2700000"/>
    <n v="98.130213549999993"/>
    <n v="-1"/>
    <x v="0"/>
    <n v="961001"/>
    <m/>
    <n v="0.01"/>
    <n v="4"/>
    <n v="2649515.7659"/>
    <n v="3418592"/>
    <s v="USD"/>
  </r>
  <r>
    <n v="6034306.7149250004"/>
    <s v="Diligent Corporation"/>
    <s v="A-1 Cash Pay Term Loan 4/24"/>
    <s v="Assignment"/>
    <s v="SDL_III_CREDIT_D"/>
    <s v="USD"/>
    <s v="LX230976"/>
    <n v="373060"/>
    <d v="2024-04-30T00:00:00"/>
    <d v="2024-04-30T00:00:00"/>
    <n v="6079906.0099999998"/>
    <n v="6079906.0099999998"/>
    <n v="99.25"/>
    <n v="-1"/>
    <x v="0"/>
    <n v="961001"/>
    <m/>
    <n v="0.01"/>
    <n v="4"/>
    <n v="6034306.7149"/>
    <n v="3516511"/>
    <s v="USD"/>
  </r>
  <r>
    <n v="5674631.9896675497"/>
    <s v="PetVet Care Centers, LLC"/>
    <s v="Initial Term Loan 11/23"/>
    <s v="Assignment"/>
    <s v="SDL_III_CREDIT_D"/>
    <s v="USD"/>
    <s v="LX219173"/>
    <n v="363484"/>
    <d v="2024-03-05T00:00:00"/>
    <d v="2024-04-30T00:00:00"/>
    <n v="5785500"/>
    <n v="5785500"/>
    <n v="98.083691810000005"/>
    <n v="-1"/>
    <x v="0"/>
    <n v="961001"/>
    <m/>
    <n v="0.01"/>
    <n v="4"/>
    <n v="5674631.9896999998"/>
    <n v="3418586"/>
    <s v="USD"/>
  </r>
  <r>
    <n v="3724485.62176"/>
    <s v="Meyer Laboratory, LLC"/>
    <s v="Initial Term Loan 2/24"/>
    <s v="Assignment"/>
    <s v="SDL_III_CREDIT_D"/>
    <s v="USD"/>
    <s v="LX227615"/>
    <n v="365086"/>
    <d v="2024-03-14T00:00:00"/>
    <d v="2024-05-02T00:00:00"/>
    <n v="3800000"/>
    <n v="3800000"/>
    <n v="98.012779519999995"/>
    <n v="-1"/>
    <x v="0"/>
    <n v="961001"/>
    <m/>
    <n v="0.01"/>
    <n v="4"/>
    <n v="3724485.6217999998"/>
    <n v="3428072"/>
    <s v="USD"/>
  </r>
  <r>
    <n v="4107949.4371199999"/>
    <s v="Cloud Software Group, Inc."/>
    <s v="USD Term Loan 09/22"/>
    <s v="Assignment"/>
    <s v="SDL_III_CREDIT_D"/>
    <s v="USD"/>
    <s v="LX233015"/>
    <n v="363466"/>
    <d v="2024-03-05T00:00:00"/>
    <d v="2024-05-03T00:00:00"/>
    <n v="4300000"/>
    <n v="4300000"/>
    <n v="95.533707840000005"/>
    <n v="-1"/>
    <x v="0"/>
    <n v="961001"/>
    <m/>
    <n v="0.01"/>
    <n v="4"/>
    <n v="4107949.4371000002"/>
    <n v="3418477"/>
    <s v="USD"/>
  </r>
  <r>
    <n v="9988492.5899999999"/>
    <s v="Excelitas Technologies Corp."/>
    <s v="Closing Date USD Ter"/>
    <s v="Assignment 2"/>
    <s v="SDL_III_CREDIT_D"/>
    <s v="USD"/>
    <s v="LX206911"/>
    <n v="373471"/>
    <d v="2024-05-01T00:00:00"/>
    <d v="2024-05-03T00:00:00"/>
    <n v="9988492.5899999999"/>
    <n v="9988492.5899999999"/>
    <n v="100"/>
    <n v="-1"/>
    <x v="0"/>
    <n v="961001"/>
    <m/>
    <n v="0.01"/>
    <n v="4"/>
    <n v="9988492.5899999999"/>
    <n v="3520399"/>
    <s v="USD"/>
  </r>
  <r>
    <n v="19680923.969999999"/>
    <s v="Premise Health Holding Corp."/>
    <s v="Initial Term Loan 2/24"/>
    <s v="Assignment"/>
    <s v="SDL_III_CREDIT_D"/>
    <s v="USD"/>
    <s v="LX227321"/>
    <n v="365083"/>
    <d v="2024-03-14T00:00:00"/>
    <d v="2024-05-03T00:00:00"/>
    <n v="20000000"/>
    <n v="20000000"/>
    <n v="98.404619850000003"/>
    <n v="-1"/>
    <x v="0"/>
    <n v="961001"/>
    <m/>
    <n v="0.01"/>
    <n v="4"/>
    <n v="19680923.969999999"/>
    <n v="3428064"/>
    <s v="USD"/>
  </r>
  <r>
    <n v="21153334.049466599"/>
    <s v="CentralSquare Technologies, LLC"/>
    <s v="Term Loan 4/24"/>
    <s v="Assignment"/>
    <s v="SDL_III_CREDIT_D"/>
    <s v="USD"/>
    <s v="LX229381"/>
    <n v="372722"/>
    <d v="2024-04-26T00:00:00"/>
    <d v="2024-05-07T00:00:00"/>
    <n v="21692427"/>
    <n v="21692427"/>
    <n v="97.514833400000001"/>
    <n v="-1"/>
    <x v="0"/>
    <n v="961001"/>
    <m/>
    <n v="0.01"/>
    <n v="4"/>
    <n v="21153334.0495"/>
    <n v="3511729"/>
    <s v="USD"/>
  </r>
  <r>
    <n v="9785200.2781051993"/>
    <s v="Nelipak Holding Company"/>
    <s v="EUR Term Loan 3/24"/>
    <s v="Assignment"/>
    <s v="SDL_III_CREDIT_D"/>
    <s v="EUR"/>
    <s v="LX228757"/>
    <n v="369530"/>
    <d v="2024-04-08T00:00:00"/>
    <d v="2024-05-16T00:00:00"/>
    <n v="9933562"/>
    <n v="9933562"/>
    <n v="98.506460000000004"/>
    <n v="-1"/>
    <x v="0"/>
    <n v="961001"/>
    <m/>
    <n v="0.01"/>
    <n v="4"/>
    <n v="9785200.2781000007"/>
    <n v="3491534"/>
    <s v="EUR"/>
  </r>
  <r>
    <n v="4732834.4817078002"/>
    <s v="Nelipak Holding Company"/>
    <s v="USD Term Loan 3/24"/>
    <s v="Assignment"/>
    <s v="SDL_III_CREDIT_D"/>
    <s v="USD"/>
    <s v="LX228738"/>
    <n v="369518"/>
    <d v="2024-04-08T00:00:00"/>
    <d v="2024-05-16T00:00:00"/>
    <n v="4804593"/>
    <n v="4804593"/>
    <n v="98.506460000000004"/>
    <n v="-1"/>
    <x v="0"/>
    <n v="961001"/>
    <m/>
    <n v="0.01"/>
    <n v="4"/>
    <n v="4732834.4817000004"/>
    <n v="3491509"/>
    <s v="USD"/>
  </r>
  <r>
    <n v="3209100.4366423301"/>
    <s v="Symplr Software Inc."/>
    <s v="Initial Term Loan (First Lien) 12/20"/>
    <s v="Assignment"/>
    <s v="SDL_III_CREDIT_D"/>
    <s v="USD"/>
    <s v="LX190915"/>
    <n v="372862"/>
    <d v="2024-04-26T00:00:00"/>
    <d v="2024-05-16T00:00:00"/>
    <n v="3417738"/>
    <n v="3417738"/>
    <n v="93.895448880000004"/>
    <n v="-1"/>
    <x v="0"/>
    <n v="961001"/>
    <m/>
    <n v="0.01"/>
    <n v="4"/>
    <n v="3209100.4366000001"/>
    <n v="3512158"/>
    <s v="USD"/>
  </r>
  <r>
    <n v="2532404.7912750002"/>
    <s v="UP Intermediate II LLC"/>
    <s v="Initial Term Loan 3/24"/>
    <s v="Assignment"/>
    <s v="SDL_III_CREDIT_D"/>
    <s v="USD"/>
    <s v="LX227966"/>
    <n v="369524"/>
    <d v="2024-04-08T00:00:00"/>
    <d v="2024-05-16T00:00:00"/>
    <n v="2596739"/>
    <n v="2596739"/>
    <n v="97.522499999999994"/>
    <n v="-1"/>
    <x v="0"/>
    <n v="961001"/>
    <m/>
    <n v="0.01"/>
    <n v="4"/>
    <n v="2532404.7913000002"/>
    <n v="3491522"/>
    <s v="USD"/>
  </r>
  <r>
    <n v="9426084.9933335092"/>
    <s v="Symplr Software Inc."/>
    <s v="1L Term Loan 1/24"/>
    <s v="Assignment"/>
    <s v="SDL_III_CREDIT_D"/>
    <s v="USD"/>
    <s v="LX224739"/>
    <n v="372703"/>
    <d v="2024-04-26T00:00:00"/>
    <d v="2024-05-17T00:00:00"/>
    <n v="9817922"/>
    <n v="9817922"/>
    <n v="96.008961909999996"/>
    <n v="-1"/>
    <x v="0"/>
    <n v="961001"/>
    <m/>
    <n v="0.01"/>
    <n v="4"/>
    <n v="9426084.9933000002"/>
    <n v="3511669"/>
    <s v="USD"/>
  </r>
  <r>
    <n v="4372804.7634731298"/>
    <s v="Cardinal Parent, Inc."/>
    <s v="Term Loan B"/>
    <s v="Assignment"/>
    <s v="SDL_III_CREDIT_D"/>
    <s v="USD"/>
    <s v="LX190406"/>
    <n v="372711"/>
    <d v="2024-04-26T00:00:00"/>
    <d v="2024-05-20T00:00:00"/>
    <n v="4591909"/>
    <n v="4591909"/>
    <n v="95.228471720000002"/>
    <n v="-1"/>
    <x v="0"/>
    <n v="961001"/>
    <m/>
    <n v="0.01"/>
    <n v="4"/>
    <n v="4372804.7635000004"/>
    <n v="3511692"/>
    <s v="USD"/>
  </r>
  <r>
    <n v="16127657.2293439"/>
    <s v="The Ultimus Group Midco, LLC"/>
    <s v="Initial Term Loan 3/24"/>
    <s v="Assignment"/>
    <s v="SDL_III_CREDIT_D"/>
    <s v="USD"/>
    <s v="LX227887"/>
    <n v="366529"/>
    <d v="2024-03-22T00:00:00"/>
    <d v="2024-05-22T00:00:00"/>
    <n v="16289597"/>
    <n v="16289597"/>
    <n v="99.005870000000002"/>
    <n v="-1"/>
    <x v="0"/>
    <n v="961001"/>
    <m/>
    <n v="0.01"/>
    <n v="4"/>
    <n v="16127657.2293"/>
    <n v="3436758"/>
    <s v="USD"/>
  </r>
  <r>
    <n v="19565149.239999998"/>
    <s v="HuFriedy Group Acquisition LLC"/>
    <s v="Initial Term Loan 5/24"/>
    <s v="Assignment"/>
    <s v="SDL_III_CREDIT_D"/>
    <s v="USD"/>
    <s v="LX232556"/>
    <n v="379120"/>
    <d v="2024-05-31T00:00:00"/>
    <d v="2024-05-31T00:00:00"/>
    <n v="19964438"/>
    <n v="19964438"/>
    <n v="98"/>
    <n v="-1"/>
    <x v="0"/>
    <n v="961001"/>
    <m/>
    <n v="0.01"/>
    <n v="4"/>
    <n v="19565149.239999998"/>
    <n v="3545620"/>
    <s v="USD"/>
  </r>
  <r>
    <n v="19824507.542307701"/>
    <s v="Phoenix YW Buyer, Inc."/>
    <s v="Term Loan 5/24"/>
    <s v="Assignment"/>
    <s v="SDL_III_CREDIT_D"/>
    <s v="USD"/>
    <s v="LX234330"/>
    <n v="379532"/>
    <d v="2024-05-31T00:00:00"/>
    <d v="2024-05-31T00:00:00"/>
    <n v="20360940"/>
    <n v="20360940"/>
    <n v="97.365384615384599"/>
    <n v="-1"/>
    <x v="0"/>
    <n v="961001"/>
    <m/>
    <n v="0.01"/>
    <n v="4"/>
    <n v="19824507.542300001"/>
    <n v="3546354"/>
    <s v="USD"/>
  </r>
  <r>
    <n v="14539.586499999999"/>
    <s v="BAMBOO US BIDCO LLC"/>
    <s v="Initial Dollar Term Loan 9/23"/>
    <s v="Assignment"/>
    <s v="SDL_III_CREDIT_D"/>
    <s v="USD"/>
    <s v="LX217181"/>
    <n v="363461"/>
    <n v="45412"/>
    <n v="45412"/>
    <n v="14539.586499999999"/>
    <n v="14539.586499999999"/>
    <n v="100"/>
    <n v="-1"/>
    <x v="1"/>
    <n v="961533"/>
    <m/>
    <n v="0.01"/>
    <n v="4"/>
    <n v="14539.586499999999"/>
    <n v="3527096"/>
    <s v="USD"/>
  </r>
  <r>
    <n v="-6875"/>
    <s v="AI Fire Buyer, Inc."/>
    <s v="Term Loan 10/23"/>
    <s v="Assignment"/>
    <s v="SDL_III_CREDIT_D"/>
    <s v="USD"/>
    <s v="LX219094"/>
    <n v="363454"/>
    <n v="45379"/>
    <n v="45379"/>
    <n v="-6875"/>
    <n v="-6875"/>
    <n v="100"/>
    <n v="-1"/>
    <x v="2"/>
    <n v="961015"/>
    <s v="Contract: 2"/>
    <n v="0.01"/>
    <n v="4"/>
    <n v="-6875"/>
    <n v="3456949"/>
    <s v="USD"/>
  </r>
  <r>
    <n v="-15250"/>
    <s v="Demakes Borrower, LLC"/>
    <s v="Term Loan B 12/23"/>
    <s v="Assignment"/>
    <s v="SDL_III_CREDIT_D"/>
    <s v="USD"/>
    <s v="LX221693"/>
    <n v="363473"/>
    <n v="45379"/>
    <n v="45379"/>
    <n v="-15250"/>
    <n v="-15250"/>
    <n v="100"/>
    <n v="-1"/>
    <x v="2"/>
    <n v="961015"/>
    <s v="Contract: 2"/>
    <n v="0.01"/>
    <n v="4"/>
    <n v="-15250"/>
    <n v="3456710"/>
    <s v="USD"/>
  </r>
  <r>
    <n v="-7250"/>
    <s v="Echo Purchaser, Inc."/>
    <s v="Term Loan 11/23"/>
    <s v="Assignment"/>
    <s v="SDL_III_CREDIT_D"/>
    <s v="USD"/>
    <s v="LX218793"/>
    <n v="363486"/>
    <n v="45379"/>
    <n v="45379"/>
    <n v="-7250"/>
    <n v="-7250"/>
    <n v="100"/>
    <n v="-1"/>
    <x v="2"/>
    <n v="961015"/>
    <s v="Contract: 3"/>
    <n v="0.01"/>
    <n v="4"/>
    <n v="-7250"/>
    <n v="3456708"/>
    <s v="USD"/>
  </r>
  <r>
    <n v="-4750"/>
    <s v="AffiniPay Midco, LLC"/>
    <s v="Fifth Amendment Term Loan 11/23"/>
    <s v="Assignment"/>
    <s v="SDL_III_CREDIT_D"/>
    <s v="USD"/>
    <s v="LX220296"/>
    <n v="363470"/>
    <n v="45383"/>
    <n v="45383"/>
    <n v="-4750"/>
    <n v="-4750"/>
    <n v="100"/>
    <n v="-1"/>
    <x v="2"/>
    <n v="961015"/>
    <s v="Contract: 3"/>
    <n v="0.01"/>
    <n v="4"/>
    <n v="-4750"/>
    <n v="3477144"/>
    <s v="USD"/>
  </r>
  <r>
    <n v="-13000"/>
    <s v="Computer Services, Inc."/>
    <s v="2024-1 Incremental Term Loan 2/24"/>
    <s v="Assignment"/>
    <s v="SDL_III_CREDIT_D"/>
    <s v="USD"/>
    <s v="LX226593"/>
    <n v="363478"/>
    <n v="45443"/>
    <n v="45443"/>
    <n v="-13000"/>
    <n v="-13000"/>
    <n v="100"/>
    <n v="-1"/>
    <x v="2"/>
    <n v="961015"/>
    <s v="Contract: 2"/>
    <n v="0.01"/>
    <n v="4"/>
    <n v="-13000"/>
    <n v="3544568"/>
    <s v="USD"/>
  </r>
  <r>
    <n v="14697.7709"/>
    <s v="BAMBOO US BIDCO LLC"/>
    <s v="Initial Euro Term Loan 9/23"/>
    <s v="Assignment"/>
    <s v="SDL_III_CREDIT_D"/>
    <s v="EUR"/>
    <s v="LX217182"/>
    <n v="363488"/>
    <n v="45412"/>
    <n v="45412"/>
    <n v="14697.7709"/>
    <n v="14697.7709"/>
    <n v="100"/>
    <n v="-1"/>
    <x v="3"/>
    <n v="961533"/>
    <m/>
    <n v="0.01"/>
    <n v="4"/>
    <n v="14697.7709"/>
    <n v="3528080"/>
    <s v="EUR"/>
  </r>
  <r>
    <n v="58808.030100000004"/>
    <s v="BAMBOO US BIDCO LLC"/>
    <s v="Initial Dollar Term Loan 9/23"/>
    <s v="Assignment"/>
    <s v="SDL_III_CREDIT_D"/>
    <s v="USD"/>
    <s v="LX217181"/>
    <n v="363461"/>
    <n v="45412"/>
    <n v="45412"/>
    <n v="58808.030100000004"/>
    <n v="58808.030100000004"/>
    <n v="100"/>
    <n v="-1"/>
    <x v="4"/>
    <n v="961018"/>
    <m/>
    <n v="0.01"/>
    <n v="4"/>
    <n v="58808.030100000004"/>
    <n v="3527097"/>
    <s v="USD"/>
  </r>
  <r>
    <n v="69190.62"/>
    <s v="BAMBOO US BIDCO LLC"/>
    <s v="Initial Euro Term Loan 9/23"/>
    <s v="Assignment"/>
    <s v="SDL_III_CREDIT_D"/>
    <s v="EUR"/>
    <s v="LX217182"/>
    <n v="363488"/>
    <n v="45412"/>
    <n v="45412"/>
    <n v="69190.62"/>
    <n v="69190.62"/>
    <n v="100"/>
    <n v="-1"/>
    <x v="4"/>
    <n v="961018"/>
    <m/>
    <n v="0.01"/>
    <n v="4"/>
    <n v="69190.62"/>
    <n v="3528081"/>
    <s v="EUR"/>
  </r>
  <r>
    <n v="65378.5648"/>
    <s v="CentralSquare Technologies, LLC"/>
    <s v="Term Loan 4/24"/>
    <s v="Assignment"/>
    <s v="SDL_III_CREDIT_D"/>
    <s v="USD"/>
    <s v="LX229381"/>
    <n v="372722"/>
    <n v="45425"/>
    <n v="45425"/>
    <n v="65378.5648"/>
    <n v="65378.5648"/>
    <n v="100"/>
    <n v="-1"/>
    <x v="4"/>
    <n v="961018"/>
    <m/>
    <n v="0.01"/>
    <n v="4"/>
    <n v="65378.5648"/>
    <n v="3527643"/>
    <s v="USD"/>
  </r>
  <r>
    <n v="-10750"/>
    <s v="Wildcat BuyerCo, Inc."/>
    <s v="Third Incremental Term Loan 11/23"/>
    <s v="Assignment"/>
    <s v="SDL_III_CREDIT_D"/>
    <s v="USD"/>
    <s v="LX219497"/>
    <n v="363463"/>
    <n v="45379"/>
    <n v="45379"/>
    <n v="-10750"/>
    <n v="-10750"/>
    <n v="100"/>
    <n v="-1"/>
    <x v="5"/>
    <n v="961015"/>
    <s v="Contract: 3"/>
    <n v="0.01"/>
    <n v="4"/>
    <n v="-10750"/>
    <n v="3456663"/>
    <s v="USD"/>
  </r>
  <r>
    <n v="4107949.53"/>
    <s v="Cloud Software Group, Inc."/>
    <s v="Term Loan 05/24"/>
    <s v="Assignment"/>
    <s v="SDL_III_CREDIT_D"/>
    <s v="USD"/>
    <s v="LX233015"/>
    <n v="379922"/>
    <n v="45436"/>
    <n v="45436"/>
    <n v="4300000"/>
    <n v="4300000"/>
    <n v="95.533709999999999"/>
    <n v="-1"/>
    <x v="6"/>
    <n v="884400"/>
    <m/>
    <n v="0.01"/>
    <n v="4"/>
    <n v="4107949.53"/>
    <n v="3547919"/>
    <s v="USD"/>
  </r>
  <r>
    <n v="-4107949.53"/>
    <s v="Cloud Software Group, Inc."/>
    <s v="USD Term Loan 09/22"/>
    <s v="Assignment"/>
    <s v="SDL_III_CREDIT_D"/>
    <s v="USD"/>
    <s v="LX233015"/>
    <n v="363466"/>
    <n v="45436"/>
    <n v="45436"/>
    <n v="-4300000"/>
    <n v="-4300000"/>
    <n v="95.533709999999999"/>
    <n v="-1"/>
    <x v="6"/>
    <n v="884450"/>
    <m/>
    <n v="0.01"/>
    <n v="4"/>
    <n v="-4107949.53"/>
    <n v="3547920"/>
    <s v="USD"/>
  </r>
  <r>
    <n v="-2506.2656999999999"/>
    <s v="Lightbeam Bidco, INC."/>
    <s v="First Amendment Incremental Term Loan 11/23"/>
    <s v="Assignment"/>
    <s v="SDL_III_CREDIT_D"/>
    <s v="USD"/>
    <s v="LX219388"/>
    <n v="363469"/>
    <n v="45383"/>
    <n v="45383"/>
    <n v="-2506.2656999999999"/>
    <n v="-2506.2656999999999"/>
    <n v="100"/>
    <n v="-1"/>
    <x v="7"/>
    <n v="961030"/>
    <s v="Contract: 3"/>
    <n v="0.01"/>
    <n v="4"/>
    <n v="-2506.2656999999999"/>
    <n v="3477735"/>
    <s v="USD"/>
  </r>
  <r>
    <n v="-4081.6327000000001"/>
    <s v="Wildcat BuyerCo, Inc."/>
    <s v="First Incremental Term Loan 11/21"/>
    <s v="Assignment"/>
    <s v="SDL_III_CREDIT_D"/>
    <s v="USD"/>
    <s v="LX200513"/>
    <n v="363475"/>
    <n v="45379"/>
    <n v="45379"/>
    <n v="-4081.6327000000001"/>
    <n v="-4081.6327000000001"/>
    <n v="100"/>
    <n v="-1"/>
    <x v="8"/>
    <n v="961030"/>
    <s v="Contract: 11"/>
    <n v="0.01"/>
    <n v="4"/>
    <n v="-4081.6327000000001"/>
    <n v="3460988"/>
    <s v="USD"/>
  </r>
  <r>
    <n v="-1350.6494"/>
    <s v="Wildcat BuyerCo, Inc."/>
    <s v="Initial Term Loan 02/20"/>
    <s v="Assignment"/>
    <s v="SDL_III_CREDIT_D"/>
    <s v="USD"/>
    <s v="LX186170"/>
    <n v="363477"/>
    <n v="45379"/>
    <n v="45379"/>
    <n v="-1350.6494"/>
    <n v="-1350.6494"/>
    <n v="100"/>
    <n v="-1"/>
    <x v="8"/>
    <n v="961030"/>
    <s v="Contract: 26"/>
    <n v="0.01"/>
    <n v="4"/>
    <n v="-1350.6494"/>
    <n v="3460752"/>
    <s v="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0">
        <item h="1" x="0"/>
        <item x="1"/>
        <item h="1" x="2"/>
        <item x="3"/>
        <item x="4"/>
        <item h="1" x="5"/>
        <item h="1" x="6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Sum of TranAsset_Outstanding" fld="11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V2" totalsRowShown="0" headerRowDxfId="94" dataDxfId="92" headerRowBorderDxfId="93" headerRowCellStyle="Normal 67">
  <autoFilter ref="A1:BV2" xr:uid="{00000000-0009-0000-0100-000001000000}"/>
  <tableColumns count="74">
    <tableColumn id="1" xr3:uid="{00000000-0010-0000-0000-000001000000}" name="Fund" dataDxfId="91"/>
    <tableColumn id="2" xr3:uid="{00000000-0010-0000-0000-000002000000}" name="Lender" dataDxfId="90"/>
    <tableColumn id="3" xr3:uid="{00000000-0010-0000-0000-000003000000}" name="Date" dataDxfId="89">
      <calculatedColumnFormula>'Summary '!I1</calculatedColumnFormula>
    </tableColumn>
    <tableColumn id="4" xr3:uid="{00000000-0010-0000-0000-000004000000}" name="Commitment" dataDxfId="88">
      <calculatedColumnFormula>'Summary '!I4</calculatedColumnFormula>
    </tableColumn>
    <tableColumn id="5" xr3:uid="{00000000-0010-0000-0000-000005000000}" name="Borrowing Base" dataDxfId="87">
      <calculatedColumnFormula>'Summary '!C11</calculatedColumnFormula>
    </tableColumn>
    <tableColumn id="6" xr3:uid="{00000000-0010-0000-0000-000006000000}" name="Outstanding (total)" dataDxfId="86">
      <calculatedColumnFormula>'Summary '!I39</calculatedColumnFormula>
    </tableColumn>
    <tableColumn id="7" xr3:uid="{00000000-0010-0000-0000-000007000000}" name="Availability" dataDxfId="85">
      <calculatedColumnFormula>Table2[[#This Row],[Borrowing Base]]-Table2[[#This Row],[Outstanding (total)]]</calculatedColumnFormula>
    </tableColumn>
    <tableColumn id="8" xr3:uid="{00000000-0010-0000-0000-000008000000}" name="FX BB - GBP" dataDxfId="84"/>
    <tableColumn id="9" xr3:uid="{00000000-0010-0000-0000-000009000000}" name="GBP Outstanding" dataDxfId="83"/>
    <tableColumn id="10" xr3:uid="{00000000-0010-0000-0000-00000A000000}" name="FX BB - EUR" dataDxfId="82"/>
    <tableColumn id="11" xr3:uid="{00000000-0010-0000-0000-00000B000000}" name="EUR Outstanding" dataDxfId="81"/>
    <tableColumn id="12" xr3:uid="{00000000-0010-0000-0000-00000C000000}" name="FX BB - CAD" dataDxfId="80"/>
    <tableColumn id="13" xr3:uid="{00000000-0010-0000-0000-00000D000000}" name="CAD Outstanding" dataDxfId="79"/>
    <tableColumn id="14" xr3:uid="{00000000-0010-0000-0000-00000E000000}" name="FX BB - SEK" dataDxfId="78"/>
    <tableColumn id="15" xr3:uid="{00000000-0010-0000-0000-00000F000000}" name="SEK Outstanding" dataDxfId="77"/>
    <tableColumn id="16" xr3:uid="{00000000-0010-0000-0000-000010000000}" name="FX BB - DKK" dataDxfId="76"/>
    <tableColumn id="17" xr3:uid="{00000000-0010-0000-0000-000011000000}" name="DKK Outstanding" dataDxfId="75"/>
    <tableColumn id="18" xr3:uid="{00000000-0010-0000-0000-000012000000}" name="FX BB - NOK" dataDxfId="74"/>
    <tableColumn id="19" xr3:uid="{00000000-0010-0000-0000-000013000000}" name="NOK Outstanding" dataDxfId="73"/>
    <tableColumn id="20" xr3:uid="{00000000-0010-0000-0000-000014000000}" name="Outstanding Loan Balance (Commitment)" dataDxfId="72">
      <calculatedColumnFormula>'Summary '!I38</calculatedColumnFormula>
    </tableColumn>
    <tableColumn id="21" xr3:uid="{00000000-0010-0000-0000-000015000000}" name="Adjusted Borrowing Value" dataDxfId="71"/>
    <tableColumn id="22" xr3:uid="{00000000-0010-0000-0000-000016000000}" name="Wtd Avg Advance Rate" dataDxfId="70">
      <calculatedColumnFormula>'Summary '!C8</calculatedColumnFormula>
    </tableColumn>
    <tableColumn id="23" xr3:uid="{00000000-0010-0000-0000-000017000000}" name="Wtd. Avg Advance Rate (Effective)" dataDxfId="69" dataCellStyle="Percent">
      <calculatedColumnFormula>E2/T2</calculatedColumnFormula>
    </tableColumn>
    <tableColumn id="24" xr3:uid="{00000000-0010-0000-0000-000018000000}" name="Unfunded Commitments" dataDxfId="68"/>
    <tableColumn id="25" xr3:uid="{00000000-0010-0000-0000-000019000000}" name="Unfunded Exposure" dataDxfId="67"/>
    <tableColumn id="26" xr3:uid="{00000000-0010-0000-0000-00001A000000}" name="Excess Concentrations" dataDxfId="66"/>
    <tableColumn id="27" xr3:uid="{00000000-0010-0000-0000-00001B000000}" name="# of Obligors" dataDxfId="65"/>
    <tableColumn id="28" xr3:uid="{00000000-0010-0000-0000-00001C000000}" name="TTM EBITDA" dataDxfId="64">
      <calculatedColumnFormula>'Summary '!D58</calculatedColumnFormula>
    </tableColumn>
    <tableColumn id="29" xr3:uid="{00000000-0010-0000-0000-00001D000000}" name="Interest Coverage" dataDxfId="63">
      <calculatedColumnFormula>'Summary '!D59</calculatedColumnFormula>
    </tableColumn>
    <tableColumn id="30" xr3:uid="{00000000-0010-0000-0000-00001E000000}" name="Senior Net Leverage" dataDxfId="62">
      <calculatedColumnFormula>'Summary '!D60</calculatedColumnFormula>
    </tableColumn>
    <tableColumn id="31" xr3:uid="{00000000-0010-0000-0000-00001F000000}" name="Total Net Leverage" dataDxfId="61"/>
    <tableColumn id="32" xr3:uid="{00000000-0010-0000-0000-000020000000}" name="VAE#s" dataDxfId="60"/>
    <tableColumn id="33" xr3:uid="{00000000-0010-0000-0000-000021000000}" name="VAEs (based on ABV Post Haircut - USD)" dataDxfId="59"/>
    <tableColumn id="34" xr3:uid="{00000000-0010-0000-0000-000022000000}" name="VAEs as of percent of ABV Post Haircut" dataDxfId="58"/>
    <tableColumn id="35" xr3:uid="{00000000-0010-0000-0000-000023000000}" name="VAEs (based on OLB in USD)" dataDxfId="57"/>
    <tableColumn id="36" xr3:uid="{00000000-0010-0000-0000-000024000000}" name="VAEs as of percent of OLB" dataDxfId="56"/>
    <tableColumn id="37" xr3:uid="{00000000-0010-0000-0000-000025000000}" name="Min Required Equity" dataDxfId="55"/>
    <tableColumn id="38" xr3:uid="{00000000-0010-0000-0000-000026000000}" name="First Lien - OLB" dataDxfId="54" dataCellStyle="Comma"/>
    <tableColumn id="39" xr3:uid="{00000000-0010-0000-0000-000027000000}" name="First Lien - ABV" dataDxfId="53"/>
    <tableColumn id="40" xr3:uid="{00000000-0010-0000-0000-000028000000}" name="First Lien Last Out - OLB" dataDxfId="52"/>
    <tableColumn id="41" xr3:uid="{00000000-0010-0000-0000-000029000000}" name="First Lien Last Out - ABV" dataDxfId="51"/>
    <tableColumn id="42" xr3:uid="{00000000-0010-0000-0000-00002A000000}" name="Second Lien - OLB" dataDxfId="50"/>
    <tableColumn id="43" xr3:uid="{00000000-0010-0000-0000-00002B000000}" name="Second Lien - ABV" dataDxfId="49"/>
    <tableColumn id="44" xr3:uid="{00000000-0010-0000-0000-00002C000000}" name="BSL - OLB" dataDxfId="48"/>
    <tableColumn id="45" xr3:uid="{00000000-0010-0000-0000-00002D000000}" name="BSL - ABV" dataDxfId="47"/>
    <tableColumn id="46" xr3:uid="{00000000-0010-0000-0000-00002E000000}" name="Wtd. Avg Spread" dataDxfId="46" dataCellStyle="Percent"/>
    <tableColumn id="47" xr3:uid="{00000000-0010-0000-0000-00002F000000}" name="Capital Call Availability / SCV" dataDxfId="45"/>
    <tableColumn id="48" xr3:uid="{00000000-0010-0000-0000-000030000000}" name="Principal Cash" dataDxfId="44">
      <calculatedColumnFormula>'Summary '!C6</calculatedColumnFormula>
    </tableColumn>
    <tableColumn id="49" xr3:uid="{00000000-0010-0000-0000-000031000000}" name="Unconstrained BB" dataDxfId="43"/>
    <tableColumn id="50" xr3:uid="{00000000-0010-0000-0000-000032000000}" name="FX Cash - CAD" dataDxfId="42"/>
    <tableColumn id="51" xr3:uid="{00000000-0010-0000-0000-000033000000}" name="FX Cash - EUR" dataDxfId="41"/>
    <tableColumn id="52" xr3:uid="{00000000-0010-0000-0000-000034000000}" name="FX Cash - GBP" dataDxfId="40"/>
    <tableColumn id="53" xr3:uid="{00000000-0010-0000-0000-000035000000}" name="FX Cash - DKK" dataDxfId="39"/>
    <tableColumn id="54" xr3:uid="{00000000-0010-0000-0000-000036000000}" name="FX Cash - SEK" dataDxfId="38"/>
    <tableColumn id="55" xr3:uid="{00000000-0010-0000-0000-000037000000}" name="FX Cash - NOK" dataDxfId="37"/>
    <tableColumn id="56" xr3:uid="{00000000-0010-0000-0000-000038000000}" name="Principal Cash USD" dataDxfId="36"/>
    <tableColumn id="57" xr3:uid="{00000000-0010-0000-0000-000039000000}" name="MF Cash - CAD" dataDxfId="35"/>
    <tableColumn id="58" xr3:uid="{00000000-0010-0000-0000-00003A000000}" name="MF Cash - EUR" dataDxfId="34"/>
    <tableColumn id="59" xr3:uid="{00000000-0010-0000-0000-00003B000000}" name="MF Cash - GBP" dataDxfId="33"/>
    <tableColumn id="60" xr3:uid="{00000000-0010-0000-0000-00003C000000}" name="MF Cash - DKK" dataDxfId="32"/>
    <tableColumn id="61" xr3:uid="{00000000-0010-0000-0000-00003D000000}" name="MF Cash - SEK" dataDxfId="31"/>
    <tableColumn id="62" xr3:uid="{00000000-0010-0000-0000-00003E000000}" name="MF Cash - NOK" dataDxfId="30"/>
    <tableColumn id="63" xr3:uid="{00000000-0010-0000-0000-00003F000000}" name="Principal O/S Pledged" dataDxfId="29" dataCellStyle="Normal 67"/>
    <tableColumn id="64" xr3:uid="{00000000-0010-0000-0000-000040000000}" name="Adjusted Borrowing Value (USD)" dataDxfId="28" dataCellStyle="Normal 67"/>
    <tableColumn id="65" xr3:uid="{00000000-0010-0000-0000-000041000000}" name="Wtd avg. Assigned Value" dataDxfId="27" dataCellStyle="Normal 67"/>
    <tableColumn id="66" xr3:uid="{00000000-0010-0000-0000-000042000000}" name="Wtd avg. advance rate" dataDxfId="26" dataCellStyle="Normal 67"/>
    <tableColumn id="67" xr3:uid="{00000000-0010-0000-0000-000043000000}" name="Effective Avg Adv rate" dataDxfId="25" dataCellStyle="Percent">
      <calculatedColumnFormula>BM2*BN2</calculatedColumnFormula>
    </tableColumn>
    <tableColumn id="68" xr3:uid="{00000000-0010-0000-0000-000044000000}" name="Adjusted balance" dataDxfId="24" dataCellStyle="Normal 67">
      <calculatedColumnFormula>BK2*BM2*BN2</calculatedColumnFormula>
    </tableColumn>
    <tableColumn id="69" xr3:uid="{00000000-0010-0000-0000-000045000000}" name="Borrowing base2" dataDxfId="23" dataCellStyle="Normal 67"/>
    <tableColumn id="70" xr3:uid="{00000000-0010-0000-0000-000046000000}" name="Borrowing outstanding" dataDxfId="22" dataCellStyle="Normal 67"/>
    <tableColumn id="71" xr3:uid="{00000000-0010-0000-0000-000047000000}" name="Wtd. avg portfolio leverage" dataDxfId="21" dataCellStyle="Comma"/>
    <tableColumn id="72" xr3:uid="{00000000-0010-0000-0000-000048000000}" name="Wtd. avg portfolio interest coverage" dataDxfId="20" dataCellStyle="Comma"/>
    <tableColumn id="73" xr3:uid="{00000000-0010-0000-0000-000049000000}" name="Wtd. avg portfolio EBITDA?" dataDxfId="19" dataCellStyle="Comma"/>
    <tableColumn id="74" xr3:uid="{00000000-0010-0000-0000-00004A000000}" name="Fund 2" dataDxfId="18" dataCellStyle="Normal 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A16" dT="2024-09-06T18:14:47.96" personId="{EC39376D-07FE-45DB-B207-CA6520D753D2}" id="{38DBC2AF-28DD-40A7-805E-DB4FF92BFAB7}">
    <text>RR in BB for now, might be removed later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"/>
  <sheetViews>
    <sheetView workbookViewId="0"/>
  </sheetViews>
  <sheetFormatPr defaultColWidth="9.140625" defaultRowHeight="11.25"/>
  <cols>
    <col min="1" max="3" width="10.140625" style="464" customWidth="1"/>
    <col min="4" max="73" width="21.42578125" style="464" customWidth="1"/>
    <col min="74" max="16384" width="9.140625" style="464"/>
  </cols>
  <sheetData>
    <row r="1" spans="1:74" ht="15">
      <c r="A1" s="463" t="s">
        <v>901</v>
      </c>
      <c r="B1" s="463" t="s">
        <v>902</v>
      </c>
      <c r="C1" s="463" t="s">
        <v>903</v>
      </c>
      <c r="D1" s="463" t="s">
        <v>221</v>
      </c>
      <c r="E1" s="463" t="s">
        <v>30</v>
      </c>
      <c r="F1" s="463" t="s">
        <v>904</v>
      </c>
      <c r="G1" s="463" t="s">
        <v>219</v>
      </c>
      <c r="H1" s="463" t="s">
        <v>905</v>
      </c>
      <c r="I1" s="463" t="s">
        <v>906</v>
      </c>
      <c r="J1" s="463" t="s">
        <v>907</v>
      </c>
      <c r="K1" s="463" t="s">
        <v>908</v>
      </c>
      <c r="L1" s="463" t="s">
        <v>909</v>
      </c>
      <c r="M1" s="463" t="s">
        <v>910</v>
      </c>
      <c r="N1" s="463" t="s">
        <v>911</v>
      </c>
      <c r="O1" s="463" t="s">
        <v>912</v>
      </c>
      <c r="P1" s="463" t="s">
        <v>913</v>
      </c>
      <c r="Q1" s="463" t="s">
        <v>914</v>
      </c>
      <c r="R1" s="463" t="s">
        <v>915</v>
      </c>
      <c r="S1" s="463" t="s">
        <v>916</v>
      </c>
      <c r="T1" s="463" t="s">
        <v>917</v>
      </c>
      <c r="U1" s="463" t="s">
        <v>918</v>
      </c>
      <c r="V1" s="463" t="s">
        <v>919</v>
      </c>
      <c r="W1" s="463" t="s">
        <v>920</v>
      </c>
      <c r="X1" s="463" t="s">
        <v>921</v>
      </c>
      <c r="Y1" s="463" t="s">
        <v>922</v>
      </c>
      <c r="Z1" s="463" t="s">
        <v>923</v>
      </c>
      <c r="AA1" s="463" t="s">
        <v>924</v>
      </c>
      <c r="AB1" s="463" t="s">
        <v>925</v>
      </c>
      <c r="AC1" s="463" t="s">
        <v>926</v>
      </c>
      <c r="AD1" s="463" t="s">
        <v>927</v>
      </c>
      <c r="AE1" s="463" t="s">
        <v>928</v>
      </c>
      <c r="AF1" s="463" t="s">
        <v>929</v>
      </c>
      <c r="AG1" s="463" t="s">
        <v>930</v>
      </c>
      <c r="AH1" s="463" t="s">
        <v>931</v>
      </c>
      <c r="AI1" s="463" t="s">
        <v>932</v>
      </c>
      <c r="AJ1" s="463" t="s">
        <v>933</v>
      </c>
      <c r="AK1" s="463" t="s">
        <v>934</v>
      </c>
      <c r="AL1" s="463" t="s">
        <v>935</v>
      </c>
      <c r="AM1" s="463" t="s">
        <v>936</v>
      </c>
      <c r="AN1" s="463" t="s">
        <v>937</v>
      </c>
      <c r="AO1" s="463" t="s">
        <v>938</v>
      </c>
      <c r="AP1" s="463" t="s">
        <v>939</v>
      </c>
      <c r="AQ1" s="463" t="s">
        <v>940</v>
      </c>
      <c r="AR1" s="463" t="s">
        <v>941</v>
      </c>
      <c r="AS1" s="463" t="s">
        <v>942</v>
      </c>
      <c r="AT1" s="463" t="s">
        <v>943</v>
      </c>
      <c r="AU1" s="463" t="s">
        <v>944</v>
      </c>
      <c r="AV1" s="463" t="s">
        <v>658</v>
      </c>
      <c r="AW1" s="463" t="s">
        <v>945</v>
      </c>
      <c r="AX1" s="463" t="s">
        <v>946</v>
      </c>
      <c r="AY1" s="463" t="s">
        <v>947</v>
      </c>
      <c r="AZ1" s="463" t="s">
        <v>948</v>
      </c>
      <c r="BA1" s="463" t="s">
        <v>949</v>
      </c>
      <c r="BB1" s="463" t="s">
        <v>950</v>
      </c>
      <c r="BC1" s="463" t="s">
        <v>951</v>
      </c>
      <c r="BD1" s="463" t="s">
        <v>952</v>
      </c>
      <c r="BE1" s="463" t="s">
        <v>953</v>
      </c>
      <c r="BF1" s="463" t="s">
        <v>954</v>
      </c>
      <c r="BG1" s="463" t="s">
        <v>955</v>
      </c>
      <c r="BH1" s="463" t="s">
        <v>956</v>
      </c>
      <c r="BI1" s="463" t="s">
        <v>957</v>
      </c>
      <c r="BJ1" s="463" t="s">
        <v>958</v>
      </c>
      <c r="BK1" s="463" t="s">
        <v>959</v>
      </c>
      <c r="BL1" s="463" t="s">
        <v>960</v>
      </c>
      <c r="BM1" s="463" t="s">
        <v>961</v>
      </c>
      <c r="BN1" s="463" t="s">
        <v>962</v>
      </c>
      <c r="BO1" s="463" t="s">
        <v>963</v>
      </c>
      <c r="BP1" s="463" t="s">
        <v>964</v>
      </c>
      <c r="BQ1" s="463" t="s">
        <v>965</v>
      </c>
      <c r="BR1" s="463" t="s">
        <v>966</v>
      </c>
      <c r="BS1" s="463" t="s">
        <v>967</v>
      </c>
      <c r="BT1" s="463" t="s">
        <v>968</v>
      </c>
      <c r="BU1" s="463" t="s">
        <v>969</v>
      </c>
      <c r="BV1" s="463" t="s">
        <v>970</v>
      </c>
    </row>
    <row r="2" spans="1:74" ht="12">
      <c r="A2" s="465" t="s">
        <v>971</v>
      </c>
      <c r="B2" s="466" t="s">
        <v>972</v>
      </c>
      <c r="C2" s="467">
        <f>'Summary '!I1</f>
        <v>45838</v>
      </c>
      <c r="D2" s="468">
        <f>'Summary '!I4</f>
        <v>400000000</v>
      </c>
      <c r="E2" s="468">
        <f ca="1">'Summary '!C11</f>
        <v>223028592.80932829</v>
      </c>
      <c r="F2" s="468">
        <f>'Summary '!I39</f>
        <v>160600000</v>
      </c>
      <c r="G2" s="468">
        <f ca="1">Table2[[#This Row],[Borrowing Base]]-Table2[[#This Row],[Outstanding (total)]]</f>
        <v>62428592.809328288</v>
      </c>
      <c r="H2" s="466">
        <v>0</v>
      </c>
      <c r="I2" s="466">
        <v>0</v>
      </c>
      <c r="J2" s="466">
        <v>0</v>
      </c>
      <c r="K2" s="466">
        <v>0</v>
      </c>
      <c r="L2" s="466">
        <v>0</v>
      </c>
      <c r="M2" s="466">
        <v>0</v>
      </c>
      <c r="N2" s="466">
        <v>0</v>
      </c>
      <c r="O2" s="466">
        <v>0</v>
      </c>
      <c r="P2" s="466">
        <v>0</v>
      </c>
      <c r="Q2" s="466">
        <v>0</v>
      </c>
      <c r="R2" s="466">
        <v>0</v>
      </c>
      <c r="S2" s="466">
        <v>0</v>
      </c>
      <c r="T2" s="468">
        <f>'Summary '!I38</f>
        <v>0</v>
      </c>
      <c r="U2" s="468"/>
      <c r="V2" s="469">
        <f ca="1">'Summary '!C8</f>
        <v>0.64941848271197067</v>
      </c>
      <c r="W2" s="470" t="e">
        <f ca="1">E2/T2</f>
        <v>#DIV/0!</v>
      </c>
      <c r="X2" s="471"/>
      <c r="Y2" s="468"/>
      <c r="Z2" s="468"/>
      <c r="AA2" s="471"/>
      <c r="AB2" s="472">
        <f>'Summary '!D58</f>
        <v>39.047509154804501</v>
      </c>
      <c r="AC2" s="471">
        <f>'Summary '!D59</f>
        <v>2.1876742882246205</v>
      </c>
      <c r="AD2" s="471">
        <f>'Summary '!D60</f>
        <v>3.8185289727650313</v>
      </c>
      <c r="AE2" s="471"/>
      <c r="AF2" s="471"/>
      <c r="AG2" s="473"/>
      <c r="AH2" s="468"/>
      <c r="AI2" s="471"/>
      <c r="AJ2" s="468"/>
      <c r="AK2" s="468"/>
      <c r="AL2" s="474"/>
      <c r="AM2" s="471"/>
      <c r="AN2" s="471"/>
      <c r="AO2" s="471"/>
      <c r="AP2" s="466"/>
      <c r="AQ2" s="466"/>
      <c r="AR2" s="466"/>
      <c r="AS2" s="466"/>
      <c r="AT2" s="470"/>
      <c r="AU2" s="471"/>
      <c r="AV2" s="475">
        <f>'Summary '!C6</f>
        <v>0</v>
      </c>
      <c r="AW2" s="471"/>
      <c r="AX2" s="471"/>
      <c r="AY2" s="471"/>
      <c r="AZ2" s="471"/>
      <c r="BA2" s="471"/>
      <c r="BB2" s="471"/>
      <c r="BC2" s="471"/>
      <c r="BD2" s="471"/>
      <c r="BE2" s="471"/>
      <c r="BF2" s="471"/>
      <c r="BG2" s="471"/>
      <c r="BH2" s="471"/>
      <c r="BI2" s="471"/>
      <c r="BJ2" s="471"/>
      <c r="BK2" s="468">
        <f>Calcs!I15*10^6</f>
        <v>361269985249999.94</v>
      </c>
      <c r="BL2" s="468">
        <f ca="1">Calcs!BO15</f>
        <v>337448908.59000003</v>
      </c>
      <c r="BM2" s="469">
        <f ca="1">Table2[[#This Row],[Adjusted Borrowing Value (USD)]]/Table2[[#This Row],[Principal O/S Pledged]]</f>
        <v>9.3406295116513579E-7</v>
      </c>
      <c r="BN2" s="469">
        <f ca="1">'Summary '!C8</f>
        <v>0.64941848271197067</v>
      </c>
      <c r="BO2" s="478">
        <f ca="1">BM2*BN2</f>
        <v>6.0659774450312806E-7</v>
      </c>
      <c r="BP2" s="468">
        <f ca="1">BK2*BM2*BN2</f>
        <v>219145558.20932829</v>
      </c>
      <c r="BQ2" s="468">
        <f ca="1">'Summary '!C11</f>
        <v>223028592.80932829</v>
      </c>
      <c r="BR2" s="468">
        <f>'Summary '!I39</f>
        <v>160600000</v>
      </c>
      <c r="BS2" s="479">
        <f>SUMPRODUCT(Calcs!I17:I117,Calcs!BV17:BV117)/SUM(Calcs!I17:I117)</f>
        <v>0</v>
      </c>
      <c r="BT2" s="479">
        <f>'Summary '!D59</f>
        <v>2.1876742882246205</v>
      </c>
      <c r="BU2" s="479">
        <f>'Summary '!D58</f>
        <v>39.047509154804501</v>
      </c>
      <c r="BV2" s="471" t="s">
        <v>973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93"/>
  <sheetViews>
    <sheetView showGridLines="0" view="pageBreakPreview" zoomScale="70" zoomScaleNormal="85" zoomScaleSheetLayoutView="70" workbookViewId="0">
      <selection activeCell="C67" sqref="C67"/>
    </sheetView>
  </sheetViews>
  <sheetFormatPr defaultRowHeight="15" outlineLevelCol="1"/>
  <cols>
    <col min="1" max="1" width="2.42578125" customWidth="1"/>
    <col min="2" max="2" width="72.42578125" customWidth="1"/>
    <col min="3" max="3" width="25.28515625" bestFit="1" customWidth="1"/>
    <col min="4" max="4" width="12" customWidth="1"/>
    <col min="5" max="5" width="24.7109375" bestFit="1" customWidth="1"/>
    <col min="6" max="6" width="14.85546875" bestFit="1" customWidth="1"/>
    <col min="7" max="7" width="3.28515625" customWidth="1"/>
    <col min="8" max="8" width="93" bestFit="1" customWidth="1"/>
    <col min="9" max="9" width="20.28515625" customWidth="1"/>
    <col min="10" max="10" width="22" customWidth="1"/>
    <col min="11" max="11" width="23.42578125" bestFit="1" customWidth="1"/>
    <col min="12" max="12" width="26" bestFit="1" customWidth="1"/>
    <col min="13" max="13" width="21.28515625" bestFit="1" customWidth="1"/>
    <col min="14" max="14" width="69.7109375" hidden="1" customWidth="1" outlineLevel="1"/>
    <col min="15" max="15" width="24.85546875" bestFit="1" customWidth="1" collapsed="1"/>
    <col min="16" max="16" width="7.85546875" bestFit="1" customWidth="1"/>
    <col min="17" max="17" width="16.85546875" bestFit="1" customWidth="1"/>
  </cols>
  <sheetData>
    <row r="1" spans="2:17" ht="18" thickBot="1">
      <c r="B1" s="648"/>
      <c r="H1" t="s">
        <v>246</v>
      </c>
      <c r="I1" s="448">
        <v>45838</v>
      </c>
      <c r="O1" s="573"/>
      <c r="P1" s="561"/>
      <c r="Q1" s="600">
        <f>+SUM(Q4:Q800)</f>
        <v>160600000</v>
      </c>
    </row>
    <row r="2" spans="2:17" ht="17.25">
      <c r="B2" s="603" t="s">
        <v>995</v>
      </c>
      <c r="O2" s="578" t="s">
        <v>1252</v>
      </c>
      <c r="P2" s="579"/>
      <c r="Q2" s="580"/>
    </row>
    <row r="3" spans="2:17" ht="15.75" thickBot="1">
      <c r="E3" s="36" t="s">
        <v>658</v>
      </c>
      <c r="F3" s="36" t="s">
        <v>659</v>
      </c>
      <c r="O3" s="581" t="s">
        <v>903</v>
      </c>
      <c r="P3" s="582" t="s">
        <v>1253</v>
      </c>
      <c r="Q3" s="583" t="s">
        <v>1254</v>
      </c>
    </row>
    <row r="4" spans="2:17" ht="15.75" thickBot="1">
      <c r="B4" s="315" t="s">
        <v>27</v>
      </c>
      <c r="C4" s="451" t="s">
        <v>28</v>
      </c>
      <c r="D4" s="450" t="s">
        <v>90</v>
      </c>
      <c r="E4" s="506">
        <v>0</v>
      </c>
      <c r="F4" s="507">
        <v>1</v>
      </c>
      <c r="G4" s="292">
        <v>7871288400</v>
      </c>
      <c r="H4" s="123" t="s">
        <v>127</v>
      </c>
      <c r="I4" s="124">
        <v>400000000</v>
      </c>
      <c r="J4" s="131"/>
      <c r="O4" s="553">
        <v>43522</v>
      </c>
      <c r="P4" s="574" t="s">
        <v>1255</v>
      </c>
      <c r="Q4" s="557">
        <v>125000000</v>
      </c>
    </row>
    <row r="5" spans="2:17" ht="15" customHeight="1">
      <c r="B5" s="16" t="s">
        <v>107</v>
      </c>
      <c r="C5" s="604">
        <v>3883034.6</v>
      </c>
      <c r="D5" s="450" t="s">
        <v>228</v>
      </c>
      <c r="E5" s="508">
        <v>0</v>
      </c>
      <c r="F5" s="509">
        <v>1.28315</v>
      </c>
      <c r="G5" s="292">
        <v>7871288260</v>
      </c>
      <c r="H5" s="17" t="s">
        <v>128</v>
      </c>
      <c r="I5" s="305">
        <v>43518</v>
      </c>
      <c r="J5" s="260"/>
      <c r="O5" s="553">
        <v>43532</v>
      </c>
      <c r="P5" s="574" t="s">
        <v>1255</v>
      </c>
      <c r="Q5" s="557">
        <v>10000000</v>
      </c>
    </row>
    <row r="6" spans="2:17" ht="15" customHeight="1">
      <c r="B6" s="314" t="s">
        <v>134</v>
      </c>
      <c r="C6" s="605">
        <f>C69</f>
        <v>0</v>
      </c>
      <c r="D6" s="450" t="s">
        <v>229</v>
      </c>
      <c r="E6" s="508">
        <v>0</v>
      </c>
      <c r="F6" s="509">
        <v>1.08345</v>
      </c>
      <c r="G6" s="292">
        <v>7871289780</v>
      </c>
      <c r="H6" s="17" t="s">
        <v>1225</v>
      </c>
      <c r="I6" s="562">
        <v>46741</v>
      </c>
      <c r="J6" s="1"/>
      <c r="O6" s="553">
        <v>43550</v>
      </c>
      <c r="P6" s="574" t="s">
        <v>1255</v>
      </c>
      <c r="Q6" s="575">
        <v>7500000</v>
      </c>
    </row>
    <row r="7" spans="2:17" ht="15" customHeight="1" thickBot="1">
      <c r="B7" s="16" t="s">
        <v>132</v>
      </c>
      <c r="C7" s="606">
        <f ca="1">C8*C9</f>
        <v>219145558.20932829</v>
      </c>
      <c r="D7" s="450" t="s">
        <v>527</v>
      </c>
      <c r="E7" s="508">
        <v>0</v>
      </c>
      <c r="F7" s="509">
        <v>0.73364880229999996</v>
      </c>
      <c r="G7" s="292">
        <v>7871281240</v>
      </c>
      <c r="H7" s="125" t="s">
        <v>1226</v>
      </c>
      <c r="I7" s="585">
        <v>47472</v>
      </c>
      <c r="J7" s="1"/>
      <c r="N7" s="552" t="s">
        <v>1222</v>
      </c>
      <c r="O7" s="553">
        <v>43588</v>
      </c>
      <c r="P7" s="574" t="s">
        <v>1255</v>
      </c>
      <c r="Q7" s="557">
        <v>9000000</v>
      </c>
    </row>
    <row r="8" spans="2:17" ht="15" customHeight="1" thickBot="1">
      <c r="B8" s="306" t="s">
        <v>1329</v>
      </c>
      <c r="C8" s="597">
        <f ca="1">Calcs!BP15*'Diversity Score'!E7</f>
        <v>0.64941848271197067</v>
      </c>
      <c r="D8" s="450" t="s">
        <v>241</v>
      </c>
      <c r="E8" s="510">
        <v>0</v>
      </c>
      <c r="F8" s="511">
        <v>0.67464999989999996</v>
      </c>
      <c r="G8" s="292">
        <v>7871280360</v>
      </c>
      <c r="I8" s="261"/>
      <c r="J8" s="1"/>
      <c r="O8" s="553">
        <v>43607</v>
      </c>
      <c r="P8" s="574" t="s">
        <v>1255</v>
      </c>
      <c r="Q8" s="557">
        <v>4000000</v>
      </c>
    </row>
    <row r="9" spans="2:17">
      <c r="B9" s="17" t="s">
        <v>106</v>
      </c>
      <c r="C9" s="607">
        <f ca="1">SUM(Calcs!BO11:BO12)</f>
        <v>337448908.59000003</v>
      </c>
      <c r="H9" s="262" t="s">
        <v>330</v>
      </c>
      <c r="I9" s="263"/>
      <c r="J9" s="1"/>
      <c r="O9" s="553">
        <v>43607</v>
      </c>
      <c r="P9" s="574" t="s">
        <v>1255</v>
      </c>
      <c r="Q9" s="557">
        <v>15000000</v>
      </c>
    </row>
    <row r="10" spans="2:17" ht="15.75" thickBot="1">
      <c r="B10" s="16" t="s">
        <v>133</v>
      </c>
      <c r="C10" s="606">
        <f>Calcs!V15</f>
        <v>0</v>
      </c>
      <c r="H10" s="11" t="s">
        <v>331</v>
      </c>
      <c r="I10" s="264">
        <f ca="1">Calcs!BN12</f>
        <v>3.579289460711923</v>
      </c>
      <c r="J10" s="1"/>
      <c r="O10" s="553">
        <v>43626</v>
      </c>
      <c r="P10" s="574" t="s">
        <v>1255</v>
      </c>
      <c r="Q10" s="557">
        <v>2000000</v>
      </c>
    </row>
    <row r="11" spans="2:17" ht="15.75" thickBot="1">
      <c r="B11" s="18" t="s">
        <v>30</v>
      </c>
      <c r="C11" s="608">
        <f ca="1">SUM(C10,C5:C7)</f>
        <v>223028592.80932829</v>
      </c>
      <c r="D11" s="4"/>
      <c r="E11" s="4"/>
      <c r="H11" s="307" t="s">
        <v>168</v>
      </c>
      <c r="I11" s="264">
        <v>6</v>
      </c>
      <c r="J11" s="1"/>
      <c r="O11" s="553">
        <v>43637</v>
      </c>
      <c r="P11" s="574" t="s">
        <v>1255</v>
      </c>
      <c r="Q11" s="557">
        <v>2000000</v>
      </c>
    </row>
    <row r="12" spans="2:17">
      <c r="H12" t="s">
        <v>332</v>
      </c>
      <c r="I12" t="b">
        <f ca="1">IF(I10&lt;I11,TRUE,FALSE)</f>
        <v>1</v>
      </c>
      <c r="J12" s="1"/>
      <c r="O12" s="553">
        <v>43641</v>
      </c>
      <c r="P12" s="574" t="s">
        <v>1255</v>
      </c>
      <c r="Q12" s="557">
        <v>3500000</v>
      </c>
    </row>
    <row r="13" spans="2:17">
      <c r="J13" s="1"/>
      <c r="O13" s="553">
        <v>43651</v>
      </c>
      <c r="P13" s="574" t="s">
        <v>1255</v>
      </c>
      <c r="Q13" s="557">
        <v>-10000000</v>
      </c>
    </row>
    <row r="14" spans="2:17" ht="15.75" thickBot="1">
      <c r="J14" s="1"/>
      <c r="O14" s="553">
        <v>43675</v>
      </c>
      <c r="P14" s="574" t="s">
        <v>1255</v>
      </c>
      <c r="Q14" s="557">
        <v>-13000000</v>
      </c>
    </row>
    <row r="15" spans="2:17" ht="15.75" thickBot="1">
      <c r="B15" s="315" t="s">
        <v>31</v>
      </c>
      <c r="C15" s="452" t="s">
        <v>28</v>
      </c>
      <c r="J15" s="1"/>
      <c r="O15" s="553">
        <v>43706</v>
      </c>
      <c r="P15" s="574" t="s">
        <v>1255</v>
      </c>
      <c r="Q15" s="557">
        <v>16000000</v>
      </c>
    </row>
    <row r="16" spans="2:17">
      <c r="B16" s="17" t="s">
        <v>213</v>
      </c>
      <c r="C16" s="609">
        <f ca="1">SUM(C17:C18)</f>
        <v>223028592.80932829</v>
      </c>
      <c r="J16" s="1"/>
      <c r="O16" s="553">
        <v>43742</v>
      </c>
      <c r="P16" s="574" t="s">
        <v>1255</v>
      </c>
      <c r="Q16" s="557">
        <v>-16000000</v>
      </c>
    </row>
    <row r="17" spans="2:17">
      <c r="B17" s="17" t="s">
        <v>108</v>
      </c>
      <c r="C17" s="606">
        <f ca="1">C11</f>
        <v>223028592.80932829</v>
      </c>
      <c r="H17" s="262" t="s">
        <v>333</v>
      </c>
      <c r="I17" s="263"/>
      <c r="J17" s="1"/>
      <c r="O17" s="553">
        <v>43746</v>
      </c>
      <c r="P17" s="574" t="s">
        <v>1255</v>
      </c>
      <c r="Q17" s="557">
        <v>2000000</v>
      </c>
    </row>
    <row r="18" spans="2:17">
      <c r="B18" s="17" t="s">
        <v>214</v>
      </c>
      <c r="C18" s="607">
        <f>IFERROR((1-C19)*C20,0)</f>
        <v>0</v>
      </c>
      <c r="H18" s="11" t="s">
        <v>334</v>
      </c>
      <c r="I18" s="599">
        <v>0</v>
      </c>
      <c r="J18" s="1"/>
      <c r="O18" s="553">
        <v>43769</v>
      </c>
      <c r="P18" s="574" t="s">
        <v>1255</v>
      </c>
      <c r="Q18" s="557">
        <v>14000000</v>
      </c>
    </row>
    <row r="19" spans="2:17" ht="15.75" thickBot="1">
      <c r="B19" s="308" t="s">
        <v>215</v>
      </c>
      <c r="C19" s="610" t="str">
        <f>Calcs!BP6</f>
        <v/>
      </c>
      <c r="D19" s="131"/>
      <c r="E19" s="131"/>
      <c r="H19" s="11" t="s">
        <v>335</v>
      </c>
      <c r="I19" s="265"/>
      <c r="J19" s="1"/>
      <c r="O19" s="553">
        <v>43776</v>
      </c>
      <c r="P19" s="574" t="s">
        <v>1255</v>
      </c>
      <c r="Q19" s="557">
        <v>2000000</v>
      </c>
    </row>
    <row r="20" spans="2:17">
      <c r="B20" s="308" t="s">
        <v>461</v>
      </c>
      <c r="C20" s="607">
        <f>Calcs!BO6</f>
        <v>0</v>
      </c>
      <c r="H20" s="11" t="s">
        <v>336</v>
      </c>
      <c r="I20" s="266">
        <f>I18+I19</f>
        <v>0</v>
      </c>
      <c r="J20" s="1"/>
      <c r="O20" s="553">
        <v>43782</v>
      </c>
      <c r="P20" s="574" t="s">
        <v>1255</v>
      </c>
      <c r="Q20" s="557">
        <v>5000000</v>
      </c>
    </row>
    <row r="21" spans="2:17">
      <c r="B21" s="17" t="s">
        <v>109</v>
      </c>
      <c r="C21" s="606">
        <f>SUM(C22:C23)</f>
        <v>160600000</v>
      </c>
      <c r="E21" s="3"/>
      <c r="H21" s="11" t="s">
        <v>337</v>
      </c>
      <c r="I21" s="267">
        <v>0</v>
      </c>
      <c r="J21" s="1"/>
      <c r="O21" s="553">
        <v>43788</v>
      </c>
      <c r="P21" s="574" t="s">
        <v>1255</v>
      </c>
      <c r="Q21" s="557">
        <v>5500000</v>
      </c>
    </row>
    <row r="22" spans="2:17">
      <c r="B22" s="17" t="s">
        <v>32</v>
      </c>
      <c r="C22" s="607">
        <f>percentage_unused</f>
        <v>160600000</v>
      </c>
      <c r="H22" s="11" t="s">
        <v>338</v>
      </c>
      <c r="I22" s="268">
        <v>0</v>
      </c>
      <c r="J22" s="1"/>
      <c r="O22" s="553">
        <v>43802</v>
      </c>
      <c r="P22" s="574" t="s">
        <v>1255</v>
      </c>
      <c r="Q22" s="557">
        <v>10000000</v>
      </c>
    </row>
    <row r="23" spans="2:17" ht="15.75" thickBot="1">
      <c r="B23" s="17" t="s">
        <v>33</v>
      </c>
      <c r="C23" s="611">
        <f>Calcs!U11</f>
        <v>0</v>
      </c>
      <c r="H23" s="11" t="s">
        <v>247</v>
      </c>
      <c r="I23" s="269" t="str">
        <f>IFERROR((I20-I21)/I22,"N/A")</f>
        <v>N/A</v>
      </c>
      <c r="J23" s="1"/>
      <c r="O23" s="553">
        <v>43808</v>
      </c>
      <c r="P23" s="574" t="s">
        <v>1255</v>
      </c>
      <c r="Q23" s="557">
        <v>10000000</v>
      </c>
    </row>
    <row r="24" spans="2:17" ht="15.75" thickBot="1">
      <c r="B24" s="18" t="s">
        <v>31</v>
      </c>
      <c r="C24" s="144">
        <f ca="1">IFERROR(C17/C21,"N/A")</f>
        <v>1.3887210013034139</v>
      </c>
      <c r="H24" s="307" t="s">
        <v>339</v>
      </c>
      <c r="I24" s="269">
        <v>1.5</v>
      </c>
      <c r="O24" s="553">
        <v>43836</v>
      </c>
      <c r="P24" s="574" t="s">
        <v>1255</v>
      </c>
      <c r="Q24" s="557">
        <v>3000000</v>
      </c>
    </row>
    <row r="25" spans="2:17" ht="15.75" thickBot="1">
      <c r="B25" s="18" t="s">
        <v>34</v>
      </c>
      <c r="C25" s="20">
        <v>1</v>
      </c>
      <c r="H25" t="s">
        <v>332</v>
      </c>
      <c r="I25" t="b">
        <f>IF(I23&gt;I24,TRUE,FALSE)</f>
        <v>1</v>
      </c>
      <c r="O25" s="553">
        <v>43837</v>
      </c>
      <c r="P25" s="574" t="s">
        <v>1255</v>
      </c>
      <c r="Q25" s="557">
        <v>24000000</v>
      </c>
    </row>
    <row r="26" spans="2:17" ht="15.75" thickBot="1">
      <c r="B26" s="19" t="s">
        <v>35</v>
      </c>
      <c r="C26" s="21" t="b">
        <f ca="1">IF(C24="N/A", "PASS", C24&gt;=C25)</f>
        <v>1</v>
      </c>
      <c r="O26" s="553">
        <v>43844</v>
      </c>
      <c r="P26" s="574" t="s">
        <v>1255</v>
      </c>
      <c r="Q26" s="557">
        <v>10000000</v>
      </c>
    </row>
    <row r="27" spans="2:17">
      <c r="B27" s="11"/>
      <c r="C27" s="7"/>
      <c r="O27" s="553">
        <v>43861</v>
      </c>
      <c r="P27" s="574" t="s">
        <v>1255</v>
      </c>
      <c r="Q27" s="557">
        <v>4500000</v>
      </c>
    </row>
    <row r="28" spans="2:17">
      <c r="B28" s="11"/>
      <c r="C28" s="7"/>
      <c r="H28" s="262" t="s">
        <v>342</v>
      </c>
      <c r="I28" s="274" t="s">
        <v>343</v>
      </c>
      <c r="J28" s="274" t="s">
        <v>344</v>
      </c>
      <c r="O28" s="553">
        <v>44043</v>
      </c>
      <c r="P28" s="574" t="s">
        <v>1255</v>
      </c>
      <c r="Q28" s="557">
        <v>-22500000</v>
      </c>
    </row>
    <row r="29" spans="2:17" ht="15.75" thickBot="1">
      <c r="H29" s="11" t="s">
        <v>345</v>
      </c>
      <c r="I29" s="275">
        <f>Calcs!AO15</f>
        <v>5.8103185774318354E-2</v>
      </c>
      <c r="J29" s="269" t="b">
        <f>IF(ISNUMBER(Calcs!$AR$14), SUMPRODUCT(Calcs!AR17:AR35, Calcs!I17:I35)/SUM(Calcs!I17:I35), FALSE)</f>
        <v>0</v>
      </c>
      <c r="O29" s="553">
        <v>44104</v>
      </c>
      <c r="P29" s="574" t="s">
        <v>1255</v>
      </c>
      <c r="Q29" s="557">
        <v>-9000000</v>
      </c>
    </row>
    <row r="30" spans="2:17" ht="15.75" thickBot="1">
      <c r="B30" s="297" t="s">
        <v>205</v>
      </c>
      <c r="C30" s="298" t="s">
        <v>206</v>
      </c>
      <c r="D30" s="298" t="s">
        <v>72</v>
      </c>
      <c r="E30" s="299" t="s">
        <v>452</v>
      </c>
      <c r="H30" s="307" t="s">
        <v>346</v>
      </c>
      <c r="I30" s="275">
        <v>0.04</v>
      </c>
      <c r="J30" s="275">
        <v>0.08</v>
      </c>
      <c r="O30" s="553">
        <v>44109</v>
      </c>
      <c r="P30" s="574" t="s">
        <v>1255</v>
      </c>
      <c r="Q30" s="557">
        <v>6000000</v>
      </c>
    </row>
    <row r="31" spans="2:17">
      <c r="B31" s="17" t="s">
        <v>86</v>
      </c>
      <c r="C31" s="100">
        <v>0.4</v>
      </c>
      <c r="D31" s="186">
        <f>'Concentration Limitations'!$X$7</f>
        <v>0</v>
      </c>
      <c r="E31" s="405">
        <f t="shared" ref="E31:E43" si="0">C31-D31</f>
        <v>0.4</v>
      </c>
      <c r="H31" t="s">
        <v>332</v>
      </c>
      <c r="I31" t="b">
        <f>IF(I29&gt;I30,TRUE,FALSE)</f>
        <v>1</v>
      </c>
      <c r="J31" t="b">
        <f>IF(J29&gt;J30,TRUE,FALSE)</f>
        <v>1</v>
      </c>
      <c r="O31" s="576">
        <v>44146</v>
      </c>
      <c r="P31" s="577" t="s">
        <v>1255</v>
      </c>
      <c r="Q31" s="575">
        <v>-37000000</v>
      </c>
    </row>
    <row r="32" spans="2:17">
      <c r="B32" s="17" t="s">
        <v>91</v>
      </c>
      <c r="C32" s="100">
        <v>0.1</v>
      </c>
      <c r="D32" s="186">
        <f>'Concentration Limitations'!$AN$7</f>
        <v>0</v>
      </c>
      <c r="E32" s="405">
        <f t="shared" si="0"/>
        <v>0.1</v>
      </c>
      <c r="O32" s="553" t="s">
        <v>1256</v>
      </c>
      <c r="P32" s="577" t="s">
        <v>1255</v>
      </c>
      <c r="Q32" s="557">
        <v>5000000</v>
      </c>
    </row>
    <row r="33" spans="1:17">
      <c r="B33" s="17" t="s">
        <v>368</v>
      </c>
      <c r="C33" s="100">
        <v>0.1</v>
      </c>
      <c r="D33" s="186">
        <f>'Concentration Limitations'!$AR$7</f>
        <v>0</v>
      </c>
      <c r="E33" s="405">
        <f t="shared" si="0"/>
        <v>0.1</v>
      </c>
      <c r="O33" s="553">
        <v>44189</v>
      </c>
      <c r="P33" s="574" t="s">
        <v>1255</v>
      </c>
      <c r="Q33" s="557">
        <v>1000000</v>
      </c>
    </row>
    <row r="34" spans="1:17">
      <c r="B34" s="17" t="s">
        <v>1266</v>
      </c>
      <c r="C34" s="100">
        <v>0.25</v>
      </c>
      <c r="D34" s="186">
        <f>'Concentration Limitations'!$AV$7</f>
        <v>7.5252506444030393E-2</v>
      </c>
      <c r="E34" s="405">
        <f t="shared" si="0"/>
        <v>0.17474749355596961</v>
      </c>
      <c r="O34" s="553">
        <v>44196</v>
      </c>
      <c r="P34" s="574" t="s">
        <v>1255</v>
      </c>
      <c r="Q34" s="557">
        <v>-3000000</v>
      </c>
    </row>
    <row r="35" spans="1:17">
      <c r="B35" s="17" t="s">
        <v>79</v>
      </c>
      <c r="C35" s="100">
        <v>0.05</v>
      </c>
      <c r="D35" s="186">
        <f>'Concentration Limitations'!AZ7</f>
        <v>1.256552514043501E-2</v>
      </c>
      <c r="E35" s="405">
        <f t="shared" si="0"/>
        <v>3.7434474859564991E-2</v>
      </c>
      <c r="O35" s="553">
        <v>44203</v>
      </c>
      <c r="P35" s="574" t="s">
        <v>1255</v>
      </c>
      <c r="Q35" s="557">
        <v>2000000</v>
      </c>
    </row>
    <row r="36" spans="1:17">
      <c r="B36" s="17" t="s">
        <v>1043</v>
      </c>
      <c r="C36" s="100">
        <v>0.25</v>
      </c>
      <c r="D36" s="186">
        <f>'Concentration Limitations'!$BT$7</f>
        <v>1.5678380984862322E-2</v>
      </c>
      <c r="E36" s="405">
        <f t="shared" si="0"/>
        <v>0.23432161901513768</v>
      </c>
      <c r="O36" s="553">
        <v>44229</v>
      </c>
      <c r="P36" s="574" t="s">
        <v>1255</v>
      </c>
      <c r="Q36" s="557">
        <v>15000000</v>
      </c>
    </row>
    <row r="37" spans="1:17" ht="15.75" thickBot="1">
      <c r="B37" s="17" t="s">
        <v>1268</v>
      </c>
      <c r="C37" s="100">
        <v>0.1</v>
      </c>
      <c r="D37" s="186">
        <f>'Concentration Limitations'!BX7</f>
        <v>0</v>
      </c>
      <c r="E37" s="405">
        <f t="shared" si="0"/>
        <v>0.1</v>
      </c>
      <c r="I37" s="11" t="s">
        <v>136</v>
      </c>
      <c r="J37" s="11" t="s">
        <v>135</v>
      </c>
      <c r="K37" s="121" t="s">
        <v>137</v>
      </c>
      <c r="L37" s="122" t="s">
        <v>125</v>
      </c>
      <c r="O37" s="553">
        <v>44251</v>
      </c>
      <c r="P37" s="574" t="s">
        <v>1255</v>
      </c>
      <c r="Q37" s="557">
        <v>2000000</v>
      </c>
    </row>
    <row r="38" spans="1:17">
      <c r="B38" s="17" t="s">
        <v>114</v>
      </c>
      <c r="C38" s="100">
        <v>0.1</v>
      </c>
      <c r="D38" s="186">
        <f>'Concentration Limitations'!$BH$7</f>
        <v>0</v>
      </c>
      <c r="E38" s="405">
        <f t="shared" si="0"/>
        <v>0.1</v>
      </c>
      <c r="H38" s="458" t="s">
        <v>329</v>
      </c>
      <c r="I38" s="484">
        <v>0</v>
      </c>
      <c r="J38" s="612">
        <f>Q1</f>
        <v>160600000</v>
      </c>
      <c r="K38" s="461">
        <f ca="1">C11</f>
        <v>223028592.80932829</v>
      </c>
      <c r="L38" s="462">
        <v>2.2499999999999999E-2</v>
      </c>
      <c r="M38" s="131">
        <v>0</v>
      </c>
      <c r="N38" s="131"/>
      <c r="O38" s="553">
        <v>44280</v>
      </c>
      <c r="P38" s="574" t="s">
        <v>1255</v>
      </c>
      <c r="Q38" s="557">
        <v>7500000</v>
      </c>
    </row>
    <row r="39" spans="1:17" ht="15.75" thickBot="1">
      <c r="B39" s="17" t="s">
        <v>1267</v>
      </c>
      <c r="C39" s="100">
        <v>0.15</v>
      </c>
      <c r="D39" s="186">
        <f>'Concentration Limitations'!AB7</f>
        <v>9.8118890657692859E-2</v>
      </c>
      <c r="E39" s="405">
        <f t="shared" si="0"/>
        <v>5.1881109342307136E-2</v>
      </c>
      <c r="H39" s="477" t="s">
        <v>126</v>
      </c>
      <c r="I39" s="309">
        <f>SUM(I38:J38)</f>
        <v>160600000</v>
      </c>
      <c r="J39" s="142">
        <f>(I4-I39)/I4</f>
        <v>0.59850000000000003</v>
      </c>
      <c r="K39" s="459">
        <f ca="1">SUM(J38:J38)/SUM(K38:K38)</f>
        <v>0.72008704344604024</v>
      </c>
      <c r="L39" s="460"/>
      <c r="O39" s="553">
        <v>44363</v>
      </c>
      <c r="P39" s="574" t="s">
        <v>1255</v>
      </c>
      <c r="Q39" s="557">
        <v>5000000</v>
      </c>
    </row>
    <row r="40" spans="1:17">
      <c r="B40" s="17" t="s">
        <v>1260</v>
      </c>
      <c r="C40" s="100">
        <v>0.25</v>
      </c>
      <c r="D40" s="186">
        <f>'Concentration Limitations'!AF7</f>
        <v>0.10567781599740747</v>
      </c>
      <c r="E40" s="405">
        <f t="shared" si="0"/>
        <v>0.14432218400259253</v>
      </c>
      <c r="H40" s="419"/>
      <c r="I40" s="420"/>
      <c r="O40" s="553">
        <v>44456</v>
      </c>
      <c r="P40" s="574" t="s">
        <v>1255</v>
      </c>
      <c r="Q40" s="557">
        <v>7000000</v>
      </c>
    </row>
    <row r="41" spans="1:17">
      <c r="B41" s="17" t="s">
        <v>1002</v>
      </c>
      <c r="C41" s="100">
        <v>0.1</v>
      </c>
      <c r="D41" s="186">
        <f>'Concentration Limitations'!AJ7</f>
        <v>2.8926171494481644E-2</v>
      </c>
      <c r="E41" s="405">
        <f t="shared" si="0"/>
        <v>7.1073828505518355E-2</v>
      </c>
      <c r="O41" s="553">
        <v>44533</v>
      </c>
      <c r="P41" s="574" t="s">
        <v>1255</v>
      </c>
      <c r="Q41" s="557">
        <f>28000000</f>
        <v>28000000</v>
      </c>
    </row>
    <row r="42" spans="1:17" ht="15.75" thickBot="1">
      <c r="A42" s="292">
        <v>1</v>
      </c>
      <c r="B42" s="17" t="s">
        <v>1270</v>
      </c>
      <c r="C42" s="100">
        <v>0.15</v>
      </c>
      <c r="D42" s="662">
        <f>'Concentration Limitations'!$BL$7</f>
        <v>0</v>
      </c>
      <c r="E42" s="663">
        <f t="shared" si="0"/>
        <v>0.15</v>
      </c>
      <c r="O42" s="553">
        <v>44622</v>
      </c>
      <c r="P42" s="574" t="s">
        <v>1255</v>
      </c>
      <c r="Q42" s="557">
        <v>-210500000</v>
      </c>
    </row>
    <row r="43" spans="1:17">
      <c r="A43" s="292">
        <v>2</v>
      </c>
      <c r="B43" s="17" t="s">
        <v>1269</v>
      </c>
      <c r="C43" s="100">
        <v>7.4999999999999997E-2</v>
      </c>
      <c r="D43" s="662">
        <f>'Concentration Limitations'!BL7</f>
        <v>0</v>
      </c>
      <c r="E43" s="663">
        <f t="shared" si="0"/>
        <v>7.4999999999999997E-2</v>
      </c>
      <c r="H43" s="679" t="s">
        <v>153</v>
      </c>
      <c r="I43" s="680"/>
      <c r="J43" s="680"/>
      <c r="K43" s="680"/>
      <c r="L43" s="681"/>
      <c r="O43" s="553">
        <v>44644</v>
      </c>
      <c r="P43" s="574" t="s">
        <v>1255</v>
      </c>
      <c r="Q43" s="557">
        <v>-32500000</v>
      </c>
    </row>
    <row r="44" spans="1:17" ht="15.75" thickBot="1">
      <c r="A44" s="292">
        <v>3</v>
      </c>
      <c r="B44" s="406" t="s">
        <v>97</v>
      </c>
      <c r="C44" s="303" t="s">
        <v>1265</v>
      </c>
      <c r="D44" s="300"/>
      <c r="E44" s="304"/>
      <c r="G44" s="292"/>
      <c r="H44" s="19" t="s">
        <v>154</v>
      </c>
      <c r="I44" s="139" t="s">
        <v>158</v>
      </c>
      <c r="J44" s="139" t="s">
        <v>159</v>
      </c>
      <c r="K44" s="139" t="s">
        <v>160</v>
      </c>
      <c r="L44" s="140" t="s">
        <v>161</v>
      </c>
      <c r="O44" s="553">
        <v>44676</v>
      </c>
      <c r="P44" s="574" t="s">
        <v>1255</v>
      </c>
      <c r="Q44" s="557">
        <f>5000000+11500000+2500000+10000000</f>
        <v>29000000</v>
      </c>
    </row>
    <row r="45" spans="1:17">
      <c r="A45" s="292">
        <v>4</v>
      </c>
      <c r="B45" s="17" t="str">
        <f>CONCATENATE(A42, "-",(VLOOKUP(A42,'Concentration Limitations'!$DK:$DL,2,FALSE)))</f>
        <v>1-Professional Services</v>
      </c>
      <c r="C45" s="186">
        <f>VLOOKUP(A42,'Concentration Limitations'!$DK:$DU,11,FALSE)</f>
        <v>0.2</v>
      </c>
      <c r="D45" s="186">
        <f ca="1">VLOOKUP(A42,'Concentration Limitations'!$DK:$DS,9,FALSE)</f>
        <v>9.9789906937074513E-2</v>
      </c>
      <c r="E45" s="405">
        <f ca="1">C45-D45</f>
        <v>0.1002100930629255</v>
      </c>
      <c r="G45" s="292"/>
      <c r="H45" s="11" t="s">
        <v>155</v>
      </c>
      <c r="J45" s="11">
        <f>SUM(Calcs!CU17:CU116)</f>
        <v>35</v>
      </c>
      <c r="K45" s="3">
        <f ca="1">SUMIF(Calcs!$CU$16:$CU$85,"&gt;0",Calcs!$BO$16:$BO$85)</f>
        <v>124204291.90399998</v>
      </c>
      <c r="L45" s="3">
        <f ca="1">SUMIF(Calcs!$CU$16:$CU$85,"&gt;0",Calcs!$BP$16:$BP$85)</f>
        <v>78328464.671566084</v>
      </c>
      <c r="O45" s="553">
        <v>44718</v>
      </c>
      <c r="P45" s="574" t="s">
        <v>1255</v>
      </c>
      <c r="Q45" s="557">
        <v>10000000</v>
      </c>
    </row>
    <row r="46" spans="1:17">
      <c r="A46" s="292">
        <v>4</v>
      </c>
      <c r="B46" s="17" t="str">
        <f>CONCATENATE(A43, "-",(VLOOKUP(A43,'Concentration Limitations'!$DK:$DL,2,FALSE)))</f>
        <v>2-Health Care Providers &amp; Services</v>
      </c>
      <c r="C46" s="186">
        <f>VLOOKUP(A43,'Concentration Limitations'!$DK:$DU,11,FALSE)</f>
        <v>0.15</v>
      </c>
      <c r="D46" s="186">
        <f ca="1">VLOOKUP(A43,'Concentration Limitations'!$DK:$DS,9,FALSE)</f>
        <v>8.2804038658913878E-2</v>
      </c>
      <c r="E46" s="405">
        <f ca="1">C46-D46</f>
        <v>6.7195961341086116E-2</v>
      </c>
      <c r="G46" s="292"/>
      <c r="H46" s="307" t="s">
        <v>168</v>
      </c>
      <c r="I46" s="310">
        <v>1.75</v>
      </c>
      <c r="J46" s="11"/>
      <c r="K46" s="11"/>
      <c r="L46" s="11"/>
      <c r="O46" s="553">
        <v>44728</v>
      </c>
      <c r="P46" s="574" t="s">
        <v>1255</v>
      </c>
      <c r="Q46" s="557">
        <v>30000000</v>
      </c>
    </row>
    <row r="47" spans="1:17">
      <c r="A47" s="292"/>
      <c r="B47" s="17" t="str">
        <f>CONCATENATE(A44, "-",(VLOOKUP(A44,'Concentration Limitations'!$DK:$DL,2,FALSE)))</f>
        <v>3-Aerospace &amp; Defense</v>
      </c>
      <c r="C47" s="186">
        <f>VLOOKUP(A44,'Concentration Limitations'!$DK:$DU,11,FALSE)</f>
        <v>0.12</v>
      </c>
      <c r="D47" s="186">
        <f ca="1">VLOOKUP(A44,'Concentration Limitations'!$DK:$DS,9,FALSE)</f>
        <v>7.9188759537704934E-2</v>
      </c>
      <c r="E47" s="405">
        <f ca="1">C47-D47</f>
        <v>4.0811240462295062E-2</v>
      </c>
      <c r="G47" s="292"/>
      <c r="H47" s="307" t="s">
        <v>996</v>
      </c>
      <c r="I47" s="311">
        <v>-0.15</v>
      </c>
      <c r="J47" s="11"/>
      <c r="K47" s="11"/>
      <c r="L47" s="11"/>
      <c r="O47" s="553">
        <v>44733</v>
      </c>
      <c r="P47" s="574" t="s">
        <v>1255</v>
      </c>
      <c r="Q47" s="557">
        <v>62900000</v>
      </c>
    </row>
    <row r="48" spans="1:17">
      <c r="A48" s="292">
        <v>1</v>
      </c>
      <c r="B48" s="401" t="str">
        <f>CONCATENATE(A46, "-",(VLOOKUP(A46,'Concentration Limitations'!$DK:$DL,2,FALSE)))</f>
        <v>4-Media</v>
      </c>
      <c r="C48" s="301">
        <f>VLOOKUP(A46,'Concentration Limitations'!$DK:$DU,11,FALSE)</f>
        <v>0.1</v>
      </c>
      <c r="D48" s="301">
        <f ca="1">VLOOKUP(A46,'Concentration Limitations'!$DK:$DS,9,FALSE)</f>
        <v>7.7790764914185268E-2</v>
      </c>
      <c r="E48" s="418">
        <f ca="1">C48-D48</f>
        <v>2.2209235085814738E-2</v>
      </c>
      <c r="G48" s="292"/>
      <c r="J48" s="11"/>
      <c r="K48" s="11"/>
      <c r="L48" s="11"/>
      <c r="O48" s="553">
        <v>44742</v>
      </c>
      <c r="P48" s="574" t="s">
        <v>1255</v>
      </c>
      <c r="Q48" s="557">
        <v>-30000000</v>
      </c>
    </row>
    <row r="49" spans="1:17">
      <c r="A49" s="292">
        <v>2</v>
      </c>
      <c r="B49" s="406" t="s">
        <v>212</v>
      </c>
      <c r="C49" s="303" t="s">
        <v>1003</v>
      </c>
      <c r="D49" s="302"/>
      <c r="E49" s="304"/>
      <c r="G49" s="292"/>
      <c r="H49" s="11" t="s">
        <v>156</v>
      </c>
      <c r="J49" s="11">
        <f>SUM(Calcs!CV17:CV116)</f>
        <v>21</v>
      </c>
      <c r="K49" s="141">
        <f ca="1">SUMIF(Calcs!$CV$16:$CV$85,"&gt;0",Calcs!$BO$16:$BO$85)</f>
        <v>84336257.057299986</v>
      </c>
      <c r="L49" s="141">
        <f ca="1">SUMIF(Calcs!$CV$16:$CV$85,"&gt;0",Calcs!$BP$16:$BP$85)</f>
        <v>53028814.98677431</v>
      </c>
      <c r="O49" s="553">
        <v>44756</v>
      </c>
      <c r="P49" s="574" t="s">
        <v>1255</v>
      </c>
      <c r="Q49" s="557">
        <v>13000000</v>
      </c>
    </row>
    <row r="50" spans="1:17">
      <c r="A50" s="292">
        <v>3</v>
      </c>
      <c r="B50" s="17" t="str">
        <f ca="1">CONCATENATE(A48,"-",VLOOKUP(A48,'Concentration Limitations'!$F:$G,2,FALSE))</f>
        <v>1-Marketplace</v>
      </c>
      <c r="C50" s="186">
        <f ca="1">VLOOKUP(A48,'Concentration Limitations'!$F:$P,11,FALSE)</f>
        <v>0.1</v>
      </c>
      <c r="D50" s="186">
        <f ca="1">VLOOKUP(A48,'Concentration Limitations'!$F:$Q,12,FALSE)</f>
        <v>3.3219766415571582E-2</v>
      </c>
      <c r="E50" s="405">
        <f ca="1">C50-D50</f>
        <v>6.6780233584428417E-2</v>
      </c>
      <c r="G50" s="292"/>
      <c r="H50" s="307" t="s">
        <v>157</v>
      </c>
      <c r="I50" s="310">
        <v>1</v>
      </c>
      <c r="J50" s="11"/>
      <c r="K50" s="11"/>
      <c r="L50" s="11"/>
      <c r="O50" s="553">
        <v>44757</v>
      </c>
      <c r="P50" s="574" t="s">
        <v>1255</v>
      </c>
      <c r="Q50" s="557">
        <v>83000000</v>
      </c>
    </row>
    <row r="51" spans="1:17">
      <c r="A51" s="292">
        <v>4</v>
      </c>
      <c r="B51" s="17" t="str">
        <f ca="1">CONCATENATE(A49,"-",VLOOKUP(A49,'Concentration Limitations'!$F:$G,2,FALSE))</f>
        <v>2-Sigma Defense Systems, LLC</v>
      </c>
      <c r="C51" s="186">
        <f ca="1">VLOOKUP(A49,'Concentration Limitations'!$F:$P,11,FALSE)</f>
        <v>7.0000000000000007E-2</v>
      </c>
      <c r="D51" s="186">
        <f ca="1">VLOOKUP(A49,'Concentration Limitations'!$F:$Q,12,FALSE)</f>
        <v>3.0241284589872186E-2</v>
      </c>
      <c r="E51" s="405">
        <f ca="1">C51-D51</f>
        <v>3.9758715410127821E-2</v>
      </c>
      <c r="G51" s="292"/>
      <c r="H51" s="307" t="s">
        <v>997</v>
      </c>
      <c r="I51" s="311">
        <v>0.2</v>
      </c>
      <c r="O51" s="553">
        <v>44798</v>
      </c>
      <c r="P51" s="574" t="s">
        <v>1255</v>
      </c>
      <c r="Q51" s="557">
        <v>18000000</v>
      </c>
    </row>
    <row r="52" spans="1:17">
      <c r="A52" s="292">
        <v>5</v>
      </c>
      <c r="B52" s="17" t="str">
        <f ca="1">CONCATENATE(A50,"-",VLOOKUP(A50,'Concentration Limitations'!$F:$G,2,FALSE))</f>
        <v>3-Rancho Medical</v>
      </c>
      <c r="C52" s="186">
        <f ca="1">VLOOKUP(A50,'Concentration Limitations'!$F:$P,11,FALSE)</f>
        <v>0.05</v>
      </c>
      <c r="D52" s="186">
        <f ca="1">VLOOKUP(A50,'Concentration Limitations'!$F:$Q,12,FALSE)</f>
        <v>2.8777275196940656E-2</v>
      </c>
      <c r="E52" s="405">
        <f ca="1">C52-D52</f>
        <v>2.1222724803059347E-2</v>
      </c>
      <c r="G52" s="292"/>
      <c r="H52" s="548" t="s">
        <v>1220</v>
      </c>
      <c r="I52" s="310">
        <v>4</v>
      </c>
      <c r="J52" s="120"/>
      <c r="K52" s="120"/>
      <c r="L52" s="120"/>
      <c r="O52" s="553">
        <v>44819</v>
      </c>
      <c r="P52" s="574" t="s">
        <v>1255</v>
      </c>
      <c r="Q52" s="557">
        <v>32700000</v>
      </c>
    </row>
    <row r="53" spans="1:17" ht="15.75" thickBot="1">
      <c r="B53" s="125" t="str">
        <f ca="1">CONCATENATE(A52,"-",VLOOKUP(A52,'Concentration Limitations'!$F:$G,2,FALSE))</f>
        <v xml:space="preserve">5-Lynx Technologies </v>
      </c>
      <c r="C53" s="296">
        <f ca="1">VLOOKUP(A52,'Concentration Limitations'!$F:$P,11,FALSE)</f>
        <v>0.05</v>
      </c>
      <c r="D53" s="296">
        <f ca="1">VLOOKUP(A52,'Concentration Limitations'!$F:$Q,12,FALSE)</f>
        <v>2.1629137442953899E-2</v>
      </c>
      <c r="E53" s="407">
        <f ca="1">C53-D53</f>
        <v>2.8370862557046104E-2</v>
      </c>
      <c r="G53" s="292"/>
      <c r="H53" s="11" t="s">
        <v>162</v>
      </c>
      <c r="J53" s="11">
        <f>J45+J49</f>
        <v>56</v>
      </c>
      <c r="K53" s="141">
        <f ca="1">K45+K49</f>
        <v>208540548.96129996</v>
      </c>
      <c r="L53" s="141">
        <f ca="1">L45+L49</f>
        <v>131357279.65834039</v>
      </c>
      <c r="O53" s="553">
        <v>44896</v>
      </c>
      <c r="P53" s="574" t="s">
        <v>1255</v>
      </c>
      <c r="Q53" s="557">
        <v>7000000</v>
      </c>
    </row>
    <row r="54" spans="1:17">
      <c r="C54" s="68"/>
      <c r="G54" s="292"/>
      <c r="O54" s="553">
        <v>44972</v>
      </c>
      <c r="P54" s="574" t="s">
        <v>1255</v>
      </c>
      <c r="Q54" s="557">
        <v>30000000</v>
      </c>
    </row>
    <row r="55" spans="1:17">
      <c r="C55" s="312"/>
      <c r="G55" s="292"/>
      <c r="O55" s="553">
        <v>44993</v>
      </c>
      <c r="P55" s="574" t="s">
        <v>1255</v>
      </c>
      <c r="Q55" s="557">
        <v>-10000000</v>
      </c>
    </row>
    <row r="56" spans="1:17" ht="15.75" thickBot="1">
      <c r="C56" s="14"/>
      <c r="H56" s="6"/>
      <c r="I56" s="6"/>
      <c r="J56" s="6"/>
      <c r="K56" s="6"/>
      <c r="O56" s="553">
        <v>45043</v>
      </c>
      <c r="P56" s="574" t="s">
        <v>1255</v>
      </c>
      <c r="Q56" s="557">
        <v>-15000000</v>
      </c>
    </row>
    <row r="57" spans="1:17" ht="15.75" thickBot="1">
      <c r="B57" s="297" t="s">
        <v>445</v>
      </c>
      <c r="C57" s="398" t="s">
        <v>446</v>
      </c>
      <c r="D57" s="398" t="s">
        <v>316</v>
      </c>
      <c r="E57" s="299" t="s">
        <v>450</v>
      </c>
      <c r="I57" s="290"/>
      <c r="J57" s="118"/>
      <c r="K57" s="313"/>
      <c r="O57" s="553">
        <v>45057</v>
      </c>
      <c r="P57" s="574" t="s">
        <v>1255</v>
      </c>
      <c r="Q57" s="557">
        <v>40000000</v>
      </c>
    </row>
    <row r="58" spans="1:17">
      <c r="B58" s="391" t="s">
        <v>447</v>
      </c>
      <c r="C58" s="396">
        <f>SUMPRODUCT(Calcs!CK17:CK117,Calcs!K17:K117)</f>
        <v>36.399096468310425</v>
      </c>
      <c r="D58" s="397">
        <f>SUMPRODUCT(Calcs!K17:K117,Calcs!BY17:BY117)</f>
        <v>39.047509154804501</v>
      </c>
      <c r="E58" s="393">
        <f>(D58/C58)-1</f>
        <v>7.2760396368624747E-2</v>
      </c>
      <c r="I58" s="290"/>
      <c r="J58" s="118"/>
      <c r="K58" s="313"/>
      <c r="O58" s="553">
        <v>45071</v>
      </c>
      <c r="P58" s="574" t="s">
        <v>1255</v>
      </c>
      <c r="Q58" s="557">
        <v>-19000000</v>
      </c>
    </row>
    <row r="59" spans="1:17">
      <c r="B59" s="391" t="s">
        <v>448</v>
      </c>
      <c r="C59" s="400">
        <f>SUMPRODUCT(Calcs!CF17:CF117,Calcs!K17:K117)</f>
        <v>2.695721908511906</v>
      </c>
      <c r="D59" s="400">
        <f>SUMPRODUCT(Calcs!K17:K117,Calcs!BT17:BT117)</f>
        <v>2.1876742882246205</v>
      </c>
      <c r="E59" s="393">
        <f>(D59/C59)-1</f>
        <v>-0.18846440305399981</v>
      </c>
      <c r="I59" s="290"/>
      <c r="J59" s="118"/>
      <c r="K59" s="313"/>
      <c r="O59" s="553">
        <v>45131</v>
      </c>
      <c r="P59" s="574" t="s">
        <v>1255</v>
      </c>
      <c r="Q59" s="557">
        <v>12000000</v>
      </c>
    </row>
    <row r="60" spans="1:17">
      <c r="B60" s="391" t="s">
        <v>449</v>
      </c>
      <c r="C60" s="400">
        <f>SUMPRODUCT(Calcs!CG17:CG117,Calcs!K17:K117)</f>
        <v>3.9605336829820015</v>
      </c>
      <c r="D60" s="400">
        <f>SUMPRODUCT(Calcs!K17:K117,Calcs!BU17:BU117)</f>
        <v>3.8185289727650313</v>
      </c>
      <c r="E60" s="393">
        <f>(D60/C60)-1</f>
        <v>-3.585494319292104E-2</v>
      </c>
      <c r="I60" s="290"/>
      <c r="J60" s="118"/>
      <c r="K60" s="313"/>
      <c r="O60" s="553">
        <v>45133</v>
      </c>
      <c r="P60" s="574" t="s">
        <v>1255</v>
      </c>
      <c r="Q60" s="557">
        <v>-200000000</v>
      </c>
    </row>
    <row r="61" spans="1:17" ht="15.75" thickBot="1">
      <c r="B61" s="392" t="s">
        <v>22</v>
      </c>
      <c r="C61" s="395">
        <f>SUMPRODUCT(Calcs!CJ17:CJ117,Calcs!K17:K117)</f>
        <v>0</v>
      </c>
      <c r="D61" s="395">
        <f>SUMPRODUCT(Calcs!K17:K117,Calcs!BX17:BX117)</f>
        <v>0</v>
      </c>
      <c r="E61" s="394">
        <f>IFERROR((D61/C61)-1, 0)</f>
        <v>0</v>
      </c>
      <c r="I61" s="290"/>
      <c r="J61" s="118"/>
      <c r="K61" s="294"/>
      <c r="O61" s="553">
        <v>45190</v>
      </c>
      <c r="P61" s="574" t="s">
        <v>1255</v>
      </c>
      <c r="Q61" s="557">
        <v>-14000000</v>
      </c>
    </row>
    <row r="62" spans="1:17">
      <c r="I62" s="290"/>
      <c r="J62" s="118"/>
      <c r="K62" s="294"/>
      <c r="O62" s="553">
        <v>45222</v>
      </c>
      <c r="P62" s="574" t="s">
        <v>1255</v>
      </c>
      <c r="Q62" s="557">
        <v>35000000</v>
      </c>
    </row>
    <row r="63" spans="1:17" ht="15.75" thickBot="1">
      <c r="B63" s="126"/>
      <c r="C63" s="127"/>
      <c r="H63" s="294"/>
      <c r="O63" s="553">
        <v>45247</v>
      </c>
      <c r="P63" s="574" t="s">
        <v>1255</v>
      </c>
      <c r="Q63" s="557">
        <v>-10000000</v>
      </c>
    </row>
    <row r="64" spans="1:17" ht="15.75" thickBot="1">
      <c r="B64" s="128"/>
      <c r="C64" s="130"/>
      <c r="H64" s="315" t="s">
        <v>1246</v>
      </c>
      <c r="I64" s="584"/>
      <c r="J64" s="584"/>
      <c r="K64" s="399"/>
      <c r="O64" s="553">
        <v>45261</v>
      </c>
      <c r="P64" s="574" t="s">
        <v>1255</v>
      </c>
      <c r="Q64" s="557">
        <v>8000000</v>
      </c>
    </row>
    <row r="65" spans="2:17" ht="15.75" thickBot="1">
      <c r="B65" s="128"/>
      <c r="C65" s="129"/>
      <c r="H65" s="270" t="s">
        <v>1247</v>
      </c>
      <c r="I65" s="270"/>
      <c r="J65" s="567"/>
      <c r="K65" s="570">
        <f ca="1">C8</f>
        <v>0.64941848271197067</v>
      </c>
      <c r="O65" s="553">
        <v>45271</v>
      </c>
      <c r="P65" s="574" t="s">
        <v>1255</v>
      </c>
      <c r="Q65" s="557">
        <v>10000000</v>
      </c>
    </row>
    <row r="66" spans="2:17" ht="15.75" thickBot="1">
      <c r="B66" s="297" t="s">
        <v>1227</v>
      </c>
      <c r="C66" s="399"/>
      <c r="E66" s="297" t="s">
        <v>1243</v>
      </c>
      <c r="F66" s="399"/>
      <c r="G66" s="294"/>
      <c r="H66" s="270"/>
      <c r="I66" s="270"/>
      <c r="J66" s="567"/>
      <c r="K66" s="570"/>
      <c r="O66" s="553">
        <v>45316</v>
      </c>
      <c r="P66" s="574" t="s">
        <v>1255</v>
      </c>
      <c r="Q66" s="557">
        <v>35000000</v>
      </c>
    </row>
    <row r="67" spans="2:17">
      <c r="B67" s="270" t="s">
        <v>1228</v>
      </c>
      <c r="C67" s="668">
        <v>8920094.0600000005</v>
      </c>
      <c r="E67" s="270" t="s">
        <v>1244</v>
      </c>
      <c r="F67" s="566">
        <f>($K$67/SUM($K$71)*K71)/1000000</f>
        <v>160.6</v>
      </c>
      <c r="G67" s="294"/>
      <c r="H67" s="270" t="s">
        <v>1248</v>
      </c>
      <c r="I67" s="560"/>
      <c r="J67" s="568"/>
      <c r="K67" s="586">
        <f>+Q1</f>
        <v>160600000</v>
      </c>
      <c r="O67" s="553">
        <v>45378</v>
      </c>
      <c r="P67" s="574" t="s">
        <v>1255</v>
      </c>
      <c r="Q67" s="557">
        <v>-3000000</v>
      </c>
    </row>
    <row r="68" spans="2:17">
      <c r="B68" s="270" t="s">
        <v>1229</v>
      </c>
      <c r="C68" s="613">
        <f>+C75</f>
        <v>3883034.6</v>
      </c>
      <c r="E68" s="270" t="s">
        <v>1346</v>
      </c>
      <c r="F68" s="566">
        <f>F67*I72</f>
        <v>24.09</v>
      </c>
      <c r="G68" s="294"/>
      <c r="H68" s="270" t="s">
        <v>1249</v>
      </c>
      <c r="I68" s="270"/>
      <c r="J68" s="567"/>
      <c r="K68" s="570">
        <f ca="1">K67/(C68+C82)</f>
        <v>0.47050972873817182</v>
      </c>
      <c r="O68" s="553">
        <v>45393</v>
      </c>
      <c r="P68" s="574" t="s">
        <v>1255</v>
      </c>
      <c r="Q68" s="557">
        <v>23000000</v>
      </c>
    </row>
    <row r="69" spans="2:17">
      <c r="B69" s="270" t="s">
        <v>1230</v>
      </c>
      <c r="C69" s="565">
        <v>0</v>
      </c>
      <c r="E69" s="270" t="s">
        <v>1245</v>
      </c>
      <c r="F69" s="566">
        <f>F67-F68</f>
        <v>136.51</v>
      </c>
      <c r="H69" s="270" t="s">
        <v>52</v>
      </c>
      <c r="I69" s="270"/>
      <c r="J69" s="567"/>
      <c r="K69" s="571">
        <f ca="1">'Diversity Score'!E3</f>
        <v>25.308409999999999</v>
      </c>
      <c r="O69" s="553">
        <v>45413</v>
      </c>
      <c r="P69" s="574" t="s">
        <v>1255</v>
      </c>
      <c r="Q69" s="557">
        <v>-18000000</v>
      </c>
    </row>
    <row r="70" spans="2:17">
      <c r="B70" s="270" t="s">
        <v>1231</v>
      </c>
      <c r="C70" s="614">
        <v>0</v>
      </c>
      <c r="D70" s="290"/>
      <c r="E70" s="270"/>
      <c r="F70" s="566"/>
      <c r="G70" s="118"/>
      <c r="H70" s="270"/>
      <c r="I70" s="572" t="s">
        <v>1250</v>
      </c>
      <c r="J70" s="572" t="s">
        <v>1251</v>
      </c>
      <c r="K70" s="572" t="s">
        <v>221</v>
      </c>
      <c r="O70" s="553">
        <v>45464</v>
      </c>
      <c r="P70" s="574" t="s">
        <v>1255</v>
      </c>
      <c r="Q70" s="557">
        <v>-16000000</v>
      </c>
    </row>
    <row r="71" spans="2:17">
      <c r="B71" s="270" t="s">
        <v>1232</v>
      </c>
      <c r="C71" s="667">
        <v>3883034.6</v>
      </c>
      <c r="E71" s="271"/>
      <c r="G71" s="118"/>
      <c r="H71" s="270" t="s">
        <v>1244</v>
      </c>
      <c r="I71" s="560">
        <f>+K71/$I$4</f>
        <v>1</v>
      </c>
      <c r="J71" s="568">
        <f>IFERROR(F67/(K71/1000000),0)</f>
        <v>0.40149999999999997</v>
      </c>
      <c r="K71" s="569">
        <f>K72+K73</f>
        <v>400000000</v>
      </c>
      <c r="O71" s="553">
        <v>45485</v>
      </c>
      <c r="P71" s="574" t="s">
        <v>1255</v>
      </c>
      <c r="Q71" s="557">
        <v>6000000</v>
      </c>
    </row>
    <row r="72" spans="2:17">
      <c r="B72" s="270" t="s">
        <v>1345</v>
      </c>
      <c r="C72" s="667">
        <v>0</v>
      </c>
      <c r="E72" s="270"/>
      <c r="F72" s="292"/>
      <c r="H72" s="270" t="s">
        <v>1346</v>
      </c>
      <c r="I72" s="560">
        <f>K72/K71</f>
        <v>0.15</v>
      </c>
      <c r="J72" s="568">
        <f>IFERROR(F68/(K72/1000000),0)</f>
        <v>0.40150000000000002</v>
      </c>
      <c r="K72" s="569">
        <v>60000000</v>
      </c>
      <c r="O72" s="553">
        <v>45499</v>
      </c>
      <c r="P72" s="574" t="s">
        <v>1255</v>
      </c>
      <c r="Q72" s="557">
        <v>33000000</v>
      </c>
    </row>
    <row r="73" spans="2:17">
      <c r="B73" s="270" t="s">
        <v>1382</v>
      </c>
      <c r="C73" s="667">
        <v>0</v>
      </c>
      <c r="F73" s="292"/>
      <c r="H73" s="270" t="s">
        <v>1245</v>
      </c>
      <c r="I73" s="560">
        <f>K73/K71</f>
        <v>0.85</v>
      </c>
      <c r="J73" s="568">
        <f>IFERROR(F69/(K73/1000000),0)</f>
        <v>0.40149999999999997</v>
      </c>
      <c r="K73" s="569">
        <v>340000000</v>
      </c>
      <c r="O73" s="553">
        <v>45503</v>
      </c>
      <c r="P73" s="574" t="s">
        <v>1255</v>
      </c>
      <c r="Q73" s="557">
        <v>68000000</v>
      </c>
    </row>
    <row r="74" spans="2:17">
      <c r="B74" s="128"/>
      <c r="C74" s="615"/>
      <c r="H74" s="294"/>
      <c r="O74" s="553">
        <v>45540</v>
      </c>
      <c r="P74" s="574" t="s">
        <v>1255</v>
      </c>
      <c r="Q74" s="557">
        <v>-12000000</v>
      </c>
    </row>
    <row r="75" spans="2:17">
      <c r="B75" s="121" t="s">
        <v>1233</v>
      </c>
      <c r="C75" s="613">
        <f>SUM(C71:C73)</f>
        <v>3883034.6</v>
      </c>
      <c r="D75" s="121"/>
      <c r="F75" s="270"/>
      <c r="H75" s="294"/>
      <c r="O75" s="553">
        <v>45573</v>
      </c>
      <c r="P75" s="574" t="s">
        <v>1255</v>
      </c>
      <c r="Q75" s="557">
        <v>20000000</v>
      </c>
    </row>
    <row r="76" spans="2:17" ht="15.75" thickBot="1">
      <c r="B76" s="270"/>
      <c r="C76" s="270"/>
      <c r="D76" s="270"/>
      <c r="E76" s="270"/>
      <c r="F76" s="118"/>
      <c r="H76" s="294"/>
      <c r="O76" s="553">
        <v>45583</v>
      </c>
      <c r="P76" s="574" t="s">
        <v>1255</v>
      </c>
      <c r="Q76" s="557">
        <v>50000000</v>
      </c>
    </row>
    <row r="77" spans="2:17" ht="15.75" thickBot="1">
      <c r="B77" s="297" t="s">
        <v>1234</v>
      </c>
      <c r="C77" s="399"/>
      <c r="F77" s="118"/>
      <c r="G77" s="118"/>
      <c r="H77" s="294"/>
      <c r="O77" s="553">
        <v>45604</v>
      </c>
      <c r="P77" s="574" t="s">
        <v>1255</v>
      </c>
      <c r="Q77" s="557">
        <v>20000000</v>
      </c>
    </row>
    <row r="78" spans="2:17">
      <c r="B78" s="270" t="s">
        <v>1235</v>
      </c>
      <c r="C78" s="554">
        <f>Calcs!I15</f>
        <v>361269985.24999994</v>
      </c>
      <c r="F78" s="118"/>
      <c r="G78" s="118"/>
      <c r="H78" s="669" t="s">
        <v>1347</v>
      </c>
      <c r="O78" s="553">
        <v>45645</v>
      </c>
      <c r="P78" s="574" t="s">
        <v>1255</v>
      </c>
      <c r="Q78" s="557">
        <v>40000000</v>
      </c>
    </row>
    <row r="79" spans="2:17">
      <c r="B79" s="555" t="s">
        <v>1236</v>
      </c>
      <c r="C79" s="556">
        <f>C78-Calcs!U15</f>
        <v>23821076.659999907</v>
      </c>
      <c r="F79" s="118"/>
      <c r="G79" s="118"/>
      <c r="H79" s="670" t="s">
        <v>1348</v>
      </c>
      <c r="O79" s="553">
        <v>45649</v>
      </c>
      <c r="P79" s="574" t="s">
        <v>1255</v>
      </c>
      <c r="Q79" s="557">
        <f>-265000000+30000000</f>
        <v>-235000000</v>
      </c>
    </row>
    <row r="80" spans="2:17">
      <c r="B80" s="270" t="s">
        <v>41</v>
      </c>
      <c r="C80" s="554">
        <f>C78-C79</f>
        <v>337448908.59000003</v>
      </c>
      <c r="F80" s="118"/>
      <c r="G80" s="118"/>
      <c r="H80" s="671"/>
      <c r="O80" s="576">
        <v>45688</v>
      </c>
      <c r="P80" s="574" t="s">
        <v>1255</v>
      </c>
      <c r="Q80" s="575">
        <v>72000000</v>
      </c>
    </row>
    <row r="81" spans="2:17" ht="15.75" thickBot="1">
      <c r="B81" s="555" t="s">
        <v>923</v>
      </c>
      <c r="C81" s="556">
        <f ca="1">C80-'Concentration Limitations'!H9</f>
        <v>0</v>
      </c>
      <c r="G81" s="118"/>
      <c r="H81" s="672"/>
      <c r="O81" s="576">
        <v>45723</v>
      </c>
      <c r="P81" s="574" t="s">
        <v>1255</v>
      </c>
      <c r="Q81" s="575">
        <v>12500000</v>
      </c>
    </row>
    <row r="82" spans="2:17">
      <c r="B82" s="270" t="s">
        <v>1237</v>
      </c>
      <c r="C82" s="554">
        <f ca="1">C80-C81</f>
        <v>337448908.59000003</v>
      </c>
      <c r="H82" s="671" t="s">
        <v>1349</v>
      </c>
      <c r="O82" s="576">
        <v>45783</v>
      </c>
      <c r="P82" s="574" t="s">
        <v>1255</v>
      </c>
      <c r="Q82" s="575">
        <v>-25000000</v>
      </c>
    </row>
    <row r="83" spans="2:17">
      <c r="B83" s="555" t="s">
        <v>1238</v>
      </c>
      <c r="C83" s="556">
        <f>Calcs!U13</f>
        <v>0</v>
      </c>
      <c r="H83" s="671"/>
      <c r="O83" s="576">
        <v>45800</v>
      </c>
      <c r="P83" s="574" t="s">
        <v>1255</v>
      </c>
      <c r="Q83" s="575">
        <v>-27500000</v>
      </c>
    </row>
    <row r="84" spans="2:17" ht="15.75" thickBot="1">
      <c r="B84" s="270" t="s">
        <v>1239</v>
      </c>
      <c r="C84" s="554">
        <f ca="1">C82-C83</f>
        <v>337448908.59000003</v>
      </c>
      <c r="H84" s="673" t="s">
        <v>1350</v>
      </c>
      <c r="O84" s="576">
        <v>45838</v>
      </c>
      <c r="P84" s="574" t="s">
        <v>1255</v>
      </c>
      <c r="Q84" s="575">
        <v>-14000000</v>
      </c>
    </row>
    <row r="85" spans="2:17" ht="15.75" thickBot="1">
      <c r="B85" s="270"/>
      <c r="C85" s="270"/>
      <c r="H85" s="671" t="s">
        <v>1351</v>
      </c>
    </row>
    <row r="86" spans="2:17" ht="15.75" thickBot="1">
      <c r="B86" s="297" t="s">
        <v>202</v>
      </c>
      <c r="C86" s="399"/>
      <c r="H86" s="671"/>
    </row>
    <row r="87" spans="2:17" ht="15.75" thickBot="1">
      <c r="B87" s="270" t="s">
        <v>1240</v>
      </c>
      <c r="C87" s="557">
        <v>400000000</v>
      </c>
      <c r="H87" s="673" t="s">
        <v>1352</v>
      </c>
    </row>
    <row r="88" spans="2:17">
      <c r="B88" s="270" t="s">
        <v>1241</v>
      </c>
      <c r="C88" s="558">
        <f ca="1">IF(I25="False","IC Test Breach!",+MIN(C11-K67,C89-K67))</f>
        <v>62428592.809328288</v>
      </c>
      <c r="H88" s="671" t="s">
        <v>1353</v>
      </c>
    </row>
    <row r="89" spans="2:17">
      <c r="B89" s="270" t="s">
        <v>1242</v>
      </c>
      <c r="C89" s="558">
        <f ca="1">+MIN(C11,C87)</f>
        <v>223028592.80932829</v>
      </c>
      <c r="H89" s="671"/>
    </row>
    <row r="90" spans="2:17" ht="15.75" thickBot="1">
      <c r="B90" s="270"/>
      <c r="C90" s="270"/>
      <c r="H90" s="674">
        <f ca="1">TODAY()</f>
        <v>45863</v>
      </c>
    </row>
    <row r="91" spans="2:17">
      <c r="B91" s="270"/>
      <c r="C91" s="270"/>
      <c r="H91" s="671" t="s">
        <v>903</v>
      </c>
    </row>
    <row r="92" spans="2:17">
      <c r="B92" s="270"/>
      <c r="C92" s="558"/>
    </row>
    <row r="93" spans="2:17">
      <c r="B93" s="270"/>
      <c r="C93" s="559"/>
    </row>
  </sheetData>
  <mergeCells count="1">
    <mergeCell ref="H43:L43"/>
  </mergeCells>
  <conditionalFormatting sqref="B4:B6 B8:B11">
    <cfRule type="colorScale" priority="387">
      <colorScale>
        <cfvo type="min"/>
        <cfvo type="max"/>
        <color rgb="FFFCFCFF"/>
        <color rgb="FF63BE7B"/>
      </colorScale>
    </cfRule>
  </conditionalFormatting>
  <conditionalFormatting sqref="C88">
    <cfRule type="cellIs" dxfId="17" priority="5" operator="equal">
      <formula>"IC Test Breach!"</formula>
    </cfRule>
  </conditionalFormatting>
  <conditionalFormatting sqref="E31:E53 K57:K62 H63 G66:G68 H74:H77">
    <cfRule type="cellIs" dxfId="16" priority="8" operator="lessThan">
      <formula>0</formula>
    </cfRule>
  </conditionalFormatting>
  <conditionalFormatting sqref="I12 I25:I27">
    <cfRule type="containsText" dxfId="15" priority="23" operator="containsText" text="false">
      <formula>NOT(ISERROR(SEARCH("false",I12)))</formula>
    </cfRule>
    <cfRule type="cellIs" dxfId="14" priority="24" operator="equal">
      <formula>TRUE</formula>
    </cfRule>
  </conditionalFormatting>
  <conditionalFormatting sqref="I31:I35">
    <cfRule type="containsText" dxfId="13" priority="21" operator="containsText" text="false">
      <formula>NOT(ISERROR(SEARCH("false",I31)))</formula>
    </cfRule>
    <cfRule type="cellIs" dxfId="12" priority="22" operator="equal">
      <formula>TRUE</formula>
    </cfRule>
  </conditionalFormatting>
  <conditionalFormatting sqref="J31">
    <cfRule type="containsText" dxfId="11" priority="19" operator="containsText" text="false">
      <formula>NOT(ISERROR(SEARCH("false",J31)))</formula>
    </cfRule>
    <cfRule type="cellIs" dxfId="10" priority="20" operator="equal">
      <formula>TRUE</formula>
    </cfRule>
  </conditionalFormatting>
  <dataValidations count="1">
    <dataValidation type="list" allowBlank="1" showInputMessage="1" showErrorMessage="1" sqref="P4:P84" xr:uid="{00000000-0002-0000-0100-000000000000}">
      <formula1>$P$1:$P$2</formula1>
    </dataValidation>
  </dataValidations>
  <pageMargins left="0.7" right="0.7" top="0.75" bottom="0.75" header="0.3" footer="0.3"/>
  <pageSetup scale="35" fitToHeight="0" orientation="landscape" r:id="rId1"/>
  <headerFooter>
    <oddFooter>&amp;R&amp;"Calibri"&amp;11&amp;K000000_x000D_&amp;1#&amp;"Calibri"&amp;10&amp;KFF8C00Classification 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DP261"/>
  <sheetViews>
    <sheetView showGridLines="0" tabSelected="1" zoomScale="82" zoomScaleNormal="90" zoomScaleSheetLayoutView="8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A11" sqref="A11"/>
    </sheetView>
  </sheetViews>
  <sheetFormatPr defaultRowHeight="15" outlineLevelCol="1"/>
  <cols>
    <col min="1" max="1" width="57.5703125" style="270" customWidth="1"/>
    <col min="2" max="2" width="16.42578125" style="270" bestFit="1" customWidth="1"/>
    <col min="3" max="3" width="19.7109375" style="270" bestFit="1" customWidth="1"/>
    <col min="4" max="4" width="25.85546875" style="270" bestFit="1" customWidth="1"/>
    <col min="5" max="5" width="18.42578125" style="270" bestFit="1" customWidth="1"/>
    <col min="6" max="6" width="33.7109375" style="270" customWidth="1"/>
    <col min="7" max="7" width="15.85546875" style="270" customWidth="1"/>
    <col min="8" max="8" width="25.28515625" customWidth="1"/>
    <col min="9" max="9" width="23.42578125" bestFit="1" customWidth="1"/>
    <col min="10" max="10" width="15.5703125" style="270" bestFit="1" customWidth="1"/>
    <col min="11" max="11" width="15" style="270" bestFit="1" customWidth="1"/>
    <col min="12" max="12" width="19.5703125" bestFit="1" customWidth="1"/>
    <col min="13" max="13" width="16.42578125" style="270" bestFit="1" customWidth="1"/>
    <col min="14" max="14" width="20.5703125" style="270" bestFit="1" customWidth="1"/>
    <col min="15" max="15" width="25.5703125" style="270" bestFit="1" customWidth="1"/>
    <col min="16" max="16" width="16.5703125" style="270" bestFit="1" customWidth="1"/>
    <col min="17" max="17" width="32" style="270" bestFit="1" customWidth="1"/>
    <col min="18" max="18" width="17.28515625" style="270" customWidth="1"/>
    <col min="19" max="19" width="18.7109375" style="270" customWidth="1"/>
    <col min="20" max="20" width="34.42578125" style="270" bestFit="1" customWidth="1"/>
    <col min="21" max="21" width="31.42578125" style="270" bestFit="1" customWidth="1"/>
    <col min="22" max="22" width="17.28515625" style="270" bestFit="1" customWidth="1"/>
    <col min="23" max="23" width="18.28515625" style="270" customWidth="1"/>
    <col min="24" max="24" width="14.7109375" style="270" customWidth="1"/>
    <col min="25" max="25" width="18" customWidth="1"/>
    <col min="26" max="26" width="12.42578125" style="270" customWidth="1"/>
    <col min="27" max="27" width="2" style="270" hidden="1" customWidth="1"/>
    <col min="28" max="28" width="11.5703125" style="270" bestFit="1" customWidth="1"/>
    <col min="29" max="29" width="11" style="270" bestFit="1" customWidth="1"/>
    <col min="30" max="30" width="21.28515625" style="270" customWidth="1"/>
    <col min="31" max="31" width="12.42578125" style="270" bestFit="1" customWidth="1"/>
    <col min="32" max="32" width="13.7109375" style="270" bestFit="1" customWidth="1"/>
    <col min="33" max="33" width="10.7109375" style="270" bestFit="1" customWidth="1"/>
    <col min="34" max="35" width="9.28515625" style="270" bestFit="1" customWidth="1"/>
    <col min="36" max="37" width="13" style="270" bestFit="1" customWidth="1"/>
    <col min="38" max="38" width="9.5703125" style="270" bestFit="1" customWidth="1"/>
    <col min="39" max="39" width="22" style="270" bestFit="1" customWidth="1"/>
    <col min="40" max="40" width="19.140625" style="270" bestFit="1" customWidth="1"/>
    <col min="41" max="41" width="22.140625" bestFit="1" customWidth="1"/>
    <col min="42" max="42" width="22.140625" style="270" bestFit="1" customWidth="1"/>
    <col min="43" max="43" width="12" style="270" bestFit="1" customWidth="1"/>
    <col min="44" max="44" width="17" bestFit="1" customWidth="1"/>
    <col min="45" max="45" width="18.140625" customWidth="1"/>
    <col min="46" max="46" width="10" style="270" hidden="1" customWidth="1"/>
    <col min="47" max="47" width="10" style="270" customWidth="1"/>
    <col min="48" max="48" width="17.42578125" style="270" bestFit="1" customWidth="1"/>
    <col min="49" max="49" width="16.5703125" style="270" bestFit="1" customWidth="1"/>
    <col min="50" max="51" width="16.5703125" style="270" customWidth="1"/>
    <col min="52" max="52" width="23" style="270" customWidth="1"/>
    <col min="53" max="53" width="24.85546875" customWidth="1"/>
    <col min="54" max="54" width="9.5703125" style="270" customWidth="1"/>
    <col min="55" max="55" width="13.28515625" style="270" customWidth="1"/>
    <col min="56" max="56" width="10.7109375" style="270" customWidth="1"/>
    <col min="57" max="57" width="17.140625" style="270" customWidth="1"/>
    <col min="58" max="58" width="16" customWidth="1"/>
    <col min="59" max="59" width="20.140625" customWidth="1"/>
    <col min="60" max="60" width="12" style="270" customWidth="1"/>
    <col min="61" max="61" width="19.140625" style="270" customWidth="1"/>
    <col min="62" max="62" width="16.28515625" style="270" customWidth="1"/>
    <col min="63" max="63" width="17" style="270" customWidth="1"/>
    <col min="64" max="64" width="24.5703125" style="270" customWidth="1"/>
    <col min="65" max="66" width="16.5703125" style="270" customWidth="1"/>
    <col min="67" max="67" width="28.42578125" style="270" customWidth="1"/>
    <col min="68" max="68" width="36.7109375" style="270" customWidth="1"/>
    <col min="69" max="70" width="3.7109375" style="270" customWidth="1"/>
    <col min="71" max="71" width="20" style="258" customWidth="1"/>
    <col min="72" max="72" width="17.140625" customWidth="1"/>
    <col min="73" max="73" width="15.42578125" customWidth="1"/>
    <col min="74" max="74" width="7" style="270" customWidth="1"/>
    <col min="75" max="76" width="20" style="270" customWidth="1"/>
    <col min="77" max="77" width="20" customWidth="1"/>
    <col min="78" max="82" width="20" style="270" customWidth="1"/>
    <col min="83" max="83" width="21.28515625" style="270" customWidth="1"/>
    <col min="84" max="84" width="22" style="270" customWidth="1"/>
    <col min="85" max="85" width="23.7109375" style="270" customWidth="1"/>
    <col min="86" max="86" width="6.42578125" customWidth="1"/>
    <col min="87" max="88" width="23.7109375" style="270" customWidth="1"/>
    <col min="89" max="92" width="21.42578125" style="270" customWidth="1"/>
    <col min="93" max="93" width="23" style="270" customWidth="1"/>
    <col min="94" max="94" width="21.42578125" style="270" customWidth="1"/>
    <col min="95" max="95" width="16" style="270" customWidth="1"/>
    <col min="96" max="96" width="15.85546875" style="270" customWidth="1"/>
    <col min="97" max="98" width="22" style="270" customWidth="1"/>
    <col min="99" max="99" width="31.42578125" style="270" customWidth="1"/>
    <col min="100" max="100" width="25.140625" style="270" customWidth="1"/>
    <col min="101" max="101" width="16.7109375" style="270" customWidth="1"/>
    <col min="102" max="103" width="15" customWidth="1"/>
    <col min="104" max="104" width="10.140625" bestFit="1" customWidth="1"/>
    <col min="105" max="105" width="14.42578125" style="270" customWidth="1" outlineLevel="1"/>
    <col min="106" max="107" width="0.140625" customWidth="1" outlineLevel="1"/>
    <col min="108" max="108" width="9.28515625" customWidth="1" outlineLevel="1"/>
    <col min="109" max="109" width="4.5703125" customWidth="1" outlineLevel="1"/>
    <col min="110" max="110" width="4.42578125" customWidth="1" outlineLevel="1"/>
    <col min="111" max="111" width="9.140625" customWidth="1" outlineLevel="1"/>
    <col min="112" max="112" width="9.140625" customWidth="1" outlineLevel="1" collapsed="1"/>
    <col min="113" max="113" width="14.140625" style="270" customWidth="1"/>
    <col min="114" max="114" width="12.140625" style="270" bestFit="1" customWidth="1"/>
    <col min="115" max="115" width="21.85546875" style="270" bestFit="1" customWidth="1"/>
    <col min="116" max="116" width="15.85546875" style="270" bestFit="1" customWidth="1"/>
    <col min="117" max="117" width="15.5703125" style="270" bestFit="1" customWidth="1"/>
    <col min="118" max="118" width="19.85546875" style="270" bestFit="1" customWidth="1"/>
    <col min="119" max="119" width="19.28515625" style="270" bestFit="1" customWidth="1"/>
    <col min="120" max="120" width="8.28515625" style="270" bestFit="1" customWidth="1"/>
  </cols>
  <sheetData>
    <row r="1" spans="1:120" ht="21" customHeight="1">
      <c r="A1" s="408" t="s">
        <v>350</v>
      </c>
      <c r="B1" s="280"/>
      <c r="C1" s="280"/>
      <c r="D1" s="280"/>
      <c r="E1" s="280"/>
      <c r="F1" s="280"/>
      <c r="G1"/>
      <c r="I1" s="409"/>
      <c r="J1" t="str">
        <f>"= Manual Input"</f>
        <v>= Manual Input</v>
      </c>
      <c r="K1"/>
      <c r="M1" s="281" t="s">
        <v>352</v>
      </c>
      <c r="N1" s="282"/>
      <c r="O1" s="295">
        <f>$O$2+$O$3-$O$4-$O$5</f>
        <v>600546064.96716809</v>
      </c>
      <c r="P1"/>
      <c r="Q1"/>
      <c r="R1"/>
      <c r="S1"/>
      <c r="T1"/>
      <c r="U1"/>
      <c r="V1"/>
      <c r="W1"/>
      <c r="X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P1"/>
      <c r="AQ1"/>
      <c r="AT1"/>
      <c r="AU1"/>
      <c r="AV1"/>
      <c r="AW1"/>
      <c r="AX1"/>
      <c r="AY1"/>
      <c r="AZ1"/>
      <c r="BB1"/>
      <c r="BC1"/>
      <c r="BD1"/>
      <c r="BE1"/>
      <c r="BH1"/>
      <c r="BI1"/>
      <c r="BJ1"/>
      <c r="BK1"/>
      <c r="BL1"/>
      <c r="BM1"/>
      <c r="BN1"/>
      <c r="BO1"/>
      <c r="BP1"/>
      <c r="BQ1"/>
      <c r="BR1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7"/>
      <c r="CE1" s="138"/>
      <c r="CF1" s="137"/>
      <c r="CG1" s="137"/>
      <c r="CH1" s="137"/>
      <c r="CI1" s="137"/>
      <c r="CJ1" s="137"/>
      <c r="CK1" s="137"/>
      <c r="CL1" s="137"/>
      <c r="CM1" s="137"/>
      <c r="CN1" s="137"/>
      <c r="CO1" s="137"/>
      <c r="CP1" s="137"/>
      <c r="CQ1" s="137"/>
      <c r="CR1" s="137"/>
      <c r="CS1" s="137"/>
      <c r="CT1" s="137"/>
      <c r="CU1" s="137"/>
      <c r="CV1" s="137"/>
      <c r="CW1" s="137"/>
      <c r="DA1"/>
      <c r="DI1"/>
      <c r="DJ1"/>
      <c r="DK1"/>
      <c r="DL1"/>
      <c r="DM1"/>
      <c r="DN1"/>
      <c r="DO1"/>
      <c r="DP1"/>
    </row>
    <row r="2" spans="1:120">
      <c r="A2"/>
      <c r="B2" s="8" t="s">
        <v>18</v>
      </c>
      <c r="C2" s="8" t="s">
        <v>18</v>
      </c>
      <c r="D2" s="8" t="s">
        <v>18</v>
      </c>
      <c r="E2" s="8" t="s">
        <v>18</v>
      </c>
      <c r="F2" s="8" t="s">
        <v>19</v>
      </c>
      <c r="G2"/>
      <c r="I2" s="410" t="s">
        <v>453</v>
      </c>
      <c r="J2" s="108" t="s">
        <v>454</v>
      </c>
      <c r="K2"/>
      <c r="M2" s="283" t="s">
        <v>353</v>
      </c>
      <c r="N2" s="284"/>
      <c r="O2" s="664">
        <f>'Summary '!$I$4</f>
        <v>400000000</v>
      </c>
      <c r="P2"/>
      <c r="Q2"/>
      <c r="R2"/>
      <c r="S2"/>
      <c r="T2"/>
      <c r="U2"/>
      <c r="V2"/>
      <c r="W2"/>
      <c r="X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P2"/>
      <c r="AQ2"/>
      <c r="AT2"/>
      <c r="AU2"/>
      <c r="AV2"/>
      <c r="AW2"/>
      <c r="AX2"/>
      <c r="AY2"/>
      <c r="AZ2"/>
      <c r="BB2"/>
      <c r="BC2"/>
      <c r="BD2"/>
      <c r="BE2"/>
      <c r="BH2"/>
      <c r="BI2"/>
      <c r="BJ2"/>
      <c r="BK2"/>
      <c r="BL2"/>
      <c r="BM2"/>
      <c r="BN2"/>
      <c r="BO2"/>
      <c r="BP2"/>
      <c r="BQ2"/>
      <c r="BR2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8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  <c r="CW2" s="137"/>
      <c r="DA2"/>
      <c r="DI2"/>
      <c r="DJ2"/>
      <c r="DK2"/>
      <c r="DL2"/>
      <c r="DM2"/>
      <c r="DN2"/>
      <c r="DO2"/>
      <c r="DP2"/>
    </row>
    <row r="3" spans="1:120" ht="15.75" thickBot="1">
      <c r="A3"/>
      <c r="B3" s="6"/>
      <c r="C3" s="6" t="s">
        <v>7</v>
      </c>
      <c r="D3" s="6" t="s">
        <v>8</v>
      </c>
      <c r="E3" s="6" t="s">
        <v>104</v>
      </c>
      <c r="F3" s="6" t="s">
        <v>124</v>
      </c>
      <c r="G3"/>
      <c r="J3"/>
      <c r="K3"/>
      <c r="L3" s="132"/>
      <c r="M3" s="283" t="s">
        <v>354</v>
      </c>
      <c r="N3" s="284"/>
      <c r="O3" s="664">
        <f>$O$15*1000000</f>
        <v>361146064.96716809</v>
      </c>
      <c r="P3"/>
      <c r="Q3"/>
      <c r="R3"/>
      <c r="S3"/>
      <c r="T3"/>
      <c r="U3"/>
      <c r="V3"/>
      <c r="W3"/>
      <c r="X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P3"/>
      <c r="AQ3"/>
      <c r="AT3"/>
      <c r="AU3"/>
      <c r="AV3"/>
      <c r="AW3"/>
      <c r="AX3"/>
      <c r="AY3"/>
      <c r="AZ3"/>
      <c r="BB3"/>
      <c r="BC3"/>
      <c r="BD3"/>
      <c r="BE3"/>
      <c r="BH3"/>
      <c r="BI3"/>
      <c r="BJ3"/>
      <c r="BK3"/>
      <c r="BL3"/>
      <c r="BM3"/>
      <c r="BN3"/>
      <c r="BO3"/>
      <c r="BP3"/>
      <c r="BQ3"/>
      <c r="BR3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8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DA3"/>
      <c r="DI3"/>
      <c r="DJ3"/>
      <c r="DK3"/>
      <c r="DL3"/>
      <c r="DM3"/>
      <c r="DN3"/>
      <c r="DO3"/>
      <c r="DP3"/>
    </row>
    <row r="4" spans="1:120">
      <c r="A4" s="7"/>
      <c r="B4" s="356"/>
      <c r="C4" s="357"/>
      <c r="D4" s="357"/>
      <c r="E4" s="357"/>
      <c r="F4" s="358"/>
      <c r="G4"/>
      <c r="J4"/>
      <c r="K4"/>
      <c r="L4" s="276"/>
      <c r="M4" s="283" t="s">
        <v>355</v>
      </c>
      <c r="N4" s="284"/>
      <c r="O4" s="664">
        <f>'Summary '!$J$38</f>
        <v>160600000</v>
      </c>
      <c r="P4"/>
      <c r="Q4"/>
      <c r="R4"/>
      <c r="S4"/>
      <c r="T4"/>
      <c r="U4"/>
      <c r="V4"/>
      <c r="W4"/>
      <c r="X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P4"/>
      <c r="AQ4"/>
      <c r="AT4"/>
      <c r="AU4"/>
      <c r="AV4"/>
      <c r="AW4"/>
      <c r="AX4"/>
      <c r="AY4"/>
      <c r="AZ4"/>
      <c r="BB4"/>
      <c r="BC4"/>
      <c r="BD4"/>
      <c r="BE4"/>
      <c r="BH4"/>
      <c r="BI4"/>
      <c r="BJ4"/>
      <c r="BK4"/>
      <c r="BL4"/>
      <c r="BM4"/>
      <c r="BN4"/>
      <c r="BO4"/>
      <c r="BP4"/>
      <c r="BQ4"/>
      <c r="BR4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8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DA4"/>
      <c r="DI4"/>
      <c r="DJ4"/>
      <c r="DK4"/>
      <c r="DL4"/>
      <c r="DM4"/>
      <c r="DN4"/>
      <c r="DO4"/>
      <c r="DP4"/>
    </row>
    <row r="5" spans="1:120">
      <c r="A5" s="7" t="s">
        <v>994</v>
      </c>
      <c r="B5" s="359"/>
      <c r="C5" s="481">
        <v>100</v>
      </c>
      <c r="D5" s="481">
        <v>25</v>
      </c>
      <c r="E5" s="481">
        <v>10</v>
      </c>
      <c r="F5" s="360">
        <v>10</v>
      </c>
      <c r="G5"/>
      <c r="J5"/>
      <c r="K5"/>
      <c r="M5" s="283" t="s">
        <v>356</v>
      </c>
      <c r="N5" s="284"/>
      <c r="O5" s="665">
        <v>0</v>
      </c>
      <c r="P5"/>
      <c r="Q5"/>
      <c r="R5"/>
      <c r="S5"/>
      <c r="T5"/>
      <c r="U5"/>
      <c r="V5"/>
      <c r="W5"/>
      <c r="X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P5"/>
      <c r="AQ5"/>
      <c r="AT5"/>
      <c r="AU5"/>
      <c r="AV5"/>
      <c r="AW5"/>
      <c r="AX5"/>
      <c r="AY5"/>
      <c r="AZ5"/>
      <c r="BB5"/>
      <c r="BC5"/>
      <c r="BD5"/>
      <c r="BE5"/>
      <c r="BH5"/>
      <c r="BI5"/>
      <c r="BJ5"/>
      <c r="BK5"/>
      <c r="BL5"/>
      <c r="BM5"/>
      <c r="BN5"/>
      <c r="BO5" s="427" t="s">
        <v>464</v>
      </c>
      <c r="BP5" s="428" t="s">
        <v>465</v>
      </c>
      <c r="BQ5"/>
      <c r="BR5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8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DA5"/>
      <c r="DI5"/>
      <c r="DJ5"/>
      <c r="DK5"/>
      <c r="DL5"/>
      <c r="DM5"/>
      <c r="DN5"/>
      <c r="DO5"/>
      <c r="DP5"/>
    </row>
    <row r="6" spans="1:120" ht="15.75" thickBot="1">
      <c r="A6" s="7" t="s">
        <v>10</v>
      </c>
      <c r="B6" s="361"/>
      <c r="C6" s="482">
        <v>6</v>
      </c>
      <c r="D6" s="482">
        <v>5.5</v>
      </c>
      <c r="E6" s="482">
        <v>5</v>
      </c>
      <c r="F6" s="362">
        <v>4.5</v>
      </c>
      <c r="G6"/>
      <c r="J6"/>
      <c r="K6" s="72"/>
      <c r="M6" s="125"/>
      <c r="N6" s="288"/>
      <c r="O6" s="289"/>
      <c r="P6"/>
      <c r="Q6"/>
      <c r="R6"/>
      <c r="S6"/>
      <c r="T6"/>
      <c r="U6"/>
      <c r="V6"/>
      <c r="W6"/>
      <c r="X6"/>
      <c r="Z6" s="4"/>
      <c r="AA6" s="3"/>
      <c r="AB6"/>
      <c r="AC6"/>
      <c r="AD6"/>
      <c r="AE6"/>
      <c r="AF6"/>
      <c r="AG6"/>
      <c r="AH6"/>
      <c r="AI6"/>
      <c r="AJ6"/>
      <c r="AK6"/>
      <c r="AL6"/>
      <c r="AM6"/>
      <c r="AN6"/>
      <c r="AP6"/>
      <c r="AQ6"/>
      <c r="AT6"/>
      <c r="AU6"/>
      <c r="AV6"/>
      <c r="AW6"/>
      <c r="AX6"/>
      <c r="AY6"/>
      <c r="AZ6"/>
      <c r="BB6"/>
      <c r="BC6"/>
      <c r="BD6"/>
      <c r="BE6"/>
      <c r="BH6"/>
      <c r="BI6"/>
      <c r="BJ6"/>
      <c r="BK6"/>
      <c r="BL6"/>
      <c r="BM6"/>
      <c r="BN6" s="429" t="s">
        <v>466</v>
      </c>
      <c r="BO6" s="430">
        <f>SUMIF($R17:$R117,$T$11,$BO$17:$BO$117)</f>
        <v>0</v>
      </c>
      <c r="BP6" s="431" t="str">
        <f>IFERROR(SUMIF($R17:$R116,$T$11,BP17:BP117)/BO6,"")</f>
        <v/>
      </c>
      <c r="BQ6"/>
      <c r="BR6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8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DA6"/>
      <c r="DI6"/>
      <c r="DJ6"/>
      <c r="DK6"/>
      <c r="DL6"/>
      <c r="DM6"/>
      <c r="DN6"/>
      <c r="DO6"/>
      <c r="DP6"/>
    </row>
    <row r="7" spans="1:120">
      <c r="A7" s="7" t="s">
        <v>11</v>
      </c>
      <c r="B7" s="361"/>
      <c r="C7" s="482">
        <v>7</v>
      </c>
      <c r="D7" s="482">
        <v>6.5</v>
      </c>
      <c r="E7" s="482">
        <v>6</v>
      </c>
      <c r="F7" s="362">
        <v>5.5</v>
      </c>
      <c r="G7"/>
      <c r="J7"/>
      <c r="K7" s="133"/>
      <c r="M7"/>
      <c r="N7"/>
      <c r="O7" s="9"/>
      <c r="P7" s="9"/>
      <c r="Q7" s="9"/>
      <c r="R7"/>
      <c r="S7"/>
      <c r="T7"/>
      <c r="U7"/>
      <c r="V7"/>
      <c r="W7" s="9"/>
      <c r="X7"/>
      <c r="Z7" s="4"/>
      <c r="AA7" s="3"/>
      <c r="AB7"/>
      <c r="AC7"/>
      <c r="AD7"/>
      <c r="AE7"/>
      <c r="AF7"/>
      <c r="AG7"/>
      <c r="AH7"/>
      <c r="AI7"/>
      <c r="AJ7"/>
      <c r="AK7"/>
      <c r="AL7"/>
      <c r="AM7"/>
      <c r="AN7"/>
      <c r="AP7"/>
      <c r="AQ7"/>
      <c r="AT7"/>
      <c r="AU7"/>
      <c r="AV7"/>
      <c r="AW7"/>
      <c r="AX7"/>
      <c r="AY7"/>
      <c r="AZ7"/>
      <c r="BB7"/>
      <c r="BC7"/>
      <c r="BD7"/>
      <c r="BE7"/>
      <c r="BH7"/>
      <c r="BI7"/>
      <c r="BJ7"/>
      <c r="BK7"/>
      <c r="BL7"/>
      <c r="BM7"/>
      <c r="BN7" s="432" t="s">
        <v>467</v>
      </c>
      <c r="BO7" s="61">
        <f ca="1">SUMIF($R17:$R117,$T$12,BO17:BO117)</f>
        <v>337448908.59000003</v>
      </c>
      <c r="BP7" s="433">
        <f ca="1">IFERROR(SUMIF($R17:$R117,$T$12,BP17:BP117)/BO7,"")</f>
        <v>0.64941848271197067</v>
      </c>
      <c r="BQ7"/>
      <c r="BR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8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DA7"/>
      <c r="DI7"/>
      <c r="DJ7"/>
      <c r="DK7"/>
      <c r="DL7"/>
      <c r="DM7"/>
      <c r="DN7"/>
      <c r="DO7"/>
      <c r="DP7"/>
    </row>
    <row r="8" spans="1:120">
      <c r="A8" s="7" t="s">
        <v>12</v>
      </c>
      <c r="B8" s="363"/>
      <c r="C8" s="354">
        <v>0.7</v>
      </c>
      <c r="D8" s="354">
        <v>0.67500000000000004</v>
      </c>
      <c r="E8" s="354">
        <v>0.65</v>
      </c>
      <c r="F8" s="364">
        <v>0.625</v>
      </c>
      <c r="G8"/>
      <c r="J8"/>
      <c r="K8"/>
      <c r="L8" s="10"/>
      <c r="M8" s="10"/>
      <c r="N8"/>
      <c r="O8" s="10"/>
      <c r="P8" s="10"/>
      <c r="Q8" s="10"/>
      <c r="R8"/>
      <c r="S8"/>
      <c r="T8"/>
      <c r="U8"/>
      <c r="V8"/>
      <c r="W8" s="10"/>
      <c r="X8"/>
      <c r="Z8" s="4"/>
      <c r="AA8" s="3"/>
      <c r="AB8"/>
      <c r="AC8"/>
      <c r="AD8"/>
      <c r="AE8"/>
      <c r="AF8"/>
      <c r="AG8"/>
      <c r="AH8"/>
      <c r="AI8"/>
      <c r="AJ8"/>
      <c r="AK8"/>
      <c r="AL8"/>
      <c r="AM8"/>
      <c r="AN8"/>
      <c r="AP8"/>
      <c r="AQ8"/>
      <c r="AT8"/>
      <c r="AU8"/>
      <c r="AV8"/>
      <c r="AW8"/>
      <c r="AX8"/>
      <c r="AY8"/>
      <c r="AZ8"/>
      <c r="BB8" s="277"/>
      <c r="BC8"/>
      <c r="BD8"/>
      <c r="BE8"/>
      <c r="BF8" s="5"/>
      <c r="BH8"/>
      <c r="BI8"/>
      <c r="BJ8"/>
      <c r="BK8"/>
      <c r="BL8"/>
      <c r="BM8"/>
      <c r="BN8" s="436" t="s">
        <v>468</v>
      </c>
      <c r="BO8" s="435">
        <f>SUMIF($R17:$R117,$T$13,BO17:BO117)</f>
        <v>0</v>
      </c>
      <c r="BP8" s="434" t="str">
        <f>IFERROR(SUMIF($R17:$R116,$T$13,BP17:BP117)/BO8,"")</f>
        <v/>
      </c>
      <c r="BQ8"/>
      <c r="BR8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8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DA8"/>
      <c r="DI8"/>
      <c r="DJ8"/>
      <c r="DK8"/>
      <c r="DL8"/>
      <c r="DM8"/>
      <c r="DN8"/>
      <c r="DO8"/>
      <c r="DP8"/>
    </row>
    <row r="9" spans="1:120" ht="17.25">
      <c r="A9" s="7" t="s">
        <v>13</v>
      </c>
      <c r="B9" s="365"/>
      <c r="C9" s="483">
        <v>0.57499999999999996</v>
      </c>
      <c r="D9" s="483">
        <v>0.55000000000000004</v>
      </c>
      <c r="E9" s="483">
        <v>0.52</v>
      </c>
      <c r="F9" s="366">
        <v>0.5</v>
      </c>
      <c r="G9"/>
      <c r="J9"/>
      <c r="K9" s="135"/>
      <c r="L9" s="136"/>
      <c r="M9" s="136"/>
      <c r="N9"/>
      <c r="O9" s="5"/>
      <c r="P9" s="5"/>
      <c r="Q9" s="5"/>
      <c r="S9" s="271"/>
      <c r="T9" s="273"/>
      <c r="U9" s="272"/>
      <c r="V9" s="272"/>
      <c r="W9" s="5"/>
      <c r="X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P9"/>
      <c r="AQ9"/>
      <c r="AT9"/>
      <c r="AU9"/>
      <c r="AV9"/>
      <c r="AW9"/>
      <c r="AX9"/>
      <c r="AY9"/>
      <c r="AZ9"/>
      <c r="BB9" s="277"/>
      <c r="BC9"/>
      <c r="BD9"/>
      <c r="BE9"/>
      <c r="BF9" s="5"/>
      <c r="BH9"/>
      <c r="BI9"/>
      <c r="BJ9"/>
      <c r="BK9"/>
      <c r="BL9"/>
      <c r="BM9"/>
      <c r="BN9"/>
      <c r="BO9"/>
      <c r="BP9"/>
      <c r="BQ9"/>
      <c r="BR9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8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DA9"/>
      <c r="DI9"/>
      <c r="DJ9"/>
      <c r="DK9"/>
      <c r="DL9"/>
      <c r="DM9" s="3"/>
      <c r="DN9"/>
      <c r="DO9"/>
      <c r="DP9"/>
    </row>
    <row r="10" spans="1:120">
      <c r="A10" s="7" t="s">
        <v>20</v>
      </c>
      <c r="B10" s="365"/>
      <c r="C10" s="483">
        <v>0.4</v>
      </c>
      <c r="D10" s="483">
        <v>0.35</v>
      </c>
      <c r="E10" s="483">
        <v>0.35</v>
      </c>
      <c r="F10" s="366">
        <v>0.3</v>
      </c>
      <c r="G10"/>
      <c r="J10" s="134"/>
      <c r="K10" s="5"/>
      <c r="L10" s="5"/>
      <c r="M10" s="5"/>
      <c r="N10"/>
      <c r="O10" s="5"/>
      <c r="P10" s="5"/>
      <c r="Q10" s="5"/>
      <c r="R10" s="5"/>
      <c r="S10" s="5"/>
      <c r="T10" s="149" t="s">
        <v>216</v>
      </c>
      <c r="U10" s="150">
        <f>SUMIF($R$17:$R$117,T10,$U$17:$U$117)</f>
        <v>0</v>
      </c>
      <c r="V10" s="5"/>
      <c r="W10" s="5"/>
      <c r="X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P10"/>
      <c r="AQ10"/>
      <c r="AT10"/>
      <c r="AU10"/>
      <c r="AV10"/>
      <c r="AW10"/>
      <c r="AX10"/>
      <c r="AY10"/>
      <c r="AZ10"/>
      <c r="BB10" s="278"/>
      <c r="BC10" s="5"/>
      <c r="BD10"/>
      <c r="BE10"/>
      <c r="BF10" s="5"/>
      <c r="BH10"/>
      <c r="BI10"/>
      <c r="BJ10"/>
      <c r="BK10"/>
      <c r="BL10"/>
      <c r="BM10"/>
      <c r="BN10"/>
      <c r="BO10"/>
      <c r="BP10"/>
      <c r="BQ10"/>
      <c r="BR10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8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DA10"/>
      <c r="DI10"/>
      <c r="DJ10"/>
      <c r="DK10"/>
      <c r="DL10"/>
      <c r="DM10"/>
      <c r="DN10"/>
      <c r="DO10"/>
      <c r="DP10"/>
    </row>
    <row r="11" spans="1:120">
      <c r="A11" s="7" t="s">
        <v>1</v>
      </c>
      <c r="B11" s="363"/>
      <c r="C11" s="354">
        <v>2.2499999999999999E-2</v>
      </c>
      <c r="D11" s="354">
        <v>2.2499999999999999E-2</v>
      </c>
      <c r="E11" s="354">
        <v>2.2499999999999999E-2</v>
      </c>
      <c r="F11" s="364">
        <v>2.2499999999999999E-2</v>
      </c>
      <c r="G11"/>
      <c r="J11" s="134"/>
      <c r="K11" s="5"/>
      <c r="L11" s="5"/>
      <c r="M11" s="5"/>
      <c r="N11"/>
      <c r="O11" s="5"/>
      <c r="P11"/>
      <c r="Q11"/>
      <c r="R11"/>
      <c r="S11"/>
      <c r="T11" s="151" t="s">
        <v>37</v>
      </c>
      <c r="U11" s="150">
        <f>SUMIF($R$17:$R$117,T11,$U$17:$U$117)</f>
        <v>0</v>
      </c>
      <c r="V11" s="12"/>
      <c r="W11"/>
      <c r="X11"/>
      <c r="Z11"/>
      <c r="AA11"/>
      <c r="AB11"/>
      <c r="AC11"/>
      <c r="AD11"/>
      <c r="AE11"/>
      <c r="AF11"/>
      <c r="AG11"/>
      <c r="AH11"/>
      <c r="AI11"/>
      <c r="AJ11"/>
      <c r="AK11"/>
      <c r="AL11" s="4"/>
      <c r="AM11"/>
      <c r="AN11" s="4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B11" s="277"/>
      <c r="BC11"/>
      <c r="BD11"/>
      <c r="BE11"/>
      <c r="BH11"/>
      <c r="BI11"/>
      <c r="BJ11"/>
      <c r="BK11"/>
      <c r="BL11"/>
      <c r="BM11"/>
      <c r="BN11"/>
      <c r="BO11" s="564">
        <f>SUMIF($R17:$R117,$T$11,BO17:BO117)</f>
        <v>0</v>
      </c>
      <c r="BP11"/>
      <c r="BQ11"/>
      <c r="BR11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8"/>
      <c r="CF11" s="13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DA11"/>
      <c r="DI11"/>
      <c r="DJ11"/>
      <c r="DK11"/>
      <c r="DL11"/>
      <c r="DM11" s="14"/>
      <c r="DN11"/>
      <c r="DO11"/>
      <c r="DP11"/>
    </row>
    <row r="12" spans="1:120">
      <c r="A12" s="7" t="s">
        <v>17</v>
      </c>
      <c r="B12" s="367"/>
      <c r="C12" s="355">
        <f>SUMIF($AE$17:$AE$117,C3,$I$17:$I$117)/$I$15</f>
        <v>6.6439125114117134E-2</v>
      </c>
      <c r="D12" s="355">
        <f>SUMIF($AE$17:$AE$117,D3,$I$17:$I$117)/$I$15</f>
        <v>0.32247058614454882</v>
      </c>
      <c r="E12" s="355">
        <f>SUMIF($AE$17:$AE$117,E3,$I$17:$I$117)/$I$15</f>
        <v>0.6110902887413342</v>
      </c>
      <c r="F12" s="368">
        <f>SUMIF($AE$17:$AE$117,F3,$I$17:$I$117)/$I$15</f>
        <v>0</v>
      </c>
      <c r="G12"/>
      <c r="J12" s="134"/>
      <c r="K12"/>
      <c r="L12" s="5"/>
      <c r="M12" s="5"/>
      <c r="N12"/>
      <c r="O12" s="5"/>
      <c r="P12"/>
      <c r="Q12"/>
      <c r="R12"/>
      <c r="S12"/>
      <c r="T12" s="151" t="s">
        <v>38</v>
      </c>
      <c r="U12" s="150">
        <f>SUMIF($R$17:$R$117,T12,$U$17:$U$117)</f>
        <v>337448908.59000003</v>
      </c>
      <c r="V12" s="12"/>
      <c r="W12"/>
      <c r="X12"/>
      <c r="Z12"/>
      <c r="AA12"/>
      <c r="AB12"/>
      <c r="AC12"/>
      <c r="AD12"/>
      <c r="AE12"/>
      <c r="AF12"/>
      <c r="AG12"/>
      <c r="AH12"/>
      <c r="AI12"/>
      <c r="AJ12"/>
      <c r="AK12"/>
      <c r="AL12" s="4"/>
      <c r="AM12"/>
      <c r="AN12"/>
      <c r="AP12"/>
      <c r="AQ12"/>
      <c r="AT12"/>
      <c r="AU12"/>
      <c r="AV12"/>
      <c r="AW12"/>
      <c r="AX12"/>
      <c r="AY12"/>
      <c r="AZ12"/>
      <c r="BB12"/>
      <c r="BC12"/>
      <c r="BD12"/>
      <c r="BE12"/>
      <c r="BH12"/>
      <c r="BI12"/>
      <c r="BJ12"/>
      <c r="BK12"/>
      <c r="BL12"/>
      <c r="BM12"/>
      <c r="BN12" s="449">
        <f ca="1">SUMPRODUCT($K$16:$K$117,BN$16:BN$117)</f>
        <v>3.579289460711923</v>
      </c>
      <c r="BO12" s="563">
        <f ca="1">SUMIF($R17:$R117,$T$12,BO17:BO117)</f>
        <v>337448908.59000003</v>
      </c>
      <c r="BP12"/>
      <c r="BQ12"/>
      <c r="BR12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8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DA12"/>
      <c r="DI12"/>
      <c r="DJ12"/>
      <c r="DK12"/>
      <c r="DL12"/>
      <c r="DM12"/>
      <c r="DN12"/>
      <c r="DO12"/>
      <c r="DP12"/>
    </row>
    <row r="13" spans="1:120">
      <c r="A13" s="7" t="s">
        <v>16</v>
      </c>
      <c r="B13" s="367"/>
      <c r="C13" s="355">
        <f ca="1">SUMIF($AE$17:AF117,C3,$AC$17:$AC$117)/SUMIF($AE$17:AF117,C3,$K$17:K117)</f>
        <v>0.62102879283048251</v>
      </c>
      <c r="D13" s="355">
        <f ca="1">IFERROR(SUMIF($AE$17:AG117,D3,$AC$17:$AC$117)/SUMIF($AE$17:AG117,D3,$K$17:K117), 0)</f>
        <v>0.62666373333323155</v>
      </c>
      <c r="E13" s="355">
        <f ca="1">IFERROR(SUMIF($AE$17:AI117,E3,$AC$17:$AC$117)/SUMIF($AE$17:AI117,E3,$K$17:K117),0)</f>
        <v>0.62692612917759882</v>
      </c>
      <c r="F13" s="368">
        <f ca="1">IFERROR(SUMIF($AE$17:AJ117,F3,$AC$17:$AC$117)/SUMIF($AE$17:AJ117,F3,$K$17:L117),0)</f>
        <v>0</v>
      </c>
      <c r="G13"/>
      <c r="H13" s="5"/>
      <c r="J13" s="134"/>
      <c r="K13"/>
      <c r="L13" s="5"/>
      <c r="M13" s="5"/>
      <c r="N13"/>
      <c r="O13" s="5"/>
      <c r="P13" s="4"/>
      <c r="Q13" s="4"/>
      <c r="R13"/>
      <c r="S13"/>
      <c r="T13" s="151" t="s">
        <v>39</v>
      </c>
      <c r="U13" s="150">
        <f>SUMIF($R$17:$R$117,T13,$U$17:$U$117)</f>
        <v>0</v>
      </c>
      <c r="V13" s="12"/>
      <c r="W13" s="12"/>
      <c r="X13"/>
      <c r="Z13"/>
      <c r="AA13"/>
      <c r="AB13"/>
      <c r="AC13"/>
      <c r="AD13"/>
      <c r="AE13"/>
      <c r="AF13"/>
      <c r="AG13"/>
      <c r="AH13"/>
      <c r="AI13"/>
      <c r="AJ13"/>
      <c r="AK13"/>
      <c r="AL13" s="4"/>
      <c r="AM13" s="4"/>
      <c r="AN13" s="4"/>
      <c r="AO13" s="1"/>
      <c r="AP13" s="1"/>
      <c r="AQ13" s="1"/>
      <c r="AR13" s="1"/>
      <c r="AS13" s="1"/>
      <c r="AT13" s="421"/>
      <c r="AU13" s="421"/>
      <c r="AV13" s="1"/>
      <c r="AW13" s="1"/>
      <c r="AX13" s="1"/>
      <c r="AY13" s="1"/>
      <c r="AZ13" s="1"/>
      <c r="BB13"/>
      <c r="BC13"/>
      <c r="BD13"/>
      <c r="BE13"/>
      <c r="BH13"/>
      <c r="BI13"/>
      <c r="BJ13"/>
      <c r="BK13"/>
      <c r="BL13"/>
      <c r="BM13"/>
      <c r="BN13"/>
      <c r="BO13" s="12">
        <f>SUMIF($R17:$R117,$T$13,BO17:BO117)</f>
        <v>0</v>
      </c>
      <c r="BP13"/>
      <c r="BQ13"/>
      <c r="BR13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8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DA13"/>
      <c r="DI13"/>
      <c r="DJ13"/>
      <c r="DK13"/>
      <c r="DL13"/>
      <c r="DM13"/>
      <c r="DN13"/>
      <c r="DO13"/>
      <c r="DP13"/>
    </row>
    <row r="14" spans="1:120" ht="15.75" thickBot="1">
      <c r="A14" s="7" t="s">
        <v>21</v>
      </c>
      <c r="B14" s="383"/>
      <c r="C14" s="384">
        <f>SUMIF($AE$17:$AE$117,C3,$AB$17:$AB$117)/SUMIF($AE$17:$AE$117,C3,$K$17:$K$117)</f>
        <v>6.4761735303983121</v>
      </c>
      <c r="D14" s="384">
        <f>IFERROR(SUMIF($AE$17:$AE$117,D3,$AB$17:$AB$117)/SUMIF($AE$17:$AE$117,D3,$K$17:$K$117), 0)</f>
        <v>1.632379151739183</v>
      </c>
      <c r="E14" s="384">
        <f>IFERROR(SUMIF($AE$17:$AE$117,E3,$AB$17:$AB$117)/SUMIF($AE$17:$AE$117,E3,$K$17:$K$117),0)</f>
        <v>4.6832087830118905</v>
      </c>
      <c r="F14" s="385">
        <f>IFERROR(SUMIF($AE$17:$AE$117,F3,$AB$17:$AB$117)/SUMIF($AE$17:$AE$117,F3,$K$17:$K$117),0)</f>
        <v>0</v>
      </c>
      <c r="G14" s="4"/>
      <c r="H14" s="5"/>
      <c r="J14"/>
      <c r="K14"/>
      <c r="M14"/>
      <c r="N14"/>
      <c r="O14"/>
      <c r="P14"/>
      <c r="Q14"/>
      <c r="R14"/>
      <c r="S14"/>
      <c r="T14"/>
      <c r="U14"/>
      <c r="V14"/>
      <c r="W14"/>
      <c r="X14"/>
      <c r="Z14"/>
      <c r="AA14"/>
      <c r="AB14"/>
      <c r="AC14"/>
      <c r="AD14"/>
      <c r="AE14"/>
      <c r="AF14"/>
      <c r="AG14"/>
      <c r="AH14"/>
      <c r="AI14"/>
      <c r="AJ14"/>
      <c r="AK14"/>
      <c r="AL14" s="4"/>
      <c r="AM14" s="4"/>
      <c r="AN14" s="402"/>
      <c r="AO14" s="1"/>
      <c r="AP14" s="1"/>
      <c r="AQ14" s="1"/>
      <c r="AS14" s="1"/>
      <c r="AT14" s="1"/>
      <c r="AU14" s="1"/>
      <c r="AV14" s="1"/>
      <c r="AW14" s="1"/>
      <c r="AX14" s="1"/>
      <c r="AY14" s="1"/>
      <c r="AZ14" s="1"/>
      <c r="BB14"/>
      <c r="BC14"/>
      <c r="BD14"/>
      <c r="BE14"/>
      <c r="BH14"/>
      <c r="BI14"/>
      <c r="BJ14"/>
      <c r="BK14"/>
      <c r="BL14"/>
      <c r="BM14"/>
      <c r="BN14"/>
      <c r="BO14" s="12"/>
      <c r="BP14"/>
      <c r="BQ14"/>
      <c r="BR14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8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DA14"/>
      <c r="DI14"/>
      <c r="DJ14"/>
      <c r="DK14"/>
      <c r="DL14"/>
      <c r="DM14"/>
      <c r="DN14" s="426"/>
      <c r="DO14"/>
      <c r="DP14"/>
    </row>
    <row r="15" spans="1:120">
      <c r="G15"/>
      <c r="H15" s="534">
        <f>SUM(H17:H117)</f>
        <v>361269985.24999994</v>
      </c>
      <c r="I15" s="534">
        <f>SUM(I17:I117)</f>
        <v>361269985.24999994</v>
      </c>
      <c r="J15" s="386">
        <f>SUM(J17:J117)</f>
        <v>0</v>
      </c>
      <c r="K15" s="370"/>
      <c r="L15" s="370"/>
      <c r="M15" s="370"/>
      <c r="N15" s="370"/>
      <c r="O15" s="387">
        <f>SUM(O17:O117)/1000000</f>
        <v>361.14606496716812</v>
      </c>
      <c r="P15" s="370"/>
      <c r="Q15" s="370"/>
      <c r="R15" s="370"/>
      <c r="S15" s="370"/>
      <c r="T15" s="370"/>
      <c r="U15" s="371">
        <f>SUM(U11:U13)</f>
        <v>337448908.59000003</v>
      </c>
      <c r="V15" s="371">
        <f>SUMPRODUCT(V17:V117,I17:I117)*1000000</f>
        <v>0</v>
      </c>
      <c r="W15" s="371"/>
      <c r="X15" s="370"/>
      <c r="Y15" s="370"/>
      <c r="Z15" s="370"/>
      <c r="AA15" s="372"/>
      <c r="AB15" s="370"/>
      <c r="AC15" s="370"/>
      <c r="AD15" s="370"/>
      <c r="AE15" s="370"/>
      <c r="AF15" s="370"/>
      <c r="AG15" s="370"/>
      <c r="AH15" s="370"/>
      <c r="AI15" s="370"/>
      <c r="AJ15" s="370"/>
      <c r="AK15" s="370"/>
      <c r="AL15" s="369">
        <f>SUMPRODUCT(I17:I117,AL17:AL117)/$I$15</f>
        <v>0.6264497003684576</v>
      </c>
      <c r="AM15" s="373"/>
      <c r="AN15" s="369">
        <f ca="1">SUMIFS(BP17:BP117,R17:R117,"&lt;&gt;"&amp;"SOLD UNSETTLED")/SUMIFS(BO17:BO117,R17:R117,"&lt;&gt;"&amp;"SOLD UNSETTLED")</f>
        <v>0.64941848271197067</v>
      </c>
      <c r="AO15" s="374">
        <f>SUMPRODUCT(I17:I117,AO17:AO117)/$I$15</f>
        <v>5.8103185774318354E-2</v>
      </c>
      <c r="AP15" s="373"/>
      <c r="AQ15" s="373"/>
      <c r="AR15" s="370"/>
      <c r="AS15" s="373"/>
      <c r="AT15" s="373"/>
      <c r="AU15" s="373"/>
      <c r="AV15" s="373"/>
      <c r="AW15" s="373"/>
      <c r="AX15" s="373"/>
      <c r="AY15" s="373"/>
      <c r="AZ15" s="373"/>
      <c r="BA15" s="370"/>
      <c r="BB15" s="370"/>
      <c r="BC15" s="370"/>
      <c r="BD15" s="370"/>
      <c r="BE15" s="370"/>
      <c r="BF15" s="370"/>
      <c r="BG15" s="370"/>
      <c r="BH15" s="370"/>
      <c r="BI15" s="370"/>
      <c r="BJ15" s="370"/>
      <c r="BK15" s="370"/>
      <c r="BL15" s="370"/>
      <c r="BM15" s="370"/>
      <c r="BN15" s="375">
        <f ca="1">TODAY()</f>
        <v>45863</v>
      </c>
      <c r="BO15" s="376">
        <f ca="1">SUM(BO17:BO117)</f>
        <v>337448908.59000003</v>
      </c>
      <c r="BP15" s="369">
        <f ca="1">SUM(BP17:BP117)/SUM(BO17:BO117)</f>
        <v>0.64941848271197067</v>
      </c>
      <c r="BQ15" s="370"/>
      <c r="BR15" s="370"/>
      <c r="BS15" s="388"/>
      <c r="BT15" s="388"/>
      <c r="BU15" s="388"/>
      <c r="BV15" s="388"/>
      <c r="BW15" s="388"/>
      <c r="BX15" s="388"/>
      <c r="BY15" s="388" t="s">
        <v>357</v>
      </c>
      <c r="BZ15" s="388"/>
      <c r="CA15" s="388"/>
      <c r="CB15" s="388"/>
      <c r="CC15" s="388"/>
      <c r="CD15" s="389"/>
      <c r="CE15" s="390"/>
      <c r="CF15" s="388"/>
      <c r="CG15" s="388"/>
      <c r="CH15" s="388"/>
      <c r="CI15" s="388"/>
      <c r="CJ15" s="388" t="s">
        <v>152</v>
      </c>
      <c r="CK15" s="388"/>
      <c r="CL15" s="388"/>
      <c r="CM15" s="388"/>
      <c r="CN15" s="388"/>
      <c r="CO15" s="388"/>
      <c r="CP15" s="389"/>
      <c r="CQ15" s="131"/>
      <c r="CR15" s="131"/>
      <c r="CS15" s="131"/>
      <c r="CT15" s="131"/>
      <c r="CU15" s="457">
        <f>SUM(CU17:CU117)</f>
        <v>35</v>
      </c>
      <c r="CV15" s="457">
        <f>SUM(CV17:CV117)</f>
        <v>21</v>
      </c>
      <c r="CW15" s="457">
        <f>SUM(CW17:CW117)</f>
        <v>41</v>
      </c>
      <c r="DA15"/>
      <c r="DI15" s="422"/>
      <c r="DJ15" s="422"/>
      <c r="DK15" s="422"/>
      <c r="DL15" s="422"/>
      <c r="DM15" s="422"/>
      <c r="DN15" s="422"/>
      <c r="DO15" s="422"/>
      <c r="DP15" s="422"/>
    </row>
    <row r="16" spans="1:120" s="143" customFormat="1" ht="57.75" customHeight="1">
      <c r="A16" s="145" t="s">
        <v>348</v>
      </c>
      <c r="B16" s="145" t="s">
        <v>1004</v>
      </c>
      <c r="C16" s="145" t="s">
        <v>0</v>
      </c>
      <c r="D16" s="145" t="s">
        <v>99</v>
      </c>
      <c r="E16" s="145" t="s">
        <v>351</v>
      </c>
      <c r="F16" s="145" t="s">
        <v>47</v>
      </c>
      <c r="G16" s="145" t="s">
        <v>26</v>
      </c>
      <c r="H16" s="145" t="s">
        <v>370</v>
      </c>
      <c r="I16" s="145" t="s">
        <v>369</v>
      </c>
      <c r="J16" s="145" t="s">
        <v>129</v>
      </c>
      <c r="K16" s="145" t="s">
        <v>23</v>
      </c>
      <c r="L16" s="145" t="s">
        <v>29</v>
      </c>
      <c r="M16" s="145" t="s">
        <v>223</v>
      </c>
      <c r="N16" s="145" t="s">
        <v>143</v>
      </c>
      <c r="O16" s="145" t="s">
        <v>131</v>
      </c>
      <c r="P16" s="145" t="s">
        <v>115</v>
      </c>
      <c r="Q16" s="145" t="s">
        <v>437</v>
      </c>
      <c r="R16" s="145" t="s">
        <v>36</v>
      </c>
      <c r="S16" s="145" t="s">
        <v>40</v>
      </c>
      <c r="T16" s="145" t="s">
        <v>443</v>
      </c>
      <c r="U16" s="145" t="s">
        <v>41</v>
      </c>
      <c r="V16" s="145" t="s">
        <v>42</v>
      </c>
      <c r="W16" s="145" t="s">
        <v>130</v>
      </c>
      <c r="X16" s="145" t="s">
        <v>1213</v>
      </c>
      <c r="Y16" s="145" t="s">
        <v>4</v>
      </c>
      <c r="Z16" s="145" t="s">
        <v>1213</v>
      </c>
      <c r="AA16" s="145"/>
      <c r="AB16" s="145" t="s">
        <v>24</v>
      </c>
      <c r="AC16" s="145" t="s">
        <v>25</v>
      </c>
      <c r="AD16" s="382" t="s">
        <v>364</v>
      </c>
      <c r="AE16" s="382" t="s">
        <v>9</v>
      </c>
      <c r="AF16" s="382" t="s">
        <v>439</v>
      </c>
      <c r="AG16" s="382" t="s">
        <v>440</v>
      </c>
      <c r="AH16" s="382" t="s">
        <v>5</v>
      </c>
      <c r="AI16" s="382" t="s">
        <v>6</v>
      </c>
      <c r="AJ16" s="382" t="s">
        <v>14</v>
      </c>
      <c r="AK16" s="382" t="s">
        <v>15</v>
      </c>
      <c r="AL16" s="382" t="s">
        <v>3</v>
      </c>
      <c r="AM16" s="382" t="s">
        <v>43</v>
      </c>
      <c r="AN16" s="382" t="s">
        <v>62</v>
      </c>
      <c r="AO16" s="382" t="s">
        <v>102</v>
      </c>
      <c r="AP16" s="382" t="s">
        <v>100</v>
      </c>
      <c r="AQ16" s="382" t="s">
        <v>101</v>
      </c>
      <c r="AR16" s="382" t="s">
        <v>103</v>
      </c>
      <c r="AS16" s="382" t="s">
        <v>438</v>
      </c>
      <c r="AT16" s="382"/>
      <c r="AU16" s="382" t="s">
        <v>315</v>
      </c>
      <c r="AV16" s="382" t="s">
        <v>1215</v>
      </c>
      <c r="AW16" s="382" t="s">
        <v>347</v>
      </c>
      <c r="AX16" s="382" t="s">
        <v>328</v>
      </c>
      <c r="AY16" s="382" t="s">
        <v>327</v>
      </c>
      <c r="AZ16" s="382" t="s">
        <v>444</v>
      </c>
      <c r="BA16" s="382" t="s">
        <v>1223</v>
      </c>
      <c r="BB16" s="382" t="s">
        <v>1264</v>
      </c>
      <c r="BC16" s="382" t="s">
        <v>1262</v>
      </c>
      <c r="BD16" s="382" t="s">
        <v>90</v>
      </c>
      <c r="BE16" s="382" t="s">
        <v>113</v>
      </c>
      <c r="BF16" s="382" t="s">
        <v>1045</v>
      </c>
      <c r="BG16" s="382" t="s">
        <v>93</v>
      </c>
      <c r="BH16" s="382" t="s">
        <v>112</v>
      </c>
      <c r="BI16" s="382" t="s">
        <v>78</v>
      </c>
      <c r="BJ16" s="382" t="s">
        <v>1216</v>
      </c>
      <c r="BK16" s="382" t="s">
        <v>79</v>
      </c>
      <c r="BL16" s="382" t="s">
        <v>96</v>
      </c>
      <c r="BM16" s="382" t="s">
        <v>87</v>
      </c>
      <c r="BN16" s="382" t="s">
        <v>340</v>
      </c>
      <c r="BO16" s="382" t="s">
        <v>116</v>
      </c>
      <c r="BP16" s="382" t="s">
        <v>117</v>
      </c>
      <c r="BQ16" s="382"/>
      <c r="BR16" s="382"/>
      <c r="BS16" s="382" t="s">
        <v>361</v>
      </c>
      <c r="BT16" s="382" t="s">
        <v>362</v>
      </c>
      <c r="BU16" s="382" t="s">
        <v>363</v>
      </c>
      <c r="BV16" s="489"/>
      <c r="BW16" s="382" t="s">
        <v>364</v>
      </c>
      <c r="BX16" s="382" t="s">
        <v>365</v>
      </c>
      <c r="BY16" s="382" t="s">
        <v>2</v>
      </c>
      <c r="BZ16" s="382" t="s">
        <v>366</v>
      </c>
      <c r="CA16" s="382" t="s">
        <v>441</v>
      </c>
      <c r="CB16" s="382" t="s">
        <v>469</v>
      </c>
      <c r="CC16" s="382" t="s">
        <v>169</v>
      </c>
      <c r="CD16" s="382" t="s">
        <v>367</v>
      </c>
      <c r="CE16" s="382" t="s">
        <v>150</v>
      </c>
      <c r="CF16" s="382" t="s">
        <v>147</v>
      </c>
      <c r="CG16" s="382" t="s">
        <v>148</v>
      </c>
      <c r="CH16" s="489"/>
      <c r="CI16" s="382" t="s">
        <v>360</v>
      </c>
      <c r="CJ16" s="382" t="s">
        <v>358</v>
      </c>
      <c r="CK16" s="382" t="s">
        <v>149</v>
      </c>
      <c r="CL16" s="382" t="s">
        <v>359</v>
      </c>
      <c r="CM16" s="382" t="s">
        <v>442</v>
      </c>
      <c r="CN16" s="382" t="s">
        <v>470</v>
      </c>
      <c r="CO16" s="382" t="s">
        <v>163</v>
      </c>
      <c r="CP16" s="382" t="s">
        <v>164</v>
      </c>
      <c r="CQ16" s="382" t="s">
        <v>151</v>
      </c>
      <c r="CR16" s="382" t="s">
        <v>165</v>
      </c>
      <c r="CS16" s="382" t="s">
        <v>166</v>
      </c>
      <c r="CT16" s="382" t="s">
        <v>998</v>
      </c>
      <c r="CU16" s="382" t="s">
        <v>341</v>
      </c>
      <c r="CV16" s="382" t="s">
        <v>167</v>
      </c>
      <c r="CW16" s="382" t="s">
        <v>171</v>
      </c>
      <c r="CX16" s="382" t="s">
        <v>462</v>
      </c>
      <c r="CY16" s="382" t="s">
        <v>660</v>
      </c>
      <c r="CZ16" s="382" t="s">
        <v>255</v>
      </c>
      <c r="DA16" s="382" t="s">
        <v>254</v>
      </c>
      <c r="DB16" s="382"/>
      <c r="DC16" s="382"/>
      <c r="DD16" s="382" t="s">
        <v>169</v>
      </c>
      <c r="DE16" s="382" t="s">
        <v>170</v>
      </c>
      <c r="DF16" s="382"/>
      <c r="DG16" s="382"/>
      <c r="DH16" s="382"/>
      <c r="DI16" s="382" t="s">
        <v>455</v>
      </c>
      <c r="DJ16" s="382" t="s">
        <v>92</v>
      </c>
      <c r="DK16" s="382" t="s">
        <v>1221</v>
      </c>
      <c r="DL16" s="382" t="s">
        <v>456</v>
      </c>
      <c r="DM16" s="382" t="s">
        <v>457</v>
      </c>
      <c r="DN16" s="382" t="s">
        <v>458</v>
      </c>
      <c r="DO16" s="382" t="s">
        <v>459</v>
      </c>
      <c r="DP16" s="382" t="s">
        <v>460</v>
      </c>
    </row>
    <row r="17" spans="1:120" ht="16.5">
      <c r="A17" s="616" t="s">
        <v>1058</v>
      </c>
      <c r="B17" s="36">
        <f>IFERROR(VLOOKUP(A17,'Loan List '!$A$6:$BZ$75,2,FALSE),NA)</f>
        <v>0</v>
      </c>
      <c r="C17" s="498" t="str">
        <f>VLOOKUP(A17,'Loan List '!$A$6:$G$75, 7, FALSE)</f>
        <v>First Lien</v>
      </c>
      <c r="D17" s="498" t="str">
        <f>VLOOKUP(A17, 'Loan List '!$A$6:$K$82, 11, FALSE)</f>
        <v>FL</v>
      </c>
      <c r="E17" s="497" t="b">
        <f>IF(DP17= "YES", TRUE, FALSE)</f>
        <v>1</v>
      </c>
      <c r="F17" s="497" t="str">
        <f>VLOOKUP(A17,'Loan List '!$A$6:$L$75, 12, FALSE)</f>
        <v>Energy Equipment &amp; Services</v>
      </c>
      <c r="G17" s="320"/>
      <c r="H17" s="533">
        <f t="shared" ref="H17:H74" si="0">+I17</f>
        <v>3183892.61</v>
      </c>
      <c r="I17" s="533">
        <f>VLOOKUP(A17,'Loan List '!$A$6:$L$82, 8, FALSE)</f>
        <v>3183892.61</v>
      </c>
      <c r="J17" s="361">
        <v>0</v>
      </c>
      <c r="K17" s="323">
        <f t="shared" ref="K17:K22" si="1">I17/$I$15</f>
        <v>8.8130559968792772E-3</v>
      </c>
      <c r="L17" s="601">
        <f>VLOOKUP(A17,'Loan List '!$A$6:$BA$82,24, FALSE)</f>
        <v>100</v>
      </c>
      <c r="M17" s="501"/>
      <c r="N17" s="502">
        <f>VLOOKUP(A17,'Loan List '!$A$6:$BA$82,22, FALSE)</f>
        <v>47109</v>
      </c>
      <c r="O17" s="602">
        <f>IFERROR(MAX(0,I17-J17)*L17,"")/100</f>
        <v>3183892.61</v>
      </c>
      <c r="P17" s="327">
        <f t="shared" ref="P17:P75" si="2">MIN(IF(AND(L17&gt;=97%,Q17="Primary"),100%,L17),T17)</f>
        <v>1</v>
      </c>
      <c r="Q17" s="487" t="s">
        <v>451</v>
      </c>
      <c r="R17" s="488" t="s">
        <v>38</v>
      </c>
      <c r="S17" s="327" t="b">
        <f t="shared" ref="S17:S25" si="3">IF(OR(CU17=1,CV17=1,CW17=1),TRUE,FALSE)</f>
        <v>0</v>
      </c>
      <c r="T17" s="327">
        <f>VLOOKUP(A17,'Loan List '!$A$6:$BD$1048576,56,FALSE)/100</f>
        <v>1</v>
      </c>
      <c r="U17" s="535">
        <f>IF(E17=TRUE,P17*I17,0)</f>
        <v>3183892.61</v>
      </c>
      <c r="V17" s="503">
        <f>VLOOKUP(A17,'Loan List '!$A$6:$BA$82,26, FALSE)</f>
        <v>0</v>
      </c>
      <c r="W17" s="328">
        <f t="shared" ref="W17:W22" si="4">V17*I17</f>
        <v>0</v>
      </c>
      <c r="X17" s="326"/>
      <c r="Y17" s="504">
        <f>VLOOKUP(A17,'Loan List '!$A$6:$BA$75,27, FALSE)</f>
        <v>0</v>
      </c>
      <c r="Z17" s="109"/>
      <c r="AA17" s="330"/>
      <c r="AB17" s="333">
        <f t="shared" ref="AB17:AB75" si="5">K17*BU17</f>
        <v>1.8410319631143656E-2</v>
      </c>
      <c r="AC17" s="333">
        <f t="shared" ref="AC17:AC75" si="6">K17*AL17</f>
        <v>5.9488127978935129E-3</v>
      </c>
      <c r="AD17" s="331">
        <f t="shared" ref="AD17" si="7">BW17</f>
        <v>0</v>
      </c>
      <c r="AE17" s="320" t="str">
        <f>IF(CK17&gt;=$C$5,"Class 1",IF(CK17&gt;=$D$5,"Class 2",IF(CK17&gt;=$E$5,"Class 3","Class 4")))</f>
        <v>Class 2</v>
      </c>
      <c r="AF17" s="649">
        <f>HLOOKUP($AE17,$B$3:$F$10,4,0)</f>
        <v>5.5</v>
      </c>
      <c r="AG17" s="649">
        <f>IF(BB17,1,0)+HLOOKUP($AE17,$B$3:$F$10,5,0)</f>
        <v>6.5</v>
      </c>
      <c r="AH17" s="332">
        <f t="shared" ref="AH17" si="8">MIN(AF17/BU17,1)</f>
        <v>1</v>
      </c>
      <c r="AI17" s="332">
        <f t="shared" ref="AI17" si="9">IF(BU17&gt;AG17,(AG17-AF17)/BU17,1-AH17)</f>
        <v>0</v>
      </c>
      <c r="AJ17" s="332">
        <f>HLOOKUP($AE17,$B$3:$F$10,6,0)</f>
        <v>0.67500000000000004</v>
      </c>
      <c r="AK17" s="332">
        <f>HLOOKUP($AE17,$B$3:$F$10,8,0)</f>
        <v>0.35</v>
      </c>
      <c r="AL17" s="332">
        <f>IF(OR(BI17, AND(BH17,AD17&gt;1)), HLOOKUP(AE17,$B$3:$F$10,8,0),AH17*AJ17+AI17*AK17)</f>
        <v>0.67500000000000004</v>
      </c>
      <c r="AM17" s="333">
        <f ca="1">'Diversity Score'!$E$7</f>
        <v>1</v>
      </c>
      <c r="AN17" s="332">
        <f t="shared" ref="AN17" ca="1" si="10">AM17*AL17</f>
        <v>0.67500000000000004</v>
      </c>
      <c r="AO17" s="505">
        <f>VLOOKUP(A17,'Loan List '!$A$6:$BA$75,17, FALSE)</f>
        <v>4.4999999999999998E-2</v>
      </c>
      <c r="AP17" s="493" t="str">
        <f>VLOOKUP(A17,'Loan List '!$A$6:$BA$795,15, FALSE)</f>
        <v>SOFR</v>
      </c>
      <c r="AQ17" s="494">
        <f>VLOOKUP(A17,'Loan List '!$A$6:$BA$795,16, FALSE)</f>
        <v>0.01</v>
      </c>
      <c r="AR17" s="539">
        <v>0</v>
      </c>
      <c r="AS17" s="539">
        <v>0</v>
      </c>
      <c r="AT17" s="353"/>
      <c r="AU17" s="323">
        <f t="shared" ref="AU17:AU22" si="11">AO17-AS17</f>
        <v>4.4999999999999998E-2</v>
      </c>
      <c r="AV17" s="323" t="b">
        <f>IF(AND(AS17&gt;0%,AU17&gt;4.5%),TRUE,FALSE)</f>
        <v>0</v>
      </c>
      <c r="AW17" s="540" t="b">
        <f>IF(AND(AS17&gt;0%,AU17&gt;=2.25%, AV17=FALSE),TRUE,FALSE)</f>
        <v>0</v>
      </c>
      <c r="AX17" s="323" t="b">
        <f t="shared" ref="AX17:AX22" si="12">IF(AND(AS17&gt;0%,AW17=FALSE, AV17=FALSE),TRUE, FALSE)</f>
        <v>0</v>
      </c>
      <c r="AY17" s="353"/>
      <c r="AZ17" s="323" t="b">
        <f t="shared" ref="AZ17:AZ75" si="13">(OR(CC17&lt;&gt;"NR",CD17&lt;&gt;"NR"))</f>
        <v>0</v>
      </c>
      <c r="BA17" s="497" t="str">
        <f>'Loan List '!AS6</f>
        <v>Maintenance Covenants</v>
      </c>
      <c r="BB17" s="320" t="b">
        <f>IF(D17="FL",FALSE,TRUE)</f>
        <v>0</v>
      </c>
      <c r="BC17" s="326" t="b">
        <f>IF(BU17&gt;5.5, TRUE, FALSE)</f>
        <v>0</v>
      </c>
      <c r="BD17" s="320" t="b">
        <f>IF(BF17="USD", TRUE,FALSE)</f>
        <v>1</v>
      </c>
      <c r="BE17" s="320" t="b">
        <f>IF(BG17="USA",TRUE,FALSE)</f>
        <v>1</v>
      </c>
      <c r="BF17" s="550" t="str">
        <f>'Loan List '!J6</f>
        <v>USD</v>
      </c>
      <c r="BG17" s="497" t="str">
        <f>VLOOKUP(A17,'Loan List '!$A$6:$BZ$75, 23, FALSE)</f>
        <v>USA</v>
      </c>
      <c r="BH17" s="320" t="b">
        <f>IF(D17="FLLO", TRUE,FALSE)</f>
        <v>0</v>
      </c>
      <c r="BI17" s="320" t="b">
        <f>IF(C17="Second Lien",TRUE,FALSE)</f>
        <v>0</v>
      </c>
      <c r="BJ17" s="320" t="b">
        <f>IF('Loan List '!BP6=1, TRUE, FALSE)</f>
        <v>0</v>
      </c>
      <c r="BK17" s="320" t="b">
        <f t="shared" ref="BK17:BK22" si="14">IF(AR17&gt;0%,TRUE,FALSE)</f>
        <v>0</v>
      </c>
      <c r="BL17" s="541" t="b">
        <f t="shared" ref="BL17:BL22" si="15">OR(LEFT(CC17,1)="C", LEFT(CD17,1)="C")</f>
        <v>0</v>
      </c>
      <c r="BM17" s="320" t="b">
        <f>IF('Loan List '!AT6="Yes", TRUE, FALSE)</f>
        <v>0</v>
      </c>
      <c r="BN17" s="336">
        <f ca="1">-($BN$15-N17)/365</f>
        <v>3.4136986301369863</v>
      </c>
      <c r="BO17" s="337">
        <f ca="1">'Concentration Limitations'!H12</f>
        <v>3183892.61</v>
      </c>
      <c r="BP17" s="338">
        <f t="shared" ref="BP17:BP77" ca="1" si="16">IF(R17=$T$13,0,BO17*AL17)</f>
        <v>2149127.5117500001</v>
      </c>
      <c r="BQ17" s="339"/>
      <c r="BR17" s="340"/>
      <c r="BS17" s="542">
        <f>'Loan List '!AG6</f>
        <v>45808</v>
      </c>
      <c r="BT17" s="650">
        <f>'Loan List '!AO6</f>
        <v>3.6700803105276805</v>
      </c>
      <c r="BU17" s="650">
        <f>'Loan List '!AI6</f>
        <v>2.0889824866269762</v>
      </c>
      <c r="BV17" s="490"/>
      <c r="BW17" s="377">
        <v>0</v>
      </c>
      <c r="BX17" s="492" t="s">
        <v>1217</v>
      </c>
      <c r="BY17" s="490">
        <f>'Loan List '!AJ6</f>
        <v>66.177999999999997</v>
      </c>
      <c r="BZ17" s="490">
        <f>'Loan List '!AL6</f>
        <v>0</v>
      </c>
      <c r="CA17" s="377">
        <v>0</v>
      </c>
      <c r="CB17" s="377">
        <v>0</v>
      </c>
      <c r="CC17" s="545" t="s">
        <v>146</v>
      </c>
      <c r="CD17" s="546" t="s">
        <v>146</v>
      </c>
      <c r="CE17" s="378" t="s">
        <v>1217</v>
      </c>
      <c r="CF17" s="491">
        <f>'Loan List '!AC6</f>
        <v>1.8629211862758333</v>
      </c>
      <c r="CG17" s="491">
        <f>'Loan List '!AD6</f>
        <v>4.9219776881189494</v>
      </c>
      <c r="CH17" s="491"/>
      <c r="CI17" s="377">
        <v>0</v>
      </c>
      <c r="CJ17" s="492" t="s">
        <v>1217</v>
      </c>
      <c r="CK17" s="491">
        <f>'Loan List '!AB6</f>
        <v>26.53</v>
      </c>
      <c r="CL17" s="495">
        <f>'Loan List '!AE6</f>
        <v>0</v>
      </c>
      <c r="CM17" s="377">
        <v>0</v>
      </c>
      <c r="CN17" s="377">
        <v>0</v>
      </c>
      <c r="CO17" s="377" t="s">
        <v>146</v>
      </c>
      <c r="CP17" s="547" t="s">
        <v>146</v>
      </c>
      <c r="CQ17" s="345">
        <f t="shared" ref="CQ17:CQ75" si="17">IFERROR(($BT17-$CF17)/$CF17,0)</f>
        <v>0.97006740680454662</v>
      </c>
      <c r="CR17" s="346">
        <f t="shared" ref="CR17:CR75" si="18">IFERROR(($BU17-$CG17)/$CG17,0)</f>
        <v>-0.57558066716362333</v>
      </c>
      <c r="CS17" s="347">
        <f t="shared" ref="CS17" si="19">BU17-CG17</f>
        <v>-2.8329952014919733</v>
      </c>
      <c r="CT17" s="485">
        <f>(BY17/CK17)-1</f>
        <v>1.4944591029023746</v>
      </c>
      <c r="CU17" s="348">
        <f>IF(OR($CQ17&lt;'Summary '!$I$47,$BT17&lt;'Summary '!$I$46),1,0)</f>
        <v>0</v>
      </c>
      <c r="CV17" s="348">
        <f>IF(OR($CS17&gt;='Summary '!$I$50, (AND(BU17&gt;'Summary '!$I$52, Calcs!CR17&gt; 'Summary '!$I$51))),1,0)</f>
        <v>0</v>
      </c>
      <c r="CW17" s="348">
        <f t="shared" ref="CW17:CW46" si="20">IF(OR(SUM(CU17:CV17)&gt;=1,CX17="Yes"),1,0)</f>
        <v>0</v>
      </c>
      <c r="CX17" s="447" t="s">
        <v>122</v>
      </c>
      <c r="CY17" s="447" t="s">
        <v>122</v>
      </c>
      <c r="CZ17" t="s">
        <v>122</v>
      </c>
      <c r="DA17" s="352"/>
      <c r="DD17" s="258">
        <v>0</v>
      </c>
      <c r="DE17" s="258">
        <v>0</v>
      </c>
      <c r="DF17" s="11"/>
      <c r="DI17" s="551" t="str">
        <f t="shared" ref="DI17:DI25" si="21">IF(L17&lt;90%,"Not Eligible","Eligible")</f>
        <v>Eligible</v>
      </c>
      <c r="DJ17" s="423" t="str">
        <f>IF(OR(BF17="USD",BF17="CAD",BF17="EUR",BF17="GBP",BF17="AUD"),"Eligible","Not Eligible")</f>
        <v>Eligible</v>
      </c>
      <c r="DK17" s="549" t="s">
        <v>1271</v>
      </c>
      <c r="DL17" s="549" t="s">
        <v>1271</v>
      </c>
      <c r="DM17" s="423" t="str">
        <f t="shared" ref="DM17:DM25" si="22">IF(BM17="FALSE",IF(BY17&lt;5,"Not Eligible","Eligible"),"Eligible")</f>
        <v>Eligible</v>
      </c>
      <c r="DN17" s="423" t="str">
        <f>IF(AW17="TRUE",IF(AU17&gt;=3%,"Eligible","Not Eligible"),"Not PIK")</f>
        <v>Not PIK</v>
      </c>
      <c r="DO17" s="424" t="s">
        <v>122</v>
      </c>
      <c r="DP17" s="423" t="str">
        <f>IF(OR(DK17="Not Eligible",DL17="Not Eligible",DI17="Not Eligible",DJ17="Not Eligible",DM17="Not Eligible",DN17="Not Eligible",DO17="Yes"),"NO","YES")</f>
        <v>YES</v>
      </c>
    </row>
    <row r="18" spans="1:120" ht="16.5">
      <c r="A18" s="616" t="s">
        <v>1068</v>
      </c>
      <c r="B18" s="36">
        <f>IFERROR(VLOOKUP(A18,'Loan List '!$A$6:$BZ$75,2,FALSE),NA)</f>
        <v>0</v>
      </c>
      <c r="C18" s="498" t="str">
        <f>VLOOKUP(A18,'Loan List '!$A$6:$G$75, 7, FALSE)</f>
        <v>First Lien</v>
      </c>
      <c r="D18" s="498" t="str">
        <f>VLOOKUP(A18, 'Loan List '!$A$6:$K$82, 11, FALSE)</f>
        <v>FL</v>
      </c>
      <c r="E18" s="497" t="b">
        <f t="shared" ref="E18:E76" si="23">IF(DP18= "YES", TRUE, FALSE)</f>
        <v>1</v>
      </c>
      <c r="F18" s="497" t="str">
        <f>VLOOKUP(A18,'Loan List '!$A$6:$L$75, 12, FALSE)</f>
        <v>Distributors</v>
      </c>
      <c r="G18" s="320"/>
      <c r="H18" s="533">
        <f t="shared" si="0"/>
        <v>268902.61</v>
      </c>
      <c r="I18" s="533">
        <f>VLOOKUP(A18,'Loan List '!$A$6:$L$75, 8, FALSE)</f>
        <v>268902.61</v>
      </c>
      <c r="J18" s="361">
        <v>0</v>
      </c>
      <c r="K18" s="323">
        <f t="shared" si="1"/>
        <v>7.4432590854155395E-4</v>
      </c>
      <c r="L18" s="601">
        <f>VLOOKUP(A18,'Loan List '!$A$6:$BA$82,24, FALSE)</f>
        <v>100</v>
      </c>
      <c r="M18" s="501"/>
      <c r="N18" s="502">
        <f>VLOOKUP(A18,'Loan List '!$A$6:$BA$82,22, FALSE)</f>
        <v>46486</v>
      </c>
      <c r="O18" s="602">
        <f t="shared" ref="O18:O74" si="24">IFERROR(MAX(0,I18-J18)*L18,"")/100</f>
        <v>268902.61</v>
      </c>
      <c r="P18" s="327">
        <f t="shared" si="2"/>
        <v>1</v>
      </c>
      <c r="Q18" s="487" t="s">
        <v>451</v>
      </c>
      <c r="R18" s="488" t="s">
        <v>38</v>
      </c>
      <c r="S18" s="327" t="b">
        <f t="shared" si="3"/>
        <v>1</v>
      </c>
      <c r="T18" s="327">
        <f>VLOOKUP(A18,'Loan List '!$A$6:$BD$1048576,56,FALSE)/100</f>
        <v>1</v>
      </c>
      <c r="U18" s="535">
        <f t="shared" ref="U18:U74" si="25">IF(E18=TRUE,P18*I18,0)</f>
        <v>268902.61</v>
      </c>
      <c r="V18" s="503">
        <f>VLOOKUP(A18,'Loan List '!$A$6:$BA$82,26, FALSE)</f>
        <v>0</v>
      </c>
      <c r="W18" s="328">
        <f t="shared" si="4"/>
        <v>0</v>
      </c>
      <c r="X18" s="326"/>
      <c r="Y18" s="504">
        <f>VLOOKUP(A18,'Loan List '!$A$6:$BA$75,27, FALSE)</f>
        <v>0</v>
      </c>
      <c r="Z18" s="109"/>
      <c r="AA18" s="330"/>
      <c r="AB18" s="333">
        <f t="shared" si="5"/>
        <v>4.6553715953177033E-3</v>
      </c>
      <c r="AC18" s="333">
        <f t="shared" si="6"/>
        <v>4.7323879277770911E-4</v>
      </c>
      <c r="AD18" s="331">
        <f t="shared" ref="AD18:AD76" si="26">BW18</f>
        <v>0</v>
      </c>
      <c r="AE18" s="320" t="str">
        <f t="shared" ref="AE18:AE76" si="27">IF(CK18&gt;=$C$5,"Class 1",IF(CK18&gt;=$D$5,"Class 2",IF(CK18&gt;=$E$5,"Class 3","Class 4")))</f>
        <v>Class 2</v>
      </c>
      <c r="AF18" s="649">
        <f t="shared" ref="AF18:AF76" si="28">HLOOKUP($AE18,$B$3:$F$10,4,0)</f>
        <v>5.5</v>
      </c>
      <c r="AG18" s="649">
        <f t="shared" ref="AG18:AG74" si="29">IF(BB18,1,0)+HLOOKUP($AE18,$B$3:$F$10,5,0)</f>
        <v>6.5</v>
      </c>
      <c r="AH18" s="332">
        <f t="shared" ref="AH18:AH74" si="30">MIN(AF18/BU18,1)</f>
        <v>0.87936965141429657</v>
      </c>
      <c r="AI18" s="332">
        <f t="shared" ref="AI18:AI74" si="31">IF(BU18&gt;AG18,(AG18-AF18)/BU18,1-AH18)</f>
        <v>0.12063034858570343</v>
      </c>
      <c r="AJ18" s="332">
        <f t="shared" ref="AJ18:AJ76" si="32">HLOOKUP($AE18,$B$3:$F$10,6,0)</f>
        <v>0.67500000000000004</v>
      </c>
      <c r="AK18" s="332">
        <f t="shared" ref="AK18:AK76" si="33">HLOOKUP($AE18,$B$3:$F$10,8,0)</f>
        <v>0.35</v>
      </c>
      <c r="AL18" s="332">
        <f t="shared" ref="AL18:AL74" si="34">IF(OR(BI18, AND(BH18,AD18&gt;1)), HLOOKUP(AE18,$B$3:$F$10,8,0),AH18*AJ18+AI18*AK18)</f>
        <v>0.63579513670964649</v>
      </c>
      <c r="AM18" s="333">
        <f ca="1">'Diversity Score'!$E$7</f>
        <v>1</v>
      </c>
      <c r="AN18" s="332">
        <f t="shared" ref="AN18:AN74" ca="1" si="35">AM18*AL18</f>
        <v>0.63579513670964649</v>
      </c>
      <c r="AO18" s="505">
        <f>VLOOKUP(A18,'Loan List '!$A$6:$BA$75,17, FALSE)</f>
        <v>5.5E-2</v>
      </c>
      <c r="AP18" s="493" t="str">
        <f>VLOOKUP(A18,'Loan List '!$A$6:$BA$795,15, FALSE)</f>
        <v>SOFR</v>
      </c>
      <c r="AQ18" s="494">
        <f>VLOOKUP(A18,'Loan List '!$A$6:$BA$795,16, FALSE)</f>
        <v>0.01</v>
      </c>
      <c r="AR18" s="539">
        <v>0</v>
      </c>
      <c r="AS18" s="539">
        <v>0</v>
      </c>
      <c r="AT18" s="353"/>
      <c r="AU18" s="323">
        <f t="shared" si="11"/>
        <v>5.5E-2</v>
      </c>
      <c r="AV18" s="323" t="b">
        <f t="shared" ref="AV18:AV74" si="36">IF(AND(AS18&gt;0%,AU18&gt;4.5%),TRUE,FALSE)</f>
        <v>0</v>
      </c>
      <c r="AW18" s="540" t="b">
        <f t="shared" ref="AW18:AW74" si="37">IF(AND(AS18&gt;0%,AU18&gt;=2.25%, AV18=FALSE),TRUE,FALSE)</f>
        <v>0</v>
      </c>
      <c r="AX18" s="323" t="b">
        <f t="shared" si="12"/>
        <v>0</v>
      </c>
      <c r="AY18" s="353"/>
      <c r="AZ18" s="323" t="b">
        <f t="shared" si="13"/>
        <v>0</v>
      </c>
      <c r="BA18" s="497" t="str">
        <f>'Loan List '!AS7</f>
        <v>Cov-Lite</v>
      </c>
      <c r="BB18" s="320" t="b">
        <f t="shared" ref="BB18:BB74" si="38">IF(D18="FL",FALSE,TRUE)</f>
        <v>0</v>
      </c>
      <c r="BC18" s="326" t="b">
        <f t="shared" ref="BC18:BC74" si="39">IF(BU18&gt;5.5, TRUE, FALSE)</f>
        <v>1</v>
      </c>
      <c r="BD18" s="320" t="b">
        <f t="shared" ref="BD18:BD74" si="40">IF(BF18="USD", TRUE,FALSE)</f>
        <v>1</v>
      </c>
      <c r="BE18" s="320" t="b">
        <f t="shared" ref="BE18:BE74" si="41">IF(BG18="USA",TRUE,FALSE)</f>
        <v>1</v>
      </c>
      <c r="BF18" s="550" t="str">
        <f>'Loan List '!J7</f>
        <v>USD</v>
      </c>
      <c r="BG18" s="497" t="str">
        <f>VLOOKUP(A18,'Loan List '!$A$6:$BZ$75, 23, FALSE)</f>
        <v>USA</v>
      </c>
      <c r="BH18" s="320" t="b">
        <f t="shared" ref="BH18:BH74" si="42">IF(D18="FLLO", TRUE,FALSE)</f>
        <v>0</v>
      </c>
      <c r="BI18" s="320" t="b">
        <f t="shared" ref="BI18:BI74" si="43">IF(C18="Second Lien",TRUE,FALSE)</f>
        <v>0</v>
      </c>
      <c r="BJ18" s="320" t="b">
        <f>IF('Loan List '!BP7=1, TRUE, FALSE)</f>
        <v>0</v>
      </c>
      <c r="BK18" s="320" t="b">
        <f t="shared" si="14"/>
        <v>0</v>
      </c>
      <c r="BL18" s="541" t="b">
        <f t="shared" si="15"/>
        <v>0</v>
      </c>
      <c r="BM18" s="320" t="b">
        <f>IF('Loan List '!AT7="Yes", TRUE, FALSE)</f>
        <v>1</v>
      </c>
      <c r="BN18" s="336">
        <f t="shared" ref="BN18:BN76" ca="1" si="44">-($BN$15-N18)/365</f>
        <v>1.7068493150684931</v>
      </c>
      <c r="BO18" s="337">
        <f ca="1">'Concentration Limitations'!H13</f>
        <v>268902.61</v>
      </c>
      <c r="BP18" s="338">
        <f t="shared" ca="1" si="16"/>
        <v>170966.97168653074</v>
      </c>
      <c r="BQ18" s="339"/>
      <c r="BR18" s="340"/>
      <c r="BS18" s="542">
        <f>'Loan List '!AG7</f>
        <v>45808</v>
      </c>
      <c r="BT18" s="650">
        <f>'Loan List '!AO7</f>
        <v>1.3038534472351153</v>
      </c>
      <c r="BU18" s="650">
        <f>'Loan List '!AI7</f>
        <v>6.2544801166998543</v>
      </c>
      <c r="BV18" s="490"/>
      <c r="BW18" s="377">
        <v>0</v>
      </c>
      <c r="BX18" s="492" t="s">
        <v>1217</v>
      </c>
      <c r="BY18" s="490">
        <f>'Loan List '!AJ7</f>
        <v>74.476344488005637</v>
      </c>
      <c r="BZ18" s="490">
        <f>'Loan List '!AL7</f>
        <v>0</v>
      </c>
      <c r="CA18" s="377">
        <v>0</v>
      </c>
      <c r="CB18" s="377">
        <v>0</v>
      </c>
      <c r="CC18" s="545" t="s">
        <v>146</v>
      </c>
      <c r="CD18" s="546" t="s">
        <v>146</v>
      </c>
      <c r="CE18" s="378" t="s">
        <v>1217</v>
      </c>
      <c r="CF18" s="491">
        <f>'Loan List '!AC7</f>
        <v>1.6048889860832187</v>
      </c>
      <c r="CG18" s="491">
        <f>'Loan List '!AD7</f>
        <v>5.5133081005532443</v>
      </c>
      <c r="CH18" s="491"/>
      <c r="CI18" s="377">
        <v>0</v>
      </c>
      <c r="CJ18" s="492" t="s">
        <v>1217</v>
      </c>
      <c r="CK18" s="491">
        <f>'Loan List '!AB7</f>
        <v>62.582177552763071</v>
      </c>
      <c r="CL18" s="495">
        <f>'Loan List '!AE7</f>
        <v>0</v>
      </c>
      <c r="CM18" s="377">
        <v>0</v>
      </c>
      <c r="CN18" s="377">
        <v>0</v>
      </c>
      <c r="CO18" s="377" t="s">
        <v>146</v>
      </c>
      <c r="CP18" s="547" t="s">
        <v>146</v>
      </c>
      <c r="CQ18" s="345">
        <f t="shared" si="17"/>
        <v>-0.1875740574323399</v>
      </c>
      <c r="CR18" s="346">
        <f t="shared" si="18"/>
        <v>0.13443326631287586</v>
      </c>
      <c r="CS18" s="347">
        <f t="shared" ref="CS18:CS74" si="45">BU18-CG18</f>
        <v>0.74117201614660999</v>
      </c>
      <c r="CT18" s="485">
        <f t="shared" ref="CT18:CT74" si="46">(BY18/CK18)-1</f>
        <v>0.19005677655135256</v>
      </c>
      <c r="CU18" s="348">
        <f>IF(OR($CQ18&lt;'Summary '!$I$47,$BT18&lt;'Summary '!$I$46),1,0)</f>
        <v>1</v>
      </c>
      <c r="CV18" s="348">
        <f>IF(OR($CS18&gt;='Summary '!$I$50, (AND(BU18&gt;'Summary '!$I$52, Calcs!CR18&gt; 'Summary '!$I$51))),1,0)</f>
        <v>0</v>
      </c>
      <c r="CW18" s="348">
        <f t="shared" si="20"/>
        <v>1</v>
      </c>
      <c r="CX18" s="447" t="s">
        <v>122</v>
      </c>
      <c r="CY18" s="447" t="s">
        <v>122</v>
      </c>
      <c r="CZ18" t="s">
        <v>122</v>
      </c>
      <c r="DA18" s="352"/>
      <c r="DD18" s="258">
        <v>0</v>
      </c>
      <c r="DE18" s="258">
        <v>0</v>
      </c>
      <c r="DF18" s="11"/>
      <c r="DI18" s="551" t="str">
        <f t="shared" si="21"/>
        <v>Eligible</v>
      </c>
      <c r="DJ18" s="423" t="str">
        <f t="shared" ref="DJ18:DJ74" si="47">IF(OR(BF18="USD",BF18="CAD",BF18="EUR",BF18="GBP",BF18="AUD"),"Eligible","Not Eligible")</f>
        <v>Eligible</v>
      </c>
      <c r="DK18" s="549" t="s">
        <v>1271</v>
      </c>
      <c r="DL18" s="549" t="s">
        <v>1271</v>
      </c>
      <c r="DM18" s="423" t="str">
        <f t="shared" si="22"/>
        <v>Eligible</v>
      </c>
      <c r="DN18" s="423" t="str">
        <f t="shared" ref="DN18:DN25" si="48">IF(AW18=TRUE,IF(AU18&gt;=3%,"Eligible","Not Eligible"),"Not PIK")</f>
        <v>Not PIK</v>
      </c>
      <c r="DO18" s="424" t="s">
        <v>122</v>
      </c>
      <c r="DP18" s="423" t="str">
        <f t="shared" ref="DP18:DP76" si="49">IF(OR(DK18="Not Eligible",DL18="Not Eligible",DI18="Not Eligible",DJ18="Not Eligible",DM18="Not Eligible",DN18="Not Eligible",DO18="Yes"),"NO","YES")</f>
        <v>YES</v>
      </c>
    </row>
    <row r="19" spans="1:120" ht="16.5">
      <c r="A19" s="616" t="s">
        <v>1073</v>
      </c>
      <c r="B19" s="36">
        <f>IFERROR(VLOOKUP(A19,'Loan List '!$A$6:$BZ$75,2,FALSE),NA)</f>
        <v>0</v>
      </c>
      <c r="C19" s="498" t="str">
        <f>VLOOKUP(A19,'Loan List '!$A$6:$G$75, 7, FALSE)</f>
        <v>First Lien</v>
      </c>
      <c r="D19" s="498" t="str">
        <f>VLOOKUP(A19, 'Loan List '!$A$6:$K$82, 11, FALSE)</f>
        <v>FL</v>
      </c>
      <c r="E19" s="497" t="b">
        <f t="shared" si="23"/>
        <v>1</v>
      </c>
      <c r="F19" s="497" t="str">
        <f>VLOOKUP(A19,'Loan List '!$A$6:$L$75, 12, FALSE)</f>
        <v>Containers and Packaging</v>
      </c>
      <c r="G19" s="321"/>
      <c r="H19" s="533">
        <f t="shared" si="0"/>
        <v>3988970.95</v>
      </c>
      <c r="I19" s="533">
        <f>VLOOKUP(A19,'Loan List '!$A$6:$L$75, 8, FALSE)</f>
        <v>3988970.95</v>
      </c>
      <c r="J19" s="361">
        <v>0</v>
      </c>
      <c r="K19" s="324">
        <f t="shared" si="1"/>
        <v>1.1041523273071301E-2</v>
      </c>
      <c r="L19" s="601">
        <f>VLOOKUP(A19,'Loan List '!$A$6:$BA$82,24, FALSE)</f>
        <v>100</v>
      </c>
      <c r="M19" s="501"/>
      <c r="N19" s="502">
        <f>VLOOKUP(A19,'Loan List '!$A$6:$BA$82,22, FALSE)</f>
        <v>47452</v>
      </c>
      <c r="O19" s="602">
        <f t="shared" si="24"/>
        <v>3988970.95</v>
      </c>
      <c r="P19" s="327">
        <f t="shared" si="2"/>
        <v>0</v>
      </c>
      <c r="Q19" s="487" t="s">
        <v>451</v>
      </c>
      <c r="R19" s="488" t="s">
        <v>38</v>
      </c>
      <c r="S19" s="327" t="b">
        <f t="shared" si="3"/>
        <v>1</v>
      </c>
      <c r="T19" s="327">
        <f>VLOOKUP(A19,'Loan List '!$A$6:$BD$1048576,56,FALSE)/100</f>
        <v>0</v>
      </c>
      <c r="U19" s="535">
        <f t="shared" si="25"/>
        <v>0</v>
      </c>
      <c r="V19" s="503">
        <f>VLOOKUP(A19,'Loan List '!$A$6:$BA$82,26, FALSE)</f>
        <v>0</v>
      </c>
      <c r="W19" s="350">
        <f t="shared" si="4"/>
        <v>0</v>
      </c>
      <c r="X19" s="326"/>
      <c r="Y19" s="504">
        <f>VLOOKUP(A19,'Loan List '!$A$6:$BA$75,27, FALSE)</f>
        <v>0</v>
      </c>
      <c r="Z19" s="109"/>
      <c r="AA19" s="330"/>
      <c r="AB19" s="333">
        <f t="shared" si="5"/>
        <v>0.22592463129318188</v>
      </c>
      <c r="AC19" s="333">
        <f t="shared" si="6"/>
        <v>2.4822883776014835E-3</v>
      </c>
      <c r="AD19" s="331">
        <f t="shared" si="26"/>
        <v>0</v>
      </c>
      <c r="AE19" s="320" t="str">
        <f t="shared" si="27"/>
        <v>Class 1</v>
      </c>
      <c r="AF19" s="649">
        <f t="shared" si="28"/>
        <v>6</v>
      </c>
      <c r="AG19" s="649">
        <f t="shared" si="29"/>
        <v>7</v>
      </c>
      <c r="AH19" s="332">
        <f t="shared" si="30"/>
        <v>0.29323557710029613</v>
      </c>
      <c r="AI19" s="332">
        <f t="shared" si="31"/>
        <v>4.8872596183382688E-2</v>
      </c>
      <c r="AJ19" s="332">
        <f t="shared" si="32"/>
        <v>0.7</v>
      </c>
      <c r="AK19" s="332">
        <f t="shared" si="33"/>
        <v>0.4</v>
      </c>
      <c r="AL19" s="332">
        <f t="shared" si="34"/>
        <v>0.22481394244356034</v>
      </c>
      <c r="AM19" s="333">
        <f ca="1">'Diversity Score'!$E$7</f>
        <v>1</v>
      </c>
      <c r="AN19" s="332">
        <f t="shared" ca="1" si="35"/>
        <v>0.22481394244356034</v>
      </c>
      <c r="AO19" s="505">
        <f>VLOOKUP(A19,'Loan List '!$A$6:$BA$75,17, FALSE)</f>
        <v>6.0999999999999999E-2</v>
      </c>
      <c r="AP19" s="493" t="str">
        <f>VLOOKUP(A19,'Loan List '!$A$6:$BA$795,15, FALSE)</f>
        <v>SOFR</v>
      </c>
      <c r="AQ19" s="494">
        <f>VLOOKUP(A19,'Loan List '!$A$6:$BA$795,16, FALSE)</f>
        <v>0.01</v>
      </c>
      <c r="AR19" s="539">
        <v>0</v>
      </c>
      <c r="AS19" s="539">
        <v>0</v>
      </c>
      <c r="AT19" s="353"/>
      <c r="AU19" s="323">
        <f t="shared" si="11"/>
        <v>6.0999999999999999E-2</v>
      </c>
      <c r="AV19" s="323" t="b">
        <f t="shared" si="36"/>
        <v>0</v>
      </c>
      <c r="AW19" s="540" t="b">
        <f t="shared" si="37"/>
        <v>0</v>
      </c>
      <c r="AX19" s="323" t="b">
        <f t="shared" si="12"/>
        <v>0</v>
      </c>
      <c r="AY19" s="353"/>
      <c r="AZ19" s="323" t="b">
        <f t="shared" si="13"/>
        <v>0</v>
      </c>
      <c r="BA19" s="497" t="str">
        <f>'Loan List '!AS8</f>
        <v>Maintenance Covenants</v>
      </c>
      <c r="BB19" s="320" t="b">
        <f t="shared" si="38"/>
        <v>0</v>
      </c>
      <c r="BC19" s="326" t="b">
        <f t="shared" si="39"/>
        <v>1</v>
      </c>
      <c r="BD19" s="320" t="b">
        <f t="shared" si="40"/>
        <v>1</v>
      </c>
      <c r="BE19" s="320" t="b">
        <f t="shared" si="41"/>
        <v>1</v>
      </c>
      <c r="BF19" s="550" t="str">
        <f>'Loan List '!J8</f>
        <v>USD</v>
      </c>
      <c r="BG19" s="497" t="str">
        <f>VLOOKUP(A19,'Loan List '!$A$6:$BZ$75, 23, FALSE)</f>
        <v>USA</v>
      </c>
      <c r="BH19" s="320" t="b">
        <f t="shared" si="42"/>
        <v>0</v>
      </c>
      <c r="BI19" s="320" t="b">
        <f t="shared" si="43"/>
        <v>0</v>
      </c>
      <c r="BJ19" s="320" t="b">
        <f>IF('Loan List '!BP8=1, TRUE, FALSE)</f>
        <v>0</v>
      </c>
      <c r="BK19" s="320" t="b">
        <f t="shared" si="14"/>
        <v>0</v>
      </c>
      <c r="BL19" s="541" t="b">
        <f t="shared" si="15"/>
        <v>0</v>
      </c>
      <c r="BM19" s="320" t="b">
        <f>IF('Loan List '!AT8="Yes", TRUE, FALSE)</f>
        <v>0</v>
      </c>
      <c r="BN19" s="336">
        <f t="shared" ca="1" si="44"/>
        <v>4.353424657534247</v>
      </c>
      <c r="BO19" s="337">
        <f ca="1">'Concentration Limitations'!H14</f>
        <v>0</v>
      </c>
      <c r="BP19" s="338">
        <f t="shared" ca="1" si="16"/>
        <v>0</v>
      </c>
      <c r="BQ19" s="339"/>
      <c r="BR19" s="340"/>
      <c r="BS19" s="542">
        <f>'Loan List '!AG8</f>
        <v>45777</v>
      </c>
      <c r="BT19" s="650">
        <f>'Loan List '!AO8</f>
        <v>0.74807019265364871</v>
      </c>
      <c r="BU19" s="650">
        <f>'Loan List '!AI8</f>
        <v>20.461364406501755</v>
      </c>
      <c r="BV19" s="490"/>
      <c r="BW19" s="377">
        <v>0</v>
      </c>
      <c r="BX19" s="492" t="s">
        <v>1217</v>
      </c>
      <c r="BY19" s="490">
        <f>'Loan List '!AJ8</f>
        <v>91.483000000000004</v>
      </c>
      <c r="BZ19" s="490">
        <f>'Loan List '!AL8</f>
        <v>0</v>
      </c>
      <c r="CA19" s="377">
        <v>0</v>
      </c>
      <c r="CB19" s="377">
        <v>0</v>
      </c>
      <c r="CC19" s="545" t="s">
        <v>146</v>
      </c>
      <c r="CD19" s="546" t="s">
        <v>146</v>
      </c>
      <c r="CE19" s="378" t="s">
        <v>1217</v>
      </c>
      <c r="CF19" s="491">
        <f>'Loan List '!AC8</f>
        <v>2.65</v>
      </c>
      <c r="CG19" s="491">
        <f>'Loan List '!AD8</f>
        <v>5.41</v>
      </c>
      <c r="CH19" s="491"/>
      <c r="CI19" s="377">
        <v>0</v>
      </c>
      <c r="CJ19" s="492" t="s">
        <v>1217</v>
      </c>
      <c r="CK19" s="491">
        <f>'Loan List '!AB8</f>
        <v>283.8</v>
      </c>
      <c r="CL19" s="495">
        <f>'Loan List '!AE8</f>
        <v>0</v>
      </c>
      <c r="CM19" s="377">
        <v>0</v>
      </c>
      <c r="CN19" s="377">
        <v>0</v>
      </c>
      <c r="CO19" s="377" t="s">
        <v>146</v>
      </c>
      <c r="CP19" s="547" t="s">
        <v>146</v>
      </c>
      <c r="CQ19" s="345">
        <f t="shared" si="17"/>
        <v>-0.71770936126277407</v>
      </c>
      <c r="CR19" s="346">
        <f t="shared" si="18"/>
        <v>2.7821375982443168</v>
      </c>
      <c r="CS19" s="347">
        <f t="shared" si="45"/>
        <v>15.051364406501754</v>
      </c>
      <c r="CT19" s="485">
        <f t="shared" si="46"/>
        <v>-0.67764975334742772</v>
      </c>
      <c r="CU19" s="348">
        <f>IF(OR($CQ19&lt;'Summary '!$I$47,$BT19&lt;'Summary '!$I$46),1,0)</f>
        <v>1</v>
      </c>
      <c r="CV19" s="348">
        <f>IF(OR($CS19&gt;='Summary '!$I$50, (AND(BU19&gt;'Summary '!$I$52, Calcs!CR19&gt; 'Summary '!$I$51))),1,0)</f>
        <v>1</v>
      </c>
      <c r="CW19" s="348">
        <f t="shared" si="20"/>
        <v>1</v>
      </c>
      <c r="CX19" s="447" t="s">
        <v>122</v>
      </c>
      <c r="CY19" s="447" t="s">
        <v>122</v>
      </c>
      <c r="CZ19" t="s">
        <v>122</v>
      </c>
      <c r="DA19" s="352"/>
      <c r="DD19" s="258">
        <v>0</v>
      </c>
      <c r="DE19" s="258">
        <v>0</v>
      </c>
      <c r="DF19" s="277"/>
      <c r="DI19" s="551" t="str">
        <f t="shared" si="21"/>
        <v>Eligible</v>
      </c>
      <c r="DJ19" s="423" t="str">
        <f t="shared" si="47"/>
        <v>Eligible</v>
      </c>
      <c r="DK19" s="549" t="s">
        <v>1271</v>
      </c>
      <c r="DL19" s="549" t="s">
        <v>1271</v>
      </c>
      <c r="DM19" s="423" t="str">
        <f t="shared" si="22"/>
        <v>Eligible</v>
      </c>
      <c r="DN19" s="423" t="str">
        <f t="shared" si="48"/>
        <v>Not PIK</v>
      </c>
      <c r="DO19" s="424" t="s">
        <v>122</v>
      </c>
      <c r="DP19" s="423" t="str">
        <f t="shared" si="49"/>
        <v>YES</v>
      </c>
    </row>
    <row r="20" spans="1:120" ht="16.5">
      <c r="A20" s="616" t="s">
        <v>1291</v>
      </c>
      <c r="B20" s="36">
        <f>IFERROR(VLOOKUP(A20,'Loan List '!$A$6:$BZ$75,2,FALSE),NA)</f>
        <v>0</v>
      </c>
      <c r="C20" s="498" t="str">
        <f>VLOOKUP(A20,'Loan List '!$A$6:$G$75, 7, FALSE)</f>
        <v>First Lien</v>
      </c>
      <c r="D20" s="498" t="str">
        <f>VLOOKUP(A20, 'Loan List '!$A$6:$K$82, 11, FALSE)</f>
        <v>FL</v>
      </c>
      <c r="E20" s="497" t="b">
        <f t="shared" si="23"/>
        <v>1</v>
      </c>
      <c r="F20" s="497" t="str">
        <f>VLOOKUP(A20,'Loan List '!$A$6:$L$75, 12, FALSE)</f>
        <v>Diversified Financial Services</v>
      </c>
      <c r="G20" s="321"/>
      <c r="H20" s="533">
        <f t="shared" si="0"/>
        <v>3893383.44</v>
      </c>
      <c r="I20" s="533">
        <f>VLOOKUP(A20,'Loan List '!$A$6:$L$75, 8, FALSE)</f>
        <v>3893383.44</v>
      </c>
      <c r="J20" s="361">
        <v>0</v>
      </c>
      <c r="K20" s="324">
        <f t="shared" si="1"/>
        <v>1.0776935806902881E-2</v>
      </c>
      <c r="L20" s="601">
        <f>VLOOKUP(A20,'Loan List '!$A$6:$BA$82,24, FALSE)</f>
        <v>100</v>
      </c>
      <c r="M20" s="501"/>
      <c r="N20" s="502">
        <f>VLOOKUP(A20,'Loan List '!$A$6:$BA$82,22, FALSE)</f>
        <v>47358</v>
      </c>
      <c r="O20" s="602">
        <f t="shared" si="24"/>
        <v>3893383.44</v>
      </c>
      <c r="P20" s="327">
        <f t="shared" si="2"/>
        <v>1</v>
      </c>
      <c r="Q20" s="487" t="s">
        <v>451</v>
      </c>
      <c r="R20" s="488" t="s">
        <v>38</v>
      </c>
      <c r="S20" s="327" t="b">
        <f t="shared" si="3"/>
        <v>0</v>
      </c>
      <c r="T20" s="327">
        <f>VLOOKUP(A20,'Loan List '!$A$6:$BD$1048576,56,FALSE)/100</f>
        <v>1</v>
      </c>
      <c r="U20" s="535">
        <f t="shared" si="25"/>
        <v>3893383.44</v>
      </c>
      <c r="V20" s="503">
        <f>VLOOKUP(A20,'Loan List '!$A$6:$BA$82,26, FALSE)</f>
        <v>0</v>
      </c>
      <c r="W20" s="350">
        <f t="shared" si="4"/>
        <v>0</v>
      </c>
      <c r="X20" s="326"/>
      <c r="Y20" s="504">
        <f>VLOOKUP(A20,'Loan List '!$A$6:$BA$75,27, FALSE)</f>
        <v>0</v>
      </c>
      <c r="Z20" s="109"/>
      <c r="AA20" s="330"/>
      <c r="AB20" s="333">
        <f t="shared" si="5"/>
        <v>4.0382181371251248E-2</v>
      </c>
      <c r="AC20" s="333">
        <f t="shared" si="6"/>
        <v>7.0050082744868725E-3</v>
      </c>
      <c r="AD20" s="331">
        <f t="shared" si="26"/>
        <v>0</v>
      </c>
      <c r="AE20" s="320" t="str">
        <f t="shared" si="27"/>
        <v>Class 3</v>
      </c>
      <c r="AF20" s="649">
        <f t="shared" si="28"/>
        <v>5</v>
      </c>
      <c r="AG20" s="649">
        <f t="shared" si="29"/>
        <v>6</v>
      </c>
      <c r="AH20" s="332">
        <f t="shared" si="30"/>
        <v>1</v>
      </c>
      <c r="AI20" s="332">
        <f t="shared" si="31"/>
        <v>0</v>
      </c>
      <c r="AJ20" s="332">
        <f t="shared" si="32"/>
        <v>0.65</v>
      </c>
      <c r="AK20" s="332">
        <f t="shared" si="33"/>
        <v>0.35</v>
      </c>
      <c r="AL20" s="332">
        <f t="shared" si="34"/>
        <v>0.65</v>
      </c>
      <c r="AM20" s="333">
        <f ca="1">'Diversity Score'!$E$7</f>
        <v>1</v>
      </c>
      <c r="AN20" s="332">
        <f t="shared" ca="1" si="35"/>
        <v>0.65</v>
      </c>
      <c r="AO20" s="505">
        <f>VLOOKUP(A20,'Loan List '!$A$6:$BA$75,17, FALSE)</f>
        <v>5.7500000000000002E-2</v>
      </c>
      <c r="AP20" s="493" t="str">
        <f>VLOOKUP(A20,'Loan List '!$A$6:$BA$795,15, FALSE)</f>
        <v>SOFR</v>
      </c>
      <c r="AQ20" s="494">
        <f>VLOOKUP(A20,'Loan List '!$A$6:$BA$795,16, FALSE)</f>
        <v>0.01</v>
      </c>
      <c r="AR20" s="539">
        <v>0</v>
      </c>
      <c r="AS20" s="539">
        <v>0</v>
      </c>
      <c r="AT20" s="353"/>
      <c r="AU20" s="323">
        <f t="shared" si="11"/>
        <v>5.7500000000000002E-2</v>
      </c>
      <c r="AV20" s="323" t="b">
        <f t="shared" si="36"/>
        <v>0</v>
      </c>
      <c r="AW20" s="540" t="b">
        <f t="shared" si="37"/>
        <v>0</v>
      </c>
      <c r="AX20" s="323" t="b">
        <f t="shared" si="12"/>
        <v>0</v>
      </c>
      <c r="AY20" s="353"/>
      <c r="AZ20" s="323" t="b">
        <f t="shared" si="13"/>
        <v>0</v>
      </c>
      <c r="BA20" s="497" t="str">
        <f>'Loan List '!AS9</f>
        <v>Maintenance Covenants</v>
      </c>
      <c r="BB20" s="320" t="b">
        <f t="shared" si="38"/>
        <v>0</v>
      </c>
      <c r="BC20" s="326" t="b">
        <f t="shared" si="39"/>
        <v>0</v>
      </c>
      <c r="BD20" s="320" t="b">
        <f t="shared" si="40"/>
        <v>1</v>
      </c>
      <c r="BE20" s="320" t="b">
        <f t="shared" si="41"/>
        <v>1</v>
      </c>
      <c r="BF20" s="550" t="str">
        <f>'Loan List '!J9</f>
        <v>USD</v>
      </c>
      <c r="BG20" s="497" t="str">
        <f>VLOOKUP(A20,'Loan List '!$A$6:$BZ$75, 23, FALSE)</f>
        <v>USA</v>
      </c>
      <c r="BH20" s="320" t="b">
        <f t="shared" si="42"/>
        <v>0</v>
      </c>
      <c r="BI20" s="320" t="b">
        <f t="shared" si="43"/>
        <v>0</v>
      </c>
      <c r="BJ20" s="320" t="b">
        <f>IF('Loan List '!BP9=1, TRUE, FALSE)</f>
        <v>0</v>
      </c>
      <c r="BK20" s="320" t="b">
        <f t="shared" si="14"/>
        <v>0</v>
      </c>
      <c r="BL20" s="541" t="b">
        <f t="shared" si="15"/>
        <v>0</v>
      </c>
      <c r="BM20" s="320" t="b">
        <f>IF('Loan List '!AT9="Yes", TRUE, FALSE)</f>
        <v>0</v>
      </c>
      <c r="BN20" s="336">
        <f t="shared" ca="1" si="44"/>
        <v>4.095890410958904</v>
      </c>
      <c r="BO20" s="337">
        <f ca="1">'Concentration Limitations'!H15</f>
        <v>3893383.44</v>
      </c>
      <c r="BP20" s="338">
        <f t="shared" ca="1" si="16"/>
        <v>2530699.236</v>
      </c>
      <c r="BQ20" s="339"/>
      <c r="BR20" s="340"/>
      <c r="BS20" s="542">
        <f>'Loan List '!AG9</f>
        <v>45777</v>
      </c>
      <c r="BT20" s="650">
        <f>'Loan List '!AO9</f>
        <v>3.5015353013232922</v>
      </c>
      <c r="BU20" s="650">
        <f>'Loan List '!AI9</f>
        <v>3.7470930601057781</v>
      </c>
      <c r="BV20" s="490"/>
      <c r="BW20" s="377">
        <v>0</v>
      </c>
      <c r="BX20" s="492" t="s">
        <v>1217</v>
      </c>
      <c r="BY20" s="490">
        <f>'Loan List '!AJ9</f>
        <v>15.684637167335501</v>
      </c>
      <c r="BZ20" s="490">
        <f>'Loan List '!AL9</f>
        <v>0</v>
      </c>
      <c r="CA20" s="377">
        <v>0</v>
      </c>
      <c r="CB20" s="377">
        <v>0</v>
      </c>
      <c r="CC20" s="545" t="s">
        <v>146</v>
      </c>
      <c r="CD20" s="546" t="s">
        <v>146</v>
      </c>
      <c r="CE20" s="378" t="s">
        <v>1217</v>
      </c>
      <c r="CF20" s="491">
        <f>'Loan List '!AC9</f>
        <v>2.4621135704814532</v>
      </c>
      <c r="CG20" s="491">
        <f>'Loan List '!AD9</f>
        <v>2.8065191749483067</v>
      </c>
      <c r="CH20" s="491"/>
      <c r="CI20" s="377">
        <v>0</v>
      </c>
      <c r="CJ20" s="492" t="s">
        <v>1217</v>
      </c>
      <c r="CK20" s="491">
        <f>'Loan List '!AB9</f>
        <v>11.028693043071801</v>
      </c>
      <c r="CL20" s="495">
        <f>'Loan List '!AE9</f>
        <v>0</v>
      </c>
      <c r="CM20" s="377">
        <v>0</v>
      </c>
      <c r="CN20" s="377">
        <v>0</v>
      </c>
      <c r="CO20" s="377" t="s">
        <v>146</v>
      </c>
      <c r="CP20" s="547" t="s">
        <v>146</v>
      </c>
      <c r="CQ20" s="345">
        <f t="shared" si="17"/>
        <v>0.42216644402743192</v>
      </c>
      <c r="CR20" s="346">
        <f t="shared" si="18"/>
        <v>0.33513894847156916</v>
      </c>
      <c r="CS20" s="347">
        <f t="shared" si="45"/>
        <v>0.94057388515747142</v>
      </c>
      <c r="CT20" s="485">
        <f t="shared" si="46"/>
        <v>0.42216644402743198</v>
      </c>
      <c r="CU20" s="348">
        <f>IF(OR($CQ20&lt;'Summary '!$I$47,$BT20&lt;'Summary '!$I$46),1,0)</f>
        <v>0</v>
      </c>
      <c r="CV20" s="348">
        <f>IF(OR($CS20&gt;='Summary '!$I$50, (AND(BU20&gt;'Summary '!$I$52, Calcs!CR20&gt; 'Summary '!$I$51))),1,0)</f>
        <v>0</v>
      </c>
      <c r="CW20" s="348">
        <f t="shared" si="20"/>
        <v>0</v>
      </c>
      <c r="CX20" s="447" t="s">
        <v>122</v>
      </c>
      <c r="CY20" s="447" t="s">
        <v>122</v>
      </c>
      <c r="CZ20" t="s">
        <v>122</v>
      </c>
      <c r="DA20" s="352"/>
      <c r="DD20" s="258">
        <v>0</v>
      </c>
      <c r="DE20" s="258">
        <v>0</v>
      </c>
      <c r="DF20" s="277"/>
      <c r="DI20" s="551" t="str">
        <f t="shared" si="21"/>
        <v>Eligible</v>
      </c>
      <c r="DJ20" s="423" t="str">
        <f t="shared" si="47"/>
        <v>Eligible</v>
      </c>
      <c r="DK20" s="549" t="s">
        <v>1271</v>
      </c>
      <c r="DL20" s="549" t="s">
        <v>1271</v>
      </c>
      <c r="DM20" s="423" t="str">
        <f t="shared" si="22"/>
        <v>Eligible</v>
      </c>
      <c r="DN20" s="423" t="str">
        <f t="shared" si="48"/>
        <v>Not PIK</v>
      </c>
      <c r="DO20" s="424" t="s">
        <v>122</v>
      </c>
      <c r="DP20" s="423" t="str">
        <f t="shared" si="49"/>
        <v>YES</v>
      </c>
    </row>
    <row r="21" spans="1:120" ht="16.5">
      <c r="A21" s="616" t="s">
        <v>1292</v>
      </c>
      <c r="B21" s="36">
        <f>IFERROR(VLOOKUP(A21,'Loan List '!$A$6:$BZ$75,2,FALSE),NA)</f>
        <v>0</v>
      </c>
      <c r="C21" s="498" t="str">
        <f>VLOOKUP(A21,'Loan List '!$A$6:$G$75, 7, FALSE)</f>
        <v>First Lien</v>
      </c>
      <c r="D21" s="498" t="str">
        <f>VLOOKUP(A21, 'Loan List '!$A$6:$K$82, 11, FALSE)</f>
        <v>FL</v>
      </c>
      <c r="E21" s="497" t="b">
        <f t="shared" si="23"/>
        <v>1</v>
      </c>
      <c r="F21" s="497" t="str">
        <f>VLOOKUP(A21,'Loan List '!$A$6:$L$75, 12, FALSE)</f>
        <v>IT Services</v>
      </c>
      <c r="G21" s="321"/>
      <c r="H21" s="533">
        <f t="shared" si="0"/>
        <v>820443.75</v>
      </c>
      <c r="I21" s="533">
        <f>VLOOKUP(A21,'Loan List '!$A$6:$L$75, 8, FALSE)</f>
        <v>820443.75</v>
      </c>
      <c r="J21" s="361">
        <v>0</v>
      </c>
      <c r="K21" s="324">
        <f t="shared" si="1"/>
        <v>2.2709989301553804E-3</v>
      </c>
      <c r="L21" s="601">
        <f>VLOOKUP(A21,'Loan List '!$A$6:$BA$82,24, FALSE)</f>
        <v>100</v>
      </c>
      <c r="M21" s="501"/>
      <c r="N21" s="502">
        <f>VLOOKUP(A21,'Loan List '!$A$6:$BA$82,22, FALSE)</f>
        <v>47374</v>
      </c>
      <c r="O21" s="602">
        <f t="shared" si="24"/>
        <v>820443.75</v>
      </c>
      <c r="P21" s="327">
        <f t="shared" si="2"/>
        <v>1</v>
      </c>
      <c r="Q21" s="487" t="s">
        <v>451</v>
      </c>
      <c r="R21" s="488" t="s">
        <v>38</v>
      </c>
      <c r="S21" s="327" t="b">
        <f t="shared" si="3"/>
        <v>1</v>
      </c>
      <c r="T21" s="327">
        <f>VLOOKUP(A21,'Loan List '!$A$6:$BD$1048576,56,FALSE)/100</f>
        <v>1</v>
      </c>
      <c r="U21" s="535">
        <f t="shared" si="25"/>
        <v>820443.75</v>
      </c>
      <c r="V21" s="503">
        <f>VLOOKUP(A21,'Loan List '!$A$6:$BA$82,26, FALSE)</f>
        <v>0</v>
      </c>
      <c r="W21" s="350">
        <f t="shared" si="4"/>
        <v>0</v>
      </c>
      <c r="X21" s="326"/>
      <c r="Y21" s="504">
        <f>VLOOKUP(A21,'Loan List '!$A$6:$BA$75,27, FALSE)</f>
        <v>0</v>
      </c>
      <c r="Z21" s="109"/>
      <c r="AA21" s="330"/>
      <c r="AB21" s="333">
        <f t="shared" si="5"/>
        <v>1.0881625454640168E-2</v>
      </c>
      <c r="AC21" s="333">
        <f t="shared" si="6"/>
        <v>1.5329242778548819E-3</v>
      </c>
      <c r="AD21" s="331">
        <f t="shared" si="26"/>
        <v>0</v>
      </c>
      <c r="AE21" s="320" t="str">
        <f t="shared" si="27"/>
        <v>Class 2</v>
      </c>
      <c r="AF21" s="649">
        <f t="shared" si="28"/>
        <v>5.5</v>
      </c>
      <c r="AG21" s="649">
        <f t="shared" si="29"/>
        <v>6.5</v>
      </c>
      <c r="AH21" s="332">
        <f t="shared" si="30"/>
        <v>1</v>
      </c>
      <c r="AI21" s="332">
        <f t="shared" si="31"/>
        <v>0</v>
      </c>
      <c r="AJ21" s="332">
        <f t="shared" si="32"/>
        <v>0.67500000000000004</v>
      </c>
      <c r="AK21" s="332">
        <f t="shared" si="33"/>
        <v>0.35</v>
      </c>
      <c r="AL21" s="332">
        <f t="shared" si="34"/>
        <v>0.67500000000000004</v>
      </c>
      <c r="AM21" s="333">
        <f ca="1">'Diversity Score'!$E$7</f>
        <v>1</v>
      </c>
      <c r="AN21" s="332">
        <f t="shared" ca="1" si="35"/>
        <v>0.67500000000000004</v>
      </c>
      <c r="AO21" s="505">
        <f>VLOOKUP(A21,'Loan List '!$A$6:$BA$75,17, FALSE)</f>
        <v>5.7500000000000002E-2</v>
      </c>
      <c r="AP21" s="493" t="str">
        <f>VLOOKUP(A21,'Loan List '!$A$6:$BA$795,15, FALSE)</f>
        <v>SOFR</v>
      </c>
      <c r="AQ21" s="494">
        <f>VLOOKUP(A21,'Loan List '!$A$6:$BA$795,16, FALSE)</f>
        <v>0.01</v>
      </c>
      <c r="AR21" s="539">
        <v>0</v>
      </c>
      <c r="AS21" s="539">
        <v>0</v>
      </c>
      <c r="AT21" s="353"/>
      <c r="AU21" s="323">
        <f t="shared" si="11"/>
        <v>5.7500000000000002E-2</v>
      </c>
      <c r="AV21" s="323" t="b">
        <f t="shared" si="36"/>
        <v>0</v>
      </c>
      <c r="AW21" s="540" t="b">
        <f t="shared" si="37"/>
        <v>0</v>
      </c>
      <c r="AX21" s="323" t="b">
        <f t="shared" si="12"/>
        <v>0</v>
      </c>
      <c r="AY21" s="353"/>
      <c r="AZ21" s="323" t="b">
        <f t="shared" si="13"/>
        <v>0</v>
      </c>
      <c r="BA21" s="497" t="str">
        <f>'Loan List '!AS10</f>
        <v>Maintenance Covenants</v>
      </c>
      <c r="BB21" s="320" t="b">
        <f t="shared" si="38"/>
        <v>0</v>
      </c>
      <c r="BC21" s="326" t="b">
        <f t="shared" si="39"/>
        <v>0</v>
      </c>
      <c r="BD21" s="320" t="b">
        <f t="shared" si="40"/>
        <v>1</v>
      </c>
      <c r="BE21" s="320" t="b">
        <f t="shared" si="41"/>
        <v>1</v>
      </c>
      <c r="BF21" s="550" t="str">
        <f>'Loan List '!J10</f>
        <v>USD</v>
      </c>
      <c r="BG21" s="497" t="str">
        <f>VLOOKUP(A21,'Loan List '!$A$6:$BZ$75, 23, FALSE)</f>
        <v>USA</v>
      </c>
      <c r="BH21" s="320" t="b">
        <f t="shared" si="42"/>
        <v>0</v>
      </c>
      <c r="BI21" s="320" t="b">
        <f t="shared" si="43"/>
        <v>0</v>
      </c>
      <c r="BJ21" s="320" t="b">
        <f>IF('Loan List '!BP10=1, TRUE, FALSE)</f>
        <v>0</v>
      </c>
      <c r="BK21" s="320" t="b">
        <f t="shared" si="14"/>
        <v>0</v>
      </c>
      <c r="BL21" s="541" t="b">
        <f t="shared" si="15"/>
        <v>0</v>
      </c>
      <c r="BM21" s="320" t="b">
        <f>IF('Loan List '!AT10="Yes", TRUE, FALSE)</f>
        <v>0</v>
      </c>
      <c r="BN21" s="336">
        <f t="shared" ca="1" si="44"/>
        <v>4.13972602739726</v>
      </c>
      <c r="BO21" s="337">
        <f ca="1">'Concentration Limitations'!H16</f>
        <v>820443.75</v>
      </c>
      <c r="BP21" s="338">
        <f t="shared" ca="1" si="16"/>
        <v>553799.53125</v>
      </c>
      <c r="BQ21" s="339"/>
      <c r="BR21" s="340"/>
      <c r="BS21" s="542">
        <f>'Loan List '!AG10</f>
        <v>45777</v>
      </c>
      <c r="BT21" s="650">
        <f>'Loan List '!AO10</f>
        <v>1.9659378987282068</v>
      </c>
      <c r="BU21" s="650">
        <f>'Loan List '!AI10</f>
        <v>4.7915590404508261</v>
      </c>
      <c r="BV21" s="490"/>
      <c r="BW21" s="377">
        <v>0</v>
      </c>
      <c r="BX21" s="492" t="s">
        <v>1217</v>
      </c>
      <c r="BY21" s="490">
        <f>'Loan List '!AJ10</f>
        <v>78.649518</v>
      </c>
      <c r="BZ21" s="490">
        <f>'Loan List '!AL10</f>
        <v>0</v>
      </c>
      <c r="CA21" s="377">
        <v>0</v>
      </c>
      <c r="CB21" s="377">
        <v>0</v>
      </c>
      <c r="CC21" s="545" t="s">
        <v>146</v>
      </c>
      <c r="CD21" s="546" t="s">
        <v>146</v>
      </c>
      <c r="CE21" s="378" t="s">
        <v>1217</v>
      </c>
      <c r="CF21" s="491">
        <f>'Loan List '!AC10</f>
        <v>1.4685834491201863</v>
      </c>
      <c r="CG21" s="491">
        <f>'Loan List '!AD10</f>
        <v>3.6605579206667747</v>
      </c>
      <c r="CH21" s="491"/>
      <c r="CI21" s="377">
        <v>0</v>
      </c>
      <c r="CJ21" s="492" t="s">
        <v>1217</v>
      </c>
      <c r="CK21" s="491">
        <f>'Loan List '!AB10</f>
        <v>63.670152000000002</v>
      </c>
      <c r="CL21" s="495">
        <f>'Loan List '!AE10</f>
        <v>0</v>
      </c>
      <c r="CM21" s="377">
        <v>0</v>
      </c>
      <c r="CN21" s="377">
        <v>0</v>
      </c>
      <c r="CO21" s="377" t="s">
        <v>146</v>
      </c>
      <c r="CP21" s="547" t="s">
        <v>146</v>
      </c>
      <c r="CQ21" s="345">
        <f t="shared" si="17"/>
        <v>0.3386627092290741</v>
      </c>
      <c r="CR21" s="346">
        <f t="shared" si="18"/>
        <v>0.30896960089024855</v>
      </c>
      <c r="CS21" s="347">
        <f t="shared" si="45"/>
        <v>1.1310011197840515</v>
      </c>
      <c r="CT21" s="485">
        <f t="shared" si="46"/>
        <v>0.23526512077433082</v>
      </c>
      <c r="CU21" s="348">
        <f>IF(OR($CQ21&lt;'Summary '!$I$47,$BT21&lt;'Summary '!$I$46),1,0)</f>
        <v>0</v>
      </c>
      <c r="CV21" s="348">
        <f>IF(OR($CS21&gt;='Summary '!$I$50, (AND(BU21&gt;'Summary '!$I$52, Calcs!CR21&gt; 'Summary '!$I$51))),1,0)</f>
        <v>1</v>
      </c>
      <c r="CW21" s="348">
        <f t="shared" si="20"/>
        <v>1</v>
      </c>
      <c r="CX21" s="447" t="s">
        <v>122</v>
      </c>
      <c r="CY21" s="447" t="s">
        <v>122</v>
      </c>
      <c r="CZ21" t="s">
        <v>122</v>
      </c>
      <c r="DA21" s="352"/>
      <c r="DD21" s="258">
        <v>0</v>
      </c>
      <c r="DE21" s="258">
        <v>0</v>
      </c>
      <c r="DF21" s="277"/>
      <c r="DI21" s="551" t="str">
        <f t="shared" si="21"/>
        <v>Eligible</v>
      </c>
      <c r="DJ21" s="423" t="str">
        <f t="shared" si="47"/>
        <v>Eligible</v>
      </c>
      <c r="DK21" s="549" t="s">
        <v>1271</v>
      </c>
      <c r="DL21" s="549" t="s">
        <v>1271</v>
      </c>
      <c r="DM21" s="423" t="str">
        <f t="shared" si="22"/>
        <v>Eligible</v>
      </c>
      <c r="DN21" s="423" t="str">
        <f t="shared" si="48"/>
        <v>Not PIK</v>
      </c>
      <c r="DO21" s="424" t="s">
        <v>122</v>
      </c>
      <c r="DP21" s="423" t="str">
        <f t="shared" si="49"/>
        <v>YES</v>
      </c>
    </row>
    <row r="22" spans="1:120" ht="16.5">
      <c r="A22" s="616" t="s">
        <v>1076</v>
      </c>
      <c r="B22" s="36">
        <f>IFERROR(VLOOKUP(A22,'Loan List '!$A$6:$BZ$75,2,FALSE),NA)</f>
        <v>0</v>
      </c>
      <c r="C22" s="498" t="str">
        <f>VLOOKUP(A22,'Loan List '!$A$6:$G$75, 7, FALSE)</f>
        <v>First Lien</v>
      </c>
      <c r="D22" s="498" t="str">
        <f>VLOOKUP(A22, 'Loan List '!$A$6:$K$82, 11, FALSE)</f>
        <v>FL</v>
      </c>
      <c r="E22" s="497" t="b">
        <f t="shared" si="23"/>
        <v>1</v>
      </c>
      <c r="F22" s="497" t="str">
        <f>VLOOKUP(A22,'Loan List '!$A$6:$L$75, 12, FALSE)</f>
        <v>Automobiles</v>
      </c>
      <c r="G22" s="320"/>
      <c r="H22" s="533">
        <f t="shared" si="0"/>
        <v>247692.39</v>
      </c>
      <c r="I22" s="533">
        <f>VLOOKUP(A22,'Loan List '!$A$6:$L$75, 8, FALSE)</f>
        <v>247692.39</v>
      </c>
      <c r="J22" s="361">
        <v>0</v>
      </c>
      <c r="K22" s="323">
        <f t="shared" si="1"/>
        <v>6.856157447693755E-4</v>
      </c>
      <c r="L22" s="601">
        <f>VLOOKUP(A22,'Loan List '!$A$6:$BA$82,24, FALSE)</f>
        <v>93</v>
      </c>
      <c r="M22" s="501"/>
      <c r="N22" s="502">
        <f>VLOOKUP(A22,'Loan List '!$A$6:$BA$82,22, FALSE)</f>
        <v>47324</v>
      </c>
      <c r="O22" s="602">
        <f t="shared" si="24"/>
        <v>230353.9227</v>
      </c>
      <c r="P22" s="327">
        <f t="shared" si="2"/>
        <v>0.93</v>
      </c>
      <c r="Q22" s="487" t="s">
        <v>451</v>
      </c>
      <c r="R22" s="488" t="s">
        <v>38</v>
      </c>
      <c r="S22" s="327" t="b">
        <f t="shared" si="3"/>
        <v>1</v>
      </c>
      <c r="T22" s="327">
        <f>VLOOKUP(A22,'Loan List '!$A$6:$BD$1048576,56,FALSE)/100</f>
        <v>0.93</v>
      </c>
      <c r="U22" s="535">
        <f t="shared" si="25"/>
        <v>230353.92270000002</v>
      </c>
      <c r="V22" s="503">
        <f>VLOOKUP(A22,'Loan List '!$A$6:$BA$82,26, FALSE)</f>
        <v>0</v>
      </c>
      <c r="W22" s="350">
        <f t="shared" si="4"/>
        <v>0</v>
      </c>
      <c r="X22" s="326"/>
      <c r="Y22" s="504">
        <f>VLOOKUP(A22,'Loan List '!$A$6:$BA$75,27, FALSE)</f>
        <v>0</v>
      </c>
      <c r="Z22" s="109"/>
      <c r="AA22" s="330"/>
      <c r="AB22" s="333">
        <f t="shared" si="5"/>
        <v>3.9406308615893256E-3</v>
      </c>
      <c r="AC22" s="333">
        <f t="shared" si="6"/>
        <v>4.7993102133856282E-4</v>
      </c>
      <c r="AD22" s="331">
        <f t="shared" si="26"/>
        <v>0</v>
      </c>
      <c r="AE22" s="320" t="str">
        <f t="shared" si="27"/>
        <v>Class 1</v>
      </c>
      <c r="AF22" s="649">
        <f t="shared" si="28"/>
        <v>6</v>
      </c>
      <c r="AG22" s="649">
        <f t="shared" si="29"/>
        <v>7</v>
      </c>
      <c r="AH22" s="332">
        <f t="shared" si="30"/>
        <v>1</v>
      </c>
      <c r="AI22" s="332">
        <f t="shared" si="31"/>
        <v>0</v>
      </c>
      <c r="AJ22" s="332">
        <f t="shared" si="32"/>
        <v>0.7</v>
      </c>
      <c r="AK22" s="332">
        <f t="shared" si="33"/>
        <v>0.4</v>
      </c>
      <c r="AL22" s="332">
        <f t="shared" si="34"/>
        <v>0.7</v>
      </c>
      <c r="AM22" s="333">
        <f ca="1">'Diversity Score'!$E$7</f>
        <v>1</v>
      </c>
      <c r="AN22" s="332">
        <f t="shared" ca="1" si="35"/>
        <v>0.7</v>
      </c>
      <c r="AO22" s="505">
        <f>VLOOKUP(A22,'Loan List '!$A$6:$BA$75,17, FALSE)</f>
        <v>5.3499999999999999E-2</v>
      </c>
      <c r="AP22" s="493" t="str">
        <f>VLOOKUP(A22,'Loan List '!$A$6:$BA$795,15, FALSE)</f>
        <v>SOFR</v>
      </c>
      <c r="AQ22" s="494">
        <f>VLOOKUP(A22,'Loan List '!$A$6:$BA$795,16, FALSE)</f>
        <v>5.0000000000000001E-3</v>
      </c>
      <c r="AR22" s="539">
        <v>0</v>
      </c>
      <c r="AS22" s="539">
        <v>0</v>
      </c>
      <c r="AT22" s="353"/>
      <c r="AU22" s="323">
        <f t="shared" si="11"/>
        <v>5.3499999999999999E-2</v>
      </c>
      <c r="AV22" s="323" t="b">
        <f t="shared" si="36"/>
        <v>0</v>
      </c>
      <c r="AW22" s="540" t="b">
        <f t="shared" si="37"/>
        <v>0</v>
      </c>
      <c r="AX22" s="323" t="b">
        <f t="shared" si="12"/>
        <v>0</v>
      </c>
      <c r="AY22" s="353"/>
      <c r="AZ22" s="323" t="b">
        <f t="shared" si="13"/>
        <v>0</v>
      </c>
      <c r="BA22" s="497" t="str">
        <f>'Loan List '!AS11</f>
        <v>Cov-Lite</v>
      </c>
      <c r="BB22" s="320" t="b">
        <f t="shared" si="38"/>
        <v>0</v>
      </c>
      <c r="BC22" s="326" t="b">
        <f t="shared" si="39"/>
        <v>1</v>
      </c>
      <c r="BD22" s="320" t="b">
        <f t="shared" si="40"/>
        <v>1</v>
      </c>
      <c r="BE22" s="320" t="b">
        <f t="shared" si="41"/>
        <v>1</v>
      </c>
      <c r="BF22" s="550" t="str">
        <f>'Loan List '!J11</f>
        <v>USD</v>
      </c>
      <c r="BG22" s="497" t="str">
        <f>VLOOKUP(A22,'Loan List '!$A$6:$BZ$75, 23, FALSE)</f>
        <v>USA</v>
      </c>
      <c r="BH22" s="320" t="b">
        <f t="shared" si="42"/>
        <v>0</v>
      </c>
      <c r="BI22" s="320" t="b">
        <f t="shared" si="43"/>
        <v>0</v>
      </c>
      <c r="BJ22" s="320" t="b">
        <f>IF('Loan List '!BP11=1, TRUE, FALSE)</f>
        <v>0</v>
      </c>
      <c r="BK22" s="320" t="b">
        <f t="shared" si="14"/>
        <v>0</v>
      </c>
      <c r="BL22" s="541" t="b">
        <f t="shared" si="15"/>
        <v>0</v>
      </c>
      <c r="BM22" s="320" t="b">
        <f>IF('Loan List '!AT11="Yes", TRUE, FALSE)</f>
        <v>1</v>
      </c>
      <c r="BN22" s="336">
        <f t="shared" ca="1" si="44"/>
        <v>4.0027397260273974</v>
      </c>
      <c r="BO22" s="337">
        <f ca="1">'Concentration Limitations'!H17</f>
        <v>230353.92270000002</v>
      </c>
      <c r="BP22" s="338">
        <f t="shared" ca="1" si="16"/>
        <v>161247.74589000002</v>
      </c>
      <c r="BQ22" s="339"/>
      <c r="BR22" s="340"/>
      <c r="BS22" s="542">
        <f>'Loan List '!AG11</f>
        <v>45747</v>
      </c>
      <c r="BT22" s="650">
        <f>'Loan List '!AO11</f>
        <v>1.4094117647058824</v>
      </c>
      <c r="BU22" s="650">
        <f>'Loan List '!AI11</f>
        <v>5.7475792988313863</v>
      </c>
      <c r="BV22" s="490"/>
      <c r="BW22" s="377">
        <v>0</v>
      </c>
      <c r="BX22" s="492" t="s">
        <v>1217</v>
      </c>
      <c r="BY22" s="490">
        <f>'Loan List '!AJ11</f>
        <v>299.5</v>
      </c>
      <c r="BZ22" s="490">
        <f>'Loan List '!AL11</f>
        <v>0</v>
      </c>
      <c r="CA22" s="377">
        <v>0</v>
      </c>
      <c r="CB22" s="377">
        <v>0</v>
      </c>
      <c r="CC22" s="545" t="s">
        <v>146</v>
      </c>
      <c r="CD22" s="546" t="s">
        <v>146</v>
      </c>
      <c r="CE22" s="378" t="s">
        <v>1217</v>
      </c>
      <c r="CF22" s="491">
        <f>'Loan List '!AC11</f>
        <v>2.1552002673945743</v>
      </c>
      <c r="CG22" s="491">
        <f>'Loan List '!AD11</f>
        <v>5.0469960873862698</v>
      </c>
      <c r="CH22" s="491"/>
      <c r="CI22" s="377">
        <v>0</v>
      </c>
      <c r="CJ22" s="492" t="s">
        <v>1217</v>
      </c>
      <c r="CK22" s="491">
        <f>'Loan List '!AB11</f>
        <v>241.8</v>
      </c>
      <c r="CL22" s="495">
        <f>'Loan List '!AE11</f>
        <v>0</v>
      </c>
      <c r="CM22" s="377">
        <v>0</v>
      </c>
      <c r="CN22" s="377">
        <v>0</v>
      </c>
      <c r="CO22" s="377" t="s">
        <v>146</v>
      </c>
      <c r="CP22" s="547" t="s">
        <v>146</v>
      </c>
      <c r="CQ22" s="345">
        <f t="shared" si="17"/>
        <v>-0.34604139298399267</v>
      </c>
      <c r="CR22" s="346">
        <f t="shared" si="18"/>
        <v>0.13881191887508146</v>
      </c>
      <c r="CS22" s="347">
        <f t="shared" si="45"/>
        <v>0.70058321144511648</v>
      </c>
      <c r="CT22" s="485">
        <f t="shared" si="46"/>
        <v>0.23862696443341602</v>
      </c>
      <c r="CU22" s="348">
        <f>IF(OR($CQ22&lt;'Summary '!$I$47,$BT22&lt;'Summary '!$I$46),1,0)</f>
        <v>1</v>
      </c>
      <c r="CV22" s="348">
        <f>IF(OR($CS22&gt;='Summary '!$I$50, (AND(BU22&gt;'Summary '!$I$52, Calcs!CR22&gt; 'Summary '!$I$51))),1,0)</f>
        <v>0</v>
      </c>
      <c r="CW22" s="348">
        <f t="shared" si="20"/>
        <v>1</v>
      </c>
      <c r="CX22" s="447" t="s">
        <v>122</v>
      </c>
      <c r="CY22" s="447" t="s">
        <v>122</v>
      </c>
      <c r="CZ22" t="s">
        <v>122</v>
      </c>
      <c r="DA22" s="352"/>
      <c r="DD22" s="258">
        <v>0</v>
      </c>
      <c r="DE22" s="258">
        <v>0</v>
      </c>
      <c r="DF22" s="277"/>
      <c r="DI22" s="551" t="str">
        <f t="shared" si="21"/>
        <v>Eligible</v>
      </c>
      <c r="DJ22" s="423" t="str">
        <f t="shared" si="47"/>
        <v>Eligible</v>
      </c>
      <c r="DK22" s="549" t="s">
        <v>1271</v>
      </c>
      <c r="DL22" s="549" t="s">
        <v>1271</v>
      </c>
      <c r="DM22" s="423" t="str">
        <f t="shared" si="22"/>
        <v>Eligible</v>
      </c>
      <c r="DN22" s="423" t="str">
        <f t="shared" si="48"/>
        <v>Not PIK</v>
      </c>
      <c r="DO22" s="424" t="s">
        <v>122</v>
      </c>
      <c r="DP22" s="423" t="str">
        <f t="shared" si="49"/>
        <v>YES</v>
      </c>
    </row>
    <row r="23" spans="1:120" ht="16.5">
      <c r="A23" s="616" t="s">
        <v>1079</v>
      </c>
      <c r="B23" s="36">
        <f>IFERROR(VLOOKUP(A23,'Loan List '!$A$6:$BZ$75,2,FALSE),NA)</f>
        <v>0</v>
      </c>
      <c r="C23" s="498" t="str">
        <f>VLOOKUP(A23,'Loan List '!$A$6:$G$75, 7, FALSE)</f>
        <v>First Lien</v>
      </c>
      <c r="D23" s="498" t="str">
        <f>VLOOKUP(A23, 'Loan List '!$A$6:$K$82, 11, FALSE)</f>
        <v>FL</v>
      </c>
      <c r="E23" s="497" t="b">
        <f t="shared" si="23"/>
        <v>1</v>
      </c>
      <c r="F23" s="497" t="str">
        <f>VLOOKUP(A23,'Loan List '!$A$6:$L$75, 12, FALSE)</f>
        <v>Health Care Providers &amp; Services</v>
      </c>
      <c r="G23" s="320"/>
      <c r="H23" s="533">
        <f t="shared" si="0"/>
        <v>12139547.219999999</v>
      </c>
      <c r="I23" s="533">
        <f>VLOOKUP(A23,'Loan List '!$A$6:$L$75, 8, FALSE)</f>
        <v>12139547.219999999</v>
      </c>
      <c r="J23" s="361">
        <v>0</v>
      </c>
      <c r="K23" s="323">
        <f t="shared" ref="K23:K79" si="50">I23/$I$15</f>
        <v>3.3602423992127095E-2</v>
      </c>
      <c r="L23" s="601">
        <f>VLOOKUP(A23,'Loan List '!$A$6:$BA$82,24, FALSE)</f>
        <v>100</v>
      </c>
      <c r="M23" s="501"/>
      <c r="N23" s="502">
        <f>VLOOKUP(A23,'Loan List '!$A$6:$BA$82,22, FALSE)</f>
        <v>47290</v>
      </c>
      <c r="O23" s="602">
        <f t="shared" si="24"/>
        <v>12139547.220000001</v>
      </c>
      <c r="P23" s="327">
        <f t="shared" si="2"/>
        <v>1</v>
      </c>
      <c r="Q23" s="487" t="s">
        <v>451</v>
      </c>
      <c r="R23" s="488" t="s">
        <v>38</v>
      </c>
      <c r="S23" s="327" t="b">
        <f t="shared" si="3"/>
        <v>1</v>
      </c>
      <c r="T23" s="327">
        <f>VLOOKUP(A23,'Loan List '!$A$6:$BD$1048576,56,FALSE)/100</f>
        <v>1</v>
      </c>
      <c r="U23" s="535">
        <f t="shared" si="25"/>
        <v>12139547.219999999</v>
      </c>
      <c r="V23" s="503">
        <f>VLOOKUP(A23,'Loan List '!$A$6:$BA$82,26, FALSE)</f>
        <v>0</v>
      </c>
      <c r="W23" s="350">
        <f t="shared" ref="W23:W79" si="51">V23*I23</f>
        <v>0</v>
      </c>
      <c r="X23" s="326"/>
      <c r="Y23" s="504">
        <f>VLOOKUP(A23,'Loan List '!$A$6:$BA$75,27, FALSE)</f>
        <v>0</v>
      </c>
      <c r="Z23" s="109"/>
      <c r="AA23" s="330"/>
      <c r="AB23" s="333">
        <f t="shared" si="5"/>
        <v>0.17404001110785089</v>
      </c>
      <c r="AC23" s="333">
        <f t="shared" si="6"/>
        <v>2.1492428718567595E-2</v>
      </c>
      <c r="AD23" s="331">
        <f t="shared" si="26"/>
        <v>0</v>
      </c>
      <c r="AE23" s="320" t="str">
        <f t="shared" si="27"/>
        <v>Class 3</v>
      </c>
      <c r="AF23" s="649">
        <f t="shared" si="28"/>
        <v>5</v>
      </c>
      <c r="AG23" s="649">
        <f t="shared" si="29"/>
        <v>6</v>
      </c>
      <c r="AH23" s="332">
        <f t="shared" si="30"/>
        <v>0.96536491173009642</v>
      </c>
      <c r="AI23" s="332">
        <f t="shared" si="31"/>
        <v>3.463508826990358E-2</v>
      </c>
      <c r="AJ23" s="332">
        <f t="shared" si="32"/>
        <v>0.65</v>
      </c>
      <c r="AK23" s="332">
        <f t="shared" si="33"/>
        <v>0.35</v>
      </c>
      <c r="AL23" s="332">
        <f t="shared" si="34"/>
        <v>0.63960947351902886</v>
      </c>
      <c r="AM23" s="333">
        <f ca="1">'Diversity Score'!$E$7</f>
        <v>1</v>
      </c>
      <c r="AN23" s="332">
        <f t="shared" ca="1" si="35"/>
        <v>0.63960947351902886</v>
      </c>
      <c r="AO23" s="505">
        <f>VLOOKUP(A23,'Loan List '!$A$6:$BA$75,17, FALSE)</f>
        <v>5.5E-2</v>
      </c>
      <c r="AP23" s="493" t="str">
        <f>VLOOKUP(A23,'Loan List '!$A$6:$BA$795,15, FALSE)</f>
        <v>SOFR</v>
      </c>
      <c r="AQ23" s="494">
        <f>VLOOKUP(A23,'Loan List '!$A$6:$BA$795,16, FALSE)</f>
        <v>0.01</v>
      </c>
      <c r="AR23" s="539">
        <v>0</v>
      </c>
      <c r="AS23" s="539">
        <v>0</v>
      </c>
      <c r="AT23" s="353"/>
      <c r="AU23" s="323">
        <f t="shared" ref="AU23:AU74" si="52">AO23-AS23</f>
        <v>5.5E-2</v>
      </c>
      <c r="AV23" s="323" t="b">
        <f t="shared" si="36"/>
        <v>0</v>
      </c>
      <c r="AW23" s="540" t="b">
        <f t="shared" si="37"/>
        <v>0</v>
      </c>
      <c r="AX23" s="323" t="b">
        <f t="shared" ref="AX23:AX74" si="53">IF(AND(AS23&gt;0%,AW23=FALSE, AV23=FALSE),TRUE, FALSE)</f>
        <v>0</v>
      </c>
      <c r="AY23" s="353"/>
      <c r="AZ23" s="323" t="b">
        <f t="shared" si="13"/>
        <v>0</v>
      </c>
      <c r="BA23" s="497" t="str">
        <f>'Loan List '!AS12</f>
        <v>Maintenance Covenants</v>
      </c>
      <c r="BB23" s="320" t="b">
        <f t="shared" si="38"/>
        <v>0</v>
      </c>
      <c r="BC23" s="326" t="b">
        <f t="shared" si="39"/>
        <v>0</v>
      </c>
      <c r="BD23" s="320" t="b">
        <f t="shared" si="40"/>
        <v>1</v>
      </c>
      <c r="BE23" s="320" t="b">
        <f t="shared" si="41"/>
        <v>1</v>
      </c>
      <c r="BF23" s="550" t="str">
        <f>'Loan List '!J12</f>
        <v>USD</v>
      </c>
      <c r="BG23" s="497" t="str">
        <f>VLOOKUP(A23,'Loan List '!$A$6:$BZ$75, 23, FALSE)</f>
        <v>USA</v>
      </c>
      <c r="BH23" s="320" t="b">
        <f t="shared" si="42"/>
        <v>0</v>
      </c>
      <c r="BI23" s="320" t="b">
        <f t="shared" si="43"/>
        <v>0</v>
      </c>
      <c r="BJ23" s="320" t="b">
        <f>IF('Loan List '!BP12=1, TRUE, FALSE)</f>
        <v>0</v>
      </c>
      <c r="BK23" s="320" t="b">
        <f t="shared" ref="BK23:BK79" si="54">IF(AR23&gt;0%,TRUE,FALSE)</f>
        <v>0</v>
      </c>
      <c r="BL23" s="541" t="b">
        <f t="shared" ref="BL23:BL79" si="55">OR(LEFT(CC23,1)="C", LEFT(CD23,1)="C")</f>
        <v>0</v>
      </c>
      <c r="BM23" s="320" t="b">
        <f>IF('Loan List '!AT12="Yes", TRUE, FALSE)</f>
        <v>0</v>
      </c>
      <c r="BN23" s="336">
        <f t="shared" ca="1" si="44"/>
        <v>3.9095890410958902</v>
      </c>
      <c r="BO23" s="337">
        <f ca="1">'Concentration Limitations'!H18</f>
        <v>12139547.219999997</v>
      </c>
      <c r="BP23" s="338">
        <f t="shared" ca="1" si="16"/>
        <v>7764569.406143588</v>
      </c>
      <c r="BQ23" s="339"/>
      <c r="BR23" s="340"/>
      <c r="BS23" s="542">
        <f>'Loan List '!AG12</f>
        <v>45808</v>
      </c>
      <c r="BT23" s="650">
        <f>'Loan List '!AO12</f>
        <v>1.852747307651202</v>
      </c>
      <c r="BU23" s="650">
        <f>'Loan List '!AI12</f>
        <v>5.1793885806758384</v>
      </c>
      <c r="BV23" s="490"/>
      <c r="BW23" s="377">
        <v>0</v>
      </c>
      <c r="BX23" s="492" t="s">
        <v>1217</v>
      </c>
      <c r="BY23" s="490">
        <f>'Loan List '!AJ12</f>
        <v>21.173978202366602</v>
      </c>
      <c r="BZ23" s="490">
        <f>'Loan List '!AL12</f>
        <v>0</v>
      </c>
      <c r="CA23" s="377">
        <v>0</v>
      </c>
      <c r="CB23" s="377">
        <v>0</v>
      </c>
      <c r="CC23" s="545" t="s">
        <v>146</v>
      </c>
      <c r="CD23" s="546" t="s">
        <v>146</v>
      </c>
      <c r="CE23" s="378" t="s">
        <v>1217</v>
      </c>
      <c r="CF23" s="491">
        <f>'Loan List '!AC12</f>
        <v>4.25</v>
      </c>
      <c r="CG23" s="491">
        <f>'Loan List '!AD12</f>
        <v>3.7</v>
      </c>
      <c r="CH23" s="491"/>
      <c r="CI23" s="377">
        <v>0</v>
      </c>
      <c r="CJ23" s="492" t="s">
        <v>1217</v>
      </c>
      <c r="CK23" s="491">
        <f>'Loan List '!AB12</f>
        <v>18.21</v>
      </c>
      <c r="CL23" s="495">
        <f>'Loan List '!AE12</f>
        <v>0</v>
      </c>
      <c r="CM23" s="377">
        <v>0</v>
      </c>
      <c r="CN23" s="377">
        <v>0</v>
      </c>
      <c r="CO23" s="377" t="s">
        <v>146</v>
      </c>
      <c r="CP23" s="547" t="s">
        <v>146</v>
      </c>
      <c r="CQ23" s="345">
        <f t="shared" si="17"/>
        <v>-0.56405945702324656</v>
      </c>
      <c r="CR23" s="346">
        <f t="shared" si="18"/>
        <v>0.39983475153401032</v>
      </c>
      <c r="CS23" s="347">
        <f t="shared" si="45"/>
        <v>1.4793885806758382</v>
      </c>
      <c r="CT23" s="485">
        <f t="shared" si="46"/>
        <v>0.16276651303495893</v>
      </c>
      <c r="CU23" s="348">
        <f>IF(OR($CQ23&lt;'Summary '!$I$47,$BT23&lt;'Summary '!$I$46),1,0)</f>
        <v>1</v>
      </c>
      <c r="CV23" s="348">
        <f>IF(OR($CS23&gt;='Summary '!$I$50, (AND(BU23&gt;'Summary '!$I$52, Calcs!CR23&gt; 'Summary '!$I$51))),1,0)</f>
        <v>1</v>
      </c>
      <c r="CW23" s="348">
        <f t="shared" si="20"/>
        <v>1</v>
      </c>
      <c r="CX23" s="447" t="s">
        <v>122</v>
      </c>
      <c r="CY23" s="447" t="s">
        <v>122</v>
      </c>
      <c r="CZ23" t="s">
        <v>122</v>
      </c>
      <c r="DA23" s="352"/>
      <c r="DD23" s="258">
        <v>0</v>
      </c>
      <c r="DE23" s="258">
        <v>0</v>
      </c>
      <c r="DF23" s="277"/>
      <c r="DI23" s="551" t="str">
        <f t="shared" si="21"/>
        <v>Eligible</v>
      </c>
      <c r="DJ23" s="423" t="str">
        <f t="shared" si="47"/>
        <v>Eligible</v>
      </c>
      <c r="DK23" s="549" t="s">
        <v>1271</v>
      </c>
      <c r="DL23" s="549" t="s">
        <v>1271</v>
      </c>
      <c r="DM23" s="423" t="str">
        <f t="shared" si="22"/>
        <v>Eligible</v>
      </c>
      <c r="DN23" s="423" t="str">
        <f t="shared" si="48"/>
        <v>Not PIK</v>
      </c>
      <c r="DO23" s="424" t="s">
        <v>122</v>
      </c>
      <c r="DP23" s="423" t="str">
        <f t="shared" si="49"/>
        <v>YES</v>
      </c>
    </row>
    <row r="24" spans="1:120" ht="16.5">
      <c r="A24" s="616" t="s">
        <v>1084</v>
      </c>
      <c r="B24" s="36">
        <f>IFERROR(VLOOKUP(A24,'Loan List '!$A$6:$BZ$75,2,FALSE),NA)</f>
        <v>0</v>
      </c>
      <c r="C24" s="498" t="str">
        <f>VLOOKUP(A24,'Loan List '!$A$6:$G$75, 7, FALSE)</f>
        <v>First Lien</v>
      </c>
      <c r="D24" s="498" t="str">
        <f>VLOOKUP(A24, 'Loan List '!$A$6:$K$82, 11, FALSE)</f>
        <v>FL</v>
      </c>
      <c r="E24" s="497" t="b">
        <f t="shared" si="23"/>
        <v>1</v>
      </c>
      <c r="F24" s="497" t="str">
        <f>VLOOKUP(A24,'Loan List '!$A$6:$L$75, 12, FALSE)</f>
        <v>Distributors</v>
      </c>
      <c r="G24" s="320"/>
      <c r="H24" s="533">
        <f t="shared" si="0"/>
        <v>8631215.8200000003</v>
      </c>
      <c r="I24" s="533">
        <f>VLOOKUP(A24,'Loan List '!$A$6:$L$75, 8, FALSE)</f>
        <v>8631215.8200000003</v>
      </c>
      <c r="J24" s="361">
        <v>0</v>
      </c>
      <c r="K24" s="323">
        <f t="shared" si="50"/>
        <v>2.3891317220906608E-2</v>
      </c>
      <c r="L24" s="601">
        <f>VLOOKUP(A24,'Loan List '!$A$6:$BA$82,24, FALSE)</f>
        <v>100</v>
      </c>
      <c r="M24" s="501"/>
      <c r="N24" s="502">
        <f>VLOOKUP(A24,'Loan List '!$A$6:$BA$82,22, FALSE)</f>
        <v>46282</v>
      </c>
      <c r="O24" s="602">
        <f t="shared" si="24"/>
        <v>8631215.8200000003</v>
      </c>
      <c r="P24" s="327">
        <f t="shared" si="2"/>
        <v>1</v>
      </c>
      <c r="Q24" s="487" t="s">
        <v>451</v>
      </c>
      <c r="R24" s="488" t="s">
        <v>38</v>
      </c>
      <c r="S24" s="327" t="b">
        <f t="shared" si="3"/>
        <v>1</v>
      </c>
      <c r="T24" s="327">
        <f>VLOOKUP(A24,'Loan List '!$A$6:$BD$1048576,56,FALSE)/100</f>
        <v>1</v>
      </c>
      <c r="U24" s="535">
        <f t="shared" si="25"/>
        <v>8631215.8200000003</v>
      </c>
      <c r="V24" s="503">
        <f>VLOOKUP(A24,'Loan List '!$A$6:$BA$82,26, FALSE)</f>
        <v>0</v>
      </c>
      <c r="W24" s="350">
        <f t="shared" si="51"/>
        <v>0</v>
      </c>
      <c r="X24" s="326"/>
      <c r="Y24" s="504">
        <f>VLOOKUP(A24,'Loan List '!$A$6:$BA$75,27, FALSE)</f>
        <v>0</v>
      </c>
      <c r="Z24" s="109"/>
      <c r="AA24" s="330"/>
      <c r="AB24" s="333">
        <f t="shared" si="5"/>
        <v>0.1463385048201456</v>
      </c>
      <c r="AC24" s="333">
        <f t="shared" si="6"/>
        <v>1.5334125548624126E-2</v>
      </c>
      <c r="AD24" s="331">
        <f t="shared" si="26"/>
        <v>0</v>
      </c>
      <c r="AE24" s="320" t="str">
        <f t="shared" si="27"/>
        <v>Class 2</v>
      </c>
      <c r="AF24" s="649">
        <f t="shared" si="28"/>
        <v>5.5</v>
      </c>
      <c r="AG24" s="649">
        <f t="shared" si="29"/>
        <v>6.5</v>
      </c>
      <c r="AH24" s="332">
        <f t="shared" si="30"/>
        <v>0.89793349246313292</v>
      </c>
      <c r="AI24" s="332">
        <f t="shared" si="31"/>
        <v>0.10206650753686708</v>
      </c>
      <c r="AJ24" s="332">
        <f t="shared" si="32"/>
        <v>0.67500000000000004</v>
      </c>
      <c r="AK24" s="332">
        <f t="shared" si="33"/>
        <v>0.35</v>
      </c>
      <c r="AL24" s="332">
        <f t="shared" si="34"/>
        <v>0.64182838505051831</v>
      </c>
      <c r="AM24" s="333">
        <f ca="1">'Diversity Score'!$E$7</f>
        <v>1</v>
      </c>
      <c r="AN24" s="332">
        <f t="shared" ca="1" si="35"/>
        <v>0.64182838505051831</v>
      </c>
      <c r="AO24" s="505">
        <f>VLOOKUP(A24,'Loan List '!$A$6:$BA$75,17, FALSE)</f>
        <v>5.3999999999999999E-2</v>
      </c>
      <c r="AP24" s="493" t="str">
        <f>VLOOKUP(A24,'Loan List '!$A$6:$BA$795,15, FALSE)</f>
        <v>SOFR</v>
      </c>
      <c r="AQ24" s="494">
        <f>VLOOKUP(A24,'Loan List '!$A$6:$BA$795,16, FALSE)</f>
        <v>0.01</v>
      </c>
      <c r="AR24" s="539">
        <v>0</v>
      </c>
      <c r="AS24" s="539">
        <v>0</v>
      </c>
      <c r="AT24" s="353"/>
      <c r="AU24" s="323">
        <f t="shared" si="52"/>
        <v>5.3999999999999999E-2</v>
      </c>
      <c r="AV24" s="323" t="b">
        <f t="shared" si="36"/>
        <v>0</v>
      </c>
      <c r="AW24" s="540" t="b">
        <f t="shared" si="37"/>
        <v>0</v>
      </c>
      <c r="AX24" s="323" t="b">
        <f t="shared" si="53"/>
        <v>0</v>
      </c>
      <c r="AY24" s="353"/>
      <c r="AZ24" s="323" t="b">
        <f t="shared" si="13"/>
        <v>0</v>
      </c>
      <c r="BA24" s="497" t="str">
        <f>'Loan List '!AS13</f>
        <v>Maintenance Covenants</v>
      </c>
      <c r="BB24" s="320" t="b">
        <f t="shared" si="38"/>
        <v>0</v>
      </c>
      <c r="BC24" s="326" t="b">
        <f t="shared" si="39"/>
        <v>1</v>
      </c>
      <c r="BD24" s="320" t="b">
        <f t="shared" si="40"/>
        <v>1</v>
      </c>
      <c r="BE24" s="320" t="b">
        <f t="shared" si="41"/>
        <v>1</v>
      </c>
      <c r="BF24" s="550" t="str">
        <f>'Loan List '!J13</f>
        <v>USD</v>
      </c>
      <c r="BG24" s="497" t="str">
        <f>VLOOKUP(A24,'Loan List '!$A$6:$BZ$75, 23, FALSE)</f>
        <v>USA</v>
      </c>
      <c r="BH24" s="320" t="b">
        <f t="shared" si="42"/>
        <v>0</v>
      </c>
      <c r="BI24" s="320" t="b">
        <f t="shared" si="43"/>
        <v>0</v>
      </c>
      <c r="BJ24" s="320" t="b">
        <f>IF('Loan List '!BP13=1, TRUE, FALSE)</f>
        <v>0</v>
      </c>
      <c r="BK24" s="320" t="b">
        <f t="shared" si="54"/>
        <v>0</v>
      </c>
      <c r="BL24" s="541" t="b">
        <f t="shared" si="55"/>
        <v>0</v>
      </c>
      <c r="BM24" s="320" t="b">
        <f>IF('Loan List '!AT13="Yes", TRUE, FALSE)</f>
        <v>0</v>
      </c>
      <c r="BN24" s="336">
        <f t="shared" ca="1" si="44"/>
        <v>1.1479452054794521</v>
      </c>
      <c r="BO24" s="337">
        <f ca="1">'Concentration Limitations'!H19</f>
        <v>8631215.8200000003</v>
      </c>
      <c r="BP24" s="338">
        <f t="shared" ca="1" si="16"/>
        <v>5539759.3107730858</v>
      </c>
      <c r="BQ24" s="339"/>
      <c r="BR24" s="340"/>
      <c r="BS24" s="542">
        <f>'Loan List '!AG13</f>
        <v>45808</v>
      </c>
      <c r="BT24" s="650">
        <f>'Loan List '!AO13</f>
        <v>1.2612407800343539</v>
      </c>
      <c r="BU24" s="650">
        <f>'Loan List '!AI13</f>
        <v>6.125175245343482</v>
      </c>
      <c r="BV24" s="490"/>
      <c r="BW24" s="377">
        <v>0</v>
      </c>
      <c r="BX24" s="492" t="s">
        <v>1217</v>
      </c>
      <c r="BY24" s="490">
        <f>'Loan List '!AJ13</f>
        <v>49.93</v>
      </c>
      <c r="BZ24" s="490">
        <f>'Loan List '!AL13</f>
        <v>0</v>
      </c>
      <c r="CA24" s="377">
        <v>0</v>
      </c>
      <c r="CB24" s="377">
        <v>0</v>
      </c>
      <c r="CC24" s="545" t="s">
        <v>146</v>
      </c>
      <c r="CD24" s="546" t="s">
        <v>146</v>
      </c>
      <c r="CE24" s="378" t="s">
        <v>1217</v>
      </c>
      <c r="CF24" s="491">
        <f>'Loan List '!AC13</f>
        <v>3.13</v>
      </c>
      <c r="CG24" s="491">
        <f>'Loan List '!AD13</f>
        <v>4.68</v>
      </c>
      <c r="CH24" s="491"/>
      <c r="CI24" s="377">
        <v>0</v>
      </c>
      <c r="CJ24" s="492" t="s">
        <v>1217</v>
      </c>
      <c r="CK24" s="491">
        <f>'Loan List '!AB13</f>
        <v>38.43</v>
      </c>
      <c r="CL24" s="495">
        <f>'Loan List '!AE13</f>
        <v>0</v>
      </c>
      <c r="CM24" s="377">
        <v>0</v>
      </c>
      <c r="CN24" s="377">
        <v>0</v>
      </c>
      <c r="CO24" s="377" t="s">
        <v>146</v>
      </c>
      <c r="CP24" s="547" t="s">
        <v>146</v>
      </c>
      <c r="CQ24" s="345">
        <f t="shared" si="17"/>
        <v>-0.59704767411043003</v>
      </c>
      <c r="CR24" s="346">
        <f t="shared" si="18"/>
        <v>0.30879812934689793</v>
      </c>
      <c r="CS24" s="347">
        <f t="shared" si="45"/>
        <v>1.4451752453434823</v>
      </c>
      <c r="CT24" s="485">
        <f t="shared" si="46"/>
        <v>0.29924538121259436</v>
      </c>
      <c r="CU24" s="348">
        <f>IF(OR($CQ24&lt;'Summary '!$I$47,$BT24&lt;'Summary '!$I$46),1,0)</f>
        <v>1</v>
      </c>
      <c r="CV24" s="348">
        <f>IF(OR($CS24&gt;='Summary '!$I$50, (AND(BU24&gt;'Summary '!$I$52, Calcs!CR24&gt; 'Summary '!$I$51))),1,0)</f>
        <v>1</v>
      </c>
      <c r="CW24" s="348">
        <f t="shared" si="20"/>
        <v>1</v>
      </c>
      <c r="CX24" s="447" t="s">
        <v>122</v>
      </c>
      <c r="CY24" s="447" t="s">
        <v>122</v>
      </c>
      <c r="CZ24" t="s">
        <v>122</v>
      </c>
      <c r="DA24" s="352"/>
      <c r="DD24" s="258">
        <v>0</v>
      </c>
      <c r="DE24" s="258">
        <v>0</v>
      </c>
      <c r="DF24" s="277"/>
      <c r="DI24" s="551" t="str">
        <f t="shared" si="21"/>
        <v>Eligible</v>
      </c>
      <c r="DJ24" s="423" t="str">
        <f t="shared" si="47"/>
        <v>Eligible</v>
      </c>
      <c r="DK24" s="549" t="s">
        <v>1271</v>
      </c>
      <c r="DL24" s="549" t="s">
        <v>1271</v>
      </c>
      <c r="DM24" s="423" t="str">
        <f t="shared" si="22"/>
        <v>Eligible</v>
      </c>
      <c r="DN24" s="423" t="str">
        <f t="shared" si="48"/>
        <v>Not PIK</v>
      </c>
      <c r="DO24" s="424" t="s">
        <v>122</v>
      </c>
      <c r="DP24" s="423" t="str">
        <f t="shared" si="49"/>
        <v>YES</v>
      </c>
    </row>
    <row r="25" spans="1:120" ht="16.5">
      <c r="A25" s="616" t="s">
        <v>1290</v>
      </c>
      <c r="B25" s="36">
        <f>IFERROR(VLOOKUP(A25,'Loan List '!$A$6:$BZ$75,2,FALSE),NA)</f>
        <v>0</v>
      </c>
      <c r="C25" s="498" t="str">
        <f>VLOOKUP(A25,'Loan List '!$A$6:$G$75, 7, FALSE)</f>
        <v>First Lien</v>
      </c>
      <c r="D25" s="498" t="str">
        <f>VLOOKUP(A25, 'Loan List '!$A$6:$K$82, 11, FALSE)</f>
        <v>FL</v>
      </c>
      <c r="E25" s="497" t="b">
        <f t="shared" si="23"/>
        <v>1</v>
      </c>
      <c r="F25" s="497" t="str">
        <f>VLOOKUP(A25,'Loan List '!$A$6:$L$75, 12, FALSE)</f>
        <v>IT Services</v>
      </c>
      <c r="G25" s="320"/>
      <c r="H25" s="533">
        <f t="shared" si="0"/>
        <v>1488750</v>
      </c>
      <c r="I25" s="533">
        <f>VLOOKUP(A25,'Loan List '!$A$6:$L$75, 8, FALSE)</f>
        <v>1488750</v>
      </c>
      <c r="J25" s="361">
        <v>0</v>
      </c>
      <c r="K25" s="323">
        <f t="shared" si="50"/>
        <v>4.1208792891271615E-3</v>
      </c>
      <c r="L25" s="601">
        <f>VLOOKUP(A25,'Loan List '!$A$6:$BA$82,24, FALSE)</f>
        <v>100</v>
      </c>
      <c r="M25" s="501"/>
      <c r="N25" s="502">
        <f>VLOOKUP(A25,'Loan List '!$A$6:$BA$82,22, FALSE)</f>
        <v>47330</v>
      </c>
      <c r="O25" s="602">
        <f t="shared" si="24"/>
        <v>1488750</v>
      </c>
      <c r="P25" s="327">
        <f t="shared" si="2"/>
        <v>1</v>
      </c>
      <c r="Q25" s="487" t="s">
        <v>451</v>
      </c>
      <c r="R25" s="488" t="s">
        <v>38</v>
      </c>
      <c r="S25" s="327" t="b">
        <f t="shared" si="3"/>
        <v>0</v>
      </c>
      <c r="T25" s="327">
        <f>VLOOKUP(A25,'Loan List '!$A$6:$BD$1048576,56,FALSE)/100</f>
        <v>1</v>
      </c>
      <c r="U25" s="535">
        <f t="shared" si="25"/>
        <v>1488750</v>
      </c>
      <c r="V25" s="503">
        <f>VLOOKUP(A25,'Loan List '!$A$6:$BA$82,26, FALSE)</f>
        <v>0</v>
      </c>
      <c r="W25" s="350">
        <f t="shared" si="51"/>
        <v>0</v>
      </c>
      <c r="X25" s="326"/>
      <c r="Y25" s="504">
        <f>VLOOKUP(A25,'Loan List '!$A$6:$BA$75,27, FALSE)</f>
        <v>0</v>
      </c>
      <c r="Z25" s="109"/>
      <c r="AA25" s="330"/>
      <c r="AB25" s="333">
        <f t="shared" si="5"/>
        <v>1.7419567286257209E-2</v>
      </c>
      <c r="AC25" s="333">
        <f t="shared" si="6"/>
        <v>2.6785715379326553E-3</v>
      </c>
      <c r="AD25" s="331">
        <f t="shared" si="26"/>
        <v>0</v>
      </c>
      <c r="AE25" s="320" t="str">
        <f t="shared" si="27"/>
        <v>Class 3</v>
      </c>
      <c r="AF25" s="649">
        <f t="shared" si="28"/>
        <v>5</v>
      </c>
      <c r="AG25" s="649">
        <f t="shared" si="29"/>
        <v>6</v>
      </c>
      <c r="AH25" s="332">
        <f t="shared" si="30"/>
        <v>1</v>
      </c>
      <c r="AI25" s="332">
        <f t="shared" si="31"/>
        <v>0</v>
      </c>
      <c r="AJ25" s="332">
        <f t="shared" si="32"/>
        <v>0.65</v>
      </c>
      <c r="AK25" s="332">
        <f t="shared" si="33"/>
        <v>0.35</v>
      </c>
      <c r="AL25" s="332">
        <f t="shared" si="34"/>
        <v>0.65</v>
      </c>
      <c r="AM25" s="333">
        <f ca="1">'Diversity Score'!$E$7</f>
        <v>1</v>
      </c>
      <c r="AN25" s="332">
        <f t="shared" ca="1" si="35"/>
        <v>0.65</v>
      </c>
      <c r="AO25" s="505">
        <f>VLOOKUP(A25,'Loan List '!$A$6:$BA$75,17, FALSE)</f>
        <v>0.06</v>
      </c>
      <c r="AP25" s="493" t="str">
        <f>VLOOKUP(A25,'Loan List '!$A$6:$BA$795,15, FALSE)</f>
        <v>SOFR</v>
      </c>
      <c r="AQ25" s="494">
        <f>VLOOKUP(A25,'Loan List '!$A$6:$BA$795,16, FALSE)</f>
        <v>0.01</v>
      </c>
      <c r="AR25" s="539">
        <v>0</v>
      </c>
      <c r="AS25" s="539">
        <v>0</v>
      </c>
      <c r="AT25" s="353"/>
      <c r="AU25" s="323">
        <f t="shared" si="52"/>
        <v>0.06</v>
      </c>
      <c r="AV25" s="323" t="b">
        <f t="shared" si="36"/>
        <v>0</v>
      </c>
      <c r="AW25" s="540" t="b">
        <f t="shared" si="37"/>
        <v>0</v>
      </c>
      <c r="AX25" s="323" t="b">
        <f t="shared" si="53"/>
        <v>0</v>
      </c>
      <c r="AY25" s="353"/>
      <c r="AZ25" s="323" t="b">
        <f t="shared" si="13"/>
        <v>0</v>
      </c>
      <c r="BA25" s="497" t="str">
        <f>'Loan List '!AS14</f>
        <v>Maintenance Covenants</v>
      </c>
      <c r="BB25" s="320" t="b">
        <f t="shared" si="38"/>
        <v>0</v>
      </c>
      <c r="BC25" s="326" t="b">
        <f t="shared" si="39"/>
        <v>0</v>
      </c>
      <c r="BD25" s="320" t="b">
        <f t="shared" si="40"/>
        <v>1</v>
      </c>
      <c r="BE25" s="320" t="b">
        <f t="shared" si="41"/>
        <v>1</v>
      </c>
      <c r="BF25" s="550" t="str">
        <f>'Loan List '!J14</f>
        <v>USD</v>
      </c>
      <c r="BG25" s="497" t="str">
        <f>VLOOKUP(A25,'Loan List '!$A$6:$BZ$75, 23, FALSE)</f>
        <v>USA</v>
      </c>
      <c r="BH25" s="320" t="b">
        <f t="shared" si="42"/>
        <v>0</v>
      </c>
      <c r="BI25" s="320" t="b">
        <f t="shared" si="43"/>
        <v>0</v>
      </c>
      <c r="BJ25" s="320" t="b">
        <f>IF('Loan List '!BP14=1, TRUE, FALSE)</f>
        <v>0</v>
      </c>
      <c r="BK25" s="320" t="b">
        <f t="shared" si="54"/>
        <v>0</v>
      </c>
      <c r="BL25" s="541" t="b">
        <f t="shared" si="55"/>
        <v>0</v>
      </c>
      <c r="BM25" s="320" t="b">
        <f>IF('Loan List '!AT14="Yes", TRUE, FALSE)</f>
        <v>0</v>
      </c>
      <c r="BN25" s="336">
        <f t="shared" ca="1" si="44"/>
        <v>4.0191780821917806</v>
      </c>
      <c r="BO25" s="337">
        <f ca="1">'Concentration Limitations'!H20</f>
        <v>1488750</v>
      </c>
      <c r="BP25" s="338">
        <f t="shared" ca="1" si="16"/>
        <v>967687.5</v>
      </c>
      <c r="BQ25" s="339"/>
      <c r="BR25" s="340"/>
      <c r="BS25" s="542">
        <f>'Loan List '!AG14</f>
        <v>45808</v>
      </c>
      <c r="BT25" s="650">
        <f>'Loan List '!AO14</f>
        <v>1.9968640302155076</v>
      </c>
      <c r="BU25" s="650">
        <f>'Loan List '!AI14</f>
        <v>4.2271481555449366</v>
      </c>
      <c r="BV25" s="490"/>
      <c r="BW25" s="377">
        <v>0</v>
      </c>
      <c r="BX25" s="492" t="s">
        <v>1217</v>
      </c>
      <c r="BY25" s="490">
        <f>'Loan List '!AJ14</f>
        <v>17.975770000000001</v>
      </c>
      <c r="BZ25" s="490">
        <f>'Loan List '!AL14</f>
        <v>0</v>
      </c>
      <c r="CA25" s="377">
        <v>0</v>
      </c>
      <c r="CB25" s="377">
        <v>0</v>
      </c>
      <c r="CC25" s="545" t="s">
        <v>146</v>
      </c>
      <c r="CD25" s="546" t="s">
        <v>146</v>
      </c>
      <c r="CE25" s="378" t="s">
        <v>1217</v>
      </c>
      <c r="CF25" s="491">
        <f>'Loan List '!AC14</f>
        <v>2.1230411923320749</v>
      </c>
      <c r="CG25" s="491">
        <f>'Loan List '!AD14</f>
        <v>3.9042798834256662</v>
      </c>
      <c r="CH25" s="491"/>
      <c r="CI25" s="377">
        <v>0</v>
      </c>
      <c r="CJ25" s="492" t="s">
        <v>1217</v>
      </c>
      <c r="CK25" s="491">
        <f>'Loan List '!AB14</f>
        <v>19.728528000000001</v>
      </c>
      <c r="CL25" s="495">
        <f>'Loan List '!AE14</f>
        <v>0</v>
      </c>
      <c r="CM25" s="377">
        <v>0</v>
      </c>
      <c r="CN25" s="377">
        <v>0</v>
      </c>
      <c r="CO25" s="377" t="s">
        <v>146</v>
      </c>
      <c r="CP25" s="547" t="s">
        <v>146</v>
      </c>
      <c r="CQ25" s="345">
        <f t="shared" si="17"/>
        <v>-5.9432272238659087E-2</v>
      </c>
      <c r="CR25" s="346">
        <f t="shared" si="18"/>
        <v>8.2695985369773628E-2</v>
      </c>
      <c r="CS25" s="347">
        <f t="shared" si="45"/>
        <v>0.32286827211927038</v>
      </c>
      <c r="CT25" s="485">
        <f t="shared" si="46"/>
        <v>-8.8843830619294017E-2</v>
      </c>
      <c r="CU25" s="348">
        <f>IF(OR($CQ25&lt;'Summary '!$I$47,$BT25&lt;'Summary '!$I$46),1,0)</f>
        <v>0</v>
      </c>
      <c r="CV25" s="348">
        <f>IF(OR($CS25&gt;='Summary '!$I$50, (AND(BU25&gt;'Summary '!$I$52, Calcs!CR25&gt; 'Summary '!$I$51))),1,0)</f>
        <v>0</v>
      </c>
      <c r="CW25" s="348">
        <f t="shared" si="20"/>
        <v>0</v>
      </c>
      <c r="CX25" s="447" t="s">
        <v>122</v>
      </c>
      <c r="CY25" s="447" t="s">
        <v>122</v>
      </c>
      <c r="CZ25" t="s">
        <v>122</v>
      </c>
      <c r="DA25" s="352"/>
      <c r="DD25" s="258">
        <v>0</v>
      </c>
      <c r="DE25" s="258">
        <v>0</v>
      </c>
      <c r="DF25" s="277"/>
      <c r="DI25" s="551" t="str">
        <f t="shared" si="21"/>
        <v>Eligible</v>
      </c>
      <c r="DJ25" s="423" t="str">
        <f t="shared" si="47"/>
        <v>Eligible</v>
      </c>
      <c r="DK25" s="549" t="s">
        <v>1271</v>
      </c>
      <c r="DL25" s="549" t="s">
        <v>1271</v>
      </c>
      <c r="DM25" s="423" t="str">
        <f t="shared" si="22"/>
        <v>Eligible</v>
      </c>
      <c r="DN25" s="423" t="str">
        <f t="shared" si="48"/>
        <v>Not PIK</v>
      </c>
      <c r="DO25" s="424" t="s">
        <v>122</v>
      </c>
      <c r="DP25" s="423" t="str">
        <f t="shared" si="49"/>
        <v>YES</v>
      </c>
    </row>
    <row r="26" spans="1:120" ht="16.5">
      <c r="A26" s="616" t="s">
        <v>1293</v>
      </c>
      <c r="B26" s="36">
        <f>IFERROR(VLOOKUP(A26,'Loan List '!$A$6:$BZ$75,2,FALSE),NA)</f>
        <v>0</v>
      </c>
      <c r="C26" s="498" t="str">
        <f>VLOOKUP(A26,'Loan List '!$A$6:$G$75, 7, FALSE)</f>
        <v>First Lien</v>
      </c>
      <c r="D26" s="498" t="str">
        <f>VLOOKUP(A26, 'Loan List '!$A$6:$K$82, 11, FALSE)</f>
        <v>FL</v>
      </c>
      <c r="E26" s="497" t="b">
        <f t="shared" si="23"/>
        <v>1</v>
      </c>
      <c r="F26" s="497" t="str">
        <f>VLOOKUP(A26,'Loan List '!$A$6:$L$75, 12, FALSE)</f>
        <v>Media</v>
      </c>
      <c r="G26" s="320"/>
      <c r="H26" s="533">
        <f t="shared" si="0"/>
        <v>6282197.3100000005</v>
      </c>
      <c r="I26" s="533">
        <f>VLOOKUP(A26,'Loan List '!$A$6:$L$75, 8, FALSE)</f>
        <v>6282197.3100000005</v>
      </c>
      <c r="J26" s="361">
        <v>0</v>
      </c>
      <c r="K26" s="323">
        <f t="shared" si="50"/>
        <v>1.7389203549950879E-2</v>
      </c>
      <c r="L26" s="601">
        <f>VLOOKUP(A26,'Loan List '!$A$6:$BA$82,24, FALSE)</f>
        <v>100</v>
      </c>
      <c r="M26" s="501"/>
      <c r="N26" s="502">
        <f>VLOOKUP(A26,'Loan List '!$A$6:$BA$82,22, FALSE)</f>
        <v>46266</v>
      </c>
      <c r="O26" s="602">
        <f t="shared" si="24"/>
        <v>6282197.3099999996</v>
      </c>
      <c r="P26" s="327">
        <f t="shared" si="2"/>
        <v>1</v>
      </c>
      <c r="Q26" s="487" t="s">
        <v>451</v>
      </c>
      <c r="R26" s="488" t="s">
        <v>38</v>
      </c>
      <c r="S26" s="327" t="b">
        <f t="shared" ref="S26:S74" si="56">IF(OR(CU26=1,CV26=1,CW26=1),TRUE,FALSE)</f>
        <v>1</v>
      </c>
      <c r="T26" s="327">
        <f>VLOOKUP(A26,'Loan List '!$A$6:$BD$1048576,56,FALSE)/100</f>
        <v>1</v>
      </c>
      <c r="U26" s="535">
        <f t="shared" si="25"/>
        <v>6282197.3100000005</v>
      </c>
      <c r="V26" s="503">
        <f>VLOOKUP(A26,'Loan List '!$A$6:$BA$82,26, FALSE)</f>
        <v>0</v>
      </c>
      <c r="W26" s="350">
        <f t="shared" si="51"/>
        <v>0</v>
      </c>
      <c r="X26" s="326"/>
      <c r="Y26" s="504">
        <f>VLOOKUP(A26,'Loan List '!$A$6:$BA$75,27, FALSE)</f>
        <v>0</v>
      </c>
      <c r="Z26" s="109"/>
      <c r="AA26" s="330"/>
      <c r="AB26" s="333">
        <f t="shared" si="5"/>
        <v>9.5517245787818283E-2</v>
      </c>
      <c r="AC26" s="333">
        <f t="shared" si="6"/>
        <v>1.0834856909386457E-2</v>
      </c>
      <c r="AD26" s="331">
        <f t="shared" si="26"/>
        <v>0</v>
      </c>
      <c r="AE26" s="320" t="str">
        <f t="shared" si="27"/>
        <v>Class 3</v>
      </c>
      <c r="AF26" s="649">
        <f t="shared" si="28"/>
        <v>5</v>
      </c>
      <c r="AG26" s="649">
        <f t="shared" si="29"/>
        <v>6</v>
      </c>
      <c r="AH26" s="332">
        <f t="shared" si="30"/>
        <v>0.91026512576478613</v>
      </c>
      <c r="AI26" s="332">
        <f t="shared" si="31"/>
        <v>8.9734874235213868E-2</v>
      </c>
      <c r="AJ26" s="332">
        <f t="shared" si="32"/>
        <v>0.65</v>
      </c>
      <c r="AK26" s="332">
        <f t="shared" si="33"/>
        <v>0.35</v>
      </c>
      <c r="AL26" s="332">
        <f t="shared" si="34"/>
        <v>0.62307953772943581</v>
      </c>
      <c r="AM26" s="333">
        <f ca="1">'Diversity Score'!$E$7</f>
        <v>1</v>
      </c>
      <c r="AN26" s="332">
        <f t="shared" ca="1" si="35"/>
        <v>0.62307953772943581</v>
      </c>
      <c r="AO26" s="505">
        <f>VLOOKUP(A26,'Loan List '!$A$6:$BA$75,17, FALSE)</f>
        <v>6.1899999999999997E-2</v>
      </c>
      <c r="AP26" s="493" t="str">
        <f>VLOOKUP(A26,'Loan List '!$A$6:$BA$795,15, FALSE)</f>
        <v>SOFR</v>
      </c>
      <c r="AQ26" s="494">
        <f>VLOOKUP(A26,'Loan List '!$A$6:$BA$795,16, FALSE)</f>
        <v>0.01</v>
      </c>
      <c r="AR26" s="539">
        <v>0</v>
      </c>
      <c r="AS26" s="539">
        <v>0</v>
      </c>
      <c r="AT26" s="353"/>
      <c r="AU26" s="323">
        <f t="shared" si="52"/>
        <v>6.1899999999999997E-2</v>
      </c>
      <c r="AV26" s="323" t="b">
        <f t="shared" si="36"/>
        <v>0</v>
      </c>
      <c r="AW26" s="540" t="b">
        <f t="shared" si="37"/>
        <v>0</v>
      </c>
      <c r="AX26" s="323" t="b">
        <f t="shared" si="53"/>
        <v>0</v>
      </c>
      <c r="AY26" s="353"/>
      <c r="AZ26" s="323" t="b">
        <f t="shared" si="13"/>
        <v>0</v>
      </c>
      <c r="BA26" s="497" t="str">
        <f>'Loan List '!AS15</f>
        <v>Maintenance Covenants</v>
      </c>
      <c r="BB26" s="320" t="b">
        <f t="shared" si="38"/>
        <v>0</v>
      </c>
      <c r="BC26" s="326" t="b">
        <f t="shared" si="39"/>
        <v>0</v>
      </c>
      <c r="BD26" s="320" t="b">
        <f t="shared" si="40"/>
        <v>1</v>
      </c>
      <c r="BE26" s="320" t="b">
        <f t="shared" si="41"/>
        <v>1</v>
      </c>
      <c r="BF26" s="550" t="str">
        <f>'Loan List '!J15</f>
        <v>USD</v>
      </c>
      <c r="BG26" s="497" t="str">
        <f>VLOOKUP(A26,'Loan List '!$A$6:$BZ$75, 23, FALSE)</f>
        <v>USA</v>
      </c>
      <c r="BH26" s="320" t="b">
        <f t="shared" si="42"/>
        <v>0</v>
      </c>
      <c r="BI26" s="320" t="b">
        <f t="shared" si="43"/>
        <v>0</v>
      </c>
      <c r="BJ26" s="320" t="b">
        <f>IF('Loan List '!BP15=1, TRUE, FALSE)</f>
        <v>0</v>
      </c>
      <c r="BK26" s="320" t="b">
        <f t="shared" si="54"/>
        <v>0</v>
      </c>
      <c r="BL26" s="541" t="b">
        <f t="shared" si="55"/>
        <v>0</v>
      </c>
      <c r="BM26" s="320" t="b">
        <f>IF('Loan List '!AT15="Yes", TRUE, FALSE)</f>
        <v>0</v>
      </c>
      <c r="BN26" s="336">
        <f t="shared" ca="1" si="44"/>
        <v>1.1041095890410959</v>
      </c>
      <c r="BO26" s="337">
        <f ca="1">'Concentration Limitations'!H21</f>
        <v>6282197.3100000005</v>
      </c>
      <c r="BP26" s="338">
        <f t="shared" ca="1" si="16"/>
        <v>3914308.5958399056</v>
      </c>
      <c r="BQ26" s="339"/>
      <c r="BR26" s="340"/>
      <c r="BS26" s="542">
        <f>'Loan List '!AG15</f>
        <v>45808</v>
      </c>
      <c r="BT26" s="650">
        <f>'Loan List '!AO15</f>
        <v>1.5540854224698237</v>
      </c>
      <c r="BU26" s="650">
        <f>'Loan List '!AI15</f>
        <v>5.4929051530993265</v>
      </c>
      <c r="BV26" s="490"/>
      <c r="BW26" s="377">
        <v>0</v>
      </c>
      <c r="BX26" s="492" t="s">
        <v>1217</v>
      </c>
      <c r="BY26" s="490">
        <f>'Loan List '!AJ15</f>
        <v>12.051000000000002</v>
      </c>
      <c r="BZ26" s="490">
        <f>'Loan List '!AL15</f>
        <v>0</v>
      </c>
      <c r="CA26" s="377">
        <v>0</v>
      </c>
      <c r="CB26" s="377">
        <v>0</v>
      </c>
      <c r="CC26" s="545" t="s">
        <v>146</v>
      </c>
      <c r="CD26" s="546" t="s">
        <v>146</v>
      </c>
      <c r="CE26" s="378" t="s">
        <v>1217</v>
      </c>
      <c r="CF26" s="491">
        <f>'Loan List '!AC15</f>
        <v>1.3879915005982586</v>
      </c>
      <c r="CG26" s="491">
        <f>'Loan List '!AD15</f>
        <v>5.2933867407831299</v>
      </c>
      <c r="CH26" s="491"/>
      <c r="CI26" s="377">
        <v>0</v>
      </c>
      <c r="CJ26" s="492" t="s">
        <v>1217</v>
      </c>
      <c r="CK26" s="491">
        <f>'Loan List '!AB15</f>
        <v>12.232999999999999</v>
      </c>
      <c r="CL26" s="495">
        <f>'Loan List '!AE15</f>
        <v>0</v>
      </c>
      <c r="CM26" s="377">
        <v>0</v>
      </c>
      <c r="CN26" s="377">
        <v>0</v>
      </c>
      <c r="CO26" s="377" t="s">
        <v>146</v>
      </c>
      <c r="CP26" s="547" t="s">
        <v>146</v>
      </c>
      <c r="CQ26" s="345">
        <f t="shared" si="17"/>
        <v>0.11966494160805347</v>
      </c>
      <c r="CR26" s="346">
        <f t="shared" si="18"/>
        <v>3.769201497766983E-2</v>
      </c>
      <c r="CS26" s="347">
        <f t="shared" si="45"/>
        <v>0.1995184123161966</v>
      </c>
      <c r="CT26" s="485">
        <f t="shared" si="46"/>
        <v>-1.4877789585547085E-2</v>
      </c>
      <c r="CU26" s="348">
        <f>IF(OR($CQ26&lt;'Summary '!$I$47,$BT26&lt;'Summary '!$I$46),1,0)</f>
        <v>1</v>
      </c>
      <c r="CV26" s="348">
        <f>IF(OR($CS26&gt;='Summary '!$I$50, (AND(BU26&gt;'Summary '!$I$52, Calcs!CR26&gt; 'Summary '!$I$51))),1,0)</f>
        <v>0</v>
      </c>
      <c r="CW26" s="348">
        <f t="shared" si="20"/>
        <v>1</v>
      </c>
      <c r="CX26" s="447" t="s">
        <v>122</v>
      </c>
      <c r="CY26" s="447" t="s">
        <v>122</v>
      </c>
      <c r="CZ26" t="s">
        <v>122</v>
      </c>
      <c r="DA26" s="352"/>
      <c r="DD26" s="258">
        <v>0</v>
      </c>
      <c r="DE26" s="258">
        <v>0</v>
      </c>
      <c r="DF26" s="277"/>
      <c r="DI26" s="551" t="str">
        <f t="shared" ref="DI26:DI74" si="57">IF(L26&lt;90%,"Not Eligible","Eligible")</f>
        <v>Eligible</v>
      </c>
      <c r="DJ26" s="423" t="str">
        <f t="shared" si="47"/>
        <v>Eligible</v>
      </c>
      <c r="DK26" s="549" t="s">
        <v>1271</v>
      </c>
      <c r="DL26" s="549" t="s">
        <v>1271</v>
      </c>
      <c r="DM26" s="423" t="str">
        <f t="shared" ref="DM26:DM74" si="58">IF(BM26="FALSE",IF(BY26&lt;5,"Not Eligible","Eligible"),"Eligible")</f>
        <v>Eligible</v>
      </c>
      <c r="DN26" s="423" t="str">
        <f t="shared" ref="DN26:DN74" si="59">IF(AW26=TRUE,IF(AU26&gt;=3%,"Eligible","Not Eligible"),"Not PIK")</f>
        <v>Not PIK</v>
      </c>
      <c r="DO26" s="424" t="s">
        <v>122</v>
      </c>
      <c r="DP26" s="423" t="str">
        <f t="shared" si="49"/>
        <v>YES</v>
      </c>
    </row>
    <row r="27" spans="1:120" ht="16.5">
      <c r="A27" s="616" t="s">
        <v>1272</v>
      </c>
      <c r="B27" s="36">
        <f>IFERROR(VLOOKUP(A27,'Loan List '!$A$6:$BZ$75,2,FALSE),NA)</f>
        <v>0</v>
      </c>
      <c r="C27" s="498" t="str">
        <f>VLOOKUP(A27,'Loan List '!$A$6:$G$75, 7, FALSE)</f>
        <v>First Lien</v>
      </c>
      <c r="D27" s="498" t="str">
        <f>VLOOKUP(A27, 'Loan List '!$A$6:$K$82, 11, FALSE)</f>
        <v>FL</v>
      </c>
      <c r="E27" s="497" t="b">
        <f t="shared" si="23"/>
        <v>1</v>
      </c>
      <c r="F27" s="497" t="str">
        <f>VLOOKUP(A27,'Loan List '!$A$6:$L$75, 12, FALSE)</f>
        <v>Media</v>
      </c>
      <c r="G27" s="320"/>
      <c r="H27" s="533">
        <f t="shared" si="0"/>
        <v>6882726.1399999997</v>
      </c>
      <c r="I27" s="533">
        <f>VLOOKUP(A27,'Loan List '!$A$6:$L$75, 8, FALSE)</f>
        <v>6882726.1399999997</v>
      </c>
      <c r="J27" s="361">
        <v>0</v>
      </c>
      <c r="K27" s="323">
        <f t="shared" si="50"/>
        <v>1.9051475132198244E-2</v>
      </c>
      <c r="L27" s="601">
        <f>VLOOKUP(A27,'Loan List '!$A$6:$BA$82,24, FALSE)</f>
        <v>100</v>
      </c>
      <c r="M27" s="501"/>
      <c r="N27" s="502">
        <f>VLOOKUP(A27,'Loan List '!$A$6:$BA$82,22, FALSE)</f>
        <v>47521</v>
      </c>
      <c r="O27" s="602">
        <f t="shared" si="24"/>
        <v>6882726.1399999997</v>
      </c>
      <c r="P27" s="327">
        <f t="shared" si="2"/>
        <v>1</v>
      </c>
      <c r="Q27" s="487" t="s">
        <v>451</v>
      </c>
      <c r="R27" s="488" t="s">
        <v>38</v>
      </c>
      <c r="S27" s="327" t="b">
        <f t="shared" si="56"/>
        <v>1</v>
      </c>
      <c r="T27" s="327">
        <f>VLOOKUP(A27,'Loan List '!$A$6:$BD$1048576,56,FALSE)/100</f>
        <v>1</v>
      </c>
      <c r="U27" s="535">
        <f t="shared" si="25"/>
        <v>6882726.1399999997</v>
      </c>
      <c r="V27" s="503">
        <f>VLOOKUP(A27,'Loan List '!$A$6:$BA$82,26, FALSE)</f>
        <v>0</v>
      </c>
      <c r="W27" s="350">
        <f t="shared" si="51"/>
        <v>0</v>
      </c>
      <c r="X27" s="326"/>
      <c r="Y27" s="504">
        <f>VLOOKUP(A27,'Loan List '!$A$6:$BA$75,27, FALSE)</f>
        <v>0</v>
      </c>
      <c r="Z27" s="109"/>
      <c r="AA27" s="330"/>
      <c r="AB27" s="333">
        <f t="shared" si="5"/>
        <v>9.0682641530168126E-2</v>
      </c>
      <c r="AC27" s="333">
        <f t="shared" si="6"/>
        <v>1.2383458835928859E-2</v>
      </c>
      <c r="AD27" s="331">
        <f t="shared" si="26"/>
        <v>0</v>
      </c>
      <c r="AE27" s="320" t="str">
        <f t="shared" si="27"/>
        <v>Class 3</v>
      </c>
      <c r="AF27" s="649">
        <f t="shared" si="28"/>
        <v>5</v>
      </c>
      <c r="AG27" s="649">
        <f t="shared" si="29"/>
        <v>6</v>
      </c>
      <c r="AH27" s="332">
        <f t="shared" si="30"/>
        <v>1</v>
      </c>
      <c r="AI27" s="332">
        <f t="shared" si="31"/>
        <v>0</v>
      </c>
      <c r="AJ27" s="332">
        <f t="shared" si="32"/>
        <v>0.65</v>
      </c>
      <c r="AK27" s="332">
        <f t="shared" si="33"/>
        <v>0.35</v>
      </c>
      <c r="AL27" s="332">
        <f t="shared" si="34"/>
        <v>0.65</v>
      </c>
      <c r="AM27" s="333">
        <f ca="1">'Diversity Score'!$E$7</f>
        <v>1</v>
      </c>
      <c r="AN27" s="332">
        <f t="shared" ca="1" si="35"/>
        <v>0.65</v>
      </c>
      <c r="AO27" s="505">
        <f>VLOOKUP(A27,'Loan List '!$A$6:$BA$75,17, FALSE)</f>
        <v>5.5E-2</v>
      </c>
      <c r="AP27" s="493" t="str">
        <f>VLOOKUP(A27,'Loan List '!$A$6:$BA$795,15, FALSE)</f>
        <v>SOFR</v>
      </c>
      <c r="AQ27" s="494">
        <f>VLOOKUP(A27,'Loan List '!$A$6:$BA$795,16, FALSE)</f>
        <v>0.01</v>
      </c>
      <c r="AR27" s="539">
        <v>0</v>
      </c>
      <c r="AS27" s="539">
        <v>0</v>
      </c>
      <c r="AT27" s="353"/>
      <c r="AU27" s="323">
        <f t="shared" si="52"/>
        <v>5.5E-2</v>
      </c>
      <c r="AV27" s="323" t="b">
        <f t="shared" si="36"/>
        <v>0</v>
      </c>
      <c r="AW27" s="540" t="b">
        <f t="shared" si="37"/>
        <v>0</v>
      </c>
      <c r="AX27" s="323" t="b">
        <f t="shared" si="53"/>
        <v>0</v>
      </c>
      <c r="AY27" s="353"/>
      <c r="AZ27" s="323" t="b">
        <f t="shared" si="13"/>
        <v>0</v>
      </c>
      <c r="BA27" s="497" t="str">
        <f>'Loan List '!AS16</f>
        <v>Maintenance Covenants</v>
      </c>
      <c r="BB27" s="320" t="b">
        <f t="shared" si="38"/>
        <v>0</v>
      </c>
      <c r="BC27" s="326" t="b">
        <f t="shared" si="39"/>
        <v>0</v>
      </c>
      <c r="BD27" s="320" t="b">
        <f t="shared" si="40"/>
        <v>1</v>
      </c>
      <c r="BE27" s="320" t="b">
        <f t="shared" si="41"/>
        <v>1</v>
      </c>
      <c r="BF27" s="550" t="str">
        <f>'Loan List '!J16</f>
        <v>USD</v>
      </c>
      <c r="BG27" s="497" t="str">
        <f>VLOOKUP(A27,'Loan List '!$A$6:$BZ$75, 23, FALSE)</f>
        <v>USA</v>
      </c>
      <c r="BH27" s="320" t="b">
        <f t="shared" si="42"/>
        <v>0</v>
      </c>
      <c r="BI27" s="320" t="b">
        <f t="shared" si="43"/>
        <v>0</v>
      </c>
      <c r="BJ27" s="320" t="b">
        <f>IF('Loan List '!BP16=1, TRUE, FALSE)</f>
        <v>0</v>
      </c>
      <c r="BK27" s="320" t="b">
        <f t="shared" si="54"/>
        <v>0</v>
      </c>
      <c r="BL27" s="541" t="b">
        <f t="shared" si="55"/>
        <v>0</v>
      </c>
      <c r="BM27" s="320" t="b">
        <f>IF('Loan List '!AT16="Yes", TRUE, FALSE)</f>
        <v>0</v>
      </c>
      <c r="BN27" s="336">
        <f t="shared" ca="1" si="44"/>
        <v>4.5424657534246577</v>
      </c>
      <c r="BO27" s="337">
        <f ca="1">'Concentration Limitations'!H22</f>
        <v>6882726.1399999997</v>
      </c>
      <c r="BP27" s="338">
        <f t="shared" ca="1" si="16"/>
        <v>4473771.9910000004</v>
      </c>
      <c r="BQ27" s="339"/>
      <c r="BR27" s="340"/>
      <c r="BS27" s="542">
        <f>'Loan List '!AG16</f>
        <v>45777</v>
      </c>
      <c r="BT27" s="650">
        <f>'Loan List '!AO16</f>
        <v>1.9328322592667</v>
      </c>
      <c r="BU27" s="650">
        <f>'Loan List '!AI16</f>
        <v>4.7598750700888512</v>
      </c>
      <c r="BV27" s="490"/>
      <c r="BW27" s="377">
        <v>0</v>
      </c>
      <c r="BX27" s="492" t="s">
        <v>1217</v>
      </c>
      <c r="BY27" s="490">
        <f>'Loan List '!AJ16</f>
        <v>18.576537975890503</v>
      </c>
      <c r="BZ27" s="490">
        <f>'Loan List '!AL16</f>
        <v>0</v>
      </c>
      <c r="CA27" s="377">
        <v>0</v>
      </c>
      <c r="CB27" s="377">
        <v>0</v>
      </c>
      <c r="CC27" s="545" t="s">
        <v>146</v>
      </c>
      <c r="CD27" s="546" t="s">
        <v>146</v>
      </c>
      <c r="CE27" s="378" t="s">
        <v>1217</v>
      </c>
      <c r="CF27" s="491">
        <f>'Loan List '!AC16</f>
        <v>4.7515886745321634</v>
      </c>
      <c r="CG27" s="491">
        <f>'Loan List '!AD16</f>
        <v>2.7673367384731251</v>
      </c>
      <c r="CH27" s="491"/>
      <c r="CI27" s="377">
        <v>0</v>
      </c>
      <c r="CJ27" s="492" t="s">
        <v>1217</v>
      </c>
      <c r="CK27" s="491">
        <f>'Loan List '!AB16</f>
        <v>19.457816168527103</v>
      </c>
      <c r="CL27" s="495">
        <f>'Loan List '!AE16</f>
        <v>0</v>
      </c>
      <c r="CM27" s="377">
        <v>0</v>
      </c>
      <c r="CN27" s="377">
        <v>0</v>
      </c>
      <c r="CO27" s="377" t="s">
        <v>146</v>
      </c>
      <c r="CP27" s="547" t="s">
        <v>146</v>
      </c>
      <c r="CQ27" s="345">
        <f t="shared" si="17"/>
        <v>-0.5932239948237934</v>
      </c>
      <c r="CR27" s="346">
        <f t="shared" si="18"/>
        <v>0.72002019266910999</v>
      </c>
      <c r="CS27" s="347">
        <f t="shared" si="45"/>
        <v>1.9925383316157261</v>
      </c>
      <c r="CT27" s="485">
        <f t="shared" si="46"/>
        <v>-4.5291731867734608E-2</v>
      </c>
      <c r="CU27" s="348">
        <f>IF(OR($CQ27&lt;'Summary '!$I$47,$BT27&lt;'Summary '!$I$46),1,0)</f>
        <v>1</v>
      </c>
      <c r="CV27" s="348">
        <f>IF(OR($CS27&gt;='Summary '!$I$50, (AND(BU27&gt;'Summary '!$I$52, Calcs!CR27&gt; 'Summary '!$I$51))),1,0)</f>
        <v>1</v>
      </c>
      <c r="CW27" s="348">
        <f t="shared" si="20"/>
        <v>1</v>
      </c>
      <c r="CX27" s="447" t="s">
        <v>122</v>
      </c>
      <c r="CY27" s="447" t="s">
        <v>122</v>
      </c>
      <c r="CZ27" t="s">
        <v>122</v>
      </c>
      <c r="DA27" s="352"/>
      <c r="DD27" s="258">
        <v>0</v>
      </c>
      <c r="DE27" s="258">
        <v>0</v>
      </c>
      <c r="DF27" s="277"/>
      <c r="DI27" s="551" t="str">
        <f t="shared" si="57"/>
        <v>Eligible</v>
      </c>
      <c r="DJ27" s="423" t="str">
        <f t="shared" si="47"/>
        <v>Eligible</v>
      </c>
      <c r="DK27" s="549" t="s">
        <v>1271</v>
      </c>
      <c r="DL27" s="549" t="s">
        <v>1271</v>
      </c>
      <c r="DM27" s="423" t="str">
        <f t="shared" si="58"/>
        <v>Eligible</v>
      </c>
      <c r="DN27" s="423" t="str">
        <f t="shared" si="59"/>
        <v>Not PIK</v>
      </c>
      <c r="DO27" s="424" t="s">
        <v>122</v>
      </c>
      <c r="DP27" s="423" t="str">
        <f t="shared" si="49"/>
        <v>YES</v>
      </c>
    </row>
    <row r="28" spans="1:120" ht="16.5">
      <c r="A28" s="616" t="s">
        <v>1087</v>
      </c>
      <c r="B28" s="36">
        <f>IFERROR(VLOOKUP(A28,'Loan List '!$A$6:$BZ$75,2,FALSE),NA)</f>
        <v>0</v>
      </c>
      <c r="C28" s="498" t="str">
        <f>VLOOKUP(A28,'Loan List '!$A$6:$G$75, 7, FALSE)</f>
        <v>First Lien</v>
      </c>
      <c r="D28" s="498" t="str">
        <f>VLOOKUP(A28, 'Loan List '!$A$6:$K$82, 11, FALSE)</f>
        <v>FL</v>
      </c>
      <c r="E28" s="497" t="b">
        <f t="shared" si="23"/>
        <v>1</v>
      </c>
      <c r="F28" s="497" t="str">
        <f>VLOOKUP(A28,'Loan List '!$A$6:$L$75, 12, FALSE)</f>
        <v>Health Care Providers &amp; Services</v>
      </c>
      <c r="G28" s="320"/>
      <c r="H28" s="533">
        <f t="shared" si="0"/>
        <v>1113939.3600000001</v>
      </c>
      <c r="I28" s="533">
        <f>VLOOKUP(A28,'Loan List '!$A$6:$L$75, 8, FALSE)</f>
        <v>1113939.3600000001</v>
      </c>
      <c r="J28" s="361">
        <v>0</v>
      </c>
      <c r="K28" s="323">
        <f t="shared" si="50"/>
        <v>3.0833985813384156E-3</v>
      </c>
      <c r="L28" s="601">
        <f>VLOOKUP(A28,'Loan List '!$A$6:$BA$82,24, FALSE)</f>
        <v>100</v>
      </c>
      <c r="M28" s="501"/>
      <c r="N28" s="502">
        <f>VLOOKUP(A28,'Loan List '!$A$6:$BA$82,22, FALSE)</f>
        <v>47452</v>
      </c>
      <c r="O28" s="602">
        <f t="shared" si="24"/>
        <v>1113939.3600000001</v>
      </c>
      <c r="P28" s="327">
        <f t="shared" si="2"/>
        <v>1</v>
      </c>
      <c r="Q28" s="487" t="s">
        <v>451</v>
      </c>
      <c r="R28" s="488" t="s">
        <v>38</v>
      </c>
      <c r="S28" s="327" t="b">
        <f t="shared" si="56"/>
        <v>1</v>
      </c>
      <c r="T28" s="327">
        <f>VLOOKUP(A28,'Loan List '!$A$6:$BD$1048576,56,FALSE)/100</f>
        <v>1</v>
      </c>
      <c r="U28" s="535">
        <f t="shared" si="25"/>
        <v>1113939.3600000001</v>
      </c>
      <c r="V28" s="503">
        <f>VLOOKUP(A28,'Loan List '!$A$6:$BA$82,26, FALSE)</f>
        <v>0</v>
      </c>
      <c r="W28" s="350">
        <f t="shared" si="51"/>
        <v>0</v>
      </c>
      <c r="X28" s="326"/>
      <c r="Y28" s="504">
        <f>VLOOKUP(A28,'Loan List '!$A$6:$BA$75,27, FALSE)</f>
        <v>0</v>
      </c>
      <c r="Z28" s="109"/>
      <c r="AA28" s="330"/>
      <c r="AB28" s="333">
        <f t="shared" si="5"/>
        <v>9.5116128504754739E-3</v>
      </c>
      <c r="AC28" s="333">
        <f t="shared" si="6"/>
        <v>2.0042090778699703E-3</v>
      </c>
      <c r="AD28" s="331">
        <f t="shared" si="26"/>
        <v>0</v>
      </c>
      <c r="AE28" s="320" t="str">
        <f t="shared" si="27"/>
        <v>Class 3</v>
      </c>
      <c r="AF28" s="649">
        <f t="shared" si="28"/>
        <v>5</v>
      </c>
      <c r="AG28" s="649">
        <f t="shared" si="29"/>
        <v>6</v>
      </c>
      <c r="AH28" s="332">
        <f t="shared" si="30"/>
        <v>1</v>
      </c>
      <c r="AI28" s="332">
        <f t="shared" si="31"/>
        <v>0</v>
      </c>
      <c r="AJ28" s="332">
        <f t="shared" si="32"/>
        <v>0.65</v>
      </c>
      <c r="AK28" s="332">
        <f t="shared" si="33"/>
        <v>0.35</v>
      </c>
      <c r="AL28" s="332">
        <f t="shared" si="34"/>
        <v>0.65</v>
      </c>
      <c r="AM28" s="333">
        <f ca="1">'Diversity Score'!$E$7</f>
        <v>1</v>
      </c>
      <c r="AN28" s="332">
        <f t="shared" ca="1" si="35"/>
        <v>0.65</v>
      </c>
      <c r="AO28" s="505">
        <f>VLOOKUP(A28,'Loan List '!$A$6:$BA$75,17, FALSE)</f>
        <v>5.2499999999999998E-2</v>
      </c>
      <c r="AP28" s="493" t="str">
        <f>VLOOKUP(A28,'Loan List '!$A$6:$BA$795,15, FALSE)</f>
        <v>SOFR</v>
      </c>
      <c r="AQ28" s="494">
        <f>VLOOKUP(A28,'Loan List '!$A$6:$BA$795,16, FALSE)</f>
        <v>0.01</v>
      </c>
      <c r="AR28" s="539">
        <v>0</v>
      </c>
      <c r="AS28" s="539">
        <v>0</v>
      </c>
      <c r="AT28" s="353"/>
      <c r="AU28" s="323">
        <f t="shared" si="52"/>
        <v>5.2499999999999998E-2</v>
      </c>
      <c r="AV28" s="323" t="b">
        <f t="shared" si="36"/>
        <v>0</v>
      </c>
      <c r="AW28" s="540" t="b">
        <f t="shared" si="37"/>
        <v>0</v>
      </c>
      <c r="AX28" s="323" t="b">
        <f t="shared" si="53"/>
        <v>0</v>
      </c>
      <c r="AY28" s="353"/>
      <c r="AZ28" s="323" t="b">
        <f t="shared" si="13"/>
        <v>0</v>
      </c>
      <c r="BA28" s="497" t="str">
        <f>'Loan List '!AS17</f>
        <v>Maintenance Covenants</v>
      </c>
      <c r="BB28" s="320" t="b">
        <f t="shared" si="38"/>
        <v>0</v>
      </c>
      <c r="BC28" s="326" t="b">
        <f t="shared" si="39"/>
        <v>0</v>
      </c>
      <c r="BD28" s="320" t="b">
        <f t="shared" si="40"/>
        <v>1</v>
      </c>
      <c r="BE28" s="320" t="b">
        <f t="shared" si="41"/>
        <v>1</v>
      </c>
      <c r="BF28" s="550" t="str">
        <f>'Loan List '!J17</f>
        <v>USD</v>
      </c>
      <c r="BG28" s="497" t="str">
        <f>VLOOKUP(A28,'Loan List '!$A$6:$BZ$75, 23, FALSE)</f>
        <v>USA</v>
      </c>
      <c r="BH28" s="320" t="b">
        <f t="shared" si="42"/>
        <v>0</v>
      </c>
      <c r="BI28" s="320" t="b">
        <f t="shared" si="43"/>
        <v>0</v>
      </c>
      <c r="BJ28" s="320" t="b">
        <f>IF('Loan List '!BP17=1, TRUE, FALSE)</f>
        <v>0</v>
      </c>
      <c r="BK28" s="320" t="b">
        <f t="shared" si="54"/>
        <v>0</v>
      </c>
      <c r="BL28" s="541" t="b">
        <f t="shared" si="55"/>
        <v>0</v>
      </c>
      <c r="BM28" s="320" t="b">
        <f>IF('Loan List '!AT17="Yes", TRUE, FALSE)</f>
        <v>0</v>
      </c>
      <c r="BN28" s="336">
        <f t="shared" ca="1" si="44"/>
        <v>4.353424657534247</v>
      </c>
      <c r="BO28" s="337">
        <f ca="1">'Concentration Limitations'!H23</f>
        <v>1113939.3600000001</v>
      </c>
      <c r="BP28" s="338">
        <f t="shared" ca="1" si="16"/>
        <v>724060.58400000015</v>
      </c>
      <c r="BQ28" s="339"/>
      <c r="BR28" s="340"/>
      <c r="BS28" s="542">
        <f>'Loan List '!AG17</f>
        <v>45777</v>
      </c>
      <c r="BT28" s="650">
        <f>'Loan List '!AO17</f>
        <v>2.210207674772124</v>
      </c>
      <c r="BU28" s="650">
        <f>'Loan List '!AI17</f>
        <v>3.0847821323011551</v>
      </c>
      <c r="BV28" s="490"/>
      <c r="BW28" s="377">
        <v>0</v>
      </c>
      <c r="BX28" s="492" t="s">
        <v>1217</v>
      </c>
      <c r="BY28" s="490">
        <f>'Loan List '!AJ17</f>
        <v>19.206771</v>
      </c>
      <c r="BZ28" s="490">
        <f>'Loan List '!AL17</f>
        <v>0</v>
      </c>
      <c r="CA28" s="377">
        <v>0</v>
      </c>
      <c r="CB28" s="377">
        <v>0</v>
      </c>
      <c r="CC28" s="545" t="s">
        <v>146</v>
      </c>
      <c r="CD28" s="546" t="s">
        <v>146</v>
      </c>
      <c r="CE28" s="378" t="s">
        <v>1217</v>
      </c>
      <c r="CF28" s="491">
        <f>'Loan List '!AC17</f>
        <v>2.3900626088839778</v>
      </c>
      <c r="CG28" s="491">
        <f>'Loan List '!AD17</f>
        <v>1.4414121053161031</v>
      </c>
      <c r="CH28" s="491"/>
      <c r="CI28" s="377">
        <v>0</v>
      </c>
      <c r="CJ28" s="492" t="s">
        <v>1217</v>
      </c>
      <c r="CK28" s="491">
        <f>'Loan List '!AB17</f>
        <v>10.781094416153847</v>
      </c>
      <c r="CL28" s="495">
        <f>'Loan List '!AE17</f>
        <v>0</v>
      </c>
      <c r="CM28" s="377">
        <v>0</v>
      </c>
      <c r="CN28" s="377">
        <v>0</v>
      </c>
      <c r="CO28" s="377" t="s">
        <v>146</v>
      </c>
      <c r="CP28" s="547" t="s">
        <v>146</v>
      </c>
      <c r="CQ28" s="345">
        <f t="shared" si="17"/>
        <v>-7.5251139214229948E-2</v>
      </c>
      <c r="CR28" s="346">
        <f t="shared" si="18"/>
        <v>1.1401111596913218</v>
      </c>
      <c r="CS28" s="347">
        <f t="shared" si="45"/>
        <v>1.643370026985052</v>
      </c>
      <c r="CT28" s="485">
        <f t="shared" si="46"/>
        <v>0.78152330910130474</v>
      </c>
      <c r="CU28" s="348">
        <f>IF(OR($CQ28&lt;'Summary '!$I$47,$BT28&lt;'Summary '!$I$46),1,0)</f>
        <v>0</v>
      </c>
      <c r="CV28" s="348">
        <f>IF(OR($CS28&gt;='Summary '!$I$50, (AND(BU28&gt;'Summary '!$I$52, Calcs!CR28&gt; 'Summary '!$I$51))),1,0)</f>
        <v>1</v>
      </c>
      <c r="CW28" s="348">
        <f t="shared" si="20"/>
        <v>1</v>
      </c>
      <c r="CX28" s="447" t="s">
        <v>122</v>
      </c>
      <c r="CY28" s="447" t="s">
        <v>122</v>
      </c>
      <c r="CZ28" t="s">
        <v>122</v>
      </c>
      <c r="DA28" s="352"/>
      <c r="DD28" s="258">
        <v>0</v>
      </c>
      <c r="DE28" s="258">
        <v>0</v>
      </c>
      <c r="DF28" s="277"/>
      <c r="DI28" s="551" t="str">
        <f t="shared" si="57"/>
        <v>Eligible</v>
      </c>
      <c r="DJ28" s="423" t="str">
        <f t="shared" si="47"/>
        <v>Eligible</v>
      </c>
      <c r="DK28" s="549" t="s">
        <v>1271</v>
      </c>
      <c r="DL28" s="549" t="s">
        <v>1271</v>
      </c>
      <c r="DM28" s="423" t="str">
        <f t="shared" si="58"/>
        <v>Eligible</v>
      </c>
      <c r="DN28" s="423" t="str">
        <f t="shared" si="59"/>
        <v>Not PIK</v>
      </c>
      <c r="DO28" s="424" t="s">
        <v>122</v>
      </c>
      <c r="DP28" s="423" t="str">
        <f t="shared" si="49"/>
        <v>YES</v>
      </c>
    </row>
    <row r="29" spans="1:120" ht="16.5">
      <c r="A29" s="616" t="s">
        <v>1090</v>
      </c>
      <c r="B29" s="36">
        <f>IFERROR(VLOOKUP(A29,'Loan List '!$A$6:$BZ$75,2,FALSE),NA)</f>
        <v>0</v>
      </c>
      <c r="C29" s="498" t="str">
        <f>VLOOKUP(A29,'Loan List '!$A$6:$G$75, 7, FALSE)</f>
        <v>First Lien</v>
      </c>
      <c r="D29" s="498" t="str">
        <f>VLOOKUP(A29, 'Loan List '!$A$6:$K$82, 11, FALSE)</f>
        <v>FL</v>
      </c>
      <c r="E29" s="497" t="b">
        <f t="shared" si="23"/>
        <v>1</v>
      </c>
      <c r="F29" s="497" t="str">
        <f>VLOOKUP(A29,'Loan List '!$A$6:$L$75, 12, FALSE)</f>
        <v>Distributors</v>
      </c>
      <c r="G29" s="320"/>
      <c r="H29" s="533">
        <f t="shared" si="0"/>
        <v>5192492.34</v>
      </c>
      <c r="I29" s="533">
        <f>VLOOKUP(A29,'Loan List '!$A$6:$L$75, 8, FALSE)</f>
        <v>5192492.34</v>
      </c>
      <c r="J29" s="361">
        <v>0</v>
      </c>
      <c r="K29" s="323">
        <f t="shared" si="50"/>
        <v>1.4372886074127579E-2</v>
      </c>
      <c r="L29" s="601">
        <f>VLOOKUP(A29,'Loan List '!$A$6:$BA$82,24, FALSE)</f>
        <v>100</v>
      </c>
      <c r="M29" s="501"/>
      <c r="N29" s="502">
        <f>VLOOKUP(A29,'Loan List '!$A$6:$BA$82,22, FALSE)</f>
        <v>46918</v>
      </c>
      <c r="O29" s="602">
        <f t="shared" si="24"/>
        <v>5192492.34</v>
      </c>
      <c r="P29" s="327">
        <f t="shared" si="2"/>
        <v>1</v>
      </c>
      <c r="Q29" s="487" t="s">
        <v>451</v>
      </c>
      <c r="R29" s="488" t="s">
        <v>38</v>
      </c>
      <c r="S29" s="327" t="b">
        <f t="shared" si="56"/>
        <v>1</v>
      </c>
      <c r="T29" s="327">
        <f>VLOOKUP(A29,'Loan List '!$A$6:$BD$1048576,56,FALSE)/100</f>
        <v>1</v>
      </c>
      <c r="U29" s="535">
        <f t="shared" si="25"/>
        <v>5192492.34</v>
      </c>
      <c r="V29" s="503">
        <f>VLOOKUP(A29,'Loan List '!$A$6:$BA$82,26, FALSE)</f>
        <v>0</v>
      </c>
      <c r="W29" s="350">
        <f t="shared" si="51"/>
        <v>0</v>
      </c>
      <c r="X29" s="326"/>
      <c r="Y29" s="504">
        <f>VLOOKUP(A29,'Loan List '!$A$6:$BA$75,27, FALSE)</f>
        <v>0</v>
      </c>
      <c r="Z29" s="109"/>
      <c r="AA29" s="330"/>
      <c r="AB29" s="333">
        <f t="shared" si="5"/>
        <v>5.4641137251575829E-2</v>
      </c>
      <c r="AC29" s="333">
        <f t="shared" si="6"/>
        <v>9.3423759481829263E-3</v>
      </c>
      <c r="AD29" s="331">
        <f t="shared" si="26"/>
        <v>0</v>
      </c>
      <c r="AE29" s="320" t="str">
        <f t="shared" si="27"/>
        <v>Class 3</v>
      </c>
      <c r="AF29" s="649">
        <f t="shared" si="28"/>
        <v>5</v>
      </c>
      <c r="AG29" s="649">
        <f t="shared" si="29"/>
        <v>6</v>
      </c>
      <c r="AH29" s="332">
        <f t="shared" si="30"/>
        <v>1</v>
      </c>
      <c r="AI29" s="332">
        <f t="shared" si="31"/>
        <v>0</v>
      </c>
      <c r="AJ29" s="332">
        <f t="shared" si="32"/>
        <v>0.65</v>
      </c>
      <c r="AK29" s="332">
        <f t="shared" si="33"/>
        <v>0.35</v>
      </c>
      <c r="AL29" s="332">
        <f t="shared" si="34"/>
        <v>0.65</v>
      </c>
      <c r="AM29" s="333">
        <f ca="1">'Diversity Score'!$E$7</f>
        <v>1</v>
      </c>
      <c r="AN29" s="332">
        <f t="shared" ca="1" si="35"/>
        <v>0.65</v>
      </c>
      <c r="AO29" s="505">
        <f>VLOOKUP(A29,'Loan List '!$A$6:$BA$75,17, FALSE)</f>
        <v>5.7500000000000002E-2</v>
      </c>
      <c r="AP29" s="493" t="str">
        <f>VLOOKUP(A29,'Loan List '!$A$6:$BA$795,15, FALSE)</f>
        <v>SOFR</v>
      </c>
      <c r="AQ29" s="494">
        <f>VLOOKUP(A29,'Loan List '!$A$6:$BA$795,16, FALSE)</f>
        <v>0.01</v>
      </c>
      <c r="AR29" s="539">
        <v>0</v>
      </c>
      <c r="AS29" s="539">
        <v>0</v>
      </c>
      <c r="AT29" s="353"/>
      <c r="AU29" s="323">
        <f t="shared" si="52"/>
        <v>5.7500000000000002E-2</v>
      </c>
      <c r="AV29" s="323" t="b">
        <f t="shared" si="36"/>
        <v>0</v>
      </c>
      <c r="AW29" s="540" t="b">
        <f t="shared" si="37"/>
        <v>0</v>
      </c>
      <c r="AX29" s="323" t="b">
        <f t="shared" si="53"/>
        <v>0</v>
      </c>
      <c r="AY29" s="353"/>
      <c r="AZ29" s="323" t="b">
        <f t="shared" si="13"/>
        <v>0</v>
      </c>
      <c r="BA29" s="497" t="str">
        <f>'Loan List '!AS18</f>
        <v>Maintenance Covenants</v>
      </c>
      <c r="BB29" s="320" t="b">
        <f t="shared" si="38"/>
        <v>0</v>
      </c>
      <c r="BC29" s="326" t="b">
        <f t="shared" si="39"/>
        <v>0</v>
      </c>
      <c r="BD29" s="320" t="b">
        <f t="shared" si="40"/>
        <v>1</v>
      </c>
      <c r="BE29" s="320" t="b">
        <f t="shared" si="41"/>
        <v>1</v>
      </c>
      <c r="BF29" s="550" t="str">
        <f>'Loan List '!J18</f>
        <v>USD</v>
      </c>
      <c r="BG29" s="497" t="str">
        <f>VLOOKUP(A29,'Loan List '!$A$6:$BZ$75, 23, FALSE)</f>
        <v>USA</v>
      </c>
      <c r="BH29" s="320" t="b">
        <f t="shared" si="42"/>
        <v>0</v>
      </c>
      <c r="BI29" s="320" t="b">
        <f t="shared" si="43"/>
        <v>0</v>
      </c>
      <c r="BJ29" s="320" t="b">
        <f>IF('Loan List '!BP18=1, TRUE, FALSE)</f>
        <v>0</v>
      </c>
      <c r="BK29" s="320" t="b">
        <f t="shared" si="54"/>
        <v>0</v>
      </c>
      <c r="BL29" s="541" t="b">
        <f t="shared" si="55"/>
        <v>0</v>
      </c>
      <c r="BM29" s="320" t="b">
        <f>IF('Loan List '!AT18="Yes", TRUE, FALSE)</f>
        <v>0</v>
      </c>
      <c r="BN29" s="336">
        <f t="shared" ca="1" si="44"/>
        <v>2.8904109589041096</v>
      </c>
      <c r="BO29" s="337">
        <f ca="1">'Concentration Limitations'!H24</f>
        <v>5192492.34</v>
      </c>
      <c r="BP29" s="338">
        <f t="shared" ca="1" si="16"/>
        <v>3375120.0210000002</v>
      </c>
      <c r="BQ29" s="339"/>
      <c r="BR29" s="340"/>
      <c r="BS29" s="542">
        <f>'Loan List '!AG18</f>
        <v>45777</v>
      </c>
      <c r="BT29" s="650">
        <f>'Loan List '!AO18</f>
        <v>1.9667672110059979</v>
      </c>
      <c r="BU29" s="650">
        <f>'Loan List '!AI18</f>
        <v>3.8016816504191553</v>
      </c>
      <c r="BV29" s="490"/>
      <c r="BW29" s="377">
        <v>0</v>
      </c>
      <c r="BX29" s="492" t="s">
        <v>1217</v>
      </c>
      <c r="BY29" s="490">
        <f>'Loan List '!AJ18</f>
        <v>17.179532238635421</v>
      </c>
      <c r="BZ29" s="490">
        <f>'Loan List '!AL18</f>
        <v>0</v>
      </c>
      <c r="CA29" s="377">
        <v>0</v>
      </c>
      <c r="CB29" s="377">
        <v>0</v>
      </c>
      <c r="CC29" s="545" t="s">
        <v>146</v>
      </c>
      <c r="CD29" s="546" t="s">
        <v>146</v>
      </c>
      <c r="CE29" s="378" t="s">
        <v>1217</v>
      </c>
      <c r="CF29" s="491">
        <f>'Loan List '!AC18</f>
        <v>3.95</v>
      </c>
      <c r="CG29" s="491">
        <f>'Loan List '!AD18</f>
        <v>2.86</v>
      </c>
      <c r="CH29" s="491"/>
      <c r="CI29" s="377">
        <v>0</v>
      </c>
      <c r="CJ29" s="492" t="s">
        <v>1217</v>
      </c>
      <c r="CK29" s="491">
        <f>'Loan List '!AB18</f>
        <v>24.97</v>
      </c>
      <c r="CL29" s="495">
        <f>'Loan List '!AE18</f>
        <v>0</v>
      </c>
      <c r="CM29" s="377">
        <v>0</v>
      </c>
      <c r="CN29" s="377">
        <v>0</v>
      </c>
      <c r="CO29" s="377" t="s">
        <v>146</v>
      </c>
      <c r="CP29" s="547" t="s">
        <v>146</v>
      </c>
      <c r="CQ29" s="345">
        <f t="shared" si="17"/>
        <v>-0.50208425037822835</v>
      </c>
      <c r="CR29" s="346">
        <f t="shared" si="18"/>
        <v>0.32925931832837602</v>
      </c>
      <c r="CS29" s="347">
        <f t="shared" si="45"/>
        <v>0.94168165041915541</v>
      </c>
      <c r="CT29" s="485">
        <f t="shared" si="46"/>
        <v>-0.31199310217719578</v>
      </c>
      <c r="CU29" s="348">
        <f>IF(OR($CQ29&lt;'Summary '!$I$47,$BT29&lt;'Summary '!$I$46),1,0)</f>
        <v>1</v>
      </c>
      <c r="CV29" s="348">
        <f>IF(OR($CS29&gt;='Summary '!$I$50, (AND(BU29&gt;'Summary '!$I$52, Calcs!CR29&gt; 'Summary '!$I$51))),1,0)</f>
        <v>0</v>
      </c>
      <c r="CW29" s="348">
        <f t="shared" si="20"/>
        <v>1</v>
      </c>
      <c r="CX29" s="447" t="s">
        <v>122</v>
      </c>
      <c r="CY29" s="447" t="s">
        <v>122</v>
      </c>
      <c r="CZ29" t="s">
        <v>122</v>
      </c>
      <c r="DA29" s="352"/>
      <c r="DD29" s="258">
        <v>0</v>
      </c>
      <c r="DE29" s="258">
        <v>0</v>
      </c>
      <c r="DF29" s="277"/>
      <c r="DI29" s="551" t="str">
        <f t="shared" si="57"/>
        <v>Eligible</v>
      </c>
      <c r="DJ29" s="423" t="str">
        <f t="shared" si="47"/>
        <v>Eligible</v>
      </c>
      <c r="DK29" s="549" t="s">
        <v>1271</v>
      </c>
      <c r="DL29" s="549" t="s">
        <v>1271</v>
      </c>
      <c r="DM29" s="423" t="str">
        <f t="shared" si="58"/>
        <v>Eligible</v>
      </c>
      <c r="DN29" s="423" t="str">
        <f t="shared" si="59"/>
        <v>Not PIK</v>
      </c>
      <c r="DO29" s="424" t="s">
        <v>122</v>
      </c>
      <c r="DP29" s="423" t="str">
        <f t="shared" si="49"/>
        <v>YES</v>
      </c>
    </row>
    <row r="30" spans="1:120" ht="16.5">
      <c r="A30" s="616" t="s">
        <v>1294</v>
      </c>
      <c r="B30" s="36">
        <f>IFERROR(VLOOKUP(A30,'Loan List '!$A$6:$BZ$75,2,FALSE),NA)</f>
        <v>0</v>
      </c>
      <c r="C30" s="498" t="str">
        <f>VLOOKUP(A30,'Loan List '!$A$6:$G$75, 7, FALSE)</f>
        <v>First Lien</v>
      </c>
      <c r="D30" s="498" t="str">
        <f>VLOOKUP(A30, 'Loan List '!$A$6:$K$82, 11, FALSE)</f>
        <v>FL</v>
      </c>
      <c r="E30" s="497" t="b">
        <f t="shared" si="23"/>
        <v>1</v>
      </c>
      <c r="F30" s="497" t="str">
        <f>VLOOKUP(A30,'Loan List '!$A$6:$L$75, 12, FALSE)</f>
        <v>Professional Services</v>
      </c>
      <c r="G30" s="320"/>
      <c r="H30" s="533">
        <f t="shared" si="0"/>
        <v>4491992.74</v>
      </c>
      <c r="I30" s="533">
        <f>VLOOKUP(A30,'Loan List '!$A$6:$L$75, 8, FALSE)</f>
        <v>4491992.74</v>
      </c>
      <c r="J30" s="361">
        <v>0</v>
      </c>
      <c r="K30" s="323">
        <f t="shared" si="50"/>
        <v>1.2433894105239679E-2</v>
      </c>
      <c r="L30" s="601">
        <f>VLOOKUP(A30,'Loan List '!$A$6:$BA$82,24, FALSE)</f>
        <v>100</v>
      </c>
      <c r="M30" s="501"/>
      <c r="N30" s="502">
        <f>VLOOKUP(A30,'Loan List '!$A$6:$BA$82,22, FALSE)</f>
        <v>47392</v>
      </c>
      <c r="O30" s="602">
        <f t="shared" si="24"/>
        <v>4491992.74</v>
      </c>
      <c r="P30" s="327">
        <f t="shared" si="2"/>
        <v>1</v>
      </c>
      <c r="Q30" s="487" t="s">
        <v>451</v>
      </c>
      <c r="R30" s="488" t="s">
        <v>38</v>
      </c>
      <c r="S30" s="327" t="b">
        <f t="shared" si="56"/>
        <v>1</v>
      </c>
      <c r="T30" s="327">
        <f>VLOOKUP(A30,'Loan List '!$A$6:$BD$1048576,56,FALSE)/100</f>
        <v>1</v>
      </c>
      <c r="U30" s="535">
        <f t="shared" si="25"/>
        <v>4491992.74</v>
      </c>
      <c r="V30" s="503">
        <f>VLOOKUP(A30,'Loan List '!$A$6:$BA$82,26, FALSE)</f>
        <v>0</v>
      </c>
      <c r="W30" s="350">
        <f t="shared" si="51"/>
        <v>0</v>
      </c>
      <c r="X30" s="326"/>
      <c r="Y30" s="504">
        <f>VLOOKUP(A30,'Loan List '!$A$6:$BA$75,27, FALSE)</f>
        <v>0</v>
      </c>
      <c r="Z30" s="109"/>
      <c r="AA30" s="330"/>
      <c r="AB30" s="333">
        <f t="shared" si="5"/>
        <v>5.790839541795835E-2</v>
      </c>
      <c r="AC30" s="333">
        <f t="shared" si="6"/>
        <v>8.3928785210367843E-3</v>
      </c>
      <c r="AD30" s="331">
        <f t="shared" si="26"/>
        <v>0</v>
      </c>
      <c r="AE30" s="320" t="str">
        <f t="shared" si="27"/>
        <v>Class 2</v>
      </c>
      <c r="AF30" s="649">
        <f t="shared" si="28"/>
        <v>5.5</v>
      </c>
      <c r="AG30" s="649">
        <f t="shared" si="29"/>
        <v>6.5</v>
      </c>
      <c r="AH30" s="332">
        <f t="shared" si="30"/>
        <v>1</v>
      </c>
      <c r="AI30" s="332">
        <f t="shared" si="31"/>
        <v>0</v>
      </c>
      <c r="AJ30" s="332">
        <f t="shared" si="32"/>
        <v>0.67500000000000004</v>
      </c>
      <c r="AK30" s="332">
        <f t="shared" si="33"/>
        <v>0.35</v>
      </c>
      <c r="AL30" s="332">
        <f t="shared" si="34"/>
        <v>0.67500000000000004</v>
      </c>
      <c r="AM30" s="333">
        <f ca="1">'Diversity Score'!$E$7</f>
        <v>1</v>
      </c>
      <c r="AN30" s="332">
        <f t="shared" ca="1" si="35"/>
        <v>0.67500000000000004</v>
      </c>
      <c r="AO30" s="505">
        <f>VLOOKUP(A30,'Loan List '!$A$6:$BA$75,17, FALSE)</f>
        <v>5.2499999999999998E-2</v>
      </c>
      <c r="AP30" s="493" t="str">
        <f>VLOOKUP(A30,'Loan List '!$A$6:$BA$795,15, FALSE)</f>
        <v>SOFR</v>
      </c>
      <c r="AQ30" s="494">
        <f>VLOOKUP(A30,'Loan List '!$A$6:$BA$795,16, FALSE)</f>
        <v>0.01</v>
      </c>
      <c r="AR30" s="539">
        <v>0</v>
      </c>
      <c r="AS30" s="539">
        <v>0</v>
      </c>
      <c r="AT30" s="353"/>
      <c r="AU30" s="323">
        <f t="shared" si="52"/>
        <v>5.2499999999999998E-2</v>
      </c>
      <c r="AV30" s="323" t="b">
        <f t="shared" si="36"/>
        <v>0</v>
      </c>
      <c r="AW30" s="540" t="b">
        <f t="shared" si="37"/>
        <v>0</v>
      </c>
      <c r="AX30" s="323" t="b">
        <f t="shared" si="53"/>
        <v>0</v>
      </c>
      <c r="AY30" s="353"/>
      <c r="AZ30" s="323" t="b">
        <f t="shared" si="13"/>
        <v>0</v>
      </c>
      <c r="BA30" s="497" t="str">
        <f>'Loan List '!AS19</f>
        <v>Maintenance Covenants</v>
      </c>
      <c r="BB30" s="320" t="b">
        <f t="shared" si="38"/>
        <v>0</v>
      </c>
      <c r="BC30" s="326" t="b">
        <f t="shared" si="39"/>
        <v>0</v>
      </c>
      <c r="BD30" s="320" t="b">
        <f t="shared" si="40"/>
        <v>1</v>
      </c>
      <c r="BE30" s="320" t="b">
        <f t="shared" si="41"/>
        <v>1</v>
      </c>
      <c r="BF30" s="550" t="str">
        <f>'Loan List '!J19</f>
        <v>USD</v>
      </c>
      <c r="BG30" s="497" t="str">
        <f>VLOOKUP(A30,'Loan List '!$A$6:$BZ$75, 23, FALSE)</f>
        <v>USA</v>
      </c>
      <c r="BH30" s="320" t="b">
        <f t="shared" si="42"/>
        <v>0</v>
      </c>
      <c r="BI30" s="320" t="b">
        <f t="shared" si="43"/>
        <v>0</v>
      </c>
      <c r="BJ30" s="320" t="b">
        <f>IF('Loan List '!BP19=1, TRUE, FALSE)</f>
        <v>0</v>
      </c>
      <c r="BK30" s="320" t="b">
        <f t="shared" si="54"/>
        <v>0</v>
      </c>
      <c r="BL30" s="541" t="b">
        <f t="shared" si="55"/>
        <v>0</v>
      </c>
      <c r="BM30" s="320" t="b">
        <f>IF('Loan List '!AT19="Yes", TRUE, FALSE)</f>
        <v>0</v>
      </c>
      <c r="BN30" s="336">
        <f t="shared" ca="1" si="44"/>
        <v>4.1890410958904107</v>
      </c>
      <c r="BO30" s="337">
        <f ca="1">'Concentration Limitations'!H25</f>
        <v>4491992.74</v>
      </c>
      <c r="BP30" s="338">
        <f t="shared" ca="1" si="16"/>
        <v>3032095.0995000005</v>
      </c>
      <c r="BQ30" s="339"/>
      <c r="BR30" s="340"/>
      <c r="BS30" s="542">
        <f>'Loan List '!AG19</f>
        <v>45777</v>
      </c>
      <c r="BT30" s="650">
        <f>'Loan List '!AO19</f>
        <v>1.5484278693377418</v>
      </c>
      <c r="BU30" s="650">
        <f>'Loan List '!AI19</f>
        <v>4.657301640807411</v>
      </c>
      <c r="BV30" s="490"/>
      <c r="BW30" s="377">
        <v>0</v>
      </c>
      <c r="BX30" s="492" t="s">
        <v>1217</v>
      </c>
      <c r="BY30" s="490">
        <f>'Loan List '!AJ19</f>
        <v>19.55827758113783</v>
      </c>
      <c r="BZ30" s="490">
        <f>'Loan List '!AL19</f>
        <v>0</v>
      </c>
      <c r="CA30" s="377">
        <v>0</v>
      </c>
      <c r="CB30" s="377">
        <v>0</v>
      </c>
      <c r="CC30" s="545" t="s">
        <v>146</v>
      </c>
      <c r="CD30" s="546" t="s">
        <v>146</v>
      </c>
      <c r="CE30" s="378" t="s">
        <v>1217</v>
      </c>
      <c r="CF30" s="491">
        <f>'Loan List '!AC19</f>
        <v>2.2183007873550942</v>
      </c>
      <c r="CG30" s="491">
        <f>'Loan List '!AD19</f>
        <v>2.96508008781713</v>
      </c>
      <c r="CH30" s="491"/>
      <c r="CI30" s="377">
        <v>0</v>
      </c>
      <c r="CJ30" s="492" t="s">
        <v>1217</v>
      </c>
      <c r="CK30" s="491">
        <f>'Loan List '!AB19</f>
        <v>28.019479251625501</v>
      </c>
      <c r="CL30" s="495">
        <f>'Loan List '!AE19</f>
        <v>0</v>
      </c>
      <c r="CM30" s="377">
        <v>0</v>
      </c>
      <c r="CN30" s="377">
        <v>0</v>
      </c>
      <c r="CO30" s="377" t="s">
        <v>146</v>
      </c>
      <c r="CP30" s="547" t="s">
        <v>146</v>
      </c>
      <c r="CQ30" s="345">
        <f t="shared" si="17"/>
        <v>-0.30197569321338502</v>
      </c>
      <c r="CR30" s="346">
        <f t="shared" si="18"/>
        <v>0.57071697993698445</v>
      </c>
      <c r="CS30" s="347">
        <f t="shared" si="45"/>
        <v>1.6922215529902811</v>
      </c>
      <c r="CT30" s="485">
        <f t="shared" si="46"/>
        <v>-0.30197569321338513</v>
      </c>
      <c r="CU30" s="348">
        <f>IF(OR($CQ30&lt;'Summary '!$I$47,$BT30&lt;'Summary '!$I$46),1,0)</f>
        <v>1</v>
      </c>
      <c r="CV30" s="348">
        <f>IF(OR($CS30&gt;='Summary '!$I$50, (AND(BU30&gt;'Summary '!$I$52, Calcs!CR30&gt; 'Summary '!$I$51))),1,0)</f>
        <v>1</v>
      </c>
      <c r="CW30" s="348">
        <f t="shared" si="20"/>
        <v>1</v>
      </c>
      <c r="CX30" s="447" t="s">
        <v>122</v>
      </c>
      <c r="CY30" s="447" t="s">
        <v>122</v>
      </c>
      <c r="CZ30" t="s">
        <v>122</v>
      </c>
      <c r="DA30" s="352"/>
      <c r="DD30" s="258">
        <v>0</v>
      </c>
      <c r="DE30" s="258">
        <v>0</v>
      </c>
      <c r="DF30" s="277"/>
      <c r="DI30" s="551" t="str">
        <f t="shared" si="57"/>
        <v>Eligible</v>
      </c>
      <c r="DJ30" s="423" t="str">
        <f t="shared" si="47"/>
        <v>Eligible</v>
      </c>
      <c r="DK30" s="549" t="s">
        <v>1271</v>
      </c>
      <c r="DL30" s="549" t="s">
        <v>1271</v>
      </c>
      <c r="DM30" s="423" t="str">
        <f t="shared" si="58"/>
        <v>Eligible</v>
      </c>
      <c r="DN30" s="423" t="str">
        <f t="shared" si="59"/>
        <v>Not PIK</v>
      </c>
      <c r="DO30" s="424" t="s">
        <v>122</v>
      </c>
      <c r="DP30" s="423" t="str">
        <f t="shared" si="49"/>
        <v>YES</v>
      </c>
    </row>
    <row r="31" spans="1:120" ht="16.5">
      <c r="A31" s="616" t="s">
        <v>1093</v>
      </c>
      <c r="B31" s="36">
        <f>IFERROR(VLOOKUP(A31,'Loan List '!$A$6:$BZ$75,2,FALSE),NA)</f>
        <v>0</v>
      </c>
      <c r="C31" s="498" t="str">
        <f>VLOOKUP(A31,'Loan List '!$A$6:$G$75, 7, FALSE)</f>
        <v>First Lien</v>
      </c>
      <c r="D31" s="498" t="str">
        <f>VLOOKUP(A31, 'Loan List '!$A$6:$K$82, 11, FALSE)</f>
        <v>FL</v>
      </c>
      <c r="E31" s="497" t="b">
        <f t="shared" si="23"/>
        <v>1</v>
      </c>
      <c r="F31" s="497" t="str">
        <f>VLOOKUP(A31,'Loan List '!$A$6:$L$75, 12, FALSE)</f>
        <v>Health Care Providers &amp; Services</v>
      </c>
      <c r="G31" s="320"/>
      <c r="H31" s="533">
        <f t="shared" si="0"/>
        <v>2500143.9300000002</v>
      </c>
      <c r="I31" s="533">
        <f>VLOOKUP(A31,'Loan List '!$A$6:$L$75, 8, FALSE)</f>
        <v>2500143.9300000002</v>
      </c>
      <c r="J31" s="361">
        <v>0</v>
      </c>
      <c r="K31" s="323">
        <f t="shared" si="50"/>
        <v>6.9204307915862228E-3</v>
      </c>
      <c r="L31" s="601">
        <f>VLOOKUP(A31,'Loan List '!$A$6:$BA$82,24, FALSE)</f>
        <v>100</v>
      </c>
      <c r="M31" s="501"/>
      <c r="N31" s="502">
        <f>VLOOKUP(A31,'Loan List '!$A$6:$BA$82,22, FALSE)</f>
        <v>46421</v>
      </c>
      <c r="O31" s="602">
        <f t="shared" si="24"/>
        <v>2500143.9300000002</v>
      </c>
      <c r="P31" s="327">
        <f t="shared" si="2"/>
        <v>1</v>
      </c>
      <c r="Q31" s="487" t="s">
        <v>451</v>
      </c>
      <c r="R31" s="488" t="s">
        <v>38</v>
      </c>
      <c r="S31" s="327" t="b">
        <f t="shared" si="56"/>
        <v>0</v>
      </c>
      <c r="T31" s="327">
        <f>VLOOKUP(A31,'Loan List '!$A$6:$BD$1048576,56,FALSE)/100</f>
        <v>1</v>
      </c>
      <c r="U31" s="535">
        <f t="shared" si="25"/>
        <v>2500143.9300000002</v>
      </c>
      <c r="V31" s="503">
        <f>VLOOKUP(A31,'Loan List '!$A$6:$BA$82,26, FALSE)</f>
        <v>0</v>
      </c>
      <c r="W31" s="350">
        <f t="shared" si="51"/>
        <v>0</v>
      </c>
      <c r="X31" s="326"/>
      <c r="Y31" s="504">
        <f>VLOOKUP(A31,'Loan List '!$A$6:$BA$75,27, FALSE)</f>
        <v>0</v>
      </c>
      <c r="Z31" s="109"/>
      <c r="AA31" s="330"/>
      <c r="AB31" s="333">
        <f t="shared" si="5"/>
        <v>2.5547642175615868E-2</v>
      </c>
      <c r="AC31" s="333">
        <f t="shared" si="6"/>
        <v>4.6712907843207011E-3</v>
      </c>
      <c r="AD31" s="331">
        <f t="shared" si="26"/>
        <v>0</v>
      </c>
      <c r="AE31" s="320" t="str">
        <f t="shared" si="27"/>
        <v>Class 2</v>
      </c>
      <c r="AF31" s="649">
        <f t="shared" si="28"/>
        <v>5.5</v>
      </c>
      <c r="AG31" s="649">
        <f t="shared" si="29"/>
        <v>6.5</v>
      </c>
      <c r="AH31" s="332">
        <f t="shared" si="30"/>
        <v>1</v>
      </c>
      <c r="AI31" s="332">
        <f t="shared" si="31"/>
        <v>0</v>
      </c>
      <c r="AJ31" s="332">
        <f t="shared" si="32"/>
        <v>0.67500000000000004</v>
      </c>
      <c r="AK31" s="332">
        <f t="shared" si="33"/>
        <v>0.35</v>
      </c>
      <c r="AL31" s="332">
        <f t="shared" si="34"/>
        <v>0.67500000000000004</v>
      </c>
      <c r="AM31" s="333">
        <f ca="1">'Diversity Score'!$E$7</f>
        <v>1</v>
      </c>
      <c r="AN31" s="332">
        <f t="shared" ca="1" si="35"/>
        <v>0.67500000000000004</v>
      </c>
      <c r="AO31" s="505">
        <f>VLOOKUP(A31,'Loan List '!$A$6:$BA$75,17, FALSE)</f>
        <v>4.7500000000000001E-2</v>
      </c>
      <c r="AP31" s="493" t="str">
        <f>VLOOKUP(A31,'Loan List '!$A$6:$BA$795,15, FALSE)</f>
        <v>SOFR</v>
      </c>
      <c r="AQ31" s="494">
        <f>VLOOKUP(A31,'Loan List '!$A$6:$BA$795,16, FALSE)</f>
        <v>0.01</v>
      </c>
      <c r="AR31" s="539">
        <v>0</v>
      </c>
      <c r="AS31" s="539">
        <v>0</v>
      </c>
      <c r="AT31" s="353"/>
      <c r="AU31" s="323">
        <f t="shared" si="52"/>
        <v>4.7500000000000001E-2</v>
      </c>
      <c r="AV31" s="323" t="b">
        <f t="shared" si="36"/>
        <v>0</v>
      </c>
      <c r="AW31" s="540" t="b">
        <f t="shared" si="37"/>
        <v>0</v>
      </c>
      <c r="AX31" s="323" t="b">
        <f t="shared" si="53"/>
        <v>0</v>
      </c>
      <c r="AY31" s="353"/>
      <c r="AZ31" s="323" t="b">
        <f t="shared" si="13"/>
        <v>0</v>
      </c>
      <c r="BA31" s="497" t="str">
        <f>'Loan List '!AS20</f>
        <v>Maintenance Covenants</v>
      </c>
      <c r="BB31" s="320" t="b">
        <f t="shared" si="38"/>
        <v>0</v>
      </c>
      <c r="BC31" s="326" t="b">
        <f t="shared" si="39"/>
        <v>0</v>
      </c>
      <c r="BD31" s="320" t="b">
        <f t="shared" si="40"/>
        <v>1</v>
      </c>
      <c r="BE31" s="320" t="b">
        <f t="shared" si="41"/>
        <v>1</v>
      </c>
      <c r="BF31" s="550" t="str">
        <f>'Loan List '!J20</f>
        <v>USD</v>
      </c>
      <c r="BG31" s="497" t="str">
        <f>VLOOKUP(A31,'Loan List '!$A$6:$BZ$75, 23, FALSE)</f>
        <v>USA</v>
      </c>
      <c r="BH31" s="320" t="b">
        <f t="shared" si="42"/>
        <v>0</v>
      </c>
      <c r="BI31" s="320" t="b">
        <f t="shared" si="43"/>
        <v>0</v>
      </c>
      <c r="BJ31" s="320" t="b">
        <f>IF('Loan List '!BP20=1, TRUE, FALSE)</f>
        <v>0</v>
      </c>
      <c r="BK31" s="320" t="b">
        <f t="shared" si="54"/>
        <v>0</v>
      </c>
      <c r="BL31" s="541" t="b">
        <f t="shared" si="55"/>
        <v>0</v>
      </c>
      <c r="BM31" s="320" t="b">
        <f>IF('Loan List '!AT20="Yes", TRUE, FALSE)</f>
        <v>0</v>
      </c>
      <c r="BN31" s="336">
        <f t="shared" ca="1" si="44"/>
        <v>1.5287671232876712</v>
      </c>
      <c r="BO31" s="337">
        <f ca="1">'Concentration Limitations'!H26</f>
        <v>2500143.9300000002</v>
      </c>
      <c r="BP31" s="338">
        <f t="shared" ca="1" si="16"/>
        <v>1687597.1527500001</v>
      </c>
      <c r="BQ31" s="339"/>
      <c r="BR31" s="340"/>
      <c r="BS31" s="542">
        <f>'Loan List '!AG20</f>
        <v>45777</v>
      </c>
      <c r="BT31" s="650">
        <f>'Loan List '!AO20</f>
        <v>2.7843670050939</v>
      </c>
      <c r="BU31" s="650">
        <f>'Loan List '!AI20</f>
        <v>3.6916259904912838</v>
      </c>
      <c r="BV31" s="490"/>
      <c r="BW31" s="377">
        <v>0</v>
      </c>
      <c r="BX31" s="492" t="s">
        <v>1217</v>
      </c>
      <c r="BY31" s="490">
        <f>'Loan List '!AJ20</f>
        <v>78.875</v>
      </c>
      <c r="BZ31" s="490">
        <f>'Loan List '!AL20</f>
        <v>0</v>
      </c>
      <c r="CA31" s="377">
        <v>0</v>
      </c>
      <c r="CB31" s="377">
        <v>0</v>
      </c>
      <c r="CC31" s="545" t="s">
        <v>146</v>
      </c>
      <c r="CD31" s="546" t="s">
        <v>146</v>
      </c>
      <c r="CE31" s="378" t="s">
        <v>1217</v>
      </c>
      <c r="CF31" s="491">
        <f>'Loan List '!AC20</f>
        <v>2.715134445268911</v>
      </c>
      <c r="CG31" s="491">
        <f>'Loan List '!AD20</f>
        <v>4.8079959557333325</v>
      </c>
      <c r="CH31" s="491"/>
      <c r="CI31" s="377">
        <v>0</v>
      </c>
      <c r="CJ31" s="492" t="s">
        <v>1217</v>
      </c>
      <c r="CK31" s="491">
        <f>'Loan List '!AB20</f>
        <v>28.067827269920599</v>
      </c>
      <c r="CL31" s="495">
        <f>'Loan List '!AE20</f>
        <v>0</v>
      </c>
      <c r="CM31" s="377">
        <v>0</v>
      </c>
      <c r="CN31" s="377">
        <v>0</v>
      </c>
      <c r="CO31" s="377" t="s">
        <v>146</v>
      </c>
      <c r="CP31" s="547" t="s">
        <v>146</v>
      </c>
      <c r="CQ31" s="345">
        <f t="shared" si="17"/>
        <v>2.5498759350803379E-2</v>
      </c>
      <c r="CR31" s="346">
        <f t="shared" si="18"/>
        <v>-0.23219028791212368</v>
      </c>
      <c r="CS31" s="347">
        <f t="shared" si="45"/>
        <v>-1.1163699652420487</v>
      </c>
      <c r="CT31" s="485">
        <f t="shared" si="46"/>
        <v>1.8101569544903051</v>
      </c>
      <c r="CU31" s="348">
        <f>IF(OR($CQ31&lt;'Summary '!$I$47,$BT31&lt;'Summary '!$I$46),1,0)</f>
        <v>0</v>
      </c>
      <c r="CV31" s="348">
        <f>IF(OR($CS31&gt;='Summary '!$I$50, (AND(BU31&gt;'Summary '!$I$52, Calcs!CR31&gt; 'Summary '!$I$51))),1,0)</f>
        <v>0</v>
      </c>
      <c r="CW31" s="348">
        <f t="shared" si="20"/>
        <v>0</v>
      </c>
      <c r="CX31" s="447" t="s">
        <v>122</v>
      </c>
      <c r="CY31" s="447" t="s">
        <v>122</v>
      </c>
      <c r="CZ31" t="s">
        <v>122</v>
      </c>
      <c r="DA31" s="352"/>
      <c r="DD31" s="258">
        <v>0</v>
      </c>
      <c r="DE31" s="258">
        <v>0</v>
      </c>
      <c r="DF31" s="277"/>
      <c r="DI31" s="551" t="str">
        <f t="shared" si="57"/>
        <v>Eligible</v>
      </c>
      <c r="DJ31" s="423" t="str">
        <f t="shared" si="47"/>
        <v>Eligible</v>
      </c>
      <c r="DK31" s="549" t="s">
        <v>1271</v>
      </c>
      <c r="DL31" s="549" t="s">
        <v>1271</v>
      </c>
      <c r="DM31" s="423" t="str">
        <f t="shared" si="58"/>
        <v>Eligible</v>
      </c>
      <c r="DN31" s="423" t="str">
        <f t="shared" si="59"/>
        <v>Not PIK</v>
      </c>
      <c r="DO31" s="424" t="s">
        <v>122</v>
      </c>
      <c r="DP31" s="423" t="str">
        <f t="shared" si="49"/>
        <v>YES</v>
      </c>
    </row>
    <row r="32" spans="1:120" ht="16.5">
      <c r="A32" s="616" t="s">
        <v>1096</v>
      </c>
      <c r="B32" s="36">
        <f>IFERROR(VLOOKUP(A32,'Loan List '!$A$6:$BZ$75,2,FALSE),NA)</f>
        <v>0</v>
      </c>
      <c r="C32" s="498" t="str">
        <f>VLOOKUP(A32,'Loan List '!$A$6:$G$75, 7, FALSE)</f>
        <v>First Lien</v>
      </c>
      <c r="D32" s="498" t="str">
        <f>VLOOKUP(A32, 'Loan List '!$A$6:$K$82, 11, FALSE)</f>
        <v>FL</v>
      </c>
      <c r="E32" s="497" t="b">
        <f t="shared" si="23"/>
        <v>1</v>
      </c>
      <c r="F32" s="497" t="str">
        <f>VLOOKUP(A32,'Loan List '!$A$6:$L$75, 12, FALSE)</f>
        <v>Health Care Providers &amp; Services</v>
      </c>
      <c r="G32" s="320"/>
      <c r="H32" s="533">
        <f t="shared" si="0"/>
        <v>3727355.9</v>
      </c>
      <c r="I32" s="533">
        <f>VLOOKUP(A32,'Loan List '!$A$6:$L$75, 8, FALSE)</f>
        <v>3727355.9</v>
      </c>
      <c r="J32" s="361">
        <v>0</v>
      </c>
      <c r="K32" s="323">
        <f t="shared" si="50"/>
        <v>1.0317369425031692E-2</v>
      </c>
      <c r="L32" s="601">
        <f>VLOOKUP(A32,'Loan List '!$A$6:$BA$82,24, FALSE)</f>
        <v>100</v>
      </c>
      <c r="M32" s="501"/>
      <c r="N32" s="502">
        <f>VLOOKUP(A32,'Loan List '!$A$6:$BA$82,22, FALSE)</f>
        <v>47046</v>
      </c>
      <c r="O32" s="602">
        <f t="shared" si="24"/>
        <v>3727355.9</v>
      </c>
      <c r="P32" s="327">
        <f t="shared" si="2"/>
        <v>1</v>
      </c>
      <c r="Q32" s="487" t="s">
        <v>451</v>
      </c>
      <c r="R32" s="488" t="s">
        <v>38</v>
      </c>
      <c r="S32" s="327" t="b">
        <f t="shared" si="56"/>
        <v>0</v>
      </c>
      <c r="T32" s="327">
        <f>VLOOKUP(A32,'Loan List '!$A$6:$BD$1048576,56,FALSE)/100</f>
        <v>1</v>
      </c>
      <c r="U32" s="535">
        <f t="shared" si="25"/>
        <v>3727355.9</v>
      </c>
      <c r="V32" s="503">
        <f>VLOOKUP(A32,'Loan List '!$A$6:$BA$82,26, FALSE)</f>
        <v>0</v>
      </c>
      <c r="W32" s="350">
        <f t="shared" si="51"/>
        <v>0</v>
      </c>
      <c r="X32" s="326"/>
      <c r="Y32" s="504">
        <f>VLOOKUP(A32,'Loan List '!$A$6:$BA$75,27, FALSE)</f>
        <v>0</v>
      </c>
      <c r="Z32" s="109"/>
      <c r="AA32" s="330"/>
      <c r="AB32" s="333">
        <f t="shared" si="5"/>
        <v>3.8047863394288325E-2</v>
      </c>
      <c r="AC32" s="333">
        <f t="shared" si="6"/>
        <v>6.7062901262706E-3</v>
      </c>
      <c r="AD32" s="331">
        <f t="shared" si="26"/>
        <v>0</v>
      </c>
      <c r="AE32" s="320" t="str">
        <f t="shared" si="27"/>
        <v>Class 3</v>
      </c>
      <c r="AF32" s="649">
        <f t="shared" si="28"/>
        <v>5</v>
      </c>
      <c r="AG32" s="649">
        <f t="shared" si="29"/>
        <v>6</v>
      </c>
      <c r="AH32" s="332">
        <f t="shared" si="30"/>
        <v>1</v>
      </c>
      <c r="AI32" s="332">
        <f t="shared" si="31"/>
        <v>0</v>
      </c>
      <c r="AJ32" s="332">
        <f t="shared" si="32"/>
        <v>0.65</v>
      </c>
      <c r="AK32" s="332">
        <f t="shared" si="33"/>
        <v>0.35</v>
      </c>
      <c r="AL32" s="332">
        <f t="shared" si="34"/>
        <v>0.65</v>
      </c>
      <c r="AM32" s="333">
        <f ca="1">'Diversity Score'!$E$7</f>
        <v>1</v>
      </c>
      <c r="AN32" s="332">
        <f t="shared" ca="1" si="35"/>
        <v>0.65</v>
      </c>
      <c r="AO32" s="505">
        <f>VLOOKUP(A32,'Loan List '!$A$6:$BA$75,17, FALSE)</f>
        <v>6.25E-2</v>
      </c>
      <c r="AP32" s="493" t="str">
        <f>VLOOKUP(A32,'Loan List '!$A$6:$BA$795,15, FALSE)</f>
        <v>SOFR</v>
      </c>
      <c r="AQ32" s="494">
        <f>VLOOKUP(A32,'Loan List '!$A$6:$BA$795,16, FALSE)</f>
        <v>0.01</v>
      </c>
      <c r="AR32" s="539">
        <v>0</v>
      </c>
      <c r="AS32" s="539">
        <v>0</v>
      </c>
      <c r="AT32" s="353"/>
      <c r="AU32" s="323">
        <f t="shared" si="52"/>
        <v>6.25E-2</v>
      </c>
      <c r="AV32" s="323" t="b">
        <f t="shared" si="36"/>
        <v>0</v>
      </c>
      <c r="AW32" s="540" t="b">
        <f t="shared" si="37"/>
        <v>0</v>
      </c>
      <c r="AX32" s="323" t="b">
        <f t="shared" si="53"/>
        <v>0</v>
      </c>
      <c r="AY32" s="353"/>
      <c r="AZ32" s="323" t="b">
        <f t="shared" si="13"/>
        <v>0</v>
      </c>
      <c r="BA32" s="497" t="str">
        <f>'Loan List '!AS21</f>
        <v>Maintenance Covenants</v>
      </c>
      <c r="BB32" s="320" t="b">
        <f t="shared" si="38"/>
        <v>0</v>
      </c>
      <c r="BC32" s="326" t="b">
        <f t="shared" si="39"/>
        <v>0</v>
      </c>
      <c r="BD32" s="320" t="b">
        <f t="shared" si="40"/>
        <v>1</v>
      </c>
      <c r="BE32" s="320" t="b">
        <f t="shared" si="41"/>
        <v>1</v>
      </c>
      <c r="BF32" s="550" t="str">
        <f>'Loan List '!J21</f>
        <v>USD</v>
      </c>
      <c r="BG32" s="497" t="str">
        <f>VLOOKUP(A32,'Loan List '!$A$6:$BZ$75, 23, FALSE)</f>
        <v>USA</v>
      </c>
      <c r="BH32" s="320" t="b">
        <f t="shared" si="42"/>
        <v>0</v>
      </c>
      <c r="BI32" s="320" t="b">
        <f t="shared" si="43"/>
        <v>0</v>
      </c>
      <c r="BJ32" s="320" t="b">
        <f>IF('Loan List '!BP21=1, TRUE, FALSE)</f>
        <v>0</v>
      </c>
      <c r="BK32" s="320" t="b">
        <f t="shared" si="54"/>
        <v>0</v>
      </c>
      <c r="BL32" s="541" t="b">
        <f t="shared" si="55"/>
        <v>0</v>
      </c>
      <c r="BM32" s="320" t="b">
        <f>IF('Loan List '!AT21="Yes", TRUE, FALSE)</f>
        <v>0</v>
      </c>
      <c r="BN32" s="336">
        <f t="shared" ca="1" si="44"/>
        <v>3.2410958904109588</v>
      </c>
      <c r="BO32" s="337">
        <f ca="1">'Concentration Limitations'!H27</f>
        <v>3727355.9</v>
      </c>
      <c r="BP32" s="338">
        <f t="shared" ca="1" si="16"/>
        <v>2422781.335</v>
      </c>
      <c r="BQ32" s="339"/>
      <c r="BR32" s="340"/>
      <c r="BS32" s="542">
        <f>'Loan List '!AG21</f>
        <v>45808</v>
      </c>
      <c r="BT32" s="650">
        <f>'Loan List '!AO21</f>
        <v>2.1060024589714801</v>
      </c>
      <c r="BU32" s="650">
        <f>'Loan List '!AI21</f>
        <v>3.6877484780158927</v>
      </c>
      <c r="BV32" s="490"/>
      <c r="BW32" s="377">
        <v>0</v>
      </c>
      <c r="BX32" s="492" t="s">
        <v>1217</v>
      </c>
      <c r="BY32" s="490">
        <f>'Loan List '!AJ21</f>
        <v>19.221484443032701</v>
      </c>
      <c r="BZ32" s="490">
        <f>'Loan List '!AL21</f>
        <v>0</v>
      </c>
      <c r="CA32" s="377">
        <v>0</v>
      </c>
      <c r="CB32" s="377">
        <v>0</v>
      </c>
      <c r="CC32" s="545" t="s">
        <v>146</v>
      </c>
      <c r="CD32" s="546" t="s">
        <v>146</v>
      </c>
      <c r="CE32" s="378" t="s">
        <v>1217</v>
      </c>
      <c r="CF32" s="491">
        <f>'Loan List '!AC21</f>
        <v>2.1230956296951433</v>
      </c>
      <c r="CG32" s="491">
        <f>'Loan List '!AD21</f>
        <v>3.9142020728655642</v>
      </c>
      <c r="CH32" s="491"/>
      <c r="CI32" s="377">
        <v>0</v>
      </c>
      <c r="CJ32" s="492" t="s">
        <v>1217</v>
      </c>
      <c r="CK32" s="491">
        <f>'Loan List '!AB21</f>
        <v>20.031938040081101</v>
      </c>
      <c r="CL32" s="495">
        <f>'Loan List '!AE21</f>
        <v>0</v>
      </c>
      <c r="CM32" s="377">
        <v>0</v>
      </c>
      <c r="CN32" s="377">
        <v>0</v>
      </c>
      <c r="CO32" s="377" t="s">
        <v>146</v>
      </c>
      <c r="CP32" s="547" t="s">
        <v>146</v>
      </c>
      <c r="CQ32" s="345">
        <f t="shared" si="17"/>
        <v>-8.0510601993550573E-3</v>
      </c>
      <c r="CR32" s="346">
        <f t="shared" si="18"/>
        <v>-5.7854344419138844E-2</v>
      </c>
      <c r="CS32" s="347">
        <f t="shared" si="45"/>
        <v>-0.22645359484967154</v>
      </c>
      <c r="CT32" s="485">
        <f t="shared" si="46"/>
        <v>-4.0458072275722734E-2</v>
      </c>
      <c r="CU32" s="348">
        <f>IF(OR($CQ32&lt;'Summary '!$I$47,$BT32&lt;'Summary '!$I$46),1,0)</f>
        <v>0</v>
      </c>
      <c r="CV32" s="348">
        <f>IF(OR($CS32&gt;='Summary '!$I$50, (AND(BU32&gt;'Summary '!$I$52, Calcs!CR32&gt; 'Summary '!$I$51))),1,0)</f>
        <v>0</v>
      </c>
      <c r="CW32" s="348">
        <f t="shared" si="20"/>
        <v>0</v>
      </c>
      <c r="CX32" s="447" t="s">
        <v>122</v>
      </c>
      <c r="CY32" s="447" t="s">
        <v>122</v>
      </c>
      <c r="CZ32" t="s">
        <v>122</v>
      </c>
      <c r="DA32" s="352"/>
      <c r="DD32" s="258">
        <v>0</v>
      </c>
      <c r="DE32" s="258">
        <v>0</v>
      </c>
      <c r="DF32" s="277"/>
      <c r="DI32" s="551" t="str">
        <f t="shared" si="57"/>
        <v>Eligible</v>
      </c>
      <c r="DJ32" s="423" t="str">
        <f t="shared" si="47"/>
        <v>Eligible</v>
      </c>
      <c r="DK32" s="549" t="s">
        <v>1271</v>
      </c>
      <c r="DL32" s="549" t="s">
        <v>1271</v>
      </c>
      <c r="DM32" s="423" t="str">
        <f t="shared" si="58"/>
        <v>Eligible</v>
      </c>
      <c r="DN32" s="423" t="str">
        <f t="shared" si="59"/>
        <v>Not PIK</v>
      </c>
      <c r="DO32" s="424" t="s">
        <v>122</v>
      </c>
      <c r="DP32" s="423" t="str">
        <f t="shared" si="49"/>
        <v>YES</v>
      </c>
    </row>
    <row r="33" spans="1:120" ht="16.5">
      <c r="A33" s="616" t="s">
        <v>1273</v>
      </c>
      <c r="B33" s="36">
        <f>IFERROR(VLOOKUP(A33,'Loan List '!$A$6:$BZ$75,2,FALSE),NA)</f>
        <v>0</v>
      </c>
      <c r="C33" s="498" t="str">
        <f>VLOOKUP(A33,'Loan List '!$A$6:$G$75, 7, FALSE)</f>
        <v>First Lien</v>
      </c>
      <c r="D33" s="498" t="str">
        <f>VLOOKUP(A33, 'Loan List '!$A$6:$K$82, 11, FALSE)</f>
        <v>FL</v>
      </c>
      <c r="E33" s="497" t="b">
        <f t="shared" si="23"/>
        <v>1</v>
      </c>
      <c r="F33" s="497" t="str">
        <f>VLOOKUP(A33,'Loan List '!$A$6:$L$75, 12, FALSE)</f>
        <v>Commercial Services &amp; Supplies</v>
      </c>
      <c r="G33" s="320"/>
      <c r="H33" s="533">
        <f t="shared" si="0"/>
        <v>992500</v>
      </c>
      <c r="I33" s="533">
        <f>VLOOKUP(A33,'Loan List '!$A$6:$L$75, 8, FALSE)</f>
        <v>992500</v>
      </c>
      <c r="J33" s="361">
        <v>0</v>
      </c>
      <c r="K33" s="323">
        <f t="shared" si="50"/>
        <v>2.7472528594181078E-3</v>
      </c>
      <c r="L33" s="601">
        <f>VLOOKUP(A33,'Loan List '!$A$6:$BA$82,24, FALSE)</f>
        <v>100</v>
      </c>
      <c r="M33" s="501"/>
      <c r="N33" s="502">
        <f>VLOOKUP(A33,'Loan List '!$A$6:$BA$82,22, FALSE)</f>
        <v>46615</v>
      </c>
      <c r="O33" s="602">
        <f t="shared" si="24"/>
        <v>992500</v>
      </c>
      <c r="P33" s="327">
        <f t="shared" si="2"/>
        <v>1</v>
      </c>
      <c r="Q33" s="487" t="s">
        <v>451</v>
      </c>
      <c r="R33" s="488" t="s">
        <v>38</v>
      </c>
      <c r="S33" s="327" t="b">
        <f t="shared" si="56"/>
        <v>0</v>
      </c>
      <c r="T33" s="327">
        <f>VLOOKUP(A33,'Loan List '!$A$6:$BD$1048576,56,FALSE)/100</f>
        <v>1</v>
      </c>
      <c r="U33" s="535">
        <f t="shared" si="25"/>
        <v>992500</v>
      </c>
      <c r="V33" s="503">
        <f>VLOOKUP(A33,'Loan List '!$A$6:$BA$82,26, FALSE)</f>
        <v>0</v>
      </c>
      <c r="W33" s="350">
        <f t="shared" si="51"/>
        <v>0</v>
      </c>
      <c r="X33" s="326"/>
      <c r="Y33" s="504">
        <f>VLOOKUP(A33,'Loan List '!$A$6:$BA$75,27, FALSE)</f>
        <v>0</v>
      </c>
      <c r="Z33" s="109"/>
      <c r="AA33" s="330"/>
      <c r="AB33" s="333">
        <f t="shared" si="5"/>
        <v>1.4794372675268995E-2</v>
      </c>
      <c r="AC33" s="333">
        <f t="shared" si="6"/>
        <v>1.7267684743048704E-3</v>
      </c>
      <c r="AD33" s="331">
        <f t="shared" si="26"/>
        <v>0</v>
      </c>
      <c r="AE33" s="320" t="str">
        <f t="shared" si="27"/>
        <v>Class 3</v>
      </c>
      <c r="AF33" s="649">
        <f t="shared" si="28"/>
        <v>5</v>
      </c>
      <c r="AG33" s="649">
        <f t="shared" si="29"/>
        <v>6</v>
      </c>
      <c r="AH33" s="332">
        <f t="shared" si="30"/>
        <v>0.92847899661556832</v>
      </c>
      <c r="AI33" s="332">
        <f t="shared" si="31"/>
        <v>7.1521003384431681E-2</v>
      </c>
      <c r="AJ33" s="332">
        <f t="shared" si="32"/>
        <v>0.65</v>
      </c>
      <c r="AK33" s="332">
        <f t="shared" si="33"/>
        <v>0.35</v>
      </c>
      <c r="AL33" s="332">
        <f t="shared" si="34"/>
        <v>0.62854369898467044</v>
      </c>
      <c r="AM33" s="333">
        <f ca="1">'Diversity Score'!$E$7</f>
        <v>1</v>
      </c>
      <c r="AN33" s="332">
        <f t="shared" ca="1" si="35"/>
        <v>0.62854369898467044</v>
      </c>
      <c r="AO33" s="505">
        <f>VLOOKUP(A33,'Loan List '!$A$6:$BA$75,17, FALSE)</f>
        <v>5.3600000000000002E-2</v>
      </c>
      <c r="AP33" s="493" t="str">
        <f>VLOOKUP(A33,'Loan List '!$A$6:$BA$795,15, FALSE)</f>
        <v>SOFR</v>
      </c>
      <c r="AQ33" s="494">
        <f>VLOOKUP(A33,'Loan List '!$A$6:$BA$795,16, FALSE)</f>
        <v>0.01</v>
      </c>
      <c r="AR33" s="539">
        <v>0</v>
      </c>
      <c r="AS33" s="539">
        <v>0</v>
      </c>
      <c r="AT33" s="353"/>
      <c r="AU33" s="323">
        <f t="shared" si="52"/>
        <v>5.3600000000000002E-2</v>
      </c>
      <c r="AV33" s="323" t="b">
        <f t="shared" si="36"/>
        <v>0</v>
      </c>
      <c r="AW33" s="540" t="b">
        <f t="shared" si="37"/>
        <v>0</v>
      </c>
      <c r="AX33" s="323" t="b">
        <f t="shared" si="53"/>
        <v>0</v>
      </c>
      <c r="AY33" s="353"/>
      <c r="AZ33" s="323" t="b">
        <f t="shared" si="13"/>
        <v>0</v>
      </c>
      <c r="BA33" s="497" t="str">
        <f>'Loan List '!AS22</f>
        <v>Maintenance Covenants</v>
      </c>
      <c r="BB33" s="320" t="b">
        <f t="shared" si="38"/>
        <v>0</v>
      </c>
      <c r="BC33" s="326" t="b">
        <f t="shared" si="39"/>
        <v>0</v>
      </c>
      <c r="BD33" s="320" t="b">
        <f t="shared" si="40"/>
        <v>1</v>
      </c>
      <c r="BE33" s="320" t="b">
        <f t="shared" si="41"/>
        <v>1</v>
      </c>
      <c r="BF33" s="550" t="str">
        <f>'Loan List '!J22</f>
        <v>USD</v>
      </c>
      <c r="BG33" s="497" t="str">
        <f>VLOOKUP(A33,'Loan List '!$A$6:$BZ$75, 23, FALSE)</f>
        <v>USA</v>
      </c>
      <c r="BH33" s="320" t="b">
        <f t="shared" si="42"/>
        <v>0</v>
      </c>
      <c r="BI33" s="320" t="b">
        <f t="shared" si="43"/>
        <v>0</v>
      </c>
      <c r="BJ33" s="320" t="b">
        <f>IF('Loan List '!BP22=1, TRUE, FALSE)</f>
        <v>0</v>
      </c>
      <c r="BK33" s="320" t="b">
        <f t="shared" si="54"/>
        <v>0</v>
      </c>
      <c r="BL33" s="541" t="b">
        <f t="shared" si="55"/>
        <v>0</v>
      </c>
      <c r="BM33" s="320" t="b">
        <f>IF('Loan List '!AT22="Yes", TRUE, FALSE)</f>
        <v>0</v>
      </c>
      <c r="BN33" s="336">
        <f t="shared" ca="1" si="44"/>
        <v>2.0602739726027397</v>
      </c>
      <c r="BO33" s="337">
        <f ca="1">'Concentration Limitations'!H28</f>
        <v>992500</v>
      </c>
      <c r="BP33" s="338">
        <f t="shared" ca="1" si="16"/>
        <v>623829.62124228536</v>
      </c>
      <c r="BQ33" s="339"/>
      <c r="BR33" s="340"/>
      <c r="BS33" s="542">
        <f>'Loan List '!AG22</f>
        <v>45808</v>
      </c>
      <c r="BT33" s="650">
        <f>'Loan List '!AO22</f>
        <v>1.894045978678657</v>
      </c>
      <c r="BU33" s="650">
        <f>'Loan List '!AI22</f>
        <v>5.385151433931922</v>
      </c>
      <c r="BV33" s="490"/>
      <c r="BW33" s="377">
        <v>0</v>
      </c>
      <c r="BX33" s="492" t="s">
        <v>1217</v>
      </c>
      <c r="BY33" s="490">
        <f>'Loan List '!AJ22</f>
        <v>26.117000000000001</v>
      </c>
      <c r="BZ33" s="490">
        <f>'Loan List '!AL22</f>
        <v>0</v>
      </c>
      <c r="CA33" s="377">
        <v>0</v>
      </c>
      <c r="CB33" s="377">
        <v>0</v>
      </c>
      <c r="CC33" s="545" t="s">
        <v>146</v>
      </c>
      <c r="CD33" s="546" t="s">
        <v>146</v>
      </c>
      <c r="CE33" s="378" t="s">
        <v>1217</v>
      </c>
      <c r="CF33" s="491">
        <f>'Loan List '!AC22</f>
        <v>1.6090518973026531</v>
      </c>
      <c r="CG33" s="491">
        <f>'Loan List '!AD22</f>
        <v>4.8333746739647401</v>
      </c>
      <c r="CH33" s="491"/>
      <c r="CI33" s="377">
        <v>0</v>
      </c>
      <c r="CJ33" s="492" t="s">
        <v>1217</v>
      </c>
      <c r="CK33" s="491">
        <f>'Loan List '!AB22</f>
        <v>23.523</v>
      </c>
      <c r="CL33" s="495">
        <f>'Loan List '!AE22</f>
        <v>0</v>
      </c>
      <c r="CM33" s="377">
        <v>0</v>
      </c>
      <c r="CN33" s="377">
        <v>0</v>
      </c>
      <c r="CO33" s="377" t="s">
        <v>146</v>
      </c>
      <c r="CP33" s="547" t="s">
        <v>146</v>
      </c>
      <c r="CQ33" s="345">
        <f t="shared" si="17"/>
        <v>0.17711926001501629</v>
      </c>
      <c r="CR33" s="346">
        <f t="shared" si="18"/>
        <v>0.11415973252381202</v>
      </c>
      <c r="CS33" s="347">
        <f t="shared" si="45"/>
        <v>0.5517767599671819</v>
      </c>
      <c r="CT33" s="485">
        <f t="shared" si="46"/>
        <v>0.11027504995111181</v>
      </c>
      <c r="CU33" s="348">
        <f>IF(OR($CQ33&lt;'Summary '!$I$47,$BT33&lt;'Summary '!$I$46),1,0)</f>
        <v>0</v>
      </c>
      <c r="CV33" s="348">
        <f>IF(OR($CS33&gt;='Summary '!$I$50, (AND(BU33&gt;'Summary '!$I$52, Calcs!CR33&gt; 'Summary '!$I$51))),1,0)</f>
        <v>0</v>
      </c>
      <c r="CW33" s="348">
        <f t="shared" si="20"/>
        <v>0</v>
      </c>
      <c r="CX33" s="447" t="s">
        <v>122</v>
      </c>
      <c r="CY33" s="447" t="s">
        <v>122</v>
      </c>
      <c r="CZ33" t="s">
        <v>122</v>
      </c>
      <c r="DA33" s="352"/>
      <c r="DD33" s="258">
        <v>0</v>
      </c>
      <c r="DE33" s="258">
        <v>0</v>
      </c>
      <c r="DF33" s="277"/>
      <c r="DI33" s="551" t="str">
        <f t="shared" si="57"/>
        <v>Eligible</v>
      </c>
      <c r="DJ33" s="423" t="str">
        <f t="shared" si="47"/>
        <v>Eligible</v>
      </c>
      <c r="DK33" s="549" t="s">
        <v>1271</v>
      </c>
      <c r="DL33" s="549" t="s">
        <v>1271</v>
      </c>
      <c r="DM33" s="423" t="str">
        <f t="shared" si="58"/>
        <v>Eligible</v>
      </c>
      <c r="DN33" s="423" t="str">
        <f t="shared" si="59"/>
        <v>Not PIK</v>
      </c>
      <c r="DO33" s="424" t="s">
        <v>122</v>
      </c>
      <c r="DP33" s="423" t="str">
        <f t="shared" si="49"/>
        <v>YES</v>
      </c>
    </row>
    <row r="34" spans="1:120" ht="16.5">
      <c r="A34" s="616" t="s">
        <v>1100</v>
      </c>
      <c r="B34" s="36">
        <f>IFERROR(VLOOKUP(A34,'Loan List '!$A$6:$BZ$75,2,FALSE),NA)</f>
        <v>0</v>
      </c>
      <c r="C34" s="498" t="str">
        <f>VLOOKUP(A34,'Loan List '!$A$6:$G$75, 7, FALSE)</f>
        <v>First Lien</v>
      </c>
      <c r="D34" s="498" t="str">
        <f>VLOOKUP(A34, 'Loan List '!$A$6:$K$82, 11, FALSE)</f>
        <v>FL</v>
      </c>
      <c r="E34" s="497" t="b">
        <f t="shared" si="23"/>
        <v>1</v>
      </c>
      <c r="F34" s="497" t="str">
        <f>VLOOKUP(A34,'Loan List '!$A$6:$L$75, 12, FALSE)</f>
        <v>Leisure Products</v>
      </c>
      <c r="G34" s="320"/>
      <c r="H34" s="533">
        <f t="shared" si="0"/>
        <v>14391474.029999999</v>
      </c>
      <c r="I34" s="533">
        <f>VLOOKUP(A34,'Loan List '!$A$6:$L$75, 8, FALSE)</f>
        <v>14391474.029999999</v>
      </c>
      <c r="J34" s="361">
        <v>0</v>
      </c>
      <c r="K34" s="323">
        <f t="shared" si="50"/>
        <v>3.9835786579505227E-2</v>
      </c>
      <c r="L34" s="601">
        <f>VLOOKUP(A34,'Loan List '!$A$6:$BA$82,24, FALSE)</f>
        <v>100</v>
      </c>
      <c r="M34" s="501"/>
      <c r="N34" s="502">
        <f>VLOOKUP(A34,'Loan List '!$A$6:$BA$82,22, FALSE)</f>
        <v>46630</v>
      </c>
      <c r="O34" s="602">
        <f t="shared" si="24"/>
        <v>14391474.029999999</v>
      </c>
      <c r="P34" s="327">
        <f t="shared" si="2"/>
        <v>1</v>
      </c>
      <c r="Q34" s="487" t="s">
        <v>451</v>
      </c>
      <c r="R34" s="488" t="s">
        <v>38</v>
      </c>
      <c r="S34" s="327" t="b">
        <f t="shared" si="56"/>
        <v>0</v>
      </c>
      <c r="T34" s="327">
        <f>VLOOKUP(A34,'Loan List '!$A$6:$BD$1048576,56,FALSE)/100</f>
        <v>1</v>
      </c>
      <c r="U34" s="535">
        <f t="shared" si="25"/>
        <v>14391474.029999999</v>
      </c>
      <c r="V34" s="503">
        <f>VLOOKUP(A34,'Loan List '!$A$6:$BA$82,26, FALSE)</f>
        <v>0</v>
      </c>
      <c r="W34" s="350">
        <f t="shared" si="51"/>
        <v>0</v>
      </c>
      <c r="X34" s="326"/>
      <c r="Y34" s="504">
        <f>VLOOKUP(A34,'Loan List '!$A$6:$BA$75,27, FALSE)</f>
        <v>0</v>
      </c>
      <c r="Z34" s="109"/>
      <c r="AA34" s="330"/>
      <c r="AB34" s="333">
        <f t="shared" si="5"/>
        <v>4.1891063932557343E-2</v>
      </c>
      <c r="AC34" s="333">
        <f t="shared" si="6"/>
        <v>2.6889155941166028E-2</v>
      </c>
      <c r="AD34" s="331">
        <f t="shared" si="26"/>
        <v>0</v>
      </c>
      <c r="AE34" s="320" t="str">
        <f t="shared" si="27"/>
        <v>Class 2</v>
      </c>
      <c r="AF34" s="649">
        <f t="shared" si="28"/>
        <v>5.5</v>
      </c>
      <c r="AG34" s="649">
        <f t="shared" si="29"/>
        <v>6.5</v>
      </c>
      <c r="AH34" s="332">
        <f t="shared" si="30"/>
        <v>1</v>
      </c>
      <c r="AI34" s="332">
        <f t="shared" si="31"/>
        <v>0</v>
      </c>
      <c r="AJ34" s="332">
        <f t="shared" si="32"/>
        <v>0.67500000000000004</v>
      </c>
      <c r="AK34" s="332">
        <f t="shared" si="33"/>
        <v>0.35</v>
      </c>
      <c r="AL34" s="332">
        <f t="shared" si="34"/>
        <v>0.67500000000000004</v>
      </c>
      <c r="AM34" s="333">
        <f ca="1">'Diversity Score'!$E$7</f>
        <v>1</v>
      </c>
      <c r="AN34" s="332">
        <f t="shared" ca="1" si="35"/>
        <v>0.67500000000000004</v>
      </c>
      <c r="AO34" s="505">
        <f>VLOOKUP(A34,'Loan List '!$A$6:$BA$75,17, FALSE)</f>
        <v>5.3499999999999999E-2</v>
      </c>
      <c r="AP34" s="493" t="str">
        <f>VLOOKUP(A34,'Loan List '!$A$6:$BA$795,15, FALSE)</f>
        <v>SOFR</v>
      </c>
      <c r="AQ34" s="494">
        <f>VLOOKUP(A34,'Loan List '!$A$6:$BA$795,16, FALSE)</f>
        <v>0.01</v>
      </c>
      <c r="AR34" s="539">
        <v>0</v>
      </c>
      <c r="AS34" s="539">
        <v>0</v>
      </c>
      <c r="AT34" s="353"/>
      <c r="AU34" s="323">
        <f t="shared" si="52"/>
        <v>5.3499999999999999E-2</v>
      </c>
      <c r="AV34" s="323" t="b">
        <f t="shared" si="36"/>
        <v>0</v>
      </c>
      <c r="AW34" s="540" t="b">
        <f t="shared" si="37"/>
        <v>0</v>
      </c>
      <c r="AX34" s="323" t="b">
        <f t="shared" si="53"/>
        <v>0</v>
      </c>
      <c r="AY34" s="353"/>
      <c r="AZ34" s="323" t="b">
        <f t="shared" si="13"/>
        <v>0</v>
      </c>
      <c r="BA34" s="497" t="str">
        <f>'Loan List '!AS23</f>
        <v>Maintenance Covenants</v>
      </c>
      <c r="BB34" s="320" t="b">
        <f t="shared" si="38"/>
        <v>0</v>
      </c>
      <c r="BC34" s="326" t="b">
        <f t="shared" si="39"/>
        <v>0</v>
      </c>
      <c r="BD34" s="320" t="b">
        <f t="shared" si="40"/>
        <v>1</v>
      </c>
      <c r="BE34" s="320" t="b">
        <f t="shared" si="41"/>
        <v>1</v>
      </c>
      <c r="BF34" s="550" t="str">
        <f>'Loan List '!J23</f>
        <v>USD</v>
      </c>
      <c r="BG34" s="497" t="str">
        <f>VLOOKUP(A34,'Loan List '!$A$6:$BZ$75, 23, FALSE)</f>
        <v>USA</v>
      </c>
      <c r="BH34" s="320" t="b">
        <f t="shared" si="42"/>
        <v>0</v>
      </c>
      <c r="BI34" s="320" t="b">
        <f t="shared" si="43"/>
        <v>0</v>
      </c>
      <c r="BJ34" s="320" t="b">
        <f>IF('Loan List '!BP23=1, TRUE, FALSE)</f>
        <v>0</v>
      </c>
      <c r="BK34" s="320" t="b">
        <f t="shared" si="54"/>
        <v>0</v>
      </c>
      <c r="BL34" s="541" t="b">
        <f t="shared" si="55"/>
        <v>0</v>
      </c>
      <c r="BM34" s="320" t="b">
        <f>IF('Loan List '!AT23="Yes", TRUE, FALSE)</f>
        <v>0</v>
      </c>
      <c r="BN34" s="336">
        <f t="shared" ca="1" si="44"/>
        <v>2.1013698630136988</v>
      </c>
      <c r="BO34" s="337">
        <f ca="1">'Concentration Limitations'!H29</f>
        <v>14391474.029999997</v>
      </c>
      <c r="BP34" s="338">
        <f t="shared" ca="1" si="16"/>
        <v>9714244.9702499993</v>
      </c>
      <c r="BQ34" s="339"/>
      <c r="BR34" s="340"/>
      <c r="BS34" s="542">
        <f>'Loan List '!AG23</f>
        <v>45747</v>
      </c>
      <c r="BT34" s="650">
        <f>'Loan List '!AO23</f>
        <v>6.1260243697738339</v>
      </c>
      <c r="BU34" s="650">
        <f>'Loan List '!AI23</f>
        <v>1.0515937434535187</v>
      </c>
      <c r="BV34" s="490"/>
      <c r="BW34" s="377">
        <v>0</v>
      </c>
      <c r="BX34" s="492" t="s">
        <v>1217</v>
      </c>
      <c r="BY34" s="490">
        <f>'Loan List '!AJ23</f>
        <v>105.25377061155207</v>
      </c>
      <c r="BZ34" s="490">
        <f>'Loan List '!AL23</f>
        <v>0</v>
      </c>
      <c r="CA34" s="377">
        <v>0</v>
      </c>
      <c r="CB34" s="377">
        <v>0</v>
      </c>
      <c r="CC34" s="545" t="s">
        <v>146</v>
      </c>
      <c r="CD34" s="546" t="s">
        <v>146</v>
      </c>
      <c r="CE34" s="378" t="s">
        <v>1217</v>
      </c>
      <c r="CF34" s="491">
        <f>'Loan List '!AC23</f>
        <v>4.96</v>
      </c>
      <c r="CG34" s="491">
        <f>'Loan List '!AD23</f>
        <v>1.63</v>
      </c>
      <c r="CH34" s="491"/>
      <c r="CI34" s="377">
        <v>0</v>
      </c>
      <c r="CJ34" s="492" t="s">
        <v>1217</v>
      </c>
      <c r="CK34" s="491">
        <f>'Loan List '!AB23</f>
        <v>70.42</v>
      </c>
      <c r="CL34" s="495">
        <f>'Loan List '!AE23</f>
        <v>0</v>
      </c>
      <c r="CM34" s="377">
        <v>0</v>
      </c>
      <c r="CN34" s="377">
        <v>0</v>
      </c>
      <c r="CO34" s="377" t="s">
        <v>146</v>
      </c>
      <c r="CP34" s="547" t="s">
        <v>146</v>
      </c>
      <c r="CQ34" s="345">
        <f t="shared" si="17"/>
        <v>0.23508555842214393</v>
      </c>
      <c r="CR34" s="346">
        <f t="shared" si="18"/>
        <v>-0.3548504641389455</v>
      </c>
      <c r="CS34" s="347">
        <f t="shared" si="45"/>
        <v>-0.57840625654648115</v>
      </c>
      <c r="CT34" s="485">
        <f t="shared" si="46"/>
        <v>0.49465735034865199</v>
      </c>
      <c r="CU34" s="348">
        <f>IF(OR($CQ34&lt;'Summary '!$I$47,$BT34&lt;'Summary '!$I$46),1,0)</f>
        <v>0</v>
      </c>
      <c r="CV34" s="348">
        <f>IF(OR($CS34&gt;='Summary '!$I$50, (AND(BU34&gt;'Summary '!$I$52, Calcs!CR34&gt; 'Summary '!$I$51))),1,0)</f>
        <v>0</v>
      </c>
      <c r="CW34" s="348">
        <f t="shared" si="20"/>
        <v>0</v>
      </c>
      <c r="CX34" s="447" t="s">
        <v>122</v>
      </c>
      <c r="CY34" s="447" t="s">
        <v>122</v>
      </c>
      <c r="CZ34" t="s">
        <v>122</v>
      </c>
      <c r="DA34" s="352"/>
      <c r="DD34" s="258">
        <v>0</v>
      </c>
      <c r="DE34" s="258">
        <v>0</v>
      </c>
      <c r="DF34" s="277"/>
      <c r="DI34" s="551" t="str">
        <f t="shared" si="57"/>
        <v>Eligible</v>
      </c>
      <c r="DJ34" s="423" t="str">
        <f t="shared" si="47"/>
        <v>Eligible</v>
      </c>
      <c r="DK34" s="549" t="s">
        <v>1271</v>
      </c>
      <c r="DL34" s="549" t="s">
        <v>1271</v>
      </c>
      <c r="DM34" s="423" t="str">
        <f t="shared" si="58"/>
        <v>Eligible</v>
      </c>
      <c r="DN34" s="423" t="str">
        <f t="shared" si="59"/>
        <v>Not PIK</v>
      </c>
      <c r="DO34" s="424" t="s">
        <v>122</v>
      </c>
      <c r="DP34" s="423" t="str">
        <f t="shared" si="49"/>
        <v>YES</v>
      </c>
    </row>
    <row r="35" spans="1:120" ht="16.5">
      <c r="A35" s="616" t="s">
        <v>1107</v>
      </c>
      <c r="B35" s="36">
        <f>IFERROR(VLOOKUP(A35,'Loan List '!$A$6:$BZ$75,2,FALSE),NA)</f>
        <v>0</v>
      </c>
      <c r="C35" s="498" t="str">
        <f>VLOOKUP(A35,'Loan List '!$A$6:$G$75, 7, FALSE)</f>
        <v>First Lien</v>
      </c>
      <c r="D35" s="498" t="str">
        <f>VLOOKUP(A35, 'Loan List '!$A$6:$K$82, 11, FALSE)</f>
        <v>FL</v>
      </c>
      <c r="E35" s="497" t="b">
        <f t="shared" si="23"/>
        <v>1</v>
      </c>
      <c r="F35" s="497" t="str">
        <f>VLOOKUP(A35,'Loan List '!$A$6:$L$75, 12, FALSE)</f>
        <v>Aerospace &amp; Defense</v>
      </c>
      <c r="G35" s="320"/>
      <c r="H35" s="533">
        <f t="shared" si="0"/>
        <v>5438891.75</v>
      </c>
      <c r="I35" s="533">
        <f>VLOOKUP(A35,'Loan List '!$A$6:$L$75, 8, FALSE)</f>
        <v>5438891.75</v>
      </c>
      <c r="J35" s="361">
        <v>0</v>
      </c>
      <c r="K35" s="323">
        <f t="shared" si="50"/>
        <v>1.5054922833504339E-2</v>
      </c>
      <c r="L35" s="601">
        <f>VLOOKUP(A35,'Loan List '!$A$6:$BA$82,24, FALSE)</f>
        <v>100</v>
      </c>
      <c r="M35" s="501"/>
      <c r="N35" s="502">
        <f>VLOOKUP(A35,'Loan List '!$A$6:$BA$82,22, FALSE)</f>
        <v>47128</v>
      </c>
      <c r="O35" s="602">
        <f t="shared" si="24"/>
        <v>5438891.75</v>
      </c>
      <c r="P35" s="327">
        <f t="shared" si="2"/>
        <v>1</v>
      </c>
      <c r="Q35" s="487" t="s">
        <v>451</v>
      </c>
      <c r="R35" s="488" t="s">
        <v>38</v>
      </c>
      <c r="S35" s="327" t="b">
        <f t="shared" si="56"/>
        <v>0</v>
      </c>
      <c r="T35" s="327">
        <f>VLOOKUP(A35,'Loan List '!$A$6:$BD$1048576,56,FALSE)/100</f>
        <v>1</v>
      </c>
      <c r="U35" s="535">
        <f t="shared" si="25"/>
        <v>5438891.75</v>
      </c>
      <c r="V35" s="503">
        <f>VLOOKUP(A35,'Loan List '!$A$6:$BA$82,26, FALSE)</f>
        <v>0</v>
      </c>
      <c r="W35" s="350">
        <f t="shared" si="51"/>
        <v>0</v>
      </c>
      <c r="X35" s="326"/>
      <c r="Y35" s="504">
        <f>VLOOKUP(A35,'Loan List '!$A$6:$BA$75,27, FALSE)</f>
        <v>0</v>
      </c>
      <c r="Z35" s="109"/>
      <c r="AA35" s="330"/>
      <c r="AB35" s="333">
        <f t="shared" si="5"/>
        <v>4.3247454061442897E-2</v>
      </c>
      <c r="AC35" s="333">
        <f t="shared" si="6"/>
        <v>9.7856998417778212E-3</v>
      </c>
      <c r="AD35" s="331">
        <f t="shared" si="26"/>
        <v>0</v>
      </c>
      <c r="AE35" s="320" t="str">
        <f t="shared" si="27"/>
        <v>Class 3</v>
      </c>
      <c r="AF35" s="649">
        <f t="shared" si="28"/>
        <v>5</v>
      </c>
      <c r="AG35" s="649">
        <f t="shared" si="29"/>
        <v>6</v>
      </c>
      <c r="AH35" s="332">
        <f t="shared" si="30"/>
        <v>1</v>
      </c>
      <c r="AI35" s="332">
        <f t="shared" si="31"/>
        <v>0</v>
      </c>
      <c r="AJ35" s="332">
        <f t="shared" si="32"/>
        <v>0.65</v>
      </c>
      <c r="AK35" s="332">
        <f t="shared" si="33"/>
        <v>0.35</v>
      </c>
      <c r="AL35" s="332">
        <f t="shared" si="34"/>
        <v>0.65</v>
      </c>
      <c r="AM35" s="333">
        <f ca="1">'Diversity Score'!$E$7</f>
        <v>1</v>
      </c>
      <c r="AN35" s="332">
        <f t="shared" ca="1" si="35"/>
        <v>0.65</v>
      </c>
      <c r="AO35" s="505">
        <f>VLOOKUP(A35,'Loan List '!$A$6:$BA$75,17, FALSE)</f>
        <v>5.7500000000000002E-2</v>
      </c>
      <c r="AP35" s="493" t="str">
        <f>VLOOKUP(A35,'Loan List '!$A$6:$BA$795,15, FALSE)</f>
        <v>SOFR</v>
      </c>
      <c r="AQ35" s="494">
        <f>VLOOKUP(A35,'Loan List '!$A$6:$BA$795,16, FALSE)</f>
        <v>0.01</v>
      </c>
      <c r="AR35" s="539">
        <v>0</v>
      </c>
      <c r="AS35" s="539">
        <v>0</v>
      </c>
      <c r="AT35" s="353"/>
      <c r="AU35" s="323">
        <f t="shared" si="52"/>
        <v>5.7500000000000002E-2</v>
      </c>
      <c r="AV35" s="323" t="b">
        <f t="shared" si="36"/>
        <v>0</v>
      </c>
      <c r="AW35" s="540" t="b">
        <f t="shared" si="37"/>
        <v>0</v>
      </c>
      <c r="AX35" s="323" t="b">
        <f t="shared" si="53"/>
        <v>0</v>
      </c>
      <c r="AY35" s="353"/>
      <c r="AZ35" s="323" t="b">
        <f t="shared" si="13"/>
        <v>0</v>
      </c>
      <c r="BA35" s="497" t="str">
        <f>'Loan List '!AS24</f>
        <v>Maintenance Covenants</v>
      </c>
      <c r="BB35" s="320" t="b">
        <f t="shared" si="38"/>
        <v>0</v>
      </c>
      <c r="BC35" s="326" t="b">
        <f t="shared" si="39"/>
        <v>0</v>
      </c>
      <c r="BD35" s="320" t="b">
        <f t="shared" si="40"/>
        <v>1</v>
      </c>
      <c r="BE35" s="320" t="b">
        <f t="shared" si="41"/>
        <v>1</v>
      </c>
      <c r="BF35" s="550" t="str">
        <f>'Loan List '!J24</f>
        <v>USD</v>
      </c>
      <c r="BG35" s="497" t="str">
        <f>VLOOKUP(A35,'Loan List '!$A$6:$BZ$75, 23, FALSE)</f>
        <v>USA</v>
      </c>
      <c r="BH35" s="320" t="b">
        <f t="shared" si="42"/>
        <v>0</v>
      </c>
      <c r="BI35" s="320" t="b">
        <f t="shared" si="43"/>
        <v>0</v>
      </c>
      <c r="BJ35" s="320" t="b">
        <f>IF('Loan List '!BP24=1, TRUE, FALSE)</f>
        <v>0</v>
      </c>
      <c r="BK35" s="320" t="b">
        <f t="shared" si="54"/>
        <v>0</v>
      </c>
      <c r="BL35" s="541" t="b">
        <f t="shared" si="55"/>
        <v>0</v>
      </c>
      <c r="BM35" s="320" t="b">
        <f>IF('Loan List '!AT24="Yes", TRUE, FALSE)</f>
        <v>0</v>
      </c>
      <c r="BN35" s="336">
        <f t="shared" ca="1" si="44"/>
        <v>3.4657534246575343</v>
      </c>
      <c r="BO35" s="337">
        <f ca="1">'Concentration Limitations'!H30</f>
        <v>5438891.75</v>
      </c>
      <c r="BP35" s="338">
        <f t="shared" ca="1" si="16"/>
        <v>3535279.6375000002</v>
      </c>
      <c r="BQ35" s="339"/>
      <c r="BR35" s="340"/>
      <c r="BS35" s="542">
        <f>'Loan List '!AG24</f>
        <v>45777</v>
      </c>
      <c r="BT35" s="650">
        <f>'Loan List '!AO24</f>
        <v>2.4905948480673334</v>
      </c>
      <c r="BU35" s="650">
        <f>'Loan List '!AI24</f>
        <v>2.8726453492804902</v>
      </c>
      <c r="BV35" s="490"/>
      <c r="BW35" s="377">
        <v>0</v>
      </c>
      <c r="BX35" s="492" t="s">
        <v>1217</v>
      </c>
      <c r="BY35" s="490">
        <f>'Loan List '!AJ24</f>
        <v>29.707113000000003</v>
      </c>
      <c r="BZ35" s="490">
        <f>'Loan List '!AL24</f>
        <v>0</v>
      </c>
      <c r="CA35" s="377">
        <v>0</v>
      </c>
      <c r="CB35" s="377">
        <v>0</v>
      </c>
      <c r="CC35" s="545" t="s">
        <v>146</v>
      </c>
      <c r="CD35" s="546" t="s">
        <v>146</v>
      </c>
      <c r="CE35" s="378" t="s">
        <v>1217</v>
      </c>
      <c r="CF35" s="491">
        <f>'Loan List '!AC24</f>
        <v>2.31</v>
      </c>
      <c r="CG35" s="491">
        <f>'Loan List '!AD24</f>
        <v>3.63</v>
      </c>
      <c r="CH35" s="491"/>
      <c r="CI35" s="377">
        <v>0</v>
      </c>
      <c r="CJ35" s="492" t="s">
        <v>1217</v>
      </c>
      <c r="CK35" s="491">
        <f>'Loan List '!AB24</f>
        <v>11.98</v>
      </c>
      <c r="CL35" s="495">
        <f>'Loan List '!AE24</f>
        <v>0</v>
      </c>
      <c r="CM35" s="377">
        <v>0</v>
      </c>
      <c r="CN35" s="377">
        <v>0</v>
      </c>
      <c r="CO35" s="377" t="s">
        <v>146</v>
      </c>
      <c r="CP35" s="547" t="s">
        <v>146</v>
      </c>
      <c r="CQ35" s="345">
        <f t="shared" si="17"/>
        <v>7.8179587907936526E-2</v>
      </c>
      <c r="CR35" s="346">
        <f t="shared" si="18"/>
        <v>-0.20863764482631122</v>
      </c>
      <c r="CS35" s="347">
        <f t="shared" si="45"/>
        <v>-0.75735465071950969</v>
      </c>
      <c r="CT35" s="485">
        <f t="shared" si="46"/>
        <v>1.4797256260434057</v>
      </c>
      <c r="CU35" s="348">
        <f>IF(OR($CQ35&lt;'Summary '!$I$47,$BT35&lt;'Summary '!$I$46),1,0)</f>
        <v>0</v>
      </c>
      <c r="CV35" s="348">
        <f>IF(OR($CS35&gt;='Summary '!$I$50, (AND(BU35&gt;'Summary '!$I$52, Calcs!CR35&gt; 'Summary '!$I$51))),1,0)</f>
        <v>0</v>
      </c>
      <c r="CW35" s="348">
        <f t="shared" si="20"/>
        <v>0</v>
      </c>
      <c r="CX35" s="447" t="s">
        <v>122</v>
      </c>
      <c r="CY35" s="447" t="s">
        <v>122</v>
      </c>
      <c r="CZ35" t="s">
        <v>122</v>
      </c>
      <c r="DA35" s="352"/>
      <c r="DD35" s="258">
        <v>0</v>
      </c>
      <c r="DE35" s="258">
        <v>0</v>
      </c>
      <c r="DF35" s="277"/>
      <c r="DI35" s="551" t="str">
        <f t="shared" si="57"/>
        <v>Eligible</v>
      </c>
      <c r="DJ35" s="423" t="str">
        <f t="shared" si="47"/>
        <v>Eligible</v>
      </c>
      <c r="DK35" s="549" t="s">
        <v>1271</v>
      </c>
      <c r="DL35" s="549" t="s">
        <v>1271</v>
      </c>
      <c r="DM35" s="423" t="str">
        <f t="shared" si="58"/>
        <v>Eligible</v>
      </c>
      <c r="DN35" s="423" t="str">
        <f t="shared" si="59"/>
        <v>Not PIK</v>
      </c>
      <c r="DO35" s="424" t="s">
        <v>122</v>
      </c>
      <c r="DP35" s="423" t="str">
        <f t="shared" si="49"/>
        <v>YES</v>
      </c>
    </row>
    <row r="36" spans="1:120" ht="16.5">
      <c r="A36" s="616" t="s">
        <v>1110</v>
      </c>
      <c r="B36" s="36">
        <f>IFERROR(VLOOKUP(A36,'Loan List '!$A$6:$BZ$75,2,FALSE),NA)</f>
        <v>0</v>
      </c>
      <c r="C36" s="498" t="str">
        <f>VLOOKUP(A36,'Loan List '!$A$6:$G$75, 7, FALSE)</f>
        <v>First Lien</v>
      </c>
      <c r="D36" s="498" t="str">
        <f>VLOOKUP(A36, 'Loan List '!$A$6:$K$82, 11, FALSE)</f>
        <v>FL</v>
      </c>
      <c r="E36" s="497" t="b">
        <f t="shared" si="23"/>
        <v>1</v>
      </c>
      <c r="F36" s="497" t="str">
        <f>VLOOKUP(A36,'Loan List '!$A$6:$L$75, 12, FALSE)</f>
        <v>Health Care Providers &amp; Services</v>
      </c>
      <c r="G36" s="320"/>
      <c r="H36" s="533">
        <f t="shared" si="0"/>
        <v>1358911.12</v>
      </c>
      <c r="I36" s="533">
        <f>VLOOKUP(A36,'Loan List '!$A$6:$L$75, 8, FALSE)</f>
        <v>1358911.12</v>
      </c>
      <c r="J36" s="361">
        <v>0</v>
      </c>
      <c r="K36" s="323">
        <f t="shared" si="50"/>
        <v>3.7614835870176965E-3</v>
      </c>
      <c r="L36" s="601">
        <f>VLOOKUP(A36,'Loan List '!$A$6:$BA$82,24, FALSE)</f>
        <v>100</v>
      </c>
      <c r="M36" s="501"/>
      <c r="N36" s="502">
        <f>VLOOKUP(A36,'Loan List '!$A$6:$BA$82,22, FALSE)</f>
        <v>47613</v>
      </c>
      <c r="O36" s="602">
        <f t="shared" si="24"/>
        <v>1358911.12</v>
      </c>
      <c r="P36" s="327">
        <f t="shared" si="2"/>
        <v>1</v>
      </c>
      <c r="Q36" s="487" t="s">
        <v>451</v>
      </c>
      <c r="R36" s="488" t="s">
        <v>38</v>
      </c>
      <c r="S36" s="327" t="b">
        <f t="shared" si="56"/>
        <v>0</v>
      </c>
      <c r="T36" s="327">
        <f>VLOOKUP(A36,'Loan List '!$A$6:$BD$1048576,56,FALSE)/100</f>
        <v>1</v>
      </c>
      <c r="U36" s="535">
        <f t="shared" si="25"/>
        <v>1358911.12</v>
      </c>
      <c r="V36" s="503">
        <f>VLOOKUP(A36,'Loan List '!$A$6:$BA$82,26, FALSE)</f>
        <v>0</v>
      </c>
      <c r="W36" s="350">
        <f t="shared" si="51"/>
        <v>0</v>
      </c>
      <c r="X36" s="326"/>
      <c r="Y36" s="504">
        <f>VLOOKUP(A36,'Loan List '!$A$6:$BA$75,27, FALSE)</f>
        <v>0</v>
      </c>
      <c r="Z36" s="109"/>
      <c r="AA36" s="330"/>
      <c r="AB36" s="333">
        <f t="shared" si="5"/>
        <v>1.3621192892104122E-2</v>
      </c>
      <c r="AC36" s="333">
        <f t="shared" si="6"/>
        <v>2.4449643315615026E-3</v>
      </c>
      <c r="AD36" s="331">
        <f t="shared" si="26"/>
        <v>0</v>
      </c>
      <c r="AE36" s="320" t="str">
        <f t="shared" si="27"/>
        <v>Class 3</v>
      </c>
      <c r="AF36" s="649">
        <f t="shared" si="28"/>
        <v>5</v>
      </c>
      <c r="AG36" s="649">
        <f t="shared" si="29"/>
        <v>6</v>
      </c>
      <c r="AH36" s="332">
        <f t="shared" si="30"/>
        <v>1</v>
      </c>
      <c r="AI36" s="332">
        <f t="shared" si="31"/>
        <v>0</v>
      </c>
      <c r="AJ36" s="332">
        <f t="shared" si="32"/>
        <v>0.65</v>
      </c>
      <c r="AK36" s="332">
        <f t="shared" si="33"/>
        <v>0.35</v>
      </c>
      <c r="AL36" s="332">
        <f t="shared" si="34"/>
        <v>0.65</v>
      </c>
      <c r="AM36" s="333">
        <f ca="1">'Diversity Score'!$E$7</f>
        <v>1</v>
      </c>
      <c r="AN36" s="332">
        <f t="shared" ca="1" si="35"/>
        <v>0.65</v>
      </c>
      <c r="AO36" s="505">
        <f>VLOOKUP(A36,'Loan List '!$A$6:$BA$75,17, FALSE)</f>
        <v>5.7500000000000002E-2</v>
      </c>
      <c r="AP36" s="493" t="str">
        <f>VLOOKUP(A36,'Loan List '!$A$6:$BA$795,15, FALSE)</f>
        <v>SOFR</v>
      </c>
      <c r="AQ36" s="494">
        <f>VLOOKUP(A36,'Loan List '!$A$6:$BA$795,16, FALSE)</f>
        <v>0.01</v>
      </c>
      <c r="AR36" s="539">
        <v>0</v>
      </c>
      <c r="AS36" s="539">
        <v>0</v>
      </c>
      <c r="AT36" s="353"/>
      <c r="AU36" s="323">
        <f t="shared" si="52"/>
        <v>5.7500000000000002E-2</v>
      </c>
      <c r="AV36" s="323" t="b">
        <f t="shared" si="36"/>
        <v>0</v>
      </c>
      <c r="AW36" s="540" t="b">
        <f t="shared" si="37"/>
        <v>0</v>
      </c>
      <c r="AX36" s="323" t="b">
        <f t="shared" si="53"/>
        <v>0</v>
      </c>
      <c r="AY36" s="353"/>
      <c r="AZ36" s="323" t="b">
        <f t="shared" si="13"/>
        <v>0</v>
      </c>
      <c r="BA36" s="497" t="str">
        <f>'Loan List '!AS25</f>
        <v>Maintenance Covenants</v>
      </c>
      <c r="BB36" s="320" t="b">
        <f t="shared" si="38"/>
        <v>0</v>
      </c>
      <c r="BC36" s="326" t="b">
        <f t="shared" si="39"/>
        <v>0</v>
      </c>
      <c r="BD36" s="320" t="b">
        <f t="shared" si="40"/>
        <v>1</v>
      </c>
      <c r="BE36" s="320" t="b">
        <f t="shared" si="41"/>
        <v>1</v>
      </c>
      <c r="BF36" s="550" t="str">
        <f>'Loan List '!J25</f>
        <v>USD</v>
      </c>
      <c r="BG36" s="497" t="str">
        <f>VLOOKUP(A36,'Loan List '!$A$6:$BZ$75, 23, FALSE)</f>
        <v>USA</v>
      </c>
      <c r="BH36" s="320" t="b">
        <f t="shared" si="42"/>
        <v>0</v>
      </c>
      <c r="BI36" s="320" t="b">
        <f t="shared" si="43"/>
        <v>0</v>
      </c>
      <c r="BJ36" s="320" t="b">
        <f>IF('Loan List '!BP25=1, TRUE, FALSE)</f>
        <v>0</v>
      </c>
      <c r="BK36" s="320" t="b">
        <f t="shared" si="54"/>
        <v>0</v>
      </c>
      <c r="BL36" s="541" t="b">
        <f t="shared" si="55"/>
        <v>0</v>
      </c>
      <c r="BM36" s="320" t="b">
        <f>IF('Loan List '!AT25="Yes", TRUE, FALSE)</f>
        <v>0</v>
      </c>
      <c r="BN36" s="336">
        <f t="shared" ca="1" si="44"/>
        <v>4.7945205479452051</v>
      </c>
      <c r="BO36" s="337">
        <f ca="1">'Concentration Limitations'!H31</f>
        <v>1358911.12</v>
      </c>
      <c r="BP36" s="338">
        <f t="shared" ca="1" si="16"/>
        <v>883292.22800000012</v>
      </c>
      <c r="BQ36" s="339"/>
      <c r="BR36" s="340"/>
      <c r="BS36" s="542">
        <f>'Loan List '!AG25</f>
        <v>45777</v>
      </c>
      <c r="BT36" s="650">
        <f>'Loan List '!AO25</f>
        <v>2.4908462430126619</v>
      </c>
      <c r="BU36" s="650">
        <f>'Loan List '!AI25</f>
        <v>3.6212288521252662</v>
      </c>
      <c r="BV36" s="490"/>
      <c r="BW36" s="377">
        <v>0</v>
      </c>
      <c r="BX36" s="492" t="s">
        <v>1217</v>
      </c>
      <c r="BY36" s="490">
        <f>'Loan List '!AJ25</f>
        <v>12.719275936666678</v>
      </c>
      <c r="BZ36" s="490">
        <f>'Loan List '!AL25</f>
        <v>0</v>
      </c>
      <c r="CA36" s="377">
        <v>0</v>
      </c>
      <c r="CB36" s="377">
        <v>0</v>
      </c>
      <c r="CC36" s="545" t="s">
        <v>146</v>
      </c>
      <c r="CD36" s="546" t="s">
        <v>146</v>
      </c>
      <c r="CE36" s="378" t="s">
        <v>1217</v>
      </c>
      <c r="CF36" s="491">
        <f>'Loan List '!AC25</f>
        <v>2.36</v>
      </c>
      <c r="CG36" s="491">
        <f>'Loan List '!AD25</f>
        <v>3.5</v>
      </c>
      <c r="CH36" s="491"/>
      <c r="CI36" s="377">
        <v>0</v>
      </c>
      <c r="CJ36" s="492" t="s">
        <v>1217</v>
      </c>
      <c r="CK36" s="491">
        <f>'Loan List '!AB25</f>
        <v>15.03</v>
      </c>
      <c r="CL36" s="495">
        <f>'Loan List '!AE25</f>
        <v>0</v>
      </c>
      <c r="CM36" s="377">
        <v>0</v>
      </c>
      <c r="CN36" s="377">
        <v>0</v>
      </c>
      <c r="CO36" s="377" t="s">
        <v>146</v>
      </c>
      <c r="CP36" s="547" t="s">
        <v>146</v>
      </c>
      <c r="CQ36" s="345">
        <f t="shared" si="17"/>
        <v>5.5443323310450009E-2</v>
      </c>
      <c r="CR36" s="346">
        <f t="shared" si="18"/>
        <v>3.4636814892933208E-2</v>
      </c>
      <c r="CS36" s="347">
        <f t="shared" si="45"/>
        <v>0.12122885212526624</v>
      </c>
      <c r="CT36" s="485">
        <f t="shared" si="46"/>
        <v>-0.15374078931026758</v>
      </c>
      <c r="CU36" s="348">
        <f>IF(OR($CQ36&lt;'Summary '!$I$47,$BT36&lt;'Summary '!$I$46),1,0)</f>
        <v>0</v>
      </c>
      <c r="CV36" s="348">
        <f>IF(OR($CS36&gt;='Summary '!$I$50, (AND(BU36&gt;'Summary '!$I$52, Calcs!CR36&gt; 'Summary '!$I$51))),1,0)</f>
        <v>0</v>
      </c>
      <c r="CW36" s="348">
        <f t="shared" si="20"/>
        <v>0</v>
      </c>
      <c r="CX36" s="447" t="s">
        <v>122</v>
      </c>
      <c r="CY36" s="447" t="s">
        <v>122</v>
      </c>
      <c r="CZ36" t="s">
        <v>122</v>
      </c>
      <c r="DA36" s="352"/>
      <c r="DD36" s="258">
        <v>0</v>
      </c>
      <c r="DE36" s="258">
        <v>0</v>
      </c>
      <c r="DF36" s="277"/>
      <c r="DI36" s="551" t="str">
        <f t="shared" si="57"/>
        <v>Eligible</v>
      </c>
      <c r="DJ36" s="423" t="str">
        <f t="shared" si="47"/>
        <v>Eligible</v>
      </c>
      <c r="DK36" s="549" t="s">
        <v>1271</v>
      </c>
      <c r="DL36" s="549" t="s">
        <v>1271</v>
      </c>
      <c r="DM36" s="423" t="str">
        <f t="shared" si="58"/>
        <v>Eligible</v>
      </c>
      <c r="DN36" s="423" t="str">
        <f t="shared" si="59"/>
        <v>Not PIK</v>
      </c>
      <c r="DO36" s="424" t="s">
        <v>122</v>
      </c>
      <c r="DP36" s="423" t="str">
        <f t="shared" si="49"/>
        <v>YES</v>
      </c>
    </row>
    <row r="37" spans="1:120" ht="16.5">
      <c r="A37" s="616" t="s">
        <v>1295</v>
      </c>
      <c r="B37" s="36">
        <f>IFERROR(VLOOKUP(A37,'Loan List '!$A$6:$BZ$75,2,FALSE),NA)</f>
        <v>0</v>
      </c>
      <c r="C37" s="498" t="str">
        <f>VLOOKUP(A37,'Loan List '!$A$6:$G$75, 7, FALSE)</f>
        <v>First Lien</v>
      </c>
      <c r="D37" s="498" t="str">
        <f>VLOOKUP(A37, 'Loan List '!$A$6:$K$82, 11, FALSE)</f>
        <v>FL</v>
      </c>
      <c r="E37" s="497" t="b">
        <f t="shared" si="23"/>
        <v>1</v>
      </c>
      <c r="F37" s="497" t="str">
        <f>VLOOKUP(A37,'Loan List '!$A$6:$L$75, 12, FALSE)</f>
        <v>Professional Services</v>
      </c>
      <c r="G37" s="320"/>
      <c r="H37" s="533">
        <f t="shared" si="0"/>
        <v>6561913.8300000001</v>
      </c>
      <c r="I37" s="533">
        <f>VLOOKUP(A37,'Loan List '!$A$6:$L$75, 8, FALSE)</f>
        <v>6561913.8300000001</v>
      </c>
      <c r="J37" s="361">
        <v>0</v>
      </c>
      <c r="K37" s="323">
        <f t="shared" si="50"/>
        <v>1.8163462501483856E-2</v>
      </c>
      <c r="L37" s="601">
        <f>VLOOKUP(A37,'Loan List '!$A$6:$BA$82,24, FALSE)</f>
        <v>100</v>
      </c>
      <c r="M37" s="501"/>
      <c r="N37" s="502">
        <f>VLOOKUP(A37,'Loan List '!$A$6:$BA$82,22, FALSE)</f>
        <v>47753</v>
      </c>
      <c r="O37" s="602">
        <f t="shared" si="24"/>
        <v>6561913.8300000001</v>
      </c>
      <c r="P37" s="327">
        <f t="shared" si="2"/>
        <v>1</v>
      </c>
      <c r="Q37" s="487" t="s">
        <v>451</v>
      </c>
      <c r="R37" s="488" t="s">
        <v>38</v>
      </c>
      <c r="S37" s="327" t="b">
        <f t="shared" si="56"/>
        <v>0</v>
      </c>
      <c r="T37" s="327">
        <f>VLOOKUP(A37,'Loan List '!$A$6:$BD$1048576,56,FALSE)/100</f>
        <v>1</v>
      </c>
      <c r="U37" s="535">
        <f t="shared" si="25"/>
        <v>6561913.8300000001</v>
      </c>
      <c r="V37" s="503">
        <f>VLOOKUP(A37,'Loan List '!$A$6:$BA$82,26, FALSE)</f>
        <v>0</v>
      </c>
      <c r="W37" s="350">
        <f t="shared" si="51"/>
        <v>0</v>
      </c>
      <c r="X37" s="326"/>
      <c r="Y37" s="504">
        <f>VLOOKUP(A37,'Loan List '!$A$6:$BA$75,27, FALSE)</f>
        <v>0</v>
      </c>
      <c r="Z37" s="109"/>
      <c r="AA37" s="330"/>
      <c r="AB37" s="333">
        <f t="shared" si="5"/>
        <v>5.7690758841169712E-2</v>
      </c>
      <c r="AC37" s="333">
        <f t="shared" si="6"/>
        <v>1.1806250625964507E-2</v>
      </c>
      <c r="AD37" s="331">
        <f t="shared" si="26"/>
        <v>0</v>
      </c>
      <c r="AE37" s="320" t="str">
        <f t="shared" si="27"/>
        <v>Class 3</v>
      </c>
      <c r="AF37" s="649">
        <f t="shared" si="28"/>
        <v>5</v>
      </c>
      <c r="AG37" s="649">
        <f t="shared" si="29"/>
        <v>6</v>
      </c>
      <c r="AH37" s="332">
        <f t="shared" si="30"/>
        <v>1</v>
      </c>
      <c r="AI37" s="332">
        <f t="shared" si="31"/>
        <v>0</v>
      </c>
      <c r="AJ37" s="332">
        <f t="shared" si="32"/>
        <v>0.65</v>
      </c>
      <c r="AK37" s="332">
        <f t="shared" si="33"/>
        <v>0.35</v>
      </c>
      <c r="AL37" s="332">
        <f t="shared" si="34"/>
        <v>0.65</v>
      </c>
      <c r="AM37" s="333">
        <f ca="1">'Diversity Score'!$E$7</f>
        <v>1</v>
      </c>
      <c r="AN37" s="332">
        <f t="shared" ca="1" si="35"/>
        <v>0.65</v>
      </c>
      <c r="AO37" s="505">
        <f>VLOOKUP(A37,'Loan List '!$A$6:$BA$75,17, FALSE)</f>
        <v>0.05</v>
      </c>
      <c r="AP37" s="493" t="str">
        <f>VLOOKUP(A37,'Loan List '!$A$6:$BA$795,15, FALSE)</f>
        <v>SOFR</v>
      </c>
      <c r="AQ37" s="494">
        <f>VLOOKUP(A37,'Loan List '!$A$6:$BA$795,16, FALSE)</f>
        <v>0.01</v>
      </c>
      <c r="AR37" s="539">
        <v>0</v>
      </c>
      <c r="AS37" s="539">
        <v>0</v>
      </c>
      <c r="AT37" s="353"/>
      <c r="AU37" s="323">
        <f t="shared" si="52"/>
        <v>0.05</v>
      </c>
      <c r="AV37" s="323" t="b">
        <f t="shared" si="36"/>
        <v>0</v>
      </c>
      <c r="AW37" s="540" t="b">
        <f t="shared" si="37"/>
        <v>0</v>
      </c>
      <c r="AX37" s="323" t="b">
        <f t="shared" si="53"/>
        <v>0</v>
      </c>
      <c r="AY37" s="353"/>
      <c r="AZ37" s="323" t="b">
        <f t="shared" si="13"/>
        <v>0</v>
      </c>
      <c r="BA37" s="497" t="str">
        <f>'Loan List '!AS26</f>
        <v>Maintenance Covenants</v>
      </c>
      <c r="BB37" s="320" t="b">
        <f t="shared" si="38"/>
        <v>0</v>
      </c>
      <c r="BC37" s="326" t="b">
        <f t="shared" si="39"/>
        <v>0</v>
      </c>
      <c r="BD37" s="320" t="b">
        <f t="shared" si="40"/>
        <v>1</v>
      </c>
      <c r="BE37" s="320" t="b">
        <f t="shared" si="41"/>
        <v>1</v>
      </c>
      <c r="BF37" s="550" t="str">
        <f>'Loan List '!J26</f>
        <v>USD</v>
      </c>
      <c r="BG37" s="497" t="str">
        <f>VLOOKUP(A37,'Loan List '!$A$6:$BZ$75, 23, FALSE)</f>
        <v>USA</v>
      </c>
      <c r="BH37" s="320" t="b">
        <f t="shared" si="42"/>
        <v>0</v>
      </c>
      <c r="BI37" s="320" t="b">
        <f t="shared" si="43"/>
        <v>0</v>
      </c>
      <c r="BJ37" s="320" t="b">
        <f>IF('Loan List '!BP26=1, TRUE, FALSE)</f>
        <v>0</v>
      </c>
      <c r="BK37" s="320" t="b">
        <f t="shared" si="54"/>
        <v>0</v>
      </c>
      <c r="BL37" s="541" t="b">
        <f t="shared" si="55"/>
        <v>0</v>
      </c>
      <c r="BM37" s="320" t="b">
        <f>IF('Loan List '!AT26="Yes", TRUE, FALSE)</f>
        <v>0</v>
      </c>
      <c r="BN37" s="336">
        <f t="shared" ca="1" si="44"/>
        <v>5.1780821917808222</v>
      </c>
      <c r="BO37" s="337">
        <f ca="1">'Concentration Limitations'!H32</f>
        <v>6561913.8300000001</v>
      </c>
      <c r="BP37" s="338">
        <f t="shared" ca="1" si="16"/>
        <v>4265243.9895000001</v>
      </c>
      <c r="BQ37" s="339"/>
      <c r="BR37" s="340"/>
      <c r="BS37" s="542">
        <f>'Loan List '!AG26</f>
        <v>45777</v>
      </c>
      <c r="BT37" s="650">
        <f>'Loan List '!AO26</f>
        <v>2.9354273239436619</v>
      </c>
      <c r="BU37" s="650">
        <f>'Loan List '!AI26</f>
        <v>3.1761983067081339</v>
      </c>
      <c r="BV37" s="490"/>
      <c r="BW37" s="377">
        <v>0</v>
      </c>
      <c r="BX37" s="492" t="s">
        <v>1217</v>
      </c>
      <c r="BY37" s="490">
        <f>'Loan List '!AJ26</f>
        <v>20.841533999999999</v>
      </c>
      <c r="BZ37" s="490">
        <f>'Loan List '!AL26</f>
        <v>0</v>
      </c>
      <c r="CA37" s="377">
        <v>0</v>
      </c>
      <c r="CB37" s="377">
        <v>0</v>
      </c>
      <c r="CC37" s="545" t="s">
        <v>146</v>
      </c>
      <c r="CD37" s="546" t="s">
        <v>146</v>
      </c>
      <c r="CE37" s="378" t="s">
        <v>1217</v>
      </c>
      <c r="CF37" s="491">
        <f>'Loan List '!AC26</f>
        <v>2.738613303261126</v>
      </c>
      <c r="CG37" s="491">
        <f>'Loan List '!AD26</f>
        <v>2.5044460574165517</v>
      </c>
      <c r="CH37" s="491"/>
      <c r="CI37" s="377">
        <v>0</v>
      </c>
      <c r="CJ37" s="492" t="s">
        <v>1217</v>
      </c>
      <c r="CK37" s="491">
        <f>'Loan List '!AB26</f>
        <v>19.444154453153992</v>
      </c>
      <c r="CL37" s="495">
        <f>'Loan List '!AE26</f>
        <v>0</v>
      </c>
      <c r="CM37" s="377">
        <v>0</v>
      </c>
      <c r="CN37" s="377">
        <v>0</v>
      </c>
      <c r="CO37" s="377" t="s">
        <v>146</v>
      </c>
      <c r="CP37" s="547" t="s">
        <v>146</v>
      </c>
      <c r="CQ37" s="345">
        <f t="shared" si="17"/>
        <v>7.1866305640219771E-2</v>
      </c>
      <c r="CR37" s="346">
        <f t="shared" si="18"/>
        <v>0.26822388420077403</v>
      </c>
      <c r="CS37" s="347">
        <f t="shared" si="45"/>
        <v>0.67175224929158217</v>
      </c>
      <c r="CT37" s="485">
        <f t="shared" si="46"/>
        <v>7.1866305640219785E-2</v>
      </c>
      <c r="CU37" s="348">
        <f>IF(OR($CQ37&lt;'Summary '!$I$47,$BT37&lt;'Summary '!$I$46),1,0)</f>
        <v>0</v>
      </c>
      <c r="CV37" s="348">
        <f>IF(OR($CS37&gt;='Summary '!$I$50, (AND(BU37&gt;'Summary '!$I$52, Calcs!CR37&gt; 'Summary '!$I$51))),1,0)</f>
        <v>0</v>
      </c>
      <c r="CW37" s="348">
        <f t="shared" si="20"/>
        <v>0</v>
      </c>
      <c r="CX37" s="447" t="s">
        <v>122</v>
      </c>
      <c r="CY37" s="447" t="s">
        <v>122</v>
      </c>
      <c r="CZ37" t="s">
        <v>122</v>
      </c>
      <c r="DA37" s="352"/>
      <c r="DD37" s="258">
        <v>0</v>
      </c>
      <c r="DE37" s="258">
        <v>0</v>
      </c>
      <c r="DF37" s="277"/>
      <c r="DI37" s="551" t="str">
        <f t="shared" si="57"/>
        <v>Eligible</v>
      </c>
      <c r="DJ37" s="423" t="str">
        <f t="shared" si="47"/>
        <v>Eligible</v>
      </c>
      <c r="DK37" s="549" t="s">
        <v>1271</v>
      </c>
      <c r="DL37" s="549" t="s">
        <v>1271</v>
      </c>
      <c r="DM37" s="423" t="str">
        <f t="shared" si="58"/>
        <v>Eligible</v>
      </c>
      <c r="DN37" s="423" t="str">
        <f t="shared" si="59"/>
        <v>Not PIK</v>
      </c>
      <c r="DO37" s="424" t="s">
        <v>122</v>
      </c>
      <c r="DP37" s="423" t="str">
        <f t="shared" si="49"/>
        <v>YES</v>
      </c>
    </row>
    <row r="38" spans="1:120" ht="16.5">
      <c r="A38" s="616" t="s">
        <v>1113</v>
      </c>
      <c r="B38" s="36">
        <f>IFERROR(VLOOKUP(A38,'Loan List '!$A$6:$BZ$75,2,FALSE),NA)</f>
        <v>0</v>
      </c>
      <c r="C38" s="498" t="str">
        <f>VLOOKUP(A38,'Loan List '!$A$6:$G$75, 7, FALSE)</f>
        <v>First Lien</v>
      </c>
      <c r="D38" s="498" t="str">
        <f>VLOOKUP(A38, 'Loan List '!$A$6:$K$82, 11, FALSE)</f>
        <v>FL</v>
      </c>
      <c r="E38" s="497" t="b">
        <f t="shared" si="23"/>
        <v>1</v>
      </c>
      <c r="F38" s="497" t="str">
        <f>VLOOKUP(A38,'Loan List '!$A$6:$L$75, 12, FALSE)</f>
        <v>Health Care Providers &amp; Services</v>
      </c>
      <c r="G38" s="320"/>
      <c r="H38" s="533">
        <f t="shared" si="0"/>
        <v>1965112.77</v>
      </c>
      <c r="I38" s="533">
        <f>VLOOKUP(A38,'Loan List '!$A$6:$L$75, 8, FALSE)</f>
        <v>1965112.77</v>
      </c>
      <c r="J38" s="361">
        <v>0</v>
      </c>
      <c r="K38" s="323">
        <f t="shared" si="50"/>
        <v>5.43945760852548E-3</v>
      </c>
      <c r="L38" s="601">
        <f>VLOOKUP(A38,'Loan List '!$A$6:$BA$82,24, FALSE)</f>
        <v>100</v>
      </c>
      <c r="M38" s="501"/>
      <c r="N38" s="502">
        <f>VLOOKUP(A38,'Loan List '!$A$6:$BA$82,22, FALSE)</f>
        <v>47286</v>
      </c>
      <c r="O38" s="602">
        <f t="shared" si="24"/>
        <v>1965112.77</v>
      </c>
      <c r="P38" s="327">
        <f t="shared" si="2"/>
        <v>1</v>
      </c>
      <c r="Q38" s="487" t="s">
        <v>451</v>
      </c>
      <c r="R38" s="488" t="s">
        <v>38</v>
      </c>
      <c r="S38" s="327" t="b">
        <f t="shared" si="56"/>
        <v>0</v>
      </c>
      <c r="T38" s="327">
        <f>VLOOKUP(A38,'Loan List '!$A$6:$BD$1048576,56,FALSE)/100</f>
        <v>1</v>
      </c>
      <c r="U38" s="535">
        <f t="shared" si="25"/>
        <v>1965112.77</v>
      </c>
      <c r="V38" s="503">
        <f>VLOOKUP(A38,'Loan List '!$A$6:$BA$82,26, FALSE)</f>
        <v>0</v>
      </c>
      <c r="W38" s="350">
        <f t="shared" si="51"/>
        <v>0</v>
      </c>
      <c r="X38" s="326"/>
      <c r="Y38" s="504">
        <f>VLOOKUP(A38,'Loan List '!$A$6:$BA$75,27, FALSE)</f>
        <v>0</v>
      </c>
      <c r="Z38" s="109"/>
      <c r="AA38" s="330"/>
      <c r="AB38" s="333">
        <f t="shared" si="5"/>
        <v>2.0577554378746848E-2</v>
      </c>
      <c r="AC38" s="333">
        <f t="shared" si="6"/>
        <v>3.6716338857546993E-3</v>
      </c>
      <c r="AD38" s="331">
        <f t="shared" si="26"/>
        <v>0</v>
      </c>
      <c r="AE38" s="320" t="str">
        <f t="shared" si="27"/>
        <v>Class 2</v>
      </c>
      <c r="AF38" s="649">
        <f t="shared" si="28"/>
        <v>5.5</v>
      </c>
      <c r="AG38" s="649">
        <f t="shared" si="29"/>
        <v>6.5</v>
      </c>
      <c r="AH38" s="332">
        <f t="shared" si="30"/>
        <v>1</v>
      </c>
      <c r="AI38" s="332">
        <f t="shared" si="31"/>
        <v>0</v>
      </c>
      <c r="AJ38" s="332">
        <f t="shared" si="32"/>
        <v>0.67500000000000004</v>
      </c>
      <c r="AK38" s="332">
        <f t="shared" si="33"/>
        <v>0.35</v>
      </c>
      <c r="AL38" s="332">
        <f t="shared" si="34"/>
        <v>0.67500000000000004</v>
      </c>
      <c r="AM38" s="333">
        <f ca="1">'Diversity Score'!$E$7</f>
        <v>1</v>
      </c>
      <c r="AN38" s="332">
        <f t="shared" ca="1" si="35"/>
        <v>0.67500000000000004</v>
      </c>
      <c r="AO38" s="505">
        <f>VLOOKUP(A38,'Loan List '!$A$6:$BA$75,17, FALSE)</f>
        <v>5.5E-2</v>
      </c>
      <c r="AP38" s="493" t="str">
        <f>VLOOKUP(A38,'Loan List '!$A$6:$BA$795,15, FALSE)</f>
        <v>SOFR</v>
      </c>
      <c r="AQ38" s="494">
        <f>VLOOKUP(A38,'Loan List '!$A$6:$BA$795,16, FALSE)</f>
        <v>0.01</v>
      </c>
      <c r="AR38" s="539">
        <v>0</v>
      </c>
      <c r="AS38" s="539">
        <v>0</v>
      </c>
      <c r="AT38" s="353"/>
      <c r="AU38" s="323">
        <f t="shared" si="52"/>
        <v>5.5E-2</v>
      </c>
      <c r="AV38" s="323" t="b">
        <f t="shared" si="36"/>
        <v>0</v>
      </c>
      <c r="AW38" s="540" t="b">
        <f t="shared" si="37"/>
        <v>0</v>
      </c>
      <c r="AX38" s="323" t="b">
        <f t="shared" si="53"/>
        <v>0</v>
      </c>
      <c r="AY38" s="353"/>
      <c r="AZ38" s="323" t="b">
        <f t="shared" si="13"/>
        <v>0</v>
      </c>
      <c r="BA38" s="497" t="str">
        <f>'Loan List '!AS27</f>
        <v>Maintenance Covenants</v>
      </c>
      <c r="BB38" s="320" t="b">
        <f t="shared" si="38"/>
        <v>0</v>
      </c>
      <c r="BC38" s="326" t="b">
        <f t="shared" si="39"/>
        <v>0</v>
      </c>
      <c r="BD38" s="320" t="b">
        <f t="shared" si="40"/>
        <v>1</v>
      </c>
      <c r="BE38" s="320" t="b">
        <f t="shared" si="41"/>
        <v>1</v>
      </c>
      <c r="BF38" s="550" t="str">
        <f>'Loan List '!J27</f>
        <v>USD</v>
      </c>
      <c r="BG38" s="497" t="str">
        <f>VLOOKUP(A38,'Loan List '!$A$6:$BZ$75, 23, FALSE)</f>
        <v>USA</v>
      </c>
      <c r="BH38" s="320" t="b">
        <f t="shared" si="42"/>
        <v>0</v>
      </c>
      <c r="BI38" s="320" t="b">
        <f t="shared" si="43"/>
        <v>0</v>
      </c>
      <c r="BJ38" s="320" t="b">
        <f>IF('Loan List '!BP27=1, TRUE, FALSE)</f>
        <v>0</v>
      </c>
      <c r="BK38" s="320" t="b">
        <f t="shared" si="54"/>
        <v>0</v>
      </c>
      <c r="BL38" s="541" t="b">
        <f t="shared" si="55"/>
        <v>0</v>
      </c>
      <c r="BM38" s="320" t="b">
        <f>IF('Loan List '!AT27="Yes", TRUE, FALSE)</f>
        <v>0</v>
      </c>
      <c r="BN38" s="336">
        <f t="shared" ca="1" si="44"/>
        <v>3.8986301369863012</v>
      </c>
      <c r="BO38" s="337">
        <f ca="1">'Concentration Limitations'!H33</f>
        <v>1965112.77</v>
      </c>
      <c r="BP38" s="338">
        <f t="shared" ca="1" si="16"/>
        <v>1326451.1197500001</v>
      </c>
      <c r="BQ38" s="339"/>
      <c r="BR38" s="340"/>
      <c r="BS38" s="542">
        <f>'Loan List '!AG27</f>
        <v>45747</v>
      </c>
      <c r="BT38" s="650">
        <f>'Loan List '!AO27</f>
        <v>2.4764341666683758</v>
      </c>
      <c r="BU38" s="650">
        <f>'Loan List '!AI27</f>
        <v>3.783015855568912</v>
      </c>
      <c r="BV38" s="490"/>
      <c r="BW38" s="377">
        <v>0</v>
      </c>
      <c r="BX38" s="492" t="s">
        <v>1217</v>
      </c>
      <c r="BY38" s="490">
        <f>'Loan List '!AJ27</f>
        <v>60.42995337</v>
      </c>
      <c r="BZ38" s="490">
        <f>'Loan List '!AL27</f>
        <v>0</v>
      </c>
      <c r="CA38" s="377">
        <v>0</v>
      </c>
      <c r="CB38" s="377">
        <v>0</v>
      </c>
      <c r="CC38" s="545" t="s">
        <v>146</v>
      </c>
      <c r="CD38" s="546" t="s">
        <v>146</v>
      </c>
      <c r="CE38" s="378" t="s">
        <v>1217</v>
      </c>
      <c r="CF38" s="491">
        <f>'Loan List '!AC27</f>
        <v>2.5</v>
      </c>
      <c r="CG38" s="491">
        <f>'Loan List '!AD27</f>
        <v>4.7</v>
      </c>
      <c r="CH38" s="491"/>
      <c r="CI38" s="377">
        <v>0</v>
      </c>
      <c r="CJ38" s="492" t="s">
        <v>1217</v>
      </c>
      <c r="CK38" s="491">
        <f>'Loan List '!AB27</f>
        <v>52.85</v>
      </c>
      <c r="CL38" s="495">
        <f>'Loan List '!AE27</f>
        <v>0</v>
      </c>
      <c r="CM38" s="377">
        <v>0</v>
      </c>
      <c r="CN38" s="377">
        <v>0</v>
      </c>
      <c r="CO38" s="377" t="s">
        <v>146</v>
      </c>
      <c r="CP38" s="547" t="s">
        <v>146</v>
      </c>
      <c r="CQ38" s="345">
        <f t="shared" si="17"/>
        <v>-9.4263333326496841E-3</v>
      </c>
      <c r="CR38" s="346">
        <f t="shared" si="18"/>
        <v>-0.19510300945342302</v>
      </c>
      <c r="CS38" s="347">
        <f t="shared" si="45"/>
        <v>-0.91698414443108822</v>
      </c>
      <c r="CT38" s="485">
        <f t="shared" si="46"/>
        <v>0.14342390482497636</v>
      </c>
      <c r="CU38" s="348">
        <f>IF(OR($CQ38&lt;'Summary '!$I$47,$BT38&lt;'Summary '!$I$46),1,0)</f>
        <v>0</v>
      </c>
      <c r="CV38" s="348">
        <f>IF(OR($CS38&gt;='Summary '!$I$50, (AND(BU38&gt;'Summary '!$I$52, Calcs!CR38&gt; 'Summary '!$I$51))),1,0)</f>
        <v>0</v>
      </c>
      <c r="CW38" s="348">
        <f t="shared" si="20"/>
        <v>0</v>
      </c>
      <c r="CX38" s="447" t="s">
        <v>122</v>
      </c>
      <c r="CY38" s="447" t="s">
        <v>122</v>
      </c>
      <c r="CZ38" t="s">
        <v>122</v>
      </c>
      <c r="DA38" s="352"/>
      <c r="DD38" s="258">
        <v>0</v>
      </c>
      <c r="DE38" s="258">
        <v>0</v>
      </c>
      <c r="DF38" s="277"/>
      <c r="DI38" s="551" t="str">
        <f t="shared" si="57"/>
        <v>Eligible</v>
      </c>
      <c r="DJ38" s="423" t="str">
        <f t="shared" si="47"/>
        <v>Eligible</v>
      </c>
      <c r="DK38" s="549" t="s">
        <v>1271</v>
      </c>
      <c r="DL38" s="549" t="s">
        <v>1271</v>
      </c>
      <c r="DM38" s="423" t="str">
        <f t="shared" si="58"/>
        <v>Eligible</v>
      </c>
      <c r="DN38" s="423" t="str">
        <f t="shared" si="59"/>
        <v>Not PIK</v>
      </c>
      <c r="DO38" s="424" t="s">
        <v>122</v>
      </c>
      <c r="DP38" s="423" t="str">
        <f t="shared" si="49"/>
        <v>YES</v>
      </c>
    </row>
    <row r="39" spans="1:120" ht="16.5">
      <c r="A39" s="616" t="s">
        <v>1296</v>
      </c>
      <c r="B39" s="36">
        <f>IFERROR(VLOOKUP(A39,'Loan List '!$A$6:$BZ$75,2,FALSE),NA)</f>
        <v>0</v>
      </c>
      <c r="C39" s="498" t="str">
        <f>VLOOKUP(A39,'Loan List '!$A$6:$G$75, 7, FALSE)</f>
        <v>First Lien</v>
      </c>
      <c r="D39" s="498" t="str">
        <f>VLOOKUP(A39, 'Loan List '!$A$6:$K$82, 11, FALSE)</f>
        <v>FL</v>
      </c>
      <c r="E39" s="497" t="b">
        <f t="shared" si="23"/>
        <v>1</v>
      </c>
      <c r="F39" s="497" t="str">
        <f>VLOOKUP(A39,'Loan List '!$A$6:$L$75, 12, FALSE)</f>
        <v>Diversified Financial Services</v>
      </c>
      <c r="G39" s="320"/>
      <c r="H39" s="533">
        <f t="shared" si="0"/>
        <v>8205680.5499999998</v>
      </c>
      <c r="I39" s="533">
        <f>VLOOKUP(A39,'Loan List '!$A$6:$L$75, 8, FALSE)</f>
        <v>8205680.5499999998</v>
      </c>
      <c r="J39" s="361">
        <v>0</v>
      </c>
      <c r="K39" s="323">
        <f t="shared" si="50"/>
        <v>2.2713430080059497E-2</v>
      </c>
      <c r="L39" s="601">
        <f>VLOOKUP(A39,'Loan List '!$A$6:$BA$82,24, FALSE)</f>
        <v>100</v>
      </c>
      <c r="M39" s="501"/>
      <c r="N39" s="502">
        <f>VLOOKUP(A39,'Loan List '!$A$6:$BA$82,22, FALSE)</f>
        <v>47704</v>
      </c>
      <c r="O39" s="602">
        <f t="shared" si="24"/>
        <v>8205680.5499999998</v>
      </c>
      <c r="P39" s="327">
        <f t="shared" si="2"/>
        <v>1</v>
      </c>
      <c r="Q39" s="487" t="s">
        <v>451</v>
      </c>
      <c r="R39" s="488" t="s">
        <v>38</v>
      </c>
      <c r="S39" s="327" t="b">
        <f t="shared" si="56"/>
        <v>1</v>
      </c>
      <c r="T39" s="327">
        <f>VLOOKUP(A39,'Loan List '!$A$6:$BD$1048576,56,FALSE)/100</f>
        <v>1</v>
      </c>
      <c r="U39" s="535">
        <f t="shared" si="25"/>
        <v>8205680.5499999998</v>
      </c>
      <c r="V39" s="503">
        <f>VLOOKUP(A39,'Loan List '!$A$6:$BA$82,26, FALSE)</f>
        <v>0</v>
      </c>
      <c r="W39" s="350">
        <f t="shared" si="51"/>
        <v>0</v>
      </c>
      <c r="X39" s="326"/>
      <c r="Y39" s="504">
        <f>VLOOKUP(A39,'Loan List '!$A$6:$BA$75,27, FALSE)</f>
        <v>0</v>
      </c>
      <c r="Z39" s="109"/>
      <c r="AA39" s="330"/>
      <c r="AB39" s="333">
        <f t="shared" si="5"/>
        <v>9.6699203941931863E-2</v>
      </c>
      <c r="AC39" s="333">
        <f t="shared" si="6"/>
        <v>1.5331565304040161E-2</v>
      </c>
      <c r="AD39" s="331">
        <f t="shared" si="26"/>
        <v>0</v>
      </c>
      <c r="AE39" s="320" t="str">
        <f t="shared" si="27"/>
        <v>Class 2</v>
      </c>
      <c r="AF39" s="649">
        <f t="shared" si="28"/>
        <v>5.5</v>
      </c>
      <c r="AG39" s="649">
        <f t="shared" si="29"/>
        <v>6.5</v>
      </c>
      <c r="AH39" s="332">
        <f t="shared" si="30"/>
        <v>1</v>
      </c>
      <c r="AI39" s="332">
        <f t="shared" si="31"/>
        <v>0</v>
      </c>
      <c r="AJ39" s="332">
        <f t="shared" si="32"/>
        <v>0.67500000000000004</v>
      </c>
      <c r="AK39" s="332">
        <f t="shared" si="33"/>
        <v>0.35</v>
      </c>
      <c r="AL39" s="332">
        <f t="shared" si="34"/>
        <v>0.67500000000000004</v>
      </c>
      <c r="AM39" s="333">
        <f ca="1">'Diversity Score'!$E$7</f>
        <v>1</v>
      </c>
      <c r="AN39" s="332">
        <f t="shared" ca="1" si="35"/>
        <v>0.67500000000000004</v>
      </c>
      <c r="AO39" s="505">
        <f>VLOOKUP(A39,'Loan List '!$A$6:$BA$75,17, FALSE)</f>
        <v>0.05</v>
      </c>
      <c r="AP39" s="493" t="str">
        <f>VLOOKUP(A39,'Loan List '!$A$6:$BA$795,15, FALSE)</f>
        <v>SOFR</v>
      </c>
      <c r="AQ39" s="494">
        <f>VLOOKUP(A39,'Loan List '!$A$6:$BA$795,16, FALSE)</f>
        <v>0.01</v>
      </c>
      <c r="AR39" s="539">
        <v>0</v>
      </c>
      <c r="AS39" s="539">
        <v>0</v>
      </c>
      <c r="AT39" s="353"/>
      <c r="AU39" s="323">
        <f t="shared" si="52"/>
        <v>0.05</v>
      </c>
      <c r="AV39" s="323" t="b">
        <f t="shared" si="36"/>
        <v>0</v>
      </c>
      <c r="AW39" s="540" t="b">
        <f t="shared" si="37"/>
        <v>0</v>
      </c>
      <c r="AX39" s="323" t="b">
        <f t="shared" si="53"/>
        <v>0</v>
      </c>
      <c r="AY39" s="353"/>
      <c r="AZ39" s="323" t="b">
        <f t="shared" si="13"/>
        <v>0</v>
      </c>
      <c r="BA39" s="497" t="str">
        <f>'Loan List '!AS28</f>
        <v>Maintenance Covenants</v>
      </c>
      <c r="BB39" s="320" t="b">
        <f t="shared" si="38"/>
        <v>0</v>
      </c>
      <c r="BC39" s="326" t="b">
        <f t="shared" si="39"/>
        <v>0</v>
      </c>
      <c r="BD39" s="320" t="b">
        <f t="shared" si="40"/>
        <v>1</v>
      </c>
      <c r="BE39" s="320" t="b">
        <f t="shared" si="41"/>
        <v>1</v>
      </c>
      <c r="BF39" s="550" t="str">
        <f>'Loan List '!J28</f>
        <v>USD</v>
      </c>
      <c r="BG39" s="497" t="str">
        <f>VLOOKUP(A39,'Loan List '!$A$6:$BZ$75, 23, FALSE)</f>
        <v>USA</v>
      </c>
      <c r="BH39" s="320" t="b">
        <f t="shared" si="42"/>
        <v>0</v>
      </c>
      <c r="BI39" s="320" t="b">
        <f t="shared" si="43"/>
        <v>0</v>
      </c>
      <c r="BJ39" s="320" t="b">
        <f>IF('Loan List '!BP28=1, TRUE, FALSE)</f>
        <v>0</v>
      </c>
      <c r="BK39" s="320" t="b">
        <f t="shared" si="54"/>
        <v>0</v>
      </c>
      <c r="BL39" s="541" t="b">
        <f t="shared" si="55"/>
        <v>0</v>
      </c>
      <c r="BM39" s="320" t="b">
        <f>IF('Loan List '!AT28="Yes", TRUE, FALSE)</f>
        <v>0</v>
      </c>
      <c r="BN39" s="336">
        <f t="shared" ca="1" si="44"/>
        <v>5.043835616438356</v>
      </c>
      <c r="BO39" s="337">
        <f ca="1">'Concentration Limitations'!H34</f>
        <v>8205680.5499999998</v>
      </c>
      <c r="BP39" s="338">
        <f t="shared" ca="1" si="16"/>
        <v>5538834.3712499999</v>
      </c>
      <c r="BQ39" s="339"/>
      <c r="BR39" s="340"/>
      <c r="BS39" s="542">
        <f>'Loan List '!AG28</f>
        <v>45808</v>
      </c>
      <c r="BT39" s="650">
        <f>'Loan List '!AO28</f>
        <v>2.1264590107703918</v>
      </c>
      <c r="BU39" s="650">
        <f>'Loan List '!AI28</f>
        <v>4.257358030076916</v>
      </c>
      <c r="BV39" s="490"/>
      <c r="BW39" s="377">
        <v>0</v>
      </c>
      <c r="BX39" s="492" t="s">
        <v>1217</v>
      </c>
      <c r="BY39" s="490">
        <f>'Loan List '!AJ28</f>
        <v>30.997393000000002</v>
      </c>
      <c r="BZ39" s="490">
        <f>'Loan List '!AL28</f>
        <v>0</v>
      </c>
      <c r="CA39" s="377">
        <v>0</v>
      </c>
      <c r="CB39" s="377">
        <v>0</v>
      </c>
      <c r="CC39" s="545" t="s">
        <v>146</v>
      </c>
      <c r="CD39" s="546" t="s">
        <v>146</v>
      </c>
      <c r="CE39" s="378" t="s">
        <v>1217</v>
      </c>
      <c r="CF39" s="491">
        <f>'Loan List '!AC28</f>
        <v>4.9331709124682259</v>
      </c>
      <c r="CG39" s="491">
        <f>'Loan List '!AD28</f>
        <v>2.4767070028588418</v>
      </c>
      <c r="CH39" s="491"/>
      <c r="CI39" s="377">
        <v>0</v>
      </c>
      <c r="CJ39" s="492" t="s">
        <v>1217</v>
      </c>
      <c r="CK39" s="491">
        <f>'Loan List '!AB28</f>
        <v>27.971819</v>
      </c>
      <c r="CL39" s="495">
        <f>'Loan List '!AE28</f>
        <v>0</v>
      </c>
      <c r="CM39" s="377">
        <v>0</v>
      </c>
      <c r="CN39" s="377">
        <v>0</v>
      </c>
      <c r="CO39" s="377" t="s">
        <v>146</v>
      </c>
      <c r="CP39" s="547" t="s">
        <v>146</v>
      </c>
      <c r="CQ39" s="345">
        <f t="shared" si="17"/>
        <v>-0.5689468197025318</v>
      </c>
      <c r="CR39" s="346">
        <f t="shared" si="18"/>
        <v>0.71895909575201422</v>
      </c>
      <c r="CS39" s="347">
        <f t="shared" si="45"/>
        <v>1.7806510272180742</v>
      </c>
      <c r="CT39" s="485">
        <f t="shared" si="46"/>
        <v>0.10816507857426094</v>
      </c>
      <c r="CU39" s="348">
        <f>IF(OR($CQ39&lt;'Summary '!$I$47,$BT39&lt;'Summary '!$I$46),1,0)</f>
        <v>1</v>
      </c>
      <c r="CV39" s="348">
        <f>IF(OR($CS39&gt;='Summary '!$I$50, (AND(BU39&gt;'Summary '!$I$52, Calcs!CR39&gt; 'Summary '!$I$51))),1,0)</f>
        <v>1</v>
      </c>
      <c r="CW39" s="348">
        <f t="shared" si="20"/>
        <v>1</v>
      </c>
      <c r="CX39" s="447" t="s">
        <v>122</v>
      </c>
      <c r="CY39" s="447" t="s">
        <v>122</v>
      </c>
      <c r="CZ39" t="s">
        <v>122</v>
      </c>
      <c r="DA39" s="352"/>
      <c r="DD39" s="258">
        <v>0</v>
      </c>
      <c r="DE39" s="258">
        <v>0</v>
      </c>
      <c r="DF39" s="277"/>
      <c r="DI39" s="551" t="str">
        <f t="shared" si="57"/>
        <v>Eligible</v>
      </c>
      <c r="DJ39" s="423" t="str">
        <f t="shared" si="47"/>
        <v>Eligible</v>
      </c>
      <c r="DK39" s="549" t="s">
        <v>1271</v>
      </c>
      <c r="DL39" s="549" t="s">
        <v>1271</v>
      </c>
      <c r="DM39" s="423" t="str">
        <f t="shared" si="58"/>
        <v>Eligible</v>
      </c>
      <c r="DN39" s="423" t="str">
        <f t="shared" si="59"/>
        <v>Not PIK</v>
      </c>
      <c r="DO39" s="424" t="s">
        <v>122</v>
      </c>
      <c r="DP39" s="423" t="str">
        <f t="shared" si="49"/>
        <v>YES</v>
      </c>
    </row>
    <row r="40" spans="1:120" ht="16.5">
      <c r="A40" s="616" t="s">
        <v>1116</v>
      </c>
      <c r="B40" s="36">
        <f>IFERROR(VLOOKUP(A40,'Loan List '!$A$6:$BZ$75,2,FALSE),NA)</f>
        <v>0</v>
      </c>
      <c r="C40" s="498" t="str">
        <f>VLOOKUP(A40,'Loan List '!$A$6:$G$75, 7, FALSE)</f>
        <v>First Lien</v>
      </c>
      <c r="D40" s="498" t="str">
        <f>VLOOKUP(A40, 'Loan List '!$A$6:$K$82, 11, FALSE)</f>
        <v>FL</v>
      </c>
      <c r="E40" s="497" t="b">
        <f t="shared" si="23"/>
        <v>1</v>
      </c>
      <c r="F40" s="497" t="str">
        <f>VLOOKUP(A40,'Loan List '!$A$6:$L$75, 12, FALSE)</f>
        <v>Media</v>
      </c>
      <c r="G40" s="320"/>
      <c r="H40" s="533">
        <f t="shared" si="0"/>
        <v>7618243.3600000003</v>
      </c>
      <c r="I40" s="533">
        <f>VLOOKUP(A40,'Loan List '!$A$6:$L$75, 8, FALSE)</f>
        <v>7618243.3600000003</v>
      </c>
      <c r="J40" s="361">
        <v>0</v>
      </c>
      <c r="K40" s="323">
        <f t="shared" si="50"/>
        <v>2.108739632695518E-2</v>
      </c>
      <c r="L40" s="601">
        <f>VLOOKUP(A40,'Loan List '!$A$6:$BA$82,24, FALSE)</f>
        <v>100</v>
      </c>
      <c r="M40" s="501"/>
      <c r="N40" s="502">
        <f>VLOOKUP(A40,'Loan List '!$A$6:$BA$82,22, FALSE)</f>
        <v>46152</v>
      </c>
      <c r="O40" s="602">
        <f t="shared" si="24"/>
        <v>7618243.3600000003</v>
      </c>
      <c r="P40" s="327">
        <f t="shared" si="2"/>
        <v>1</v>
      </c>
      <c r="Q40" s="487" t="s">
        <v>451</v>
      </c>
      <c r="R40" s="488" t="s">
        <v>38</v>
      </c>
      <c r="S40" s="327" t="b">
        <f t="shared" si="56"/>
        <v>1</v>
      </c>
      <c r="T40" s="327">
        <f>VLOOKUP(A40,'Loan List '!$A$6:$BD$1048576,56,FALSE)/100</f>
        <v>1</v>
      </c>
      <c r="U40" s="535">
        <f t="shared" si="25"/>
        <v>7618243.3600000003</v>
      </c>
      <c r="V40" s="503">
        <f>VLOOKUP(A40,'Loan List '!$A$6:$BA$82,26, FALSE)</f>
        <v>0</v>
      </c>
      <c r="W40" s="350">
        <f t="shared" si="51"/>
        <v>0</v>
      </c>
      <c r="X40" s="326"/>
      <c r="Y40" s="504">
        <f>VLOOKUP(A40,'Loan List '!$A$6:$BA$75,27, FALSE)</f>
        <v>0</v>
      </c>
      <c r="Z40" s="109"/>
      <c r="AA40" s="330"/>
      <c r="AB40" s="333">
        <f t="shared" si="5"/>
        <v>6.2784468357556869E-2</v>
      </c>
      <c r="AC40" s="333">
        <f t="shared" si="6"/>
        <v>1.3706807612520867E-2</v>
      </c>
      <c r="AD40" s="331">
        <f t="shared" si="26"/>
        <v>0</v>
      </c>
      <c r="AE40" s="320" t="str">
        <f t="shared" si="27"/>
        <v>Class 3</v>
      </c>
      <c r="AF40" s="649">
        <f t="shared" si="28"/>
        <v>5</v>
      </c>
      <c r="AG40" s="649">
        <f t="shared" si="29"/>
        <v>6</v>
      </c>
      <c r="AH40" s="332">
        <f t="shared" si="30"/>
        <v>1</v>
      </c>
      <c r="AI40" s="332">
        <f t="shared" si="31"/>
        <v>0</v>
      </c>
      <c r="AJ40" s="332">
        <f t="shared" si="32"/>
        <v>0.65</v>
      </c>
      <c r="AK40" s="332">
        <f t="shared" si="33"/>
        <v>0.35</v>
      </c>
      <c r="AL40" s="332">
        <f t="shared" si="34"/>
        <v>0.65</v>
      </c>
      <c r="AM40" s="333">
        <f ca="1">'Diversity Score'!$E$7</f>
        <v>1</v>
      </c>
      <c r="AN40" s="332">
        <f t="shared" ca="1" si="35"/>
        <v>0.65</v>
      </c>
      <c r="AO40" s="505">
        <f>VLOOKUP(A40,'Loan List '!$A$6:$BA$75,17, FALSE)</f>
        <v>5.8999999999999997E-2</v>
      </c>
      <c r="AP40" s="493" t="str">
        <f>VLOOKUP(A40,'Loan List '!$A$6:$BA$795,15, FALSE)</f>
        <v>SOFR</v>
      </c>
      <c r="AQ40" s="494">
        <f>VLOOKUP(A40,'Loan List '!$A$6:$BA$795,16, FALSE)</f>
        <v>0.01</v>
      </c>
      <c r="AR40" s="539">
        <v>0</v>
      </c>
      <c r="AS40" s="539">
        <v>0</v>
      </c>
      <c r="AT40" s="353"/>
      <c r="AU40" s="323">
        <f t="shared" si="52"/>
        <v>5.8999999999999997E-2</v>
      </c>
      <c r="AV40" s="323" t="b">
        <f t="shared" si="36"/>
        <v>0</v>
      </c>
      <c r="AW40" s="540" t="b">
        <f t="shared" si="37"/>
        <v>0</v>
      </c>
      <c r="AX40" s="323" t="b">
        <f t="shared" si="53"/>
        <v>0</v>
      </c>
      <c r="AY40" s="353"/>
      <c r="AZ40" s="323" t="b">
        <f t="shared" si="13"/>
        <v>0</v>
      </c>
      <c r="BA40" s="497" t="str">
        <f>'Loan List '!AS29</f>
        <v>Maintenance Covenants</v>
      </c>
      <c r="BB40" s="320" t="b">
        <f t="shared" si="38"/>
        <v>0</v>
      </c>
      <c r="BC40" s="326" t="b">
        <f t="shared" si="39"/>
        <v>0</v>
      </c>
      <c r="BD40" s="320" t="b">
        <f t="shared" si="40"/>
        <v>1</v>
      </c>
      <c r="BE40" s="320" t="b">
        <f t="shared" si="41"/>
        <v>1</v>
      </c>
      <c r="BF40" s="550" t="str">
        <f>'Loan List '!J29</f>
        <v>USD</v>
      </c>
      <c r="BG40" s="497" t="str">
        <f>VLOOKUP(A40,'Loan List '!$A$6:$BZ$75, 23, FALSE)</f>
        <v>USA</v>
      </c>
      <c r="BH40" s="320" t="b">
        <f t="shared" si="42"/>
        <v>0</v>
      </c>
      <c r="BI40" s="320" t="b">
        <f t="shared" si="43"/>
        <v>0</v>
      </c>
      <c r="BJ40" s="320" t="b">
        <f>IF('Loan List '!BP29=1, TRUE, FALSE)</f>
        <v>0</v>
      </c>
      <c r="BK40" s="320" t="b">
        <f t="shared" si="54"/>
        <v>0</v>
      </c>
      <c r="BL40" s="541" t="b">
        <f t="shared" si="55"/>
        <v>0</v>
      </c>
      <c r="BM40" s="320" t="b">
        <f>IF('Loan List '!AT29="Yes", TRUE, FALSE)</f>
        <v>0</v>
      </c>
      <c r="BN40" s="336">
        <f t="shared" ca="1" si="44"/>
        <v>0.79178082191780819</v>
      </c>
      <c r="BO40" s="337">
        <f ca="1">'Concentration Limitations'!H35</f>
        <v>7618243.3600000003</v>
      </c>
      <c r="BP40" s="338">
        <f t="shared" ca="1" si="16"/>
        <v>4951858.1840000004</v>
      </c>
      <c r="BQ40" s="339"/>
      <c r="BR40" s="340"/>
      <c r="BS40" s="542">
        <f>'Loan List '!AG29</f>
        <v>45777</v>
      </c>
      <c r="BT40" s="650">
        <f>'Loan List '!AO29</f>
        <v>2.6691338088189118</v>
      </c>
      <c r="BU40" s="650">
        <f>'Loan List '!AI29</f>
        <v>2.9773456800497455</v>
      </c>
      <c r="BV40" s="490"/>
      <c r="BW40" s="377">
        <v>0</v>
      </c>
      <c r="BX40" s="492" t="s">
        <v>1217</v>
      </c>
      <c r="BY40" s="490">
        <f>'Loan List '!AJ29</f>
        <v>59.503</v>
      </c>
      <c r="BZ40" s="490">
        <f>'Loan List '!AL29</f>
        <v>0</v>
      </c>
      <c r="CA40" s="377">
        <v>0</v>
      </c>
      <c r="CB40" s="377">
        <v>0</v>
      </c>
      <c r="CC40" s="545" t="s">
        <v>146</v>
      </c>
      <c r="CD40" s="546" t="s">
        <v>146</v>
      </c>
      <c r="CE40" s="378" t="s">
        <v>1217</v>
      </c>
      <c r="CF40" s="491">
        <f>'Loan List '!AC29</f>
        <v>3.2136878994021849</v>
      </c>
      <c r="CG40" s="491">
        <f>'Loan List '!AD29</f>
        <v>3.4022168625237335</v>
      </c>
      <c r="CH40" s="491"/>
      <c r="CI40" s="377">
        <v>0</v>
      </c>
      <c r="CJ40" s="492" t="s">
        <v>1217</v>
      </c>
      <c r="CK40" s="491">
        <f>'Loan List '!AB29</f>
        <v>19.486999999999998</v>
      </c>
      <c r="CL40" s="495">
        <f>'Loan List '!AE29</f>
        <v>0</v>
      </c>
      <c r="CM40" s="377">
        <v>0</v>
      </c>
      <c r="CN40" s="377">
        <v>0</v>
      </c>
      <c r="CO40" s="377" t="s">
        <v>146</v>
      </c>
      <c r="CP40" s="547" t="s">
        <v>146</v>
      </c>
      <c r="CQ40" s="345">
        <f t="shared" si="17"/>
        <v>-0.16944834334552894</v>
      </c>
      <c r="CR40" s="346">
        <f t="shared" si="18"/>
        <v>-0.12488068798730906</v>
      </c>
      <c r="CS40" s="347">
        <f t="shared" si="45"/>
        <v>-0.42487118247398792</v>
      </c>
      <c r="CT40" s="485">
        <f t="shared" si="46"/>
        <v>2.0534715451326528</v>
      </c>
      <c r="CU40" s="348">
        <f>IF(OR($CQ40&lt;'Summary '!$I$47,$BT40&lt;'Summary '!$I$46),1,0)</f>
        <v>1</v>
      </c>
      <c r="CV40" s="348">
        <f>IF(OR($CS40&gt;='Summary '!$I$50, (AND(BU40&gt;'Summary '!$I$52, Calcs!CR40&gt; 'Summary '!$I$51))),1,0)</f>
        <v>0</v>
      </c>
      <c r="CW40" s="348">
        <f t="shared" si="20"/>
        <v>1</v>
      </c>
      <c r="CX40" s="447" t="s">
        <v>122</v>
      </c>
      <c r="CY40" s="447" t="s">
        <v>122</v>
      </c>
      <c r="CZ40" t="s">
        <v>122</v>
      </c>
      <c r="DA40" s="352"/>
      <c r="DD40" s="258">
        <v>0</v>
      </c>
      <c r="DE40" s="258">
        <v>0</v>
      </c>
      <c r="DF40" s="277"/>
      <c r="DI40" s="551" t="str">
        <f t="shared" si="57"/>
        <v>Eligible</v>
      </c>
      <c r="DJ40" s="423" t="str">
        <f t="shared" si="47"/>
        <v>Eligible</v>
      </c>
      <c r="DK40" s="549" t="s">
        <v>1271</v>
      </c>
      <c r="DL40" s="549" t="s">
        <v>1271</v>
      </c>
      <c r="DM40" s="423" t="str">
        <f t="shared" si="58"/>
        <v>Eligible</v>
      </c>
      <c r="DN40" s="423" t="str">
        <f t="shared" si="59"/>
        <v>Not PIK</v>
      </c>
      <c r="DO40" s="424" t="s">
        <v>122</v>
      </c>
      <c r="DP40" s="423" t="str">
        <f t="shared" si="49"/>
        <v>YES</v>
      </c>
    </row>
    <row r="41" spans="1:120" ht="16.5">
      <c r="A41" s="616" t="s">
        <v>1119</v>
      </c>
      <c r="B41" s="36">
        <f>IFERROR(VLOOKUP(A41,'Loan List '!$A$6:$BZ$75,2,FALSE),NA)</f>
        <v>0</v>
      </c>
      <c r="C41" s="498" t="str">
        <f>VLOOKUP(A41,'Loan List '!$A$6:$G$75, 7, FALSE)</f>
        <v>First Lien</v>
      </c>
      <c r="D41" s="498" t="str">
        <f>VLOOKUP(A41, 'Loan List '!$A$6:$K$82, 11, FALSE)</f>
        <v>FL</v>
      </c>
      <c r="E41" s="497" t="b">
        <f t="shared" si="23"/>
        <v>1</v>
      </c>
      <c r="F41" s="497" t="str">
        <f>VLOOKUP(A41,'Loan List '!$A$6:$L$75, 12, FALSE)</f>
        <v>Professional Services</v>
      </c>
      <c r="G41" s="320"/>
      <c r="H41" s="533">
        <f t="shared" si="0"/>
        <v>5105362.6500000004</v>
      </c>
      <c r="I41" s="533">
        <f>VLOOKUP(A41,'Loan List '!$A$6:$L$75, 8, FALSE)</f>
        <v>5105362.6500000004</v>
      </c>
      <c r="J41" s="361">
        <v>0</v>
      </c>
      <c r="K41" s="323">
        <f t="shared" si="50"/>
        <v>1.4131709963303688E-2</v>
      </c>
      <c r="L41" s="601">
        <f>VLOOKUP(A41,'Loan List '!$A$6:$BA$82,24, FALSE)</f>
        <v>100</v>
      </c>
      <c r="M41" s="501"/>
      <c r="N41" s="502">
        <f>VLOOKUP(A41,'Loan List '!$A$6:$BA$82,22, FALSE)</f>
        <v>47115</v>
      </c>
      <c r="O41" s="602">
        <f t="shared" si="24"/>
        <v>5105362.6500000004</v>
      </c>
      <c r="P41" s="327">
        <f t="shared" si="2"/>
        <v>1</v>
      </c>
      <c r="Q41" s="487" t="s">
        <v>451</v>
      </c>
      <c r="R41" s="488" t="s">
        <v>38</v>
      </c>
      <c r="S41" s="327" t="b">
        <f t="shared" si="56"/>
        <v>1</v>
      </c>
      <c r="T41" s="327">
        <f>VLOOKUP(A41,'Loan List '!$A$6:$BD$1048576,56,FALSE)/100</f>
        <v>1</v>
      </c>
      <c r="U41" s="535">
        <f t="shared" si="25"/>
        <v>5105362.6500000004</v>
      </c>
      <c r="V41" s="503">
        <f>VLOOKUP(A41,'Loan List '!$A$6:$BA$82,26, FALSE)</f>
        <v>0</v>
      </c>
      <c r="W41" s="350">
        <f t="shared" si="51"/>
        <v>0</v>
      </c>
      <c r="X41" s="326"/>
      <c r="Y41" s="504">
        <f>VLOOKUP(A41,'Loan List '!$A$6:$BA$75,27, FALSE)</f>
        <v>0</v>
      </c>
      <c r="Z41" s="109"/>
      <c r="AA41" s="330"/>
      <c r="AB41" s="333">
        <f t="shared" si="5"/>
        <v>7.4925502772192135E-2</v>
      </c>
      <c r="AC41" s="333">
        <f t="shared" si="6"/>
        <v>9.53890422522999E-3</v>
      </c>
      <c r="AD41" s="331">
        <f t="shared" si="26"/>
        <v>0</v>
      </c>
      <c r="AE41" s="320" t="str">
        <f t="shared" si="27"/>
        <v>Class 2</v>
      </c>
      <c r="AF41" s="649">
        <f t="shared" si="28"/>
        <v>5.5</v>
      </c>
      <c r="AG41" s="649">
        <f t="shared" si="29"/>
        <v>6.5</v>
      </c>
      <c r="AH41" s="332">
        <f t="shared" si="30"/>
        <v>1</v>
      </c>
      <c r="AI41" s="332">
        <f t="shared" si="31"/>
        <v>0</v>
      </c>
      <c r="AJ41" s="332">
        <f t="shared" si="32"/>
        <v>0.67500000000000004</v>
      </c>
      <c r="AK41" s="332">
        <f t="shared" si="33"/>
        <v>0.35</v>
      </c>
      <c r="AL41" s="332">
        <f t="shared" si="34"/>
        <v>0.67500000000000004</v>
      </c>
      <c r="AM41" s="333">
        <f ca="1">'Diversity Score'!$E$7</f>
        <v>1</v>
      </c>
      <c r="AN41" s="332">
        <f t="shared" ca="1" si="35"/>
        <v>0.67500000000000004</v>
      </c>
      <c r="AO41" s="505">
        <f>VLOOKUP(A41,'Loan List '!$A$6:$BA$75,17, FALSE)</f>
        <v>5.5E-2</v>
      </c>
      <c r="AP41" s="493" t="str">
        <f>VLOOKUP(A41,'Loan List '!$A$6:$BA$795,15, FALSE)</f>
        <v>SOFR</v>
      </c>
      <c r="AQ41" s="494">
        <f>VLOOKUP(A41,'Loan List '!$A$6:$BA$795,16, FALSE)</f>
        <v>0.01</v>
      </c>
      <c r="AR41" s="539">
        <v>0</v>
      </c>
      <c r="AS41" s="539">
        <v>0</v>
      </c>
      <c r="AT41" s="353"/>
      <c r="AU41" s="323">
        <f t="shared" si="52"/>
        <v>5.5E-2</v>
      </c>
      <c r="AV41" s="323" t="b">
        <f t="shared" si="36"/>
        <v>0</v>
      </c>
      <c r="AW41" s="540" t="b">
        <f t="shared" si="37"/>
        <v>0</v>
      </c>
      <c r="AX41" s="323" t="b">
        <f t="shared" si="53"/>
        <v>0</v>
      </c>
      <c r="AY41" s="353"/>
      <c r="AZ41" s="323" t="b">
        <f t="shared" si="13"/>
        <v>0</v>
      </c>
      <c r="BA41" s="497" t="str">
        <f>'Loan List '!AS30</f>
        <v>Maintenance Covenants</v>
      </c>
      <c r="BB41" s="320" t="b">
        <f t="shared" si="38"/>
        <v>0</v>
      </c>
      <c r="BC41" s="326" t="b">
        <f t="shared" si="39"/>
        <v>0</v>
      </c>
      <c r="BD41" s="320" t="b">
        <f t="shared" si="40"/>
        <v>1</v>
      </c>
      <c r="BE41" s="320" t="b">
        <f t="shared" si="41"/>
        <v>1</v>
      </c>
      <c r="BF41" s="550" t="str">
        <f>'Loan List '!J30</f>
        <v>USD</v>
      </c>
      <c r="BG41" s="497" t="str">
        <f>VLOOKUP(A41,'Loan List '!$A$6:$BZ$75, 23, FALSE)</f>
        <v>USA</v>
      </c>
      <c r="BH41" s="320" t="b">
        <f t="shared" si="42"/>
        <v>0</v>
      </c>
      <c r="BI41" s="320" t="b">
        <f t="shared" si="43"/>
        <v>0</v>
      </c>
      <c r="BJ41" s="320" t="b">
        <f>IF('Loan List '!BP30=1, TRUE, FALSE)</f>
        <v>0</v>
      </c>
      <c r="BK41" s="320" t="b">
        <f t="shared" si="54"/>
        <v>0</v>
      </c>
      <c r="BL41" s="541" t="b">
        <f t="shared" si="55"/>
        <v>0</v>
      </c>
      <c r="BM41" s="320" t="b">
        <f>IF('Loan List '!AT30="Yes", TRUE, FALSE)</f>
        <v>0</v>
      </c>
      <c r="BN41" s="336">
        <f t="shared" ca="1" si="44"/>
        <v>3.43013698630137</v>
      </c>
      <c r="BO41" s="337">
        <f ca="1">'Concentration Limitations'!H36</f>
        <v>5105362.6500000004</v>
      </c>
      <c r="BP41" s="338">
        <f t="shared" ca="1" si="16"/>
        <v>3446119.7887500003</v>
      </c>
      <c r="BQ41" s="339"/>
      <c r="BR41" s="340"/>
      <c r="BS41" s="542">
        <f>'Loan List '!AG30</f>
        <v>45808</v>
      </c>
      <c r="BT41" s="650">
        <f>'Loan List '!AO30</f>
        <v>1.8775399653330955</v>
      </c>
      <c r="BU41" s="650">
        <f>'Loan List '!AI30</f>
        <v>5.3019417301058294</v>
      </c>
      <c r="BV41" s="490"/>
      <c r="BW41" s="377">
        <v>0</v>
      </c>
      <c r="BX41" s="492" t="s">
        <v>1217</v>
      </c>
      <c r="BY41" s="490">
        <f>'Loan List '!AJ30</f>
        <v>62.197778999999997</v>
      </c>
      <c r="BZ41" s="490">
        <f>'Loan List '!AL30</f>
        <v>0</v>
      </c>
      <c r="CA41" s="377">
        <v>0</v>
      </c>
      <c r="CB41" s="377">
        <v>0</v>
      </c>
      <c r="CC41" s="545" t="s">
        <v>146</v>
      </c>
      <c r="CD41" s="546" t="s">
        <v>146</v>
      </c>
      <c r="CE41" s="378" t="s">
        <v>1217</v>
      </c>
      <c r="CF41" s="491">
        <f>'Loan List '!AC30</f>
        <v>2.1396485406139227</v>
      </c>
      <c r="CG41" s="491">
        <f>'Loan List '!AD30</f>
        <v>3.9237907312052336</v>
      </c>
      <c r="CH41" s="491"/>
      <c r="CI41" s="377">
        <v>0</v>
      </c>
      <c r="CJ41" s="492" t="s">
        <v>1217</v>
      </c>
      <c r="CK41" s="491">
        <f>'Loan List '!AB30</f>
        <v>35.462000000000003</v>
      </c>
      <c r="CL41" s="495">
        <f>'Loan List '!AE30</f>
        <v>0</v>
      </c>
      <c r="CM41" s="377">
        <v>0</v>
      </c>
      <c r="CN41" s="377">
        <v>0</v>
      </c>
      <c r="CO41" s="377" t="s">
        <v>146</v>
      </c>
      <c r="CP41" s="547" t="s">
        <v>146</v>
      </c>
      <c r="CQ41" s="345">
        <f t="shared" si="17"/>
        <v>-0.12250076136598639</v>
      </c>
      <c r="CR41" s="346">
        <f t="shared" si="18"/>
        <v>0.35122948528839665</v>
      </c>
      <c r="CS41" s="347">
        <f t="shared" si="45"/>
        <v>1.3781509989005958</v>
      </c>
      <c r="CT41" s="485">
        <f t="shared" si="46"/>
        <v>0.75392755625740215</v>
      </c>
      <c r="CU41" s="348">
        <f>IF(OR($CQ41&lt;'Summary '!$I$47,$BT41&lt;'Summary '!$I$46),1,0)</f>
        <v>0</v>
      </c>
      <c r="CV41" s="348">
        <f>IF(OR($CS41&gt;='Summary '!$I$50, (AND(BU41&gt;'Summary '!$I$52, Calcs!CR41&gt; 'Summary '!$I$51))),1,0)</f>
        <v>1</v>
      </c>
      <c r="CW41" s="348">
        <f t="shared" si="20"/>
        <v>1</v>
      </c>
      <c r="CX41" s="447" t="s">
        <v>122</v>
      </c>
      <c r="CY41" s="447" t="s">
        <v>122</v>
      </c>
      <c r="CZ41" t="s">
        <v>122</v>
      </c>
      <c r="DA41" s="352"/>
      <c r="DD41" s="258">
        <v>0</v>
      </c>
      <c r="DE41" s="258">
        <v>0</v>
      </c>
      <c r="DF41" s="277"/>
      <c r="DI41" s="551" t="str">
        <f t="shared" si="57"/>
        <v>Eligible</v>
      </c>
      <c r="DJ41" s="423" t="str">
        <f t="shared" si="47"/>
        <v>Eligible</v>
      </c>
      <c r="DK41" s="549" t="s">
        <v>1271</v>
      </c>
      <c r="DL41" s="549" t="s">
        <v>1271</v>
      </c>
      <c r="DM41" s="423" t="str">
        <f t="shared" si="58"/>
        <v>Eligible</v>
      </c>
      <c r="DN41" s="423" t="str">
        <f t="shared" si="59"/>
        <v>Not PIK</v>
      </c>
      <c r="DO41" s="424" t="s">
        <v>122</v>
      </c>
      <c r="DP41" s="423" t="str">
        <f t="shared" si="49"/>
        <v>YES</v>
      </c>
    </row>
    <row r="42" spans="1:120" ht="16.5">
      <c r="A42" s="616" t="s">
        <v>1122</v>
      </c>
      <c r="B42" s="36">
        <f>IFERROR(VLOOKUP(A42,'Loan List '!$A$6:$BZ$75,2,FALSE),NA)</f>
        <v>0</v>
      </c>
      <c r="C42" s="498" t="str">
        <f>VLOOKUP(A42,'Loan List '!$A$6:$G$75, 7, FALSE)</f>
        <v>First Lien</v>
      </c>
      <c r="D42" s="498" t="str">
        <f>VLOOKUP(A42, 'Loan List '!$A$6:$K$82, 11, FALSE)</f>
        <v>FL</v>
      </c>
      <c r="E42" s="497" t="b">
        <f t="shared" si="23"/>
        <v>1</v>
      </c>
      <c r="F42" s="497" t="str">
        <f>VLOOKUP(A42,'Loan List '!$A$6:$L$75, 12, FALSE)</f>
        <v>Media</v>
      </c>
      <c r="G42" s="320"/>
      <c r="H42" s="533">
        <f t="shared" si="0"/>
        <v>2048423.5</v>
      </c>
      <c r="I42" s="533">
        <f>VLOOKUP(A42,'Loan List '!$A$6:$L$75, 8, FALSE)</f>
        <v>2048423.5</v>
      </c>
      <c r="J42" s="361">
        <v>0</v>
      </c>
      <c r="K42" s="323">
        <f t="shared" si="50"/>
        <v>5.6700627885886631E-3</v>
      </c>
      <c r="L42" s="601">
        <f>VLOOKUP(A42,'Loan List '!$A$6:$BA$82,24, FALSE)</f>
        <v>100</v>
      </c>
      <c r="M42" s="501"/>
      <c r="N42" s="502">
        <f>VLOOKUP(A42,'Loan List '!$A$6:$BA$82,22, FALSE)</f>
        <v>46327</v>
      </c>
      <c r="O42" s="602">
        <f t="shared" si="24"/>
        <v>2048423.5</v>
      </c>
      <c r="P42" s="327">
        <f t="shared" si="2"/>
        <v>1</v>
      </c>
      <c r="Q42" s="487" t="s">
        <v>451</v>
      </c>
      <c r="R42" s="488" t="s">
        <v>38</v>
      </c>
      <c r="S42" s="327" t="b">
        <f t="shared" si="56"/>
        <v>1</v>
      </c>
      <c r="T42" s="327">
        <f>VLOOKUP(A42,'Loan List '!$A$6:$BD$1048576,56,FALSE)/100</f>
        <v>1</v>
      </c>
      <c r="U42" s="535">
        <f t="shared" si="25"/>
        <v>2048423.5</v>
      </c>
      <c r="V42" s="503">
        <f>VLOOKUP(A42,'Loan List '!$A$6:$BA$82,26, FALSE)</f>
        <v>0</v>
      </c>
      <c r="W42" s="350">
        <f t="shared" si="51"/>
        <v>0</v>
      </c>
      <c r="X42" s="326"/>
      <c r="Y42" s="504">
        <f>VLOOKUP(A42,'Loan List '!$A$6:$BA$75,27, FALSE)</f>
        <v>0</v>
      </c>
      <c r="Z42" s="109"/>
      <c r="AA42" s="330"/>
      <c r="AB42" s="333">
        <f t="shared" si="5"/>
        <v>2.2228059244598676E-2</v>
      </c>
      <c r="AC42" s="333">
        <f t="shared" si="6"/>
        <v>3.8272923822973478E-3</v>
      </c>
      <c r="AD42" s="331">
        <f t="shared" si="26"/>
        <v>0</v>
      </c>
      <c r="AE42" s="320" t="str">
        <f t="shared" si="27"/>
        <v>Class 2</v>
      </c>
      <c r="AF42" s="649">
        <f t="shared" si="28"/>
        <v>5.5</v>
      </c>
      <c r="AG42" s="649">
        <f t="shared" si="29"/>
        <v>6.5</v>
      </c>
      <c r="AH42" s="332">
        <f t="shared" si="30"/>
        <v>1</v>
      </c>
      <c r="AI42" s="332">
        <f t="shared" si="31"/>
        <v>0</v>
      </c>
      <c r="AJ42" s="332">
        <f t="shared" si="32"/>
        <v>0.67500000000000004</v>
      </c>
      <c r="AK42" s="332">
        <f t="shared" si="33"/>
        <v>0.35</v>
      </c>
      <c r="AL42" s="332">
        <f t="shared" si="34"/>
        <v>0.67500000000000004</v>
      </c>
      <c r="AM42" s="333">
        <f ca="1">'Diversity Score'!$E$7</f>
        <v>1</v>
      </c>
      <c r="AN42" s="332">
        <f t="shared" ca="1" si="35"/>
        <v>0.67500000000000004</v>
      </c>
      <c r="AO42" s="505">
        <f>VLOOKUP(A42,'Loan List '!$A$6:$BA$75,17, FALSE)</f>
        <v>5.5E-2</v>
      </c>
      <c r="AP42" s="493" t="str">
        <f>VLOOKUP(A42,'Loan List '!$A$6:$BA$795,15, FALSE)</f>
        <v>SOFR</v>
      </c>
      <c r="AQ42" s="494">
        <f>VLOOKUP(A42,'Loan List '!$A$6:$BA$795,16, FALSE)</f>
        <v>0.01</v>
      </c>
      <c r="AR42" s="539">
        <v>0</v>
      </c>
      <c r="AS42" s="539">
        <v>0</v>
      </c>
      <c r="AT42" s="353"/>
      <c r="AU42" s="323">
        <f t="shared" si="52"/>
        <v>5.5E-2</v>
      </c>
      <c r="AV42" s="323" t="b">
        <f t="shared" si="36"/>
        <v>0</v>
      </c>
      <c r="AW42" s="540" t="b">
        <f t="shared" si="37"/>
        <v>0</v>
      </c>
      <c r="AX42" s="323" t="b">
        <f t="shared" si="53"/>
        <v>0</v>
      </c>
      <c r="AY42" s="353"/>
      <c r="AZ42" s="323" t="b">
        <f t="shared" si="13"/>
        <v>0</v>
      </c>
      <c r="BA42" s="497" t="str">
        <f>'Loan List '!AS31</f>
        <v>Maintenance Covenants</v>
      </c>
      <c r="BB42" s="320" t="b">
        <f t="shared" si="38"/>
        <v>0</v>
      </c>
      <c r="BC42" s="326" t="b">
        <f t="shared" si="39"/>
        <v>0</v>
      </c>
      <c r="BD42" s="320" t="b">
        <f t="shared" si="40"/>
        <v>1</v>
      </c>
      <c r="BE42" s="320" t="b">
        <f t="shared" si="41"/>
        <v>1</v>
      </c>
      <c r="BF42" s="550" t="str">
        <f>'Loan List '!J31</f>
        <v>USD</v>
      </c>
      <c r="BG42" s="497" t="str">
        <f>VLOOKUP(A42,'Loan List '!$A$6:$BZ$75, 23, FALSE)</f>
        <v>USA</v>
      </c>
      <c r="BH42" s="320" t="b">
        <f t="shared" si="42"/>
        <v>0</v>
      </c>
      <c r="BI42" s="320" t="b">
        <f t="shared" si="43"/>
        <v>0</v>
      </c>
      <c r="BJ42" s="320" t="b">
        <f>IF('Loan List '!BP31=1, TRUE, FALSE)</f>
        <v>0</v>
      </c>
      <c r="BK42" s="320" t="b">
        <f t="shared" si="54"/>
        <v>0</v>
      </c>
      <c r="BL42" s="541" t="b">
        <f t="shared" si="55"/>
        <v>0</v>
      </c>
      <c r="BM42" s="320" t="b">
        <f>IF('Loan List '!AT31="Yes", TRUE, FALSE)</f>
        <v>0</v>
      </c>
      <c r="BN42" s="336">
        <f t="shared" ca="1" si="44"/>
        <v>1.2712328767123289</v>
      </c>
      <c r="BO42" s="337">
        <f ca="1">'Concentration Limitations'!H37</f>
        <v>2048423.5</v>
      </c>
      <c r="BP42" s="338">
        <f t="shared" ca="1" si="16"/>
        <v>1382685.8625</v>
      </c>
      <c r="BQ42" s="339"/>
      <c r="BR42" s="340"/>
      <c r="BS42" s="542">
        <f>'Loan List '!AG31</f>
        <v>45808</v>
      </c>
      <c r="BT42" s="650">
        <f>'Loan List '!AO31</f>
        <v>2.4149625329842621</v>
      </c>
      <c r="BU42" s="650">
        <f>'Loan List '!AI31</f>
        <v>3.9202492235771995</v>
      </c>
      <c r="BV42" s="490"/>
      <c r="BW42" s="377">
        <v>0</v>
      </c>
      <c r="BX42" s="492" t="s">
        <v>1217</v>
      </c>
      <c r="BY42" s="490">
        <f>'Loan List '!AJ31</f>
        <v>41.925995753408337</v>
      </c>
      <c r="BZ42" s="490">
        <f>'Loan List '!AL31</f>
        <v>0</v>
      </c>
      <c r="CA42" s="377">
        <v>0</v>
      </c>
      <c r="CB42" s="377">
        <v>0</v>
      </c>
      <c r="CC42" s="545" t="s">
        <v>146</v>
      </c>
      <c r="CD42" s="546" t="s">
        <v>146</v>
      </c>
      <c r="CE42" s="378" t="s">
        <v>1217</v>
      </c>
      <c r="CF42" s="491">
        <f>'Loan List '!AC31</f>
        <v>4.26</v>
      </c>
      <c r="CG42" s="491">
        <f>'Loan List '!AD31</f>
        <v>3</v>
      </c>
      <c r="CH42" s="491"/>
      <c r="CI42" s="377">
        <v>0</v>
      </c>
      <c r="CJ42" s="492" t="s">
        <v>1217</v>
      </c>
      <c r="CK42" s="491">
        <f>'Loan List '!AB31</f>
        <v>30.91</v>
      </c>
      <c r="CL42" s="495">
        <f>'Loan List '!AE31</f>
        <v>0</v>
      </c>
      <c r="CM42" s="377">
        <v>0</v>
      </c>
      <c r="CN42" s="377">
        <v>0</v>
      </c>
      <c r="CO42" s="377" t="s">
        <v>146</v>
      </c>
      <c r="CP42" s="547" t="s">
        <v>146</v>
      </c>
      <c r="CQ42" s="345">
        <f t="shared" si="17"/>
        <v>-0.43310738662341264</v>
      </c>
      <c r="CR42" s="346">
        <f t="shared" si="18"/>
        <v>0.30674974119239984</v>
      </c>
      <c r="CS42" s="347">
        <f t="shared" si="45"/>
        <v>0.92024922357719952</v>
      </c>
      <c r="CT42" s="485">
        <f t="shared" si="46"/>
        <v>0.35638938056966474</v>
      </c>
      <c r="CU42" s="348">
        <f>IF(OR($CQ42&lt;'Summary '!$I$47,$BT42&lt;'Summary '!$I$46),1,0)</f>
        <v>1</v>
      </c>
      <c r="CV42" s="348">
        <f>IF(OR($CS42&gt;='Summary '!$I$50, (AND(BU42&gt;'Summary '!$I$52, Calcs!CR42&gt; 'Summary '!$I$51))),1,0)</f>
        <v>0</v>
      </c>
      <c r="CW42" s="348">
        <f t="shared" si="20"/>
        <v>1</v>
      </c>
      <c r="CX42" s="447" t="s">
        <v>122</v>
      </c>
      <c r="CY42" s="447" t="s">
        <v>122</v>
      </c>
      <c r="CZ42" t="s">
        <v>122</v>
      </c>
      <c r="DA42" s="352"/>
      <c r="DD42" s="258">
        <v>0</v>
      </c>
      <c r="DE42" s="258">
        <v>0</v>
      </c>
      <c r="DF42" s="277"/>
      <c r="DI42" s="551" t="str">
        <f t="shared" si="57"/>
        <v>Eligible</v>
      </c>
      <c r="DJ42" s="423" t="str">
        <f t="shared" si="47"/>
        <v>Eligible</v>
      </c>
      <c r="DK42" s="549" t="s">
        <v>1271</v>
      </c>
      <c r="DL42" s="549" t="s">
        <v>1271</v>
      </c>
      <c r="DM42" s="423" t="str">
        <f t="shared" si="58"/>
        <v>Eligible</v>
      </c>
      <c r="DN42" s="423" t="str">
        <f t="shared" si="59"/>
        <v>Not PIK</v>
      </c>
      <c r="DO42" s="424" t="s">
        <v>122</v>
      </c>
      <c r="DP42" s="423" t="str">
        <f t="shared" si="49"/>
        <v>YES</v>
      </c>
    </row>
    <row r="43" spans="1:120" ht="16.5">
      <c r="A43" s="616" t="s">
        <v>1125</v>
      </c>
      <c r="B43" s="36">
        <f>IFERROR(VLOOKUP(A43,'Loan List '!$A$6:$BZ$75,2,FALSE),NA)</f>
        <v>0</v>
      </c>
      <c r="C43" s="498" t="str">
        <f>VLOOKUP(A43,'Loan List '!$A$6:$G$75, 7, FALSE)</f>
        <v>First Lien</v>
      </c>
      <c r="D43" s="498" t="str">
        <f>VLOOKUP(A43, 'Loan List '!$A$6:$K$82, 11, FALSE)</f>
        <v>FL</v>
      </c>
      <c r="E43" s="497" t="b">
        <f t="shared" si="23"/>
        <v>1</v>
      </c>
      <c r="F43" s="497" t="str">
        <f>VLOOKUP(A43,'Loan List '!$A$6:$L$75, 12, FALSE)</f>
        <v>Electronic Equipment, Instruments &amp; Components</v>
      </c>
      <c r="G43" s="320"/>
      <c r="H43" s="533">
        <f t="shared" si="0"/>
        <v>1970457.8</v>
      </c>
      <c r="I43" s="533">
        <f>VLOOKUP(A43,'Loan List '!$A$6:$L$75, 8, FALSE)</f>
        <v>1970457.8</v>
      </c>
      <c r="J43" s="361">
        <v>0</v>
      </c>
      <c r="K43" s="323">
        <f t="shared" si="50"/>
        <v>5.4542527208188557E-3</v>
      </c>
      <c r="L43" s="601">
        <f>VLOOKUP(A43,'Loan List '!$A$6:$BA$82,24, FALSE)</f>
        <v>100</v>
      </c>
      <c r="M43" s="501"/>
      <c r="N43" s="502">
        <f>VLOOKUP(A43,'Loan List '!$A$6:$BA$82,22, FALSE)</f>
        <v>45838</v>
      </c>
      <c r="O43" s="602">
        <f t="shared" si="24"/>
        <v>1970457.8</v>
      </c>
      <c r="P43" s="327">
        <f t="shared" si="2"/>
        <v>1</v>
      </c>
      <c r="Q43" s="487" t="s">
        <v>451</v>
      </c>
      <c r="R43" s="488" t="s">
        <v>38</v>
      </c>
      <c r="S43" s="327" t="b">
        <f t="shared" si="56"/>
        <v>1</v>
      </c>
      <c r="T43" s="327">
        <f>VLOOKUP(A43,'Loan List '!$A$6:$BD$1048576,56,FALSE)/100</f>
        <v>1</v>
      </c>
      <c r="U43" s="535">
        <f t="shared" si="25"/>
        <v>1970457.8</v>
      </c>
      <c r="V43" s="503">
        <f>VLOOKUP(A43,'Loan List '!$A$6:$BA$82,26, FALSE)</f>
        <v>0</v>
      </c>
      <c r="W43" s="350">
        <f t="shared" si="51"/>
        <v>0</v>
      </c>
      <c r="X43" s="326"/>
      <c r="Y43" s="504">
        <f>VLOOKUP(A43,'Loan List '!$A$6:$BA$75,27, FALSE)</f>
        <v>0</v>
      </c>
      <c r="Z43" s="109"/>
      <c r="AA43" s="330"/>
      <c r="AB43" s="333">
        <f t="shared" si="5"/>
        <v>2.5368329519243032E-2</v>
      </c>
      <c r="AC43" s="333">
        <f t="shared" si="6"/>
        <v>3.6816205865527279E-3</v>
      </c>
      <c r="AD43" s="331">
        <f t="shared" si="26"/>
        <v>0</v>
      </c>
      <c r="AE43" s="320" t="str">
        <f t="shared" si="27"/>
        <v>Class 2</v>
      </c>
      <c r="AF43" s="649">
        <f t="shared" si="28"/>
        <v>5.5</v>
      </c>
      <c r="AG43" s="649">
        <f t="shared" si="29"/>
        <v>6.5</v>
      </c>
      <c r="AH43" s="332">
        <f t="shared" si="30"/>
        <v>1</v>
      </c>
      <c r="AI43" s="332">
        <f t="shared" si="31"/>
        <v>0</v>
      </c>
      <c r="AJ43" s="332">
        <f t="shared" si="32"/>
        <v>0.67500000000000004</v>
      </c>
      <c r="AK43" s="332">
        <f t="shared" si="33"/>
        <v>0.35</v>
      </c>
      <c r="AL43" s="332">
        <f t="shared" si="34"/>
        <v>0.67500000000000004</v>
      </c>
      <c r="AM43" s="333">
        <f ca="1">'Diversity Score'!$E$7</f>
        <v>1</v>
      </c>
      <c r="AN43" s="332">
        <f t="shared" ca="1" si="35"/>
        <v>0.67500000000000004</v>
      </c>
      <c r="AO43" s="505">
        <f>VLOOKUP(A43,'Loan List '!$A$6:$BA$75,17, FALSE)</f>
        <v>7.6100000000000001E-2</v>
      </c>
      <c r="AP43" s="493" t="str">
        <f>VLOOKUP(A43,'Loan List '!$A$6:$BA$795,15, FALSE)</f>
        <v>SOFR</v>
      </c>
      <c r="AQ43" s="494">
        <f>VLOOKUP(A43,'Loan List '!$A$6:$BA$795,16, FALSE)</f>
        <v>0.01</v>
      </c>
      <c r="AR43" s="539">
        <v>0</v>
      </c>
      <c r="AS43" s="539">
        <v>0</v>
      </c>
      <c r="AT43" s="353"/>
      <c r="AU43" s="323">
        <f t="shared" si="52"/>
        <v>7.6100000000000001E-2</v>
      </c>
      <c r="AV43" s="323" t="b">
        <f t="shared" si="36"/>
        <v>0</v>
      </c>
      <c r="AW43" s="540" t="b">
        <f t="shared" si="37"/>
        <v>0</v>
      </c>
      <c r="AX43" s="323" t="b">
        <f t="shared" si="53"/>
        <v>0</v>
      </c>
      <c r="AY43" s="353"/>
      <c r="AZ43" s="323" t="b">
        <f t="shared" si="13"/>
        <v>0</v>
      </c>
      <c r="BA43" s="497" t="str">
        <f>'Loan List '!AS32</f>
        <v>Maintenance Covenants</v>
      </c>
      <c r="BB43" s="320" t="b">
        <f t="shared" si="38"/>
        <v>0</v>
      </c>
      <c r="BC43" s="326" t="b">
        <f t="shared" si="39"/>
        <v>0</v>
      </c>
      <c r="BD43" s="320" t="b">
        <f t="shared" si="40"/>
        <v>1</v>
      </c>
      <c r="BE43" s="320" t="b">
        <f t="shared" si="41"/>
        <v>1</v>
      </c>
      <c r="BF43" s="550" t="str">
        <f>'Loan List '!J32</f>
        <v>USD</v>
      </c>
      <c r="BG43" s="497" t="str">
        <f>VLOOKUP(A43,'Loan List '!$A$6:$BZ$75, 23, FALSE)</f>
        <v>USA</v>
      </c>
      <c r="BH43" s="320" t="b">
        <f t="shared" si="42"/>
        <v>0</v>
      </c>
      <c r="BI43" s="320" t="b">
        <f t="shared" si="43"/>
        <v>0</v>
      </c>
      <c r="BJ43" s="320" t="b">
        <f>IF('Loan List '!BP32=1, TRUE, FALSE)</f>
        <v>0</v>
      </c>
      <c r="BK43" s="320" t="b">
        <f t="shared" si="54"/>
        <v>0</v>
      </c>
      <c r="BL43" s="541" t="b">
        <f t="shared" si="55"/>
        <v>0</v>
      </c>
      <c r="BM43" s="320" t="b">
        <f>IF('Loan List '!AT32="Yes", TRUE, FALSE)</f>
        <v>0</v>
      </c>
      <c r="BN43" s="336">
        <f t="shared" ca="1" si="44"/>
        <v>-6.8493150684931503E-2</v>
      </c>
      <c r="BO43" s="337">
        <f ca="1">'Concentration Limitations'!H38</f>
        <v>1970457.8</v>
      </c>
      <c r="BP43" s="338">
        <f t="shared" ca="1" si="16"/>
        <v>1330059.0150000001</v>
      </c>
      <c r="BQ43" s="339"/>
      <c r="BR43" s="340"/>
      <c r="BS43" s="542">
        <f>'Loan List '!AG32</f>
        <v>45808</v>
      </c>
      <c r="BT43" s="650">
        <f>'Loan List '!AO32</f>
        <v>1.6064131587242456</v>
      </c>
      <c r="BU43" s="650">
        <f>'Loan List '!AI32</f>
        <v>4.6511100269359069</v>
      </c>
      <c r="BV43" s="490"/>
      <c r="BW43" s="377">
        <v>0</v>
      </c>
      <c r="BX43" s="492" t="s">
        <v>1217</v>
      </c>
      <c r="BY43" s="490">
        <f>'Loan List '!AJ32</f>
        <v>56.058999999999997</v>
      </c>
      <c r="BZ43" s="490">
        <f>'Loan List '!AL32</f>
        <v>0</v>
      </c>
      <c r="CA43" s="377">
        <v>0</v>
      </c>
      <c r="CB43" s="377">
        <v>0</v>
      </c>
      <c r="CC43" s="545" t="s">
        <v>146</v>
      </c>
      <c r="CD43" s="546" t="s">
        <v>146</v>
      </c>
      <c r="CE43" s="378" t="s">
        <v>1217</v>
      </c>
      <c r="CF43" s="491">
        <f>'Loan List '!AC32</f>
        <v>1.6109885895100202</v>
      </c>
      <c r="CG43" s="491">
        <f>'Loan List '!AD32</f>
        <v>5.0177507886435331</v>
      </c>
      <c r="CH43" s="491"/>
      <c r="CI43" s="377">
        <v>0</v>
      </c>
      <c r="CJ43" s="492" t="s">
        <v>1217</v>
      </c>
      <c r="CK43" s="491">
        <f>'Loan List '!AB32</f>
        <v>50.402999999999999</v>
      </c>
      <c r="CL43" s="495">
        <f>'Loan List '!AE32</f>
        <v>0</v>
      </c>
      <c r="CM43" s="377">
        <v>0</v>
      </c>
      <c r="CN43" s="377">
        <v>0</v>
      </c>
      <c r="CO43" s="377" t="s">
        <v>146</v>
      </c>
      <c r="CP43" s="547" t="s">
        <v>146</v>
      </c>
      <c r="CQ43" s="345">
        <f t="shared" si="17"/>
        <v>-2.8401385432321492E-3</v>
      </c>
      <c r="CR43" s="346">
        <f t="shared" si="18"/>
        <v>-7.30687467654689E-2</v>
      </c>
      <c r="CS43" s="347">
        <f t="shared" si="45"/>
        <v>-0.36664076170762616</v>
      </c>
      <c r="CT43" s="485">
        <f t="shared" si="46"/>
        <v>0.1122155427256315</v>
      </c>
      <c r="CU43" s="348">
        <f>IF(OR($CQ43&lt;'Summary '!$I$47,$BT43&lt;'Summary '!$I$46),1,0)</f>
        <v>1</v>
      </c>
      <c r="CV43" s="348">
        <f>IF(OR($CS43&gt;='Summary '!$I$50, (AND(BU43&gt;'Summary '!$I$52, Calcs!CR43&gt; 'Summary '!$I$51))),1,0)</f>
        <v>0</v>
      </c>
      <c r="CW43" s="348">
        <f t="shared" si="20"/>
        <v>1</v>
      </c>
      <c r="CX43" s="447" t="s">
        <v>122</v>
      </c>
      <c r="CY43" s="447" t="s">
        <v>122</v>
      </c>
      <c r="CZ43" t="s">
        <v>122</v>
      </c>
      <c r="DA43" s="352"/>
      <c r="DD43" s="258">
        <v>0</v>
      </c>
      <c r="DE43" s="258">
        <v>0</v>
      </c>
      <c r="DF43" s="277"/>
      <c r="DI43" s="551" t="str">
        <f t="shared" si="57"/>
        <v>Eligible</v>
      </c>
      <c r="DJ43" s="423" t="str">
        <f t="shared" si="47"/>
        <v>Eligible</v>
      </c>
      <c r="DK43" s="549" t="s">
        <v>1271</v>
      </c>
      <c r="DL43" s="549" t="s">
        <v>1271</v>
      </c>
      <c r="DM43" s="423" t="str">
        <f t="shared" si="58"/>
        <v>Eligible</v>
      </c>
      <c r="DN43" s="423" t="str">
        <f t="shared" si="59"/>
        <v>Not PIK</v>
      </c>
      <c r="DO43" s="424" t="s">
        <v>122</v>
      </c>
      <c r="DP43" s="423" t="str">
        <f t="shared" si="49"/>
        <v>YES</v>
      </c>
    </row>
    <row r="44" spans="1:120" ht="16.5">
      <c r="A44" s="616" t="s">
        <v>1128</v>
      </c>
      <c r="B44" s="36">
        <f>IFERROR(VLOOKUP(A44,'Loan List '!$A$6:$BZ$75,2,FALSE),NA)</f>
        <v>0</v>
      </c>
      <c r="C44" s="498" t="str">
        <f>VLOOKUP(A44,'Loan List '!$A$6:$G$75, 7, FALSE)</f>
        <v>First Lien</v>
      </c>
      <c r="D44" s="498" t="str">
        <f>VLOOKUP(A44, 'Loan List '!$A$6:$K$82, 11, FALSE)</f>
        <v>FL</v>
      </c>
      <c r="E44" s="497" t="b">
        <f t="shared" si="23"/>
        <v>1</v>
      </c>
      <c r="F44" s="497" t="str">
        <f>VLOOKUP(A44,'Loan List '!$A$6:$L$75, 12, FALSE)</f>
        <v>Personal Products</v>
      </c>
      <c r="G44" s="320"/>
      <c r="H44" s="533">
        <f t="shared" si="0"/>
        <v>3369991.77</v>
      </c>
      <c r="I44" s="533">
        <f>VLOOKUP(A44,'Loan List '!$A$6:$L$75, 8, FALSE)</f>
        <v>3369991.77</v>
      </c>
      <c r="J44" s="361">
        <v>0</v>
      </c>
      <c r="K44" s="323">
        <f t="shared" si="50"/>
        <v>9.3281808829702682E-3</v>
      </c>
      <c r="L44" s="601">
        <f>VLOOKUP(A44,'Loan List '!$A$6:$BA$82,24, FALSE)</f>
        <v>100</v>
      </c>
      <c r="M44" s="501"/>
      <c r="N44" s="502">
        <f>VLOOKUP(A44,'Loan List '!$A$6:$BA$82,22, FALSE)</f>
        <v>46436</v>
      </c>
      <c r="O44" s="602">
        <f t="shared" si="24"/>
        <v>3369991.77</v>
      </c>
      <c r="P44" s="327">
        <f t="shared" si="2"/>
        <v>0.5</v>
      </c>
      <c r="Q44" s="487" t="s">
        <v>451</v>
      </c>
      <c r="R44" s="488" t="s">
        <v>38</v>
      </c>
      <c r="S44" s="327" t="b">
        <f t="shared" si="56"/>
        <v>1</v>
      </c>
      <c r="T44" s="327">
        <f>VLOOKUP(A44,'Loan List '!$A$6:$BD$1048576,56,FALSE)/100</f>
        <v>0.5</v>
      </c>
      <c r="U44" s="535">
        <f t="shared" si="25"/>
        <v>1684995.885</v>
      </c>
      <c r="V44" s="503">
        <f>VLOOKUP(A44,'Loan List '!$A$6:$BA$82,26, FALSE)</f>
        <v>0</v>
      </c>
      <c r="W44" s="350">
        <f t="shared" si="51"/>
        <v>0</v>
      </c>
      <c r="X44" s="326"/>
      <c r="Y44" s="504">
        <f>VLOOKUP(A44,'Loan List '!$A$6:$BA$75,27, FALSE)</f>
        <v>0</v>
      </c>
      <c r="Z44" s="109"/>
      <c r="AA44" s="330"/>
      <c r="AB44" s="333">
        <f t="shared" si="5"/>
        <v>7.2625063075080182E-2</v>
      </c>
      <c r="AC44" s="333">
        <f t="shared" si="6"/>
        <v>4.8674418208461689E-3</v>
      </c>
      <c r="AD44" s="331">
        <f t="shared" si="26"/>
        <v>0</v>
      </c>
      <c r="AE44" s="320" t="str">
        <f t="shared" si="27"/>
        <v>Class 2</v>
      </c>
      <c r="AF44" s="649">
        <f t="shared" si="28"/>
        <v>5.5</v>
      </c>
      <c r="AG44" s="649">
        <f t="shared" si="29"/>
        <v>6.5</v>
      </c>
      <c r="AH44" s="332">
        <f t="shared" si="30"/>
        <v>0.7064364929128818</v>
      </c>
      <c r="AI44" s="332">
        <f t="shared" si="31"/>
        <v>0.12844299871143305</v>
      </c>
      <c r="AJ44" s="332">
        <f t="shared" si="32"/>
        <v>0.67500000000000004</v>
      </c>
      <c r="AK44" s="332">
        <f t="shared" si="33"/>
        <v>0.35</v>
      </c>
      <c r="AL44" s="332">
        <f t="shared" si="34"/>
        <v>0.5217996822651968</v>
      </c>
      <c r="AM44" s="333">
        <f ca="1">'Diversity Score'!$E$7</f>
        <v>1</v>
      </c>
      <c r="AN44" s="332">
        <f t="shared" ca="1" si="35"/>
        <v>0.5217996822651968</v>
      </c>
      <c r="AO44" s="505">
        <v>7.0999999999999994E-2</v>
      </c>
      <c r="AP44" s="493" t="str">
        <f>VLOOKUP(A44,'Loan List '!$A$6:$BA$795,15, FALSE)</f>
        <v>SOFR</v>
      </c>
      <c r="AQ44" s="494">
        <f>VLOOKUP(A44,'Loan List '!$A$6:$BA$795,16, FALSE)</f>
        <v>0.01</v>
      </c>
      <c r="AR44" s="539">
        <v>0</v>
      </c>
      <c r="AS44" s="539">
        <v>5.0999999999999997E-2</v>
      </c>
      <c r="AT44" s="353"/>
      <c r="AU44" s="323">
        <f t="shared" si="52"/>
        <v>1.9999999999999997E-2</v>
      </c>
      <c r="AV44" s="323" t="b">
        <f t="shared" si="36"/>
        <v>0</v>
      </c>
      <c r="AW44" s="540" t="b">
        <f t="shared" si="37"/>
        <v>0</v>
      </c>
      <c r="AX44" s="323" t="b">
        <f t="shared" si="53"/>
        <v>1</v>
      </c>
      <c r="AY44" s="353"/>
      <c r="AZ44" s="323" t="b">
        <f t="shared" si="13"/>
        <v>0</v>
      </c>
      <c r="BA44" s="497" t="str">
        <f>'Loan List '!AS33</f>
        <v>Maintenance Covenants</v>
      </c>
      <c r="BB44" s="320" t="b">
        <f t="shared" si="38"/>
        <v>0</v>
      </c>
      <c r="BC44" s="326" t="b">
        <f t="shared" si="39"/>
        <v>1</v>
      </c>
      <c r="BD44" s="320" t="b">
        <f t="shared" si="40"/>
        <v>1</v>
      </c>
      <c r="BE44" s="320" t="b">
        <f t="shared" si="41"/>
        <v>1</v>
      </c>
      <c r="BF44" s="550" t="str">
        <f>'Loan List '!J33</f>
        <v>USD</v>
      </c>
      <c r="BG44" s="497" t="str">
        <f>VLOOKUP(A44,'Loan List '!$A$6:$BZ$75, 23, FALSE)</f>
        <v>USA</v>
      </c>
      <c r="BH44" s="320" t="b">
        <f t="shared" si="42"/>
        <v>0</v>
      </c>
      <c r="BI44" s="320" t="b">
        <f t="shared" si="43"/>
        <v>0</v>
      </c>
      <c r="BJ44" s="320" t="b">
        <f>IF('Loan List '!BP33=1, TRUE, FALSE)</f>
        <v>0</v>
      </c>
      <c r="BK44" s="320" t="b">
        <f t="shared" si="54"/>
        <v>0</v>
      </c>
      <c r="BL44" s="541" t="b">
        <f t="shared" si="55"/>
        <v>0</v>
      </c>
      <c r="BM44" s="320" t="b">
        <f>IF('Loan List '!AT33="Yes", TRUE, FALSE)</f>
        <v>0</v>
      </c>
      <c r="BN44" s="336">
        <f t="shared" ca="1" si="44"/>
        <v>1.5698630136986302</v>
      </c>
      <c r="BO44" s="337">
        <f ca="1">'Concentration Limitations'!H39</f>
        <v>1684995.885</v>
      </c>
      <c r="BP44" s="338">
        <f t="shared" ca="1" si="16"/>
        <v>879230.31741116405</v>
      </c>
      <c r="BQ44" s="339"/>
      <c r="BR44" s="340"/>
      <c r="BS44" s="542">
        <f>'Loan List '!AG33</f>
        <v>45808</v>
      </c>
      <c r="BT44" s="650">
        <f>'Loan List '!AO33</f>
        <v>0.97264013605321897</v>
      </c>
      <c r="BU44" s="650">
        <f>'Loan List '!AI33</f>
        <v>7.7855547599496155</v>
      </c>
      <c r="BV44" s="490"/>
      <c r="BW44" s="377">
        <v>0</v>
      </c>
      <c r="BX44" s="492" t="s">
        <v>1217</v>
      </c>
      <c r="BY44" s="490">
        <f>'Loan List '!AJ33</f>
        <v>63.074203353644897</v>
      </c>
      <c r="BZ44" s="490">
        <f>'Loan List '!AL33</f>
        <v>0</v>
      </c>
      <c r="CA44" s="377">
        <v>0</v>
      </c>
      <c r="CB44" s="377">
        <v>0</v>
      </c>
      <c r="CC44" s="545" t="s">
        <v>146</v>
      </c>
      <c r="CD44" s="546" t="s">
        <v>146</v>
      </c>
      <c r="CE44" s="378" t="s">
        <v>1217</v>
      </c>
      <c r="CF44" s="491">
        <f>'Loan List '!AC33</f>
        <v>2.2122977582240817</v>
      </c>
      <c r="CG44" s="491">
        <f>'Loan List '!AD33</f>
        <v>5.5235911027163969</v>
      </c>
      <c r="CH44" s="491"/>
      <c r="CI44" s="377">
        <v>0</v>
      </c>
      <c r="CJ44" s="492" t="s">
        <v>1217</v>
      </c>
      <c r="CK44" s="491">
        <f>'Loan List '!AB33</f>
        <v>57.462617000000002</v>
      </c>
      <c r="CL44" s="495">
        <f>'Loan List '!AE33</f>
        <v>0</v>
      </c>
      <c r="CM44" s="377">
        <v>0</v>
      </c>
      <c r="CN44" s="377">
        <v>0</v>
      </c>
      <c r="CO44" s="377" t="s">
        <v>146</v>
      </c>
      <c r="CP44" s="547" t="s">
        <v>146</v>
      </c>
      <c r="CQ44" s="345">
        <f t="shared" si="17"/>
        <v>-0.56034845109005382</v>
      </c>
      <c r="CR44" s="346">
        <f t="shared" si="18"/>
        <v>0.40950961343261416</v>
      </c>
      <c r="CS44" s="347">
        <f t="shared" si="45"/>
        <v>2.2619636572332187</v>
      </c>
      <c r="CT44" s="485">
        <f t="shared" si="46"/>
        <v>9.7656296329923453E-2</v>
      </c>
      <c r="CU44" s="348">
        <f>IF(OR($CQ44&lt;'Summary '!$I$47,$BT44&lt;'Summary '!$I$46),1,0)</f>
        <v>1</v>
      </c>
      <c r="CV44" s="348">
        <f>IF(OR($CS44&gt;='Summary '!$I$50, (AND(BU44&gt;'Summary '!$I$52, Calcs!CR44&gt; 'Summary '!$I$51))),1,0)</f>
        <v>1</v>
      </c>
      <c r="CW44" s="348">
        <f t="shared" si="20"/>
        <v>1</v>
      </c>
      <c r="CX44" s="447" t="s">
        <v>122</v>
      </c>
      <c r="CY44" s="447" t="s">
        <v>122</v>
      </c>
      <c r="CZ44" t="s">
        <v>231</v>
      </c>
      <c r="DA44" s="352">
        <v>5.0999999999999997E-2</v>
      </c>
      <c r="DD44" s="258">
        <v>0</v>
      </c>
      <c r="DE44" s="258">
        <v>0</v>
      </c>
      <c r="DF44" s="277"/>
      <c r="DI44" s="551" t="str">
        <f t="shared" si="57"/>
        <v>Eligible</v>
      </c>
      <c r="DJ44" s="423" t="str">
        <f t="shared" si="47"/>
        <v>Eligible</v>
      </c>
      <c r="DK44" s="549" t="s">
        <v>1271</v>
      </c>
      <c r="DL44" s="549" t="s">
        <v>1271</v>
      </c>
      <c r="DM44" s="423" t="str">
        <f t="shared" si="58"/>
        <v>Eligible</v>
      </c>
      <c r="DN44" s="423" t="str">
        <f t="shared" si="59"/>
        <v>Not PIK</v>
      </c>
      <c r="DO44" s="424" t="s">
        <v>122</v>
      </c>
      <c r="DP44" s="423" t="str">
        <f t="shared" si="49"/>
        <v>YES</v>
      </c>
    </row>
    <row r="45" spans="1:120" ht="16.5">
      <c r="A45" s="616" t="s">
        <v>1297</v>
      </c>
      <c r="B45" s="36">
        <f>IFERROR(VLOOKUP(A45,'Loan List '!$A$6:$BZ$75,2,FALSE),NA)</f>
        <v>0</v>
      </c>
      <c r="C45" s="498" t="str">
        <f>VLOOKUP(A45,'Loan List '!$A$6:$G$75, 7, FALSE)</f>
        <v>First Lien</v>
      </c>
      <c r="D45" s="498" t="str">
        <f>VLOOKUP(A45, 'Loan List '!$A$6:$K$82, 11, FALSE)</f>
        <v>FL</v>
      </c>
      <c r="E45" s="497" t="b">
        <f t="shared" si="23"/>
        <v>1</v>
      </c>
      <c r="F45" s="497" t="str">
        <f>VLOOKUP(A45,'Loan List '!$A$6:$L$75, 12, FALSE)</f>
        <v>Chemicals</v>
      </c>
      <c r="G45" s="320"/>
      <c r="H45" s="533">
        <f t="shared" si="0"/>
        <v>4779960.4400000004</v>
      </c>
      <c r="I45" s="533">
        <f>VLOOKUP(A45,'Loan List '!$A$6:$L$75, 8, FALSE)</f>
        <v>4779960.4400000004</v>
      </c>
      <c r="J45" s="361">
        <v>0</v>
      </c>
      <c r="K45" s="323">
        <f t="shared" si="50"/>
        <v>1.3230992429919836E-2</v>
      </c>
      <c r="L45" s="601">
        <f>VLOOKUP(A45,'Loan List '!$A$6:$BA$82,24, FALSE)</f>
        <v>100</v>
      </c>
      <c r="M45" s="501"/>
      <c r="N45" s="502">
        <f>VLOOKUP(A45,'Loan List '!$A$6:$BA$82,22, FALSE)</f>
        <v>46959</v>
      </c>
      <c r="O45" s="602">
        <f t="shared" si="24"/>
        <v>4779960.4400000004</v>
      </c>
      <c r="P45" s="327">
        <f t="shared" si="2"/>
        <v>1</v>
      </c>
      <c r="Q45" s="487" t="s">
        <v>451</v>
      </c>
      <c r="R45" s="488" t="s">
        <v>38</v>
      </c>
      <c r="S45" s="327" t="b">
        <f t="shared" si="56"/>
        <v>0</v>
      </c>
      <c r="T45" s="327">
        <f>VLOOKUP(A45,'Loan List '!$A$6:$BD$1048576,56,FALSE)/100</f>
        <v>1</v>
      </c>
      <c r="U45" s="535">
        <f t="shared" si="25"/>
        <v>4779960.4400000004</v>
      </c>
      <c r="V45" s="503">
        <f>VLOOKUP(A45,'Loan List '!$A$6:$BA$82,26, FALSE)</f>
        <v>0</v>
      </c>
      <c r="W45" s="350">
        <f t="shared" si="51"/>
        <v>0</v>
      </c>
      <c r="X45" s="326"/>
      <c r="Y45" s="504">
        <f>VLOOKUP(A45,'Loan List '!$A$6:$BA$75,27, FALSE)</f>
        <v>0</v>
      </c>
      <c r="Z45" s="109"/>
      <c r="AA45" s="330"/>
      <c r="AB45" s="333">
        <f t="shared" si="5"/>
        <v>6.5075037751378254E-2</v>
      </c>
      <c r="AC45" s="333">
        <f t="shared" si="6"/>
        <v>8.9309198901958899E-3</v>
      </c>
      <c r="AD45" s="331">
        <f t="shared" si="26"/>
        <v>0</v>
      </c>
      <c r="AE45" s="320" t="str">
        <f t="shared" si="27"/>
        <v>Class 2</v>
      </c>
      <c r="AF45" s="649">
        <f t="shared" si="28"/>
        <v>5.5</v>
      </c>
      <c r="AG45" s="649">
        <f t="shared" si="29"/>
        <v>6.5</v>
      </c>
      <c r="AH45" s="332">
        <f t="shared" si="30"/>
        <v>1</v>
      </c>
      <c r="AI45" s="332">
        <f t="shared" si="31"/>
        <v>0</v>
      </c>
      <c r="AJ45" s="332">
        <f t="shared" si="32"/>
        <v>0.67500000000000004</v>
      </c>
      <c r="AK45" s="332">
        <f t="shared" si="33"/>
        <v>0.35</v>
      </c>
      <c r="AL45" s="332">
        <f t="shared" si="34"/>
        <v>0.67500000000000004</v>
      </c>
      <c r="AM45" s="333">
        <f ca="1">'Diversity Score'!$E$7</f>
        <v>1</v>
      </c>
      <c r="AN45" s="332">
        <f t="shared" ca="1" si="35"/>
        <v>0.67500000000000004</v>
      </c>
      <c r="AO45" s="505">
        <f>VLOOKUP(A45,'Loan List '!$A$6:$BA$75,17, FALSE)</f>
        <v>0.05</v>
      </c>
      <c r="AP45" s="493" t="str">
        <f>VLOOKUP(A45,'Loan List '!$A$6:$BA$795,15, FALSE)</f>
        <v>SOFR</v>
      </c>
      <c r="AQ45" s="494">
        <f>VLOOKUP(A45,'Loan List '!$A$6:$BA$795,16, FALSE)</f>
        <v>0.01</v>
      </c>
      <c r="AR45" s="539">
        <v>0</v>
      </c>
      <c r="AS45" s="539">
        <v>0</v>
      </c>
      <c r="AT45" s="353"/>
      <c r="AU45" s="323">
        <f t="shared" si="52"/>
        <v>0.05</v>
      </c>
      <c r="AV45" s="323" t="b">
        <f t="shared" si="36"/>
        <v>0</v>
      </c>
      <c r="AW45" s="540" t="b">
        <f t="shared" si="37"/>
        <v>0</v>
      </c>
      <c r="AX45" s="323" t="b">
        <f t="shared" si="53"/>
        <v>0</v>
      </c>
      <c r="AY45" s="353"/>
      <c r="AZ45" s="323" t="b">
        <f t="shared" si="13"/>
        <v>0</v>
      </c>
      <c r="BA45" s="497" t="str">
        <f>'Loan List '!AS34</f>
        <v>Maintenance Covenants</v>
      </c>
      <c r="BB45" s="320" t="b">
        <f t="shared" si="38"/>
        <v>0</v>
      </c>
      <c r="BC45" s="326" t="b">
        <f t="shared" si="39"/>
        <v>0</v>
      </c>
      <c r="BD45" s="320" t="b">
        <f t="shared" si="40"/>
        <v>1</v>
      </c>
      <c r="BE45" s="320" t="b">
        <f t="shared" si="41"/>
        <v>1</v>
      </c>
      <c r="BF45" s="550" t="str">
        <f>'Loan List '!J34</f>
        <v>USD</v>
      </c>
      <c r="BG45" s="497" t="str">
        <f>VLOOKUP(A45,'Loan List '!$A$6:$BZ$75, 23, FALSE)</f>
        <v>USA</v>
      </c>
      <c r="BH45" s="320" t="b">
        <f t="shared" si="42"/>
        <v>0</v>
      </c>
      <c r="BI45" s="320" t="b">
        <f t="shared" si="43"/>
        <v>0</v>
      </c>
      <c r="BJ45" s="320" t="b">
        <f>IF('Loan List '!BP34=1, TRUE, FALSE)</f>
        <v>0</v>
      </c>
      <c r="BK45" s="320" t="b">
        <f t="shared" si="54"/>
        <v>0</v>
      </c>
      <c r="BL45" s="541" t="b">
        <f t="shared" si="55"/>
        <v>0</v>
      </c>
      <c r="BM45" s="320" t="b">
        <f>IF('Loan List '!AT34="Yes", TRUE, FALSE)</f>
        <v>0</v>
      </c>
      <c r="BN45" s="336">
        <f t="shared" ca="1" si="44"/>
        <v>3.0027397260273974</v>
      </c>
      <c r="BO45" s="337">
        <f ca="1">'Concentration Limitations'!H40</f>
        <v>4779960.4400000004</v>
      </c>
      <c r="BP45" s="338">
        <f t="shared" ca="1" si="16"/>
        <v>3226473.2970000007</v>
      </c>
      <c r="BQ45" s="339"/>
      <c r="BR45" s="340"/>
      <c r="BS45" s="542">
        <f>'Loan List '!AG34</f>
        <v>45808</v>
      </c>
      <c r="BT45" s="650">
        <f>'Loan List '!AO34</f>
        <v>2.33</v>
      </c>
      <c r="BU45" s="650">
        <f>'Loan List '!AI34</f>
        <v>4.9183791840301527</v>
      </c>
      <c r="BV45" s="490"/>
      <c r="BW45" s="377">
        <v>0</v>
      </c>
      <c r="BX45" s="492" t="s">
        <v>1217</v>
      </c>
      <c r="BY45" s="490">
        <f>'Loan List '!AJ34</f>
        <v>36.502035865101846</v>
      </c>
      <c r="BZ45" s="490">
        <f>'Loan List '!AL34</f>
        <v>0</v>
      </c>
      <c r="CA45" s="377">
        <v>0</v>
      </c>
      <c r="CB45" s="377">
        <v>0</v>
      </c>
      <c r="CC45" s="545" t="s">
        <v>146</v>
      </c>
      <c r="CD45" s="546" t="s">
        <v>146</v>
      </c>
      <c r="CE45" s="378" t="s">
        <v>1217</v>
      </c>
      <c r="CF45" s="491">
        <f>'Loan List '!AC34</f>
        <v>2.33</v>
      </c>
      <c r="CG45" s="491">
        <f>'Loan List '!AD34</f>
        <v>5.2262470985122205</v>
      </c>
      <c r="CH45" s="491"/>
      <c r="CI45" s="377">
        <v>0</v>
      </c>
      <c r="CJ45" s="492" t="s">
        <v>1217</v>
      </c>
      <c r="CK45" s="491">
        <f>'Loan List '!AB34</f>
        <v>28.897803573610418</v>
      </c>
      <c r="CL45" s="495">
        <f>'Loan List '!AE34</f>
        <v>0</v>
      </c>
      <c r="CM45" s="377">
        <v>0</v>
      </c>
      <c r="CN45" s="377">
        <v>0</v>
      </c>
      <c r="CO45" s="377" t="s">
        <v>146</v>
      </c>
      <c r="CP45" s="547" t="s">
        <v>146</v>
      </c>
      <c r="CQ45" s="345">
        <f t="shared" si="17"/>
        <v>0</v>
      </c>
      <c r="CR45" s="346">
        <f t="shared" si="18"/>
        <v>-5.8908028778377107E-2</v>
      </c>
      <c r="CS45" s="347">
        <f t="shared" si="45"/>
        <v>-0.30786791448206774</v>
      </c>
      <c r="CT45" s="485">
        <f t="shared" si="46"/>
        <v>0.2631422236683636</v>
      </c>
      <c r="CU45" s="348">
        <f>IF(OR($CQ45&lt;'Summary '!$I$47,$BT45&lt;'Summary '!$I$46),1,0)</f>
        <v>0</v>
      </c>
      <c r="CV45" s="348">
        <f>IF(OR($CS45&gt;='Summary '!$I$50, (AND(BU45&gt;'Summary '!$I$52, Calcs!CR45&gt; 'Summary '!$I$51))),1,0)</f>
        <v>0</v>
      </c>
      <c r="CW45" s="348">
        <f t="shared" si="20"/>
        <v>0</v>
      </c>
      <c r="CX45" s="447" t="s">
        <v>122</v>
      </c>
      <c r="CY45" s="447" t="s">
        <v>122</v>
      </c>
      <c r="CZ45" t="s">
        <v>122</v>
      </c>
      <c r="DA45" s="352"/>
      <c r="DD45" s="258">
        <v>0</v>
      </c>
      <c r="DE45" s="258">
        <v>0</v>
      </c>
      <c r="DF45" s="277"/>
      <c r="DI45" s="551" t="str">
        <f t="shared" si="57"/>
        <v>Eligible</v>
      </c>
      <c r="DJ45" s="423" t="str">
        <f t="shared" si="47"/>
        <v>Eligible</v>
      </c>
      <c r="DK45" s="549" t="s">
        <v>1271</v>
      </c>
      <c r="DL45" s="549" t="s">
        <v>1271</v>
      </c>
      <c r="DM45" s="423" t="str">
        <f t="shared" si="58"/>
        <v>Eligible</v>
      </c>
      <c r="DN45" s="423" t="str">
        <f t="shared" si="59"/>
        <v>Not PIK</v>
      </c>
      <c r="DO45" s="424" t="s">
        <v>122</v>
      </c>
      <c r="DP45" s="423" t="str">
        <f t="shared" si="49"/>
        <v>YES</v>
      </c>
    </row>
    <row r="46" spans="1:120" ht="16.5">
      <c r="A46" s="616" t="s">
        <v>1133</v>
      </c>
      <c r="B46" s="36">
        <f>IFERROR(VLOOKUP(A46,'Loan List '!$A$6:$BZ$75,2,FALSE),NA)</f>
        <v>0</v>
      </c>
      <c r="C46" s="498" t="str">
        <f>VLOOKUP(A46,'Loan List '!$A$6:$G$75, 7, FALSE)</f>
        <v>First Lien</v>
      </c>
      <c r="D46" s="498" t="str">
        <f>VLOOKUP(A46, 'Loan List '!$A$6:$K$82, 11, FALSE)</f>
        <v>FL</v>
      </c>
      <c r="E46" s="497" t="b">
        <f t="shared" si="23"/>
        <v>1</v>
      </c>
      <c r="F46" s="497" t="str">
        <f>VLOOKUP(A46,'Loan List '!$A$6:$L$75, 12, FALSE)</f>
        <v>Electronic Equipment, Instruments &amp; Components</v>
      </c>
      <c r="G46" s="320"/>
      <c r="H46" s="533">
        <f t="shared" si="0"/>
        <v>4930075.2</v>
      </c>
      <c r="I46" s="533">
        <f>VLOOKUP(A46,'Loan List '!$A$6:$L$75, 8, FALSE)</f>
        <v>4930075.2</v>
      </c>
      <c r="J46" s="361">
        <v>0</v>
      </c>
      <c r="K46" s="323">
        <f t="shared" si="50"/>
        <v>1.3646512030575618E-2</v>
      </c>
      <c r="L46" s="601">
        <f>VLOOKUP(A46,'Loan List '!$A$6:$BA$82,24, FALSE)</f>
        <v>100</v>
      </c>
      <c r="M46" s="501"/>
      <c r="N46" s="502">
        <f>VLOOKUP(A46,'Loan List '!$A$6:$BA$82,22, FALSE)</f>
        <v>47543</v>
      </c>
      <c r="O46" s="602">
        <f t="shared" si="24"/>
        <v>4930075.2</v>
      </c>
      <c r="P46" s="327">
        <f t="shared" si="2"/>
        <v>0.9</v>
      </c>
      <c r="Q46" s="487" t="s">
        <v>451</v>
      </c>
      <c r="R46" s="488" t="s">
        <v>38</v>
      </c>
      <c r="S46" s="327" t="b">
        <f t="shared" si="56"/>
        <v>1</v>
      </c>
      <c r="T46" s="327">
        <f>VLOOKUP(A46,'Loan List '!$A$6:$BD$1048576,56,FALSE)/100</f>
        <v>0.9</v>
      </c>
      <c r="U46" s="535">
        <f t="shared" si="25"/>
        <v>4437067.6800000006</v>
      </c>
      <c r="V46" s="503">
        <f>VLOOKUP(A46,'Loan List '!$A$6:$BA$82,26, FALSE)</f>
        <v>0</v>
      </c>
      <c r="W46" s="350">
        <f t="shared" si="51"/>
        <v>0</v>
      </c>
      <c r="X46" s="326"/>
      <c r="Y46" s="504">
        <f>VLOOKUP(A46,'Loan List '!$A$6:$BA$75,27, FALSE)</f>
        <v>0</v>
      </c>
      <c r="Z46" s="109"/>
      <c r="AA46" s="330"/>
      <c r="AB46" s="333">
        <f t="shared" si="5"/>
        <v>9.1069141052830552E-2</v>
      </c>
      <c r="AC46" s="333">
        <f t="shared" si="6"/>
        <v>8.3074064311887581E-3</v>
      </c>
      <c r="AD46" s="331">
        <f t="shared" si="26"/>
        <v>0</v>
      </c>
      <c r="AE46" s="320" t="str">
        <f t="shared" si="27"/>
        <v>Class 2</v>
      </c>
      <c r="AF46" s="649">
        <f t="shared" si="28"/>
        <v>5.5</v>
      </c>
      <c r="AG46" s="649">
        <f t="shared" si="29"/>
        <v>6.5</v>
      </c>
      <c r="AH46" s="332">
        <f t="shared" si="30"/>
        <v>0.82416299638342816</v>
      </c>
      <c r="AI46" s="332">
        <f t="shared" si="31"/>
        <v>0.14984781752425969</v>
      </c>
      <c r="AJ46" s="332">
        <f t="shared" si="32"/>
        <v>0.67500000000000004</v>
      </c>
      <c r="AK46" s="332">
        <f t="shared" si="33"/>
        <v>0.35</v>
      </c>
      <c r="AL46" s="332">
        <f t="shared" si="34"/>
        <v>0.60875675869230494</v>
      </c>
      <c r="AM46" s="333">
        <f ca="1">'Diversity Score'!$E$7</f>
        <v>1</v>
      </c>
      <c r="AN46" s="332">
        <f t="shared" ca="1" si="35"/>
        <v>0.60875675869230494</v>
      </c>
      <c r="AO46" s="505">
        <f>VLOOKUP(A46,'Loan List '!$A$6:$BA$75,17, FALSE)</f>
        <v>5.5E-2</v>
      </c>
      <c r="AP46" s="493" t="str">
        <f>VLOOKUP(A46,'Loan List '!$A$6:$BA$795,15, FALSE)</f>
        <v>SOFR</v>
      </c>
      <c r="AQ46" s="494">
        <f>VLOOKUP(A46,'Loan List '!$A$6:$BA$795,16, FALSE)</f>
        <v>0.01</v>
      </c>
      <c r="AR46" s="539">
        <v>0</v>
      </c>
      <c r="AS46" s="539">
        <v>0</v>
      </c>
      <c r="AT46" s="353"/>
      <c r="AU46" s="323">
        <f t="shared" si="52"/>
        <v>5.5E-2</v>
      </c>
      <c r="AV46" s="323" t="b">
        <f t="shared" si="36"/>
        <v>0</v>
      </c>
      <c r="AW46" s="540" t="b">
        <f t="shared" si="37"/>
        <v>0</v>
      </c>
      <c r="AX46" s="323" t="b">
        <f t="shared" si="53"/>
        <v>0</v>
      </c>
      <c r="AY46" s="353"/>
      <c r="AZ46" s="323" t="b">
        <f t="shared" si="13"/>
        <v>0</v>
      </c>
      <c r="BA46" s="497" t="str">
        <f>'Loan List '!AS35</f>
        <v>Maintenance Covenants</v>
      </c>
      <c r="BB46" s="320" t="b">
        <f t="shared" si="38"/>
        <v>0</v>
      </c>
      <c r="BC46" s="326" t="b">
        <f t="shared" si="39"/>
        <v>1</v>
      </c>
      <c r="BD46" s="320" t="b">
        <f t="shared" si="40"/>
        <v>1</v>
      </c>
      <c r="BE46" s="320" t="b">
        <f t="shared" si="41"/>
        <v>1</v>
      </c>
      <c r="BF46" s="550" t="str">
        <f>'Loan List '!J35</f>
        <v>USD</v>
      </c>
      <c r="BG46" s="497" t="str">
        <f>VLOOKUP(A46,'Loan List '!$A$6:$BZ$75, 23, FALSE)</f>
        <v>USA</v>
      </c>
      <c r="BH46" s="320" t="b">
        <f t="shared" si="42"/>
        <v>0</v>
      </c>
      <c r="BI46" s="320" t="b">
        <f t="shared" si="43"/>
        <v>0</v>
      </c>
      <c r="BJ46" s="320" t="b">
        <f>IF('Loan List '!BP35=1, TRUE, FALSE)</f>
        <v>0</v>
      </c>
      <c r="BK46" s="320" t="b">
        <f t="shared" si="54"/>
        <v>0</v>
      </c>
      <c r="BL46" s="541" t="b">
        <f t="shared" si="55"/>
        <v>0</v>
      </c>
      <c r="BM46" s="320" t="b">
        <f>IF('Loan List '!AT35="Yes", TRUE, FALSE)</f>
        <v>0</v>
      </c>
      <c r="BN46" s="336">
        <f t="shared" ca="1" si="44"/>
        <v>4.602739726027397</v>
      </c>
      <c r="BO46" s="337">
        <f ca="1">'Concentration Limitations'!H41</f>
        <v>4437067.6800000006</v>
      </c>
      <c r="BP46" s="338">
        <f t="shared" ca="1" si="16"/>
        <v>2701094.9389751856</v>
      </c>
      <c r="BQ46" s="339"/>
      <c r="BR46" s="340"/>
      <c r="BS46" s="542">
        <f>'Loan List '!AG35</f>
        <v>45808</v>
      </c>
      <c r="BT46" s="650">
        <f>'Loan List '!AO35</f>
        <v>1.3672242550967066</v>
      </c>
      <c r="BU46" s="650">
        <f>'Loan List '!AI35</f>
        <v>6.6734372012999428</v>
      </c>
      <c r="BV46" s="490"/>
      <c r="BW46" s="377">
        <v>0</v>
      </c>
      <c r="BX46" s="492" t="s">
        <v>1217</v>
      </c>
      <c r="BY46" s="490">
        <f>'Loan List '!AJ35</f>
        <v>20.923999999999999</v>
      </c>
      <c r="BZ46" s="490">
        <f>'Loan List '!AL35</f>
        <v>0</v>
      </c>
      <c r="CA46" s="377">
        <v>0</v>
      </c>
      <c r="CB46" s="377">
        <v>0</v>
      </c>
      <c r="CC46" s="545" t="s">
        <v>146</v>
      </c>
      <c r="CD46" s="546" t="s">
        <v>146</v>
      </c>
      <c r="CE46" s="378" t="s">
        <v>1217</v>
      </c>
      <c r="CF46" s="491">
        <f>'Loan List '!AC35</f>
        <v>1.8477272727272727</v>
      </c>
      <c r="CG46" s="491">
        <f>'Loan List '!AD35</f>
        <v>4.8953569991214207</v>
      </c>
      <c r="CH46" s="491"/>
      <c r="CI46" s="377">
        <v>0</v>
      </c>
      <c r="CJ46" s="492" t="s">
        <v>1217</v>
      </c>
      <c r="CK46" s="491">
        <f>'Loan List '!AB35</f>
        <v>28.454999999999998</v>
      </c>
      <c r="CL46" s="495">
        <f>'Loan List '!AE35</f>
        <v>0</v>
      </c>
      <c r="CM46" s="377">
        <v>0</v>
      </c>
      <c r="CN46" s="377">
        <v>0</v>
      </c>
      <c r="CO46" s="377" t="s">
        <v>146</v>
      </c>
      <c r="CP46" s="547" t="s">
        <v>146</v>
      </c>
      <c r="CQ46" s="345">
        <f t="shared" si="17"/>
        <v>-0.26005083364999881</v>
      </c>
      <c r="CR46" s="346">
        <f t="shared" si="18"/>
        <v>0.36321767799521826</v>
      </c>
      <c r="CS46" s="347">
        <f t="shared" si="45"/>
        <v>1.778080202178522</v>
      </c>
      <c r="CT46" s="485">
        <f t="shared" si="46"/>
        <v>-0.26466350377789494</v>
      </c>
      <c r="CU46" s="348">
        <f>IF(OR($CQ46&lt;'Summary '!$I$47,$BT46&lt;'Summary '!$I$46),1,0)</f>
        <v>1</v>
      </c>
      <c r="CV46" s="348">
        <f>IF(OR($CS46&gt;='Summary '!$I$50, (AND(BU46&gt;'Summary '!$I$52, Calcs!CR46&gt; 'Summary '!$I$51))),1,0)</f>
        <v>1</v>
      </c>
      <c r="CW46" s="348">
        <f t="shared" si="20"/>
        <v>1</v>
      </c>
      <c r="CX46" s="447" t="s">
        <v>122</v>
      </c>
      <c r="CY46" s="447" t="s">
        <v>122</v>
      </c>
      <c r="CZ46" t="s">
        <v>122</v>
      </c>
      <c r="DA46" s="352"/>
      <c r="DD46" s="258">
        <v>0</v>
      </c>
      <c r="DE46" s="258">
        <v>0</v>
      </c>
      <c r="DF46" s="277"/>
      <c r="DI46" s="551" t="str">
        <f t="shared" si="57"/>
        <v>Eligible</v>
      </c>
      <c r="DJ46" s="423" t="str">
        <f t="shared" si="47"/>
        <v>Eligible</v>
      </c>
      <c r="DK46" s="549" t="s">
        <v>1271</v>
      </c>
      <c r="DL46" s="549" t="s">
        <v>1271</v>
      </c>
      <c r="DM46" s="423" t="str">
        <f t="shared" si="58"/>
        <v>Eligible</v>
      </c>
      <c r="DN46" s="423" t="str">
        <f t="shared" si="59"/>
        <v>Not PIK</v>
      </c>
      <c r="DO46" s="424" t="s">
        <v>122</v>
      </c>
      <c r="DP46" s="423" t="str">
        <f t="shared" si="49"/>
        <v>YES</v>
      </c>
    </row>
    <row r="47" spans="1:120" ht="16.5">
      <c r="A47" s="616" t="s">
        <v>1298</v>
      </c>
      <c r="B47" s="36">
        <f>IFERROR(VLOOKUP(A47,'Loan List '!$A$6:$BZ$75,2,FALSE),NA)</f>
        <v>0</v>
      </c>
      <c r="C47" s="498" t="str">
        <f>VLOOKUP(A47,'Loan List '!$A$6:$G$75, 7, FALSE)</f>
        <v>First Lien</v>
      </c>
      <c r="D47" s="498" t="str">
        <f>VLOOKUP(A47, 'Loan List '!$A$6:$K$82, 11, FALSE)</f>
        <v>FL</v>
      </c>
      <c r="E47" s="497" t="b">
        <f t="shared" si="23"/>
        <v>1</v>
      </c>
      <c r="F47" s="497" t="str">
        <f>VLOOKUP(A47,'Loan List '!$A$6:$L$75, 12, FALSE)</f>
        <v>Construction &amp; Engineering</v>
      </c>
      <c r="G47" s="320"/>
      <c r="H47" s="533">
        <f t="shared" si="0"/>
        <v>496253.14</v>
      </c>
      <c r="I47" s="533">
        <f>VLOOKUP(A47,'Loan List '!$A$6:$L$75, 8, FALSE)</f>
        <v>496253.14</v>
      </c>
      <c r="J47" s="361">
        <v>0</v>
      </c>
      <c r="K47" s="323">
        <f t="shared" si="50"/>
        <v>1.3736351212697377E-3</v>
      </c>
      <c r="L47" s="601">
        <f>VLOOKUP(A47,'Loan List '!$A$6:$BA$82,24, FALSE)</f>
        <v>100</v>
      </c>
      <c r="M47" s="501"/>
      <c r="N47" s="502">
        <f>VLOOKUP(A47,'Loan List '!$A$6:$BA$82,22, FALSE)</f>
        <v>47105</v>
      </c>
      <c r="O47" s="602">
        <f t="shared" si="24"/>
        <v>496253.14</v>
      </c>
      <c r="P47" s="327">
        <f t="shared" si="2"/>
        <v>1</v>
      </c>
      <c r="Q47" s="487" t="s">
        <v>451</v>
      </c>
      <c r="R47" s="488" t="s">
        <v>38</v>
      </c>
      <c r="S47" s="327" t="b">
        <f t="shared" si="56"/>
        <v>0</v>
      </c>
      <c r="T47" s="327">
        <f>VLOOKUP(A47,'Loan List '!$A$6:$BD$1048576,56,FALSE)/100</f>
        <v>1</v>
      </c>
      <c r="U47" s="535">
        <f t="shared" si="25"/>
        <v>496253.14</v>
      </c>
      <c r="V47" s="503">
        <f>VLOOKUP(A47,'Loan List '!$A$6:$BA$82,26, FALSE)</f>
        <v>0</v>
      </c>
      <c r="W47" s="350">
        <f t="shared" si="51"/>
        <v>0</v>
      </c>
      <c r="X47" s="326"/>
      <c r="Y47" s="504">
        <f>VLOOKUP(A47,'Loan List '!$A$6:$BA$75,27, FALSE)</f>
        <v>0</v>
      </c>
      <c r="Z47" s="109"/>
      <c r="AA47" s="330"/>
      <c r="AB47" s="333">
        <f t="shared" si="5"/>
        <v>5.6468313150146851E-3</v>
      </c>
      <c r="AC47" s="333">
        <f t="shared" si="6"/>
        <v>9.6154458488881636E-4</v>
      </c>
      <c r="AD47" s="331">
        <f t="shared" si="26"/>
        <v>0</v>
      </c>
      <c r="AE47" s="320" t="str">
        <f t="shared" si="27"/>
        <v>Class 1</v>
      </c>
      <c r="AF47" s="649">
        <f t="shared" si="28"/>
        <v>6</v>
      </c>
      <c r="AG47" s="649">
        <f t="shared" si="29"/>
        <v>7</v>
      </c>
      <c r="AH47" s="332">
        <f t="shared" si="30"/>
        <v>1</v>
      </c>
      <c r="AI47" s="332">
        <f t="shared" si="31"/>
        <v>0</v>
      </c>
      <c r="AJ47" s="332">
        <f t="shared" si="32"/>
        <v>0.7</v>
      </c>
      <c r="AK47" s="332">
        <f t="shared" si="33"/>
        <v>0.4</v>
      </c>
      <c r="AL47" s="332">
        <f t="shared" si="34"/>
        <v>0.7</v>
      </c>
      <c r="AM47" s="333">
        <f ca="1">'Diversity Score'!$E$7</f>
        <v>1</v>
      </c>
      <c r="AN47" s="332">
        <f t="shared" ca="1" si="35"/>
        <v>0.7</v>
      </c>
      <c r="AO47" s="505">
        <f>VLOOKUP(A47,'Loan List '!$A$6:$BA$75,17, FALSE)</f>
        <v>0.04</v>
      </c>
      <c r="AP47" s="493" t="str">
        <f>VLOOKUP(A47,'Loan List '!$A$6:$BA$795,15, FALSE)</f>
        <v>SOFR</v>
      </c>
      <c r="AQ47" s="494">
        <f>VLOOKUP(A47,'Loan List '!$A$6:$BA$795,16, FALSE)</f>
        <v>0.01</v>
      </c>
      <c r="AR47" s="539">
        <v>0</v>
      </c>
      <c r="AS47" s="539">
        <v>0</v>
      </c>
      <c r="AT47" s="353"/>
      <c r="AU47" s="323">
        <f t="shared" si="52"/>
        <v>0.04</v>
      </c>
      <c r="AV47" s="323" t="b">
        <f t="shared" si="36"/>
        <v>0</v>
      </c>
      <c r="AW47" s="540" t="b">
        <f t="shared" si="37"/>
        <v>0</v>
      </c>
      <c r="AX47" s="323" t="b">
        <f t="shared" si="53"/>
        <v>0</v>
      </c>
      <c r="AY47" s="353"/>
      <c r="AZ47" s="323" t="b">
        <f t="shared" si="13"/>
        <v>0</v>
      </c>
      <c r="BA47" s="497" t="str">
        <f>'Loan List '!AS36</f>
        <v>Maintenance Covenants</v>
      </c>
      <c r="BB47" s="320" t="b">
        <f t="shared" si="38"/>
        <v>0</v>
      </c>
      <c r="BC47" s="326" t="b">
        <f t="shared" si="39"/>
        <v>0</v>
      </c>
      <c r="BD47" s="320" t="b">
        <f t="shared" si="40"/>
        <v>1</v>
      </c>
      <c r="BE47" s="320" t="b">
        <f t="shared" si="41"/>
        <v>1</v>
      </c>
      <c r="BF47" s="550" t="str">
        <f>'Loan List '!J36</f>
        <v>USD</v>
      </c>
      <c r="BG47" s="497" t="str">
        <f>VLOOKUP(A47,'Loan List '!$A$6:$BZ$75, 23, FALSE)</f>
        <v>USA</v>
      </c>
      <c r="BH47" s="320" t="b">
        <f t="shared" si="42"/>
        <v>0</v>
      </c>
      <c r="BI47" s="320" t="b">
        <f t="shared" si="43"/>
        <v>0</v>
      </c>
      <c r="BJ47" s="320" t="b">
        <f>IF('Loan List '!BP36=1, TRUE, FALSE)</f>
        <v>0</v>
      </c>
      <c r="BK47" s="320" t="b">
        <f t="shared" si="54"/>
        <v>0</v>
      </c>
      <c r="BL47" s="541" t="b">
        <f t="shared" si="55"/>
        <v>0</v>
      </c>
      <c r="BM47" s="320" t="b">
        <f>IF('Loan List '!AT36="Yes", TRUE, FALSE)</f>
        <v>0</v>
      </c>
      <c r="BN47" s="336">
        <f t="shared" ca="1" si="44"/>
        <v>3.4027397260273973</v>
      </c>
      <c r="BO47" s="337">
        <f ca="1">'Concentration Limitations'!H42</f>
        <v>496253.14</v>
      </c>
      <c r="BP47" s="338">
        <f t="shared" ca="1" si="16"/>
        <v>347377.19799999997</v>
      </c>
      <c r="BQ47" s="339"/>
      <c r="BR47" s="340"/>
      <c r="BS47" s="542">
        <f>'Loan List '!AG36</f>
        <v>45747</v>
      </c>
      <c r="BT47" s="650">
        <f>'Loan List '!AO36</f>
        <v>2.9371485016011598</v>
      </c>
      <c r="BU47" s="650">
        <f>'Loan List '!AI36</f>
        <v>4.1108670181605156</v>
      </c>
      <c r="BV47" s="490"/>
      <c r="BW47" s="377">
        <v>0</v>
      </c>
      <c r="BX47" s="492" t="s">
        <v>1217</v>
      </c>
      <c r="BY47" s="490">
        <f>'Loan List '!AJ36</f>
        <v>184.35599999999999</v>
      </c>
      <c r="BZ47" s="490">
        <f>'Loan List '!AL36</f>
        <v>0</v>
      </c>
      <c r="CA47" s="377">
        <v>0</v>
      </c>
      <c r="CB47" s="377">
        <v>0</v>
      </c>
      <c r="CC47" s="545" t="s">
        <v>146</v>
      </c>
      <c r="CD47" s="546" t="s">
        <v>146</v>
      </c>
      <c r="CE47" s="378" t="s">
        <v>1217</v>
      </c>
      <c r="CF47" s="491">
        <f>'Loan List '!AC36</f>
        <v>2.5638576439781953</v>
      </c>
      <c r="CG47" s="491">
        <f>'Loan List '!AD36</f>
        <v>3.7037512846865366</v>
      </c>
      <c r="CH47" s="491"/>
      <c r="CI47" s="377">
        <v>0</v>
      </c>
      <c r="CJ47" s="492" t="s">
        <v>1217</v>
      </c>
      <c r="CK47" s="491">
        <f>'Loan List '!AB36</f>
        <v>155.68</v>
      </c>
      <c r="CL47" s="495">
        <f>'Loan List '!AE36</f>
        <v>0</v>
      </c>
      <c r="CM47" s="377">
        <v>0</v>
      </c>
      <c r="CN47" s="377">
        <v>0</v>
      </c>
      <c r="CO47" s="377" t="s">
        <v>146</v>
      </c>
      <c r="CP47" s="547" t="s">
        <v>146</v>
      </c>
      <c r="CQ47" s="345">
        <f t="shared" si="17"/>
        <v>0.14559734176338662</v>
      </c>
      <c r="CR47" s="346">
        <f t="shared" si="18"/>
        <v>0.10991983591264143</v>
      </c>
      <c r="CS47" s="347">
        <f t="shared" si="45"/>
        <v>0.407115733473979</v>
      </c>
      <c r="CT47" s="485">
        <f t="shared" si="46"/>
        <v>0.18419835560123321</v>
      </c>
      <c r="CU47" s="348">
        <f>IF(OR($CQ47&lt;'Summary '!$I$47,$BT47&lt;'Summary '!$I$46),1,0)</f>
        <v>0</v>
      </c>
      <c r="CV47" s="348">
        <f>IF(OR($CS47&gt;='Summary '!$I$50, (AND(BU47&gt;'Summary '!$I$52, Calcs!CR47&gt; 'Summary '!$I$51))),1,0)</f>
        <v>0</v>
      </c>
      <c r="CW47" s="348">
        <f t="shared" ref="CW47:CW74" si="60">IF(OR(SUM(CU47:CV47)&gt;=1,CX47="Yes"),1,0)</f>
        <v>0</v>
      </c>
      <c r="CX47" s="447" t="s">
        <v>122</v>
      </c>
      <c r="CY47" s="447" t="s">
        <v>122</v>
      </c>
      <c r="CZ47" t="s">
        <v>122</v>
      </c>
      <c r="DA47" s="352"/>
      <c r="DD47" s="258">
        <v>0</v>
      </c>
      <c r="DE47" s="258">
        <v>0</v>
      </c>
      <c r="DF47" s="277"/>
      <c r="DI47" s="551" t="str">
        <f t="shared" si="57"/>
        <v>Eligible</v>
      </c>
      <c r="DJ47" s="423" t="str">
        <f t="shared" si="47"/>
        <v>Eligible</v>
      </c>
      <c r="DK47" s="549" t="s">
        <v>1271</v>
      </c>
      <c r="DL47" s="549" t="s">
        <v>1271</v>
      </c>
      <c r="DM47" s="423" t="str">
        <f t="shared" si="58"/>
        <v>Eligible</v>
      </c>
      <c r="DN47" s="423" t="str">
        <f t="shared" si="59"/>
        <v>Not PIK</v>
      </c>
      <c r="DO47" s="424" t="s">
        <v>122</v>
      </c>
      <c r="DP47" s="423" t="str">
        <f t="shared" si="49"/>
        <v>YES</v>
      </c>
    </row>
    <row r="48" spans="1:120" ht="16.5">
      <c r="A48" s="616" t="s">
        <v>1274</v>
      </c>
      <c r="B48" s="36">
        <f>IFERROR(VLOOKUP(A48,'Loan List '!$A$6:$BZ$75,2,FALSE),NA)</f>
        <v>0</v>
      </c>
      <c r="C48" s="498" t="str">
        <f>VLOOKUP(A48,'Loan List '!$A$6:$G$75, 7, FALSE)</f>
        <v>First Lien</v>
      </c>
      <c r="D48" s="498" t="str">
        <f>VLOOKUP(A48, 'Loan List '!$A$6:$K$82, 11, FALSE)</f>
        <v>FL</v>
      </c>
      <c r="E48" s="497" t="b">
        <f t="shared" si="23"/>
        <v>1</v>
      </c>
      <c r="F48" s="497" t="str">
        <f>VLOOKUP(A48,'Loan List '!$A$6:$L$75, 12, FALSE)</f>
        <v>Distributors</v>
      </c>
      <c r="G48" s="320"/>
      <c r="H48" s="533">
        <f t="shared" si="0"/>
        <v>2493635.9900000002</v>
      </c>
      <c r="I48" s="533">
        <f>VLOOKUP(A48,'Loan List '!$A$6:$L$75, 8, FALSE)</f>
        <v>2493635.9900000002</v>
      </c>
      <c r="J48" s="361">
        <v>0</v>
      </c>
      <c r="K48" s="323">
        <f t="shared" si="50"/>
        <v>6.9024167293454961E-3</v>
      </c>
      <c r="L48" s="601">
        <f>VLOOKUP(A48,'Loan List '!$A$6:$BA$82,24, FALSE)</f>
        <v>100</v>
      </c>
      <c r="M48" s="501"/>
      <c r="N48" s="502">
        <f>VLOOKUP(A48,'Loan List '!$A$6:$BA$82,22, FALSE)</f>
        <v>46661</v>
      </c>
      <c r="O48" s="602">
        <f t="shared" si="24"/>
        <v>2493635.9900000002</v>
      </c>
      <c r="P48" s="327">
        <f t="shared" si="2"/>
        <v>1</v>
      </c>
      <c r="Q48" s="487" t="s">
        <v>451</v>
      </c>
      <c r="R48" s="488" t="s">
        <v>38</v>
      </c>
      <c r="S48" s="327" t="b">
        <f t="shared" si="56"/>
        <v>0</v>
      </c>
      <c r="T48" s="327">
        <f>VLOOKUP(A48,'Loan List '!$A$6:$BD$1048576,56,FALSE)/100</f>
        <v>1</v>
      </c>
      <c r="U48" s="535">
        <f t="shared" si="25"/>
        <v>2493635.9900000002</v>
      </c>
      <c r="V48" s="503">
        <f>VLOOKUP(A48,'Loan List '!$A$6:$BA$82,26, FALSE)</f>
        <v>0</v>
      </c>
      <c r="W48" s="350">
        <f t="shared" si="51"/>
        <v>0</v>
      </c>
      <c r="X48" s="326"/>
      <c r="Y48" s="504">
        <f>VLOOKUP(A48,'Loan List '!$A$6:$BA$75,27, FALSE)</f>
        <v>0</v>
      </c>
      <c r="Z48" s="109"/>
      <c r="AA48" s="330"/>
      <c r="AB48" s="333">
        <f t="shared" si="5"/>
        <v>2.3609740345732076E-2</v>
      </c>
      <c r="AC48" s="333">
        <f t="shared" si="6"/>
        <v>4.6591312923082101E-3</v>
      </c>
      <c r="AD48" s="331">
        <f t="shared" si="26"/>
        <v>0</v>
      </c>
      <c r="AE48" s="320" t="str">
        <f t="shared" si="27"/>
        <v>Class 2</v>
      </c>
      <c r="AF48" s="649">
        <f t="shared" si="28"/>
        <v>5.5</v>
      </c>
      <c r="AG48" s="649">
        <f t="shared" si="29"/>
        <v>6.5</v>
      </c>
      <c r="AH48" s="332">
        <f t="shared" si="30"/>
        <v>1</v>
      </c>
      <c r="AI48" s="332">
        <f t="shared" si="31"/>
        <v>0</v>
      </c>
      <c r="AJ48" s="332">
        <f t="shared" si="32"/>
        <v>0.67500000000000004</v>
      </c>
      <c r="AK48" s="332">
        <f t="shared" si="33"/>
        <v>0.35</v>
      </c>
      <c r="AL48" s="332">
        <f t="shared" si="34"/>
        <v>0.67500000000000004</v>
      </c>
      <c r="AM48" s="333">
        <f ca="1">'Diversity Score'!$E$7</f>
        <v>1</v>
      </c>
      <c r="AN48" s="332">
        <f t="shared" ca="1" si="35"/>
        <v>0.67500000000000004</v>
      </c>
      <c r="AO48" s="505">
        <f>VLOOKUP(A48,'Loan List '!$A$6:$BA$75,17, FALSE)</f>
        <v>5.1499999999999997E-2</v>
      </c>
      <c r="AP48" s="493" t="str">
        <f>VLOOKUP(A48,'Loan List '!$A$6:$BA$795,15, FALSE)</f>
        <v>SOFR</v>
      </c>
      <c r="AQ48" s="494">
        <f>VLOOKUP(A48,'Loan List '!$A$6:$BA$795,16, FALSE)</f>
        <v>0.01</v>
      </c>
      <c r="AR48" s="539">
        <v>0</v>
      </c>
      <c r="AS48" s="539">
        <v>0</v>
      </c>
      <c r="AT48" s="353"/>
      <c r="AU48" s="323">
        <f t="shared" si="52"/>
        <v>5.1499999999999997E-2</v>
      </c>
      <c r="AV48" s="323" t="b">
        <f t="shared" si="36"/>
        <v>0</v>
      </c>
      <c r="AW48" s="540" t="b">
        <f t="shared" si="37"/>
        <v>0</v>
      </c>
      <c r="AX48" s="323" t="b">
        <f t="shared" si="53"/>
        <v>0</v>
      </c>
      <c r="AY48" s="353"/>
      <c r="AZ48" s="323" t="b">
        <f t="shared" si="13"/>
        <v>0</v>
      </c>
      <c r="BA48" s="497" t="str">
        <f>'Loan List '!AS37</f>
        <v>Maintenance Covenants</v>
      </c>
      <c r="BB48" s="320" t="b">
        <f t="shared" si="38"/>
        <v>0</v>
      </c>
      <c r="BC48" s="326" t="b">
        <f t="shared" si="39"/>
        <v>0</v>
      </c>
      <c r="BD48" s="320" t="b">
        <f t="shared" si="40"/>
        <v>1</v>
      </c>
      <c r="BE48" s="320" t="b">
        <f t="shared" si="41"/>
        <v>1</v>
      </c>
      <c r="BF48" s="550" t="str">
        <f>'Loan List '!J37</f>
        <v>USD</v>
      </c>
      <c r="BG48" s="497" t="str">
        <f>VLOOKUP(A48,'Loan List '!$A$6:$BZ$75, 23, FALSE)</f>
        <v>USA</v>
      </c>
      <c r="BH48" s="320" t="b">
        <f t="shared" si="42"/>
        <v>0</v>
      </c>
      <c r="BI48" s="320" t="b">
        <f t="shared" si="43"/>
        <v>0</v>
      </c>
      <c r="BJ48" s="320" t="b">
        <f>IF('Loan List '!BP37=1, TRUE, FALSE)</f>
        <v>0</v>
      </c>
      <c r="BK48" s="320" t="b">
        <f t="shared" si="54"/>
        <v>0</v>
      </c>
      <c r="BL48" s="541" t="b">
        <f t="shared" si="55"/>
        <v>0</v>
      </c>
      <c r="BM48" s="320" t="b">
        <f>IF('Loan List '!AT37="Yes", TRUE, FALSE)</f>
        <v>0</v>
      </c>
      <c r="BN48" s="336">
        <f t="shared" ca="1" si="44"/>
        <v>2.1863013698630138</v>
      </c>
      <c r="BO48" s="337">
        <f ca="1">'Concentration Limitations'!H43</f>
        <v>2493635.9900000002</v>
      </c>
      <c r="BP48" s="338">
        <f t="shared" ca="1" si="16"/>
        <v>1683204.2932500003</v>
      </c>
      <c r="BQ48" s="339"/>
      <c r="BR48" s="340"/>
      <c r="BS48" s="542">
        <f>'Loan List '!AG37</f>
        <v>45808</v>
      </c>
      <c r="BT48" s="650">
        <f>'Loan List '!AO37</f>
        <v>3.1896594058180039</v>
      </c>
      <c r="BU48" s="650">
        <f>'Loan List '!AI37</f>
        <v>3.4205034658883613</v>
      </c>
      <c r="BV48" s="490"/>
      <c r="BW48" s="377">
        <v>0</v>
      </c>
      <c r="BX48" s="492" t="s">
        <v>1217</v>
      </c>
      <c r="BY48" s="490">
        <f>'Loan List '!AJ37</f>
        <v>41.115000000000002</v>
      </c>
      <c r="BZ48" s="490">
        <f>'Loan List '!AL37</f>
        <v>0</v>
      </c>
      <c r="CA48" s="377">
        <v>0</v>
      </c>
      <c r="CB48" s="377">
        <v>0</v>
      </c>
      <c r="CC48" s="545" t="s">
        <v>146</v>
      </c>
      <c r="CD48" s="546" t="s">
        <v>146</v>
      </c>
      <c r="CE48" s="378" t="s">
        <v>1217</v>
      </c>
      <c r="CF48" s="491">
        <f>'Loan List '!AC37</f>
        <v>1.6322172873249059</v>
      </c>
      <c r="CG48" s="491">
        <f>'Loan List '!AD37</f>
        <v>4.1874411302982741</v>
      </c>
      <c r="CH48" s="491"/>
      <c r="CI48" s="377">
        <v>0</v>
      </c>
      <c r="CJ48" s="492" t="s">
        <v>1217</v>
      </c>
      <c r="CK48" s="491">
        <f>'Loan List '!AB37</f>
        <v>35.017000000000003</v>
      </c>
      <c r="CL48" s="495">
        <f>'Loan List '!AE37</f>
        <v>0</v>
      </c>
      <c r="CM48" s="377">
        <v>0</v>
      </c>
      <c r="CN48" s="377">
        <v>0</v>
      </c>
      <c r="CO48" s="377" t="s">
        <v>146</v>
      </c>
      <c r="CP48" s="547" t="s">
        <v>146</v>
      </c>
      <c r="CQ48" s="345">
        <f t="shared" si="17"/>
        <v>0.9541879813352796</v>
      </c>
      <c r="CR48" s="346">
        <f t="shared" si="18"/>
        <v>-0.18315186782226675</v>
      </c>
      <c r="CS48" s="347">
        <f t="shared" si="45"/>
        <v>-0.76693766440991284</v>
      </c>
      <c r="CT48" s="485">
        <f t="shared" si="46"/>
        <v>0.17414398720621405</v>
      </c>
      <c r="CU48" s="348">
        <f>IF(OR($CQ48&lt;'Summary '!$I$47,$BT48&lt;'Summary '!$I$46),1,0)</f>
        <v>0</v>
      </c>
      <c r="CV48" s="348">
        <f>IF(OR($CS48&gt;='Summary '!$I$50, (AND(BU48&gt;'Summary '!$I$52, Calcs!CR48&gt; 'Summary '!$I$51))),1,0)</f>
        <v>0</v>
      </c>
      <c r="CW48" s="348">
        <f t="shared" si="60"/>
        <v>0</v>
      </c>
      <c r="CX48" s="447" t="s">
        <v>122</v>
      </c>
      <c r="CY48" s="447" t="s">
        <v>122</v>
      </c>
      <c r="CZ48" t="s">
        <v>122</v>
      </c>
      <c r="DA48" s="352"/>
      <c r="DD48" s="258">
        <v>0</v>
      </c>
      <c r="DE48" s="258">
        <v>0</v>
      </c>
      <c r="DF48" s="277"/>
      <c r="DI48" s="551" t="str">
        <f t="shared" si="57"/>
        <v>Eligible</v>
      </c>
      <c r="DJ48" s="423" t="str">
        <f t="shared" si="47"/>
        <v>Eligible</v>
      </c>
      <c r="DK48" s="549" t="s">
        <v>1271</v>
      </c>
      <c r="DL48" s="549" t="s">
        <v>1271</v>
      </c>
      <c r="DM48" s="423" t="str">
        <f t="shared" si="58"/>
        <v>Eligible</v>
      </c>
      <c r="DN48" s="423" t="str">
        <f t="shared" si="59"/>
        <v>Not PIK</v>
      </c>
      <c r="DO48" s="424" t="s">
        <v>122</v>
      </c>
      <c r="DP48" s="423" t="str">
        <f t="shared" si="49"/>
        <v>YES</v>
      </c>
    </row>
    <row r="49" spans="1:120" ht="16.5">
      <c r="A49" s="616" t="s">
        <v>1136</v>
      </c>
      <c r="B49" s="36">
        <f>IFERROR(VLOOKUP(A49,'Loan List '!$A$6:$BZ$75,2,FALSE),NA)</f>
        <v>0</v>
      </c>
      <c r="C49" s="498" t="str">
        <f>VLOOKUP(A49,'Loan List '!$A$6:$G$75, 7, FALSE)</f>
        <v>First Lien</v>
      </c>
      <c r="D49" s="498" t="str">
        <f>VLOOKUP(A49, 'Loan List '!$A$6:$K$82, 11, FALSE)</f>
        <v>FL</v>
      </c>
      <c r="E49" s="497" t="b">
        <f t="shared" si="23"/>
        <v>1</v>
      </c>
      <c r="F49" s="497" t="str">
        <f>VLOOKUP(A49,'Loan List '!$A$6:$L$75, 12, FALSE)</f>
        <v>Professional Services</v>
      </c>
      <c r="G49" s="320"/>
      <c r="H49" s="533">
        <f t="shared" si="0"/>
        <v>4241967.99</v>
      </c>
      <c r="I49" s="533">
        <f>VLOOKUP(A49,'Loan List '!$A$6:$L$75, 8, FALSE)</f>
        <v>4241967.99</v>
      </c>
      <c r="J49" s="361">
        <v>0</v>
      </c>
      <c r="K49" s="323">
        <f t="shared" si="50"/>
        <v>1.1741822357770866E-2</v>
      </c>
      <c r="L49" s="601">
        <f>VLOOKUP(A49,'Loan List '!$A$6:$BA$82,24, FALSE)</f>
        <v>100</v>
      </c>
      <c r="M49" s="501"/>
      <c r="N49" s="502">
        <f>VLOOKUP(A49,'Loan List '!$A$6:$BA$82,22, FALSE)</f>
        <v>47499</v>
      </c>
      <c r="O49" s="602">
        <f t="shared" si="24"/>
        <v>4241967.99</v>
      </c>
      <c r="P49" s="327">
        <f t="shared" si="2"/>
        <v>1</v>
      </c>
      <c r="Q49" s="487" t="s">
        <v>451</v>
      </c>
      <c r="R49" s="488" t="s">
        <v>38</v>
      </c>
      <c r="S49" s="327" t="b">
        <f t="shared" si="56"/>
        <v>0</v>
      </c>
      <c r="T49" s="327">
        <f>VLOOKUP(A49,'Loan List '!$A$6:$BD$1048576,56,FALSE)/100</f>
        <v>1</v>
      </c>
      <c r="U49" s="535">
        <f t="shared" si="25"/>
        <v>4241967.99</v>
      </c>
      <c r="V49" s="503">
        <f>VLOOKUP(A49,'Loan List '!$A$6:$BA$82,26, FALSE)</f>
        <v>0</v>
      </c>
      <c r="W49" s="350">
        <f t="shared" si="51"/>
        <v>0</v>
      </c>
      <c r="X49" s="326"/>
      <c r="Y49" s="504">
        <f>VLOOKUP(A49,'Loan List '!$A$6:$BA$75,27, FALSE)</f>
        <v>0</v>
      </c>
      <c r="Z49" s="109"/>
      <c r="AA49" s="330"/>
      <c r="AB49" s="333">
        <f t="shared" si="5"/>
        <v>3.0545710418057925E-2</v>
      </c>
      <c r="AC49" s="333">
        <f t="shared" si="6"/>
        <v>7.9257300914953345E-3</v>
      </c>
      <c r="AD49" s="331">
        <f t="shared" si="26"/>
        <v>0</v>
      </c>
      <c r="AE49" s="320" t="str">
        <f t="shared" si="27"/>
        <v>Class 2</v>
      </c>
      <c r="AF49" s="649">
        <f t="shared" si="28"/>
        <v>5.5</v>
      </c>
      <c r="AG49" s="649">
        <f t="shared" si="29"/>
        <v>6.5</v>
      </c>
      <c r="AH49" s="332">
        <f t="shared" si="30"/>
        <v>1</v>
      </c>
      <c r="AI49" s="332">
        <f t="shared" si="31"/>
        <v>0</v>
      </c>
      <c r="AJ49" s="332">
        <f t="shared" si="32"/>
        <v>0.67500000000000004</v>
      </c>
      <c r="AK49" s="332">
        <f t="shared" si="33"/>
        <v>0.35</v>
      </c>
      <c r="AL49" s="332">
        <f t="shared" si="34"/>
        <v>0.67500000000000004</v>
      </c>
      <c r="AM49" s="333">
        <f ca="1">'Diversity Score'!$E$7</f>
        <v>1</v>
      </c>
      <c r="AN49" s="332">
        <f t="shared" ca="1" si="35"/>
        <v>0.67500000000000004</v>
      </c>
      <c r="AO49" s="505">
        <f>VLOOKUP(A49,'Loan List '!$A$6:$BA$75,17, FALSE)</f>
        <v>5.2499999999999998E-2</v>
      </c>
      <c r="AP49" s="493" t="str">
        <f>VLOOKUP(A49,'Loan List '!$A$6:$BA$795,15, FALSE)</f>
        <v>SOFR</v>
      </c>
      <c r="AQ49" s="494">
        <f>VLOOKUP(A49,'Loan List '!$A$6:$BA$795,16, FALSE)</f>
        <v>0.01</v>
      </c>
      <c r="AR49" s="539">
        <v>0</v>
      </c>
      <c r="AS49" s="539">
        <v>0</v>
      </c>
      <c r="AT49" s="353"/>
      <c r="AU49" s="323">
        <f t="shared" si="52"/>
        <v>5.2499999999999998E-2</v>
      </c>
      <c r="AV49" s="323" t="b">
        <f t="shared" si="36"/>
        <v>0</v>
      </c>
      <c r="AW49" s="540" t="b">
        <f t="shared" si="37"/>
        <v>0</v>
      </c>
      <c r="AX49" s="323" t="b">
        <f t="shared" si="53"/>
        <v>0</v>
      </c>
      <c r="AY49" s="353"/>
      <c r="AZ49" s="323" t="b">
        <f t="shared" si="13"/>
        <v>0</v>
      </c>
      <c r="BA49" s="497" t="str">
        <f>'Loan List '!AS38</f>
        <v>Cov-Lite</v>
      </c>
      <c r="BB49" s="320" t="b">
        <f t="shared" si="38"/>
        <v>0</v>
      </c>
      <c r="BC49" s="326" t="b">
        <f t="shared" si="39"/>
        <v>0</v>
      </c>
      <c r="BD49" s="320" t="b">
        <f t="shared" si="40"/>
        <v>1</v>
      </c>
      <c r="BE49" s="320" t="b">
        <f t="shared" si="41"/>
        <v>1</v>
      </c>
      <c r="BF49" s="550" t="str">
        <f>'Loan List '!J38</f>
        <v>USD</v>
      </c>
      <c r="BG49" s="497" t="str">
        <f>VLOOKUP(A49,'Loan List '!$A$6:$BZ$75, 23, FALSE)</f>
        <v>USA</v>
      </c>
      <c r="BH49" s="320" t="b">
        <f t="shared" si="42"/>
        <v>0</v>
      </c>
      <c r="BI49" s="320" t="b">
        <f t="shared" si="43"/>
        <v>0</v>
      </c>
      <c r="BJ49" s="320" t="b">
        <f>IF('Loan List '!BP38=1, TRUE, FALSE)</f>
        <v>0</v>
      </c>
      <c r="BK49" s="320" t="b">
        <f t="shared" si="54"/>
        <v>0</v>
      </c>
      <c r="BL49" s="541" t="b">
        <f t="shared" si="55"/>
        <v>0</v>
      </c>
      <c r="BM49" s="320" t="b">
        <f>IF('Loan List '!AT38="Yes", TRUE, FALSE)</f>
        <v>1</v>
      </c>
      <c r="BN49" s="336">
        <f t="shared" ca="1" si="44"/>
        <v>4.4821917808219176</v>
      </c>
      <c r="BO49" s="337">
        <f ca="1">'Concentration Limitations'!H44</f>
        <v>4241967.99</v>
      </c>
      <c r="BP49" s="338">
        <f t="shared" ca="1" si="16"/>
        <v>2863328.3932500002</v>
      </c>
      <c r="BQ49" s="339"/>
      <c r="BR49" s="340"/>
      <c r="BS49" s="542">
        <f>'Loan List '!AG38</f>
        <v>45777</v>
      </c>
      <c r="BT49" s="650">
        <f>'Loan List '!AO38</f>
        <v>2.8006856657025412</v>
      </c>
      <c r="BU49" s="650">
        <f>'Loan List '!AI38</f>
        <v>2.6014454560234803</v>
      </c>
      <c r="BV49" s="490"/>
      <c r="BW49" s="377">
        <v>0</v>
      </c>
      <c r="BX49" s="492" t="s">
        <v>1217</v>
      </c>
      <c r="BY49" s="490">
        <f>'Loan List '!AJ38</f>
        <v>69.673244749500498</v>
      </c>
      <c r="BZ49" s="490">
        <f>'Loan List '!AL38</f>
        <v>0</v>
      </c>
      <c r="CA49" s="377">
        <v>0</v>
      </c>
      <c r="CB49" s="377">
        <v>0</v>
      </c>
      <c r="CC49" s="545" t="s">
        <v>146</v>
      </c>
      <c r="CD49" s="546" t="s">
        <v>146</v>
      </c>
      <c r="CE49" s="378" t="s">
        <v>1217</v>
      </c>
      <c r="CF49" s="491">
        <f>'Loan List '!AC38</f>
        <v>1.9684540098652743</v>
      </c>
      <c r="CG49" s="491">
        <f>'Loan List '!AD38</f>
        <v>4.4013200993852264</v>
      </c>
      <c r="CH49" s="491"/>
      <c r="CI49" s="377">
        <v>0</v>
      </c>
      <c r="CJ49" s="492" t="s">
        <v>1217</v>
      </c>
      <c r="CK49" s="491">
        <f>'Loan List '!AB38</f>
        <v>50.912999999999997</v>
      </c>
      <c r="CL49" s="495">
        <f>'Loan List '!AE38</f>
        <v>0</v>
      </c>
      <c r="CM49" s="377">
        <v>0</v>
      </c>
      <c r="CN49" s="377">
        <v>0</v>
      </c>
      <c r="CO49" s="377" t="s">
        <v>146</v>
      </c>
      <c r="CP49" s="547" t="s">
        <v>146</v>
      </c>
      <c r="CQ49" s="345">
        <f t="shared" si="17"/>
        <v>0.42278440424128921</v>
      </c>
      <c r="CR49" s="346">
        <f t="shared" si="18"/>
        <v>-0.40893972779056709</v>
      </c>
      <c r="CS49" s="347">
        <f t="shared" si="45"/>
        <v>-1.7998746433617461</v>
      </c>
      <c r="CT49" s="485">
        <f t="shared" si="46"/>
        <v>0.36847651384716085</v>
      </c>
      <c r="CU49" s="348">
        <f>IF(OR($CQ49&lt;'Summary '!$I$47,$BT49&lt;'Summary '!$I$46),1,0)</f>
        <v>0</v>
      </c>
      <c r="CV49" s="348">
        <f>IF(OR($CS49&gt;='Summary '!$I$50, (AND(BU49&gt;'Summary '!$I$52, Calcs!CR49&gt; 'Summary '!$I$51))),1,0)</f>
        <v>0</v>
      </c>
      <c r="CW49" s="348">
        <f t="shared" si="60"/>
        <v>0</v>
      </c>
      <c r="CX49" s="447" t="s">
        <v>122</v>
      </c>
      <c r="CY49" s="447" t="s">
        <v>122</v>
      </c>
      <c r="CZ49" t="s">
        <v>122</v>
      </c>
      <c r="DA49" s="352"/>
      <c r="DD49" s="258">
        <v>0</v>
      </c>
      <c r="DE49" s="258">
        <v>0</v>
      </c>
      <c r="DF49" s="277"/>
      <c r="DI49" s="551" t="str">
        <f t="shared" si="57"/>
        <v>Eligible</v>
      </c>
      <c r="DJ49" s="423" t="str">
        <f t="shared" si="47"/>
        <v>Eligible</v>
      </c>
      <c r="DK49" s="549" t="s">
        <v>1271</v>
      </c>
      <c r="DL49" s="549" t="s">
        <v>1271</v>
      </c>
      <c r="DM49" s="423" t="str">
        <f t="shared" si="58"/>
        <v>Eligible</v>
      </c>
      <c r="DN49" s="423" t="str">
        <f t="shared" si="59"/>
        <v>Not PIK</v>
      </c>
      <c r="DO49" s="424" t="s">
        <v>122</v>
      </c>
      <c r="DP49" s="423" t="str">
        <f t="shared" si="49"/>
        <v>YES</v>
      </c>
    </row>
    <row r="50" spans="1:120" ht="16.5">
      <c r="A50" s="616" t="s">
        <v>1299</v>
      </c>
      <c r="B50" s="36">
        <f>IFERROR(VLOOKUP(A50,'Loan List '!$A$6:$BZ$75,2,FALSE),NA)</f>
        <v>0</v>
      </c>
      <c r="C50" s="498" t="str">
        <f>VLOOKUP(A50,'Loan List '!$A$6:$G$75, 7, FALSE)</f>
        <v>First Lien</v>
      </c>
      <c r="D50" s="498" t="str">
        <f>VLOOKUP(A50, 'Loan List '!$A$6:$K$82, 11, FALSE)</f>
        <v>FL</v>
      </c>
      <c r="E50" s="497" t="b">
        <f t="shared" si="23"/>
        <v>1</v>
      </c>
      <c r="F50" s="497" t="str">
        <f>VLOOKUP(A50,'Loan List '!$A$6:$L$75, 12, FALSE)</f>
        <v>Professional Services</v>
      </c>
      <c r="G50" s="320"/>
      <c r="H50" s="533">
        <f t="shared" si="0"/>
        <v>3980866.8899999997</v>
      </c>
      <c r="I50" s="533">
        <f>VLOOKUP(A50,'Loan List '!$A$6:$L$75, 8, FALSE)</f>
        <v>3980866.8899999997</v>
      </c>
      <c r="J50" s="361">
        <v>0</v>
      </c>
      <c r="K50" s="323">
        <f t="shared" si="50"/>
        <v>1.1019091129990296E-2</v>
      </c>
      <c r="L50" s="601">
        <f>VLOOKUP(A50,'Loan List '!$A$6:$BA$82,24, FALSE)</f>
        <v>100</v>
      </c>
      <c r="M50" s="501"/>
      <c r="N50" s="502">
        <f>VLOOKUP(A50,'Loan List '!$A$6:$BA$82,22, FALSE)</f>
        <v>47746</v>
      </c>
      <c r="O50" s="602">
        <f t="shared" si="24"/>
        <v>3980866.8899999992</v>
      </c>
      <c r="P50" s="327">
        <f t="shared" si="2"/>
        <v>1</v>
      </c>
      <c r="Q50" s="487" t="s">
        <v>451</v>
      </c>
      <c r="R50" s="488" t="s">
        <v>38</v>
      </c>
      <c r="S50" s="327" t="b">
        <f t="shared" si="56"/>
        <v>0</v>
      </c>
      <c r="T50" s="327">
        <f>VLOOKUP(A50,'Loan List '!$A$6:$BD$1048576,56,FALSE)/100</f>
        <v>1</v>
      </c>
      <c r="U50" s="535">
        <f t="shared" si="25"/>
        <v>3980866.8899999997</v>
      </c>
      <c r="V50" s="503">
        <f>VLOOKUP(A50,'Loan List '!$A$6:$BA$82,26, FALSE)</f>
        <v>0</v>
      </c>
      <c r="W50" s="350">
        <f t="shared" si="51"/>
        <v>0</v>
      </c>
      <c r="X50" s="326"/>
      <c r="Y50" s="504">
        <f>VLOOKUP(A50,'Loan List '!$A$6:$BA$75,27, FALSE)</f>
        <v>0</v>
      </c>
      <c r="Z50" s="109"/>
      <c r="AA50" s="330"/>
      <c r="AB50" s="333">
        <f t="shared" si="5"/>
        <v>3.7864690194679522E-2</v>
      </c>
      <c r="AC50" s="333">
        <f t="shared" si="6"/>
        <v>7.1624092344936925E-3</v>
      </c>
      <c r="AD50" s="331">
        <f t="shared" si="26"/>
        <v>0</v>
      </c>
      <c r="AE50" s="320" t="str">
        <f t="shared" si="27"/>
        <v>Class 3</v>
      </c>
      <c r="AF50" s="649">
        <f t="shared" si="28"/>
        <v>5</v>
      </c>
      <c r="AG50" s="649">
        <f t="shared" si="29"/>
        <v>6</v>
      </c>
      <c r="AH50" s="332">
        <f t="shared" si="30"/>
        <v>1</v>
      </c>
      <c r="AI50" s="332">
        <f t="shared" si="31"/>
        <v>0</v>
      </c>
      <c r="AJ50" s="332">
        <f t="shared" si="32"/>
        <v>0.65</v>
      </c>
      <c r="AK50" s="332">
        <f t="shared" si="33"/>
        <v>0.35</v>
      </c>
      <c r="AL50" s="332">
        <f t="shared" si="34"/>
        <v>0.65</v>
      </c>
      <c r="AM50" s="333">
        <f ca="1">'Diversity Score'!$E$7</f>
        <v>1</v>
      </c>
      <c r="AN50" s="332">
        <f t="shared" ca="1" si="35"/>
        <v>0.65</v>
      </c>
      <c r="AO50" s="505">
        <f>VLOOKUP(A50,'Loan List '!$A$6:$BA$75,17, FALSE)</f>
        <v>4.7500000000000001E-2</v>
      </c>
      <c r="AP50" s="493" t="str">
        <f>VLOOKUP(A50,'Loan List '!$A$6:$BA$795,15, FALSE)</f>
        <v>SOFR</v>
      </c>
      <c r="AQ50" s="494">
        <f>VLOOKUP(A50,'Loan List '!$A$6:$BA$795,16, FALSE)</f>
        <v>0.01</v>
      </c>
      <c r="AR50" s="539">
        <v>0</v>
      </c>
      <c r="AS50" s="539">
        <v>0</v>
      </c>
      <c r="AT50" s="353"/>
      <c r="AU50" s="323">
        <f t="shared" si="52"/>
        <v>4.7500000000000001E-2</v>
      </c>
      <c r="AV50" s="323" t="b">
        <f t="shared" si="36"/>
        <v>0</v>
      </c>
      <c r="AW50" s="540" t="b">
        <f t="shared" si="37"/>
        <v>0</v>
      </c>
      <c r="AX50" s="323" t="b">
        <f t="shared" si="53"/>
        <v>0</v>
      </c>
      <c r="AY50" s="353"/>
      <c r="AZ50" s="323" t="b">
        <f t="shared" si="13"/>
        <v>0</v>
      </c>
      <c r="BA50" s="497" t="str">
        <f>'Loan List '!AS39</f>
        <v>Maintenance Covenants</v>
      </c>
      <c r="BB50" s="320" t="b">
        <f t="shared" si="38"/>
        <v>0</v>
      </c>
      <c r="BC50" s="326" t="b">
        <f t="shared" si="39"/>
        <v>0</v>
      </c>
      <c r="BD50" s="320" t="b">
        <f t="shared" si="40"/>
        <v>1</v>
      </c>
      <c r="BE50" s="320" t="b">
        <f t="shared" si="41"/>
        <v>1</v>
      </c>
      <c r="BF50" s="550" t="str">
        <f>'Loan List '!J39</f>
        <v>USD</v>
      </c>
      <c r="BG50" s="497" t="str">
        <f>VLOOKUP(A50,'Loan List '!$A$6:$BZ$75, 23, FALSE)</f>
        <v>USA</v>
      </c>
      <c r="BH50" s="320" t="b">
        <f t="shared" si="42"/>
        <v>0</v>
      </c>
      <c r="BI50" s="320" t="b">
        <f t="shared" si="43"/>
        <v>0</v>
      </c>
      <c r="BJ50" s="320" t="b">
        <f>IF('Loan List '!BP39=1, TRUE, FALSE)</f>
        <v>0</v>
      </c>
      <c r="BK50" s="320" t="b">
        <f t="shared" si="54"/>
        <v>0</v>
      </c>
      <c r="BL50" s="541" t="b">
        <f t="shared" si="55"/>
        <v>0</v>
      </c>
      <c r="BM50" s="320" t="b">
        <f>IF('Loan List '!AT39="Yes", TRUE, FALSE)</f>
        <v>0</v>
      </c>
      <c r="BN50" s="336">
        <f t="shared" ca="1" si="44"/>
        <v>5.1589041095890407</v>
      </c>
      <c r="BO50" s="337">
        <f ca="1">'Concentration Limitations'!H45</f>
        <v>3980866.8899999997</v>
      </c>
      <c r="BP50" s="338">
        <f t="shared" ca="1" si="16"/>
        <v>2587563.4784999997</v>
      </c>
      <c r="BQ50" s="339"/>
      <c r="BR50" s="340"/>
      <c r="BS50" s="542">
        <f>'Loan List '!AG39</f>
        <v>45777</v>
      </c>
      <c r="BT50" s="650">
        <f>'Loan List '!AO39</f>
        <v>2.8747782082481734</v>
      </c>
      <c r="BU50" s="650">
        <f>'Loan List '!AI39</f>
        <v>3.4362807011936263</v>
      </c>
      <c r="BV50" s="490"/>
      <c r="BW50" s="377">
        <v>0</v>
      </c>
      <c r="BX50" s="492" t="s">
        <v>1217</v>
      </c>
      <c r="BY50" s="490">
        <f>'Loan List '!AJ39</f>
        <v>22.710747845160572</v>
      </c>
      <c r="BZ50" s="490">
        <f>'Loan List '!AL39</f>
        <v>0</v>
      </c>
      <c r="CA50" s="377">
        <v>0</v>
      </c>
      <c r="CB50" s="377">
        <v>0</v>
      </c>
      <c r="CC50" s="545" t="s">
        <v>146</v>
      </c>
      <c r="CD50" s="546" t="s">
        <v>146</v>
      </c>
      <c r="CE50" s="378" t="s">
        <v>1217</v>
      </c>
      <c r="CF50" s="491">
        <f>'Loan List '!AC39</f>
        <v>1.8784215785394407</v>
      </c>
      <c r="CG50" s="491">
        <f>'Loan List '!AD39</f>
        <v>5.2701072093643164</v>
      </c>
      <c r="CH50" s="491"/>
      <c r="CI50" s="377">
        <v>0</v>
      </c>
      <c r="CJ50" s="492" t="s">
        <v>1217</v>
      </c>
      <c r="CK50" s="491">
        <f>'Loan List '!AB39</f>
        <v>10.208520977410892</v>
      </c>
      <c r="CL50" s="495">
        <f>'Loan List '!AE39</f>
        <v>0</v>
      </c>
      <c r="CM50" s="377">
        <v>0</v>
      </c>
      <c r="CN50" s="377">
        <v>0</v>
      </c>
      <c r="CO50" s="377" t="s">
        <v>146</v>
      </c>
      <c r="CP50" s="547" t="s">
        <v>146</v>
      </c>
      <c r="CQ50" s="345">
        <f t="shared" si="17"/>
        <v>0.5304222657426273</v>
      </c>
      <c r="CR50" s="346">
        <f t="shared" si="18"/>
        <v>-0.34796759066157357</v>
      </c>
      <c r="CS50" s="347">
        <f t="shared" si="45"/>
        <v>-1.8338265081706902</v>
      </c>
      <c r="CT50" s="485">
        <f t="shared" si="46"/>
        <v>1.2246854265582869</v>
      </c>
      <c r="CU50" s="348">
        <f>IF(OR($CQ50&lt;'Summary '!$I$47,$BT50&lt;'Summary '!$I$46),1,0)</f>
        <v>0</v>
      </c>
      <c r="CV50" s="348">
        <f>IF(OR($CS50&gt;='Summary '!$I$50, (AND(BU50&gt;'Summary '!$I$52, Calcs!CR50&gt; 'Summary '!$I$51))),1,0)</f>
        <v>0</v>
      </c>
      <c r="CW50" s="348">
        <f t="shared" si="60"/>
        <v>0</v>
      </c>
      <c r="CX50" s="447" t="s">
        <v>122</v>
      </c>
      <c r="CY50" s="447" t="s">
        <v>122</v>
      </c>
      <c r="CZ50" t="s">
        <v>122</v>
      </c>
      <c r="DA50" s="352"/>
      <c r="DD50" s="258">
        <v>0</v>
      </c>
      <c r="DE50" s="258">
        <v>0</v>
      </c>
      <c r="DF50" s="277"/>
      <c r="DI50" s="551" t="str">
        <f t="shared" si="57"/>
        <v>Eligible</v>
      </c>
      <c r="DJ50" s="423" t="str">
        <f t="shared" si="47"/>
        <v>Eligible</v>
      </c>
      <c r="DK50" s="549" t="s">
        <v>1271</v>
      </c>
      <c r="DL50" s="549" t="s">
        <v>1271</v>
      </c>
      <c r="DM50" s="423" t="str">
        <f t="shared" si="58"/>
        <v>Eligible</v>
      </c>
      <c r="DN50" s="423" t="str">
        <f t="shared" si="59"/>
        <v>Not PIK</v>
      </c>
      <c r="DO50" s="424" t="s">
        <v>122</v>
      </c>
      <c r="DP50" s="423" t="str">
        <f t="shared" si="49"/>
        <v>YES</v>
      </c>
    </row>
    <row r="51" spans="1:120" ht="16.5">
      <c r="A51" s="616" t="s">
        <v>1139</v>
      </c>
      <c r="B51" s="36">
        <f>IFERROR(VLOOKUP(A51,'Loan List '!$A$6:$BZ$75,2,FALSE),NA)</f>
        <v>0</v>
      </c>
      <c r="C51" s="498" t="str">
        <f>VLOOKUP(A51,'Loan List '!$A$6:$G$75, 7, FALSE)</f>
        <v>First Lien</v>
      </c>
      <c r="D51" s="498" t="str">
        <f>VLOOKUP(A51, 'Loan List '!$A$6:$K$82, 11, FALSE)</f>
        <v>FL</v>
      </c>
      <c r="E51" s="497" t="b">
        <f t="shared" si="23"/>
        <v>1</v>
      </c>
      <c r="F51" s="497" t="str">
        <f>VLOOKUP(A51,'Loan List '!$A$6:$L$75, 12, FALSE)</f>
        <v>Air Freight &amp; Logistics</v>
      </c>
      <c r="G51" s="320"/>
      <c r="H51" s="533">
        <f t="shared" si="0"/>
        <v>3768234.86</v>
      </c>
      <c r="I51" s="533">
        <f>VLOOKUP(A51,'Loan List '!$A$6:$L$75, 8, FALSE)</f>
        <v>3768234.86</v>
      </c>
      <c r="J51" s="361">
        <v>0</v>
      </c>
      <c r="K51" s="323">
        <f t="shared" si="50"/>
        <v>1.0430522915963721E-2</v>
      </c>
      <c r="L51" s="601">
        <f>VLOOKUP(A51,'Loan List '!$A$6:$BA$82,24, FALSE)</f>
        <v>100</v>
      </c>
      <c r="M51" s="501"/>
      <c r="N51" s="502">
        <f>VLOOKUP(A51,'Loan List '!$A$6:$BA$82,22, FALSE)</f>
        <v>47361</v>
      </c>
      <c r="O51" s="602">
        <f t="shared" si="24"/>
        <v>3768234.86</v>
      </c>
      <c r="P51" s="327">
        <f t="shared" si="2"/>
        <v>1</v>
      </c>
      <c r="Q51" s="487" t="s">
        <v>451</v>
      </c>
      <c r="R51" s="488" t="s">
        <v>38</v>
      </c>
      <c r="S51" s="327" t="b">
        <f t="shared" si="56"/>
        <v>1</v>
      </c>
      <c r="T51" s="327">
        <f>VLOOKUP(A51,'Loan List '!$A$6:$BD$1048576,56,FALSE)/100</f>
        <v>1</v>
      </c>
      <c r="U51" s="535">
        <f t="shared" si="25"/>
        <v>3768234.86</v>
      </c>
      <c r="V51" s="503">
        <f>VLOOKUP(A51,'Loan List '!$A$6:$BA$82,26, FALSE)</f>
        <v>0</v>
      </c>
      <c r="W51" s="350">
        <f t="shared" si="51"/>
        <v>0</v>
      </c>
      <c r="X51" s="326"/>
      <c r="Y51" s="504">
        <f>VLOOKUP(A51,'Loan List '!$A$6:$BA$75,27, FALSE)</f>
        <v>0</v>
      </c>
      <c r="Z51" s="109"/>
      <c r="AA51" s="330"/>
      <c r="AB51" s="333">
        <f t="shared" si="5"/>
        <v>6.1341507490075275E-2</v>
      </c>
      <c r="AC51" s="333">
        <f t="shared" si="6"/>
        <v>6.311095506815659E-3</v>
      </c>
      <c r="AD51" s="331">
        <f t="shared" si="26"/>
        <v>0</v>
      </c>
      <c r="AE51" s="320" t="str">
        <f t="shared" si="27"/>
        <v>Class 3</v>
      </c>
      <c r="AF51" s="649">
        <f t="shared" si="28"/>
        <v>5</v>
      </c>
      <c r="AG51" s="649">
        <f t="shared" si="29"/>
        <v>6</v>
      </c>
      <c r="AH51" s="332">
        <f t="shared" si="30"/>
        <v>0.85020105820282643</v>
      </c>
      <c r="AI51" s="332">
        <f t="shared" si="31"/>
        <v>0.14979894179717357</v>
      </c>
      <c r="AJ51" s="332">
        <f t="shared" si="32"/>
        <v>0.65</v>
      </c>
      <c r="AK51" s="332">
        <f t="shared" si="33"/>
        <v>0.35</v>
      </c>
      <c r="AL51" s="332">
        <f t="shared" si="34"/>
        <v>0.60506031746084799</v>
      </c>
      <c r="AM51" s="333">
        <f ca="1">'Diversity Score'!$E$7</f>
        <v>1</v>
      </c>
      <c r="AN51" s="332">
        <f t="shared" ca="1" si="35"/>
        <v>0.60506031746084799</v>
      </c>
      <c r="AO51" s="505">
        <f>VLOOKUP(A51,'Loan List '!$A$6:$BA$75,17, FALSE)</f>
        <v>6.3500000000000001E-2</v>
      </c>
      <c r="AP51" s="493" t="str">
        <f>VLOOKUP(A51,'Loan List '!$A$6:$BA$795,15, FALSE)</f>
        <v>SOFR</v>
      </c>
      <c r="AQ51" s="494">
        <f>VLOOKUP(A51,'Loan List '!$A$6:$BA$795,16, FALSE)</f>
        <v>0.01</v>
      </c>
      <c r="AR51" s="539">
        <v>0</v>
      </c>
      <c r="AS51" s="539">
        <v>0</v>
      </c>
      <c r="AT51" s="353"/>
      <c r="AU51" s="323">
        <f t="shared" si="52"/>
        <v>6.3500000000000001E-2</v>
      </c>
      <c r="AV51" s="323" t="b">
        <f t="shared" si="36"/>
        <v>0</v>
      </c>
      <c r="AW51" s="540" t="b">
        <f t="shared" si="37"/>
        <v>0</v>
      </c>
      <c r="AX51" s="323" t="b">
        <f t="shared" si="53"/>
        <v>0</v>
      </c>
      <c r="AY51" s="353"/>
      <c r="AZ51" s="323" t="b">
        <f t="shared" si="13"/>
        <v>0</v>
      </c>
      <c r="BA51" s="497" t="str">
        <f>'Loan List '!AS40</f>
        <v>Maintenance Covenants</v>
      </c>
      <c r="BB51" s="320" t="b">
        <f t="shared" si="38"/>
        <v>0</v>
      </c>
      <c r="BC51" s="326" t="b">
        <f t="shared" si="39"/>
        <v>1</v>
      </c>
      <c r="BD51" s="320" t="b">
        <f t="shared" si="40"/>
        <v>1</v>
      </c>
      <c r="BE51" s="320" t="b">
        <f t="shared" si="41"/>
        <v>1</v>
      </c>
      <c r="BF51" s="550" t="str">
        <f>'Loan List '!J40</f>
        <v>USD</v>
      </c>
      <c r="BG51" s="497" t="str">
        <f>VLOOKUP(A51,'Loan List '!$A$6:$BZ$75, 23, FALSE)</f>
        <v>USA</v>
      </c>
      <c r="BH51" s="320" t="b">
        <f t="shared" si="42"/>
        <v>0</v>
      </c>
      <c r="BI51" s="320" t="b">
        <f t="shared" si="43"/>
        <v>0</v>
      </c>
      <c r="BJ51" s="320" t="b">
        <f>IF('Loan List '!BP40=1, TRUE, FALSE)</f>
        <v>0</v>
      </c>
      <c r="BK51" s="320" t="b">
        <f t="shared" si="54"/>
        <v>0</v>
      </c>
      <c r="BL51" s="541" t="b">
        <f t="shared" si="55"/>
        <v>0</v>
      </c>
      <c r="BM51" s="320" t="b">
        <f>IF('Loan List '!AT40="Yes", TRUE, FALSE)</f>
        <v>0</v>
      </c>
      <c r="BN51" s="336">
        <f t="shared" ca="1" si="44"/>
        <v>4.1041095890410961</v>
      </c>
      <c r="BO51" s="337">
        <f ca="1">'Concentration Limitations'!H46</f>
        <v>3768234.86</v>
      </c>
      <c r="BP51" s="338">
        <f t="shared" ca="1" si="16"/>
        <v>2280009.380658634</v>
      </c>
      <c r="BQ51" s="339"/>
      <c r="BR51" s="340"/>
      <c r="BS51" s="542">
        <f>'Loan List '!AG40</f>
        <v>45777</v>
      </c>
      <c r="BT51" s="650">
        <f>'Loan List '!AO40</f>
        <v>1.3526751022148324</v>
      </c>
      <c r="BU51" s="650">
        <f>'Loan List '!AI40</f>
        <v>5.880961863972634</v>
      </c>
      <c r="BV51" s="490"/>
      <c r="BW51" s="377">
        <v>0</v>
      </c>
      <c r="BX51" s="492" t="s">
        <v>1217</v>
      </c>
      <c r="BY51" s="490">
        <f>'Loan List '!AJ40</f>
        <v>12.82188953</v>
      </c>
      <c r="BZ51" s="490">
        <f>'Loan List '!AL40</f>
        <v>0</v>
      </c>
      <c r="CA51" s="377">
        <v>0</v>
      </c>
      <c r="CB51" s="377">
        <v>0</v>
      </c>
      <c r="CC51" s="545" t="s">
        <v>146</v>
      </c>
      <c r="CD51" s="546" t="s">
        <v>146</v>
      </c>
      <c r="CE51" s="378" t="s">
        <v>1217</v>
      </c>
      <c r="CF51" s="491">
        <f>'Loan List '!AC40</f>
        <v>2.2766519381548895</v>
      </c>
      <c r="CG51" s="491">
        <f>'Loan List '!AD40</f>
        <v>3.6631322735702212</v>
      </c>
      <c r="CH51" s="491"/>
      <c r="CI51" s="377">
        <v>0</v>
      </c>
      <c r="CJ51" s="492" t="s">
        <v>1217</v>
      </c>
      <c r="CK51" s="491">
        <f>'Loan List '!AB40</f>
        <v>21.293252379330102</v>
      </c>
      <c r="CL51" s="495">
        <f>'Loan List '!AE40</f>
        <v>0</v>
      </c>
      <c r="CM51" s="377">
        <v>0</v>
      </c>
      <c r="CN51" s="377">
        <v>0</v>
      </c>
      <c r="CO51" s="377" t="s">
        <v>146</v>
      </c>
      <c r="CP51" s="547" t="s">
        <v>146</v>
      </c>
      <c r="CQ51" s="345">
        <f t="shared" si="17"/>
        <v>-0.40584896639443852</v>
      </c>
      <c r="CR51" s="346">
        <f t="shared" si="18"/>
        <v>0.60544622054852415</v>
      </c>
      <c r="CS51" s="347">
        <f t="shared" si="45"/>
        <v>2.2178295904024128</v>
      </c>
      <c r="CT51" s="485">
        <f t="shared" si="46"/>
        <v>-0.39784259813467804</v>
      </c>
      <c r="CU51" s="348">
        <f>IF(OR($CQ51&lt;'Summary '!$I$47,$BT51&lt;'Summary '!$I$46),1,0)</f>
        <v>1</v>
      </c>
      <c r="CV51" s="348">
        <f>IF(OR($CS51&gt;='Summary '!$I$50, (AND(BU51&gt;'Summary '!$I$52, Calcs!CR51&gt; 'Summary '!$I$51))),1,0)</f>
        <v>1</v>
      </c>
      <c r="CW51" s="348">
        <f t="shared" si="60"/>
        <v>1</v>
      </c>
      <c r="CX51" s="447" t="s">
        <v>122</v>
      </c>
      <c r="CY51" s="447" t="s">
        <v>122</v>
      </c>
      <c r="CZ51" t="s">
        <v>122</v>
      </c>
      <c r="DA51" s="352"/>
      <c r="DD51" s="258">
        <v>0</v>
      </c>
      <c r="DE51" s="258">
        <v>0</v>
      </c>
      <c r="DF51" s="277"/>
      <c r="DI51" s="551" t="str">
        <f t="shared" si="57"/>
        <v>Eligible</v>
      </c>
      <c r="DJ51" s="423" t="str">
        <f t="shared" si="47"/>
        <v>Eligible</v>
      </c>
      <c r="DK51" s="549" t="s">
        <v>1271</v>
      </c>
      <c r="DL51" s="549" t="s">
        <v>1271</v>
      </c>
      <c r="DM51" s="423" t="str">
        <f t="shared" si="58"/>
        <v>Eligible</v>
      </c>
      <c r="DN51" s="423" t="str">
        <f t="shared" si="59"/>
        <v>Not PIK</v>
      </c>
      <c r="DO51" s="424" t="s">
        <v>122</v>
      </c>
      <c r="DP51" s="423" t="str">
        <f t="shared" si="49"/>
        <v>YES</v>
      </c>
    </row>
    <row r="52" spans="1:120" ht="16.5">
      <c r="A52" s="616" t="s">
        <v>1142</v>
      </c>
      <c r="B52" s="36">
        <f>IFERROR(VLOOKUP(A52,'Loan List '!$A$6:$BZ$75,2,FALSE),NA)</f>
        <v>0</v>
      </c>
      <c r="C52" s="498" t="str">
        <f>VLOOKUP(A52,'Loan List '!$A$6:$G$75, 7, FALSE)</f>
        <v>First Lien</v>
      </c>
      <c r="D52" s="498" t="str">
        <f>VLOOKUP(A52, 'Loan List '!$A$6:$K$82, 11, FALSE)</f>
        <v>FL</v>
      </c>
      <c r="E52" s="497" t="b">
        <f t="shared" si="23"/>
        <v>1</v>
      </c>
      <c r="F52" s="497" t="str">
        <f>VLOOKUP(A52,'Loan List '!$A$6:$L$75, 12, FALSE)</f>
        <v>Diversified Consumer Services</v>
      </c>
      <c r="G52" s="320"/>
      <c r="H52" s="533">
        <f t="shared" si="0"/>
        <v>7118722.4500000002</v>
      </c>
      <c r="I52" s="533">
        <f>VLOOKUP(A52,'Loan List '!$A$6:$L$75, 8, FALSE)</f>
        <v>7118722.4500000002</v>
      </c>
      <c r="J52" s="361">
        <v>0</v>
      </c>
      <c r="K52" s="323">
        <f t="shared" si="50"/>
        <v>1.9704715975986276E-2</v>
      </c>
      <c r="L52" s="601">
        <f>VLOOKUP(A52,'Loan List '!$A$6:$BA$82,24, FALSE)</f>
        <v>100</v>
      </c>
      <c r="M52" s="501"/>
      <c r="N52" s="502">
        <f>VLOOKUP(A52,'Loan List '!$A$6:$BA$82,22, FALSE)</f>
        <v>47481</v>
      </c>
      <c r="O52" s="602">
        <f t="shared" si="24"/>
        <v>7118722.4500000002</v>
      </c>
      <c r="P52" s="327">
        <f t="shared" si="2"/>
        <v>1</v>
      </c>
      <c r="Q52" s="487" t="s">
        <v>451</v>
      </c>
      <c r="R52" s="488" t="s">
        <v>38</v>
      </c>
      <c r="S52" s="327" t="b">
        <f t="shared" si="56"/>
        <v>1</v>
      </c>
      <c r="T52" s="327">
        <f>VLOOKUP(A52,'Loan List '!$A$6:$BD$1048576,56,FALSE)/100</f>
        <v>1</v>
      </c>
      <c r="U52" s="535">
        <f t="shared" si="25"/>
        <v>7118722.4500000002</v>
      </c>
      <c r="V52" s="503">
        <f>VLOOKUP(A52,'Loan List '!$A$6:$BA$82,26, FALSE)</f>
        <v>0</v>
      </c>
      <c r="W52" s="350">
        <f t="shared" si="51"/>
        <v>0</v>
      </c>
      <c r="X52" s="326"/>
      <c r="Y52" s="504">
        <f>VLOOKUP(A52,'Loan List '!$A$6:$BA$75,27, FALSE)</f>
        <v>0</v>
      </c>
      <c r="Z52" s="109"/>
      <c r="AA52" s="330"/>
      <c r="AB52" s="333">
        <f t="shared" si="5"/>
        <v>7.8946330798921979E-2</v>
      </c>
      <c r="AC52" s="333">
        <f t="shared" si="6"/>
        <v>1.280806538439108E-2</v>
      </c>
      <c r="AD52" s="331">
        <f t="shared" si="26"/>
        <v>0</v>
      </c>
      <c r="AE52" s="320" t="str">
        <f t="shared" si="27"/>
        <v>Class 3</v>
      </c>
      <c r="AF52" s="649">
        <f t="shared" si="28"/>
        <v>5</v>
      </c>
      <c r="AG52" s="649">
        <f t="shared" si="29"/>
        <v>6</v>
      </c>
      <c r="AH52" s="332">
        <f t="shared" si="30"/>
        <v>1</v>
      </c>
      <c r="AI52" s="332">
        <f t="shared" si="31"/>
        <v>0</v>
      </c>
      <c r="AJ52" s="332">
        <f t="shared" si="32"/>
        <v>0.65</v>
      </c>
      <c r="AK52" s="332">
        <f t="shared" si="33"/>
        <v>0.35</v>
      </c>
      <c r="AL52" s="332">
        <f t="shared" si="34"/>
        <v>0.65</v>
      </c>
      <c r="AM52" s="333">
        <f ca="1">'Diversity Score'!$E$7</f>
        <v>1</v>
      </c>
      <c r="AN52" s="332">
        <f t="shared" ca="1" si="35"/>
        <v>0.65</v>
      </c>
      <c r="AO52" s="505">
        <f>VLOOKUP(A52,'Loan List '!$A$6:$BA$75,17, FALSE)</f>
        <v>5.2499999999999998E-2</v>
      </c>
      <c r="AP52" s="493" t="str">
        <f>VLOOKUP(A52,'Loan List '!$A$6:$BA$795,15, FALSE)</f>
        <v>SOFR</v>
      </c>
      <c r="AQ52" s="494">
        <f>VLOOKUP(A52,'Loan List '!$A$6:$BA$795,16, FALSE)</f>
        <v>0.01</v>
      </c>
      <c r="AR52" s="539">
        <v>0</v>
      </c>
      <c r="AS52" s="539">
        <v>0</v>
      </c>
      <c r="AT52" s="353"/>
      <c r="AU52" s="323">
        <f t="shared" si="52"/>
        <v>5.2499999999999998E-2</v>
      </c>
      <c r="AV52" s="323" t="b">
        <f t="shared" si="36"/>
        <v>0</v>
      </c>
      <c r="AW52" s="540" t="b">
        <f t="shared" si="37"/>
        <v>0</v>
      </c>
      <c r="AX52" s="323" t="b">
        <f t="shared" si="53"/>
        <v>0</v>
      </c>
      <c r="AY52" s="353"/>
      <c r="AZ52" s="323" t="b">
        <f t="shared" si="13"/>
        <v>0</v>
      </c>
      <c r="BA52" s="497" t="str">
        <f>'Loan List '!AS41</f>
        <v>Cov-Lite</v>
      </c>
      <c r="BB52" s="320" t="b">
        <f t="shared" si="38"/>
        <v>0</v>
      </c>
      <c r="BC52" s="326" t="b">
        <f t="shared" si="39"/>
        <v>0</v>
      </c>
      <c r="BD52" s="320" t="b">
        <f t="shared" si="40"/>
        <v>1</v>
      </c>
      <c r="BE52" s="320" t="b">
        <f t="shared" si="41"/>
        <v>1</v>
      </c>
      <c r="BF52" s="550" t="str">
        <f>'Loan List '!J41</f>
        <v>USD</v>
      </c>
      <c r="BG52" s="497" t="str">
        <f>VLOOKUP(A52,'Loan List '!$A$6:$BZ$75, 23, FALSE)</f>
        <v>USA</v>
      </c>
      <c r="BH52" s="320" t="b">
        <f t="shared" si="42"/>
        <v>0</v>
      </c>
      <c r="BI52" s="320" t="b">
        <f t="shared" si="43"/>
        <v>0</v>
      </c>
      <c r="BJ52" s="320" t="b">
        <f>IF('Loan List '!BP41=1, TRUE, FALSE)</f>
        <v>0</v>
      </c>
      <c r="BK52" s="320" t="b">
        <f t="shared" si="54"/>
        <v>0</v>
      </c>
      <c r="BL52" s="541" t="b">
        <f t="shared" si="55"/>
        <v>0</v>
      </c>
      <c r="BM52" s="320" t="b">
        <f>IF('Loan List '!AT41="Yes", TRUE, FALSE)</f>
        <v>1</v>
      </c>
      <c r="BN52" s="336">
        <f t="shared" ca="1" si="44"/>
        <v>4.4328767123287669</v>
      </c>
      <c r="BO52" s="337">
        <f ca="1">'Concentration Limitations'!H47</f>
        <v>7118722.4500000002</v>
      </c>
      <c r="BP52" s="338">
        <f t="shared" ca="1" si="16"/>
        <v>4627169.5925000003</v>
      </c>
      <c r="BQ52" s="339"/>
      <c r="BR52" s="340"/>
      <c r="BS52" s="542">
        <f>'Loan List '!AG41</f>
        <v>45808</v>
      </c>
      <c r="BT52" s="650">
        <f>'Loan List '!AO41</f>
        <v>2.7559559901362953</v>
      </c>
      <c r="BU52" s="650">
        <f>'Loan List '!AI41</f>
        <v>4.0064688521840264</v>
      </c>
      <c r="BV52" s="490"/>
      <c r="BW52" s="377">
        <v>0</v>
      </c>
      <c r="BX52" s="492" t="s">
        <v>1217</v>
      </c>
      <c r="BY52" s="490">
        <f>'Loan List '!AJ41</f>
        <v>31.4897663440527</v>
      </c>
      <c r="BZ52" s="490">
        <f>'Loan List '!AL41</f>
        <v>0</v>
      </c>
      <c r="CA52" s="377">
        <v>0</v>
      </c>
      <c r="CB52" s="377">
        <v>0</v>
      </c>
      <c r="CC52" s="545" t="s">
        <v>146</v>
      </c>
      <c r="CD52" s="546" t="s">
        <v>146</v>
      </c>
      <c r="CE52" s="378" t="s">
        <v>1217</v>
      </c>
      <c r="CF52" s="491">
        <f>'Loan List '!AC41</f>
        <v>2.96</v>
      </c>
      <c r="CG52" s="491">
        <f>'Loan List '!AD41</f>
        <v>2.0699999999999998</v>
      </c>
      <c r="CH52" s="491"/>
      <c r="CI52" s="377">
        <v>0</v>
      </c>
      <c r="CJ52" s="492" t="s">
        <v>1217</v>
      </c>
      <c r="CK52" s="491">
        <f>'Loan List '!AB41</f>
        <v>14.5</v>
      </c>
      <c r="CL52" s="495">
        <f>'Loan List '!AE41</f>
        <v>0</v>
      </c>
      <c r="CM52" s="377">
        <v>0</v>
      </c>
      <c r="CN52" s="377">
        <v>0</v>
      </c>
      <c r="CO52" s="377" t="s">
        <v>146</v>
      </c>
      <c r="CP52" s="547" t="s">
        <v>146</v>
      </c>
      <c r="CQ52" s="345">
        <f t="shared" si="17"/>
        <v>-6.8933787116116432E-2</v>
      </c>
      <c r="CR52" s="346">
        <f t="shared" si="18"/>
        <v>0.93549219912271819</v>
      </c>
      <c r="CS52" s="347">
        <f t="shared" si="45"/>
        <v>1.9364688521840265</v>
      </c>
      <c r="CT52" s="485">
        <f t="shared" si="46"/>
        <v>1.1717080237277724</v>
      </c>
      <c r="CU52" s="348">
        <f>IF(OR($CQ52&lt;'Summary '!$I$47,$BT52&lt;'Summary '!$I$46),1,0)</f>
        <v>0</v>
      </c>
      <c r="CV52" s="348">
        <f>IF(OR($CS52&gt;='Summary '!$I$50, (AND(BU52&gt;'Summary '!$I$52, Calcs!CR52&gt; 'Summary '!$I$51))),1,0)</f>
        <v>1</v>
      </c>
      <c r="CW52" s="348">
        <f t="shared" si="60"/>
        <v>1</v>
      </c>
      <c r="CX52" s="447" t="s">
        <v>122</v>
      </c>
      <c r="CY52" s="447" t="s">
        <v>122</v>
      </c>
      <c r="CZ52" t="s">
        <v>122</v>
      </c>
      <c r="DA52" s="352"/>
      <c r="DD52" s="258">
        <v>0</v>
      </c>
      <c r="DE52" s="258">
        <v>0</v>
      </c>
      <c r="DF52" s="277"/>
      <c r="DI52" s="551" t="str">
        <f t="shared" si="57"/>
        <v>Eligible</v>
      </c>
      <c r="DJ52" s="423" t="str">
        <f t="shared" si="47"/>
        <v>Eligible</v>
      </c>
      <c r="DK52" s="549" t="s">
        <v>1271</v>
      </c>
      <c r="DL52" s="549" t="s">
        <v>1271</v>
      </c>
      <c r="DM52" s="423" t="str">
        <f t="shared" si="58"/>
        <v>Eligible</v>
      </c>
      <c r="DN52" s="423" t="str">
        <f t="shared" si="59"/>
        <v>Not PIK</v>
      </c>
      <c r="DO52" s="424" t="s">
        <v>122</v>
      </c>
      <c r="DP52" s="423" t="str">
        <f t="shared" si="49"/>
        <v>YES</v>
      </c>
    </row>
    <row r="53" spans="1:120" ht="16.5">
      <c r="A53" s="616" t="s">
        <v>1300</v>
      </c>
      <c r="B53" s="36">
        <f>IFERROR(VLOOKUP(A53,'Loan List '!$A$6:$BZ$75,2,FALSE),NA)</f>
        <v>0</v>
      </c>
      <c r="C53" s="498" t="str">
        <f>VLOOKUP(A53,'Loan List '!$A$6:$G$75, 7, FALSE)</f>
        <v>First Lien</v>
      </c>
      <c r="D53" s="498" t="str">
        <f>VLOOKUP(A53, 'Loan List '!$A$6:$K$82, 11, FALSE)</f>
        <v>FL</v>
      </c>
      <c r="E53" s="497" t="b">
        <f t="shared" si="23"/>
        <v>1</v>
      </c>
      <c r="F53" s="497" t="str">
        <f>VLOOKUP(A53,'Loan List '!$A$6:$L$75, 12, FALSE)</f>
        <v>Health Care Technology</v>
      </c>
      <c r="G53" s="320"/>
      <c r="H53" s="533">
        <f t="shared" si="0"/>
        <v>995000</v>
      </c>
      <c r="I53" s="533">
        <f>VLOOKUP(A53,'Loan List '!$A$6:$L$75, 8, FALSE)</f>
        <v>995000</v>
      </c>
      <c r="J53" s="361">
        <v>0</v>
      </c>
      <c r="K53" s="323">
        <f t="shared" si="50"/>
        <v>2.7541728918095893E-3</v>
      </c>
      <c r="L53" s="601">
        <f>VLOOKUP(A53,'Loan List '!$A$6:$BA$82,24, FALSE)</f>
        <v>100</v>
      </c>
      <c r="M53" s="501"/>
      <c r="N53" s="502">
        <f>VLOOKUP(A53,'Loan List '!$A$6:$BA$82,22, FALSE)</f>
        <v>47729</v>
      </c>
      <c r="O53" s="602">
        <f t="shared" si="24"/>
        <v>995000</v>
      </c>
      <c r="P53" s="327">
        <f t="shared" si="2"/>
        <v>1</v>
      </c>
      <c r="Q53" s="487" t="s">
        <v>451</v>
      </c>
      <c r="R53" s="488" t="s">
        <v>38</v>
      </c>
      <c r="S53" s="327" t="b">
        <f t="shared" si="56"/>
        <v>1</v>
      </c>
      <c r="T53" s="327">
        <f>VLOOKUP(A53,'Loan List '!$A$6:$BD$1048576,56,FALSE)/100</f>
        <v>1</v>
      </c>
      <c r="U53" s="535">
        <f t="shared" si="25"/>
        <v>995000</v>
      </c>
      <c r="V53" s="503">
        <f>VLOOKUP(A53,'Loan List '!$A$6:$BA$82,26, FALSE)</f>
        <v>0</v>
      </c>
      <c r="W53" s="350">
        <f t="shared" si="51"/>
        <v>0</v>
      </c>
      <c r="X53" s="326"/>
      <c r="Y53" s="504">
        <f>VLOOKUP(A53,'Loan List '!$A$6:$BA$75,27, FALSE)</f>
        <v>0</v>
      </c>
      <c r="Z53" s="109"/>
      <c r="AA53" s="330"/>
      <c r="AB53" s="333">
        <f t="shared" si="5"/>
        <v>1.0811200741461503E-2</v>
      </c>
      <c r="AC53" s="333">
        <f t="shared" si="6"/>
        <v>1.7902123796762332E-3</v>
      </c>
      <c r="AD53" s="331">
        <f t="shared" si="26"/>
        <v>0</v>
      </c>
      <c r="AE53" s="320" t="str">
        <f t="shared" si="27"/>
        <v>Class 3</v>
      </c>
      <c r="AF53" s="649">
        <f t="shared" si="28"/>
        <v>5</v>
      </c>
      <c r="AG53" s="649">
        <f t="shared" si="29"/>
        <v>6</v>
      </c>
      <c r="AH53" s="332">
        <f t="shared" si="30"/>
        <v>1</v>
      </c>
      <c r="AI53" s="332">
        <f t="shared" si="31"/>
        <v>0</v>
      </c>
      <c r="AJ53" s="332">
        <f t="shared" si="32"/>
        <v>0.65</v>
      </c>
      <c r="AK53" s="332">
        <f t="shared" si="33"/>
        <v>0.35</v>
      </c>
      <c r="AL53" s="332">
        <f t="shared" si="34"/>
        <v>0.65</v>
      </c>
      <c r="AM53" s="333">
        <f ca="1">'Diversity Score'!$E$7</f>
        <v>1</v>
      </c>
      <c r="AN53" s="332">
        <f t="shared" ca="1" si="35"/>
        <v>0.65</v>
      </c>
      <c r="AO53" s="505">
        <f>VLOOKUP(A53,'Loan List '!$A$6:$BA$75,17, FALSE)</f>
        <v>0.05</v>
      </c>
      <c r="AP53" s="493" t="str">
        <f>VLOOKUP(A53,'Loan List '!$A$6:$BA$795,15, FALSE)</f>
        <v>SOFR</v>
      </c>
      <c r="AQ53" s="494">
        <f>VLOOKUP(A53,'Loan List '!$A$6:$BA$795,16, FALSE)</f>
        <v>0.01</v>
      </c>
      <c r="AR53" s="539">
        <v>0</v>
      </c>
      <c r="AS53" s="539">
        <v>0</v>
      </c>
      <c r="AT53" s="353"/>
      <c r="AU53" s="323">
        <f t="shared" si="52"/>
        <v>0.05</v>
      </c>
      <c r="AV53" s="323" t="b">
        <f t="shared" si="36"/>
        <v>0</v>
      </c>
      <c r="AW53" s="540" t="b">
        <f t="shared" si="37"/>
        <v>0</v>
      </c>
      <c r="AX53" s="323" t="b">
        <f t="shared" si="53"/>
        <v>0</v>
      </c>
      <c r="AY53" s="353"/>
      <c r="AZ53" s="323" t="b">
        <f t="shared" si="13"/>
        <v>0</v>
      </c>
      <c r="BA53" s="497" t="str">
        <f>'Loan List '!AS42</f>
        <v>Maintenance Covenants</v>
      </c>
      <c r="BB53" s="320" t="b">
        <f t="shared" si="38"/>
        <v>0</v>
      </c>
      <c r="BC53" s="326" t="b">
        <f t="shared" si="39"/>
        <v>0</v>
      </c>
      <c r="BD53" s="320" t="b">
        <f t="shared" si="40"/>
        <v>1</v>
      </c>
      <c r="BE53" s="320" t="b">
        <f t="shared" si="41"/>
        <v>1</v>
      </c>
      <c r="BF53" s="550" t="str">
        <f>'Loan List '!J42</f>
        <v>USD</v>
      </c>
      <c r="BG53" s="497" t="str">
        <f>VLOOKUP(A53,'Loan List '!$A$6:$BZ$75, 23, FALSE)</f>
        <v>USA</v>
      </c>
      <c r="BH53" s="320" t="b">
        <f t="shared" si="42"/>
        <v>0</v>
      </c>
      <c r="BI53" s="320" t="b">
        <f t="shared" si="43"/>
        <v>0</v>
      </c>
      <c r="BJ53" s="320" t="b">
        <f>IF('Loan List '!BP42=1, TRUE, FALSE)</f>
        <v>0</v>
      </c>
      <c r="BK53" s="320" t="b">
        <f t="shared" si="54"/>
        <v>0</v>
      </c>
      <c r="BL53" s="541" t="b">
        <f t="shared" si="55"/>
        <v>0</v>
      </c>
      <c r="BM53" s="320" t="b">
        <f>IF('Loan List '!AT42="Yes", TRUE, FALSE)</f>
        <v>0</v>
      </c>
      <c r="BN53" s="336">
        <f t="shared" ca="1" si="44"/>
        <v>5.1123287671232873</v>
      </c>
      <c r="BO53" s="337">
        <f ca="1">'Concentration Limitations'!H48</f>
        <v>995000</v>
      </c>
      <c r="BP53" s="338">
        <f t="shared" ca="1" si="16"/>
        <v>646750</v>
      </c>
      <c r="BQ53" s="339"/>
      <c r="BR53" s="340"/>
      <c r="BS53" s="542">
        <f>'Loan List '!AG42</f>
        <v>45747</v>
      </c>
      <c r="BT53" s="650">
        <f>'Loan List '!AO42</f>
        <v>2.564709677419355</v>
      </c>
      <c r="BU53" s="650">
        <f>'Loan List '!AI42</f>
        <v>3.9253892787965685</v>
      </c>
      <c r="BV53" s="490"/>
      <c r="BW53" s="377">
        <v>0</v>
      </c>
      <c r="BX53" s="492" t="s">
        <v>1217</v>
      </c>
      <c r="BY53" s="490">
        <f>'Loan List '!AJ42</f>
        <v>39.753</v>
      </c>
      <c r="BZ53" s="490">
        <f>'Loan List '!AL42</f>
        <v>0</v>
      </c>
      <c r="CA53" s="377">
        <v>0</v>
      </c>
      <c r="CB53" s="377">
        <v>0</v>
      </c>
      <c r="CC53" s="545" t="s">
        <v>146</v>
      </c>
      <c r="CD53" s="546" t="s">
        <v>146</v>
      </c>
      <c r="CE53" s="378" t="s">
        <v>1217</v>
      </c>
      <c r="CF53" s="491">
        <f>'Loan List '!AC42</f>
        <v>3.2877655677655673</v>
      </c>
      <c r="CG53" s="491">
        <f>'Loan List '!AD42</f>
        <v>2.3172601274566604</v>
      </c>
      <c r="CH53" s="491"/>
      <c r="CI53" s="377">
        <v>0</v>
      </c>
      <c r="CJ53" s="492" t="s">
        <v>1217</v>
      </c>
      <c r="CK53" s="491">
        <f>'Loan List '!AB42</f>
        <v>22.439</v>
      </c>
      <c r="CL53" s="495">
        <f>'Loan List '!AE42</f>
        <v>0</v>
      </c>
      <c r="CM53" s="377">
        <v>0</v>
      </c>
      <c r="CN53" s="377">
        <v>0</v>
      </c>
      <c r="CO53" s="377" t="s">
        <v>146</v>
      </c>
      <c r="CP53" s="547" t="s">
        <v>146</v>
      </c>
      <c r="CQ53" s="345">
        <f t="shared" si="17"/>
        <v>-0.2199231896079549</v>
      </c>
      <c r="CR53" s="346">
        <f t="shared" si="18"/>
        <v>0.69397869159598047</v>
      </c>
      <c r="CS53" s="347">
        <f t="shared" si="45"/>
        <v>1.6081291513399081</v>
      </c>
      <c r="CT53" s="485">
        <f t="shared" si="46"/>
        <v>0.77160301261197017</v>
      </c>
      <c r="CU53" s="348">
        <f>IF(OR($CQ53&lt;'Summary '!$I$47,$BT53&lt;'Summary '!$I$46),1,0)</f>
        <v>1</v>
      </c>
      <c r="CV53" s="348">
        <f>IF(OR($CS53&gt;='Summary '!$I$50, (AND(BU53&gt;'Summary '!$I$52, Calcs!CR53&gt; 'Summary '!$I$51))),1,0)</f>
        <v>1</v>
      </c>
      <c r="CW53" s="348">
        <f t="shared" si="60"/>
        <v>1</v>
      </c>
      <c r="CX53" s="447" t="s">
        <v>122</v>
      </c>
      <c r="CY53" s="447" t="s">
        <v>122</v>
      </c>
      <c r="CZ53" t="s">
        <v>122</v>
      </c>
      <c r="DA53" s="352"/>
      <c r="DD53" s="258">
        <v>0</v>
      </c>
      <c r="DE53" s="258">
        <v>0</v>
      </c>
      <c r="DF53" s="277"/>
      <c r="DI53" s="551" t="str">
        <f t="shared" si="57"/>
        <v>Eligible</v>
      </c>
      <c r="DJ53" s="423" t="str">
        <f t="shared" si="47"/>
        <v>Eligible</v>
      </c>
      <c r="DK53" s="549" t="s">
        <v>1271</v>
      </c>
      <c r="DL53" s="549" t="s">
        <v>1271</v>
      </c>
      <c r="DM53" s="423" t="str">
        <f t="shared" si="58"/>
        <v>Eligible</v>
      </c>
      <c r="DN53" s="423" t="str">
        <f t="shared" si="59"/>
        <v>Not PIK</v>
      </c>
      <c r="DO53" s="424" t="s">
        <v>122</v>
      </c>
      <c r="DP53" s="423" t="str">
        <f t="shared" si="49"/>
        <v>YES</v>
      </c>
    </row>
    <row r="54" spans="1:120" ht="16.5">
      <c r="A54" s="616" t="s">
        <v>1146</v>
      </c>
      <c r="B54" s="36">
        <f>IFERROR(VLOOKUP(A54,'Loan List '!$A$6:$BZ$75,2,FALSE),NA)</f>
        <v>0</v>
      </c>
      <c r="C54" s="498" t="str">
        <f>VLOOKUP(A54,'Loan List '!$A$6:$G$75, 7, FALSE)</f>
        <v>First Lien</v>
      </c>
      <c r="D54" s="498" t="str">
        <f>VLOOKUP(A54, 'Loan List '!$A$6:$K$82, 11, FALSE)</f>
        <v>FL</v>
      </c>
      <c r="E54" s="497" t="b">
        <f t="shared" si="23"/>
        <v>1</v>
      </c>
      <c r="F54" s="497" t="str">
        <f>VLOOKUP(A54,'Loan List '!$A$6:$L$75, 12, FALSE)</f>
        <v>Specialty Retail</v>
      </c>
      <c r="G54" s="320"/>
      <c r="H54" s="533">
        <f t="shared" si="0"/>
        <v>8608914.4700000007</v>
      </c>
      <c r="I54" s="533">
        <f>VLOOKUP(A54,'Loan List '!$A$6:$L$75, 8, FALSE)</f>
        <v>8608914.4700000007</v>
      </c>
      <c r="J54" s="361">
        <v>0</v>
      </c>
      <c r="K54" s="323">
        <f t="shared" si="50"/>
        <v>2.3829586795157107E-2</v>
      </c>
      <c r="L54" s="601">
        <f>VLOOKUP(A54,'Loan List '!$A$6:$BA$82,24, FALSE)</f>
        <v>100</v>
      </c>
      <c r="M54" s="501"/>
      <c r="N54" s="502">
        <f>VLOOKUP(A54,'Loan List '!$A$6:$BA$82,22, FALSE)</f>
        <v>46700</v>
      </c>
      <c r="O54" s="602">
        <f t="shared" si="24"/>
        <v>8608914.4700000007</v>
      </c>
      <c r="P54" s="327">
        <f t="shared" si="2"/>
        <v>0</v>
      </c>
      <c r="Q54" s="487" t="s">
        <v>451</v>
      </c>
      <c r="R54" s="488" t="s">
        <v>38</v>
      </c>
      <c r="S54" s="327" t="b">
        <f t="shared" si="56"/>
        <v>1</v>
      </c>
      <c r="T54" s="327">
        <f>VLOOKUP(A54,'Loan List '!$A$6:$BD$1048576,56,FALSE)/100</f>
        <v>0</v>
      </c>
      <c r="U54" s="535">
        <f t="shared" si="25"/>
        <v>0</v>
      </c>
      <c r="V54" s="503">
        <f>VLOOKUP(A54,'Loan List '!$A$6:$BA$82,26, FALSE)</f>
        <v>0</v>
      </c>
      <c r="W54" s="350">
        <f t="shared" si="51"/>
        <v>0</v>
      </c>
      <c r="X54" s="326"/>
      <c r="Y54" s="504">
        <f>VLOOKUP(A54,'Loan List '!$A$6:$BA$75,27, FALSE)</f>
        <v>0</v>
      </c>
      <c r="Z54" s="109"/>
      <c r="AA54" s="330"/>
      <c r="AB54" s="333">
        <f t="shared" si="5"/>
        <v>-0.32225425426063292</v>
      </c>
      <c r="AC54" s="333">
        <f t="shared" si="6"/>
        <v>5.1905739750035393E-3</v>
      </c>
      <c r="AD54" s="331">
        <f t="shared" si="26"/>
        <v>0</v>
      </c>
      <c r="AE54" s="320" t="str">
        <f t="shared" si="27"/>
        <v>Class 2</v>
      </c>
      <c r="AF54" s="649">
        <f t="shared" si="28"/>
        <v>5.5</v>
      </c>
      <c r="AG54" s="649">
        <f t="shared" si="29"/>
        <v>6.5</v>
      </c>
      <c r="AH54" s="332">
        <f t="shared" si="30"/>
        <v>-0.40670596474845333</v>
      </c>
      <c r="AI54" s="332">
        <f t="shared" si="31"/>
        <v>1.4067059647484532</v>
      </c>
      <c r="AJ54" s="332">
        <f t="shared" si="32"/>
        <v>0.67500000000000004</v>
      </c>
      <c r="AK54" s="332">
        <f t="shared" si="33"/>
        <v>0.35</v>
      </c>
      <c r="AL54" s="332">
        <f t="shared" si="34"/>
        <v>0.2178205614567526</v>
      </c>
      <c r="AM54" s="333">
        <f ca="1">'Diversity Score'!$E$7</f>
        <v>1</v>
      </c>
      <c r="AN54" s="332">
        <f t="shared" ca="1" si="35"/>
        <v>0.2178205614567526</v>
      </c>
      <c r="AO54" s="505">
        <f>VLOOKUP(A54,'Loan List '!$A$6:$BA$75,17, FALSE)</f>
        <v>7.2499999999999995E-2</v>
      </c>
      <c r="AP54" s="493" t="str">
        <f>VLOOKUP(A54,'Loan List '!$A$6:$BA$795,15, FALSE)</f>
        <v>SOFR</v>
      </c>
      <c r="AQ54" s="494">
        <f>VLOOKUP(A54,'Loan List '!$A$6:$BA$795,16, FALSE)</f>
        <v>0.01</v>
      </c>
      <c r="AR54" s="539">
        <v>0</v>
      </c>
      <c r="AS54" s="539">
        <v>7.0000000000000007E-2</v>
      </c>
      <c r="AT54" s="353"/>
      <c r="AU54" s="323">
        <f t="shared" si="52"/>
        <v>2.4999999999999883E-3</v>
      </c>
      <c r="AV54" s="323" t="b">
        <f t="shared" si="36"/>
        <v>0</v>
      </c>
      <c r="AW54" s="540" t="b">
        <f t="shared" si="37"/>
        <v>0</v>
      </c>
      <c r="AX54" s="323" t="b">
        <f t="shared" si="53"/>
        <v>1</v>
      </c>
      <c r="AY54" s="353"/>
      <c r="AZ54" s="323" t="b">
        <f t="shared" si="13"/>
        <v>0</v>
      </c>
      <c r="BA54" s="497" t="str">
        <f>'Loan List '!AS43</f>
        <v>Maintenance Covenants</v>
      </c>
      <c r="BB54" s="320" t="b">
        <f t="shared" si="38"/>
        <v>0</v>
      </c>
      <c r="BC54" s="326" t="b">
        <f t="shared" si="39"/>
        <v>0</v>
      </c>
      <c r="BD54" s="320" t="b">
        <f t="shared" si="40"/>
        <v>1</v>
      </c>
      <c r="BE54" s="320" t="b">
        <f t="shared" si="41"/>
        <v>1</v>
      </c>
      <c r="BF54" s="550" t="str">
        <f>'Loan List '!J43</f>
        <v>USD</v>
      </c>
      <c r="BG54" s="497" t="str">
        <f>VLOOKUP(A54,'Loan List '!$A$6:$BZ$75, 23, FALSE)</f>
        <v>USA</v>
      </c>
      <c r="BH54" s="320" t="b">
        <f t="shared" si="42"/>
        <v>0</v>
      </c>
      <c r="BI54" s="320" t="b">
        <f t="shared" si="43"/>
        <v>0</v>
      </c>
      <c r="BJ54" s="320" t="b">
        <f>IF('Loan List '!BP43=1, TRUE, FALSE)</f>
        <v>0</v>
      </c>
      <c r="BK54" s="320" t="b">
        <f t="shared" si="54"/>
        <v>0</v>
      </c>
      <c r="BL54" s="541" t="b">
        <f t="shared" si="55"/>
        <v>0</v>
      </c>
      <c r="BM54" s="320" t="b">
        <f>IF('Loan List '!AT43="Yes", TRUE, FALSE)</f>
        <v>0</v>
      </c>
      <c r="BN54" s="336">
        <f t="shared" ca="1" si="44"/>
        <v>2.2931506849315069</v>
      </c>
      <c r="BO54" s="337">
        <f ca="1">'Concentration Limitations'!H49</f>
        <v>0</v>
      </c>
      <c r="BP54" s="338">
        <f t="shared" ca="1" si="16"/>
        <v>0</v>
      </c>
      <c r="BQ54" s="339"/>
      <c r="BR54" s="340"/>
      <c r="BS54" s="542">
        <f>'Loan List '!AG43</f>
        <v>45777</v>
      </c>
      <c r="BT54" s="650">
        <f>'Loan List '!AO43</f>
        <v>-0.54890068233510225</v>
      </c>
      <c r="BU54" s="650">
        <f>'Loan List '!AI43</f>
        <v>-13.523283346487768</v>
      </c>
      <c r="BV54" s="490"/>
      <c r="BW54" s="377">
        <v>0</v>
      </c>
      <c r="BX54" s="492" t="s">
        <v>1217</v>
      </c>
      <c r="BY54" s="490">
        <f>'Loan List '!AJ43</f>
        <v>-5.0679999999999996</v>
      </c>
      <c r="BZ54" s="490">
        <f>'Loan List '!AL43</f>
        <v>0</v>
      </c>
      <c r="CA54" s="377">
        <v>0</v>
      </c>
      <c r="CB54" s="377">
        <v>0</v>
      </c>
      <c r="CC54" s="545" t="s">
        <v>146</v>
      </c>
      <c r="CD54" s="546" t="s">
        <v>146</v>
      </c>
      <c r="CE54" s="378" t="s">
        <v>1217</v>
      </c>
      <c r="CF54" s="491">
        <f>'Loan List '!AC43</f>
        <v>4.7335443555555559</v>
      </c>
      <c r="CG54" s="491">
        <f>'Loan List '!AD43</f>
        <v>2.859515709102471</v>
      </c>
      <c r="CH54" s="491"/>
      <c r="CI54" s="377">
        <v>0</v>
      </c>
      <c r="CJ54" s="492" t="s">
        <v>1217</v>
      </c>
      <c r="CK54" s="491">
        <f>'Loan List '!AB43</f>
        <v>26.626187000000002</v>
      </c>
      <c r="CL54" s="495">
        <f>'Loan List '!AE43</f>
        <v>0</v>
      </c>
      <c r="CM54" s="377">
        <v>0</v>
      </c>
      <c r="CN54" s="377">
        <v>0</v>
      </c>
      <c r="CO54" s="377" t="s">
        <v>146</v>
      </c>
      <c r="CP54" s="547" t="s">
        <v>146</v>
      </c>
      <c r="CQ54" s="345">
        <f t="shared" si="17"/>
        <v>-1.1159597631510267</v>
      </c>
      <c r="CR54" s="346">
        <f t="shared" si="18"/>
        <v>-5.7292215613434703</v>
      </c>
      <c r="CS54" s="347">
        <f t="shared" si="45"/>
        <v>-16.38279905559024</v>
      </c>
      <c r="CT54" s="485">
        <f t="shared" si="46"/>
        <v>-1.1903389321197211</v>
      </c>
      <c r="CU54" s="348">
        <f>IF(OR($CQ54&lt;'Summary '!$I$47,$BT54&lt;'Summary '!$I$46),1,0)</f>
        <v>1</v>
      </c>
      <c r="CV54" s="348">
        <f>IF(OR($CS54&gt;='Summary '!$I$50, (AND(BU54&gt;'Summary '!$I$52, Calcs!CR54&gt; 'Summary '!$I$51))),1,0)</f>
        <v>0</v>
      </c>
      <c r="CW54" s="348">
        <f t="shared" si="60"/>
        <v>1</v>
      </c>
      <c r="CX54" s="447" t="s">
        <v>122</v>
      </c>
      <c r="CY54" s="447" t="s">
        <v>122</v>
      </c>
      <c r="CZ54" t="s">
        <v>231</v>
      </c>
      <c r="DA54" s="352">
        <v>7.0000000000000007E-2</v>
      </c>
      <c r="DD54" s="258">
        <v>0</v>
      </c>
      <c r="DE54" s="258">
        <v>0</v>
      </c>
      <c r="DF54" s="277"/>
      <c r="DI54" s="551" t="str">
        <f t="shared" si="57"/>
        <v>Eligible</v>
      </c>
      <c r="DJ54" s="423" t="str">
        <f t="shared" si="47"/>
        <v>Eligible</v>
      </c>
      <c r="DK54" s="549" t="s">
        <v>1271</v>
      </c>
      <c r="DL54" s="549" t="s">
        <v>1271</v>
      </c>
      <c r="DM54" s="423" t="str">
        <f t="shared" si="58"/>
        <v>Eligible</v>
      </c>
      <c r="DN54" s="423" t="str">
        <f t="shared" si="59"/>
        <v>Not PIK</v>
      </c>
      <c r="DO54" s="424" t="s">
        <v>122</v>
      </c>
      <c r="DP54" s="423" t="str">
        <f t="shared" si="49"/>
        <v>YES</v>
      </c>
    </row>
    <row r="55" spans="1:120" ht="16.5">
      <c r="A55" s="616" t="s">
        <v>1149</v>
      </c>
      <c r="B55" s="36">
        <f>IFERROR(VLOOKUP(A55,'Loan List '!$A$6:$BZ$75,2,FALSE),NA)</f>
        <v>0</v>
      </c>
      <c r="C55" s="498" t="str">
        <f>VLOOKUP(A55,'Loan List '!$A$6:$G$75, 7, FALSE)</f>
        <v>First Lien</v>
      </c>
      <c r="D55" s="498" t="str">
        <f>VLOOKUP(A55, 'Loan List '!$A$6:$K$82, 11, FALSE)</f>
        <v>FL</v>
      </c>
      <c r="E55" s="497" t="b">
        <f t="shared" si="23"/>
        <v>1</v>
      </c>
      <c r="F55" s="497" t="str">
        <f>VLOOKUP(A55,'Loan List '!$A$6:$L$75, 12, FALSE)</f>
        <v>Aerospace &amp; Defense</v>
      </c>
      <c r="G55" s="320"/>
      <c r="H55" s="533">
        <f t="shared" si="0"/>
        <v>11810532.25</v>
      </c>
      <c r="I55" s="533">
        <f>VLOOKUP(A55,'Loan List '!$A$6:$L$75, 8, FALSE)</f>
        <v>11810532.25</v>
      </c>
      <c r="J55" s="361">
        <v>0</v>
      </c>
      <c r="K55" s="323">
        <f t="shared" si="50"/>
        <v>3.2691706292254187E-2</v>
      </c>
      <c r="L55" s="601">
        <f>VLOOKUP(A55,'Loan List '!$A$6:$BA$82,24, FALSE)</f>
        <v>100</v>
      </c>
      <c r="M55" s="501"/>
      <c r="N55" s="502">
        <f>VLOOKUP(A55,'Loan List '!$A$6:$BA$82,22, FALSE)</f>
        <v>46475</v>
      </c>
      <c r="O55" s="602">
        <f t="shared" si="24"/>
        <v>11810532.25</v>
      </c>
      <c r="P55" s="327">
        <f t="shared" si="2"/>
        <v>1</v>
      </c>
      <c r="Q55" s="487" t="s">
        <v>451</v>
      </c>
      <c r="R55" s="488" t="s">
        <v>38</v>
      </c>
      <c r="S55" s="327" t="b">
        <f t="shared" si="56"/>
        <v>1</v>
      </c>
      <c r="T55" s="327">
        <f>VLOOKUP(A55,'Loan List '!$A$6:$BD$1048576,56,FALSE)/100</f>
        <v>1</v>
      </c>
      <c r="U55" s="535">
        <f t="shared" si="25"/>
        <v>11810532.25</v>
      </c>
      <c r="V55" s="503">
        <f>VLOOKUP(A55,'Loan List '!$A$6:$BA$82,26, FALSE)</f>
        <v>0</v>
      </c>
      <c r="W55" s="350">
        <f t="shared" si="51"/>
        <v>0</v>
      </c>
      <c r="X55" s="326"/>
      <c r="Y55" s="504">
        <f>VLOOKUP(A55,'Loan List '!$A$6:$BA$75,27, FALSE)</f>
        <v>0</v>
      </c>
      <c r="Z55" s="109"/>
      <c r="AA55" s="330"/>
      <c r="AB55" s="333">
        <f t="shared" si="5"/>
        <v>0.17790200423254759</v>
      </c>
      <c r="AC55" s="333">
        <f t="shared" si="6"/>
        <v>2.0453358752512824E-2</v>
      </c>
      <c r="AD55" s="331">
        <f t="shared" si="26"/>
        <v>0</v>
      </c>
      <c r="AE55" s="320" t="str">
        <f t="shared" si="27"/>
        <v>Class 3</v>
      </c>
      <c r="AF55" s="649">
        <f t="shared" si="28"/>
        <v>5</v>
      </c>
      <c r="AG55" s="649">
        <f t="shared" si="29"/>
        <v>6</v>
      </c>
      <c r="AH55" s="332">
        <f t="shared" si="30"/>
        <v>0.9188121975714415</v>
      </c>
      <c r="AI55" s="332">
        <f t="shared" si="31"/>
        <v>8.1187802428558498E-2</v>
      </c>
      <c r="AJ55" s="332">
        <f t="shared" si="32"/>
        <v>0.65</v>
      </c>
      <c r="AK55" s="332">
        <f t="shared" si="33"/>
        <v>0.35</v>
      </c>
      <c r="AL55" s="332">
        <f t="shared" si="34"/>
        <v>0.62564365927143251</v>
      </c>
      <c r="AM55" s="333">
        <f ca="1">'Diversity Score'!$E$7</f>
        <v>1</v>
      </c>
      <c r="AN55" s="332">
        <f t="shared" ca="1" si="35"/>
        <v>0.62564365927143251</v>
      </c>
      <c r="AO55" s="505">
        <f>VLOOKUP(A55,'Loan List '!$A$6:$BA$75,17, FALSE)</f>
        <v>6.1499999999999999E-2</v>
      </c>
      <c r="AP55" s="493" t="str">
        <f>VLOOKUP(A55,'Loan List '!$A$6:$BA$795,15, FALSE)</f>
        <v>SOFR</v>
      </c>
      <c r="AQ55" s="494">
        <f>VLOOKUP(A55,'Loan List '!$A$6:$BA$795,16, FALSE)</f>
        <v>0.01</v>
      </c>
      <c r="AR55" s="539">
        <v>0</v>
      </c>
      <c r="AS55" s="539">
        <v>0</v>
      </c>
      <c r="AT55" s="353"/>
      <c r="AU55" s="323">
        <f t="shared" si="52"/>
        <v>6.1499999999999999E-2</v>
      </c>
      <c r="AV55" s="323" t="b">
        <f t="shared" si="36"/>
        <v>0</v>
      </c>
      <c r="AW55" s="540" t="b">
        <f t="shared" si="37"/>
        <v>0</v>
      </c>
      <c r="AX55" s="323" t="b">
        <f t="shared" si="53"/>
        <v>0</v>
      </c>
      <c r="AY55" s="353"/>
      <c r="AZ55" s="323" t="b">
        <f t="shared" si="13"/>
        <v>0</v>
      </c>
      <c r="BA55" s="497" t="str">
        <f>'Loan List '!AS44</f>
        <v>Maintenance Covenants</v>
      </c>
      <c r="BB55" s="320" t="b">
        <f t="shared" si="38"/>
        <v>0</v>
      </c>
      <c r="BC55" s="326" t="b">
        <f t="shared" si="39"/>
        <v>0</v>
      </c>
      <c r="BD55" s="320" t="b">
        <f t="shared" si="40"/>
        <v>1</v>
      </c>
      <c r="BE55" s="320" t="b">
        <f t="shared" si="41"/>
        <v>1</v>
      </c>
      <c r="BF55" s="550" t="str">
        <f>'Loan List '!J44</f>
        <v>USD</v>
      </c>
      <c r="BG55" s="497" t="str">
        <f>VLOOKUP(A55,'Loan List '!$A$6:$BZ$75, 23, FALSE)</f>
        <v>USA</v>
      </c>
      <c r="BH55" s="320" t="b">
        <f t="shared" si="42"/>
        <v>0</v>
      </c>
      <c r="BI55" s="320" t="b">
        <f t="shared" si="43"/>
        <v>0</v>
      </c>
      <c r="BJ55" s="320" t="b">
        <f>IF('Loan List '!BP44=1, TRUE, FALSE)</f>
        <v>0</v>
      </c>
      <c r="BK55" s="320" t="b">
        <f t="shared" si="54"/>
        <v>0</v>
      </c>
      <c r="BL55" s="541" t="b">
        <f t="shared" si="55"/>
        <v>0</v>
      </c>
      <c r="BM55" s="320" t="b">
        <f>IF('Loan List '!AT44="Yes", TRUE, FALSE)</f>
        <v>0</v>
      </c>
      <c r="BN55" s="336">
        <f t="shared" ca="1" si="44"/>
        <v>1.6767123287671233</v>
      </c>
      <c r="BO55" s="337">
        <f ca="1">'Concentration Limitations'!H50</f>
        <v>11810532.25</v>
      </c>
      <c r="BP55" s="338">
        <f t="shared" ca="1" si="16"/>
        <v>7389184.6148332655</v>
      </c>
      <c r="BQ55" s="339"/>
      <c r="BR55" s="340"/>
      <c r="BS55" s="542">
        <f>'Loan List '!AG44</f>
        <v>45777</v>
      </c>
      <c r="BT55" s="650">
        <f>'Loan List '!AO44</f>
        <v>1.3522002015451797</v>
      </c>
      <c r="BU55" s="650">
        <f>'Loan List '!AI44</f>
        <v>5.4418084709973922</v>
      </c>
      <c r="BV55" s="490"/>
      <c r="BW55" s="377">
        <v>0</v>
      </c>
      <c r="BX55" s="492" t="s">
        <v>1217</v>
      </c>
      <c r="BY55" s="490">
        <f>'Loan List '!AJ44</f>
        <v>24.152999999999999</v>
      </c>
      <c r="BZ55" s="490">
        <f>'Loan List '!AL44</f>
        <v>0</v>
      </c>
      <c r="CA55" s="377">
        <v>0</v>
      </c>
      <c r="CB55" s="377">
        <v>0</v>
      </c>
      <c r="CC55" s="545" t="s">
        <v>146</v>
      </c>
      <c r="CD55" s="546" t="s">
        <v>146</v>
      </c>
      <c r="CE55" s="378" t="s">
        <v>1217</v>
      </c>
      <c r="CF55" s="491">
        <f>'Loan List '!AC44</f>
        <v>2.5601039636127352</v>
      </c>
      <c r="CG55" s="491">
        <f>'Loan List '!AD44</f>
        <v>4.5685279187817258</v>
      </c>
      <c r="CH55" s="491"/>
      <c r="CI55" s="377">
        <v>0</v>
      </c>
      <c r="CJ55" s="492" t="s">
        <v>1217</v>
      </c>
      <c r="CK55" s="491">
        <f>'Loan List '!AB44</f>
        <v>19.7</v>
      </c>
      <c r="CL55" s="495">
        <f>'Loan List '!AE44</f>
        <v>0</v>
      </c>
      <c r="CM55" s="377">
        <v>0</v>
      </c>
      <c r="CN55" s="377">
        <v>0</v>
      </c>
      <c r="CO55" s="377" t="s">
        <v>146</v>
      </c>
      <c r="CP55" s="547" t="s">
        <v>146</v>
      </c>
      <c r="CQ55" s="345">
        <f t="shared" si="17"/>
        <v>-0.47181824614770762</v>
      </c>
      <c r="CR55" s="346">
        <f t="shared" si="18"/>
        <v>0.19115140976276254</v>
      </c>
      <c r="CS55" s="347">
        <f t="shared" si="45"/>
        <v>0.87328055221566636</v>
      </c>
      <c r="CT55" s="485">
        <f t="shared" si="46"/>
        <v>0.22604060913705593</v>
      </c>
      <c r="CU55" s="348">
        <f>IF(OR($CQ55&lt;'Summary '!$I$47,$BT55&lt;'Summary '!$I$46),1,0)</f>
        <v>1</v>
      </c>
      <c r="CV55" s="348">
        <f>IF(OR($CS55&gt;='Summary '!$I$50, (AND(BU55&gt;'Summary '!$I$52, Calcs!CR55&gt; 'Summary '!$I$51))),1,0)</f>
        <v>0</v>
      </c>
      <c r="CW55" s="348">
        <f t="shared" si="60"/>
        <v>1</v>
      </c>
      <c r="CX55" s="447" t="s">
        <v>122</v>
      </c>
      <c r="CY55" s="447" t="s">
        <v>122</v>
      </c>
      <c r="CZ55" t="s">
        <v>122</v>
      </c>
      <c r="DA55" s="352"/>
      <c r="DD55" s="258">
        <v>0</v>
      </c>
      <c r="DE55" s="258">
        <v>0</v>
      </c>
      <c r="DF55" s="277"/>
      <c r="DI55" s="551" t="str">
        <f t="shared" si="57"/>
        <v>Eligible</v>
      </c>
      <c r="DJ55" s="423" t="str">
        <f t="shared" si="47"/>
        <v>Eligible</v>
      </c>
      <c r="DK55" s="549" t="s">
        <v>1271</v>
      </c>
      <c r="DL55" s="549" t="s">
        <v>1271</v>
      </c>
      <c r="DM55" s="423" t="str">
        <f t="shared" si="58"/>
        <v>Eligible</v>
      </c>
      <c r="DN55" s="423" t="str">
        <f t="shared" si="59"/>
        <v>Not PIK</v>
      </c>
      <c r="DO55" s="424" t="s">
        <v>122</v>
      </c>
      <c r="DP55" s="423" t="str">
        <f t="shared" si="49"/>
        <v>YES</v>
      </c>
    </row>
    <row r="56" spans="1:120" ht="16.5">
      <c r="A56" s="616" t="s">
        <v>1301</v>
      </c>
      <c r="B56" s="36">
        <f>IFERROR(VLOOKUP(A56,'Loan List '!$A$6:$BZ$75,2,FALSE),NA)</f>
        <v>0</v>
      </c>
      <c r="C56" s="498" t="str">
        <f>VLOOKUP(A56,'Loan List '!$A$6:$G$75, 7, FALSE)</f>
        <v>First Lien</v>
      </c>
      <c r="D56" s="498" t="str">
        <f>VLOOKUP(A56, 'Loan List '!$A$6:$K$82, 11, FALSE)</f>
        <v>FL</v>
      </c>
      <c r="E56" s="497" t="b">
        <f t="shared" si="23"/>
        <v>1</v>
      </c>
      <c r="F56" s="497" t="str">
        <f>VLOOKUP(A56,'Loan List '!$A$6:$L$75, 12, FALSE)</f>
        <v>Health Care Providers &amp; Services</v>
      </c>
      <c r="G56" s="320"/>
      <c r="H56" s="533">
        <f t="shared" si="0"/>
        <v>17282079.379999999</v>
      </c>
      <c r="I56" s="533">
        <f>VLOOKUP(A56,'Loan List '!$A$6:$L$75, 8, FALSE)</f>
        <v>17282079.379999999</v>
      </c>
      <c r="J56" s="361">
        <v>0</v>
      </c>
      <c r="K56" s="323">
        <f t="shared" si="50"/>
        <v>4.7837019640700973E-2</v>
      </c>
      <c r="L56" s="601">
        <f>VLOOKUP(A56,'Loan List '!$A$6:$BA$82,24, FALSE)</f>
        <v>100</v>
      </c>
      <c r="M56" s="501"/>
      <c r="N56" s="502">
        <f>VLOOKUP(A56,'Loan List '!$A$6:$BA$82,22, FALSE)</f>
        <v>47289</v>
      </c>
      <c r="O56" s="602">
        <f t="shared" si="24"/>
        <v>17282079.379999999</v>
      </c>
      <c r="P56" s="327">
        <f t="shared" si="2"/>
        <v>1</v>
      </c>
      <c r="Q56" s="487" t="s">
        <v>451</v>
      </c>
      <c r="R56" s="488" t="s">
        <v>38</v>
      </c>
      <c r="S56" s="327" t="b">
        <f t="shared" si="56"/>
        <v>0</v>
      </c>
      <c r="T56" s="327">
        <f>VLOOKUP(A56,'Loan List '!$A$6:$BD$1048576,56,FALSE)/100</f>
        <v>1</v>
      </c>
      <c r="U56" s="535">
        <f t="shared" si="25"/>
        <v>17282079.379999999</v>
      </c>
      <c r="V56" s="503">
        <f>VLOOKUP(A56,'Loan List '!$A$6:$BA$82,26, FALSE)</f>
        <v>0</v>
      </c>
      <c r="W56" s="350">
        <f t="shared" si="51"/>
        <v>0</v>
      </c>
      <c r="X56" s="326"/>
      <c r="Y56" s="504">
        <f>VLOOKUP(A56,'Loan List '!$A$6:$BA$75,27, FALSE)</f>
        <v>0</v>
      </c>
      <c r="Z56" s="438"/>
      <c r="AA56" s="330"/>
      <c r="AB56" s="333">
        <f t="shared" si="5"/>
        <v>0.16379640135702775</v>
      </c>
      <c r="AC56" s="333">
        <f t="shared" si="6"/>
        <v>3.1094062766455634E-2</v>
      </c>
      <c r="AD56" s="331">
        <f t="shared" si="26"/>
        <v>0</v>
      </c>
      <c r="AE56" s="320" t="str">
        <f t="shared" si="27"/>
        <v>Class 3</v>
      </c>
      <c r="AF56" s="649">
        <f t="shared" si="28"/>
        <v>5</v>
      </c>
      <c r="AG56" s="649">
        <f t="shared" si="29"/>
        <v>6</v>
      </c>
      <c r="AH56" s="332">
        <f t="shared" si="30"/>
        <v>1</v>
      </c>
      <c r="AI56" s="332">
        <f t="shared" si="31"/>
        <v>0</v>
      </c>
      <c r="AJ56" s="332">
        <f t="shared" si="32"/>
        <v>0.65</v>
      </c>
      <c r="AK56" s="332">
        <f t="shared" si="33"/>
        <v>0.35</v>
      </c>
      <c r="AL56" s="332">
        <f t="shared" si="34"/>
        <v>0.65</v>
      </c>
      <c r="AM56" s="333">
        <f ca="1">'Diversity Score'!$E$7</f>
        <v>1</v>
      </c>
      <c r="AN56" s="332">
        <f t="shared" ca="1" si="35"/>
        <v>0.65</v>
      </c>
      <c r="AO56" s="505">
        <f>VLOOKUP(A56,'Loan List '!$A$6:$BA$75,17, FALSE)</f>
        <v>5.2499999999999998E-2</v>
      </c>
      <c r="AP56" s="493" t="str">
        <f>VLOOKUP(A56,'Loan List '!$A$6:$BA$795,15, FALSE)</f>
        <v>SOFR</v>
      </c>
      <c r="AQ56" s="494">
        <f>VLOOKUP(A56,'Loan List '!$A$6:$BA$795,16, FALSE)</f>
        <v>0.01</v>
      </c>
      <c r="AR56" s="539">
        <v>0</v>
      </c>
      <c r="AS56" s="539">
        <v>0</v>
      </c>
      <c r="AT56" s="353"/>
      <c r="AU56" s="323">
        <f t="shared" si="52"/>
        <v>5.2499999999999998E-2</v>
      </c>
      <c r="AV56" s="323" t="b">
        <f t="shared" si="36"/>
        <v>0</v>
      </c>
      <c r="AW56" s="540" t="b">
        <f t="shared" si="37"/>
        <v>0</v>
      </c>
      <c r="AX56" s="323" t="b">
        <f t="shared" si="53"/>
        <v>0</v>
      </c>
      <c r="AY56" s="353"/>
      <c r="AZ56" s="323" t="b">
        <f t="shared" si="13"/>
        <v>0</v>
      </c>
      <c r="BA56" s="497" t="str">
        <f>'Loan List '!AS45</f>
        <v>Maintenance Covenants</v>
      </c>
      <c r="BB56" s="320" t="b">
        <f t="shared" si="38"/>
        <v>0</v>
      </c>
      <c r="BC56" s="326" t="b">
        <f t="shared" si="39"/>
        <v>0</v>
      </c>
      <c r="BD56" s="320" t="b">
        <f t="shared" si="40"/>
        <v>1</v>
      </c>
      <c r="BE56" s="320" t="b">
        <f t="shared" si="41"/>
        <v>1</v>
      </c>
      <c r="BF56" s="550" t="str">
        <f>'Loan List '!J45</f>
        <v>USD</v>
      </c>
      <c r="BG56" s="497" t="str">
        <f>VLOOKUP(A56,'Loan List '!$A$6:$BZ$75, 23, FALSE)</f>
        <v>USA</v>
      </c>
      <c r="BH56" s="320" t="b">
        <f t="shared" si="42"/>
        <v>0</v>
      </c>
      <c r="BI56" s="320" t="b">
        <f t="shared" si="43"/>
        <v>0</v>
      </c>
      <c r="BJ56" s="320" t="b">
        <f>IF('Loan List '!BP45=1, TRUE, FALSE)</f>
        <v>0</v>
      </c>
      <c r="BK56" s="320" t="b">
        <f t="shared" si="54"/>
        <v>0</v>
      </c>
      <c r="BL56" s="541" t="b">
        <f t="shared" si="55"/>
        <v>0</v>
      </c>
      <c r="BM56" s="320" t="b">
        <f>IF('Loan List '!AT45="Yes", TRUE, FALSE)</f>
        <v>0</v>
      </c>
      <c r="BN56" s="336">
        <f t="shared" ca="1" si="44"/>
        <v>3.9068493150684933</v>
      </c>
      <c r="BO56" s="337">
        <f ca="1">'Concentration Limitations'!H51</f>
        <v>17282079.379999999</v>
      </c>
      <c r="BP56" s="338">
        <f t="shared" ca="1" si="16"/>
        <v>11233351.596999999</v>
      </c>
      <c r="BQ56" s="442"/>
      <c r="BR56" s="443"/>
      <c r="BS56" s="542">
        <f>'Loan List '!AG45</f>
        <v>45777</v>
      </c>
      <c r="BT56" s="650">
        <f>'Loan List '!AO45</f>
        <v>2.521770782934464</v>
      </c>
      <c r="BU56" s="650">
        <f>'Loan List '!AI45</f>
        <v>3.4240511341903401</v>
      </c>
      <c r="BV56" s="490"/>
      <c r="BW56" s="377">
        <v>0</v>
      </c>
      <c r="BX56" s="492" t="s">
        <v>1217</v>
      </c>
      <c r="BY56" s="490">
        <f>'Loan List '!AJ45</f>
        <v>19.015552294818701</v>
      </c>
      <c r="BZ56" s="490">
        <f>'Loan List '!AL45</f>
        <v>0</v>
      </c>
      <c r="CA56" s="377">
        <v>0</v>
      </c>
      <c r="CB56" s="377">
        <v>0</v>
      </c>
      <c r="CC56" s="545" t="s">
        <v>146</v>
      </c>
      <c r="CD56" s="546" t="s">
        <v>146</v>
      </c>
      <c r="CE56" s="378" t="s">
        <v>1217</v>
      </c>
      <c r="CF56" s="491">
        <f>'Loan List '!AC45</f>
        <v>2.5001806364717964</v>
      </c>
      <c r="CG56" s="491">
        <f>'Loan List '!AD45</f>
        <v>3.3033462758115371</v>
      </c>
      <c r="CH56" s="491"/>
      <c r="CI56" s="377">
        <v>0</v>
      </c>
      <c r="CJ56" s="492" t="s">
        <v>1217</v>
      </c>
      <c r="CK56" s="491">
        <f>'Loan List '!AB45</f>
        <v>17.413030005419301</v>
      </c>
      <c r="CL56" s="495">
        <f>'Loan List '!AE45</f>
        <v>0</v>
      </c>
      <c r="CM56" s="377">
        <v>0</v>
      </c>
      <c r="CN56" s="377">
        <v>0</v>
      </c>
      <c r="CO56" s="377" t="s">
        <v>146</v>
      </c>
      <c r="CP56" s="547" t="s">
        <v>146</v>
      </c>
      <c r="CQ56" s="345">
        <f t="shared" si="17"/>
        <v>8.6354346352890392E-3</v>
      </c>
      <c r="CR56" s="346">
        <f t="shared" si="18"/>
        <v>3.6540177232600106E-2</v>
      </c>
      <c r="CS56" s="347">
        <f t="shared" si="45"/>
        <v>0.12070485837880307</v>
      </c>
      <c r="CT56" s="485">
        <f t="shared" si="46"/>
        <v>9.2030065353396973E-2</v>
      </c>
      <c r="CU56" s="348">
        <f>IF(OR($CQ56&lt;'Summary '!$I$47,$BT56&lt;'Summary '!$I$46),1,0)</f>
        <v>0</v>
      </c>
      <c r="CV56" s="348">
        <f>IF(OR($CS56&gt;='Summary '!$I$50, (AND(BU56&gt;'Summary '!$I$52, Calcs!CR56&gt; 'Summary '!$I$51))),1,0)</f>
        <v>0</v>
      </c>
      <c r="CW56" s="348">
        <f t="shared" si="60"/>
        <v>0</v>
      </c>
      <c r="CX56" s="447" t="s">
        <v>122</v>
      </c>
      <c r="CY56" s="447" t="s">
        <v>122</v>
      </c>
      <c r="CZ56" t="s">
        <v>122</v>
      </c>
      <c r="DA56" s="352"/>
      <c r="DD56" s="258">
        <v>0</v>
      </c>
      <c r="DE56" s="258">
        <v>0</v>
      </c>
      <c r="DF56" s="277"/>
      <c r="DI56" s="551" t="str">
        <f t="shared" si="57"/>
        <v>Eligible</v>
      </c>
      <c r="DJ56" s="423" t="str">
        <f t="shared" si="47"/>
        <v>Eligible</v>
      </c>
      <c r="DK56" s="549" t="s">
        <v>1271</v>
      </c>
      <c r="DL56" s="549" t="s">
        <v>1271</v>
      </c>
      <c r="DM56" s="423" t="str">
        <f t="shared" si="58"/>
        <v>Eligible</v>
      </c>
      <c r="DN56" s="423" t="str">
        <f t="shared" si="59"/>
        <v>Not PIK</v>
      </c>
      <c r="DO56" s="424" t="s">
        <v>122</v>
      </c>
      <c r="DP56" s="423" t="str">
        <f t="shared" si="49"/>
        <v>YES</v>
      </c>
    </row>
    <row r="57" spans="1:120" ht="16.5">
      <c r="A57" s="616" t="s">
        <v>1302</v>
      </c>
      <c r="B57" s="36">
        <f>IFERROR(VLOOKUP(A57,'Loan List '!$A$6:$BZ$75,2,FALSE),NA)</f>
        <v>0</v>
      </c>
      <c r="C57" s="498" t="str">
        <f>VLOOKUP(A57,'Loan List '!$A$6:$G$75, 7, FALSE)</f>
        <v>First Lien</v>
      </c>
      <c r="D57" s="498" t="str">
        <f>VLOOKUP(A57, 'Loan List '!$A$6:$K$82, 11, FALSE)</f>
        <v>FL</v>
      </c>
      <c r="E57" s="497" t="b">
        <f t="shared" si="23"/>
        <v>1</v>
      </c>
      <c r="F57" s="497" t="str">
        <f>VLOOKUP(A57,'Loan List '!$A$6:$L$75, 12, FALSE)</f>
        <v>Air Freight &amp; Logistics</v>
      </c>
      <c r="G57" s="320"/>
      <c r="H57" s="533">
        <f t="shared" si="0"/>
        <v>1429975.79</v>
      </c>
      <c r="I57" s="533">
        <f>VLOOKUP(A57,'Loan List '!$A$6:$L$75, 8, FALSE)</f>
        <v>1429975.79</v>
      </c>
      <c r="J57" s="361">
        <v>0</v>
      </c>
      <c r="K57" s="323">
        <f t="shared" si="50"/>
        <v>3.9581915143336701E-3</v>
      </c>
      <c r="L57" s="601">
        <f>VLOOKUP(A57,'Loan List '!$A$6:$BA$82,24, FALSE)</f>
        <v>92.546599999999998</v>
      </c>
      <c r="M57" s="501"/>
      <c r="N57" s="502">
        <f>VLOOKUP(A57,'Loan List '!$A$6:$BA$82,22, FALSE)</f>
        <v>47395</v>
      </c>
      <c r="O57" s="602">
        <f t="shared" si="24"/>
        <v>1323393.9744681399</v>
      </c>
      <c r="P57" s="327">
        <f t="shared" si="2"/>
        <v>0</v>
      </c>
      <c r="Q57" s="487" t="s">
        <v>451</v>
      </c>
      <c r="R57" s="488" t="s">
        <v>38</v>
      </c>
      <c r="S57" s="327" t="b">
        <f t="shared" si="56"/>
        <v>1</v>
      </c>
      <c r="T57" s="327">
        <f>VLOOKUP(A57,'Loan List '!$A$6:$BD$1048576,56,FALSE)/100</f>
        <v>0</v>
      </c>
      <c r="U57" s="535">
        <f t="shared" si="25"/>
        <v>0</v>
      </c>
      <c r="V57" s="503">
        <f>VLOOKUP(A57,'Loan List '!$A$6:$BA$82,26, FALSE)</f>
        <v>0</v>
      </c>
      <c r="W57" s="350">
        <f t="shared" si="51"/>
        <v>0</v>
      </c>
      <c r="X57" s="326"/>
      <c r="Y57" s="504">
        <f>VLOOKUP(A57,'Loan List '!$A$6:$BA$75,27, FALSE)</f>
        <v>0</v>
      </c>
      <c r="Z57" s="438"/>
      <c r="AA57" s="330"/>
      <c r="AB57" s="333">
        <f t="shared" si="5"/>
        <v>-0.40477429474467896</v>
      </c>
      <c r="AC57" s="333">
        <f t="shared" si="6"/>
        <v>1.316179674302112E-3</v>
      </c>
      <c r="AD57" s="331">
        <f t="shared" si="26"/>
        <v>0</v>
      </c>
      <c r="AE57" s="320" t="str">
        <f t="shared" si="27"/>
        <v>Class 2</v>
      </c>
      <c r="AF57" s="649">
        <f t="shared" si="28"/>
        <v>5.5</v>
      </c>
      <c r="AG57" s="649">
        <f t="shared" si="29"/>
        <v>6.5</v>
      </c>
      <c r="AH57" s="332">
        <f t="shared" si="30"/>
        <v>-5.378319130311169E-2</v>
      </c>
      <c r="AI57" s="332">
        <f t="shared" si="31"/>
        <v>1.0537831913031117</v>
      </c>
      <c r="AJ57" s="332">
        <f t="shared" si="32"/>
        <v>0.67500000000000004</v>
      </c>
      <c r="AK57" s="332">
        <f t="shared" si="33"/>
        <v>0.35</v>
      </c>
      <c r="AL57" s="332">
        <f t="shared" si="34"/>
        <v>0.33252046282648867</v>
      </c>
      <c r="AM57" s="333">
        <f ca="1">'Diversity Score'!$E$7</f>
        <v>1</v>
      </c>
      <c r="AN57" s="332">
        <f t="shared" ca="1" si="35"/>
        <v>0.33252046282648867</v>
      </c>
      <c r="AO57" s="505">
        <f>VLOOKUP(A57,'Loan List '!$A$6:$BA$75,17, FALSE)</f>
        <v>8.3500000000000005E-2</v>
      </c>
      <c r="AP57" s="493" t="str">
        <f>VLOOKUP(A57,'Loan List '!$A$6:$BA$795,15, FALSE)</f>
        <v>SOFR</v>
      </c>
      <c r="AQ57" s="494">
        <f>VLOOKUP(A57,'Loan List '!$A$6:$BA$795,16, FALSE)</f>
        <v>0.01</v>
      </c>
      <c r="AR57" s="539">
        <v>0</v>
      </c>
      <c r="AS57" s="539">
        <v>7.2499999999999995E-2</v>
      </c>
      <c r="AT57" s="353"/>
      <c r="AU57" s="323">
        <f t="shared" si="52"/>
        <v>1.100000000000001E-2</v>
      </c>
      <c r="AV57" s="323" t="b">
        <f t="shared" si="36"/>
        <v>0</v>
      </c>
      <c r="AW57" s="540" t="b">
        <f t="shared" si="37"/>
        <v>0</v>
      </c>
      <c r="AX57" s="323" t="b">
        <f t="shared" si="53"/>
        <v>1</v>
      </c>
      <c r="AY57" s="353"/>
      <c r="AZ57" s="323" t="b">
        <f t="shared" si="13"/>
        <v>0</v>
      </c>
      <c r="BA57" s="497" t="str">
        <f>'Loan List '!AS46</f>
        <v>Maintenance Covenants</v>
      </c>
      <c r="BB57" s="320" t="b">
        <f t="shared" si="38"/>
        <v>0</v>
      </c>
      <c r="BC57" s="326" t="b">
        <f t="shared" si="39"/>
        <v>0</v>
      </c>
      <c r="BD57" s="320" t="b">
        <f t="shared" si="40"/>
        <v>1</v>
      </c>
      <c r="BE57" s="320" t="b">
        <f t="shared" si="41"/>
        <v>1</v>
      </c>
      <c r="BF57" s="550" t="str">
        <f>'Loan List '!J46</f>
        <v>USD</v>
      </c>
      <c r="BG57" s="497" t="str">
        <f>VLOOKUP(A57,'Loan List '!$A$6:$BZ$75, 23, FALSE)</f>
        <v>USA</v>
      </c>
      <c r="BH57" s="320" t="b">
        <f t="shared" si="42"/>
        <v>0</v>
      </c>
      <c r="BI57" s="320" t="b">
        <f t="shared" si="43"/>
        <v>0</v>
      </c>
      <c r="BJ57" s="320" t="b">
        <f>IF('Loan List '!BP46=1, TRUE, FALSE)</f>
        <v>0</v>
      </c>
      <c r="BK57" s="320" t="b">
        <f t="shared" si="54"/>
        <v>0</v>
      </c>
      <c r="BL57" s="541" t="b">
        <f t="shared" si="55"/>
        <v>0</v>
      </c>
      <c r="BM57" s="320" t="b">
        <f>IF('Loan List '!AT46="Yes", TRUE, FALSE)</f>
        <v>0</v>
      </c>
      <c r="BN57" s="336">
        <f t="shared" ca="1" si="44"/>
        <v>4.1972602739726028</v>
      </c>
      <c r="BO57" s="337">
        <f ca="1">'Concentration Limitations'!H52</f>
        <v>0</v>
      </c>
      <c r="BP57" s="338">
        <f t="shared" ca="1" si="16"/>
        <v>0</v>
      </c>
      <c r="BQ57" s="442"/>
      <c r="BR57" s="443"/>
      <c r="BS57" s="542">
        <f>'Loan List '!AG46</f>
        <v>45747</v>
      </c>
      <c r="BT57" s="650">
        <f>'Loan List '!AO46</f>
        <v>-7.6520968200598852E-2</v>
      </c>
      <c r="BU57" s="650">
        <f>'Loan List '!AI46</f>
        <v>-102.26243305279267</v>
      </c>
      <c r="BV57" s="490"/>
      <c r="BW57" s="377">
        <v>0</v>
      </c>
      <c r="BX57" s="492" t="s">
        <v>1217</v>
      </c>
      <c r="BY57" s="490">
        <f>'Loan List '!AJ46</f>
        <v>-9.1489999999999991</v>
      </c>
      <c r="BZ57" s="490">
        <f>'Loan List '!AL46</f>
        <v>0</v>
      </c>
      <c r="CA57" s="377">
        <v>0</v>
      </c>
      <c r="CB57" s="377">
        <v>0</v>
      </c>
      <c r="CC57" s="545" t="s">
        <v>146</v>
      </c>
      <c r="CD57" s="546" t="s">
        <v>146</v>
      </c>
      <c r="CE57" s="378" t="s">
        <v>1217</v>
      </c>
      <c r="CF57" s="491">
        <f>'Loan List '!AC46</f>
        <v>0.50393334461174089</v>
      </c>
      <c r="CG57" s="491">
        <f>'Loan List '!AD46</f>
        <v>14.733233067226173</v>
      </c>
      <c r="CH57" s="491"/>
      <c r="CI57" s="377">
        <v>0</v>
      </c>
      <c r="CJ57" s="492" t="s">
        <v>1217</v>
      </c>
      <c r="CK57" s="491">
        <f>'Loan List '!AB46</f>
        <v>59.575000000000003</v>
      </c>
      <c r="CL57" s="495">
        <f>'Loan List '!AE46</f>
        <v>0</v>
      </c>
      <c r="CM57" s="377">
        <v>0</v>
      </c>
      <c r="CN57" s="377">
        <v>0</v>
      </c>
      <c r="CO57" s="377" t="s">
        <v>146</v>
      </c>
      <c r="CP57" s="547" t="s">
        <v>146</v>
      </c>
      <c r="CQ57" s="345">
        <f t="shared" si="17"/>
        <v>-1.1518474000952545</v>
      </c>
      <c r="CR57" s="346">
        <f t="shared" si="18"/>
        <v>-7.940936357022256</v>
      </c>
      <c r="CS57" s="347">
        <f t="shared" si="45"/>
        <v>-116.99566612001885</v>
      </c>
      <c r="CT57" s="485">
        <f t="shared" si="46"/>
        <v>-1.1535711288292068</v>
      </c>
      <c r="CU57" s="348">
        <f>IF(OR($CQ57&lt;'Summary '!$I$47,$BT57&lt;'Summary '!$I$46),1,0)</f>
        <v>1</v>
      </c>
      <c r="CV57" s="348">
        <f>IF(OR($CS57&gt;='Summary '!$I$50, (AND(BU57&gt;'Summary '!$I$52, Calcs!CR57&gt; 'Summary '!$I$51))),1,0)</f>
        <v>0</v>
      </c>
      <c r="CW57" s="348">
        <f t="shared" si="60"/>
        <v>1</v>
      </c>
      <c r="CX57" s="447" t="s">
        <v>122</v>
      </c>
      <c r="CY57" s="447" t="s">
        <v>122</v>
      </c>
      <c r="CZ57" t="s">
        <v>231</v>
      </c>
      <c r="DA57" s="352">
        <v>7.2499999999999995E-2</v>
      </c>
      <c r="DD57" s="258">
        <v>0</v>
      </c>
      <c r="DE57" s="258">
        <v>0</v>
      </c>
      <c r="DF57" s="277"/>
      <c r="DI57" s="551" t="str">
        <f t="shared" si="57"/>
        <v>Eligible</v>
      </c>
      <c r="DJ57" s="423" t="str">
        <f t="shared" si="47"/>
        <v>Eligible</v>
      </c>
      <c r="DK57" s="549" t="s">
        <v>1271</v>
      </c>
      <c r="DL57" s="549" t="s">
        <v>1271</v>
      </c>
      <c r="DM57" s="423" t="str">
        <f t="shared" si="58"/>
        <v>Eligible</v>
      </c>
      <c r="DN57" s="423" t="str">
        <f t="shared" si="59"/>
        <v>Not PIK</v>
      </c>
      <c r="DO57" s="424" t="s">
        <v>122</v>
      </c>
      <c r="DP57" s="423" t="str">
        <f t="shared" si="49"/>
        <v>YES</v>
      </c>
    </row>
    <row r="58" spans="1:120" ht="16.5">
      <c r="A58" s="616" t="s">
        <v>1275</v>
      </c>
      <c r="B58" s="36">
        <f>IFERROR(VLOOKUP(A58,'Loan List '!$A$6:$BZ$75,2,FALSE),NA)</f>
        <v>0</v>
      </c>
      <c r="C58" s="498" t="str">
        <f>VLOOKUP(A58,'Loan List '!$A$6:$G$75, 7, FALSE)</f>
        <v>First Lien</v>
      </c>
      <c r="D58" s="498" t="str">
        <f>VLOOKUP(A58, 'Loan List '!$A$6:$K$82, 11, FALSE)</f>
        <v>FL</v>
      </c>
      <c r="E58" s="497" t="b">
        <f t="shared" si="23"/>
        <v>1</v>
      </c>
      <c r="F58" s="497" t="str">
        <f>VLOOKUP(A58,'Loan List '!$A$6:$L$75, 12, FALSE)</f>
        <v>Diversified Consumer Services</v>
      </c>
      <c r="G58" s="320"/>
      <c r="H58" s="533">
        <f t="shared" si="0"/>
        <v>1576230.82</v>
      </c>
      <c r="I58" s="533">
        <f>VLOOKUP(A58,'Loan List '!$A$6:$L$75, 8, FALSE)</f>
        <v>1576230.82</v>
      </c>
      <c r="J58" s="361">
        <v>0</v>
      </c>
      <c r="K58" s="323">
        <f t="shared" si="50"/>
        <v>4.3630273323405026E-3</v>
      </c>
      <c r="L58" s="601">
        <f>VLOOKUP(A58,'Loan List '!$A$6:$BA$82,24, FALSE)</f>
        <v>100</v>
      </c>
      <c r="M58" s="501"/>
      <c r="N58" s="502">
        <f>VLOOKUP(A58,'Loan List '!$A$6:$BA$82,22, FALSE)</f>
        <v>46949</v>
      </c>
      <c r="O58" s="602">
        <f t="shared" si="24"/>
        <v>1576230.82</v>
      </c>
      <c r="P58" s="327">
        <f t="shared" si="2"/>
        <v>1</v>
      </c>
      <c r="Q58" s="487" t="s">
        <v>451</v>
      </c>
      <c r="R58" s="488" t="s">
        <v>38</v>
      </c>
      <c r="S58" s="327" t="b">
        <f t="shared" si="56"/>
        <v>1</v>
      </c>
      <c r="T58" s="327">
        <f>VLOOKUP(A58,'Loan List '!$A$6:$BD$1048576,56,FALSE)/100</f>
        <v>1</v>
      </c>
      <c r="U58" s="535">
        <f t="shared" si="25"/>
        <v>1576230.82</v>
      </c>
      <c r="V58" s="503">
        <f>VLOOKUP(A58,'Loan List '!$A$6:$BA$82,26, FALSE)</f>
        <v>0</v>
      </c>
      <c r="W58" s="350">
        <f t="shared" si="51"/>
        <v>0</v>
      </c>
      <c r="X58" s="326"/>
      <c r="Y58" s="504">
        <f>VLOOKUP(A58,'Loan List '!$A$6:$BA$75,27, FALSE)</f>
        <v>0</v>
      </c>
      <c r="Z58" s="438"/>
      <c r="AA58" s="330"/>
      <c r="AB58" s="333">
        <f t="shared" si="5"/>
        <v>2.1335779859629818E-2</v>
      </c>
      <c r="AC58" s="333">
        <f t="shared" si="6"/>
        <v>3.0541191326383518E-3</v>
      </c>
      <c r="AD58" s="331">
        <f t="shared" si="26"/>
        <v>0</v>
      </c>
      <c r="AE58" s="320" t="str">
        <f t="shared" si="27"/>
        <v>Class 1</v>
      </c>
      <c r="AF58" s="649">
        <f t="shared" si="28"/>
        <v>6</v>
      </c>
      <c r="AG58" s="649">
        <f t="shared" si="29"/>
        <v>7</v>
      </c>
      <c r="AH58" s="332">
        <f t="shared" si="30"/>
        <v>1</v>
      </c>
      <c r="AI58" s="332">
        <f t="shared" si="31"/>
        <v>0</v>
      </c>
      <c r="AJ58" s="332">
        <f t="shared" si="32"/>
        <v>0.7</v>
      </c>
      <c r="AK58" s="332">
        <f t="shared" si="33"/>
        <v>0.4</v>
      </c>
      <c r="AL58" s="332">
        <f t="shared" si="34"/>
        <v>0.7</v>
      </c>
      <c r="AM58" s="333">
        <f ca="1">'Diversity Score'!$E$7</f>
        <v>1</v>
      </c>
      <c r="AN58" s="332">
        <f t="shared" ca="1" si="35"/>
        <v>0.7</v>
      </c>
      <c r="AO58" s="505">
        <f>VLOOKUP(A58,'Loan List '!$A$6:$BA$75,17, FALSE)</f>
        <v>5.2600000000000001E-2</v>
      </c>
      <c r="AP58" s="493" t="str">
        <f>VLOOKUP(A58,'Loan List '!$A$6:$BA$795,15, FALSE)</f>
        <v>SOFR</v>
      </c>
      <c r="AQ58" s="494">
        <f>VLOOKUP(A58,'Loan List '!$A$6:$BA$795,16, FALSE)</f>
        <v>0.01</v>
      </c>
      <c r="AR58" s="539">
        <v>0</v>
      </c>
      <c r="AS58" s="539">
        <v>0</v>
      </c>
      <c r="AT58" s="353"/>
      <c r="AU58" s="323">
        <f t="shared" si="52"/>
        <v>5.2600000000000001E-2</v>
      </c>
      <c r="AV58" s="323" t="b">
        <f t="shared" si="36"/>
        <v>0</v>
      </c>
      <c r="AW58" s="540" t="b">
        <f t="shared" si="37"/>
        <v>0</v>
      </c>
      <c r="AX58" s="323" t="b">
        <f t="shared" si="53"/>
        <v>0</v>
      </c>
      <c r="AY58" s="353"/>
      <c r="AZ58" s="323" t="b">
        <f t="shared" si="13"/>
        <v>0</v>
      </c>
      <c r="BA58" s="497" t="str">
        <f>'Loan List '!AS47</f>
        <v>Cov-Lite</v>
      </c>
      <c r="BB58" s="320" t="b">
        <f t="shared" si="38"/>
        <v>0</v>
      </c>
      <c r="BC58" s="326" t="b">
        <f t="shared" si="39"/>
        <v>0</v>
      </c>
      <c r="BD58" s="320" t="b">
        <f t="shared" si="40"/>
        <v>1</v>
      </c>
      <c r="BE58" s="320" t="b">
        <f t="shared" si="41"/>
        <v>1</v>
      </c>
      <c r="BF58" s="550" t="str">
        <f>'Loan List '!J47</f>
        <v>USD</v>
      </c>
      <c r="BG58" s="497" t="str">
        <f>VLOOKUP(A58,'Loan List '!$A$6:$BZ$75, 23, FALSE)</f>
        <v>USA</v>
      </c>
      <c r="BH58" s="320" t="b">
        <f t="shared" si="42"/>
        <v>0</v>
      </c>
      <c r="BI58" s="320" t="b">
        <f t="shared" si="43"/>
        <v>0</v>
      </c>
      <c r="BJ58" s="320" t="b">
        <f>IF('Loan List '!BP47=1, TRUE, FALSE)</f>
        <v>0</v>
      </c>
      <c r="BK58" s="320" t="b">
        <f t="shared" si="54"/>
        <v>0</v>
      </c>
      <c r="BL58" s="541" t="b">
        <f t="shared" si="55"/>
        <v>0</v>
      </c>
      <c r="BM58" s="320" t="b">
        <f>IF('Loan List '!AT47="Yes", TRUE, FALSE)</f>
        <v>1</v>
      </c>
      <c r="BN58" s="336">
        <f t="shared" ca="1" si="44"/>
        <v>2.9753424657534246</v>
      </c>
      <c r="BO58" s="337">
        <f ca="1">'Concentration Limitations'!H53</f>
        <v>1576230.82</v>
      </c>
      <c r="BP58" s="338">
        <f t="shared" ca="1" si="16"/>
        <v>1103361.574</v>
      </c>
      <c r="BQ58" s="442"/>
      <c r="BR58" s="443"/>
      <c r="BS58" s="542">
        <f>'Loan List '!AG47</f>
        <v>45747</v>
      </c>
      <c r="BT58" s="650">
        <f>'Loan List '!AO47</f>
        <v>1.4486820778017906</v>
      </c>
      <c r="BU58" s="650">
        <f>'Loan List '!AI47</f>
        <v>4.8901320652934004</v>
      </c>
      <c r="BV58" s="490"/>
      <c r="BW58" s="377">
        <v>0</v>
      </c>
      <c r="BX58" s="492" t="s">
        <v>1217</v>
      </c>
      <c r="BY58" s="490">
        <f>'Loan List '!AJ47</f>
        <v>150.15299999999999</v>
      </c>
      <c r="BZ58" s="490">
        <f>'Loan List '!AL47</f>
        <v>0</v>
      </c>
      <c r="CA58" s="377">
        <v>0</v>
      </c>
      <c r="CB58" s="377">
        <v>0</v>
      </c>
      <c r="CC58" s="545" t="s">
        <v>146</v>
      </c>
      <c r="CD58" s="546" t="s">
        <v>146</v>
      </c>
      <c r="CE58" s="378" t="s">
        <v>1217</v>
      </c>
      <c r="CF58" s="491">
        <f>'Loan List '!AC47</f>
        <v>2.8116343490304709</v>
      </c>
      <c r="CG58" s="491">
        <f>'Loan List '!AD47</f>
        <v>3.3596059113300494</v>
      </c>
      <c r="CH58" s="491"/>
      <c r="CI58" s="377">
        <v>0</v>
      </c>
      <c r="CJ58" s="492" t="s">
        <v>1217</v>
      </c>
      <c r="CK58" s="491">
        <f>'Loan List '!AB47</f>
        <v>203</v>
      </c>
      <c r="CL58" s="495">
        <f>'Loan List '!AE47</f>
        <v>0</v>
      </c>
      <c r="CM58" s="377">
        <v>0</v>
      </c>
      <c r="CN58" s="377">
        <v>0</v>
      </c>
      <c r="CO58" s="377" t="s">
        <v>146</v>
      </c>
      <c r="CP58" s="547" t="s">
        <v>146</v>
      </c>
      <c r="CQ58" s="345">
        <f t="shared" si="17"/>
        <v>-0.4847544531168016</v>
      </c>
      <c r="CR58" s="346">
        <f t="shared" si="18"/>
        <v>0.45556716899495636</v>
      </c>
      <c r="CS58" s="347">
        <f t="shared" si="45"/>
        <v>1.530526153963351</v>
      </c>
      <c r="CT58" s="485">
        <f t="shared" si="46"/>
        <v>-0.26033004926108383</v>
      </c>
      <c r="CU58" s="348">
        <f>IF(OR($CQ58&lt;'Summary '!$I$47,$BT58&lt;'Summary '!$I$46),1,0)</f>
        <v>1</v>
      </c>
      <c r="CV58" s="348">
        <f>IF(OR($CS58&gt;='Summary '!$I$50, (AND(BU58&gt;'Summary '!$I$52, Calcs!CR58&gt; 'Summary '!$I$51))),1,0)</f>
        <v>1</v>
      </c>
      <c r="CW58" s="348">
        <f t="shared" si="60"/>
        <v>1</v>
      </c>
      <c r="CX58" s="447" t="s">
        <v>122</v>
      </c>
      <c r="CY58" s="447" t="s">
        <v>122</v>
      </c>
      <c r="CZ58" t="s">
        <v>122</v>
      </c>
      <c r="DA58" s="352"/>
      <c r="DD58" s="258">
        <v>0</v>
      </c>
      <c r="DE58" s="258">
        <v>0</v>
      </c>
      <c r="DF58" s="277"/>
      <c r="DI58" s="551" t="str">
        <f t="shared" si="57"/>
        <v>Eligible</v>
      </c>
      <c r="DJ58" s="423" t="str">
        <f t="shared" si="47"/>
        <v>Eligible</v>
      </c>
      <c r="DK58" s="549" t="s">
        <v>1271</v>
      </c>
      <c r="DL58" s="549" t="s">
        <v>1271</v>
      </c>
      <c r="DM58" s="423" t="str">
        <f t="shared" si="58"/>
        <v>Eligible</v>
      </c>
      <c r="DN58" s="423" t="str">
        <f t="shared" si="59"/>
        <v>Not PIK</v>
      </c>
      <c r="DO58" s="424" t="s">
        <v>122</v>
      </c>
      <c r="DP58" s="423" t="str">
        <f t="shared" si="49"/>
        <v>YES</v>
      </c>
    </row>
    <row r="59" spans="1:120" ht="16.5">
      <c r="A59" s="616" t="s">
        <v>1276</v>
      </c>
      <c r="B59" s="36">
        <f>IFERROR(VLOOKUP(A59,'Loan List '!$A$6:$BZ$75,2,FALSE),NA)</f>
        <v>0</v>
      </c>
      <c r="C59" s="498" t="str">
        <f>VLOOKUP(A59,'Loan List '!$A$6:$G$75, 7, FALSE)</f>
        <v>First Lien</v>
      </c>
      <c r="D59" s="498" t="str">
        <f>VLOOKUP(A59, 'Loan List '!$A$6:$K$82, 11, FALSE)</f>
        <v xml:space="preserve">FLLO </v>
      </c>
      <c r="E59" s="497" t="b">
        <f t="shared" si="23"/>
        <v>1</v>
      </c>
      <c r="F59" s="497" t="str">
        <f>VLOOKUP(A59,'Loan List '!$A$6:$L$75, 12, FALSE)</f>
        <v>Diversified Consumer Services</v>
      </c>
      <c r="G59" s="320"/>
      <c r="H59" s="533">
        <f t="shared" si="0"/>
        <v>5725814.4500000002</v>
      </c>
      <c r="I59" s="533">
        <f>VLOOKUP(A59,'Loan List '!$A$6:$L$75, 8, FALSE)</f>
        <v>5725814.4500000002</v>
      </c>
      <c r="J59" s="361">
        <v>0</v>
      </c>
      <c r="K59" s="323">
        <f t="shared" si="50"/>
        <v>1.5849128584644857E-2</v>
      </c>
      <c r="L59" s="601">
        <f>VLOOKUP(A59,'Loan List '!$A$6:$BA$82,24, FALSE)</f>
        <v>100</v>
      </c>
      <c r="M59" s="501"/>
      <c r="N59" s="502">
        <f>VLOOKUP(A59,'Loan List '!$A$6:$BA$82,22, FALSE)</f>
        <v>47041</v>
      </c>
      <c r="O59" s="602">
        <f t="shared" si="24"/>
        <v>5725814.4500000002</v>
      </c>
      <c r="P59" s="327">
        <f t="shared" si="2"/>
        <v>0.92400000000000004</v>
      </c>
      <c r="Q59" s="487" t="s">
        <v>451</v>
      </c>
      <c r="R59" s="488" t="s">
        <v>38</v>
      </c>
      <c r="S59" s="327" t="b">
        <f t="shared" si="56"/>
        <v>1</v>
      </c>
      <c r="T59" s="327">
        <f>VLOOKUP(A59,'Loan List '!$A$6:$BD$1048576,56,FALSE)/100</f>
        <v>0.92400000000000004</v>
      </c>
      <c r="U59" s="535">
        <f t="shared" si="25"/>
        <v>5290652.5518000005</v>
      </c>
      <c r="V59" s="503">
        <f>VLOOKUP(A59,'Loan List '!$A$6:$BA$82,26, FALSE)</f>
        <v>0</v>
      </c>
      <c r="W59" s="350">
        <f t="shared" si="51"/>
        <v>0</v>
      </c>
      <c r="X59" s="326"/>
      <c r="Y59" s="504">
        <f>VLOOKUP(A59,'Loan List '!$A$6:$BA$75,27, FALSE)</f>
        <v>0</v>
      </c>
      <c r="Z59" s="438"/>
      <c r="AA59" s="330"/>
      <c r="AB59" s="333">
        <f t="shared" si="5"/>
        <v>7.7504331898730031E-2</v>
      </c>
      <c r="AC59" s="333">
        <f t="shared" si="6"/>
        <v>1.1094390009251399E-2</v>
      </c>
      <c r="AD59" s="331">
        <f t="shared" si="26"/>
        <v>0</v>
      </c>
      <c r="AE59" s="320" t="str">
        <f t="shared" si="27"/>
        <v>Class 1</v>
      </c>
      <c r="AF59" s="649">
        <f t="shared" si="28"/>
        <v>6</v>
      </c>
      <c r="AG59" s="649">
        <f t="shared" si="29"/>
        <v>8</v>
      </c>
      <c r="AH59" s="332">
        <f t="shared" si="30"/>
        <v>1</v>
      </c>
      <c r="AI59" s="332">
        <f t="shared" si="31"/>
        <v>0</v>
      </c>
      <c r="AJ59" s="332">
        <f t="shared" si="32"/>
        <v>0.7</v>
      </c>
      <c r="AK59" s="332">
        <f t="shared" si="33"/>
        <v>0.4</v>
      </c>
      <c r="AL59" s="332">
        <f t="shared" si="34"/>
        <v>0.7</v>
      </c>
      <c r="AM59" s="333">
        <f ca="1">'Diversity Score'!$E$7</f>
        <v>1</v>
      </c>
      <c r="AN59" s="332">
        <f t="shared" ca="1" si="35"/>
        <v>0.7</v>
      </c>
      <c r="AO59" s="505">
        <f>VLOOKUP(A59,'Loan List '!$A$6:$BA$75,17, FALSE)</f>
        <v>5.7599999999999998E-2</v>
      </c>
      <c r="AP59" s="493" t="str">
        <f>VLOOKUP(A59,'Loan List '!$A$6:$BA$795,15, FALSE)</f>
        <v>SOFR</v>
      </c>
      <c r="AQ59" s="494">
        <f>VLOOKUP(A59,'Loan List '!$A$6:$BA$795,16, FALSE)</f>
        <v>0.01</v>
      </c>
      <c r="AR59" s="539">
        <v>0</v>
      </c>
      <c r="AS59" s="539">
        <v>0</v>
      </c>
      <c r="AT59" s="353"/>
      <c r="AU59" s="323">
        <f t="shared" si="52"/>
        <v>5.7599999999999998E-2</v>
      </c>
      <c r="AV59" s="323" t="b">
        <f t="shared" si="36"/>
        <v>0</v>
      </c>
      <c r="AW59" s="540" t="b">
        <f t="shared" si="37"/>
        <v>0</v>
      </c>
      <c r="AX59" s="323" t="b">
        <f t="shared" si="53"/>
        <v>0</v>
      </c>
      <c r="AY59" s="353"/>
      <c r="AZ59" s="323" t="b">
        <f t="shared" si="13"/>
        <v>0</v>
      </c>
      <c r="BA59" s="497" t="str">
        <f>'Loan List '!AS48</f>
        <v>Cov-Lite</v>
      </c>
      <c r="BB59" s="320" t="b">
        <f t="shared" si="38"/>
        <v>1</v>
      </c>
      <c r="BC59" s="326" t="b">
        <f t="shared" si="39"/>
        <v>0</v>
      </c>
      <c r="BD59" s="320" t="b">
        <f t="shared" si="40"/>
        <v>1</v>
      </c>
      <c r="BE59" s="320" t="b">
        <f t="shared" si="41"/>
        <v>1</v>
      </c>
      <c r="BF59" s="550" t="str">
        <f>'Loan List '!J48</f>
        <v>USD</v>
      </c>
      <c r="BG59" s="497" t="str">
        <f>VLOOKUP(A59,'Loan List '!$A$6:$BZ$75, 23, FALSE)</f>
        <v>USA</v>
      </c>
      <c r="BH59" s="320" t="b">
        <f t="shared" si="42"/>
        <v>0</v>
      </c>
      <c r="BI59" s="320" t="b">
        <f t="shared" si="43"/>
        <v>0</v>
      </c>
      <c r="BJ59" s="320" t="b">
        <f>IF('Loan List '!BP48=1, TRUE, FALSE)</f>
        <v>0</v>
      </c>
      <c r="BK59" s="320" t="b">
        <f t="shared" si="54"/>
        <v>0</v>
      </c>
      <c r="BL59" s="541" t="b">
        <f t="shared" si="55"/>
        <v>0</v>
      </c>
      <c r="BM59" s="320" t="b">
        <f>IF('Loan List '!AT48="Yes", TRUE, FALSE)</f>
        <v>1</v>
      </c>
      <c r="BN59" s="336">
        <f t="shared" ca="1" si="44"/>
        <v>3.2273972602739724</v>
      </c>
      <c r="BO59" s="337">
        <f ca="1">'Concentration Limitations'!H54</f>
        <v>5290652.5518000005</v>
      </c>
      <c r="BP59" s="338">
        <f t="shared" ca="1" si="16"/>
        <v>3703456.78626</v>
      </c>
      <c r="BQ59" s="442"/>
      <c r="BR59" s="443"/>
      <c r="BS59" s="542">
        <f>'Loan List '!AG48</f>
        <v>45747</v>
      </c>
      <c r="BT59" s="650">
        <f>'Loan List '!AO48</f>
        <v>1.4486820778017906</v>
      </c>
      <c r="BU59" s="650">
        <f>'Loan List '!AI48</f>
        <v>4.8901320652934004</v>
      </c>
      <c r="BV59" s="490"/>
      <c r="BW59" s="377">
        <v>0</v>
      </c>
      <c r="BX59" s="492" t="s">
        <v>1217</v>
      </c>
      <c r="BY59" s="490">
        <f>'Loan List '!AJ48</f>
        <v>150.15299999999999</v>
      </c>
      <c r="BZ59" s="490">
        <f>'Loan List '!AL48</f>
        <v>0</v>
      </c>
      <c r="CA59" s="377">
        <v>0</v>
      </c>
      <c r="CB59" s="377">
        <v>0</v>
      </c>
      <c r="CC59" s="545" t="s">
        <v>146</v>
      </c>
      <c r="CD59" s="546" t="s">
        <v>146</v>
      </c>
      <c r="CE59" s="378" t="s">
        <v>1217</v>
      </c>
      <c r="CF59" s="491">
        <f>'Loan List '!AC48</f>
        <v>2.8116343490304709</v>
      </c>
      <c r="CG59" s="491">
        <f>'Loan List '!AD48</f>
        <v>3.3596059113300494</v>
      </c>
      <c r="CH59" s="491"/>
      <c r="CI59" s="377">
        <v>0</v>
      </c>
      <c r="CJ59" s="492" t="s">
        <v>1217</v>
      </c>
      <c r="CK59" s="491">
        <f>'Loan List '!AB48</f>
        <v>203</v>
      </c>
      <c r="CL59" s="495">
        <f>'Loan List '!AE48</f>
        <v>0</v>
      </c>
      <c r="CM59" s="377">
        <v>0</v>
      </c>
      <c r="CN59" s="377">
        <v>0</v>
      </c>
      <c r="CO59" s="377" t="s">
        <v>146</v>
      </c>
      <c r="CP59" s="547" t="s">
        <v>146</v>
      </c>
      <c r="CQ59" s="345">
        <f t="shared" si="17"/>
        <v>-0.4847544531168016</v>
      </c>
      <c r="CR59" s="346">
        <f t="shared" si="18"/>
        <v>0.45556716899495636</v>
      </c>
      <c r="CS59" s="347">
        <f t="shared" si="45"/>
        <v>1.530526153963351</v>
      </c>
      <c r="CT59" s="485">
        <f t="shared" si="46"/>
        <v>-0.26033004926108383</v>
      </c>
      <c r="CU59" s="348">
        <f>IF(OR($CQ59&lt;'Summary '!$I$47,$BT59&lt;'Summary '!$I$46),1,0)</f>
        <v>1</v>
      </c>
      <c r="CV59" s="348">
        <f>IF(OR($CS59&gt;='Summary '!$I$50, (AND(BU59&gt;'Summary '!$I$52, Calcs!CR59&gt; 'Summary '!$I$51))),1,0)</f>
        <v>1</v>
      </c>
      <c r="CW59" s="348">
        <f t="shared" si="60"/>
        <v>1</v>
      </c>
      <c r="CX59" s="447" t="s">
        <v>122</v>
      </c>
      <c r="CY59" s="447" t="s">
        <v>122</v>
      </c>
      <c r="CZ59" t="s">
        <v>122</v>
      </c>
      <c r="DA59" s="352"/>
      <c r="DD59" s="258">
        <v>0</v>
      </c>
      <c r="DE59" s="258">
        <v>0</v>
      </c>
      <c r="DF59" s="277"/>
      <c r="DI59" s="551" t="str">
        <f t="shared" si="57"/>
        <v>Eligible</v>
      </c>
      <c r="DJ59" s="423" t="str">
        <f t="shared" si="47"/>
        <v>Eligible</v>
      </c>
      <c r="DK59" s="549" t="s">
        <v>1271</v>
      </c>
      <c r="DL59" s="549" t="s">
        <v>1271</v>
      </c>
      <c r="DM59" s="423" t="str">
        <f t="shared" si="58"/>
        <v>Eligible</v>
      </c>
      <c r="DN59" s="423" t="str">
        <f t="shared" si="59"/>
        <v>Not PIK</v>
      </c>
      <c r="DO59" s="424" t="s">
        <v>122</v>
      </c>
      <c r="DP59" s="423" t="str">
        <f t="shared" si="49"/>
        <v>YES</v>
      </c>
    </row>
    <row r="60" spans="1:120" ht="16.5">
      <c r="A60" s="616" t="s">
        <v>1152</v>
      </c>
      <c r="B60" s="36">
        <f>IFERROR(VLOOKUP(A60,'Loan List '!$A$6:$BZ$75,2,FALSE),NA)</f>
        <v>0</v>
      </c>
      <c r="C60" s="498" t="str">
        <f>VLOOKUP(A60,'Loan List '!$A$6:$G$75, 7, FALSE)</f>
        <v>First Lien</v>
      </c>
      <c r="D60" s="498" t="str">
        <f>VLOOKUP(A60, 'Loan List '!$A$6:$K$82, 11, FALSE)</f>
        <v>FL</v>
      </c>
      <c r="E60" s="497" t="b">
        <f t="shared" si="23"/>
        <v>1</v>
      </c>
      <c r="F60" s="497" t="str">
        <f>VLOOKUP(A60,'Loan List '!$A$6:$L$75, 12, FALSE)</f>
        <v>Leisure Products</v>
      </c>
      <c r="G60" s="320"/>
      <c r="H60" s="533">
        <f t="shared" si="0"/>
        <v>8862707.1400000006</v>
      </c>
      <c r="I60" s="533">
        <f>VLOOKUP(A60,'Loan List '!$A$6:$L$75, 8, FALSE)</f>
        <v>8862707.1400000006</v>
      </c>
      <c r="J60" s="361">
        <v>0</v>
      </c>
      <c r="K60" s="323">
        <f t="shared" si="50"/>
        <v>2.4532088194005323E-2</v>
      </c>
      <c r="L60" s="601">
        <f>VLOOKUP(A60,'Loan List '!$A$6:$BA$82,24, FALSE)</f>
        <v>100</v>
      </c>
      <c r="M60" s="501"/>
      <c r="N60" s="502">
        <f>VLOOKUP(A60,'Loan List '!$A$6:$BA$82,22, FALSE)</f>
        <v>47241</v>
      </c>
      <c r="O60" s="602">
        <f t="shared" si="24"/>
        <v>8862707.1400000006</v>
      </c>
      <c r="P60" s="327">
        <f t="shared" si="2"/>
        <v>1</v>
      </c>
      <c r="Q60" s="487" t="s">
        <v>451</v>
      </c>
      <c r="R60" s="488" t="s">
        <v>38</v>
      </c>
      <c r="S60" s="327" t="b">
        <f t="shared" si="56"/>
        <v>0</v>
      </c>
      <c r="T60" s="327">
        <f>VLOOKUP(A60,'Loan List '!$A$6:$BD$1048576,56,FALSE)/100</f>
        <v>1</v>
      </c>
      <c r="U60" s="535">
        <f t="shared" si="25"/>
        <v>8862707.1400000006</v>
      </c>
      <c r="V60" s="503">
        <f>VLOOKUP(A60,'Loan List '!$A$6:$BA$82,26, FALSE)</f>
        <v>0</v>
      </c>
      <c r="W60" s="350">
        <f t="shared" si="51"/>
        <v>0</v>
      </c>
      <c r="X60" s="326"/>
      <c r="Y60" s="504">
        <f>VLOOKUP(A60,'Loan List '!$A$6:$BA$75,27, FALSE)</f>
        <v>0</v>
      </c>
      <c r="Z60" s="438"/>
      <c r="AA60" s="330"/>
      <c r="AB60" s="333">
        <f t="shared" si="5"/>
        <v>0.10787125594086409</v>
      </c>
      <c r="AC60" s="333">
        <f t="shared" si="6"/>
        <v>1.6559159530953594E-2</v>
      </c>
      <c r="AD60" s="331">
        <f t="shared" si="26"/>
        <v>0</v>
      </c>
      <c r="AE60" s="320" t="str">
        <f t="shared" si="27"/>
        <v>Class 2</v>
      </c>
      <c r="AF60" s="649">
        <f t="shared" si="28"/>
        <v>5.5</v>
      </c>
      <c r="AG60" s="649">
        <f t="shared" si="29"/>
        <v>6.5</v>
      </c>
      <c r="AH60" s="332">
        <f t="shared" si="30"/>
        <v>1</v>
      </c>
      <c r="AI60" s="332">
        <f t="shared" si="31"/>
        <v>0</v>
      </c>
      <c r="AJ60" s="332">
        <f t="shared" si="32"/>
        <v>0.67500000000000004</v>
      </c>
      <c r="AK60" s="332">
        <f t="shared" si="33"/>
        <v>0.35</v>
      </c>
      <c r="AL60" s="332">
        <f t="shared" si="34"/>
        <v>0.67500000000000004</v>
      </c>
      <c r="AM60" s="333">
        <f ca="1">'Diversity Score'!$E$7</f>
        <v>1</v>
      </c>
      <c r="AN60" s="332">
        <f t="shared" ca="1" si="35"/>
        <v>0.67500000000000004</v>
      </c>
      <c r="AO60" s="505">
        <f>VLOOKUP(A60,'Loan List '!$A$6:$BA$75,17, FALSE)</f>
        <v>5.7500000000000002E-2</v>
      </c>
      <c r="AP60" s="493" t="str">
        <f>VLOOKUP(A60,'Loan List '!$A$6:$BA$795,15, FALSE)</f>
        <v>SOFR</v>
      </c>
      <c r="AQ60" s="494">
        <f>VLOOKUP(A60,'Loan List '!$A$6:$BA$795,16, FALSE)</f>
        <v>0.01</v>
      </c>
      <c r="AR60" s="539">
        <v>0</v>
      </c>
      <c r="AS60" s="539">
        <v>0</v>
      </c>
      <c r="AT60" s="353"/>
      <c r="AU60" s="323">
        <f t="shared" si="52"/>
        <v>5.7500000000000002E-2</v>
      </c>
      <c r="AV60" s="323" t="b">
        <f t="shared" si="36"/>
        <v>0</v>
      </c>
      <c r="AW60" s="540" t="b">
        <f t="shared" si="37"/>
        <v>0</v>
      </c>
      <c r="AX60" s="323" t="b">
        <f t="shared" si="53"/>
        <v>0</v>
      </c>
      <c r="AY60" s="353"/>
      <c r="AZ60" s="323" t="b">
        <f t="shared" si="13"/>
        <v>0</v>
      </c>
      <c r="BA60" s="497" t="str">
        <f>'Loan List '!AS49</f>
        <v>Maintenance Covenants</v>
      </c>
      <c r="BB60" s="320" t="b">
        <f t="shared" si="38"/>
        <v>0</v>
      </c>
      <c r="BC60" s="326" t="b">
        <f t="shared" si="39"/>
        <v>0</v>
      </c>
      <c r="BD60" s="320" t="b">
        <f t="shared" si="40"/>
        <v>1</v>
      </c>
      <c r="BE60" s="320" t="b">
        <f t="shared" si="41"/>
        <v>1</v>
      </c>
      <c r="BF60" s="550" t="str">
        <f>'Loan List '!J49</f>
        <v>USD</v>
      </c>
      <c r="BG60" s="497" t="str">
        <f>VLOOKUP(A60,'Loan List '!$A$6:$BZ$75, 23, FALSE)</f>
        <v>USA</v>
      </c>
      <c r="BH60" s="320" t="b">
        <f t="shared" si="42"/>
        <v>0</v>
      </c>
      <c r="BI60" s="320" t="b">
        <f t="shared" si="43"/>
        <v>0</v>
      </c>
      <c r="BJ60" s="320" t="b">
        <f>IF('Loan List '!BP49=1, TRUE, FALSE)</f>
        <v>0</v>
      </c>
      <c r="BK60" s="320" t="b">
        <f t="shared" si="54"/>
        <v>0</v>
      </c>
      <c r="BL60" s="541" t="b">
        <f t="shared" si="55"/>
        <v>0</v>
      </c>
      <c r="BM60" s="320" t="b">
        <f>IF('Loan List '!AT49="Yes", TRUE, FALSE)</f>
        <v>0</v>
      </c>
      <c r="BN60" s="336">
        <f t="shared" ca="1" si="44"/>
        <v>3.7753424657534245</v>
      </c>
      <c r="BO60" s="337">
        <f ca="1">'Concentration Limitations'!H55</f>
        <v>8862707.1400000006</v>
      </c>
      <c r="BP60" s="338">
        <f t="shared" ca="1" si="16"/>
        <v>5982327.3195000011</v>
      </c>
      <c r="BQ60" s="442"/>
      <c r="BR60" s="443"/>
      <c r="BS60" s="542">
        <f>'Loan List '!AG49</f>
        <v>45777</v>
      </c>
      <c r="BT60" s="650">
        <f>'Loan List '!AO49</f>
        <v>1.8625228175866675</v>
      </c>
      <c r="BU60" s="650">
        <f>'Loan List '!AI49</f>
        <v>4.397149361595055</v>
      </c>
      <c r="BV60" s="490"/>
      <c r="BW60" s="377">
        <v>0</v>
      </c>
      <c r="BX60" s="492" t="s">
        <v>1217</v>
      </c>
      <c r="BY60" s="490">
        <f>'Loan List '!AJ49</f>
        <v>31.900467938418402</v>
      </c>
      <c r="BZ60" s="490">
        <f>'Loan List '!AL49</f>
        <v>0</v>
      </c>
      <c r="CA60" s="377">
        <v>0</v>
      </c>
      <c r="CB60" s="377">
        <v>0</v>
      </c>
      <c r="CC60" s="545" t="s">
        <v>146</v>
      </c>
      <c r="CD60" s="546" t="s">
        <v>146</v>
      </c>
      <c r="CE60" s="378" t="s">
        <v>1217</v>
      </c>
      <c r="CF60" s="491">
        <f>'Loan List '!AC49</f>
        <v>1.75</v>
      </c>
      <c r="CG60" s="491">
        <f>'Loan List '!AD49</f>
        <v>3.92</v>
      </c>
      <c r="CH60" s="491"/>
      <c r="CI60" s="377">
        <v>0</v>
      </c>
      <c r="CJ60" s="492" t="s">
        <v>1217</v>
      </c>
      <c r="CK60" s="491">
        <f>'Loan List '!AB49</f>
        <v>30.58</v>
      </c>
      <c r="CL60" s="495">
        <f>'Loan List '!AE49</f>
        <v>0</v>
      </c>
      <c r="CM60" s="377">
        <v>0</v>
      </c>
      <c r="CN60" s="377">
        <v>0</v>
      </c>
      <c r="CO60" s="377" t="s">
        <v>146</v>
      </c>
      <c r="CP60" s="547" t="s">
        <v>146</v>
      </c>
      <c r="CQ60" s="345">
        <f t="shared" si="17"/>
        <v>6.4298752906667131E-2</v>
      </c>
      <c r="CR60" s="346">
        <f t="shared" si="18"/>
        <v>0.12172177591710588</v>
      </c>
      <c r="CS60" s="347">
        <f t="shared" si="45"/>
        <v>0.47714936159505505</v>
      </c>
      <c r="CT60" s="485">
        <f t="shared" si="46"/>
        <v>4.3180769732452662E-2</v>
      </c>
      <c r="CU60" s="348">
        <f>IF(OR($CQ60&lt;'Summary '!$I$47,$BT60&lt;'Summary '!$I$46),1,0)</f>
        <v>0</v>
      </c>
      <c r="CV60" s="348">
        <f>IF(OR($CS60&gt;='Summary '!$I$50, (AND(BU60&gt;'Summary '!$I$52, Calcs!CR60&gt; 'Summary '!$I$51))),1,0)</f>
        <v>0</v>
      </c>
      <c r="CW60" s="348">
        <f t="shared" si="60"/>
        <v>0</v>
      </c>
      <c r="CX60" s="447" t="s">
        <v>122</v>
      </c>
      <c r="CY60" s="447" t="s">
        <v>122</v>
      </c>
      <c r="CZ60" t="s">
        <v>122</v>
      </c>
      <c r="DA60" s="352"/>
      <c r="DD60" s="258">
        <v>0</v>
      </c>
      <c r="DE60" s="258">
        <v>0</v>
      </c>
      <c r="DF60" s="277"/>
      <c r="DI60" s="551" t="str">
        <f t="shared" si="57"/>
        <v>Eligible</v>
      </c>
      <c r="DJ60" s="423" t="str">
        <f t="shared" si="47"/>
        <v>Eligible</v>
      </c>
      <c r="DK60" s="549" t="s">
        <v>1271</v>
      </c>
      <c r="DL60" s="549" t="s">
        <v>1271</v>
      </c>
      <c r="DM60" s="423" t="str">
        <f t="shared" si="58"/>
        <v>Eligible</v>
      </c>
      <c r="DN60" s="423" t="str">
        <f t="shared" si="59"/>
        <v>Not PIK</v>
      </c>
      <c r="DO60" s="424" t="s">
        <v>122</v>
      </c>
      <c r="DP60" s="423" t="str">
        <f t="shared" si="49"/>
        <v>YES</v>
      </c>
    </row>
    <row r="61" spans="1:120" ht="16.5">
      <c r="A61" s="616" t="s">
        <v>1303</v>
      </c>
      <c r="B61" s="36">
        <f>IFERROR(VLOOKUP(A61,'Loan List '!$A$6:$BZ$75,2,FALSE),NA)</f>
        <v>0</v>
      </c>
      <c r="C61" s="498" t="str">
        <f>VLOOKUP(A61,'Loan List '!$A$6:$G$75, 7, FALSE)</f>
        <v>First Lien</v>
      </c>
      <c r="D61" s="498" t="str">
        <f>VLOOKUP(A61, 'Loan List '!$A$6:$K$82, 11, FALSE)</f>
        <v>FL</v>
      </c>
      <c r="E61" s="497" t="b">
        <f t="shared" si="23"/>
        <v>1</v>
      </c>
      <c r="F61" s="497" t="str">
        <f>VLOOKUP(A61,'Loan List '!$A$6:$L$75, 12, FALSE)</f>
        <v>Aerospace &amp; Defense</v>
      </c>
      <c r="G61" s="320"/>
      <c r="H61" s="533">
        <f t="shared" si="0"/>
        <v>790000</v>
      </c>
      <c r="I61" s="533">
        <f>VLOOKUP(A61,'Loan List '!$A$6:$L$75, 8, FALSE)</f>
        <v>790000</v>
      </c>
      <c r="J61" s="361">
        <v>0</v>
      </c>
      <c r="K61" s="323">
        <f t="shared" si="50"/>
        <v>2.1867302357081162E-3</v>
      </c>
      <c r="L61" s="601">
        <f>VLOOKUP(A61,'Loan List '!$A$6:$BA$82,24, FALSE)</f>
        <v>100</v>
      </c>
      <c r="M61" s="501"/>
      <c r="N61" s="502">
        <f>VLOOKUP(A61,'Loan List '!$A$6:$BA$82,22, FALSE)</f>
        <v>47788</v>
      </c>
      <c r="O61" s="602">
        <f t="shared" si="24"/>
        <v>790000</v>
      </c>
      <c r="P61" s="327">
        <f t="shared" si="2"/>
        <v>1</v>
      </c>
      <c r="Q61" s="487" t="s">
        <v>451</v>
      </c>
      <c r="R61" s="488" t="s">
        <v>38</v>
      </c>
      <c r="S61" s="327" t="b">
        <f t="shared" si="56"/>
        <v>1</v>
      </c>
      <c r="T61" s="327">
        <f>VLOOKUP(A61,'Loan List '!$A$6:$BD$1048576,56,FALSE)/100</f>
        <v>1</v>
      </c>
      <c r="U61" s="535">
        <f t="shared" si="25"/>
        <v>790000</v>
      </c>
      <c r="V61" s="503">
        <f>VLOOKUP(A61,'Loan List '!$A$6:$BA$82,26, FALSE)</f>
        <v>0</v>
      </c>
      <c r="W61" s="350">
        <f t="shared" si="51"/>
        <v>0</v>
      </c>
      <c r="X61" s="326"/>
      <c r="Y61" s="504">
        <f>VLOOKUP(A61,'Loan List '!$A$6:$BA$75,27, FALSE)</f>
        <v>0</v>
      </c>
      <c r="Z61" s="438"/>
      <c r="AA61" s="330"/>
      <c r="AB61" s="333">
        <f t="shared" si="5"/>
        <v>6.1500733362301468E-3</v>
      </c>
      <c r="AC61" s="333">
        <f t="shared" si="6"/>
        <v>1.4760429091029786E-3</v>
      </c>
      <c r="AD61" s="331">
        <f t="shared" si="26"/>
        <v>0</v>
      </c>
      <c r="AE61" s="320" t="str">
        <f t="shared" si="27"/>
        <v>Class 2</v>
      </c>
      <c r="AF61" s="649">
        <f t="shared" si="28"/>
        <v>5.5</v>
      </c>
      <c r="AG61" s="649">
        <f t="shared" si="29"/>
        <v>6.5</v>
      </c>
      <c r="AH61" s="332">
        <f t="shared" si="30"/>
        <v>1</v>
      </c>
      <c r="AI61" s="332">
        <f t="shared" si="31"/>
        <v>0</v>
      </c>
      <c r="AJ61" s="332">
        <f t="shared" si="32"/>
        <v>0.67500000000000004</v>
      </c>
      <c r="AK61" s="332">
        <f t="shared" si="33"/>
        <v>0.35</v>
      </c>
      <c r="AL61" s="332">
        <f t="shared" si="34"/>
        <v>0.67500000000000004</v>
      </c>
      <c r="AM61" s="333">
        <f ca="1">'Diversity Score'!$E$7</f>
        <v>1</v>
      </c>
      <c r="AN61" s="332">
        <f t="shared" ca="1" si="35"/>
        <v>0.67500000000000004</v>
      </c>
      <c r="AO61" s="505">
        <f>VLOOKUP(A61,'Loan List '!$A$6:$BA$75,17, FALSE)</f>
        <v>5.2499999999999998E-2</v>
      </c>
      <c r="AP61" s="493" t="str">
        <f>VLOOKUP(A61,'Loan List '!$A$6:$BA$795,15, FALSE)</f>
        <v>SOFR</v>
      </c>
      <c r="AQ61" s="494">
        <f>VLOOKUP(A61,'Loan List '!$A$6:$BA$795,16, FALSE)</f>
        <v>0.01</v>
      </c>
      <c r="AR61" s="539">
        <v>0</v>
      </c>
      <c r="AS61" s="539">
        <v>0</v>
      </c>
      <c r="AT61" s="353"/>
      <c r="AU61" s="323">
        <f t="shared" si="52"/>
        <v>5.2499999999999998E-2</v>
      </c>
      <c r="AV61" s="323" t="b">
        <f t="shared" si="36"/>
        <v>0</v>
      </c>
      <c r="AW61" s="540" t="b">
        <f t="shared" si="37"/>
        <v>0</v>
      </c>
      <c r="AX61" s="323" t="b">
        <f t="shared" si="53"/>
        <v>0</v>
      </c>
      <c r="AY61" s="353"/>
      <c r="AZ61" s="323" t="b">
        <f t="shared" si="13"/>
        <v>0</v>
      </c>
      <c r="BA61" s="497" t="str">
        <f>'Loan List '!AS50</f>
        <v>Maintenance Covenants</v>
      </c>
      <c r="BB61" s="320" t="b">
        <f t="shared" si="38"/>
        <v>0</v>
      </c>
      <c r="BC61" s="326" t="b">
        <f t="shared" si="39"/>
        <v>0</v>
      </c>
      <c r="BD61" s="320" t="b">
        <f t="shared" si="40"/>
        <v>1</v>
      </c>
      <c r="BE61" s="320" t="b">
        <f t="shared" si="41"/>
        <v>1</v>
      </c>
      <c r="BF61" s="550" t="str">
        <f>'Loan List '!J50</f>
        <v>USD</v>
      </c>
      <c r="BG61" s="497" t="str">
        <f>VLOOKUP(A61,'Loan List '!$A$6:$BZ$75, 23, FALSE)</f>
        <v>USA</v>
      </c>
      <c r="BH61" s="320" t="b">
        <f t="shared" si="42"/>
        <v>0</v>
      </c>
      <c r="BI61" s="320" t="b">
        <f t="shared" si="43"/>
        <v>0</v>
      </c>
      <c r="BJ61" s="320" t="b">
        <f>IF('Loan List '!BP50=1, TRUE, FALSE)</f>
        <v>0</v>
      </c>
      <c r="BK61" s="320" t="b">
        <f t="shared" si="54"/>
        <v>0</v>
      </c>
      <c r="BL61" s="541" t="b">
        <f t="shared" si="55"/>
        <v>0</v>
      </c>
      <c r="BM61" s="320" t="b">
        <f>IF('Loan List '!AT50="Yes", TRUE, FALSE)</f>
        <v>0</v>
      </c>
      <c r="BN61" s="336">
        <f t="shared" ca="1" si="44"/>
        <v>5.2739726027397262</v>
      </c>
      <c r="BO61" s="337">
        <f ca="1">'Concentration Limitations'!H56</f>
        <v>790000</v>
      </c>
      <c r="BP61" s="338">
        <f t="shared" ca="1" si="16"/>
        <v>533250</v>
      </c>
      <c r="BQ61" s="442"/>
      <c r="BR61" s="443"/>
      <c r="BS61" s="542">
        <f>'Loan List '!AG50</f>
        <v>45747</v>
      </c>
      <c r="BT61" s="650">
        <f>'Loan List '!AO50</f>
        <v>3.2544514181818185</v>
      </c>
      <c r="BU61" s="650">
        <f>'Loan List '!AI50</f>
        <v>2.8124517765395987</v>
      </c>
      <c r="BV61" s="490"/>
      <c r="BW61" s="377">
        <v>0</v>
      </c>
      <c r="BX61" s="492" t="s">
        <v>1217</v>
      </c>
      <c r="BY61" s="490">
        <f>'Loan List '!AJ50</f>
        <v>89.497414000000006</v>
      </c>
      <c r="BZ61" s="490">
        <f>'Loan List '!AL50</f>
        <v>0</v>
      </c>
      <c r="CA61" s="377">
        <v>0</v>
      </c>
      <c r="CB61" s="377">
        <v>0</v>
      </c>
      <c r="CC61" s="545" t="s">
        <v>146</v>
      </c>
      <c r="CD61" s="546" t="s">
        <v>146</v>
      </c>
      <c r="CE61" s="378" t="s">
        <v>1217</v>
      </c>
      <c r="CF61" s="491">
        <f>'Loan List '!AC50</f>
        <v>6.5855168255177441</v>
      </c>
      <c r="CG61" s="491">
        <f>'Loan List '!AD50</f>
        <v>2.073567133871002</v>
      </c>
      <c r="CH61" s="491"/>
      <c r="CI61" s="377">
        <v>0</v>
      </c>
      <c r="CJ61" s="492" t="s">
        <v>1217</v>
      </c>
      <c r="CK61" s="491">
        <f>'Loan List '!AB50</f>
        <v>35.32387358650945</v>
      </c>
      <c r="CL61" s="495">
        <f>'Loan List '!AE50</f>
        <v>0</v>
      </c>
      <c r="CM61" s="377">
        <v>0</v>
      </c>
      <c r="CN61" s="377">
        <v>0</v>
      </c>
      <c r="CO61" s="377" t="s">
        <v>146</v>
      </c>
      <c r="CP61" s="547" t="s">
        <v>146</v>
      </c>
      <c r="CQ61" s="345">
        <f t="shared" si="17"/>
        <v>-0.50581685471193705</v>
      </c>
      <c r="CR61" s="346">
        <f t="shared" si="18"/>
        <v>0.35633504727152143</v>
      </c>
      <c r="CS61" s="347">
        <f t="shared" si="45"/>
        <v>0.73888464266859666</v>
      </c>
      <c r="CT61" s="485">
        <f t="shared" si="46"/>
        <v>1.5336240030646011</v>
      </c>
      <c r="CU61" s="348">
        <f>IF(OR($CQ61&lt;'Summary '!$I$47,$BT61&lt;'Summary '!$I$46),1,0)</f>
        <v>1</v>
      </c>
      <c r="CV61" s="348">
        <f>IF(OR($CS61&gt;='Summary '!$I$50, (AND(BU61&gt;'Summary '!$I$52, Calcs!CR61&gt; 'Summary '!$I$51))),1,0)</f>
        <v>0</v>
      </c>
      <c r="CW61" s="348">
        <f t="shared" si="60"/>
        <v>1</v>
      </c>
      <c r="CX61" s="447" t="s">
        <v>122</v>
      </c>
      <c r="CY61" s="447" t="s">
        <v>122</v>
      </c>
      <c r="CZ61" t="s">
        <v>122</v>
      </c>
      <c r="DA61" s="352"/>
      <c r="DD61" s="258">
        <v>0</v>
      </c>
      <c r="DE61" s="258">
        <v>0</v>
      </c>
      <c r="DF61" s="277"/>
      <c r="DI61" s="551" t="str">
        <f t="shared" si="57"/>
        <v>Eligible</v>
      </c>
      <c r="DJ61" s="423" t="str">
        <f t="shared" si="47"/>
        <v>Eligible</v>
      </c>
      <c r="DK61" s="549" t="s">
        <v>1271</v>
      </c>
      <c r="DL61" s="549" t="s">
        <v>1271</v>
      </c>
      <c r="DM61" s="423" t="str">
        <f t="shared" si="58"/>
        <v>Eligible</v>
      </c>
      <c r="DN61" s="423" t="str">
        <f t="shared" si="59"/>
        <v>Not PIK</v>
      </c>
      <c r="DO61" s="424" t="s">
        <v>122</v>
      </c>
      <c r="DP61" s="423" t="str">
        <f t="shared" si="49"/>
        <v>YES</v>
      </c>
    </row>
    <row r="62" spans="1:120" ht="16.5">
      <c r="A62" s="616" t="s">
        <v>1330</v>
      </c>
      <c r="B62" s="36">
        <f>IFERROR(VLOOKUP(A62,'Loan List '!$A$6:$BZ$75,2,FALSE),NA)</f>
        <v>0</v>
      </c>
      <c r="C62" s="498" t="str">
        <f>VLOOKUP(A62,'Loan List '!$A$6:$G$75, 7, FALSE)</f>
        <v>First Lien</v>
      </c>
      <c r="D62" s="498" t="str">
        <f>VLOOKUP(A62, 'Loan List '!$A$6:$K$82, 11, FALSE)</f>
        <v>FL</v>
      </c>
      <c r="E62" s="497" t="b">
        <f t="shared" si="23"/>
        <v>1</v>
      </c>
      <c r="F62" s="497" t="str">
        <f>VLOOKUP(A62,'Loan List '!$A$6:$L$75, 12, FALSE)</f>
        <v>IT Services</v>
      </c>
      <c r="G62" s="320"/>
      <c r="H62" s="533">
        <f t="shared" si="0"/>
        <v>5970000</v>
      </c>
      <c r="I62" s="533">
        <f>VLOOKUP(A62,'Loan List '!$A$6:$L$75, 8, FALSE)</f>
        <v>5970000</v>
      </c>
      <c r="J62" s="361">
        <v>0</v>
      </c>
      <c r="K62" s="323">
        <f t="shared" si="50"/>
        <v>1.6525037350857537E-2</v>
      </c>
      <c r="L62" s="601">
        <f>VLOOKUP(A62,'Loan List '!$A$6:$BA$82,24, FALSE)</f>
        <v>100</v>
      </c>
      <c r="M62" s="501"/>
      <c r="N62" s="502">
        <f>VLOOKUP(A62,'Loan List '!$A$6:$BA$82,22, FALSE)</f>
        <v>47787</v>
      </c>
      <c r="O62" s="602">
        <f t="shared" si="24"/>
        <v>5970000</v>
      </c>
      <c r="P62" s="327">
        <f t="shared" si="2"/>
        <v>1</v>
      </c>
      <c r="Q62" s="487" t="s">
        <v>451</v>
      </c>
      <c r="R62" s="488" t="s">
        <v>38</v>
      </c>
      <c r="S62" s="327" t="b">
        <f t="shared" si="56"/>
        <v>0</v>
      </c>
      <c r="T62" s="327">
        <f>VLOOKUP(A62,'Loan List '!$A$6:$BD$1048576,56,FALSE)/100</f>
        <v>1</v>
      </c>
      <c r="U62" s="535">
        <f t="shared" si="25"/>
        <v>5970000</v>
      </c>
      <c r="V62" s="503">
        <f>VLOOKUP(A62,'Loan List '!$A$6:$BA$82,26, FALSE)</f>
        <v>0</v>
      </c>
      <c r="W62" s="350">
        <f t="shared" si="51"/>
        <v>0</v>
      </c>
      <c r="X62" s="326"/>
      <c r="Y62" s="504">
        <f>VLOOKUP(A62,'Loan List '!$A$6:$BA$75,27, FALSE)</f>
        <v>0</v>
      </c>
      <c r="Z62" s="438"/>
      <c r="AA62" s="330"/>
      <c r="AB62" s="333">
        <f t="shared" si="5"/>
        <v>5.6345413771556975E-2</v>
      </c>
      <c r="AC62" s="333">
        <f t="shared" si="6"/>
        <v>1.0741274278057399E-2</v>
      </c>
      <c r="AD62" s="331">
        <f t="shared" si="26"/>
        <v>0</v>
      </c>
      <c r="AE62" s="320" t="str">
        <f t="shared" si="27"/>
        <v>Class 3</v>
      </c>
      <c r="AF62" s="649">
        <f t="shared" si="28"/>
        <v>5</v>
      </c>
      <c r="AG62" s="649">
        <f t="shared" si="29"/>
        <v>6</v>
      </c>
      <c r="AH62" s="332">
        <f t="shared" si="30"/>
        <v>1</v>
      </c>
      <c r="AI62" s="332">
        <f t="shared" si="31"/>
        <v>0</v>
      </c>
      <c r="AJ62" s="332">
        <f t="shared" si="32"/>
        <v>0.65</v>
      </c>
      <c r="AK62" s="332">
        <f t="shared" si="33"/>
        <v>0.35</v>
      </c>
      <c r="AL62" s="332">
        <f t="shared" si="34"/>
        <v>0.65</v>
      </c>
      <c r="AM62" s="333">
        <f ca="1">'Diversity Score'!$E$7</f>
        <v>1</v>
      </c>
      <c r="AN62" s="332">
        <f t="shared" ca="1" si="35"/>
        <v>0.65</v>
      </c>
      <c r="AO62" s="505">
        <f>VLOOKUP(A62,'Loan List '!$A$6:$BA$75,17, FALSE)</f>
        <v>6.25E-2</v>
      </c>
      <c r="AP62" s="493" t="str">
        <f>VLOOKUP(A62,'Loan List '!$A$6:$BA$795,15, FALSE)</f>
        <v>SOFR</v>
      </c>
      <c r="AQ62" s="494">
        <f>VLOOKUP(A62,'Loan List '!$A$6:$BA$795,16, FALSE)</f>
        <v>0.01</v>
      </c>
      <c r="AR62" s="539">
        <v>0</v>
      </c>
      <c r="AS62" s="539">
        <v>0</v>
      </c>
      <c r="AT62" s="353"/>
      <c r="AU62" s="323">
        <f t="shared" si="52"/>
        <v>6.25E-2</v>
      </c>
      <c r="AV62" s="323" t="b">
        <f t="shared" si="36"/>
        <v>0</v>
      </c>
      <c r="AW62" s="540" t="b">
        <f t="shared" si="37"/>
        <v>0</v>
      </c>
      <c r="AX62" s="323" t="b">
        <f t="shared" si="53"/>
        <v>0</v>
      </c>
      <c r="AY62" s="353"/>
      <c r="AZ62" s="323" t="b">
        <f t="shared" si="13"/>
        <v>0</v>
      </c>
      <c r="BA62" s="497" t="str">
        <f>'Loan List '!AS51</f>
        <v>Maintenance Covenants</v>
      </c>
      <c r="BB62" s="320" t="b">
        <f t="shared" si="38"/>
        <v>0</v>
      </c>
      <c r="BC62" s="326" t="b">
        <f t="shared" si="39"/>
        <v>0</v>
      </c>
      <c r="BD62" s="320" t="b">
        <f t="shared" si="40"/>
        <v>1</v>
      </c>
      <c r="BE62" s="320" t="b">
        <f t="shared" si="41"/>
        <v>1</v>
      </c>
      <c r="BF62" s="550" t="str">
        <f>'Loan List '!J51</f>
        <v>USD</v>
      </c>
      <c r="BG62" s="497" t="str">
        <f>VLOOKUP(A62,'Loan List '!$A$6:$BZ$75, 23, FALSE)</f>
        <v>USA</v>
      </c>
      <c r="BH62" s="320" t="b">
        <f t="shared" si="42"/>
        <v>0</v>
      </c>
      <c r="BI62" s="320" t="b">
        <f t="shared" si="43"/>
        <v>0</v>
      </c>
      <c r="BJ62" s="320" t="b">
        <f>IF('Loan List '!BP51=1, TRUE, FALSE)</f>
        <v>0</v>
      </c>
      <c r="BK62" s="320" t="b">
        <f t="shared" si="54"/>
        <v>0</v>
      </c>
      <c r="BL62" s="541" t="b">
        <f t="shared" si="55"/>
        <v>0</v>
      </c>
      <c r="BM62" s="320" t="b">
        <f>IF('Loan List '!AT51="Yes", TRUE, FALSE)</f>
        <v>0</v>
      </c>
      <c r="BN62" s="336">
        <f t="shared" ca="1" si="44"/>
        <v>5.2712328767123289</v>
      </c>
      <c r="BO62" s="337">
        <f ca="1">'Concentration Limitations'!H57</f>
        <v>5970000</v>
      </c>
      <c r="BP62" s="338">
        <f t="shared" ca="1" si="16"/>
        <v>3880500</v>
      </c>
      <c r="BQ62" s="442"/>
      <c r="BR62" s="443"/>
      <c r="BS62" s="542">
        <f>'Loan List '!AG51</f>
        <v>45808</v>
      </c>
      <c r="BT62" s="650">
        <f>'Loan List '!AO51</f>
        <v>5.7508190231616032</v>
      </c>
      <c r="BU62" s="650">
        <f>'Loan List '!AI51</f>
        <v>3.4096996318518475</v>
      </c>
      <c r="BV62" s="490"/>
      <c r="BW62" s="377">
        <v>0</v>
      </c>
      <c r="BX62" s="492" t="s">
        <v>1217</v>
      </c>
      <c r="BY62" s="490">
        <f>'Loan List '!AJ51</f>
        <v>25.770875000000004</v>
      </c>
      <c r="BZ62" s="490">
        <f>'Loan List '!AL51</f>
        <v>0</v>
      </c>
      <c r="CA62" s="377">
        <v>0</v>
      </c>
      <c r="CB62" s="377">
        <v>0</v>
      </c>
      <c r="CC62" s="545" t="s">
        <v>146</v>
      </c>
      <c r="CD62" s="546" t="s">
        <v>146</v>
      </c>
      <c r="CE62" s="378" t="s">
        <v>1217</v>
      </c>
      <c r="CF62" s="491">
        <f>'Loan List '!AC51</f>
        <v>2.1804545454545456</v>
      </c>
      <c r="CG62" s="491">
        <f>'Loan List '!AD51</f>
        <v>3.5376565601898626</v>
      </c>
      <c r="CH62" s="491"/>
      <c r="CI62" s="377">
        <v>0</v>
      </c>
      <c r="CJ62" s="492" t="s">
        <v>1217</v>
      </c>
      <c r="CK62" s="491">
        <f>'Loan List '!AB51</f>
        <v>22.676727272727273</v>
      </c>
      <c r="CL62" s="495" t="e">
        <f>'Loan List '!#REF!</f>
        <v>#REF!</v>
      </c>
      <c r="CM62" s="377">
        <v>0</v>
      </c>
      <c r="CN62" s="377">
        <v>0</v>
      </c>
      <c r="CO62" s="377" t="s">
        <v>146</v>
      </c>
      <c r="CP62" s="547" t="s">
        <v>146</v>
      </c>
      <c r="CQ62" s="345">
        <f t="shared" si="17"/>
        <v>1.6374404525652546</v>
      </c>
      <c r="CR62" s="346">
        <f t="shared" si="18"/>
        <v>-3.6169969063121199E-2</v>
      </c>
      <c r="CS62" s="347">
        <f t="shared" si="45"/>
        <v>-0.12795692833801509</v>
      </c>
      <c r="CT62" s="485">
        <f t="shared" si="46"/>
        <v>0.13644595580571206</v>
      </c>
      <c r="CU62" s="348">
        <f>IF(OR($CQ62&lt;'Summary '!$I$47,$BT62&lt;'Summary '!$I$46),1,0)</f>
        <v>0</v>
      </c>
      <c r="CV62" s="348">
        <f>IF(OR($CS62&gt;='Summary '!$I$50, (AND(BU62&gt;'Summary '!$I$52, Calcs!CR62&gt; 'Summary '!$I$51))),1,0)</f>
        <v>0</v>
      </c>
      <c r="CW62" s="348">
        <f t="shared" si="60"/>
        <v>0</v>
      </c>
      <c r="CX62" s="447" t="s">
        <v>122</v>
      </c>
      <c r="CY62" s="447" t="s">
        <v>122</v>
      </c>
      <c r="CZ62" t="s">
        <v>122</v>
      </c>
      <c r="DA62" s="352"/>
      <c r="DD62" s="258">
        <v>0</v>
      </c>
      <c r="DE62" s="258">
        <v>0</v>
      </c>
      <c r="DF62" s="277"/>
      <c r="DI62" s="551" t="str">
        <f t="shared" si="57"/>
        <v>Eligible</v>
      </c>
      <c r="DJ62" s="423" t="str">
        <f t="shared" si="47"/>
        <v>Eligible</v>
      </c>
      <c r="DK62" s="549" t="s">
        <v>1271</v>
      </c>
      <c r="DL62" s="549" t="s">
        <v>1271</v>
      </c>
      <c r="DM62" s="423" t="str">
        <f t="shared" si="58"/>
        <v>Eligible</v>
      </c>
      <c r="DN62" s="423" t="str">
        <f t="shared" si="59"/>
        <v>Not PIK</v>
      </c>
      <c r="DO62" s="424" t="s">
        <v>122</v>
      </c>
      <c r="DP62" s="423" t="str">
        <f t="shared" si="49"/>
        <v>YES</v>
      </c>
    </row>
    <row r="63" spans="1:120" ht="16.5">
      <c r="A63" s="616" t="s">
        <v>1155</v>
      </c>
      <c r="B63" s="36">
        <f>IFERROR(VLOOKUP(A63,'Loan List '!$A$6:$BZ$75,2,FALSE),NA)</f>
        <v>0</v>
      </c>
      <c r="C63" s="498" t="str">
        <f>VLOOKUP(A63,'Loan List '!$A$6:$G$75, 7, FALSE)</f>
        <v>First Lien</v>
      </c>
      <c r="D63" s="498" t="str">
        <f>VLOOKUP(A63, 'Loan List '!$A$6:$K$82, 11, FALSE)</f>
        <v>FL</v>
      </c>
      <c r="E63" s="497" t="b">
        <f t="shared" si="23"/>
        <v>1</v>
      </c>
      <c r="F63" s="497" t="str">
        <f>VLOOKUP(A63,'Loan List '!$A$6:$L$75, 12, FALSE)</f>
        <v>Chemicals</v>
      </c>
      <c r="G63" s="320"/>
      <c r="H63" s="533">
        <f t="shared" si="0"/>
        <v>606535.84</v>
      </c>
      <c r="I63" s="533">
        <f>VLOOKUP(A63,'Loan List '!$A$6:$L$75, 8, FALSE)</f>
        <v>606535.84</v>
      </c>
      <c r="J63" s="361">
        <v>0</v>
      </c>
      <c r="K63" s="323">
        <f t="shared" si="50"/>
        <v>1.6788990637577471E-3</v>
      </c>
      <c r="L63" s="601">
        <f>VLOOKUP(A63,'Loan List '!$A$6:$BA$82,24, FALSE)</f>
        <v>100</v>
      </c>
      <c r="M63" s="501"/>
      <c r="N63" s="502">
        <f>VLOOKUP(A63,'Loan List '!$A$6:$BA$82,22, FALSE)</f>
        <v>47282</v>
      </c>
      <c r="O63" s="602">
        <f t="shared" si="24"/>
        <v>606535.84</v>
      </c>
      <c r="P63" s="327">
        <f t="shared" si="2"/>
        <v>0.9</v>
      </c>
      <c r="Q63" s="487" t="s">
        <v>451</v>
      </c>
      <c r="R63" s="488" t="s">
        <v>38</v>
      </c>
      <c r="S63" s="327" t="b">
        <f t="shared" si="56"/>
        <v>1</v>
      </c>
      <c r="T63" s="327">
        <f>VLOOKUP(A63,'Loan List '!$A$6:$BD$1048576,56,FALSE)/100</f>
        <v>0.9</v>
      </c>
      <c r="U63" s="535">
        <f t="shared" si="25"/>
        <v>545882.25599999994</v>
      </c>
      <c r="V63" s="503">
        <f>VLOOKUP(A63,'Loan List '!$A$6:$BA$82,26, FALSE)</f>
        <v>0</v>
      </c>
      <c r="W63" s="350">
        <f t="shared" si="51"/>
        <v>0</v>
      </c>
      <c r="X63" s="326"/>
      <c r="Y63" s="504">
        <f>VLOOKUP(A63,'Loan List '!$A$6:$BA$75,27, FALSE)</f>
        <v>0</v>
      </c>
      <c r="Z63" s="438"/>
      <c r="AA63" s="330"/>
      <c r="AB63" s="333">
        <f t="shared" si="5"/>
        <v>1.3059158805410861E-2</v>
      </c>
      <c r="AC63" s="333">
        <f t="shared" si="6"/>
        <v>7.7702764702022886E-4</v>
      </c>
      <c r="AD63" s="331">
        <f t="shared" si="26"/>
        <v>0</v>
      </c>
      <c r="AE63" s="320" t="str">
        <f t="shared" si="27"/>
        <v>Class 3</v>
      </c>
      <c r="AF63" s="649">
        <f t="shared" si="28"/>
        <v>5</v>
      </c>
      <c r="AG63" s="649">
        <f t="shared" si="29"/>
        <v>6</v>
      </c>
      <c r="AH63" s="332">
        <f t="shared" si="30"/>
        <v>0.64280521003470814</v>
      </c>
      <c r="AI63" s="332">
        <f t="shared" si="31"/>
        <v>0.12856104200694163</v>
      </c>
      <c r="AJ63" s="332">
        <f t="shared" si="32"/>
        <v>0.65</v>
      </c>
      <c r="AK63" s="332">
        <f t="shared" si="33"/>
        <v>0.35</v>
      </c>
      <c r="AL63" s="332">
        <f t="shared" si="34"/>
        <v>0.46281975122498986</v>
      </c>
      <c r="AM63" s="333">
        <f ca="1">'Diversity Score'!$E$7</f>
        <v>1</v>
      </c>
      <c r="AN63" s="332">
        <f t="shared" ca="1" si="35"/>
        <v>0.46281975122498986</v>
      </c>
      <c r="AO63" s="505">
        <f>VLOOKUP(A63,'Loan List '!$A$6:$BA$75,17, FALSE)</f>
        <v>6.1499999999999999E-2</v>
      </c>
      <c r="AP63" s="493" t="str">
        <f>VLOOKUP(A63,'Loan List '!$A$6:$BA$795,15, FALSE)</f>
        <v>SOFR</v>
      </c>
      <c r="AQ63" s="494">
        <f>VLOOKUP(A63,'Loan List '!$A$6:$BA$795,16, FALSE)</f>
        <v>0</v>
      </c>
      <c r="AR63" s="539">
        <v>0</v>
      </c>
      <c r="AS63" s="539">
        <v>0</v>
      </c>
      <c r="AT63" s="353"/>
      <c r="AU63" s="323">
        <f t="shared" si="52"/>
        <v>6.1499999999999999E-2</v>
      </c>
      <c r="AV63" s="323" t="b">
        <f t="shared" si="36"/>
        <v>0</v>
      </c>
      <c r="AW63" s="540" t="b">
        <f t="shared" si="37"/>
        <v>0</v>
      </c>
      <c r="AX63" s="323" t="b">
        <f t="shared" si="53"/>
        <v>0</v>
      </c>
      <c r="AY63" s="353"/>
      <c r="AZ63" s="323" t="b">
        <f t="shared" si="13"/>
        <v>0</v>
      </c>
      <c r="BA63" s="497" t="str">
        <f>'Loan List '!AS52</f>
        <v>Maintenance Covenants</v>
      </c>
      <c r="BB63" s="320" t="b">
        <f t="shared" si="38"/>
        <v>0</v>
      </c>
      <c r="BC63" s="326" t="b">
        <f t="shared" si="39"/>
        <v>1</v>
      </c>
      <c r="BD63" s="320" t="b">
        <f t="shared" si="40"/>
        <v>1</v>
      </c>
      <c r="BE63" s="320" t="b">
        <f t="shared" si="41"/>
        <v>1</v>
      </c>
      <c r="BF63" s="550" t="str">
        <f>'Loan List '!J52</f>
        <v>USD</v>
      </c>
      <c r="BG63" s="497" t="str">
        <f>VLOOKUP(A63,'Loan List '!$A$6:$BZ$75, 23, FALSE)</f>
        <v>USA</v>
      </c>
      <c r="BH63" s="320" t="b">
        <f t="shared" si="42"/>
        <v>0</v>
      </c>
      <c r="BI63" s="320" t="b">
        <f t="shared" si="43"/>
        <v>0</v>
      </c>
      <c r="BJ63" s="320" t="b">
        <f>IF('Loan List '!BP52=1, TRUE, FALSE)</f>
        <v>0</v>
      </c>
      <c r="BK63" s="320" t="b">
        <f t="shared" si="54"/>
        <v>0</v>
      </c>
      <c r="BL63" s="541" t="b">
        <f t="shared" si="55"/>
        <v>0</v>
      </c>
      <c r="BM63" s="320" t="b">
        <f>IF('Loan List '!AT52="Yes", TRUE, FALSE)</f>
        <v>0</v>
      </c>
      <c r="BN63" s="336">
        <f t="shared" ca="1" si="44"/>
        <v>3.8876712328767122</v>
      </c>
      <c r="BO63" s="337">
        <f ca="1">'Concentration Limitations'!H58</f>
        <v>545882.25599999994</v>
      </c>
      <c r="BP63" s="338">
        <f t="shared" ca="1" si="16"/>
        <v>252645.0899200562</v>
      </c>
      <c r="BQ63" s="442"/>
      <c r="BR63" s="443"/>
      <c r="BS63" s="542">
        <f>'Loan List '!AG52</f>
        <v>45777</v>
      </c>
      <c r="BT63" s="650">
        <f>'Loan List '!AO52</f>
        <v>2.8889999999999998</v>
      </c>
      <c r="BU63" s="650">
        <f>'Loan List '!AI52</f>
        <v>7.7784061515774372</v>
      </c>
      <c r="BV63" s="490"/>
      <c r="BW63" s="377">
        <v>0</v>
      </c>
      <c r="BX63" s="492" t="s">
        <v>1217</v>
      </c>
      <c r="BY63" s="490">
        <f>'Loan List '!AJ52</f>
        <v>8.072336</v>
      </c>
      <c r="BZ63" s="490">
        <f>'Loan List '!AL52</f>
        <v>0</v>
      </c>
      <c r="CA63" s="377">
        <v>0</v>
      </c>
      <c r="CB63" s="377">
        <v>0</v>
      </c>
      <c r="CC63" s="545" t="s">
        <v>146</v>
      </c>
      <c r="CD63" s="546" t="s">
        <v>146</v>
      </c>
      <c r="CE63" s="378" t="s">
        <v>1217</v>
      </c>
      <c r="CF63" s="491">
        <f>'Loan List '!AC52</f>
        <v>2.33</v>
      </c>
      <c r="CG63" s="491">
        <f>'Loan List '!AD52</f>
        <v>5.01</v>
      </c>
      <c r="CH63" s="491"/>
      <c r="CI63" s="377">
        <v>0</v>
      </c>
      <c r="CJ63" s="492" t="s">
        <v>1217</v>
      </c>
      <c r="CK63" s="491">
        <f>'Loan List '!AB52</f>
        <v>11.92</v>
      </c>
      <c r="CL63" s="495">
        <f>'Loan List '!AE53</f>
        <v>0</v>
      </c>
      <c r="CM63" s="377">
        <v>0</v>
      </c>
      <c r="CN63" s="377">
        <v>0</v>
      </c>
      <c r="CO63" s="377" t="s">
        <v>146</v>
      </c>
      <c r="CP63" s="547" t="s">
        <v>146</v>
      </c>
      <c r="CQ63" s="345">
        <f t="shared" si="17"/>
        <v>0.23991416309012864</v>
      </c>
      <c r="CR63" s="346">
        <f t="shared" si="18"/>
        <v>0.5525760781591692</v>
      </c>
      <c r="CS63" s="347">
        <f t="shared" si="45"/>
        <v>2.7684061515774374</v>
      </c>
      <c r="CT63" s="485">
        <f t="shared" si="46"/>
        <v>-0.32279060402684567</v>
      </c>
      <c r="CU63" s="348">
        <f>IF(OR($CQ63&lt;'Summary '!$I$47,$BT63&lt;'Summary '!$I$46),1,0)</f>
        <v>0</v>
      </c>
      <c r="CV63" s="348">
        <f>IF(OR($CS63&gt;='Summary '!$I$50, (AND(BU63&gt;'Summary '!$I$52, Calcs!CR63&gt; 'Summary '!$I$51))),1,0)</f>
        <v>1</v>
      </c>
      <c r="CW63" s="348">
        <f t="shared" si="60"/>
        <v>1</v>
      </c>
      <c r="CX63" s="447" t="s">
        <v>122</v>
      </c>
      <c r="CY63" s="447" t="s">
        <v>122</v>
      </c>
      <c r="CZ63" t="s">
        <v>122</v>
      </c>
      <c r="DA63" s="352"/>
      <c r="DD63" s="258">
        <v>0</v>
      </c>
      <c r="DE63" s="258">
        <v>0</v>
      </c>
      <c r="DF63" s="277"/>
      <c r="DI63" s="551" t="str">
        <f t="shared" si="57"/>
        <v>Eligible</v>
      </c>
      <c r="DJ63" s="423" t="str">
        <f t="shared" si="47"/>
        <v>Eligible</v>
      </c>
      <c r="DK63" s="549" t="s">
        <v>1271</v>
      </c>
      <c r="DL63" s="549" t="s">
        <v>1271</v>
      </c>
      <c r="DM63" s="423" t="str">
        <f t="shared" si="58"/>
        <v>Eligible</v>
      </c>
      <c r="DN63" s="423" t="str">
        <f t="shared" si="59"/>
        <v>Not PIK</v>
      </c>
      <c r="DO63" s="424" t="s">
        <v>122</v>
      </c>
      <c r="DP63" s="423" t="str">
        <f t="shared" si="49"/>
        <v>YES</v>
      </c>
    </row>
    <row r="64" spans="1:120" ht="16.5">
      <c r="A64" s="616" t="s">
        <v>1158</v>
      </c>
      <c r="B64" s="36">
        <f>IFERROR(VLOOKUP(A64,'Loan List '!$A$6:$BZ$75,2,FALSE),NA)</f>
        <v>0</v>
      </c>
      <c r="C64" s="498" t="str">
        <f>VLOOKUP(A64,'Loan List '!$A$6:$G$75, 7, FALSE)</f>
        <v>First Lien</v>
      </c>
      <c r="D64" s="498" t="str">
        <f>VLOOKUP(A64, 'Loan List '!$A$6:$K$82, 11, FALSE)</f>
        <v>FL</v>
      </c>
      <c r="E64" s="497" t="b">
        <f t="shared" si="23"/>
        <v>1</v>
      </c>
      <c r="F64" s="497" t="str">
        <f>VLOOKUP(A64,'Loan List '!$A$6:$L$75, 12, FALSE)</f>
        <v>IT Services</v>
      </c>
      <c r="G64" s="320"/>
      <c r="H64" s="533">
        <f t="shared" si="0"/>
        <v>18161284.460000001</v>
      </c>
      <c r="I64" s="533">
        <f>VLOOKUP(A64,'Loan List '!$A$6:$L$75, 8, FALSE)</f>
        <v>18161284.460000001</v>
      </c>
      <c r="J64" s="361">
        <v>0</v>
      </c>
      <c r="K64" s="323">
        <f t="shared" si="50"/>
        <v>5.0270670693642973E-2</v>
      </c>
      <c r="L64" s="601">
        <f>VLOOKUP(A64,'Loan List '!$A$6:$BA$82,24, FALSE)</f>
        <v>100</v>
      </c>
      <c r="M64" s="501"/>
      <c r="N64" s="502">
        <f>VLOOKUP(A64,'Loan List '!$A$6:$BA$82,22, FALSE)</f>
        <v>46739</v>
      </c>
      <c r="O64" s="602">
        <f t="shared" si="24"/>
        <v>18161284.460000001</v>
      </c>
      <c r="P64" s="327">
        <f t="shared" si="2"/>
        <v>1</v>
      </c>
      <c r="Q64" s="487" t="s">
        <v>451</v>
      </c>
      <c r="R64" s="488" t="s">
        <v>38</v>
      </c>
      <c r="S64" s="327" t="b">
        <f t="shared" si="56"/>
        <v>0</v>
      </c>
      <c r="T64" s="327">
        <f>VLOOKUP(A64,'Loan List '!$A$6:$BD$1048576,56,FALSE)/100</f>
        <v>1</v>
      </c>
      <c r="U64" s="535">
        <f t="shared" si="25"/>
        <v>18161284.460000001</v>
      </c>
      <c r="V64" s="503">
        <f>VLOOKUP(A64,'Loan List '!$A$6:$BA$82,26, FALSE)</f>
        <v>0</v>
      </c>
      <c r="W64" s="350">
        <f t="shared" si="51"/>
        <v>0</v>
      </c>
      <c r="X64" s="326"/>
      <c r="Y64" s="504">
        <f>VLOOKUP(A64,'Loan List '!$A$6:$BA$75,27, FALSE)</f>
        <v>0</v>
      </c>
      <c r="Z64" s="438"/>
      <c r="AA64" s="330"/>
      <c r="AB64" s="333">
        <f t="shared" si="5"/>
        <v>0.20837242435951259</v>
      </c>
      <c r="AC64" s="333">
        <f t="shared" si="6"/>
        <v>3.2675935950867936E-2</v>
      </c>
      <c r="AD64" s="331">
        <f t="shared" si="26"/>
        <v>0</v>
      </c>
      <c r="AE64" s="320" t="str">
        <f t="shared" si="27"/>
        <v>Class 3</v>
      </c>
      <c r="AF64" s="649">
        <f t="shared" si="28"/>
        <v>5</v>
      </c>
      <c r="AG64" s="649">
        <f t="shared" si="29"/>
        <v>6</v>
      </c>
      <c r="AH64" s="332">
        <f t="shared" si="30"/>
        <v>1</v>
      </c>
      <c r="AI64" s="332">
        <f t="shared" si="31"/>
        <v>0</v>
      </c>
      <c r="AJ64" s="332">
        <f t="shared" si="32"/>
        <v>0.65</v>
      </c>
      <c r="AK64" s="332">
        <f t="shared" si="33"/>
        <v>0.35</v>
      </c>
      <c r="AL64" s="332">
        <f t="shared" si="34"/>
        <v>0.65</v>
      </c>
      <c r="AM64" s="333">
        <f ca="1">'Diversity Score'!$E$7</f>
        <v>1</v>
      </c>
      <c r="AN64" s="332">
        <f t="shared" ca="1" si="35"/>
        <v>0.65</v>
      </c>
      <c r="AO64" s="505">
        <f>VLOOKUP(A64,'Loan List '!$A$6:$BA$75,17, FALSE)</f>
        <v>6.9000000000000006E-2</v>
      </c>
      <c r="AP64" s="493" t="str">
        <f>VLOOKUP(A64,'Loan List '!$A$6:$BA$795,15, FALSE)</f>
        <v>SOFR</v>
      </c>
      <c r="AQ64" s="494">
        <f>VLOOKUP(A64,'Loan List '!$A$6:$BA$795,16, FALSE)</f>
        <v>0.01</v>
      </c>
      <c r="AR64" s="539">
        <v>0</v>
      </c>
      <c r="AS64" s="539">
        <v>0</v>
      </c>
      <c r="AT64" s="353"/>
      <c r="AU64" s="323">
        <f t="shared" si="52"/>
        <v>6.9000000000000006E-2</v>
      </c>
      <c r="AV64" s="323" t="b">
        <f t="shared" si="36"/>
        <v>0</v>
      </c>
      <c r="AW64" s="540" t="b">
        <f t="shared" si="37"/>
        <v>0</v>
      </c>
      <c r="AX64" s="323" t="b">
        <f t="shared" si="53"/>
        <v>0</v>
      </c>
      <c r="AY64" s="353"/>
      <c r="AZ64" s="323" t="b">
        <f t="shared" si="13"/>
        <v>0</v>
      </c>
      <c r="BA64" s="497" t="str">
        <f>'Loan List '!AS53</f>
        <v>Maintenance Covenants</v>
      </c>
      <c r="BB64" s="320" t="b">
        <f t="shared" si="38"/>
        <v>0</v>
      </c>
      <c r="BC64" s="326" t="b">
        <f t="shared" si="39"/>
        <v>0</v>
      </c>
      <c r="BD64" s="320" t="b">
        <f t="shared" si="40"/>
        <v>1</v>
      </c>
      <c r="BE64" s="320" t="b">
        <f t="shared" si="41"/>
        <v>1</v>
      </c>
      <c r="BF64" s="550" t="str">
        <f>'Loan List '!J53</f>
        <v>USD</v>
      </c>
      <c r="BG64" s="497" t="str">
        <f>VLOOKUP(A64,'Loan List '!$A$6:$BZ$75, 23, FALSE)</f>
        <v>USA</v>
      </c>
      <c r="BH64" s="320" t="b">
        <f t="shared" si="42"/>
        <v>0</v>
      </c>
      <c r="BI64" s="320" t="b">
        <f t="shared" si="43"/>
        <v>0</v>
      </c>
      <c r="BJ64" s="320" t="b">
        <f>IF('Loan List '!BP53=1, TRUE, FALSE)</f>
        <v>0</v>
      </c>
      <c r="BK64" s="320" t="b">
        <f t="shared" si="54"/>
        <v>0</v>
      </c>
      <c r="BL64" s="541" t="b">
        <f t="shared" si="55"/>
        <v>0</v>
      </c>
      <c r="BM64" s="320" t="b">
        <f>IF('Loan List '!AT53="Yes", TRUE, FALSE)</f>
        <v>0</v>
      </c>
      <c r="BN64" s="336">
        <f t="shared" ca="1" si="44"/>
        <v>2.4</v>
      </c>
      <c r="BO64" s="337">
        <f ca="1">'Concentration Limitations'!H59</f>
        <v>18161284.460000001</v>
      </c>
      <c r="BP64" s="338">
        <f t="shared" ca="1" si="16"/>
        <v>11804834.899</v>
      </c>
      <c r="BQ64" s="442"/>
      <c r="BR64" s="443"/>
      <c r="BS64" s="542">
        <f>'Loan List '!AG53</f>
        <v>45808</v>
      </c>
      <c r="BT64" s="650">
        <f>'Loan List '!AO53</f>
        <v>1.8190374919546715</v>
      </c>
      <c r="BU64" s="650">
        <f>'Loan List '!AI53</f>
        <v>4.1450098334546892</v>
      </c>
      <c r="BV64" s="490"/>
      <c r="BW64" s="377">
        <v>0</v>
      </c>
      <c r="BX64" s="492" t="s">
        <v>1217</v>
      </c>
      <c r="BY64" s="490">
        <f>'Loan List '!AJ53</f>
        <v>31.399442999999994</v>
      </c>
      <c r="BZ64" s="490">
        <f>'Loan List '!AL53</f>
        <v>0</v>
      </c>
      <c r="CA64" s="377">
        <v>0</v>
      </c>
      <c r="CB64" s="377">
        <v>0</v>
      </c>
      <c r="CC64" s="545" t="s">
        <v>146</v>
      </c>
      <c r="CD64" s="546" t="s">
        <v>146</v>
      </c>
      <c r="CE64" s="378" t="s">
        <v>1217</v>
      </c>
      <c r="CF64" s="491">
        <f>'Loan List '!AC53</f>
        <v>1.0997622130469673</v>
      </c>
      <c r="CG64" s="491">
        <f>'Loan List '!AD53</f>
        <v>4.7935387307515356</v>
      </c>
      <c r="CH64" s="491"/>
      <c r="CI64" s="377">
        <v>0</v>
      </c>
      <c r="CJ64" s="492" t="s">
        <v>1217</v>
      </c>
      <c r="CK64" s="491">
        <f>'Loan List '!AB53</f>
        <v>19.343557000000001</v>
      </c>
      <c r="CL64" s="495">
        <f>'Loan List '!AE54</f>
        <v>0</v>
      </c>
      <c r="CM64" s="377">
        <v>0</v>
      </c>
      <c r="CN64" s="377">
        <v>0</v>
      </c>
      <c r="CO64" s="377" t="s">
        <v>146</v>
      </c>
      <c r="CP64" s="547" t="s">
        <v>146</v>
      </c>
      <c r="CQ64" s="345">
        <f t="shared" si="17"/>
        <v>0.65402799839330927</v>
      </c>
      <c r="CR64" s="346">
        <f t="shared" si="18"/>
        <v>-0.13529230360368225</v>
      </c>
      <c r="CS64" s="347">
        <f t="shared" si="45"/>
        <v>-0.64852889729684637</v>
      </c>
      <c r="CT64" s="485">
        <f t="shared" si="46"/>
        <v>0.62325072891195732</v>
      </c>
      <c r="CU64" s="348">
        <f>IF(OR($CQ64&lt;'Summary '!$I$47,$BT64&lt;'Summary '!$I$46),1,0)</f>
        <v>0</v>
      </c>
      <c r="CV64" s="348">
        <f>IF(OR($CS64&gt;='Summary '!$I$50, (AND(BU64&gt;'Summary '!$I$52, Calcs!CR64&gt; 'Summary '!$I$51))),1,0)</f>
        <v>0</v>
      </c>
      <c r="CW64" s="348">
        <f t="shared" si="60"/>
        <v>0</v>
      </c>
      <c r="CX64" s="447" t="s">
        <v>122</v>
      </c>
      <c r="CY64" s="447" t="s">
        <v>122</v>
      </c>
      <c r="CZ64" t="s">
        <v>122</v>
      </c>
      <c r="DA64" s="352"/>
      <c r="DD64" s="258">
        <v>0</v>
      </c>
      <c r="DE64" s="258">
        <v>0</v>
      </c>
      <c r="DF64" s="277"/>
      <c r="DI64" s="551" t="str">
        <f t="shared" si="57"/>
        <v>Eligible</v>
      </c>
      <c r="DJ64" s="423" t="str">
        <f t="shared" si="47"/>
        <v>Eligible</v>
      </c>
      <c r="DK64" s="549" t="s">
        <v>1271</v>
      </c>
      <c r="DL64" s="549" t="s">
        <v>1271</v>
      </c>
      <c r="DM64" s="423" t="str">
        <f t="shared" si="58"/>
        <v>Eligible</v>
      </c>
      <c r="DN64" s="423" t="str">
        <f t="shared" si="59"/>
        <v>Not PIK</v>
      </c>
      <c r="DO64" s="424" t="s">
        <v>122</v>
      </c>
      <c r="DP64" s="423" t="str">
        <f t="shared" si="49"/>
        <v>YES</v>
      </c>
    </row>
    <row r="65" spans="1:120" ht="16.5">
      <c r="A65" s="616" t="s">
        <v>1161</v>
      </c>
      <c r="B65" s="36">
        <f>IFERROR(VLOOKUP(A65,'Loan List '!$A$6:$BZ$75,2,FALSE),NA)</f>
        <v>0</v>
      </c>
      <c r="C65" s="498" t="str">
        <f>VLOOKUP(A65,'Loan List '!$A$6:$G$75, 7, FALSE)</f>
        <v>First Lien</v>
      </c>
      <c r="D65" s="498" t="str">
        <f>VLOOKUP(A65, 'Loan List '!$A$6:$K$82, 11, FALSE)</f>
        <v>FL</v>
      </c>
      <c r="E65" s="497" t="b">
        <f t="shared" si="23"/>
        <v>1</v>
      </c>
      <c r="F65" s="497" t="str">
        <f>VLOOKUP(A65,'Loan List '!$A$6:$L$75, 12, FALSE)</f>
        <v>Aerospace &amp; Defense</v>
      </c>
      <c r="G65" s="320"/>
      <c r="H65" s="533">
        <f t="shared" si="0"/>
        <v>1278782.1200000001</v>
      </c>
      <c r="I65" s="533">
        <f>VLOOKUP(A65,'Loan List '!$A$6:$L$75, 8, FALSE)</f>
        <v>1278782.1200000001</v>
      </c>
      <c r="J65" s="361">
        <v>0</v>
      </c>
      <c r="K65" s="323">
        <f t="shared" si="50"/>
        <v>3.539685476818892E-3</v>
      </c>
      <c r="L65" s="601">
        <f>VLOOKUP(A65,'Loan List '!$A$6:$BA$82,24, FALSE)</f>
        <v>100</v>
      </c>
      <c r="M65" s="501"/>
      <c r="N65" s="502">
        <f>VLOOKUP(A65,'Loan List '!$A$6:$BA$82,22, FALSE)</f>
        <v>46615</v>
      </c>
      <c r="O65" s="602">
        <f t="shared" si="24"/>
        <v>1278782.1200000001</v>
      </c>
      <c r="P65" s="327">
        <f t="shared" si="2"/>
        <v>1</v>
      </c>
      <c r="Q65" s="487" t="s">
        <v>451</v>
      </c>
      <c r="R65" s="488" t="s">
        <v>38</v>
      </c>
      <c r="S65" s="327" t="b">
        <f t="shared" si="56"/>
        <v>0</v>
      </c>
      <c r="T65" s="327">
        <f>VLOOKUP(A65,'Loan List '!$A$6:$BD$1048576,56,FALSE)/100</f>
        <v>1</v>
      </c>
      <c r="U65" s="535">
        <f t="shared" si="25"/>
        <v>1278782.1200000001</v>
      </c>
      <c r="V65" s="503">
        <f>VLOOKUP(A65,'Loan List '!$A$6:$BA$82,26, FALSE)</f>
        <v>0</v>
      </c>
      <c r="W65" s="350">
        <f t="shared" si="51"/>
        <v>0</v>
      </c>
      <c r="X65" s="326"/>
      <c r="Y65" s="504">
        <f>VLOOKUP(A65,'Loan List '!$A$6:$BA$75,27, FALSE)</f>
        <v>0</v>
      </c>
      <c r="Z65" s="438"/>
      <c r="AA65" s="330"/>
      <c r="AB65" s="333">
        <f t="shared" si="5"/>
        <v>1.9702795675185989E-2</v>
      </c>
      <c r="AC65" s="333">
        <f t="shared" si="6"/>
        <v>2.3755943266529798E-3</v>
      </c>
      <c r="AD65" s="331">
        <f t="shared" si="26"/>
        <v>0</v>
      </c>
      <c r="AE65" s="320" t="str">
        <f t="shared" si="27"/>
        <v>Class 2</v>
      </c>
      <c r="AF65" s="649">
        <f t="shared" si="28"/>
        <v>5.5</v>
      </c>
      <c r="AG65" s="649">
        <f t="shared" si="29"/>
        <v>6.5</v>
      </c>
      <c r="AH65" s="332">
        <f t="shared" si="30"/>
        <v>0.98809683881676502</v>
      </c>
      <c r="AI65" s="332">
        <f t="shared" si="31"/>
        <v>1.1903161183234978E-2</v>
      </c>
      <c r="AJ65" s="332">
        <f t="shared" si="32"/>
        <v>0.67500000000000004</v>
      </c>
      <c r="AK65" s="332">
        <f t="shared" si="33"/>
        <v>0.35</v>
      </c>
      <c r="AL65" s="332">
        <f t="shared" si="34"/>
        <v>0.6711314726154487</v>
      </c>
      <c r="AM65" s="333">
        <f ca="1">'Diversity Score'!$E$7</f>
        <v>1</v>
      </c>
      <c r="AN65" s="332">
        <f t="shared" ca="1" si="35"/>
        <v>0.6711314726154487</v>
      </c>
      <c r="AO65" s="505">
        <f>VLOOKUP(A65,'Loan List '!$A$6:$BA$75,17, FALSE)</f>
        <v>0.05</v>
      </c>
      <c r="AP65" s="493" t="str">
        <f>VLOOKUP(A65,'Loan List '!$A$6:$BA$795,15, FALSE)</f>
        <v>SOFR</v>
      </c>
      <c r="AQ65" s="494">
        <f>VLOOKUP(A65,'Loan List '!$A$6:$BA$795,16, FALSE)</f>
        <v>0.01</v>
      </c>
      <c r="AR65" s="539">
        <v>0</v>
      </c>
      <c r="AS65" s="539">
        <v>0</v>
      </c>
      <c r="AT65" s="353"/>
      <c r="AU65" s="323">
        <f t="shared" si="52"/>
        <v>0.05</v>
      </c>
      <c r="AV65" s="323" t="b">
        <f t="shared" si="36"/>
        <v>0</v>
      </c>
      <c r="AW65" s="540" t="b">
        <f t="shared" si="37"/>
        <v>0</v>
      </c>
      <c r="AX65" s="323" t="b">
        <f t="shared" si="53"/>
        <v>0</v>
      </c>
      <c r="AY65" s="353"/>
      <c r="AZ65" s="323" t="b">
        <f t="shared" si="13"/>
        <v>0</v>
      </c>
      <c r="BA65" s="497" t="str">
        <f>'Loan List '!AS54</f>
        <v>Maintenance Covenants</v>
      </c>
      <c r="BB65" s="320" t="b">
        <f t="shared" si="38"/>
        <v>0</v>
      </c>
      <c r="BC65" s="326" t="b">
        <f t="shared" si="39"/>
        <v>1</v>
      </c>
      <c r="BD65" s="320" t="b">
        <f t="shared" si="40"/>
        <v>1</v>
      </c>
      <c r="BE65" s="320" t="b">
        <f t="shared" si="41"/>
        <v>1</v>
      </c>
      <c r="BF65" s="550" t="str">
        <f>'Loan List '!J54</f>
        <v>USD</v>
      </c>
      <c r="BG65" s="497" t="str">
        <f>VLOOKUP(A65,'Loan List '!$A$6:$BZ$75, 23, FALSE)</f>
        <v>USA</v>
      </c>
      <c r="BH65" s="320" t="b">
        <f t="shared" si="42"/>
        <v>0</v>
      </c>
      <c r="BI65" s="320" t="b">
        <f t="shared" si="43"/>
        <v>0</v>
      </c>
      <c r="BJ65" s="320" t="b">
        <f>IF('Loan List '!BP54=1, TRUE, FALSE)</f>
        <v>0</v>
      </c>
      <c r="BK65" s="320" t="b">
        <f t="shared" si="54"/>
        <v>0</v>
      </c>
      <c r="BL65" s="541" t="b">
        <f t="shared" si="55"/>
        <v>0</v>
      </c>
      <c r="BM65" s="320" t="b">
        <f>IF('Loan List '!AT54="Yes", TRUE, FALSE)</f>
        <v>0</v>
      </c>
      <c r="BN65" s="336">
        <f t="shared" ca="1" si="44"/>
        <v>2.0602739726027397</v>
      </c>
      <c r="BO65" s="337">
        <f ca="1">'Concentration Limitations'!H60</f>
        <v>1278782.1200000001</v>
      </c>
      <c r="BP65" s="338">
        <f t="shared" ca="1" si="16"/>
        <v>858230.92734990548</v>
      </c>
      <c r="BQ65" s="442"/>
      <c r="BR65" s="443"/>
      <c r="BS65" s="542">
        <f>'Loan List '!AG54</f>
        <v>45747</v>
      </c>
      <c r="BT65" s="650">
        <f>'Loan List '!AO54</f>
        <v>4.8899999999999997</v>
      </c>
      <c r="BU65" s="650">
        <f>'Loan List '!AI54</f>
        <v>5.5662560428653824</v>
      </c>
      <c r="BV65" s="490"/>
      <c r="BW65" s="377">
        <v>0</v>
      </c>
      <c r="BX65" s="492" t="s">
        <v>1217</v>
      </c>
      <c r="BY65" s="490">
        <f>'Loan List '!AJ54</f>
        <v>82.467292999999998</v>
      </c>
      <c r="BZ65" s="490">
        <f>'Loan List '!AL54</f>
        <v>0</v>
      </c>
      <c r="CA65" s="377">
        <v>0</v>
      </c>
      <c r="CB65" s="377">
        <v>0</v>
      </c>
      <c r="CC65" s="545" t="s">
        <v>146</v>
      </c>
      <c r="CD65" s="546" t="s">
        <v>146</v>
      </c>
      <c r="CE65" s="378" t="s">
        <v>1217</v>
      </c>
      <c r="CF65" s="491">
        <f>'Loan List '!AC54</f>
        <v>4.8899999999999997</v>
      </c>
      <c r="CG65" s="491">
        <f>'Loan List '!AD54</f>
        <v>5.7423635603027661</v>
      </c>
      <c r="CH65" s="491"/>
      <c r="CI65" s="377">
        <v>0</v>
      </c>
      <c r="CJ65" s="492" t="s">
        <v>1217</v>
      </c>
      <c r="CK65" s="491">
        <f>'Loan List '!AB54</f>
        <v>39.348866999999998</v>
      </c>
      <c r="CL65" s="495">
        <f>'Loan List '!AE55</f>
        <v>0</v>
      </c>
      <c r="CM65" s="377">
        <v>0</v>
      </c>
      <c r="CN65" s="377">
        <v>0</v>
      </c>
      <c r="CO65" s="377" t="s">
        <v>146</v>
      </c>
      <c r="CP65" s="547" t="s">
        <v>146</v>
      </c>
      <c r="CQ65" s="345">
        <f t="shared" si="17"/>
        <v>0</v>
      </c>
      <c r="CR65" s="346">
        <f t="shared" si="18"/>
        <v>-3.0668123950706172E-2</v>
      </c>
      <c r="CS65" s="347">
        <f t="shared" si="45"/>
        <v>-0.17610751743738362</v>
      </c>
      <c r="CT65" s="485">
        <f t="shared" si="46"/>
        <v>1.0957984126963556</v>
      </c>
      <c r="CU65" s="348">
        <f>IF(OR($CQ65&lt;'Summary '!$I$47,$BT65&lt;'Summary '!$I$46),1,0)</f>
        <v>0</v>
      </c>
      <c r="CV65" s="348">
        <f>IF(OR($CS65&gt;='Summary '!$I$50, (AND(BU65&gt;'Summary '!$I$52, Calcs!CR65&gt; 'Summary '!$I$51))),1,0)</f>
        <v>0</v>
      </c>
      <c r="CW65" s="348">
        <f t="shared" si="60"/>
        <v>0</v>
      </c>
      <c r="CX65" s="447" t="s">
        <v>122</v>
      </c>
      <c r="CY65" s="447" t="s">
        <v>122</v>
      </c>
      <c r="CZ65" t="s">
        <v>122</v>
      </c>
      <c r="DA65" s="352"/>
      <c r="DD65" s="258">
        <v>0</v>
      </c>
      <c r="DE65" s="258">
        <v>0</v>
      </c>
      <c r="DF65" s="277"/>
      <c r="DI65" s="551" t="str">
        <f t="shared" si="57"/>
        <v>Eligible</v>
      </c>
      <c r="DJ65" s="423" t="str">
        <f t="shared" si="47"/>
        <v>Eligible</v>
      </c>
      <c r="DK65" s="549" t="s">
        <v>1271</v>
      </c>
      <c r="DL65" s="549" t="s">
        <v>1271</v>
      </c>
      <c r="DM65" s="423" t="str">
        <f t="shared" si="58"/>
        <v>Eligible</v>
      </c>
      <c r="DN65" s="423" t="str">
        <f t="shared" si="59"/>
        <v>Not PIK</v>
      </c>
      <c r="DO65" s="424" t="s">
        <v>122</v>
      </c>
      <c r="DP65" s="423" t="str">
        <f t="shared" si="49"/>
        <v>YES</v>
      </c>
    </row>
    <row r="66" spans="1:120" ht="16.5">
      <c r="A66" s="616" t="s">
        <v>1164</v>
      </c>
      <c r="B66" s="36">
        <f>IFERROR(VLOOKUP(A66,'Loan List '!$A$6:$BZ$75,2,FALSE),NA)</f>
        <v>0</v>
      </c>
      <c r="C66" s="498" t="str">
        <f>VLOOKUP(A66,'Loan List '!$A$6:$G$75, 7, FALSE)</f>
        <v>First Lien</v>
      </c>
      <c r="D66" s="498" t="str">
        <f>VLOOKUP(A66, 'Loan List '!$A$6:$K$82, 11, FALSE)</f>
        <v>FL</v>
      </c>
      <c r="E66" s="497" t="b">
        <f t="shared" si="23"/>
        <v>1</v>
      </c>
      <c r="F66" s="497" t="str">
        <f>VLOOKUP(A66,'Loan List '!$A$6:$L$75, 12, FALSE)</f>
        <v>Health Care Providers &amp; Services</v>
      </c>
      <c r="G66" s="320"/>
      <c r="H66" s="533">
        <f t="shared" si="0"/>
        <v>995000</v>
      </c>
      <c r="I66" s="533">
        <f>VLOOKUP(A66,'Loan List '!$A$6:$L$75, 8, FALSE)</f>
        <v>995000</v>
      </c>
      <c r="J66" s="361">
        <v>0</v>
      </c>
      <c r="K66" s="323">
        <f t="shared" si="50"/>
        <v>2.7541728918095893E-3</v>
      </c>
      <c r="L66" s="601">
        <f>VLOOKUP(A66,'Loan List '!$A$6:$BA$82,24, FALSE)</f>
        <v>100</v>
      </c>
      <c r="M66" s="501"/>
      <c r="N66" s="502">
        <f>VLOOKUP(A66,'Loan List '!$A$6:$BA$82,22, FALSE)</f>
        <v>47081</v>
      </c>
      <c r="O66" s="602">
        <f t="shared" si="24"/>
        <v>995000</v>
      </c>
      <c r="P66" s="327">
        <f t="shared" si="2"/>
        <v>1</v>
      </c>
      <c r="Q66" s="487" t="s">
        <v>451</v>
      </c>
      <c r="R66" s="488" t="s">
        <v>38</v>
      </c>
      <c r="S66" s="327" t="b">
        <f t="shared" si="56"/>
        <v>0</v>
      </c>
      <c r="T66" s="327">
        <f>VLOOKUP(A66,'Loan List '!$A$6:$BD$1048576,56,FALSE)/100</f>
        <v>1</v>
      </c>
      <c r="U66" s="535">
        <f t="shared" si="25"/>
        <v>995000</v>
      </c>
      <c r="V66" s="503">
        <f>VLOOKUP(A66,'Loan List '!$A$6:$BA$82,26, FALSE)</f>
        <v>0</v>
      </c>
      <c r="W66" s="350">
        <f t="shared" si="51"/>
        <v>0</v>
      </c>
      <c r="X66" s="326"/>
      <c r="Y66" s="504">
        <f>VLOOKUP(A66,'Loan List '!$A$6:$BA$75,27, FALSE)</f>
        <v>0</v>
      </c>
      <c r="Z66" s="438"/>
      <c r="AA66" s="330"/>
      <c r="AB66" s="333">
        <f t="shared" si="5"/>
        <v>9.1004352929807304E-3</v>
      </c>
      <c r="AC66" s="333">
        <f t="shared" si="6"/>
        <v>1.9279210242667123E-3</v>
      </c>
      <c r="AD66" s="331">
        <f t="shared" si="26"/>
        <v>0</v>
      </c>
      <c r="AE66" s="320" t="str">
        <f t="shared" si="27"/>
        <v>Class 1</v>
      </c>
      <c r="AF66" s="649">
        <f t="shared" si="28"/>
        <v>6</v>
      </c>
      <c r="AG66" s="649">
        <f t="shared" si="29"/>
        <v>7</v>
      </c>
      <c r="AH66" s="332">
        <f t="shared" si="30"/>
        <v>1</v>
      </c>
      <c r="AI66" s="332">
        <f t="shared" si="31"/>
        <v>0</v>
      </c>
      <c r="AJ66" s="332">
        <f t="shared" si="32"/>
        <v>0.7</v>
      </c>
      <c r="AK66" s="332">
        <f t="shared" si="33"/>
        <v>0.4</v>
      </c>
      <c r="AL66" s="332">
        <f t="shared" si="34"/>
        <v>0.7</v>
      </c>
      <c r="AM66" s="333">
        <f ca="1">'Diversity Score'!$E$7</f>
        <v>1</v>
      </c>
      <c r="AN66" s="332">
        <f t="shared" ca="1" si="35"/>
        <v>0.7</v>
      </c>
      <c r="AO66" s="505">
        <f>VLOOKUP(A66,'Loan List '!$A$6:$BA$75,17, FALSE)</f>
        <v>5.2499999999999998E-2</v>
      </c>
      <c r="AP66" s="493" t="str">
        <f>VLOOKUP(A66,'Loan List '!$A$6:$BA$795,15, FALSE)</f>
        <v>SOFR</v>
      </c>
      <c r="AQ66" s="494">
        <f>VLOOKUP(A66,'Loan List '!$A$6:$BA$795,16, FALSE)</f>
        <v>0.01</v>
      </c>
      <c r="AR66" s="539">
        <v>0</v>
      </c>
      <c r="AS66" s="539">
        <v>0</v>
      </c>
      <c r="AT66" s="353"/>
      <c r="AU66" s="323">
        <f t="shared" si="52"/>
        <v>5.2499999999999998E-2</v>
      </c>
      <c r="AV66" s="323" t="b">
        <f t="shared" si="36"/>
        <v>0</v>
      </c>
      <c r="AW66" s="540" t="b">
        <f t="shared" si="37"/>
        <v>0</v>
      </c>
      <c r="AX66" s="323" t="b">
        <f t="shared" si="53"/>
        <v>0</v>
      </c>
      <c r="AY66" s="353"/>
      <c r="AZ66" s="323" t="b">
        <f t="shared" si="13"/>
        <v>0</v>
      </c>
      <c r="BA66" s="497" t="str">
        <f>'Loan List '!AS55</f>
        <v>Cov-Lite</v>
      </c>
      <c r="BB66" s="320" t="b">
        <f t="shared" si="38"/>
        <v>0</v>
      </c>
      <c r="BC66" s="326" t="b">
        <f t="shared" si="39"/>
        <v>0</v>
      </c>
      <c r="BD66" s="320" t="b">
        <f t="shared" si="40"/>
        <v>1</v>
      </c>
      <c r="BE66" s="320" t="b">
        <f t="shared" si="41"/>
        <v>1</v>
      </c>
      <c r="BF66" s="550" t="str">
        <f>'Loan List '!J55</f>
        <v>USD</v>
      </c>
      <c r="BG66" s="497" t="str">
        <f>VLOOKUP(A66,'Loan List '!$A$6:$BZ$75, 23, FALSE)</f>
        <v>USA</v>
      </c>
      <c r="BH66" s="320" t="b">
        <f t="shared" si="42"/>
        <v>0</v>
      </c>
      <c r="BI66" s="320" t="b">
        <f t="shared" si="43"/>
        <v>0</v>
      </c>
      <c r="BJ66" s="320" t="b">
        <f>IF('Loan List '!BP55=1, TRUE, FALSE)</f>
        <v>0</v>
      </c>
      <c r="BK66" s="320" t="b">
        <f t="shared" si="54"/>
        <v>0</v>
      </c>
      <c r="BL66" s="541" t="b">
        <f t="shared" si="55"/>
        <v>0</v>
      </c>
      <c r="BM66" s="320" t="b">
        <f>IF('Loan List '!AT55="Yes", TRUE, FALSE)</f>
        <v>1</v>
      </c>
      <c r="BN66" s="336">
        <f t="shared" ca="1" si="44"/>
        <v>3.3369863013698629</v>
      </c>
      <c r="BO66" s="337">
        <f ca="1">'Concentration Limitations'!H61</f>
        <v>995000</v>
      </c>
      <c r="BP66" s="338">
        <f t="shared" ca="1" si="16"/>
        <v>696500</v>
      </c>
      <c r="BQ66" s="442"/>
      <c r="BR66" s="443"/>
      <c r="BS66" s="542">
        <f>'Loan List '!AG55</f>
        <v>45747</v>
      </c>
      <c r="BT66" s="650">
        <f>'Loan List '!AO55</f>
        <v>2.1270831424740364</v>
      </c>
      <c r="BU66" s="650">
        <f>'Loan List '!AI55</f>
        <v>3.3042353005665599</v>
      </c>
      <c r="BV66" s="490"/>
      <c r="BW66" s="377">
        <v>0</v>
      </c>
      <c r="BX66" s="492" t="s">
        <v>1217</v>
      </c>
      <c r="BY66" s="490">
        <f>'Loan List '!AJ55</f>
        <v>255.40100000000001</v>
      </c>
      <c r="BZ66" s="490">
        <f>'Loan List '!AL55</f>
        <v>0</v>
      </c>
      <c r="CA66" s="377">
        <v>0</v>
      </c>
      <c r="CB66" s="377">
        <v>0</v>
      </c>
      <c r="CC66" s="545" t="s">
        <v>146</v>
      </c>
      <c r="CD66" s="546" t="s">
        <v>146</v>
      </c>
      <c r="CE66" s="378" t="s">
        <v>1217</v>
      </c>
      <c r="CF66" s="491">
        <f>'Loan List '!AC55</f>
        <v>1.69</v>
      </c>
      <c r="CG66" s="491">
        <f>'Loan List '!AD55</f>
        <v>3.75</v>
      </c>
      <c r="CH66" s="491"/>
      <c r="CI66" s="377">
        <v>0</v>
      </c>
      <c r="CJ66" s="492" t="s">
        <v>1217</v>
      </c>
      <c r="CK66" s="491">
        <f>'Loan List '!AB55</f>
        <v>133.94999999999999</v>
      </c>
      <c r="CL66" s="495">
        <f>'Loan List '!AE56</f>
        <v>0</v>
      </c>
      <c r="CM66" s="377">
        <v>0</v>
      </c>
      <c r="CN66" s="377">
        <v>0</v>
      </c>
      <c r="CO66" s="377" t="s">
        <v>146</v>
      </c>
      <c r="CP66" s="547" t="s">
        <v>146</v>
      </c>
      <c r="CQ66" s="345">
        <f t="shared" si="17"/>
        <v>0.25862907838700383</v>
      </c>
      <c r="CR66" s="346">
        <f t="shared" si="18"/>
        <v>-0.11887058651558403</v>
      </c>
      <c r="CS66" s="347">
        <f t="shared" si="45"/>
        <v>-0.4457646994334401</v>
      </c>
      <c r="CT66" s="485">
        <f t="shared" si="46"/>
        <v>0.90668906308324027</v>
      </c>
      <c r="CU66" s="348">
        <f>IF(OR($CQ66&lt;'Summary '!$I$47,$BT66&lt;'Summary '!$I$46),1,0)</f>
        <v>0</v>
      </c>
      <c r="CV66" s="348">
        <f>IF(OR($CS66&gt;='Summary '!$I$50, (AND(BU66&gt;'Summary '!$I$52, Calcs!CR66&gt; 'Summary '!$I$51))),1,0)</f>
        <v>0</v>
      </c>
      <c r="CW66" s="348">
        <f t="shared" si="60"/>
        <v>0</v>
      </c>
      <c r="CX66" s="447" t="s">
        <v>122</v>
      </c>
      <c r="CY66" s="447" t="s">
        <v>122</v>
      </c>
      <c r="CZ66" t="s">
        <v>122</v>
      </c>
      <c r="DA66" s="352"/>
      <c r="DD66" s="258">
        <v>0</v>
      </c>
      <c r="DE66" s="258">
        <v>0</v>
      </c>
      <c r="DF66" s="277"/>
      <c r="DI66" s="551" t="str">
        <f t="shared" si="57"/>
        <v>Eligible</v>
      </c>
      <c r="DJ66" s="423" t="str">
        <f t="shared" si="47"/>
        <v>Eligible</v>
      </c>
      <c r="DK66" s="549" t="s">
        <v>1271</v>
      </c>
      <c r="DL66" s="549" t="s">
        <v>1271</v>
      </c>
      <c r="DM66" s="423" t="str">
        <f t="shared" si="58"/>
        <v>Eligible</v>
      </c>
      <c r="DN66" s="423" t="str">
        <f t="shared" si="59"/>
        <v>Not PIK</v>
      </c>
      <c r="DO66" s="424" t="s">
        <v>122</v>
      </c>
      <c r="DP66" s="423" t="str">
        <f t="shared" si="49"/>
        <v>YES</v>
      </c>
    </row>
    <row r="67" spans="1:120" ht="16.5">
      <c r="A67" s="616" t="s">
        <v>1167</v>
      </c>
      <c r="B67" s="36">
        <f>IFERROR(VLOOKUP(A67,'Loan List '!$A$6:$BZ$75,2,FALSE),NA)</f>
        <v>0</v>
      </c>
      <c r="C67" s="498" t="str">
        <f>VLOOKUP(A67,'Loan List '!$A$6:$G$75, 7, FALSE)</f>
        <v>First Lien</v>
      </c>
      <c r="D67" s="498" t="str">
        <f>VLOOKUP(A67, 'Loan List '!$A$6:$K$82, 11, FALSE)</f>
        <v>FL</v>
      </c>
      <c r="E67" s="497" t="b">
        <f t="shared" si="23"/>
        <v>1</v>
      </c>
      <c r="F67" s="497" t="str">
        <f>VLOOKUP(A67,'Loan List '!$A$6:$L$75, 12, FALSE)</f>
        <v>Media</v>
      </c>
      <c r="G67" s="320"/>
      <c r="H67" s="533">
        <f t="shared" si="0"/>
        <v>3920226.14</v>
      </c>
      <c r="I67" s="533">
        <f>VLOOKUP(A67,'Loan List '!$A$6:$L$75, 8, FALSE)</f>
        <v>3920226.14</v>
      </c>
      <c r="J67" s="361">
        <v>0</v>
      </c>
      <c r="K67" s="323">
        <f t="shared" si="50"/>
        <v>1.0851236748292808E-2</v>
      </c>
      <c r="L67" s="601">
        <f>VLOOKUP(A67,'Loan List '!$A$6:$BA$82,24, FALSE)</f>
        <v>100</v>
      </c>
      <c r="M67" s="501"/>
      <c r="N67" s="502">
        <f>VLOOKUP(A67,'Loan List '!$A$6:$BA$82,22, FALSE)</f>
        <v>47141</v>
      </c>
      <c r="O67" s="602">
        <f t="shared" si="24"/>
        <v>3920226.14</v>
      </c>
      <c r="P67" s="327">
        <f t="shared" si="2"/>
        <v>1</v>
      </c>
      <c r="Q67" s="487" t="s">
        <v>451</v>
      </c>
      <c r="R67" s="488" t="s">
        <v>38</v>
      </c>
      <c r="S67" s="327" t="b">
        <f t="shared" si="56"/>
        <v>1</v>
      </c>
      <c r="T67" s="327">
        <f>VLOOKUP(A67,'Loan List '!$A$6:$BD$1048576,56,FALSE)/100</f>
        <v>1</v>
      </c>
      <c r="U67" s="535">
        <f t="shared" si="25"/>
        <v>3920226.14</v>
      </c>
      <c r="V67" s="503">
        <f>VLOOKUP(A67,'Loan List '!$A$6:$BA$82,26, FALSE)</f>
        <v>0</v>
      </c>
      <c r="W67" s="350">
        <f t="shared" si="51"/>
        <v>0</v>
      </c>
      <c r="X67" s="326"/>
      <c r="Y67" s="504">
        <f>VLOOKUP(A67,'Loan List '!$A$6:$BA$75,27, FALSE)</f>
        <v>0</v>
      </c>
      <c r="Z67" s="438"/>
      <c r="AA67" s="330"/>
      <c r="AB67" s="333">
        <f t="shared" si="5"/>
        <v>4.2062915497996935E-2</v>
      </c>
      <c r="AC67" s="333">
        <f t="shared" si="6"/>
        <v>7.0533038863903252E-3</v>
      </c>
      <c r="AD67" s="331">
        <f t="shared" si="26"/>
        <v>0</v>
      </c>
      <c r="AE67" s="320" t="str">
        <f t="shared" si="27"/>
        <v>Class 3</v>
      </c>
      <c r="AF67" s="649">
        <f t="shared" si="28"/>
        <v>5</v>
      </c>
      <c r="AG67" s="649">
        <f t="shared" si="29"/>
        <v>6</v>
      </c>
      <c r="AH67" s="332">
        <f t="shared" si="30"/>
        <v>1</v>
      </c>
      <c r="AI67" s="332">
        <f t="shared" si="31"/>
        <v>0</v>
      </c>
      <c r="AJ67" s="332">
        <f t="shared" si="32"/>
        <v>0.65</v>
      </c>
      <c r="AK67" s="332">
        <f t="shared" si="33"/>
        <v>0.35</v>
      </c>
      <c r="AL67" s="332">
        <f t="shared" si="34"/>
        <v>0.65</v>
      </c>
      <c r="AM67" s="333">
        <f ca="1">'Diversity Score'!$E$7</f>
        <v>1</v>
      </c>
      <c r="AN67" s="332">
        <f t="shared" ca="1" si="35"/>
        <v>0.65</v>
      </c>
      <c r="AO67" s="505">
        <f>VLOOKUP(A67,'Loan List '!$A$6:$BA$75,17, FALSE)</f>
        <v>6.5000000000000002E-2</v>
      </c>
      <c r="AP67" s="493" t="str">
        <f>VLOOKUP(A67,'Loan List '!$A$6:$BA$795,15, FALSE)</f>
        <v>SOFR</v>
      </c>
      <c r="AQ67" s="494">
        <f>VLOOKUP(A67,'Loan List '!$A$6:$BA$795,16, FALSE)</f>
        <v>0.01</v>
      </c>
      <c r="AR67" s="539">
        <v>0</v>
      </c>
      <c r="AS67" s="539">
        <v>0</v>
      </c>
      <c r="AT67" s="353"/>
      <c r="AU67" s="323">
        <f t="shared" si="52"/>
        <v>6.5000000000000002E-2</v>
      </c>
      <c r="AV67" s="323" t="b">
        <f t="shared" si="36"/>
        <v>0</v>
      </c>
      <c r="AW67" s="540" t="b">
        <f t="shared" si="37"/>
        <v>0</v>
      </c>
      <c r="AX67" s="323" t="b">
        <f t="shared" si="53"/>
        <v>0</v>
      </c>
      <c r="AY67" s="353"/>
      <c r="AZ67" s="323" t="b">
        <f t="shared" si="13"/>
        <v>0</v>
      </c>
      <c r="BA67" s="497" t="str">
        <f>'Loan List '!AS56</f>
        <v>Cov-Lite</v>
      </c>
      <c r="BB67" s="320" t="b">
        <f t="shared" si="38"/>
        <v>0</v>
      </c>
      <c r="BC67" s="326" t="b">
        <f t="shared" si="39"/>
        <v>0</v>
      </c>
      <c r="BD67" s="320" t="b">
        <f t="shared" si="40"/>
        <v>1</v>
      </c>
      <c r="BE67" s="320" t="b">
        <f t="shared" si="41"/>
        <v>1</v>
      </c>
      <c r="BF67" s="550" t="str">
        <f>'Loan List '!J56</f>
        <v>USD</v>
      </c>
      <c r="BG67" s="497" t="str">
        <f>VLOOKUP(A67,'Loan List '!$A$6:$BZ$75, 23, FALSE)</f>
        <v>USA</v>
      </c>
      <c r="BH67" s="320" t="b">
        <f t="shared" si="42"/>
        <v>0</v>
      </c>
      <c r="BI67" s="320" t="b">
        <f t="shared" si="43"/>
        <v>0</v>
      </c>
      <c r="BJ67" s="320" t="b">
        <f>IF('Loan List '!BP56=1, TRUE, FALSE)</f>
        <v>0</v>
      </c>
      <c r="BK67" s="320" t="b">
        <f t="shared" si="54"/>
        <v>0</v>
      </c>
      <c r="BL67" s="541" t="b">
        <f t="shared" si="55"/>
        <v>0</v>
      </c>
      <c r="BM67" s="320" t="b">
        <f>IF('Loan List '!AT56="Yes", TRUE, FALSE)</f>
        <v>1</v>
      </c>
      <c r="BN67" s="336">
        <f t="shared" ca="1" si="44"/>
        <v>3.5013698630136987</v>
      </c>
      <c r="BO67" s="337">
        <f ca="1">'Concentration Limitations'!H62</f>
        <v>3920226.14</v>
      </c>
      <c r="BP67" s="338">
        <f t="shared" ca="1" si="16"/>
        <v>2548146.9910000004</v>
      </c>
      <c r="BQ67" s="442"/>
      <c r="BR67" s="443"/>
      <c r="BS67" s="542">
        <f>'Loan List '!AG56</f>
        <v>45808</v>
      </c>
      <c r="BT67" s="650">
        <f>'Loan List '!AO56</f>
        <v>2.0688258821861387</v>
      </c>
      <c r="BU67" s="650">
        <f>'Loan List '!AI56</f>
        <v>3.8763245585453259</v>
      </c>
      <c r="BV67" s="490"/>
      <c r="BW67" s="377">
        <v>0</v>
      </c>
      <c r="BX67" s="492" t="s">
        <v>1217</v>
      </c>
      <c r="BY67" s="490">
        <f>'Loan List '!AJ56</f>
        <v>15.1566495562095</v>
      </c>
      <c r="BZ67" s="490">
        <f>'Loan List '!AL56</f>
        <v>0</v>
      </c>
      <c r="CA67" s="377">
        <v>0</v>
      </c>
      <c r="CB67" s="377">
        <v>0</v>
      </c>
      <c r="CC67" s="545" t="s">
        <v>146</v>
      </c>
      <c r="CD67" s="546" t="s">
        <v>146</v>
      </c>
      <c r="CE67" s="378" t="s">
        <v>1217</v>
      </c>
      <c r="CF67" s="491">
        <f>'Loan List '!AC56</f>
        <v>2.5233716322743476</v>
      </c>
      <c r="CG67" s="491">
        <f>'Loan List '!AD56</f>
        <v>3.3181615006800498</v>
      </c>
      <c r="CH67" s="491"/>
      <c r="CI67" s="377">
        <v>0</v>
      </c>
      <c r="CJ67" s="492" t="s">
        <v>1217</v>
      </c>
      <c r="CK67" s="491">
        <f>'Loan List '!AB56</f>
        <v>18.280303712633785</v>
      </c>
      <c r="CL67" s="495">
        <f>'Loan List '!AE57</f>
        <v>0</v>
      </c>
      <c r="CM67" s="377">
        <v>0</v>
      </c>
      <c r="CN67" s="377">
        <v>0</v>
      </c>
      <c r="CO67" s="377" t="s">
        <v>146</v>
      </c>
      <c r="CP67" s="547" t="s">
        <v>146</v>
      </c>
      <c r="CQ67" s="345">
        <f t="shared" si="17"/>
        <v>-0.18013428710796786</v>
      </c>
      <c r="CR67" s="346">
        <f t="shared" si="18"/>
        <v>0.16821455427979676</v>
      </c>
      <c r="CS67" s="347">
        <f t="shared" si="45"/>
        <v>0.55816305786527609</v>
      </c>
      <c r="CT67" s="485">
        <f t="shared" si="46"/>
        <v>-0.17087539712294175</v>
      </c>
      <c r="CU67" s="348">
        <f>IF(OR($CQ67&lt;'Summary '!$I$47,$BT67&lt;'Summary '!$I$46),1,0)</f>
        <v>1</v>
      </c>
      <c r="CV67" s="348">
        <f>IF(OR($CS67&gt;='Summary '!$I$50, (AND(BU67&gt;'Summary '!$I$52, Calcs!CR67&gt; 'Summary '!$I$51))),1,0)</f>
        <v>0</v>
      </c>
      <c r="CW67" s="348">
        <f t="shared" si="60"/>
        <v>1</v>
      </c>
      <c r="CX67" s="447" t="s">
        <v>122</v>
      </c>
      <c r="CY67" s="447" t="s">
        <v>122</v>
      </c>
      <c r="CZ67" t="s">
        <v>122</v>
      </c>
      <c r="DA67" s="352"/>
      <c r="DD67" s="258">
        <v>0</v>
      </c>
      <c r="DE67" s="258">
        <v>0</v>
      </c>
      <c r="DF67" s="277"/>
      <c r="DI67" s="551" t="str">
        <f t="shared" si="57"/>
        <v>Eligible</v>
      </c>
      <c r="DJ67" s="423" t="str">
        <f t="shared" si="47"/>
        <v>Eligible</v>
      </c>
      <c r="DK67" s="549" t="s">
        <v>1271</v>
      </c>
      <c r="DL67" s="549" t="s">
        <v>1271</v>
      </c>
      <c r="DM67" s="423" t="str">
        <f t="shared" si="58"/>
        <v>Eligible</v>
      </c>
      <c r="DN67" s="423" t="str">
        <f t="shared" si="59"/>
        <v>Not PIK</v>
      </c>
      <c r="DO67" s="424" t="s">
        <v>122</v>
      </c>
      <c r="DP67" s="423" t="str">
        <f t="shared" si="49"/>
        <v>YES</v>
      </c>
    </row>
    <row r="68" spans="1:120" ht="16.5">
      <c r="A68" s="616" t="s">
        <v>1170</v>
      </c>
      <c r="B68" s="36">
        <f>IFERROR(VLOOKUP(A68,'Loan List '!$A$6:$BZ$75,2,FALSE),NA)</f>
        <v>0</v>
      </c>
      <c r="C68" s="498" t="str">
        <f>VLOOKUP(A68,'Loan List '!$A$6:$G$75, 7, FALSE)</f>
        <v>First Lien</v>
      </c>
      <c r="D68" s="498" t="str">
        <f>VLOOKUP(A68, 'Loan List '!$A$6:$K$82, 11, FALSE)</f>
        <v>FL</v>
      </c>
      <c r="E68" s="497" t="b">
        <f t="shared" si="23"/>
        <v>1</v>
      </c>
      <c r="F68" s="497" t="str">
        <f>VLOOKUP(A68,'Loan List '!$A$6:$L$75, 12, FALSE)</f>
        <v>Professional Services</v>
      </c>
      <c r="G68" s="320"/>
      <c r="H68" s="533">
        <f t="shared" si="0"/>
        <v>3610766.51</v>
      </c>
      <c r="I68" s="533">
        <f>VLOOKUP(A68,'Loan List '!$A$6:$L$75, 8, FALSE)</f>
        <v>3610766.51</v>
      </c>
      <c r="J68" s="361">
        <v>0</v>
      </c>
      <c r="K68" s="323">
        <f t="shared" si="50"/>
        <v>9.9946484829104704E-3</v>
      </c>
      <c r="L68" s="601">
        <f>VLOOKUP(A68,'Loan List '!$A$6:$BA$82,24, FALSE)</f>
        <v>100</v>
      </c>
      <c r="M68" s="501"/>
      <c r="N68" s="502">
        <f>VLOOKUP(A68,'Loan List '!$A$6:$BA$82,22, FALSE)</f>
        <v>46230</v>
      </c>
      <c r="O68" s="602">
        <f t="shared" si="24"/>
        <v>3610766.51</v>
      </c>
      <c r="P68" s="327">
        <f t="shared" si="2"/>
        <v>1</v>
      </c>
      <c r="Q68" s="487" t="s">
        <v>451</v>
      </c>
      <c r="R68" s="488" t="s">
        <v>38</v>
      </c>
      <c r="S68" s="327" t="b">
        <f t="shared" si="56"/>
        <v>0</v>
      </c>
      <c r="T68" s="327">
        <f>VLOOKUP(A68,'Loan List '!$A$6:$BD$1048576,56,FALSE)/100</f>
        <v>1</v>
      </c>
      <c r="U68" s="535">
        <f t="shared" si="25"/>
        <v>3610766.51</v>
      </c>
      <c r="V68" s="503">
        <f>VLOOKUP(A68,'Loan List '!$A$6:$BA$82,26, FALSE)</f>
        <v>0</v>
      </c>
      <c r="W68" s="350">
        <f t="shared" si="51"/>
        <v>0</v>
      </c>
      <c r="X68" s="326"/>
      <c r="Y68" s="504">
        <f>VLOOKUP(A68,'Loan List '!$A$6:$BA$75,27, FALSE)</f>
        <v>0</v>
      </c>
      <c r="Z68" s="438"/>
      <c r="AA68" s="330"/>
      <c r="AB68" s="333">
        <f t="shared" si="5"/>
        <v>1.7291361108610671E-2</v>
      </c>
      <c r="AC68" s="333">
        <f t="shared" si="6"/>
        <v>6.4965215138918057E-3</v>
      </c>
      <c r="AD68" s="331">
        <f t="shared" si="26"/>
        <v>0</v>
      </c>
      <c r="AE68" s="320" t="str">
        <f t="shared" si="27"/>
        <v>Class 3</v>
      </c>
      <c r="AF68" s="649">
        <f t="shared" si="28"/>
        <v>5</v>
      </c>
      <c r="AG68" s="649">
        <f t="shared" si="29"/>
        <v>6</v>
      </c>
      <c r="AH68" s="332">
        <f t="shared" si="30"/>
        <v>1</v>
      </c>
      <c r="AI68" s="332">
        <f t="shared" si="31"/>
        <v>0</v>
      </c>
      <c r="AJ68" s="332">
        <f t="shared" si="32"/>
        <v>0.65</v>
      </c>
      <c r="AK68" s="332">
        <f t="shared" si="33"/>
        <v>0.35</v>
      </c>
      <c r="AL68" s="332">
        <f t="shared" si="34"/>
        <v>0.65</v>
      </c>
      <c r="AM68" s="333">
        <f ca="1">'Diversity Score'!$E$7</f>
        <v>1</v>
      </c>
      <c r="AN68" s="332">
        <f t="shared" ca="1" si="35"/>
        <v>0.65</v>
      </c>
      <c r="AO68" s="505">
        <f>VLOOKUP(A68,'Loan List '!$A$6:$BA$75,17, FALSE)</f>
        <v>5.8999999999999997E-2</v>
      </c>
      <c r="AP68" s="493" t="str">
        <f>VLOOKUP(A68,'Loan List '!$A$6:$BA$795,15, FALSE)</f>
        <v>SOFR</v>
      </c>
      <c r="AQ68" s="494">
        <f>VLOOKUP(A68,'Loan List '!$A$6:$BA$795,16, FALSE)</f>
        <v>0.01</v>
      </c>
      <c r="AR68" s="539">
        <v>0</v>
      </c>
      <c r="AS68" s="539">
        <v>0</v>
      </c>
      <c r="AT68" s="353"/>
      <c r="AU68" s="323">
        <f t="shared" si="52"/>
        <v>5.8999999999999997E-2</v>
      </c>
      <c r="AV68" s="323" t="b">
        <f t="shared" si="36"/>
        <v>0</v>
      </c>
      <c r="AW68" s="540" t="b">
        <f t="shared" si="37"/>
        <v>0</v>
      </c>
      <c r="AX68" s="323" t="b">
        <f t="shared" si="53"/>
        <v>0</v>
      </c>
      <c r="AY68" s="353"/>
      <c r="AZ68" s="323" t="b">
        <f t="shared" si="13"/>
        <v>0</v>
      </c>
      <c r="BA68" s="497" t="str">
        <f>'Loan List '!AS57</f>
        <v>Maintenance Covenants</v>
      </c>
      <c r="BB68" s="320" t="b">
        <f t="shared" si="38"/>
        <v>0</v>
      </c>
      <c r="BC68" s="326" t="b">
        <f t="shared" si="39"/>
        <v>0</v>
      </c>
      <c r="BD68" s="320" t="b">
        <f t="shared" si="40"/>
        <v>1</v>
      </c>
      <c r="BE68" s="320" t="b">
        <f t="shared" si="41"/>
        <v>1</v>
      </c>
      <c r="BF68" s="550" t="str">
        <f>'Loan List '!J57</f>
        <v>USD</v>
      </c>
      <c r="BG68" s="497" t="str">
        <f>VLOOKUP(A68,'Loan List '!$A$6:$BZ$75, 23, FALSE)</f>
        <v>USA</v>
      </c>
      <c r="BH68" s="320" t="b">
        <f t="shared" si="42"/>
        <v>0</v>
      </c>
      <c r="BI68" s="320" t="b">
        <f t="shared" si="43"/>
        <v>0</v>
      </c>
      <c r="BJ68" s="320" t="b">
        <f>IF('Loan List '!BP57=1, TRUE, FALSE)</f>
        <v>0</v>
      </c>
      <c r="BK68" s="320" t="b">
        <f t="shared" si="54"/>
        <v>0</v>
      </c>
      <c r="BL68" s="541" t="b">
        <f t="shared" si="55"/>
        <v>0</v>
      </c>
      <c r="BM68" s="320" t="b">
        <f>IF('Loan List '!AT57="Yes", TRUE, FALSE)</f>
        <v>0</v>
      </c>
      <c r="BN68" s="336">
        <f t="shared" ca="1" si="44"/>
        <v>1.0054794520547945</v>
      </c>
      <c r="BO68" s="337">
        <f ca="1">'Concentration Limitations'!H63</f>
        <v>3610766.51</v>
      </c>
      <c r="BP68" s="338">
        <f t="shared" ca="1" si="16"/>
        <v>2346998.2314999998</v>
      </c>
      <c r="BQ68" s="442"/>
      <c r="BR68" s="443"/>
      <c r="BS68" s="542">
        <f>'Loan List '!AG57</f>
        <v>45808</v>
      </c>
      <c r="BT68" s="650">
        <f>'Loan List '!AO57</f>
        <v>4.2526263281398045</v>
      </c>
      <c r="BU68" s="650">
        <f>'Loan List '!AI57</f>
        <v>1.7300619564736683</v>
      </c>
      <c r="BV68" s="490"/>
      <c r="BW68" s="377">
        <v>0</v>
      </c>
      <c r="BX68" s="492" t="s">
        <v>1217</v>
      </c>
      <c r="BY68" s="490">
        <f>'Loan List '!AJ57</f>
        <v>26.115817067091072</v>
      </c>
      <c r="BZ68" s="490">
        <f>'Loan List '!AL57</f>
        <v>0</v>
      </c>
      <c r="CA68" s="377">
        <v>0</v>
      </c>
      <c r="CB68" s="377">
        <v>0</v>
      </c>
      <c r="CC68" s="545" t="s">
        <v>146</v>
      </c>
      <c r="CD68" s="546" t="s">
        <v>146</v>
      </c>
      <c r="CE68" s="378" t="s">
        <v>1217</v>
      </c>
      <c r="CF68" s="491">
        <f>'Loan List '!AC57</f>
        <v>3.21</v>
      </c>
      <c r="CG68" s="491">
        <f>'Loan List '!AD57</f>
        <v>2.79</v>
      </c>
      <c r="CH68" s="491"/>
      <c r="CI68" s="377">
        <v>0</v>
      </c>
      <c r="CJ68" s="492" t="s">
        <v>1217</v>
      </c>
      <c r="CK68" s="491">
        <f>'Loan List '!AB57</f>
        <v>15.9</v>
      </c>
      <c r="CL68" s="495">
        <f>'Loan List '!AE58</f>
        <v>0</v>
      </c>
      <c r="CM68" s="377">
        <v>0</v>
      </c>
      <c r="CN68" s="377">
        <v>0</v>
      </c>
      <c r="CO68" s="377" t="s">
        <v>146</v>
      </c>
      <c r="CP68" s="547" t="s">
        <v>146</v>
      </c>
      <c r="CQ68" s="345">
        <f t="shared" si="17"/>
        <v>0.32480570970087369</v>
      </c>
      <c r="CR68" s="346">
        <f t="shared" si="18"/>
        <v>-0.37990610879079989</v>
      </c>
      <c r="CS68" s="347">
        <f t="shared" si="45"/>
        <v>-1.0599380435263317</v>
      </c>
      <c r="CT68" s="485">
        <f t="shared" si="46"/>
        <v>0.6425042180560423</v>
      </c>
      <c r="CU68" s="348">
        <f>IF(OR($CQ68&lt;'Summary '!$I$47,$BT68&lt;'Summary '!$I$46),1,0)</f>
        <v>0</v>
      </c>
      <c r="CV68" s="348">
        <f>IF(OR($CS68&gt;='Summary '!$I$50, (AND(BU68&gt;'Summary '!$I$52, Calcs!CR68&gt; 'Summary '!$I$51))),1,0)</f>
        <v>0</v>
      </c>
      <c r="CW68" s="348">
        <f t="shared" si="60"/>
        <v>0</v>
      </c>
      <c r="CX68" s="447" t="s">
        <v>122</v>
      </c>
      <c r="CY68" s="447" t="s">
        <v>122</v>
      </c>
      <c r="CZ68" t="s">
        <v>122</v>
      </c>
      <c r="DA68" s="352"/>
      <c r="DD68" s="258">
        <v>0</v>
      </c>
      <c r="DE68" s="258">
        <v>0</v>
      </c>
      <c r="DF68" s="277"/>
      <c r="DI68" s="551" t="str">
        <f t="shared" si="57"/>
        <v>Eligible</v>
      </c>
      <c r="DJ68" s="423" t="str">
        <f t="shared" si="47"/>
        <v>Eligible</v>
      </c>
      <c r="DK68" s="549" t="s">
        <v>1271</v>
      </c>
      <c r="DL68" s="549" t="s">
        <v>1271</v>
      </c>
      <c r="DM68" s="423" t="str">
        <f t="shared" si="58"/>
        <v>Eligible</v>
      </c>
      <c r="DN68" s="423" t="str">
        <f t="shared" si="59"/>
        <v>Not PIK</v>
      </c>
      <c r="DO68" s="424" t="s">
        <v>122</v>
      </c>
      <c r="DP68" s="423" t="str">
        <f t="shared" si="49"/>
        <v>YES</v>
      </c>
    </row>
    <row r="69" spans="1:120" ht="16.5">
      <c r="A69" s="616" t="s">
        <v>1304</v>
      </c>
      <c r="B69" s="36">
        <f>IFERROR(VLOOKUP(A69,'Loan List '!$A$6:$BZ$75,2,FALSE),NA)</f>
        <v>0</v>
      </c>
      <c r="C69" s="498" t="str">
        <f>VLOOKUP(A69,'Loan List '!$A$6:$G$75, 7, FALSE)</f>
        <v>First Lien</v>
      </c>
      <c r="D69" s="498" t="str">
        <f>VLOOKUP(A69, 'Loan List '!$A$6:$K$82, 11, FALSE)</f>
        <v>FL</v>
      </c>
      <c r="E69" s="497" t="b">
        <f t="shared" si="23"/>
        <v>1</v>
      </c>
      <c r="F69" s="497" t="str">
        <f>VLOOKUP(A69,'Loan List '!$A$6:$L$75, 12, FALSE)</f>
        <v>Construction &amp; Engineering</v>
      </c>
      <c r="G69" s="320"/>
      <c r="H69" s="533">
        <f t="shared" si="0"/>
        <v>6965000</v>
      </c>
      <c r="I69" s="533">
        <f>VLOOKUP(A69,'Loan List '!$A$6:$L$75, 8, FALSE)</f>
        <v>6965000</v>
      </c>
      <c r="J69" s="361">
        <v>0</v>
      </c>
      <c r="K69" s="323">
        <f t="shared" si="50"/>
        <v>1.9279210242667124E-2</v>
      </c>
      <c r="L69" s="601">
        <f>VLOOKUP(A69,'Loan List '!$A$6:$BA$82,24, FALSE)</f>
        <v>100</v>
      </c>
      <c r="M69" s="501"/>
      <c r="N69" s="502">
        <f>VLOOKUP(A69,'Loan List '!$A$6:$BA$82,22, FALSE)</f>
        <v>46630</v>
      </c>
      <c r="O69" s="602">
        <f t="shared" si="24"/>
        <v>6965000</v>
      </c>
      <c r="P69" s="327">
        <f t="shared" si="2"/>
        <v>1</v>
      </c>
      <c r="Q69" s="487" t="s">
        <v>451</v>
      </c>
      <c r="R69" s="488" t="s">
        <v>38</v>
      </c>
      <c r="S69" s="327" t="b">
        <f t="shared" si="56"/>
        <v>1</v>
      </c>
      <c r="T69" s="327">
        <f>VLOOKUP(A69,'Loan List '!$A$6:$BD$1048576,56,FALSE)/100</f>
        <v>1</v>
      </c>
      <c r="U69" s="535">
        <f t="shared" si="25"/>
        <v>6965000</v>
      </c>
      <c r="V69" s="503">
        <f>VLOOKUP(A69,'Loan List '!$A$6:$BA$82,26, FALSE)</f>
        <v>0</v>
      </c>
      <c r="W69" s="350">
        <f t="shared" si="51"/>
        <v>0</v>
      </c>
      <c r="X69" s="326"/>
      <c r="Y69" s="504">
        <f>VLOOKUP(A69,'Loan List '!$A$6:$BA$75,27, FALSE)</f>
        <v>0</v>
      </c>
      <c r="Z69" s="438"/>
      <c r="AA69" s="330"/>
      <c r="AB69" s="333">
        <f t="shared" si="5"/>
        <v>0.10448020808088294</v>
      </c>
      <c r="AC69" s="333">
        <f t="shared" si="6"/>
        <v>1.3013466913800309E-2</v>
      </c>
      <c r="AD69" s="331">
        <f t="shared" si="26"/>
        <v>0</v>
      </c>
      <c r="AE69" s="320" t="str">
        <f t="shared" si="27"/>
        <v>Class 2</v>
      </c>
      <c r="AF69" s="649">
        <f t="shared" si="28"/>
        <v>5.5</v>
      </c>
      <c r="AG69" s="649">
        <f t="shared" si="29"/>
        <v>6.5</v>
      </c>
      <c r="AH69" s="332">
        <f t="shared" si="30"/>
        <v>1</v>
      </c>
      <c r="AI69" s="332">
        <f t="shared" si="31"/>
        <v>0</v>
      </c>
      <c r="AJ69" s="332">
        <f t="shared" si="32"/>
        <v>0.67500000000000004</v>
      </c>
      <c r="AK69" s="332">
        <f t="shared" si="33"/>
        <v>0.35</v>
      </c>
      <c r="AL69" s="332">
        <f t="shared" si="34"/>
        <v>0.67500000000000004</v>
      </c>
      <c r="AM69" s="333">
        <f ca="1">'Diversity Score'!$E$7</f>
        <v>1</v>
      </c>
      <c r="AN69" s="332">
        <f t="shared" ca="1" si="35"/>
        <v>0.67500000000000004</v>
      </c>
      <c r="AO69" s="505">
        <f>VLOOKUP(A69,'Loan List '!$A$6:$BA$75,17, FALSE)</f>
        <v>0.05</v>
      </c>
      <c r="AP69" s="493" t="str">
        <f>VLOOKUP(A69,'Loan List '!$A$6:$BA$795,15, FALSE)</f>
        <v>SOFR</v>
      </c>
      <c r="AQ69" s="494">
        <f>VLOOKUP(A69,'Loan List '!$A$6:$BA$795,16, FALSE)</f>
        <v>0.01</v>
      </c>
      <c r="AR69" s="539">
        <v>0</v>
      </c>
      <c r="AS69" s="539">
        <v>0</v>
      </c>
      <c r="AT69" s="353"/>
      <c r="AU69" s="323">
        <f t="shared" si="52"/>
        <v>0.05</v>
      </c>
      <c r="AV69" s="323" t="b">
        <f t="shared" si="36"/>
        <v>0</v>
      </c>
      <c r="AW69" s="540" t="b">
        <f t="shared" si="37"/>
        <v>0</v>
      </c>
      <c r="AX69" s="323" t="b">
        <f t="shared" si="53"/>
        <v>0</v>
      </c>
      <c r="AY69" s="353"/>
      <c r="AZ69" s="323" t="b">
        <f t="shared" si="13"/>
        <v>0</v>
      </c>
      <c r="BA69" s="497" t="str">
        <f>'Loan List '!AS58</f>
        <v>Maintenance Covenants</v>
      </c>
      <c r="BB69" s="320" t="b">
        <f t="shared" si="38"/>
        <v>0</v>
      </c>
      <c r="BC69" s="326" t="b">
        <f t="shared" si="39"/>
        <v>0</v>
      </c>
      <c r="BD69" s="320" t="b">
        <f t="shared" si="40"/>
        <v>1</v>
      </c>
      <c r="BE69" s="320" t="b">
        <f t="shared" si="41"/>
        <v>1</v>
      </c>
      <c r="BF69" s="550" t="str">
        <f>'Loan List '!J58</f>
        <v>USD</v>
      </c>
      <c r="BG69" s="497" t="str">
        <f>VLOOKUP(A69,'Loan List '!$A$6:$BZ$75, 23, FALSE)</f>
        <v>USA</v>
      </c>
      <c r="BH69" s="320" t="b">
        <f t="shared" si="42"/>
        <v>0</v>
      </c>
      <c r="BI69" s="320" t="b">
        <f t="shared" si="43"/>
        <v>0</v>
      </c>
      <c r="BJ69" s="320" t="b">
        <f>IF('Loan List '!BP58=1, TRUE, FALSE)</f>
        <v>0</v>
      </c>
      <c r="BK69" s="320" t="b">
        <f t="shared" si="54"/>
        <v>0</v>
      </c>
      <c r="BL69" s="541" t="b">
        <f t="shared" si="55"/>
        <v>0</v>
      </c>
      <c r="BM69" s="320" t="b">
        <f>IF('Loan List '!AT58="Yes", TRUE, FALSE)</f>
        <v>0</v>
      </c>
      <c r="BN69" s="336">
        <f t="shared" ca="1" si="44"/>
        <v>2.1013698630136988</v>
      </c>
      <c r="BO69" s="337">
        <f ca="1">'Concentration Limitations'!H64</f>
        <v>6965000</v>
      </c>
      <c r="BP69" s="338">
        <f t="shared" ca="1" si="16"/>
        <v>4701375</v>
      </c>
      <c r="BQ69" s="442"/>
      <c r="BR69" s="443"/>
      <c r="BS69" s="542">
        <f>'Loan List '!AG58</f>
        <v>45777</v>
      </c>
      <c r="BT69" s="650">
        <f>'Loan List '!AO58</f>
        <v>2.641579733310456</v>
      </c>
      <c r="BU69" s="650">
        <f>'Loan List '!AI58</f>
        <v>5.4193199184921044</v>
      </c>
      <c r="BV69" s="490"/>
      <c r="BW69" s="377">
        <v>0</v>
      </c>
      <c r="BX69" s="492" t="s">
        <v>1217</v>
      </c>
      <c r="BY69" s="490">
        <f>'Loan List '!AJ58</f>
        <v>31.407999999999998</v>
      </c>
      <c r="BZ69" s="490">
        <f>'Loan List '!AL58</f>
        <v>0</v>
      </c>
      <c r="CA69" s="377">
        <v>0</v>
      </c>
      <c r="CB69" s="377">
        <v>0</v>
      </c>
      <c r="CC69" s="545" t="s">
        <v>146</v>
      </c>
      <c r="CD69" s="546" t="s">
        <v>146</v>
      </c>
      <c r="CE69" s="378" t="s">
        <v>1217</v>
      </c>
      <c r="CF69" s="491">
        <f>'Loan List '!AC58</f>
        <v>3.0598469054440525</v>
      </c>
      <c r="CG69" s="491">
        <f>'Loan List '!AD58</f>
        <v>4.2645585124150989</v>
      </c>
      <c r="CH69" s="491"/>
      <c r="CI69" s="377">
        <v>0</v>
      </c>
      <c r="CJ69" s="492" t="s">
        <v>1217</v>
      </c>
      <c r="CK69" s="491">
        <f>'Loan List '!AB58</f>
        <v>26.943000000000001</v>
      </c>
      <c r="CL69" s="495">
        <f>'Loan List '!AE59</f>
        <v>0</v>
      </c>
      <c r="CM69" s="377">
        <v>0</v>
      </c>
      <c r="CN69" s="377">
        <v>0</v>
      </c>
      <c r="CO69" s="377" t="s">
        <v>146</v>
      </c>
      <c r="CP69" s="547" t="s">
        <v>146</v>
      </c>
      <c r="CQ69" s="345">
        <f t="shared" si="17"/>
        <v>-0.13669545734115626</v>
      </c>
      <c r="CR69" s="346">
        <f t="shared" si="18"/>
        <v>0.27078099707513276</v>
      </c>
      <c r="CS69" s="347">
        <f t="shared" si="45"/>
        <v>1.1547614060770055</v>
      </c>
      <c r="CT69" s="485">
        <f t="shared" si="46"/>
        <v>0.16572022417696597</v>
      </c>
      <c r="CU69" s="348">
        <f>IF(OR($CQ69&lt;'Summary '!$I$47,$BT69&lt;'Summary '!$I$46),1,0)</f>
        <v>0</v>
      </c>
      <c r="CV69" s="348">
        <f>IF(OR($CS69&gt;='Summary '!$I$50, (AND(BU69&gt;'Summary '!$I$52, Calcs!CR69&gt; 'Summary '!$I$51))),1,0)</f>
        <v>1</v>
      </c>
      <c r="CW69" s="348">
        <f t="shared" si="60"/>
        <v>1</v>
      </c>
      <c r="CX69" s="447" t="s">
        <v>122</v>
      </c>
      <c r="CY69" s="447" t="s">
        <v>122</v>
      </c>
      <c r="CZ69" t="s">
        <v>122</v>
      </c>
      <c r="DA69" s="352"/>
      <c r="DD69" s="258">
        <v>0</v>
      </c>
      <c r="DE69" s="258">
        <v>0</v>
      </c>
      <c r="DF69" s="277"/>
      <c r="DI69" s="551" t="str">
        <f t="shared" si="57"/>
        <v>Eligible</v>
      </c>
      <c r="DJ69" s="423" t="str">
        <f t="shared" si="47"/>
        <v>Eligible</v>
      </c>
      <c r="DK69" s="549" t="s">
        <v>1271</v>
      </c>
      <c r="DL69" s="549" t="s">
        <v>1271</v>
      </c>
      <c r="DM69" s="423" t="str">
        <f t="shared" si="58"/>
        <v>Eligible</v>
      </c>
      <c r="DN69" s="423" t="str">
        <f t="shared" si="59"/>
        <v>Not PIK</v>
      </c>
      <c r="DO69" s="424" t="s">
        <v>122</v>
      </c>
      <c r="DP69" s="423" t="str">
        <f t="shared" si="49"/>
        <v>YES</v>
      </c>
    </row>
    <row r="70" spans="1:120" ht="16.5">
      <c r="A70" s="616" t="s">
        <v>1174</v>
      </c>
      <c r="B70" s="36">
        <f>IFERROR(VLOOKUP(A70,'Loan List '!$A$6:$BZ$75,2,FALSE),NA)</f>
        <v>0</v>
      </c>
      <c r="C70" s="498" t="str">
        <f>VLOOKUP(A70,'Loan List '!$A$6:$G$75, 7, FALSE)</f>
        <v>First Lien</v>
      </c>
      <c r="D70" s="498" t="str">
        <f>VLOOKUP(A70, 'Loan List '!$A$6:$K$82, 11, FALSE)</f>
        <v>FL</v>
      </c>
      <c r="E70" s="497" t="b">
        <f t="shared" si="23"/>
        <v>1</v>
      </c>
      <c r="F70" s="497" t="str">
        <f>VLOOKUP(A70,'Loan List '!$A$6:$L$75, 12, FALSE)</f>
        <v>Automobiles</v>
      </c>
      <c r="G70" s="320"/>
      <c r="H70" s="533">
        <f t="shared" si="0"/>
        <v>3040931.77</v>
      </c>
      <c r="I70" s="533">
        <f>VLOOKUP(A70,'Loan List '!$A$6:$L$75, 8, FALSE)</f>
        <v>3040931.77</v>
      </c>
      <c r="J70" s="361">
        <v>0</v>
      </c>
      <c r="K70" s="323">
        <f t="shared" si="50"/>
        <v>8.417338539473922E-3</v>
      </c>
      <c r="L70" s="601">
        <f>VLOOKUP(A70,'Loan List '!$A$6:$BA$82,24, FALSE)</f>
        <v>100</v>
      </c>
      <c r="M70" s="501"/>
      <c r="N70" s="502">
        <f>VLOOKUP(A70,'Loan List '!$A$6:$BA$82,22, FALSE)</f>
        <v>47116</v>
      </c>
      <c r="O70" s="602">
        <f t="shared" si="24"/>
        <v>3040931.77</v>
      </c>
      <c r="P70" s="327">
        <f t="shared" si="2"/>
        <v>1</v>
      </c>
      <c r="Q70" s="487" t="s">
        <v>451</v>
      </c>
      <c r="R70" s="488" t="s">
        <v>38</v>
      </c>
      <c r="S70" s="327" t="b">
        <f t="shared" si="56"/>
        <v>1</v>
      </c>
      <c r="T70" s="327">
        <f>VLOOKUP(A70,'Loan List '!$A$6:$BD$1048576,56,FALSE)/100</f>
        <v>1</v>
      </c>
      <c r="U70" s="535">
        <f t="shared" si="25"/>
        <v>3040931.77</v>
      </c>
      <c r="V70" s="503">
        <f>VLOOKUP(A70,'Loan List '!$A$6:$BA$82,26, FALSE)</f>
        <v>0</v>
      </c>
      <c r="W70" s="350">
        <f t="shared" si="51"/>
        <v>0</v>
      </c>
      <c r="X70" s="326"/>
      <c r="Y70" s="504">
        <f>VLOOKUP(A70,'Loan List '!$A$6:$BA$75,27, FALSE)</f>
        <v>0</v>
      </c>
      <c r="Z70" s="438"/>
      <c r="AA70" s="330"/>
      <c r="AB70" s="333">
        <f t="shared" si="5"/>
        <v>2.8661138552489501E-2</v>
      </c>
      <c r="AC70" s="333">
        <f t="shared" si="6"/>
        <v>5.4712700506580492E-3</v>
      </c>
      <c r="AD70" s="331">
        <f t="shared" si="26"/>
        <v>0</v>
      </c>
      <c r="AE70" s="320" t="str">
        <f t="shared" si="27"/>
        <v>Class 3</v>
      </c>
      <c r="AF70" s="649">
        <f t="shared" si="28"/>
        <v>5</v>
      </c>
      <c r="AG70" s="649">
        <f t="shared" si="29"/>
        <v>6</v>
      </c>
      <c r="AH70" s="332">
        <f t="shared" si="30"/>
        <v>1</v>
      </c>
      <c r="AI70" s="332">
        <f t="shared" si="31"/>
        <v>0</v>
      </c>
      <c r="AJ70" s="332">
        <f t="shared" si="32"/>
        <v>0.65</v>
      </c>
      <c r="AK70" s="332">
        <f t="shared" si="33"/>
        <v>0.35</v>
      </c>
      <c r="AL70" s="332">
        <f t="shared" si="34"/>
        <v>0.65</v>
      </c>
      <c r="AM70" s="333">
        <f ca="1">'Diversity Score'!$E$7</f>
        <v>1</v>
      </c>
      <c r="AN70" s="332">
        <f t="shared" ca="1" si="35"/>
        <v>0.65</v>
      </c>
      <c r="AO70" s="505">
        <f>VLOOKUP(A70,'Loan List '!$A$6:$BA$75,17, FALSE)</f>
        <v>5.7500000000000002E-2</v>
      </c>
      <c r="AP70" s="493" t="str">
        <f>VLOOKUP(A70,'Loan List '!$A$6:$BA$795,15, FALSE)</f>
        <v>SOFR</v>
      </c>
      <c r="AQ70" s="494">
        <f>VLOOKUP(A70,'Loan List '!$A$6:$BA$795,16, FALSE)</f>
        <v>0.02</v>
      </c>
      <c r="AR70" s="539">
        <v>0</v>
      </c>
      <c r="AS70" s="539">
        <v>0</v>
      </c>
      <c r="AT70" s="353"/>
      <c r="AU70" s="323">
        <f t="shared" si="52"/>
        <v>5.7500000000000002E-2</v>
      </c>
      <c r="AV70" s="323" t="b">
        <f t="shared" si="36"/>
        <v>0</v>
      </c>
      <c r="AW70" s="540" t="b">
        <f t="shared" si="37"/>
        <v>0</v>
      </c>
      <c r="AX70" s="323" t="b">
        <f t="shared" si="53"/>
        <v>0</v>
      </c>
      <c r="AY70" s="353"/>
      <c r="AZ70" s="323" t="b">
        <f t="shared" si="13"/>
        <v>0</v>
      </c>
      <c r="BA70" s="497" t="str">
        <f>'Loan List '!AS59</f>
        <v>Cov-Lite</v>
      </c>
      <c r="BB70" s="320" t="b">
        <f t="shared" si="38"/>
        <v>0</v>
      </c>
      <c r="BC70" s="326" t="b">
        <f t="shared" si="39"/>
        <v>0</v>
      </c>
      <c r="BD70" s="320" t="b">
        <f t="shared" si="40"/>
        <v>1</v>
      </c>
      <c r="BE70" s="320" t="b">
        <f t="shared" si="41"/>
        <v>1</v>
      </c>
      <c r="BF70" s="550" t="str">
        <f>'Loan List '!J59</f>
        <v>USD</v>
      </c>
      <c r="BG70" s="497" t="str">
        <f>VLOOKUP(A70,'Loan List '!$A$6:$BZ$75, 23, FALSE)</f>
        <v>USA</v>
      </c>
      <c r="BH70" s="320" t="b">
        <f t="shared" si="42"/>
        <v>0</v>
      </c>
      <c r="BI70" s="320" t="b">
        <f t="shared" si="43"/>
        <v>0</v>
      </c>
      <c r="BJ70" s="320" t="b">
        <f>IF('Loan List '!BP59=1, TRUE, FALSE)</f>
        <v>0</v>
      </c>
      <c r="BK70" s="320" t="b">
        <f t="shared" si="54"/>
        <v>0</v>
      </c>
      <c r="BL70" s="541" t="b">
        <f t="shared" si="55"/>
        <v>0</v>
      </c>
      <c r="BM70" s="320" t="b">
        <f>IF('Loan List '!AT59="Yes", TRUE, FALSE)</f>
        <v>1</v>
      </c>
      <c r="BN70" s="336">
        <f t="shared" ca="1" si="44"/>
        <v>3.4328767123287673</v>
      </c>
      <c r="BO70" s="337">
        <f ca="1">'Concentration Limitations'!H65</f>
        <v>3040931.77</v>
      </c>
      <c r="BP70" s="338">
        <f t="shared" ca="1" si="16"/>
        <v>1976605.6505</v>
      </c>
      <c r="BQ70" s="442"/>
      <c r="BR70" s="443"/>
      <c r="BS70" s="542">
        <f>'Loan List '!AG59</f>
        <v>45808</v>
      </c>
      <c r="BT70" s="650">
        <f>'Loan List '!AO59</f>
        <v>2.1824747035662639</v>
      </c>
      <c r="BU70" s="650">
        <f>'Loan List '!AI59</f>
        <v>3.4050119783207391</v>
      </c>
      <c r="BV70" s="490"/>
      <c r="BW70" s="377">
        <v>0</v>
      </c>
      <c r="BX70" s="492" t="s">
        <v>1217</v>
      </c>
      <c r="BY70" s="490">
        <f>'Loan List '!AJ59</f>
        <v>19.73796287</v>
      </c>
      <c r="BZ70" s="490">
        <f>'Loan List '!AL59</f>
        <v>0</v>
      </c>
      <c r="CA70" s="377">
        <v>0</v>
      </c>
      <c r="CB70" s="377">
        <v>0</v>
      </c>
      <c r="CC70" s="545" t="s">
        <v>146</v>
      </c>
      <c r="CD70" s="546" t="s">
        <v>146</v>
      </c>
      <c r="CE70" s="378" t="s">
        <v>1217</v>
      </c>
      <c r="CF70" s="491">
        <f>'Loan List '!AC59</f>
        <v>4.05</v>
      </c>
      <c r="CG70" s="491">
        <f>'Loan List '!AD59</f>
        <v>4.53</v>
      </c>
      <c r="CH70" s="491"/>
      <c r="CI70" s="377">
        <v>0</v>
      </c>
      <c r="CJ70" s="492" t="s">
        <v>1217</v>
      </c>
      <c r="CK70" s="491">
        <f>'Loan List '!AB59</f>
        <v>17.420000000000002</v>
      </c>
      <c r="CL70" s="495">
        <f>'Loan List '!AE60</f>
        <v>0</v>
      </c>
      <c r="CM70" s="377">
        <v>0</v>
      </c>
      <c r="CN70" s="377">
        <v>0</v>
      </c>
      <c r="CO70" s="377" t="s">
        <v>146</v>
      </c>
      <c r="CP70" s="547" t="s">
        <v>146</v>
      </c>
      <c r="CQ70" s="345">
        <f t="shared" si="17"/>
        <v>-0.46111735714413232</v>
      </c>
      <c r="CR70" s="346">
        <f t="shared" si="18"/>
        <v>-0.2483417266400135</v>
      </c>
      <c r="CS70" s="347">
        <f t="shared" si="45"/>
        <v>-1.1249880216792612</v>
      </c>
      <c r="CT70" s="485">
        <f t="shared" si="46"/>
        <v>0.13306331056257159</v>
      </c>
      <c r="CU70" s="348">
        <f>IF(OR($CQ70&lt;'Summary '!$I$47,$BT70&lt;'Summary '!$I$46),1,0)</f>
        <v>1</v>
      </c>
      <c r="CV70" s="348">
        <f>IF(OR($CS70&gt;='Summary '!$I$50, (AND(BU70&gt;'Summary '!$I$52, Calcs!CR70&gt; 'Summary '!$I$51))),1,0)</f>
        <v>0</v>
      </c>
      <c r="CW70" s="348">
        <f t="shared" si="60"/>
        <v>1</v>
      </c>
      <c r="CX70" s="447" t="s">
        <v>122</v>
      </c>
      <c r="CY70" s="447" t="s">
        <v>122</v>
      </c>
      <c r="CZ70" t="s">
        <v>122</v>
      </c>
      <c r="DA70" s="352"/>
      <c r="DD70" s="258">
        <v>0</v>
      </c>
      <c r="DE70" s="258">
        <v>0</v>
      </c>
      <c r="DF70" s="277"/>
      <c r="DI70" s="551" t="str">
        <f t="shared" si="57"/>
        <v>Eligible</v>
      </c>
      <c r="DJ70" s="423" t="str">
        <f t="shared" si="47"/>
        <v>Eligible</v>
      </c>
      <c r="DK70" s="549" t="s">
        <v>1271</v>
      </c>
      <c r="DL70" s="549" t="s">
        <v>1271</v>
      </c>
      <c r="DM70" s="423" t="str">
        <f t="shared" si="58"/>
        <v>Eligible</v>
      </c>
      <c r="DN70" s="423" t="str">
        <f t="shared" si="59"/>
        <v>Not PIK</v>
      </c>
      <c r="DO70" s="424" t="s">
        <v>122</v>
      </c>
      <c r="DP70" s="423" t="str">
        <f t="shared" si="49"/>
        <v>YES</v>
      </c>
    </row>
    <row r="71" spans="1:120" ht="16.5">
      <c r="A71" s="616" t="s">
        <v>1177</v>
      </c>
      <c r="B71" s="36">
        <f>IFERROR(VLOOKUP(A71,'Loan List '!$A$6:$BZ$75,2,FALSE),NA)</f>
        <v>0</v>
      </c>
      <c r="C71" s="498" t="str">
        <f>VLOOKUP(A71,'Loan List '!$A$6:$G$75, 7, FALSE)</f>
        <v>First Lien</v>
      </c>
      <c r="D71" s="498" t="str">
        <f>VLOOKUP(A71, 'Loan List '!$A$6:$K$82, 11, FALSE)</f>
        <v>FL</v>
      </c>
      <c r="E71" s="497" t="b">
        <f t="shared" si="23"/>
        <v>1</v>
      </c>
      <c r="F71" s="497" t="str">
        <f>VLOOKUP(A71,'Loan List '!$A$6:$L$75, 12, FALSE)</f>
        <v>Health Care Providers &amp; Services</v>
      </c>
      <c r="G71" s="320"/>
      <c r="H71" s="533">
        <f t="shared" si="0"/>
        <v>2665549.9</v>
      </c>
      <c r="I71" s="533">
        <f>VLOOKUP(A71,'Loan List '!$A$6:$L$75, 8, FALSE)</f>
        <v>2665549.9</v>
      </c>
      <c r="J71" s="361">
        <v>0</v>
      </c>
      <c r="K71" s="323">
        <f t="shared" si="50"/>
        <v>7.3782766596439814E-3</v>
      </c>
      <c r="L71" s="601">
        <f>VLOOKUP(A71,'Loan List '!$A$6:$BA$82,24, FALSE)</f>
        <v>100</v>
      </c>
      <c r="M71" s="501"/>
      <c r="N71" s="502">
        <f>VLOOKUP(A71,'Loan List '!$A$6:$BA$82,22, FALSE)</f>
        <v>46553</v>
      </c>
      <c r="O71" s="602">
        <f t="shared" si="24"/>
        <v>2665549.9</v>
      </c>
      <c r="P71" s="327">
        <f t="shared" si="2"/>
        <v>1</v>
      </c>
      <c r="Q71" s="487" t="s">
        <v>451</v>
      </c>
      <c r="R71" s="488" t="s">
        <v>38</v>
      </c>
      <c r="S71" s="327" t="b">
        <f t="shared" si="56"/>
        <v>0</v>
      </c>
      <c r="T71" s="327">
        <f>VLOOKUP(A71,'Loan List '!$A$6:$BD$1048576,56,FALSE)/100</f>
        <v>1</v>
      </c>
      <c r="U71" s="535">
        <f t="shared" si="25"/>
        <v>2665549.9</v>
      </c>
      <c r="V71" s="503">
        <f>VLOOKUP(A71,'Loan List '!$A$6:$BA$82,26, FALSE)</f>
        <v>0</v>
      </c>
      <c r="W71" s="350">
        <f t="shared" si="51"/>
        <v>0</v>
      </c>
      <c r="X71" s="326"/>
      <c r="Y71" s="504">
        <f>VLOOKUP(A71,'Loan List '!$A$6:$BA$75,27, FALSE)</f>
        <v>0</v>
      </c>
      <c r="Z71" s="438"/>
      <c r="AA71" s="330"/>
      <c r="AB71" s="333">
        <f t="shared" si="5"/>
        <v>3.2681587660298515E-2</v>
      </c>
      <c r="AC71" s="333">
        <f t="shared" si="6"/>
        <v>4.9803367452596874E-3</v>
      </c>
      <c r="AD71" s="331">
        <f t="shared" si="26"/>
        <v>0</v>
      </c>
      <c r="AE71" s="320" t="str">
        <f t="shared" si="27"/>
        <v>Class 2</v>
      </c>
      <c r="AF71" s="649">
        <f t="shared" si="28"/>
        <v>5.5</v>
      </c>
      <c r="AG71" s="649">
        <f t="shared" si="29"/>
        <v>6.5</v>
      </c>
      <c r="AH71" s="332">
        <f t="shared" si="30"/>
        <v>1</v>
      </c>
      <c r="AI71" s="332">
        <f t="shared" si="31"/>
        <v>0</v>
      </c>
      <c r="AJ71" s="332">
        <f t="shared" si="32"/>
        <v>0.67500000000000004</v>
      </c>
      <c r="AK71" s="332">
        <f t="shared" si="33"/>
        <v>0.35</v>
      </c>
      <c r="AL71" s="332">
        <f t="shared" si="34"/>
        <v>0.67500000000000004</v>
      </c>
      <c r="AM71" s="333">
        <f ca="1">'Diversity Score'!$E$7</f>
        <v>1</v>
      </c>
      <c r="AN71" s="332">
        <f t="shared" ca="1" si="35"/>
        <v>0.67500000000000004</v>
      </c>
      <c r="AO71" s="505">
        <f>VLOOKUP(A71,'Loan List '!$A$6:$BA$75,17, FALSE)</f>
        <v>5.5E-2</v>
      </c>
      <c r="AP71" s="493" t="str">
        <f>VLOOKUP(A71,'Loan List '!$A$6:$BA$795,15, FALSE)</f>
        <v>SOFR</v>
      </c>
      <c r="AQ71" s="494">
        <f>VLOOKUP(A71,'Loan List '!$A$6:$BA$795,16, FALSE)</f>
        <v>0.01</v>
      </c>
      <c r="AR71" s="539">
        <v>0</v>
      </c>
      <c r="AS71" s="539">
        <v>0</v>
      </c>
      <c r="AT71" s="353"/>
      <c r="AU71" s="323">
        <f t="shared" si="52"/>
        <v>5.5E-2</v>
      </c>
      <c r="AV71" s="323" t="b">
        <f t="shared" si="36"/>
        <v>0</v>
      </c>
      <c r="AW71" s="540" t="b">
        <f t="shared" si="37"/>
        <v>0</v>
      </c>
      <c r="AX71" s="323" t="b">
        <f t="shared" si="53"/>
        <v>0</v>
      </c>
      <c r="AY71" s="353"/>
      <c r="AZ71" s="323" t="b">
        <f t="shared" si="13"/>
        <v>0</v>
      </c>
      <c r="BA71" s="497" t="str">
        <f>'Loan List '!AS60</f>
        <v>Maintenance Covenants</v>
      </c>
      <c r="BB71" s="320" t="b">
        <f t="shared" si="38"/>
        <v>0</v>
      </c>
      <c r="BC71" s="326" t="b">
        <f t="shared" si="39"/>
        <v>0</v>
      </c>
      <c r="BD71" s="320" t="b">
        <f t="shared" si="40"/>
        <v>1</v>
      </c>
      <c r="BE71" s="320" t="b">
        <f t="shared" si="41"/>
        <v>1</v>
      </c>
      <c r="BF71" s="550" t="str">
        <f>'Loan List '!J60</f>
        <v>USD</v>
      </c>
      <c r="BG71" s="497" t="str">
        <f>VLOOKUP(A71,'Loan List '!$A$6:$BZ$75, 23, FALSE)</f>
        <v>USA</v>
      </c>
      <c r="BH71" s="320" t="b">
        <f t="shared" si="42"/>
        <v>0</v>
      </c>
      <c r="BI71" s="320" t="b">
        <f t="shared" si="43"/>
        <v>0</v>
      </c>
      <c r="BJ71" s="320" t="b">
        <f>IF('Loan List '!BP60=1, TRUE, FALSE)</f>
        <v>0</v>
      </c>
      <c r="BK71" s="320" t="b">
        <f t="shared" si="54"/>
        <v>0</v>
      </c>
      <c r="BL71" s="541" t="b">
        <f t="shared" si="55"/>
        <v>0</v>
      </c>
      <c r="BM71" s="320" t="b">
        <f>IF('Loan List '!AT60="Yes", TRUE, FALSE)</f>
        <v>0</v>
      </c>
      <c r="BN71" s="336">
        <f t="shared" ca="1" si="44"/>
        <v>1.8904109589041096</v>
      </c>
      <c r="BO71" s="337">
        <f ca="1">'Concentration Limitations'!H66</f>
        <v>2665549.9</v>
      </c>
      <c r="BP71" s="338">
        <f t="shared" ca="1" si="16"/>
        <v>1799246.1825000001</v>
      </c>
      <c r="BQ71" s="442"/>
      <c r="BR71" s="443"/>
      <c r="BS71" s="542">
        <f>'Loan List '!AG60</f>
        <v>45747</v>
      </c>
      <c r="BT71" s="650">
        <f>'Loan List '!AO60</f>
        <v>1.7749515312213437</v>
      </c>
      <c r="BU71" s="650">
        <f>'Loan List '!AI60</f>
        <v>4.4294337509804729</v>
      </c>
      <c r="BV71" s="490"/>
      <c r="BW71" s="377">
        <v>0</v>
      </c>
      <c r="BX71" s="492" t="s">
        <v>1217</v>
      </c>
      <c r="BY71" s="490">
        <f>'Loan List '!AJ60</f>
        <v>121.11499999999999</v>
      </c>
      <c r="BZ71" s="490">
        <f>'Loan List '!AL60</f>
        <v>0</v>
      </c>
      <c r="CA71" s="377">
        <v>0</v>
      </c>
      <c r="CB71" s="377">
        <v>0</v>
      </c>
      <c r="CC71" s="545" t="s">
        <v>146</v>
      </c>
      <c r="CD71" s="546" t="s">
        <v>146</v>
      </c>
      <c r="CE71" s="378" t="s">
        <v>1217</v>
      </c>
      <c r="CF71" s="491">
        <f>'Loan List '!AC60</f>
        <v>1.43</v>
      </c>
      <c r="CG71" s="491">
        <f>'Loan List '!AD60</f>
        <v>5.42</v>
      </c>
      <c r="CH71" s="491"/>
      <c r="CI71" s="377">
        <v>0</v>
      </c>
      <c r="CJ71" s="492" t="s">
        <v>1217</v>
      </c>
      <c r="CK71" s="491">
        <f>'Loan List '!AB60</f>
        <v>95.39</v>
      </c>
      <c r="CL71" s="495">
        <f>'Loan List '!AE61</f>
        <v>0</v>
      </c>
      <c r="CM71" s="377">
        <v>0</v>
      </c>
      <c r="CN71" s="377">
        <v>0</v>
      </c>
      <c r="CO71" s="377" t="s">
        <v>146</v>
      </c>
      <c r="CP71" s="547" t="s">
        <v>146</v>
      </c>
      <c r="CQ71" s="345">
        <f t="shared" si="17"/>
        <v>0.24122484700793276</v>
      </c>
      <c r="CR71" s="346">
        <f t="shared" si="18"/>
        <v>-0.18276130055710832</v>
      </c>
      <c r="CS71" s="347">
        <f t="shared" si="45"/>
        <v>-0.99056624901952706</v>
      </c>
      <c r="CT71" s="485">
        <f t="shared" si="46"/>
        <v>0.26968235664115725</v>
      </c>
      <c r="CU71" s="348">
        <f>IF(OR($CQ71&lt;'Summary '!$I$47,$BT71&lt;'Summary '!$I$46),1,0)</f>
        <v>0</v>
      </c>
      <c r="CV71" s="348">
        <f>IF(OR($CS71&gt;='Summary '!$I$50, (AND(BU71&gt;'Summary '!$I$52, Calcs!CR71&gt; 'Summary '!$I$51))),1,0)</f>
        <v>0</v>
      </c>
      <c r="CW71" s="348">
        <f t="shared" si="60"/>
        <v>0</v>
      </c>
      <c r="CX71" s="447" t="s">
        <v>122</v>
      </c>
      <c r="CY71" s="447" t="s">
        <v>122</v>
      </c>
      <c r="CZ71" t="s">
        <v>122</v>
      </c>
      <c r="DA71" s="352"/>
      <c r="DD71" s="258">
        <v>0</v>
      </c>
      <c r="DE71" s="258">
        <v>0</v>
      </c>
      <c r="DF71" s="277"/>
      <c r="DI71" s="551" t="str">
        <f t="shared" si="57"/>
        <v>Eligible</v>
      </c>
      <c r="DJ71" s="423" t="str">
        <f t="shared" si="47"/>
        <v>Eligible</v>
      </c>
      <c r="DK71" s="549" t="s">
        <v>1271</v>
      </c>
      <c r="DL71" s="549" t="s">
        <v>1271</v>
      </c>
      <c r="DM71" s="423" t="str">
        <f t="shared" si="58"/>
        <v>Eligible</v>
      </c>
      <c r="DN71" s="423" t="str">
        <f t="shared" si="59"/>
        <v>Not PIK</v>
      </c>
      <c r="DO71" s="424" t="s">
        <v>122</v>
      </c>
      <c r="DP71" s="423" t="str">
        <f t="shared" si="49"/>
        <v>YES</v>
      </c>
    </row>
    <row r="72" spans="1:120" ht="16.5">
      <c r="A72" s="616" t="s">
        <v>1277</v>
      </c>
      <c r="B72" s="36">
        <f>IFERROR(VLOOKUP(A72,'Loan List '!$A$6:$BZ$75,2,FALSE),NA)</f>
        <v>0</v>
      </c>
      <c r="C72" s="498" t="str">
        <f>VLOOKUP(A72,'Loan List '!$A$6:$G$75, 7, FALSE)</f>
        <v>First Lien</v>
      </c>
      <c r="D72" s="498" t="str">
        <f>VLOOKUP(A72, 'Loan List '!$A$6:$K$82, 11, FALSE)</f>
        <v>FL</v>
      </c>
      <c r="E72" s="497" t="b">
        <f t="shared" si="23"/>
        <v>1</v>
      </c>
      <c r="F72" s="497" t="str">
        <f>VLOOKUP(A72,'Loan List '!$A$6:$L$75, 12, FALSE)</f>
        <v>Health Care Providers &amp; Services</v>
      </c>
      <c r="G72" s="320"/>
      <c r="H72" s="533">
        <f t="shared" si="0"/>
        <v>4987500</v>
      </c>
      <c r="I72" s="533">
        <f>VLOOKUP(A72,'Loan List '!$A$6:$L$75, 8, FALSE)</f>
        <v>4987500</v>
      </c>
      <c r="J72" s="361">
        <v>0</v>
      </c>
      <c r="K72" s="323">
        <f t="shared" si="50"/>
        <v>1.3805464621005353E-2</v>
      </c>
      <c r="L72" s="601">
        <f>VLOOKUP(A72,'Loan List '!$A$6:$BA$82,24, FALSE)</f>
        <v>100</v>
      </c>
      <c r="M72" s="501"/>
      <c r="N72" s="502">
        <f>VLOOKUP(A72,'Loan List '!$A$6:$BA$82,22, FALSE)</f>
        <v>48128</v>
      </c>
      <c r="O72" s="602">
        <f t="shared" si="24"/>
        <v>4987500</v>
      </c>
      <c r="P72" s="327">
        <f t="shared" si="2"/>
        <v>1</v>
      </c>
      <c r="Q72" s="487" t="s">
        <v>451</v>
      </c>
      <c r="R72" s="488" t="s">
        <v>38</v>
      </c>
      <c r="S72" s="327" t="b">
        <f t="shared" si="56"/>
        <v>0</v>
      </c>
      <c r="T72" s="327">
        <f>VLOOKUP(A72,'Loan List '!$A$6:$BD$1048576,56,FALSE)/100</f>
        <v>1</v>
      </c>
      <c r="U72" s="535">
        <f t="shared" si="25"/>
        <v>4987500</v>
      </c>
      <c r="V72" s="503">
        <f>VLOOKUP(A72,'Loan List '!$A$6:$BA$82,26, FALSE)</f>
        <v>0</v>
      </c>
      <c r="W72" s="350">
        <f t="shared" si="51"/>
        <v>0</v>
      </c>
      <c r="X72" s="326"/>
      <c r="Y72" s="504">
        <f>VLOOKUP(A72,'Loan List '!$A$6:$BA$75,27, FALSE)</f>
        <v>0</v>
      </c>
      <c r="Z72" s="438"/>
      <c r="AA72" s="330"/>
      <c r="AB72" s="333">
        <f t="shared" si="5"/>
        <v>6.1071866402019344E-2</v>
      </c>
      <c r="AC72" s="333">
        <f t="shared" si="6"/>
        <v>9.6638252347037469E-3</v>
      </c>
      <c r="AD72" s="331">
        <f t="shared" si="26"/>
        <v>0</v>
      </c>
      <c r="AE72" s="320" t="str">
        <f t="shared" si="27"/>
        <v>Class 1</v>
      </c>
      <c r="AF72" s="649">
        <f t="shared" si="28"/>
        <v>6</v>
      </c>
      <c r="AG72" s="649">
        <f t="shared" si="29"/>
        <v>7</v>
      </c>
      <c r="AH72" s="332">
        <f t="shared" si="30"/>
        <v>1</v>
      </c>
      <c r="AI72" s="332">
        <f t="shared" si="31"/>
        <v>0</v>
      </c>
      <c r="AJ72" s="332">
        <f t="shared" si="32"/>
        <v>0.7</v>
      </c>
      <c r="AK72" s="332">
        <f t="shared" si="33"/>
        <v>0.4</v>
      </c>
      <c r="AL72" s="332">
        <f t="shared" si="34"/>
        <v>0.7</v>
      </c>
      <c r="AM72" s="333">
        <f ca="1">'Diversity Score'!$E$7</f>
        <v>1</v>
      </c>
      <c r="AN72" s="332">
        <f t="shared" ca="1" si="35"/>
        <v>0.7</v>
      </c>
      <c r="AO72" s="505">
        <f>VLOOKUP(A72,'Loan List '!$A$6:$BA$75,17, FALSE)</f>
        <v>4.4999999999999998E-2</v>
      </c>
      <c r="AP72" s="493" t="str">
        <f>VLOOKUP(A72,'Loan List '!$A$6:$BA$795,15, FALSE)</f>
        <v>SOFR</v>
      </c>
      <c r="AQ72" s="494">
        <f>VLOOKUP(A72,'Loan List '!$A$6:$BA$795,16, FALSE)</f>
        <v>0.01</v>
      </c>
      <c r="AR72" s="539">
        <v>0</v>
      </c>
      <c r="AS72" s="539">
        <v>0</v>
      </c>
      <c r="AT72" s="353"/>
      <c r="AU72" s="323">
        <f t="shared" si="52"/>
        <v>4.4999999999999998E-2</v>
      </c>
      <c r="AV72" s="323" t="b">
        <f t="shared" si="36"/>
        <v>0</v>
      </c>
      <c r="AW72" s="540" t="b">
        <f t="shared" si="37"/>
        <v>0</v>
      </c>
      <c r="AX72" s="323" t="b">
        <f t="shared" si="53"/>
        <v>0</v>
      </c>
      <c r="AY72" s="353"/>
      <c r="AZ72" s="323" t="b">
        <f t="shared" si="13"/>
        <v>0</v>
      </c>
      <c r="BA72" s="497" t="str">
        <f>'Loan List '!AS61</f>
        <v>Maintenance Covenants</v>
      </c>
      <c r="BB72" s="320" t="b">
        <f t="shared" si="38"/>
        <v>0</v>
      </c>
      <c r="BC72" s="326" t="b">
        <f t="shared" si="39"/>
        <v>0</v>
      </c>
      <c r="BD72" s="320" t="b">
        <f t="shared" si="40"/>
        <v>1</v>
      </c>
      <c r="BE72" s="320" t="b">
        <f t="shared" si="41"/>
        <v>1</v>
      </c>
      <c r="BF72" s="550" t="str">
        <f>'Loan List '!J61</f>
        <v>USD</v>
      </c>
      <c r="BG72" s="497" t="str">
        <f>VLOOKUP(A72,'Loan List '!$A$6:$BZ$75, 23, FALSE)</f>
        <v>USA</v>
      </c>
      <c r="BH72" s="320" t="b">
        <f t="shared" si="42"/>
        <v>0</v>
      </c>
      <c r="BI72" s="320" t="b">
        <f t="shared" si="43"/>
        <v>0</v>
      </c>
      <c r="BJ72" s="320" t="b">
        <f>IF('Loan List '!BP61=1, TRUE, FALSE)</f>
        <v>0</v>
      </c>
      <c r="BK72" s="320" t="b">
        <f t="shared" si="54"/>
        <v>0</v>
      </c>
      <c r="BL72" s="541" t="b">
        <f t="shared" si="55"/>
        <v>0</v>
      </c>
      <c r="BM72" s="320" t="b">
        <f>IF('Loan List '!AT61="Yes", TRUE, FALSE)</f>
        <v>0</v>
      </c>
      <c r="BN72" s="336">
        <f t="shared" ca="1" si="44"/>
        <v>6.2054794520547949</v>
      </c>
      <c r="BO72" s="337">
        <f ca="1">'Concentration Limitations'!H67</f>
        <v>4987500</v>
      </c>
      <c r="BP72" s="338">
        <f t="shared" ca="1" si="16"/>
        <v>3491250</v>
      </c>
      <c r="BQ72" s="442"/>
      <c r="BR72" s="443"/>
      <c r="BS72" s="542">
        <f>'Loan List '!AG61</f>
        <v>45747</v>
      </c>
      <c r="BT72" s="650">
        <f>'Loan List '!AO61</f>
        <v>1.8066465256797581</v>
      </c>
      <c r="BU72" s="650">
        <f>'Loan List '!AI61</f>
        <v>4.4237458193979942</v>
      </c>
      <c r="BV72" s="490"/>
      <c r="BW72" s="377">
        <v>0</v>
      </c>
      <c r="BX72" s="492" t="s">
        <v>1217</v>
      </c>
      <c r="BY72" s="490">
        <f>'Loan List '!AJ61</f>
        <v>119.6</v>
      </c>
      <c r="BZ72" s="490">
        <f>'Loan List '!AL61</f>
        <v>0</v>
      </c>
      <c r="CA72" s="377">
        <v>0</v>
      </c>
      <c r="CB72" s="377">
        <v>0</v>
      </c>
      <c r="CC72" s="545" t="s">
        <v>146</v>
      </c>
      <c r="CD72" s="546" t="s">
        <v>146</v>
      </c>
      <c r="CE72" s="378" t="s">
        <v>1217</v>
      </c>
      <c r="CF72" s="491">
        <f>'Loan List '!AC61</f>
        <v>2.07326790860933</v>
      </c>
      <c r="CG72" s="491">
        <f>'Loan List '!AD61</f>
        <v>4.6880705228027466</v>
      </c>
      <c r="CH72" s="491"/>
      <c r="CI72" s="377">
        <v>0</v>
      </c>
      <c r="CJ72" s="492" t="s">
        <v>1217</v>
      </c>
      <c r="CK72" s="491">
        <f>'Loan List '!AB61</f>
        <v>110.91983311059916</v>
      </c>
      <c r="CL72" s="495">
        <f>'Loan List '!AE62</f>
        <v>0</v>
      </c>
      <c r="CM72" s="377">
        <v>0</v>
      </c>
      <c r="CN72" s="377">
        <v>0</v>
      </c>
      <c r="CO72" s="377" t="s">
        <v>146</v>
      </c>
      <c r="CP72" s="547" t="s">
        <v>146</v>
      </c>
      <c r="CQ72" s="345">
        <f t="shared" si="17"/>
        <v>-0.12859958031589436</v>
      </c>
      <c r="CR72" s="346">
        <f t="shared" si="18"/>
        <v>-5.6382407670507236E-2</v>
      </c>
      <c r="CS72" s="347">
        <f t="shared" si="45"/>
        <v>-0.26432470340475245</v>
      </c>
      <c r="CT72" s="485">
        <f t="shared" si="46"/>
        <v>7.8256220244631747E-2</v>
      </c>
      <c r="CU72" s="348">
        <f>IF(OR($CQ72&lt;'Summary '!$I$47,$BT72&lt;'Summary '!$I$46),1,0)</f>
        <v>0</v>
      </c>
      <c r="CV72" s="348">
        <f>IF(OR($CS72&gt;='Summary '!$I$50, (AND(BU72&gt;'Summary '!$I$52, Calcs!CR72&gt; 'Summary '!$I$51))),1,0)</f>
        <v>0</v>
      </c>
      <c r="CW72" s="348">
        <f t="shared" si="60"/>
        <v>0</v>
      </c>
      <c r="CX72" s="447" t="s">
        <v>122</v>
      </c>
      <c r="CY72" s="447" t="s">
        <v>122</v>
      </c>
      <c r="CZ72" t="s">
        <v>122</v>
      </c>
      <c r="DA72" s="352"/>
      <c r="DD72" s="258">
        <v>0</v>
      </c>
      <c r="DE72" s="258">
        <v>0</v>
      </c>
      <c r="DF72" s="277"/>
      <c r="DI72" s="551" t="str">
        <f t="shared" si="57"/>
        <v>Eligible</v>
      </c>
      <c r="DJ72" s="423" t="str">
        <f t="shared" si="47"/>
        <v>Eligible</v>
      </c>
      <c r="DK72" s="549" t="s">
        <v>1271</v>
      </c>
      <c r="DL72" s="549" t="s">
        <v>1271</v>
      </c>
      <c r="DM72" s="423" t="str">
        <f t="shared" si="58"/>
        <v>Eligible</v>
      </c>
      <c r="DN72" s="423" t="str">
        <f t="shared" si="59"/>
        <v>Not PIK</v>
      </c>
      <c r="DO72" s="424" t="s">
        <v>122</v>
      </c>
      <c r="DP72" s="423" t="str">
        <f t="shared" si="49"/>
        <v>YES</v>
      </c>
    </row>
    <row r="73" spans="1:120" ht="16.5">
      <c r="A73" s="616" t="s">
        <v>1180</v>
      </c>
      <c r="B73" s="36">
        <f>IFERROR(VLOOKUP(A73,'Loan List '!$A$6:$BZ$75,2,FALSE),NA)</f>
        <v>0</v>
      </c>
      <c r="C73" s="498" t="str">
        <f>VLOOKUP(A73,'Loan List '!$A$6:$G$75, 7, FALSE)</f>
        <v>First Lien</v>
      </c>
      <c r="D73" s="498" t="str">
        <f>VLOOKUP(A73, 'Loan List '!$A$6:$K$82, 11, FALSE)</f>
        <v>FL</v>
      </c>
      <c r="E73" s="497" t="b">
        <f t="shared" si="23"/>
        <v>1</v>
      </c>
      <c r="F73" s="497" t="str">
        <f>VLOOKUP(A73,'Loan List '!$A$6:$L$75, 12, FALSE)</f>
        <v>Professional Services</v>
      </c>
      <c r="G73" s="320"/>
      <c r="H73" s="533">
        <f t="shared" si="0"/>
        <v>6427124.3100000005</v>
      </c>
      <c r="I73" s="533">
        <f>VLOOKUP(A73,'Loan List '!$A$6:$L$75, 8, FALSE)</f>
        <v>6427124.3100000005</v>
      </c>
      <c r="J73" s="361">
        <v>0</v>
      </c>
      <c r="K73" s="323">
        <f t="shared" si="50"/>
        <v>1.7790363363710968E-2</v>
      </c>
      <c r="L73" s="601">
        <f>VLOOKUP(A73,'Loan List '!$A$6:$BA$82,24, FALSE)</f>
        <v>100</v>
      </c>
      <c r="M73" s="501"/>
      <c r="N73" s="502">
        <f>VLOOKUP(A73,'Loan List '!$A$6:$BA$82,22, FALSE)</f>
        <v>47453</v>
      </c>
      <c r="O73" s="602">
        <f t="shared" si="24"/>
        <v>6427124.3099999996</v>
      </c>
      <c r="P73" s="327">
        <f t="shared" si="2"/>
        <v>1</v>
      </c>
      <c r="Q73" s="487" t="s">
        <v>451</v>
      </c>
      <c r="R73" s="488" t="s">
        <v>38</v>
      </c>
      <c r="S73" s="327" t="b">
        <f t="shared" si="56"/>
        <v>1</v>
      </c>
      <c r="T73" s="327">
        <f>VLOOKUP(A73,'Loan List '!$A$6:$BD$1048576,56,FALSE)/100</f>
        <v>1</v>
      </c>
      <c r="U73" s="535">
        <f t="shared" si="25"/>
        <v>6427124.3100000005</v>
      </c>
      <c r="V73" s="503">
        <f>VLOOKUP(A73,'Loan List '!$A$6:$BA$82,26, FALSE)</f>
        <v>0</v>
      </c>
      <c r="W73" s="350">
        <f t="shared" si="51"/>
        <v>0</v>
      </c>
      <c r="X73" s="326"/>
      <c r="Y73" s="504">
        <f>VLOOKUP(A73,'Loan List '!$A$6:$BA$75,27, FALSE)</f>
        <v>0</v>
      </c>
      <c r="Z73" s="438"/>
      <c r="AA73" s="330"/>
      <c r="AB73" s="333">
        <f t="shared" si="5"/>
        <v>8.9259744008293715E-2</v>
      </c>
      <c r="AC73" s="333">
        <f t="shared" si="6"/>
        <v>1.1545324292038407E-2</v>
      </c>
      <c r="AD73" s="331">
        <f t="shared" si="26"/>
        <v>0</v>
      </c>
      <c r="AE73" s="320" t="str">
        <f t="shared" si="27"/>
        <v>Class 3</v>
      </c>
      <c r="AF73" s="649">
        <f t="shared" si="28"/>
        <v>5</v>
      </c>
      <c r="AG73" s="649">
        <f t="shared" si="29"/>
        <v>6</v>
      </c>
      <c r="AH73" s="332">
        <f t="shared" si="30"/>
        <v>0.99655021204508187</v>
      </c>
      <c r="AI73" s="332">
        <f t="shared" si="31"/>
        <v>3.4497879549181265E-3</v>
      </c>
      <c r="AJ73" s="332">
        <f t="shared" si="32"/>
        <v>0.65</v>
      </c>
      <c r="AK73" s="332">
        <f t="shared" si="33"/>
        <v>0.35</v>
      </c>
      <c r="AL73" s="332">
        <f t="shared" si="34"/>
        <v>0.64896506361352468</v>
      </c>
      <c r="AM73" s="333">
        <f ca="1">'Diversity Score'!$E$7</f>
        <v>1</v>
      </c>
      <c r="AN73" s="332">
        <f t="shared" ca="1" si="35"/>
        <v>0.64896506361352468</v>
      </c>
      <c r="AO73" s="505">
        <f>VLOOKUP(A73,'Loan List '!$A$6:$BA$75,17, FALSE)</f>
        <v>0.06</v>
      </c>
      <c r="AP73" s="493" t="str">
        <f>VLOOKUP(A73,'Loan List '!$A$6:$BA$795,15, FALSE)</f>
        <v>SOFR</v>
      </c>
      <c r="AQ73" s="494">
        <f>VLOOKUP(A73,'Loan List '!$A$6:$BA$795,16, FALSE)</f>
        <v>0.01</v>
      </c>
      <c r="AR73" s="539">
        <v>0</v>
      </c>
      <c r="AS73" s="539">
        <v>0</v>
      </c>
      <c r="AT73" s="353"/>
      <c r="AU73" s="323">
        <f t="shared" si="52"/>
        <v>0.06</v>
      </c>
      <c r="AV73" s="323" t="b">
        <f t="shared" si="36"/>
        <v>0</v>
      </c>
      <c r="AW73" s="540" t="b">
        <f t="shared" si="37"/>
        <v>0</v>
      </c>
      <c r="AX73" s="323" t="b">
        <f t="shared" si="53"/>
        <v>0</v>
      </c>
      <c r="AY73" s="353"/>
      <c r="AZ73" s="323" t="b">
        <f t="shared" si="13"/>
        <v>0</v>
      </c>
      <c r="BA73" s="497" t="str">
        <f>'Loan List '!AS62</f>
        <v>Cov-Lite</v>
      </c>
      <c r="BB73" s="320" t="b">
        <f t="shared" si="38"/>
        <v>0</v>
      </c>
      <c r="BC73" s="326" t="b">
        <f t="shared" si="39"/>
        <v>0</v>
      </c>
      <c r="BD73" s="320" t="b">
        <f t="shared" si="40"/>
        <v>1</v>
      </c>
      <c r="BE73" s="320" t="b">
        <f t="shared" si="41"/>
        <v>1</v>
      </c>
      <c r="BF73" s="550" t="str">
        <f>'Loan List '!J62</f>
        <v>USD</v>
      </c>
      <c r="BG73" s="497" t="str">
        <f>VLOOKUP(A73,'Loan List '!$A$6:$BZ$75, 23, FALSE)</f>
        <v>USA</v>
      </c>
      <c r="BH73" s="320" t="b">
        <f t="shared" si="42"/>
        <v>0</v>
      </c>
      <c r="BI73" s="320" t="b">
        <f t="shared" si="43"/>
        <v>0</v>
      </c>
      <c r="BJ73" s="320" t="b">
        <f>IF('Loan List '!BP62=1, TRUE, FALSE)</f>
        <v>0</v>
      </c>
      <c r="BK73" s="320" t="b">
        <f t="shared" si="54"/>
        <v>0</v>
      </c>
      <c r="BL73" s="541" t="b">
        <f t="shared" si="55"/>
        <v>0</v>
      </c>
      <c r="BM73" s="320" t="b">
        <f>IF('Loan List '!AT62="Yes", TRUE, FALSE)</f>
        <v>1</v>
      </c>
      <c r="BN73" s="336">
        <f t="shared" ca="1" si="44"/>
        <v>4.3561643835616435</v>
      </c>
      <c r="BO73" s="337">
        <f ca="1">'Concentration Limitations'!H68</f>
        <v>6427124.3100000005</v>
      </c>
      <c r="BP73" s="338">
        <f t="shared" ca="1" si="16"/>
        <v>4170979.1366911815</v>
      </c>
      <c r="BQ73" s="442"/>
      <c r="BR73" s="443"/>
      <c r="BS73" s="542">
        <f>'Loan List '!AG62</f>
        <v>45808</v>
      </c>
      <c r="BT73" s="650">
        <f>'Loan List '!AO62</f>
        <v>1.6023310338436321</v>
      </c>
      <c r="BU73" s="650">
        <f>'Loan List '!AI62</f>
        <v>5.0173086509501541</v>
      </c>
      <c r="BV73" s="490"/>
      <c r="BW73" s="377">
        <v>0</v>
      </c>
      <c r="BX73" s="492" t="s">
        <v>1217</v>
      </c>
      <c r="BY73" s="490">
        <f>'Loan List '!AJ62</f>
        <v>11.023990260102</v>
      </c>
      <c r="BZ73" s="490">
        <f>'Loan List '!AL62</f>
        <v>0</v>
      </c>
      <c r="CA73" s="377">
        <v>0</v>
      </c>
      <c r="CB73" s="377">
        <v>0</v>
      </c>
      <c r="CC73" s="545" t="s">
        <v>146</v>
      </c>
      <c r="CD73" s="546" t="s">
        <v>146</v>
      </c>
      <c r="CE73" s="378" t="s">
        <v>1217</v>
      </c>
      <c r="CF73" s="491">
        <f>'Loan List '!AC62</f>
        <v>1.6285679552209618</v>
      </c>
      <c r="CG73" s="491">
        <f>'Loan List '!AD62</f>
        <v>4.9362583421896415</v>
      </c>
      <c r="CH73" s="491"/>
      <c r="CI73" s="377">
        <v>0</v>
      </c>
      <c r="CJ73" s="492" t="s">
        <v>1217</v>
      </c>
      <c r="CK73" s="491">
        <f>'Loan List '!AB62</f>
        <v>10.167894</v>
      </c>
      <c r="CL73" s="495">
        <f>'Loan List '!AE63</f>
        <v>0</v>
      </c>
      <c r="CM73" s="377">
        <v>0</v>
      </c>
      <c r="CN73" s="377">
        <v>0</v>
      </c>
      <c r="CO73" s="377" t="s">
        <v>146</v>
      </c>
      <c r="CP73" s="547" t="s">
        <v>146</v>
      </c>
      <c r="CQ73" s="345">
        <f t="shared" si="17"/>
        <v>-1.6110424679067141E-2</v>
      </c>
      <c r="CR73" s="346">
        <f t="shared" si="18"/>
        <v>1.6419381471140752E-2</v>
      </c>
      <c r="CS73" s="347">
        <f t="shared" si="45"/>
        <v>8.1050308760512557E-2</v>
      </c>
      <c r="CT73" s="485">
        <f t="shared" si="46"/>
        <v>8.4196025263638674E-2</v>
      </c>
      <c r="CU73" s="348">
        <f>IF(OR($CQ73&lt;'Summary '!$I$47,$BT73&lt;'Summary '!$I$46),1,0)</f>
        <v>1</v>
      </c>
      <c r="CV73" s="348">
        <f>IF(OR($CS73&gt;='Summary '!$I$50, (AND(BU73&gt;'Summary '!$I$52, Calcs!CR73&gt; 'Summary '!$I$51))),1,0)</f>
        <v>0</v>
      </c>
      <c r="CW73" s="348">
        <f t="shared" si="60"/>
        <v>1</v>
      </c>
      <c r="CX73" s="447" t="s">
        <v>122</v>
      </c>
      <c r="CY73" s="447" t="s">
        <v>122</v>
      </c>
      <c r="CZ73" t="s">
        <v>231</v>
      </c>
      <c r="DA73" s="352">
        <v>0.02</v>
      </c>
      <c r="DD73" s="258">
        <v>0</v>
      </c>
      <c r="DE73" s="258">
        <v>0</v>
      </c>
      <c r="DF73" s="277"/>
      <c r="DI73" s="551" t="str">
        <f t="shared" si="57"/>
        <v>Eligible</v>
      </c>
      <c r="DJ73" s="423" t="str">
        <f t="shared" si="47"/>
        <v>Eligible</v>
      </c>
      <c r="DK73" s="549" t="s">
        <v>1271</v>
      </c>
      <c r="DL73" s="549" t="s">
        <v>1271</v>
      </c>
      <c r="DM73" s="423" t="str">
        <f t="shared" si="58"/>
        <v>Eligible</v>
      </c>
      <c r="DN73" s="423" t="str">
        <f t="shared" si="59"/>
        <v>Not PIK</v>
      </c>
      <c r="DO73" s="424" t="s">
        <v>122</v>
      </c>
      <c r="DP73" s="423" t="str">
        <f t="shared" si="49"/>
        <v>YES</v>
      </c>
    </row>
    <row r="74" spans="1:120" ht="16.5">
      <c r="A74" s="616" t="s">
        <v>1183</v>
      </c>
      <c r="B74" s="36">
        <f>IFERROR(VLOOKUP(A74,'Loan List '!$A$6:$BZ$75,2,FALSE),NA)</f>
        <v>0</v>
      </c>
      <c r="C74" s="498" t="str">
        <f>VLOOKUP(A74,'Loan List '!$A$6:$G$75, 7, FALSE)</f>
        <v>First Lien</v>
      </c>
      <c r="D74" s="498" t="str">
        <f>VLOOKUP(A74, 'Loan List '!$A$6:$K$82, 11, FALSE)</f>
        <v>FL</v>
      </c>
      <c r="E74" s="497" t="b">
        <f t="shared" si="23"/>
        <v>1</v>
      </c>
      <c r="F74" s="497" t="str">
        <f>VLOOKUP(A74,'Loan List '!$A$6:$L$75, 12, FALSE)</f>
        <v>Professional Services</v>
      </c>
      <c r="G74" s="320"/>
      <c r="H74" s="533">
        <f t="shared" si="0"/>
        <v>9422717.2100000009</v>
      </c>
      <c r="I74" s="533">
        <f>VLOOKUP(A74,'Loan List '!$A$6:$L$75, 8, FALSE)</f>
        <v>9422717.2100000009</v>
      </c>
      <c r="J74" s="361">
        <v>0</v>
      </c>
      <c r="K74" s="323">
        <f t="shared" si="50"/>
        <v>2.6082203323587627E-2</v>
      </c>
      <c r="L74" s="601">
        <f>VLOOKUP(A74,'Loan List '!$A$6:$BA$82,24, FALSE)</f>
        <v>100</v>
      </c>
      <c r="M74" s="501"/>
      <c r="N74" s="502">
        <f>VLOOKUP(A74,'Loan List '!$A$6:$BA$82,22, FALSE)</f>
        <v>46373</v>
      </c>
      <c r="O74" s="602">
        <f t="shared" si="24"/>
        <v>9422717.2100000009</v>
      </c>
      <c r="P74" s="327">
        <f t="shared" si="2"/>
        <v>0.45</v>
      </c>
      <c r="Q74" s="487" t="s">
        <v>451</v>
      </c>
      <c r="R74" s="488" t="s">
        <v>38</v>
      </c>
      <c r="S74" s="327" t="b">
        <f t="shared" si="56"/>
        <v>1</v>
      </c>
      <c r="T74" s="327">
        <f>VLOOKUP(A74,'Loan List '!$A$6:$BD$1048576,56,FALSE)/100</f>
        <v>0.45</v>
      </c>
      <c r="U74" s="535">
        <f t="shared" si="25"/>
        <v>4240222.744500001</v>
      </c>
      <c r="V74" s="503">
        <f>VLOOKUP(A74,'Loan List '!$A$6:$BA$82,26, FALSE)</f>
        <v>0</v>
      </c>
      <c r="W74" s="350">
        <f t="shared" si="51"/>
        <v>0</v>
      </c>
      <c r="X74" s="326"/>
      <c r="Y74" s="504">
        <f>VLOOKUP(A74,'Loan List '!$A$6:$BA$75,27, FALSE)</f>
        <v>0</v>
      </c>
      <c r="Z74" s="438"/>
      <c r="AA74" s="330"/>
      <c r="AB74" s="333">
        <f t="shared" si="5"/>
        <v>0.44054898372468587</v>
      </c>
      <c r="AC74" s="333">
        <f t="shared" si="6"/>
        <v>5.559002243203783E-3</v>
      </c>
      <c r="AD74" s="331">
        <f t="shared" si="26"/>
        <v>0</v>
      </c>
      <c r="AE74" s="320" t="str">
        <f t="shared" si="27"/>
        <v>Class 3</v>
      </c>
      <c r="AF74" s="649">
        <f t="shared" si="28"/>
        <v>5</v>
      </c>
      <c r="AG74" s="649">
        <f t="shared" si="29"/>
        <v>6</v>
      </c>
      <c r="AH74" s="332">
        <f t="shared" si="30"/>
        <v>0.29601933368534661</v>
      </c>
      <c r="AI74" s="332">
        <f t="shared" si="31"/>
        <v>5.9203866737069323E-2</v>
      </c>
      <c r="AJ74" s="332">
        <f t="shared" si="32"/>
        <v>0.65</v>
      </c>
      <c r="AK74" s="332">
        <f t="shared" si="33"/>
        <v>0.35</v>
      </c>
      <c r="AL74" s="332">
        <f t="shared" si="34"/>
        <v>0.21313392025344957</v>
      </c>
      <c r="AM74" s="333">
        <f ca="1">'Diversity Score'!$E$7</f>
        <v>1</v>
      </c>
      <c r="AN74" s="332">
        <f t="shared" ca="1" si="35"/>
        <v>0.21313392025344957</v>
      </c>
      <c r="AO74" s="505">
        <v>0.12</v>
      </c>
      <c r="AP74" s="493" t="str">
        <f>VLOOKUP(A74,'Loan List '!$A$6:$BA$795,15, FALSE)</f>
        <v>SOFR</v>
      </c>
      <c r="AQ74" s="494">
        <f>VLOOKUP(A74,'Loan List '!$A$6:$BA$795,16, FALSE)</f>
        <v>0.01</v>
      </c>
      <c r="AR74" s="539">
        <v>0.08</v>
      </c>
      <c r="AS74" s="539">
        <v>0.04</v>
      </c>
      <c r="AT74" s="353"/>
      <c r="AU74" s="323">
        <f t="shared" si="52"/>
        <v>7.9999999999999988E-2</v>
      </c>
      <c r="AV74" s="323" t="b">
        <f t="shared" si="36"/>
        <v>1</v>
      </c>
      <c r="AW74" s="540" t="b">
        <f t="shared" si="37"/>
        <v>0</v>
      </c>
      <c r="AX74" s="323" t="b">
        <f t="shared" si="53"/>
        <v>0</v>
      </c>
      <c r="AY74" s="353"/>
      <c r="AZ74" s="323" t="b">
        <f t="shared" si="13"/>
        <v>0</v>
      </c>
      <c r="BA74" s="497" t="str">
        <f>'Loan List '!AS63</f>
        <v>Maintenance Covenants</v>
      </c>
      <c r="BB74" s="320" t="b">
        <f t="shared" si="38"/>
        <v>0</v>
      </c>
      <c r="BC74" s="326" t="b">
        <f t="shared" si="39"/>
        <v>1</v>
      </c>
      <c r="BD74" s="320" t="b">
        <f t="shared" si="40"/>
        <v>1</v>
      </c>
      <c r="BE74" s="320" t="b">
        <f t="shared" si="41"/>
        <v>1</v>
      </c>
      <c r="BF74" s="550" t="str">
        <f>'Loan List '!J63</f>
        <v>USD</v>
      </c>
      <c r="BG74" s="497" t="str">
        <f>VLOOKUP(A74,'Loan List '!$A$6:$BZ$75, 23, FALSE)</f>
        <v>USA</v>
      </c>
      <c r="BH74" s="320" t="b">
        <f t="shared" si="42"/>
        <v>0</v>
      </c>
      <c r="BI74" s="320" t="b">
        <f t="shared" si="43"/>
        <v>0</v>
      </c>
      <c r="BJ74" s="320" t="b">
        <f>IF('Loan List '!BP63=1, TRUE, FALSE)</f>
        <v>0</v>
      </c>
      <c r="BK74" s="320" t="b">
        <f t="shared" si="54"/>
        <v>1</v>
      </c>
      <c r="BL74" s="541" t="b">
        <f t="shared" si="55"/>
        <v>0</v>
      </c>
      <c r="BM74" s="320" t="b">
        <f>IF('Loan List '!AT63="Yes", TRUE, FALSE)</f>
        <v>0</v>
      </c>
      <c r="BN74" s="336">
        <f t="shared" ca="1" si="44"/>
        <v>1.3972602739726028</v>
      </c>
      <c r="BO74" s="337">
        <f ca="1">'Concentration Limitations'!H69</f>
        <v>4240222.744500001</v>
      </c>
      <c r="BP74" s="338">
        <f t="shared" ca="1" si="16"/>
        <v>903735.29628312623</v>
      </c>
      <c r="BQ74" s="442"/>
      <c r="BR74" s="443"/>
      <c r="BS74" s="542">
        <f>'Loan List '!AG63</f>
        <v>45777</v>
      </c>
      <c r="BT74" s="650">
        <f>'Loan List '!AO63</f>
        <v>0.4632950738439518</v>
      </c>
      <c r="BU74" s="650">
        <f>'Loan List '!AI63</f>
        <v>16.890788644618542</v>
      </c>
      <c r="BV74" s="490"/>
      <c r="BW74" s="377">
        <v>0</v>
      </c>
      <c r="BX74" s="492" t="s">
        <v>1217</v>
      </c>
      <c r="BY74" s="490">
        <f>'Loan List '!AJ63</f>
        <v>7.3422162700207503</v>
      </c>
      <c r="BZ74" s="490">
        <f>'Loan List '!AL63</f>
        <v>0</v>
      </c>
      <c r="CA74" s="377">
        <v>0</v>
      </c>
      <c r="CB74" s="377">
        <v>0</v>
      </c>
      <c r="CC74" s="545" t="s">
        <v>146</v>
      </c>
      <c r="CD74" s="546" t="s">
        <v>146</v>
      </c>
      <c r="CE74" s="378" t="s">
        <v>1217</v>
      </c>
      <c r="CF74" s="491">
        <f>'Loan List '!AC63</f>
        <v>2.85</v>
      </c>
      <c r="CG74" s="491">
        <f>'Loan List '!AD63</f>
        <v>4.6500000000000004</v>
      </c>
      <c r="CH74" s="491"/>
      <c r="CI74" s="377">
        <v>0</v>
      </c>
      <c r="CJ74" s="492" t="s">
        <v>1217</v>
      </c>
      <c r="CK74" s="491">
        <f>'Loan List '!AB63</f>
        <v>24.6</v>
      </c>
      <c r="CL74" s="495">
        <f>'Loan List '!AE64</f>
        <v>0</v>
      </c>
      <c r="CM74" s="377">
        <v>0</v>
      </c>
      <c r="CN74" s="377">
        <v>0</v>
      </c>
      <c r="CO74" s="377" t="s">
        <v>146</v>
      </c>
      <c r="CP74" s="547" t="s">
        <v>146</v>
      </c>
      <c r="CQ74" s="345">
        <f t="shared" si="17"/>
        <v>-0.83744032496703447</v>
      </c>
      <c r="CR74" s="346">
        <f t="shared" si="18"/>
        <v>2.6324276655093635</v>
      </c>
      <c r="CS74" s="347">
        <f t="shared" si="45"/>
        <v>12.240788644618542</v>
      </c>
      <c r="CT74" s="485">
        <f t="shared" si="46"/>
        <v>-0.70153592398289633</v>
      </c>
      <c r="CU74" s="348">
        <f>IF(OR($CQ74&lt;'Summary '!$I$47,$BT74&lt;'Summary '!$I$46),1,0)</f>
        <v>1</v>
      </c>
      <c r="CV74" s="348">
        <f>IF(OR($CS74&gt;='Summary '!$I$50, (AND(BU74&gt;'Summary '!$I$52, Calcs!CR74&gt; 'Summary '!$I$51))),1,0)</f>
        <v>1</v>
      </c>
      <c r="CW74" s="348">
        <f t="shared" si="60"/>
        <v>1</v>
      </c>
      <c r="CX74" s="447" t="s">
        <v>122</v>
      </c>
      <c r="CY74" s="447" t="s">
        <v>122</v>
      </c>
      <c r="CZ74" t="s">
        <v>231</v>
      </c>
      <c r="DA74" s="352">
        <v>0.04</v>
      </c>
      <c r="DD74" s="258">
        <v>0</v>
      </c>
      <c r="DE74" s="258">
        <v>0</v>
      </c>
      <c r="DF74" s="277"/>
      <c r="DI74" s="551" t="str">
        <f t="shared" si="57"/>
        <v>Eligible</v>
      </c>
      <c r="DJ74" s="423" t="str">
        <f t="shared" si="47"/>
        <v>Eligible</v>
      </c>
      <c r="DK74" s="549" t="s">
        <v>1271</v>
      </c>
      <c r="DL74" s="549" t="s">
        <v>1271</v>
      </c>
      <c r="DM74" s="423" t="str">
        <f t="shared" si="58"/>
        <v>Eligible</v>
      </c>
      <c r="DN74" s="423" t="str">
        <f t="shared" si="59"/>
        <v>Not PIK</v>
      </c>
      <c r="DO74" s="424" t="s">
        <v>122</v>
      </c>
      <c r="DP74" s="423" t="str">
        <f t="shared" si="49"/>
        <v>YES</v>
      </c>
    </row>
    <row r="75" spans="1:120" ht="16.5">
      <c r="A75" s="616" t="s">
        <v>1186</v>
      </c>
      <c r="B75" s="36">
        <f>IFERROR(VLOOKUP(A75,'Loan List '!$A$6:$BZ$75,2,FALSE),NA)</f>
        <v>0</v>
      </c>
      <c r="C75" s="498" t="str">
        <f>VLOOKUP(A75,'Loan List '!$A$6:$G$75, 7, FALSE)</f>
        <v>First Lien</v>
      </c>
      <c r="D75" s="498" t="str">
        <f>VLOOKUP(A75, 'Loan List '!$A$6:$K$82, 11, FALSE)</f>
        <v>FL</v>
      </c>
      <c r="E75" s="497" t="b">
        <f t="shared" si="23"/>
        <v>1</v>
      </c>
      <c r="F75" s="497" t="str">
        <f>VLOOKUP(A75,'Loan List '!$A$6:$L$75, 12, FALSE)</f>
        <v>IT Services</v>
      </c>
      <c r="G75" s="320"/>
      <c r="H75" s="533">
        <f t="shared" ref="H75:H79" si="61">+I75</f>
        <v>1919563.63</v>
      </c>
      <c r="I75" s="533">
        <f>VLOOKUP(A75,'Loan List '!$A$6:$L$82, 8, FALSE)</f>
        <v>1919563.63</v>
      </c>
      <c r="J75" s="361">
        <v>0</v>
      </c>
      <c r="K75" s="323">
        <f t="shared" si="50"/>
        <v>5.3133769988438313E-3</v>
      </c>
      <c r="L75" s="601">
        <f>VLOOKUP(A75,'Loan List '!$A$6:$BA$82,24, FALSE)</f>
        <v>100</v>
      </c>
      <c r="M75" s="501"/>
      <c r="N75" s="502">
        <f>VLOOKUP(A75,'Loan List '!$A$6:$BA$82,22, FALSE)</f>
        <v>46952</v>
      </c>
      <c r="O75" s="602">
        <f t="shared" ref="O75:O79" si="62">IFERROR(MAX(0,I75-J75)*L75,"")/100</f>
        <v>1919563.63</v>
      </c>
      <c r="P75" s="327">
        <f t="shared" si="2"/>
        <v>0</v>
      </c>
      <c r="Q75" s="487" t="s">
        <v>451</v>
      </c>
      <c r="R75" s="488" t="s">
        <v>38</v>
      </c>
      <c r="S75" s="327" t="b">
        <f t="shared" ref="S75:S79" si="63">IF(OR(CU75=1,CV75=1,CW75=1),TRUE,FALSE)</f>
        <v>0</v>
      </c>
      <c r="T75" s="327">
        <f>VLOOKUP(A75,'Loan List '!$A$6:$BD$1048576,56,FALSE)/100</f>
        <v>0</v>
      </c>
      <c r="U75" s="535">
        <f t="shared" ref="U75:U79" si="64">IF(E75=TRUE,P75*I75,0)</f>
        <v>0</v>
      </c>
      <c r="V75" s="503">
        <f>VLOOKUP(A75,'Loan List '!$A$6:$BA$82,26, FALSE)</f>
        <v>0</v>
      </c>
      <c r="W75" s="350">
        <f t="shared" si="51"/>
        <v>0</v>
      </c>
      <c r="X75" s="326"/>
      <c r="Y75" s="504">
        <f>VLOOKUP(A75,'Loan List '!$A$6:$BA$75,27, FALSE)</f>
        <v>0</v>
      </c>
      <c r="Z75" s="438"/>
      <c r="AA75" s="330"/>
      <c r="AB75" s="333">
        <f t="shared" si="5"/>
        <v>2.0637322074995332E-2</v>
      </c>
      <c r="AC75" s="333">
        <f t="shared" si="6"/>
        <v>3.5865294742195865E-3</v>
      </c>
      <c r="AD75" s="331">
        <f t="shared" si="26"/>
        <v>0</v>
      </c>
      <c r="AE75" s="320" t="str">
        <f t="shared" si="27"/>
        <v>Class 2</v>
      </c>
      <c r="AF75" s="649">
        <f t="shared" si="28"/>
        <v>5.5</v>
      </c>
      <c r="AG75" s="649">
        <f t="shared" ref="AG75:AG79" si="65">IF(BB75,1,0)+HLOOKUP($AE75,$B$3:$F$10,5,0)</f>
        <v>6.5</v>
      </c>
      <c r="AH75" s="332">
        <f t="shared" ref="AH75:AH79" si="66">MIN(AF75/BU75,1)</f>
        <v>1</v>
      </c>
      <c r="AI75" s="332">
        <f t="shared" ref="AI75:AI79" si="67">IF(BU75&gt;AG75,(AG75-AF75)/BU75,1-AH75)</f>
        <v>0</v>
      </c>
      <c r="AJ75" s="332">
        <f t="shared" si="32"/>
        <v>0.67500000000000004</v>
      </c>
      <c r="AK75" s="332">
        <f t="shared" si="33"/>
        <v>0.35</v>
      </c>
      <c r="AL75" s="332">
        <f t="shared" ref="AL75:AL79" si="68">IF(OR(BI75, AND(BH75,AD75&gt;1)), HLOOKUP(AE75,$B$3:$F$10,8,0),AH75*AJ75+AI75*AK75)</f>
        <v>0.67500000000000004</v>
      </c>
      <c r="AM75" s="333">
        <f ca="1">'Diversity Score'!$E$7</f>
        <v>1</v>
      </c>
      <c r="AN75" s="332">
        <f t="shared" ref="AN75:AN79" ca="1" si="69">AM75*AL75</f>
        <v>0.67500000000000004</v>
      </c>
      <c r="AO75" s="505">
        <f>VLOOKUP(A75,'Loan List '!$A$6:$BA$75,17, FALSE)</f>
        <v>5.5E-2</v>
      </c>
      <c r="AP75" s="493" t="str">
        <f>VLOOKUP(A75,'Loan List '!$A$6:$BA$795,15, FALSE)</f>
        <v>SOFR</v>
      </c>
      <c r="AQ75" s="494">
        <f>VLOOKUP(A75,'Loan List '!$A$6:$BA$795,16, FALSE)</f>
        <v>0.01</v>
      </c>
      <c r="AR75" s="539">
        <v>0</v>
      </c>
      <c r="AS75" s="539">
        <v>7.3999999999999996E-2</v>
      </c>
      <c r="AT75" s="353"/>
      <c r="AU75" s="323">
        <f t="shared" ref="AU75:AU79" si="70">AO75-AS75</f>
        <v>-1.8999999999999996E-2</v>
      </c>
      <c r="AV75" s="323" t="b">
        <f t="shared" ref="AV75:AV79" si="71">IF(AND(AS75&gt;0%,AU75&gt;4.5%),TRUE,FALSE)</f>
        <v>0</v>
      </c>
      <c r="AW75" s="540" t="b">
        <f t="shared" ref="AW75:AW79" si="72">IF(AND(AS75&gt;0%,AU75&gt;=2.25%, AV75=FALSE),TRUE,FALSE)</f>
        <v>0</v>
      </c>
      <c r="AX75" s="323" t="b">
        <f t="shared" ref="AX75:AX79" si="73">IF(AND(AS75&gt;0%,AW75=FALSE, AV75=FALSE),TRUE, FALSE)</f>
        <v>1</v>
      </c>
      <c r="AY75" s="353"/>
      <c r="AZ75" s="323" t="b">
        <f t="shared" si="13"/>
        <v>0</v>
      </c>
      <c r="BA75" s="497" t="str">
        <f>'Loan List '!AS64</f>
        <v>Maintenance Covenants</v>
      </c>
      <c r="BB75" s="320" t="b">
        <f t="shared" ref="BB75:BB79" si="74">IF(D75="FL",FALSE,TRUE)</f>
        <v>0</v>
      </c>
      <c r="BC75" s="326" t="b">
        <f t="shared" ref="BC75:BC79" si="75">IF(BU75&gt;5.5, TRUE, FALSE)</f>
        <v>0</v>
      </c>
      <c r="BD75" s="320" t="b">
        <f t="shared" ref="BD75:BD79" si="76">IF(BF75="USD", TRUE,FALSE)</f>
        <v>1</v>
      </c>
      <c r="BE75" s="320" t="b">
        <f t="shared" ref="BE75:BE79" si="77">IF(BG75="USA",TRUE,FALSE)</f>
        <v>1</v>
      </c>
      <c r="BF75" s="550" t="str">
        <f>'Loan List '!J64</f>
        <v>USD</v>
      </c>
      <c r="BG75" s="497" t="str">
        <f>VLOOKUP(A75,'Loan List '!$A$6:$BZ$75, 23, FALSE)</f>
        <v>USA</v>
      </c>
      <c r="BH75" s="320" t="b">
        <f t="shared" ref="BH75:BH79" si="78">IF(D75="FLLO", TRUE,FALSE)</f>
        <v>0</v>
      </c>
      <c r="BI75" s="320" t="b">
        <f t="shared" ref="BI75:BI79" si="79">IF(C75="Second Lien",TRUE,FALSE)</f>
        <v>0</v>
      </c>
      <c r="BJ75" s="320" t="b">
        <f>IF('Loan List '!BP64=1, TRUE, FALSE)</f>
        <v>0</v>
      </c>
      <c r="BK75" s="320" t="b">
        <f t="shared" si="54"/>
        <v>0</v>
      </c>
      <c r="BL75" s="541" t="b">
        <f t="shared" si="55"/>
        <v>0</v>
      </c>
      <c r="BM75" s="320" t="b">
        <f>IF('Loan List '!AT64="Yes", TRUE, FALSE)</f>
        <v>0</v>
      </c>
      <c r="BN75" s="336">
        <f t="shared" ca="1" si="44"/>
        <v>2.9835616438356163</v>
      </c>
      <c r="BO75" s="337">
        <f ca="1">'Concentration Limitations'!H70</f>
        <v>0</v>
      </c>
      <c r="BP75" s="338">
        <f t="shared" ca="1" si="16"/>
        <v>0</v>
      </c>
      <c r="BQ75" s="442"/>
      <c r="BR75" s="443"/>
      <c r="BS75" s="542">
        <f>'Loan List '!AG64</f>
        <v>45777</v>
      </c>
      <c r="BT75" s="650">
        <f>'Loan List '!AO64</f>
        <v>2.3690178571428571</v>
      </c>
      <c r="BU75" s="650">
        <f>'Loan List '!AI64</f>
        <v>3.884031206422192</v>
      </c>
      <c r="BV75" s="490"/>
      <c r="BW75" s="377">
        <v>0</v>
      </c>
      <c r="BX75" s="492" t="s">
        <v>1217</v>
      </c>
      <c r="BY75" s="490">
        <f>'Loan List '!AJ64</f>
        <v>53.065999999999995</v>
      </c>
      <c r="BZ75" s="490">
        <f>'Loan List '!AL64</f>
        <v>0</v>
      </c>
      <c r="CA75" s="377">
        <v>0</v>
      </c>
      <c r="CB75" s="377">
        <v>0</v>
      </c>
      <c r="CC75" s="545" t="s">
        <v>146</v>
      </c>
      <c r="CD75" s="546" t="s">
        <v>146</v>
      </c>
      <c r="CE75" s="378" t="s">
        <v>1217</v>
      </c>
      <c r="CF75" s="491">
        <f>'Loan List '!AC64</f>
        <v>2.3519850367047641</v>
      </c>
      <c r="CG75" s="491">
        <f>'Loan List '!AD64</f>
        <v>5.3640688558278322</v>
      </c>
      <c r="CH75" s="491"/>
      <c r="CI75" s="377">
        <v>0</v>
      </c>
      <c r="CJ75" s="492" t="s">
        <v>1217</v>
      </c>
      <c r="CK75" s="491">
        <f>'Loan List '!AB64</f>
        <v>71.046999999999997</v>
      </c>
      <c r="CL75" s="495" t="e">
        <f>'Loan List '!#REF!</f>
        <v>#REF!</v>
      </c>
      <c r="CM75" s="377">
        <v>0</v>
      </c>
      <c r="CN75" s="377">
        <v>0</v>
      </c>
      <c r="CO75" s="377" t="s">
        <v>146</v>
      </c>
      <c r="CP75" s="547" t="s">
        <v>146</v>
      </c>
      <c r="CQ75" s="345">
        <f t="shared" si="17"/>
        <v>7.241891496876483E-3</v>
      </c>
      <c r="CR75" s="346">
        <f t="shared" si="18"/>
        <v>-0.27591697444331692</v>
      </c>
      <c r="CS75" s="347">
        <f t="shared" ref="CS75:CS79" si="80">BU75-CG75</f>
        <v>-1.4800376494056402</v>
      </c>
      <c r="CT75" s="485">
        <f t="shared" ref="CT75:CT79" si="81">(BY75/CK75)-1</f>
        <v>-0.25308598533365245</v>
      </c>
      <c r="CU75" s="348">
        <f>IF(OR($CQ75&lt;'Summary '!$I$47,$BT75&lt;'Summary '!$I$46),1,0)</f>
        <v>0</v>
      </c>
      <c r="CV75" s="348">
        <f>IF(OR($CS75&gt;='Summary '!$I$50, (AND(BU75&gt;'Summary '!$I$52, Calcs!CR75&gt; 'Summary '!$I$51))),1,0)</f>
        <v>0</v>
      </c>
      <c r="CW75" s="348">
        <f t="shared" ref="CW75:CW79" si="82">IF(OR(SUM(CU75:CV75)&gt;=1,CX75="Yes"),1,0)</f>
        <v>0</v>
      </c>
      <c r="CX75" s="447" t="s">
        <v>122</v>
      </c>
      <c r="CY75" s="447" t="s">
        <v>122</v>
      </c>
      <c r="CZ75" t="s">
        <v>231</v>
      </c>
      <c r="DA75" s="352">
        <v>7.3999999999999996E-2</v>
      </c>
      <c r="DD75" s="258">
        <v>0</v>
      </c>
      <c r="DE75" s="258">
        <v>0</v>
      </c>
      <c r="DF75" s="277"/>
      <c r="DI75" s="551" t="str">
        <f t="shared" ref="DI75:DI79" si="83">IF(L75&lt;90%,"Not Eligible","Eligible")</f>
        <v>Eligible</v>
      </c>
      <c r="DJ75" s="423" t="str">
        <f t="shared" ref="DJ75:DJ79" si="84">IF(OR(BF75="USD",BF75="CAD",BF75="EUR",BF75="GBP",BF75="AUD"),"Eligible","Not Eligible")</f>
        <v>Eligible</v>
      </c>
      <c r="DK75" s="549" t="s">
        <v>1271</v>
      </c>
      <c r="DL75" s="549" t="s">
        <v>1271</v>
      </c>
      <c r="DM75" s="423" t="str">
        <f t="shared" ref="DM75:DM79" si="85">IF(BM75="FALSE",IF(BY75&lt;5,"Not Eligible","Eligible"),"Eligible")</f>
        <v>Eligible</v>
      </c>
      <c r="DN75" s="423" t="str">
        <f t="shared" ref="DN75:DN79" si="86">IF(AW75=TRUE,IF(AU75&gt;=3%,"Eligible","Not Eligible"),"Not PIK")</f>
        <v>Not PIK</v>
      </c>
      <c r="DO75" s="424" t="s">
        <v>122</v>
      </c>
      <c r="DP75" s="423" t="str">
        <f t="shared" si="49"/>
        <v>YES</v>
      </c>
    </row>
    <row r="76" spans="1:120" ht="16.5">
      <c r="A76" s="647" t="s">
        <v>1339</v>
      </c>
      <c r="B76" s="36">
        <f>IFERROR(VLOOKUP(A76,'Loan List '!$A$6:$BZ$75,2,FALSE),NA)</f>
        <v>0</v>
      </c>
      <c r="C76" s="498" t="str">
        <f>VLOOKUP(A76,'Loan List '!$A$6:$G$75, 7, FALSE)</f>
        <v>First Lien</v>
      </c>
      <c r="D76" s="498" t="str">
        <f>VLOOKUP(A76, 'Loan List '!$A$6:$K$82, 11, FALSE)</f>
        <v>FL</v>
      </c>
      <c r="E76" s="497" t="b">
        <f t="shared" si="23"/>
        <v>1</v>
      </c>
      <c r="F76" s="497" t="str">
        <f>VLOOKUP(A76,'Loan List '!$A$6:$L$75, 12, FALSE)</f>
        <v>Aerospace &amp; Defense</v>
      </c>
      <c r="G76" s="320"/>
      <c r="H76" s="533">
        <f t="shared" si="61"/>
        <v>6963940.1600000001</v>
      </c>
      <c r="I76" s="533">
        <f>VLOOKUP(A76,'Loan List '!$A$6:$L$82, 8, FALSE)</f>
        <v>6963940.1600000001</v>
      </c>
      <c r="J76" s="361">
        <v>0</v>
      </c>
      <c r="K76" s="323">
        <f t="shared" si="50"/>
        <v>1.927627659181521E-2</v>
      </c>
      <c r="L76" s="601">
        <f>VLOOKUP(A76,'Loan List '!$A$6:$BA$82,24, FALSE)</f>
        <v>100</v>
      </c>
      <c r="M76" s="501"/>
      <c r="N76" s="502">
        <f>VLOOKUP(A76,'Loan List '!$A$6:$BA$82,22, FALSE)</f>
        <v>47430</v>
      </c>
      <c r="O76" s="602">
        <f t="shared" si="62"/>
        <v>6963940.1600000001</v>
      </c>
      <c r="P76" s="327">
        <f t="shared" ref="P76:P79" si="87">MIN(IF(AND(L76&gt;=97%,Q76="Primary"),100%,L76),T76)</f>
        <v>1</v>
      </c>
      <c r="Q76" s="487" t="s">
        <v>451</v>
      </c>
      <c r="R76" s="488" t="s">
        <v>38</v>
      </c>
      <c r="S76" s="327" t="b">
        <f t="shared" si="63"/>
        <v>0</v>
      </c>
      <c r="T76" s="327">
        <f>VLOOKUP(A76,'Loan List '!$A$6:$BD$1048576,56,FALSE)/100</f>
        <v>1</v>
      </c>
      <c r="U76" s="535">
        <f t="shared" si="64"/>
        <v>6963940.1600000001</v>
      </c>
      <c r="V76" s="503">
        <f>VLOOKUP(A76,'Loan List '!$A$6:$BA$82,26, FALSE)</f>
        <v>0</v>
      </c>
      <c r="W76" s="350">
        <f t="shared" si="51"/>
        <v>0</v>
      </c>
      <c r="X76" s="326"/>
      <c r="Y76" s="504">
        <f>VLOOKUP(A76,'Loan List '!$A$6:$BA$75,27, FALSE)</f>
        <v>0</v>
      </c>
      <c r="Z76" s="438"/>
      <c r="AA76" s="330"/>
      <c r="AB76" s="333">
        <f t="shared" ref="AB76:AB79" si="88">K76*BU76</f>
        <v>8.6059585066142794E-2</v>
      </c>
      <c r="AC76" s="333">
        <f t="shared" ref="AC76:AC79" si="89">K76*AL76</f>
        <v>1.3011486699475267E-2</v>
      </c>
      <c r="AD76" s="331">
        <f t="shared" si="26"/>
        <v>0</v>
      </c>
      <c r="AE76" s="320" t="str">
        <f t="shared" si="27"/>
        <v>Class 2</v>
      </c>
      <c r="AF76" s="649">
        <f t="shared" si="28"/>
        <v>5.5</v>
      </c>
      <c r="AG76" s="649">
        <f t="shared" si="65"/>
        <v>6.5</v>
      </c>
      <c r="AH76" s="332">
        <f t="shared" si="66"/>
        <v>1</v>
      </c>
      <c r="AI76" s="332">
        <f t="shared" si="67"/>
        <v>0</v>
      </c>
      <c r="AJ76" s="332">
        <f t="shared" si="32"/>
        <v>0.67500000000000004</v>
      </c>
      <c r="AK76" s="332">
        <f t="shared" si="33"/>
        <v>0.35</v>
      </c>
      <c r="AL76" s="332">
        <f t="shared" si="68"/>
        <v>0.67500000000000004</v>
      </c>
      <c r="AM76" s="333">
        <f ca="1">'Diversity Score'!$E$7</f>
        <v>1</v>
      </c>
      <c r="AN76" s="332">
        <f t="shared" ca="1" si="69"/>
        <v>0.67500000000000004</v>
      </c>
      <c r="AO76" s="505">
        <f>VLOOKUP(A76,'Loan List '!$A$6:$BA$75,17, FALSE)</f>
        <v>6.7500000000000004E-2</v>
      </c>
      <c r="AP76" s="493" t="str">
        <f>VLOOKUP(A76,'Loan List '!$A$6:$BA$795,15, FALSE)</f>
        <v>SOFR</v>
      </c>
      <c r="AQ76" s="494">
        <f>VLOOKUP(A76,'Loan List '!$A$6:$BA$795,16, FALSE)</f>
        <v>0.01</v>
      </c>
      <c r="AR76" s="539">
        <v>0</v>
      </c>
      <c r="AS76" s="539">
        <v>0</v>
      </c>
      <c r="AT76" s="353"/>
      <c r="AU76" s="323">
        <f t="shared" si="70"/>
        <v>6.7500000000000004E-2</v>
      </c>
      <c r="AV76" s="323" t="b">
        <f t="shared" si="71"/>
        <v>0</v>
      </c>
      <c r="AW76" s="540" t="b">
        <f t="shared" si="72"/>
        <v>0</v>
      </c>
      <c r="AX76" s="323" t="b">
        <f t="shared" si="73"/>
        <v>0</v>
      </c>
      <c r="AY76" s="353"/>
      <c r="AZ76" s="323" t="b">
        <f t="shared" ref="AZ76:AZ79" si="90">(OR(CC76&lt;&gt;"NR",CD76&lt;&gt;"NR"))</f>
        <v>0</v>
      </c>
      <c r="BA76" s="497" t="str">
        <f>'Loan List '!AS65</f>
        <v>Maintenance Covenants</v>
      </c>
      <c r="BB76" s="320" t="b">
        <f t="shared" si="74"/>
        <v>0</v>
      </c>
      <c r="BC76" s="326" t="b">
        <f t="shared" si="75"/>
        <v>0</v>
      </c>
      <c r="BD76" s="320" t="b">
        <f t="shared" si="76"/>
        <v>1</v>
      </c>
      <c r="BE76" s="320" t="b">
        <f t="shared" si="77"/>
        <v>1</v>
      </c>
      <c r="BF76" s="550" t="str">
        <f>'Loan List '!J65</f>
        <v>USD</v>
      </c>
      <c r="BG76" s="497" t="str">
        <f>VLOOKUP(A76,'Loan List '!$A$6:$BZ$75, 23, FALSE)</f>
        <v>USA</v>
      </c>
      <c r="BH76" s="320" t="b">
        <f t="shared" si="78"/>
        <v>0</v>
      </c>
      <c r="BI76" s="320" t="b">
        <f t="shared" si="79"/>
        <v>0</v>
      </c>
      <c r="BJ76" s="320" t="b">
        <f>IF('Loan List '!BP65=1, TRUE, FALSE)</f>
        <v>0</v>
      </c>
      <c r="BK76" s="320" t="b">
        <f t="shared" si="54"/>
        <v>0</v>
      </c>
      <c r="BL76" s="541" t="b">
        <f t="shared" si="55"/>
        <v>0</v>
      </c>
      <c r="BM76" s="320" t="b">
        <f>IF('Loan List '!AT65="Yes", TRUE, FALSE)</f>
        <v>0</v>
      </c>
      <c r="BN76" s="336">
        <f t="shared" ca="1" si="44"/>
        <v>4.2931506849315069</v>
      </c>
      <c r="BO76" s="337">
        <f ca="1">'Concentration Limitations'!H71</f>
        <v>6963940.1600000001</v>
      </c>
      <c r="BP76" s="338">
        <f t="shared" ca="1" si="16"/>
        <v>4700659.608</v>
      </c>
      <c r="BQ76" s="442"/>
      <c r="BR76" s="443"/>
      <c r="BS76" s="542">
        <f>'Loan List '!AG65</f>
        <v>45808</v>
      </c>
      <c r="BT76" s="650">
        <f>'Loan List '!AO65</f>
        <v>1.9699999669847252</v>
      </c>
      <c r="BU76" s="650">
        <f>'Loan List '!AI65</f>
        <v>4.4645336279665164</v>
      </c>
      <c r="BV76" s="490"/>
      <c r="BW76" s="377">
        <v>0</v>
      </c>
      <c r="BX76" s="492" t="s">
        <v>1217</v>
      </c>
      <c r="BY76" s="490">
        <f>'Loan List '!AJ65</f>
        <v>70.811008957276698</v>
      </c>
      <c r="BZ76" s="490">
        <f>'Loan List '!AL65</f>
        <v>0</v>
      </c>
      <c r="CA76" s="377">
        <v>0</v>
      </c>
      <c r="CB76" s="377">
        <v>0</v>
      </c>
      <c r="CC76" s="545" t="s">
        <v>146</v>
      </c>
      <c r="CD76" s="546" t="s">
        <v>146</v>
      </c>
      <c r="CE76" s="378" t="s">
        <v>1217</v>
      </c>
      <c r="CF76" s="491">
        <f>'Loan List '!AC65</f>
        <v>2.2195661738466961</v>
      </c>
      <c r="CG76" s="491">
        <f>'Loan List '!AD65</f>
        <v>4.7332466315232091</v>
      </c>
      <c r="CH76" s="491"/>
      <c r="CI76" s="377">
        <v>0</v>
      </c>
      <c r="CJ76" s="492" t="s">
        <v>1217</v>
      </c>
      <c r="CK76" s="491">
        <f>'Loan List '!AB65</f>
        <v>66.954901924900057</v>
      </c>
      <c r="CL76" s="495">
        <f>'Loan List '!AE66</f>
        <v>0</v>
      </c>
      <c r="CM76" s="377">
        <v>0</v>
      </c>
      <c r="CN76" s="377">
        <v>0</v>
      </c>
      <c r="CO76" s="377" t="s">
        <v>146</v>
      </c>
      <c r="CP76" s="547" t="s">
        <v>146</v>
      </c>
      <c r="CQ76" s="345">
        <f t="shared" ref="CQ76:CQ88" si="91">IFERROR(($BT76-$CF76)/$CF76,0)</f>
        <v>-0.11243918284691259</v>
      </c>
      <c r="CR76" s="346">
        <f t="shared" ref="CR76:CR88" si="92">IFERROR(($BU76-$CG76)/$CG76,0)</f>
        <v>-5.6771392761804595E-2</v>
      </c>
      <c r="CS76" s="347">
        <f t="shared" si="80"/>
        <v>-0.2687130035566927</v>
      </c>
      <c r="CT76" s="485">
        <f t="shared" si="81"/>
        <v>5.7592602207107157E-2</v>
      </c>
      <c r="CU76" s="348">
        <f>IF(OR($CQ76&lt;'Summary '!$I$47,$BT76&lt;'Summary '!$I$46),1,0)</f>
        <v>0</v>
      </c>
      <c r="CV76" s="348">
        <f>IF(OR($CS76&gt;='Summary '!$I$50, (AND(BU76&gt;'Summary '!$I$52, Calcs!CR76&gt; 'Summary '!$I$51))),1,0)</f>
        <v>0</v>
      </c>
      <c r="CW76" s="348">
        <f t="shared" si="82"/>
        <v>0</v>
      </c>
      <c r="CX76" s="447" t="s">
        <v>122</v>
      </c>
      <c r="CY76" s="447" t="s">
        <v>122</v>
      </c>
      <c r="CZ76" t="s">
        <v>122</v>
      </c>
      <c r="DA76" s="352"/>
      <c r="DD76" s="258">
        <v>0</v>
      </c>
      <c r="DE76" s="258">
        <v>0</v>
      </c>
      <c r="DF76" s="277"/>
      <c r="DI76" s="551" t="str">
        <f t="shared" si="83"/>
        <v>Eligible</v>
      </c>
      <c r="DJ76" s="423" t="str">
        <f t="shared" si="84"/>
        <v>Eligible</v>
      </c>
      <c r="DK76" s="549" t="s">
        <v>1271</v>
      </c>
      <c r="DL76" s="549" t="s">
        <v>1271</v>
      </c>
      <c r="DM76" s="423" t="str">
        <f t="shared" si="85"/>
        <v>Eligible</v>
      </c>
      <c r="DN76" s="423" t="str">
        <f t="shared" si="86"/>
        <v>Not PIK</v>
      </c>
      <c r="DO76" s="424" t="s">
        <v>122</v>
      </c>
      <c r="DP76" s="423" t="str">
        <f t="shared" si="49"/>
        <v>YES</v>
      </c>
    </row>
    <row r="77" spans="1:120" ht="16.5">
      <c r="A77" s="647" t="s">
        <v>1333</v>
      </c>
      <c r="B77" s="36">
        <f>IFERROR(VLOOKUP(A77,'Loan List '!$A$6:$BZ$75,2,FALSE),NA)</f>
        <v>0</v>
      </c>
      <c r="C77" s="498" t="str">
        <f>VLOOKUP(A77,'Loan List '!$A$6:$G$75, 7, FALSE)</f>
        <v>First Lien</v>
      </c>
      <c r="D77" s="498" t="str">
        <f>VLOOKUP(A77, 'Loan List '!$A$6:$K$82, 11, FALSE)</f>
        <v>FL</v>
      </c>
      <c r="E77" s="497" t="b">
        <f t="shared" ref="E77:E79" si="93">IF(DP77= "YES", TRUE, FALSE)</f>
        <v>1</v>
      </c>
      <c r="F77" s="497" t="str">
        <f>VLOOKUP(A77,'Loan List '!$A$6:$L$75, 12, FALSE)</f>
        <v>Aerospace &amp; Defense</v>
      </c>
      <c r="G77" s="320"/>
      <c r="H77" s="533">
        <f t="shared" si="61"/>
        <v>2315058.27</v>
      </c>
      <c r="I77" s="533">
        <f>VLOOKUP(A77,'Loan List '!$A$6:$L$82, 8, FALSE)</f>
        <v>2315058.27</v>
      </c>
      <c r="J77" s="361">
        <v>0</v>
      </c>
      <c r="K77" s="323">
        <f t="shared" si="50"/>
        <v>6.408111286626739E-3</v>
      </c>
      <c r="L77" s="601">
        <f>VLOOKUP(A77,'Loan List '!$A$6:$BA$82,24, FALSE)</f>
        <v>100</v>
      </c>
      <c r="M77" s="501"/>
      <c r="N77" s="502">
        <f>VLOOKUP(A77,'Loan List '!$A$6:$BA$82,22, FALSE)</f>
        <v>47334</v>
      </c>
      <c r="O77" s="602">
        <f t="shared" si="62"/>
        <v>2315058.27</v>
      </c>
      <c r="P77" s="327">
        <f t="shared" si="87"/>
        <v>1</v>
      </c>
      <c r="Q77" s="487" t="s">
        <v>451</v>
      </c>
      <c r="R77" s="488" t="s">
        <v>38</v>
      </c>
      <c r="S77" s="327" t="b">
        <f t="shared" si="63"/>
        <v>0</v>
      </c>
      <c r="T77" s="327">
        <f>VLOOKUP(A77,'Loan List '!$A$6:$BD$1048576,56,FALSE)/100</f>
        <v>1</v>
      </c>
      <c r="U77" s="535">
        <f t="shared" si="64"/>
        <v>2315058.27</v>
      </c>
      <c r="V77" s="503">
        <f>VLOOKUP(A77,'Loan List '!$A$6:$BA$82,26, FALSE)</f>
        <v>0</v>
      </c>
      <c r="W77" s="350">
        <f t="shared" si="51"/>
        <v>0</v>
      </c>
      <c r="X77" s="326"/>
      <c r="Y77" s="504">
        <f>VLOOKUP(A77,'Loan List '!$A$6:$BA$75,27, FALSE)</f>
        <v>0</v>
      </c>
      <c r="Z77" s="438"/>
      <c r="AA77" s="330"/>
      <c r="AB77" s="333">
        <f t="shared" si="88"/>
        <v>2.8006430530165251E-2</v>
      </c>
      <c r="AC77" s="333">
        <f t="shared" si="89"/>
        <v>4.3254751184730487E-3</v>
      </c>
      <c r="AD77" s="331">
        <f t="shared" ref="AD77:AD79" si="94">BW77</f>
        <v>0</v>
      </c>
      <c r="AE77" s="320" t="str">
        <f t="shared" ref="AE77:AE79" si="95">IF(CK77&gt;=$C$5,"Class 1",IF(CK77&gt;=$D$5,"Class 2",IF(CK77&gt;=$E$5,"Class 3","Class 4")))</f>
        <v>Class 2</v>
      </c>
      <c r="AF77" s="649">
        <f t="shared" ref="AF77:AF88" si="96">HLOOKUP($AE77,$B$3:$F$10,4,0)</f>
        <v>5.5</v>
      </c>
      <c r="AG77" s="649">
        <f t="shared" si="65"/>
        <v>6.5</v>
      </c>
      <c r="AH77" s="332">
        <f t="shared" si="66"/>
        <v>1</v>
      </c>
      <c r="AI77" s="332">
        <f t="shared" si="67"/>
        <v>0</v>
      </c>
      <c r="AJ77" s="332">
        <f t="shared" ref="AJ77:AJ88" si="97">HLOOKUP($AE77,$B$3:$F$10,6,0)</f>
        <v>0.67500000000000004</v>
      </c>
      <c r="AK77" s="332">
        <f t="shared" ref="AK77:AK88" si="98">HLOOKUP($AE77,$B$3:$F$10,8,0)</f>
        <v>0.35</v>
      </c>
      <c r="AL77" s="332">
        <f t="shared" si="68"/>
        <v>0.67500000000000004</v>
      </c>
      <c r="AM77" s="333">
        <f ca="1">'Diversity Score'!$E$7</f>
        <v>1</v>
      </c>
      <c r="AN77" s="332">
        <f t="shared" ca="1" si="69"/>
        <v>0.67500000000000004</v>
      </c>
      <c r="AO77" s="505">
        <f>VLOOKUP(A77,'Loan List '!$A$6:$BA$75,17, FALSE)</f>
        <v>0.05</v>
      </c>
      <c r="AP77" s="493" t="str">
        <f>VLOOKUP(A77,'Loan List '!$A$6:$BA$795,15, FALSE)</f>
        <v>SOFR</v>
      </c>
      <c r="AQ77" s="494">
        <f>VLOOKUP(A77,'Loan List '!$A$6:$BA$795,16, FALSE)</f>
        <v>0.01</v>
      </c>
      <c r="AR77" s="539">
        <v>0</v>
      </c>
      <c r="AS77" s="539">
        <v>0</v>
      </c>
      <c r="AT77" s="353"/>
      <c r="AU77" s="323">
        <f t="shared" si="70"/>
        <v>0.05</v>
      </c>
      <c r="AV77" s="323" t="b">
        <f t="shared" si="71"/>
        <v>0</v>
      </c>
      <c r="AW77" s="540" t="b">
        <f t="shared" si="72"/>
        <v>0</v>
      </c>
      <c r="AX77" s="323" t="b">
        <f t="shared" si="73"/>
        <v>0</v>
      </c>
      <c r="AY77" s="353"/>
      <c r="AZ77" s="323" t="b">
        <f t="shared" si="90"/>
        <v>0</v>
      </c>
      <c r="BA77" s="497" t="str">
        <f>'Loan List '!AS66</f>
        <v>Maintenance Covenants</v>
      </c>
      <c r="BB77" s="320" t="b">
        <f t="shared" si="74"/>
        <v>0</v>
      </c>
      <c r="BC77" s="326" t="b">
        <f t="shared" si="75"/>
        <v>0</v>
      </c>
      <c r="BD77" s="320" t="b">
        <f t="shared" si="76"/>
        <v>1</v>
      </c>
      <c r="BE77" s="320" t="b">
        <f t="shared" si="77"/>
        <v>1</v>
      </c>
      <c r="BF77" s="550" t="str">
        <f>'Loan List '!J66</f>
        <v>USD</v>
      </c>
      <c r="BG77" s="497" t="str">
        <f>VLOOKUP(A77,'Loan List '!$A$6:$BZ$75, 23, FALSE)</f>
        <v>USA</v>
      </c>
      <c r="BH77" s="320" t="b">
        <f t="shared" si="78"/>
        <v>0</v>
      </c>
      <c r="BI77" s="320" t="b">
        <f t="shared" si="79"/>
        <v>0</v>
      </c>
      <c r="BJ77" s="320" t="b">
        <f>IF('Loan List '!BP66=1, TRUE, FALSE)</f>
        <v>0</v>
      </c>
      <c r="BK77" s="320" t="b">
        <f t="shared" si="54"/>
        <v>0</v>
      </c>
      <c r="BL77" s="541" t="b">
        <f t="shared" si="55"/>
        <v>0</v>
      </c>
      <c r="BM77" s="320" t="b">
        <f>IF('Loan List '!AT66="Yes", TRUE, FALSE)</f>
        <v>0</v>
      </c>
      <c r="BN77" s="336">
        <f t="shared" ref="BN77:BN79" ca="1" si="99">-($BN$15-N77)/365</f>
        <v>4.0301369863013701</v>
      </c>
      <c r="BO77" s="337">
        <f ca="1">'Concentration Limitations'!H72</f>
        <v>2315058.27</v>
      </c>
      <c r="BP77" s="338">
        <f t="shared" ca="1" si="16"/>
        <v>1562664.3322500002</v>
      </c>
      <c r="BQ77" s="442"/>
      <c r="BR77" s="443"/>
      <c r="BS77" s="542">
        <f>'Loan List '!AG66</f>
        <v>45747</v>
      </c>
      <c r="BT77" s="650">
        <f>'Loan List '!AO66</f>
        <v>1.8366382257632969</v>
      </c>
      <c r="BU77" s="650">
        <f>'Loan List '!AI66</f>
        <v>4.3704656922255127</v>
      </c>
      <c r="BW77" s="377">
        <v>0</v>
      </c>
      <c r="BX77" s="492" t="s">
        <v>1217</v>
      </c>
      <c r="BY77" s="490">
        <f>'Loan List '!AJ66</f>
        <v>61.779000000000003</v>
      </c>
      <c r="BZ77" s="490">
        <f>'Loan List '!AL66</f>
        <v>0</v>
      </c>
      <c r="CA77" s="377">
        <v>0</v>
      </c>
      <c r="CB77" s="377">
        <v>0</v>
      </c>
      <c r="CC77" s="545" t="s">
        <v>146</v>
      </c>
      <c r="CD77" s="546" t="s">
        <v>146</v>
      </c>
      <c r="CE77" s="378" t="s">
        <v>1217</v>
      </c>
      <c r="CF77" s="491">
        <f>'Loan List '!AC66</f>
        <v>1.786815277966562</v>
      </c>
      <c r="CG77" s="491">
        <f>'Loan List '!AD66</f>
        <v>3.9264544790652387</v>
      </c>
      <c r="CH77" s="491"/>
      <c r="CI77" s="377">
        <v>0</v>
      </c>
      <c r="CJ77" s="492" t="s">
        <v>1217</v>
      </c>
      <c r="CK77" s="491">
        <f>'Loan List '!AB66</f>
        <v>65.727999999999994</v>
      </c>
      <c r="CL77" s="495">
        <f>'Loan List '!AE67</f>
        <v>0</v>
      </c>
      <c r="CM77" s="377">
        <v>0</v>
      </c>
      <c r="CN77" s="377">
        <v>0</v>
      </c>
      <c r="CO77" s="377" t="s">
        <v>146</v>
      </c>
      <c r="CP77" s="547" t="s">
        <v>146</v>
      </c>
      <c r="CQ77" s="345">
        <f t="shared" si="91"/>
        <v>2.7883658938396026E-2</v>
      </c>
      <c r="CR77" s="346">
        <f t="shared" si="92"/>
        <v>0.11308197141406276</v>
      </c>
      <c r="CS77" s="347">
        <f t="shared" si="80"/>
        <v>0.44401121316027403</v>
      </c>
      <c r="CT77" s="485">
        <f t="shared" si="81"/>
        <v>-6.0080939629990171E-2</v>
      </c>
      <c r="CU77" s="348">
        <f>IF(OR($CQ77&lt;'Summary '!$I$47,$BT77&lt;'Summary '!$I$46),1,0)</f>
        <v>0</v>
      </c>
      <c r="CV77" s="348">
        <f>IF(OR($CS77&gt;='Summary '!$I$50, (AND(BU77&gt;'Summary '!$I$52, Calcs!CR77&gt; 'Summary '!$I$51))),1,0)</f>
        <v>0</v>
      </c>
      <c r="CW77" s="348">
        <f t="shared" si="82"/>
        <v>0</v>
      </c>
      <c r="CX77" s="447" t="s">
        <v>122</v>
      </c>
      <c r="CY77" s="447" t="s">
        <v>122</v>
      </c>
      <c r="CZ77" t="s">
        <v>122</v>
      </c>
      <c r="DA77" s="352"/>
      <c r="DD77" s="258">
        <v>0</v>
      </c>
      <c r="DE77" s="258">
        <v>0</v>
      </c>
      <c r="DF77" s="277"/>
      <c r="DI77" s="551" t="str">
        <f t="shared" si="83"/>
        <v>Eligible</v>
      </c>
      <c r="DJ77" s="423" t="str">
        <f t="shared" si="84"/>
        <v>Eligible</v>
      </c>
      <c r="DK77" s="549" t="s">
        <v>1271</v>
      </c>
      <c r="DL77" s="549" t="s">
        <v>1271</v>
      </c>
      <c r="DM77" s="423" t="str">
        <f t="shared" si="85"/>
        <v>Eligible</v>
      </c>
      <c r="DN77" s="423" t="str">
        <f t="shared" si="86"/>
        <v>Not PIK</v>
      </c>
      <c r="DO77" s="424" t="s">
        <v>122</v>
      </c>
      <c r="DP77" s="423" t="str">
        <f t="shared" ref="DP77:DP79" si="100">IF(OR(DK77="Not Eligible",DL77="Not Eligible",DI77="Not Eligible",DJ77="Not Eligible",DM77="Not Eligible",DN77="Not Eligible",DO77="Yes"),"NO","YES")</f>
        <v>YES</v>
      </c>
    </row>
    <row r="78" spans="1:120" ht="16.5">
      <c r="A78" s="647" t="s">
        <v>1338</v>
      </c>
      <c r="B78" s="36">
        <f>IFERROR(VLOOKUP(A78,'Loan List '!$A$6:$BZ$75,2,FALSE),NA)</f>
        <v>0</v>
      </c>
      <c r="C78" s="498" t="str">
        <f>VLOOKUP(A78,'Loan List '!$A$6:$G$75, 7, FALSE)</f>
        <v>First Lien</v>
      </c>
      <c r="D78" s="498" t="str">
        <f>VLOOKUP(A78, 'Loan List '!$A$6:$K$82, 11, FALSE)</f>
        <v>FL</v>
      </c>
      <c r="E78" s="497" t="b">
        <f t="shared" si="93"/>
        <v>1</v>
      </c>
      <c r="F78" s="497" t="str">
        <f>VLOOKUP(A78,'Loan List '!$A$6:$L$75, 12, FALSE)</f>
        <v>Commercial Services &amp; Supplies</v>
      </c>
      <c r="G78" s="321"/>
      <c r="H78" s="533">
        <f t="shared" si="61"/>
        <v>2093291.07</v>
      </c>
      <c r="I78" s="533">
        <f>VLOOKUP(A78,'Loan List '!$A$6:$L$82, 8, FALSE)</f>
        <v>2093291.07</v>
      </c>
      <c r="J78" s="361">
        <v>0</v>
      </c>
      <c r="K78" s="323">
        <f t="shared" si="50"/>
        <v>5.7942568036794869E-3</v>
      </c>
      <c r="L78" s="601">
        <f>VLOOKUP(A78,'Loan List '!$A$6:$BA$82,24, FALSE)</f>
        <v>100</v>
      </c>
      <c r="M78" s="501"/>
      <c r="N78" s="502">
        <f>VLOOKUP(A78,'Loan List '!$A$6:$BA$82,22, FALSE)</f>
        <v>47807</v>
      </c>
      <c r="O78" s="602">
        <f t="shared" si="62"/>
        <v>2093291.07</v>
      </c>
      <c r="P78" s="327">
        <f t="shared" si="87"/>
        <v>1</v>
      </c>
      <c r="Q78" s="487" t="s">
        <v>451</v>
      </c>
      <c r="R78" s="488" t="s">
        <v>38</v>
      </c>
      <c r="S78" s="327" t="b">
        <f t="shared" si="63"/>
        <v>0</v>
      </c>
      <c r="T78" s="327">
        <f>VLOOKUP(A78,'Loan List '!$A$6:$BD$1048576,56,FALSE)/100</f>
        <v>1</v>
      </c>
      <c r="U78" s="535">
        <f t="shared" si="64"/>
        <v>2093291.07</v>
      </c>
      <c r="V78" s="503">
        <f>VLOOKUP(A78,'Loan List '!$A$6:$BA$82,26, FALSE)</f>
        <v>0</v>
      </c>
      <c r="W78" s="350">
        <f t="shared" si="51"/>
        <v>0</v>
      </c>
      <c r="X78" s="326"/>
      <c r="Y78" s="504">
        <f>VLOOKUP(A78,'Loan List '!$A$6:$BA$75,27, FALSE)</f>
        <v>0</v>
      </c>
      <c r="Z78" s="438"/>
      <c r="AA78" s="330"/>
      <c r="AB78" s="333">
        <f t="shared" si="88"/>
        <v>2.2846235903880466E-2</v>
      </c>
      <c r="AC78" s="333">
        <f t="shared" si="89"/>
        <v>3.7662669223916664E-3</v>
      </c>
      <c r="AD78" s="331">
        <f t="shared" si="94"/>
        <v>0</v>
      </c>
      <c r="AE78" s="320" t="str">
        <f t="shared" si="95"/>
        <v>Class 3</v>
      </c>
      <c r="AF78" s="649">
        <f t="shared" si="96"/>
        <v>5</v>
      </c>
      <c r="AG78" s="649">
        <f t="shared" si="65"/>
        <v>6</v>
      </c>
      <c r="AH78" s="332">
        <f t="shared" si="66"/>
        <v>1</v>
      </c>
      <c r="AI78" s="332">
        <f t="shared" si="67"/>
        <v>0</v>
      </c>
      <c r="AJ78" s="332">
        <f t="shared" si="97"/>
        <v>0.65</v>
      </c>
      <c r="AK78" s="332">
        <f t="shared" si="98"/>
        <v>0.35</v>
      </c>
      <c r="AL78" s="332">
        <f t="shared" si="68"/>
        <v>0.65</v>
      </c>
      <c r="AM78" s="333">
        <f ca="1">'Diversity Score'!$E$7</f>
        <v>1</v>
      </c>
      <c r="AN78" s="332">
        <f t="shared" ca="1" si="69"/>
        <v>0.65</v>
      </c>
      <c r="AO78" s="505">
        <f>VLOOKUP(A78,'Loan List '!$A$6:$BA$75,17, FALSE)</f>
        <v>4.7500000000000001E-2</v>
      </c>
      <c r="AP78" s="493" t="str">
        <f>VLOOKUP(A78,'Loan List '!$A$6:$BA$795,15, FALSE)</f>
        <v>SOFR</v>
      </c>
      <c r="AQ78" s="494">
        <f>VLOOKUP(A78,'Loan List '!$A$6:$BA$795,16, FALSE)</f>
        <v>0.01</v>
      </c>
      <c r="AR78" s="539">
        <v>0</v>
      </c>
      <c r="AS78" s="539">
        <v>0</v>
      </c>
      <c r="AT78" s="353"/>
      <c r="AU78" s="323">
        <f t="shared" si="70"/>
        <v>4.7500000000000001E-2</v>
      </c>
      <c r="AV78" s="323" t="b">
        <f t="shared" si="71"/>
        <v>0</v>
      </c>
      <c r="AW78" s="540" t="b">
        <f t="shared" si="72"/>
        <v>0</v>
      </c>
      <c r="AX78" s="323" t="b">
        <f t="shared" si="73"/>
        <v>0</v>
      </c>
      <c r="AY78" s="353"/>
      <c r="AZ78" s="323" t="b">
        <f t="shared" si="90"/>
        <v>0</v>
      </c>
      <c r="BA78" s="497" t="str">
        <f>'Loan List '!AS67</f>
        <v>Maintenance Covenants</v>
      </c>
      <c r="BB78" s="320" t="b">
        <f t="shared" si="74"/>
        <v>0</v>
      </c>
      <c r="BC78" s="326" t="b">
        <f t="shared" si="75"/>
        <v>0</v>
      </c>
      <c r="BD78" s="320" t="b">
        <f t="shared" si="76"/>
        <v>1</v>
      </c>
      <c r="BE78" s="320" t="b">
        <f t="shared" si="77"/>
        <v>1</v>
      </c>
      <c r="BF78" s="550" t="str">
        <f>'Loan List '!J67</f>
        <v>USD</v>
      </c>
      <c r="BG78" s="497" t="str">
        <f>VLOOKUP(A78,'Loan List '!$A$6:$BZ$75, 23, FALSE)</f>
        <v>USA</v>
      </c>
      <c r="BH78" s="320" t="b">
        <f t="shared" si="78"/>
        <v>0</v>
      </c>
      <c r="BI78" s="320" t="b">
        <f t="shared" si="79"/>
        <v>0</v>
      </c>
      <c r="BJ78" s="320" t="b">
        <f>IF('Loan List '!BP67=1, TRUE, FALSE)</f>
        <v>0</v>
      </c>
      <c r="BK78" s="320" t="b">
        <f t="shared" si="54"/>
        <v>0</v>
      </c>
      <c r="BL78" s="541" t="b">
        <f t="shared" si="55"/>
        <v>0</v>
      </c>
      <c r="BM78" s="320" t="b">
        <f>IF('Loan List '!AT67="Yes", TRUE, FALSE)</f>
        <v>0</v>
      </c>
      <c r="BN78" s="336">
        <f t="shared" ca="1" si="99"/>
        <v>5.3260273972602743</v>
      </c>
      <c r="BO78" s="337">
        <f ca="1">'Concentration Limitations'!H73</f>
        <v>2093291.07</v>
      </c>
      <c r="BP78" s="338">
        <f t="shared" ref="BP78:BP82" ca="1" si="101">IF(R78=$T$13,0,BO78*AL78)</f>
        <v>1360639.1955000001</v>
      </c>
      <c r="BQ78" s="442"/>
      <c r="BR78" s="443"/>
      <c r="BS78" s="542">
        <f>'Loan List '!AG67</f>
        <v>45808</v>
      </c>
      <c r="BT78" s="650">
        <f>'Loan List '!AO67</f>
        <v>2.0839723043394098</v>
      </c>
      <c r="BU78" s="650">
        <f>'Loan List '!AI67</f>
        <v>3.9429104849775691</v>
      </c>
      <c r="BW78" s="377">
        <v>0</v>
      </c>
      <c r="BX78" s="492" t="s">
        <v>1217</v>
      </c>
      <c r="BY78" s="490">
        <f>'Loan List '!AJ67</f>
        <v>14.539722679077292</v>
      </c>
      <c r="BZ78" s="490">
        <f>'Loan List '!AL67</f>
        <v>0</v>
      </c>
      <c r="CA78" s="377">
        <v>0</v>
      </c>
      <c r="CB78" s="377">
        <v>0</v>
      </c>
      <c r="CC78" s="545" t="s">
        <v>146</v>
      </c>
      <c r="CD78" s="546" t="s">
        <v>146</v>
      </c>
      <c r="CE78" s="378" t="s">
        <v>1217</v>
      </c>
      <c r="CF78" s="491">
        <f>'Loan List '!AC67</f>
        <v>1.8772413793103448</v>
      </c>
      <c r="CG78" s="491">
        <f>'Loan List '!AD67</f>
        <v>4.1373071271124173</v>
      </c>
      <c r="CH78" s="491"/>
      <c r="CI78" s="377">
        <v>0</v>
      </c>
      <c r="CJ78" s="492" t="s">
        <v>1217</v>
      </c>
      <c r="CK78" s="491">
        <f>'Loan List '!AB67</f>
        <v>10.888</v>
      </c>
      <c r="CL78" s="495">
        <f>'Loan List '!AE68</f>
        <v>0</v>
      </c>
      <c r="CM78" s="377">
        <v>0</v>
      </c>
      <c r="CN78" s="377">
        <v>0</v>
      </c>
      <c r="CO78" s="377" t="s">
        <v>146</v>
      </c>
      <c r="CP78" s="547" t="s">
        <v>146</v>
      </c>
      <c r="CQ78" s="345">
        <f t="shared" si="91"/>
        <v>0.1101248498501632</v>
      </c>
      <c r="CR78" s="346">
        <f t="shared" si="92"/>
        <v>-4.6986272994077899E-2</v>
      </c>
      <c r="CS78" s="347">
        <f t="shared" si="80"/>
        <v>-0.1943966421348482</v>
      </c>
      <c r="CT78" s="485">
        <f t="shared" si="81"/>
        <v>0.33538966560224948</v>
      </c>
      <c r="CU78" s="348">
        <f>IF(OR($CQ78&lt;'Summary '!$I$47,$BT78&lt;'Summary '!$I$46),1,0)</f>
        <v>0</v>
      </c>
      <c r="CV78" s="348">
        <f>IF(OR($CS78&gt;='Summary '!$I$50, (AND(BU78&gt;'Summary '!$I$52, Calcs!CR78&gt; 'Summary '!$I$51))),1,0)</f>
        <v>0</v>
      </c>
      <c r="CW78" s="348">
        <f t="shared" si="82"/>
        <v>0</v>
      </c>
      <c r="CX78" s="447" t="s">
        <v>122</v>
      </c>
      <c r="CY78" s="447" t="s">
        <v>122</v>
      </c>
      <c r="CZ78" t="s">
        <v>122</v>
      </c>
      <c r="DA78" s="352"/>
      <c r="DD78" s="258">
        <v>0</v>
      </c>
      <c r="DE78" s="258">
        <v>0</v>
      </c>
      <c r="DF78" s="277"/>
      <c r="DI78" s="551" t="str">
        <f t="shared" si="83"/>
        <v>Eligible</v>
      </c>
      <c r="DJ78" s="423" t="str">
        <f t="shared" si="84"/>
        <v>Eligible</v>
      </c>
      <c r="DK78" s="549" t="s">
        <v>1271</v>
      </c>
      <c r="DL78" s="549" t="s">
        <v>1271</v>
      </c>
      <c r="DM78" s="423" t="str">
        <f t="shared" si="85"/>
        <v>Eligible</v>
      </c>
      <c r="DN78" s="423" t="str">
        <f t="shared" si="86"/>
        <v>Not PIK</v>
      </c>
      <c r="DO78" s="424" t="s">
        <v>122</v>
      </c>
      <c r="DP78" s="423" t="str">
        <f t="shared" si="100"/>
        <v>YES</v>
      </c>
    </row>
    <row r="79" spans="1:120" ht="16.5">
      <c r="A79" s="647" t="s">
        <v>1340</v>
      </c>
      <c r="B79" s="36">
        <f>IFERROR(VLOOKUP(A79,'Loan List '!$A$6:$BZ$75,2,FALSE),NA)</f>
        <v>0</v>
      </c>
      <c r="C79" s="498" t="str">
        <f>VLOOKUP(A79,'Loan List '!$A$6:$G$75, 7, FALSE)</f>
        <v>First Lien</v>
      </c>
      <c r="D79" s="498" t="str">
        <f>VLOOKUP(A79, 'Loan List '!$A$6:$K$82, 11, FALSE)</f>
        <v>FL</v>
      </c>
      <c r="E79" s="497" t="b">
        <f t="shared" si="93"/>
        <v>1</v>
      </c>
      <c r="F79" s="497" t="str">
        <f>VLOOKUP(A79,'Loan List '!$A$6:$L$75, 12, FALSE)</f>
        <v>Aerospace &amp; Defense</v>
      </c>
      <c r="G79" s="321"/>
      <c r="H79" s="533">
        <f t="shared" si="61"/>
        <v>12989293.380000001</v>
      </c>
      <c r="I79" s="533">
        <f>VLOOKUP(A79,'Loan List '!$A$6:$L$82, 8, FALSE)</f>
        <v>12989293.380000001</v>
      </c>
      <c r="J79" s="361">
        <v>0</v>
      </c>
      <c r="K79" s="323">
        <f t="shared" si="50"/>
        <v>3.5954532372821868E-2</v>
      </c>
      <c r="L79" s="601">
        <f>VLOOKUP(A79,'Loan List '!$A$6:$BA$82,24, FALSE)</f>
        <v>100</v>
      </c>
      <c r="M79" s="501"/>
      <c r="N79" s="502">
        <f>VLOOKUP(A79,'Loan List '!$A$6:$BA$82,22, FALSE)</f>
        <v>47467</v>
      </c>
      <c r="O79" s="602">
        <f t="shared" si="62"/>
        <v>12989293.380000001</v>
      </c>
      <c r="P79" s="327">
        <f t="shared" si="87"/>
        <v>1</v>
      </c>
      <c r="Q79" s="487" t="s">
        <v>451</v>
      </c>
      <c r="R79" s="488" t="s">
        <v>38</v>
      </c>
      <c r="S79" s="327" t="b">
        <f t="shared" si="63"/>
        <v>0</v>
      </c>
      <c r="T79" s="327">
        <f>VLOOKUP(A79,'Loan List '!$A$6:$BD$1048576,56,FALSE)/100</f>
        <v>1</v>
      </c>
      <c r="U79" s="535">
        <f t="shared" si="64"/>
        <v>12989293.380000001</v>
      </c>
      <c r="V79" s="503">
        <f>VLOOKUP(A79,'Loan List '!$A$6:$BA$82,26, FALSE)</f>
        <v>0</v>
      </c>
      <c r="W79" s="350">
        <f t="shared" si="51"/>
        <v>0</v>
      </c>
      <c r="X79" s="326"/>
      <c r="Y79" s="504">
        <f>VLOOKUP(A79,'Loan List '!$A$6:$BA$75,27, FALSE)</f>
        <v>0</v>
      </c>
      <c r="Z79" s="438"/>
      <c r="AA79" s="330"/>
      <c r="AB79" s="333">
        <f t="shared" si="88"/>
        <v>0.14918252610875885</v>
      </c>
      <c r="AC79" s="333">
        <f t="shared" si="89"/>
        <v>2.3370446042334216E-2</v>
      </c>
      <c r="AD79" s="331">
        <f t="shared" si="94"/>
        <v>0</v>
      </c>
      <c r="AE79" s="320" t="str">
        <f t="shared" si="95"/>
        <v>Class 3</v>
      </c>
      <c r="AF79" s="649">
        <f t="shared" si="96"/>
        <v>5</v>
      </c>
      <c r="AG79" s="649">
        <f t="shared" si="65"/>
        <v>6</v>
      </c>
      <c r="AH79" s="332">
        <f t="shared" si="66"/>
        <v>1</v>
      </c>
      <c r="AI79" s="332">
        <f t="shared" si="67"/>
        <v>0</v>
      </c>
      <c r="AJ79" s="332">
        <f t="shared" si="97"/>
        <v>0.65</v>
      </c>
      <c r="AK79" s="332">
        <f t="shared" si="98"/>
        <v>0.35</v>
      </c>
      <c r="AL79" s="332">
        <f t="shared" si="68"/>
        <v>0.65</v>
      </c>
      <c r="AM79" s="333">
        <f ca="1">'Diversity Score'!$E$7</f>
        <v>1</v>
      </c>
      <c r="AN79" s="332">
        <f t="shared" ca="1" si="69"/>
        <v>0.65</v>
      </c>
      <c r="AO79" s="505">
        <f>VLOOKUP(A79,'Loan List '!$A$6:$BA$75,17, FALSE)</f>
        <v>5.7500000000000002E-2</v>
      </c>
      <c r="AP79" s="493" t="str">
        <f>VLOOKUP(A79,'Loan List '!$A$6:$BA$795,15, FALSE)</f>
        <v>SOFR</v>
      </c>
      <c r="AQ79" s="494">
        <f>VLOOKUP(A79,'Loan List '!$A$6:$BA$795,16, FALSE)</f>
        <v>0.01</v>
      </c>
      <c r="AR79" s="539">
        <v>0</v>
      </c>
      <c r="AS79" s="539">
        <v>0</v>
      </c>
      <c r="AT79" s="353"/>
      <c r="AU79" s="323">
        <f t="shared" si="70"/>
        <v>5.7500000000000002E-2</v>
      </c>
      <c r="AV79" s="323" t="b">
        <f t="shared" si="71"/>
        <v>0</v>
      </c>
      <c r="AW79" s="540" t="b">
        <f t="shared" si="72"/>
        <v>0</v>
      </c>
      <c r="AX79" s="323" t="b">
        <f t="shared" si="73"/>
        <v>0</v>
      </c>
      <c r="AY79" s="353"/>
      <c r="AZ79" s="323" t="b">
        <f t="shared" si="90"/>
        <v>0</v>
      </c>
      <c r="BA79" s="497" t="str">
        <f>'Loan List '!AS68</f>
        <v>Maintenance Covenants</v>
      </c>
      <c r="BB79" s="320" t="b">
        <f t="shared" si="74"/>
        <v>0</v>
      </c>
      <c r="BC79" s="326" t="b">
        <f t="shared" si="75"/>
        <v>0</v>
      </c>
      <c r="BD79" s="320" t="b">
        <f t="shared" si="76"/>
        <v>1</v>
      </c>
      <c r="BE79" s="320" t="b">
        <f t="shared" si="77"/>
        <v>1</v>
      </c>
      <c r="BF79" s="550" t="str">
        <f>'Loan List '!J68</f>
        <v>USD</v>
      </c>
      <c r="BG79" s="497" t="str">
        <f>VLOOKUP(A79,'Loan List '!$A$6:$BZ$75, 23, FALSE)</f>
        <v>USA</v>
      </c>
      <c r="BH79" s="320" t="b">
        <f t="shared" si="78"/>
        <v>0</v>
      </c>
      <c r="BI79" s="320" t="b">
        <f t="shared" si="79"/>
        <v>0</v>
      </c>
      <c r="BJ79" s="320" t="b">
        <f>IF('Loan List '!BP68=1, TRUE, FALSE)</f>
        <v>0</v>
      </c>
      <c r="BK79" s="320" t="b">
        <f t="shared" si="54"/>
        <v>0</v>
      </c>
      <c r="BL79" s="541" t="b">
        <f t="shared" si="55"/>
        <v>0</v>
      </c>
      <c r="BM79" s="320" t="b">
        <f>IF('Loan List '!AT68="Yes", TRUE, FALSE)</f>
        <v>0</v>
      </c>
      <c r="BN79" s="336">
        <f t="shared" ca="1" si="99"/>
        <v>4.3945205479452056</v>
      </c>
      <c r="BO79" s="337">
        <f ca="1">'Concentration Limitations'!H74</f>
        <v>12989293.380000001</v>
      </c>
      <c r="BP79" s="338">
        <f t="shared" ca="1" si="101"/>
        <v>8443040.6970000006</v>
      </c>
      <c r="BQ79" s="442"/>
      <c r="BR79" s="443"/>
      <c r="BS79" s="542">
        <f>'Loan List '!AG68</f>
        <v>45777</v>
      </c>
      <c r="BT79" s="650">
        <f>'Loan List '!AO68</f>
        <v>3.5160717456934822</v>
      </c>
      <c r="BU79" s="650">
        <f>'Loan List '!AI68</f>
        <v>4.1491994545179045</v>
      </c>
      <c r="BW79" s="377">
        <v>0</v>
      </c>
      <c r="BX79" s="492" t="s">
        <v>1217</v>
      </c>
      <c r="BY79" s="490">
        <f>'Loan List '!AJ68</f>
        <v>19.798999999999999</v>
      </c>
      <c r="BZ79" s="490">
        <f>'Loan List '!AL68</f>
        <v>0</v>
      </c>
      <c r="CA79" s="377">
        <v>0</v>
      </c>
      <c r="CB79" s="377">
        <v>0</v>
      </c>
      <c r="CC79" s="545" t="s">
        <v>146</v>
      </c>
      <c r="CD79" s="546" t="s">
        <v>146</v>
      </c>
      <c r="CE79" s="378" t="s">
        <v>1217</v>
      </c>
      <c r="CF79" s="491">
        <f>'Loan List '!AC68</f>
        <v>2.193548387096774</v>
      </c>
      <c r="CG79" s="491">
        <f>'Loan List '!AD68</f>
        <v>3.8333333333333339</v>
      </c>
      <c r="CH79" s="491"/>
      <c r="CI79" s="377">
        <v>0</v>
      </c>
      <c r="CJ79" s="492" t="s">
        <v>1217</v>
      </c>
      <c r="CK79" s="491">
        <f>'Loan List '!AB68</f>
        <v>20.399999999999999</v>
      </c>
      <c r="CL79" s="495" t="e">
        <f>'Loan List '!#REF!</f>
        <v>#REF!</v>
      </c>
      <c r="CM79" s="377">
        <v>0</v>
      </c>
      <c r="CN79" s="377">
        <v>0</v>
      </c>
      <c r="CO79" s="377" t="s">
        <v>146</v>
      </c>
      <c r="CP79" s="547" t="s">
        <v>146</v>
      </c>
      <c r="CQ79" s="345">
        <f t="shared" si="91"/>
        <v>0.60291506053673471</v>
      </c>
      <c r="CR79" s="346">
        <f t="shared" si="92"/>
        <v>8.2399857700322751E-2</v>
      </c>
      <c r="CS79" s="347">
        <f t="shared" si="80"/>
        <v>0.31586612118457058</v>
      </c>
      <c r="CT79" s="485">
        <f t="shared" si="81"/>
        <v>-2.9460784313725452E-2</v>
      </c>
      <c r="CU79" s="348">
        <f>IF(OR($CQ79&lt;'Summary '!$I$47,$BT79&lt;'Summary '!$I$46),1,0)</f>
        <v>0</v>
      </c>
      <c r="CV79" s="348">
        <f>IF(OR($CS79&gt;='Summary '!$I$50, (AND(BU79&gt;'Summary '!$I$52, Calcs!CR79&gt; 'Summary '!$I$51))),1,0)</f>
        <v>0</v>
      </c>
      <c r="CW79" s="348">
        <f t="shared" si="82"/>
        <v>0</v>
      </c>
      <c r="CX79" s="447" t="s">
        <v>122</v>
      </c>
      <c r="CY79" s="447" t="s">
        <v>122</v>
      </c>
      <c r="CZ79" t="s">
        <v>122</v>
      </c>
      <c r="DA79" s="352"/>
      <c r="DD79" s="258">
        <v>0</v>
      </c>
      <c r="DE79" s="258">
        <v>0</v>
      </c>
      <c r="DF79" s="277"/>
      <c r="DI79" s="551" t="str">
        <f t="shared" si="83"/>
        <v>Eligible</v>
      </c>
      <c r="DJ79" s="423" t="str">
        <f t="shared" si="84"/>
        <v>Eligible</v>
      </c>
      <c r="DK79" s="549" t="s">
        <v>1271</v>
      </c>
      <c r="DL79" s="549" t="s">
        <v>1271</v>
      </c>
      <c r="DM79" s="423" t="str">
        <f t="shared" si="85"/>
        <v>Eligible</v>
      </c>
      <c r="DN79" s="423" t="str">
        <f t="shared" si="86"/>
        <v>Not PIK</v>
      </c>
      <c r="DO79" s="424" t="s">
        <v>122</v>
      </c>
      <c r="DP79" s="423" t="str">
        <f t="shared" si="100"/>
        <v>YES</v>
      </c>
    </row>
    <row r="80" spans="1:120" ht="16.5">
      <c r="A80" s="647" t="s">
        <v>1354</v>
      </c>
      <c r="B80" s="36">
        <f>IFERROR(VLOOKUP(A80,'Loan List '!$A$6:$BZ$75,2,FALSE),NA)</f>
        <v>0</v>
      </c>
      <c r="C80" s="498" t="str">
        <f>VLOOKUP(A80,'Loan List '!$A$6:$G$75, 7, FALSE)</f>
        <v>First Lien</v>
      </c>
      <c r="D80" s="498" t="str">
        <f>VLOOKUP(A80, 'Loan List '!$A$6:$K$82, 11, FALSE)</f>
        <v>FL</v>
      </c>
      <c r="E80" s="497" t="b">
        <f t="shared" ref="E80:E82" si="102">IF(DP80= "YES", TRUE, FALSE)</f>
        <v>1</v>
      </c>
      <c r="F80" s="497" t="str">
        <f>VLOOKUP(A80,'Loan List '!$A$6:$L$75, 12, FALSE)</f>
        <v>Aerospace &amp; Defense</v>
      </c>
      <c r="G80" s="321"/>
      <c r="H80" s="533">
        <f t="shared" ref="H80:H82" si="103">+I80</f>
        <v>5970000</v>
      </c>
      <c r="I80" s="533">
        <f>VLOOKUP(A80,'Loan List '!$A$6:$L$82, 8, FALSE)</f>
        <v>5970000</v>
      </c>
      <c r="J80" s="361">
        <v>0</v>
      </c>
      <c r="K80" s="323">
        <f t="shared" ref="K80:K82" si="104">I80/$I$15</f>
        <v>1.6525037350857537E-2</v>
      </c>
      <c r="L80" s="601">
        <f>VLOOKUP(A80,'Loan List '!$A$6:$BA$82,24, FALSE)</f>
        <v>100</v>
      </c>
      <c r="M80" s="501"/>
      <c r="N80" s="502">
        <f>VLOOKUP(A80,'Loan List '!$A$6:$BA$82,22, FALSE)</f>
        <v>47834</v>
      </c>
      <c r="O80" s="602">
        <f t="shared" ref="O80:O82" si="105">IFERROR(MAX(0,I80-J80)*L80,"")/100</f>
        <v>5970000</v>
      </c>
      <c r="P80" s="327">
        <f t="shared" ref="P80:P82" si="106">MIN(IF(AND(L80&gt;=97%,Q80="Primary"),100%,L80),T80)</f>
        <v>1</v>
      </c>
      <c r="Q80" s="487" t="s">
        <v>451</v>
      </c>
      <c r="R80" s="488" t="s">
        <v>38</v>
      </c>
      <c r="S80" s="327" t="b">
        <f t="shared" ref="S80:S82" si="107">IF(OR(CU80=1,CV80=1,CW80=1),TRUE,FALSE)</f>
        <v>1</v>
      </c>
      <c r="T80" s="327">
        <f>VLOOKUP(A80,'Loan List '!$A$6:$BD$1048576,56,FALSE)/100</f>
        <v>1</v>
      </c>
      <c r="U80" s="535">
        <f t="shared" ref="U80:U82" si="108">IF(E80=TRUE,P80*I80,0)</f>
        <v>5970000</v>
      </c>
      <c r="V80" s="503">
        <f>VLOOKUP(A80,'Loan List '!$A$6:$BA$82,26, FALSE)</f>
        <v>0</v>
      </c>
      <c r="W80" s="350">
        <f t="shared" ref="W80:W82" si="109">V80*I80</f>
        <v>0</v>
      </c>
      <c r="X80" s="326"/>
      <c r="Y80" s="504">
        <f>VLOOKUP(A80,'Loan List '!$A$6:$BA$75,27, FALSE)</f>
        <v>0</v>
      </c>
      <c r="Z80" s="438"/>
      <c r="AA80" s="330"/>
      <c r="AB80" s="333">
        <f t="shared" ref="AB80:AB82" si="110">K80*BU80</f>
        <v>8.6679981310941415E-2</v>
      </c>
      <c r="AC80" s="333">
        <f t="shared" ref="AC80:AC82" si="111">K80*AL80</f>
        <v>1.0509367335466844E-2</v>
      </c>
      <c r="AD80" s="331">
        <f t="shared" ref="AD80:AD82" si="112">BW80</f>
        <v>0</v>
      </c>
      <c r="AE80" s="320" t="str">
        <f t="shared" ref="AE80:AE82" si="113">IF(CK80&gt;=$C$5,"Class 1",IF(CK80&gt;=$D$5,"Class 2",IF(CK80&gt;=$E$5,"Class 3","Class 4")))</f>
        <v>Class 3</v>
      </c>
      <c r="AF80" s="649">
        <f t="shared" si="96"/>
        <v>5</v>
      </c>
      <c r="AG80" s="649">
        <f t="shared" ref="AG80:AG82" si="114">IF(BB80,1,0)+HLOOKUP($AE80,$B$3:$F$10,5,0)</f>
        <v>6</v>
      </c>
      <c r="AH80" s="332">
        <f t="shared" ref="AH80:AH82" si="115">MIN(AF80/BU80,1)</f>
        <v>0.95322109562866386</v>
      </c>
      <c r="AI80" s="332">
        <f t="shared" ref="AI80:AI82" si="116">IF(BU80&gt;AG80,(AG80-AF80)/BU80,1-AH80)</f>
        <v>4.6778904371336139E-2</v>
      </c>
      <c r="AJ80" s="332">
        <f t="shared" si="97"/>
        <v>0.65</v>
      </c>
      <c r="AK80" s="332">
        <f t="shared" si="98"/>
        <v>0.35</v>
      </c>
      <c r="AL80" s="332">
        <f t="shared" ref="AL80:AL82" si="117">IF(OR(BI80, AND(BH80,AD80&gt;1)), HLOOKUP(AE80,$B$3:$F$10,8,0),AH80*AJ80+AI80*AK80)</f>
        <v>0.63596632868859926</v>
      </c>
      <c r="AM80" s="333">
        <f ca="1">'Diversity Score'!$E$7</f>
        <v>1</v>
      </c>
      <c r="AN80" s="332">
        <f t="shared" ref="AN80:AN82" ca="1" si="118">AM80*AL80</f>
        <v>0.63596632868859926</v>
      </c>
      <c r="AO80" s="505">
        <f>VLOOKUP(A80,'Loan List '!$A$6:$BA$75,17, FALSE)</f>
        <v>5.2499999999999998E-2</v>
      </c>
      <c r="AP80" s="493" t="str">
        <f>VLOOKUP(A80,'Loan List '!$A$6:$BA$795,15, FALSE)</f>
        <v>SOFR</v>
      </c>
      <c r="AQ80" s="494">
        <f>VLOOKUP(A80,'Loan List '!$A$6:$BA$795,16, FALSE)</f>
        <v>0.01</v>
      </c>
      <c r="AR80" s="539">
        <v>0</v>
      </c>
      <c r="AS80" s="539">
        <v>0</v>
      </c>
      <c r="AT80" s="353"/>
      <c r="AU80" s="323">
        <f t="shared" ref="AU80:AU82" si="119">AO80-AS80</f>
        <v>5.2499999999999998E-2</v>
      </c>
      <c r="AV80" s="323" t="b">
        <f t="shared" ref="AV80:AV82" si="120">IF(AND(AS80&gt;0%,AU80&gt;4.5%),TRUE,FALSE)</f>
        <v>0</v>
      </c>
      <c r="AW80" s="540" t="b">
        <f t="shared" ref="AW80:AW82" si="121">IF(AND(AS80&gt;0%,AU80&gt;=2.25%, AV80=FALSE),TRUE,FALSE)</f>
        <v>0</v>
      </c>
      <c r="AX80" s="323" t="b">
        <f t="shared" ref="AX80:AX82" si="122">IF(AND(AS80&gt;0%,AW80=FALSE, AV80=FALSE),TRUE, FALSE)</f>
        <v>0</v>
      </c>
      <c r="AY80" s="353"/>
      <c r="AZ80" s="323" t="b">
        <f t="shared" ref="AZ80:AZ82" si="123">(OR(CC80&lt;&gt;"NR",CD80&lt;&gt;"NR"))</f>
        <v>0</v>
      </c>
      <c r="BA80" s="497" t="str">
        <f>'Loan List '!AS69</f>
        <v>Maintenance Covenants</v>
      </c>
      <c r="BB80" s="320" t="b">
        <f t="shared" ref="BB80:BB82" si="124">IF(D80="FL",FALSE,TRUE)</f>
        <v>0</v>
      </c>
      <c r="BC80" s="326" t="b">
        <f t="shared" ref="BC80:BC82" si="125">IF(BU80&gt;5.5, TRUE, FALSE)</f>
        <v>0</v>
      </c>
      <c r="BD80" s="320" t="b">
        <f t="shared" ref="BD80:BD82" si="126">IF(BF80="USD", TRUE,FALSE)</f>
        <v>1</v>
      </c>
      <c r="BE80" s="320" t="b">
        <f t="shared" ref="BE80:BE82" si="127">IF(BG80="USA",TRUE,FALSE)</f>
        <v>1</v>
      </c>
      <c r="BF80" s="550" t="str">
        <f>'Loan List '!J69</f>
        <v>USD</v>
      </c>
      <c r="BG80" s="497" t="str">
        <f>VLOOKUP(A80,'Loan List '!$A$6:$BZ$75, 23, FALSE)</f>
        <v>USA</v>
      </c>
      <c r="BH80" s="320" t="b">
        <f t="shared" ref="BH80:BH82" si="128">IF(D80="FLLO", TRUE,FALSE)</f>
        <v>0</v>
      </c>
      <c r="BI80" s="320" t="b">
        <f t="shared" ref="BI80:BI82" si="129">IF(C80="Second Lien",TRUE,FALSE)</f>
        <v>0</v>
      </c>
      <c r="BJ80" s="320" t="b">
        <f>IF('Loan List '!BP69=1, TRUE, FALSE)</f>
        <v>0</v>
      </c>
      <c r="BK80" s="320" t="b">
        <f t="shared" ref="BK80:BK82" si="130">IF(AR80&gt;0%,TRUE,FALSE)</f>
        <v>0</v>
      </c>
      <c r="BL80" s="541" t="b">
        <f t="shared" ref="BL80:BL82" si="131">OR(LEFT(CC80,1)="C", LEFT(CD80,1)="C")</f>
        <v>0</v>
      </c>
      <c r="BM80" s="320" t="b">
        <f>IF('Loan List '!AT69="Yes", TRUE, FALSE)</f>
        <v>0</v>
      </c>
      <c r="BN80" s="336">
        <f t="shared" ref="BN80:BN82" ca="1" si="132">-($BN$15-N80)/365</f>
        <v>5.4</v>
      </c>
      <c r="BO80" s="337">
        <f ca="1">'Concentration Limitations'!H75</f>
        <v>5970000</v>
      </c>
      <c r="BP80" s="338">
        <f t="shared" ca="1" si="101"/>
        <v>3796718.9822709374</v>
      </c>
      <c r="BQ80" s="442"/>
      <c r="BR80" s="443"/>
      <c r="BS80" s="542">
        <f>'Loan List '!AG69</f>
        <v>45777</v>
      </c>
      <c r="BT80" s="650">
        <f>'Loan List '!AO69</f>
        <v>1.5991844115784608</v>
      </c>
      <c r="BU80" s="650">
        <f>'Loan List '!AI69</f>
        <v>5.2453727922402136</v>
      </c>
      <c r="BW80" s="377">
        <v>0</v>
      </c>
      <c r="BX80" s="492" t="s">
        <v>1217</v>
      </c>
      <c r="BY80" s="490">
        <f>'Loan List '!AJ69</f>
        <v>22.035960511900001</v>
      </c>
      <c r="BZ80" s="490">
        <f>'Loan List '!AL69</f>
        <v>0</v>
      </c>
      <c r="CA80" s="377">
        <v>0</v>
      </c>
      <c r="CB80" s="377">
        <v>0</v>
      </c>
      <c r="CC80" s="545" t="s">
        <v>146</v>
      </c>
      <c r="CD80" s="546" t="s">
        <v>146</v>
      </c>
      <c r="CE80" s="378" t="s">
        <v>1217</v>
      </c>
      <c r="CF80" s="491">
        <f>'Loan List '!AC69</f>
        <v>1.6409410260538424</v>
      </c>
      <c r="CG80" s="491">
        <f>'Loan List '!AD69</f>
        <v>5.1738042083684501</v>
      </c>
      <c r="CH80" s="491"/>
      <c r="CI80" s="377">
        <v>0</v>
      </c>
      <c r="CJ80" s="492" t="s">
        <v>1217</v>
      </c>
      <c r="CK80" s="491">
        <f>'Loan List '!AB69</f>
        <v>23.625688</v>
      </c>
      <c r="CL80" s="495">
        <f>'Loan List '!AE70</f>
        <v>0</v>
      </c>
      <c r="CM80" s="377">
        <v>0</v>
      </c>
      <c r="CN80" s="377">
        <v>0</v>
      </c>
      <c r="CO80" s="377" t="s">
        <v>146</v>
      </c>
      <c r="CP80" s="547" t="s">
        <v>146</v>
      </c>
      <c r="CQ80" s="345">
        <f t="shared" si="91"/>
        <v>-2.5446749037531517E-2</v>
      </c>
      <c r="CR80" s="346">
        <f t="shared" si="92"/>
        <v>1.3832874416856312E-2</v>
      </c>
      <c r="CS80" s="347">
        <f t="shared" ref="CS80:CS82" si="133">BU80-CG80</f>
        <v>7.1568583871763458E-2</v>
      </c>
      <c r="CT80" s="485">
        <f t="shared" ref="CT80:CT82" si="134">(BY80/CK80)-1</f>
        <v>-6.7288092863158067E-2</v>
      </c>
      <c r="CU80" s="348">
        <f>IF(OR($CQ80&lt;'Summary '!$I$47,$BT80&lt;'Summary '!$I$46),1,0)</f>
        <v>1</v>
      </c>
      <c r="CV80" s="348">
        <f>IF(OR($CS80&gt;='Summary '!$I$50, (AND(BU80&gt;'Summary '!$I$52, Calcs!CR80&gt; 'Summary '!$I$51))),1,0)</f>
        <v>0</v>
      </c>
      <c r="CW80" s="348">
        <f t="shared" ref="CW80:CW82" si="135">IF(OR(SUM(CU80:CV80)&gt;=1,CX80="Yes"),1,0)</f>
        <v>1</v>
      </c>
      <c r="CX80" s="447" t="s">
        <v>122</v>
      </c>
      <c r="CY80" s="447" t="s">
        <v>122</v>
      </c>
      <c r="CZ80" t="s">
        <v>122</v>
      </c>
      <c r="DA80" s="352"/>
      <c r="DD80" s="258">
        <v>0</v>
      </c>
      <c r="DE80" s="258">
        <v>0</v>
      </c>
      <c r="DF80" s="277"/>
      <c r="DI80" s="551" t="str">
        <f t="shared" ref="DI80:DI82" si="136">IF(L80&lt;90%,"Not Eligible","Eligible")</f>
        <v>Eligible</v>
      </c>
      <c r="DJ80" s="423" t="str">
        <f t="shared" ref="DJ80:DJ82" si="137">IF(OR(BF80="USD",BF80="CAD",BF80="EUR",BF80="GBP",BF80="AUD"),"Eligible","Not Eligible")</f>
        <v>Eligible</v>
      </c>
      <c r="DK80" s="549" t="s">
        <v>1271</v>
      </c>
      <c r="DL80" s="549" t="s">
        <v>1271</v>
      </c>
      <c r="DM80" s="423" t="str">
        <f t="shared" ref="DM80:DM82" si="138">IF(BM80="FALSE",IF(BY80&lt;5,"Not Eligible","Eligible"),"Eligible")</f>
        <v>Eligible</v>
      </c>
      <c r="DN80" s="423" t="str">
        <f t="shared" ref="DN80:DN82" si="139">IF(AW80=TRUE,IF(AU80&gt;=3%,"Eligible","Not Eligible"),"Not PIK")</f>
        <v>Not PIK</v>
      </c>
      <c r="DO80" s="424" t="s">
        <v>122</v>
      </c>
      <c r="DP80" s="423" t="str">
        <f t="shared" ref="DP80:DP82" si="140">IF(OR(DK80="Not Eligible",DL80="Not Eligible",DI80="Not Eligible",DJ80="Not Eligible",DM80="Not Eligible",DN80="Not Eligible",DO80="Yes"),"NO","YES")</f>
        <v>YES</v>
      </c>
    </row>
    <row r="81" spans="1:120" ht="16.5">
      <c r="A81" s="647" t="s">
        <v>1355</v>
      </c>
      <c r="B81" s="36">
        <f>IFERROR(VLOOKUP(A81,'Loan List '!$A$6:$BZ$75,2,FALSE),NA)</f>
        <v>0</v>
      </c>
      <c r="C81" s="498" t="str">
        <f>VLOOKUP(A81,'Loan List '!$A$6:$G$75, 7, FALSE)</f>
        <v>First Lien</v>
      </c>
      <c r="D81" s="498" t="str">
        <f>VLOOKUP(A81, 'Loan List '!$A$6:$K$82, 11, FALSE)</f>
        <v>FL</v>
      </c>
      <c r="E81" s="497" t="b">
        <f t="shared" si="102"/>
        <v>1</v>
      </c>
      <c r="F81" s="497" t="str">
        <f>VLOOKUP(A81,'Loan List '!$A$6:$L$75, 12, FALSE)</f>
        <v>Professional Services</v>
      </c>
      <c r="G81" s="321"/>
      <c r="H81" s="533">
        <f t="shared" si="103"/>
        <v>4975000</v>
      </c>
      <c r="I81" s="533">
        <f>VLOOKUP(A81,'Loan List '!$A$6:$L$82, 8, FALSE)</f>
        <v>4975000</v>
      </c>
      <c r="J81" s="361">
        <v>0</v>
      </c>
      <c r="K81" s="323">
        <f t="shared" si="104"/>
        <v>1.3770864459047946E-2</v>
      </c>
      <c r="L81" s="601">
        <f>VLOOKUP(A81,'Loan List '!$A$6:$BA$82,24, FALSE)</f>
        <v>100</v>
      </c>
      <c r="M81" s="501"/>
      <c r="N81" s="502">
        <f>VLOOKUP(A81,'Loan List '!$A$6:$BA$82,22, FALSE)</f>
        <v>47472</v>
      </c>
      <c r="O81" s="602">
        <f t="shared" si="105"/>
        <v>4975000</v>
      </c>
      <c r="P81" s="327">
        <f t="shared" si="106"/>
        <v>1</v>
      </c>
      <c r="Q81" s="487" t="s">
        <v>451</v>
      </c>
      <c r="R81" s="488" t="s">
        <v>38</v>
      </c>
      <c r="S81" s="327" t="b">
        <f t="shared" si="107"/>
        <v>1</v>
      </c>
      <c r="T81" s="327">
        <f>VLOOKUP(A81,'Loan List '!$A$6:$BD$1048576,56,FALSE)/100</f>
        <v>1</v>
      </c>
      <c r="U81" s="535">
        <f t="shared" si="108"/>
        <v>4975000</v>
      </c>
      <c r="V81" s="503">
        <f>VLOOKUP(A81,'Loan List '!$A$6:$BA$82,26, FALSE)</f>
        <v>0</v>
      </c>
      <c r="W81" s="350">
        <f t="shared" si="109"/>
        <v>0</v>
      </c>
      <c r="X81" s="326"/>
      <c r="Y81" s="504">
        <f>VLOOKUP(A81,'Loan List '!$A$6:$BA$75,27, FALSE)</f>
        <v>0</v>
      </c>
      <c r="Z81" s="438"/>
      <c r="AA81" s="330"/>
      <c r="AB81" s="333">
        <f t="shared" si="110"/>
        <v>3.6645320483435447E-2</v>
      </c>
      <c r="AC81" s="333">
        <f t="shared" si="111"/>
        <v>8.9510618983811661E-3</v>
      </c>
      <c r="AD81" s="331">
        <f t="shared" si="112"/>
        <v>0</v>
      </c>
      <c r="AE81" s="320" t="str">
        <f t="shared" si="113"/>
        <v>Class 3</v>
      </c>
      <c r="AF81" s="649">
        <f t="shared" si="96"/>
        <v>5</v>
      </c>
      <c r="AG81" s="649">
        <f t="shared" si="114"/>
        <v>6</v>
      </c>
      <c r="AH81" s="332">
        <f t="shared" si="115"/>
        <v>1</v>
      </c>
      <c r="AI81" s="332">
        <f t="shared" si="116"/>
        <v>0</v>
      </c>
      <c r="AJ81" s="332">
        <f t="shared" si="97"/>
        <v>0.65</v>
      </c>
      <c r="AK81" s="332">
        <f t="shared" si="98"/>
        <v>0.35</v>
      </c>
      <c r="AL81" s="332">
        <f t="shared" si="117"/>
        <v>0.65</v>
      </c>
      <c r="AM81" s="333">
        <f ca="1">'Diversity Score'!$E$7</f>
        <v>1</v>
      </c>
      <c r="AN81" s="332">
        <f t="shared" ca="1" si="118"/>
        <v>0.65</v>
      </c>
      <c r="AO81" s="505">
        <f>VLOOKUP(A81,'Loan List '!$A$6:$BA$75,17, FALSE)</f>
        <v>0.05</v>
      </c>
      <c r="AP81" s="493" t="str">
        <f>VLOOKUP(A81,'Loan List '!$A$6:$BA$795,15, FALSE)</f>
        <v>SOFR</v>
      </c>
      <c r="AQ81" s="494">
        <f>VLOOKUP(A81,'Loan List '!$A$6:$BA$795,16, FALSE)</f>
        <v>0.01</v>
      </c>
      <c r="AR81" s="539">
        <v>0</v>
      </c>
      <c r="AS81" s="539">
        <v>0</v>
      </c>
      <c r="AT81" s="353"/>
      <c r="AU81" s="323">
        <f t="shared" si="119"/>
        <v>0.05</v>
      </c>
      <c r="AV81" s="323" t="b">
        <f t="shared" si="120"/>
        <v>0</v>
      </c>
      <c r="AW81" s="540" t="b">
        <f t="shared" si="121"/>
        <v>0</v>
      </c>
      <c r="AX81" s="323" t="b">
        <f t="shared" si="122"/>
        <v>0</v>
      </c>
      <c r="AY81" s="353"/>
      <c r="AZ81" s="323" t="b">
        <f t="shared" si="123"/>
        <v>0</v>
      </c>
      <c r="BA81" s="497" t="str">
        <f>'Loan List '!AS70</f>
        <v>Maintenance Covenants</v>
      </c>
      <c r="BB81" s="320" t="b">
        <f t="shared" si="124"/>
        <v>0</v>
      </c>
      <c r="BC81" s="326" t="b">
        <f t="shared" si="125"/>
        <v>0</v>
      </c>
      <c r="BD81" s="320" t="b">
        <f t="shared" si="126"/>
        <v>1</v>
      </c>
      <c r="BE81" s="320" t="b">
        <f t="shared" si="127"/>
        <v>1</v>
      </c>
      <c r="BF81" s="550" t="str">
        <f>'Loan List '!J70</f>
        <v>USD</v>
      </c>
      <c r="BG81" s="497" t="str">
        <f>VLOOKUP(A81,'Loan List '!$A$6:$BZ$75, 23, FALSE)</f>
        <v>USA</v>
      </c>
      <c r="BH81" s="320" t="b">
        <f t="shared" si="128"/>
        <v>0</v>
      </c>
      <c r="BI81" s="320" t="b">
        <f t="shared" si="129"/>
        <v>0</v>
      </c>
      <c r="BJ81" s="320" t="b">
        <f>IF('Loan List '!BP70=1, TRUE, FALSE)</f>
        <v>0</v>
      </c>
      <c r="BK81" s="320" t="b">
        <f t="shared" si="130"/>
        <v>0</v>
      </c>
      <c r="BL81" s="541" t="b">
        <f t="shared" si="131"/>
        <v>0</v>
      </c>
      <c r="BM81" s="320" t="b">
        <f>IF('Loan List '!AT70="Yes", TRUE, FALSE)</f>
        <v>0</v>
      </c>
      <c r="BN81" s="336">
        <f t="shared" ca="1" si="132"/>
        <v>4.4082191780821915</v>
      </c>
      <c r="BO81" s="337">
        <f ca="1">'Concentration Limitations'!H76</f>
        <v>4975000</v>
      </c>
      <c r="BP81" s="338">
        <f t="shared" ca="1" si="101"/>
        <v>3233750</v>
      </c>
      <c r="BQ81" s="442"/>
      <c r="BR81" s="443"/>
      <c r="BS81" s="542">
        <f>'Loan List '!AG70</f>
        <v>45777</v>
      </c>
      <c r="BT81" s="650">
        <f>'Loan List '!AO70</f>
        <v>3.3436306574838133</v>
      </c>
      <c r="BU81" s="650">
        <f>'Loan List '!AI70</f>
        <v>2.6610762594034663</v>
      </c>
      <c r="BW81" s="377">
        <v>0</v>
      </c>
      <c r="BX81" s="492" t="s">
        <v>1217</v>
      </c>
      <c r="BY81" s="490">
        <f>'Loan List '!AJ70</f>
        <v>9.0241488890601023</v>
      </c>
      <c r="BZ81" s="490">
        <f>'Loan List '!AL70</f>
        <v>0</v>
      </c>
      <c r="CA81" s="377">
        <v>0</v>
      </c>
      <c r="CB81" s="377">
        <v>0</v>
      </c>
      <c r="CC81" s="545" t="s">
        <v>146</v>
      </c>
      <c r="CD81" s="546" t="s">
        <v>146</v>
      </c>
      <c r="CE81" s="378" t="s">
        <v>1217</v>
      </c>
      <c r="CF81" s="491">
        <f>'Loan List '!AC70</f>
        <v>5.8189780613231763</v>
      </c>
      <c r="CG81" s="491">
        <f>'Loan List '!AD70</f>
        <v>1.949486310952381</v>
      </c>
      <c r="CH81" s="491"/>
      <c r="CI81" s="377">
        <v>0</v>
      </c>
      <c r="CJ81" s="492" t="s">
        <v>1217</v>
      </c>
      <c r="CK81" s="491">
        <f>'Loan List '!AB70</f>
        <v>10.5</v>
      </c>
      <c r="CL81" s="495">
        <f>'Loan List '!AE71</f>
        <v>0</v>
      </c>
      <c r="CM81" s="377">
        <v>0</v>
      </c>
      <c r="CN81" s="377">
        <v>0</v>
      </c>
      <c r="CO81" s="377" t="s">
        <v>146</v>
      </c>
      <c r="CP81" s="547" t="s">
        <v>146</v>
      </c>
      <c r="CQ81" s="345">
        <f t="shared" si="91"/>
        <v>-0.42539211829860279</v>
      </c>
      <c r="CR81" s="346">
        <f t="shared" si="92"/>
        <v>0.36501407804369385</v>
      </c>
      <c r="CS81" s="347">
        <f t="shared" si="133"/>
        <v>0.71158994845108525</v>
      </c>
      <c r="CT81" s="485">
        <f t="shared" si="134"/>
        <v>-0.14055724866094266</v>
      </c>
      <c r="CU81" s="348">
        <f>IF(OR($CQ81&lt;'Summary '!$I$47,$BT81&lt;'Summary '!$I$46),1,0)</f>
        <v>1</v>
      </c>
      <c r="CV81" s="348">
        <f>IF(OR($CS81&gt;='Summary '!$I$50, (AND(BU81&gt;'Summary '!$I$52, Calcs!CR81&gt; 'Summary '!$I$51))),1,0)</f>
        <v>0</v>
      </c>
      <c r="CW81" s="348">
        <f t="shared" si="135"/>
        <v>1</v>
      </c>
      <c r="CX81" s="447" t="s">
        <v>122</v>
      </c>
      <c r="CY81" s="447" t="s">
        <v>122</v>
      </c>
      <c r="CZ81" t="s">
        <v>122</v>
      </c>
      <c r="DA81" s="352"/>
      <c r="DD81" s="258">
        <v>0</v>
      </c>
      <c r="DE81" s="258">
        <v>0</v>
      </c>
      <c r="DF81" s="277"/>
      <c r="DI81" s="551" t="str">
        <f t="shared" si="136"/>
        <v>Eligible</v>
      </c>
      <c r="DJ81" s="423" t="str">
        <f t="shared" si="137"/>
        <v>Eligible</v>
      </c>
      <c r="DK81" s="549" t="s">
        <v>1271</v>
      </c>
      <c r="DL81" s="549" t="s">
        <v>1271</v>
      </c>
      <c r="DM81" s="423" t="str">
        <f t="shared" si="138"/>
        <v>Eligible</v>
      </c>
      <c r="DN81" s="423" t="str">
        <f t="shared" si="139"/>
        <v>Not PIK</v>
      </c>
      <c r="DO81" s="424" t="s">
        <v>122</v>
      </c>
      <c r="DP81" s="423" t="str">
        <f t="shared" si="140"/>
        <v>YES</v>
      </c>
    </row>
    <row r="82" spans="1:120" ht="16.5">
      <c r="A82" s="647" t="s">
        <v>1356</v>
      </c>
      <c r="B82" s="36">
        <f>IFERROR(VLOOKUP(A82,'Loan List '!$A$6:$BZ$75,2,FALSE),NA)</f>
        <v>0</v>
      </c>
      <c r="C82" s="498" t="str">
        <f>VLOOKUP(A82,'Loan List '!$A$6:$G$75, 7, FALSE)</f>
        <v>First Lien</v>
      </c>
      <c r="D82" s="498" t="str">
        <f>VLOOKUP(A82, 'Loan List '!$A$6:$K$82, 11, FALSE)</f>
        <v>FL</v>
      </c>
      <c r="E82" s="497" t="b">
        <f t="shared" si="102"/>
        <v>1</v>
      </c>
      <c r="F82" s="497" t="str">
        <f>VLOOKUP(A82,'Loan List '!$A$6:$L$75, 12, FALSE)</f>
        <v>Media</v>
      </c>
      <c r="G82" s="321"/>
      <c r="H82" s="533">
        <f t="shared" si="103"/>
        <v>19950000</v>
      </c>
      <c r="I82" s="533">
        <f>VLOOKUP(A82,'Loan List '!$A$6:$L$82, 8, FALSE)</f>
        <v>19950000</v>
      </c>
      <c r="J82" s="361">
        <v>0</v>
      </c>
      <c r="K82" s="323">
        <f t="shared" si="104"/>
        <v>5.5221858484021412E-2</v>
      </c>
      <c r="L82" s="601">
        <f>VLOOKUP(A82,'Loan List '!$A$6:$BA$82,24, FALSE)</f>
        <v>100</v>
      </c>
      <c r="M82" s="501"/>
      <c r="N82" s="502">
        <f>VLOOKUP(A82,'Loan List '!$A$6:$BA$82,22, FALSE)</f>
        <v>47836</v>
      </c>
      <c r="O82" s="602">
        <f t="shared" si="105"/>
        <v>19950000</v>
      </c>
      <c r="P82" s="327">
        <f t="shared" si="106"/>
        <v>1</v>
      </c>
      <c r="Q82" s="487" t="s">
        <v>451</v>
      </c>
      <c r="R82" s="488" t="s">
        <v>38</v>
      </c>
      <c r="S82" s="327" t="b">
        <f t="shared" si="107"/>
        <v>0</v>
      </c>
      <c r="T82" s="327">
        <f>VLOOKUP(A82,'Loan List '!$A$6:$BD$1048576,56,FALSE)/100</f>
        <v>1</v>
      </c>
      <c r="U82" s="535">
        <f t="shared" si="108"/>
        <v>19950000</v>
      </c>
      <c r="V82" s="503">
        <f>VLOOKUP(A82,'Loan List '!$A$6:$BA$82,26, FALSE)</f>
        <v>0</v>
      </c>
      <c r="W82" s="350">
        <f t="shared" si="109"/>
        <v>0</v>
      </c>
      <c r="X82" s="326"/>
      <c r="Y82" s="504">
        <f>VLOOKUP(A82,'Loan List '!$A$6:$BA$75,27, FALSE)</f>
        <v>0</v>
      </c>
      <c r="Z82" s="438"/>
      <c r="AA82" s="330"/>
      <c r="AB82" s="333">
        <f t="shared" si="110"/>
        <v>0.27581863841703741</v>
      </c>
      <c r="AC82" s="333">
        <f t="shared" si="111"/>
        <v>3.5894208014613918E-2</v>
      </c>
      <c r="AD82" s="331">
        <f t="shared" si="112"/>
        <v>0</v>
      </c>
      <c r="AE82" s="320" t="str">
        <f t="shared" si="113"/>
        <v>Class 3</v>
      </c>
      <c r="AF82" s="649">
        <f t="shared" si="96"/>
        <v>5</v>
      </c>
      <c r="AG82" s="649">
        <f t="shared" si="114"/>
        <v>6</v>
      </c>
      <c r="AH82" s="332">
        <f t="shared" si="115"/>
        <v>1</v>
      </c>
      <c r="AI82" s="332">
        <f t="shared" si="116"/>
        <v>0</v>
      </c>
      <c r="AJ82" s="332">
        <f t="shared" si="97"/>
        <v>0.65</v>
      </c>
      <c r="AK82" s="332">
        <f t="shared" si="98"/>
        <v>0.35</v>
      </c>
      <c r="AL82" s="332">
        <f t="shared" si="117"/>
        <v>0.65</v>
      </c>
      <c r="AM82" s="333">
        <f ca="1">'Diversity Score'!$E$7</f>
        <v>1</v>
      </c>
      <c r="AN82" s="332">
        <f t="shared" ca="1" si="118"/>
        <v>0.65</v>
      </c>
      <c r="AO82" s="505">
        <f>VLOOKUP(A82,'Loan List '!$A$6:$BA$75,17, FALSE)</f>
        <v>5.2499999999999998E-2</v>
      </c>
      <c r="AP82" s="493" t="str">
        <f>VLOOKUP(A82,'Loan List '!$A$6:$BA$795,15, FALSE)</f>
        <v>SOFR</v>
      </c>
      <c r="AQ82" s="494">
        <f>VLOOKUP(A82,'Loan List '!$A$6:$BA$795,16, FALSE)</f>
        <v>0.01</v>
      </c>
      <c r="AR82" s="539">
        <v>0</v>
      </c>
      <c r="AS82" s="539">
        <v>0</v>
      </c>
      <c r="AT82" s="353"/>
      <c r="AU82" s="323">
        <f t="shared" si="119"/>
        <v>5.2499999999999998E-2</v>
      </c>
      <c r="AV82" s="323" t="b">
        <f t="shared" si="120"/>
        <v>0</v>
      </c>
      <c r="AW82" s="540" t="b">
        <f t="shared" si="121"/>
        <v>0</v>
      </c>
      <c r="AX82" s="323" t="b">
        <f t="shared" si="122"/>
        <v>0</v>
      </c>
      <c r="AY82" s="353"/>
      <c r="AZ82" s="323" t="b">
        <f t="shared" si="123"/>
        <v>0</v>
      </c>
      <c r="BA82" s="497" t="str">
        <f>'Loan List '!AS71</f>
        <v>Maintenance Covenants</v>
      </c>
      <c r="BB82" s="320" t="b">
        <f t="shared" si="124"/>
        <v>0</v>
      </c>
      <c r="BC82" s="326" t="b">
        <f t="shared" si="125"/>
        <v>0</v>
      </c>
      <c r="BD82" s="320" t="b">
        <f t="shared" si="126"/>
        <v>1</v>
      </c>
      <c r="BE82" s="320" t="b">
        <f t="shared" si="127"/>
        <v>1</v>
      </c>
      <c r="BF82" s="550" t="str">
        <f>'Loan List '!J71</f>
        <v>USD</v>
      </c>
      <c r="BG82" s="497" t="str">
        <f>VLOOKUP(A82,'Loan List '!$A$6:$BZ$75, 23, FALSE)</f>
        <v>USA</v>
      </c>
      <c r="BH82" s="320" t="b">
        <f t="shared" si="128"/>
        <v>0</v>
      </c>
      <c r="BI82" s="320" t="b">
        <f t="shared" si="129"/>
        <v>0</v>
      </c>
      <c r="BJ82" s="320" t="b">
        <f>IF('Loan List '!BP71=1, TRUE, FALSE)</f>
        <v>0</v>
      </c>
      <c r="BK82" s="320" t="b">
        <f t="shared" si="130"/>
        <v>0</v>
      </c>
      <c r="BL82" s="541" t="b">
        <f t="shared" si="131"/>
        <v>0</v>
      </c>
      <c r="BM82" s="320" t="b">
        <f>IF('Loan List '!AT71="Yes", TRUE, FALSE)</f>
        <v>0</v>
      </c>
      <c r="BN82" s="336">
        <f t="shared" ca="1" si="132"/>
        <v>5.4054794520547942</v>
      </c>
      <c r="BO82" s="337">
        <f ca="1">'Concentration Limitations'!H77</f>
        <v>19950000</v>
      </c>
      <c r="BP82" s="338">
        <f t="shared" ca="1" si="101"/>
        <v>12967500</v>
      </c>
      <c r="BQ82" s="442"/>
      <c r="BR82" s="443"/>
      <c r="BS82" s="542">
        <f>'Loan List '!AG71</f>
        <v>45777</v>
      </c>
      <c r="BT82" s="650">
        <f>'Loan List '!AO71</f>
        <v>1.8379437160217464</v>
      </c>
      <c r="BU82" s="650">
        <f>'Loan List '!AI71</f>
        <v>4.9947366131628161</v>
      </c>
      <c r="BW82" s="377">
        <v>0</v>
      </c>
      <c r="BX82" s="492" t="s">
        <v>1217</v>
      </c>
      <c r="BY82" s="490">
        <f>'Loan List '!AJ71</f>
        <v>22.989000000000001</v>
      </c>
      <c r="BZ82" s="490">
        <f>'Loan List '!AL71</f>
        <v>0</v>
      </c>
      <c r="CA82" s="377">
        <v>0</v>
      </c>
      <c r="CB82" s="377">
        <v>0</v>
      </c>
      <c r="CC82" s="545" t="s">
        <v>146</v>
      </c>
      <c r="CD82" s="546" t="s">
        <v>146</v>
      </c>
      <c r="CE82" s="378" t="s">
        <v>1217</v>
      </c>
      <c r="CF82" s="491">
        <f>'Loan List '!AC71</f>
        <v>1.8494117647058823</v>
      </c>
      <c r="CG82" s="491">
        <f>'Loan List '!AD71</f>
        <v>5.1249094761366498</v>
      </c>
      <c r="CH82" s="491"/>
      <c r="CI82" s="377">
        <v>0</v>
      </c>
      <c r="CJ82" s="492" t="s">
        <v>1217</v>
      </c>
      <c r="CK82" s="491">
        <f>'Loan List '!AB71</f>
        <v>22.007999999999999</v>
      </c>
      <c r="CL82" s="495">
        <f>'Loan List '!AE72</f>
        <v>0</v>
      </c>
      <c r="CM82" s="377">
        <v>0</v>
      </c>
      <c r="CN82" s="377">
        <v>0</v>
      </c>
      <c r="CO82" s="377" t="s">
        <v>146</v>
      </c>
      <c r="CP82" s="547" t="s">
        <v>146</v>
      </c>
      <c r="CQ82" s="345">
        <f t="shared" si="91"/>
        <v>-6.200916909360997E-3</v>
      </c>
      <c r="CR82" s="346">
        <f t="shared" si="92"/>
        <v>-2.5400031664942285E-2</v>
      </c>
      <c r="CS82" s="347">
        <f t="shared" si="133"/>
        <v>-0.13017286297383368</v>
      </c>
      <c r="CT82" s="485">
        <f t="shared" si="134"/>
        <v>4.4574700109051291E-2</v>
      </c>
      <c r="CU82" s="348">
        <f>IF(OR($CQ82&lt;'Summary '!$I$47,$BT82&lt;'Summary '!$I$46),1,0)</f>
        <v>0</v>
      </c>
      <c r="CV82" s="348">
        <f>IF(OR($CS82&gt;='Summary '!$I$50, (AND(BU82&gt;'Summary '!$I$52, Calcs!CR82&gt; 'Summary '!$I$51))),1,0)</f>
        <v>0</v>
      </c>
      <c r="CW82" s="348">
        <f t="shared" si="135"/>
        <v>0</v>
      </c>
      <c r="CX82" s="447" t="s">
        <v>122</v>
      </c>
      <c r="CY82" s="447" t="s">
        <v>122</v>
      </c>
      <c r="CZ82" t="s">
        <v>122</v>
      </c>
      <c r="DA82" s="352"/>
      <c r="DD82" s="258">
        <v>0</v>
      </c>
      <c r="DE82" s="258">
        <v>0</v>
      </c>
      <c r="DF82" s="277"/>
      <c r="DI82" s="551" t="str">
        <f t="shared" si="136"/>
        <v>Eligible</v>
      </c>
      <c r="DJ82" s="423" t="str">
        <f t="shared" si="137"/>
        <v>Eligible</v>
      </c>
      <c r="DK82" s="549" t="s">
        <v>1271</v>
      </c>
      <c r="DL82" s="549" t="s">
        <v>1271</v>
      </c>
      <c r="DM82" s="423" t="str">
        <f t="shared" si="138"/>
        <v>Eligible</v>
      </c>
      <c r="DN82" s="423" t="str">
        <f t="shared" si="139"/>
        <v>Not PIK</v>
      </c>
      <c r="DO82" s="424" t="s">
        <v>122</v>
      </c>
      <c r="DP82" s="423" t="str">
        <f t="shared" si="140"/>
        <v>YES</v>
      </c>
    </row>
    <row r="83" spans="1:120" ht="16.5">
      <c r="A83" s="647" t="s">
        <v>1364</v>
      </c>
      <c r="B83" s="36">
        <f>IFERROR(VLOOKUP(A83,'Loan List '!$A$6:$BZ$75,2,FALSE),NA)</f>
        <v>0</v>
      </c>
      <c r="C83" s="498" t="str">
        <f>VLOOKUP(A83,'Loan List '!$A$6:$G$75, 7, FALSE)</f>
        <v>First Lien</v>
      </c>
      <c r="D83" s="498" t="str">
        <f>VLOOKUP(A83, 'Loan List '!$A$6:$K$82, 11, FALSE)</f>
        <v>FL</v>
      </c>
      <c r="E83" s="497" t="b">
        <f t="shared" ref="E83:E85" si="141">IF(DP83= "YES", TRUE, FALSE)</f>
        <v>1</v>
      </c>
      <c r="F83" s="497" t="str">
        <f>VLOOKUP(A83,'Loan List '!$A$6:$L$75, 12, FALSE)</f>
        <v>Health Care Providers &amp; Services</v>
      </c>
      <c r="G83" s="321"/>
      <c r="H83" s="533">
        <f t="shared" ref="H83:H85" si="142">+I83</f>
        <v>992500</v>
      </c>
      <c r="I83" s="533">
        <f>VLOOKUP(A83,'Loan List '!$A$6:$L$82, 8, FALSE)</f>
        <v>992500</v>
      </c>
      <c r="J83" s="361">
        <v>0</v>
      </c>
      <c r="K83" s="323">
        <f t="shared" ref="K83:K85" si="143">I83/$I$15</f>
        <v>2.7472528594181078E-3</v>
      </c>
      <c r="L83" s="601">
        <f>VLOOKUP(A83,'Loan List '!$A$6:$BA$82,24, FALSE)</f>
        <v>100</v>
      </c>
      <c r="M83" s="501"/>
      <c r="N83" s="502">
        <f>VLOOKUP(A83,'Loan List '!$A$6:$BA$82,22, FALSE)</f>
        <v>46678</v>
      </c>
      <c r="O83" s="602">
        <f t="shared" ref="O83:O85" si="144">IFERROR(MAX(0,I83-J83)*L83,"")/100</f>
        <v>992500</v>
      </c>
      <c r="P83" s="327">
        <f t="shared" ref="P83:P85" si="145">MIN(IF(AND(L83&gt;=97%,Q83="Primary"),100%,L83),T83)</f>
        <v>1</v>
      </c>
      <c r="Q83" s="487" t="s">
        <v>451</v>
      </c>
      <c r="R83" s="488" t="s">
        <v>38</v>
      </c>
      <c r="S83" s="327" t="b">
        <f t="shared" ref="S83:S85" si="146">IF(OR(CU83=1,CV83=1,CW83=1),TRUE,FALSE)</f>
        <v>1</v>
      </c>
      <c r="T83" s="327">
        <f>VLOOKUP(A83,'Loan List '!$A$6:$BD$1048576,56,FALSE)/100</f>
        <v>1</v>
      </c>
      <c r="U83" s="535">
        <f t="shared" ref="U83:U85" si="147">IF(E83=TRUE,P83*I83,0)</f>
        <v>992500</v>
      </c>
      <c r="V83" s="503">
        <f>VLOOKUP(A83,'Loan List '!$A$6:$BA$82,26, FALSE)</f>
        <v>0</v>
      </c>
      <c r="W83" s="350">
        <f t="shared" ref="W83:W85" si="148">V83*I83</f>
        <v>0</v>
      </c>
      <c r="X83" s="326"/>
      <c r="Y83" s="504">
        <f>VLOOKUP(A83,'Loan List '!$A$6:$BA$75,27, FALSE)</f>
        <v>0</v>
      </c>
      <c r="Z83" s="438"/>
      <c r="AA83" s="330"/>
      <c r="AB83" s="333">
        <f t="shared" ref="AB83:AB85" si="149">K83*BU83</f>
        <v>1.2217503645486518E-2</v>
      </c>
      <c r="AC83" s="333">
        <f t="shared" ref="AC83:AC85" si="150">K83*AL83</f>
        <v>1.8543956801072229E-3</v>
      </c>
      <c r="AD83" s="331">
        <f t="shared" ref="AD83:AD85" si="151">BW83</f>
        <v>0</v>
      </c>
      <c r="AE83" s="320" t="str">
        <f t="shared" ref="AE83:AE85" si="152">IF(CK83&gt;=$C$5,"Class 1",IF(CK83&gt;=$D$5,"Class 2",IF(CK83&gt;=$E$5,"Class 3","Class 4")))</f>
        <v>Class 2</v>
      </c>
      <c r="AF83" s="649">
        <f t="shared" si="96"/>
        <v>5.5</v>
      </c>
      <c r="AG83" s="649">
        <f t="shared" ref="AG83:AG85" si="153">IF(BB83,1,0)+HLOOKUP($AE83,$B$3:$F$10,5,0)</f>
        <v>6.5</v>
      </c>
      <c r="AH83" s="332">
        <f t="shared" ref="AH83:AH85" si="154">MIN(AF83/BU83,1)</f>
        <v>1</v>
      </c>
      <c r="AI83" s="332">
        <f t="shared" ref="AI83:AI85" si="155">IF(BU83&gt;AG83,(AG83-AF83)/BU83,1-AH83)</f>
        <v>0</v>
      </c>
      <c r="AJ83" s="332">
        <f t="shared" si="97"/>
        <v>0.67500000000000004</v>
      </c>
      <c r="AK83" s="332">
        <f t="shared" si="98"/>
        <v>0.35</v>
      </c>
      <c r="AL83" s="332">
        <f t="shared" ref="AL83:AL85" si="156">IF(OR(BI83, AND(BH83,AD83&gt;1)), HLOOKUP(AE83,$B$3:$F$10,8,0),AH83*AJ83+AI83*AK83)</f>
        <v>0.67500000000000004</v>
      </c>
      <c r="AM83" s="333">
        <f ca="1">'Diversity Score'!$E$7</f>
        <v>1</v>
      </c>
      <c r="AN83" s="332">
        <f t="shared" ref="AN83:AN85" ca="1" si="157">AM83*AL83</f>
        <v>0.67500000000000004</v>
      </c>
      <c r="AO83" s="505">
        <f>VLOOKUP(A83,'Loan List '!$A$6:$BA$75,17, FALSE)</f>
        <v>5.5E-2</v>
      </c>
      <c r="AP83" s="493" t="str">
        <f>VLOOKUP(A83,'Loan List '!$A$6:$BA$795,15, FALSE)</f>
        <v>SOFR</v>
      </c>
      <c r="AQ83" s="494">
        <f>VLOOKUP(A83,'Loan List '!$A$6:$BA$795,16, FALSE)</f>
        <v>0.01</v>
      </c>
      <c r="AR83" s="539">
        <v>0</v>
      </c>
      <c r="AS83" s="539">
        <v>0</v>
      </c>
      <c r="AT83" s="353"/>
      <c r="AU83" s="323">
        <f t="shared" ref="AU83:AU85" si="158">AO83-AS83</f>
        <v>5.5E-2</v>
      </c>
      <c r="AV83" s="323" t="b">
        <f t="shared" ref="AV83:AV85" si="159">IF(AND(AS83&gt;0%,AU83&gt;4.5%),TRUE,FALSE)</f>
        <v>0</v>
      </c>
      <c r="AW83" s="540" t="b">
        <f t="shared" ref="AW83:AW85" si="160">IF(AND(AS83&gt;0%,AU83&gt;=2.25%, AV83=FALSE),TRUE,FALSE)</f>
        <v>0</v>
      </c>
      <c r="AX83" s="323" t="b">
        <f t="shared" ref="AX83:AX85" si="161">IF(AND(AS83&gt;0%,AW83=FALSE, AV83=FALSE),TRUE, FALSE)</f>
        <v>0</v>
      </c>
      <c r="AY83" s="353"/>
      <c r="AZ83" s="323" t="b">
        <f t="shared" ref="AZ83:AZ85" si="162">(OR(CC83&lt;&gt;"NR",CD83&lt;&gt;"NR"))</f>
        <v>0</v>
      </c>
      <c r="BA83" s="497" t="str">
        <f>'Loan List '!AS72</f>
        <v>Maintenance Covenants</v>
      </c>
      <c r="BB83" s="320" t="b">
        <f t="shared" ref="BB83:BB85" si="163">IF(D83="FL",FALSE,TRUE)</f>
        <v>0</v>
      </c>
      <c r="BC83" s="326" t="b">
        <f t="shared" ref="BC83:BC85" si="164">IF(BU83&gt;5.5, TRUE, FALSE)</f>
        <v>0</v>
      </c>
      <c r="BD83" s="320" t="b">
        <f t="shared" ref="BD83:BD85" si="165">IF(BF83="USD", TRUE,FALSE)</f>
        <v>1</v>
      </c>
      <c r="BE83" s="320" t="b">
        <f t="shared" ref="BE83:BE85" si="166">IF(BG83="USA",TRUE,FALSE)</f>
        <v>1</v>
      </c>
      <c r="BF83" s="550" t="str">
        <f>'Loan List '!J72</f>
        <v>USD</v>
      </c>
      <c r="BG83" s="497" t="str">
        <f>VLOOKUP(A83,'Loan List '!$A$6:$BZ$75, 23, FALSE)</f>
        <v>USA</v>
      </c>
      <c r="BH83" s="320" t="b">
        <f t="shared" ref="BH83:BH85" si="167">IF(D83="FLLO", TRUE,FALSE)</f>
        <v>0</v>
      </c>
      <c r="BI83" s="320" t="b">
        <f t="shared" ref="BI83:BI85" si="168">IF(C83="Second Lien",TRUE,FALSE)</f>
        <v>0</v>
      </c>
      <c r="BJ83" s="320" t="b">
        <f>IF('Loan List '!BP72=1, TRUE, FALSE)</f>
        <v>0</v>
      </c>
      <c r="BK83" s="320" t="b">
        <f t="shared" ref="BK83:BK85" si="169">IF(AR83&gt;0%,TRUE,FALSE)</f>
        <v>0</v>
      </c>
      <c r="BL83" s="541" t="b">
        <f t="shared" ref="BL83:BL85" si="170">OR(LEFT(CC83,1)="C", LEFT(CD83,1)="C")</f>
        <v>0</v>
      </c>
      <c r="BM83" s="320" t="b">
        <f>IF('Loan List '!AT72="Yes", TRUE, FALSE)</f>
        <v>0</v>
      </c>
      <c r="BN83" s="336">
        <f t="shared" ref="BN83:BN85" ca="1" si="171">-($BN$15-N83)/365</f>
        <v>2.2328767123287672</v>
      </c>
      <c r="BO83" s="337">
        <f ca="1">'Concentration Limitations'!H78</f>
        <v>992500</v>
      </c>
      <c r="BP83" s="338">
        <f t="shared" ref="BP83:BP85" ca="1" si="172">IF(R83=$T$13,0,BO83*AL83)</f>
        <v>669937.5</v>
      </c>
      <c r="BQ83" s="442"/>
      <c r="BR83" s="443"/>
      <c r="BS83" s="542">
        <f>'Loan List '!AG72</f>
        <v>45777</v>
      </c>
      <c r="BT83" s="650">
        <f>'Loan List '!AO72</f>
        <v>1.6981029191710504</v>
      </c>
      <c r="BU83" s="650">
        <f>'Loan List '!AI72</f>
        <v>4.4471711453871388</v>
      </c>
      <c r="BW83" s="377">
        <v>0</v>
      </c>
      <c r="BX83" s="492" t="s">
        <v>1217</v>
      </c>
      <c r="BY83" s="490">
        <f>'Loan List '!AJ72</f>
        <v>33.991542850065102</v>
      </c>
      <c r="BZ83" s="490">
        <f>'Loan List '!AL72</f>
        <v>0</v>
      </c>
      <c r="CA83" s="377">
        <v>0</v>
      </c>
      <c r="CB83" s="377">
        <v>0</v>
      </c>
      <c r="CC83" s="545" t="s">
        <v>146</v>
      </c>
      <c r="CD83" s="546" t="s">
        <v>146</v>
      </c>
      <c r="CE83" s="378" t="s">
        <v>1217</v>
      </c>
      <c r="CF83" s="491">
        <f>'Loan List '!AC72</f>
        <v>1.8824944414142362</v>
      </c>
      <c r="CG83" s="491">
        <f>'Loan List '!AD72</f>
        <v>4.5944019700346077</v>
      </c>
      <c r="CH83" s="491"/>
      <c r="CI83" s="377">
        <v>0</v>
      </c>
      <c r="CJ83" s="492" t="s">
        <v>1217</v>
      </c>
      <c r="CK83" s="491">
        <f>'Loan List '!AB72</f>
        <v>35.390895498587639</v>
      </c>
      <c r="CL83" s="495">
        <f>'Loan List '!AE73</f>
        <v>0</v>
      </c>
      <c r="CM83" s="377">
        <v>0</v>
      </c>
      <c r="CN83" s="377">
        <v>0</v>
      </c>
      <c r="CO83" s="377" t="s">
        <v>146</v>
      </c>
      <c r="CP83" s="547" t="s">
        <v>146</v>
      </c>
      <c r="CQ83" s="345">
        <f t="shared" si="91"/>
        <v>-9.795063304657646E-2</v>
      </c>
      <c r="CR83" s="346">
        <f t="shared" si="92"/>
        <v>-3.2045699442001571E-2</v>
      </c>
      <c r="CS83" s="347">
        <f t="shared" ref="CS83:CS85" si="173">BU83-CG83</f>
        <v>-0.14723082464746895</v>
      </c>
      <c r="CT83" s="485">
        <f t="shared" ref="CT83:CT85" si="174">(BY83/CK83)-1</f>
        <v>-3.9539905074693071E-2</v>
      </c>
      <c r="CU83" s="348">
        <f>IF(OR($CQ83&lt;'Summary '!$I$47,$BT83&lt;'Summary '!$I$46),1,0)</f>
        <v>1</v>
      </c>
      <c r="CV83" s="348">
        <f>IF(OR($CS83&gt;='Summary '!$I$50, (AND(BU83&gt;'Summary '!$I$52, Calcs!CR83&gt; 'Summary '!$I$51))),1,0)</f>
        <v>0</v>
      </c>
      <c r="CW83" s="348">
        <f t="shared" ref="CW83:CW85" si="175">IF(OR(SUM(CU83:CV83)&gt;=1,CX83="Yes"),1,0)</f>
        <v>1</v>
      </c>
      <c r="CX83" s="447" t="s">
        <v>122</v>
      </c>
      <c r="CY83" s="447" t="s">
        <v>122</v>
      </c>
      <c r="CZ83" t="s">
        <v>122</v>
      </c>
      <c r="DA83" s="352"/>
      <c r="DD83" s="258">
        <v>0</v>
      </c>
      <c r="DE83" s="258">
        <v>0</v>
      </c>
      <c r="DF83" s="277"/>
      <c r="DI83" s="551" t="str">
        <f t="shared" ref="DI83:DI85" si="176">IF(L83&lt;90%,"Not Eligible","Eligible")</f>
        <v>Eligible</v>
      </c>
      <c r="DJ83" s="423" t="str">
        <f t="shared" ref="DJ83:DJ85" si="177">IF(OR(BF83="USD",BF83="CAD",BF83="EUR",BF83="GBP",BF83="AUD"),"Eligible","Not Eligible")</f>
        <v>Eligible</v>
      </c>
      <c r="DK83" s="549" t="s">
        <v>1271</v>
      </c>
      <c r="DL83" s="549" t="s">
        <v>1271</v>
      </c>
      <c r="DM83" s="423" t="str">
        <f t="shared" ref="DM83:DM85" si="178">IF(BM83="FALSE",IF(BY83&lt;5,"Not Eligible","Eligible"),"Eligible")</f>
        <v>Eligible</v>
      </c>
      <c r="DN83" s="423" t="str">
        <f t="shared" ref="DN83:DN85" si="179">IF(AW83=TRUE,IF(AU83&gt;=3%,"Eligible","Not Eligible"),"Not PIK")</f>
        <v>Not PIK</v>
      </c>
      <c r="DO83" s="424" t="s">
        <v>122</v>
      </c>
      <c r="DP83" s="423" t="str">
        <f t="shared" ref="DP83:DP85" si="180">IF(OR(DK83="Not Eligible",DL83="Not Eligible",DI83="Not Eligible",DJ83="Not Eligible",DM83="Not Eligible",DN83="Not Eligible",DO83="Yes"),"NO","YES")</f>
        <v>YES</v>
      </c>
    </row>
    <row r="84" spans="1:120" ht="16.5">
      <c r="A84" s="647" t="s">
        <v>1365</v>
      </c>
      <c r="B84" s="36">
        <f>IFERROR(VLOOKUP(A84,'Loan List '!$A$6:$BZ$75,2,FALSE),NA)</f>
        <v>0</v>
      </c>
      <c r="C84" s="498" t="str">
        <f>VLOOKUP(A84,'Loan List '!$A$6:$G$75, 7, FALSE)</f>
        <v>First Lien</v>
      </c>
      <c r="D84" s="498" t="str">
        <f>VLOOKUP(A84, 'Loan List '!$A$6:$K$82, 11, FALSE)</f>
        <v>FL</v>
      </c>
      <c r="E84" s="497" t="b">
        <f t="shared" si="141"/>
        <v>1</v>
      </c>
      <c r="F84" s="497" t="str">
        <f>VLOOKUP(A84,'Loan List '!$A$6:$L$75, 12, FALSE)</f>
        <v>Media</v>
      </c>
      <c r="G84" s="321"/>
      <c r="H84" s="533">
        <f t="shared" si="142"/>
        <v>15121.31</v>
      </c>
      <c r="I84" s="533">
        <f>VLOOKUP(A84,'Loan List '!$A$6:$L$82, 8, FALSE)</f>
        <v>15121.31</v>
      </c>
      <c r="J84" s="361">
        <v>0</v>
      </c>
      <c r="K84" s="323">
        <f t="shared" si="143"/>
        <v>4.1855982000652525E-5</v>
      </c>
      <c r="L84" s="601">
        <f>VLOOKUP(A84,'Loan List '!$A$6:$BA$82,24, FALSE)</f>
        <v>100</v>
      </c>
      <c r="M84" s="501"/>
      <c r="N84" s="502">
        <f>VLOOKUP(A84,'Loan List '!$A$6:$BA$82,22, FALSE)</f>
        <v>46183</v>
      </c>
      <c r="O84" s="602">
        <f t="shared" si="144"/>
        <v>15121.31</v>
      </c>
      <c r="P84" s="327">
        <f t="shared" si="145"/>
        <v>1</v>
      </c>
      <c r="Q84" s="487" t="s">
        <v>451</v>
      </c>
      <c r="R84" s="488" t="s">
        <v>38</v>
      </c>
      <c r="S84" s="327" t="b">
        <f t="shared" si="146"/>
        <v>1</v>
      </c>
      <c r="T84" s="327">
        <f>VLOOKUP(A84,'Loan List '!$A$6:$BD$1048576,56,FALSE)/100</f>
        <v>1</v>
      </c>
      <c r="U84" s="535">
        <f t="shared" si="147"/>
        <v>15121.31</v>
      </c>
      <c r="V84" s="503">
        <f>VLOOKUP(A84,'Loan List '!$A$6:$BA$82,26, FALSE)</f>
        <v>0</v>
      </c>
      <c r="W84" s="350">
        <f t="shared" si="148"/>
        <v>0</v>
      </c>
      <c r="X84" s="326"/>
      <c r="Y84" s="504">
        <f>VLOOKUP(A84,'Loan List '!$A$6:$BA$75,27, FALSE)</f>
        <v>0</v>
      </c>
      <c r="Z84" s="438"/>
      <c r="AA84" s="330"/>
      <c r="AB84" s="333">
        <f t="shared" si="149"/>
        <v>1.9063539383473157E-4</v>
      </c>
      <c r="AC84" s="333">
        <f t="shared" si="150"/>
        <v>2.7206388300424143E-5</v>
      </c>
      <c r="AD84" s="331">
        <f t="shared" si="151"/>
        <v>0</v>
      </c>
      <c r="AE84" s="320" t="str">
        <f t="shared" si="152"/>
        <v>Class 3</v>
      </c>
      <c r="AF84" s="649">
        <f t="shared" si="96"/>
        <v>5</v>
      </c>
      <c r="AG84" s="649">
        <f t="shared" si="153"/>
        <v>6</v>
      </c>
      <c r="AH84" s="332">
        <f t="shared" si="154"/>
        <v>1</v>
      </c>
      <c r="AI84" s="332">
        <f t="shared" si="155"/>
        <v>0</v>
      </c>
      <c r="AJ84" s="332">
        <f t="shared" si="97"/>
        <v>0.65</v>
      </c>
      <c r="AK84" s="332">
        <f t="shared" si="98"/>
        <v>0.35</v>
      </c>
      <c r="AL84" s="332">
        <f t="shared" si="156"/>
        <v>0.65</v>
      </c>
      <c r="AM84" s="333">
        <f ca="1">'Diversity Score'!$E$7</f>
        <v>1</v>
      </c>
      <c r="AN84" s="332">
        <f t="shared" ca="1" si="157"/>
        <v>0.65</v>
      </c>
      <c r="AO84" s="505">
        <f>VLOOKUP(A84,'Loan List '!$A$6:$BA$75,17, FALSE)</f>
        <v>6.3500000000000001E-2</v>
      </c>
      <c r="AP84" s="493" t="str">
        <f>VLOOKUP(A84,'Loan List '!$A$6:$BA$795,15, FALSE)</f>
        <v>SOFR</v>
      </c>
      <c r="AQ84" s="494">
        <f>VLOOKUP(A84,'Loan List '!$A$6:$BA$795,16, FALSE)</f>
        <v>0.01</v>
      </c>
      <c r="AR84" s="539">
        <v>0</v>
      </c>
      <c r="AS84" s="539">
        <v>0</v>
      </c>
      <c r="AT84" s="353"/>
      <c r="AU84" s="323">
        <f t="shared" si="158"/>
        <v>6.3500000000000001E-2</v>
      </c>
      <c r="AV84" s="323" t="b">
        <f t="shared" si="159"/>
        <v>0</v>
      </c>
      <c r="AW84" s="540" t="b">
        <f t="shared" si="160"/>
        <v>0</v>
      </c>
      <c r="AX84" s="323" t="b">
        <f t="shared" si="161"/>
        <v>0</v>
      </c>
      <c r="AY84" s="353"/>
      <c r="AZ84" s="323" t="b">
        <f t="shared" si="162"/>
        <v>0</v>
      </c>
      <c r="BA84" s="497" t="str">
        <f>'Loan List '!AS73</f>
        <v>Maintenance Covenants</v>
      </c>
      <c r="BB84" s="320" t="b">
        <f t="shared" si="163"/>
        <v>0</v>
      </c>
      <c r="BC84" s="326" t="b">
        <f t="shared" si="164"/>
        <v>0</v>
      </c>
      <c r="BD84" s="320" t="b">
        <f t="shared" si="165"/>
        <v>1</v>
      </c>
      <c r="BE84" s="320" t="b">
        <f t="shared" si="166"/>
        <v>1</v>
      </c>
      <c r="BF84" s="550" t="str">
        <f>'Loan List '!J73</f>
        <v>USD</v>
      </c>
      <c r="BG84" s="497" t="str">
        <f>VLOOKUP(A84,'Loan List '!$A$6:$BZ$75, 23, FALSE)</f>
        <v>USA</v>
      </c>
      <c r="BH84" s="320" t="b">
        <f t="shared" si="167"/>
        <v>0</v>
      </c>
      <c r="BI84" s="320" t="b">
        <f t="shared" si="168"/>
        <v>0</v>
      </c>
      <c r="BJ84" s="320" t="b">
        <f>IF('Loan List '!BP73=1, TRUE, FALSE)</f>
        <v>0</v>
      </c>
      <c r="BK84" s="320" t="b">
        <f t="shared" si="169"/>
        <v>0</v>
      </c>
      <c r="BL84" s="541" t="b">
        <f t="shared" si="170"/>
        <v>0</v>
      </c>
      <c r="BM84" s="320" t="b">
        <f>IF('Loan List '!AT73="Yes", TRUE, FALSE)</f>
        <v>0</v>
      </c>
      <c r="BN84" s="336">
        <f t="shared" ca="1" si="171"/>
        <v>0.87671232876712324</v>
      </c>
      <c r="BO84" s="337">
        <f ca="1">'Concentration Limitations'!H79</f>
        <v>15121.31</v>
      </c>
      <c r="BP84" s="338">
        <f t="shared" ca="1" si="172"/>
        <v>9828.8515000000007</v>
      </c>
      <c r="BQ84" s="442"/>
      <c r="BR84" s="443"/>
      <c r="BS84" s="542">
        <f>'Loan List '!AG73</f>
        <v>45808</v>
      </c>
      <c r="BT84" s="650">
        <f>'Loan List '!AO73</f>
        <v>1.1738646222239846</v>
      </c>
      <c r="BU84" s="650">
        <f>'Loan List '!AI73</f>
        <v>4.5545555192507399</v>
      </c>
      <c r="BW84" s="377">
        <v>0</v>
      </c>
      <c r="BX84" s="492" t="s">
        <v>1217</v>
      </c>
      <c r="BY84" s="490">
        <f>'Loan List '!AJ73</f>
        <v>33.751487819779307</v>
      </c>
      <c r="BZ84" s="490">
        <f>'Loan List '!AL73</f>
        <v>0</v>
      </c>
      <c r="CA84" s="377">
        <v>0</v>
      </c>
      <c r="CB84" s="377">
        <v>0</v>
      </c>
      <c r="CC84" s="545" t="s">
        <v>146</v>
      </c>
      <c r="CD84" s="546" t="s">
        <v>146</v>
      </c>
      <c r="CE84" s="378" t="s">
        <v>1217</v>
      </c>
      <c r="CF84" s="491">
        <f>'Loan List '!AC73</f>
        <v>2.4197107077846507</v>
      </c>
      <c r="CG84" s="491">
        <f>'Loan List '!AD73</f>
        <v>3.3763022421538689</v>
      </c>
      <c r="CH84" s="491"/>
      <c r="CI84" s="377">
        <v>0</v>
      </c>
      <c r="CJ84" s="492" t="s">
        <v>1217</v>
      </c>
      <c r="CK84" s="491">
        <f>'Loan List '!AB73</f>
        <v>21.719323313075027</v>
      </c>
      <c r="CL84" s="495">
        <f>'Loan List '!AE74</f>
        <v>0</v>
      </c>
      <c r="CM84" s="377">
        <v>0</v>
      </c>
      <c r="CN84" s="377">
        <v>0</v>
      </c>
      <c r="CO84" s="377" t="s">
        <v>146</v>
      </c>
      <c r="CP84" s="547" t="s">
        <v>146</v>
      </c>
      <c r="CQ84" s="345">
        <f t="shared" si="91"/>
        <v>-0.5148739812377372</v>
      </c>
      <c r="CR84" s="346">
        <f t="shared" si="92"/>
        <v>0.348977429326712</v>
      </c>
      <c r="CS84" s="347">
        <f t="shared" si="173"/>
        <v>1.178253277096871</v>
      </c>
      <c r="CT84" s="485">
        <f t="shared" si="174"/>
        <v>0.55398431770942524</v>
      </c>
      <c r="CU84" s="348">
        <f>IF(OR($CQ84&lt;'Summary '!$I$47,$BT84&lt;'Summary '!$I$46),1,0)</f>
        <v>1</v>
      </c>
      <c r="CV84" s="348">
        <f>IF(OR($CS84&gt;='Summary '!$I$50, (AND(BU84&gt;'Summary '!$I$52, Calcs!CR84&gt; 'Summary '!$I$51))),1,0)</f>
        <v>1</v>
      </c>
      <c r="CW84" s="348">
        <f t="shared" si="175"/>
        <v>1</v>
      </c>
      <c r="CX84" s="447" t="s">
        <v>122</v>
      </c>
      <c r="CY84" s="447" t="s">
        <v>122</v>
      </c>
      <c r="CZ84" t="s">
        <v>122</v>
      </c>
      <c r="DA84" s="352"/>
      <c r="DD84" s="258">
        <v>0</v>
      </c>
      <c r="DE84" s="258">
        <v>0</v>
      </c>
      <c r="DF84" s="277"/>
      <c r="DI84" s="551" t="str">
        <f t="shared" si="176"/>
        <v>Eligible</v>
      </c>
      <c r="DJ84" s="423" t="str">
        <f t="shared" si="177"/>
        <v>Eligible</v>
      </c>
      <c r="DK84" s="549" t="s">
        <v>1271</v>
      </c>
      <c r="DL84" s="549" t="s">
        <v>1271</v>
      </c>
      <c r="DM84" s="423" t="str">
        <f t="shared" si="178"/>
        <v>Eligible</v>
      </c>
      <c r="DN84" s="423" t="str">
        <f t="shared" si="179"/>
        <v>Not PIK</v>
      </c>
      <c r="DO84" s="424" t="s">
        <v>122</v>
      </c>
      <c r="DP84" s="423" t="str">
        <f t="shared" si="180"/>
        <v>YES</v>
      </c>
    </row>
    <row r="85" spans="1:120" ht="16.5">
      <c r="A85" s="647" t="s">
        <v>1366</v>
      </c>
      <c r="B85" s="36">
        <f>IFERROR(VLOOKUP(A85,'Loan List '!$A$6:$BZ$75,2,FALSE),NA)</f>
        <v>0</v>
      </c>
      <c r="C85" s="498" t="str">
        <f>VLOOKUP(A85,'Loan List '!$A$6:$G$75, 7, FALSE)</f>
        <v>First Lien</v>
      </c>
      <c r="D85" s="498" t="str">
        <f>VLOOKUP(A85, 'Loan List '!$A$6:$K$82, 11, FALSE)</f>
        <v>FL</v>
      </c>
      <c r="E85" s="497" t="b">
        <f t="shared" si="141"/>
        <v>1</v>
      </c>
      <c r="F85" s="497" t="str">
        <f>VLOOKUP(A85,'Loan List '!$A$6:$L$75, 12, FALSE)</f>
        <v>Professional Services</v>
      </c>
      <c r="G85" s="321"/>
      <c r="H85" s="533">
        <f t="shared" si="142"/>
        <v>308218.27</v>
      </c>
      <c r="I85" s="533">
        <f>VLOOKUP(A85,'Loan List '!$A$6:$L$82, 8, FALSE)</f>
        <v>308218.27</v>
      </c>
      <c r="J85" s="361">
        <v>0</v>
      </c>
      <c r="K85" s="323">
        <f t="shared" si="143"/>
        <v>8.5315216481854155E-4</v>
      </c>
      <c r="L85" s="601">
        <f>VLOOKUP(A85,'Loan List '!$A$6:$BA$82,24, FALSE)</f>
        <v>100</v>
      </c>
      <c r="M85" s="501"/>
      <c r="N85" s="502">
        <f>VLOOKUP(A85,'Loan List '!$A$6:$BA$82,22, FALSE)</f>
        <v>45961</v>
      </c>
      <c r="O85" s="602">
        <f t="shared" si="144"/>
        <v>308218.27</v>
      </c>
      <c r="P85" s="327">
        <f t="shared" si="145"/>
        <v>1</v>
      </c>
      <c r="Q85" s="487" t="s">
        <v>451</v>
      </c>
      <c r="R85" s="488" t="s">
        <v>38</v>
      </c>
      <c r="S85" s="327" t="b">
        <f t="shared" si="146"/>
        <v>1</v>
      </c>
      <c r="T85" s="327">
        <f>VLOOKUP(A85,'Loan List '!$A$6:$BD$1048576,56,FALSE)/100</f>
        <v>1</v>
      </c>
      <c r="U85" s="535">
        <f t="shared" si="147"/>
        <v>308218.27</v>
      </c>
      <c r="V85" s="503">
        <f>VLOOKUP(A85,'Loan List '!$A$6:$BA$82,26, FALSE)</f>
        <v>0</v>
      </c>
      <c r="W85" s="350">
        <f t="shared" si="148"/>
        <v>0</v>
      </c>
      <c r="X85" s="326"/>
      <c r="Y85" s="504">
        <f>VLOOKUP(A85,'Loan List '!$A$6:$BA$75,27, FALSE)</f>
        <v>0</v>
      </c>
      <c r="Z85" s="438"/>
      <c r="AA85" s="330"/>
      <c r="AB85" s="333">
        <f t="shared" si="149"/>
        <v>7.2597833393654061E-3</v>
      </c>
      <c r="AC85" s="333">
        <f t="shared" si="150"/>
        <v>4.0730778256498778E-4</v>
      </c>
      <c r="AD85" s="331">
        <f t="shared" si="151"/>
        <v>0</v>
      </c>
      <c r="AE85" s="320" t="str">
        <f t="shared" si="152"/>
        <v>Class 2</v>
      </c>
      <c r="AF85" s="649">
        <f t="shared" si="96"/>
        <v>5.5</v>
      </c>
      <c r="AG85" s="649">
        <f t="shared" si="153"/>
        <v>6.5</v>
      </c>
      <c r="AH85" s="332">
        <f t="shared" si="154"/>
        <v>0.64634668655444283</v>
      </c>
      <c r="AI85" s="332">
        <f t="shared" si="155"/>
        <v>0.11751757937353506</v>
      </c>
      <c r="AJ85" s="332">
        <f t="shared" si="97"/>
        <v>0.67500000000000004</v>
      </c>
      <c r="AK85" s="332">
        <f t="shared" si="98"/>
        <v>0.35</v>
      </c>
      <c r="AL85" s="332">
        <f t="shared" si="156"/>
        <v>0.4774151662049862</v>
      </c>
      <c r="AM85" s="333">
        <f ca="1">'Diversity Score'!$E$7</f>
        <v>1</v>
      </c>
      <c r="AN85" s="332">
        <f t="shared" ca="1" si="157"/>
        <v>0.4774151662049862</v>
      </c>
      <c r="AO85" s="505">
        <f>VLOOKUP(A85,'Loan List '!$A$6:$BA$75,17, FALSE)</f>
        <v>0</v>
      </c>
      <c r="AP85" s="493" t="str">
        <f>VLOOKUP(A85,'Loan List '!$A$6:$BA$795,15, FALSE)</f>
        <v>SOFR</v>
      </c>
      <c r="AQ85" s="494">
        <f>VLOOKUP(A85,'Loan List '!$A$6:$BA$795,16, FALSE)</f>
        <v>0.01</v>
      </c>
      <c r="AR85" s="539">
        <v>0</v>
      </c>
      <c r="AS85" s="539">
        <v>0</v>
      </c>
      <c r="AT85" s="353"/>
      <c r="AU85" s="323">
        <f t="shared" si="158"/>
        <v>0</v>
      </c>
      <c r="AV85" s="323" t="b">
        <f t="shared" si="159"/>
        <v>0</v>
      </c>
      <c r="AW85" s="540" t="b">
        <f t="shared" si="160"/>
        <v>0</v>
      </c>
      <c r="AX85" s="323" t="b">
        <f t="shared" si="161"/>
        <v>0</v>
      </c>
      <c r="AY85" s="353"/>
      <c r="AZ85" s="323" t="b">
        <f t="shared" si="162"/>
        <v>0</v>
      </c>
      <c r="BA85" s="497" t="str">
        <f>'Loan List '!AS74</f>
        <v>Maintenance Covenants</v>
      </c>
      <c r="BB85" s="320" t="b">
        <f t="shared" si="163"/>
        <v>0</v>
      </c>
      <c r="BC85" s="326" t="b">
        <f t="shared" si="164"/>
        <v>1</v>
      </c>
      <c r="BD85" s="320" t="b">
        <f t="shared" si="165"/>
        <v>1</v>
      </c>
      <c r="BE85" s="320" t="b">
        <f t="shared" si="166"/>
        <v>1</v>
      </c>
      <c r="BF85" s="550" t="str">
        <f>'Loan List '!J74</f>
        <v>USD</v>
      </c>
      <c r="BG85" s="497" t="str">
        <f>VLOOKUP(A85,'Loan List '!$A$6:$BZ$75, 23, FALSE)</f>
        <v>USA</v>
      </c>
      <c r="BH85" s="320" t="b">
        <f t="shared" si="167"/>
        <v>0</v>
      </c>
      <c r="BI85" s="320" t="b">
        <f t="shared" si="168"/>
        <v>0</v>
      </c>
      <c r="BJ85" s="320" t="b">
        <f>IF('Loan List '!BP74=1, TRUE, FALSE)</f>
        <v>0</v>
      </c>
      <c r="BK85" s="320" t="b">
        <f t="shared" si="169"/>
        <v>0</v>
      </c>
      <c r="BL85" s="541" t="b">
        <f t="shared" si="170"/>
        <v>0</v>
      </c>
      <c r="BM85" s="320" t="b">
        <f>IF('Loan List '!AT74="Yes", TRUE, FALSE)</f>
        <v>0</v>
      </c>
      <c r="BN85" s="336">
        <f t="shared" ca="1" si="171"/>
        <v>0.26849315068493151</v>
      </c>
      <c r="BO85" s="337">
        <f ca="1">'Concentration Limitations'!H80</f>
        <v>308218.27</v>
      </c>
      <c r="BP85" s="338">
        <f t="shared" ca="1" si="172"/>
        <v>147148.07659946333</v>
      </c>
      <c r="BQ85" s="442"/>
      <c r="BR85" s="443"/>
      <c r="BS85" s="542">
        <f>'Loan List '!AG74</f>
        <v>45777</v>
      </c>
      <c r="BT85" s="650">
        <f>'Loan List '!AO74</f>
        <v>0.96517386815071482</v>
      </c>
      <c r="BU85" s="650">
        <f>'Loan List '!AI74</f>
        <v>8.5093651973672273</v>
      </c>
      <c r="BW85" s="377">
        <v>0</v>
      </c>
      <c r="BX85" s="492" t="s">
        <v>1217</v>
      </c>
      <c r="BY85" s="490">
        <f>'Loan List '!AJ74</f>
        <v>55.150999999999996</v>
      </c>
      <c r="BZ85" s="490">
        <f>'Loan List '!AL74</f>
        <v>0</v>
      </c>
      <c r="CA85" s="377">
        <v>0</v>
      </c>
      <c r="CB85" s="377">
        <v>0</v>
      </c>
      <c r="CC85" s="545" t="s">
        <v>146</v>
      </c>
      <c r="CD85" s="546" t="s">
        <v>146</v>
      </c>
      <c r="CE85" s="378" t="s">
        <v>1217</v>
      </c>
      <c r="CF85" s="491">
        <f>'Loan List '!AC74</f>
        <v>2.7285316602756509</v>
      </c>
      <c r="CG85" s="491">
        <f>'Loan List '!AD74</f>
        <v>4.2046921607158856</v>
      </c>
      <c r="CH85" s="491"/>
      <c r="CI85" s="377">
        <v>0</v>
      </c>
      <c r="CJ85" s="492" t="s">
        <v>1217</v>
      </c>
      <c r="CK85" s="491">
        <f>'Loan List '!AB74</f>
        <v>73.041018999999991</v>
      </c>
      <c r="CL85" s="495">
        <f>'Loan List '!AE75</f>
        <v>0</v>
      </c>
      <c r="CM85" s="377">
        <v>0</v>
      </c>
      <c r="CN85" s="377">
        <v>0</v>
      </c>
      <c r="CO85" s="377" t="s">
        <v>146</v>
      </c>
      <c r="CP85" s="547" t="s">
        <v>146</v>
      </c>
      <c r="CQ85" s="345">
        <f t="shared" si="91"/>
        <v>-0.6462662016341757</v>
      </c>
      <c r="CR85" s="346">
        <f t="shared" si="92"/>
        <v>1.023778405674872</v>
      </c>
      <c r="CS85" s="347">
        <f t="shared" si="173"/>
        <v>4.3046730366513417</v>
      </c>
      <c r="CT85" s="485">
        <f t="shared" si="174"/>
        <v>-0.24493112561860608</v>
      </c>
      <c r="CU85" s="348">
        <f>IF(OR($CQ85&lt;'Summary '!$I$47,$BT85&lt;'Summary '!$I$46),1,0)</f>
        <v>1</v>
      </c>
      <c r="CV85" s="348">
        <f>IF(OR($CS85&gt;='Summary '!$I$50, (AND(BU85&gt;'Summary '!$I$52, Calcs!CR85&gt; 'Summary '!$I$51))),1,0)</f>
        <v>1</v>
      </c>
      <c r="CW85" s="348">
        <f t="shared" si="175"/>
        <v>1</v>
      </c>
      <c r="CX85" s="447" t="s">
        <v>122</v>
      </c>
      <c r="CY85" s="447" t="s">
        <v>122</v>
      </c>
      <c r="CZ85" t="s">
        <v>122</v>
      </c>
      <c r="DA85" s="352"/>
      <c r="DD85" s="258">
        <v>0</v>
      </c>
      <c r="DE85" s="258">
        <v>0</v>
      </c>
      <c r="DF85" s="277"/>
      <c r="DI85" s="551" t="str">
        <f t="shared" si="176"/>
        <v>Eligible</v>
      </c>
      <c r="DJ85" s="423" t="str">
        <f t="shared" si="177"/>
        <v>Eligible</v>
      </c>
      <c r="DK85" s="549" t="s">
        <v>1271</v>
      </c>
      <c r="DL85" s="549" t="s">
        <v>1271</v>
      </c>
      <c r="DM85" s="423" t="str">
        <f t="shared" si="178"/>
        <v>Eligible</v>
      </c>
      <c r="DN85" s="423" t="str">
        <f t="shared" si="179"/>
        <v>Not PIK</v>
      </c>
      <c r="DO85" s="424" t="s">
        <v>122</v>
      </c>
      <c r="DP85" s="423" t="str">
        <f t="shared" si="180"/>
        <v>YES</v>
      </c>
    </row>
    <row r="86" spans="1:120" ht="16.5">
      <c r="A86" s="647" t="s">
        <v>1373</v>
      </c>
      <c r="B86" s="36">
        <f>IFERROR(VLOOKUP(A86,'Loan List '!$A$6:$BZ$75,2,FALSE),NA)</f>
        <v>0</v>
      </c>
      <c r="C86" s="498" t="str">
        <f>VLOOKUP(A86,'Loan List '!$A$6:$G$75, 7, FALSE)</f>
        <v>First Lien</v>
      </c>
      <c r="D86" s="498" t="str">
        <f>VLOOKUP(A86, 'Loan List '!$A$6:$K$82, 11, FALSE)</f>
        <v>FL</v>
      </c>
      <c r="E86" s="497" t="b">
        <f t="shared" ref="E86:E88" si="181">IF(DP86= "YES", TRUE, FALSE)</f>
        <v>1</v>
      </c>
      <c r="F86" s="497" t="str">
        <f>VLOOKUP(A86,'Loan List '!$A$6:$L$75, 12, FALSE)</f>
        <v>Diversified Consumer Services</v>
      </c>
      <c r="G86" s="321"/>
      <c r="H86" s="533">
        <f t="shared" ref="H86:H88" si="182">+I86</f>
        <v>5970000</v>
      </c>
      <c r="I86" s="533">
        <f>VLOOKUP(A86,'Loan List '!$A$6:$L$82, 8, FALSE)</f>
        <v>5970000</v>
      </c>
      <c r="J86" s="361">
        <v>0</v>
      </c>
      <c r="K86" s="323">
        <f t="shared" ref="K86:K88" si="183">I86/$I$15</f>
        <v>1.6525037350857537E-2</v>
      </c>
      <c r="L86" s="601">
        <f>VLOOKUP(A86,'Loan List '!$A$6:$BA$82,24, FALSE)</f>
        <v>100</v>
      </c>
      <c r="M86" s="501"/>
      <c r="N86" s="502">
        <f>VLOOKUP(A86,'Loan List '!$A$6:$BA$82,22, FALSE)</f>
        <v>47844</v>
      </c>
      <c r="O86" s="602">
        <f t="shared" ref="O86:O88" si="184">IFERROR(MAX(0,I86-J86)*L86,"")/100</f>
        <v>5970000</v>
      </c>
      <c r="P86" s="327">
        <f t="shared" ref="P86:P88" si="185">MIN(IF(AND(L86&gt;=97%,Q86="Primary"),100%,L86),T86)</f>
        <v>1</v>
      </c>
      <c r="Q86" s="487" t="s">
        <v>451</v>
      </c>
      <c r="R86" s="488" t="s">
        <v>38</v>
      </c>
      <c r="S86" s="327" t="b">
        <f t="shared" ref="S86:S88" si="186">IF(OR(CU86=1,CV86=1,CW86=1),TRUE,FALSE)</f>
        <v>1</v>
      </c>
      <c r="T86" s="327">
        <f>VLOOKUP(A86,'Loan List '!$A$6:$BD$1048576,56,FALSE)/100</f>
        <v>1</v>
      </c>
      <c r="U86" s="535">
        <f t="shared" ref="U86:U88" si="187">IF(E86=TRUE,P86*I86,0)</f>
        <v>5970000</v>
      </c>
      <c r="V86" s="503">
        <f>VLOOKUP(A86,'Loan List '!$A$6:$BA$82,26, FALSE)</f>
        <v>0</v>
      </c>
      <c r="W86" s="350">
        <f t="shared" ref="W86:W88" si="188">V86*I86</f>
        <v>0</v>
      </c>
      <c r="X86" s="326"/>
      <c r="Y86" s="504">
        <f>VLOOKUP(A86,'Loan List '!$A$6:$BA$75,27, FALSE)</f>
        <v>0</v>
      </c>
      <c r="Z86" s="438"/>
      <c r="AA86" s="330"/>
      <c r="AB86" s="333">
        <f t="shared" ref="AB86:AB88" si="189">K86*BU86</f>
        <v>5.763416705774925E-2</v>
      </c>
      <c r="AC86" s="333">
        <f t="shared" ref="AC86:AC88" si="190">K86*AL86</f>
        <v>1.0741274278057399E-2</v>
      </c>
      <c r="AD86" s="331">
        <f t="shared" ref="AD86:AD88" si="191">BW86</f>
        <v>0</v>
      </c>
      <c r="AE86" s="320" t="str">
        <f t="shared" ref="AE86:AE88" si="192">IF(CK86&gt;=$C$5,"Class 1",IF(CK86&gt;=$D$5,"Class 2",IF(CK86&gt;=$E$5,"Class 3","Class 4")))</f>
        <v>Class 3</v>
      </c>
      <c r="AF86" s="649">
        <f t="shared" si="96"/>
        <v>5</v>
      </c>
      <c r="AG86" s="649">
        <f t="shared" ref="AG86:AG88" si="193">IF(BB86,1,0)+HLOOKUP($AE86,$B$3:$F$10,5,0)</f>
        <v>6</v>
      </c>
      <c r="AH86" s="332">
        <f t="shared" ref="AH86:AH88" si="194">MIN(AF86/BU86,1)</f>
        <v>1</v>
      </c>
      <c r="AI86" s="332">
        <f t="shared" ref="AI86:AI88" si="195">IF(BU86&gt;AG86,(AG86-AF86)/BU86,1-AH86)</f>
        <v>0</v>
      </c>
      <c r="AJ86" s="332">
        <f t="shared" si="97"/>
        <v>0.65</v>
      </c>
      <c r="AK86" s="332">
        <f t="shared" si="98"/>
        <v>0.35</v>
      </c>
      <c r="AL86" s="332">
        <f t="shared" ref="AL86:AL88" si="196">IF(OR(BI86, AND(BH86,AD86&gt;1)), HLOOKUP(AE86,$B$3:$F$10,8,0),AH86*AJ86+AI86*AK86)</f>
        <v>0.65</v>
      </c>
      <c r="AM86" s="333">
        <f ca="1">'Diversity Score'!$E$7</f>
        <v>1</v>
      </c>
      <c r="AN86" s="332">
        <f t="shared" ref="AN86:AN88" ca="1" si="197">AM86*AL86</f>
        <v>0.65</v>
      </c>
      <c r="AO86" s="505">
        <f>VLOOKUP(A86,'Loan List '!$A$6:$BA$75,17, FALSE)</f>
        <v>0.05</v>
      </c>
      <c r="AP86" s="493" t="str">
        <f>VLOOKUP(A86,'Loan List '!$A$6:$BA$795,15, FALSE)</f>
        <v>SOFR</v>
      </c>
      <c r="AQ86" s="494">
        <f>VLOOKUP(A86,'Loan List '!$A$6:$BA$795,16, FALSE)</f>
        <v>0.01</v>
      </c>
      <c r="AR86" s="539">
        <v>0</v>
      </c>
      <c r="AS86" s="539">
        <v>0</v>
      </c>
      <c r="AT86" s="353"/>
      <c r="AU86" s="323">
        <f t="shared" ref="AU86:AU88" si="198">AO86-AS86</f>
        <v>0.05</v>
      </c>
      <c r="AV86" s="323" t="b">
        <f t="shared" ref="AV86:AV88" si="199">IF(AND(AS86&gt;0%,AU86&gt;4.5%),TRUE,FALSE)</f>
        <v>0</v>
      </c>
      <c r="AW86" s="540" t="b">
        <f t="shared" ref="AW86:AW88" si="200">IF(AND(AS86&gt;0%,AU86&gt;=2.25%, AV86=FALSE),TRUE,FALSE)</f>
        <v>0</v>
      </c>
      <c r="AX86" s="323" t="b">
        <f t="shared" ref="AX86:AX88" si="201">IF(AND(AS86&gt;0%,AW86=FALSE, AV86=FALSE),TRUE, FALSE)</f>
        <v>0</v>
      </c>
      <c r="AY86" s="353"/>
      <c r="AZ86" s="323" t="b">
        <f t="shared" ref="AZ86:AZ88" si="202">(OR(CC86&lt;&gt;"NR",CD86&lt;&gt;"NR"))</f>
        <v>0</v>
      </c>
      <c r="BA86" s="497" t="str">
        <f>'Loan List '!AS75</f>
        <v>Maintenance Covenants</v>
      </c>
      <c r="BB86" s="320" t="b">
        <f t="shared" ref="BB86:BB88" si="203">IF(D86="FL",FALSE,TRUE)</f>
        <v>0</v>
      </c>
      <c r="BC86" s="326" t="b">
        <f t="shared" ref="BC86:BC88" si="204">IF(BU86&gt;5.5, TRUE, FALSE)</f>
        <v>0</v>
      </c>
      <c r="BD86" s="320" t="b">
        <f t="shared" ref="BD86:BD88" si="205">IF(BF86="USD", TRUE,FALSE)</f>
        <v>1</v>
      </c>
      <c r="BE86" s="320" t="b">
        <f t="shared" ref="BE86:BE88" si="206">IF(BG86="USA",TRUE,FALSE)</f>
        <v>1</v>
      </c>
      <c r="BF86" s="550" t="str">
        <f>'Loan List '!J75</f>
        <v>USD</v>
      </c>
      <c r="BG86" s="497" t="str">
        <f>VLOOKUP(A86,'Loan List '!$A$6:$BZ$75, 23, FALSE)</f>
        <v>USA</v>
      </c>
      <c r="BH86" s="320" t="b">
        <f t="shared" ref="BH86:BH88" si="207">IF(D86="FLLO", TRUE,FALSE)</f>
        <v>0</v>
      </c>
      <c r="BI86" s="320" t="b">
        <f t="shared" ref="BI86:BI88" si="208">IF(C86="Second Lien",TRUE,FALSE)</f>
        <v>0</v>
      </c>
      <c r="BJ86" s="320" t="b">
        <f>IF('Loan List '!BP75=1, TRUE, FALSE)</f>
        <v>0</v>
      </c>
      <c r="BK86" s="320" t="b">
        <f t="shared" ref="BK86:BK88" si="209">IF(AR86&gt;0%,TRUE,FALSE)</f>
        <v>0</v>
      </c>
      <c r="BL86" s="541" t="b">
        <f t="shared" ref="BL86:BL88" si="210">OR(LEFT(CC86,1)="C", LEFT(CD86,1)="C")</f>
        <v>0</v>
      </c>
      <c r="BM86" s="320" t="b">
        <f>IF('Loan List '!AT75="Yes", TRUE, FALSE)</f>
        <v>0</v>
      </c>
      <c r="BN86" s="336">
        <f t="shared" ref="BN86:BN88" ca="1" si="211">-($BN$15-N86)/365</f>
        <v>5.4273972602739722</v>
      </c>
      <c r="BO86" s="337">
        <f ca="1">'Concentration Limitations'!H81</f>
        <v>5970000</v>
      </c>
      <c r="BP86" s="338">
        <f t="shared" ref="BP86:BP88" ca="1" si="212">IF(R86=$T$13,0,BO86*AL86)</f>
        <v>3880500</v>
      </c>
      <c r="BQ86" s="442"/>
      <c r="BR86" s="443"/>
      <c r="BS86" s="542">
        <f>'Loan List '!AG75</f>
        <v>45747</v>
      </c>
      <c r="BT86" s="650">
        <f>'Loan List '!AO75</f>
        <v>1</v>
      </c>
      <c r="BU86" s="650">
        <f>'Loan List '!AI75</f>
        <v>3.487687551566014</v>
      </c>
      <c r="BW86" s="377">
        <v>0</v>
      </c>
      <c r="BX86" s="492" t="s">
        <v>1217</v>
      </c>
      <c r="BY86" s="490">
        <f>'Loan List '!AJ75</f>
        <v>11.396799</v>
      </c>
      <c r="BZ86" s="490">
        <f>'Loan List '!AL75</f>
        <v>0</v>
      </c>
      <c r="CA86" s="377">
        <v>0</v>
      </c>
      <c r="CB86" s="377">
        <v>0</v>
      </c>
      <c r="CC86" s="545" t="s">
        <v>146</v>
      </c>
      <c r="CD86" s="546" t="s">
        <v>146</v>
      </c>
      <c r="CE86" s="378" t="s">
        <v>1217</v>
      </c>
      <c r="CF86" s="491">
        <f>'Loan List '!AC75</f>
        <v>2.5172254554083073</v>
      </c>
      <c r="CG86" s="491">
        <f>'Loan List '!AD75</f>
        <v>3.88</v>
      </c>
      <c r="CH86" s="491"/>
      <c r="CI86" s="377">
        <v>0</v>
      </c>
      <c r="CJ86" s="492" t="s">
        <v>1217</v>
      </c>
      <c r="CK86" s="491">
        <f>'Loan List '!AB75</f>
        <v>10.6</v>
      </c>
      <c r="CL86" s="495">
        <f>'Loan List '!AE76</f>
        <v>0</v>
      </c>
      <c r="CM86" s="377">
        <v>0</v>
      </c>
      <c r="CN86" s="377">
        <v>0</v>
      </c>
      <c r="CO86" s="377" t="s">
        <v>146</v>
      </c>
      <c r="CP86" s="547" t="s">
        <v>146</v>
      </c>
      <c r="CQ86" s="345">
        <f t="shared" si="91"/>
        <v>-0.60273721296935057</v>
      </c>
      <c r="CR86" s="346">
        <f t="shared" si="92"/>
        <v>-0.10111145578195514</v>
      </c>
      <c r="CS86" s="347">
        <f t="shared" ref="CS86:CS88" si="213">BU86-CG86</f>
        <v>-0.39231244843398594</v>
      </c>
      <c r="CT86" s="485">
        <f t="shared" ref="CT86:CT88" si="214">(BY86/CK86)-1</f>
        <v>7.5169716981132062E-2</v>
      </c>
      <c r="CU86" s="348">
        <f>IF(OR($CQ86&lt;'Summary '!$I$47,$BT86&lt;'Summary '!$I$46),1,0)</f>
        <v>1</v>
      </c>
      <c r="CV86" s="348">
        <f>IF(OR($CS86&gt;='Summary '!$I$50, (AND(BU86&gt;'Summary '!$I$52, Calcs!CR86&gt; 'Summary '!$I$51))),1,0)</f>
        <v>0</v>
      </c>
      <c r="CW86" s="348">
        <f t="shared" ref="CW86:CW88" si="215">IF(OR(SUM(CU86:CV86)&gt;=1,CX86="Yes"),1,0)</f>
        <v>1</v>
      </c>
      <c r="CX86" s="447" t="s">
        <v>122</v>
      </c>
      <c r="CY86" s="447" t="s">
        <v>122</v>
      </c>
      <c r="CZ86" t="s">
        <v>122</v>
      </c>
      <c r="DA86" s="352"/>
      <c r="DD86" s="258">
        <v>0</v>
      </c>
      <c r="DE86" s="258">
        <v>0</v>
      </c>
      <c r="DF86" s="277"/>
      <c r="DI86" s="551" t="str">
        <f t="shared" ref="DI86:DI88" si="216">IF(L86&lt;90%,"Not Eligible","Eligible")</f>
        <v>Eligible</v>
      </c>
      <c r="DJ86" s="423" t="str">
        <f t="shared" ref="DJ86:DJ88" si="217">IF(OR(BF86="USD",BF86="CAD",BF86="EUR",BF86="GBP",BF86="AUD"),"Eligible","Not Eligible")</f>
        <v>Eligible</v>
      </c>
      <c r="DK86" s="549" t="s">
        <v>1271</v>
      </c>
      <c r="DL86" s="549" t="s">
        <v>1271</v>
      </c>
      <c r="DM86" s="423" t="str">
        <f t="shared" ref="DM86:DM88" si="218">IF(BM86="FALSE",IF(BY86&lt;5,"Not Eligible","Eligible"),"Eligible")</f>
        <v>Eligible</v>
      </c>
      <c r="DN86" s="423" t="str">
        <f t="shared" ref="DN86:DN88" si="219">IF(AW86=TRUE,IF(AU86&gt;=3%,"Eligible","Not Eligible"),"Not PIK")</f>
        <v>Not PIK</v>
      </c>
      <c r="DO86" s="424" t="s">
        <v>122</v>
      </c>
      <c r="DP86" s="423" t="str">
        <f t="shared" ref="DP86:DP88" si="220">IF(OR(DK86="Not Eligible",DL86="Not Eligible",DI86="Not Eligible",DJ86="Not Eligible",DM86="Not Eligible",DN86="Not Eligible",DO86="Yes"),"NO","YES")</f>
        <v>YES</v>
      </c>
    </row>
    <row r="87" spans="1:120" ht="16.5">
      <c r="A87" s="647" t="s">
        <v>1374</v>
      </c>
      <c r="B87" s="36">
        <f>IFERROR(VLOOKUP(A87,'Loan List '!$A$6:$BZ$78,2,FALSE),NA)</f>
        <v>0</v>
      </c>
      <c r="C87" s="498" t="str">
        <f>VLOOKUP(A87,'Loan List '!$A$6:$G$78, 7, FALSE)</f>
        <v>First Lien</v>
      </c>
      <c r="D87" s="498" t="str">
        <f>VLOOKUP(A87, 'Loan List '!$A$6:$K$82, 11, FALSE)</f>
        <v>FL</v>
      </c>
      <c r="E87" s="497" t="b">
        <f t="shared" si="181"/>
        <v>1</v>
      </c>
      <c r="F87" s="497" t="str">
        <f>VLOOKUP(A87,'Loan List '!$A$6:$L$78, 12, FALSE)</f>
        <v>Professional Services</v>
      </c>
      <c r="G87" s="321"/>
      <c r="H87" s="533">
        <f t="shared" si="182"/>
        <v>5985000</v>
      </c>
      <c r="I87" s="533">
        <f>VLOOKUP(A87,'Loan List '!$A$6:$L$82, 8, FALSE)</f>
        <v>5985000</v>
      </c>
      <c r="J87" s="361">
        <v>0</v>
      </c>
      <c r="K87" s="323">
        <f t="shared" si="183"/>
        <v>1.6566557545206424E-2</v>
      </c>
      <c r="L87" s="601">
        <f>VLOOKUP(A87,'Loan List '!$A$6:$BA$82,24, FALSE)</f>
        <v>100</v>
      </c>
      <c r="M87" s="501"/>
      <c r="N87" s="502">
        <f>VLOOKUP(A87,'Loan List '!$A$6:$BA$82,22, FALSE)</f>
        <v>48213</v>
      </c>
      <c r="O87" s="602">
        <f t="shared" si="184"/>
        <v>5985000</v>
      </c>
      <c r="P87" s="327">
        <f t="shared" si="185"/>
        <v>1</v>
      </c>
      <c r="Q87" s="487" t="s">
        <v>451</v>
      </c>
      <c r="R87" s="488" t="s">
        <v>38</v>
      </c>
      <c r="S87" s="327" t="b">
        <f t="shared" si="186"/>
        <v>1</v>
      </c>
      <c r="T87" s="327">
        <f>VLOOKUP(A87,'Loan List '!$A$6:$BD$1048576,56,FALSE)/100</f>
        <v>1</v>
      </c>
      <c r="U87" s="535">
        <f t="shared" si="187"/>
        <v>5985000</v>
      </c>
      <c r="V87" s="503">
        <f>VLOOKUP(A87,'Loan List '!$A$6:$BA$82,26, FALSE)</f>
        <v>0</v>
      </c>
      <c r="W87" s="350">
        <f t="shared" si="188"/>
        <v>0</v>
      </c>
      <c r="X87" s="326"/>
      <c r="Y87" s="504">
        <f>VLOOKUP(A87,'Loan List '!$A$6:$BA$78,27, FALSE)</f>
        <v>0</v>
      </c>
      <c r="Z87" s="438"/>
      <c r="AA87" s="330"/>
      <c r="AB87" s="333">
        <f t="shared" si="189"/>
        <v>2.574679652372144E-2</v>
      </c>
      <c r="AC87" s="333">
        <f t="shared" si="190"/>
        <v>1.1596590281644496E-2</v>
      </c>
      <c r="AD87" s="331">
        <f t="shared" si="191"/>
        <v>0</v>
      </c>
      <c r="AE87" s="320" t="str">
        <f t="shared" si="192"/>
        <v>Class 1</v>
      </c>
      <c r="AF87" s="649">
        <f t="shared" si="96"/>
        <v>6</v>
      </c>
      <c r="AG87" s="649">
        <f t="shared" si="193"/>
        <v>7</v>
      </c>
      <c r="AH87" s="332">
        <f t="shared" si="194"/>
        <v>1</v>
      </c>
      <c r="AI87" s="332">
        <f t="shared" si="195"/>
        <v>0</v>
      </c>
      <c r="AJ87" s="332">
        <f t="shared" si="97"/>
        <v>0.7</v>
      </c>
      <c r="AK87" s="332">
        <f t="shared" si="98"/>
        <v>0.4</v>
      </c>
      <c r="AL87" s="332">
        <f t="shared" si="196"/>
        <v>0.7</v>
      </c>
      <c r="AM87" s="333">
        <f ca="1">'Diversity Score'!$E$7</f>
        <v>1</v>
      </c>
      <c r="AN87" s="332">
        <f t="shared" ca="1" si="197"/>
        <v>0.7</v>
      </c>
      <c r="AO87" s="505">
        <f>VLOOKUP(A87,'Loan List '!$A$6:$BA$78,17, FALSE)</f>
        <v>5.7500000000000002E-2</v>
      </c>
      <c r="AP87" s="493" t="str">
        <f>VLOOKUP(A87,'Loan List '!$A$6:$BA$795,15, FALSE)</f>
        <v>SOFR</v>
      </c>
      <c r="AQ87" s="494">
        <f>VLOOKUP(A87,'Loan List '!$A$6:$BA$795,16, FALSE)</f>
        <v>0.01</v>
      </c>
      <c r="AR87" s="539">
        <v>0</v>
      </c>
      <c r="AS87" s="539">
        <v>0</v>
      </c>
      <c r="AT87" s="353"/>
      <c r="AU87" s="323">
        <f t="shared" si="198"/>
        <v>5.7500000000000002E-2</v>
      </c>
      <c r="AV87" s="323" t="b">
        <f t="shared" si="199"/>
        <v>0</v>
      </c>
      <c r="AW87" s="540" t="b">
        <f t="shared" si="200"/>
        <v>0</v>
      </c>
      <c r="AX87" s="323" t="b">
        <f t="shared" si="201"/>
        <v>0</v>
      </c>
      <c r="AY87" s="353"/>
      <c r="AZ87" s="323" t="b">
        <f t="shared" si="202"/>
        <v>0</v>
      </c>
      <c r="BA87" s="497" t="str">
        <f>'Loan List '!AS76</f>
        <v>Maintenance Covenants</v>
      </c>
      <c r="BB87" s="320" t="b">
        <f t="shared" si="203"/>
        <v>0</v>
      </c>
      <c r="BC87" s="326" t="b">
        <f t="shared" si="204"/>
        <v>0</v>
      </c>
      <c r="BD87" s="320" t="b">
        <f t="shared" si="205"/>
        <v>1</v>
      </c>
      <c r="BE87" s="320" t="b">
        <f t="shared" si="206"/>
        <v>1</v>
      </c>
      <c r="BF87" s="550" t="str">
        <f>'Loan List '!J76</f>
        <v>USD</v>
      </c>
      <c r="BG87" s="497" t="str">
        <f>VLOOKUP(A87,'Loan List '!$A$6:$BZ$78, 23, FALSE)</f>
        <v>USA</v>
      </c>
      <c r="BH87" s="320" t="b">
        <f t="shared" si="207"/>
        <v>0</v>
      </c>
      <c r="BI87" s="320" t="b">
        <f t="shared" si="208"/>
        <v>0</v>
      </c>
      <c r="BJ87" s="320" t="b">
        <f>IF('Loan List '!BP76=1, TRUE, FALSE)</f>
        <v>0</v>
      </c>
      <c r="BK87" s="320" t="b">
        <f t="shared" si="209"/>
        <v>0</v>
      </c>
      <c r="BL87" s="541" t="b">
        <f t="shared" si="210"/>
        <v>0</v>
      </c>
      <c r="BM87" s="320" t="b">
        <f>IF('Loan List '!AT76="Yes", TRUE, FALSE)</f>
        <v>0</v>
      </c>
      <c r="BN87" s="336">
        <f t="shared" ca="1" si="211"/>
        <v>6.4383561643835616</v>
      </c>
      <c r="BO87" s="337">
        <f ca="1">'Concentration Limitations'!H82</f>
        <v>5985000</v>
      </c>
      <c r="BP87" s="338">
        <f t="shared" ca="1" si="212"/>
        <v>4189499.9999999995</v>
      </c>
      <c r="BQ87" s="442"/>
      <c r="BR87" s="443"/>
      <c r="BS87" s="542">
        <f>'Loan List '!AG76</f>
        <v>45747</v>
      </c>
      <c r="BT87" s="650">
        <f>'Loan List '!AO76</f>
        <v>1</v>
      </c>
      <c r="BU87" s="650">
        <f>'Loan List '!AI76</f>
        <v>1.5541428237860642</v>
      </c>
      <c r="BW87" s="377">
        <v>0</v>
      </c>
      <c r="BX87" s="492" t="s">
        <v>1217</v>
      </c>
      <c r="BY87" s="490">
        <f>'Loan List '!AJ76</f>
        <v>127.73665133065496</v>
      </c>
      <c r="BZ87" s="490">
        <f>'Loan List '!AL76</f>
        <v>0</v>
      </c>
      <c r="CA87" s="377">
        <v>0</v>
      </c>
      <c r="CB87" s="377">
        <v>0</v>
      </c>
      <c r="CC87" s="545" t="s">
        <v>146</v>
      </c>
      <c r="CD87" s="546" t="s">
        <v>146</v>
      </c>
      <c r="CE87" s="378" t="s">
        <v>1217</v>
      </c>
      <c r="CF87" s="491">
        <f>'Loan List '!AC76</f>
        <v>3.0027932960893855</v>
      </c>
      <c r="CG87" s="491">
        <f>'Loan List '!AD76</f>
        <v>2.79</v>
      </c>
      <c r="CH87" s="491"/>
      <c r="CI87" s="377">
        <v>0</v>
      </c>
      <c r="CJ87" s="492" t="s">
        <v>1217</v>
      </c>
      <c r="CK87" s="491">
        <f>'Loan List '!AB76</f>
        <v>107.5</v>
      </c>
      <c r="CL87" s="495">
        <f>'Loan List '!AE77</f>
        <v>0</v>
      </c>
      <c r="CM87" s="377">
        <v>0</v>
      </c>
      <c r="CN87" s="377">
        <v>0</v>
      </c>
      <c r="CO87" s="377" t="s">
        <v>146</v>
      </c>
      <c r="CP87" s="547" t="s">
        <v>146</v>
      </c>
      <c r="CQ87" s="345">
        <f t="shared" si="91"/>
        <v>-0.66697674418604647</v>
      </c>
      <c r="CR87" s="346">
        <f t="shared" si="92"/>
        <v>-0.4429595613670021</v>
      </c>
      <c r="CS87" s="347">
        <f t="shared" si="213"/>
        <v>-1.2358571762139359</v>
      </c>
      <c r="CT87" s="485">
        <f t="shared" si="214"/>
        <v>0.18824791935493002</v>
      </c>
      <c r="CU87" s="348">
        <f>IF(OR($CQ87&lt;'Summary '!$I$47,$BT87&lt;'Summary '!$I$46),1,0)</f>
        <v>1</v>
      </c>
      <c r="CV87" s="348">
        <f>IF(OR($CS87&gt;='Summary '!$I$50, (AND(BU87&gt;'Summary '!$I$52, Calcs!CR87&gt; 'Summary '!$I$51))),1,0)</f>
        <v>0</v>
      </c>
      <c r="CW87" s="348">
        <f t="shared" si="215"/>
        <v>1</v>
      </c>
      <c r="CX87" s="447" t="s">
        <v>122</v>
      </c>
      <c r="CY87" s="447" t="s">
        <v>122</v>
      </c>
      <c r="CZ87" t="s">
        <v>122</v>
      </c>
      <c r="DA87" s="352"/>
      <c r="DD87" s="258">
        <v>0</v>
      </c>
      <c r="DE87" s="258">
        <v>0</v>
      </c>
      <c r="DF87" s="277"/>
      <c r="DI87" s="551" t="str">
        <f t="shared" si="216"/>
        <v>Eligible</v>
      </c>
      <c r="DJ87" s="423" t="str">
        <f t="shared" si="217"/>
        <v>Eligible</v>
      </c>
      <c r="DK87" s="549" t="s">
        <v>1271</v>
      </c>
      <c r="DL87" s="549" t="s">
        <v>1271</v>
      </c>
      <c r="DM87" s="423" t="str">
        <f t="shared" si="218"/>
        <v>Eligible</v>
      </c>
      <c r="DN87" s="423" t="str">
        <f t="shared" si="219"/>
        <v>Not PIK</v>
      </c>
      <c r="DO87" s="424" t="s">
        <v>122</v>
      </c>
      <c r="DP87" s="423" t="str">
        <f t="shared" si="220"/>
        <v>YES</v>
      </c>
    </row>
    <row r="88" spans="1:120" ht="16.5">
      <c r="A88" s="647" t="s">
        <v>1375</v>
      </c>
      <c r="B88" s="36">
        <f>IFERROR(VLOOKUP(A88,'Loan List '!$A$6:$BZ$78,2,FALSE),NA)</f>
        <v>0</v>
      </c>
      <c r="C88" s="498" t="str">
        <f>VLOOKUP(A88,'Loan List '!$A$6:$G$78, 7, FALSE)</f>
        <v>First Lien</v>
      </c>
      <c r="D88" s="498" t="str">
        <f>VLOOKUP(A88, 'Loan List '!$A$6:$K$82, 11, FALSE)</f>
        <v>FL</v>
      </c>
      <c r="E88" s="497" t="b">
        <f t="shared" si="181"/>
        <v>1</v>
      </c>
      <c r="F88" s="497" t="str">
        <f>VLOOKUP(A88,'Loan List '!$A$6:$L$78, 12, FALSE)</f>
        <v>Professional Services</v>
      </c>
      <c r="G88" s="321"/>
      <c r="H88" s="533">
        <f t="shared" si="182"/>
        <v>10000000</v>
      </c>
      <c r="I88" s="533">
        <f>VLOOKUP(A88,'Loan List '!$A$6:$L$82, 8, FALSE)</f>
        <v>10000000</v>
      </c>
      <c r="J88" s="361">
        <v>0</v>
      </c>
      <c r="K88" s="323">
        <f t="shared" si="183"/>
        <v>2.7680129565925519E-2</v>
      </c>
      <c r="L88" s="601">
        <f>VLOOKUP(A88,'Loan List '!$A$6:$BA$82,24, FALSE)</f>
        <v>100</v>
      </c>
      <c r="M88" s="501"/>
      <c r="N88" s="502">
        <f>VLOOKUP(A88,'Loan List '!$A$6:$BA$82,22, FALSE)</f>
        <v>47865</v>
      </c>
      <c r="O88" s="602">
        <f t="shared" si="184"/>
        <v>10000000</v>
      </c>
      <c r="P88" s="327">
        <f t="shared" si="185"/>
        <v>1</v>
      </c>
      <c r="Q88" s="487" t="s">
        <v>451</v>
      </c>
      <c r="R88" s="488" t="s">
        <v>38</v>
      </c>
      <c r="S88" s="327" t="b">
        <f t="shared" si="186"/>
        <v>1</v>
      </c>
      <c r="T88" s="327">
        <f>VLOOKUP(A88,'Loan List '!$A$6:$BD$1048576,56,FALSE)/100</f>
        <v>1</v>
      </c>
      <c r="U88" s="535">
        <f t="shared" si="187"/>
        <v>10000000</v>
      </c>
      <c r="V88" s="503">
        <f>VLOOKUP(A88,'Loan List '!$A$6:$BA$82,26, FALSE)</f>
        <v>0</v>
      </c>
      <c r="W88" s="350">
        <f t="shared" si="188"/>
        <v>0</v>
      </c>
      <c r="X88" s="326"/>
      <c r="Y88" s="504">
        <f>VLOOKUP(A88,'Loan List '!$A$6:$BA$78,27, FALSE)</f>
        <v>0</v>
      </c>
      <c r="Z88" s="438"/>
      <c r="AA88" s="330"/>
      <c r="AB88" s="333">
        <f t="shared" si="189"/>
        <v>9.4222120720552069E-2</v>
      </c>
      <c r="AC88" s="333">
        <f t="shared" si="190"/>
        <v>1.7992084217851589E-2</v>
      </c>
      <c r="AD88" s="331">
        <f t="shared" si="191"/>
        <v>0</v>
      </c>
      <c r="AE88" s="320" t="str">
        <f t="shared" si="192"/>
        <v>Class 3</v>
      </c>
      <c r="AF88" s="649">
        <f t="shared" si="96"/>
        <v>5</v>
      </c>
      <c r="AG88" s="649">
        <f t="shared" si="193"/>
        <v>6</v>
      </c>
      <c r="AH88" s="332">
        <f t="shared" si="194"/>
        <v>1</v>
      </c>
      <c r="AI88" s="332">
        <f t="shared" si="195"/>
        <v>0</v>
      </c>
      <c r="AJ88" s="332">
        <f t="shared" si="97"/>
        <v>0.65</v>
      </c>
      <c r="AK88" s="332">
        <f t="shared" si="98"/>
        <v>0.35</v>
      </c>
      <c r="AL88" s="332">
        <f t="shared" si="196"/>
        <v>0.65</v>
      </c>
      <c r="AM88" s="333">
        <f ca="1">'Diversity Score'!$E$7</f>
        <v>1</v>
      </c>
      <c r="AN88" s="332">
        <f t="shared" ca="1" si="197"/>
        <v>0.65</v>
      </c>
      <c r="AO88" s="505">
        <f>VLOOKUP(A88,'Loan List '!$A$6:$BA$78,17, FALSE)</f>
        <v>0.05</v>
      </c>
      <c r="AP88" s="493" t="str">
        <f>VLOOKUP(A88,'Loan List '!$A$6:$BA$795,15, FALSE)</f>
        <v>SOFR</v>
      </c>
      <c r="AQ88" s="494">
        <f>VLOOKUP(A88,'Loan List '!$A$6:$BA$795,16, FALSE)</f>
        <v>0.01</v>
      </c>
      <c r="AR88" s="539">
        <v>0</v>
      </c>
      <c r="AS88" s="539">
        <v>0</v>
      </c>
      <c r="AT88" s="353"/>
      <c r="AU88" s="323">
        <f t="shared" si="198"/>
        <v>0.05</v>
      </c>
      <c r="AV88" s="323" t="b">
        <f t="shared" si="199"/>
        <v>0</v>
      </c>
      <c r="AW88" s="540" t="b">
        <f t="shared" si="200"/>
        <v>0</v>
      </c>
      <c r="AX88" s="323" t="b">
        <f t="shared" si="201"/>
        <v>0</v>
      </c>
      <c r="AY88" s="353"/>
      <c r="AZ88" s="323" t="b">
        <f t="shared" si="202"/>
        <v>0</v>
      </c>
      <c r="BA88" s="497" t="str">
        <f>'Loan List '!AS77</f>
        <v>Maintenance Covenants</v>
      </c>
      <c r="BB88" s="320" t="b">
        <f t="shared" si="203"/>
        <v>0</v>
      </c>
      <c r="BC88" s="326" t="b">
        <f t="shared" si="204"/>
        <v>0</v>
      </c>
      <c r="BD88" s="320" t="b">
        <f t="shared" si="205"/>
        <v>1</v>
      </c>
      <c r="BE88" s="320" t="b">
        <f t="shared" si="206"/>
        <v>1</v>
      </c>
      <c r="BF88" s="550" t="str">
        <f>'Loan List '!J77</f>
        <v>USD</v>
      </c>
      <c r="BG88" s="497" t="str">
        <f>VLOOKUP(A88,'Loan List '!$A$6:$BZ$78, 23, FALSE)</f>
        <v>USA</v>
      </c>
      <c r="BH88" s="320" t="b">
        <f t="shared" si="207"/>
        <v>0</v>
      </c>
      <c r="BI88" s="320" t="b">
        <f t="shared" si="208"/>
        <v>0</v>
      </c>
      <c r="BJ88" s="320" t="b">
        <f>IF('Loan List '!BP77=1, TRUE, FALSE)</f>
        <v>0</v>
      </c>
      <c r="BK88" s="320" t="b">
        <f t="shared" si="209"/>
        <v>0</v>
      </c>
      <c r="BL88" s="541" t="b">
        <f t="shared" si="210"/>
        <v>0</v>
      </c>
      <c r="BM88" s="320" t="b">
        <f>IF('Loan List '!AT77="Yes", TRUE, FALSE)</f>
        <v>0</v>
      </c>
      <c r="BN88" s="336">
        <f t="shared" ca="1" si="211"/>
        <v>5.484931506849315</v>
      </c>
      <c r="BO88" s="337">
        <f ca="1">'Concentration Limitations'!H83</f>
        <v>10000000</v>
      </c>
      <c r="BP88" s="338">
        <f t="shared" ca="1" si="212"/>
        <v>6500000</v>
      </c>
      <c r="BQ88" s="442"/>
      <c r="BR88" s="443"/>
      <c r="BS88" s="542">
        <f>'Loan List '!AG77</f>
        <v>45747</v>
      </c>
      <c r="BT88" s="650">
        <f>'Loan List '!AO77</f>
        <v>1</v>
      </c>
      <c r="BU88" s="650">
        <f>'Loan List '!AI77</f>
        <v>3.4039624162937558</v>
      </c>
      <c r="BW88" s="377">
        <v>0</v>
      </c>
      <c r="BX88" s="492" t="s">
        <v>1217</v>
      </c>
      <c r="BY88" s="490">
        <f>'Loan List '!AJ77</f>
        <v>21.486219089819791</v>
      </c>
      <c r="BZ88" s="490">
        <f>'Loan List '!AL77</f>
        <v>0</v>
      </c>
      <c r="CA88" s="377">
        <v>0</v>
      </c>
      <c r="CB88" s="377">
        <v>0</v>
      </c>
      <c r="CC88" s="545" t="s">
        <v>146</v>
      </c>
      <c r="CD88" s="546" t="s">
        <v>146</v>
      </c>
      <c r="CE88" s="378" t="s">
        <v>1217</v>
      </c>
      <c r="CF88" s="491">
        <f>'Loan List '!AC77</f>
        <v>2.037974683544304</v>
      </c>
      <c r="CG88" s="491">
        <f>'Loan List '!AD77</f>
        <v>4.66</v>
      </c>
      <c r="CH88" s="491"/>
      <c r="CI88" s="377">
        <v>0</v>
      </c>
      <c r="CJ88" s="492" t="s">
        <v>1217</v>
      </c>
      <c r="CK88" s="491">
        <f>'Loan List '!AB77</f>
        <v>16.100000000000001</v>
      </c>
      <c r="CL88" s="495">
        <f>'Loan List '!AE78</f>
        <v>0</v>
      </c>
      <c r="CM88" s="377">
        <v>0</v>
      </c>
      <c r="CN88" s="377">
        <v>0</v>
      </c>
      <c r="CO88" s="377" t="s">
        <v>146</v>
      </c>
      <c r="CP88" s="547" t="s">
        <v>146</v>
      </c>
      <c r="CQ88" s="345">
        <f t="shared" si="91"/>
        <v>-0.50931677018633548</v>
      </c>
      <c r="CR88" s="346">
        <f t="shared" si="92"/>
        <v>-0.26953596216872194</v>
      </c>
      <c r="CS88" s="347">
        <f t="shared" si="213"/>
        <v>-1.2560375837062443</v>
      </c>
      <c r="CT88" s="485">
        <f t="shared" si="214"/>
        <v>0.33454776955402421</v>
      </c>
      <c r="CU88" s="348">
        <f>IF(OR($CQ88&lt;'Summary '!$I$47,$BT88&lt;'Summary '!$I$46),1,0)</f>
        <v>1</v>
      </c>
      <c r="CV88" s="348">
        <f>IF(OR($CS88&gt;='Summary '!$I$50, (AND(BU88&gt;'Summary '!$I$52, Calcs!CR88&gt; 'Summary '!$I$51))),1,0)</f>
        <v>0</v>
      </c>
      <c r="CW88" s="348">
        <f t="shared" si="215"/>
        <v>1</v>
      </c>
      <c r="CX88" s="447" t="s">
        <v>122</v>
      </c>
      <c r="CY88" s="447" t="s">
        <v>122</v>
      </c>
      <c r="CZ88" t="s">
        <v>122</v>
      </c>
      <c r="DA88" s="352"/>
      <c r="DD88" s="258">
        <v>0</v>
      </c>
      <c r="DE88" s="258">
        <v>0</v>
      </c>
      <c r="DF88" s="277"/>
      <c r="DI88" s="551" t="str">
        <f t="shared" si="216"/>
        <v>Eligible</v>
      </c>
      <c r="DJ88" s="423" t="str">
        <f t="shared" si="217"/>
        <v>Eligible</v>
      </c>
      <c r="DK88" s="549" t="s">
        <v>1271</v>
      </c>
      <c r="DL88" s="549" t="s">
        <v>1271</v>
      </c>
      <c r="DM88" s="423" t="str">
        <f t="shared" si="218"/>
        <v>Eligible</v>
      </c>
      <c r="DN88" s="423" t="str">
        <f t="shared" si="219"/>
        <v>Not PIK</v>
      </c>
      <c r="DO88" s="424" t="s">
        <v>122</v>
      </c>
      <c r="DP88" s="423" t="str">
        <f t="shared" si="220"/>
        <v>YES</v>
      </c>
    </row>
    <row r="89" spans="1:120" ht="16.5">
      <c r="A89" s="647"/>
      <c r="B89" s="36"/>
      <c r="C89" s="498"/>
      <c r="D89" s="498"/>
      <c r="E89" s="497"/>
      <c r="F89" s="497"/>
      <c r="G89" s="321"/>
      <c r="H89" s="533"/>
      <c r="I89" s="533"/>
      <c r="J89" s="361"/>
      <c r="K89" s="323"/>
      <c r="L89" s="601"/>
      <c r="M89" s="501"/>
      <c r="N89" s="502"/>
      <c r="O89" s="602"/>
      <c r="P89" s="327"/>
      <c r="Q89" s="487"/>
      <c r="R89" s="488"/>
      <c r="S89" s="327"/>
      <c r="T89" s="327"/>
      <c r="U89" s="535"/>
      <c r="V89" s="503"/>
      <c r="W89" s="350"/>
      <c r="X89" s="326"/>
      <c r="Y89" s="504"/>
      <c r="Z89" s="438"/>
      <c r="AA89" s="330"/>
      <c r="AB89" s="333"/>
      <c r="AC89" s="333"/>
      <c r="AD89" s="331"/>
      <c r="AE89" s="320"/>
      <c r="AF89" s="649"/>
      <c r="AG89" s="649"/>
      <c r="AH89" s="332"/>
      <c r="AI89" s="332"/>
      <c r="AJ89" s="332"/>
      <c r="AK89" s="332"/>
      <c r="AL89" s="332"/>
      <c r="AM89" s="333"/>
      <c r="AN89" s="332"/>
      <c r="AO89" s="505"/>
      <c r="AP89" s="493"/>
      <c r="AQ89" s="494"/>
      <c r="AR89" s="539"/>
      <c r="AS89" s="539"/>
      <c r="AT89" s="353"/>
      <c r="AU89" s="323"/>
      <c r="AV89" s="323"/>
      <c r="AW89" s="540"/>
      <c r="AX89" s="323"/>
      <c r="AY89" s="353"/>
      <c r="AZ89" s="323"/>
      <c r="BA89" s="497"/>
      <c r="BB89" s="320"/>
      <c r="BC89" s="326"/>
      <c r="BD89" s="320"/>
      <c r="BE89" s="320"/>
      <c r="BF89" s="550"/>
      <c r="BG89" s="497"/>
      <c r="BH89" s="320"/>
      <c r="BI89" s="320"/>
      <c r="BJ89" s="320"/>
      <c r="BK89" s="320"/>
      <c r="BL89" s="541"/>
      <c r="BM89" s="320"/>
      <c r="BN89" s="336"/>
      <c r="BO89" s="337"/>
      <c r="BP89" s="338"/>
      <c r="BQ89" s="442"/>
      <c r="BR89" s="443"/>
      <c r="BS89" s="542"/>
      <c r="BT89" s="650"/>
      <c r="BU89" s="650"/>
      <c r="BW89" s="377"/>
      <c r="BX89" s="492"/>
      <c r="BY89" s="490"/>
      <c r="BZ89" s="490"/>
      <c r="CA89" s="377"/>
      <c r="CB89" s="377"/>
      <c r="CC89" s="545"/>
      <c r="CD89" s="546"/>
      <c r="CE89" s="378"/>
      <c r="CF89" s="491"/>
      <c r="CG89" s="491"/>
      <c r="CH89" s="491"/>
      <c r="CI89" s="377"/>
      <c r="CJ89" s="492"/>
      <c r="CK89" s="491"/>
      <c r="CL89" s="495"/>
      <c r="CM89" s="377"/>
      <c r="CN89" s="377"/>
      <c r="CO89" s="377"/>
      <c r="CP89" s="547"/>
      <c r="CQ89" s="345"/>
      <c r="CR89" s="346"/>
      <c r="CS89" s="347"/>
      <c r="CT89" s="485"/>
      <c r="CU89" s="348"/>
      <c r="CV89" s="348"/>
      <c r="CW89" s="348"/>
      <c r="CX89" s="447"/>
      <c r="CY89" s="447"/>
      <c r="DA89" s="352"/>
      <c r="DD89" s="258"/>
      <c r="DE89" s="258"/>
      <c r="DF89" s="277"/>
      <c r="DI89" s="551"/>
      <c r="DJ89" s="423"/>
      <c r="DK89" s="549"/>
      <c r="DL89" s="549"/>
      <c r="DM89" s="423"/>
      <c r="DN89" s="423"/>
      <c r="DO89" s="424"/>
      <c r="DP89" s="423"/>
    </row>
    <row r="90" spans="1:120" ht="16.5">
      <c r="A90" s="647"/>
      <c r="B90" s="36"/>
      <c r="C90" s="498"/>
      <c r="D90" s="498"/>
      <c r="E90" s="497"/>
      <c r="F90" s="497"/>
      <c r="G90" s="321"/>
      <c r="H90" s="533"/>
      <c r="I90" s="533"/>
      <c r="J90" s="361"/>
      <c r="K90" s="323"/>
      <c r="L90" s="601"/>
      <c r="M90" s="501"/>
      <c r="N90" s="502"/>
      <c r="O90" s="602"/>
      <c r="P90" s="327"/>
      <c r="Q90" s="487"/>
      <c r="R90" s="488"/>
      <c r="S90" s="327"/>
      <c r="T90" s="327"/>
      <c r="U90" s="535"/>
      <c r="V90" s="503"/>
      <c r="W90" s="350"/>
      <c r="X90" s="326"/>
      <c r="Y90" s="504"/>
      <c r="Z90" s="438"/>
      <c r="AA90" s="330"/>
      <c r="AB90" s="333"/>
      <c r="AC90" s="333"/>
      <c r="AD90" s="331"/>
      <c r="AE90" s="320"/>
      <c r="AF90" s="649"/>
      <c r="AG90" s="649"/>
      <c r="AH90" s="332"/>
      <c r="AI90" s="332"/>
      <c r="AJ90" s="332"/>
      <c r="AK90" s="332"/>
      <c r="AL90" s="332"/>
      <c r="AM90" s="333"/>
      <c r="AN90" s="332"/>
      <c r="AO90" s="505"/>
      <c r="AP90" s="493"/>
      <c r="AQ90" s="494"/>
      <c r="AR90" s="539"/>
      <c r="AS90" s="539"/>
      <c r="AT90" s="353"/>
      <c r="AU90" s="323"/>
      <c r="AV90" s="323"/>
      <c r="AW90" s="540"/>
      <c r="AX90" s="323"/>
      <c r="AY90" s="353"/>
      <c r="AZ90" s="323"/>
      <c r="BA90" s="497"/>
      <c r="BB90" s="320"/>
      <c r="BC90" s="326"/>
      <c r="BD90" s="320"/>
      <c r="BE90" s="320"/>
      <c r="BF90" s="550"/>
      <c r="BG90" s="497"/>
      <c r="BH90" s="320"/>
      <c r="BI90" s="320"/>
      <c r="BJ90" s="320"/>
      <c r="BK90" s="320"/>
      <c r="BL90" s="541"/>
      <c r="BM90" s="320"/>
      <c r="BN90" s="336"/>
      <c r="BO90" s="337"/>
      <c r="BP90" s="338"/>
      <c r="BQ90" s="442"/>
      <c r="BR90" s="443"/>
      <c r="BS90" s="542"/>
      <c r="BT90" s="650"/>
      <c r="BU90" s="650"/>
      <c r="BW90" s="377"/>
      <c r="BX90" s="492"/>
      <c r="BY90" s="490"/>
      <c r="BZ90" s="490"/>
      <c r="CA90" s="377"/>
      <c r="CB90" s="377"/>
      <c r="CC90" s="545"/>
      <c r="CD90" s="546"/>
      <c r="CE90" s="378"/>
      <c r="CF90" s="491"/>
      <c r="CG90" s="491"/>
      <c r="CH90" s="491"/>
      <c r="CI90" s="377"/>
      <c r="CJ90" s="492"/>
      <c r="CK90" s="491"/>
      <c r="CL90" s="495"/>
      <c r="CM90" s="377"/>
      <c r="CN90" s="377"/>
      <c r="CO90" s="377"/>
      <c r="CP90" s="547"/>
      <c r="CQ90" s="345"/>
      <c r="CR90" s="346"/>
      <c r="CS90" s="347"/>
      <c r="CT90" s="485"/>
      <c r="CU90" s="348"/>
      <c r="CV90" s="348"/>
      <c r="CW90" s="348"/>
      <c r="CX90" s="447"/>
      <c r="CY90" s="447"/>
      <c r="DA90" s="352"/>
      <c r="DD90" s="258"/>
      <c r="DE90" s="258"/>
      <c r="DF90" s="277"/>
      <c r="DI90" s="551"/>
      <c r="DJ90" s="423"/>
      <c r="DK90" s="549"/>
      <c r="DL90" s="549"/>
      <c r="DM90" s="423"/>
      <c r="DN90" s="423"/>
      <c r="DO90" s="424"/>
      <c r="DP90" s="423"/>
    </row>
    <row r="91" spans="1:120" ht="16.5">
      <c r="A91" s="647"/>
      <c r="B91" s="36"/>
      <c r="C91" s="498"/>
      <c r="D91" s="498"/>
      <c r="E91" s="497"/>
      <c r="F91" s="497"/>
      <c r="G91" s="321"/>
      <c r="H91" s="533"/>
      <c r="I91" s="533"/>
      <c r="J91" s="361"/>
      <c r="K91" s="323"/>
      <c r="L91" s="601"/>
      <c r="M91" s="501"/>
      <c r="N91" s="502"/>
      <c r="O91" s="602"/>
      <c r="P91" s="327"/>
      <c r="Q91" s="487"/>
      <c r="R91" s="488"/>
      <c r="S91" s="327"/>
      <c r="T91" s="327"/>
      <c r="U91" s="535"/>
      <c r="V91" s="503"/>
      <c r="W91" s="350"/>
      <c r="X91" s="326"/>
      <c r="Y91" s="504"/>
      <c r="Z91" s="438"/>
      <c r="AA91" s="330"/>
      <c r="AB91" s="333"/>
      <c r="AC91" s="333"/>
      <c r="AD91" s="331"/>
      <c r="AE91" s="320"/>
      <c r="AF91" s="649"/>
      <c r="AG91" s="649"/>
      <c r="AH91" s="332"/>
      <c r="AI91" s="332"/>
      <c r="AJ91" s="332"/>
      <c r="AK91" s="332"/>
      <c r="AL91" s="332"/>
      <c r="AM91" s="333"/>
      <c r="AN91" s="332"/>
      <c r="AO91" s="505"/>
      <c r="AP91" s="493"/>
      <c r="AQ91" s="494"/>
      <c r="AR91" s="539"/>
      <c r="AS91" s="539"/>
      <c r="AT91" s="353"/>
      <c r="AU91" s="323"/>
      <c r="AV91" s="323"/>
      <c r="AW91" s="540"/>
      <c r="AX91" s="323"/>
      <c r="AY91" s="353"/>
      <c r="AZ91" s="323"/>
      <c r="BA91" s="497"/>
      <c r="BB91" s="320"/>
      <c r="BC91" s="326"/>
      <c r="BD91" s="320"/>
      <c r="BE91" s="320"/>
      <c r="BF91" s="550"/>
      <c r="BG91" s="497"/>
      <c r="BH91" s="320"/>
      <c r="BI91" s="320"/>
      <c r="BJ91" s="320"/>
      <c r="BK91" s="320"/>
      <c r="BL91" s="541"/>
      <c r="BM91" s="320"/>
      <c r="BN91" s="336"/>
      <c r="BO91" s="337"/>
      <c r="BP91" s="338"/>
      <c r="BQ91" s="442"/>
      <c r="BR91" s="443"/>
      <c r="BS91" s="542"/>
      <c r="BT91" s="650"/>
      <c r="BU91" s="650"/>
      <c r="BW91" s="377"/>
      <c r="BX91" s="492"/>
      <c r="BY91" s="490"/>
      <c r="BZ91" s="490"/>
      <c r="CA91" s="377"/>
      <c r="CB91" s="377"/>
      <c r="CC91" s="545"/>
      <c r="CD91" s="546"/>
      <c r="CE91" s="378"/>
      <c r="CF91" s="491"/>
      <c r="CG91" s="491"/>
      <c r="CH91" s="491"/>
      <c r="CI91" s="377"/>
      <c r="CJ91" s="492"/>
      <c r="CK91" s="491"/>
      <c r="CL91" s="495"/>
      <c r="CM91" s="377"/>
      <c r="CN91" s="377"/>
      <c r="CO91" s="377"/>
      <c r="CP91" s="547"/>
      <c r="CQ91" s="345"/>
      <c r="CR91" s="346"/>
      <c r="CS91" s="347"/>
      <c r="CT91" s="485"/>
      <c r="CU91" s="348"/>
      <c r="CV91" s="348"/>
      <c r="CW91" s="348"/>
      <c r="CX91" s="447"/>
      <c r="CY91" s="447"/>
      <c r="DA91" s="352"/>
      <c r="DD91" s="258"/>
      <c r="DE91" s="258"/>
      <c r="DF91" s="277"/>
      <c r="DI91" s="551"/>
      <c r="DJ91" s="423"/>
      <c r="DK91" s="549"/>
      <c r="DL91" s="549"/>
      <c r="DM91" s="423"/>
      <c r="DN91" s="423"/>
      <c r="DO91" s="424"/>
      <c r="DP91" s="423"/>
    </row>
    <row r="92" spans="1:120" ht="16.5">
      <c r="A92" s="647"/>
      <c r="B92" s="36"/>
      <c r="C92" s="498"/>
      <c r="D92" s="498"/>
      <c r="E92" s="497"/>
      <c r="F92" s="497"/>
      <c r="G92" s="321"/>
      <c r="H92" s="533"/>
      <c r="I92" s="533"/>
      <c r="J92" s="361"/>
      <c r="K92" s="323"/>
      <c r="L92" s="601"/>
      <c r="M92" s="501"/>
      <c r="N92" s="502"/>
      <c r="O92" s="602"/>
      <c r="P92" s="327"/>
      <c r="Q92" s="487"/>
      <c r="R92" s="488"/>
      <c r="S92" s="327"/>
      <c r="T92" s="327"/>
      <c r="U92" s="535"/>
      <c r="V92" s="503"/>
      <c r="W92" s="350"/>
      <c r="X92" s="326"/>
      <c r="Y92" s="504"/>
      <c r="Z92" s="438"/>
      <c r="AA92" s="330"/>
      <c r="AB92" s="333"/>
      <c r="AC92" s="333"/>
      <c r="AD92" s="331"/>
      <c r="AE92" s="320"/>
      <c r="AF92" s="649"/>
      <c r="AG92" s="649"/>
      <c r="AH92" s="332"/>
      <c r="AI92" s="332"/>
      <c r="AJ92" s="332"/>
      <c r="AK92" s="332"/>
      <c r="AL92" s="332"/>
      <c r="AM92" s="333"/>
      <c r="AN92" s="332"/>
      <c r="AO92" s="505"/>
      <c r="AP92" s="493"/>
      <c r="AQ92" s="494"/>
      <c r="AR92" s="539"/>
      <c r="AS92" s="539"/>
      <c r="AT92" s="353"/>
      <c r="AU92" s="323"/>
      <c r="AV92" s="323"/>
      <c r="AW92" s="540"/>
      <c r="AX92" s="323"/>
      <c r="AY92" s="353"/>
      <c r="AZ92" s="323"/>
      <c r="BA92" s="497"/>
      <c r="BB92" s="320"/>
      <c r="BC92" s="326"/>
      <c r="BD92" s="320"/>
      <c r="BE92" s="320"/>
      <c r="BF92" s="550"/>
      <c r="BG92" s="497"/>
      <c r="BH92" s="320"/>
      <c r="BI92" s="320"/>
      <c r="BJ92" s="320"/>
      <c r="BK92" s="320"/>
      <c r="BL92" s="541"/>
      <c r="BM92" s="320"/>
      <c r="BN92" s="336"/>
      <c r="BO92" s="337"/>
      <c r="BP92" s="338"/>
      <c r="BQ92" s="442"/>
      <c r="BR92" s="443"/>
      <c r="BS92" s="542"/>
      <c r="BT92" s="650"/>
      <c r="BU92" s="650"/>
      <c r="BW92" s="377"/>
      <c r="BX92" s="492"/>
      <c r="BY92" s="490"/>
      <c r="BZ92" s="490"/>
      <c r="CA92" s="377"/>
      <c r="CB92" s="377"/>
      <c r="CC92" s="545"/>
      <c r="CD92" s="546"/>
      <c r="CE92" s="378"/>
      <c r="CF92" s="491"/>
      <c r="CG92" s="491"/>
      <c r="CH92" s="491"/>
      <c r="CI92" s="377"/>
      <c r="CJ92" s="492"/>
      <c r="CK92" s="491"/>
      <c r="CL92" s="495"/>
      <c r="CM92" s="377"/>
      <c r="CN92" s="377"/>
      <c r="CO92" s="377"/>
      <c r="CP92" s="547"/>
      <c r="CQ92" s="345"/>
      <c r="CR92" s="346"/>
      <c r="CS92" s="347"/>
      <c r="CT92" s="485"/>
      <c r="CU92" s="348"/>
      <c r="CV92" s="348"/>
      <c r="CW92" s="348"/>
      <c r="CX92" s="447"/>
      <c r="CY92" s="447"/>
      <c r="DA92" s="352"/>
      <c r="DD92" s="258"/>
      <c r="DE92" s="258"/>
      <c r="DF92" s="277"/>
      <c r="DI92" s="551"/>
      <c r="DJ92" s="423"/>
      <c r="DK92" s="549"/>
      <c r="DL92" s="549"/>
      <c r="DM92" s="423"/>
      <c r="DN92" s="423"/>
      <c r="DO92" s="424"/>
      <c r="DP92" s="423"/>
    </row>
    <row r="93" spans="1:120" ht="16.5">
      <c r="A93" s="499"/>
      <c r="B93" s="500"/>
      <c r="C93" s="498"/>
      <c r="D93" s="498"/>
      <c r="E93" s="497"/>
      <c r="F93" s="497"/>
      <c r="G93" s="321"/>
      <c r="H93" s="486"/>
      <c r="I93" s="486"/>
      <c r="J93" s="322"/>
      <c r="K93" s="323"/>
      <c r="L93" s="501"/>
      <c r="M93" s="324"/>
      <c r="N93" s="325"/>
      <c r="O93" s="326"/>
      <c r="P93" s="327"/>
      <c r="Q93" s="403"/>
      <c r="R93" s="351"/>
      <c r="S93" s="327"/>
      <c r="T93" s="349"/>
      <c r="U93" s="328"/>
      <c r="V93" s="503"/>
      <c r="W93" s="350"/>
      <c r="X93" s="326"/>
      <c r="Y93" s="504"/>
      <c r="Z93" s="438"/>
      <c r="AA93" s="330"/>
      <c r="AB93" s="326"/>
      <c r="AC93" s="326"/>
      <c r="AD93" s="331"/>
      <c r="AE93" s="320"/>
      <c r="AF93" s="320"/>
      <c r="AG93" s="320"/>
      <c r="AH93" s="332"/>
      <c r="AI93" s="332"/>
      <c r="AJ93" s="332"/>
      <c r="AK93" s="332"/>
      <c r="AL93" s="332"/>
      <c r="AM93" s="439"/>
      <c r="AN93" s="440"/>
      <c r="AO93" s="501"/>
      <c r="AP93" s="335"/>
      <c r="AQ93" s="334"/>
      <c r="AR93" s="505"/>
      <c r="AS93" s="505"/>
      <c r="AT93" s="353"/>
      <c r="AU93" s="323"/>
      <c r="AV93" s="323"/>
      <c r="AW93" s="540"/>
      <c r="AX93" s="323"/>
      <c r="AY93" s="353"/>
      <c r="AZ93" s="323"/>
      <c r="BA93" s="497"/>
      <c r="BB93" s="321"/>
      <c r="BC93" s="441"/>
      <c r="BD93" s="320"/>
      <c r="BE93" s="320"/>
      <c r="BF93" s="497"/>
      <c r="BG93" s="497"/>
      <c r="BH93" s="320"/>
      <c r="BI93" s="320"/>
      <c r="BJ93" s="320"/>
      <c r="BK93" s="320"/>
      <c r="BL93" s="320"/>
      <c r="BM93" s="320"/>
      <c r="BN93" s="336"/>
      <c r="BO93" s="337"/>
      <c r="BP93" s="338"/>
      <c r="BQ93" s="442"/>
      <c r="BR93" s="443"/>
      <c r="BS93" s="543"/>
      <c r="BT93" s="490"/>
      <c r="BU93" s="490"/>
      <c r="BV93" s="341"/>
      <c r="BW93" s="377"/>
      <c r="BX93" s="343"/>
      <c r="BY93" s="490"/>
      <c r="BZ93" s="341"/>
      <c r="CA93" s="377"/>
      <c r="CB93" s="377"/>
      <c r="CC93" s="341"/>
      <c r="CD93" s="344"/>
      <c r="CE93" s="378"/>
      <c r="CF93" s="377"/>
      <c r="CG93" s="377"/>
      <c r="CH93" s="491"/>
      <c r="CI93" s="377"/>
      <c r="CJ93" s="379"/>
      <c r="CK93" s="377"/>
      <c r="CL93" s="377"/>
      <c r="CM93" s="377"/>
      <c r="CN93" s="377"/>
      <c r="CO93" s="380"/>
      <c r="CP93" s="381"/>
      <c r="CQ93" s="444"/>
      <c r="CR93" s="445"/>
      <c r="CS93" s="347"/>
      <c r="CT93" s="347"/>
      <c r="CU93" s="446"/>
      <c r="CV93" s="446"/>
      <c r="CW93" s="446"/>
      <c r="CX93" s="447"/>
      <c r="CY93" s="447"/>
      <c r="DA93" s="352"/>
      <c r="DI93" s="423"/>
      <c r="DJ93" s="423"/>
      <c r="DK93" s="423"/>
      <c r="DL93" s="423"/>
      <c r="DM93" s="423"/>
      <c r="DN93" s="423"/>
      <c r="DO93" s="424"/>
      <c r="DP93" s="423"/>
    </row>
    <row r="94" spans="1:120" ht="16.5">
      <c r="A94" s="499"/>
      <c r="B94" s="500"/>
      <c r="C94" s="498"/>
      <c r="D94" s="498"/>
      <c r="E94" s="497"/>
      <c r="F94" s="497"/>
      <c r="G94" s="321"/>
      <c r="H94" s="486"/>
      <c r="I94" s="486"/>
      <c r="J94" s="322"/>
      <c r="K94" s="323"/>
      <c r="L94" s="501"/>
      <c r="M94" s="324"/>
      <c r="N94" s="325"/>
      <c r="O94" s="326"/>
      <c r="P94" s="327"/>
      <c r="Q94" s="403"/>
      <c r="R94" s="351"/>
      <c r="S94" s="327"/>
      <c r="T94" s="349"/>
      <c r="U94" s="328"/>
      <c r="V94" s="503"/>
      <c r="W94" s="350"/>
      <c r="X94" s="326"/>
      <c r="Y94" s="504"/>
      <c r="Z94" s="438"/>
      <c r="AA94" s="330"/>
      <c r="AB94" s="326"/>
      <c r="AC94" s="326"/>
      <c r="AD94" s="331"/>
      <c r="AE94" s="320"/>
      <c r="AF94" s="320"/>
      <c r="AG94" s="320"/>
      <c r="AH94" s="332"/>
      <c r="AI94" s="332"/>
      <c r="AJ94" s="332"/>
      <c r="AK94" s="332"/>
      <c r="AL94" s="332"/>
      <c r="AM94" s="439"/>
      <c r="AN94" s="440"/>
      <c r="AO94" s="501"/>
      <c r="AP94" s="335"/>
      <c r="AQ94" s="334"/>
      <c r="AR94" s="505"/>
      <c r="AS94" s="505"/>
      <c r="AT94" s="353"/>
      <c r="AU94" s="323"/>
      <c r="AV94" s="323"/>
      <c r="AW94" s="540"/>
      <c r="AX94" s="323"/>
      <c r="AY94" s="353"/>
      <c r="AZ94" s="323"/>
      <c r="BA94" s="497"/>
      <c r="BB94" s="321"/>
      <c r="BC94" s="441"/>
      <c r="BD94" s="320"/>
      <c r="BE94" s="320"/>
      <c r="BF94" s="497"/>
      <c r="BG94" s="497"/>
      <c r="BH94" s="320"/>
      <c r="BI94" s="320"/>
      <c r="BJ94" s="320"/>
      <c r="BK94" s="320"/>
      <c r="BL94" s="320"/>
      <c r="BM94" s="320"/>
      <c r="BN94" s="336"/>
      <c r="BO94" s="337"/>
      <c r="BP94" s="338"/>
      <c r="BQ94" s="442"/>
      <c r="BR94" s="443"/>
      <c r="BS94" s="543"/>
      <c r="BT94" s="490"/>
      <c r="BU94" s="490"/>
      <c r="BV94" s="341"/>
      <c r="BW94" s="377"/>
      <c r="BX94" s="343"/>
      <c r="BY94" s="490"/>
      <c r="BZ94" s="341"/>
      <c r="CA94" s="377"/>
      <c r="CB94" s="377"/>
      <c r="CC94" s="341"/>
      <c r="CD94" s="344"/>
      <c r="CE94" s="378"/>
      <c r="CF94" s="377"/>
      <c r="CG94" s="377"/>
      <c r="CH94" s="491"/>
      <c r="CI94" s="377"/>
      <c r="CJ94" s="379"/>
      <c r="CK94" s="377"/>
      <c r="CL94" s="377"/>
      <c r="CM94" s="377"/>
      <c r="CN94" s="377"/>
      <c r="CO94" s="380"/>
      <c r="CP94" s="381"/>
      <c r="CQ94" s="444"/>
      <c r="CR94" s="445"/>
      <c r="CS94" s="347"/>
      <c r="CT94" s="347"/>
      <c r="CU94" s="446"/>
      <c r="CV94" s="446"/>
      <c r="CW94" s="446"/>
      <c r="CX94" s="447"/>
      <c r="CY94" s="447"/>
      <c r="DA94" s="352"/>
      <c r="DI94" s="423"/>
      <c r="DJ94" s="423"/>
      <c r="DK94" s="423"/>
      <c r="DL94" s="423"/>
      <c r="DM94" s="423"/>
      <c r="DN94" s="423"/>
      <c r="DO94" s="424"/>
      <c r="DP94" s="423"/>
    </row>
    <row r="95" spans="1:120" ht="16.5">
      <c r="A95" s="499"/>
      <c r="B95" s="500"/>
      <c r="C95" s="498"/>
      <c r="D95" s="498"/>
      <c r="E95" s="497"/>
      <c r="F95" s="497"/>
      <c r="G95" s="321"/>
      <c r="H95" s="486"/>
      <c r="I95" s="486"/>
      <c r="J95" s="322"/>
      <c r="K95" s="323"/>
      <c r="L95" s="501"/>
      <c r="M95" s="324"/>
      <c r="N95" s="325"/>
      <c r="O95" s="326"/>
      <c r="P95" s="327"/>
      <c r="Q95" s="403"/>
      <c r="R95" s="351"/>
      <c r="S95" s="327"/>
      <c r="T95" s="349"/>
      <c r="U95" s="328"/>
      <c r="V95" s="503"/>
      <c r="W95" s="350"/>
      <c r="X95" s="326"/>
      <c r="Y95" s="504"/>
      <c r="Z95" s="438"/>
      <c r="AA95" s="330"/>
      <c r="AB95" s="326"/>
      <c r="AC95" s="326"/>
      <c r="AD95" s="331"/>
      <c r="AE95" s="320"/>
      <c r="AF95" s="320"/>
      <c r="AG95" s="320"/>
      <c r="AH95" s="332"/>
      <c r="AI95" s="332"/>
      <c r="AJ95" s="332"/>
      <c r="AK95" s="332"/>
      <c r="AL95" s="332"/>
      <c r="AM95" s="439"/>
      <c r="AN95" s="440"/>
      <c r="AO95" s="501"/>
      <c r="AP95" s="335"/>
      <c r="AQ95" s="334"/>
      <c r="AR95" s="505"/>
      <c r="AS95" s="505"/>
      <c r="AT95" s="353"/>
      <c r="AU95" s="323"/>
      <c r="AV95" s="323"/>
      <c r="AW95" s="540"/>
      <c r="AX95" s="323"/>
      <c r="AY95" s="353"/>
      <c r="AZ95" s="323"/>
      <c r="BA95" s="497"/>
      <c r="BB95" s="321"/>
      <c r="BC95" s="441"/>
      <c r="BD95" s="320"/>
      <c r="BE95" s="320"/>
      <c r="BF95" s="497"/>
      <c r="BG95" s="497"/>
      <c r="BH95" s="320"/>
      <c r="BI95" s="320"/>
      <c r="BJ95" s="320"/>
      <c r="BK95" s="320"/>
      <c r="BL95" s="320"/>
      <c r="BM95" s="320"/>
      <c r="BN95" s="336"/>
      <c r="BO95" s="337"/>
      <c r="BP95" s="338"/>
      <c r="BQ95" s="442"/>
      <c r="BR95" s="443"/>
      <c r="BS95" s="543"/>
      <c r="BT95" s="490"/>
      <c r="BU95" s="490"/>
      <c r="BV95" s="341"/>
      <c r="BW95" s="377"/>
      <c r="BX95" s="343"/>
      <c r="BY95" s="490"/>
      <c r="BZ95" s="341"/>
      <c r="CA95" s="377"/>
      <c r="CB95" s="377"/>
      <c r="CC95" s="341"/>
      <c r="CD95" s="344"/>
      <c r="CE95" s="378"/>
      <c r="CF95" s="377"/>
      <c r="CG95" s="377"/>
      <c r="CH95" s="491"/>
      <c r="CI95" s="377"/>
      <c r="CJ95" s="379"/>
      <c r="CK95" s="377"/>
      <c r="CL95" s="377"/>
      <c r="CM95" s="377"/>
      <c r="CN95" s="377"/>
      <c r="CO95" s="380"/>
      <c r="CP95" s="381"/>
      <c r="CQ95" s="444"/>
      <c r="CR95" s="445"/>
      <c r="CS95" s="347"/>
      <c r="CT95" s="347"/>
      <c r="CU95" s="446"/>
      <c r="CV95" s="446"/>
      <c r="CW95" s="446"/>
      <c r="CX95" s="447"/>
      <c r="CY95" s="447"/>
      <c r="DA95" s="352"/>
      <c r="DI95" s="423"/>
      <c r="DJ95" s="423"/>
      <c r="DK95" s="423"/>
      <c r="DL95" s="423"/>
      <c r="DM95" s="423"/>
      <c r="DN95" s="423"/>
      <c r="DO95" s="424"/>
      <c r="DP95" s="423"/>
    </row>
    <row r="96" spans="1:120" ht="16.5">
      <c r="A96" s="499"/>
      <c r="B96" s="500"/>
      <c r="C96" s="498"/>
      <c r="D96" s="498"/>
      <c r="E96" s="497"/>
      <c r="F96" s="497"/>
      <c r="G96" s="321"/>
      <c r="H96" s="486"/>
      <c r="I96" s="486"/>
      <c r="J96" s="322"/>
      <c r="K96" s="323"/>
      <c r="L96" s="501"/>
      <c r="M96" s="324"/>
      <c r="N96" s="325"/>
      <c r="O96" s="326"/>
      <c r="P96" s="327"/>
      <c r="Q96" s="403"/>
      <c r="R96" s="351"/>
      <c r="S96" s="327"/>
      <c r="T96" s="349"/>
      <c r="U96" s="328"/>
      <c r="V96" s="503"/>
      <c r="W96" s="350"/>
      <c r="X96" s="326"/>
      <c r="Y96" s="504"/>
      <c r="Z96" s="438"/>
      <c r="AA96" s="330"/>
      <c r="AB96" s="326"/>
      <c r="AC96" s="326"/>
      <c r="AD96" s="331"/>
      <c r="AE96" s="320"/>
      <c r="AF96" s="320"/>
      <c r="AG96" s="320"/>
      <c r="AH96" s="332"/>
      <c r="AI96" s="332"/>
      <c r="AJ96" s="332"/>
      <c r="AK96" s="332"/>
      <c r="AL96" s="332"/>
      <c r="AM96" s="439"/>
      <c r="AN96" s="440"/>
      <c r="AO96" s="501"/>
      <c r="AP96" s="335"/>
      <c r="AQ96" s="334"/>
      <c r="AR96" s="505"/>
      <c r="AS96" s="505"/>
      <c r="AT96" s="353"/>
      <c r="AU96" s="323"/>
      <c r="AV96" s="323"/>
      <c r="AW96" s="540"/>
      <c r="AX96" s="323"/>
      <c r="AY96" s="353"/>
      <c r="AZ96" s="323"/>
      <c r="BA96" s="497"/>
      <c r="BB96" s="321"/>
      <c r="BC96" s="441"/>
      <c r="BD96" s="320"/>
      <c r="BE96" s="320"/>
      <c r="BF96" s="497"/>
      <c r="BG96" s="497"/>
      <c r="BH96" s="320"/>
      <c r="BI96" s="320"/>
      <c r="BJ96" s="320"/>
      <c r="BK96" s="320"/>
      <c r="BL96" s="320"/>
      <c r="BM96" s="320"/>
      <c r="BN96" s="336"/>
      <c r="BO96" s="337"/>
      <c r="BP96" s="338"/>
      <c r="BQ96" s="442"/>
      <c r="BR96" s="443"/>
      <c r="BS96" s="543"/>
      <c r="BT96" s="490"/>
      <c r="BU96" s="490"/>
      <c r="BV96" s="341"/>
      <c r="BW96" s="377"/>
      <c r="BX96" s="343"/>
      <c r="BY96" s="490"/>
      <c r="BZ96" s="341"/>
      <c r="CA96" s="377"/>
      <c r="CB96" s="377"/>
      <c r="CC96" s="341"/>
      <c r="CD96" s="344"/>
      <c r="CE96" s="378"/>
      <c r="CF96" s="377"/>
      <c r="CG96" s="377"/>
      <c r="CH96" s="491"/>
      <c r="CI96" s="377"/>
      <c r="CJ96" s="379"/>
      <c r="CK96" s="377"/>
      <c r="CL96" s="377"/>
      <c r="CM96" s="377"/>
      <c r="CN96" s="377"/>
      <c r="CO96" s="380"/>
      <c r="CP96" s="381"/>
      <c r="CQ96" s="444"/>
      <c r="CR96" s="445"/>
      <c r="CS96" s="347"/>
      <c r="CT96" s="347"/>
      <c r="CU96" s="446"/>
      <c r="CV96" s="446"/>
      <c r="CW96" s="446"/>
      <c r="CX96" s="447"/>
      <c r="CY96" s="447"/>
      <c r="DA96" s="352"/>
      <c r="DI96" s="423"/>
      <c r="DJ96" s="423"/>
      <c r="DK96" s="423"/>
      <c r="DL96" s="423"/>
      <c r="DM96" s="423"/>
      <c r="DN96" s="423"/>
      <c r="DO96" s="424"/>
      <c r="DP96" s="423"/>
    </row>
    <row r="97" spans="1:120" ht="16.5">
      <c r="A97" s="499"/>
      <c r="B97" s="500"/>
      <c r="C97" s="498"/>
      <c r="D97" s="498"/>
      <c r="E97" s="497"/>
      <c r="F97" s="497"/>
      <c r="G97" s="321"/>
      <c r="H97" s="486"/>
      <c r="I97" s="486"/>
      <c r="J97" s="322"/>
      <c r="K97" s="323"/>
      <c r="L97" s="501"/>
      <c r="M97" s="324"/>
      <c r="N97" s="325"/>
      <c r="O97" s="326"/>
      <c r="P97" s="327"/>
      <c r="Q97" s="403"/>
      <c r="R97" s="351"/>
      <c r="S97" s="327"/>
      <c r="T97" s="349"/>
      <c r="U97" s="328"/>
      <c r="V97" s="503"/>
      <c r="W97" s="350"/>
      <c r="X97" s="326"/>
      <c r="Y97" s="504"/>
      <c r="Z97" s="438"/>
      <c r="AA97" s="330"/>
      <c r="AB97" s="326"/>
      <c r="AC97" s="326"/>
      <c r="AD97" s="331"/>
      <c r="AE97" s="320"/>
      <c r="AF97" s="320"/>
      <c r="AG97" s="320"/>
      <c r="AH97" s="332"/>
      <c r="AI97" s="332"/>
      <c r="AJ97" s="332"/>
      <c r="AK97" s="332"/>
      <c r="AL97" s="332"/>
      <c r="AM97" s="439"/>
      <c r="AN97" s="440"/>
      <c r="AO97" s="501"/>
      <c r="AP97" s="335"/>
      <c r="AQ97" s="334"/>
      <c r="AR97" s="505"/>
      <c r="AS97" s="505"/>
      <c r="AT97" s="353"/>
      <c r="AU97" s="323"/>
      <c r="AV97" s="323"/>
      <c r="AW97" s="540"/>
      <c r="AX97" s="323"/>
      <c r="AY97" s="353"/>
      <c r="AZ97" s="323"/>
      <c r="BA97" s="497"/>
      <c r="BB97" s="321"/>
      <c r="BC97" s="441"/>
      <c r="BD97" s="320"/>
      <c r="BE97" s="320"/>
      <c r="BF97" s="497"/>
      <c r="BG97" s="497"/>
      <c r="BH97" s="320"/>
      <c r="BI97" s="320"/>
      <c r="BJ97" s="320"/>
      <c r="BK97" s="320"/>
      <c r="BL97" s="320"/>
      <c r="BM97" s="320"/>
      <c r="BN97" s="336"/>
      <c r="BO97" s="337"/>
      <c r="BP97" s="338"/>
      <c r="BQ97" s="442"/>
      <c r="BR97" s="443"/>
      <c r="BS97" s="543"/>
      <c r="BT97" s="490"/>
      <c r="BU97" s="490"/>
      <c r="BV97" s="341"/>
      <c r="BW97" s="377"/>
      <c r="BX97" s="343"/>
      <c r="BY97" s="490"/>
      <c r="BZ97" s="341"/>
      <c r="CA97" s="377"/>
      <c r="CB97" s="377"/>
      <c r="CC97" s="341"/>
      <c r="CD97" s="344"/>
      <c r="CE97" s="378"/>
      <c r="CF97" s="377"/>
      <c r="CG97" s="377"/>
      <c r="CH97" s="491"/>
      <c r="CI97" s="377"/>
      <c r="CJ97" s="379"/>
      <c r="CK97" s="377"/>
      <c r="CL97" s="377"/>
      <c r="CM97" s="377"/>
      <c r="CN97" s="377"/>
      <c r="CO97" s="380"/>
      <c r="CP97" s="381"/>
      <c r="CQ97" s="444"/>
      <c r="CR97" s="445"/>
      <c r="CS97" s="347"/>
      <c r="CT97" s="347"/>
      <c r="CU97" s="446"/>
      <c r="CV97" s="446"/>
      <c r="CW97" s="446"/>
      <c r="CX97" s="447"/>
      <c r="CY97" s="447"/>
      <c r="DA97" s="352"/>
      <c r="DI97" s="423"/>
      <c r="DJ97" s="423"/>
      <c r="DK97" s="423"/>
      <c r="DL97" s="423"/>
      <c r="DM97" s="423"/>
      <c r="DN97" s="423"/>
      <c r="DO97" s="424"/>
      <c r="DP97" s="423"/>
    </row>
    <row r="98" spans="1:120" ht="16.5">
      <c r="A98" s="499"/>
      <c r="B98" s="500"/>
      <c r="C98" s="498"/>
      <c r="D98" s="498"/>
      <c r="E98" s="497"/>
      <c r="F98" s="497"/>
      <c r="G98" s="321"/>
      <c r="H98" s="486"/>
      <c r="I98" s="486"/>
      <c r="J98" s="322"/>
      <c r="K98" s="323"/>
      <c r="L98" s="501"/>
      <c r="M98" s="324"/>
      <c r="N98" s="325"/>
      <c r="O98" s="326"/>
      <c r="P98" s="327"/>
      <c r="Q98" s="403"/>
      <c r="R98" s="351"/>
      <c r="S98" s="327"/>
      <c r="T98" s="349"/>
      <c r="U98" s="328"/>
      <c r="V98" s="503"/>
      <c r="W98" s="350"/>
      <c r="X98" s="326"/>
      <c r="Y98" s="504"/>
      <c r="Z98" s="438"/>
      <c r="AA98" s="330"/>
      <c r="AB98" s="326"/>
      <c r="AC98" s="326"/>
      <c r="AD98" s="331"/>
      <c r="AE98" s="320"/>
      <c r="AF98" s="320"/>
      <c r="AG98" s="320"/>
      <c r="AH98" s="332"/>
      <c r="AI98" s="332"/>
      <c r="AJ98" s="332"/>
      <c r="AK98" s="332"/>
      <c r="AL98" s="332"/>
      <c r="AM98" s="439"/>
      <c r="AN98" s="440"/>
      <c r="AO98" s="501"/>
      <c r="AP98" s="335"/>
      <c r="AQ98" s="334"/>
      <c r="AR98" s="505"/>
      <c r="AS98" s="505"/>
      <c r="AT98" s="353"/>
      <c r="AU98" s="323"/>
      <c r="AV98" s="323"/>
      <c r="AW98" s="540"/>
      <c r="AX98" s="323"/>
      <c r="AY98" s="353"/>
      <c r="AZ98" s="323"/>
      <c r="BA98" s="497"/>
      <c r="BB98" s="321"/>
      <c r="BC98" s="441"/>
      <c r="BD98" s="320"/>
      <c r="BE98" s="320"/>
      <c r="BF98" s="497"/>
      <c r="BG98" s="497"/>
      <c r="BH98" s="320"/>
      <c r="BI98" s="320"/>
      <c r="BJ98" s="320"/>
      <c r="BK98" s="320"/>
      <c r="BL98" s="320"/>
      <c r="BM98" s="320"/>
      <c r="BN98" s="336"/>
      <c r="BO98" s="337"/>
      <c r="BP98" s="338"/>
      <c r="BQ98" s="442"/>
      <c r="BR98" s="443"/>
      <c r="BS98" s="543"/>
      <c r="BT98" s="490"/>
      <c r="BU98" s="490"/>
      <c r="BV98" s="341"/>
      <c r="BW98" s="377"/>
      <c r="BX98" s="343"/>
      <c r="BY98" s="490"/>
      <c r="BZ98" s="341"/>
      <c r="CA98" s="377"/>
      <c r="CB98" s="377"/>
      <c r="CC98" s="341"/>
      <c r="CD98" s="344"/>
      <c r="CE98" s="378"/>
      <c r="CF98" s="377"/>
      <c r="CG98" s="377"/>
      <c r="CH98" s="491"/>
      <c r="CI98" s="377"/>
      <c r="CJ98" s="379"/>
      <c r="CK98" s="377"/>
      <c r="CL98" s="377"/>
      <c r="CM98" s="377"/>
      <c r="CN98" s="377"/>
      <c r="CO98" s="380"/>
      <c r="CP98" s="381"/>
      <c r="CQ98" s="444"/>
      <c r="CR98" s="445"/>
      <c r="CS98" s="347"/>
      <c r="CT98" s="347"/>
      <c r="CU98" s="446"/>
      <c r="CV98" s="446"/>
      <c r="CW98" s="446"/>
      <c r="CX98" s="447"/>
      <c r="CY98" s="447"/>
      <c r="DA98" s="352"/>
      <c r="DI98" s="423"/>
      <c r="DJ98" s="423"/>
      <c r="DK98" s="423"/>
      <c r="DL98" s="423"/>
      <c r="DM98" s="423"/>
      <c r="DN98" s="423"/>
      <c r="DO98" s="424"/>
      <c r="DP98" s="423"/>
    </row>
    <row r="99" spans="1:120" ht="16.5">
      <c r="A99" s="499"/>
      <c r="B99" s="500"/>
      <c r="C99" s="498"/>
      <c r="D99" s="498"/>
      <c r="E99" s="497"/>
      <c r="F99" s="497"/>
      <c r="G99" s="321"/>
      <c r="H99" s="486"/>
      <c r="I99" s="486"/>
      <c r="J99" s="322"/>
      <c r="K99" s="323"/>
      <c r="L99" s="501"/>
      <c r="M99" s="324"/>
      <c r="N99" s="325"/>
      <c r="O99" s="326"/>
      <c r="P99" s="327"/>
      <c r="Q99" s="403"/>
      <c r="R99" s="351"/>
      <c r="S99" s="327"/>
      <c r="T99" s="349"/>
      <c r="U99" s="328"/>
      <c r="V99" s="503"/>
      <c r="W99" s="350"/>
      <c r="X99" s="326"/>
      <c r="Y99" s="504"/>
      <c r="Z99" s="438"/>
      <c r="AA99" s="330"/>
      <c r="AB99" s="326"/>
      <c r="AC99" s="326"/>
      <c r="AD99" s="331"/>
      <c r="AE99" s="320"/>
      <c r="AF99" s="320"/>
      <c r="AG99" s="320"/>
      <c r="AH99" s="332"/>
      <c r="AI99" s="332"/>
      <c r="AJ99" s="332"/>
      <c r="AK99" s="332"/>
      <c r="AL99" s="332"/>
      <c r="AM99" s="439"/>
      <c r="AN99" s="440"/>
      <c r="AO99" s="501"/>
      <c r="AP99" s="335"/>
      <c r="AQ99" s="334"/>
      <c r="AR99" s="505"/>
      <c r="AS99" s="505"/>
      <c r="AT99" s="353"/>
      <c r="AU99" s="323"/>
      <c r="AV99" s="323"/>
      <c r="AW99" s="540"/>
      <c r="AX99" s="323"/>
      <c r="AY99" s="353"/>
      <c r="AZ99" s="323"/>
      <c r="BA99" s="497"/>
      <c r="BB99" s="321"/>
      <c r="BC99" s="441"/>
      <c r="BD99" s="320"/>
      <c r="BE99" s="320"/>
      <c r="BF99" s="497"/>
      <c r="BG99" s="497"/>
      <c r="BH99" s="320"/>
      <c r="BI99" s="320"/>
      <c r="BJ99" s="320"/>
      <c r="BK99" s="320"/>
      <c r="BL99" s="320"/>
      <c r="BM99" s="320"/>
      <c r="BN99" s="336"/>
      <c r="BO99" s="337"/>
      <c r="BP99" s="338"/>
      <c r="BQ99" s="442"/>
      <c r="BR99" s="443"/>
      <c r="BS99" s="543"/>
      <c r="BT99" s="490"/>
      <c r="BU99" s="490"/>
      <c r="BV99" s="341"/>
      <c r="BW99" s="377"/>
      <c r="BX99" s="343"/>
      <c r="BY99" s="490"/>
      <c r="BZ99" s="341"/>
      <c r="CA99" s="377"/>
      <c r="CB99" s="377"/>
      <c r="CC99" s="341"/>
      <c r="CD99" s="344"/>
      <c r="CE99" s="378"/>
      <c r="CF99" s="377"/>
      <c r="CG99" s="377"/>
      <c r="CH99" s="491"/>
      <c r="CI99" s="377"/>
      <c r="CJ99" s="379"/>
      <c r="CK99" s="377"/>
      <c r="CL99" s="377"/>
      <c r="CM99" s="377"/>
      <c r="CN99" s="377"/>
      <c r="CO99" s="380"/>
      <c r="CP99" s="381"/>
      <c r="CQ99" s="444"/>
      <c r="CR99" s="445"/>
      <c r="CS99" s="347"/>
      <c r="CT99" s="347"/>
      <c r="CU99" s="446"/>
      <c r="CV99" s="446"/>
      <c r="CW99" s="446"/>
      <c r="CX99" s="447"/>
      <c r="CY99" s="447"/>
      <c r="DA99" s="352"/>
      <c r="DI99" s="423"/>
      <c r="DJ99" s="423"/>
      <c r="DK99" s="423"/>
      <c r="DL99" s="423"/>
      <c r="DM99" s="423"/>
      <c r="DN99" s="423"/>
      <c r="DO99" s="424"/>
      <c r="DP99" s="423"/>
    </row>
    <row r="100" spans="1:120" ht="16.5">
      <c r="A100" s="499"/>
      <c r="B100" s="500"/>
      <c r="C100" s="498"/>
      <c r="D100" s="498"/>
      <c r="E100" s="497"/>
      <c r="F100" s="497"/>
      <c r="G100" s="321"/>
      <c r="H100" s="486"/>
      <c r="I100" s="486"/>
      <c r="J100" s="322"/>
      <c r="K100" s="323"/>
      <c r="L100" s="501"/>
      <c r="M100" s="324"/>
      <c r="N100" s="325"/>
      <c r="O100" s="326"/>
      <c r="P100" s="327"/>
      <c r="Q100" s="403"/>
      <c r="R100" s="351"/>
      <c r="S100" s="327"/>
      <c r="T100" s="349"/>
      <c r="U100" s="328"/>
      <c r="V100" s="503"/>
      <c r="W100" s="350"/>
      <c r="X100" s="326"/>
      <c r="Y100" s="504"/>
      <c r="Z100" s="438"/>
      <c r="AA100" s="330"/>
      <c r="AB100" s="326"/>
      <c r="AC100" s="326"/>
      <c r="AD100" s="331"/>
      <c r="AE100" s="320"/>
      <c r="AF100" s="320"/>
      <c r="AG100" s="320"/>
      <c r="AH100" s="332"/>
      <c r="AI100" s="332"/>
      <c r="AJ100" s="332"/>
      <c r="AK100" s="332"/>
      <c r="AL100" s="332"/>
      <c r="AM100" s="439"/>
      <c r="AN100" s="440"/>
      <c r="AO100" s="501"/>
      <c r="AP100" s="335"/>
      <c r="AQ100" s="334"/>
      <c r="AR100" s="505"/>
      <c r="AS100" s="505"/>
      <c r="AT100" s="353"/>
      <c r="AU100" s="323"/>
      <c r="AV100" s="323"/>
      <c r="AW100" s="540"/>
      <c r="AX100" s="323"/>
      <c r="AY100" s="353"/>
      <c r="AZ100" s="323"/>
      <c r="BA100" s="497"/>
      <c r="BB100" s="321"/>
      <c r="BC100" s="441"/>
      <c r="BD100" s="320"/>
      <c r="BE100" s="320"/>
      <c r="BF100" s="497"/>
      <c r="BG100" s="497"/>
      <c r="BH100" s="320"/>
      <c r="BI100" s="320"/>
      <c r="BJ100" s="320"/>
      <c r="BK100" s="320"/>
      <c r="BL100" s="320"/>
      <c r="BM100" s="320"/>
      <c r="BN100" s="336"/>
      <c r="BO100" s="337"/>
      <c r="BP100" s="338"/>
      <c r="BQ100" s="442"/>
      <c r="BR100" s="443"/>
      <c r="BS100" s="543"/>
      <c r="BT100" s="490"/>
      <c r="BU100" s="490"/>
      <c r="BV100" s="341"/>
      <c r="BW100" s="377"/>
      <c r="BX100" s="343"/>
      <c r="BY100" s="490"/>
      <c r="BZ100" s="341"/>
      <c r="CA100" s="377"/>
      <c r="CB100" s="377"/>
      <c r="CC100" s="341"/>
      <c r="CD100" s="344"/>
      <c r="CE100" s="378"/>
      <c r="CF100" s="377"/>
      <c r="CG100" s="377"/>
      <c r="CH100" s="491"/>
      <c r="CI100" s="377"/>
      <c r="CJ100" s="379"/>
      <c r="CK100" s="377"/>
      <c r="CL100" s="377"/>
      <c r="CM100" s="377"/>
      <c r="CN100" s="377"/>
      <c r="CO100" s="380"/>
      <c r="CP100" s="381"/>
      <c r="CQ100" s="444"/>
      <c r="CR100" s="445"/>
      <c r="CS100" s="347"/>
      <c r="CT100" s="347"/>
      <c r="CU100" s="446"/>
      <c r="CV100" s="446"/>
      <c r="CW100" s="446"/>
      <c r="CX100" s="447"/>
      <c r="CY100" s="447"/>
      <c r="DA100" s="352"/>
      <c r="DI100" s="423"/>
      <c r="DJ100" s="423"/>
      <c r="DK100" s="423"/>
      <c r="DL100" s="423"/>
      <c r="DM100" s="423"/>
      <c r="DN100" s="423"/>
      <c r="DO100" s="424"/>
      <c r="DP100" s="423"/>
    </row>
    <row r="101" spans="1:120" ht="16.5">
      <c r="A101" s="499"/>
      <c r="B101" s="500"/>
      <c r="C101" s="498"/>
      <c r="D101" s="498"/>
      <c r="E101" s="497"/>
      <c r="F101" s="497"/>
      <c r="G101" s="321"/>
      <c r="H101" s="486"/>
      <c r="I101" s="486"/>
      <c r="J101" s="322"/>
      <c r="K101" s="323"/>
      <c r="L101" s="501"/>
      <c r="M101" s="324"/>
      <c r="N101" s="325"/>
      <c r="O101" s="326"/>
      <c r="P101" s="327"/>
      <c r="Q101" s="403"/>
      <c r="R101" s="351"/>
      <c r="S101" s="327"/>
      <c r="T101" s="349"/>
      <c r="U101" s="328"/>
      <c r="V101" s="503"/>
      <c r="W101" s="350"/>
      <c r="X101" s="326"/>
      <c r="Y101" s="504"/>
      <c r="Z101" s="438"/>
      <c r="AA101" s="330"/>
      <c r="AB101" s="326"/>
      <c r="AC101" s="326"/>
      <c r="AD101" s="331"/>
      <c r="AE101" s="320"/>
      <c r="AF101" s="320"/>
      <c r="AG101" s="320"/>
      <c r="AH101" s="332"/>
      <c r="AI101" s="332"/>
      <c r="AJ101" s="332"/>
      <c r="AK101" s="332"/>
      <c r="AL101" s="332"/>
      <c r="AM101" s="439"/>
      <c r="AN101" s="440"/>
      <c r="AO101" s="501"/>
      <c r="AP101" s="335"/>
      <c r="AQ101" s="334"/>
      <c r="AR101" s="505"/>
      <c r="AS101" s="505"/>
      <c r="AT101" s="353"/>
      <c r="AU101" s="323"/>
      <c r="AV101" s="323"/>
      <c r="AW101" s="540"/>
      <c r="AX101" s="323"/>
      <c r="AY101" s="353"/>
      <c r="AZ101" s="323"/>
      <c r="BA101" s="497"/>
      <c r="BB101" s="321"/>
      <c r="BC101" s="441"/>
      <c r="BD101" s="320"/>
      <c r="BE101" s="320"/>
      <c r="BF101" s="497"/>
      <c r="BG101" s="497"/>
      <c r="BH101" s="320"/>
      <c r="BI101" s="320"/>
      <c r="BJ101" s="320"/>
      <c r="BK101" s="320"/>
      <c r="BL101" s="320"/>
      <c r="BM101" s="320"/>
      <c r="BN101" s="336"/>
      <c r="BO101" s="337"/>
      <c r="BP101" s="338"/>
      <c r="BQ101" s="442"/>
      <c r="BR101" s="443"/>
      <c r="BS101" s="543"/>
      <c r="BT101" s="490"/>
      <c r="BU101" s="490"/>
      <c r="BV101" s="341"/>
      <c r="BW101" s="377"/>
      <c r="BX101" s="343"/>
      <c r="BY101" s="490"/>
      <c r="BZ101" s="341"/>
      <c r="CA101" s="377"/>
      <c r="CB101" s="377"/>
      <c r="CC101" s="341"/>
      <c r="CD101" s="344"/>
      <c r="CE101" s="378"/>
      <c r="CF101" s="377"/>
      <c r="CG101" s="377"/>
      <c r="CH101" s="491"/>
      <c r="CI101" s="377"/>
      <c r="CJ101" s="379"/>
      <c r="CK101" s="377"/>
      <c r="CL101" s="377"/>
      <c r="CM101" s="377"/>
      <c r="CN101" s="377"/>
      <c r="CO101" s="380"/>
      <c r="CP101" s="381"/>
      <c r="CQ101" s="444"/>
      <c r="CR101" s="445"/>
      <c r="CS101" s="347"/>
      <c r="CT101" s="347"/>
      <c r="CU101" s="446"/>
      <c r="CV101" s="446"/>
      <c r="CW101" s="446"/>
      <c r="CX101" s="447"/>
      <c r="CY101" s="447"/>
      <c r="DA101" s="352"/>
      <c r="DI101" s="423"/>
      <c r="DJ101" s="423"/>
      <c r="DK101" s="423"/>
      <c r="DL101" s="423"/>
      <c r="DM101" s="423"/>
      <c r="DN101" s="423"/>
      <c r="DO101" s="424"/>
      <c r="DP101" s="423"/>
    </row>
    <row r="102" spans="1:120" ht="16.5">
      <c r="A102" s="499"/>
      <c r="B102" s="500"/>
      <c r="C102" s="498"/>
      <c r="D102" s="498"/>
      <c r="E102" s="497"/>
      <c r="F102" s="497"/>
      <c r="G102" s="321"/>
      <c r="H102" s="486"/>
      <c r="I102" s="486"/>
      <c r="J102" s="322"/>
      <c r="K102" s="323"/>
      <c r="L102" s="501"/>
      <c r="M102" s="324"/>
      <c r="N102" s="325"/>
      <c r="O102" s="326"/>
      <c r="P102" s="327"/>
      <c r="Q102" s="403"/>
      <c r="R102" s="351"/>
      <c r="S102" s="327"/>
      <c r="T102" s="349"/>
      <c r="U102" s="328"/>
      <c r="V102" s="503"/>
      <c r="W102" s="350"/>
      <c r="X102" s="326"/>
      <c r="Y102" s="504"/>
      <c r="Z102" s="438"/>
      <c r="AA102" s="330"/>
      <c r="AB102" s="326"/>
      <c r="AC102" s="326"/>
      <c r="AD102" s="331"/>
      <c r="AE102" s="320"/>
      <c r="AF102" s="320"/>
      <c r="AG102" s="320"/>
      <c r="AH102" s="332"/>
      <c r="AI102" s="332"/>
      <c r="AJ102" s="332"/>
      <c r="AK102" s="332"/>
      <c r="AL102" s="332"/>
      <c r="AM102" s="439"/>
      <c r="AN102" s="440"/>
      <c r="AO102" s="501"/>
      <c r="AP102" s="335"/>
      <c r="AQ102" s="334"/>
      <c r="AR102" s="505"/>
      <c r="AS102" s="505"/>
      <c r="AT102" s="353"/>
      <c r="AU102" s="323"/>
      <c r="AV102" s="323"/>
      <c r="AW102" s="540"/>
      <c r="AX102" s="323"/>
      <c r="AY102" s="353"/>
      <c r="AZ102" s="323"/>
      <c r="BA102" s="497"/>
      <c r="BB102" s="321"/>
      <c r="BC102" s="441"/>
      <c r="BD102" s="320"/>
      <c r="BE102" s="320"/>
      <c r="BF102" s="497"/>
      <c r="BG102" s="497"/>
      <c r="BH102" s="320"/>
      <c r="BI102" s="320"/>
      <c r="BJ102" s="320"/>
      <c r="BK102" s="320"/>
      <c r="BL102" s="320"/>
      <c r="BM102" s="320"/>
      <c r="BN102" s="336"/>
      <c r="BO102" s="337"/>
      <c r="BP102" s="338"/>
      <c r="BQ102" s="442"/>
      <c r="BR102" s="443"/>
      <c r="BS102" s="543"/>
      <c r="BT102" s="490"/>
      <c r="BU102" s="490"/>
      <c r="BV102" s="341"/>
      <c r="BW102" s="377"/>
      <c r="BX102" s="343"/>
      <c r="BY102" s="490"/>
      <c r="BZ102" s="341"/>
      <c r="CA102" s="377"/>
      <c r="CB102" s="377"/>
      <c r="CC102" s="341"/>
      <c r="CD102" s="344"/>
      <c r="CE102" s="378"/>
      <c r="CF102" s="377"/>
      <c r="CG102" s="377"/>
      <c r="CH102" s="491"/>
      <c r="CI102" s="377"/>
      <c r="CJ102" s="379"/>
      <c r="CK102" s="377"/>
      <c r="CL102" s="377"/>
      <c r="CM102" s="377"/>
      <c r="CN102" s="377"/>
      <c r="CO102" s="380"/>
      <c r="CP102" s="381"/>
      <c r="CQ102" s="444"/>
      <c r="CR102" s="445"/>
      <c r="CS102" s="347"/>
      <c r="CT102" s="347"/>
      <c r="CU102" s="446"/>
      <c r="CV102" s="446"/>
      <c r="CW102" s="446"/>
      <c r="CX102" s="447"/>
      <c r="CY102" s="447"/>
      <c r="DA102" s="352"/>
      <c r="DI102" s="423"/>
      <c r="DJ102" s="423"/>
      <c r="DK102" s="423"/>
      <c r="DL102" s="423"/>
      <c r="DM102" s="423"/>
      <c r="DN102" s="423"/>
      <c r="DO102" s="424"/>
      <c r="DP102" s="423"/>
    </row>
    <row r="103" spans="1:120" ht="16.5">
      <c r="A103" s="499"/>
      <c r="B103" s="500"/>
      <c r="C103" s="498"/>
      <c r="D103" s="498"/>
      <c r="E103" s="497"/>
      <c r="F103" s="497"/>
      <c r="G103" s="321"/>
      <c r="H103" s="486"/>
      <c r="I103" s="486"/>
      <c r="J103" s="322"/>
      <c r="K103" s="323"/>
      <c r="L103" s="501"/>
      <c r="M103" s="324"/>
      <c r="N103" s="325"/>
      <c r="O103" s="326"/>
      <c r="P103" s="327"/>
      <c r="Q103" s="403"/>
      <c r="R103" s="351"/>
      <c r="S103" s="327"/>
      <c r="T103" s="349"/>
      <c r="U103" s="328"/>
      <c r="V103" s="503"/>
      <c r="W103" s="350"/>
      <c r="X103" s="326"/>
      <c r="Y103" s="504"/>
      <c r="Z103" s="438"/>
      <c r="AA103" s="330"/>
      <c r="AB103" s="326"/>
      <c r="AC103" s="326"/>
      <c r="AD103" s="331"/>
      <c r="AE103" s="320"/>
      <c r="AF103" s="320"/>
      <c r="AG103" s="320"/>
      <c r="AH103" s="332"/>
      <c r="AI103" s="332"/>
      <c r="AJ103" s="332"/>
      <c r="AK103" s="332"/>
      <c r="AL103" s="332"/>
      <c r="AM103" s="439"/>
      <c r="AN103" s="440"/>
      <c r="AO103" s="501"/>
      <c r="AP103" s="335"/>
      <c r="AQ103" s="334"/>
      <c r="AR103" s="505"/>
      <c r="AS103" s="505"/>
      <c r="AT103" s="353"/>
      <c r="AU103" s="323"/>
      <c r="AV103" s="323"/>
      <c r="AW103" s="540"/>
      <c r="AX103" s="323"/>
      <c r="AY103" s="353"/>
      <c r="AZ103" s="323"/>
      <c r="BA103" s="497"/>
      <c r="BB103" s="321"/>
      <c r="BC103" s="441"/>
      <c r="BD103" s="320"/>
      <c r="BE103" s="320"/>
      <c r="BF103" s="497"/>
      <c r="BG103" s="497"/>
      <c r="BH103" s="320"/>
      <c r="BI103" s="320"/>
      <c r="BJ103" s="320"/>
      <c r="BK103" s="320"/>
      <c r="BL103" s="320"/>
      <c r="BM103" s="320"/>
      <c r="BN103" s="336"/>
      <c r="BO103" s="337"/>
      <c r="BP103" s="338"/>
      <c r="BQ103" s="442"/>
      <c r="BR103" s="443"/>
      <c r="BS103" s="543"/>
      <c r="BT103" s="490"/>
      <c r="BU103" s="490"/>
      <c r="BV103" s="341"/>
      <c r="BW103" s="377"/>
      <c r="BX103" s="343"/>
      <c r="BY103" s="490"/>
      <c r="BZ103" s="341"/>
      <c r="CA103" s="377"/>
      <c r="CB103" s="377"/>
      <c r="CC103" s="341"/>
      <c r="CD103" s="344"/>
      <c r="CE103" s="378"/>
      <c r="CF103" s="377"/>
      <c r="CG103" s="377"/>
      <c r="CH103" s="491"/>
      <c r="CI103" s="377"/>
      <c r="CJ103" s="379"/>
      <c r="CK103" s="377"/>
      <c r="CL103" s="377"/>
      <c r="CM103" s="377"/>
      <c r="CN103" s="377"/>
      <c r="CO103" s="380"/>
      <c r="CP103" s="381"/>
      <c r="CQ103" s="444"/>
      <c r="CR103" s="445"/>
      <c r="CS103" s="347"/>
      <c r="CT103" s="347"/>
      <c r="CU103" s="446"/>
      <c r="CV103" s="446"/>
      <c r="CW103" s="446"/>
      <c r="CX103" s="447"/>
      <c r="CY103" s="447"/>
      <c r="DA103" s="352"/>
      <c r="DI103" s="423"/>
      <c r="DJ103" s="423"/>
      <c r="DK103" s="423"/>
      <c r="DL103" s="423"/>
      <c r="DM103" s="423"/>
      <c r="DN103" s="423"/>
      <c r="DO103" s="424"/>
      <c r="DP103" s="423"/>
    </row>
    <row r="104" spans="1:120" ht="16.5">
      <c r="A104" s="499"/>
      <c r="B104" s="500"/>
      <c r="C104" s="498"/>
      <c r="D104" s="498"/>
      <c r="E104" s="497"/>
      <c r="F104" s="497"/>
      <c r="G104" s="321"/>
      <c r="H104" s="486"/>
      <c r="I104" s="486"/>
      <c r="J104" s="322"/>
      <c r="K104" s="323"/>
      <c r="L104" s="501"/>
      <c r="M104" s="324"/>
      <c r="N104" s="325"/>
      <c r="O104" s="326"/>
      <c r="P104" s="327"/>
      <c r="Q104" s="403"/>
      <c r="R104" s="351"/>
      <c r="S104" s="327"/>
      <c r="T104" s="349"/>
      <c r="U104" s="328"/>
      <c r="V104" s="503"/>
      <c r="W104" s="350"/>
      <c r="X104" s="326"/>
      <c r="Y104" s="504"/>
      <c r="Z104" s="438"/>
      <c r="AA104" s="330"/>
      <c r="AB104" s="326"/>
      <c r="AC104" s="326"/>
      <c r="AD104" s="331"/>
      <c r="AE104" s="320"/>
      <c r="AF104" s="320"/>
      <c r="AG104" s="320"/>
      <c r="AH104" s="332"/>
      <c r="AI104" s="332"/>
      <c r="AJ104" s="332"/>
      <c r="AK104" s="332"/>
      <c r="AL104" s="332"/>
      <c r="AM104" s="439"/>
      <c r="AN104" s="440"/>
      <c r="AO104" s="501"/>
      <c r="AP104" s="335"/>
      <c r="AQ104" s="334"/>
      <c r="AR104" s="505"/>
      <c r="AS104" s="505"/>
      <c r="AT104" s="353"/>
      <c r="AU104" s="323"/>
      <c r="AV104" s="323"/>
      <c r="AW104" s="540"/>
      <c r="AX104" s="323"/>
      <c r="AY104" s="353"/>
      <c r="AZ104" s="323"/>
      <c r="BA104" s="497"/>
      <c r="BB104" s="321"/>
      <c r="BC104" s="441"/>
      <c r="BD104" s="320"/>
      <c r="BE104" s="320"/>
      <c r="BF104" s="497"/>
      <c r="BG104" s="497"/>
      <c r="BH104" s="320"/>
      <c r="BI104" s="320"/>
      <c r="BJ104" s="320"/>
      <c r="BK104" s="320"/>
      <c r="BL104" s="320"/>
      <c r="BM104" s="320"/>
      <c r="BN104" s="336"/>
      <c r="BO104" s="337"/>
      <c r="BP104" s="338"/>
      <c r="BQ104" s="442"/>
      <c r="BR104" s="443"/>
      <c r="BS104" s="543"/>
      <c r="BT104" s="490"/>
      <c r="BU104" s="490"/>
      <c r="BV104" s="341"/>
      <c r="BW104" s="377"/>
      <c r="BX104" s="343"/>
      <c r="BY104" s="490"/>
      <c r="BZ104" s="341"/>
      <c r="CA104" s="377"/>
      <c r="CB104" s="377"/>
      <c r="CC104" s="341"/>
      <c r="CD104" s="344"/>
      <c r="CE104" s="378"/>
      <c r="CF104" s="377"/>
      <c r="CG104" s="377"/>
      <c r="CH104" s="491"/>
      <c r="CI104" s="377"/>
      <c r="CJ104" s="379"/>
      <c r="CK104" s="377"/>
      <c r="CL104" s="377"/>
      <c r="CM104" s="377"/>
      <c r="CN104" s="377"/>
      <c r="CO104" s="380"/>
      <c r="CP104" s="381"/>
      <c r="CQ104" s="444"/>
      <c r="CR104" s="445"/>
      <c r="CS104" s="347"/>
      <c r="CT104" s="347"/>
      <c r="CU104" s="446"/>
      <c r="CV104" s="446"/>
      <c r="CW104" s="446"/>
      <c r="CX104" s="447"/>
      <c r="CY104" s="447"/>
      <c r="DA104" s="352"/>
      <c r="DI104" s="423"/>
      <c r="DJ104" s="423"/>
      <c r="DK104" s="423"/>
      <c r="DL104" s="423"/>
      <c r="DM104" s="423"/>
      <c r="DN104" s="423"/>
      <c r="DO104" s="424"/>
      <c r="DP104" s="423"/>
    </row>
    <row r="105" spans="1:120" ht="16.5">
      <c r="A105" s="499"/>
      <c r="B105" s="500"/>
      <c r="C105" s="498"/>
      <c r="D105" s="498"/>
      <c r="E105" s="497"/>
      <c r="F105" s="497"/>
      <c r="G105" s="321"/>
      <c r="H105" s="486"/>
      <c r="I105" s="486"/>
      <c r="J105" s="322"/>
      <c r="K105" s="323"/>
      <c r="L105" s="501"/>
      <c r="M105" s="324"/>
      <c r="N105" s="325"/>
      <c r="O105" s="326"/>
      <c r="P105" s="327"/>
      <c r="Q105" s="403"/>
      <c r="R105" s="351"/>
      <c r="S105" s="327"/>
      <c r="T105" s="349"/>
      <c r="U105" s="328"/>
      <c r="V105" s="503"/>
      <c r="W105" s="350"/>
      <c r="X105" s="326"/>
      <c r="Y105" s="504"/>
      <c r="Z105" s="438"/>
      <c r="AA105" s="330"/>
      <c r="AB105" s="326"/>
      <c r="AC105" s="326"/>
      <c r="AD105" s="331"/>
      <c r="AE105" s="320"/>
      <c r="AF105" s="320"/>
      <c r="AG105" s="320"/>
      <c r="AH105" s="332"/>
      <c r="AI105" s="332"/>
      <c r="AJ105" s="332"/>
      <c r="AK105" s="332"/>
      <c r="AL105" s="332"/>
      <c r="AM105" s="439"/>
      <c r="AN105" s="440"/>
      <c r="AO105" s="501"/>
      <c r="AP105" s="335"/>
      <c r="AQ105" s="334"/>
      <c r="AR105" s="505"/>
      <c r="AS105" s="505"/>
      <c r="AT105" s="353"/>
      <c r="AU105" s="323"/>
      <c r="AV105" s="323"/>
      <c r="AW105" s="540"/>
      <c r="AX105" s="323"/>
      <c r="AY105" s="353"/>
      <c r="AZ105" s="323"/>
      <c r="BA105" s="497"/>
      <c r="BB105" s="321"/>
      <c r="BC105" s="441"/>
      <c r="BD105" s="320"/>
      <c r="BE105" s="320"/>
      <c r="BF105" s="497"/>
      <c r="BG105" s="497"/>
      <c r="BH105" s="320"/>
      <c r="BI105" s="320"/>
      <c r="BJ105" s="320"/>
      <c r="BK105" s="320"/>
      <c r="BL105" s="320"/>
      <c r="BM105" s="320"/>
      <c r="BN105" s="336"/>
      <c r="BO105" s="337"/>
      <c r="BP105" s="338"/>
      <c r="BQ105" s="442"/>
      <c r="BR105" s="443"/>
      <c r="BS105" s="543"/>
      <c r="BT105" s="490"/>
      <c r="BU105" s="490"/>
      <c r="BV105" s="341"/>
      <c r="BW105" s="377"/>
      <c r="BX105" s="343"/>
      <c r="BY105" s="490"/>
      <c r="BZ105" s="341"/>
      <c r="CA105" s="377"/>
      <c r="CB105" s="377"/>
      <c r="CC105" s="341"/>
      <c r="CD105" s="344"/>
      <c r="CE105" s="378"/>
      <c r="CF105" s="377"/>
      <c r="CG105" s="377"/>
      <c r="CH105" s="491"/>
      <c r="CI105" s="377"/>
      <c r="CJ105" s="379"/>
      <c r="CK105" s="377"/>
      <c r="CL105" s="377"/>
      <c r="CM105" s="377"/>
      <c r="CN105" s="377"/>
      <c r="CO105" s="380"/>
      <c r="CP105" s="381"/>
      <c r="CQ105" s="444"/>
      <c r="CR105" s="445"/>
      <c r="CS105" s="347"/>
      <c r="CT105" s="347"/>
      <c r="CU105" s="446"/>
      <c r="CV105" s="446"/>
      <c r="CW105" s="446"/>
      <c r="CX105" s="447"/>
      <c r="CY105" s="447"/>
      <c r="DA105" s="352"/>
      <c r="DI105" s="423"/>
      <c r="DJ105" s="423"/>
      <c r="DK105" s="423"/>
      <c r="DL105" s="423"/>
      <c r="DM105" s="423"/>
      <c r="DN105" s="423"/>
      <c r="DO105" s="424"/>
      <c r="DP105" s="423"/>
    </row>
    <row r="106" spans="1:120" ht="16.5">
      <c r="A106" s="499"/>
      <c r="B106" s="500"/>
      <c r="C106" s="498"/>
      <c r="D106" s="498"/>
      <c r="E106" s="497"/>
      <c r="F106" s="497"/>
      <c r="G106" s="321"/>
      <c r="H106" s="486"/>
      <c r="I106" s="486"/>
      <c r="J106" s="322"/>
      <c r="K106" s="323"/>
      <c r="L106" s="501"/>
      <c r="M106" s="324"/>
      <c r="N106" s="325"/>
      <c r="O106" s="326"/>
      <c r="P106" s="327"/>
      <c r="Q106" s="403"/>
      <c r="R106" s="351"/>
      <c r="S106" s="327"/>
      <c r="T106" s="349"/>
      <c r="U106" s="328"/>
      <c r="V106" s="503"/>
      <c r="W106" s="350"/>
      <c r="X106" s="326"/>
      <c r="Y106" s="504"/>
      <c r="Z106" s="438"/>
      <c r="AA106" s="330"/>
      <c r="AB106" s="326"/>
      <c r="AC106" s="326"/>
      <c r="AD106" s="331"/>
      <c r="AE106" s="320"/>
      <c r="AF106" s="320"/>
      <c r="AG106" s="320"/>
      <c r="AH106" s="332"/>
      <c r="AI106" s="332"/>
      <c r="AJ106" s="332"/>
      <c r="AK106" s="332"/>
      <c r="AL106" s="332"/>
      <c r="AM106" s="439"/>
      <c r="AN106" s="440"/>
      <c r="AO106" s="501"/>
      <c r="AP106" s="335"/>
      <c r="AQ106" s="334"/>
      <c r="AR106" s="505"/>
      <c r="AS106" s="505"/>
      <c r="AT106" s="353"/>
      <c r="AU106" s="323"/>
      <c r="AV106" s="323"/>
      <c r="AW106" s="540"/>
      <c r="AX106" s="323"/>
      <c r="AY106" s="353"/>
      <c r="AZ106" s="323"/>
      <c r="BA106" s="497"/>
      <c r="BB106" s="321"/>
      <c r="BC106" s="441"/>
      <c r="BD106" s="320"/>
      <c r="BE106" s="320"/>
      <c r="BF106" s="497"/>
      <c r="BG106" s="497"/>
      <c r="BH106" s="320"/>
      <c r="BI106" s="320"/>
      <c r="BJ106" s="320"/>
      <c r="BK106" s="320"/>
      <c r="BL106" s="320"/>
      <c r="BM106" s="320"/>
      <c r="BN106" s="336"/>
      <c r="BO106" s="337"/>
      <c r="BP106" s="338"/>
      <c r="BQ106" s="442"/>
      <c r="BR106" s="443"/>
      <c r="BS106" s="543"/>
      <c r="BT106" s="490"/>
      <c r="BU106" s="490"/>
      <c r="BV106" s="341"/>
      <c r="BW106" s="377"/>
      <c r="BX106" s="343"/>
      <c r="BY106" s="490"/>
      <c r="BZ106" s="341"/>
      <c r="CA106" s="377"/>
      <c r="CB106" s="377"/>
      <c r="CC106" s="341"/>
      <c r="CD106" s="344"/>
      <c r="CE106" s="378"/>
      <c r="CF106" s="377"/>
      <c r="CG106" s="377"/>
      <c r="CH106" s="491"/>
      <c r="CI106" s="377"/>
      <c r="CJ106" s="379"/>
      <c r="CK106" s="377"/>
      <c r="CL106" s="377"/>
      <c r="CM106" s="377"/>
      <c r="CN106" s="377"/>
      <c r="CO106" s="380"/>
      <c r="CP106" s="381"/>
      <c r="CQ106" s="444"/>
      <c r="CR106" s="445"/>
      <c r="CS106" s="347"/>
      <c r="CT106" s="347"/>
      <c r="CU106" s="446"/>
      <c r="CV106" s="446"/>
      <c r="CW106" s="446"/>
      <c r="CX106" s="447"/>
      <c r="CY106" s="447"/>
      <c r="DA106" s="352"/>
      <c r="DI106" s="423"/>
      <c r="DJ106" s="423"/>
      <c r="DK106" s="423"/>
      <c r="DL106" s="423"/>
      <c r="DM106" s="423"/>
      <c r="DN106" s="423"/>
      <c r="DO106" s="424"/>
      <c r="DP106" s="423"/>
    </row>
    <row r="107" spans="1:120" ht="16.5">
      <c r="A107" s="499"/>
      <c r="B107" s="500"/>
      <c r="C107" s="498"/>
      <c r="D107" s="498"/>
      <c r="E107" s="497"/>
      <c r="F107" s="497"/>
      <c r="G107" s="321"/>
      <c r="H107" s="486"/>
      <c r="I107" s="486"/>
      <c r="J107" s="322"/>
      <c r="K107" s="323"/>
      <c r="L107" s="501"/>
      <c r="M107" s="324"/>
      <c r="N107" s="325"/>
      <c r="O107" s="326"/>
      <c r="P107" s="327"/>
      <c r="Q107" s="403"/>
      <c r="R107" s="351"/>
      <c r="S107" s="327"/>
      <c r="T107" s="349"/>
      <c r="U107" s="328"/>
      <c r="V107" s="503"/>
      <c r="W107" s="350"/>
      <c r="X107" s="326"/>
      <c r="Y107" s="504"/>
      <c r="Z107" s="438"/>
      <c r="AA107" s="330"/>
      <c r="AB107" s="326"/>
      <c r="AC107" s="326"/>
      <c r="AD107" s="331"/>
      <c r="AE107" s="320"/>
      <c r="AF107" s="320"/>
      <c r="AG107" s="320"/>
      <c r="AH107" s="332"/>
      <c r="AI107" s="332"/>
      <c r="AJ107" s="332"/>
      <c r="AK107" s="332"/>
      <c r="AL107" s="332"/>
      <c r="AM107" s="439"/>
      <c r="AN107" s="440"/>
      <c r="AO107" s="501"/>
      <c r="AP107" s="335"/>
      <c r="AQ107" s="334"/>
      <c r="AR107" s="505"/>
      <c r="AS107" s="505"/>
      <c r="AT107" s="353"/>
      <c r="AU107" s="323"/>
      <c r="AV107" s="323"/>
      <c r="AW107" s="540"/>
      <c r="AX107" s="323"/>
      <c r="AY107" s="353"/>
      <c r="AZ107" s="323"/>
      <c r="BA107" s="497"/>
      <c r="BB107" s="321"/>
      <c r="BC107" s="441"/>
      <c r="BD107" s="320"/>
      <c r="BE107" s="320"/>
      <c r="BF107" s="497"/>
      <c r="BG107" s="497"/>
      <c r="BH107" s="320"/>
      <c r="BI107" s="320"/>
      <c r="BJ107" s="320"/>
      <c r="BK107" s="320"/>
      <c r="BL107" s="320"/>
      <c r="BM107" s="320"/>
      <c r="BN107" s="336"/>
      <c r="BO107" s="337"/>
      <c r="BP107" s="338"/>
      <c r="BQ107" s="442"/>
      <c r="BR107" s="443"/>
      <c r="BS107" s="543"/>
      <c r="BT107" s="490"/>
      <c r="BU107" s="490"/>
      <c r="BV107" s="341"/>
      <c r="BW107" s="377"/>
      <c r="BX107" s="343"/>
      <c r="BY107" s="490"/>
      <c r="BZ107" s="341"/>
      <c r="CA107" s="377"/>
      <c r="CB107" s="377"/>
      <c r="CC107" s="341"/>
      <c r="CD107" s="344"/>
      <c r="CE107" s="378"/>
      <c r="CF107" s="377"/>
      <c r="CG107" s="377"/>
      <c r="CH107" s="491"/>
      <c r="CI107" s="377"/>
      <c r="CJ107" s="379"/>
      <c r="CK107" s="377"/>
      <c r="CL107" s="377"/>
      <c r="CM107" s="377"/>
      <c r="CN107" s="377"/>
      <c r="CO107" s="380"/>
      <c r="CP107" s="381"/>
      <c r="CQ107" s="444"/>
      <c r="CR107" s="445"/>
      <c r="CS107" s="347"/>
      <c r="CT107" s="347"/>
      <c r="CU107" s="446"/>
      <c r="CV107" s="446"/>
      <c r="CW107" s="446"/>
      <c r="CX107" s="447"/>
      <c r="CY107" s="447"/>
      <c r="DA107" s="352"/>
      <c r="DI107" s="423"/>
      <c r="DJ107" s="423"/>
      <c r="DK107" s="423"/>
      <c r="DL107" s="423"/>
      <c r="DM107" s="423"/>
      <c r="DN107" s="423"/>
      <c r="DO107" s="424"/>
      <c r="DP107" s="423"/>
    </row>
    <row r="108" spans="1:120" ht="16.5">
      <c r="A108" s="499"/>
      <c r="B108" s="500"/>
      <c r="C108" s="498"/>
      <c r="D108" s="498"/>
      <c r="E108" s="497"/>
      <c r="F108" s="497"/>
      <c r="G108" s="321"/>
      <c r="H108" s="486"/>
      <c r="I108" s="486"/>
      <c r="J108" s="322"/>
      <c r="K108" s="323"/>
      <c r="L108" s="501"/>
      <c r="M108" s="324"/>
      <c r="N108" s="325"/>
      <c r="O108" s="326"/>
      <c r="P108" s="327"/>
      <c r="Q108" s="403"/>
      <c r="R108" s="351"/>
      <c r="S108" s="327"/>
      <c r="T108" s="349"/>
      <c r="U108" s="328"/>
      <c r="V108" s="503"/>
      <c r="W108" s="350"/>
      <c r="X108" s="326"/>
      <c r="Y108" s="504"/>
      <c r="Z108" s="438"/>
      <c r="AA108" s="330"/>
      <c r="AB108" s="326"/>
      <c r="AC108" s="326"/>
      <c r="AD108" s="331"/>
      <c r="AE108" s="320"/>
      <c r="AF108" s="320"/>
      <c r="AG108" s="320"/>
      <c r="AH108" s="332"/>
      <c r="AI108" s="332"/>
      <c r="AJ108" s="332"/>
      <c r="AK108" s="332"/>
      <c r="AL108" s="332"/>
      <c r="AM108" s="439"/>
      <c r="AN108" s="440"/>
      <c r="AO108" s="501"/>
      <c r="AP108" s="335"/>
      <c r="AQ108" s="334"/>
      <c r="AR108" s="505"/>
      <c r="AS108" s="505"/>
      <c r="AT108" s="353"/>
      <c r="AU108" s="323"/>
      <c r="AV108" s="323"/>
      <c r="AW108" s="540"/>
      <c r="AX108" s="323"/>
      <c r="AY108" s="353"/>
      <c r="AZ108" s="323"/>
      <c r="BA108" s="497"/>
      <c r="BB108" s="321"/>
      <c r="BC108" s="441"/>
      <c r="BD108" s="320"/>
      <c r="BE108" s="320"/>
      <c r="BF108" s="497"/>
      <c r="BG108" s="497"/>
      <c r="BH108" s="320"/>
      <c r="BI108" s="320"/>
      <c r="BJ108" s="320"/>
      <c r="BK108" s="320"/>
      <c r="BL108" s="320"/>
      <c r="BM108" s="320"/>
      <c r="BN108" s="336"/>
      <c r="BO108" s="337"/>
      <c r="BP108" s="338"/>
      <c r="BQ108" s="442"/>
      <c r="BR108" s="443"/>
      <c r="BS108" s="543"/>
      <c r="BT108" s="490"/>
      <c r="BU108" s="490"/>
      <c r="BV108" s="341"/>
      <c r="BW108" s="377"/>
      <c r="BX108" s="343"/>
      <c r="BY108" s="490"/>
      <c r="BZ108" s="341"/>
      <c r="CA108" s="377"/>
      <c r="CB108" s="377"/>
      <c r="CC108" s="341"/>
      <c r="CD108" s="344"/>
      <c r="CE108" s="378"/>
      <c r="CF108" s="377"/>
      <c r="CG108" s="377"/>
      <c r="CH108" s="491"/>
      <c r="CI108" s="377"/>
      <c r="CJ108" s="379"/>
      <c r="CK108" s="377"/>
      <c r="CL108" s="377"/>
      <c r="CM108" s="377"/>
      <c r="CN108" s="377"/>
      <c r="CO108" s="380"/>
      <c r="CP108" s="381"/>
      <c r="CQ108" s="444"/>
      <c r="CR108" s="445"/>
      <c r="CS108" s="347"/>
      <c r="CT108" s="347"/>
      <c r="CU108" s="446"/>
      <c r="CV108" s="446"/>
      <c r="CW108" s="446"/>
      <c r="CX108" s="447"/>
      <c r="CY108" s="447"/>
      <c r="DA108" s="352"/>
      <c r="DI108" s="423"/>
      <c r="DJ108" s="423"/>
      <c r="DK108" s="423"/>
      <c r="DL108" s="423"/>
      <c r="DM108" s="423"/>
      <c r="DN108" s="423"/>
      <c r="DO108" s="424"/>
      <c r="DP108" s="423"/>
    </row>
    <row r="109" spans="1:120" ht="16.5">
      <c r="A109" s="499"/>
      <c r="B109" s="500"/>
      <c r="C109" s="498"/>
      <c r="D109" s="498"/>
      <c r="E109" s="497"/>
      <c r="F109" s="497"/>
      <c r="G109" s="321"/>
      <c r="H109" s="486"/>
      <c r="I109" s="486"/>
      <c r="J109" s="322"/>
      <c r="K109" s="323"/>
      <c r="L109" s="501"/>
      <c r="M109" s="324"/>
      <c r="N109" s="325"/>
      <c r="O109" s="326"/>
      <c r="P109" s="327"/>
      <c r="Q109" s="403"/>
      <c r="R109" s="351"/>
      <c r="S109" s="327"/>
      <c r="T109" s="349"/>
      <c r="U109" s="328"/>
      <c r="V109" s="503"/>
      <c r="W109" s="350"/>
      <c r="X109" s="326"/>
      <c r="Y109" s="504"/>
      <c r="Z109" s="438"/>
      <c r="AA109" s="330"/>
      <c r="AB109" s="326"/>
      <c r="AC109" s="326"/>
      <c r="AD109" s="331"/>
      <c r="AE109" s="320"/>
      <c r="AF109" s="320"/>
      <c r="AG109" s="320"/>
      <c r="AH109" s="332"/>
      <c r="AI109" s="332"/>
      <c r="AJ109" s="332"/>
      <c r="AK109" s="332"/>
      <c r="AL109" s="332"/>
      <c r="AM109" s="439"/>
      <c r="AN109" s="440"/>
      <c r="AO109" s="501"/>
      <c r="AP109" s="335"/>
      <c r="AQ109" s="334"/>
      <c r="AR109" s="505"/>
      <c r="AS109" s="505"/>
      <c r="AT109" s="353"/>
      <c r="AU109" s="323"/>
      <c r="AV109" s="323"/>
      <c r="AW109" s="540"/>
      <c r="AX109" s="323"/>
      <c r="AY109" s="353"/>
      <c r="AZ109" s="323"/>
      <c r="BA109" s="497"/>
      <c r="BB109" s="321"/>
      <c r="BC109" s="441"/>
      <c r="BD109" s="320"/>
      <c r="BE109" s="320"/>
      <c r="BF109" s="497"/>
      <c r="BG109" s="497"/>
      <c r="BH109" s="320"/>
      <c r="BI109" s="320"/>
      <c r="BJ109" s="320"/>
      <c r="BK109" s="320"/>
      <c r="BL109" s="320"/>
      <c r="BM109" s="320"/>
      <c r="BN109" s="336"/>
      <c r="BO109" s="337"/>
      <c r="BP109" s="338"/>
      <c r="BQ109" s="442"/>
      <c r="BR109" s="443"/>
      <c r="BS109" s="543"/>
      <c r="BT109" s="490"/>
      <c r="BU109" s="490"/>
      <c r="BV109" s="341"/>
      <c r="BW109" s="377"/>
      <c r="BX109" s="343"/>
      <c r="BY109" s="490"/>
      <c r="BZ109" s="341"/>
      <c r="CA109" s="377"/>
      <c r="CB109" s="377"/>
      <c r="CC109" s="341"/>
      <c r="CD109" s="344"/>
      <c r="CE109" s="378"/>
      <c r="CF109" s="377"/>
      <c r="CG109" s="377"/>
      <c r="CH109" s="491"/>
      <c r="CI109" s="377"/>
      <c r="CJ109" s="379"/>
      <c r="CK109" s="377"/>
      <c r="CL109" s="377"/>
      <c r="CM109" s="377"/>
      <c r="CN109" s="377"/>
      <c r="CO109" s="380"/>
      <c r="CP109" s="381"/>
      <c r="CQ109" s="444"/>
      <c r="CR109" s="445"/>
      <c r="CS109" s="347"/>
      <c r="CT109" s="347"/>
      <c r="CU109" s="446"/>
      <c r="CV109" s="446"/>
      <c r="CW109" s="446"/>
      <c r="CX109" s="447"/>
      <c r="CY109" s="447"/>
      <c r="DA109" s="352"/>
      <c r="DI109" s="423"/>
      <c r="DJ109" s="423"/>
      <c r="DK109" s="423"/>
      <c r="DL109" s="423"/>
      <c r="DM109" s="423"/>
      <c r="DN109" s="423"/>
      <c r="DO109" s="424"/>
      <c r="DP109" s="423"/>
    </row>
    <row r="110" spans="1:120" ht="16.5">
      <c r="A110" s="437"/>
      <c r="B110" s="404"/>
      <c r="C110" s="498"/>
      <c r="D110" s="498"/>
      <c r="E110" s="320"/>
      <c r="F110" s="320"/>
      <c r="G110" s="321"/>
      <c r="H110" s="486"/>
      <c r="I110" s="486"/>
      <c r="J110" s="322"/>
      <c r="K110" s="323"/>
      <c r="L110" s="501"/>
      <c r="M110" s="324"/>
      <c r="N110" s="325"/>
      <c r="O110" s="326"/>
      <c r="P110" s="327"/>
      <c r="Q110" s="403"/>
      <c r="R110" s="351"/>
      <c r="S110" s="327"/>
      <c r="T110" s="349"/>
      <c r="U110" s="328"/>
      <c r="V110" s="503"/>
      <c r="W110" s="350"/>
      <c r="X110" s="326"/>
      <c r="Y110" s="504"/>
      <c r="Z110" s="438"/>
      <c r="AA110" s="330"/>
      <c r="AB110" s="326"/>
      <c r="AC110" s="326"/>
      <c r="AD110" s="331"/>
      <c r="AE110" s="320"/>
      <c r="AF110" s="320"/>
      <c r="AG110" s="320"/>
      <c r="AH110" s="332"/>
      <c r="AI110" s="332"/>
      <c r="AJ110" s="332"/>
      <c r="AK110" s="332"/>
      <c r="AL110" s="332"/>
      <c r="AM110" s="439"/>
      <c r="AN110" s="440"/>
      <c r="AO110" s="501"/>
      <c r="AP110" s="335"/>
      <c r="AQ110" s="334"/>
      <c r="AR110" s="505"/>
      <c r="AS110" s="505"/>
      <c r="AT110" s="353"/>
      <c r="AU110" s="323"/>
      <c r="AV110" s="323"/>
      <c r="AW110" s="540"/>
      <c r="AX110" s="323"/>
      <c r="AY110" s="353"/>
      <c r="AZ110" s="323"/>
      <c r="BA110" s="497"/>
      <c r="BB110" s="321"/>
      <c r="BC110" s="441"/>
      <c r="BD110" s="320"/>
      <c r="BE110" s="320"/>
      <c r="BF110" s="497"/>
      <c r="BG110" s="497"/>
      <c r="BH110" s="320"/>
      <c r="BI110" s="320"/>
      <c r="BJ110" s="320"/>
      <c r="BK110" s="320"/>
      <c r="BL110" s="320"/>
      <c r="BM110" s="320"/>
      <c r="BN110" s="336"/>
      <c r="BO110" s="337"/>
      <c r="BP110" s="338"/>
      <c r="BQ110" s="442"/>
      <c r="BR110" s="443"/>
      <c r="BS110" s="543"/>
      <c r="BT110" s="490"/>
      <c r="BU110" s="490"/>
      <c r="BV110" s="341"/>
      <c r="BW110" s="377"/>
      <c r="BX110" s="343"/>
      <c r="BY110" s="490"/>
      <c r="BZ110" s="341"/>
      <c r="CA110" s="377"/>
      <c r="CB110" s="377"/>
      <c r="CC110" s="341"/>
      <c r="CD110" s="344"/>
      <c r="CE110" s="378"/>
      <c r="CF110" s="377"/>
      <c r="CG110" s="377"/>
      <c r="CH110" s="491"/>
      <c r="CI110" s="377"/>
      <c r="CJ110" s="379"/>
      <c r="CK110" s="377"/>
      <c r="CL110" s="377"/>
      <c r="CM110" s="377"/>
      <c r="CN110" s="377"/>
      <c r="CO110" s="380"/>
      <c r="CP110" s="381"/>
      <c r="CQ110" s="444"/>
      <c r="CR110" s="445"/>
      <c r="CS110" s="347"/>
      <c r="CT110" s="347"/>
      <c r="CU110" s="446"/>
      <c r="CV110" s="446"/>
      <c r="CW110" s="446"/>
      <c r="CX110" s="447"/>
      <c r="CY110" s="447"/>
      <c r="DA110" s="352"/>
      <c r="DI110" s="423"/>
      <c r="DJ110" s="423"/>
      <c r="DK110" s="423"/>
      <c r="DL110" s="423"/>
      <c r="DM110" s="423"/>
      <c r="DN110" s="423"/>
      <c r="DO110" s="424"/>
      <c r="DP110" s="423"/>
    </row>
    <row r="111" spans="1:120" ht="16.5">
      <c r="A111" s="437"/>
      <c r="B111" s="404"/>
      <c r="C111" s="498"/>
      <c r="D111" s="498"/>
      <c r="E111" s="320"/>
      <c r="F111" s="320"/>
      <c r="G111" s="321"/>
      <c r="H111" s="486"/>
      <c r="I111" s="486"/>
      <c r="J111" s="322"/>
      <c r="K111" s="323"/>
      <c r="L111" s="501"/>
      <c r="M111" s="324"/>
      <c r="N111" s="325"/>
      <c r="O111" s="326"/>
      <c r="P111" s="327"/>
      <c r="Q111" s="403"/>
      <c r="R111" s="351"/>
      <c r="S111" s="327"/>
      <c r="T111" s="349"/>
      <c r="U111" s="328"/>
      <c r="V111" s="503"/>
      <c r="W111" s="350"/>
      <c r="X111" s="326"/>
      <c r="Y111" s="504"/>
      <c r="Z111" s="438"/>
      <c r="AA111" s="330"/>
      <c r="AB111" s="326"/>
      <c r="AC111" s="326"/>
      <c r="AD111" s="331"/>
      <c r="AE111" s="320"/>
      <c r="AF111" s="320"/>
      <c r="AG111" s="320"/>
      <c r="AH111" s="332"/>
      <c r="AI111" s="332"/>
      <c r="AJ111" s="332"/>
      <c r="AK111" s="332"/>
      <c r="AL111" s="332"/>
      <c r="AM111" s="439"/>
      <c r="AN111" s="440"/>
      <c r="AO111" s="501"/>
      <c r="AP111" s="335"/>
      <c r="AQ111" s="334"/>
      <c r="AR111" s="505"/>
      <c r="AS111" s="505"/>
      <c r="AT111" s="353"/>
      <c r="AU111" s="323"/>
      <c r="AV111" s="323"/>
      <c r="AW111" s="540"/>
      <c r="AX111" s="323"/>
      <c r="AY111" s="353"/>
      <c r="AZ111" s="323"/>
      <c r="BA111" s="497"/>
      <c r="BB111" s="321"/>
      <c r="BC111" s="441"/>
      <c r="BD111" s="320"/>
      <c r="BE111" s="320"/>
      <c r="BF111" s="497"/>
      <c r="BG111" s="497"/>
      <c r="BH111" s="320"/>
      <c r="BI111" s="320"/>
      <c r="BJ111" s="320"/>
      <c r="BK111" s="320"/>
      <c r="BL111" s="320"/>
      <c r="BM111" s="320"/>
      <c r="BN111" s="336"/>
      <c r="BO111" s="337"/>
      <c r="BP111" s="338"/>
      <c r="BQ111" s="442"/>
      <c r="BR111" s="443"/>
      <c r="BS111" s="543"/>
      <c r="BT111" s="490"/>
      <c r="BU111" s="490"/>
      <c r="BV111" s="341"/>
      <c r="BW111" s="377"/>
      <c r="BX111" s="343"/>
      <c r="BY111" s="490"/>
      <c r="BZ111" s="341"/>
      <c r="CA111" s="377"/>
      <c r="CB111" s="377"/>
      <c r="CC111" s="341"/>
      <c r="CD111" s="344"/>
      <c r="CE111" s="378"/>
      <c r="CF111" s="377"/>
      <c r="CG111" s="377"/>
      <c r="CH111" s="491"/>
      <c r="CI111" s="377"/>
      <c r="CJ111" s="379"/>
      <c r="CK111" s="377"/>
      <c r="CL111" s="377"/>
      <c r="CM111" s="377"/>
      <c r="CN111" s="377"/>
      <c r="CO111" s="380"/>
      <c r="CP111" s="381"/>
      <c r="CQ111" s="444"/>
      <c r="CR111" s="445"/>
      <c r="CS111" s="347"/>
      <c r="CT111" s="347"/>
      <c r="CU111" s="446"/>
      <c r="CV111" s="446"/>
      <c r="CW111" s="446"/>
      <c r="CX111" s="447"/>
      <c r="CY111" s="447"/>
      <c r="DA111" s="352"/>
      <c r="DI111" s="423"/>
      <c r="DJ111" s="423"/>
      <c r="DK111" s="423"/>
      <c r="DL111" s="423"/>
      <c r="DM111" s="423"/>
      <c r="DN111" s="423"/>
      <c r="DO111" s="424"/>
      <c r="DP111" s="423"/>
    </row>
    <row r="112" spans="1:120" ht="16.5">
      <c r="A112" s="437"/>
      <c r="B112" s="404"/>
      <c r="C112" s="498"/>
      <c r="D112" s="498"/>
      <c r="E112" s="320"/>
      <c r="F112" s="320"/>
      <c r="G112" s="321"/>
      <c r="H112" s="486"/>
      <c r="I112" s="486"/>
      <c r="J112" s="322"/>
      <c r="K112" s="323"/>
      <c r="L112" s="501"/>
      <c r="M112" s="324"/>
      <c r="N112" s="325"/>
      <c r="O112" s="326"/>
      <c r="P112" s="327"/>
      <c r="Q112" s="403"/>
      <c r="R112" s="351"/>
      <c r="S112" s="327"/>
      <c r="T112" s="349"/>
      <c r="U112" s="328"/>
      <c r="V112" s="503"/>
      <c r="W112" s="350"/>
      <c r="X112" s="326"/>
      <c r="Y112" s="504"/>
      <c r="Z112" s="438"/>
      <c r="AA112" s="330"/>
      <c r="AB112" s="326"/>
      <c r="AC112" s="326"/>
      <c r="AD112" s="331"/>
      <c r="AE112" s="320"/>
      <c r="AF112" s="320"/>
      <c r="AG112" s="320"/>
      <c r="AH112" s="332"/>
      <c r="AI112" s="332"/>
      <c r="AJ112" s="332"/>
      <c r="AK112" s="332"/>
      <c r="AL112" s="332"/>
      <c r="AM112" s="439"/>
      <c r="AN112" s="440"/>
      <c r="AO112" s="501"/>
      <c r="AP112" s="335"/>
      <c r="AQ112" s="334"/>
      <c r="AR112" s="505"/>
      <c r="AS112" s="505"/>
      <c r="AT112" s="353"/>
      <c r="AU112" s="323"/>
      <c r="AV112" s="323"/>
      <c r="AW112" s="540"/>
      <c r="AX112" s="323"/>
      <c r="AY112" s="353"/>
      <c r="AZ112" s="323"/>
      <c r="BA112" s="497"/>
      <c r="BB112" s="321"/>
      <c r="BC112" s="441"/>
      <c r="BD112" s="320"/>
      <c r="BE112" s="320"/>
      <c r="BF112" s="497"/>
      <c r="BG112" s="497"/>
      <c r="BH112" s="320"/>
      <c r="BI112" s="320"/>
      <c r="BJ112" s="320"/>
      <c r="BK112" s="320"/>
      <c r="BL112" s="320"/>
      <c r="BM112" s="320"/>
      <c r="BN112" s="336"/>
      <c r="BO112" s="337"/>
      <c r="BP112" s="338"/>
      <c r="BQ112" s="442"/>
      <c r="BR112" s="443"/>
      <c r="BS112" s="543"/>
      <c r="BT112" s="490"/>
      <c r="BU112" s="490"/>
      <c r="BV112" s="341"/>
      <c r="BW112" s="377"/>
      <c r="BX112" s="343"/>
      <c r="BY112" s="490"/>
      <c r="BZ112" s="341"/>
      <c r="CA112" s="377"/>
      <c r="CB112" s="377"/>
      <c r="CC112" s="341"/>
      <c r="CD112" s="344"/>
      <c r="CE112" s="378"/>
      <c r="CF112" s="377"/>
      <c r="CG112" s="377"/>
      <c r="CH112" s="491"/>
      <c r="CI112" s="377"/>
      <c r="CJ112" s="379"/>
      <c r="CK112" s="377"/>
      <c r="CL112" s="377"/>
      <c r="CM112" s="377"/>
      <c r="CN112" s="377"/>
      <c r="CO112" s="380"/>
      <c r="CP112" s="381"/>
      <c r="CQ112" s="444"/>
      <c r="CR112" s="445"/>
      <c r="CS112" s="347"/>
      <c r="CT112" s="347"/>
      <c r="CU112" s="446"/>
      <c r="CV112" s="446"/>
      <c r="CW112" s="446"/>
      <c r="CX112" s="447"/>
      <c r="CY112" s="447"/>
      <c r="DA112" s="352"/>
      <c r="DI112" s="423"/>
      <c r="DJ112" s="423"/>
      <c r="DK112" s="423"/>
      <c r="DL112" s="423"/>
      <c r="DM112" s="423"/>
      <c r="DN112" s="423"/>
      <c r="DO112" s="424"/>
      <c r="DP112" s="423"/>
    </row>
    <row r="113" spans="1:120" ht="16.5">
      <c r="A113" s="437"/>
      <c r="B113" s="404"/>
      <c r="C113" s="498"/>
      <c r="D113" s="498"/>
      <c r="E113" s="320"/>
      <c r="F113" s="320"/>
      <c r="G113" s="321"/>
      <c r="H113" s="486"/>
      <c r="I113" s="486"/>
      <c r="J113" s="322"/>
      <c r="K113" s="323"/>
      <c r="L113" s="501"/>
      <c r="M113" s="324"/>
      <c r="N113" s="325"/>
      <c r="O113" s="326"/>
      <c r="P113" s="327"/>
      <c r="Q113" s="403"/>
      <c r="R113" s="351"/>
      <c r="S113" s="327"/>
      <c r="T113" s="349"/>
      <c r="U113" s="328"/>
      <c r="V113" s="503"/>
      <c r="W113" s="350"/>
      <c r="X113" s="326"/>
      <c r="Y113" s="504"/>
      <c r="Z113" s="438"/>
      <c r="AA113" s="330"/>
      <c r="AB113" s="326"/>
      <c r="AC113" s="326"/>
      <c r="AD113" s="331"/>
      <c r="AE113" s="320"/>
      <c r="AF113" s="320"/>
      <c r="AG113" s="320"/>
      <c r="AH113" s="332"/>
      <c r="AI113" s="332"/>
      <c r="AJ113" s="332"/>
      <c r="AK113" s="332"/>
      <c r="AL113" s="332"/>
      <c r="AM113" s="439"/>
      <c r="AN113" s="440"/>
      <c r="AO113" s="501"/>
      <c r="AP113" s="335"/>
      <c r="AQ113" s="334"/>
      <c r="AR113" s="505"/>
      <c r="AS113" s="505"/>
      <c r="AT113" s="353"/>
      <c r="AU113" s="323"/>
      <c r="AV113" s="323"/>
      <c r="AW113" s="540"/>
      <c r="AX113" s="323"/>
      <c r="AY113" s="353"/>
      <c r="AZ113" s="323"/>
      <c r="BA113" s="497"/>
      <c r="BB113" s="321"/>
      <c r="BC113" s="441"/>
      <c r="BD113" s="320"/>
      <c r="BE113" s="320"/>
      <c r="BF113" s="497"/>
      <c r="BG113" s="497"/>
      <c r="BH113" s="320"/>
      <c r="BI113" s="320"/>
      <c r="BJ113" s="320"/>
      <c r="BK113" s="320"/>
      <c r="BL113" s="320"/>
      <c r="BM113" s="320"/>
      <c r="BN113" s="336"/>
      <c r="BO113" s="337"/>
      <c r="BP113" s="338"/>
      <c r="BQ113" s="442"/>
      <c r="BR113" s="443"/>
      <c r="BS113" s="543"/>
      <c r="BT113" s="490"/>
      <c r="BU113" s="490"/>
      <c r="BV113" s="341"/>
      <c r="BW113" s="377"/>
      <c r="BX113" s="343"/>
      <c r="BY113" s="490"/>
      <c r="BZ113" s="341"/>
      <c r="CA113" s="377"/>
      <c r="CB113" s="377"/>
      <c r="CC113" s="341"/>
      <c r="CD113" s="344"/>
      <c r="CE113" s="378"/>
      <c r="CF113" s="377"/>
      <c r="CG113" s="377"/>
      <c r="CH113" s="491"/>
      <c r="CI113" s="377"/>
      <c r="CJ113" s="379"/>
      <c r="CK113" s="377"/>
      <c r="CL113" s="377"/>
      <c r="CM113" s="377"/>
      <c r="CN113" s="377"/>
      <c r="CO113" s="380"/>
      <c r="CP113" s="381"/>
      <c r="CQ113" s="444"/>
      <c r="CR113" s="445"/>
      <c r="CS113" s="347"/>
      <c r="CT113" s="347"/>
      <c r="CU113" s="446"/>
      <c r="CV113" s="446"/>
      <c r="CW113" s="446"/>
      <c r="CX113" s="447"/>
      <c r="CY113" s="447"/>
      <c r="DA113" s="352"/>
      <c r="DI113" s="423"/>
      <c r="DJ113" s="423"/>
      <c r="DK113" s="423"/>
      <c r="DL113" s="423"/>
      <c r="DM113" s="423"/>
      <c r="DN113" s="423"/>
      <c r="DO113" s="424"/>
      <c r="DP113" s="423"/>
    </row>
    <row r="114" spans="1:120" ht="16.5">
      <c r="A114" s="437"/>
      <c r="B114" s="404"/>
      <c r="C114" s="498"/>
      <c r="D114" s="498"/>
      <c r="E114" s="320"/>
      <c r="F114" s="320"/>
      <c r="G114" s="321"/>
      <c r="H114" s="486"/>
      <c r="I114" s="486"/>
      <c r="J114" s="322"/>
      <c r="K114" s="323"/>
      <c r="L114" s="501"/>
      <c r="M114" s="324"/>
      <c r="N114" s="325"/>
      <c r="O114" s="326"/>
      <c r="P114" s="327"/>
      <c r="Q114" s="403"/>
      <c r="R114" s="351"/>
      <c r="S114" s="327"/>
      <c r="T114" s="349"/>
      <c r="U114" s="328"/>
      <c r="V114" s="503"/>
      <c r="W114" s="350"/>
      <c r="X114" s="326"/>
      <c r="Y114" s="504"/>
      <c r="Z114" s="438"/>
      <c r="AA114" s="330"/>
      <c r="AB114" s="326"/>
      <c r="AC114" s="326"/>
      <c r="AD114" s="331"/>
      <c r="AE114" s="320"/>
      <c r="AF114" s="320"/>
      <c r="AG114" s="320"/>
      <c r="AH114" s="332"/>
      <c r="AI114" s="332"/>
      <c r="AJ114" s="332"/>
      <c r="AK114" s="332"/>
      <c r="AL114" s="332"/>
      <c r="AM114" s="439"/>
      <c r="AN114" s="440"/>
      <c r="AO114" s="501"/>
      <c r="AP114" s="335"/>
      <c r="AQ114" s="334"/>
      <c r="AR114" s="505"/>
      <c r="AS114" s="505"/>
      <c r="AT114" s="353"/>
      <c r="AU114" s="323"/>
      <c r="AV114" s="323"/>
      <c r="AW114" s="540"/>
      <c r="AX114" s="323"/>
      <c r="AY114" s="353"/>
      <c r="AZ114" s="323"/>
      <c r="BA114" s="497"/>
      <c r="BB114" s="321"/>
      <c r="BC114" s="441"/>
      <c r="BD114" s="320"/>
      <c r="BE114" s="320"/>
      <c r="BF114" s="497"/>
      <c r="BG114" s="497"/>
      <c r="BH114" s="320"/>
      <c r="BI114" s="320"/>
      <c r="BJ114" s="320"/>
      <c r="BK114" s="320"/>
      <c r="BL114" s="320"/>
      <c r="BM114" s="320"/>
      <c r="BN114" s="336"/>
      <c r="BO114" s="337"/>
      <c r="BP114" s="338"/>
      <c r="BQ114" s="442"/>
      <c r="BR114" s="443"/>
      <c r="BS114" s="543"/>
      <c r="BT114" s="490"/>
      <c r="BU114" s="490"/>
      <c r="BV114" s="341"/>
      <c r="BW114" s="377"/>
      <c r="BX114" s="343"/>
      <c r="BY114" s="490"/>
      <c r="BZ114" s="341"/>
      <c r="CA114" s="377"/>
      <c r="CB114" s="377"/>
      <c r="CC114" s="341"/>
      <c r="CD114" s="344"/>
      <c r="CE114" s="378"/>
      <c r="CF114" s="377"/>
      <c r="CG114" s="377"/>
      <c r="CH114" s="491"/>
      <c r="CI114" s="377"/>
      <c r="CJ114" s="379"/>
      <c r="CK114" s="377"/>
      <c r="CL114" s="377"/>
      <c r="CM114" s="377"/>
      <c r="CN114" s="377"/>
      <c r="CO114" s="380"/>
      <c r="CP114" s="381"/>
      <c r="CQ114" s="444"/>
      <c r="CR114" s="445"/>
      <c r="CS114" s="347"/>
      <c r="CT114" s="347"/>
      <c r="CU114" s="446"/>
      <c r="CV114" s="446"/>
      <c r="CW114" s="446"/>
      <c r="CX114" s="447"/>
      <c r="CY114" s="447"/>
      <c r="DA114" s="352"/>
      <c r="DI114" s="423"/>
      <c r="DJ114" s="423"/>
      <c r="DK114" s="423"/>
      <c r="DL114" s="423"/>
      <c r="DM114" s="423"/>
      <c r="DN114" s="423"/>
      <c r="DO114" s="424"/>
      <c r="DP114" s="423"/>
    </row>
    <row r="115" spans="1:120" ht="16.5">
      <c r="A115" s="437"/>
      <c r="B115" s="404"/>
      <c r="C115" s="498"/>
      <c r="D115" s="498"/>
      <c r="E115" s="320"/>
      <c r="F115" s="320"/>
      <c r="G115" s="321"/>
      <c r="H115" s="486"/>
      <c r="I115" s="486"/>
      <c r="J115" s="322"/>
      <c r="K115" s="323"/>
      <c r="L115" s="501"/>
      <c r="M115" s="324"/>
      <c r="N115" s="325"/>
      <c r="O115" s="326"/>
      <c r="P115" s="327"/>
      <c r="Q115" s="403"/>
      <c r="R115" s="351"/>
      <c r="S115" s="327"/>
      <c r="T115" s="349"/>
      <c r="U115" s="328"/>
      <c r="V115" s="503"/>
      <c r="W115" s="350"/>
      <c r="X115" s="326"/>
      <c r="Y115" s="504"/>
      <c r="Z115" s="438"/>
      <c r="AA115" s="330"/>
      <c r="AB115" s="326"/>
      <c r="AC115" s="326"/>
      <c r="AD115" s="331"/>
      <c r="AE115" s="320"/>
      <c r="AF115" s="320"/>
      <c r="AG115" s="320"/>
      <c r="AH115" s="332"/>
      <c r="AI115" s="332"/>
      <c r="AJ115" s="332"/>
      <c r="AK115" s="332"/>
      <c r="AL115" s="332"/>
      <c r="AM115" s="439"/>
      <c r="AN115" s="440"/>
      <c r="AO115" s="501"/>
      <c r="AP115" s="335"/>
      <c r="AQ115" s="334"/>
      <c r="AR115" s="505"/>
      <c r="AS115" s="505"/>
      <c r="AT115" s="353"/>
      <c r="AU115" s="323"/>
      <c r="AV115" s="323"/>
      <c r="AW115" s="540"/>
      <c r="AX115" s="323"/>
      <c r="AY115" s="353"/>
      <c r="AZ115" s="323"/>
      <c r="BA115" s="497"/>
      <c r="BB115" s="321"/>
      <c r="BC115" s="441"/>
      <c r="BD115" s="320"/>
      <c r="BE115" s="320"/>
      <c r="BF115" s="497"/>
      <c r="BG115" s="497"/>
      <c r="BH115" s="320"/>
      <c r="BI115" s="320"/>
      <c r="BJ115" s="320"/>
      <c r="BK115" s="320"/>
      <c r="BL115" s="320"/>
      <c r="BM115" s="320"/>
      <c r="BN115" s="336"/>
      <c r="BO115" s="337"/>
      <c r="BP115" s="338"/>
      <c r="BQ115" s="442"/>
      <c r="BR115" s="443"/>
      <c r="BS115" s="543"/>
      <c r="BT115" s="490"/>
      <c r="BU115" s="490"/>
      <c r="BV115" s="341"/>
      <c r="BW115" s="377"/>
      <c r="BX115" s="343"/>
      <c r="BY115" s="490"/>
      <c r="BZ115" s="341"/>
      <c r="CA115" s="377"/>
      <c r="CB115" s="377"/>
      <c r="CC115" s="341"/>
      <c r="CD115" s="344"/>
      <c r="CE115" s="378"/>
      <c r="CF115" s="377"/>
      <c r="CG115" s="377"/>
      <c r="CH115" s="491"/>
      <c r="CI115" s="377"/>
      <c r="CJ115" s="379"/>
      <c r="CK115" s="377"/>
      <c r="CL115" s="377"/>
      <c r="CM115" s="377"/>
      <c r="CN115" s="377"/>
      <c r="CO115" s="380"/>
      <c r="CP115" s="381"/>
      <c r="CQ115" s="444"/>
      <c r="CR115" s="445"/>
      <c r="CS115" s="347"/>
      <c r="CT115" s="347"/>
      <c r="CU115" s="446"/>
      <c r="CV115" s="446"/>
      <c r="CW115" s="446"/>
      <c r="CX115" s="447"/>
      <c r="CY115" s="447"/>
      <c r="DA115" s="352"/>
      <c r="DI115" s="423"/>
      <c r="DJ115" s="423"/>
      <c r="DK115" s="423"/>
      <c r="DL115" s="423"/>
      <c r="DM115" s="423"/>
      <c r="DN115" s="423"/>
      <c r="DO115" s="424"/>
      <c r="DP115" s="423"/>
    </row>
    <row r="116" spans="1:120" ht="16.5">
      <c r="A116" s="437"/>
      <c r="B116" s="404"/>
      <c r="C116" s="498"/>
      <c r="D116" s="498"/>
      <c r="E116" s="320"/>
      <c r="F116" s="320"/>
      <c r="G116" s="321"/>
      <c r="H116" s="486"/>
      <c r="I116" s="486"/>
      <c r="J116" s="322"/>
      <c r="K116" s="323"/>
      <c r="L116" s="501"/>
      <c r="M116" s="324"/>
      <c r="N116" s="325"/>
      <c r="O116" s="326"/>
      <c r="P116" s="327"/>
      <c r="Q116" s="403"/>
      <c r="R116" s="351"/>
      <c r="S116" s="327"/>
      <c r="T116" s="349"/>
      <c r="U116" s="328"/>
      <c r="V116" s="503"/>
      <c r="W116" s="350"/>
      <c r="X116" s="326"/>
      <c r="Y116" s="504"/>
      <c r="Z116" s="438"/>
      <c r="AA116" s="330"/>
      <c r="AB116" s="326"/>
      <c r="AC116" s="326"/>
      <c r="AD116" s="331"/>
      <c r="AE116" s="320"/>
      <c r="AF116" s="320"/>
      <c r="AG116" s="320"/>
      <c r="AH116" s="332"/>
      <c r="AI116" s="332"/>
      <c r="AJ116" s="332"/>
      <c r="AK116" s="332"/>
      <c r="AL116" s="332"/>
      <c r="AM116" s="439"/>
      <c r="AN116" s="440"/>
      <c r="AO116" s="501"/>
      <c r="AP116" s="335"/>
      <c r="AQ116" s="334"/>
      <c r="AR116" s="505"/>
      <c r="AS116" s="505"/>
      <c r="AT116" s="353"/>
      <c r="AU116" s="323"/>
      <c r="AV116" s="323"/>
      <c r="AW116" s="540"/>
      <c r="AX116" s="323"/>
      <c r="AY116" s="353"/>
      <c r="AZ116" s="323"/>
      <c r="BA116" s="497"/>
      <c r="BB116" s="321"/>
      <c r="BC116" s="441"/>
      <c r="BD116" s="320"/>
      <c r="BE116" s="320"/>
      <c r="BF116" s="497"/>
      <c r="BG116" s="497"/>
      <c r="BH116" s="320"/>
      <c r="BI116" s="320"/>
      <c r="BJ116" s="320"/>
      <c r="BK116" s="320"/>
      <c r="BL116" s="320"/>
      <c r="BM116" s="320"/>
      <c r="BN116" s="336"/>
      <c r="BO116" s="337"/>
      <c r="BP116" s="338"/>
      <c r="BQ116" s="442"/>
      <c r="BR116" s="443"/>
      <c r="BS116" s="543"/>
      <c r="BT116" s="490"/>
      <c r="BU116" s="490"/>
      <c r="BV116" s="341"/>
      <c r="BW116" s="377"/>
      <c r="BX116" s="343"/>
      <c r="BY116" s="490"/>
      <c r="BZ116" s="341"/>
      <c r="CA116" s="377"/>
      <c r="CB116" s="377"/>
      <c r="CC116" s="341"/>
      <c r="CD116" s="344"/>
      <c r="CE116" s="378"/>
      <c r="CF116" s="377"/>
      <c r="CG116" s="377"/>
      <c r="CH116" s="491"/>
      <c r="CI116" s="377"/>
      <c r="CJ116" s="379"/>
      <c r="CK116" s="377"/>
      <c r="CL116" s="377"/>
      <c r="CM116" s="377"/>
      <c r="CN116" s="377"/>
      <c r="CO116" s="380"/>
      <c r="CP116" s="381"/>
      <c r="CQ116" s="444"/>
      <c r="CR116" s="445"/>
      <c r="CS116" s="347"/>
      <c r="CT116" s="347"/>
      <c r="CU116" s="446"/>
      <c r="CV116" s="446"/>
      <c r="CW116" s="446"/>
      <c r="CX116" s="447"/>
      <c r="CY116" s="447"/>
      <c r="DA116" s="352"/>
      <c r="DI116" s="423"/>
      <c r="DJ116" s="423"/>
      <c r="DK116" s="423"/>
      <c r="DL116" s="423"/>
      <c r="DM116" s="423"/>
      <c r="DN116" s="423"/>
      <c r="DO116" s="424"/>
      <c r="DP116" s="423"/>
    </row>
    <row r="117" spans="1:120" ht="16.5">
      <c r="A117" s="437"/>
      <c r="B117" s="404"/>
      <c r="C117" s="498"/>
      <c r="D117" s="498"/>
      <c r="E117" s="320"/>
      <c r="F117" s="320"/>
      <c r="G117" s="321"/>
      <c r="H117" s="486"/>
      <c r="I117" s="486"/>
      <c r="J117" s="322"/>
      <c r="K117" s="323"/>
      <c r="L117" s="501"/>
      <c r="M117" s="324"/>
      <c r="N117" s="325"/>
      <c r="O117" s="326"/>
      <c r="P117" s="327"/>
      <c r="Q117" s="403"/>
      <c r="R117" s="351"/>
      <c r="S117" s="327"/>
      <c r="T117" s="349"/>
      <c r="U117" s="328"/>
      <c r="V117" s="503"/>
      <c r="W117" s="350"/>
      <c r="X117" s="326"/>
      <c r="Y117" s="504"/>
      <c r="Z117" s="438"/>
      <c r="AA117" s="330"/>
      <c r="AB117" s="326"/>
      <c r="AC117" s="326"/>
      <c r="AD117" s="331"/>
      <c r="AE117" s="320"/>
      <c r="AF117" s="320"/>
      <c r="AG117" s="320"/>
      <c r="AH117" s="332"/>
      <c r="AI117" s="332"/>
      <c r="AJ117" s="332"/>
      <c r="AK117" s="332"/>
      <c r="AL117" s="332"/>
      <c r="AM117" s="439"/>
      <c r="AN117" s="440"/>
      <c r="AO117" s="501"/>
      <c r="AP117" s="335"/>
      <c r="AQ117" s="334"/>
      <c r="AR117" s="505"/>
      <c r="AS117" s="505"/>
      <c r="AT117" s="353"/>
      <c r="AU117" s="323"/>
      <c r="AV117" s="323"/>
      <c r="AW117" s="540"/>
      <c r="AX117" s="323"/>
      <c r="AY117" s="353"/>
      <c r="AZ117" s="323"/>
      <c r="BA117" s="497"/>
      <c r="BB117" s="321"/>
      <c r="BC117" s="441"/>
      <c r="BD117" s="320"/>
      <c r="BE117" s="320"/>
      <c r="BF117" s="497"/>
      <c r="BG117" s="497"/>
      <c r="BH117" s="320"/>
      <c r="BI117" s="320"/>
      <c r="BJ117" s="320"/>
      <c r="BK117" s="320"/>
      <c r="BL117" s="320"/>
      <c r="BM117" s="320"/>
      <c r="BN117" s="336"/>
      <c r="BO117" s="337"/>
      <c r="BP117" s="338"/>
      <c r="BQ117" s="442"/>
      <c r="BR117" s="443"/>
      <c r="BS117" s="543"/>
      <c r="BT117" s="490"/>
      <c r="BU117" s="490"/>
      <c r="BV117" s="341"/>
      <c r="BW117" s="377"/>
      <c r="BX117" s="343"/>
      <c r="BY117" s="490"/>
      <c r="BZ117" s="341"/>
      <c r="CA117" s="377"/>
      <c r="CB117" s="377"/>
      <c r="CC117" s="341"/>
      <c r="CD117" s="344"/>
      <c r="CE117" s="378"/>
      <c r="CF117" s="377"/>
      <c r="CG117" s="377"/>
      <c r="CH117" s="491"/>
      <c r="CI117" s="377"/>
      <c r="CJ117" s="379"/>
      <c r="CK117" s="377"/>
      <c r="CL117" s="377"/>
      <c r="CM117" s="377"/>
      <c r="CN117" s="377"/>
      <c r="CO117" s="380"/>
      <c r="CP117" s="381"/>
      <c r="CQ117" s="444"/>
      <c r="CR117" s="445"/>
      <c r="CS117" s="347"/>
      <c r="CT117" s="347"/>
      <c r="CU117" s="446"/>
      <c r="CV117" s="446"/>
      <c r="CW117" s="446"/>
      <c r="CX117" s="447"/>
      <c r="CY117" s="447"/>
      <c r="DA117" s="352"/>
      <c r="DI117" s="423"/>
      <c r="DJ117" s="423"/>
      <c r="DK117" s="423"/>
      <c r="DL117" s="423"/>
      <c r="DM117" s="423"/>
      <c r="DN117" s="423"/>
      <c r="DO117" s="424"/>
      <c r="DP117" s="423"/>
    </row>
    <row r="118" spans="1:120" ht="7.5" customHeight="1">
      <c r="A118" s="454"/>
      <c r="B118" s="454"/>
      <c r="C118" s="496"/>
      <c r="D118" s="496"/>
      <c r="E118" s="454"/>
      <c r="F118" s="454"/>
      <c r="G118" s="454"/>
      <c r="H118" s="496"/>
      <c r="I118" s="496"/>
      <c r="J118" s="454"/>
      <c r="K118" s="454"/>
      <c r="L118" s="496"/>
      <c r="M118" s="454"/>
      <c r="N118" s="454"/>
      <c r="O118" s="454"/>
      <c r="P118" s="454"/>
      <c r="Q118" s="454"/>
      <c r="R118" s="454"/>
      <c r="S118" s="454"/>
      <c r="T118" s="454"/>
      <c r="U118" s="454"/>
      <c r="V118" s="454"/>
      <c r="W118" s="454"/>
      <c r="X118" s="454"/>
      <c r="Y118" s="496"/>
      <c r="Z118" s="454"/>
      <c r="AA118" s="454"/>
      <c r="AB118" s="454"/>
      <c r="AC118" s="454"/>
      <c r="AD118" s="454"/>
      <c r="AE118" s="454"/>
      <c r="AF118" s="454"/>
      <c r="AG118" s="454"/>
      <c r="AH118" s="454"/>
      <c r="AI118" s="454"/>
      <c r="AJ118" s="454"/>
      <c r="AK118" s="454"/>
      <c r="AL118" s="454"/>
      <c r="AM118" s="454"/>
      <c r="AN118" s="454"/>
      <c r="AO118" s="496"/>
      <c r="AP118" s="454"/>
      <c r="AQ118" s="454"/>
      <c r="AR118" s="496"/>
      <c r="AS118" s="496"/>
      <c r="AT118" s="454"/>
      <c r="AU118" s="454"/>
      <c r="AV118" s="454"/>
      <c r="AW118" s="454"/>
      <c r="AX118" s="454"/>
      <c r="AY118" s="454"/>
      <c r="AZ118" s="454"/>
      <c r="BA118" s="496"/>
      <c r="BB118" s="454"/>
      <c r="BC118" s="454"/>
      <c r="BD118" s="454"/>
      <c r="BE118" s="454"/>
      <c r="BF118" s="496"/>
      <c r="BG118" s="496"/>
      <c r="BH118" s="454"/>
      <c r="BI118" s="454"/>
      <c r="BJ118" s="454"/>
      <c r="BK118" s="454"/>
      <c r="BL118" s="454"/>
      <c r="BM118" s="454"/>
      <c r="BN118" s="454"/>
      <c r="BO118" s="454"/>
      <c r="BP118" s="454"/>
      <c r="BQ118" s="454"/>
      <c r="BR118" s="454"/>
      <c r="BS118" s="544"/>
      <c r="BT118" s="496"/>
      <c r="BU118" s="496"/>
      <c r="BV118" s="454"/>
      <c r="BW118" s="454"/>
      <c r="BX118" s="454"/>
      <c r="BY118" s="496"/>
      <c r="BZ118" s="454"/>
      <c r="CA118" s="454"/>
      <c r="CB118" s="454"/>
      <c r="CC118" s="454"/>
      <c r="CD118" s="454"/>
      <c r="CE118" s="454"/>
      <c r="CF118" s="454"/>
      <c r="CG118" s="454"/>
      <c r="CH118" s="496"/>
      <c r="CI118" s="454"/>
      <c r="CJ118" s="454"/>
      <c r="CK118" s="454"/>
      <c r="CL118" s="454"/>
      <c r="CM118" s="454"/>
      <c r="CN118" s="454"/>
      <c r="CO118" s="454"/>
      <c r="CP118" s="454"/>
      <c r="CQ118" s="454"/>
      <c r="CR118" s="454"/>
      <c r="CS118" s="454"/>
      <c r="CT118" s="454"/>
      <c r="CU118" s="454"/>
      <c r="CV118" s="454"/>
      <c r="CW118" s="454"/>
      <c r="CX118" s="454"/>
      <c r="CY118" s="454"/>
      <c r="CZ118" s="454"/>
      <c r="DA118" s="454"/>
      <c r="DB118" s="454"/>
      <c r="DC118" s="454"/>
      <c r="DD118" s="454"/>
      <c r="DE118" s="454"/>
      <c r="DF118" s="454"/>
      <c r="DG118" s="454"/>
      <c r="DH118" s="454"/>
      <c r="DI118" s="455"/>
      <c r="DJ118" s="455"/>
      <c r="DK118" s="456"/>
      <c r="DL118" s="456"/>
      <c r="DM118" s="456"/>
      <c r="DN118" s="456"/>
      <c r="DO118" s="456"/>
      <c r="DP118" s="456"/>
    </row>
    <row r="119" spans="1:120">
      <c r="C119"/>
      <c r="D119"/>
      <c r="DI119" s="342"/>
      <c r="DJ119" s="342"/>
      <c r="DK119" s="453"/>
      <c r="DL119" s="453"/>
      <c r="DM119" s="453"/>
      <c r="DN119" s="453"/>
      <c r="DO119" s="453"/>
      <c r="DP119" s="453"/>
    </row>
    <row r="120" spans="1:120">
      <c r="C120"/>
      <c r="D120"/>
      <c r="DI120" s="329"/>
      <c r="DJ120" s="329"/>
      <c r="DK120" s="425"/>
      <c r="DL120" s="425"/>
      <c r="DM120" s="425"/>
      <c r="DN120" s="425"/>
      <c r="DO120" s="425"/>
      <c r="DP120" s="425"/>
    </row>
    <row r="121" spans="1:120">
      <c r="C121"/>
      <c r="D121"/>
      <c r="DI121" s="329"/>
      <c r="DJ121" s="329"/>
      <c r="DK121" s="425"/>
      <c r="DL121" s="425"/>
      <c r="DM121" s="425"/>
      <c r="DN121" s="425"/>
      <c r="DO121" s="425"/>
      <c r="DP121" s="425"/>
    </row>
    <row r="122" spans="1:120">
      <c r="C122"/>
      <c r="D122"/>
      <c r="DI122" s="329"/>
      <c r="DJ122" s="329"/>
      <c r="DK122" s="425"/>
      <c r="DL122" s="425"/>
      <c r="DM122" s="425"/>
      <c r="DN122" s="425"/>
      <c r="DO122" s="425"/>
      <c r="DP122" s="425"/>
    </row>
    <row r="123" spans="1:120">
      <c r="C123"/>
      <c r="D123"/>
      <c r="DI123" s="329"/>
      <c r="DJ123" s="329"/>
      <c r="DK123" s="425"/>
      <c r="DL123" s="425"/>
      <c r="DM123" s="425"/>
      <c r="DN123" s="425"/>
      <c r="DO123" s="425"/>
      <c r="DP123" s="425"/>
    </row>
    <row r="124" spans="1:120">
      <c r="C124"/>
      <c r="D124"/>
      <c r="DI124" s="329"/>
      <c r="DJ124" s="329"/>
      <c r="DK124" s="425"/>
      <c r="DL124" s="425"/>
      <c r="DM124" s="425"/>
      <c r="DN124" s="425"/>
      <c r="DO124" s="425"/>
      <c r="DP124" s="425"/>
    </row>
    <row r="125" spans="1:120">
      <c r="C125"/>
      <c r="D125"/>
      <c r="DI125" s="329"/>
      <c r="DJ125" s="329"/>
      <c r="DK125" s="425"/>
      <c r="DL125" s="425"/>
      <c r="DM125" s="425"/>
      <c r="DN125" s="425"/>
      <c r="DO125" s="425"/>
      <c r="DP125" s="425"/>
    </row>
    <row r="126" spans="1:120">
      <c r="C126"/>
      <c r="D126"/>
      <c r="DI126" s="329"/>
      <c r="DJ126" s="329"/>
      <c r="DK126" s="425"/>
      <c r="DL126" s="425"/>
      <c r="DM126" s="425"/>
      <c r="DN126" s="425"/>
      <c r="DO126" s="425"/>
      <c r="DP126" s="425"/>
    </row>
    <row r="127" spans="1:120">
      <c r="C127"/>
      <c r="D127"/>
      <c r="DI127" s="329"/>
      <c r="DJ127" s="329"/>
      <c r="DK127" s="425"/>
      <c r="DL127" s="425"/>
      <c r="DM127" s="425"/>
      <c r="DN127" s="425"/>
      <c r="DO127" s="425"/>
      <c r="DP127" s="425"/>
    </row>
    <row r="128" spans="1:120">
      <c r="C128"/>
      <c r="D128"/>
      <c r="DI128" s="329"/>
      <c r="DJ128" s="329"/>
      <c r="DK128" s="425"/>
      <c r="DL128" s="425"/>
      <c r="DM128" s="425"/>
      <c r="DN128" s="425"/>
      <c r="DO128" s="425"/>
      <c r="DP128" s="425"/>
    </row>
    <row r="129" spans="3:120">
      <c r="C129"/>
      <c r="D129"/>
      <c r="DI129" s="329"/>
      <c r="DJ129" s="329"/>
      <c r="DK129" s="425"/>
      <c r="DL129" s="425"/>
      <c r="DM129" s="425"/>
      <c r="DN129" s="425"/>
      <c r="DO129" s="425"/>
      <c r="DP129" s="425"/>
    </row>
    <row r="130" spans="3:120">
      <c r="DI130" s="329"/>
      <c r="DJ130" s="329"/>
      <c r="DK130" s="425"/>
      <c r="DL130" s="425"/>
      <c r="DM130" s="425"/>
      <c r="DN130" s="425"/>
      <c r="DO130" s="425"/>
      <c r="DP130" s="425"/>
    </row>
    <row r="131" spans="3:120">
      <c r="C131" s="271"/>
      <c r="D131" s="271"/>
      <c r="F131" s="476"/>
      <c r="DI131" s="329"/>
      <c r="DJ131" s="329"/>
      <c r="DK131" s="425"/>
      <c r="DL131" s="425"/>
      <c r="DM131" s="425"/>
      <c r="DN131" s="425"/>
      <c r="DO131" s="425"/>
      <c r="DP131" s="425"/>
    </row>
    <row r="132" spans="3:120">
      <c r="C132" s="271"/>
      <c r="D132" s="271"/>
      <c r="F132" s="476"/>
      <c r="DI132" s="329"/>
      <c r="DJ132" s="329"/>
      <c r="DK132" s="425"/>
      <c r="DL132" s="425"/>
      <c r="DM132" s="425"/>
      <c r="DN132" s="425"/>
      <c r="DO132" s="425"/>
      <c r="DP132" s="425"/>
    </row>
    <row r="133" spans="3:120">
      <c r="C133" s="271"/>
      <c r="D133" s="271"/>
      <c r="F133" s="476"/>
      <c r="DI133" s="329"/>
      <c r="DJ133" s="329"/>
      <c r="DK133" s="425"/>
      <c r="DL133" s="425"/>
      <c r="DM133" s="425"/>
      <c r="DN133" s="425"/>
      <c r="DO133" s="425"/>
      <c r="DP133" s="425"/>
    </row>
    <row r="134" spans="3:120">
      <c r="C134" s="271"/>
      <c r="D134" s="271"/>
      <c r="F134" s="476"/>
      <c r="DI134" s="329"/>
      <c r="DJ134" s="329"/>
      <c r="DK134" s="425"/>
      <c r="DL134" s="425"/>
      <c r="DM134" s="425"/>
      <c r="DN134" s="425"/>
      <c r="DO134" s="425"/>
      <c r="DP134" s="425"/>
    </row>
    <row r="135" spans="3:120">
      <c r="C135" s="271"/>
      <c r="D135" s="271"/>
      <c r="F135" s="476"/>
      <c r="DI135" s="329"/>
      <c r="DJ135" s="329"/>
      <c r="DK135" s="425"/>
      <c r="DL135" s="425"/>
      <c r="DM135" s="425"/>
      <c r="DN135" s="425"/>
      <c r="DO135" s="425"/>
      <c r="DP135" s="425"/>
    </row>
    <row r="136" spans="3:120">
      <c r="C136" s="271"/>
      <c r="D136" s="271"/>
      <c r="F136" s="476"/>
      <c r="DI136" s="329"/>
      <c r="DJ136" s="329"/>
      <c r="DK136" s="425"/>
      <c r="DL136" s="425"/>
      <c r="DM136" s="425"/>
      <c r="DN136" s="425"/>
      <c r="DO136" s="425"/>
      <c r="DP136" s="425"/>
    </row>
    <row r="137" spans="3:120">
      <c r="C137" s="271"/>
      <c r="D137" s="271"/>
      <c r="F137" s="476"/>
      <c r="DI137" s="329"/>
      <c r="DJ137" s="329"/>
      <c r="DK137" s="425"/>
      <c r="DL137" s="425"/>
      <c r="DM137" s="425"/>
      <c r="DN137" s="425"/>
      <c r="DO137" s="425"/>
      <c r="DP137" s="425"/>
    </row>
    <row r="138" spans="3:120">
      <c r="C138" s="271"/>
      <c r="D138" s="271"/>
      <c r="F138" s="476"/>
      <c r="DI138" s="329"/>
      <c r="DJ138" s="329"/>
      <c r="DK138" s="425"/>
      <c r="DL138" s="425"/>
      <c r="DM138" s="425"/>
      <c r="DN138" s="425"/>
      <c r="DO138" s="425"/>
      <c r="DP138" s="425"/>
    </row>
    <row r="139" spans="3:120">
      <c r="C139" s="271"/>
      <c r="D139" s="271"/>
      <c r="F139" s="476"/>
      <c r="DI139" s="329"/>
      <c r="DJ139" s="329"/>
      <c r="DK139" s="425"/>
      <c r="DL139" s="425"/>
      <c r="DM139" s="425"/>
      <c r="DN139" s="425"/>
      <c r="DO139" s="425"/>
      <c r="DP139" s="425"/>
    </row>
    <row r="140" spans="3:120">
      <c r="C140" s="271"/>
      <c r="D140" s="271"/>
      <c r="F140" s="476"/>
      <c r="DI140" s="329"/>
      <c r="DJ140" s="329"/>
      <c r="DK140" s="425"/>
      <c r="DL140" s="425"/>
      <c r="DM140" s="425"/>
      <c r="DN140" s="425"/>
      <c r="DO140" s="425"/>
      <c r="DP140" s="425"/>
    </row>
    <row r="141" spans="3:120">
      <c r="C141" s="271"/>
      <c r="D141" s="271"/>
      <c r="F141" s="476"/>
      <c r="DI141" s="329"/>
      <c r="DJ141" s="329"/>
      <c r="DK141" s="425"/>
      <c r="DL141" s="425"/>
      <c r="DM141" s="425"/>
      <c r="DN141" s="425"/>
      <c r="DO141" s="425"/>
      <c r="DP141" s="425"/>
    </row>
    <row r="142" spans="3:120">
      <c r="C142" s="271"/>
      <c r="D142" s="271"/>
      <c r="F142" s="476"/>
      <c r="DI142" s="329"/>
      <c r="DJ142" s="329"/>
      <c r="DK142" s="425"/>
      <c r="DL142" s="425"/>
      <c r="DM142" s="425"/>
      <c r="DN142" s="425"/>
      <c r="DO142" s="425"/>
      <c r="DP142" s="425"/>
    </row>
    <row r="143" spans="3:120">
      <c r="C143" s="271"/>
      <c r="D143" s="271"/>
      <c r="F143" s="476"/>
      <c r="DI143" s="329"/>
      <c r="DJ143" s="329"/>
      <c r="DK143" s="425"/>
      <c r="DL143" s="425"/>
      <c r="DM143" s="425"/>
      <c r="DN143" s="425"/>
      <c r="DO143" s="425"/>
      <c r="DP143" s="425"/>
    </row>
    <row r="144" spans="3:120">
      <c r="C144" s="271"/>
      <c r="D144" s="271"/>
      <c r="DI144" s="329"/>
      <c r="DJ144" s="329"/>
      <c r="DK144" s="425"/>
      <c r="DL144" s="425"/>
      <c r="DM144" s="425"/>
      <c r="DN144" s="425"/>
      <c r="DO144" s="425"/>
      <c r="DP144" s="425"/>
    </row>
    <row r="145" spans="3:120">
      <c r="C145" s="271"/>
      <c r="D145" s="271"/>
      <c r="DI145" s="329"/>
      <c r="DJ145" s="329"/>
      <c r="DK145" s="425"/>
      <c r="DL145" s="425"/>
      <c r="DM145" s="425"/>
      <c r="DN145" s="425"/>
      <c r="DO145" s="425"/>
      <c r="DP145" s="425"/>
    </row>
    <row r="146" spans="3:120">
      <c r="C146" s="271"/>
      <c r="D146" s="271"/>
      <c r="DI146" s="329"/>
      <c r="DJ146" s="329"/>
      <c r="DK146" s="425"/>
      <c r="DL146" s="425"/>
      <c r="DM146" s="425"/>
      <c r="DN146" s="425"/>
      <c r="DO146" s="425"/>
      <c r="DP146" s="425"/>
    </row>
    <row r="147" spans="3:120">
      <c r="C147" s="271"/>
      <c r="D147" s="271"/>
      <c r="DI147" s="329"/>
      <c r="DJ147" s="329"/>
      <c r="DK147" s="425"/>
      <c r="DL147" s="425"/>
      <c r="DM147" s="425"/>
      <c r="DN147" s="425"/>
      <c r="DO147" s="425"/>
      <c r="DP147" s="425"/>
    </row>
    <row r="148" spans="3:120">
      <c r="F148" s="476"/>
      <c r="DI148" s="329"/>
      <c r="DJ148" s="329"/>
      <c r="DK148" s="425"/>
      <c r="DL148" s="425"/>
      <c r="DM148" s="425"/>
      <c r="DN148" s="425"/>
      <c r="DO148" s="425"/>
      <c r="DP148" s="425"/>
    </row>
    <row r="149" spans="3:120">
      <c r="C149" s="476"/>
      <c r="DI149" s="329"/>
      <c r="DJ149" s="329"/>
      <c r="DK149" s="425"/>
      <c r="DL149" s="425"/>
      <c r="DM149" s="425"/>
      <c r="DN149" s="425"/>
      <c r="DO149" s="425"/>
      <c r="DP149" s="425"/>
    </row>
    <row r="150" spans="3:120">
      <c r="DI150" s="329"/>
      <c r="DJ150" s="329"/>
      <c r="DK150" s="425"/>
      <c r="DL150" s="425"/>
      <c r="DM150" s="425"/>
      <c r="DN150" s="425"/>
      <c r="DO150" s="425"/>
      <c r="DP150" s="425"/>
    </row>
    <row r="151" spans="3:120">
      <c r="C151" s="271"/>
      <c r="DI151" s="329"/>
      <c r="DJ151" s="329"/>
      <c r="DK151" s="425"/>
      <c r="DL151" s="425"/>
      <c r="DM151" s="425"/>
      <c r="DN151" s="425"/>
      <c r="DO151" s="425"/>
      <c r="DP151" s="425"/>
    </row>
    <row r="152" spans="3:120">
      <c r="DI152" s="329"/>
      <c r="DJ152" s="329"/>
      <c r="DK152" s="425"/>
      <c r="DL152" s="425"/>
      <c r="DM152" s="425"/>
      <c r="DN152" s="425"/>
      <c r="DO152" s="425"/>
      <c r="DP152" s="425"/>
    </row>
    <row r="153" spans="3:120">
      <c r="C153" s="271"/>
      <c r="DI153" s="329"/>
      <c r="DJ153" s="329"/>
      <c r="DK153" s="425"/>
      <c r="DL153" s="425"/>
      <c r="DM153" s="425"/>
      <c r="DN153" s="425"/>
      <c r="DO153" s="425"/>
      <c r="DP153" s="425"/>
    </row>
    <row r="154" spans="3:120">
      <c r="C154" s="476"/>
      <c r="DI154" s="329"/>
      <c r="DJ154" s="329"/>
      <c r="DK154" s="425"/>
      <c r="DL154" s="425"/>
      <c r="DM154" s="425"/>
      <c r="DN154" s="425"/>
      <c r="DO154" s="425"/>
      <c r="DP154" s="425"/>
    </row>
    <row r="155" spans="3:120">
      <c r="DI155" s="329"/>
      <c r="DJ155" s="329"/>
      <c r="DK155" s="425"/>
      <c r="DL155" s="425"/>
      <c r="DM155" s="425"/>
      <c r="DN155" s="425"/>
      <c r="DO155" s="425"/>
      <c r="DP155" s="425"/>
    </row>
    <row r="156" spans="3:120">
      <c r="C156" s="476"/>
      <c r="DI156" s="329"/>
      <c r="DJ156" s="329"/>
      <c r="DK156" s="425"/>
      <c r="DL156" s="425"/>
      <c r="DM156" s="425"/>
      <c r="DN156" s="425"/>
      <c r="DO156" s="425"/>
      <c r="DP156" s="425"/>
    </row>
    <row r="157" spans="3:120">
      <c r="DI157" s="329"/>
      <c r="DJ157" s="329"/>
      <c r="DK157" s="425"/>
      <c r="DL157" s="425"/>
      <c r="DM157" s="425"/>
      <c r="DN157" s="425"/>
      <c r="DO157" s="425"/>
      <c r="DP157" s="425"/>
    </row>
    <row r="158" spans="3:120">
      <c r="DI158" s="329"/>
      <c r="DJ158" s="329"/>
      <c r="DK158" s="425"/>
      <c r="DL158" s="425"/>
      <c r="DM158" s="425"/>
      <c r="DN158" s="425"/>
      <c r="DO158" s="425"/>
      <c r="DP158" s="425"/>
    </row>
    <row r="159" spans="3:120">
      <c r="DI159" s="329"/>
      <c r="DJ159" s="329"/>
      <c r="DK159" s="425"/>
      <c r="DL159" s="425"/>
      <c r="DM159" s="425"/>
      <c r="DN159" s="425"/>
      <c r="DO159" s="425"/>
      <c r="DP159" s="425"/>
    </row>
    <row r="160" spans="3:120">
      <c r="DI160" s="329"/>
      <c r="DJ160" s="329"/>
      <c r="DK160" s="425"/>
      <c r="DL160" s="425"/>
      <c r="DM160" s="425"/>
      <c r="DN160" s="425"/>
      <c r="DO160" s="425"/>
      <c r="DP160" s="425"/>
    </row>
    <row r="161" spans="113:120">
      <c r="DI161" s="329"/>
      <c r="DJ161" s="329"/>
      <c r="DK161" s="425"/>
      <c r="DL161" s="425"/>
      <c r="DM161" s="425"/>
      <c r="DN161" s="425"/>
      <c r="DO161" s="425"/>
      <c r="DP161" s="425"/>
    </row>
    <row r="162" spans="113:120">
      <c r="DI162" s="329"/>
      <c r="DJ162" s="329"/>
      <c r="DK162" s="425"/>
      <c r="DL162" s="425"/>
      <c r="DM162" s="425"/>
      <c r="DN162" s="425"/>
      <c r="DO162" s="425"/>
      <c r="DP162" s="425"/>
    </row>
    <row r="163" spans="113:120">
      <c r="DI163" s="329"/>
      <c r="DJ163" s="329"/>
      <c r="DK163" s="425"/>
      <c r="DL163" s="425"/>
      <c r="DM163" s="425"/>
      <c r="DN163" s="425"/>
      <c r="DO163" s="425"/>
      <c r="DP163" s="425"/>
    </row>
    <row r="164" spans="113:120">
      <c r="DI164" s="329"/>
      <c r="DJ164" s="329"/>
      <c r="DK164" s="425"/>
      <c r="DL164" s="425"/>
      <c r="DM164" s="425"/>
      <c r="DN164" s="425"/>
      <c r="DO164" s="425"/>
      <c r="DP164" s="425"/>
    </row>
    <row r="165" spans="113:120">
      <c r="DI165" s="329"/>
      <c r="DJ165" s="329"/>
      <c r="DK165" s="425"/>
      <c r="DL165" s="425"/>
      <c r="DM165" s="425"/>
      <c r="DN165" s="425"/>
      <c r="DO165" s="425"/>
      <c r="DP165" s="425"/>
    </row>
    <row r="166" spans="113:120">
      <c r="DI166" s="329"/>
      <c r="DJ166" s="329"/>
      <c r="DK166" s="425"/>
      <c r="DL166" s="425"/>
      <c r="DM166" s="425"/>
      <c r="DN166" s="425"/>
      <c r="DO166" s="425"/>
      <c r="DP166" s="425"/>
    </row>
    <row r="167" spans="113:120">
      <c r="DI167" s="329"/>
      <c r="DJ167" s="329"/>
      <c r="DK167" s="425"/>
      <c r="DL167" s="425"/>
      <c r="DM167" s="425"/>
      <c r="DN167" s="425"/>
      <c r="DO167" s="425"/>
      <c r="DP167" s="425"/>
    </row>
    <row r="168" spans="113:120">
      <c r="DI168" s="329"/>
      <c r="DJ168" s="329"/>
      <c r="DK168" s="425"/>
      <c r="DL168" s="425"/>
      <c r="DM168" s="425"/>
      <c r="DN168" s="425"/>
      <c r="DO168" s="425"/>
      <c r="DP168" s="425"/>
    </row>
    <row r="169" spans="113:120">
      <c r="DI169" s="329"/>
      <c r="DJ169" s="329"/>
      <c r="DK169" s="425"/>
      <c r="DL169" s="425"/>
      <c r="DM169" s="425"/>
      <c r="DN169" s="425"/>
      <c r="DO169" s="425"/>
      <c r="DP169" s="425"/>
    </row>
    <row r="170" spans="113:120">
      <c r="DI170" s="329"/>
      <c r="DJ170" s="329"/>
      <c r="DK170" s="425"/>
      <c r="DL170" s="425"/>
      <c r="DM170" s="425"/>
      <c r="DN170" s="425"/>
      <c r="DO170" s="425"/>
      <c r="DP170" s="425"/>
    </row>
    <row r="171" spans="113:120">
      <c r="DI171" s="329"/>
      <c r="DJ171" s="329"/>
      <c r="DK171" s="425"/>
      <c r="DL171" s="425"/>
      <c r="DM171" s="425"/>
      <c r="DN171" s="425"/>
      <c r="DO171" s="425"/>
      <c r="DP171" s="425"/>
    </row>
    <row r="172" spans="113:120">
      <c r="DI172" s="329"/>
      <c r="DJ172" s="329"/>
      <c r="DK172" s="425"/>
      <c r="DL172" s="425"/>
      <c r="DM172" s="425"/>
      <c r="DN172" s="425"/>
      <c r="DO172" s="425"/>
      <c r="DP172" s="425"/>
    </row>
    <row r="173" spans="113:120">
      <c r="DI173" s="329"/>
      <c r="DJ173" s="329"/>
      <c r="DK173" s="425"/>
      <c r="DL173" s="425"/>
      <c r="DM173" s="425"/>
      <c r="DN173" s="425"/>
      <c r="DO173" s="425"/>
      <c r="DP173" s="425"/>
    </row>
    <row r="174" spans="113:120">
      <c r="DI174" s="329"/>
      <c r="DJ174" s="329"/>
      <c r="DK174" s="425"/>
      <c r="DL174" s="425"/>
      <c r="DM174" s="425"/>
      <c r="DN174" s="425"/>
      <c r="DO174" s="425"/>
      <c r="DP174" s="425"/>
    </row>
    <row r="175" spans="113:120">
      <c r="DI175" s="329"/>
      <c r="DJ175" s="329"/>
      <c r="DK175" s="425"/>
      <c r="DL175" s="425"/>
      <c r="DM175" s="425"/>
      <c r="DN175" s="425"/>
      <c r="DO175" s="425"/>
      <c r="DP175" s="425"/>
    </row>
    <row r="176" spans="113:120">
      <c r="DI176" s="329"/>
      <c r="DJ176" s="329"/>
      <c r="DK176" s="425"/>
      <c r="DL176" s="425"/>
      <c r="DM176" s="425"/>
      <c r="DN176" s="425"/>
      <c r="DO176" s="425"/>
      <c r="DP176" s="425"/>
    </row>
    <row r="177" spans="113:120">
      <c r="DI177" s="329"/>
      <c r="DJ177" s="329"/>
      <c r="DK177" s="425"/>
      <c r="DL177" s="425"/>
      <c r="DM177" s="425"/>
      <c r="DN177" s="425"/>
      <c r="DO177" s="425"/>
      <c r="DP177" s="425"/>
    </row>
    <row r="178" spans="113:120">
      <c r="DI178" s="329"/>
      <c r="DJ178" s="329"/>
      <c r="DK178" s="425"/>
      <c r="DL178" s="425"/>
      <c r="DM178" s="425"/>
      <c r="DN178" s="425"/>
      <c r="DO178" s="425"/>
      <c r="DP178" s="425"/>
    </row>
    <row r="179" spans="113:120">
      <c r="DI179" s="329"/>
      <c r="DJ179" s="329"/>
      <c r="DK179" s="425"/>
      <c r="DL179" s="425"/>
      <c r="DM179" s="425"/>
      <c r="DN179" s="425"/>
      <c r="DO179" s="425"/>
      <c r="DP179" s="425"/>
    </row>
    <row r="180" spans="113:120">
      <c r="DI180" s="329"/>
      <c r="DJ180" s="329"/>
      <c r="DK180" s="425"/>
      <c r="DL180" s="425"/>
      <c r="DM180" s="425"/>
      <c r="DN180" s="425"/>
      <c r="DO180" s="425"/>
      <c r="DP180" s="425"/>
    </row>
    <row r="181" spans="113:120">
      <c r="DI181" s="329"/>
      <c r="DJ181" s="329"/>
      <c r="DK181" s="425"/>
      <c r="DL181" s="425"/>
      <c r="DM181" s="425"/>
      <c r="DN181" s="425"/>
      <c r="DO181" s="425"/>
      <c r="DP181" s="425"/>
    </row>
    <row r="182" spans="113:120">
      <c r="DI182" s="329"/>
      <c r="DJ182" s="329"/>
      <c r="DK182" s="425"/>
      <c r="DL182" s="425"/>
      <c r="DM182" s="425"/>
      <c r="DN182" s="425"/>
      <c r="DO182" s="425"/>
      <c r="DP182" s="425"/>
    </row>
    <row r="183" spans="113:120">
      <c r="DI183" s="329"/>
      <c r="DJ183" s="329"/>
      <c r="DK183" s="425"/>
      <c r="DL183" s="425"/>
      <c r="DM183" s="425"/>
      <c r="DN183" s="425"/>
      <c r="DO183" s="425"/>
      <c r="DP183" s="425"/>
    </row>
    <row r="184" spans="113:120">
      <c r="DI184" s="329"/>
      <c r="DJ184" s="329"/>
      <c r="DK184" s="425"/>
      <c r="DL184" s="425"/>
      <c r="DM184" s="425"/>
      <c r="DN184" s="425"/>
      <c r="DO184" s="425"/>
      <c r="DP184" s="425"/>
    </row>
    <row r="185" spans="113:120">
      <c r="DI185" s="329"/>
      <c r="DJ185" s="329"/>
      <c r="DK185" s="425"/>
      <c r="DL185" s="425"/>
      <c r="DM185" s="425"/>
      <c r="DN185" s="425"/>
      <c r="DO185" s="425"/>
      <c r="DP185" s="425"/>
    </row>
    <row r="186" spans="113:120">
      <c r="DI186" s="329"/>
      <c r="DJ186" s="329"/>
      <c r="DK186" s="425"/>
      <c r="DL186" s="425"/>
      <c r="DM186" s="425"/>
      <c r="DN186" s="425"/>
      <c r="DO186" s="425"/>
      <c r="DP186" s="425"/>
    </row>
    <row r="187" spans="113:120">
      <c r="DI187" s="329"/>
      <c r="DJ187" s="329"/>
      <c r="DK187" s="425"/>
      <c r="DL187" s="425"/>
      <c r="DM187" s="425"/>
      <c r="DN187" s="425"/>
      <c r="DO187" s="425"/>
      <c r="DP187" s="425"/>
    </row>
    <row r="188" spans="113:120">
      <c r="DI188" s="329"/>
      <c r="DJ188" s="329"/>
      <c r="DK188" s="425"/>
      <c r="DL188" s="425"/>
      <c r="DM188" s="425"/>
      <c r="DN188" s="425"/>
      <c r="DO188" s="425"/>
      <c r="DP188" s="425"/>
    </row>
    <row r="189" spans="113:120">
      <c r="DI189" s="329"/>
      <c r="DJ189" s="329"/>
      <c r="DK189" s="425"/>
      <c r="DL189" s="425"/>
      <c r="DM189" s="425"/>
      <c r="DN189" s="425"/>
      <c r="DO189" s="425"/>
      <c r="DP189" s="425"/>
    </row>
    <row r="190" spans="113:120">
      <c r="DI190" s="329"/>
      <c r="DJ190" s="329"/>
      <c r="DK190" s="425"/>
      <c r="DL190" s="425"/>
      <c r="DM190" s="425"/>
      <c r="DN190" s="425"/>
      <c r="DO190" s="425"/>
      <c r="DP190" s="425"/>
    </row>
    <row r="191" spans="113:120">
      <c r="DI191" s="329"/>
      <c r="DJ191" s="329"/>
      <c r="DK191" s="425"/>
      <c r="DL191" s="425"/>
      <c r="DM191" s="425"/>
      <c r="DN191" s="425"/>
      <c r="DO191" s="425"/>
      <c r="DP191" s="425"/>
    </row>
    <row r="192" spans="113:120">
      <c r="DI192" s="329"/>
      <c r="DJ192" s="329"/>
      <c r="DK192" s="425"/>
      <c r="DL192" s="425"/>
      <c r="DM192" s="425"/>
      <c r="DN192" s="425"/>
      <c r="DO192" s="425"/>
      <c r="DP192" s="425"/>
    </row>
    <row r="193" spans="113:120">
      <c r="DI193" s="329"/>
      <c r="DJ193" s="329"/>
      <c r="DK193" s="425"/>
      <c r="DL193" s="425"/>
      <c r="DM193" s="425"/>
      <c r="DN193" s="425"/>
      <c r="DO193" s="425"/>
      <c r="DP193" s="425"/>
    </row>
    <row r="194" spans="113:120">
      <c r="DI194" s="329"/>
      <c r="DJ194" s="329"/>
      <c r="DK194" s="425"/>
      <c r="DL194" s="425"/>
      <c r="DM194" s="425"/>
      <c r="DN194" s="425"/>
      <c r="DO194" s="425"/>
      <c r="DP194" s="425"/>
    </row>
    <row r="195" spans="113:120">
      <c r="DI195" s="329"/>
      <c r="DJ195" s="329"/>
      <c r="DK195" s="425"/>
      <c r="DL195" s="425"/>
      <c r="DM195" s="425"/>
      <c r="DN195" s="425"/>
      <c r="DO195" s="425"/>
      <c r="DP195" s="425"/>
    </row>
    <row r="196" spans="113:120">
      <c r="DI196" s="329"/>
      <c r="DJ196" s="329"/>
      <c r="DK196" s="425"/>
      <c r="DL196" s="425"/>
      <c r="DM196" s="425"/>
      <c r="DN196" s="425"/>
      <c r="DO196" s="425"/>
      <c r="DP196" s="425"/>
    </row>
    <row r="197" spans="113:120">
      <c r="DI197" s="329"/>
      <c r="DJ197" s="329"/>
      <c r="DK197" s="425"/>
      <c r="DL197" s="425"/>
      <c r="DM197" s="425"/>
      <c r="DN197" s="425"/>
      <c r="DO197" s="425"/>
      <c r="DP197" s="425"/>
    </row>
    <row r="198" spans="113:120">
      <c r="DI198" s="329"/>
      <c r="DJ198" s="329"/>
      <c r="DK198" s="425"/>
      <c r="DL198" s="425"/>
      <c r="DM198" s="425"/>
      <c r="DN198" s="425"/>
      <c r="DO198" s="425"/>
      <c r="DP198" s="425"/>
    </row>
    <row r="199" spans="113:120">
      <c r="DI199" s="329"/>
      <c r="DJ199" s="329"/>
      <c r="DK199" s="425"/>
      <c r="DL199" s="425"/>
      <c r="DM199" s="425"/>
      <c r="DN199" s="425"/>
      <c r="DO199" s="425"/>
      <c r="DP199" s="425"/>
    </row>
    <row r="200" spans="113:120">
      <c r="DI200" s="329"/>
      <c r="DJ200" s="329"/>
      <c r="DK200" s="425"/>
      <c r="DL200" s="425"/>
      <c r="DM200" s="425"/>
      <c r="DN200" s="425"/>
      <c r="DO200" s="425"/>
      <c r="DP200" s="425"/>
    </row>
    <row r="201" spans="113:120">
      <c r="DI201" s="329"/>
      <c r="DJ201" s="329"/>
      <c r="DK201" s="425"/>
      <c r="DL201" s="425"/>
      <c r="DM201" s="425"/>
      <c r="DN201" s="425"/>
      <c r="DO201" s="425"/>
      <c r="DP201" s="425"/>
    </row>
    <row r="202" spans="113:120">
      <c r="DI202" s="329"/>
      <c r="DJ202" s="329"/>
      <c r="DK202" s="425"/>
      <c r="DL202" s="425"/>
      <c r="DM202" s="425"/>
      <c r="DN202" s="425"/>
      <c r="DO202" s="425"/>
      <c r="DP202" s="425"/>
    </row>
    <row r="203" spans="113:120">
      <c r="DI203" s="329"/>
      <c r="DJ203" s="329"/>
      <c r="DK203" s="425"/>
      <c r="DL203" s="425"/>
      <c r="DM203" s="425"/>
      <c r="DN203" s="425"/>
      <c r="DO203" s="425"/>
      <c r="DP203" s="425"/>
    </row>
    <row r="204" spans="113:120">
      <c r="DI204" s="329"/>
      <c r="DJ204" s="329"/>
      <c r="DK204" s="425"/>
      <c r="DL204" s="425"/>
      <c r="DM204" s="425"/>
      <c r="DN204" s="425"/>
      <c r="DO204" s="425"/>
      <c r="DP204" s="425"/>
    </row>
    <row r="205" spans="113:120">
      <c r="DI205" s="329"/>
      <c r="DJ205" s="329"/>
      <c r="DK205" s="425"/>
      <c r="DL205" s="425"/>
      <c r="DM205" s="425"/>
      <c r="DN205" s="425"/>
      <c r="DO205" s="425"/>
      <c r="DP205" s="425"/>
    </row>
    <row r="206" spans="113:120">
      <c r="DI206" s="329"/>
      <c r="DJ206" s="329"/>
      <c r="DK206" s="425"/>
      <c r="DL206" s="425"/>
      <c r="DM206" s="425"/>
      <c r="DN206" s="425"/>
      <c r="DO206" s="425"/>
      <c r="DP206" s="425"/>
    </row>
    <row r="207" spans="113:120">
      <c r="DI207" s="329"/>
      <c r="DJ207" s="329"/>
      <c r="DK207" s="425"/>
      <c r="DL207" s="425"/>
      <c r="DM207" s="425"/>
      <c r="DN207" s="425"/>
      <c r="DO207" s="425"/>
      <c r="DP207" s="425"/>
    </row>
    <row r="208" spans="113:120">
      <c r="DI208" s="329"/>
      <c r="DJ208" s="329"/>
      <c r="DK208" s="425"/>
      <c r="DL208" s="425"/>
      <c r="DM208" s="425"/>
      <c r="DN208" s="425"/>
      <c r="DO208" s="425"/>
      <c r="DP208" s="425"/>
    </row>
    <row r="209" spans="113:120">
      <c r="DI209" s="329"/>
      <c r="DJ209" s="329"/>
      <c r="DK209" s="425"/>
      <c r="DL209" s="425"/>
      <c r="DM209" s="425"/>
      <c r="DN209" s="425"/>
      <c r="DO209" s="425"/>
      <c r="DP209" s="425"/>
    </row>
    <row r="210" spans="113:120">
      <c r="DI210" s="329"/>
      <c r="DJ210" s="329"/>
      <c r="DK210" s="425"/>
      <c r="DL210" s="425"/>
      <c r="DM210" s="425"/>
      <c r="DN210" s="425"/>
      <c r="DO210" s="425"/>
      <c r="DP210" s="425"/>
    </row>
    <row r="211" spans="113:120">
      <c r="DI211" s="329"/>
      <c r="DJ211" s="329"/>
      <c r="DK211" s="425"/>
      <c r="DL211" s="425"/>
      <c r="DM211" s="425"/>
      <c r="DN211" s="425"/>
      <c r="DO211" s="425"/>
      <c r="DP211" s="425"/>
    </row>
    <row r="212" spans="113:120">
      <c r="DI212" s="329"/>
      <c r="DJ212" s="329"/>
      <c r="DK212" s="425"/>
      <c r="DL212" s="425"/>
      <c r="DM212" s="425"/>
      <c r="DN212" s="425"/>
      <c r="DO212" s="425"/>
      <c r="DP212" s="425"/>
    </row>
    <row r="213" spans="113:120">
      <c r="DI213" s="329"/>
      <c r="DJ213" s="329"/>
      <c r="DK213" s="425"/>
      <c r="DL213" s="425"/>
      <c r="DM213" s="425"/>
      <c r="DN213" s="425"/>
      <c r="DO213" s="425"/>
      <c r="DP213" s="425"/>
    </row>
    <row r="214" spans="113:120">
      <c r="DI214" s="329"/>
      <c r="DJ214" s="329"/>
      <c r="DK214" s="425"/>
      <c r="DL214" s="425"/>
      <c r="DM214" s="425"/>
      <c r="DN214" s="425"/>
      <c r="DO214" s="425"/>
      <c r="DP214" s="425"/>
    </row>
    <row r="215" spans="113:120">
      <c r="DI215" s="329"/>
      <c r="DJ215" s="329"/>
      <c r="DK215" s="425"/>
      <c r="DL215" s="425"/>
      <c r="DM215" s="425"/>
      <c r="DN215" s="425"/>
      <c r="DO215" s="425"/>
      <c r="DP215" s="425"/>
    </row>
    <row r="216" spans="113:120">
      <c r="DI216" s="329"/>
      <c r="DJ216" s="329"/>
      <c r="DK216" s="425"/>
      <c r="DL216" s="425"/>
      <c r="DM216" s="425"/>
      <c r="DN216" s="425"/>
      <c r="DO216" s="425"/>
      <c r="DP216" s="425"/>
    </row>
    <row r="217" spans="113:120">
      <c r="DI217" s="329"/>
      <c r="DJ217" s="329"/>
      <c r="DK217" s="425"/>
      <c r="DL217" s="425"/>
      <c r="DM217" s="425"/>
      <c r="DN217" s="425"/>
      <c r="DO217" s="425"/>
      <c r="DP217" s="425"/>
    </row>
    <row r="218" spans="113:120">
      <c r="DI218" s="329"/>
      <c r="DJ218" s="329"/>
      <c r="DK218" s="425"/>
      <c r="DL218" s="425"/>
      <c r="DM218" s="425"/>
      <c r="DN218" s="425"/>
      <c r="DO218" s="425"/>
      <c r="DP218" s="425"/>
    </row>
    <row r="219" spans="113:120">
      <c r="DI219" s="329"/>
      <c r="DJ219" s="329"/>
      <c r="DK219" s="425"/>
      <c r="DL219" s="425"/>
      <c r="DM219" s="425"/>
      <c r="DN219" s="425"/>
      <c r="DO219" s="425"/>
      <c r="DP219" s="425"/>
    </row>
    <row r="220" spans="113:120">
      <c r="DI220" s="329"/>
      <c r="DJ220" s="329"/>
      <c r="DK220" s="425"/>
      <c r="DL220" s="425"/>
      <c r="DM220" s="425"/>
      <c r="DN220" s="425"/>
      <c r="DO220" s="425"/>
      <c r="DP220" s="425"/>
    </row>
    <row r="221" spans="113:120">
      <c r="DI221" s="329"/>
      <c r="DJ221" s="329"/>
      <c r="DK221" s="425"/>
      <c r="DL221" s="425"/>
      <c r="DM221" s="425"/>
      <c r="DN221" s="425"/>
      <c r="DO221" s="425"/>
      <c r="DP221" s="425"/>
    </row>
    <row r="222" spans="113:120">
      <c r="DI222" s="329"/>
      <c r="DJ222" s="329"/>
      <c r="DK222" s="425"/>
      <c r="DL222" s="425"/>
      <c r="DM222" s="425"/>
      <c r="DN222" s="425"/>
      <c r="DO222" s="425"/>
      <c r="DP222" s="425"/>
    </row>
    <row r="223" spans="113:120">
      <c r="DI223" s="329"/>
      <c r="DJ223" s="329"/>
      <c r="DK223" s="425"/>
      <c r="DL223" s="425"/>
      <c r="DM223" s="425"/>
      <c r="DN223" s="425"/>
      <c r="DO223" s="425"/>
      <c r="DP223" s="425"/>
    </row>
    <row r="224" spans="113:120">
      <c r="DI224" s="329"/>
      <c r="DJ224" s="329"/>
      <c r="DK224" s="425"/>
      <c r="DL224" s="425"/>
      <c r="DM224" s="425"/>
      <c r="DN224" s="425"/>
      <c r="DO224" s="425"/>
      <c r="DP224" s="425"/>
    </row>
    <row r="225" spans="113:120">
      <c r="DI225" s="329"/>
      <c r="DJ225" s="329"/>
      <c r="DK225" s="425"/>
      <c r="DL225" s="425"/>
      <c r="DM225" s="425"/>
      <c r="DN225" s="425"/>
      <c r="DO225" s="425"/>
      <c r="DP225" s="425"/>
    </row>
    <row r="226" spans="113:120">
      <c r="DI226" s="329"/>
      <c r="DJ226" s="329"/>
      <c r="DK226" s="425"/>
      <c r="DL226" s="425"/>
      <c r="DM226" s="425"/>
      <c r="DN226" s="425"/>
      <c r="DO226" s="425"/>
      <c r="DP226" s="425"/>
    </row>
    <row r="227" spans="113:120">
      <c r="DI227" s="329"/>
      <c r="DJ227" s="329"/>
      <c r="DK227" s="425"/>
      <c r="DL227" s="425"/>
      <c r="DM227" s="425"/>
      <c r="DN227" s="425"/>
      <c r="DO227" s="425"/>
      <c r="DP227" s="425"/>
    </row>
    <row r="228" spans="113:120">
      <c r="DI228" s="329"/>
      <c r="DJ228" s="329"/>
      <c r="DK228" s="425"/>
      <c r="DL228" s="425"/>
      <c r="DM228" s="425"/>
      <c r="DN228" s="425"/>
      <c r="DO228" s="425"/>
      <c r="DP228" s="425"/>
    </row>
    <row r="229" spans="113:120">
      <c r="DI229" s="329"/>
      <c r="DJ229" s="329"/>
      <c r="DK229" s="425"/>
      <c r="DL229" s="425"/>
      <c r="DM229" s="425"/>
      <c r="DN229" s="425"/>
      <c r="DO229" s="425"/>
      <c r="DP229" s="425"/>
    </row>
    <row r="230" spans="113:120">
      <c r="DI230" s="329"/>
      <c r="DJ230" s="329"/>
      <c r="DK230" s="425"/>
      <c r="DL230" s="425"/>
      <c r="DM230" s="425"/>
      <c r="DN230" s="425"/>
      <c r="DO230" s="425"/>
      <c r="DP230" s="425"/>
    </row>
    <row r="231" spans="113:120">
      <c r="DI231" s="329"/>
      <c r="DJ231" s="329"/>
      <c r="DK231" s="425"/>
      <c r="DL231" s="425"/>
      <c r="DM231" s="425"/>
      <c r="DN231" s="425"/>
      <c r="DO231" s="425"/>
      <c r="DP231" s="425"/>
    </row>
    <row r="232" spans="113:120">
      <c r="DI232" s="329"/>
      <c r="DJ232" s="329"/>
      <c r="DK232" s="425"/>
      <c r="DL232" s="425"/>
      <c r="DM232" s="425"/>
      <c r="DN232" s="425"/>
      <c r="DO232" s="425"/>
      <c r="DP232" s="425"/>
    </row>
    <row r="233" spans="113:120">
      <c r="DI233" s="329"/>
      <c r="DJ233" s="329"/>
      <c r="DK233" s="425"/>
      <c r="DL233" s="425"/>
      <c r="DM233" s="425"/>
      <c r="DN233" s="425"/>
      <c r="DO233" s="425"/>
      <c r="DP233" s="425"/>
    </row>
    <row r="234" spans="113:120">
      <c r="DI234" s="329"/>
      <c r="DJ234" s="329"/>
      <c r="DK234" s="425"/>
      <c r="DL234" s="425"/>
      <c r="DM234" s="425"/>
      <c r="DN234" s="425"/>
      <c r="DO234" s="425"/>
      <c r="DP234" s="425"/>
    </row>
    <row r="235" spans="113:120">
      <c r="DI235" s="329"/>
      <c r="DJ235" s="329"/>
      <c r="DK235" s="425"/>
      <c r="DL235" s="425"/>
      <c r="DM235" s="425"/>
      <c r="DN235" s="425"/>
      <c r="DO235" s="425"/>
      <c r="DP235" s="425"/>
    </row>
    <row r="236" spans="113:120">
      <c r="DI236" s="329"/>
      <c r="DJ236" s="329"/>
      <c r="DK236" s="425"/>
      <c r="DL236" s="425"/>
      <c r="DM236" s="425"/>
      <c r="DN236" s="425"/>
      <c r="DO236" s="425"/>
      <c r="DP236" s="425"/>
    </row>
    <row r="237" spans="113:120">
      <c r="DI237" s="329"/>
      <c r="DJ237" s="329"/>
      <c r="DK237" s="425"/>
      <c r="DL237" s="425"/>
      <c r="DM237" s="425"/>
      <c r="DN237" s="425"/>
      <c r="DO237" s="425"/>
      <c r="DP237" s="425"/>
    </row>
    <row r="238" spans="113:120">
      <c r="DI238" s="329"/>
      <c r="DJ238" s="329"/>
      <c r="DK238" s="425"/>
      <c r="DL238" s="425"/>
      <c r="DM238" s="425"/>
      <c r="DN238" s="425"/>
      <c r="DO238" s="425"/>
      <c r="DP238" s="425"/>
    </row>
    <row r="239" spans="113:120">
      <c r="DI239" s="329"/>
      <c r="DJ239" s="329"/>
      <c r="DK239" s="425"/>
      <c r="DL239" s="425"/>
      <c r="DM239" s="425"/>
      <c r="DN239" s="425"/>
      <c r="DO239" s="425"/>
      <c r="DP239" s="425"/>
    </row>
    <row r="240" spans="113:120">
      <c r="DI240" s="329"/>
      <c r="DJ240" s="329"/>
      <c r="DK240" s="425"/>
      <c r="DL240" s="425"/>
      <c r="DM240" s="425"/>
      <c r="DN240" s="425"/>
      <c r="DO240" s="425"/>
      <c r="DP240" s="425"/>
    </row>
    <row r="241" spans="113:120">
      <c r="DI241" s="329"/>
      <c r="DJ241" s="329"/>
      <c r="DK241" s="425"/>
      <c r="DL241" s="425"/>
      <c r="DM241" s="425"/>
      <c r="DN241" s="425"/>
      <c r="DO241" s="425"/>
      <c r="DP241" s="425"/>
    </row>
    <row r="242" spans="113:120">
      <c r="DI242" s="329"/>
      <c r="DJ242" s="329"/>
      <c r="DK242" s="425"/>
      <c r="DL242" s="425"/>
      <c r="DM242" s="425"/>
      <c r="DN242" s="425"/>
      <c r="DO242" s="425"/>
      <c r="DP242" s="425"/>
    </row>
    <row r="243" spans="113:120">
      <c r="DI243" s="329"/>
      <c r="DJ243" s="329"/>
      <c r="DK243" s="425"/>
      <c r="DL243" s="425"/>
      <c r="DM243" s="425"/>
      <c r="DN243" s="425"/>
      <c r="DO243" s="425"/>
      <c r="DP243" s="425"/>
    </row>
    <row r="244" spans="113:120">
      <c r="DI244" s="329"/>
      <c r="DJ244" s="329"/>
      <c r="DK244" s="425"/>
      <c r="DL244" s="425"/>
      <c r="DM244" s="425"/>
      <c r="DN244" s="425"/>
      <c r="DO244" s="425"/>
      <c r="DP244" s="425"/>
    </row>
    <row r="245" spans="113:120">
      <c r="DI245" s="329"/>
      <c r="DJ245" s="329"/>
      <c r="DK245" s="425"/>
      <c r="DL245" s="425"/>
      <c r="DM245" s="425"/>
      <c r="DN245" s="425"/>
      <c r="DO245" s="425"/>
      <c r="DP245" s="425"/>
    </row>
    <row r="246" spans="113:120">
      <c r="DI246" s="329"/>
      <c r="DJ246" s="329"/>
      <c r="DK246" s="425"/>
      <c r="DL246" s="425"/>
      <c r="DM246" s="425"/>
      <c r="DN246" s="425"/>
      <c r="DO246" s="425"/>
      <c r="DP246" s="425"/>
    </row>
    <row r="247" spans="113:120">
      <c r="DI247" s="329"/>
      <c r="DJ247" s="329"/>
      <c r="DK247" s="425"/>
      <c r="DL247" s="425"/>
      <c r="DM247" s="425"/>
      <c r="DN247" s="425"/>
      <c r="DO247" s="425"/>
      <c r="DP247" s="425"/>
    </row>
    <row r="248" spans="113:120">
      <c r="DI248" s="329"/>
      <c r="DJ248" s="329"/>
      <c r="DK248" s="425"/>
      <c r="DL248" s="425"/>
      <c r="DM248" s="425"/>
      <c r="DN248" s="425"/>
      <c r="DO248" s="425"/>
      <c r="DP248" s="425"/>
    </row>
    <row r="249" spans="113:120">
      <c r="DI249" s="329"/>
      <c r="DJ249" s="329"/>
      <c r="DK249" s="425"/>
      <c r="DL249" s="425"/>
      <c r="DM249" s="425"/>
      <c r="DN249" s="425"/>
      <c r="DO249" s="425"/>
      <c r="DP249" s="425"/>
    </row>
    <row r="250" spans="113:120">
      <c r="DI250" s="329"/>
      <c r="DJ250" s="329"/>
      <c r="DK250" s="425"/>
      <c r="DL250" s="425"/>
      <c r="DM250" s="425"/>
      <c r="DN250" s="425"/>
      <c r="DO250" s="425"/>
      <c r="DP250" s="425"/>
    </row>
    <row r="251" spans="113:120">
      <c r="DI251" s="329"/>
      <c r="DJ251" s="329"/>
      <c r="DK251" s="425"/>
      <c r="DL251" s="425"/>
      <c r="DM251" s="425"/>
      <c r="DN251" s="425"/>
      <c r="DO251" s="425"/>
      <c r="DP251" s="425"/>
    </row>
    <row r="252" spans="113:120">
      <c r="DI252" s="329"/>
      <c r="DJ252" s="329"/>
      <c r="DK252" s="425"/>
      <c r="DL252" s="425"/>
      <c r="DM252" s="425"/>
      <c r="DN252" s="425"/>
      <c r="DO252" s="425"/>
      <c r="DP252" s="425"/>
    </row>
    <row r="253" spans="113:120">
      <c r="DI253" s="329"/>
      <c r="DJ253" s="329"/>
      <c r="DK253" s="425"/>
      <c r="DL253" s="425"/>
      <c r="DM253" s="425"/>
      <c r="DN253" s="425"/>
      <c r="DO253" s="425"/>
      <c r="DP253" s="425"/>
    </row>
    <row r="254" spans="113:120">
      <c r="DI254" s="329"/>
      <c r="DJ254" s="329"/>
      <c r="DK254" s="425"/>
      <c r="DL254" s="425"/>
      <c r="DM254" s="425"/>
      <c r="DN254" s="425"/>
      <c r="DO254" s="425"/>
      <c r="DP254" s="425"/>
    </row>
    <row r="255" spans="113:120">
      <c r="DI255" s="329"/>
      <c r="DJ255" s="329"/>
      <c r="DK255" s="425"/>
      <c r="DL255" s="425"/>
      <c r="DM255" s="425"/>
      <c r="DN255" s="425"/>
      <c r="DO255" s="425"/>
      <c r="DP255" s="425"/>
    </row>
    <row r="256" spans="113:120">
      <c r="DI256" s="329"/>
      <c r="DJ256" s="329"/>
      <c r="DK256" s="425"/>
      <c r="DL256" s="425"/>
      <c r="DM256" s="425"/>
      <c r="DN256" s="425"/>
      <c r="DO256" s="425"/>
      <c r="DP256" s="425"/>
    </row>
    <row r="257" spans="113:120">
      <c r="DI257" s="329"/>
      <c r="DJ257" s="329"/>
      <c r="DK257" s="425"/>
      <c r="DL257" s="425"/>
      <c r="DM257" s="425"/>
      <c r="DN257" s="425"/>
      <c r="DO257" s="425"/>
      <c r="DP257" s="425"/>
    </row>
    <row r="258" spans="113:120">
      <c r="DI258" s="329"/>
      <c r="DJ258" s="329"/>
      <c r="DK258" s="425"/>
      <c r="DL258" s="425"/>
      <c r="DM258" s="425"/>
      <c r="DN258" s="425"/>
      <c r="DO258" s="425"/>
      <c r="DP258" s="425"/>
    </row>
    <row r="259" spans="113:120">
      <c r="DI259" s="329"/>
      <c r="DJ259" s="329"/>
      <c r="DK259" s="425"/>
      <c r="DL259" s="425"/>
      <c r="DM259" s="425"/>
      <c r="DN259" s="425"/>
      <c r="DO259" s="425"/>
      <c r="DP259" s="425"/>
    </row>
    <row r="260" spans="113:120">
      <c r="DI260" s="329"/>
      <c r="DJ260" s="329"/>
      <c r="DK260" s="425"/>
      <c r="DL260" s="425"/>
      <c r="DM260" s="425"/>
      <c r="DN260" s="425"/>
      <c r="DO260" s="425"/>
      <c r="DP260" s="425"/>
    </row>
    <row r="261" spans="113:120">
      <c r="DI261" s="329"/>
      <c r="DJ261" s="329"/>
      <c r="DK261" s="425"/>
      <c r="DL261" s="425"/>
      <c r="DM261" s="425"/>
      <c r="DN261" s="425"/>
      <c r="DO261" s="425"/>
      <c r="DP261" s="425"/>
    </row>
  </sheetData>
  <autoFilter ref="A16:DP88" xr:uid="{00000000-0009-0000-0000-000002000000}"/>
  <phoneticPr fontId="48" type="noConversion"/>
  <conditionalFormatting sqref="B93:B117">
    <cfRule type="duplicateValues" dxfId="9" priority="384"/>
  </conditionalFormatting>
  <conditionalFormatting sqref="B93:B191">
    <cfRule type="duplicateValues" dxfId="8" priority="387"/>
  </conditionalFormatting>
  <conditionalFormatting sqref="G14:G15">
    <cfRule type="cellIs" dxfId="7" priority="279" operator="equal">
      <formula>"Error"</formula>
    </cfRule>
    <cfRule type="colorScale" priority="280">
      <colorScale>
        <cfvo type="min"/>
        <cfvo type="max"/>
        <color rgb="FFFF7128"/>
        <color rgb="FFFFEF9C"/>
      </colorScale>
    </cfRule>
  </conditionalFormatting>
  <conditionalFormatting sqref="X89:X91">
    <cfRule type="colorScale" priority="4">
      <colorScale>
        <cfvo type="min"/>
        <cfvo type="max"/>
        <color rgb="FFFCFCFF"/>
        <color rgb="FF63BE7B"/>
      </colorScale>
    </cfRule>
  </conditionalFormatting>
  <conditionalFormatting sqref="X92">
    <cfRule type="colorScale" priority="2">
      <colorScale>
        <cfvo type="min"/>
        <cfvo type="max"/>
        <color rgb="FFFCFCFF"/>
        <color rgb="FF63BE7B"/>
      </colorScale>
    </cfRule>
  </conditionalFormatting>
  <conditionalFormatting sqref="X93:X117 Y9:Y11 X15:X16 X56:X88">
    <cfRule type="colorScale" priority="341">
      <colorScale>
        <cfvo type="min"/>
        <cfvo type="max"/>
        <color rgb="FFFCFCFF"/>
        <color rgb="FF63BE7B"/>
      </colorScale>
    </cfRule>
  </conditionalFormatting>
  <conditionalFormatting sqref="AA17:AA117">
    <cfRule type="cellIs" dxfId="6" priority="1" operator="greaterThan">
      <formula>6</formula>
    </cfRule>
  </conditionalFormatting>
  <conditionalFormatting sqref="BU16">
    <cfRule type="colorScale" priority="340">
      <colorScale>
        <cfvo type="min"/>
        <cfvo type="max"/>
        <color rgb="FFFCFCFF"/>
        <color rgb="FFF8696B"/>
      </colorScale>
    </cfRule>
  </conditionalFormatting>
  <pageMargins left="0.25" right="0.25" top="0.75" bottom="0.75" header="0.3" footer="0.3"/>
  <pageSetup paperSize="17" scale="30" orientation="landscape" verticalDpi="300" r:id="rId1"/>
  <headerFooter>
    <oddFooter>&amp;R&amp;"Calibri"&amp;11&amp;K000000_x000D_&amp;1#&amp;"Calibri"&amp;10&amp;KFF8C00Classification : Confidential</oddFooter>
  </headerFooter>
  <ignoredErrors>
    <ignoredError sqref="BW17" emptyCellReferenc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460"/>
  <sheetViews>
    <sheetView zoomScale="85" zoomScaleNormal="85" workbookViewId="0">
      <pane xSplit="1" ySplit="5" topLeftCell="AI6" activePane="bottomRight" state="frozen"/>
      <selection pane="topRight" activeCell="B1" sqref="B1"/>
      <selection pane="bottomLeft" activeCell="A6" sqref="A6"/>
      <selection pane="bottomRight" activeCell="A77" sqref="A47:A77"/>
    </sheetView>
  </sheetViews>
  <sheetFormatPr defaultRowHeight="15"/>
  <cols>
    <col min="1" max="1" width="46.28515625" bestFit="1" customWidth="1"/>
    <col min="2" max="2" width="15" style="258" bestFit="1" customWidth="1"/>
    <col min="3" max="3" width="13" style="258" bestFit="1" customWidth="1"/>
    <col min="4" max="4" width="30.28515625" style="258" customWidth="1"/>
    <col min="5" max="5" width="45.85546875" bestFit="1" customWidth="1"/>
    <col min="6" max="6" width="9.28515625" bestFit="1" customWidth="1"/>
    <col min="7" max="7" width="22" customWidth="1"/>
    <col min="8" max="8" width="16.28515625" bestFit="1" customWidth="1"/>
    <col min="9" max="9" width="8.85546875" bestFit="1" customWidth="1"/>
    <col min="10" max="10" width="8" bestFit="1" customWidth="1"/>
    <col min="12" max="12" width="40.7109375" bestFit="1" customWidth="1"/>
    <col min="14" max="14" width="12.140625" bestFit="1" customWidth="1"/>
    <col min="15" max="15" width="8.140625" bestFit="1" customWidth="1"/>
    <col min="16" max="16" width="8.5703125" bestFit="1" customWidth="1"/>
    <col min="17" max="17" width="6.7109375" bestFit="1" customWidth="1"/>
    <col min="19" max="19" width="6.7109375" bestFit="1" customWidth="1"/>
    <col min="20" max="20" width="14.28515625" bestFit="1" customWidth="1"/>
    <col min="21" max="21" width="7.42578125" bestFit="1" customWidth="1"/>
    <col min="22" max="22" width="11.85546875" bestFit="1" customWidth="1"/>
    <col min="23" max="23" width="7.7109375" bestFit="1" customWidth="1"/>
    <col min="24" max="24" width="8" bestFit="1" customWidth="1"/>
    <col min="25" max="25" width="6.7109375" bestFit="1" customWidth="1"/>
    <col min="26" max="26" width="8.42578125" bestFit="1" customWidth="1"/>
    <col min="27" max="27" width="8.28515625" bestFit="1" customWidth="1"/>
    <col min="28" max="30" width="9.140625" customWidth="1"/>
    <col min="31" max="31" width="8.28515625" customWidth="1"/>
    <col min="32" max="32" width="8.28515625" bestFit="1" customWidth="1"/>
    <col min="33" max="33" width="13.140625" bestFit="1" customWidth="1"/>
    <col min="34" max="34" width="8.7109375" bestFit="1" customWidth="1"/>
    <col min="35" max="37" width="13.85546875" customWidth="1"/>
    <col min="39" max="42" width="15.140625" customWidth="1"/>
    <col min="43" max="43" width="7" bestFit="1" customWidth="1"/>
    <col min="44" max="44" width="8.5703125" bestFit="1" customWidth="1"/>
    <col min="45" max="45" width="20.140625" bestFit="1" customWidth="1"/>
    <col min="46" max="47" width="8.42578125" bestFit="1" customWidth="1"/>
    <col min="48" max="48" width="8.140625" bestFit="1" customWidth="1"/>
    <col min="49" max="49" width="10" bestFit="1" customWidth="1"/>
    <col min="50" max="50" width="19.5703125" bestFit="1" customWidth="1"/>
    <col min="51" max="51" width="10.5703125" bestFit="1" customWidth="1"/>
    <col min="52" max="52" width="22.42578125" bestFit="1" customWidth="1"/>
    <col min="53" max="53" width="8.85546875" bestFit="1" customWidth="1"/>
    <col min="54" max="54" width="8.42578125" bestFit="1" customWidth="1"/>
    <col min="56" max="56" width="7.85546875" bestFit="1" customWidth="1"/>
    <col min="57" max="68" width="13.5703125" customWidth="1"/>
    <col min="69" max="69" width="20.85546875" bestFit="1" customWidth="1"/>
    <col min="70" max="70" width="13.42578125" bestFit="1" customWidth="1"/>
    <col min="71" max="71" width="22.7109375" bestFit="1" customWidth="1"/>
    <col min="72" max="72" width="15.42578125" bestFit="1" customWidth="1"/>
    <col min="73" max="73" width="16.7109375" bestFit="1" customWidth="1"/>
    <col min="74" max="74" width="12.28515625" bestFit="1" customWidth="1"/>
    <col min="75" max="75" width="10.28515625" bestFit="1" customWidth="1"/>
    <col min="76" max="76" width="11.5703125" bestFit="1" customWidth="1"/>
    <col min="77" max="77" width="14.42578125" bestFit="1" customWidth="1"/>
    <col min="78" max="78" width="12.28515625" bestFit="1" customWidth="1"/>
  </cols>
  <sheetData>
    <row r="1" spans="1:78">
      <c r="B1"/>
      <c r="C1"/>
      <c r="D1"/>
    </row>
    <row r="2" spans="1:78">
      <c r="B2"/>
      <c r="C2"/>
      <c r="D2"/>
    </row>
    <row r="3" spans="1:78">
      <c r="B3"/>
      <c r="C3"/>
      <c r="D3"/>
    </row>
    <row r="4" spans="1:78">
      <c r="B4"/>
      <c r="C4"/>
      <c r="D4"/>
    </row>
    <row r="5" spans="1:78" ht="76.5">
      <c r="A5" s="512" t="s">
        <v>1006</v>
      </c>
      <c r="B5" s="512" t="s">
        <v>1212</v>
      </c>
      <c r="C5" s="512" t="s">
        <v>246</v>
      </c>
      <c r="D5" s="512" t="s">
        <v>1005</v>
      </c>
      <c r="E5" s="512" t="s">
        <v>373</v>
      </c>
      <c r="F5" s="512" t="s">
        <v>1007</v>
      </c>
      <c r="G5" s="512" t="s">
        <v>1008</v>
      </c>
      <c r="H5" s="513" t="s">
        <v>1009</v>
      </c>
      <c r="I5" s="512" t="s">
        <v>1010</v>
      </c>
      <c r="J5" s="512" t="s">
        <v>92</v>
      </c>
      <c r="K5" s="512" t="s">
        <v>1011</v>
      </c>
      <c r="L5" s="512" t="s">
        <v>1191</v>
      </c>
      <c r="M5" s="512" t="s">
        <v>1012</v>
      </c>
      <c r="N5" s="677" t="s">
        <v>230</v>
      </c>
      <c r="O5" s="512" t="s">
        <v>1013</v>
      </c>
      <c r="P5" s="512" t="s">
        <v>1014</v>
      </c>
      <c r="Q5" s="675" t="s">
        <v>1</v>
      </c>
      <c r="R5" s="512" t="s">
        <v>1015</v>
      </c>
      <c r="S5" s="512" t="s">
        <v>1016</v>
      </c>
      <c r="T5" s="512" t="s">
        <v>1017</v>
      </c>
      <c r="U5" s="512" t="s">
        <v>1018</v>
      </c>
      <c r="V5" s="512" t="s">
        <v>143</v>
      </c>
      <c r="W5" s="512" t="s">
        <v>93</v>
      </c>
      <c r="X5" s="514" t="s">
        <v>29</v>
      </c>
      <c r="Y5" s="512" t="s">
        <v>1019</v>
      </c>
      <c r="Z5" s="514" t="s">
        <v>42</v>
      </c>
      <c r="AA5" s="514" t="s">
        <v>1214</v>
      </c>
      <c r="AB5" s="514" t="s">
        <v>1020</v>
      </c>
      <c r="AC5" s="514" t="s">
        <v>1021</v>
      </c>
      <c r="AD5" s="514" t="s">
        <v>1022</v>
      </c>
      <c r="AE5" s="514" t="s">
        <v>1218</v>
      </c>
      <c r="AF5" s="514" t="s">
        <v>1023</v>
      </c>
      <c r="AG5" s="676" t="s">
        <v>1024</v>
      </c>
      <c r="AH5" s="514" t="s">
        <v>1025</v>
      </c>
      <c r="AI5" s="676" t="s">
        <v>1026</v>
      </c>
      <c r="AJ5" s="676" t="s">
        <v>1027</v>
      </c>
      <c r="AK5" s="514" t="s">
        <v>1028</v>
      </c>
      <c r="AL5" s="514" t="s">
        <v>1219</v>
      </c>
      <c r="AM5" s="676" t="s">
        <v>1029</v>
      </c>
      <c r="AN5" s="514" t="s">
        <v>1030</v>
      </c>
      <c r="AO5" s="676" t="s">
        <v>1031</v>
      </c>
      <c r="AP5" s="514" t="s">
        <v>1032</v>
      </c>
      <c r="AQ5" s="512" t="s">
        <v>1033</v>
      </c>
      <c r="AR5" s="512" t="s">
        <v>1034</v>
      </c>
      <c r="AS5" s="512" t="s">
        <v>1035</v>
      </c>
      <c r="AT5" s="512" t="s">
        <v>1036</v>
      </c>
      <c r="AU5" s="515" t="s">
        <v>114</v>
      </c>
      <c r="AV5" s="512" t="s">
        <v>1037</v>
      </c>
      <c r="AW5" s="514" t="s">
        <v>36</v>
      </c>
      <c r="AX5" s="514" t="s">
        <v>1038</v>
      </c>
      <c r="AY5" s="512" t="s">
        <v>1039</v>
      </c>
      <c r="AZ5" s="514" t="s">
        <v>1040</v>
      </c>
      <c r="BA5" s="516" t="s">
        <v>139</v>
      </c>
      <c r="BB5" s="514" t="s">
        <v>1041</v>
      </c>
      <c r="BC5" s="517" t="s">
        <v>40</v>
      </c>
      <c r="BD5" s="517" t="s">
        <v>1042</v>
      </c>
      <c r="BE5" s="516" t="s">
        <v>1043</v>
      </c>
      <c r="BF5" s="516" t="s">
        <v>1044</v>
      </c>
      <c r="BG5" s="516" t="s">
        <v>78</v>
      </c>
      <c r="BH5" s="516" t="s">
        <v>1045</v>
      </c>
      <c r="BI5" s="516" t="s">
        <v>1046</v>
      </c>
      <c r="BJ5" s="516" t="s">
        <v>1047</v>
      </c>
      <c r="BK5" s="518" t="s">
        <v>1048</v>
      </c>
      <c r="BL5" s="518" t="s">
        <v>139</v>
      </c>
      <c r="BM5" s="516" t="s">
        <v>1036</v>
      </c>
      <c r="BN5" s="516" t="s">
        <v>1049</v>
      </c>
      <c r="BO5" s="516" t="s">
        <v>79</v>
      </c>
      <c r="BP5" s="518" t="s">
        <v>114</v>
      </c>
      <c r="BQ5" s="516" t="s">
        <v>1050</v>
      </c>
      <c r="BR5" s="516" t="s">
        <v>41</v>
      </c>
      <c r="BS5" s="519" t="s">
        <v>1051</v>
      </c>
      <c r="BT5" s="514" t="s">
        <v>923</v>
      </c>
      <c r="BU5" s="519" t="s">
        <v>1052</v>
      </c>
      <c r="BV5" s="520" t="s">
        <v>130</v>
      </c>
      <c r="BW5" s="521" t="s">
        <v>1053</v>
      </c>
      <c r="BX5" s="521" t="s">
        <v>1054</v>
      </c>
      <c r="BY5" s="521" t="s">
        <v>1055</v>
      </c>
      <c r="BZ5" s="521" t="s">
        <v>1056</v>
      </c>
    </row>
    <row r="6" spans="1:78">
      <c r="A6" s="616" t="s">
        <v>1058</v>
      </c>
      <c r="B6" s="617"/>
      <c r="C6" s="651">
        <v>45838</v>
      </c>
      <c r="D6" s="619" t="s">
        <v>1057</v>
      </c>
      <c r="E6" s="616" t="s">
        <v>1059</v>
      </c>
      <c r="F6" s="620" t="s">
        <v>1060</v>
      </c>
      <c r="G6" s="621" t="s">
        <v>1061</v>
      </c>
      <c r="H6" s="622">
        <v>3183892.61</v>
      </c>
      <c r="I6" s="522"/>
      <c r="J6" s="621" t="s">
        <v>90</v>
      </c>
      <c r="K6" s="621" t="s">
        <v>1062</v>
      </c>
      <c r="L6" s="623" t="s">
        <v>1063</v>
      </c>
      <c r="M6" s="623" t="s">
        <v>1064</v>
      </c>
      <c r="N6" s="624">
        <v>8.8267999999999999E-2</v>
      </c>
      <c r="O6" s="625" t="s">
        <v>225</v>
      </c>
      <c r="P6" s="624">
        <v>0.01</v>
      </c>
      <c r="Q6" s="624">
        <v>4.4999999999999998E-2</v>
      </c>
      <c r="R6" s="623">
        <v>3</v>
      </c>
      <c r="S6" s="598"/>
      <c r="T6" s="624" t="s">
        <v>1065</v>
      </c>
      <c r="U6" s="621">
        <v>3.6444444444444444</v>
      </c>
      <c r="V6" s="653">
        <v>47109</v>
      </c>
      <c r="W6" s="621" t="s">
        <v>1066</v>
      </c>
      <c r="X6" s="627">
        <v>100</v>
      </c>
      <c r="Y6" s="523"/>
      <c r="Z6" s="628"/>
      <c r="AA6" s="628"/>
      <c r="AB6" s="629">
        <v>26.53</v>
      </c>
      <c r="AC6" s="524">
        <v>1.8629211862758333</v>
      </c>
      <c r="AD6" s="524">
        <v>4.9219776881189494</v>
      </c>
      <c r="AE6" s="524"/>
      <c r="AF6" s="652">
        <v>4.9219776881189494</v>
      </c>
      <c r="AG6" s="653">
        <v>45808</v>
      </c>
      <c r="AH6" s="621"/>
      <c r="AI6" s="652">
        <v>2.0889824866269762</v>
      </c>
      <c r="AJ6" s="652">
        <v>66.177999999999997</v>
      </c>
      <c r="AK6" s="524">
        <v>2.5260820931955417</v>
      </c>
      <c r="AL6" s="524"/>
      <c r="AM6" s="652">
        <f>VLOOKUP($A6, [1]BB!$C$1:$K$73, 8, FALSE)</f>
        <v>2.0889824866269762</v>
      </c>
      <c r="AN6" s="652">
        <v>2.5260820931955417</v>
      </c>
      <c r="AO6" s="652">
        <f>VLOOKUP($A6, [1]BB!$C$1:$K$73, 9, FALSE)</f>
        <v>3.6700803105276805</v>
      </c>
      <c r="AP6" s="652">
        <f t="shared" ref="AP6:AP64" si="0">AC6-AO6</f>
        <v>-1.8071591242518472</v>
      </c>
      <c r="AQ6" s="657"/>
      <c r="AR6" s="657"/>
      <c r="AS6" s="623" t="s">
        <v>1189</v>
      </c>
      <c r="AT6" s="658" t="s">
        <v>122</v>
      </c>
      <c r="AU6" s="623" t="s">
        <v>122</v>
      </c>
      <c r="AV6" s="632"/>
      <c r="AW6" s="619" t="s">
        <v>38</v>
      </c>
      <c r="AX6" s="633">
        <v>3192037.26</v>
      </c>
      <c r="AY6" s="645">
        <v>0</v>
      </c>
      <c r="AZ6" s="633">
        <f>+AX6-AY6</f>
        <v>3192037.26</v>
      </c>
      <c r="BA6" s="633"/>
      <c r="BB6" s="629" t="s">
        <v>1067</v>
      </c>
      <c r="BC6" s="654" t="s">
        <v>1190</v>
      </c>
      <c r="BD6" s="660">
        <v>100</v>
      </c>
      <c r="BE6" s="666">
        <f t="shared" ref="BE6" si="1">IF(LEFT(BZ6,3)="FL ",0,1)</f>
        <v>0</v>
      </c>
      <c r="BF6" s="666">
        <f t="shared" ref="BF6" si="2">IF(OR(J6="FLLO",L6="2L"),1,0)</f>
        <v>0</v>
      </c>
      <c r="BG6" s="666">
        <f t="shared" ref="BG6" si="3">IF(L6="2L",1,0)</f>
        <v>0</v>
      </c>
      <c r="BH6" s="666">
        <f t="shared" ref="BH6" si="4">IF(J6="USD",0,1)</f>
        <v>0</v>
      </c>
      <c r="BI6" s="666">
        <f t="shared" ref="BI6" si="5">IF(W6="USA",0,1)</f>
        <v>0</v>
      </c>
      <c r="BJ6" s="666">
        <f t="shared" ref="BJ6" si="6">IF(AJ6&lt;15,1,0)</f>
        <v>0</v>
      </c>
      <c r="BK6" s="666">
        <f t="shared" ref="BK6" si="7">IF(AJ6&lt;10,1,0)</f>
        <v>0</v>
      </c>
      <c r="BL6" s="666">
        <f t="shared" ref="BL6" si="8">IF(BA6="Yes",1,0)</f>
        <v>0</v>
      </c>
      <c r="BM6" s="666">
        <f t="shared" ref="BM6" si="9">IF(AT6="Yes",1,0)</f>
        <v>0</v>
      </c>
      <c r="BN6" s="666">
        <f t="shared" ref="BN6" si="10">IF(AI6&gt;5.5,1,0)</f>
        <v>0</v>
      </c>
      <c r="BO6" s="666">
        <f t="shared" ref="BO6" si="11">IF(M6="Fixed",1,0)</f>
        <v>0</v>
      </c>
      <c r="BP6" s="666">
        <f t="shared" ref="BP6" si="12">IF(AU6="Yes",1,0)</f>
        <v>0</v>
      </c>
      <c r="BQ6" s="636">
        <f t="shared" ref="BQ6:BQ64" si="13">H6</f>
        <v>3183892.61</v>
      </c>
      <c r="BR6" s="637">
        <v>100</v>
      </c>
      <c r="BS6" s="638">
        <f t="shared" ref="BS6:BS64" si="14">BR6*AZ6/100</f>
        <v>3192037.26</v>
      </c>
      <c r="BT6" s="639"/>
      <c r="BU6" s="633">
        <f t="shared" ref="BU6:BU64" si="15">BS6-BT6</f>
        <v>3192037.26</v>
      </c>
      <c r="BV6" s="639">
        <v>0</v>
      </c>
      <c r="BW6" s="666" t="str">
        <f t="shared" ref="BW6:BW64" si="16">IF(LEN(AJ6)=0,"EBITDA missing",IF(AJ6&gt;10000,"EBITDA bad",IF(AJ6&lt;=15,"15-",IF(AJ6&gt;=30,"30+","15-30"))))</f>
        <v>30+</v>
      </c>
      <c r="BX6" s="666" t="str">
        <f t="shared" ref="BX6:BX64" si="17">IF(AE6&lt;=0.25,"&lt;0.25",IF(AE6&gt;1.5,"&gt;1.50","0.25-1.50"))</f>
        <v>&lt;0.25</v>
      </c>
      <c r="BY6" s="635"/>
      <c r="BZ6" s="666" t="str">
        <f t="shared" ref="BZ6:BZ64" si="18">IF(K6="FL",K6&amp;" "&amp;BW6,IF(K6="FLLO",IF(OR(BX6="&lt;0.25",BY6="FL"),"FL"&amp;" "&amp;BW6,K6&amp;" "&amp;BX6),K6))</f>
        <v>FL 30+</v>
      </c>
    </row>
    <row r="7" spans="1:78">
      <c r="A7" s="616" t="s">
        <v>1068</v>
      </c>
      <c r="B7" s="617"/>
      <c r="C7" s="651">
        <v>45838</v>
      </c>
      <c r="D7" s="619" t="s">
        <v>1057</v>
      </c>
      <c r="E7" s="616" t="s">
        <v>1069</v>
      </c>
      <c r="F7" s="620" t="s">
        <v>1070</v>
      </c>
      <c r="G7" s="621" t="s">
        <v>1061</v>
      </c>
      <c r="H7" s="622">
        <v>268902.61</v>
      </c>
      <c r="I7" s="525"/>
      <c r="J7" s="621" t="s">
        <v>90</v>
      </c>
      <c r="K7" s="621" t="s">
        <v>1062</v>
      </c>
      <c r="L7" s="623" t="s">
        <v>182</v>
      </c>
      <c r="M7" s="623" t="s">
        <v>1064</v>
      </c>
      <c r="N7" s="624">
        <v>9.8200400719575864E-2</v>
      </c>
      <c r="O7" s="625" t="s">
        <v>225</v>
      </c>
      <c r="P7" s="624">
        <v>0.01</v>
      </c>
      <c r="Q7" s="624">
        <v>5.5E-2</v>
      </c>
      <c r="R7" s="623">
        <v>3</v>
      </c>
      <c r="S7" s="522"/>
      <c r="T7" s="624" t="s">
        <v>1065</v>
      </c>
      <c r="U7" s="621">
        <v>1.9416666666666667</v>
      </c>
      <c r="V7" s="653">
        <v>46486</v>
      </c>
      <c r="W7" s="621" t="s">
        <v>1066</v>
      </c>
      <c r="X7" s="627">
        <v>100</v>
      </c>
      <c r="Y7" s="523"/>
      <c r="Z7" s="628"/>
      <c r="AA7" s="628"/>
      <c r="AB7" s="629">
        <v>62.582177552763071</v>
      </c>
      <c r="AC7" s="524">
        <v>1.6048889860832187</v>
      </c>
      <c r="AD7" s="524">
        <v>5.5133081005532443</v>
      </c>
      <c r="AE7" s="524"/>
      <c r="AF7" s="652">
        <v>5.5133081005532443</v>
      </c>
      <c r="AG7" s="653">
        <v>45808</v>
      </c>
      <c r="AH7" s="621"/>
      <c r="AI7" s="652">
        <v>6.2544801166998543</v>
      </c>
      <c r="AJ7" s="652">
        <v>74.476344488005637</v>
      </c>
      <c r="AK7" s="524">
        <v>-0.56698300509695265</v>
      </c>
      <c r="AL7" s="524"/>
      <c r="AM7" s="652">
        <f>VLOOKUP($A7, [1]BB!$C$1:$K$73, 8, FALSE)</f>
        <v>7.3477771530033653</v>
      </c>
      <c r="AN7" s="652">
        <v>-1.6286653971814733</v>
      </c>
      <c r="AO7" s="652">
        <f>VLOOKUP($A7, [1]BB!$C$1:$K$73, 9, FALSE)</f>
        <v>1.3038534472351153</v>
      </c>
      <c r="AP7" s="652">
        <f t="shared" si="0"/>
        <v>0.30103553884810341</v>
      </c>
      <c r="AQ7" s="657"/>
      <c r="AR7" s="657"/>
      <c r="AS7" s="623" t="s">
        <v>87</v>
      </c>
      <c r="AT7" s="658" t="s">
        <v>231</v>
      </c>
      <c r="AU7" s="623" t="s">
        <v>122</v>
      </c>
      <c r="AV7" s="632"/>
      <c r="AW7" s="619" t="s">
        <v>38</v>
      </c>
      <c r="AX7" s="633">
        <v>269595.42</v>
      </c>
      <c r="AY7" s="645">
        <v>0</v>
      </c>
      <c r="AZ7" s="633">
        <f t="shared" ref="AZ7:AZ65" si="19">+AX7-AY7</f>
        <v>269595.42</v>
      </c>
      <c r="BA7" s="633"/>
      <c r="BB7" s="629" t="s">
        <v>1067</v>
      </c>
      <c r="BC7" s="654" t="s">
        <v>1190</v>
      </c>
      <c r="BD7" s="660">
        <v>100</v>
      </c>
      <c r="BE7" s="666">
        <f t="shared" ref="BE7:BE65" si="20">IF(LEFT(BZ7,3)="FL ",0,1)</f>
        <v>0</v>
      </c>
      <c r="BF7" s="666">
        <f t="shared" ref="BF7:BF65" si="21">IF(OR(J7="FLLO",L7="2L"),1,0)</f>
        <v>0</v>
      </c>
      <c r="BG7" s="666">
        <f t="shared" ref="BG7:BG65" si="22">IF(L7="2L",1,0)</f>
        <v>0</v>
      </c>
      <c r="BH7" s="666">
        <f t="shared" ref="BH7:BH65" si="23">IF(J7="USD",0,1)</f>
        <v>0</v>
      </c>
      <c r="BI7" s="666">
        <f t="shared" ref="BI7:BI65" si="24">IF(W7="USA",0,1)</f>
        <v>0</v>
      </c>
      <c r="BJ7" s="666">
        <f t="shared" ref="BJ7:BJ65" si="25">IF(AJ7&lt;15,1,0)</f>
        <v>0</v>
      </c>
      <c r="BK7" s="666">
        <f t="shared" ref="BK7:BK65" si="26">IF(AJ7&lt;10,1,0)</f>
        <v>0</v>
      </c>
      <c r="BL7" s="666">
        <f t="shared" ref="BL7:BL65" si="27">IF(BA7="Yes",1,0)</f>
        <v>0</v>
      </c>
      <c r="BM7" s="666">
        <f t="shared" ref="BM7:BM65" si="28">IF(AT7="Yes",1,0)</f>
        <v>1</v>
      </c>
      <c r="BN7" s="666">
        <f t="shared" ref="BN7:BN65" si="29">IF(AI7&gt;5.5,1,0)</f>
        <v>1</v>
      </c>
      <c r="BO7" s="666">
        <f t="shared" ref="BO7:BO65" si="30">IF(M7="Fixed",1,0)</f>
        <v>0</v>
      </c>
      <c r="BP7" s="666">
        <f t="shared" ref="BP7:BP65" si="31">IF(AU7="Yes",1,0)</f>
        <v>0</v>
      </c>
      <c r="BQ7" s="636">
        <f t="shared" si="13"/>
        <v>268902.61</v>
      </c>
      <c r="BR7" s="637">
        <v>100</v>
      </c>
      <c r="BS7" s="638">
        <f t="shared" si="14"/>
        <v>269595.42</v>
      </c>
      <c r="BT7" s="639"/>
      <c r="BU7" s="633">
        <f t="shared" si="15"/>
        <v>269595.42</v>
      </c>
      <c r="BV7" s="639">
        <v>0</v>
      </c>
      <c r="BW7" s="666" t="str">
        <f t="shared" si="16"/>
        <v>30+</v>
      </c>
      <c r="BX7" s="666" t="str">
        <f t="shared" si="17"/>
        <v>&lt;0.25</v>
      </c>
      <c r="BY7" s="635"/>
      <c r="BZ7" s="666" t="str">
        <f t="shared" si="18"/>
        <v>FL 30+</v>
      </c>
    </row>
    <row r="8" spans="1:78">
      <c r="A8" s="616" t="s">
        <v>1073</v>
      </c>
      <c r="B8" s="617"/>
      <c r="C8" s="651">
        <v>45838</v>
      </c>
      <c r="D8" s="619" t="s">
        <v>1057</v>
      </c>
      <c r="E8" s="616" t="s">
        <v>1074</v>
      </c>
      <c r="F8" s="620" t="s">
        <v>1075</v>
      </c>
      <c r="G8" s="621" t="s">
        <v>1061</v>
      </c>
      <c r="H8" s="622">
        <v>3988970.95</v>
      </c>
      <c r="I8" s="522"/>
      <c r="J8" s="621" t="s">
        <v>90</v>
      </c>
      <c r="K8" s="621" t="s">
        <v>1062</v>
      </c>
      <c r="L8" s="623" t="s">
        <v>975</v>
      </c>
      <c r="M8" s="623" t="s">
        <v>1064</v>
      </c>
      <c r="N8" s="624">
        <v>0.10423867229075129</v>
      </c>
      <c r="O8" s="625" t="s">
        <v>225</v>
      </c>
      <c r="P8" s="624">
        <v>0.01</v>
      </c>
      <c r="Q8" s="624">
        <v>6.0999999999999999E-2</v>
      </c>
      <c r="R8" s="623">
        <v>3</v>
      </c>
      <c r="S8" s="522"/>
      <c r="T8" s="624" t="s">
        <v>1065</v>
      </c>
      <c r="U8" s="621">
        <v>1.5833333333333333</v>
      </c>
      <c r="V8" s="653">
        <v>47452</v>
      </c>
      <c r="W8" s="621" t="s">
        <v>1066</v>
      </c>
      <c r="X8" s="627">
        <v>100</v>
      </c>
      <c r="Y8" s="523"/>
      <c r="Z8" s="628"/>
      <c r="AA8" s="628"/>
      <c r="AB8" s="629">
        <v>283.8</v>
      </c>
      <c r="AC8" s="524">
        <v>2.65</v>
      </c>
      <c r="AD8" s="524">
        <v>5.41</v>
      </c>
      <c r="AE8" s="524"/>
      <c r="AF8" s="652">
        <v>5.45</v>
      </c>
      <c r="AG8" s="653">
        <v>45777</v>
      </c>
      <c r="AH8" s="621"/>
      <c r="AI8" s="652">
        <v>20.461364406501755</v>
      </c>
      <c r="AJ8" s="652">
        <v>91.483000000000004</v>
      </c>
      <c r="AK8" s="524">
        <v>-12.467092532388762</v>
      </c>
      <c r="AL8" s="524"/>
      <c r="AM8" s="652">
        <f>VLOOKUP($A8, [1]BB!$C$1:$K$73, 8, FALSE)</f>
        <v>21.060524906266739</v>
      </c>
      <c r="AN8" s="652">
        <v>-12.943701780775388</v>
      </c>
      <c r="AO8" s="652">
        <f>VLOOKUP($A8, [1]BB!$C$1:$K$73, 9, FALSE)</f>
        <v>0.74807019265364871</v>
      </c>
      <c r="AP8" s="652">
        <f t="shared" si="0"/>
        <v>1.9019298073463511</v>
      </c>
      <c r="AQ8" s="654"/>
      <c r="AR8" s="657"/>
      <c r="AS8" s="623" t="s">
        <v>1189</v>
      </c>
      <c r="AT8" s="658" t="s">
        <v>122</v>
      </c>
      <c r="AU8" s="623" t="s">
        <v>122</v>
      </c>
      <c r="AV8" s="632"/>
      <c r="AW8" s="619" t="s">
        <v>38</v>
      </c>
      <c r="AX8" s="633">
        <v>3984568.27</v>
      </c>
      <c r="AY8" s="645">
        <v>138868.60999999999</v>
      </c>
      <c r="AZ8" s="633">
        <f t="shared" si="19"/>
        <v>3845699.66</v>
      </c>
      <c r="BA8" s="633"/>
      <c r="BB8" s="629" t="s">
        <v>1067</v>
      </c>
      <c r="BC8" s="654" t="s">
        <v>1067</v>
      </c>
      <c r="BD8" s="661">
        <v>0</v>
      </c>
      <c r="BE8" s="666">
        <f t="shared" si="20"/>
        <v>0</v>
      </c>
      <c r="BF8" s="666">
        <f t="shared" si="21"/>
        <v>0</v>
      </c>
      <c r="BG8" s="666">
        <f t="shared" si="22"/>
        <v>0</v>
      </c>
      <c r="BH8" s="666">
        <f t="shared" si="23"/>
        <v>0</v>
      </c>
      <c r="BI8" s="666">
        <f t="shared" si="24"/>
        <v>0</v>
      </c>
      <c r="BJ8" s="666">
        <f t="shared" si="25"/>
        <v>0</v>
      </c>
      <c r="BK8" s="666">
        <f t="shared" si="26"/>
        <v>0</v>
      </c>
      <c r="BL8" s="666">
        <f t="shared" si="27"/>
        <v>0</v>
      </c>
      <c r="BM8" s="666">
        <f t="shared" si="28"/>
        <v>0</v>
      </c>
      <c r="BN8" s="666">
        <f t="shared" si="29"/>
        <v>1</v>
      </c>
      <c r="BO8" s="666">
        <f t="shared" si="30"/>
        <v>0</v>
      </c>
      <c r="BP8" s="666">
        <f t="shared" si="31"/>
        <v>0</v>
      </c>
      <c r="BQ8" s="636">
        <f t="shared" si="13"/>
        <v>3988970.95</v>
      </c>
      <c r="BR8" s="637">
        <v>0</v>
      </c>
      <c r="BS8" s="638">
        <f t="shared" si="14"/>
        <v>0</v>
      </c>
      <c r="BT8" s="639"/>
      <c r="BU8" s="633">
        <f t="shared" si="15"/>
        <v>0</v>
      </c>
      <c r="BV8" s="639">
        <v>0</v>
      </c>
      <c r="BW8" s="666" t="str">
        <f t="shared" si="16"/>
        <v>30+</v>
      </c>
      <c r="BX8" s="666" t="str">
        <f t="shared" si="17"/>
        <v>&lt;0.25</v>
      </c>
      <c r="BY8" s="635"/>
      <c r="BZ8" s="666" t="str">
        <f t="shared" si="18"/>
        <v>FL 30+</v>
      </c>
    </row>
    <row r="9" spans="1:78">
      <c r="A9" s="616" t="s">
        <v>1291</v>
      </c>
      <c r="B9" s="617"/>
      <c r="C9" s="651">
        <v>45838</v>
      </c>
      <c r="D9" s="619" t="s">
        <v>1057</v>
      </c>
      <c r="E9" s="616" t="s">
        <v>1305</v>
      </c>
      <c r="F9" s="620" t="s">
        <v>1317</v>
      </c>
      <c r="G9" s="621" t="s">
        <v>1061</v>
      </c>
      <c r="H9" s="622">
        <v>3893383.44</v>
      </c>
      <c r="I9" s="525"/>
      <c r="J9" s="621" t="s">
        <v>90</v>
      </c>
      <c r="K9" s="621" t="s">
        <v>1062</v>
      </c>
      <c r="L9" s="623" t="s">
        <v>1145</v>
      </c>
      <c r="M9" s="623" t="s">
        <v>1064</v>
      </c>
      <c r="N9" s="624">
        <v>0.10049803526551059</v>
      </c>
      <c r="O9" s="625" t="s">
        <v>225</v>
      </c>
      <c r="P9" s="624">
        <v>0.01</v>
      </c>
      <c r="Q9" s="624">
        <v>5.7500000000000002E-2</v>
      </c>
      <c r="R9" s="623">
        <v>3</v>
      </c>
      <c r="S9" s="522"/>
      <c r="T9" s="624" t="s">
        <v>1065</v>
      </c>
      <c r="U9" s="621">
        <v>4.3277777777777775</v>
      </c>
      <c r="V9" s="653">
        <v>47358</v>
      </c>
      <c r="W9" s="621" t="s">
        <v>1066</v>
      </c>
      <c r="X9" s="627">
        <v>100</v>
      </c>
      <c r="Y9" s="523"/>
      <c r="Z9" s="628"/>
      <c r="AA9" s="628"/>
      <c r="AB9" s="629">
        <v>11.028693043071801</v>
      </c>
      <c r="AC9" s="524">
        <v>2.4621135704814532</v>
      </c>
      <c r="AD9" s="524">
        <v>2.8065191749483067</v>
      </c>
      <c r="AE9" s="524"/>
      <c r="AF9" s="652">
        <v>2.8065191749483067</v>
      </c>
      <c r="AG9" s="653">
        <v>45777</v>
      </c>
      <c r="AH9" s="621"/>
      <c r="AI9" s="652">
        <v>3.7470930601057781</v>
      </c>
      <c r="AJ9" s="652">
        <v>15.684637167335501</v>
      </c>
      <c r="AK9" s="524">
        <v>-1.7067215434383836</v>
      </c>
      <c r="AL9" s="524"/>
      <c r="AM9" s="652">
        <f>VLOOKUP($A9, [1]BB!$C$1:$K$73, 8, FALSE)</f>
        <v>3.7470930601057781</v>
      </c>
      <c r="AN9" s="652">
        <v>-1.7067215434383836</v>
      </c>
      <c r="AO9" s="652">
        <f>VLOOKUP($A9, [1]BB!$C$1:$K$73, 9, FALSE)</f>
        <v>3.5015353013232922</v>
      </c>
      <c r="AP9" s="652">
        <f t="shared" si="0"/>
        <v>-1.039421730841839</v>
      </c>
      <c r="AQ9" s="657"/>
      <c r="AR9" s="657"/>
      <c r="AS9" s="623" t="s">
        <v>1189</v>
      </c>
      <c r="AT9" s="658" t="s">
        <v>122</v>
      </c>
      <c r="AU9" s="623" t="s">
        <v>122</v>
      </c>
      <c r="AV9" s="632"/>
      <c r="AW9" s="619" t="s">
        <v>38</v>
      </c>
      <c r="AX9" s="633">
        <v>3903174.84</v>
      </c>
      <c r="AY9" s="645">
        <v>0</v>
      </c>
      <c r="AZ9" s="633">
        <f t="shared" si="19"/>
        <v>3903174.84</v>
      </c>
      <c r="BA9" s="633"/>
      <c r="BB9" s="629" t="s">
        <v>1067</v>
      </c>
      <c r="BC9" s="654" t="s">
        <v>1190</v>
      </c>
      <c r="BD9" s="660">
        <v>100</v>
      </c>
      <c r="BE9" s="666">
        <f t="shared" si="20"/>
        <v>0</v>
      </c>
      <c r="BF9" s="666">
        <f t="shared" si="21"/>
        <v>0</v>
      </c>
      <c r="BG9" s="666">
        <f t="shared" si="22"/>
        <v>0</v>
      </c>
      <c r="BH9" s="666">
        <f t="shared" si="23"/>
        <v>0</v>
      </c>
      <c r="BI9" s="666">
        <f t="shared" si="24"/>
        <v>0</v>
      </c>
      <c r="BJ9" s="666">
        <f t="shared" si="25"/>
        <v>0</v>
      </c>
      <c r="BK9" s="666">
        <f t="shared" si="26"/>
        <v>0</v>
      </c>
      <c r="BL9" s="666">
        <f t="shared" si="27"/>
        <v>0</v>
      </c>
      <c r="BM9" s="666">
        <f t="shared" si="28"/>
        <v>0</v>
      </c>
      <c r="BN9" s="666">
        <f t="shared" si="29"/>
        <v>0</v>
      </c>
      <c r="BO9" s="666">
        <f t="shared" si="30"/>
        <v>0</v>
      </c>
      <c r="BP9" s="666">
        <f t="shared" si="31"/>
        <v>0</v>
      </c>
      <c r="BQ9" s="636">
        <f t="shared" si="13"/>
        <v>3893383.44</v>
      </c>
      <c r="BR9" s="637">
        <v>100</v>
      </c>
      <c r="BS9" s="638">
        <f t="shared" si="14"/>
        <v>3903174.84</v>
      </c>
      <c r="BT9" s="639"/>
      <c r="BU9" s="633">
        <f t="shared" si="15"/>
        <v>3903174.84</v>
      </c>
      <c r="BV9" s="639">
        <v>0</v>
      </c>
      <c r="BW9" s="666" t="str">
        <f t="shared" si="16"/>
        <v>15-30</v>
      </c>
      <c r="BX9" s="666" t="str">
        <f t="shared" si="17"/>
        <v>&lt;0.25</v>
      </c>
      <c r="BY9" s="635"/>
      <c r="BZ9" s="666" t="str">
        <f t="shared" si="18"/>
        <v>FL 15-30</v>
      </c>
    </row>
    <row r="10" spans="1:78">
      <c r="A10" s="616" t="s">
        <v>1292</v>
      </c>
      <c r="B10" s="617"/>
      <c r="C10" s="651">
        <v>45838</v>
      </c>
      <c r="D10" s="619" t="s">
        <v>1057</v>
      </c>
      <c r="E10" s="616" t="s">
        <v>1306</v>
      </c>
      <c r="F10" s="620" t="s">
        <v>1318</v>
      </c>
      <c r="G10" s="621" t="s">
        <v>1061</v>
      </c>
      <c r="H10" s="622">
        <v>820443.75</v>
      </c>
      <c r="I10" s="522"/>
      <c r="J10" s="621" t="s">
        <v>90</v>
      </c>
      <c r="K10" s="621" t="s">
        <v>1062</v>
      </c>
      <c r="L10" s="623" t="s">
        <v>193</v>
      </c>
      <c r="M10" s="623" t="s">
        <v>1064</v>
      </c>
      <c r="N10" s="624">
        <v>0.100767</v>
      </c>
      <c r="O10" s="625" t="s">
        <v>225</v>
      </c>
      <c r="P10" s="624">
        <v>0.01</v>
      </c>
      <c r="Q10" s="624">
        <v>5.7500000000000002E-2</v>
      </c>
      <c r="R10" s="623">
        <v>3</v>
      </c>
      <c r="S10" s="522"/>
      <c r="T10" s="624" t="s">
        <v>1065</v>
      </c>
      <c r="U10" s="621">
        <v>4.3694444444444445</v>
      </c>
      <c r="V10" s="653">
        <v>47374</v>
      </c>
      <c r="W10" s="621" t="s">
        <v>1066</v>
      </c>
      <c r="X10" s="627">
        <v>100</v>
      </c>
      <c r="Y10" s="523"/>
      <c r="Z10" s="628"/>
      <c r="AA10" s="628"/>
      <c r="AB10" s="629">
        <v>63.670152000000002</v>
      </c>
      <c r="AC10" s="524">
        <v>1.4685834491201863</v>
      </c>
      <c r="AD10" s="524">
        <v>3.6605579206667747</v>
      </c>
      <c r="AE10" s="524"/>
      <c r="AF10" s="652">
        <v>6.1788209175313424</v>
      </c>
      <c r="AG10" s="653">
        <v>45777</v>
      </c>
      <c r="AH10" s="621"/>
      <c r="AI10" s="652">
        <v>4.7915590404508261</v>
      </c>
      <c r="AJ10" s="652">
        <v>78.649518</v>
      </c>
      <c r="AK10" s="524">
        <v>-0.33566845426586811</v>
      </c>
      <c r="AL10" s="524"/>
      <c r="AM10" s="652">
        <f>VLOOKUP($A10, [1]BB!$C$1:$K$73, 8, FALSE)</f>
        <v>6.6987544539052353</v>
      </c>
      <c r="AN10" s="652">
        <v>-0.23990540434855134</v>
      </c>
      <c r="AO10" s="652">
        <f>VLOOKUP($A10, [1]BB!$C$1:$K$73, 9, FALSE)</f>
        <v>1.9659378987282068</v>
      </c>
      <c r="AP10" s="652">
        <f t="shared" si="0"/>
        <v>-0.49735444960802044</v>
      </c>
      <c r="AQ10" s="657"/>
      <c r="AR10" s="657"/>
      <c r="AS10" s="623" t="s">
        <v>1189</v>
      </c>
      <c r="AT10" s="658" t="s">
        <v>122</v>
      </c>
      <c r="AU10" s="623" t="s">
        <v>122</v>
      </c>
      <c r="AV10" s="632"/>
      <c r="AW10" s="619" t="s">
        <v>38</v>
      </c>
      <c r="AX10" s="633">
        <v>822521.87</v>
      </c>
      <c r="AY10" s="645">
        <v>0</v>
      </c>
      <c r="AZ10" s="633">
        <f t="shared" si="19"/>
        <v>822521.87</v>
      </c>
      <c r="BA10" s="633"/>
      <c r="BB10" s="629" t="s">
        <v>1067</v>
      </c>
      <c r="BC10" s="654" t="s">
        <v>1190</v>
      </c>
      <c r="BD10" s="660">
        <v>100</v>
      </c>
      <c r="BE10" s="666">
        <f t="shared" si="20"/>
        <v>0</v>
      </c>
      <c r="BF10" s="666">
        <f t="shared" si="21"/>
        <v>0</v>
      </c>
      <c r="BG10" s="666">
        <f t="shared" si="22"/>
        <v>0</v>
      </c>
      <c r="BH10" s="666">
        <f t="shared" si="23"/>
        <v>0</v>
      </c>
      <c r="BI10" s="666">
        <f t="shared" si="24"/>
        <v>0</v>
      </c>
      <c r="BJ10" s="666">
        <f t="shared" si="25"/>
        <v>0</v>
      </c>
      <c r="BK10" s="666">
        <f t="shared" si="26"/>
        <v>0</v>
      </c>
      <c r="BL10" s="666">
        <f t="shared" si="27"/>
        <v>0</v>
      </c>
      <c r="BM10" s="666">
        <f t="shared" si="28"/>
        <v>0</v>
      </c>
      <c r="BN10" s="666">
        <f t="shared" si="29"/>
        <v>0</v>
      </c>
      <c r="BO10" s="666">
        <f t="shared" si="30"/>
        <v>0</v>
      </c>
      <c r="BP10" s="666">
        <f t="shared" si="31"/>
        <v>0</v>
      </c>
      <c r="BQ10" s="636">
        <f t="shared" si="13"/>
        <v>820443.75</v>
      </c>
      <c r="BR10" s="637">
        <v>100</v>
      </c>
      <c r="BS10" s="638">
        <f t="shared" si="14"/>
        <v>822521.87</v>
      </c>
      <c r="BT10" s="639"/>
      <c r="BU10" s="633">
        <f t="shared" si="15"/>
        <v>822521.87</v>
      </c>
      <c r="BV10" s="639">
        <v>0</v>
      </c>
      <c r="BW10" s="666" t="str">
        <f t="shared" si="16"/>
        <v>30+</v>
      </c>
      <c r="BX10" s="666" t="str">
        <f t="shared" si="17"/>
        <v>&lt;0.25</v>
      </c>
      <c r="BY10" s="635"/>
      <c r="BZ10" s="666" t="str">
        <f t="shared" si="18"/>
        <v>FL 30+</v>
      </c>
    </row>
    <row r="11" spans="1:78">
      <c r="A11" s="616" t="s">
        <v>1076</v>
      </c>
      <c r="B11" s="617"/>
      <c r="C11" s="651">
        <v>45838</v>
      </c>
      <c r="D11" s="619" t="s">
        <v>1057</v>
      </c>
      <c r="E11" s="616" t="s">
        <v>1077</v>
      </c>
      <c r="F11" s="620" t="s">
        <v>1078</v>
      </c>
      <c r="G11" s="621" t="s">
        <v>1061</v>
      </c>
      <c r="H11" s="622">
        <v>247692.39</v>
      </c>
      <c r="I11" s="522"/>
      <c r="J11" s="621" t="s">
        <v>90</v>
      </c>
      <c r="K11" s="621" t="s">
        <v>1062</v>
      </c>
      <c r="L11" s="623" t="s">
        <v>173</v>
      </c>
      <c r="M11" s="623" t="s">
        <v>1064</v>
      </c>
      <c r="N11" s="624">
        <v>9.6491999999999994E-2</v>
      </c>
      <c r="O11" s="625" t="s">
        <v>225</v>
      </c>
      <c r="P11" s="624">
        <v>5.0000000000000001E-3</v>
      </c>
      <c r="Q11" s="624">
        <v>5.3499999999999999E-2</v>
      </c>
      <c r="R11" s="623">
        <v>3</v>
      </c>
      <c r="S11" s="522"/>
      <c r="T11" s="624" t="s">
        <v>1065</v>
      </c>
      <c r="U11" s="621">
        <v>4.2361111111111107</v>
      </c>
      <c r="V11" s="653">
        <v>47324</v>
      </c>
      <c r="W11" s="621" t="s">
        <v>1066</v>
      </c>
      <c r="X11" s="627">
        <v>93</v>
      </c>
      <c r="Y11" s="523"/>
      <c r="Z11" s="628"/>
      <c r="AA11" s="628"/>
      <c r="AB11" s="629">
        <v>241.8</v>
      </c>
      <c r="AC11" s="524">
        <v>2.1552002673945743</v>
      </c>
      <c r="AD11" s="524">
        <v>5.0469960873862698</v>
      </c>
      <c r="AE11" s="524"/>
      <c r="AF11" s="652">
        <v>6.5151515877998341</v>
      </c>
      <c r="AG11" s="653">
        <v>45747</v>
      </c>
      <c r="AH11" s="621"/>
      <c r="AI11" s="652">
        <v>5.7475792988313863</v>
      </c>
      <c r="AJ11" s="652">
        <v>299.5</v>
      </c>
      <c r="AK11" s="524">
        <v>-0.5804286617776091</v>
      </c>
      <c r="AL11" s="524"/>
      <c r="AM11" s="652">
        <f>VLOOKUP($A11, [1]BB!$C$1:$K$73, 8, FALSE)</f>
        <v>6.937228714524208</v>
      </c>
      <c r="AN11" s="652">
        <v>-0.30458085367173737</v>
      </c>
      <c r="AO11" s="652">
        <f>VLOOKUP($A11, [1]BB!$C$1:$K$73, 9, FALSE)</f>
        <v>1.4094117647058824</v>
      </c>
      <c r="AP11" s="652">
        <f t="shared" si="0"/>
        <v>0.7457885026886919</v>
      </c>
      <c r="AQ11" s="657"/>
      <c r="AR11" s="657"/>
      <c r="AS11" s="623" t="s">
        <v>87</v>
      </c>
      <c r="AT11" s="658" t="s">
        <v>231</v>
      </c>
      <c r="AU11" s="623" t="s">
        <v>122</v>
      </c>
      <c r="AV11" s="632"/>
      <c r="AW11" s="619" t="s">
        <v>38</v>
      </c>
      <c r="AX11" s="633">
        <v>248327.5</v>
      </c>
      <c r="AY11" s="645">
        <v>0</v>
      </c>
      <c r="AZ11" s="633">
        <f t="shared" si="19"/>
        <v>248327.5</v>
      </c>
      <c r="BA11" s="633"/>
      <c r="BB11" s="629" t="s">
        <v>1067</v>
      </c>
      <c r="BC11" s="654" t="s">
        <v>1067</v>
      </c>
      <c r="BD11" s="661">
        <v>93</v>
      </c>
      <c r="BE11" s="666">
        <f t="shared" si="20"/>
        <v>0</v>
      </c>
      <c r="BF11" s="666">
        <f t="shared" si="21"/>
        <v>0</v>
      </c>
      <c r="BG11" s="666">
        <f t="shared" si="22"/>
        <v>0</v>
      </c>
      <c r="BH11" s="666">
        <f t="shared" si="23"/>
        <v>0</v>
      </c>
      <c r="BI11" s="666">
        <f t="shared" si="24"/>
        <v>0</v>
      </c>
      <c r="BJ11" s="666">
        <f t="shared" si="25"/>
        <v>0</v>
      </c>
      <c r="BK11" s="666">
        <f t="shared" si="26"/>
        <v>0</v>
      </c>
      <c r="BL11" s="666">
        <f t="shared" si="27"/>
        <v>0</v>
      </c>
      <c r="BM11" s="666">
        <f t="shared" si="28"/>
        <v>1</v>
      </c>
      <c r="BN11" s="666">
        <f t="shared" si="29"/>
        <v>1</v>
      </c>
      <c r="BO11" s="666">
        <f t="shared" si="30"/>
        <v>0</v>
      </c>
      <c r="BP11" s="666">
        <f t="shared" si="31"/>
        <v>0</v>
      </c>
      <c r="BQ11" s="636">
        <f t="shared" si="13"/>
        <v>247692.39</v>
      </c>
      <c r="BR11" s="637">
        <v>93</v>
      </c>
      <c r="BS11" s="638">
        <f t="shared" si="14"/>
        <v>230944.57500000001</v>
      </c>
      <c r="BT11" s="639"/>
      <c r="BU11" s="633">
        <f t="shared" si="15"/>
        <v>230944.57500000001</v>
      </c>
      <c r="BV11" s="639">
        <v>0</v>
      </c>
      <c r="BW11" s="666" t="str">
        <f t="shared" si="16"/>
        <v>30+</v>
      </c>
      <c r="BX11" s="666" t="str">
        <f t="shared" si="17"/>
        <v>&lt;0.25</v>
      </c>
      <c r="BY11" s="635"/>
      <c r="BZ11" s="666" t="str">
        <f t="shared" si="18"/>
        <v>FL 30+</v>
      </c>
    </row>
    <row r="12" spans="1:78">
      <c r="A12" s="616" t="s">
        <v>1079</v>
      </c>
      <c r="B12" s="617"/>
      <c r="C12" s="651">
        <v>45838</v>
      </c>
      <c r="D12" s="619" t="s">
        <v>1057</v>
      </c>
      <c r="E12" s="616" t="s">
        <v>1080</v>
      </c>
      <c r="F12" s="620" t="s">
        <v>1081</v>
      </c>
      <c r="G12" s="621" t="s">
        <v>1061</v>
      </c>
      <c r="H12" s="622">
        <v>12139547.219999999</v>
      </c>
      <c r="I12" s="522"/>
      <c r="J12" s="621" t="s">
        <v>90</v>
      </c>
      <c r="K12" s="621" t="s">
        <v>1062</v>
      </c>
      <c r="L12" s="623" t="s">
        <v>322</v>
      </c>
      <c r="M12" s="623" t="s">
        <v>1064</v>
      </c>
      <c r="N12" s="624">
        <v>9.8032852127280176E-2</v>
      </c>
      <c r="O12" s="625" t="s">
        <v>225</v>
      </c>
      <c r="P12" s="624">
        <v>0.01</v>
      </c>
      <c r="Q12" s="624">
        <v>5.5E-2</v>
      </c>
      <c r="R12" s="623">
        <v>3</v>
      </c>
      <c r="S12" s="522"/>
      <c r="T12" s="624" t="s">
        <v>1065</v>
      </c>
      <c r="U12" s="621">
        <v>4.1416666666666666</v>
      </c>
      <c r="V12" s="653">
        <v>47290</v>
      </c>
      <c r="W12" s="621" t="s">
        <v>1066</v>
      </c>
      <c r="X12" s="627">
        <v>100</v>
      </c>
      <c r="Y12" s="523"/>
      <c r="Z12" s="628"/>
      <c r="AA12" s="628"/>
      <c r="AB12" s="629">
        <v>18.21</v>
      </c>
      <c r="AC12" s="524">
        <v>4.25</v>
      </c>
      <c r="AD12" s="524">
        <v>3.7</v>
      </c>
      <c r="AE12" s="524"/>
      <c r="AF12" s="652">
        <v>4.2699999999999996</v>
      </c>
      <c r="AG12" s="653">
        <v>45808</v>
      </c>
      <c r="AH12" s="621"/>
      <c r="AI12" s="652">
        <v>5.1793885806758384</v>
      </c>
      <c r="AJ12" s="652">
        <v>21.173978202366602</v>
      </c>
      <c r="AK12" s="524">
        <v>-1.2021373134500353</v>
      </c>
      <c r="AL12" s="524"/>
      <c r="AM12" s="652">
        <f>VLOOKUP($A12, [1]BB!$C$1:$K$73, 8, FALSE)</f>
        <v>5.8076004444489522</v>
      </c>
      <c r="AN12" s="652">
        <v>-1.2172035779745478</v>
      </c>
      <c r="AO12" s="652">
        <f>VLOOKUP($A12, [1]BB!$C$1:$K$73, 9, FALSE)</f>
        <v>1.852747307651202</v>
      </c>
      <c r="AP12" s="652">
        <f t="shared" si="0"/>
        <v>2.3972526923487978</v>
      </c>
      <c r="AQ12" s="657"/>
      <c r="AR12" s="657"/>
      <c r="AS12" s="623" t="s">
        <v>1189</v>
      </c>
      <c r="AT12" s="658" t="s">
        <v>122</v>
      </c>
      <c r="AU12" s="623" t="s">
        <v>122</v>
      </c>
      <c r="AV12" s="632"/>
      <c r="AW12" s="619" t="s">
        <v>38</v>
      </c>
      <c r="AX12" s="633">
        <v>12170102.559999999</v>
      </c>
      <c r="AY12" s="645">
        <v>0</v>
      </c>
      <c r="AZ12" s="633">
        <f t="shared" si="19"/>
        <v>12170102.559999999</v>
      </c>
      <c r="BA12" s="633"/>
      <c r="BB12" s="629" t="s">
        <v>1067</v>
      </c>
      <c r="BC12" s="654" t="s">
        <v>1067</v>
      </c>
      <c r="BD12" s="660">
        <v>100</v>
      </c>
      <c r="BE12" s="666">
        <f t="shared" si="20"/>
        <v>0</v>
      </c>
      <c r="BF12" s="666">
        <f t="shared" si="21"/>
        <v>0</v>
      </c>
      <c r="BG12" s="666">
        <f t="shared" si="22"/>
        <v>0</v>
      </c>
      <c r="BH12" s="666">
        <f t="shared" si="23"/>
        <v>0</v>
      </c>
      <c r="BI12" s="666">
        <f t="shared" si="24"/>
        <v>0</v>
      </c>
      <c r="BJ12" s="666">
        <f t="shared" si="25"/>
        <v>0</v>
      </c>
      <c r="BK12" s="666">
        <f t="shared" si="26"/>
        <v>0</v>
      </c>
      <c r="BL12" s="666">
        <f t="shared" si="27"/>
        <v>0</v>
      </c>
      <c r="BM12" s="666">
        <f t="shared" si="28"/>
        <v>0</v>
      </c>
      <c r="BN12" s="666">
        <f t="shared" si="29"/>
        <v>0</v>
      </c>
      <c r="BO12" s="666">
        <f t="shared" si="30"/>
        <v>0</v>
      </c>
      <c r="BP12" s="666">
        <f t="shared" si="31"/>
        <v>0</v>
      </c>
      <c r="BQ12" s="636">
        <f t="shared" si="13"/>
        <v>12139547.219999999</v>
      </c>
      <c r="BR12" s="637">
        <v>100</v>
      </c>
      <c r="BS12" s="638">
        <f t="shared" si="14"/>
        <v>12170102.559999997</v>
      </c>
      <c r="BT12" s="639"/>
      <c r="BU12" s="633">
        <f t="shared" si="15"/>
        <v>12170102.559999997</v>
      </c>
      <c r="BV12" s="639">
        <v>0</v>
      </c>
      <c r="BW12" s="666" t="str">
        <f t="shared" si="16"/>
        <v>15-30</v>
      </c>
      <c r="BX12" s="666" t="str">
        <f t="shared" si="17"/>
        <v>&lt;0.25</v>
      </c>
      <c r="BY12" s="635"/>
      <c r="BZ12" s="666" t="str">
        <f t="shared" si="18"/>
        <v>FL 15-30</v>
      </c>
    </row>
    <row r="13" spans="1:78">
      <c r="A13" s="616" t="s">
        <v>1084</v>
      </c>
      <c r="B13" s="617"/>
      <c r="C13" s="651">
        <v>45838</v>
      </c>
      <c r="D13" s="619" t="s">
        <v>1057</v>
      </c>
      <c r="E13" s="616" t="s">
        <v>1085</v>
      </c>
      <c r="F13" s="620" t="s">
        <v>1086</v>
      </c>
      <c r="G13" s="621" t="s">
        <v>1061</v>
      </c>
      <c r="H13" s="622">
        <v>8631215.8200000003</v>
      </c>
      <c r="I13" s="525"/>
      <c r="J13" s="621" t="s">
        <v>90</v>
      </c>
      <c r="K13" s="621" t="s">
        <v>1062</v>
      </c>
      <c r="L13" s="623" t="s">
        <v>182</v>
      </c>
      <c r="M13" s="623" t="s">
        <v>1064</v>
      </c>
      <c r="N13" s="624">
        <v>9.6993426014872861E-2</v>
      </c>
      <c r="O13" s="625" t="s">
        <v>225</v>
      </c>
      <c r="P13" s="624">
        <v>0.01</v>
      </c>
      <c r="Q13" s="624">
        <v>5.3999999999999999E-2</v>
      </c>
      <c r="R13" s="623">
        <v>3</v>
      </c>
      <c r="S13" s="522"/>
      <c r="T13" s="624" t="s">
        <v>1065</v>
      </c>
      <c r="U13" s="621">
        <v>1.3805555555555555</v>
      </c>
      <c r="V13" s="653">
        <v>46282</v>
      </c>
      <c r="W13" s="621" t="s">
        <v>1066</v>
      </c>
      <c r="X13" s="627">
        <v>100</v>
      </c>
      <c r="Y13" s="523"/>
      <c r="Z13" s="628"/>
      <c r="AA13" s="628"/>
      <c r="AB13" s="629">
        <v>38.43</v>
      </c>
      <c r="AC13" s="524">
        <v>3.13</v>
      </c>
      <c r="AD13" s="524">
        <v>4.68</v>
      </c>
      <c r="AE13" s="524"/>
      <c r="AF13" s="652">
        <v>4.68</v>
      </c>
      <c r="AG13" s="653">
        <v>45808</v>
      </c>
      <c r="AH13" s="621"/>
      <c r="AI13" s="652">
        <v>6.125175245343482</v>
      </c>
      <c r="AJ13" s="652">
        <v>49.93</v>
      </c>
      <c r="AK13" s="524">
        <v>-1.1448222239587418</v>
      </c>
      <c r="AL13" s="524"/>
      <c r="AM13" s="652">
        <f>VLOOKUP($A13, [1]BB!$C$1:$K$73, 8, FALSE)</f>
        <v>6.7313238533947528</v>
      </c>
      <c r="AN13" s="652">
        <v>-1.7296272563882171</v>
      </c>
      <c r="AO13" s="652">
        <f>VLOOKUP($A13, [1]BB!$C$1:$K$73, 9, FALSE)</f>
        <v>1.2612407800343539</v>
      </c>
      <c r="AP13" s="652">
        <f t="shared" si="0"/>
        <v>1.868759219965646</v>
      </c>
      <c r="AQ13" s="657"/>
      <c r="AR13" s="657"/>
      <c r="AS13" s="623" t="s">
        <v>1189</v>
      </c>
      <c r="AT13" s="658" t="s">
        <v>122</v>
      </c>
      <c r="AU13" s="623" t="s">
        <v>122</v>
      </c>
      <c r="AV13" s="632"/>
      <c r="AW13" s="619" t="s">
        <v>38</v>
      </c>
      <c r="AX13" s="633">
        <v>8653790.4900000002</v>
      </c>
      <c r="AY13" s="645">
        <v>0</v>
      </c>
      <c r="AZ13" s="633">
        <f t="shared" si="19"/>
        <v>8653790.4900000002</v>
      </c>
      <c r="BA13" s="633"/>
      <c r="BB13" s="629" t="s">
        <v>1067</v>
      </c>
      <c r="BC13" s="654" t="s">
        <v>1067</v>
      </c>
      <c r="BD13" s="660">
        <v>100</v>
      </c>
      <c r="BE13" s="666">
        <f t="shared" si="20"/>
        <v>0</v>
      </c>
      <c r="BF13" s="666">
        <f t="shared" si="21"/>
        <v>0</v>
      </c>
      <c r="BG13" s="666">
        <f t="shared" si="22"/>
        <v>0</v>
      </c>
      <c r="BH13" s="666">
        <f t="shared" si="23"/>
        <v>0</v>
      </c>
      <c r="BI13" s="666">
        <f t="shared" si="24"/>
        <v>0</v>
      </c>
      <c r="BJ13" s="666">
        <f t="shared" si="25"/>
        <v>0</v>
      </c>
      <c r="BK13" s="666">
        <f t="shared" si="26"/>
        <v>0</v>
      </c>
      <c r="BL13" s="666">
        <f t="shared" si="27"/>
        <v>0</v>
      </c>
      <c r="BM13" s="666">
        <f t="shared" si="28"/>
        <v>0</v>
      </c>
      <c r="BN13" s="666">
        <f t="shared" si="29"/>
        <v>1</v>
      </c>
      <c r="BO13" s="666">
        <f t="shared" si="30"/>
        <v>0</v>
      </c>
      <c r="BP13" s="666">
        <f t="shared" si="31"/>
        <v>0</v>
      </c>
      <c r="BQ13" s="636">
        <f t="shared" si="13"/>
        <v>8631215.8200000003</v>
      </c>
      <c r="BR13" s="637">
        <v>100</v>
      </c>
      <c r="BS13" s="638">
        <f t="shared" si="14"/>
        <v>8653790.4900000002</v>
      </c>
      <c r="BT13" s="639"/>
      <c r="BU13" s="633">
        <f t="shared" si="15"/>
        <v>8653790.4900000002</v>
      </c>
      <c r="BV13" s="639">
        <v>0</v>
      </c>
      <c r="BW13" s="666" t="str">
        <f t="shared" si="16"/>
        <v>30+</v>
      </c>
      <c r="BX13" s="666" t="str">
        <f t="shared" si="17"/>
        <v>&lt;0.25</v>
      </c>
      <c r="BY13" s="635"/>
      <c r="BZ13" s="666" t="str">
        <f t="shared" si="18"/>
        <v>FL 30+</v>
      </c>
    </row>
    <row r="14" spans="1:78">
      <c r="A14" s="616" t="s">
        <v>1290</v>
      </c>
      <c r="B14" s="617"/>
      <c r="C14" s="651">
        <v>45838</v>
      </c>
      <c r="D14" s="619" t="s">
        <v>1057</v>
      </c>
      <c r="E14" s="616" t="s">
        <v>1278</v>
      </c>
      <c r="F14" s="620" t="s">
        <v>1284</v>
      </c>
      <c r="G14" s="621" t="s">
        <v>1061</v>
      </c>
      <c r="H14" s="622">
        <v>1488750</v>
      </c>
      <c r="I14" s="522"/>
      <c r="J14" s="621" t="s">
        <v>90</v>
      </c>
      <c r="K14" s="621" t="s">
        <v>1062</v>
      </c>
      <c r="L14" s="623" t="s">
        <v>193</v>
      </c>
      <c r="M14" s="623" t="s">
        <v>1064</v>
      </c>
      <c r="N14" s="624">
        <v>0.10299200000000003</v>
      </c>
      <c r="O14" s="625" t="s">
        <v>225</v>
      </c>
      <c r="P14" s="624">
        <v>0.01</v>
      </c>
      <c r="Q14" s="624">
        <v>0.06</v>
      </c>
      <c r="R14" s="623">
        <v>3</v>
      </c>
      <c r="S14" s="522"/>
      <c r="T14" s="624" t="s">
        <v>1065</v>
      </c>
      <c r="U14" s="621">
        <v>4.25</v>
      </c>
      <c r="V14" s="653">
        <v>47330</v>
      </c>
      <c r="W14" s="621" t="s">
        <v>1066</v>
      </c>
      <c r="X14" s="627">
        <v>100</v>
      </c>
      <c r="Y14" s="523"/>
      <c r="Z14" s="628"/>
      <c r="AA14" s="628"/>
      <c r="AB14" s="629">
        <v>19.728528000000001</v>
      </c>
      <c r="AC14" s="524">
        <v>2.1230411923320749</v>
      </c>
      <c r="AD14" s="524">
        <v>3.9042798834256662</v>
      </c>
      <c r="AE14" s="524"/>
      <c r="AF14" s="652">
        <v>4.243889610010438</v>
      </c>
      <c r="AG14" s="653">
        <v>45808</v>
      </c>
      <c r="AH14" s="621"/>
      <c r="AI14" s="652">
        <v>4.2271481555449366</v>
      </c>
      <c r="AJ14" s="652">
        <v>17.975770000000001</v>
      </c>
      <c r="AK14" s="524">
        <v>-1.2084510011737772</v>
      </c>
      <c r="AL14" s="524"/>
      <c r="AM14" s="652">
        <f>VLOOKUP($A14, [1]BB!$C$1:$K$73, 8, FALSE)</f>
        <v>4.9058237839046663</v>
      </c>
      <c r="AN14" s="652">
        <v>-1.2979665309353043</v>
      </c>
      <c r="AO14" s="652">
        <f>VLOOKUP($A14, [1]BB!$C$1:$K$73, 9, FALSE)</f>
        <v>1.9968640302155076</v>
      </c>
      <c r="AP14" s="652">
        <f t="shared" si="0"/>
        <v>0.12617716211656727</v>
      </c>
      <c r="AQ14" s="657"/>
      <c r="AR14" s="657"/>
      <c r="AS14" s="623" t="s">
        <v>1189</v>
      </c>
      <c r="AT14" s="658" t="s">
        <v>122</v>
      </c>
      <c r="AU14" s="623" t="s">
        <v>122</v>
      </c>
      <c r="AV14" s="632"/>
      <c r="AW14" s="619" t="s">
        <v>38</v>
      </c>
      <c r="AX14" s="633">
        <v>1492500</v>
      </c>
      <c r="AY14" s="645">
        <v>0</v>
      </c>
      <c r="AZ14" s="633">
        <f t="shared" si="19"/>
        <v>1492500</v>
      </c>
      <c r="BA14" s="633"/>
      <c r="BB14" s="629" t="s">
        <v>1067</v>
      </c>
      <c r="BC14" s="654" t="s">
        <v>1190</v>
      </c>
      <c r="BD14" s="660">
        <v>100</v>
      </c>
      <c r="BE14" s="666">
        <f t="shared" si="20"/>
        <v>0</v>
      </c>
      <c r="BF14" s="666">
        <f t="shared" si="21"/>
        <v>0</v>
      </c>
      <c r="BG14" s="666">
        <f t="shared" si="22"/>
        <v>0</v>
      </c>
      <c r="BH14" s="666">
        <f t="shared" si="23"/>
        <v>0</v>
      </c>
      <c r="BI14" s="666">
        <f t="shared" si="24"/>
        <v>0</v>
      </c>
      <c r="BJ14" s="666">
        <f t="shared" si="25"/>
        <v>0</v>
      </c>
      <c r="BK14" s="666">
        <f t="shared" si="26"/>
        <v>0</v>
      </c>
      <c r="BL14" s="666">
        <f t="shared" si="27"/>
        <v>0</v>
      </c>
      <c r="BM14" s="666">
        <f t="shared" si="28"/>
        <v>0</v>
      </c>
      <c r="BN14" s="666">
        <f t="shared" si="29"/>
        <v>0</v>
      </c>
      <c r="BO14" s="666">
        <f t="shared" si="30"/>
        <v>0</v>
      </c>
      <c r="BP14" s="666">
        <f t="shared" si="31"/>
        <v>0</v>
      </c>
      <c r="BQ14" s="636">
        <f t="shared" si="13"/>
        <v>1488750</v>
      </c>
      <c r="BR14" s="637">
        <v>100</v>
      </c>
      <c r="BS14" s="638">
        <f t="shared" si="14"/>
        <v>1492500</v>
      </c>
      <c r="BT14" s="639"/>
      <c r="BU14" s="633">
        <f t="shared" si="15"/>
        <v>1492500</v>
      </c>
      <c r="BV14" s="639">
        <v>0</v>
      </c>
      <c r="BW14" s="666" t="str">
        <f t="shared" si="16"/>
        <v>15-30</v>
      </c>
      <c r="BX14" s="666" t="str">
        <f t="shared" si="17"/>
        <v>&lt;0.25</v>
      </c>
      <c r="BY14" s="635"/>
      <c r="BZ14" s="666" t="str">
        <f t="shared" si="18"/>
        <v>FL 15-30</v>
      </c>
    </row>
    <row r="15" spans="1:78">
      <c r="A15" s="616" t="s">
        <v>1293</v>
      </c>
      <c r="B15" s="617"/>
      <c r="C15" s="651">
        <v>45838</v>
      </c>
      <c r="D15" s="619" t="s">
        <v>1057</v>
      </c>
      <c r="E15" s="616" t="s">
        <v>1307</v>
      </c>
      <c r="F15" s="620" t="s">
        <v>1319</v>
      </c>
      <c r="G15" s="621" t="s">
        <v>1061</v>
      </c>
      <c r="H15" s="622">
        <v>6282197.3100000005</v>
      </c>
      <c r="I15" s="522"/>
      <c r="J15" s="621" t="s">
        <v>90</v>
      </c>
      <c r="K15" s="621" t="s">
        <v>1062</v>
      </c>
      <c r="L15" s="623" t="s">
        <v>197</v>
      </c>
      <c r="M15" s="623" t="s">
        <v>1064</v>
      </c>
      <c r="N15" s="624">
        <v>0.10503471536011028</v>
      </c>
      <c r="O15" s="625" t="s">
        <v>225</v>
      </c>
      <c r="P15" s="624">
        <v>0.01</v>
      </c>
      <c r="Q15" s="624">
        <v>6.1899999999999997E-2</v>
      </c>
      <c r="R15" s="623">
        <v>3</v>
      </c>
      <c r="S15" s="522"/>
      <c r="T15" s="624" t="s">
        <v>1065</v>
      </c>
      <c r="U15" s="621">
        <v>1.3055555555555556</v>
      </c>
      <c r="V15" s="653">
        <v>46266</v>
      </c>
      <c r="W15" s="621" t="s">
        <v>1066</v>
      </c>
      <c r="X15" s="627">
        <v>100</v>
      </c>
      <c r="Y15" s="523"/>
      <c r="Z15" s="628"/>
      <c r="AA15" s="628"/>
      <c r="AB15" s="629">
        <v>12.232999999999999</v>
      </c>
      <c r="AC15" s="524">
        <v>1.3879915005982586</v>
      </c>
      <c r="AD15" s="524">
        <v>5.2933867407831299</v>
      </c>
      <c r="AE15" s="524"/>
      <c r="AF15" s="652">
        <v>5.2933867407831299</v>
      </c>
      <c r="AG15" s="653">
        <v>45808</v>
      </c>
      <c r="AH15" s="621"/>
      <c r="AI15" s="652">
        <v>5.4929051530993265</v>
      </c>
      <c r="AJ15" s="652">
        <v>12.051000000000002</v>
      </c>
      <c r="AK15" s="524">
        <v>-0.32134389894750992</v>
      </c>
      <c r="AL15" s="524"/>
      <c r="AM15" s="652">
        <f>VLOOKUP($A15, [1]BB!$C$1:$K$73, 8, FALSE)</f>
        <v>5.4929051530993265</v>
      </c>
      <c r="AN15" s="652">
        <v>-0.32134389894750992</v>
      </c>
      <c r="AO15" s="652">
        <f>VLOOKUP($A15, [1]BB!$C$1:$K$73, 9, FALSE)</f>
        <v>1.5540854224698237</v>
      </c>
      <c r="AP15" s="652">
        <f t="shared" si="0"/>
        <v>-0.16609392187156513</v>
      </c>
      <c r="AQ15" s="657"/>
      <c r="AR15" s="657"/>
      <c r="AS15" s="623" t="s">
        <v>1189</v>
      </c>
      <c r="AT15" s="658" t="s">
        <v>122</v>
      </c>
      <c r="AU15" s="623" t="s">
        <v>122</v>
      </c>
      <c r="AV15" s="632"/>
      <c r="AW15" s="619" t="s">
        <v>38</v>
      </c>
      <c r="AX15" s="633">
        <v>6298498.8200000003</v>
      </c>
      <c r="AY15" s="645">
        <v>0</v>
      </c>
      <c r="AZ15" s="633">
        <f t="shared" si="19"/>
        <v>6298498.8200000003</v>
      </c>
      <c r="BA15" s="633"/>
      <c r="BB15" s="629" t="s">
        <v>1067</v>
      </c>
      <c r="BC15" s="654" t="s">
        <v>1190</v>
      </c>
      <c r="BD15" s="660">
        <v>100</v>
      </c>
      <c r="BE15" s="666">
        <f t="shared" si="20"/>
        <v>0</v>
      </c>
      <c r="BF15" s="666">
        <f t="shared" si="21"/>
        <v>0</v>
      </c>
      <c r="BG15" s="666">
        <f t="shared" si="22"/>
        <v>0</v>
      </c>
      <c r="BH15" s="666">
        <f t="shared" si="23"/>
        <v>0</v>
      </c>
      <c r="BI15" s="666">
        <f t="shared" si="24"/>
        <v>0</v>
      </c>
      <c r="BJ15" s="666">
        <f t="shared" si="25"/>
        <v>1</v>
      </c>
      <c r="BK15" s="666">
        <f t="shared" si="26"/>
        <v>0</v>
      </c>
      <c r="BL15" s="666">
        <f t="shared" si="27"/>
        <v>0</v>
      </c>
      <c r="BM15" s="666">
        <f t="shared" si="28"/>
        <v>0</v>
      </c>
      <c r="BN15" s="666">
        <f t="shared" si="29"/>
        <v>0</v>
      </c>
      <c r="BO15" s="666">
        <f t="shared" si="30"/>
        <v>0</v>
      </c>
      <c r="BP15" s="666">
        <f t="shared" si="31"/>
        <v>0</v>
      </c>
      <c r="BQ15" s="636">
        <f t="shared" si="13"/>
        <v>6282197.3100000005</v>
      </c>
      <c r="BR15" s="637">
        <v>100</v>
      </c>
      <c r="BS15" s="638">
        <f t="shared" si="14"/>
        <v>6298498.8200000003</v>
      </c>
      <c r="BT15" s="639"/>
      <c r="BU15" s="633">
        <f t="shared" si="15"/>
        <v>6298498.8200000003</v>
      </c>
      <c r="BV15" s="639">
        <v>0</v>
      </c>
      <c r="BW15" s="666" t="str">
        <f t="shared" si="16"/>
        <v>15-</v>
      </c>
      <c r="BX15" s="666" t="str">
        <f t="shared" si="17"/>
        <v>&lt;0.25</v>
      </c>
      <c r="BY15" s="635"/>
      <c r="BZ15" s="666" t="str">
        <f t="shared" si="18"/>
        <v>FL 15-</v>
      </c>
    </row>
    <row r="16" spans="1:78">
      <c r="A16" s="616" t="s">
        <v>1272</v>
      </c>
      <c r="B16" s="617"/>
      <c r="C16" s="651">
        <v>45838</v>
      </c>
      <c r="D16" s="619" t="s">
        <v>1057</v>
      </c>
      <c r="E16" s="616" t="s">
        <v>1279</v>
      </c>
      <c r="F16" s="620" t="s">
        <v>1285</v>
      </c>
      <c r="G16" s="621" t="s">
        <v>1061</v>
      </c>
      <c r="H16" s="622">
        <v>6882726.1399999997</v>
      </c>
      <c r="I16" s="522"/>
      <c r="J16" s="621" t="s">
        <v>90</v>
      </c>
      <c r="K16" s="621" t="s">
        <v>1062</v>
      </c>
      <c r="L16" s="623" t="s">
        <v>197</v>
      </c>
      <c r="M16" s="623" t="s">
        <v>1064</v>
      </c>
      <c r="N16" s="624">
        <v>9.8268000000000008E-2</v>
      </c>
      <c r="O16" s="625" t="s">
        <v>225</v>
      </c>
      <c r="P16" s="624">
        <v>0.01</v>
      </c>
      <c r="Q16" s="624">
        <v>5.5E-2</v>
      </c>
      <c r="R16" s="623">
        <v>3</v>
      </c>
      <c r="S16" s="522"/>
      <c r="T16" s="624" t="s">
        <v>1065</v>
      </c>
      <c r="U16" s="621">
        <v>4.7694444444444448</v>
      </c>
      <c r="V16" s="653">
        <v>47521</v>
      </c>
      <c r="W16" s="621" t="s">
        <v>1066</v>
      </c>
      <c r="X16" s="627">
        <v>100</v>
      </c>
      <c r="Y16" s="523"/>
      <c r="Z16" s="628"/>
      <c r="AA16" s="628"/>
      <c r="AB16" s="629">
        <v>19.457816168527103</v>
      </c>
      <c r="AC16" s="524">
        <v>4.7515886745321634</v>
      </c>
      <c r="AD16" s="524">
        <v>2.7673367384731251</v>
      </c>
      <c r="AE16" s="524"/>
      <c r="AF16" s="652">
        <v>2.7673367384731251</v>
      </c>
      <c r="AG16" s="653">
        <v>45777</v>
      </c>
      <c r="AH16" s="621"/>
      <c r="AI16" s="652">
        <v>4.7598750700888512</v>
      </c>
      <c r="AJ16" s="652">
        <v>18.576537975890503</v>
      </c>
      <c r="AK16" s="524">
        <v>-1.8420294261287364</v>
      </c>
      <c r="AL16" s="524"/>
      <c r="AM16" s="652">
        <f>VLOOKUP($A16, [1]BB!$C$1:$K$73, 8, FALSE)</f>
        <v>4.7598750700888512</v>
      </c>
      <c r="AN16" s="652">
        <v>-1.8420294261287364</v>
      </c>
      <c r="AO16" s="652">
        <f>VLOOKUP($A16, [1]BB!$C$1:$K$73, 9, FALSE)</f>
        <v>1.9328322592667</v>
      </c>
      <c r="AP16" s="652">
        <f t="shared" si="0"/>
        <v>2.8187564152654634</v>
      </c>
      <c r="AQ16" s="657"/>
      <c r="AR16" s="657"/>
      <c r="AS16" s="623" t="s">
        <v>1189</v>
      </c>
      <c r="AT16" s="658" t="s">
        <v>122</v>
      </c>
      <c r="AU16" s="623" t="s">
        <v>122</v>
      </c>
      <c r="AV16" s="632"/>
      <c r="AW16" s="619" t="s">
        <v>38</v>
      </c>
      <c r="AX16" s="633">
        <v>6900150.7599999998</v>
      </c>
      <c r="AY16" s="645">
        <v>0</v>
      </c>
      <c r="AZ16" s="633">
        <f t="shared" si="19"/>
        <v>6900150.7599999998</v>
      </c>
      <c r="BA16" s="633"/>
      <c r="BB16" s="629" t="s">
        <v>1067</v>
      </c>
      <c r="BC16" s="654" t="s">
        <v>1067</v>
      </c>
      <c r="BD16" s="660">
        <v>100</v>
      </c>
      <c r="BE16" s="666">
        <f t="shared" si="20"/>
        <v>0</v>
      </c>
      <c r="BF16" s="666">
        <f t="shared" si="21"/>
        <v>0</v>
      </c>
      <c r="BG16" s="666">
        <f t="shared" si="22"/>
        <v>0</v>
      </c>
      <c r="BH16" s="666">
        <f t="shared" si="23"/>
        <v>0</v>
      </c>
      <c r="BI16" s="666">
        <f t="shared" si="24"/>
        <v>0</v>
      </c>
      <c r="BJ16" s="666">
        <f t="shared" si="25"/>
        <v>0</v>
      </c>
      <c r="BK16" s="666">
        <f t="shared" si="26"/>
        <v>0</v>
      </c>
      <c r="BL16" s="666">
        <f t="shared" si="27"/>
        <v>0</v>
      </c>
      <c r="BM16" s="666">
        <f t="shared" si="28"/>
        <v>0</v>
      </c>
      <c r="BN16" s="666">
        <f t="shared" si="29"/>
        <v>0</v>
      </c>
      <c r="BO16" s="666">
        <f t="shared" si="30"/>
        <v>0</v>
      </c>
      <c r="BP16" s="666">
        <f t="shared" si="31"/>
        <v>0</v>
      </c>
      <c r="BQ16" s="636">
        <f t="shared" si="13"/>
        <v>6882726.1399999997</v>
      </c>
      <c r="BR16" s="637">
        <v>100</v>
      </c>
      <c r="BS16" s="638">
        <f t="shared" si="14"/>
        <v>6900150.7599999998</v>
      </c>
      <c r="BT16" s="639"/>
      <c r="BU16" s="633">
        <f t="shared" si="15"/>
        <v>6900150.7599999998</v>
      </c>
      <c r="BV16" s="639">
        <v>0</v>
      </c>
      <c r="BW16" s="666" t="str">
        <f t="shared" si="16"/>
        <v>15-30</v>
      </c>
      <c r="BX16" s="666" t="str">
        <f t="shared" si="17"/>
        <v>&lt;0.25</v>
      </c>
      <c r="BY16" s="635"/>
      <c r="BZ16" s="666" t="str">
        <f t="shared" si="18"/>
        <v>FL 15-30</v>
      </c>
    </row>
    <row r="17" spans="1:78">
      <c r="A17" s="616" t="s">
        <v>1087</v>
      </c>
      <c r="B17" s="617"/>
      <c r="C17" s="651">
        <v>45838</v>
      </c>
      <c r="D17" s="619" t="s">
        <v>1057</v>
      </c>
      <c r="E17" s="616" t="s">
        <v>1088</v>
      </c>
      <c r="F17" s="620" t="s">
        <v>1089</v>
      </c>
      <c r="G17" s="621" t="s">
        <v>1061</v>
      </c>
      <c r="H17" s="622">
        <v>1113939.3600000001</v>
      </c>
      <c r="I17" s="522"/>
      <c r="J17" s="621" t="s">
        <v>90</v>
      </c>
      <c r="K17" s="621" t="s">
        <v>1062</v>
      </c>
      <c r="L17" s="623" t="s">
        <v>322</v>
      </c>
      <c r="M17" s="623" t="s">
        <v>1064</v>
      </c>
      <c r="N17" s="624">
        <v>9.5492000000000021E-2</v>
      </c>
      <c r="O17" s="625" t="s">
        <v>225</v>
      </c>
      <c r="P17" s="624">
        <v>0.01</v>
      </c>
      <c r="Q17" s="624">
        <v>5.2499999999999998E-2</v>
      </c>
      <c r="R17" s="623">
        <v>3</v>
      </c>
      <c r="S17" s="522"/>
      <c r="T17" s="624" t="s">
        <v>1065</v>
      </c>
      <c r="U17" s="621">
        <v>4.583333333333333</v>
      </c>
      <c r="V17" s="653">
        <v>47452</v>
      </c>
      <c r="W17" s="621" t="s">
        <v>1066</v>
      </c>
      <c r="X17" s="627">
        <v>100</v>
      </c>
      <c r="Y17" s="523"/>
      <c r="Z17" s="628"/>
      <c r="AA17" s="628"/>
      <c r="AB17" s="629">
        <v>10.781094416153847</v>
      </c>
      <c r="AC17" s="524">
        <v>2.3900626088839778</v>
      </c>
      <c r="AD17" s="524">
        <v>1.4414121053161031</v>
      </c>
      <c r="AE17" s="524"/>
      <c r="AF17" s="652">
        <v>1.4414121053161031</v>
      </c>
      <c r="AG17" s="653">
        <v>45777</v>
      </c>
      <c r="AH17" s="621"/>
      <c r="AI17" s="652">
        <v>3.0847821323011551</v>
      </c>
      <c r="AJ17" s="652">
        <v>19.206771</v>
      </c>
      <c r="AK17" s="524">
        <v>-1.8478816341192541</v>
      </c>
      <c r="AL17" s="524"/>
      <c r="AM17" s="652">
        <f>VLOOKUP($A17, [1]BB!$C$1:$K$73, 8, FALSE)</f>
        <v>3.0847821323011551</v>
      </c>
      <c r="AN17" s="652">
        <v>-1.8478816341192541</v>
      </c>
      <c r="AO17" s="652">
        <f>VLOOKUP($A17, [1]BB!$C$1:$K$73, 9, FALSE)</f>
        <v>2.210207674772124</v>
      </c>
      <c r="AP17" s="652">
        <f t="shared" si="0"/>
        <v>0.17985493411185383</v>
      </c>
      <c r="AQ17" s="657"/>
      <c r="AR17" s="657"/>
      <c r="AS17" s="623" t="s">
        <v>1189</v>
      </c>
      <c r="AT17" s="658" t="s">
        <v>122</v>
      </c>
      <c r="AU17" s="623" t="s">
        <v>122</v>
      </c>
      <c r="AV17" s="632"/>
      <c r="AW17" s="619" t="s">
        <v>38</v>
      </c>
      <c r="AX17" s="633">
        <v>1116738.2</v>
      </c>
      <c r="AY17" s="645">
        <v>0</v>
      </c>
      <c r="AZ17" s="633">
        <f t="shared" si="19"/>
        <v>1116738.2</v>
      </c>
      <c r="BA17" s="633"/>
      <c r="BB17" s="629" t="s">
        <v>1067</v>
      </c>
      <c r="BC17" s="654" t="s">
        <v>1067</v>
      </c>
      <c r="BD17" s="660">
        <v>100</v>
      </c>
      <c r="BE17" s="666">
        <f t="shared" si="20"/>
        <v>0</v>
      </c>
      <c r="BF17" s="666">
        <f t="shared" si="21"/>
        <v>0</v>
      </c>
      <c r="BG17" s="666">
        <f t="shared" si="22"/>
        <v>0</v>
      </c>
      <c r="BH17" s="666">
        <f t="shared" si="23"/>
        <v>0</v>
      </c>
      <c r="BI17" s="666">
        <f t="shared" si="24"/>
        <v>0</v>
      </c>
      <c r="BJ17" s="666">
        <f t="shared" si="25"/>
        <v>0</v>
      </c>
      <c r="BK17" s="666">
        <f t="shared" si="26"/>
        <v>0</v>
      </c>
      <c r="BL17" s="666">
        <f t="shared" si="27"/>
        <v>0</v>
      </c>
      <c r="BM17" s="666">
        <f t="shared" si="28"/>
        <v>0</v>
      </c>
      <c r="BN17" s="666">
        <f t="shared" si="29"/>
        <v>0</v>
      </c>
      <c r="BO17" s="666">
        <f t="shared" si="30"/>
        <v>0</v>
      </c>
      <c r="BP17" s="666">
        <f t="shared" si="31"/>
        <v>0</v>
      </c>
      <c r="BQ17" s="636">
        <f t="shared" si="13"/>
        <v>1113939.3600000001</v>
      </c>
      <c r="BR17" s="637">
        <v>100</v>
      </c>
      <c r="BS17" s="638">
        <f t="shared" si="14"/>
        <v>1116738.2</v>
      </c>
      <c r="BT17" s="639"/>
      <c r="BU17" s="633">
        <f t="shared" si="15"/>
        <v>1116738.2</v>
      </c>
      <c r="BV17" s="639">
        <v>0</v>
      </c>
      <c r="BW17" s="666" t="str">
        <f t="shared" si="16"/>
        <v>15-30</v>
      </c>
      <c r="BX17" s="666" t="str">
        <f t="shared" si="17"/>
        <v>&lt;0.25</v>
      </c>
      <c r="BY17" s="635"/>
      <c r="BZ17" s="666" t="str">
        <f t="shared" si="18"/>
        <v>FL 15-30</v>
      </c>
    </row>
    <row r="18" spans="1:78">
      <c r="A18" s="616" t="s">
        <v>1090</v>
      </c>
      <c r="B18" s="617"/>
      <c r="C18" s="651">
        <v>45838</v>
      </c>
      <c r="D18" s="619" t="s">
        <v>1057</v>
      </c>
      <c r="E18" s="616" t="s">
        <v>1091</v>
      </c>
      <c r="F18" s="620" t="s">
        <v>1092</v>
      </c>
      <c r="G18" s="621" t="s">
        <v>1061</v>
      </c>
      <c r="H18" s="622">
        <v>5192492.34</v>
      </c>
      <c r="I18" s="522"/>
      <c r="J18" s="621" t="s">
        <v>90</v>
      </c>
      <c r="K18" s="621" t="s">
        <v>1062</v>
      </c>
      <c r="L18" s="623" t="s">
        <v>182</v>
      </c>
      <c r="M18" s="623" t="s">
        <v>1064</v>
      </c>
      <c r="N18" s="624">
        <v>0.100492</v>
      </c>
      <c r="O18" s="625" t="s">
        <v>225</v>
      </c>
      <c r="P18" s="624">
        <v>0.01</v>
      </c>
      <c r="Q18" s="624">
        <v>5.7500000000000002E-2</v>
      </c>
      <c r="R18" s="623">
        <v>3</v>
      </c>
      <c r="S18" s="522"/>
      <c r="T18" s="624" t="s">
        <v>1065</v>
      </c>
      <c r="U18" s="621">
        <v>3.1222222222222222</v>
      </c>
      <c r="V18" s="653">
        <v>46918</v>
      </c>
      <c r="W18" s="621" t="s">
        <v>1066</v>
      </c>
      <c r="X18" s="627">
        <v>100</v>
      </c>
      <c r="Y18" s="523"/>
      <c r="Z18" s="628"/>
      <c r="AA18" s="628"/>
      <c r="AB18" s="629">
        <v>24.97</v>
      </c>
      <c r="AC18" s="524">
        <v>3.95</v>
      </c>
      <c r="AD18" s="524">
        <v>2.86</v>
      </c>
      <c r="AE18" s="524"/>
      <c r="AF18" s="652">
        <v>2.86</v>
      </c>
      <c r="AG18" s="653">
        <v>45777</v>
      </c>
      <c r="AH18" s="621"/>
      <c r="AI18" s="652">
        <v>3.8016816504191553</v>
      </c>
      <c r="AJ18" s="652">
        <v>17.179532238635421</v>
      </c>
      <c r="AK18" s="524">
        <v>-0.40805808593321879</v>
      </c>
      <c r="AL18" s="524"/>
      <c r="AM18" s="652">
        <f>VLOOKUP($A18, [1]BB!$C$1:$K$73, 8, FALSE)</f>
        <v>3.8016816504191553</v>
      </c>
      <c r="AN18" s="652">
        <v>-0.40805808593321879</v>
      </c>
      <c r="AO18" s="652">
        <f>VLOOKUP($A18, [1]BB!$C$1:$K$73, 9, FALSE)</f>
        <v>1.9667672110059979</v>
      </c>
      <c r="AP18" s="652">
        <f t="shared" si="0"/>
        <v>1.9832327889940022</v>
      </c>
      <c r="AQ18" s="657"/>
      <c r="AR18" s="657"/>
      <c r="AS18" s="623" t="s">
        <v>1189</v>
      </c>
      <c r="AT18" s="658" t="s">
        <v>122</v>
      </c>
      <c r="AU18" s="623" t="s">
        <v>122</v>
      </c>
      <c r="AV18" s="632"/>
      <c r="AW18" s="619" t="s">
        <v>38</v>
      </c>
      <c r="AX18" s="633">
        <v>5205875.05</v>
      </c>
      <c r="AY18" s="645">
        <v>0</v>
      </c>
      <c r="AZ18" s="633">
        <f t="shared" si="19"/>
        <v>5205875.05</v>
      </c>
      <c r="BA18" s="633"/>
      <c r="BB18" s="629" t="s">
        <v>1067</v>
      </c>
      <c r="BC18" s="654" t="s">
        <v>1190</v>
      </c>
      <c r="BD18" s="660">
        <v>100</v>
      </c>
      <c r="BE18" s="666">
        <f t="shared" si="20"/>
        <v>0</v>
      </c>
      <c r="BF18" s="666">
        <f t="shared" si="21"/>
        <v>0</v>
      </c>
      <c r="BG18" s="666">
        <f t="shared" si="22"/>
        <v>0</v>
      </c>
      <c r="BH18" s="666">
        <f t="shared" si="23"/>
        <v>0</v>
      </c>
      <c r="BI18" s="666">
        <f t="shared" si="24"/>
        <v>0</v>
      </c>
      <c r="BJ18" s="666">
        <f t="shared" si="25"/>
        <v>0</v>
      </c>
      <c r="BK18" s="666">
        <f t="shared" si="26"/>
        <v>0</v>
      </c>
      <c r="BL18" s="666">
        <f t="shared" si="27"/>
        <v>0</v>
      </c>
      <c r="BM18" s="666">
        <f t="shared" si="28"/>
        <v>0</v>
      </c>
      <c r="BN18" s="666">
        <f t="shared" si="29"/>
        <v>0</v>
      </c>
      <c r="BO18" s="666">
        <f t="shared" si="30"/>
        <v>0</v>
      </c>
      <c r="BP18" s="666">
        <f t="shared" si="31"/>
        <v>0</v>
      </c>
      <c r="BQ18" s="636">
        <f t="shared" si="13"/>
        <v>5192492.34</v>
      </c>
      <c r="BR18" s="637">
        <v>100</v>
      </c>
      <c r="BS18" s="638">
        <f t="shared" si="14"/>
        <v>5205875.05</v>
      </c>
      <c r="BT18" s="639"/>
      <c r="BU18" s="633">
        <f t="shared" si="15"/>
        <v>5205875.05</v>
      </c>
      <c r="BV18" s="639">
        <v>0</v>
      </c>
      <c r="BW18" s="666" t="str">
        <f t="shared" si="16"/>
        <v>15-30</v>
      </c>
      <c r="BX18" s="666" t="str">
        <f t="shared" si="17"/>
        <v>&lt;0.25</v>
      </c>
      <c r="BY18" s="635"/>
      <c r="BZ18" s="666" t="str">
        <f t="shared" si="18"/>
        <v>FL 15-30</v>
      </c>
    </row>
    <row r="19" spans="1:78">
      <c r="A19" s="616" t="s">
        <v>1294</v>
      </c>
      <c r="B19" s="617"/>
      <c r="C19" s="651">
        <v>45838</v>
      </c>
      <c r="D19" s="619" t="s">
        <v>1057</v>
      </c>
      <c r="E19" s="616" t="s">
        <v>1308</v>
      </c>
      <c r="F19" s="620" t="s">
        <v>1320</v>
      </c>
      <c r="G19" s="621" t="s">
        <v>1061</v>
      </c>
      <c r="H19" s="622">
        <v>4491992.74</v>
      </c>
      <c r="I19" s="522"/>
      <c r="J19" s="621" t="s">
        <v>90</v>
      </c>
      <c r="K19" s="621" t="s">
        <v>1062</v>
      </c>
      <c r="L19" s="623" t="s">
        <v>199</v>
      </c>
      <c r="M19" s="623" t="s">
        <v>1064</v>
      </c>
      <c r="N19" s="624">
        <v>9.5492000000000007E-2</v>
      </c>
      <c r="O19" s="625" t="s">
        <v>225</v>
      </c>
      <c r="P19" s="624">
        <v>0.01</v>
      </c>
      <c r="Q19" s="624">
        <v>5.2499999999999998E-2</v>
      </c>
      <c r="R19" s="623">
        <v>3</v>
      </c>
      <c r="S19" s="522"/>
      <c r="T19" s="624" t="s">
        <v>1065</v>
      </c>
      <c r="U19" s="621">
        <v>4.4194444444444443</v>
      </c>
      <c r="V19" s="653">
        <v>47392</v>
      </c>
      <c r="W19" s="621" t="s">
        <v>1066</v>
      </c>
      <c r="X19" s="627">
        <v>100</v>
      </c>
      <c r="Y19" s="523"/>
      <c r="Z19" s="628"/>
      <c r="AA19" s="628"/>
      <c r="AB19" s="629">
        <v>28.019479251625501</v>
      </c>
      <c r="AC19" s="524">
        <v>2.2183007873550942</v>
      </c>
      <c r="AD19" s="524">
        <v>2.96508008781713</v>
      </c>
      <c r="AE19" s="524"/>
      <c r="AF19" s="652">
        <v>2.96508008781713</v>
      </c>
      <c r="AG19" s="653">
        <v>45777</v>
      </c>
      <c r="AH19" s="621"/>
      <c r="AI19" s="652">
        <v>4.657301640807411</v>
      </c>
      <c r="AJ19" s="652">
        <v>19.55827758113783</v>
      </c>
      <c r="AK19" s="524">
        <v>-1.4295169864429633</v>
      </c>
      <c r="AL19" s="524"/>
      <c r="AM19" s="652">
        <f>VLOOKUP($A19, [1]BB!$C$1:$K$73, 8, FALSE)</f>
        <v>6.9478918941743784</v>
      </c>
      <c r="AN19" s="652">
        <v>-1.4295169864429633</v>
      </c>
      <c r="AO19" s="652">
        <f>VLOOKUP($A19, [1]BB!$C$1:$K$73, 9, FALSE)</f>
        <v>1.5484278693377418</v>
      </c>
      <c r="AP19" s="652">
        <f t="shared" si="0"/>
        <v>0.66987291801735238</v>
      </c>
      <c r="AQ19" s="657"/>
      <c r="AR19" s="657"/>
      <c r="AS19" s="623" t="s">
        <v>1189</v>
      </c>
      <c r="AT19" s="658" t="s">
        <v>122</v>
      </c>
      <c r="AU19" s="623" t="s">
        <v>122</v>
      </c>
      <c r="AV19" s="632"/>
      <c r="AW19" s="619" t="s">
        <v>38</v>
      </c>
      <c r="AX19" s="633">
        <v>4503279.1500000004</v>
      </c>
      <c r="AY19" s="645">
        <v>0</v>
      </c>
      <c r="AZ19" s="633">
        <f t="shared" si="19"/>
        <v>4503279.1500000004</v>
      </c>
      <c r="BA19" s="633"/>
      <c r="BB19" s="629" t="s">
        <v>1067</v>
      </c>
      <c r="BC19" s="654" t="s">
        <v>1190</v>
      </c>
      <c r="BD19" s="660">
        <v>100</v>
      </c>
      <c r="BE19" s="666">
        <f t="shared" si="20"/>
        <v>0</v>
      </c>
      <c r="BF19" s="666">
        <f t="shared" si="21"/>
        <v>0</v>
      </c>
      <c r="BG19" s="666">
        <f t="shared" si="22"/>
        <v>0</v>
      </c>
      <c r="BH19" s="666">
        <f t="shared" si="23"/>
        <v>0</v>
      </c>
      <c r="BI19" s="666">
        <f t="shared" si="24"/>
        <v>0</v>
      </c>
      <c r="BJ19" s="666">
        <f t="shared" si="25"/>
        <v>0</v>
      </c>
      <c r="BK19" s="666">
        <f t="shared" si="26"/>
        <v>0</v>
      </c>
      <c r="BL19" s="666">
        <f t="shared" si="27"/>
        <v>0</v>
      </c>
      <c r="BM19" s="666">
        <f t="shared" si="28"/>
        <v>0</v>
      </c>
      <c r="BN19" s="666">
        <f t="shared" si="29"/>
        <v>0</v>
      </c>
      <c r="BO19" s="666">
        <f t="shared" si="30"/>
        <v>0</v>
      </c>
      <c r="BP19" s="666">
        <f t="shared" si="31"/>
        <v>0</v>
      </c>
      <c r="BQ19" s="636">
        <f t="shared" si="13"/>
        <v>4491992.74</v>
      </c>
      <c r="BR19" s="637">
        <v>100</v>
      </c>
      <c r="BS19" s="638">
        <f t="shared" si="14"/>
        <v>4503279.1500000004</v>
      </c>
      <c r="BT19" s="639"/>
      <c r="BU19" s="633">
        <f t="shared" si="15"/>
        <v>4503279.1500000004</v>
      </c>
      <c r="BV19" s="639">
        <v>0</v>
      </c>
      <c r="BW19" s="666" t="str">
        <f t="shared" si="16"/>
        <v>15-30</v>
      </c>
      <c r="BX19" s="666" t="str">
        <f t="shared" si="17"/>
        <v>&lt;0.25</v>
      </c>
      <c r="BY19" s="635"/>
      <c r="BZ19" s="666" t="str">
        <f t="shared" si="18"/>
        <v>FL 15-30</v>
      </c>
    </row>
    <row r="20" spans="1:78">
      <c r="A20" s="616" t="s">
        <v>1093</v>
      </c>
      <c r="B20" s="617"/>
      <c r="C20" s="651">
        <v>45838</v>
      </c>
      <c r="D20" s="619" t="s">
        <v>1057</v>
      </c>
      <c r="E20" s="616" t="s">
        <v>1094</v>
      </c>
      <c r="F20" s="620" t="s">
        <v>1095</v>
      </c>
      <c r="G20" s="621" t="s">
        <v>1061</v>
      </c>
      <c r="H20" s="622">
        <v>2500143.9300000002</v>
      </c>
      <c r="I20" s="525"/>
      <c r="J20" s="621" t="s">
        <v>90</v>
      </c>
      <c r="K20" s="621" t="s">
        <v>1062</v>
      </c>
      <c r="L20" s="623" t="s">
        <v>322</v>
      </c>
      <c r="M20" s="623" t="s">
        <v>1064</v>
      </c>
      <c r="N20" s="624">
        <v>9.0491999999999989E-2</v>
      </c>
      <c r="O20" s="625" t="s">
        <v>225</v>
      </c>
      <c r="P20" s="624">
        <v>0.01</v>
      </c>
      <c r="Q20" s="624">
        <v>4.7500000000000001E-2</v>
      </c>
      <c r="R20" s="623">
        <v>3</v>
      </c>
      <c r="S20" s="522"/>
      <c r="T20" s="624" t="s">
        <v>1065</v>
      </c>
      <c r="U20" s="621">
        <v>0.7583333333333333</v>
      </c>
      <c r="V20" s="653">
        <v>46421</v>
      </c>
      <c r="W20" s="621" t="s">
        <v>1066</v>
      </c>
      <c r="X20" s="627">
        <v>100</v>
      </c>
      <c r="Y20" s="523"/>
      <c r="Z20" s="628"/>
      <c r="AA20" s="628"/>
      <c r="AB20" s="629">
        <v>28.067827269920599</v>
      </c>
      <c r="AC20" s="524">
        <v>2.715134445268911</v>
      </c>
      <c r="AD20" s="524">
        <v>4.8079959557333325</v>
      </c>
      <c r="AE20" s="524"/>
      <c r="AF20" s="652">
        <v>4.8079959557333325</v>
      </c>
      <c r="AG20" s="653">
        <v>45777</v>
      </c>
      <c r="AH20" s="621"/>
      <c r="AI20" s="652">
        <v>3.6916259904912838</v>
      </c>
      <c r="AJ20" s="652">
        <v>78.875</v>
      </c>
      <c r="AK20" s="524">
        <v>1.6551175529213102</v>
      </c>
      <c r="AL20" s="524"/>
      <c r="AM20" s="652">
        <f>VLOOKUP($A20, [1]BB!$C$1:$K$73, 8, FALSE)</f>
        <v>3.6916259904912838</v>
      </c>
      <c r="AN20" s="652">
        <v>1.6551175529213102</v>
      </c>
      <c r="AO20" s="652">
        <f>VLOOKUP($A20, [1]BB!$C$1:$K$73, 9, FALSE)</f>
        <v>2.7843670050939</v>
      </c>
      <c r="AP20" s="652">
        <f t="shared" si="0"/>
        <v>-6.9232559824988993E-2</v>
      </c>
      <c r="AQ20" s="657"/>
      <c r="AR20" s="657"/>
      <c r="AS20" s="623" t="s">
        <v>1189</v>
      </c>
      <c r="AT20" s="658" t="s">
        <v>122</v>
      </c>
      <c r="AU20" s="623" t="s">
        <v>122</v>
      </c>
      <c r="AV20" s="632"/>
      <c r="AW20" s="619" t="s">
        <v>38</v>
      </c>
      <c r="AX20" s="633">
        <v>2506425.7000000002</v>
      </c>
      <c r="AY20" s="645">
        <v>0</v>
      </c>
      <c r="AZ20" s="633">
        <f t="shared" si="19"/>
        <v>2506425.7000000002</v>
      </c>
      <c r="BA20" s="633"/>
      <c r="BB20" s="629" t="s">
        <v>1067</v>
      </c>
      <c r="BC20" s="654" t="s">
        <v>1190</v>
      </c>
      <c r="BD20" s="660">
        <v>100</v>
      </c>
      <c r="BE20" s="666">
        <f t="shared" si="20"/>
        <v>0</v>
      </c>
      <c r="BF20" s="666">
        <f t="shared" si="21"/>
        <v>0</v>
      </c>
      <c r="BG20" s="666">
        <f t="shared" si="22"/>
        <v>0</v>
      </c>
      <c r="BH20" s="666">
        <f t="shared" si="23"/>
        <v>0</v>
      </c>
      <c r="BI20" s="666">
        <f t="shared" si="24"/>
        <v>0</v>
      </c>
      <c r="BJ20" s="666">
        <f t="shared" si="25"/>
        <v>0</v>
      </c>
      <c r="BK20" s="666">
        <f t="shared" si="26"/>
        <v>0</v>
      </c>
      <c r="BL20" s="666">
        <f t="shared" si="27"/>
        <v>0</v>
      </c>
      <c r="BM20" s="666">
        <f t="shared" si="28"/>
        <v>0</v>
      </c>
      <c r="BN20" s="666">
        <f t="shared" si="29"/>
        <v>0</v>
      </c>
      <c r="BO20" s="666">
        <f t="shared" si="30"/>
        <v>0</v>
      </c>
      <c r="BP20" s="666">
        <f t="shared" si="31"/>
        <v>0</v>
      </c>
      <c r="BQ20" s="636">
        <f t="shared" si="13"/>
        <v>2500143.9300000002</v>
      </c>
      <c r="BR20" s="637">
        <v>100</v>
      </c>
      <c r="BS20" s="638">
        <f t="shared" si="14"/>
        <v>2506425.7000000002</v>
      </c>
      <c r="BT20" s="639"/>
      <c r="BU20" s="633">
        <f t="shared" si="15"/>
        <v>2506425.7000000002</v>
      </c>
      <c r="BV20" s="639">
        <v>0</v>
      </c>
      <c r="BW20" s="666" t="str">
        <f t="shared" si="16"/>
        <v>30+</v>
      </c>
      <c r="BX20" s="666" t="str">
        <f t="shared" si="17"/>
        <v>&lt;0.25</v>
      </c>
      <c r="BY20" s="635"/>
      <c r="BZ20" s="666" t="str">
        <f t="shared" si="18"/>
        <v>FL 30+</v>
      </c>
    </row>
    <row r="21" spans="1:78">
      <c r="A21" s="616" t="s">
        <v>1096</v>
      </c>
      <c r="B21" s="617"/>
      <c r="C21" s="651">
        <v>45838</v>
      </c>
      <c r="D21" s="619" t="s">
        <v>1057</v>
      </c>
      <c r="E21" s="616" t="s">
        <v>1097</v>
      </c>
      <c r="F21" s="620" t="s">
        <v>1098</v>
      </c>
      <c r="G21" s="621" t="s">
        <v>1061</v>
      </c>
      <c r="H21" s="622">
        <v>3727355.9</v>
      </c>
      <c r="I21" s="522"/>
      <c r="J21" s="621" t="s">
        <v>90</v>
      </c>
      <c r="K21" s="621" t="s">
        <v>1062</v>
      </c>
      <c r="L21" s="623" t="s">
        <v>322</v>
      </c>
      <c r="M21" s="623" t="s">
        <v>1064</v>
      </c>
      <c r="N21" s="624">
        <v>0.105492</v>
      </c>
      <c r="O21" s="625" t="s">
        <v>225</v>
      </c>
      <c r="P21" s="624">
        <v>0.01</v>
      </c>
      <c r="Q21" s="624">
        <v>6.25E-2</v>
      </c>
      <c r="R21" s="623">
        <v>3</v>
      </c>
      <c r="S21" s="522"/>
      <c r="T21" s="624" t="s">
        <v>1065</v>
      </c>
      <c r="U21" s="621">
        <v>3.4722222222222223</v>
      </c>
      <c r="V21" s="653">
        <v>47046</v>
      </c>
      <c r="W21" s="621" t="s">
        <v>1066</v>
      </c>
      <c r="X21" s="627">
        <v>100</v>
      </c>
      <c r="Y21" s="523"/>
      <c r="Z21" s="628"/>
      <c r="AA21" s="628"/>
      <c r="AB21" s="629">
        <v>20.031938040081101</v>
      </c>
      <c r="AC21" s="524">
        <v>2.1230956296951433</v>
      </c>
      <c r="AD21" s="524">
        <v>3.9142020728655642</v>
      </c>
      <c r="AE21" s="524"/>
      <c r="AF21" s="652">
        <v>3.9142020728655642</v>
      </c>
      <c r="AG21" s="653">
        <v>45808</v>
      </c>
      <c r="AH21" s="621"/>
      <c r="AI21" s="652">
        <v>3.6877484780158927</v>
      </c>
      <c r="AJ21" s="652">
        <v>19.221484443032701</v>
      </c>
      <c r="AK21" s="524">
        <v>-7.084908331540074E-3</v>
      </c>
      <c r="AL21" s="524"/>
      <c r="AM21" s="652">
        <f>VLOOKUP($A21, [1]BB!$C$1:$K$73, 8, FALSE)</f>
        <v>3.6877484780158927</v>
      </c>
      <c r="AN21" s="652">
        <v>-9.7874549084249196E-3</v>
      </c>
      <c r="AO21" s="652">
        <f>VLOOKUP($A21, [1]BB!$C$1:$K$73, 9, FALSE)</f>
        <v>2.1060024589714801</v>
      </c>
      <c r="AP21" s="652">
        <f t="shared" si="0"/>
        <v>1.7093170723663231E-2</v>
      </c>
      <c r="AQ21" s="657"/>
      <c r="AR21" s="657"/>
      <c r="AS21" s="623" t="s">
        <v>1189</v>
      </c>
      <c r="AT21" s="658" t="s">
        <v>122</v>
      </c>
      <c r="AU21" s="623" t="s">
        <v>122</v>
      </c>
      <c r="AV21" s="632"/>
      <c r="AW21" s="619" t="s">
        <v>38</v>
      </c>
      <c r="AX21" s="633">
        <v>3727355.9</v>
      </c>
      <c r="AY21" s="645">
        <v>0</v>
      </c>
      <c r="AZ21" s="633">
        <f t="shared" si="19"/>
        <v>3727355.9</v>
      </c>
      <c r="BA21" s="633"/>
      <c r="BB21" s="629" t="s">
        <v>1067</v>
      </c>
      <c r="BC21" s="654" t="s">
        <v>1190</v>
      </c>
      <c r="BD21" s="660">
        <v>100</v>
      </c>
      <c r="BE21" s="666">
        <f t="shared" si="20"/>
        <v>0</v>
      </c>
      <c r="BF21" s="666">
        <f t="shared" si="21"/>
        <v>0</v>
      </c>
      <c r="BG21" s="666">
        <f t="shared" si="22"/>
        <v>0</v>
      </c>
      <c r="BH21" s="666">
        <f t="shared" si="23"/>
        <v>0</v>
      </c>
      <c r="BI21" s="666">
        <f t="shared" si="24"/>
        <v>0</v>
      </c>
      <c r="BJ21" s="666">
        <f t="shared" si="25"/>
        <v>0</v>
      </c>
      <c r="BK21" s="666">
        <f t="shared" si="26"/>
        <v>0</v>
      </c>
      <c r="BL21" s="666">
        <f t="shared" si="27"/>
        <v>0</v>
      </c>
      <c r="BM21" s="666">
        <f t="shared" si="28"/>
        <v>0</v>
      </c>
      <c r="BN21" s="666">
        <f t="shared" si="29"/>
        <v>0</v>
      </c>
      <c r="BO21" s="666">
        <f t="shared" si="30"/>
        <v>0</v>
      </c>
      <c r="BP21" s="666">
        <f t="shared" si="31"/>
        <v>0</v>
      </c>
      <c r="BQ21" s="636">
        <f t="shared" si="13"/>
        <v>3727355.9</v>
      </c>
      <c r="BR21" s="637">
        <v>100</v>
      </c>
      <c r="BS21" s="638">
        <f t="shared" si="14"/>
        <v>3727355.9</v>
      </c>
      <c r="BT21" s="639"/>
      <c r="BU21" s="633">
        <f t="shared" si="15"/>
        <v>3727355.9</v>
      </c>
      <c r="BV21" s="639">
        <v>0</v>
      </c>
      <c r="BW21" s="666" t="str">
        <f t="shared" si="16"/>
        <v>15-30</v>
      </c>
      <c r="BX21" s="666" t="str">
        <f t="shared" si="17"/>
        <v>&lt;0.25</v>
      </c>
      <c r="BY21" s="635"/>
      <c r="BZ21" s="666" t="str">
        <f t="shared" si="18"/>
        <v>FL 15-30</v>
      </c>
    </row>
    <row r="22" spans="1:78">
      <c r="A22" s="616" t="s">
        <v>1273</v>
      </c>
      <c r="B22" s="617"/>
      <c r="C22" s="651">
        <v>45838</v>
      </c>
      <c r="D22" s="619" t="s">
        <v>1057</v>
      </c>
      <c r="E22" s="616" t="s">
        <v>1280</v>
      </c>
      <c r="F22" s="620" t="s">
        <v>1286</v>
      </c>
      <c r="G22" s="621" t="s">
        <v>1061</v>
      </c>
      <c r="H22" s="622">
        <v>992500</v>
      </c>
      <c r="I22" s="522"/>
      <c r="J22" s="621" t="s">
        <v>90</v>
      </c>
      <c r="K22" s="621" t="s">
        <v>1062</v>
      </c>
      <c r="L22" s="623" t="s">
        <v>325</v>
      </c>
      <c r="M22" s="623" t="s">
        <v>1064</v>
      </c>
      <c r="N22" s="624">
        <v>9.6912999999999985E-2</v>
      </c>
      <c r="O22" s="625" t="s">
        <v>225</v>
      </c>
      <c r="P22" s="624">
        <v>0.01</v>
      </c>
      <c r="Q22" s="624">
        <v>5.3600000000000002E-2</v>
      </c>
      <c r="R22" s="623">
        <v>3</v>
      </c>
      <c r="S22" s="522"/>
      <c r="T22" s="624" t="s">
        <v>1065</v>
      </c>
      <c r="U22" s="621">
        <v>2.2944444444444443</v>
      </c>
      <c r="V22" s="653">
        <v>46615</v>
      </c>
      <c r="W22" s="621" t="s">
        <v>1066</v>
      </c>
      <c r="X22" s="627">
        <v>100</v>
      </c>
      <c r="Y22" s="523"/>
      <c r="Z22" s="628"/>
      <c r="AA22" s="628"/>
      <c r="AB22" s="629">
        <v>23.523</v>
      </c>
      <c r="AC22" s="524">
        <v>1.6090518973026531</v>
      </c>
      <c r="AD22" s="524">
        <v>4.8333746739647401</v>
      </c>
      <c r="AE22" s="524"/>
      <c r="AF22" s="652">
        <v>5.2218170888683497</v>
      </c>
      <c r="AG22" s="653">
        <v>45808</v>
      </c>
      <c r="AH22" s="621"/>
      <c r="AI22" s="652">
        <v>5.385151433931922</v>
      </c>
      <c r="AJ22" s="652">
        <v>26.117000000000001</v>
      </c>
      <c r="AK22" s="524">
        <v>-6.8448859670122708E-2</v>
      </c>
      <c r="AL22" s="524"/>
      <c r="AM22" s="652">
        <f>VLOOKUP($A22, [1]BB!$C$1:$K$73, 8, FALSE)</f>
        <v>5.385151433931922</v>
      </c>
      <c r="AN22" s="652">
        <v>0.31999355523348694</v>
      </c>
      <c r="AO22" s="652">
        <f>VLOOKUP($A22, [1]BB!$C$1:$K$73, 9, FALSE)</f>
        <v>1.894045978678657</v>
      </c>
      <c r="AP22" s="652">
        <f t="shared" si="0"/>
        <v>-0.2849940813760039</v>
      </c>
      <c r="AQ22" s="657"/>
      <c r="AR22" s="657"/>
      <c r="AS22" s="623" t="s">
        <v>1189</v>
      </c>
      <c r="AT22" s="658" t="s">
        <v>122</v>
      </c>
      <c r="AU22" s="623" t="s">
        <v>122</v>
      </c>
      <c r="AV22" s="632"/>
      <c r="AW22" s="619" t="s">
        <v>38</v>
      </c>
      <c r="AX22" s="633">
        <v>995000</v>
      </c>
      <c r="AY22" s="645">
        <v>0</v>
      </c>
      <c r="AZ22" s="633">
        <f t="shared" si="19"/>
        <v>995000</v>
      </c>
      <c r="BA22" s="633"/>
      <c r="BB22" s="629" t="s">
        <v>1067</v>
      </c>
      <c r="BC22" s="654" t="s">
        <v>1190</v>
      </c>
      <c r="BD22" s="660">
        <v>100</v>
      </c>
      <c r="BE22" s="666">
        <f t="shared" si="20"/>
        <v>0</v>
      </c>
      <c r="BF22" s="666">
        <f t="shared" si="21"/>
        <v>0</v>
      </c>
      <c r="BG22" s="666">
        <f t="shared" si="22"/>
        <v>0</v>
      </c>
      <c r="BH22" s="666">
        <f t="shared" si="23"/>
        <v>0</v>
      </c>
      <c r="BI22" s="666">
        <f t="shared" si="24"/>
        <v>0</v>
      </c>
      <c r="BJ22" s="666">
        <f t="shared" si="25"/>
        <v>0</v>
      </c>
      <c r="BK22" s="666">
        <f t="shared" si="26"/>
        <v>0</v>
      </c>
      <c r="BL22" s="666">
        <f t="shared" si="27"/>
        <v>0</v>
      </c>
      <c r="BM22" s="666">
        <f t="shared" si="28"/>
        <v>0</v>
      </c>
      <c r="BN22" s="666">
        <f t="shared" si="29"/>
        <v>0</v>
      </c>
      <c r="BO22" s="666">
        <f t="shared" si="30"/>
        <v>0</v>
      </c>
      <c r="BP22" s="666">
        <f t="shared" si="31"/>
        <v>0</v>
      </c>
      <c r="BQ22" s="636">
        <f t="shared" si="13"/>
        <v>992500</v>
      </c>
      <c r="BR22" s="637">
        <v>100</v>
      </c>
      <c r="BS22" s="638">
        <f t="shared" si="14"/>
        <v>995000</v>
      </c>
      <c r="BT22" s="639"/>
      <c r="BU22" s="633">
        <f t="shared" si="15"/>
        <v>995000</v>
      </c>
      <c r="BV22" s="639">
        <v>0</v>
      </c>
      <c r="BW22" s="666" t="str">
        <f t="shared" si="16"/>
        <v>15-30</v>
      </c>
      <c r="BX22" s="666" t="str">
        <f t="shared" si="17"/>
        <v>&lt;0.25</v>
      </c>
      <c r="BY22" s="635"/>
      <c r="BZ22" s="666" t="str">
        <f t="shared" si="18"/>
        <v>FL 15-30</v>
      </c>
    </row>
    <row r="23" spans="1:78">
      <c r="A23" s="616" t="s">
        <v>1100</v>
      </c>
      <c r="B23" s="617"/>
      <c r="C23" s="651">
        <v>45838</v>
      </c>
      <c r="D23" s="619" t="s">
        <v>1057</v>
      </c>
      <c r="E23" s="616" t="s">
        <v>1101</v>
      </c>
      <c r="F23" s="620" t="s">
        <v>1102</v>
      </c>
      <c r="G23" s="621" t="s">
        <v>1061</v>
      </c>
      <c r="H23" s="622">
        <v>14391474.029999999</v>
      </c>
      <c r="I23" s="525"/>
      <c r="J23" s="621" t="s">
        <v>90</v>
      </c>
      <c r="K23" s="621" t="s">
        <v>1062</v>
      </c>
      <c r="L23" s="623" t="s">
        <v>194</v>
      </c>
      <c r="M23" s="623" t="s">
        <v>1064</v>
      </c>
      <c r="N23" s="624">
        <v>9.6603450333978991E-2</v>
      </c>
      <c r="O23" s="625" t="s">
        <v>225</v>
      </c>
      <c r="P23" s="624">
        <v>0.01</v>
      </c>
      <c r="Q23" s="624">
        <v>5.3499999999999999E-2</v>
      </c>
      <c r="R23" s="623">
        <v>3</v>
      </c>
      <c r="S23" s="522"/>
      <c r="T23" s="624" t="s">
        <v>1065</v>
      </c>
      <c r="U23" s="621">
        <v>2.3333333333333335</v>
      </c>
      <c r="V23" s="653">
        <v>46630</v>
      </c>
      <c r="W23" s="621" t="s">
        <v>1066</v>
      </c>
      <c r="X23" s="627">
        <v>100</v>
      </c>
      <c r="Y23" s="523"/>
      <c r="Z23" s="628"/>
      <c r="AA23" s="628"/>
      <c r="AB23" s="629">
        <v>70.42</v>
      </c>
      <c r="AC23" s="524">
        <v>4.96</v>
      </c>
      <c r="AD23" s="524">
        <v>1.63</v>
      </c>
      <c r="AE23" s="524"/>
      <c r="AF23" s="652">
        <v>1.63</v>
      </c>
      <c r="AG23" s="653">
        <v>45747</v>
      </c>
      <c r="AH23" s="621"/>
      <c r="AI23" s="652">
        <v>1.0515937434535187</v>
      </c>
      <c r="AJ23" s="652">
        <v>105.25377061155207</v>
      </c>
      <c r="AK23" s="524">
        <v>0.3325240749152969</v>
      </c>
      <c r="AL23" s="524"/>
      <c r="AM23" s="652">
        <f>VLOOKUP($A23, [1]BB!$C$1:$K$73, 8, FALSE)</f>
        <v>1.0515937434535187</v>
      </c>
      <c r="AN23" s="652">
        <v>0.3325240749152969</v>
      </c>
      <c r="AO23" s="652">
        <f>VLOOKUP($A23, [1]BB!$C$1:$K$73, 9, FALSE)</f>
        <v>6.1260243697738339</v>
      </c>
      <c r="AP23" s="652">
        <f t="shared" si="0"/>
        <v>-1.1660243697738339</v>
      </c>
      <c r="AQ23" s="657"/>
      <c r="AR23" s="657"/>
      <c r="AS23" s="623" t="s">
        <v>1189</v>
      </c>
      <c r="AT23" s="658" t="s">
        <v>122</v>
      </c>
      <c r="AU23" s="623" t="s">
        <v>122</v>
      </c>
      <c r="AV23" s="632"/>
      <c r="AW23" s="619" t="s">
        <v>38</v>
      </c>
      <c r="AX23" s="633">
        <v>14433539.950000001</v>
      </c>
      <c r="AY23" s="645">
        <v>0</v>
      </c>
      <c r="AZ23" s="633">
        <f t="shared" si="19"/>
        <v>14433539.950000001</v>
      </c>
      <c r="BA23" s="633"/>
      <c r="BB23" s="629" t="s">
        <v>1067</v>
      </c>
      <c r="BC23" s="654" t="s">
        <v>1190</v>
      </c>
      <c r="BD23" s="660">
        <v>100</v>
      </c>
      <c r="BE23" s="666">
        <f t="shared" si="20"/>
        <v>0</v>
      </c>
      <c r="BF23" s="666">
        <f t="shared" si="21"/>
        <v>0</v>
      </c>
      <c r="BG23" s="666">
        <f t="shared" si="22"/>
        <v>0</v>
      </c>
      <c r="BH23" s="666">
        <f t="shared" si="23"/>
        <v>0</v>
      </c>
      <c r="BI23" s="666">
        <f t="shared" si="24"/>
        <v>0</v>
      </c>
      <c r="BJ23" s="666">
        <f t="shared" si="25"/>
        <v>0</v>
      </c>
      <c r="BK23" s="666">
        <f t="shared" si="26"/>
        <v>0</v>
      </c>
      <c r="BL23" s="666">
        <f t="shared" si="27"/>
        <v>0</v>
      </c>
      <c r="BM23" s="666">
        <f t="shared" si="28"/>
        <v>0</v>
      </c>
      <c r="BN23" s="666">
        <f t="shared" si="29"/>
        <v>0</v>
      </c>
      <c r="BO23" s="666">
        <f t="shared" si="30"/>
        <v>0</v>
      </c>
      <c r="BP23" s="666">
        <f t="shared" si="31"/>
        <v>0</v>
      </c>
      <c r="BQ23" s="636">
        <f t="shared" si="13"/>
        <v>14391474.029999999</v>
      </c>
      <c r="BR23" s="637">
        <v>100</v>
      </c>
      <c r="BS23" s="638">
        <f t="shared" si="14"/>
        <v>14433539.949999999</v>
      </c>
      <c r="BT23" s="639"/>
      <c r="BU23" s="633">
        <f t="shared" si="15"/>
        <v>14433539.949999999</v>
      </c>
      <c r="BV23" s="639">
        <v>0</v>
      </c>
      <c r="BW23" s="666" t="str">
        <f t="shared" si="16"/>
        <v>30+</v>
      </c>
      <c r="BX23" s="666" t="str">
        <f t="shared" si="17"/>
        <v>&lt;0.25</v>
      </c>
      <c r="BY23" s="635"/>
      <c r="BZ23" s="666" t="str">
        <f t="shared" si="18"/>
        <v>FL 30+</v>
      </c>
    </row>
    <row r="24" spans="1:78">
      <c r="A24" s="616" t="s">
        <v>1107</v>
      </c>
      <c r="B24" s="617"/>
      <c r="C24" s="651">
        <v>45838</v>
      </c>
      <c r="D24" s="619" t="s">
        <v>1057</v>
      </c>
      <c r="E24" s="616" t="s">
        <v>1108</v>
      </c>
      <c r="F24" s="620" t="s">
        <v>1109</v>
      </c>
      <c r="G24" s="621" t="s">
        <v>1061</v>
      </c>
      <c r="H24" s="622">
        <v>5438891.75</v>
      </c>
      <c r="I24" s="525"/>
      <c r="J24" s="621" t="s">
        <v>90</v>
      </c>
      <c r="K24" s="621" t="s">
        <v>1062</v>
      </c>
      <c r="L24" s="623" t="s">
        <v>232</v>
      </c>
      <c r="M24" s="623" t="s">
        <v>1064</v>
      </c>
      <c r="N24" s="624">
        <v>0.10046712956052216</v>
      </c>
      <c r="O24" s="625" t="s">
        <v>225</v>
      </c>
      <c r="P24" s="624">
        <v>0.01</v>
      </c>
      <c r="Q24" s="624">
        <v>5.7500000000000002E-2</v>
      </c>
      <c r="R24" s="623">
        <v>3</v>
      </c>
      <c r="S24" s="522"/>
      <c r="T24" s="624" t="s">
        <v>1065</v>
      </c>
      <c r="U24" s="621">
        <v>3.6944444444444446</v>
      </c>
      <c r="V24" s="653">
        <v>47128</v>
      </c>
      <c r="W24" s="621" t="s">
        <v>1066</v>
      </c>
      <c r="X24" s="627">
        <v>100</v>
      </c>
      <c r="Y24" s="523"/>
      <c r="Z24" s="628"/>
      <c r="AA24" s="628"/>
      <c r="AB24" s="629">
        <v>11.98</v>
      </c>
      <c r="AC24" s="524">
        <v>2.31</v>
      </c>
      <c r="AD24" s="524">
        <v>3.63</v>
      </c>
      <c r="AE24" s="524"/>
      <c r="AF24" s="652">
        <v>3.63</v>
      </c>
      <c r="AG24" s="653">
        <v>45777</v>
      </c>
      <c r="AH24" s="621"/>
      <c r="AI24" s="652">
        <v>2.8726453492804902</v>
      </c>
      <c r="AJ24" s="652">
        <v>29.707113000000003</v>
      </c>
      <c r="AK24" s="524">
        <v>0.46020915179406563</v>
      </c>
      <c r="AL24" s="524"/>
      <c r="AM24" s="652">
        <f>VLOOKUP($A24, [1]BB!$C$1:$K$73, 8, FALSE)</f>
        <v>2.8726453492804902</v>
      </c>
      <c r="AN24" s="652">
        <v>0.46020915179406563</v>
      </c>
      <c r="AO24" s="652">
        <f>VLOOKUP($A24, [1]BB!$C$1:$K$73, 9, FALSE)</f>
        <v>2.4905948480673334</v>
      </c>
      <c r="AP24" s="652">
        <f t="shared" si="0"/>
        <v>-0.18059484806733339</v>
      </c>
      <c r="AQ24" s="657"/>
      <c r="AR24" s="657"/>
      <c r="AS24" s="623" t="s">
        <v>1189</v>
      </c>
      <c r="AT24" s="658" t="s">
        <v>122</v>
      </c>
      <c r="AU24" s="623" t="s">
        <v>122</v>
      </c>
      <c r="AV24" s="632"/>
      <c r="AW24" s="619" t="s">
        <v>38</v>
      </c>
      <c r="AX24" s="633">
        <v>5452661.0999999996</v>
      </c>
      <c r="AY24" s="645">
        <v>0</v>
      </c>
      <c r="AZ24" s="633">
        <f t="shared" si="19"/>
        <v>5452661.0999999996</v>
      </c>
      <c r="BA24" s="633"/>
      <c r="BB24" s="629" t="s">
        <v>1067</v>
      </c>
      <c r="BC24" s="654" t="s">
        <v>1190</v>
      </c>
      <c r="BD24" s="660">
        <v>100</v>
      </c>
      <c r="BE24" s="666">
        <f t="shared" si="20"/>
        <v>0</v>
      </c>
      <c r="BF24" s="666">
        <f t="shared" si="21"/>
        <v>0</v>
      </c>
      <c r="BG24" s="666">
        <f t="shared" si="22"/>
        <v>0</v>
      </c>
      <c r="BH24" s="666">
        <f t="shared" si="23"/>
        <v>0</v>
      </c>
      <c r="BI24" s="666">
        <f t="shared" si="24"/>
        <v>0</v>
      </c>
      <c r="BJ24" s="666">
        <f t="shared" si="25"/>
        <v>0</v>
      </c>
      <c r="BK24" s="666">
        <f t="shared" si="26"/>
        <v>0</v>
      </c>
      <c r="BL24" s="666">
        <f t="shared" si="27"/>
        <v>0</v>
      </c>
      <c r="BM24" s="666">
        <f t="shared" si="28"/>
        <v>0</v>
      </c>
      <c r="BN24" s="666">
        <f t="shared" si="29"/>
        <v>0</v>
      </c>
      <c r="BO24" s="666">
        <f t="shared" si="30"/>
        <v>0</v>
      </c>
      <c r="BP24" s="666">
        <f t="shared" si="31"/>
        <v>0</v>
      </c>
      <c r="BQ24" s="636">
        <f t="shared" si="13"/>
        <v>5438891.75</v>
      </c>
      <c r="BR24" s="637">
        <v>100</v>
      </c>
      <c r="BS24" s="638">
        <f t="shared" si="14"/>
        <v>5452661.0999999996</v>
      </c>
      <c r="BT24" s="639"/>
      <c r="BU24" s="633">
        <f t="shared" si="15"/>
        <v>5452661.0999999996</v>
      </c>
      <c r="BV24" s="639">
        <v>0</v>
      </c>
      <c r="BW24" s="666" t="str">
        <f t="shared" si="16"/>
        <v>15-30</v>
      </c>
      <c r="BX24" s="666" t="str">
        <f t="shared" si="17"/>
        <v>&lt;0.25</v>
      </c>
      <c r="BY24" s="635"/>
      <c r="BZ24" s="666" t="str">
        <f t="shared" si="18"/>
        <v>FL 15-30</v>
      </c>
    </row>
    <row r="25" spans="1:78">
      <c r="A25" s="616" t="s">
        <v>1110</v>
      </c>
      <c r="B25" s="617"/>
      <c r="C25" s="651">
        <v>45838</v>
      </c>
      <c r="D25" s="619" t="s">
        <v>1057</v>
      </c>
      <c r="E25" s="616" t="s">
        <v>1111</v>
      </c>
      <c r="F25" s="620" t="s">
        <v>1112</v>
      </c>
      <c r="G25" s="621" t="s">
        <v>1061</v>
      </c>
      <c r="H25" s="622">
        <v>1358911.12</v>
      </c>
      <c r="I25" s="522"/>
      <c r="J25" s="621" t="s">
        <v>90</v>
      </c>
      <c r="K25" s="621" t="s">
        <v>1062</v>
      </c>
      <c r="L25" s="623" t="s">
        <v>322</v>
      </c>
      <c r="M25" s="623" t="s">
        <v>1064</v>
      </c>
      <c r="N25" s="624">
        <v>0.10076800000000001</v>
      </c>
      <c r="O25" s="625" t="s">
        <v>225</v>
      </c>
      <c r="P25" s="624">
        <v>0.01</v>
      </c>
      <c r="Q25" s="624">
        <v>5.7500000000000002E-2</v>
      </c>
      <c r="R25" s="623">
        <v>3</v>
      </c>
      <c r="S25" s="522"/>
      <c r="T25" s="624" t="s">
        <v>1065</v>
      </c>
      <c r="U25" s="621">
        <v>5.0277777777777777</v>
      </c>
      <c r="V25" s="653">
        <v>47613</v>
      </c>
      <c r="W25" s="621" t="s">
        <v>1066</v>
      </c>
      <c r="X25" s="627">
        <v>100</v>
      </c>
      <c r="Y25" s="523"/>
      <c r="Z25" s="628"/>
      <c r="AA25" s="628"/>
      <c r="AB25" s="629">
        <v>15.03</v>
      </c>
      <c r="AC25" s="524">
        <v>2.36</v>
      </c>
      <c r="AD25" s="524">
        <v>3.5</v>
      </c>
      <c r="AE25" s="524"/>
      <c r="AF25" s="652">
        <v>3.5</v>
      </c>
      <c r="AG25" s="653">
        <v>45777</v>
      </c>
      <c r="AH25" s="655"/>
      <c r="AI25" s="652">
        <v>3.6212288521252662</v>
      </c>
      <c r="AJ25" s="652">
        <v>12.719275936666678</v>
      </c>
      <c r="AK25" s="524">
        <v>-0.16909519586818123</v>
      </c>
      <c r="AL25" s="524"/>
      <c r="AM25" s="652">
        <f>VLOOKUP($A25, [1]BB!$C$1:$K$73, 8, FALSE)</f>
        <v>3.6212288521252662</v>
      </c>
      <c r="AN25" s="652">
        <v>-0.16909519586818123</v>
      </c>
      <c r="AO25" s="652">
        <f>VLOOKUP($A25, [1]BB!$C$1:$K$73, 9, FALSE)</f>
        <v>2.4908462430126619</v>
      </c>
      <c r="AP25" s="652">
        <f t="shared" si="0"/>
        <v>-0.13084624301266201</v>
      </c>
      <c r="AQ25" s="659"/>
      <c r="AR25" s="659"/>
      <c r="AS25" s="623" t="s">
        <v>1189</v>
      </c>
      <c r="AT25" s="658" t="s">
        <v>122</v>
      </c>
      <c r="AU25" s="623" t="s">
        <v>122</v>
      </c>
      <c r="AV25" s="632"/>
      <c r="AW25" s="619" t="s">
        <v>38</v>
      </c>
      <c r="AX25" s="633">
        <v>1362351.4</v>
      </c>
      <c r="AY25" s="645">
        <v>0</v>
      </c>
      <c r="AZ25" s="633">
        <f t="shared" si="19"/>
        <v>1362351.4</v>
      </c>
      <c r="BA25" s="633"/>
      <c r="BB25" s="629" t="s">
        <v>1067</v>
      </c>
      <c r="BC25" s="654" t="s">
        <v>1190</v>
      </c>
      <c r="BD25" s="660">
        <v>100</v>
      </c>
      <c r="BE25" s="666">
        <f t="shared" si="20"/>
        <v>0</v>
      </c>
      <c r="BF25" s="666">
        <f t="shared" si="21"/>
        <v>0</v>
      </c>
      <c r="BG25" s="666">
        <f t="shared" si="22"/>
        <v>0</v>
      </c>
      <c r="BH25" s="666">
        <f t="shared" si="23"/>
        <v>0</v>
      </c>
      <c r="BI25" s="666">
        <f t="shared" si="24"/>
        <v>0</v>
      </c>
      <c r="BJ25" s="666">
        <f t="shared" si="25"/>
        <v>1</v>
      </c>
      <c r="BK25" s="666">
        <f t="shared" si="26"/>
        <v>0</v>
      </c>
      <c r="BL25" s="666">
        <f t="shared" si="27"/>
        <v>0</v>
      </c>
      <c r="BM25" s="666">
        <f t="shared" si="28"/>
        <v>0</v>
      </c>
      <c r="BN25" s="666">
        <f t="shared" si="29"/>
        <v>0</v>
      </c>
      <c r="BO25" s="666">
        <f t="shared" si="30"/>
        <v>0</v>
      </c>
      <c r="BP25" s="666">
        <f t="shared" si="31"/>
        <v>0</v>
      </c>
      <c r="BQ25" s="636">
        <f t="shared" si="13"/>
        <v>1358911.12</v>
      </c>
      <c r="BR25" s="637">
        <v>100</v>
      </c>
      <c r="BS25" s="638">
        <f t="shared" si="14"/>
        <v>1362351.4</v>
      </c>
      <c r="BT25" s="639"/>
      <c r="BU25" s="633">
        <f t="shared" si="15"/>
        <v>1362351.4</v>
      </c>
      <c r="BV25" s="639">
        <v>0</v>
      </c>
      <c r="BW25" s="666" t="str">
        <f t="shared" si="16"/>
        <v>15-</v>
      </c>
      <c r="BX25" s="666" t="str">
        <f t="shared" si="17"/>
        <v>&lt;0.25</v>
      </c>
      <c r="BY25" s="635"/>
      <c r="BZ25" s="666" t="str">
        <f t="shared" si="18"/>
        <v>FL 15-</v>
      </c>
    </row>
    <row r="26" spans="1:78">
      <c r="A26" s="616" t="s">
        <v>1295</v>
      </c>
      <c r="B26" s="617"/>
      <c r="C26" s="651">
        <v>45838</v>
      </c>
      <c r="D26" s="619" t="s">
        <v>1057</v>
      </c>
      <c r="E26" s="616" t="s">
        <v>1309</v>
      </c>
      <c r="F26" s="620" t="s">
        <v>1321</v>
      </c>
      <c r="G26" s="621" t="s">
        <v>1061</v>
      </c>
      <c r="H26" s="622">
        <v>6561913.8300000001</v>
      </c>
      <c r="I26" s="522"/>
      <c r="J26" s="621" t="s">
        <v>90</v>
      </c>
      <c r="K26" s="621" t="s">
        <v>1062</v>
      </c>
      <c r="L26" s="623" t="s">
        <v>199</v>
      </c>
      <c r="M26" s="623" t="s">
        <v>1064</v>
      </c>
      <c r="N26" s="624">
        <v>9.302871339092636E-2</v>
      </c>
      <c r="O26" s="625" t="s">
        <v>225</v>
      </c>
      <c r="P26" s="624">
        <v>0.01</v>
      </c>
      <c r="Q26" s="624">
        <v>0.05</v>
      </c>
      <c r="R26" s="623">
        <v>3</v>
      </c>
      <c r="S26" s="522"/>
      <c r="T26" s="624" t="s">
        <v>1065</v>
      </c>
      <c r="U26" s="621">
        <v>5.4083333333333332</v>
      </c>
      <c r="V26" s="653">
        <v>47753</v>
      </c>
      <c r="W26" s="621" t="s">
        <v>1066</v>
      </c>
      <c r="X26" s="627">
        <v>100</v>
      </c>
      <c r="Y26" s="523"/>
      <c r="Z26" s="628"/>
      <c r="AA26" s="628"/>
      <c r="AB26" s="629">
        <v>19.444154453153992</v>
      </c>
      <c r="AC26" s="524">
        <v>2.738613303261126</v>
      </c>
      <c r="AD26" s="524">
        <v>2.5044460574165517</v>
      </c>
      <c r="AE26" s="524"/>
      <c r="AF26" s="652">
        <v>2.8335938234158013</v>
      </c>
      <c r="AG26" s="653">
        <v>45777</v>
      </c>
      <c r="AH26" s="621"/>
      <c r="AI26" s="652">
        <v>3.1761983067081339</v>
      </c>
      <c r="AJ26" s="652">
        <v>20.841533999999999</v>
      </c>
      <c r="AK26" s="524">
        <v>-1.0004735499266411</v>
      </c>
      <c r="AL26" s="524"/>
      <c r="AM26" s="652">
        <f>VLOOKUP($A26, [1]BB!$C$1:$K$73, 8, FALSE)</f>
        <v>3.4832774305384624</v>
      </c>
      <c r="AN26" s="652">
        <v>-1.0384853963700227</v>
      </c>
      <c r="AO26" s="652">
        <f>VLOOKUP($A26, [1]BB!$C$1:$K$73, 9, FALSE)</f>
        <v>2.9354273239436619</v>
      </c>
      <c r="AP26" s="652">
        <f t="shared" si="0"/>
        <v>-0.19681402068253595</v>
      </c>
      <c r="AQ26" s="657"/>
      <c r="AR26" s="657"/>
      <c r="AS26" s="623" t="s">
        <v>1189</v>
      </c>
      <c r="AT26" s="658" t="s">
        <v>122</v>
      </c>
      <c r="AU26" s="623" t="s">
        <v>122</v>
      </c>
      <c r="AV26" s="632"/>
      <c r="AW26" s="619" t="s">
        <v>38</v>
      </c>
      <c r="AX26" s="633">
        <v>6578437.7699999996</v>
      </c>
      <c r="AY26" s="645">
        <v>0</v>
      </c>
      <c r="AZ26" s="633">
        <f t="shared" si="19"/>
        <v>6578437.7699999996</v>
      </c>
      <c r="BA26" s="633"/>
      <c r="BB26" s="629" t="s">
        <v>1067</v>
      </c>
      <c r="BC26" s="654" t="s">
        <v>1190</v>
      </c>
      <c r="BD26" s="660">
        <v>100</v>
      </c>
      <c r="BE26" s="666">
        <f t="shared" si="20"/>
        <v>0</v>
      </c>
      <c r="BF26" s="666">
        <f t="shared" si="21"/>
        <v>0</v>
      </c>
      <c r="BG26" s="666">
        <f t="shared" si="22"/>
        <v>0</v>
      </c>
      <c r="BH26" s="666">
        <f t="shared" si="23"/>
        <v>0</v>
      </c>
      <c r="BI26" s="666">
        <f t="shared" si="24"/>
        <v>0</v>
      </c>
      <c r="BJ26" s="666">
        <f t="shared" si="25"/>
        <v>0</v>
      </c>
      <c r="BK26" s="666">
        <f t="shared" si="26"/>
        <v>0</v>
      </c>
      <c r="BL26" s="666">
        <f t="shared" si="27"/>
        <v>0</v>
      </c>
      <c r="BM26" s="666">
        <f t="shared" si="28"/>
        <v>0</v>
      </c>
      <c r="BN26" s="666">
        <f t="shared" si="29"/>
        <v>0</v>
      </c>
      <c r="BO26" s="666">
        <f t="shared" si="30"/>
        <v>0</v>
      </c>
      <c r="BP26" s="666">
        <f t="shared" si="31"/>
        <v>0</v>
      </c>
      <c r="BQ26" s="636">
        <f t="shared" si="13"/>
        <v>6561913.8300000001</v>
      </c>
      <c r="BR26" s="637">
        <v>100</v>
      </c>
      <c r="BS26" s="638">
        <f t="shared" si="14"/>
        <v>6578437.7699999996</v>
      </c>
      <c r="BT26" s="639"/>
      <c r="BU26" s="633">
        <f t="shared" si="15"/>
        <v>6578437.7699999996</v>
      </c>
      <c r="BV26" s="639">
        <v>0</v>
      </c>
      <c r="BW26" s="666" t="str">
        <f t="shared" si="16"/>
        <v>15-30</v>
      </c>
      <c r="BX26" s="666" t="str">
        <f t="shared" si="17"/>
        <v>&lt;0.25</v>
      </c>
      <c r="BY26" s="635"/>
      <c r="BZ26" s="666" t="str">
        <f t="shared" si="18"/>
        <v>FL 15-30</v>
      </c>
    </row>
    <row r="27" spans="1:78">
      <c r="A27" s="616" t="s">
        <v>1113</v>
      </c>
      <c r="B27" s="617"/>
      <c r="C27" s="651">
        <v>45838</v>
      </c>
      <c r="D27" s="619" t="s">
        <v>1057</v>
      </c>
      <c r="E27" s="616" t="s">
        <v>1114</v>
      </c>
      <c r="F27" s="620" t="s">
        <v>1115</v>
      </c>
      <c r="G27" s="621" t="s">
        <v>1061</v>
      </c>
      <c r="H27" s="622">
        <v>1965112.77</v>
      </c>
      <c r="I27" s="522"/>
      <c r="J27" s="621" t="s">
        <v>90</v>
      </c>
      <c r="K27" s="621" t="s">
        <v>1062</v>
      </c>
      <c r="L27" s="623" t="s">
        <v>322</v>
      </c>
      <c r="M27" s="623" t="s">
        <v>1064</v>
      </c>
      <c r="N27" s="624">
        <v>9.7166000000000016E-2</v>
      </c>
      <c r="O27" s="625" t="s">
        <v>225</v>
      </c>
      <c r="P27" s="624">
        <v>0.01</v>
      </c>
      <c r="Q27" s="624">
        <v>5.5E-2</v>
      </c>
      <c r="R27" s="623">
        <v>3</v>
      </c>
      <c r="S27" s="522"/>
      <c r="T27" s="624" t="s">
        <v>1065</v>
      </c>
      <c r="U27" s="621">
        <v>4.1305555555555555</v>
      </c>
      <c r="V27" s="653">
        <v>47286</v>
      </c>
      <c r="W27" s="621" t="s">
        <v>1066</v>
      </c>
      <c r="X27" s="627">
        <v>100</v>
      </c>
      <c r="Y27" s="523"/>
      <c r="Z27" s="628"/>
      <c r="AA27" s="628"/>
      <c r="AB27" s="629">
        <v>52.85</v>
      </c>
      <c r="AC27" s="524">
        <v>2.5</v>
      </c>
      <c r="AD27" s="524">
        <v>4.7</v>
      </c>
      <c r="AE27" s="524"/>
      <c r="AF27" s="652">
        <v>4.7</v>
      </c>
      <c r="AG27" s="653">
        <v>45747</v>
      </c>
      <c r="AH27" s="621"/>
      <c r="AI27" s="652">
        <v>3.783015855568912</v>
      </c>
      <c r="AJ27" s="652">
        <v>60.42995337</v>
      </c>
      <c r="AK27" s="524">
        <v>0.79360782807483687</v>
      </c>
      <c r="AL27" s="524"/>
      <c r="AM27" s="652">
        <f>VLOOKUP($A27, [1]BB!$C$1:$K$73, 8, FALSE)</f>
        <v>3.783015855568912</v>
      </c>
      <c r="AN27" s="652">
        <v>0.79360782807483687</v>
      </c>
      <c r="AO27" s="652">
        <f>VLOOKUP($A27, [1]BB!$C$1:$K$73, 9, FALSE)</f>
        <v>2.4764341666683758</v>
      </c>
      <c r="AP27" s="652">
        <f t="shared" si="0"/>
        <v>2.3565833331624209E-2</v>
      </c>
      <c r="AQ27" s="657"/>
      <c r="AR27" s="657"/>
      <c r="AS27" s="623" t="s">
        <v>1189</v>
      </c>
      <c r="AT27" s="658" t="s">
        <v>122</v>
      </c>
      <c r="AU27" s="623" t="s">
        <v>122</v>
      </c>
      <c r="AV27" s="632"/>
      <c r="AW27" s="619" t="s">
        <v>38</v>
      </c>
      <c r="AX27" s="633">
        <v>1970075.18</v>
      </c>
      <c r="AY27" s="645">
        <v>0</v>
      </c>
      <c r="AZ27" s="633">
        <f t="shared" si="19"/>
        <v>1970075.18</v>
      </c>
      <c r="BA27" s="633"/>
      <c r="BB27" s="629" t="s">
        <v>1067</v>
      </c>
      <c r="BC27" s="654" t="s">
        <v>1190</v>
      </c>
      <c r="BD27" s="660">
        <v>100</v>
      </c>
      <c r="BE27" s="666">
        <f t="shared" si="20"/>
        <v>0</v>
      </c>
      <c r="BF27" s="666">
        <f t="shared" si="21"/>
        <v>0</v>
      </c>
      <c r="BG27" s="666">
        <f t="shared" si="22"/>
        <v>0</v>
      </c>
      <c r="BH27" s="666">
        <f t="shared" si="23"/>
        <v>0</v>
      </c>
      <c r="BI27" s="666">
        <f t="shared" si="24"/>
        <v>0</v>
      </c>
      <c r="BJ27" s="666">
        <f t="shared" si="25"/>
        <v>0</v>
      </c>
      <c r="BK27" s="666">
        <f t="shared" si="26"/>
        <v>0</v>
      </c>
      <c r="BL27" s="666">
        <f t="shared" si="27"/>
        <v>0</v>
      </c>
      <c r="BM27" s="666">
        <f t="shared" si="28"/>
        <v>0</v>
      </c>
      <c r="BN27" s="666">
        <f t="shared" si="29"/>
        <v>0</v>
      </c>
      <c r="BO27" s="666">
        <f t="shared" si="30"/>
        <v>0</v>
      </c>
      <c r="BP27" s="666">
        <f t="shared" si="31"/>
        <v>0</v>
      </c>
      <c r="BQ27" s="636">
        <f t="shared" si="13"/>
        <v>1965112.77</v>
      </c>
      <c r="BR27" s="637">
        <v>100</v>
      </c>
      <c r="BS27" s="638">
        <f t="shared" si="14"/>
        <v>1970075.18</v>
      </c>
      <c r="BT27" s="639"/>
      <c r="BU27" s="633">
        <f t="shared" si="15"/>
        <v>1970075.18</v>
      </c>
      <c r="BV27" s="639">
        <v>0</v>
      </c>
      <c r="BW27" s="666" t="str">
        <f t="shared" si="16"/>
        <v>30+</v>
      </c>
      <c r="BX27" s="666" t="str">
        <f t="shared" si="17"/>
        <v>&lt;0.25</v>
      </c>
      <c r="BY27" s="635"/>
      <c r="BZ27" s="666" t="str">
        <f t="shared" si="18"/>
        <v>FL 30+</v>
      </c>
    </row>
    <row r="28" spans="1:78">
      <c r="A28" s="616" t="s">
        <v>1296</v>
      </c>
      <c r="B28" s="617"/>
      <c r="C28" s="651">
        <v>45838</v>
      </c>
      <c r="D28" s="619" t="s">
        <v>1057</v>
      </c>
      <c r="E28" s="616" t="s">
        <v>1310</v>
      </c>
      <c r="F28" s="620" t="s">
        <v>1322</v>
      </c>
      <c r="G28" s="621" t="s">
        <v>1061</v>
      </c>
      <c r="H28" s="622">
        <v>8205680.5499999998</v>
      </c>
      <c r="I28" s="522"/>
      <c r="J28" s="621" t="s">
        <v>90</v>
      </c>
      <c r="K28" s="621" t="s">
        <v>1062</v>
      </c>
      <c r="L28" s="623" t="s">
        <v>1145</v>
      </c>
      <c r="M28" s="623" t="s">
        <v>1064</v>
      </c>
      <c r="N28" s="624">
        <v>9.326799999999999E-2</v>
      </c>
      <c r="O28" s="625" t="s">
        <v>225</v>
      </c>
      <c r="P28" s="624">
        <v>0.01</v>
      </c>
      <c r="Q28" s="624">
        <v>0.05</v>
      </c>
      <c r="R28" s="623">
        <v>3</v>
      </c>
      <c r="S28" s="522"/>
      <c r="T28" s="624" t="s">
        <v>1065</v>
      </c>
      <c r="U28" s="621">
        <v>5.2750000000000004</v>
      </c>
      <c r="V28" s="653">
        <v>47704</v>
      </c>
      <c r="W28" s="621" t="s">
        <v>1066</v>
      </c>
      <c r="X28" s="627">
        <v>100</v>
      </c>
      <c r="Y28" s="523"/>
      <c r="Z28" s="628"/>
      <c r="AA28" s="628"/>
      <c r="AB28" s="629">
        <v>27.971819</v>
      </c>
      <c r="AC28" s="524">
        <v>4.9331709124682259</v>
      </c>
      <c r="AD28" s="524">
        <v>2.4767070028588418</v>
      </c>
      <c r="AE28" s="524"/>
      <c r="AF28" s="652">
        <v>2.4767070028588418</v>
      </c>
      <c r="AG28" s="653">
        <v>45808</v>
      </c>
      <c r="AH28" s="621"/>
      <c r="AI28" s="652">
        <v>4.257358030076916</v>
      </c>
      <c r="AJ28" s="652">
        <v>30.997393000000002</v>
      </c>
      <c r="AK28" s="524">
        <v>-1.147796460586219</v>
      </c>
      <c r="AL28" s="524"/>
      <c r="AM28" s="652">
        <f>VLOOKUP($A28, [1]BB!$C$1:$K$73, 8, FALSE)</f>
        <v>4.257358030076916</v>
      </c>
      <c r="AN28" s="652">
        <v>-1.147796460586219</v>
      </c>
      <c r="AO28" s="652">
        <f>VLOOKUP($A28, [1]BB!$C$1:$K$73, 9, FALSE)</f>
        <v>2.1264590107703918</v>
      </c>
      <c r="AP28" s="652">
        <f t="shared" si="0"/>
        <v>2.8067119016978341</v>
      </c>
      <c r="AQ28" s="657"/>
      <c r="AR28" s="657"/>
      <c r="AS28" s="623" t="s">
        <v>1189</v>
      </c>
      <c r="AT28" s="658" t="s">
        <v>122</v>
      </c>
      <c r="AU28" s="623" t="s">
        <v>122</v>
      </c>
      <c r="AV28" s="632"/>
      <c r="AW28" s="619" t="s">
        <v>38</v>
      </c>
      <c r="AX28" s="633">
        <v>8226327.4900000002</v>
      </c>
      <c r="AY28" s="645">
        <v>0</v>
      </c>
      <c r="AZ28" s="633">
        <f t="shared" si="19"/>
        <v>8226327.4900000002</v>
      </c>
      <c r="BA28" s="633"/>
      <c r="BB28" s="629" t="s">
        <v>1067</v>
      </c>
      <c r="BC28" s="654" t="s">
        <v>1190</v>
      </c>
      <c r="BD28" s="660">
        <v>100</v>
      </c>
      <c r="BE28" s="666">
        <f t="shared" si="20"/>
        <v>0</v>
      </c>
      <c r="BF28" s="666">
        <f t="shared" si="21"/>
        <v>0</v>
      </c>
      <c r="BG28" s="666">
        <f t="shared" si="22"/>
        <v>0</v>
      </c>
      <c r="BH28" s="666">
        <f t="shared" si="23"/>
        <v>0</v>
      </c>
      <c r="BI28" s="666">
        <f t="shared" si="24"/>
        <v>0</v>
      </c>
      <c r="BJ28" s="666">
        <f t="shared" si="25"/>
        <v>0</v>
      </c>
      <c r="BK28" s="666">
        <f t="shared" si="26"/>
        <v>0</v>
      </c>
      <c r="BL28" s="666">
        <f t="shared" si="27"/>
        <v>0</v>
      </c>
      <c r="BM28" s="666">
        <f t="shared" si="28"/>
        <v>0</v>
      </c>
      <c r="BN28" s="666">
        <f t="shared" si="29"/>
        <v>0</v>
      </c>
      <c r="BO28" s="666">
        <f t="shared" si="30"/>
        <v>0</v>
      </c>
      <c r="BP28" s="666">
        <f t="shared" si="31"/>
        <v>0</v>
      </c>
      <c r="BQ28" s="636">
        <f t="shared" si="13"/>
        <v>8205680.5499999998</v>
      </c>
      <c r="BR28" s="637">
        <v>100</v>
      </c>
      <c r="BS28" s="638">
        <f t="shared" si="14"/>
        <v>8226327.4900000002</v>
      </c>
      <c r="BT28" s="639"/>
      <c r="BU28" s="633">
        <f t="shared" si="15"/>
        <v>8226327.4900000002</v>
      </c>
      <c r="BV28" s="639">
        <v>0</v>
      </c>
      <c r="BW28" s="666" t="str">
        <f t="shared" si="16"/>
        <v>30+</v>
      </c>
      <c r="BX28" s="666" t="str">
        <f t="shared" si="17"/>
        <v>&lt;0.25</v>
      </c>
      <c r="BY28" s="635"/>
      <c r="BZ28" s="666" t="str">
        <f t="shared" si="18"/>
        <v>FL 30+</v>
      </c>
    </row>
    <row r="29" spans="1:78">
      <c r="A29" s="616" t="s">
        <v>1116</v>
      </c>
      <c r="B29" s="617"/>
      <c r="C29" s="651">
        <v>45838</v>
      </c>
      <c r="D29" s="619" t="s">
        <v>1057</v>
      </c>
      <c r="E29" s="616" t="s">
        <v>1117</v>
      </c>
      <c r="F29" s="620" t="s">
        <v>1118</v>
      </c>
      <c r="G29" s="621" t="s">
        <v>1061</v>
      </c>
      <c r="H29" s="622">
        <v>7618243.3600000003</v>
      </c>
      <c r="I29" s="522"/>
      <c r="J29" s="621" t="s">
        <v>90</v>
      </c>
      <c r="K29" s="621" t="s">
        <v>1062</v>
      </c>
      <c r="L29" s="623" t="s">
        <v>197</v>
      </c>
      <c r="M29" s="623" t="s">
        <v>1064</v>
      </c>
      <c r="N29" s="624">
        <v>0.10183187546724938</v>
      </c>
      <c r="O29" s="625" t="s">
        <v>225</v>
      </c>
      <c r="P29" s="624">
        <v>0.01</v>
      </c>
      <c r="Q29" s="624">
        <v>5.8999999999999997E-2</v>
      </c>
      <c r="R29" s="623">
        <v>3</v>
      </c>
      <c r="S29" s="522"/>
      <c r="T29" s="624" t="s">
        <v>1065</v>
      </c>
      <c r="U29" s="621">
        <v>1.0277777777777777</v>
      </c>
      <c r="V29" s="653">
        <v>46152</v>
      </c>
      <c r="W29" s="621" t="s">
        <v>1066</v>
      </c>
      <c r="X29" s="627">
        <v>100</v>
      </c>
      <c r="Y29" s="523" t="s">
        <v>1105</v>
      </c>
      <c r="Z29" s="628"/>
      <c r="AA29" s="628"/>
      <c r="AB29" s="629">
        <v>19.486999999999998</v>
      </c>
      <c r="AC29" s="524">
        <v>3.2136878994021849</v>
      </c>
      <c r="AD29" s="524">
        <v>3.4022168625237335</v>
      </c>
      <c r="AE29" s="524"/>
      <c r="AF29" s="652">
        <v>3.5562169651562581</v>
      </c>
      <c r="AG29" s="653">
        <v>45777</v>
      </c>
      <c r="AH29" s="621"/>
      <c r="AI29" s="652">
        <v>2.9773456800497455</v>
      </c>
      <c r="AJ29" s="652">
        <v>59.503</v>
      </c>
      <c r="AK29" s="524">
        <v>0.39664068613866954</v>
      </c>
      <c r="AL29" s="524"/>
      <c r="AM29" s="652">
        <f>VLOOKUP($A29, [1]BB!$C$1:$K$73, 8, FALSE)</f>
        <v>2.9773456800497455</v>
      </c>
      <c r="AN29" s="652">
        <v>0.55064078877119416</v>
      </c>
      <c r="AO29" s="652">
        <f>VLOOKUP($A29, [1]BB!$C$1:$K$73, 9, FALSE)</f>
        <v>2.6691338088189118</v>
      </c>
      <c r="AP29" s="652">
        <f t="shared" si="0"/>
        <v>0.54455409058327309</v>
      </c>
      <c r="AQ29" s="657"/>
      <c r="AR29" s="657"/>
      <c r="AS29" s="623" t="s">
        <v>1189</v>
      </c>
      <c r="AT29" s="658" t="s">
        <v>122</v>
      </c>
      <c r="AU29" s="623" t="s">
        <v>122</v>
      </c>
      <c r="AV29" s="630"/>
      <c r="AW29" s="630" t="s">
        <v>38</v>
      </c>
      <c r="AX29" s="633">
        <v>7618243.3600000003</v>
      </c>
      <c r="AY29" s="645">
        <v>0</v>
      </c>
      <c r="AZ29" s="633">
        <f t="shared" si="19"/>
        <v>7618243.3600000003</v>
      </c>
      <c r="BA29" s="633"/>
      <c r="BB29" s="629" t="s">
        <v>1067</v>
      </c>
      <c r="BC29" s="654" t="s">
        <v>1190</v>
      </c>
      <c r="BD29" s="660">
        <v>100</v>
      </c>
      <c r="BE29" s="666">
        <f t="shared" si="20"/>
        <v>0</v>
      </c>
      <c r="BF29" s="666">
        <f t="shared" si="21"/>
        <v>0</v>
      </c>
      <c r="BG29" s="666">
        <f t="shared" si="22"/>
        <v>0</v>
      </c>
      <c r="BH29" s="666">
        <f t="shared" si="23"/>
        <v>0</v>
      </c>
      <c r="BI29" s="666">
        <f t="shared" si="24"/>
        <v>0</v>
      </c>
      <c r="BJ29" s="666">
        <f t="shared" si="25"/>
        <v>0</v>
      </c>
      <c r="BK29" s="666">
        <f t="shared" si="26"/>
        <v>0</v>
      </c>
      <c r="BL29" s="666">
        <f t="shared" si="27"/>
        <v>0</v>
      </c>
      <c r="BM29" s="666">
        <f t="shared" si="28"/>
        <v>0</v>
      </c>
      <c r="BN29" s="666">
        <f t="shared" si="29"/>
        <v>0</v>
      </c>
      <c r="BO29" s="666">
        <f t="shared" si="30"/>
        <v>0</v>
      </c>
      <c r="BP29" s="666">
        <f t="shared" si="31"/>
        <v>0</v>
      </c>
      <c r="BQ29" s="636">
        <f t="shared" si="13"/>
        <v>7618243.3600000003</v>
      </c>
      <c r="BR29" s="637">
        <v>100</v>
      </c>
      <c r="BS29" s="638">
        <f t="shared" si="14"/>
        <v>7618243.3600000003</v>
      </c>
      <c r="BT29" s="639"/>
      <c r="BU29" s="633">
        <f t="shared" si="15"/>
        <v>7618243.3600000003</v>
      </c>
      <c r="BV29" s="639">
        <v>0</v>
      </c>
      <c r="BW29" s="666" t="str">
        <f t="shared" si="16"/>
        <v>30+</v>
      </c>
      <c r="BX29" s="666" t="str">
        <f t="shared" si="17"/>
        <v>&lt;0.25</v>
      </c>
      <c r="BY29" s="635"/>
      <c r="BZ29" s="666" t="str">
        <f t="shared" si="18"/>
        <v>FL 30+</v>
      </c>
    </row>
    <row r="30" spans="1:78">
      <c r="A30" s="616" t="s">
        <v>1119</v>
      </c>
      <c r="B30" s="617"/>
      <c r="C30" s="651">
        <v>45838</v>
      </c>
      <c r="D30" s="619" t="s">
        <v>1057</v>
      </c>
      <c r="E30" s="616" t="s">
        <v>1120</v>
      </c>
      <c r="F30" s="620" t="s">
        <v>1121</v>
      </c>
      <c r="G30" s="621" t="s">
        <v>1061</v>
      </c>
      <c r="H30" s="622">
        <v>5105362.6500000004</v>
      </c>
      <c r="I30" s="525"/>
      <c r="J30" s="621" t="s">
        <v>90</v>
      </c>
      <c r="K30" s="621" t="s">
        <v>1062</v>
      </c>
      <c r="L30" s="623" t="s">
        <v>199</v>
      </c>
      <c r="M30" s="623" t="s">
        <v>1064</v>
      </c>
      <c r="N30" s="624">
        <v>9.799200000000001E-2</v>
      </c>
      <c r="O30" s="625" t="s">
        <v>225</v>
      </c>
      <c r="P30" s="624">
        <v>0.01</v>
      </c>
      <c r="Q30" s="624">
        <v>5.5E-2</v>
      </c>
      <c r="R30" s="623">
        <v>3</v>
      </c>
      <c r="S30" s="640"/>
      <c r="T30" s="624" t="s">
        <v>1065</v>
      </c>
      <c r="U30" s="621">
        <v>3.661111111111111</v>
      </c>
      <c r="V30" s="653">
        <v>47115</v>
      </c>
      <c r="W30" s="621" t="s">
        <v>1066</v>
      </c>
      <c r="X30" s="627">
        <v>100</v>
      </c>
      <c r="Y30" s="639"/>
      <c r="Z30" s="639"/>
      <c r="AA30" s="639"/>
      <c r="AB30" s="629">
        <v>35.462000000000003</v>
      </c>
      <c r="AC30" s="524">
        <v>2.1396485406139227</v>
      </c>
      <c r="AD30" s="524">
        <v>3.9237907312052336</v>
      </c>
      <c r="AE30" s="524"/>
      <c r="AF30" s="652">
        <v>3.9237907312052336</v>
      </c>
      <c r="AG30" s="653">
        <v>45808</v>
      </c>
      <c r="AH30" s="621"/>
      <c r="AI30" s="652">
        <v>5.3019417301058294</v>
      </c>
      <c r="AJ30" s="652">
        <v>62.197778999999997</v>
      </c>
      <c r="AK30" s="524">
        <v>-1.2204721344352398</v>
      </c>
      <c r="AL30" s="524"/>
      <c r="AM30" s="652">
        <f>VLOOKUP($A30, [1]BB!$C$1:$K$73, 8, FALSE)</f>
        <v>5.3019417301058294</v>
      </c>
      <c r="AN30" s="652">
        <v>-1.2204721344352398</v>
      </c>
      <c r="AO30" s="652">
        <f>VLOOKUP($A30, [1]BB!$C$1:$K$73, 9, FALSE)</f>
        <v>1.8775399653330955</v>
      </c>
      <c r="AP30" s="652">
        <f t="shared" si="0"/>
        <v>0.26210857528082721</v>
      </c>
      <c r="AQ30" s="657"/>
      <c r="AR30" s="657"/>
      <c r="AS30" s="623" t="s">
        <v>1189</v>
      </c>
      <c r="AT30" s="658" t="s">
        <v>122</v>
      </c>
      <c r="AU30" s="623" t="s">
        <v>122</v>
      </c>
      <c r="AV30" s="632"/>
      <c r="AW30" s="619" t="s">
        <v>38</v>
      </c>
      <c r="AX30" s="633">
        <v>5118399.22</v>
      </c>
      <c r="AY30" s="645">
        <v>0</v>
      </c>
      <c r="AZ30" s="633">
        <f t="shared" si="19"/>
        <v>5118399.22</v>
      </c>
      <c r="BA30" s="633"/>
      <c r="BB30" s="629" t="s">
        <v>1067</v>
      </c>
      <c r="BC30" s="654" t="s">
        <v>1190</v>
      </c>
      <c r="BD30" s="660">
        <v>100</v>
      </c>
      <c r="BE30" s="666">
        <f t="shared" si="20"/>
        <v>0</v>
      </c>
      <c r="BF30" s="666">
        <f t="shared" si="21"/>
        <v>0</v>
      </c>
      <c r="BG30" s="666">
        <f t="shared" si="22"/>
        <v>0</v>
      </c>
      <c r="BH30" s="666">
        <f t="shared" si="23"/>
        <v>0</v>
      </c>
      <c r="BI30" s="666">
        <f t="shared" si="24"/>
        <v>0</v>
      </c>
      <c r="BJ30" s="666">
        <f t="shared" si="25"/>
        <v>0</v>
      </c>
      <c r="BK30" s="666">
        <f t="shared" si="26"/>
        <v>0</v>
      </c>
      <c r="BL30" s="666">
        <f t="shared" si="27"/>
        <v>0</v>
      </c>
      <c r="BM30" s="666">
        <f t="shared" si="28"/>
        <v>0</v>
      </c>
      <c r="BN30" s="666">
        <f t="shared" si="29"/>
        <v>0</v>
      </c>
      <c r="BO30" s="666">
        <f t="shared" si="30"/>
        <v>0</v>
      </c>
      <c r="BP30" s="666">
        <f t="shared" si="31"/>
        <v>0</v>
      </c>
      <c r="BQ30" s="636">
        <f t="shared" si="13"/>
        <v>5105362.6500000004</v>
      </c>
      <c r="BR30" s="637">
        <v>100</v>
      </c>
      <c r="BS30" s="638">
        <f t="shared" si="14"/>
        <v>5118399.22</v>
      </c>
      <c r="BT30" s="639"/>
      <c r="BU30" s="633">
        <f t="shared" si="15"/>
        <v>5118399.22</v>
      </c>
      <c r="BV30" s="639">
        <v>0</v>
      </c>
      <c r="BW30" s="666" t="str">
        <f t="shared" si="16"/>
        <v>30+</v>
      </c>
      <c r="BX30" s="666" t="str">
        <f t="shared" si="17"/>
        <v>&lt;0.25</v>
      </c>
      <c r="BY30" s="635"/>
      <c r="BZ30" s="666" t="str">
        <f t="shared" si="18"/>
        <v>FL 30+</v>
      </c>
    </row>
    <row r="31" spans="1:78">
      <c r="A31" s="616" t="s">
        <v>1122</v>
      </c>
      <c r="B31" s="617"/>
      <c r="C31" s="651">
        <v>45838</v>
      </c>
      <c r="D31" s="619" t="s">
        <v>1057</v>
      </c>
      <c r="E31" s="616" t="s">
        <v>1123</v>
      </c>
      <c r="F31" s="620" t="s">
        <v>1124</v>
      </c>
      <c r="G31" s="621" t="s">
        <v>1061</v>
      </c>
      <c r="H31" s="622">
        <v>2048423.5</v>
      </c>
      <c r="I31" s="522"/>
      <c r="J31" s="621" t="s">
        <v>90</v>
      </c>
      <c r="K31" s="621" t="s">
        <v>1062</v>
      </c>
      <c r="L31" s="623" t="s">
        <v>197</v>
      </c>
      <c r="M31" s="623" t="s">
        <v>1064</v>
      </c>
      <c r="N31" s="624">
        <v>9.7991999999999996E-2</v>
      </c>
      <c r="O31" s="625" t="s">
        <v>225</v>
      </c>
      <c r="P31" s="624">
        <v>0.01</v>
      </c>
      <c r="Q31" s="624">
        <v>5.5E-2</v>
      </c>
      <c r="R31" s="623">
        <v>3</v>
      </c>
      <c r="S31" s="522"/>
      <c r="T31" s="624" t="s">
        <v>1065</v>
      </c>
      <c r="U31" s="621">
        <v>1.5027777777777778</v>
      </c>
      <c r="V31" s="653">
        <v>46327</v>
      </c>
      <c r="W31" s="621" t="s">
        <v>1066</v>
      </c>
      <c r="X31" s="627">
        <v>100</v>
      </c>
      <c r="Y31" s="523"/>
      <c r="Z31" s="628"/>
      <c r="AA31" s="628"/>
      <c r="AB31" s="629">
        <v>30.91</v>
      </c>
      <c r="AC31" s="524">
        <v>4.26</v>
      </c>
      <c r="AD31" s="524">
        <v>3</v>
      </c>
      <c r="AE31" s="524"/>
      <c r="AF31" s="652">
        <v>3</v>
      </c>
      <c r="AG31" s="653">
        <v>45808</v>
      </c>
      <c r="AH31" s="621"/>
      <c r="AI31" s="652">
        <v>3.9202492235771995</v>
      </c>
      <c r="AJ31" s="652">
        <v>41.925995753408337</v>
      </c>
      <c r="AK31" s="524">
        <v>-0.2535092072297247</v>
      </c>
      <c r="AL31" s="524"/>
      <c r="AM31" s="652">
        <f>VLOOKUP($A31, [1]BB!$C$1:$K$73, 8, FALSE)</f>
        <v>3.9202492235771995</v>
      </c>
      <c r="AN31" s="652">
        <v>-0.2535092072297247</v>
      </c>
      <c r="AO31" s="652">
        <f>VLOOKUP($A31, [1]BB!$C$1:$K$73, 9, FALSE)</f>
        <v>2.4149625329842621</v>
      </c>
      <c r="AP31" s="652">
        <f t="shared" si="0"/>
        <v>1.8450374670157377</v>
      </c>
      <c r="AQ31" s="657"/>
      <c r="AR31" s="657"/>
      <c r="AS31" s="623" t="s">
        <v>1189</v>
      </c>
      <c r="AT31" s="658" t="s">
        <v>122</v>
      </c>
      <c r="AU31" s="623" t="s">
        <v>122</v>
      </c>
      <c r="AV31" s="632"/>
      <c r="AW31" s="619" t="s">
        <v>38</v>
      </c>
      <c r="AX31" s="633">
        <v>2051982.1099999999</v>
      </c>
      <c r="AY31" s="645">
        <v>0</v>
      </c>
      <c r="AZ31" s="633">
        <f t="shared" si="19"/>
        <v>2051982.1099999999</v>
      </c>
      <c r="BA31" s="633"/>
      <c r="BB31" s="629" t="s">
        <v>1067</v>
      </c>
      <c r="BC31" s="654" t="s">
        <v>1067</v>
      </c>
      <c r="BD31" s="660">
        <v>100</v>
      </c>
      <c r="BE31" s="666">
        <f t="shared" si="20"/>
        <v>0</v>
      </c>
      <c r="BF31" s="666">
        <f t="shared" si="21"/>
        <v>0</v>
      </c>
      <c r="BG31" s="666">
        <f t="shared" si="22"/>
        <v>0</v>
      </c>
      <c r="BH31" s="666">
        <f t="shared" si="23"/>
        <v>0</v>
      </c>
      <c r="BI31" s="666">
        <f t="shared" si="24"/>
        <v>0</v>
      </c>
      <c r="BJ31" s="666">
        <f t="shared" si="25"/>
        <v>0</v>
      </c>
      <c r="BK31" s="666">
        <f t="shared" si="26"/>
        <v>0</v>
      </c>
      <c r="BL31" s="666">
        <f t="shared" si="27"/>
        <v>0</v>
      </c>
      <c r="BM31" s="666">
        <f t="shared" si="28"/>
        <v>0</v>
      </c>
      <c r="BN31" s="666">
        <f t="shared" si="29"/>
        <v>0</v>
      </c>
      <c r="BO31" s="666">
        <f t="shared" si="30"/>
        <v>0</v>
      </c>
      <c r="BP31" s="666">
        <f t="shared" si="31"/>
        <v>0</v>
      </c>
      <c r="BQ31" s="636">
        <f t="shared" si="13"/>
        <v>2048423.5</v>
      </c>
      <c r="BR31" s="637">
        <v>100</v>
      </c>
      <c r="BS31" s="638">
        <f t="shared" si="14"/>
        <v>2051982.11</v>
      </c>
      <c r="BT31" s="639"/>
      <c r="BU31" s="633">
        <f t="shared" si="15"/>
        <v>2051982.11</v>
      </c>
      <c r="BV31" s="639">
        <v>0</v>
      </c>
      <c r="BW31" s="666" t="str">
        <f t="shared" si="16"/>
        <v>30+</v>
      </c>
      <c r="BX31" s="666" t="str">
        <f t="shared" si="17"/>
        <v>&lt;0.25</v>
      </c>
      <c r="BY31" s="635"/>
      <c r="BZ31" s="666" t="str">
        <f t="shared" si="18"/>
        <v>FL 30+</v>
      </c>
    </row>
    <row r="32" spans="1:78">
      <c r="A32" s="616" t="s">
        <v>1125</v>
      </c>
      <c r="B32" s="617"/>
      <c r="C32" s="651">
        <v>45838</v>
      </c>
      <c r="D32" s="619" t="s">
        <v>1057</v>
      </c>
      <c r="E32" s="616" t="s">
        <v>1126</v>
      </c>
      <c r="F32" s="620" t="s">
        <v>1127</v>
      </c>
      <c r="G32" s="621" t="s">
        <v>1061</v>
      </c>
      <c r="H32" s="622">
        <v>1970457.8</v>
      </c>
      <c r="I32" s="522"/>
      <c r="J32" s="621" t="s">
        <v>90</v>
      </c>
      <c r="K32" s="621" t="s">
        <v>1062</v>
      </c>
      <c r="L32" s="623" t="s">
        <v>317</v>
      </c>
      <c r="M32" s="623" t="s">
        <v>1064</v>
      </c>
      <c r="N32" s="624">
        <v>0.11941300000000002</v>
      </c>
      <c r="O32" s="625" t="s">
        <v>225</v>
      </c>
      <c r="P32" s="624">
        <v>0.01</v>
      </c>
      <c r="Q32" s="624">
        <v>7.6100000000000001E-2</v>
      </c>
      <c r="R32" s="623">
        <v>3</v>
      </c>
      <c r="S32" s="526"/>
      <c r="T32" s="624" t="s">
        <v>1065</v>
      </c>
      <c r="U32" s="621">
        <v>0.16666666666666666</v>
      </c>
      <c r="V32" s="653">
        <v>45838</v>
      </c>
      <c r="W32" s="621" t="s">
        <v>1066</v>
      </c>
      <c r="X32" s="627">
        <v>100</v>
      </c>
      <c r="Y32" s="527"/>
      <c r="Z32" s="641"/>
      <c r="AA32" s="628"/>
      <c r="AB32" s="629">
        <v>50.402999999999999</v>
      </c>
      <c r="AC32" s="524">
        <v>1.6109885895100202</v>
      </c>
      <c r="AD32" s="524">
        <v>5.0177507886435331</v>
      </c>
      <c r="AE32" s="524"/>
      <c r="AF32" s="652">
        <v>5.0177507886435331</v>
      </c>
      <c r="AG32" s="653">
        <v>45808</v>
      </c>
      <c r="AH32" s="621"/>
      <c r="AI32" s="652">
        <v>4.6511100269359069</v>
      </c>
      <c r="AJ32" s="652">
        <v>56.058999999999997</v>
      </c>
      <c r="AK32" s="524">
        <v>0.1108062648156185</v>
      </c>
      <c r="AL32" s="524"/>
      <c r="AM32" s="652">
        <f>VLOOKUP($A32, [1]BB!$C$1:$K$73, 8, FALSE)</f>
        <v>4.6511100269359069</v>
      </c>
      <c r="AN32" s="652">
        <v>0.1108062648156185</v>
      </c>
      <c r="AO32" s="652">
        <f>VLOOKUP($A32, [1]BB!$C$1:$K$73, 9, FALSE)</f>
        <v>1.6064131587242456</v>
      </c>
      <c r="AP32" s="652">
        <f t="shared" si="0"/>
        <v>4.5754307857746035E-3</v>
      </c>
      <c r="AQ32" s="657"/>
      <c r="AR32" s="657"/>
      <c r="AS32" s="623" t="s">
        <v>1189</v>
      </c>
      <c r="AT32" s="658" t="s">
        <v>122</v>
      </c>
      <c r="AU32" s="623" t="s">
        <v>122</v>
      </c>
      <c r="AV32" s="644"/>
      <c r="AW32" s="619" t="s">
        <v>38</v>
      </c>
      <c r="AX32" s="633">
        <v>1973719.44</v>
      </c>
      <c r="AY32" s="645">
        <v>0</v>
      </c>
      <c r="AZ32" s="633">
        <f t="shared" si="19"/>
        <v>1973719.44</v>
      </c>
      <c r="BA32" s="633"/>
      <c r="BB32" s="629" t="s">
        <v>1067</v>
      </c>
      <c r="BC32" s="654" t="s">
        <v>1067</v>
      </c>
      <c r="BD32" s="660">
        <v>100</v>
      </c>
      <c r="BE32" s="666">
        <f t="shared" si="20"/>
        <v>0</v>
      </c>
      <c r="BF32" s="666">
        <f t="shared" si="21"/>
        <v>0</v>
      </c>
      <c r="BG32" s="666">
        <f t="shared" si="22"/>
        <v>0</v>
      </c>
      <c r="BH32" s="666">
        <f t="shared" si="23"/>
        <v>0</v>
      </c>
      <c r="BI32" s="666">
        <f t="shared" si="24"/>
        <v>0</v>
      </c>
      <c r="BJ32" s="666">
        <f t="shared" si="25"/>
        <v>0</v>
      </c>
      <c r="BK32" s="666">
        <f t="shared" si="26"/>
        <v>0</v>
      </c>
      <c r="BL32" s="666">
        <f t="shared" si="27"/>
        <v>0</v>
      </c>
      <c r="BM32" s="666">
        <f t="shared" si="28"/>
        <v>0</v>
      </c>
      <c r="BN32" s="666">
        <f t="shared" si="29"/>
        <v>0</v>
      </c>
      <c r="BO32" s="666">
        <f t="shared" si="30"/>
        <v>0</v>
      </c>
      <c r="BP32" s="666">
        <f t="shared" si="31"/>
        <v>0</v>
      </c>
      <c r="BQ32" s="636">
        <f t="shared" si="13"/>
        <v>1970457.8</v>
      </c>
      <c r="BR32" s="637">
        <v>100</v>
      </c>
      <c r="BS32" s="638">
        <f t="shared" si="14"/>
        <v>1973719.44</v>
      </c>
      <c r="BT32" s="639"/>
      <c r="BU32" s="633">
        <f t="shared" si="15"/>
        <v>1973719.44</v>
      </c>
      <c r="BV32" s="639">
        <v>0</v>
      </c>
      <c r="BW32" s="666" t="str">
        <f t="shared" si="16"/>
        <v>30+</v>
      </c>
      <c r="BX32" s="666" t="str">
        <f t="shared" si="17"/>
        <v>&lt;0.25</v>
      </c>
      <c r="BY32" s="635"/>
      <c r="BZ32" s="666" t="str">
        <f t="shared" si="18"/>
        <v>FL 30+</v>
      </c>
    </row>
    <row r="33" spans="1:78">
      <c r="A33" s="616" t="s">
        <v>1128</v>
      </c>
      <c r="B33" s="617"/>
      <c r="C33" s="651">
        <v>45838</v>
      </c>
      <c r="D33" s="619" t="s">
        <v>1057</v>
      </c>
      <c r="E33" s="616" t="s">
        <v>1129</v>
      </c>
      <c r="F33" s="620" t="s">
        <v>1130</v>
      </c>
      <c r="G33" s="621" t="s">
        <v>1061</v>
      </c>
      <c r="H33" s="622">
        <v>3369991.77</v>
      </c>
      <c r="I33" s="522"/>
      <c r="J33" s="621" t="s">
        <v>90</v>
      </c>
      <c r="K33" s="621" t="s">
        <v>1062</v>
      </c>
      <c r="L33" s="623" t="s">
        <v>1099</v>
      </c>
      <c r="M33" s="623" t="s">
        <v>1064</v>
      </c>
      <c r="N33" s="624">
        <v>0.12129699999999999</v>
      </c>
      <c r="O33" s="625" t="s">
        <v>225</v>
      </c>
      <c r="P33" s="624">
        <v>0.01</v>
      </c>
      <c r="Q33" s="624">
        <v>7.7499999999999999E-2</v>
      </c>
      <c r="R33" s="623">
        <v>3</v>
      </c>
      <c r="S33" s="522"/>
      <c r="T33" s="624" t="s">
        <v>1065</v>
      </c>
      <c r="U33" s="621">
        <v>1.8</v>
      </c>
      <c r="V33" s="653">
        <v>46436</v>
      </c>
      <c r="W33" s="621" t="s">
        <v>1066</v>
      </c>
      <c r="X33" s="627">
        <v>100</v>
      </c>
      <c r="Y33" s="523"/>
      <c r="Z33" s="628"/>
      <c r="AA33" s="628"/>
      <c r="AB33" s="629">
        <v>57.462617000000002</v>
      </c>
      <c r="AC33" s="524">
        <v>2.2122977582240817</v>
      </c>
      <c r="AD33" s="524">
        <v>5.5235911027163969</v>
      </c>
      <c r="AE33" s="524"/>
      <c r="AF33" s="652">
        <v>5.5235911027163969</v>
      </c>
      <c r="AG33" s="653">
        <v>45808</v>
      </c>
      <c r="AH33" s="621"/>
      <c r="AI33" s="652">
        <v>7.7855547599496155</v>
      </c>
      <c r="AJ33" s="652">
        <v>63.074203353644897</v>
      </c>
      <c r="AK33" s="524">
        <v>-2.7358506633817559</v>
      </c>
      <c r="AL33" s="524"/>
      <c r="AM33" s="652">
        <f>VLOOKUP($A33, [1]BB!$C$1:$K$73, 8, FALSE)</f>
        <v>7.7855547599496155</v>
      </c>
      <c r="AN33" s="652">
        <v>-2.7358506633817559</v>
      </c>
      <c r="AO33" s="652">
        <f>VLOOKUP($A33, [1]BB!$C$1:$K$73, 9, FALSE)</f>
        <v>0.97264013605321897</v>
      </c>
      <c r="AP33" s="652">
        <f t="shared" si="0"/>
        <v>1.2396576221708626</v>
      </c>
      <c r="AQ33" s="657"/>
      <c r="AR33" s="657"/>
      <c r="AS33" s="623" t="s">
        <v>1189</v>
      </c>
      <c r="AT33" s="658" t="s">
        <v>122</v>
      </c>
      <c r="AU33" s="623" t="s">
        <v>122</v>
      </c>
      <c r="AV33" s="632"/>
      <c r="AW33" s="619" t="s">
        <v>38</v>
      </c>
      <c r="AX33" s="633">
        <v>3369991.77</v>
      </c>
      <c r="AY33" s="633">
        <v>466418.03</v>
      </c>
      <c r="AZ33" s="633">
        <f t="shared" si="19"/>
        <v>2903573.74</v>
      </c>
      <c r="BA33" s="633"/>
      <c r="BB33" s="629" t="s">
        <v>1067</v>
      </c>
      <c r="BC33" s="654" t="s">
        <v>1067</v>
      </c>
      <c r="BD33" s="661">
        <v>50</v>
      </c>
      <c r="BE33" s="666">
        <f t="shared" si="20"/>
        <v>0</v>
      </c>
      <c r="BF33" s="666">
        <f t="shared" si="21"/>
        <v>0</v>
      </c>
      <c r="BG33" s="666">
        <f t="shared" si="22"/>
        <v>0</v>
      </c>
      <c r="BH33" s="666">
        <f t="shared" si="23"/>
        <v>0</v>
      </c>
      <c r="BI33" s="666">
        <f t="shared" si="24"/>
        <v>0</v>
      </c>
      <c r="BJ33" s="666">
        <f t="shared" si="25"/>
        <v>0</v>
      </c>
      <c r="BK33" s="666">
        <f t="shared" si="26"/>
        <v>0</v>
      </c>
      <c r="BL33" s="666">
        <f t="shared" si="27"/>
        <v>0</v>
      </c>
      <c r="BM33" s="666">
        <f t="shared" si="28"/>
        <v>0</v>
      </c>
      <c r="BN33" s="666">
        <f t="shared" si="29"/>
        <v>1</v>
      </c>
      <c r="BO33" s="666">
        <f t="shared" si="30"/>
        <v>0</v>
      </c>
      <c r="BP33" s="666">
        <f t="shared" si="31"/>
        <v>0</v>
      </c>
      <c r="BQ33" s="636">
        <f t="shared" si="13"/>
        <v>3369991.77</v>
      </c>
      <c r="BR33" s="637">
        <v>50</v>
      </c>
      <c r="BS33" s="638">
        <f t="shared" si="14"/>
        <v>1451786.87</v>
      </c>
      <c r="BT33" s="639"/>
      <c r="BU33" s="633">
        <f t="shared" si="15"/>
        <v>1451786.87</v>
      </c>
      <c r="BV33" s="639">
        <v>0</v>
      </c>
      <c r="BW33" s="666" t="str">
        <f t="shared" si="16"/>
        <v>30+</v>
      </c>
      <c r="BX33" s="666" t="str">
        <f t="shared" si="17"/>
        <v>&lt;0.25</v>
      </c>
      <c r="BY33" s="635"/>
      <c r="BZ33" s="666" t="str">
        <f t="shared" si="18"/>
        <v>FL 30+</v>
      </c>
    </row>
    <row r="34" spans="1:78">
      <c r="A34" s="616" t="s">
        <v>1297</v>
      </c>
      <c r="B34" s="617"/>
      <c r="C34" s="651">
        <v>45838</v>
      </c>
      <c r="D34" s="619" t="s">
        <v>1057</v>
      </c>
      <c r="E34" s="616" t="s">
        <v>1311</v>
      </c>
      <c r="F34" s="620" t="s">
        <v>1323</v>
      </c>
      <c r="G34" s="621" t="s">
        <v>1061</v>
      </c>
      <c r="H34" s="622">
        <v>4779960.4400000004</v>
      </c>
      <c r="I34" s="522"/>
      <c r="J34" s="621" t="s">
        <v>90</v>
      </c>
      <c r="K34" s="621" t="s">
        <v>1062</v>
      </c>
      <c r="L34" s="623" t="s">
        <v>178</v>
      </c>
      <c r="M34" s="623" t="s">
        <v>1064</v>
      </c>
      <c r="N34" s="624">
        <v>9.3271415820021464E-2</v>
      </c>
      <c r="O34" s="625" t="s">
        <v>225</v>
      </c>
      <c r="P34" s="624">
        <v>0.01</v>
      </c>
      <c r="Q34" s="624">
        <v>0.05</v>
      </c>
      <c r="R34" s="623">
        <v>3</v>
      </c>
      <c r="S34" s="522"/>
      <c r="T34" s="624" t="s">
        <v>1065</v>
      </c>
      <c r="U34" s="621">
        <v>3.2361111111111112</v>
      </c>
      <c r="V34" s="653">
        <v>46959</v>
      </c>
      <c r="W34" s="621" t="s">
        <v>1066</v>
      </c>
      <c r="X34" s="627">
        <v>100</v>
      </c>
      <c r="Y34" s="523"/>
      <c r="Z34" s="628"/>
      <c r="AA34" s="628"/>
      <c r="AB34" s="629">
        <v>28.897803573610418</v>
      </c>
      <c r="AC34" s="524">
        <v>2.33</v>
      </c>
      <c r="AD34" s="524">
        <v>5.2262470985122205</v>
      </c>
      <c r="AE34" s="524"/>
      <c r="AF34" s="652">
        <v>6.8671074569548818</v>
      </c>
      <c r="AG34" s="653">
        <v>45808</v>
      </c>
      <c r="AH34" s="621"/>
      <c r="AI34" s="652">
        <v>4.9183791840301527</v>
      </c>
      <c r="AJ34" s="652">
        <v>36.502035865101846</v>
      </c>
      <c r="AK34" s="524">
        <v>7.4080413909782372E-2</v>
      </c>
      <c r="AL34" s="524"/>
      <c r="AM34" s="652">
        <f>VLOOKUP($A34, [1]BB!$C$1:$K$73, 8, FALSE)</f>
        <v>6.3715821088213724</v>
      </c>
      <c r="AN34" s="652">
        <v>0.17725946367862111</v>
      </c>
      <c r="AO34" s="652">
        <f>VLOOKUP($A34, [1]BB!$C$1:$K$73, 9, FALSE)</f>
        <v>2.33</v>
      </c>
      <c r="AP34" s="652">
        <f t="shared" si="0"/>
        <v>0</v>
      </c>
      <c r="AQ34" s="657"/>
      <c r="AR34" s="657"/>
      <c r="AS34" s="623" t="s">
        <v>1189</v>
      </c>
      <c r="AT34" s="658" t="s">
        <v>122</v>
      </c>
      <c r="AU34" s="623" t="s">
        <v>122</v>
      </c>
      <c r="AV34" s="632"/>
      <c r="AW34" s="619" t="s">
        <v>38</v>
      </c>
      <c r="AX34" s="633">
        <v>4792248.26</v>
      </c>
      <c r="AY34" s="645">
        <v>0</v>
      </c>
      <c r="AZ34" s="633">
        <f t="shared" si="19"/>
        <v>4792248.26</v>
      </c>
      <c r="BA34" s="633"/>
      <c r="BB34" s="629" t="s">
        <v>1067</v>
      </c>
      <c r="BC34" s="654" t="s">
        <v>1190</v>
      </c>
      <c r="BD34" s="660">
        <v>100</v>
      </c>
      <c r="BE34" s="666">
        <f t="shared" si="20"/>
        <v>0</v>
      </c>
      <c r="BF34" s="666">
        <f t="shared" si="21"/>
        <v>0</v>
      </c>
      <c r="BG34" s="666">
        <f t="shared" si="22"/>
        <v>0</v>
      </c>
      <c r="BH34" s="666">
        <f t="shared" si="23"/>
        <v>0</v>
      </c>
      <c r="BI34" s="666">
        <f t="shared" si="24"/>
        <v>0</v>
      </c>
      <c r="BJ34" s="666">
        <f t="shared" si="25"/>
        <v>0</v>
      </c>
      <c r="BK34" s="666">
        <f t="shared" si="26"/>
        <v>0</v>
      </c>
      <c r="BL34" s="666">
        <f t="shared" si="27"/>
        <v>0</v>
      </c>
      <c r="BM34" s="666">
        <f t="shared" si="28"/>
        <v>0</v>
      </c>
      <c r="BN34" s="666">
        <f t="shared" si="29"/>
        <v>0</v>
      </c>
      <c r="BO34" s="666">
        <f t="shared" si="30"/>
        <v>0</v>
      </c>
      <c r="BP34" s="666">
        <f t="shared" si="31"/>
        <v>0</v>
      </c>
      <c r="BQ34" s="636">
        <f t="shared" si="13"/>
        <v>4779960.4400000004</v>
      </c>
      <c r="BR34" s="637">
        <v>100</v>
      </c>
      <c r="BS34" s="638">
        <f t="shared" si="14"/>
        <v>4792248.26</v>
      </c>
      <c r="BT34" s="639"/>
      <c r="BU34" s="633">
        <f t="shared" si="15"/>
        <v>4792248.26</v>
      </c>
      <c r="BV34" s="639">
        <v>0</v>
      </c>
      <c r="BW34" s="666" t="str">
        <f t="shared" si="16"/>
        <v>30+</v>
      </c>
      <c r="BX34" s="666" t="str">
        <f t="shared" si="17"/>
        <v>&lt;0.25</v>
      </c>
      <c r="BY34" s="635"/>
      <c r="BZ34" s="666" t="str">
        <f t="shared" si="18"/>
        <v>FL 30+</v>
      </c>
    </row>
    <row r="35" spans="1:78">
      <c r="A35" s="616" t="s">
        <v>1133</v>
      </c>
      <c r="B35" s="617"/>
      <c r="C35" s="651">
        <v>45838</v>
      </c>
      <c r="D35" s="619" t="s">
        <v>1057</v>
      </c>
      <c r="E35" s="616" t="s">
        <v>1134</v>
      </c>
      <c r="F35" s="620" t="s">
        <v>1135</v>
      </c>
      <c r="G35" s="621" t="s">
        <v>1061</v>
      </c>
      <c r="H35" s="622">
        <v>4930075.2</v>
      </c>
      <c r="I35" s="522"/>
      <c r="J35" s="621" t="s">
        <v>90</v>
      </c>
      <c r="K35" s="621" t="s">
        <v>1062</v>
      </c>
      <c r="L35" s="623" t="s">
        <v>317</v>
      </c>
      <c r="M35" s="623" t="s">
        <v>1064</v>
      </c>
      <c r="N35" s="624">
        <v>9.799200000000001E-2</v>
      </c>
      <c r="O35" s="625" t="s">
        <v>225</v>
      </c>
      <c r="P35" s="624">
        <v>0.01</v>
      </c>
      <c r="Q35" s="624">
        <v>5.5E-2</v>
      </c>
      <c r="R35" s="623">
        <v>3</v>
      </c>
      <c r="S35" s="522"/>
      <c r="T35" s="624" t="s">
        <v>1065</v>
      </c>
      <c r="U35" s="621">
        <v>4.8361111111111112</v>
      </c>
      <c r="V35" s="653">
        <v>47543</v>
      </c>
      <c r="W35" s="621" t="s">
        <v>1066</v>
      </c>
      <c r="X35" s="627">
        <v>100</v>
      </c>
      <c r="Y35" s="523"/>
      <c r="Z35" s="628"/>
      <c r="AA35" s="628"/>
      <c r="AB35" s="629">
        <v>28.454999999999998</v>
      </c>
      <c r="AC35" s="524">
        <v>1.8477272727272727</v>
      </c>
      <c r="AD35" s="524">
        <v>4.8953569991214207</v>
      </c>
      <c r="AE35" s="524"/>
      <c r="AF35" s="652">
        <v>4.8953569991214207</v>
      </c>
      <c r="AG35" s="653">
        <v>45808</v>
      </c>
      <c r="AH35" s="621"/>
      <c r="AI35" s="652">
        <v>6.6734372012999428</v>
      </c>
      <c r="AJ35" s="652">
        <v>20.923999999999999</v>
      </c>
      <c r="AK35" s="524">
        <v>-2.2875586019015977</v>
      </c>
      <c r="AL35" s="524"/>
      <c r="AM35" s="652">
        <f>VLOOKUP($A35, [1]BB!$C$1:$K$73, 8, FALSE)</f>
        <v>6.6734372012999428</v>
      </c>
      <c r="AN35" s="652">
        <v>-2.2875586019015977</v>
      </c>
      <c r="AO35" s="652">
        <f>VLOOKUP($A35, [1]BB!$C$1:$K$73, 9, FALSE)</f>
        <v>1.3672242550967066</v>
      </c>
      <c r="AP35" s="652">
        <f t="shared" si="0"/>
        <v>0.48050301763056602</v>
      </c>
      <c r="AQ35" s="657"/>
      <c r="AR35" s="657"/>
      <c r="AS35" s="623" t="s">
        <v>1189</v>
      </c>
      <c r="AT35" s="658" t="s">
        <v>122</v>
      </c>
      <c r="AU35" s="623" t="s">
        <v>122</v>
      </c>
      <c r="AV35" s="632"/>
      <c r="AW35" s="619" t="s">
        <v>38</v>
      </c>
      <c r="AX35" s="633">
        <v>4942556.4000000004</v>
      </c>
      <c r="AY35" s="645">
        <v>0</v>
      </c>
      <c r="AZ35" s="633">
        <f t="shared" si="19"/>
        <v>4942556.4000000004</v>
      </c>
      <c r="BA35" s="633"/>
      <c r="BB35" s="629" t="s">
        <v>1067</v>
      </c>
      <c r="BC35" s="654" t="s">
        <v>1067</v>
      </c>
      <c r="BD35" s="661">
        <v>90</v>
      </c>
      <c r="BE35" s="666">
        <f t="shared" si="20"/>
        <v>0</v>
      </c>
      <c r="BF35" s="666">
        <f t="shared" si="21"/>
        <v>0</v>
      </c>
      <c r="BG35" s="666">
        <f t="shared" si="22"/>
        <v>0</v>
      </c>
      <c r="BH35" s="666">
        <f t="shared" si="23"/>
        <v>0</v>
      </c>
      <c r="BI35" s="666">
        <f t="shared" si="24"/>
        <v>0</v>
      </c>
      <c r="BJ35" s="666">
        <f t="shared" si="25"/>
        <v>0</v>
      </c>
      <c r="BK35" s="666">
        <f t="shared" si="26"/>
        <v>0</v>
      </c>
      <c r="BL35" s="666">
        <f t="shared" si="27"/>
        <v>0</v>
      </c>
      <c r="BM35" s="666">
        <f t="shared" si="28"/>
        <v>0</v>
      </c>
      <c r="BN35" s="666">
        <f t="shared" si="29"/>
        <v>1</v>
      </c>
      <c r="BO35" s="666">
        <f t="shared" si="30"/>
        <v>0</v>
      </c>
      <c r="BP35" s="666">
        <f t="shared" si="31"/>
        <v>0</v>
      </c>
      <c r="BQ35" s="636">
        <f t="shared" si="13"/>
        <v>4930075.2</v>
      </c>
      <c r="BR35" s="637">
        <v>90</v>
      </c>
      <c r="BS35" s="638">
        <f t="shared" si="14"/>
        <v>4448300.7600000007</v>
      </c>
      <c r="BT35" s="639"/>
      <c r="BU35" s="633">
        <f t="shared" si="15"/>
        <v>4448300.7600000007</v>
      </c>
      <c r="BV35" s="639">
        <v>0</v>
      </c>
      <c r="BW35" s="666" t="str">
        <f t="shared" si="16"/>
        <v>15-30</v>
      </c>
      <c r="BX35" s="666" t="str">
        <f t="shared" si="17"/>
        <v>&lt;0.25</v>
      </c>
      <c r="BY35" s="635"/>
      <c r="BZ35" s="666" t="str">
        <f t="shared" si="18"/>
        <v>FL 15-30</v>
      </c>
    </row>
    <row r="36" spans="1:78">
      <c r="A36" s="616" t="s">
        <v>1298</v>
      </c>
      <c r="B36" s="617"/>
      <c r="C36" s="651">
        <v>45838</v>
      </c>
      <c r="D36" s="619" t="s">
        <v>1057</v>
      </c>
      <c r="E36" s="616" t="s">
        <v>1312</v>
      </c>
      <c r="F36" s="620" t="s">
        <v>1324</v>
      </c>
      <c r="G36" s="621" t="s">
        <v>1061</v>
      </c>
      <c r="H36" s="622">
        <v>496253.14</v>
      </c>
      <c r="I36" s="525"/>
      <c r="J36" s="621" t="s">
        <v>90</v>
      </c>
      <c r="K36" s="621" t="s">
        <v>1062</v>
      </c>
      <c r="L36" s="623" t="s">
        <v>1082</v>
      </c>
      <c r="M36" s="623" t="s">
        <v>1064</v>
      </c>
      <c r="N36" s="624">
        <v>8.2796999999999996E-2</v>
      </c>
      <c r="O36" s="625" t="s">
        <v>225</v>
      </c>
      <c r="P36" s="624">
        <v>0.01</v>
      </c>
      <c r="Q36" s="624">
        <v>0.04</v>
      </c>
      <c r="R36" s="623">
        <v>3</v>
      </c>
      <c r="S36" s="522"/>
      <c r="T36" s="624" t="s">
        <v>1065</v>
      </c>
      <c r="U36" s="621">
        <v>3.6333333333333333</v>
      </c>
      <c r="V36" s="653">
        <v>47105</v>
      </c>
      <c r="W36" s="621" t="s">
        <v>1066</v>
      </c>
      <c r="X36" s="627">
        <v>100</v>
      </c>
      <c r="Y36" s="523"/>
      <c r="Z36" s="628"/>
      <c r="AA36" s="628"/>
      <c r="AB36" s="629">
        <v>155.68</v>
      </c>
      <c r="AC36" s="524">
        <v>2.5638576439781953</v>
      </c>
      <c r="AD36" s="524">
        <v>3.7037512846865366</v>
      </c>
      <c r="AE36" s="524"/>
      <c r="AF36" s="652">
        <v>3.7037512846865366</v>
      </c>
      <c r="AG36" s="653">
        <v>45747</v>
      </c>
      <c r="AH36" s="621"/>
      <c r="AI36" s="652">
        <v>4.1108670181605156</v>
      </c>
      <c r="AJ36" s="652">
        <v>184.35599999999999</v>
      </c>
      <c r="AK36" s="524">
        <v>-2.0655639589017838E-3</v>
      </c>
      <c r="AL36" s="524"/>
      <c r="AM36" s="652">
        <f>VLOOKUP($A36, [1]BB!$C$1:$K$73, 8, FALSE)</f>
        <v>4.1108670181605156</v>
      </c>
      <c r="AN36" s="652">
        <v>-2.0655639589017838E-3</v>
      </c>
      <c r="AO36" s="652">
        <f>VLOOKUP($A36, [1]BB!$C$1:$K$73, 9, FALSE)</f>
        <v>2.9371485016011598</v>
      </c>
      <c r="AP36" s="652">
        <f t="shared" si="0"/>
        <v>-0.37329085762296454</v>
      </c>
      <c r="AQ36" s="657"/>
      <c r="AR36" s="657"/>
      <c r="AS36" s="623" t="s">
        <v>1189</v>
      </c>
      <c r="AT36" s="658" t="s">
        <v>122</v>
      </c>
      <c r="AU36" s="623" t="s">
        <v>122</v>
      </c>
      <c r="AV36" s="632"/>
      <c r="AW36" s="619" t="s">
        <v>38</v>
      </c>
      <c r="AX36" s="633">
        <v>497493.74</v>
      </c>
      <c r="AY36" s="645">
        <v>0</v>
      </c>
      <c r="AZ36" s="633">
        <f t="shared" si="19"/>
        <v>497493.74</v>
      </c>
      <c r="BA36" s="633"/>
      <c r="BB36" s="629" t="s">
        <v>1067</v>
      </c>
      <c r="BC36" s="654" t="s">
        <v>1190</v>
      </c>
      <c r="BD36" s="660">
        <v>100</v>
      </c>
      <c r="BE36" s="666">
        <f t="shared" si="20"/>
        <v>0</v>
      </c>
      <c r="BF36" s="666">
        <f t="shared" si="21"/>
        <v>0</v>
      </c>
      <c r="BG36" s="666">
        <f t="shared" si="22"/>
        <v>0</v>
      </c>
      <c r="BH36" s="666">
        <f t="shared" si="23"/>
        <v>0</v>
      </c>
      <c r="BI36" s="666">
        <f t="shared" si="24"/>
        <v>0</v>
      </c>
      <c r="BJ36" s="666">
        <f t="shared" si="25"/>
        <v>0</v>
      </c>
      <c r="BK36" s="666">
        <f t="shared" si="26"/>
        <v>0</v>
      </c>
      <c r="BL36" s="666">
        <f t="shared" si="27"/>
        <v>0</v>
      </c>
      <c r="BM36" s="666">
        <f t="shared" si="28"/>
        <v>0</v>
      </c>
      <c r="BN36" s="666">
        <f t="shared" si="29"/>
        <v>0</v>
      </c>
      <c r="BO36" s="666">
        <f t="shared" si="30"/>
        <v>0</v>
      </c>
      <c r="BP36" s="666">
        <f t="shared" si="31"/>
        <v>0</v>
      </c>
      <c r="BQ36" s="636">
        <f t="shared" si="13"/>
        <v>496253.14</v>
      </c>
      <c r="BR36" s="637">
        <v>100</v>
      </c>
      <c r="BS36" s="638">
        <f t="shared" si="14"/>
        <v>497493.74</v>
      </c>
      <c r="BT36" s="639"/>
      <c r="BU36" s="633">
        <f t="shared" si="15"/>
        <v>497493.74</v>
      </c>
      <c r="BV36" s="639">
        <v>0</v>
      </c>
      <c r="BW36" s="666" t="str">
        <f t="shared" si="16"/>
        <v>30+</v>
      </c>
      <c r="BX36" s="666" t="str">
        <f t="shared" si="17"/>
        <v>&lt;0.25</v>
      </c>
      <c r="BY36" s="635"/>
      <c r="BZ36" s="666" t="str">
        <f t="shared" si="18"/>
        <v>FL 30+</v>
      </c>
    </row>
    <row r="37" spans="1:78">
      <c r="A37" s="616" t="s">
        <v>1274</v>
      </c>
      <c r="B37" s="617"/>
      <c r="C37" s="651">
        <v>45838</v>
      </c>
      <c r="D37" s="619" t="s">
        <v>1057</v>
      </c>
      <c r="E37" s="616" t="s">
        <v>1281</v>
      </c>
      <c r="F37" s="620" t="s">
        <v>1287</v>
      </c>
      <c r="G37" s="621" t="s">
        <v>1061</v>
      </c>
      <c r="H37" s="622">
        <v>2493635.9900000002</v>
      </c>
      <c r="I37" s="522"/>
      <c r="J37" s="621" t="s">
        <v>90</v>
      </c>
      <c r="K37" s="621" t="s">
        <v>1062</v>
      </c>
      <c r="L37" s="623" t="s">
        <v>182</v>
      </c>
      <c r="M37" s="623" t="s">
        <v>1064</v>
      </c>
      <c r="N37" s="624">
        <v>9.449378683696194E-2</v>
      </c>
      <c r="O37" s="625" t="s">
        <v>225</v>
      </c>
      <c r="P37" s="624">
        <v>0.01</v>
      </c>
      <c r="Q37" s="624">
        <v>5.1499999999999997E-2</v>
      </c>
      <c r="R37" s="623">
        <v>3</v>
      </c>
      <c r="S37" s="522"/>
      <c r="T37" s="624" t="s">
        <v>1065</v>
      </c>
      <c r="U37" s="621">
        <v>2.4194444444444443</v>
      </c>
      <c r="V37" s="653">
        <v>46661</v>
      </c>
      <c r="W37" s="621" t="s">
        <v>1066</v>
      </c>
      <c r="X37" s="627">
        <v>100</v>
      </c>
      <c r="Y37" s="523"/>
      <c r="Z37" s="628"/>
      <c r="AA37" s="628"/>
      <c r="AB37" s="629">
        <v>35.017000000000003</v>
      </c>
      <c r="AC37" s="524">
        <v>1.6322172873249059</v>
      </c>
      <c r="AD37" s="524">
        <v>4.1874411302982741</v>
      </c>
      <c r="AE37" s="524"/>
      <c r="AF37" s="652">
        <v>4.3916623059480218</v>
      </c>
      <c r="AG37" s="653">
        <v>45808</v>
      </c>
      <c r="AH37" s="621"/>
      <c r="AI37" s="652">
        <v>3.4205034658883613</v>
      </c>
      <c r="AJ37" s="652">
        <v>41.115000000000002</v>
      </c>
      <c r="AK37" s="524">
        <v>1.0143250005563482</v>
      </c>
      <c r="AL37" s="524"/>
      <c r="AM37" s="652">
        <f>VLOOKUP($A37, [1]BB!$C$1:$K$73, 8, FALSE)</f>
        <v>3.4205034658883613</v>
      </c>
      <c r="AN37" s="652">
        <v>1.2185461762060958</v>
      </c>
      <c r="AO37" s="652">
        <f>VLOOKUP($A37, [1]BB!$C$1:$K$73, 9, FALSE)</f>
        <v>3.1896594058180039</v>
      </c>
      <c r="AP37" s="652">
        <f t="shared" si="0"/>
        <v>-1.557442118493098</v>
      </c>
      <c r="AQ37" s="657"/>
      <c r="AR37" s="657"/>
      <c r="AS37" s="623" t="s">
        <v>1189</v>
      </c>
      <c r="AT37" s="658" t="s">
        <v>122</v>
      </c>
      <c r="AU37" s="623" t="s">
        <v>122</v>
      </c>
      <c r="AV37" s="632"/>
      <c r="AW37" s="619" t="s">
        <v>38</v>
      </c>
      <c r="AX37" s="633">
        <v>2499911.11</v>
      </c>
      <c r="AY37" s="645">
        <v>0</v>
      </c>
      <c r="AZ37" s="633">
        <f t="shared" si="19"/>
        <v>2499911.11</v>
      </c>
      <c r="BA37" s="633"/>
      <c r="BB37" s="629" t="s">
        <v>1067</v>
      </c>
      <c r="BC37" s="654" t="s">
        <v>1190</v>
      </c>
      <c r="BD37" s="660">
        <v>100</v>
      </c>
      <c r="BE37" s="666">
        <f t="shared" si="20"/>
        <v>0</v>
      </c>
      <c r="BF37" s="666">
        <f t="shared" si="21"/>
        <v>0</v>
      </c>
      <c r="BG37" s="666">
        <f t="shared" si="22"/>
        <v>0</v>
      </c>
      <c r="BH37" s="666">
        <f t="shared" si="23"/>
        <v>0</v>
      </c>
      <c r="BI37" s="666">
        <f t="shared" si="24"/>
        <v>0</v>
      </c>
      <c r="BJ37" s="666">
        <f t="shared" si="25"/>
        <v>0</v>
      </c>
      <c r="BK37" s="666">
        <f t="shared" si="26"/>
        <v>0</v>
      </c>
      <c r="BL37" s="666">
        <f t="shared" si="27"/>
        <v>0</v>
      </c>
      <c r="BM37" s="666">
        <f t="shared" si="28"/>
        <v>0</v>
      </c>
      <c r="BN37" s="666">
        <f t="shared" si="29"/>
        <v>0</v>
      </c>
      <c r="BO37" s="666">
        <f t="shared" si="30"/>
        <v>0</v>
      </c>
      <c r="BP37" s="666">
        <f t="shared" si="31"/>
        <v>0</v>
      </c>
      <c r="BQ37" s="636">
        <f t="shared" si="13"/>
        <v>2493635.9900000002</v>
      </c>
      <c r="BR37" s="637">
        <v>100</v>
      </c>
      <c r="BS37" s="638">
        <f t="shared" si="14"/>
        <v>2499911.11</v>
      </c>
      <c r="BT37" s="639"/>
      <c r="BU37" s="633">
        <f t="shared" si="15"/>
        <v>2499911.11</v>
      </c>
      <c r="BV37" s="639">
        <v>0</v>
      </c>
      <c r="BW37" s="666" t="str">
        <f t="shared" si="16"/>
        <v>30+</v>
      </c>
      <c r="BX37" s="666" t="str">
        <f t="shared" si="17"/>
        <v>&lt;0.25</v>
      </c>
      <c r="BY37" s="635"/>
      <c r="BZ37" s="666" t="str">
        <f t="shared" si="18"/>
        <v>FL 30+</v>
      </c>
    </row>
    <row r="38" spans="1:78">
      <c r="A38" s="616" t="s">
        <v>1136</v>
      </c>
      <c r="B38" s="617"/>
      <c r="C38" s="651">
        <v>45838</v>
      </c>
      <c r="D38" s="619" t="s">
        <v>1057</v>
      </c>
      <c r="E38" s="616" t="s">
        <v>1137</v>
      </c>
      <c r="F38" s="620" t="s">
        <v>1138</v>
      </c>
      <c r="G38" s="621" t="s">
        <v>1061</v>
      </c>
      <c r="H38" s="622">
        <v>4241967.99</v>
      </c>
      <c r="I38" s="525"/>
      <c r="J38" s="621" t="s">
        <v>90</v>
      </c>
      <c r="K38" s="621" t="s">
        <v>1062</v>
      </c>
      <c r="L38" s="623" t="s">
        <v>199</v>
      </c>
      <c r="M38" s="623" t="s">
        <v>1064</v>
      </c>
      <c r="N38" s="624">
        <v>9.5492000000000007E-2</v>
      </c>
      <c r="O38" s="625" t="s">
        <v>225</v>
      </c>
      <c r="P38" s="624">
        <v>0.01</v>
      </c>
      <c r="Q38" s="624">
        <v>5.2499999999999998E-2</v>
      </c>
      <c r="R38" s="623">
        <v>3</v>
      </c>
      <c r="S38" s="522"/>
      <c r="T38" s="624" t="s">
        <v>1065</v>
      </c>
      <c r="U38" s="621">
        <v>4.7111111111111112</v>
      </c>
      <c r="V38" s="653">
        <v>47499</v>
      </c>
      <c r="W38" s="621" t="s">
        <v>1066</v>
      </c>
      <c r="X38" s="627">
        <v>100</v>
      </c>
      <c r="Y38" s="523"/>
      <c r="Z38" s="628"/>
      <c r="AA38" s="628"/>
      <c r="AB38" s="629">
        <v>50.912999999999997</v>
      </c>
      <c r="AC38" s="524">
        <v>1.9684540098652743</v>
      </c>
      <c r="AD38" s="524">
        <v>4.4013200993852264</v>
      </c>
      <c r="AE38" s="524"/>
      <c r="AF38" s="656">
        <v>4.4013200993852264</v>
      </c>
      <c r="AG38" s="653">
        <v>45777</v>
      </c>
      <c r="AH38" s="621"/>
      <c r="AI38" s="652">
        <v>2.6014454560234803</v>
      </c>
      <c r="AJ38" s="652">
        <v>69.673244749500498</v>
      </c>
      <c r="AK38" s="524">
        <v>1.9325535770627011</v>
      </c>
      <c r="AL38" s="524"/>
      <c r="AM38" s="652">
        <f>VLOOKUP($A38, [1]BB!$C$1:$K$73, 8, FALSE)</f>
        <v>2.6014454560234803</v>
      </c>
      <c r="AN38" s="652">
        <v>1.9325535770627011</v>
      </c>
      <c r="AO38" s="652">
        <f>VLOOKUP($A38, [1]BB!$C$1:$K$73, 9, FALSE)</f>
        <v>2.8006856657025412</v>
      </c>
      <c r="AP38" s="652">
        <f t="shared" si="0"/>
        <v>-0.83223165583726688</v>
      </c>
      <c r="AQ38" s="657"/>
      <c r="AR38" s="657"/>
      <c r="AS38" s="623" t="s">
        <v>87</v>
      </c>
      <c r="AT38" s="658" t="s">
        <v>231</v>
      </c>
      <c r="AU38" s="623" t="s">
        <v>122</v>
      </c>
      <c r="AV38" s="632"/>
      <c r="AW38" s="619" t="s">
        <v>38</v>
      </c>
      <c r="AX38" s="633">
        <v>4252707.1500000004</v>
      </c>
      <c r="AY38" s="645">
        <v>0</v>
      </c>
      <c r="AZ38" s="633">
        <f t="shared" si="19"/>
        <v>4252707.1500000004</v>
      </c>
      <c r="BA38" s="633"/>
      <c r="BB38" s="629" t="s">
        <v>1067</v>
      </c>
      <c r="BC38" s="654" t="s">
        <v>1190</v>
      </c>
      <c r="BD38" s="660">
        <v>100</v>
      </c>
      <c r="BE38" s="666">
        <f t="shared" si="20"/>
        <v>0</v>
      </c>
      <c r="BF38" s="666">
        <f t="shared" si="21"/>
        <v>0</v>
      </c>
      <c r="BG38" s="666">
        <f t="shared" si="22"/>
        <v>0</v>
      </c>
      <c r="BH38" s="666">
        <f t="shared" si="23"/>
        <v>0</v>
      </c>
      <c r="BI38" s="666">
        <f t="shared" si="24"/>
        <v>0</v>
      </c>
      <c r="BJ38" s="666">
        <f t="shared" si="25"/>
        <v>0</v>
      </c>
      <c r="BK38" s="666">
        <f t="shared" si="26"/>
        <v>0</v>
      </c>
      <c r="BL38" s="666">
        <f t="shared" si="27"/>
        <v>0</v>
      </c>
      <c r="BM38" s="666">
        <f t="shared" si="28"/>
        <v>1</v>
      </c>
      <c r="BN38" s="666">
        <f t="shared" si="29"/>
        <v>0</v>
      </c>
      <c r="BO38" s="666">
        <f t="shared" si="30"/>
        <v>0</v>
      </c>
      <c r="BP38" s="666">
        <f t="shared" si="31"/>
        <v>0</v>
      </c>
      <c r="BQ38" s="636">
        <f t="shared" si="13"/>
        <v>4241967.99</v>
      </c>
      <c r="BR38" s="637">
        <v>100</v>
      </c>
      <c r="BS38" s="638">
        <f t="shared" si="14"/>
        <v>4252707.1500000004</v>
      </c>
      <c r="BT38" s="639"/>
      <c r="BU38" s="633">
        <f t="shared" si="15"/>
        <v>4252707.1500000004</v>
      </c>
      <c r="BV38" s="639">
        <v>0</v>
      </c>
      <c r="BW38" s="666" t="str">
        <f t="shared" si="16"/>
        <v>30+</v>
      </c>
      <c r="BX38" s="666" t="str">
        <f t="shared" si="17"/>
        <v>&lt;0.25</v>
      </c>
      <c r="BY38" s="635"/>
      <c r="BZ38" s="666" t="str">
        <f t="shared" si="18"/>
        <v>FL 30+</v>
      </c>
    </row>
    <row r="39" spans="1:78">
      <c r="A39" s="616" t="s">
        <v>1299</v>
      </c>
      <c r="B39" s="617"/>
      <c r="C39" s="651">
        <v>45838</v>
      </c>
      <c r="D39" s="619" t="s">
        <v>1057</v>
      </c>
      <c r="E39" s="616" t="s">
        <v>1313</v>
      </c>
      <c r="F39" s="620" t="s">
        <v>1325</v>
      </c>
      <c r="G39" s="621" t="s">
        <v>1061</v>
      </c>
      <c r="H39" s="622">
        <v>3980866.8899999997</v>
      </c>
      <c r="I39" s="525"/>
      <c r="J39" s="621" t="s">
        <v>90</v>
      </c>
      <c r="K39" s="621" t="s">
        <v>1062</v>
      </c>
      <c r="L39" s="623" t="s">
        <v>199</v>
      </c>
      <c r="M39" s="623" t="s">
        <v>1064</v>
      </c>
      <c r="N39" s="624">
        <v>9.0605120307342524E-2</v>
      </c>
      <c r="O39" s="625" t="s">
        <v>225</v>
      </c>
      <c r="P39" s="624">
        <v>0.01</v>
      </c>
      <c r="Q39" s="624">
        <v>4.7500000000000001E-2</v>
      </c>
      <c r="R39" s="623">
        <v>3</v>
      </c>
      <c r="S39" s="522"/>
      <c r="T39" s="624" t="s">
        <v>1065</v>
      </c>
      <c r="U39" s="621">
        <v>5.3888888888888893</v>
      </c>
      <c r="V39" s="653">
        <v>47746</v>
      </c>
      <c r="W39" s="621" t="s">
        <v>1066</v>
      </c>
      <c r="X39" s="627">
        <v>100</v>
      </c>
      <c r="Y39" s="523"/>
      <c r="Z39" s="628"/>
      <c r="AA39" s="628"/>
      <c r="AB39" s="629">
        <v>10.208520977410892</v>
      </c>
      <c r="AC39" s="524">
        <v>1.8784215785394407</v>
      </c>
      <c r="AD39" s="524">
        <v>5.2701072093643164</v>
      </c>
      <c r="AE39" s="524"/>
      <c r="AF39" s="652">
        <v>5.2701072093643164</v>
      </c>
      <c r="AG39" s="653">
        <v>45777</v>
      </c>
      <c r="AH39" s="621"/>
      <c r="AI39" s="652">
        <v>3.4362807011936263</v>
      </c>
      <c r="AJ39" s="652">
        <v>22.710747845160572</v>
      </c>
      <c r="AK39" s="524">
        <v>1.7692290705425973</v>
      </c>
      <c r="AL39" s="524"/>
      <c r="AM39" s="652">
        <f>VLOOKUP($A39, [1]BB!$C$1:$K$73, 8, FALSE)</f>
        <v>3.4362807011936263</v>
      </c>
      <c r="AN39" s="652">
        <v>1.7692290705425973</v>
      </c>
      <c r="AO39" s="652">
        <f>VLOOKUP($A39, [1]BB!$C$1:$K$73, 9, FALSE)</f>
        <v>2.8747782082481734</v>
      </c>
      <c r="AP39" s="652">
        <f t="shared" si="0"/>
        <v>-0.99635662970873273</v>
      </c>
      <c r="AQ39" s="657"/>
      <c r="AR39" s="657"/>
      <c r="AS39" s="623" t="s">
        <v>1189</v>
      </c>
      <c r="AT39" s="658" t="s">
        <v>122</v>
      </c>
      <c r="AU39" s="623" t="s">
        <v>122</v>
      </c>
      <c r="AV39" s="632"/>
      <c r="AW39" s="619" t="s">
        <v>38</v>
      </c>
      <c r="AX39" s="633">
        <v>3990869.08</v>
      </c>
      <c r="AY39" s="645">
        <v>0</v>
      </c>
      <c r="AZ39" s="633">
        <f t="shared" si="19"/>
        <v>3990869.08</v>
      </c>
      <c r="BA39" s="633"/>
      <c r="BB39" s="629" t="s">
        <v>1067</v>
      </c>
      <c r="BC39" s="654" t="s">
        <v>1190</v>
      </c>
      <c r="BD39" s="660">
        <v>100</v>
      </c>
      <c r="BE39" s="666">
        <f t="shared" si="20"/>
        <v>0</v>
      </c>
      <c r="BF39" s="666">
        <f t="shared" si="21"/>
        <v>0</v>
      </c>
      <c r="BG39" s="666">
        <f t="shared" si="22"/>
        <v>0</v>
      </c>
      <c r="BH39" s="666">
        <f t="shared" si="23"/>
        <v>0</v>
      </c>
      <c r="BI39" s="666">
        <f t="shared" si="24"/>
        <v>0</v>
      </c>
      <c r="BJ39" s="666">
        <f t="shared" si="25"/>
        <v>0</v>
      </c>
      <c r="BK39" s="666">
        <f t="shared" si="26"/>
        <v>0</v>
      </c>
      <c r="BL39" s="666">
        <f t="shared" si="27"/>
        <v>0</v>
      </c>
      <c r="BM39" s="666">
        <f t="shared" si="28"/>
        <v>0</v>
      </c>
      <c r="BN39" s="666">
        <f t="shared" si="29"/>
        <v>0</v>
      </c>
      <c r="BO39" s="666">
        <f t="shared" si="30"/>
        <v>0</v>
      </c>
      <c r="BP39" s="666">
        <f t="shared" si="31"/>
        <v>0</v>
      </c>
      <c r="BQ39" s="636">
        <f t="shared" si="13"/>
        <v>3980866.8899999997</v>
      </c>
      <c r="BR39" s="637">
        <v>100</v>
      </c>
      <c r="BS39" s="638">
        <f t="shared" si="14"/>
        <v>3990869.08</v>
      </c>
      <c r="BT39" s="639"/>
      <c r="BU39" s="633">
        <f t="shared" si="15"/>
        <v>3990869.08</v>
      </c>
      <c r="BV39" s="639">
        <v>0</v>
      </c>
      <c r="BW39" s="666" t="str">
        <f t="shared" si="16"/>
        <v>15-30</v>
      </c>
      <c r="BX39" s="666" t="str">
        <f t="shared" si="17"/>
        <v>&lt;0.25</v>
      </c>
      <c r="BY39" s="635"/>
      <c r="BZ39" s="666" t="str">
        <f t="shared" si="18"/>
        <v>FL 15-30</v>
      </c>
    </row>
    <row r="40" spans="1:78">
      <c r="A40" s="616" t="s">
        <v>1139</v>
      </c>
      <c r="B40" s="617"/>
      <c r="C40" s="651">
        <v>45838</v>
      </c>
      <c r="D40" s="619" t="s">
        <v>1057</v>
      </c>
      <c r="E40" s="616" t="s">
        <v>1140</v>
      </c>
      <c r="F40" s="620" t="s">
        <v>1141</v>
      </c>
      <c r="G40" s="621" t="s">
        <v>1061</v>
      </c>
      <c r="H40" s="622">
        <v>3768234.86</v>
      </c>
      <c r="I40" s="522"/>
      <c r="J40" s="621" t="s">
        <v>90</v>
      </c>
      <c r="K40" s="621" t="s">
        <v>1062</v>
      </c>
      <c r="L40" s="623" t="s">
        <v>319</v>
      </c>
      <c r="M40" s="623" t="s">
        <v>1064</v>
      </c>
      <c r="N40" s="624">
        <v>0.10645099999999999</v>
      </c>
      <c r="O40" s="625" t="s">
        <v>225</v>
      </c>
      <c r="P40" s="624">
        <v>0.01</v>
      </c>
      <c r="Q40" s="624">
        <v>6.3500000000000001E-2</v>
      </c>
      <c r="R40" s="623">
        <v>3</v>
      </c>
      <c r="S40" s="522"/>
      <c r="T40" s="624" t="s">
        <v>1065</v>
      </c>
      <c r="U40" s="621">
        <v>4.333333333333333</v>
      </c>
      <c r="V40" s="653">
        <v>47361</v>
      </c>
      <c r="W40" s="621" t="s">
        <v>1066</v>
      </c>
      <c r="X40" s="627">
        <v>100</v>
      </c>
      <c r="Y40" s="523"/>
      <c r="Z40" s="628"/>
      <c r="AA40" s="628"/>
      <c r="AB40" s="629">
        <v>21.293252379330102</v>
      </c>
      <c r="AC40" s="524">
        <v>2.2766519381548895</v>
      </c>
      <c r="AD40" s="524">
        <v>3.6631322735702212</v>
      </c>
      <c r="AE40" s="524"/>
      <c r="AF40" s="652">
        <v>3.6764069121723724</v>
      </c>
      <c r="AG40" s="653">
        <v>45777</v>
      </c>
      <c r="AH40" s="621"/>
      <c r="AI40" s="652">
        <v>5.880961863972634</v>
      </c>
      <c r="AJ40" s="652">
        <v>12.82188953</v>
      </c>
      <c r="AK40" s="524">
        <v>-2.134230231643325</v>
      </c>
      <c r="AL40" s="524"/>
      <c r="AM40" s="652">
        <f>VLOOKUP($A40, [1]BB!$C$1:$K$73, 8, FALSE)</f>
        <v>6.2417025862490014</v>
      </c>
      <c r="AN40" s="652">
        <v>-2.4787431720573405</v>
      </c>
      <c r="AO40" s="652">
        <f>VLOOKUP($A40, [1]BB!$C$1:$K$73, 9, FALSE)</f>
        <v>1.3526751022148324</v>
      </c>
      <c r="AP40" s="652">
        <f t="shared" si="0"/>
        <v>0.92397683594005708</v>
      </c>
      <c r="AQ40" s="657"/>
      <c r="AR40" s="657"/>
      <c r="AS40" s="623" t="s">
        <v>1189</v>
      </c>
      <c r="AT40" s="658" t="s">
        <v>122</v>
      </c>
      <c r="AU40" s="623" t="s">
        <v>122</v>
      </c>
      <c r="AV40" s="632"/>
      <c r="AW40" s="619" t="s">
        <v>38</v>
      </c>
      <c r="AX40" s="633">
        <v>3777823.24</v>
      </c>
      <c r="AY40" s="645">
        <v>0</v>
      </c>
      <c r="AZ40" s="633">
        <f t="shared" si="19"/>
        <v>3777823.24</v>
      </c>
      <c r="BA40" s="633"/>
      <c r="BB40" s="629" t="s">
        <v>1067</v>
      </c>
      <c r="BC40" s="654" t="s">
        <v>1067</v>
      </c>
      <c r="BD40" s="660">
        <v>100</v>
      </c>
      <c r="BE40" s="666">
        <f t="shared" si="20"/>
        <v>0</v>
      </c>
      <c r="BF40" s="666">
        <f t="shared" si="21"/>
        <v>0</v>
      </c>
      <c r="BG40" s="666">
        <f t="shared" si="22"/>
        <v>0</v>
      </c>
      <c r="BH40" s="666">
        <f t="shared" si="23"/>
        <v>0</v>
      </c>
      <c r="BI40" s="666">
        <f t="shared" si="24"/>
        <v>0</v>
      </c>
      <c r="BJ40" s="666">
        <f t="shared" si="25"/>
        <v>1</v>
      </c>
      <c r="BK40" s="666">
        <f t="shared" si="26"/>
        <v>0</v>
      </c>
      <c r="BL40" s="666">
        <f t="shared" si="27"/>
        <v>0</v>
      </c>
      <c r="BM40" s="666">
        <f t="shared" si="28"/>
        <v>0</v>
      </c>
      <c r="BN40" s="666">
        <f t="shared" si="29"/>
        <v>1</v>
      </c>
      <c r="BO40" s="666">
        <f t="shared" si="30"/>
        <v>0</v>
      </c>
      <c r="BP40" s="666">
        <f t="shared" si="31"/>
        <v>0</v>
      </c>
      <c r="BQ40" s="636">
        <f t="shared" si="13"/>
        <v>3768234.86</v>
      </c>
      <c r="BR40" s="637">
        <v>100</v>
      </c>
      <c r="BS40" s="638">
        <f t="shared" si="14"/>
        <v>3777823.24</v>
      </c>
      <c r="BT40" s="639"/>
      <c r="BU40" s="633">
        <f t="shared" si="15"/>
        <v>3777823.24</v>
      </c>
      <c r="BV40" s="639">
        <v>0</v>
      </c>
      <c r="BW40" s="666" t="str">
        <f t="shared" si="16"/>
        <v>15-</v>
      </c>
      <c r="BX40" s="666" t="str">
        <f t="shared" si="17"/>
        <v>&lt;0.25</v>
      </c>
      <c r="BY40" s="635"/>
      <c r="BZ40" s="666" t="str">
        <f t="shared" si="18"/>
        <v>FL 15-</v>
      </c>
    </row>
    <row r="41" spans="1:78">
      <c r="A41" s="616" t="s">
        <v>1142</v>
      </c>
      <c r="B41" s="617"/>
      <c r="C41" s="651">
        <v>45838</v>
      </c>
      <c r="D41" s="619" t="s">
        <v>1057</v>
      </c>
      <c r="E41" s="616" t="s">
        <v>1143</v>
      </c>
      <c r="F41" s="620" t="s">
        <v>1144</v>
      </c>
      <c r="G41" s="621" t="s">
        <v>1061</v>
      </c>
      <c r="H41" s="622">
        <v>7118722.4500000002</v>
      </c>
      <c r="I41" s="522"/>
      <c r="J41" s="621" t="s">
        <v>90</v>
      </c>
      <c r="K41" s="621" t="s">
        <v>1062</v>
      </c>
      <c r="L41" s="623" t="s">
        <v>183</v>
      </c>
      <c r="M41" s="623" t="s">
        <v>1064</v>
      </c>
      <c r="N41" s="624">
        <v>9.5491999999999994E-2</v>
      </c>
      <c r="O41" s="625" t="s">
        <v>225</v>
      </c>
      <c r="P41" s="624">
        <v>0.01</v>
      </c>
      <c r="Q41" s="624">
        <v>5.2499999999999998E-2</v>
      </c>
      <c r="R41" s="623">
        <v>3</v>
      </c>
      <c r="S41" s="522"/>
      <c r="T41" s="624" t="s">
        <v>1065</v>
      </c>
      <c r="U41" s="621">
        <v>4.6638888888888888</v>
      </c>
      <c r="V41" s="653">
        <v>47481</v>
      </c>
      <c r="W41" s="621" t="s">
        <v>1066</v>
      </c>
      <c r="X41" s="627">
        <v>100</v>
      </c>
      <c r="Y41" s="523"/>
      <c r="Z41" s="628"/>
      <c r="AA41" s="628"/>
      <c r="AB41" s="629">
        <v>14.5</v>
      </c>
      <c r="AC41" s="524">
        <v>2.96</v>
      </c>
      <c r="AD41" s="524">
        <v>2.0699999999999998</v>
      </c>
      <c r="AE41" s="524"/>
      <c r="AF41" s="652">
        <v>2.0699999999999998</v>
      </c>
      <c r="AG41" s="653">
        <v>45808</v>
      </c>
      <c r="AH41" s="621"/>
      <c r="AI41" s="652">
        <v>4.0064688521840264</v>
      </c>
      <c r="AJ41" s="652">
        <v>31.4897663440527</v>
      </c>
      <c r="AK41" s="524">
        <v>-1.1291927162280491</v>
      </c>
      <c r="AL41" s="524"/>
      <c r="AM41" s="652">
        <f>VLOOKUP($A41, [1]BB!$C$1:$K$73, 8, FALSE)</f>
        <v>4.0064688521840264</v>
      </c>
      <c r="AN41" s="652">
        <v>-1.1291927162280491</v>
      </c>
      <c r="AO41" s="652">
        <f>VLOOKUP($A41, [1]BB!$C$1:$K$73, 9, FALSE)</f>
        <v>2.7559559901362953</v>
      </c>
      <c r="AP41" s="652">
        <f t="shared" si="0"/>
        <v>0.20404400986370463</v>
      </c>
      <c r="AQ41" s="657"/>
      <c r="AR41" s="657"/>
      <c r="AS41" s="623" t="s">
        <v>87</v>
      </c>
      <c r="AT41" s="658" t="s">
        <v>231</v>
      </c>
      <c r="AU41" s="623" t="s">
        <v>122</v>
      </c>
      <c r="AV41" s="632"/>
      <c r="AW41" s="619" t="s">
        <v>38</v>
      </c>
      <c r="AX41" s="633">
        <v>7136692.4000000004</v>
      </c>
      <c r="AY41" s="645">
        <v>0</v>
      </c>
      <c r="AZ41" s="633">
        <f t="shared" si="19"/>
        <v>7136692.4000000004</v>
      </c>
      <c r="BA41" s="633"/>
      <c r="BB41" s="629" t="s">
        <v>1067</v>
      </c>
      <c r="BC41" s="654" t="s">
        <v>1190</v>
      </c>
      <c r="BD41" s="660">
        <v>100</v>
      </c>
      <c r="BE41" s="666">
        <f t="shared" si="20"/>
        <v>0</v>
      </c>
      <c r="BF41" s="666">
        <f t="shared" si="21"/>
        <v>0</v>
      </c>
      <c r="BG41" s="666">
        <f t="shared" si="22"/>
        <v>0</v>
      </c>
      <c r="BH41" s="666">
        <f t="shared" si="23"/>
        <v>0</v>
      </c>
      <c r="BI41" s="666">
        <f t="shared" si="24"/>
        <v>0</v>
      </c>
      <c r="BJ41" s="666">
        <f t="shared" si="25"/>
        <v>0</v>
      </c>
      <c r="BK41" s="666">
        <f t="shared" si="26"/>
        <v>0</v>
      </c>
      <c r="BL41" s="666">
        <f t="shared" si="27"/>
        <v>0</v>
      </c>
      <c r="BM41" s="666">
        <f t="shared" si="28"/>
        <v>1</v>
      </c>
      <c r="BN41" s="666">
        <f t="shared" si="29"/>
        <v>0</v>
      </c>
      <c r="BO41" s="666">
        <f t="shared" si="30"/>
        <v>0</v>
      </c>
      <c r="BP41" s="666">
        <f t="shared" si="31"/>
        <v>0</v>
      </c>
      <c r="BQ41" s="636">
        <f t="shared" si="13"/>
        <v>7118722.4500000002</v>
      </c>
      <c r="BR41" s="637">
        <v>100</v>
      </c>
      <c r="BS41" s="638">
        <f t="shared" si="14"/>
        <v>7136692.4000000004</v>
      </c>
      <c r="BT41" s="639"/>
      <c r="BU41" s="633">
        <f t="shared" si="15"/>
        <v>7136692.4000000004</v>
      </c>
      <c r="BV41" s="639">
        <v>0</v>
      </c>
      <c r="BW41" s="666" t="str">
        <f t="shared" si="16"/>
        <v>30+</v>
      </c>
      <c r="BX41" s="666" t="str">
        <f t="shared" si="17"/>
        <v>&lt;0.25</v>
      </c>
      <c r="BY41" s="635"/>
      <c r="BZ41" s="666" t="str">
        <f t="shared" si="18"/>
        <v>FL 30+</v>
      </c>
    </row>
    <row r="42" spans="1:78">
      <c r="A42" s="616" t="s">
        <v>1300</v>
      </c>
      <c r="B42" s="617"/>
      <c r="C42" s="651">
        <v>45838</v>
      </c>
      <c r="D42" s="619" t="s">
        <v>1057</v>
      </c>
      <c r="E42" s="616" t="s">
        <v>1314</v>
      </c>
      <c r="F42" s="620" t="s">
        <v>1326</v>
      </c>
      <c r="G42" s="621" t="s">
        <v>1061</v>
      </c>
      <c r="H42" s="622">
        <v>995000</v>
      </c>
      <c r="I42" s="522"/>
      <c r="J42" s="621" t="s">
        <v>90</v>
      </c>
      <c r="K42" s="621" t="s">
        <v>1062</v>
      </c>
      <c r="L42" s="623" t="s">
        <v>190</v>
      </c>
      <c r="M42" s="623" t="s">
        <v>1064</v>
      </c>
      <c r="N42" s="624">
        <v>9.3185000000000004E-2</v>
      </c>
      <c r="O42" s="625" t="s">
        <v>225</v>
      </c>
      <c r="P42" s="624">
        <v>0.01</v>
      </c>
      <c r="Q42" s="624">
        <v>0.05</v>
      </c>
      <c r="R42" s="623">
        <v>3</v>
      </c>
      <c r="S42" s="522"/>
      <c r="T42" s="624" t="s">
        <v>1065</v>
      </c>
      <c r="U42" s="621">
        <v>5.3416666666666668</v>
      </c>
      <c r="V42" s="653">
        <v>47729</v>
      </c>
      <c r="W42" s="621" t="s">
        <v>1066</v>
      </c>
      <c r="X42" s="627">
        <v>100</v>
      </c>
      <c r="Y42" s="523"/>
      <c r="Z42" s="628"/>
      <c r="AA42" s="628"/>
      <c r="AB42" s="629">
        <v>22.439</v>
      </c>
      <c r="AC42" s="524">
        <v>3.2877655677655673</v>
      </c>
      <c r="AD42" s="524">
        <v>2.3172601274566604</v>
      </c>
      <c r="AE42" s="524"/>
      <c r="AF42" s="652">
        <v>2.3172601274566604</v>
      </c>
      <c r="AG42" s="653">
        <v>45747</v>
      </c>
      <c r="AH42" s="621"/>
      <c r="AI42" s="652">
        <v>3.9253892787965685</v>
      </c>
      <c r="AJ42" s="652">
        <v>39.753</v>
      </c>
      <c r="AK42" s="524">
        <v>-1.7712826551351846</v>
      </c>
      <c r="AL42" s="524"/>
      <c r="AM42" s="652">
        <f>VLOOKUP($A42, [1]BB!$C$1:$K$73, 8, FALSE)</f>
        <v>3.9253892787965685</v>
      </c>
      <c r="AN42" s="652">
        <v>-1.7712826551351846</v>
      </c>
      <c r="AO42" s="652">
        <f>VLOOKUP($A42, [1]BB!$C$1:$K$73, 9, FALSE)</f>
        <v>2.564709677419355</v>
      </c>
      <c r="AP42" s="652">
        <f t="shared" si="0"/>
        <v>0.72305589034621232</v>
      </c>
      <c r="AQ42" s="657"/>
      <c r="AR42" s="657"/>
      <c r="AS42" s="623" t="s">
        <v>1189</v>
      </c>
      <c r="AT42" s="658" t="s">
        <v>122</v>
      </c>
      <c r="AU42" s="623" t="s">
        <v>122</v>
      </c>
      <c r="AV42" s="632"/>
      <c r="AW42" s="619" t="s">
        <v>38</v>
      </c>
      <c r="AX42" s="633">
        <v>997500</v>
      </c>
      <c r="AY42" s="645">
        <v>0</v>
      </c>
      <c r="AZ42" s="633">
        <f t="shared" si="19"/>
        <v>997500</v>
      </c>
      <c r="BA42" s="633"/>
      <c r="BB42" s="629" t="s">
        <v>1067</v>
      </c>
      <c r="BC42" s="654" t="s">
        <v>1190</v>
      </c>
      <c r="BD42" s="660">
        <v>100</v>
      </c>
      <c r="BE42" s="666">
        <f t="shared" si="20"/>
        <v>0</v>
      </c>
      <c r="BF42" s="666">
        <f t="shared" si="21"/>
        <v>0</v>
      </c>
      <c r="BG42" s="666">
        <f t="shared" si="22"/>
        <v>0</v>
      </c>
      <c r="BH42" s="666">
        <f t="shared" si="23"/>
        <v>0</v>
      </c>
      <c r="BI42" s="666">
        <f t="shared" si="24"/>
        <v>0</v>
      </c>
      <c r="BJ42" s="666">
        <f t="shared" si="25"/>
        <v>0</v>
      </c>
      <c r="BK42" s="666">
        <f t="shared" si="26"/>
        <v>0</v>
      </c>
      <c r="BL42" s="666">
        <f t="shared" si="27"/>
        <v>0</v>
      </c>
      <c r="BM42" s="666">
        <f t="shared" si="28"/>
        <v>0</v>
      </c>
      <c r="BN42" s="666">
        <f t="shared" si="29"/>
        <v>0</v>
      </c>
      <c r="BO42" s="666">
        <f t="shared" si="30"/>
        <v>0</v>
      </c>
      <c r="BP42" s="666">
        <f t="shared" si="31"/>
        <v>0</v>
      </c>
      <c r="BQ42" s="636">
        <f t="shared" si="13"/>
        <v>995000</v>
      </c>
      <c r="BR42" s="637">
        <v>100</v>
      </c>
      <c r="BS42" s="638">
        <f t="shared" si="14"/>
        <v>997500</v>
      </c>
      <c r="BT42" s="639"/>
      <c r="BU42" s="633">
        <f t="shared" si="15"/>
        <v>997500</v>
      </c>
      <c r="BV42" s="639">
        <v>0</v>
      </c>
      <c r="BW42" s="666" t="str">
        <f t="shared" si="16"/>
        <v>30+</v>
      </c>
      <c r="BX42" s="666" t="str">
        <f t="shared" si="17"/>
        <v>&lt;0.25</v>
      </c>
      <c r="BY42" s="635"/>
      <c r="BZ42" s="666" t="str">
        <f t="shared" si="18"/>
        <v>FL 30+</v>
      </c>
    </row>
    <row r="43" spans="1:78">
      <c r="A43" s="616" t="s">
        <v>1146</v>
      </c>
      <c r="B43" s="617"/>
      <c r="C43" s="651">
        <v>45838</v>
      </c>
      <c r="D43" s="619" t="s">
        <v>1057</v>
      </c>
      <c r="E43" s="616" t="s">
        <v>1147</v>
      </c>
      <c r="F43" s="620" t="s">
        <v>1148</v>
      </c>
      <c r="G43" s="621" t="s">
        <v>1061</v>
      </c>
      <c r="H43" s="622">
        <v>8608914.4700000007</v>
      </c>
      <c r="I43" s="522"/>
      <c r="J43" s="621" t="s">
        <v>90</v>
      </c>
      <c r="K43" s="621" t="s">
        <v>1062</v>
      </c>
      <c r="L43" s="623" t="s">
        <v>201</v>
      </c>
      <c r="M43" s="623" t="s">
        <v>1064</v>
      </c>
      <c r="N43" s="624">
        <v>0.11501600000000001</v>
      </c>
      <c r="O43" s="625" t="s">
        <v>225</v>
      </c>
      <c r="P43" s="624">
        <v>0.01</v>
      </c>
      <c r="Q43" s="624">
        <v>7.2499999999999995E-2</v>
      </c>
      <c r="R43" s="623">
        <v>3</v>
      </c>
      <c r="S43" s="522"/>
      <c r="T43" s="624" t="s">
        <v>1065</v>
      </c>
      <c r="U43" s="621">
        <v>2.5249999999999999</v>
      </c>
      <c r="V43" s="653">
        <v>46700</v>
      </c>
      <c r="W43" s="621" t="s">
        <v>1066</v>
      </c>
      <c r="X43" s="627">
        <v>100</v>
      </c>
      <c r="Y43" s="523"/>
      <c r="Z43" s="628"/>
      <c r="AA43" s="628"/>
      <c r="AB43" s="629">
        <v>26.626187000000002</v>
      </c>
      <c r="AC43" s="524">
        <v>4.7335443555555559</v>
      </c>
      <c r="AD43" s="524">
        <v>2.859515709102471</v>
      </c>
      <c r="AE43" s="524"/>
      <c r="AF43" s="652">
        <v>2.859515709102471</v>
      </c>
      <c r="AG43" s="653">
        <v>45777</v>
      </c>
      <c r="AH43" s="621"/>
      <c r="AI43" s="652">
        <v>-13.523283346487768</v>
      </c>
      <c r="AJ43" s="652">
        <v>-5.0679999999999996</v>
      </c>
      <c r="AK43" s="524">
        <v>2.859515709102471</v>
      </c>
      <c r="AL43" s="524"/>
      <c r="AM43" s="652">
        <f>VLOOKUP($A43, [1]BB!$C$1:$K$73, 8, FALSE)</f>
        <v>-13.523283346487768</v>
      </c>
      <c r="AN43" s="652">
        <v>21.119316137538899</v>
      </c>
      <c r="AO43" s="652">
        <f>VLOOKUP($A43, [1]BB!$C$1:$K$73, 9, FALSE)</f>
        <v>-0.54890068233510225</v>
      </c>
      <c r="AP43" s="652">
        <f t="shared" si="0"/>
        <v>5.2824450378906578</v>
      </c>
      <c r="AQ43" s="657"/>
      <c r="AR43" s="657"/>
      <c r="AS43" s="623" t="s">
        <v>1189</v>
      </c>
      <c r="AT43" s="658" t="s">
        <v>122</v>
      </c>
      <c r="AU43" s="623" t="s">
        <v>122</v>
      </c>
      <c r="AV43" s="632"/>
      <c r="AW43" s="619" t="s">
        <v>38</v>
      </c>
      <c r="AX43" s="633">
        <v>8608914.4700000007</v>
      </c>
      <c r="AY43" s="633">
        <f>354001.85+150254.04</f>
        <v>504255.89</v>
      </c>
      <c r="AZ43" s="633">
        <f t="shared" si="19"/>
        <v>8104658.580000001</v>
      </c>
      <c r="BA43" s="633"/>
      <c r="BB43" s="629" t="s">
        <v>1067</v>
      </c>
      <c r="BC43" s="654" t="s">
        <v>1067</v>
      </c>
      <c r="BD43" s="661">
        <v>0</v>
      </c>
      <c r="BE43" s="666">
        <f t="shared" si="20"/>
        <v>0</v>
      </c>
      <c r="BF43" s="666">
        <f t="shared" si="21"/>
        <v>0</v>
      </c>
      <c r="BG43" s="666">
        <f t="shared" si="22"/>
        <v>0</v>
      </c>
      <c r="BH43" s="666">
        <f t="shared" si="23"/>
        <v>0</v>
      </c>
      <c r="BI43" s="666">
        <f t="shared" si="24"/>
        <v>0</v>
      </c>
      <c r="BJ43" s="666">
        <f t="shared" si="25"/>
        <v>1</v>
      </c>
      <c r="BK43" s="666">
        <f t="shared" si="26"/>
        <v>1</v>
      </c>
      <c r="BL43" s="666">
        <f t="shared" si="27"/>
        <v>0</v>
      </c>
      <c r="BM43" s="666">
        <f t="shared" si="28"/>
        <v>0</v>
      </c>
      <c r="BN43" s="666">
        <f t="shared" si="29"/>
        <v>0</v>
      </c>
      <c r="BO43" s="666">
        <f t="shared" si="30"/>
        <v>0</v>
      </c>
      <c r="BP43" s="666">
        <f t="shared" si="31"/>
        <v>0</v>
      </c>
      <c r="BQ43" s="636">
        <f t="shared" si="13"/>
        <v>8608914.4700000007</v>
      </c>
      <c r="BR43" s="637">
        <v>0</v>
      </c>
      <c r="BS43" s="638">
        <f t="shared" si="14"/>
        <v>0</v>
      </c>
      <c r="BT43" s="639"/>
      <c r="BU43" s="633">
        <f t="shared" si="15"/>
        <v>0</v>
      </c>
      <c r="BV43" s="639">
        <v>0</v>
      </c>
      <c r="BW43" s="666" t="str">
        <f t="shared" si="16"/>
        <v>15-</v>
      </c>
      <c r="BX43" s="666" t="str">
        <f t="shared" si="17"/>
        <v>&lt;0.25</v>
      </c>
      <c r="BY43" s="635"/>
      <c r="BZ43" s="666" t="str">
        <f t="shared" si="18"/>
        <v>FL 15-</v>
      </c>
    </row>
    <row r="44" spans="1:78">
      <c r="A44" s="616" t="s">
        <v>1149</v>
      </c>
      <c r="B44" s="617"/>
      <c r="C44" s="651">
        <v>45838</v>
      </c>
      <c r="D44" s="619" t="s">
        <v>1057</v>
      </c>
      <c r="E44" s="616" t="s">
        <v>1150</v>
      </c>
      <c r="F44" s="620" t="s">
        <v>1151</v>
      </c>
      <c r="G44" s="621" t="s">
        <v>1061</v>
      </c>
      <c r="H44" s="622">
        <v>11810532.25</v>
      </c>
      <c r="I44" s="522"/>
      <c r="J44" s="621" t="s">
        <v>90</v>
      </c>
      <c r="K44" s="621" t="s">
        <v>1062</v>
      </c>
      <c r="L44" s="623" t="s">
        <v>232</v>
      </c>
      <c r="M44" s="623" t="s">
        <v>1064</v>
      </c>
      <c r="N44" s="624">
        <v>0.10513730459316767</v>
      </c>
      <c r="O44" s="625" t="s">
        <v>225</v>
      </c>
      <c r="P44" s="624">
        <v>0.01</v>
      </c>
      <c r="Q44" s="624">
        <v>6.1499999999999999E-2</v>
      </c>
      <c r="R44" s="623">
        <v>3</v>
      </c>
      <c r="S44" s="522"/>
      <c r="T44" s="624" t="s">
        <v>1065</v>
      </c>
      <c r="U44" s="621">
        <v>8.3333333333333329E-2</v>
      </c>
      <c r="V44" s="653">
        <v>46475</v>
      </c>
      <c r="W44" s="621" t="s">
        <v>1066</v>
      </c>
      <c r="X44" s="627">
        <v>100</v>
      </c>
      <c r="Y44" s="523"/>
      <c r="Z44" s="628"/>
      <c r="AA44" s="628"/>
      <c r="AB44" s="629">
        <v>19.7</v>
      </c>
      <c r="AC44" s="524">
        <v>2.5601039636127352</v>
      </c>
      <c r="AD44" s="524">
        <v>4.5685279187817258</v>
      </c>
      <c r="AE44" s="524"/>
      <c r="AF44" s="652">
        <v>4.5685279187817258</v>
      </c>
      <c r="AG44" s="653">
        <v>45777</v>
      </c>
      <c r="AH44" s="621"/>
      <c r="AI44" s="652">
        <v>5.4418084709973922</v>
      </c>
      <c r="AJ44" s="652">
        <v>24.152999999999999</v>
      </c>
      <c r="AK44" s="524">
        <v>-0.93102488323519328</v>
      </c>
      <c r="AL44" s="524"/>
      <c r="AM44" s="652">
        <f>VLOOKUP($A44, [1]BB!$C$1:$K$73, 8, FALSE)</f>
        <v>5.4418084709973922</v>
      </c>
      <c r="AN44" s="652">
        <v>-0.93102488323519328</v>
      </c>
      <c r="AO44" s="652">
        <f>VLOOKUP($A44, [1]BB!$C$1:$K$73, 9, FALSE)</f>
        <v>1.3522002015451797</v>
      </c>
      <c r="AP44" s="652">
        <f t="shared" si="0"/>
        <v>1.2079037620675555</v>
      </c>
      <c r="AQ44" s="657"/>
      <c r="AR44" s="657"/>
      <c r="AS44" s="623" t="s">
        <v>1189</v>
      </c>
      <c r="AT44" s="658" t="s">
        <v>122</v>
      </c>
      <c r="AU44" s="623" t="s">
        <v>122</v>
      </c>
      <c r="AV44" s="632"/>
      <c r="AW44" s="619" t="s">
        <v>38</v>
      </c>
      <c r="AX44" s="633">
        <v>11840920.390000001</v>
      </c>
      <c r="AY44" s="633">
        <v>0</v>
      </c>
      <c r="AZ44" s="633">
        <f t="shared" si="19"/>
        <v>11840920.390000001</v>
      </c>
      <c r="BA44" s="633"/>
      <c r="BB44" s="629" t="s">
        <v>1067</v>
      </c>
      <c r="BC44" s="654" t="s">
        <v>1067</v>
      </c>
      <c r="BD44" s="660">
        <v>100</v>
      </c>
      <c r="BE44" s="666">
        <f t="shared" si="20"/>
        <v>0</v>
      </c>
      <c r="BF44" s="666">
        <f t="shared" si="21"/>
        <v>0</v>
      </c>
      <c r="BG44" s="666">
        <f t="shared" si="22"/>
        <v>0</v>
      </c>
      <c r="BH44" s="666">
        <f t="shared" si="23"/>
        <v>0</v>
      </c>
      <c r="BI44" s="666">
        <f t="shared" si="24"/>
        <v>0</v>
      </c>
      <c r="BJ44" s="666">
        <f t="shared" si="25"/>
        <v>0</v>
      </c>
      <c r="BK44" s="666">
        <f t="shared" si="26"/>
        <v>0</v>
      </c>
      <c r="BL44" s="666">
        <f t="shared" si="27"/>
        <v>0</v>
      </c>
      <c r="BM44" s="666">
        <f t="shared" si="28"/>
        <v>0</v>
      </c>
      <c r="BN44" s="666">
        <f t="shared" si="29"/>
        <v>0</v>
      </c>
      <c r="BO44" s="666">
        <f t="shared" si="30"/>
        <v>0</v>
      </c>
      <c r="BP44" s="666">
        <f t="shared" si="31"/>
        <v>0</v>
      </c>
      <c r="BQ44" s="636">
        <f t="shared" si="13"/>
        <v>11810532.25</v>
      </c>
      <c r="BR44" s="637">
        <v>100</v>
      </c>
      <c r="BS44" s="638">
        <f t="shared" si="14"/>
        <v>11840920.390000001</v>
      </c>
      <c r="BT44" s="639"/>
      <c r="BU44" s="633">
        <f t="shared" si="15"/>
        <v>11840920.390000001</v>
      </c>
      <c r="BV44" s="639">
        <v>0</v>
      </c>
      <c r="BW44" s="666" t="str">
        <f t="shared" si="16"/>
        <v>15-30</v>
      </c>
      <c r="BX44" s="666" t="str">
        <f t="shared" si="17"/>
        <v>&lt;0.25</v>
      </c>
      <c r="BY44" s="635"/>
      <c r="BZ44" s="666" t="str">
        <f t="shared" si="18"/>
        <v>FL 15-30</v>
      </c>
    </row>
    <row r="45" spans="1:78">
      <c r="A45" s="616" t="s">
        <v>1301</v>
      </c>
      <c r="B45" s="617"/>
      <c r="C45" s="651">
        <v>45838</v>
      </c>
      <c r="D45" s="619" t="s">
        <v>1057</v>
      </c>
      <c r="E45" s="616" t="s">
        <v>1315</v>
      </c>
      <c r="F45" s="620" t="s">
        <v>1327</v>
      </c>
      <c r="G45" s="621" t="s">
        <v>1061</v>
      </c>
      <c r="H45" s="622">
        <v>17282079.379999999</v>
      </c>
      <c r="I45" s="522"/>
      <c r="J45" s="621" t="s">
        <v>90</v>
      </c>
      <c r="K45" s="621" t="s">
        <v>1062</v>
      </c>
      <c r="L45" s="623" t="s">
        <v>322</v>
      </c>
      <c r="M45" s="623" t="s">
        <v>1064</v>
      </c>
      <c r="N45" s="624">
        <v>9.5476000000000005E-2</v>
      </c>
      <c r="O45" s="625" t="s">
        <v>225</v>
      </c>
      <c r="P45" s="624">
        <v>0.01</v>
      </c>
      <c r="Q45" s="624">
        <v>5.2499999999999998E-2</v>
      </c>
      <c r="R45" s="623">
        <v>3</v>
      </c>
      <c r="S45" s="522"/>
      <c r="T45" s="624" t="s">
        <v>1065</v>
      </c>
      <c r="U45" s="621">
        <v>0.6333333333333333</v>
      </c>
      <c r="V45" s="653">
        <v>47289</v>
      </c>
      <c r="W45" s="621" t="s">
        <v>1066</v>
      </c>
      <c r="X45" s="627">
        <v>100</v>
      </c>
      <c r="Y45" s="523"/>
      <c r="Z45" s="628"/>
      <c r="AA45" s="628"/>
      <c r="AB45" s="629">
        <v>17.413030005419301</v>
      </c>
      <c r="AC45" s="524">
        <v>2.5001806364717964</v>
      </c>
      <c r="AD45" s="524">
        <v>3.3033462758115371</v>
      </c>
      <c r="AE45" s="524"/>
      <c r="AF45" s="652">
        <v>3.3033462758115371</v>
      </c>
      <c r="AG45" s="653">
        <v>45777</v>
      </c>
      <c r="AH45" s="621"/>
      <c r="AI45" s="652">
        <v>3.4240511341903401</v>
      </c>
      <c r="AJ45" s="652">
        <v>19.015552294818701</v>
      </c>
      <c r="AK45" s="524">
        <v>-9.9345751820325567E-2</v>
      </c>
      <c r="AL45" s="524"/>
      <c r="AM45" s="652">
        <f>VLOOKUP($A45, [1]BB!$C$1:$K$73, 8, FALSE)</f>
        <v>3.4240511341903401</v>
      </c>
      <c r="AN45" s="652">
        <v>-9.9345751820325567E-2</v>
      </c>
      <c r="AO45" s="652">
        <f>VLOOKUP($A45, [1]BB!$C$1:$K$73, 9, FALSE)</f>
        <v>2.521770782934464</v>
      </c>
      <c r="AP45" s="652">
        <f t="shared" si="0"/>
        <v>-2.1590146462667548E-2</v>
      </c>
      <c r="AQ45" s="657"/>
      <c r="AR45" s="657"/>
      <c r="AS45" s="623" t="s">
        <v>1189</v>
      </c>
      <c r="AT45" s="658" t="s">
        <v>122</v>
      </c>
      <c r="AU45" s="623" t="s">
        <v>122</v>
      </c>
      <c r="AV45" s="632"/>
      <c r="AW45" s="619" t="s">
        <v>38</v>
      </c>
      <c r="AX45" s="633">
        <v>17282079.379999999</v>
      </c>
      <c r="AY45" s="633">
        <v>0</v>
      </c>
      <c r="AZ45" s="633">
        <f t="shared" si="19"/>
        <v>17282079.379999999</v>
      </c>
      <c r="BA45" s="633"/>
      <c r="BB45" s="629" t="s">
        <v>1067</v>
      </c>
      <c r="BC45" s="654" t="s">
        <v>1190</v>
      </c>
      <c r="BD45" s="660">
        <v>100</v>
      </c>
      <c r="BE45" s="666">
        <f t="shared" si="20"/>
        <v>0</v>
      </c>
      <c r="BF45" s="666">
        <f t="shared" si="21"/>
        <v>0</v>
      </c>
      <c r="BG45" s="666">
        <f t="shared" si="22"/>
        <v>0</v>
      </c>
      <c r="BH45" s="666">
        <f t="shared" si="23"/>
        <v>0</v>
      </c>
      <c r="BI45" s="666">
        <f t="shared" si="24"/>
        <v>0</v>
      </c>
      <c r="BJ45" s="666">
        <f t="shared" si="25"/>
        <v>0</v>
      </c>
      <c r="BK45" s="666">
        <f t="shared" si="26"/>
        <v>0</v>
      </c>
      <c r="BL45" s="666">
        <f t="shared" si="27"/>
        <v>0</v>
      </c>
      <c r="BM45" s="666">
        <f t="shared" si="28"/>
        <v>0</v>
      </c>
      <c r="BN45" s="666">
        <f t="shared" si="29"/>
        <v>0</v>
      </c>
      <c r="BO45" s="666">
        <f t="shared" si="30"/>
        <v>0</v>
      </c>
      <c r="BP45" s="666">
        <f t="shared" si="31"/>
        <v>0</v>
      </c>
      <c r="BQ45" s="636">
        <f t="shared" si="13"/>
        <v>17282079.379999999</v>
      </c>
      <c r="BR45" s="637">
        <v>100</v>
      </c>
      <c r="BS45" s="638">
        <f t="shared" si="14"/>
        <v>17282079.379999999</v>
      </c>
      <c r="BT45" s="639"/>
      <c r="BU45" s="633">
        <f t="shared" si="15"/>
        <v>17282079.379999999</v>
      </c>
      <c r="BV45" s="639">
        <v>0</v>
      </c>
      <c r="BW45" s="666" t="str">
        <f t="shared" si="16"/>
        <v>15-30</v>
      </c>
      <c r="BX45" s="666" t="str">
        <f t="shared" si="17"/>
        <v>&lt;0.25</v>
      </c>
      <c r="BY45" s="635"/>
      <c r="BZ45" s="666" t="str">
        <f t="shared" si="18"/>
        <v>FL 15-30</v>
      </c>
    </row>
    <row r="46" spans="1:78">
      <c r="A46" s="616" t="s">
        <v>1302</v>
      </c>
      <c r="B46" s="617"/>
      <c r="C46" s="651">
        <v>45838</v>
      </c>
      <c r="D46" s="619" t="s">
        <v>1057</v>
      </c>
      <c r="E46" s="616" t="s">
        <v>1282</v>
      </c>
      <c r="F46" s="620" t="s">
        <v>1288</v>
      </c>
      <c r="G46" s="621" t="s">
        <v>1061</v>
      </c>
      <c r="H46" s="622">
        <v>1429975.79</v>
      </c>
      <c r="I46" s="525"/>
      <c r="J46" s="621" t="s">
        <v>90</v>
      </c>
      <c r="K46" s="621" t="s">
        <v>1062</v>
      </c>
      <c r="L46" s="623" t="s">
        <v>319</v>
      </c>
      <c r="M46" s="623" t="s">
        <v>1064</v>
      </c>
      <c r="N46" s="624">
        <v>0.12678500000000001</v>
      </c>
      <c r="O46" s="625" t="s">
        <v>225</v>
      </c>
      <c r="P46" s="624">
        <v>0.01</v>
      </c>
      <c r="Q46" s="624">
        <v>8.3500000000000005E-2</v>
      </c>
      <c r="R46" s="623">
        <v>3</v>
      </c>
      <c r="S46" s="522"/>
      <c r="T46" s="624" t="s">
        <v>1065</v>
      </c>
      <c r="U46" s="621">
        <v>4.427777777777778</v>
      </c>
      <c r="V46" s="653">
        <v>47395</v>
      </c>
      <c r="W46" s="621" t="s">
        <v>1066</v>
      </c>
      <c r="X46" s="627">
        <v>92.546599999999998</v>
      </c>
      <c r="Y46" s="523" t="s">
        <v>1105</v>
      </c>
      <c r="Z46" s="628"/>
      <c r="AA46" s="628"/>
      <c r="AB46" s="629">
        <v>59.575000000000003</v>
      </c>
      <c r="AC46" s="524">
        <v>0.50393334461174089</v>
      </c>
      <c r="AD46" s="524">
        <v>14.733233067226173</v>
      </c>
      <c r="AE46" s="524"/>
      <c r="AF46" s="652">
        <v>14.733233067226173</v>
      </c>
      <c r="AG46" s="653">
        <v>45747</v>
      </c>
      <c r="AH46" s="621"/>
      <c r="AI46" s="652">
        <v>-102.26243305279267</v>
      </c>
      <c r="AJ46" s="652">
        <v>-9.1489999999999991</v>
      </c>
      <c r="AK46" s="524">
        <v>-150.41449738606894</v>
      </c>
      <c r="AL46" s="524"/>
      <c r="AM46" s="652">
        <f>VLOOKUP($A46, [1]BB!$C$1:$K$73, 8, FALSE)</f>
        <v>-102.26243305279267</v>
      </c>
      <c r="AN46" s="652">
        <v>-150.41449738606894</v>
      </c>
      <c r="AO46" s="652">
        <f>VLOOKUP($A46, [1]BB!$C$1:$K$73, 9, FALSE)</f>
        <v>-7.6520968200598852E-2</v>
      </c>
      <c r="AP46" s="652">
        <f t="shared" si="0"/>
        <v>0.58045431281233972</v>
      </c>
      <c r="AQ46" s="657"/>
      <c r="AR46" s="657"/>
      <c r="AS46" s="623" t="s">
        <v>1189</v>
      </c>
      <c r="AT46" s="658" t="s">
        <v>122</v>
      </c>
      <c r="AU46" s="623" t="s">
        <v>122</v>
      </c>
      <c r="AV46" s="632"/>
      <c r="AW46" s="619" t="s">
        <v>38</v>
      </c>
      <c r="AX46" s="633">
        <v>1421103.76</v>
      </c>
      <c r="AY46" s="633">
        <v>42940.93</v>
      </c>
      <c r="AZ46" s="633">
        <f t="shared" si="19"/>
        <v>1378162.83</v>
      </c>
      <c r="BA46" s="633"/>
      <c r="BB46" s="629" t="s">
        <v>1067</v>
      </c>
      <c r="BC46" s="654" t="s">
        <v>1067</v>
      </c>
      <c r="BD46" s="661">
        <v>0</v>
      </c>
      <c r="BE46" s="666">
        <f t="shared" si="20"/>
        <v>0</v>
      </c>
      <c r="BF46" s="666">
        <f t="shared" si="21"/>
        <v>0</v>
      </c>
      <c r="BG46" s="666">
        <f t="shared" si="22"/>
        <v>0</v>
      </c>
      <c r="BH46" s="666">
        <f t="shared" si="23"/>
        <v>0</v>
      </c>
      <c r="BI46" s="666">
        <f t="shared" si="24"/>
        <v>0</v>
      </c>
      <c r="BJ46" s="666">
        <f t="shared" si="25"/>
        <v>1</v>
      </c>
      <c r="BK46" s="666">
        <f t="shared" si="26"/>
        <v>1</v>
      </c>
      <c r="BL46" s="666">
        <f t="shared" si="27"/>
        <v>0</v>
      </c>
      <c r="BM46" s="666">
        <f t="shared" si="28"/>
        <v>0</v>
      </c>
      <c r="BN46" s="666">
        <f t="shared" si="29"/>
        <v>0</v>
      </c>
      <c r="BO46" s="666">
        <f t="shared" si="30"/>
        <v>0</v>
      </c>
      <c r="BP46" s="666">
        <f t="shared" si="31"/>
        <v>0</v>
      </c>
      <c r="BQ46" s="636">
        <f t="shared" si="13"/>
        <v>1429975.79</v>
      </c>
      <c r="BR46" s="637">
        <v>0</v>
      </c>
      <c r="BS46" s="638">
        <f t="shared" si="14"/>
        <v>0</v>
      </c>
      <c r="BT46" s="639"/>
      <c r="BU46" s="633">
        <f t="shared" si="15"/>
        <v>0</v>
      </c>
      <c r="BV46" s="639">
        <v>0</v>
      </c>
      <c r="BW46" s="666" t="str">
        <f t="shared" si="16"/>
        <v>15-</v>
      </c>
      <c r="BX46" s="666" t="str">
        <f t="shared" si="17"/>
        <v>&lt;0.25</v>
      </c>
      <c r="BY46" s="635"/>
      <c r="BZ46" s="666" t="str">
        <f t="shared" si="18"/>
        <v>FL 15-</v>
      </c>
    </row>
    <row r="47" spans="1:78">
      <c r="A47" s="616" t="s">
        <v>1275</v>
      </c>
      <c r="B47" s="617"/>
      <c r="C47" s="651">
        <v>45838</v>
      </c>
      <c r="D47" s="619" t="s">
        <v>1057</v>
      </c>
      <c r="E47" s="616" t="s">
        <v>1103</v>
      </c>
      <c r="F47" s="620" t="s">
        <v>1104</v>
      </c>
      <c r="G47" s="621" t="s">
        <v>1061</v>
      </c>
      <c r="H47" s="622">
        <v>1576230.82</v>
      </c>
      <c r="I47" s="525"/>
      <c r="J47" s="621" t="s">
        <v>90</v>
      </c>
      <c r="K47" s="621" t="s">
        <v>1062</v>
      </c>
      <c r="L47" s="623" t="s">
        <v>183</v>
      </c>
      <c r="M47" s="623" t="s">
        <v>1064</v>
      </c>
      <c r="N47" s="624">
        <v>9.5860000000000001E-2</v>
      </c>
      <c r="O47" s="625" t="s">
        <v>225</v>
      </c>
      <c r="P47" s="624">
        <v>0.01</v>
      </c>
      <c r="Q47" s="624">
        <v>5.2600000000000001E-2</v>
      </c>
      <c r="R47" s="623">
        <v>3</v>
      </c>
      <c r="S47" s="522"/>
      <c r="T47" s="624" t="s">
        <v>1065</v>
      </c>
      <c r="U47" s="621">
        <v>3.2083333333333335</v>
      </c>
      <c r="V47" s="653">
        <v>46949</v>
      </c>
      <c r="W47" s="621" t="s">
        <v>1066</v>
      </c>
      <c r="X47" s="627">
        <v>100</v>
      </c>
      <c r="Y47" s="523"/>
      <c r="Z47" s="628"/>
      <c r="AA47" s="628"/>
      <c r="AB47" s="646">
        <v>203</v>
      </c>
      <c r="AC47" s="528">
        <v>2.8116343490304709</v>
      </c>
      <c r="AD47" s="528">
        <v>3.3596059113300494</v>
      </c>
      <c r="AE47" s="528"/>
      <c r="AF47" s="652">
        <v>4.5911330049261085</v>
      </c>
      <c r="AG47" s="653">
        <v>45747</v>
      </c>
      <c r="AH47" s="621"/>
      <c r="AI47" s="652">
        <v>4.8901320652934004</v>
      </c>
      <c r="AJ47" s="652">
        <v>150.15299999999999</v>
      </c>
      <c r="AK47" s="524">
        <v>-1.0975184434447738</v>
      </c>
      <c r="AL47" s="524"/>
      <c r="AM47" s="652">
        <f>VLOOKUP($A47, [1]BB!$C$1:$K$73, 8, FALSE)</f>
        <v>4.8901320652934004</v>
      </c>
      <c r="AN47" s="652">
        <v>0.13400865015128538</v>
      </c>
      <c r="AO47" s="652">
        <f>VLOOKUP($A47, [1]BB!$C$1:$K$73, 9, FALSE)</f>
        <v>1.4486820778017906</v>
      </c>
      <c r="AP47" s="652">
        <f t="shared" si="0"/>
        <v>1.3629522712286803</v>
      </c>
      <c r="AQ47" s="657"/>
      <c r="AR47" s="657"/>
      <c r="AS47" s="623" t="s">
        <v>87</v>
      </c>
      <c r="AT47" s="658" t="s">
        <v>231</v>
      </c>
      <c r="AU47" s="623" t="s">
        <v>122</v>
      </c>
      <c r="AV47" s="632"/>
      <c r="AW47" s="619" t="s">
        <v>38</v>
      </c>
      <c r="AX47" s="633">
        <v>1580211.2</v>
      </c>
      <c r="AY47" s="633">
        <v>0</v>
      </c>
      <c r="AZ47" s="633">
        <f t="shared" si="19"/>
        <v>1580211.2</v>
      </c>
      <c r="BA47" s="633"/>
      <c r="BB47" s="629" t="s">
        <v>1067</v>
      </c>
      <c r="BC47" s="654" t="s">
        <v>1190</v>
      </c>
      <c r="BD47" s="660">
        <v>100</v>
      </c>
      <c r="BE47" s="666">
        <f t="shared" si="20"/>
        <v>0</v>
      </c>
      <c r="BF47" s="666">
        <f t="shared" si="21"/>
        <v>0</v>
      </c>
      <c r="BG47" s="666">
        <f t="shared" si="22"/>
        <v>0</v>
      </c>
      <c r="BH47" s="666">
        <f t="shared" si="23"/>
        <v>0</v>
      </c>
      <c r="BI47" s="666">
        <f t="shared" si="24"/>
        <v>0</v>
      </c>
      <c r="BJ47" s="666">
        <f t="shared" si="25"/>
        <v>0</v>
      </c>
      <c r="BK47" s="666">
        <f t="shared" si="26"/>
        <v>0</v>
      </c>
      <c r="BL47" s="666">
        <f t="shared" si="27"/>
        <v>0</v>
      </c>
      <c r="BM47" s="666">
        <f t="shared" si="28"/>
        <v>1</v>
      </c>
      <c r="BN47" s="666">
        <f t="shared" si="29"/>
        <v>0</v>
      </c>
      <c r="BO47" s="666">
        <f t="shared" si="30"/>
        <v>0</v>
      </c>
      <c r="BP47" s="666">
        <f t="shared" si="31"/>
        <v>0</v>
      </c>
      <c r="BQ47" s="636">
        <f t="shared" si="13"/>
        <v>1576230.82</v>
      </c>
      <c r="BR47" s="637">
        <v>100</v>
      </c>
      <c r="BS47" s="638">
        <f t="shared" si="14"/>
        <v>1580211.2</v>
      </c>
      <c r="BT47" s="639"/>
      <c r="BU47" s="633">
        <f t="shared" si="15"/>
        <v>1580211.2</v>
      </c>
      <c r="BV47" s="639">
        <v>0</v>
      </c>
      <c r="BW47" s="666" t="str">
        <f t="shared" si="16"/>
        <v>30+</v>
      </c>
      <c r="BX47" s="666" t="str">
        <f t="shared" si="17"/>
        <v>&lt;0.25</v>
      </c>
      <c r="BY47" s="635"/>
      <c r="BZ47" s="666" t="str">
        <f t="shared" si="18"/>
        <v>FL 30+</v>
      </c>
    </row>
    <row r="48" spans="1:78">
      <c r="A48" s="616" t="s">
        <v>1276</v>
      </c>
      <c r="B48" s="617"/>
      <c r="C48" s="651">
        <v>45838</v>
      </c>
      <c r="D48" s="619" t="s">
        <v>1057</v>
      </c>
      <c r="E48" s="616" t="s">
        <v>1103</v>
      </c>
      <c r="F48" s="620" t="s">
        <v>1106</v>
      </c>
      <c r="G48" s="621" t="s">
        <v>1061</v>
      </c>
      <c r="H48" s="622">
        <v>5725814.4500000002</v>
      </c>
      <c r="I48" s="522"/>
      <c r="J48" s="621" t="s">
        <v>90</v>
      </c>
      <c r="K48" s="621" t="s">
        <v>1363</v>
      </c>
      <c r="L48" s="623" t="s">
        <v>183</v>
      </c>
      <c r="M48" s="623" t="s">
        <v>1064</v>
      </c>
      <c r="N48" s="624">
        <v>0.10086000000000001</v>
      </c>
      <c r="O48" s="625" t="s">
        <v>225</v>
      </c>
      <c r="P48" s="624">
        <v>0.01</v>
      </c>
      <c r="Q48" s="624">
        <v>5.7599999999999998E-2</v>
      </c>
      <c r="R48" s="623">
        <v>3</v>
      </c>
      <c r="S48" s="522"/>
      <c r="T48" s="624" t="s">
        <v>1065</v>
      </c>
      <c r="U48" s="621">
        <v>3.4583333333333335</v>
      </c>
      <c r="V48" s="653">
        <v>47041</v>
      </c>
      <c r="W48" s="621" t="s">
        <v>1066</v>
      </c>
      <c r="X48" s="627">
        <v>100</v>
      </c>
      <c r="Y48" s="523"/>
      <c r="Z48" s="628"/>
      <c r="AA48" s="628"/>
      <c r="AB48" s="629">
        <v>203</v>
      </c>
      <c r="AC48" s="524">
        <v>2.8116343490304709</v>
      </c>
      <c r="AD48" s="524">
        <v>3.3596059113300494</v>
      </c>
      <c r="AE48" s="524"/>
      <c r="AF48" s="652">
        <v>4.5911330049261085</v>
      </c>
      <c r="AG48" s="653">
        <v>45747</v>
      </c>
      <c r="AH48" s="621"/>
      <c r="AI48" s="652">
        <v>4.8901320652934004</v>
      </c>
      <c r="AJ48" s="652">
        <v>150.15299999999999</v>
      </c>
      <c r="AK48" s="524">
        <v>-1.0975184434447738</v>
      </c>
      <c r="AL48" s="524"/>
      <c r="AM48" s="652">
        <f>VLOOKUP($A48, [1]BB!$C$1:$K$73, 8, FALSE)</f>
        <v>4.8901320652934004</v>
      </c>
      <c r="AN48" s="652">
        <v>0.13400865015128538</v>
      </c>
      <c r="AO48" s="652">
        <f>VLOOKUP($A48, [1]BB!$C$1:$K$73, 9, FALSE)</f>
        <v>1.4486820778017906</v>
      </c>
      <c r="AP48" s="652">
        <f t="shared" si="0"/>
        <v>1.3629522712286803</v>
      </c>
      <c r="AQ48" s="657"/>
      <c r="AR48" s="657"/>
      <c r="AS48" s="623" t="s">
        <v>87</v>
      </c>
      <c r="AT48" s="658" t="s">
        <v>231</v>
      </c>
      <c r="AU48" s="623" t="s">
        <v>122</v>
      </c>
      <c r="AV48" s="632"/>
      <c r="AW48" s="619" t="s">
        <v>38</v>
      </c>
      <c r="AX48" s="633">
        <v>5740273.5599999996</v>
      </c>
      <c r="AY48" s="633">
        <v>0</v>
      </c>
      <c r="AZ48" s="633">
        <f t="shared" si="19"/>
        <v>5740273.5599999996</v>
      </c>
      <c r="BA48" s="633"/>
      <c r="BB48" s="629" t="s">
        <v>1067</v>
      </c>
      <c r="BC48" s="654" t="s">
        <v>1190</v>
      </c>
      <c r="BD48" s="661">
        <v>92.4</v>
      </c>
      <c r="BE48" s="666">
        <f t="shared" si="20"/>
        <v>1</v>
      </c>
      <c r="BF48" s="666">
        <f t="shared" si="21"/>
        <v>0</v>
      </c>
      <c r="BG48" s="666">
        <f t="shared" si="22"/>
        <v>0</v>
      </c>
      <c r="BH48" s="666">
        <f t="shared" si="23"/>
        <v>0</v>
      </c>
      <c r="BI48" s="666">
        <f t="shared" si="24"/>
        <v>0</v>
      </c>
      <c r="BJ48" s="666">
        <f t="shared" si="25"/>
        <v>0</v>
      </c>
      <c r="BK48" s="666">
        <f t="shared" si="26"/>
        <v>0</v>
      </c>
      <c r="BL48" s="666">
        <f t="shared" si="27"/>
        <v>0</v>
      </c>
      <c r="BM48" s="666">
        <f t="shared" si="28"/>
        <v>1</v>
      </c>
      <c r="BN48" s="666">
        <f t="shared" si="29"/>
        <v>0</v>
      </c>
      <c r="BO48" s="666">
        <f t="shared" si="30"/>
        <v>0</v>
      </c>
      <c r="BP48" s="666">
        <f t="shared" si="31"/>
        <v>0</v>
      </c>
      <c r="BQ48" s="636">
        <f t="shared" si="13"/>
        <v>5725814.4500000002</v>
      </c>
      <c r="BR48" s="637">
        <v>100</v>
      </c>
      <c r="BS48" s="638">
        <f t="shared" si="14"/>
        <v>5740273.5599999996</v>
      </c>
      <c r="BT48" s="639"/>
      <c r="BU48" s="633">
        <f t="shared" si="15"/>
        <v>5740273.5599999996</v>
      </c>
      <c r="BV48" s="639">
        <v>0</v>
      </c>
      <c r="BW48" s="666" t="str">
        <f t="shared" si="16"/>
        <v>30+</v>
      </c>
      <c r="BX48" s="666" t="str">
        <f t="shared" si="17"/>
        <v>&lt;0.25</v>
      </c>
      <c r="BY48" s="635"/>
      <c r="BZ48" s="666" t="str">
        <f>IF(K48="FL",K48&amp;""&amp;BW48,IF(K48="FLLO",IF(OR(BX48="&lt;0.25",BY48="FL"),"FL"&amp;" "&amp;BW48,K48&amp;" "&amp;BX48),K48))</f>
        <v xml:space="preserve">FLLO </v>
      </c>
    </row>
    <row r="49" spans="1:78">
      <c r="A49" s="616" t="s">
        <v>1152</v>
      </c>
      <c r="B49" s="617"/>
      <c r="C49" s="651">
        <v>45838</v>
      </c>
      <c r="D49" s="619" t="s">
        <v>1057</v>
      </c>
      <c r="E49" s="616" t="s">
        <v>1153</v>
      </c>
      <c r="F49" s="620" t="s">
        <v>1154</v>
      </c>
      <c r="G49" s="621" t="s">
        <v>1061</v>
      </c>
      <c r="H49" s="622">
        <v>8862707.1400000006</v>
      </c>
      <c r="I49" s="525"/>
      <c r="J49" s="621" t="s">
        <v>90</v>
      </c>
      <c r="K49" s="621" t="s">
        <v>1062</v>
      </c>
      <c r="L49" s="623" t="s">
        <v>194</v>
      </c>
      <c r="M49" s="623" t="s">
        <v>1064</v>
      </c>
      <c r="N49" s="624">
        <v>0.10049200000000001</v>
      </c>
      <c r="O49" s="625" t="s">
        <v>225</v>
      </c>
      <c r="P49" s="624">
        <v>0.01</v>
      </c>
      <c r="Q49" s="624">
        <v>5.7500000000000002E-2</v>
      </c>
      <c r="R49" s="623">
        <v>3</v>
      </c>
      <c r="S49" s="522"/>
      <c r="T49" s="624" t="s">
        <v>1065</v>
      </c>
      <c r="U49" s="621">
        <v>4.0083333333333337</v>
      </c>
      <c r="V49" s="653">
        <v>47241</v>
      </c>
      <c r="W49" s="621" t="s">
        <v>1066</v>
      </c>
      <c r="X49" s="627">
        <v>100</v>
      </c>
      <c r="Y49" s="523"/>
      <c r="Z49" s="628"/>
      <c r="AA49" s="628"/>
      <c r="AB49" s="629">
        <v>30.58</v>
      </c>
      <c r="AC49" s="524">
        <v>1.75</v>
      </c>
      <c r="AD49" s="524">
        <v>3.92</v>
      </c>
      <c r="AE49" s="524"/>
      <c r="AF49" s="652">
        <v>3.92</v>
      </c>
      <c r="AG49" s="653">
        <v>45777</v>
      </c>
      <c r="AH49" s="655"/>
      <c r="AI49" s="652">
        <v>4.397149361595055</v>
      </c>
      <c r="AJ49" s="652">
        <v>31.900467938418402</v>
      </c>
      <c r="AK49" s="524">
        <v>-0.35833409602720678</v>
      </c>
      <c r="AL49" s="524"/>
      <c r="AM49" s="652">
        <f>VLOOKUP($A49, [1]BB!$C$1:$K$73, 8, FALSE)</f>
        <v>4.397149361595055</v>
      </c>
      <c r="AN49" s="652">
        <v>-0.35833409602720678</v>
      </c>
      <c r="AO49" s="652">
        <f>VLOOKUP($A49, [1]BB!$C$1:$K$73, 9, FALSE)</f>
        <v>1.8625228175866675</v>
      </c>
      <c r="AP49" s="652">
        <f t="shared" si="0"/>
        <v>-0.11252281758666749</v>
      </c>
      <c r="AQ49" s="659"/>
      <c r="AR49" s="659"/>
      <c r="AS49" s="623" t="s">
        <v>1189</v>
      </c>
      <c r="AT49" s="658" t="s">
        <v>122</v>
      </c>
      <c r="AU49" s="623" t="s">
        <v>122</v>
      </c>
      <c r="AV49" s="632"/>
      <c r="AW49" s="619" t="s">
        <v>38</v>
      </c>
      <c r="AX49" s="633">
        <v>8885087.7200000007</v>
      </c>
      <c r="AY49" s="633">
        <v>0</v>
      </c>
      <c r="AZ49" s="633">
        <f t="shared" si="19"/>
        <v>8885087.7200000007</v>
      </c>
      <c r="BA49" s="633"/>
      <c r="BB49" s="629" t="s">
        <v>1067</v>
      </c>
      <c r="BC49" s="654" t="s">
        <v>1067</v>
      </c>
      <c r="BD49" s="660">
        <v>100</v>
      </c>
      <c r="BE49" s="666">
        <f t="shared" si="20"/>
        <v>0</v>
      </c>
      <c r="BF49" s="666">
        <f t="shared" si="21"/>
        <v>0</v>
      </c>
      <c r="BG49" s="666">
        <f t="shared" si="22"/>
        <v>0</v>
      </c>
      <c r="BH49" s="666">
        <f t="shared" si="23"/>
        <v>0</v>
      </c>
      <c r="BI49" s="666">
        <f t="shared" si="24"/>
        <v>0</v>
      </c>
      <c r="BJ49" s="666">
        <f t="shared" si="25"/>
        <v>0</v>
      </c>
      <c r="BK49" s="666">
        <f t="shared" si="26"/>
        <v>0</v>
      </c>
      <c r="BL49" s="666">
        <f t="shared" si="27"/>
        <v>0</v>
      </c>
      <c r="BM49" s="666">
        <f t="shared" si="28"/>
        <v>0</v>
      </c>
      <c r="BN49" s="666">
        <f t="shared" si="29"/>
        <v>0</v>
      </c>
      <c r="BO49" s="666">
        <f t="shared" si="30"/>
        <v>0</v>
      </c>
      <c r="BP49" s="666">
        <f t="shared" si="31"/>
        <v>0</v>
      </c>
      <c r="BQ49" s="636">
        <f t="shared" si="13"/>
        <v>8862707.1400000006</v>
      </c>
      <c r="BR49" s="637">
        <v>100</v>
      </c>
      <c r="BS49" s="638">
        <f t="shared" si="14"/>
        <v>8885087.7200000007</v>
      </c>
      <c r="BT49" s="639"/>
      <c r="BU49" s="633">
        <f t="shared" si="15"/>
        <v>8885087.7200000007</v>
      </c>
      <c r="BV49" s="639">
        <v>0</v>
      </c>
      <c r="BW49" s="666" t="str">
        <f t="shared" si="16"/>
        <v>30+</v>
      </c>
      <c r="BX49" s="666" t="str">
        <f t="shared" si="17"/>
        <v>&lt;0.25</v>
      </c>
      <c r="BY49" s="635"/>
      <c r="BZ49" s="666" t="str">
        <f t="shared" si="18"/>
        <v>FL 30+</v>
      </c>
    </row>
    <row r="50" spans="1:78">
      <c r="A50" s="616" t="s">
        <v>1303</v>
      </c>
      <c r="B50" s="617"/>
      <c r="C50" s="651">
        <v>45838</v>
      </c>
      <c r="D50" s="619" t="s">
        <v>1057</v>
      </c>
      <c r="E50" s="616" t="s">
        <v>1071</v>
      </c>
      <c r="F50" s="620" t="s">
        <v>1072</v>
      </c>
      <c r="G50" s="621" t="s">
        <v>1061</v>
      </c>
      <c r="H50" s="622">
        <v>790000</v>
      </c>
      <c r="I50" s="522"/>
      <c r="J50" s="621" t="s">
        <v>90</v>
      </c>
      <c r="K50" s="621" t="s">
        <v>1062</v>
      </c>
      <c r="L50" s="623" t="s">
        <v>232</v>
      </c>
      <c r="M50" s="623" t="s">
        <v>1064</v>
      </c>
      <c r="N50" s="624">
        <v>9.5491999999999994E-2</v>
      </c>
      <c r="O50" s="625" t="s">
        <v>225</v>
      </c>
      <c r="P50" s="624">
        <v>0.01</v>
      </c>
      <c r="Q50" s="624">
        <v>5.2499999999999998E-2</v>
      </c>
      <c r="R50" s="623">
        <v>3</v>
      </c>
      <c r="S50" s="522"/>
      <c r="T50" s="624" t="s">
        <v>1065</v>
      </c>
      <c r="U50" s="621">
        <v>5.5027777777777782</v>
      </c>
      <c r="V50" s="653">
        <v>47788</v>
      </c>
      <c r="W50" s="621" t="s">
        <v>1066</v>
      </c>
      <c r="X50" s="627">
        <v>100</v>
      </c>
      <c r="Y50" s="523"/>
      <c r="Z50" s="628"/>
      <c r="AA50" s="628"/>
      <c r="AB50" s="629">
        <v>35.32387358650945</v>
      </c>
      <c r="AC50" s="524">
        <v>6.5855168255177441</v>
      </c>
      <c r="AD50" s="524">
        <v>2.073567133871002</v>
      </c>
      <c r="AE50" s="524"/>
      <c r="AF50" s="652">
        <v>2.073567133871002</v>
      </c>
      <c r="AG50" s="653">
        <v>45747</v>
      </c>
      <c r="AH50" s="621"/>
      <c r="AI50" s="652">
        <v>2.8124517765395987</v>
      </c>
      <c r="AJ50" s="652">
        <v>89.497414000000006</v>
      </c>
      <c r="AK50" s="524">
        <v>-1.3798722311256495</v>
      </c>
      <c r="AL50" s="524"/>
      <c r="AM50" s="652">
        <f>VLOOKUP($A50, [1]BB!$C$1:$K$73, 8, FALSE)</f>
        <v>2.8124517765395987</v>
      </c>
      <c r="AN50" s="652">
        <v>-1.3798722311256495</v>
      </c>
      <c r="AO50" s="652">
        <f>VLOOKUP($A50, [1]BB!$C$1:$K$73, 9, FALSE)</f>
        <v>3.2544514181818185</v>
      </c>
      <c r="AP50" s="652">
        <f t="shared" si="0"/>
        <v>3.3310654073359256</v>
      </c>
      <c r="AQ50" s="657"/>
      <c r="AR50" s="657"/>
      <c r="AS50" s="623" t="s">
        <v>1189</v>
      </c>
      <c r="AT50" s="658" t="s">
        <v>122</v>
      </c>
      <c r="AU50" s="623" t="s">
        <v>122</v>
      </c>
      <c r="AV50" s="632"/>
      <c r="AW50" s="619" t="s">
        <v>38</v>
      </c>
      <c r="AX50" s="633">
        <v>795000</v>
      </c>
      <c r="AY50" s="633">
        <v>0</v>
      </c>
      <c r="AZ50" s="633">
        <f t="shared" si="19"/>
        <v>795000</v>
      </c>
      <c r="BA50" s="633"/>
      <c r="BB50" s="629" t="s">
        <v>1067</v>
      </c>
      <c r="BC50" s="654" t="s">
        <v>1067</v>
      </c>
      <c r="BD50" s="660">
        <v>100</v>
      </c>
      <c r="BE50" s="666">
        <f t="shared" si="20"/>
        <v>0</v>
      </c>
      <c r="BF50" s="666">
        <f t="shared" si="21"/>
        <v>0</v>
      </c>
      <c r="BG50" s="666">
        <f t="shared" si="22"/>
        <v>0</v>
      </c>
      <c r="BH50" s="666">
        <f t="shared" si="23"/>
        <v>0</v>
      </c>
      <c r="BI50" s="666">
        <f t="shared" si="24"/>
        <v>0</v>
      </c>
      <c r="BJ50" s="666">
        <f t="shared" si="25"/>
        <v>0</v>
      </c>
      <c r="BK50" s="666">
        <f t="shared" si="26"/>
        <v>0</v>
      </c>
      <c r="BL50" s="666">
        <f t="shared" si="27"/>
        <v>0</v>
      </c>
      <c r="BM50" s="666">
        <f t="shared" si="28"/>
        <v>0</v>
      </c>
      <c r="BN50" s="666">
        <f t="shared" si="29"/>
        <v>0</v>
      </c>
      <c r="BO50" s="666">
        <f t="shared" si="30"/>
        <v>0</v>
      </c>
      <c r="BP50" s="666">
        <f t="shared" si="31"/>
        <v>0</v>
      </c>
      <c r="BQ50" s="636">
        <f t="shared" si="13"/>
        <v>790000</v>
      </c>
      <c r="BR50" s="637">
        <v>100</v>
      </c>
      <c r="BS50" s="638">
        <f t="shared" si="14"/>
        <v>795000</v>
      </c>
      <c r="BT50" s="639"/>
      <c r="BU50" s="633">
        <f t="shared" si="15"/>
        <v>795000</v>
      </c>
      <c r="BV50" s="639">
        <v>0</v>
      </c>
      <c r="BW50" s="666" t="str">
        <f t="shared" si="16"/>
        <v>30+</v>
      </c>
      <c r="BX50" s="666" t="str">
        <f t="shared" si="17"/>
        <v>&lt;0.25</v>
      </c>
      <c r="BY50" s="635"/>
      <c r="BZ50" s="666" t="str">
        <f t="shared" si="18"/>
        <v>FL 30+</v>
      </c>
    </row>
    <row r="51" spans="1:78">
      <c r="A51" s="616" t="s">
        <v>1330</v>
      </c>
      <c r="B51" s="617"/>
      <c r="C51" s="651">
        <v>45838</v>
      </c>
      <c r="D51" s="619" t="s">
        <v>1057</v>
      </c>
      <c r="E51" s="616" t="s">
        <v>1332</v>
      </c>
      <c r="F51" s="620" t="s">
        <v>1331</v>
      </c>
      <c r="G51" s="621" t="s">
        <v>1061</v>
      </c>
      <c r="H51" s="622">
        <v>5970000</v>
      </c>
      <c r="I51" s="522"/>
      <c r="J51" s="621" t="s">
        <v>90</v>
      </c>
      <c r="K51" s="621" t="s">
        <v>1062</v>
      </c>
      <c r="L51" s="623" t="s">
        <v>193</v>
      </c>
      <c r="M51" s="623" t="s">
        <v>1064</v>
      </c>
      <c r="N51" s="624">
        <v>0.105492</v>
      </c>
      <c r="O51" s="625" t="s">
        <v>225</v>
      </c>
      <c r="P51" s="624">
        <v>0.01</v>
      </c>
      <c r="Q51" s="624">
        <v>6.25E-2</v>
      </c>
      <c r="R51" s="623">
        <v>3</v>
      </c>
      <c r="S51" s="522"/>
      <c r="T51" s="624" t="s">
        <v>1065</v>
      </c>
      <c r="U51" s="621">
        <v>5.5</v>
      </c>
      <c r="V51" s="653">
        <v>47787</v>
      </c>
      <c r="W51" s="621" t="s">
        <v>1066</v>
      </c>
      <c r="X51" s="627">
        <v>100</v>
      </c>
      <c r="Y51" s="523"/>
      <c r="Z51" s="628"/>
      <c r="AA51" s="628"/>
      <c r="AB51" s="629">
        <v>22.676727272727273</v>
      </c>
      <c r="AC51" s="524">
        <v>2.1804545454545456</v>
      </c>
      <c r="AD51" s="524">
        <v>3.5376565601898626</v>
      </c>
      <c r="AE51" s="524"/>
      <c r="AF51" s="652">
        <v>3.5376565601898626</v>
      </c>
      <c r="AG51" s="653">
        <v>45808</v>
      </c>
      <c r="AH51" s="621"/>
      <c r="AI51" s="652">
        <v>3.4096996318518475</v>
      </c>
      <c r="AJ51" s="652">
        <v>25.770875000000004</v>
      </c>
      <c r="AK51" s="524">
        <v>0.43613307343942331</v>
      </c>
      <c r="AL51" s="524"/>
      <c r="AM51" s="652">
        <f>VLOOKUP($A51, [1]BB!$C$1:$K$73, 8, FALSE)</f>
        <v>3.4096996318518475</v>
      </c>
      <c r="AN51" s="652">
        <v>0.43613307343942331</v>
      </c>
      <c r="AO51" s="652">
        <f>VLOOKUP($A51, [1]BB!$C$1:$K$73, 9, FALSE)</f>
        <v>5.7508190231616032</v>
      </c>
      <c r="AP51" s="652">
        <f t="shared" si="0"/>
        <v>-3.5703644777070576</v>
      </c>
      <c r="AQ51" s="657"/>
      <c r="AR51" s="657"/>
      <c r="AS51" s="623" t="s">
        <v>1189</v>
      </c>
      <c r="AT51" s="658" t="s">
        <v>122</v>
      </c>
      <c r="AU51" s="623" t="s">
        <v>122</v>
      </c>
      <c r="AV51" s="632"/>
      <c r="AW51" s="619" t="s">
        <v>38</v>
      </c>
      <c r="AX51" s="633">
        <v>5985000</v>
      </c>
      <c r="AY51" s="633">
        <v>0</v>
      </c>
      <c r="AZ51" s="633">
        <f t="shared" si="19"/>
        <v>5985000</v>
      </c>
      <c r="BA51" s="633"/>
      <c r="BB51" s="629" t="s">
        <v>1067</v>
      </c>
      <c r="BC51" s="654" t="s">
        <v>1190</v>
      </c>
      <c r="BD51" s="660">
        <v>100</v>
      </c>
      <c r="BE51" s="666">
        <f t="shared" si="20"/>
        <v>0</v>
      </c>
      <c r="BF51" s="666">
        <f t="shared" si="21"/>
        <v>0</v>
      </c>
      <c r="BG51" s="666">
        <f t="shared" si="22"/>
        <v>0</v>
      </c>
      <c r="BH51" s="666">
        <f t="shared" si="23"/>
        <v>0</v>
      </c>
      <c r="BI51" s="666">
        <f t="shared" si="24"/>
        <v>0</v>
      </c>
      <c r="BJ51" s="666">
        <f t="shared" si="25"/>
        <v>0</v>
      </c>
      <c r="BK51" s="666">
        <f t="shared" si="26"/>
        <v>0</v>
      </c>
      <c r="BL51" s="666">
        <f t="shared" si="27"/>
        <v>0</v>
      </c>
      <c r="BM51" s="666">
        <f t="shared" si="28"/>
        <v>0</v>
      </c>
      <c r="BN51" s="666">
        <f t="shared" si="29"/>
        <v>0</v>
      </c>
      <c r="BO51" s="666">
        <f t="shared" si="30"/>
        <v>0</v>
      </c>
      <c r="BP51" s="666">
        <f t="shared" si="31"/>
        <v>0</v>
      </c>
      <c r="BQ51" s="636">
        <f t="shared" si="13"/>
        <v>5970000</v>
      </c>
      <c r="BR51" s="637">
        <v>100</v>
      </c>
      <c r="BS51" s="638">
        <f t="shared" si="14"/>
        <v>5985000</v>
      </c>
      <c r="BT51" s="639"/>
      <c r="BU51" s="633">
        <f t="shared" si="15"/>
        <v>5985000</v>
      </c>
      <c r="BV51" s="639"/>
      <c r="BW51" s="666" t="str">
        <f t="shared" si="16"/>
        <v>15-30</v>
      </c>
      <c r="BX51" s="666" t="str">
        <f t="shared" si="17"/>
        <v>&lt;0.25</v>
      </c>
      <c r="BY51" s="635"/>
      <c r="BZ51" s="666" t="str">
        <f t="shared" si="18"/>
        <v>FL 15-30</v>
      </c>
    </row>
    <row r="52" spans="1:78">
      <c r="A52" s="616" t="s">
        <v>1155</v>
      </c>
      <c r="B52" s="617"/>
      <c r="C52" s="651">
        <v>45838</v>
      </c>
      <c r="D52" s="619" t="s">
        <v>1057</v>
      </c>
      <c r="E52" s="616" t="s">
        <v>1156</v>
      </c>
      <c r="F52" s="620" t="s">
        <v>1157</v>
      </c>
      <c r="G52" s="621" t="s">
        <v>1061</v>
      </c>
      <c r="H52" s="622">
        <v>606535.84</v>
      </c>
      <c r="I52" s="522"/>
      <c r="J52" s="621" t="s">
        <v>90</v>
      </c>
      <c r="K52" s="621" t="s">
        <v>1062</v>
      </c>
      <c r="L52" s="623" t="s">
        <v>178</v>
      </c>
      <c r="M52" s="623" t="s">
        <v>1064</v>
      </c>
      <c r="N52" s="624">
        <v>0.10449199999999999</v>
      </c>
      <c r="O52" s="625" t="s">
        <v>225</v>
      </c>
      <c r="P52" s="624">
        <v>0</v>
      </c>
      <c r="Q52" s="624">
        <v>6.1499999999999999E-2</v>
      </c>
      <c r="R52" s="623">
        <v>3</v>
      </c>
      <c r="S52" s="522"/>
      <c r="T52" s="624" t="s">
        <v>1065</v>
      </c>
      <c r="U52" s="621">
        <v>4.1194444444444445</v>
      </c>
      <c r="V52" s="653">
        <v>47282</v>
      </c>
      <c r="W52" s="621" t="s">
        <v>1066</v>
      </c>
      <c r="X52" s="627">
        <v>100</v>
      </c>
      <c r="Y52" s="523"/>
      <c r="Z52" s="628"/>
      <c r="AA52" s="628"/>
      <c r="AB52" s="629">
        <v>11.92</v>
      </c>
      <c r="AC52" s="524">
        <v>2.33</v>
      </c>
      <c r="AD52" s="524">
        <v>5.01</v>
      </c>
      <c r="AE52" s="524"/>
      <c r="AF52" s="652">
        <v>5.0100671140939594</v>
      </c>
      <c r="AG52" s="653">
        <v>45777</v>
      </c>
      <c r="AH52" s="621"/>
      <c r="AI52" s="652">
        <v>7.7784061515774372</v>
      </c>
      <c r="AJ52" s="652">
        <v>8.072336</v>
      </c>
      <c r="AK52" s="524">
        <v>-3.0605578974252445</v>
      </c>
      <c r="AL52" s="524"/>
      <c r="AM52" s="652">
        <f>VLOOKUP($A52, [1]BB!$C$1:$K$73, 8, FALSE)</f>
        <v>7.7784061515774372</v>
      </c>
      <c r="AN52" s="652">
        <v>-3.0604907833312849</v>
      </c>
      <c r="AO52" s="652">
        <f>VLOOKUP($A52, [1]BB!$C$1:$K$73, 9, FALSE)</f>
        <v>2.8889999999999998</v>
      </c>
      <c r="AP52" s="652">
        <f t="shared" si="0"/>
        <v>-0.55899999999999972</v>
      </c>
      <c r="AQ52" s="657"/>
      <c r="AR52" s="657"/>
      <c r="AS52" s="623" t="s">
        <v>1189</v>
      </c>
      <c r="AT52" s="658" t="s">
        <v>122</v>
      </c>
      <c r="AU52" s="623" t="s">
        <v>122</v>
      </c>
      <c r="AV52" s="632"/>
      <c r="AW52" s="619" t="s">
        <v>38</v>
      </c>
      <c r="AX52" s="633">
        <v>608095.06000000006</v>
      </c>
      <c r="AY52" s="633">
        <v>0</v>
      </c>
      <c r="AZ52" s="633">
        <f t="shared" si="19"/>
        <v>608095.06000000006</v>
      </c>
      <c r="BA52" s="633"/>
      <c r="BB52" s="629" t="s">
        <v>1067</v>
      </c>
      <c r="BC52" s="654" t="s">
        <v>1067</v>
      </c>
      <c r="BD52" s="661">
        <v>90</v>
      </c>
      <c r="BE52" s="666">
        <f t="shared" si="20"/>
        <v>0</v>
      </c>
      <c r="BF52" s="666">
        <f t="shared" si="21"/>
        <v>0</v>
      </c>
      <c r="BG52" s="666">
        <f t="shared" si="22"/>
        <v>0</v>
      </c>
      <c r="BH52" s="666">
        <f t="shared" si="23"/>
        <v>0</v>
      </c>
      <c r="BI52" s="666">
        <f t="shared" si="24"/>
        <v>0</v>
      </c>
      <c r="BJ52" s="666">
        <f t="shared" si="25"/>
        <v>1</v>
      </c>
      <c r="BK52" s="666">
        <f t="shared" si="26"/>
        <v>1</v>
      </c>
      <c r="BL52" s="666">
        <f t="shared" si="27"/>
        <v>0</v>
      </c>
      <c r="BM52" s="666">
        <f t="shared" si="28"/>
        <v>0</v>
      </c>
      <c r="BN52" s="666">
        <f t="shared" si="29"/>
        <v>1</v>
      </c>
      <c r="BO52" s="666">
        <f t="shared" si="30"/>
        <v>0</v>
      </c>
      <c r="BP52" s="666">
        <f t="shared" si="31"/>
        <v>0</v>
      </c>
      <c r="BQ52" s="636">
        <f t="shared" si="13"/>
        <v>606535.84</v>
      </c>
      <c r="BR52" s="637">
        <v>90</v>
      </c>
      <c r="BS52" s="638">
        <f t="shared" si="14"/>
        <v>547285.554</v>
      </c>
      <c r="BT52" s="639"/>
      <c r="BU52" s="633">
        <f t="shared" si="15"/>
        <v>547285.554</v>
      </c>
      <c r="BV52" s="639">
        <v>0</v>
      </c>
      <c r="BW52" s="666" t="str">
        <f t="shared" si="16"/>
        <v>15-</v>
      </c>
      <c r="BX52" s="666" t="str">
        <f t="shared" si="17"/>
        <v>&lt;0.25</v>
      </c>
      <c r="BY52" s="635"/>
      <c r="BZ52" s="666" t="str">
        <f t="shared" si="18"/>
        <v>FL 15-</v>
      </c>
    </row>
    <row r="53" spans="1:78">
      <c r="A53" s="616" t="s">
        <v>1158</v>
      </c>
      <c r="B53" s="617"/>
      <c r="C53" s="651">
        <v>45838</v>
      </c>
      <c r="D53" s="619" t="s">
        <v>1057</v>
      </c>
      <c r="E53" s="616" t="s">
        <v>1159</v>
      </c>
      <c r="F53" s="620" t="s">
        <v>1160</v>
      </c>
      <c r="G53" s="621" t="s">
        <v>1061</v>
      </c>
      <c r="H53" s="622">
        <v>18161284.460000001</v>
      </c>
      <c r="I53" s="522"/>
      <c r="J53" s="621" t="s">
        <v>90</v>
      </c>
      <c r="K53" s="621" t="s">
        <v>1062</v>
      </c>
      <c r="L53" s="623" t="s">
        <v>193</v>
      </c>
      <c r="M53" s="623" t="s">
        <v>1064</v>
      </c>
      <c r="N53" s="624">
        <v>0.11449200000000001</v>
      </c>
      <c r="O53" s="625" t="s">
        <v>225</v>
      </c>
      <c r="P53" s="624">
        <v>0.01</v>
      </c>
      <c r="Q53" s="624">
        <v>6.9000000000000006E-2</v>
      </c>
      <c r="R53" s="623">
        <v>3</v>
      </c>
      <c r="S53" s="522"/>
      <c r="T53" s="624" t="s">
        <v>1065</v>
      </c>
      <c r="U53" s="621">
        <v>2.6333333333333333</v>
      </c>
      <c r="V53" s="653">
        <v>46739</v>
      </c>
      <c r="W53" s="621" t="s">
        <v>1066</v>
      </c>
      <c r="X53" s="627">
        <v>100</v>
      </c>
      <c r="Y53" s="523"/>
      <c r="Z53" s="628"/>
      <c r="AA53" s="628"/>
      <c r="AB53" s="629">
        <v>19.343557000000001</v>
      </c>
      <c r="AC53" s="524">
        <v>1.0997622130469673</v>
      </c>
      <c r="AD53" s="524">
        <v>4.7935387307515356</v>
      </c>
      <c r="AE53" s="524"/>
      <c r="AF53" s="652">
        <v>7.2698154568986455</v>
      </c>
      <c r="AG53" s="653">
        <v>45808</v>
      </c>
      <c r="AH53" s="621"/>
      <c r="AI53" s="652">
        <v>4.1450098334546892</v>
      </c>
      <c r="AJ53" s="652">
        <v>31.399442999999994</v>
      </c>
      <c r="AK53" s="524">
        <v>0.40414046322233688</v>
      </c>
      <c r="AL53" s="524"/>
      <c r="AM53" s="652">
        <f>VLOOKUP($A53, [1]BB!$C$1:$K$73, 8, FALSE)</f>
        <v>6.1119555528421321</v>
      </c>
      <c r="AN53" s="652">
        <v>0.94096710865885669</v>
      </c>
      <c r="AO53" s="652">
        <f>VLOOKUP($A53, [1]BB!$C$1:$K$73, 9, FALSE)</f>
        <v>1.8190374919546715</v>
      </c>
      <c r="AP53" s="652">
        <f t="shared" si="0"/>
        <v>-0.71927527890770415</v>
      </c>
      <c r="AQ53" s="657"/>
      <c r="AR53" s="657"/>
      <c r="AS53" s="623" t="s">
        <v>1189</v>
      </c>
      <c r="AT53" s="658" t="s">
        <v>122</v>
      </c>
      <c r="AU53" s="623" t="s">
        <v>122</v>
      </c>
      <c r="AV53" s="632"/>
      <c r="AW53" s="619" t="s">
        <v>38</v>
      </c>
      <c r="AX53" s="633">
        <v>18243696.280000001</v>
      </c>
      <c r="AY53" s="633">
        <v>0</v>
      </c>
      <c r="AZ53" s="633">
        <f t="shared" si="19"/>
        <v>18243696.280000001</v>
      </c>
      <c r="BA53" s="633"/>
      <c r="BB53" s="629" t="s">
        <v>1067</v>
      </c>
      <c r="BC53" s="654" t="s">
        <v>1190</v>
      </c>
      <c r="BD53" s="660">
        <v>100</v>
      </c>
      <c r="BE53" s="666">
        <f t="shared" si="20"/>
        <v>0</v>
      </c>
      <c r="BF53" s="666">
        <f t="shared" si="21"/>
        <v>0</v>
      </c>
      <c r="BG53" s="666">
        <f t="shared" si="22"/>
        <v>0</v>
      </c>
      <c r="BH53" s="666">
        <f t="shared" si="23"/>
        <v>0</v>
      </c>
      <c r="BI53" s="666">
        <f t="shared" si="24"/>
        <v>0</v>
      </c>
      <c r="BJ53" s="666">
        <f t="shared" si="25"/>
        <v>0</v>
      </c>
      <c r="BK53" s="666">
        <f t="shared" si="26"/>
        <v>0</v>
      </c>
      <c r="BL53" s="666">
        <f t="shared" si="27"/>
        <v>0</v>
      </c>
      <c r="BM53" s="666">
        <f t="shared" si="28"/>
        <v>0</v>
      </c>
      <c r="BN53" s="666">
        <f t="shared" si="29"/>
        <v>0</v>
      </c>
      <c r="BO53" s="666">
        <f t="shared" si="30"/>
        <v>0</v>
      </c>
      <c r="BP53" s="666">
        <f t="shared" si="31"/>
        <v>0</v>
      </c>
      <c r="BQ53" s="636">
        <f t="shared" si="13"/>
        <v>18161284.460000001</v>
      </c>
      <c r="BR53" s="637">
        <v>100</v>
      </c>
      <c r="BS53" s="638">
        <f t="shared" si="14"/>
        <v>18243696.280000001</v>
      </c>
      <c r="BT53" s="639"/>
      <c r="BU53" s="633">
        <f t="shared" si="15"/>
        <v>18243696.280000001</v>
      </c>
      <c r="BV53" s="639">
        <v>0</v>
      </c>
      <c r="BW53" s="666" t="str">
        <f t="shared" si="16"/>
        <v>30+</v>
      </c>
      <c r="BX53" s="666" t="str">
        <f t="shared" si="17"/>
        <v>&lt;0.25</v>
      </c>
      <c r="BY53" s="635"/>
      <c r="BZ53" s="666" t="str">
        <f t="shared" si="18"/>
        <v>FL 30+</v>
      </c>
    </row>
    <row r="54" spans="1:78">
      <c r="A54" s="616" t="s">
        <v>1161</v>
      </c>
      <c r="B54" s="617"/>
      <c r="C54" s="651">
        <v>45838</v>
      </c>
      <c r="D54" s="619" t="s">
        <v>1057</v>
      </c>
      <c r="E54" s="616" t="s">
        <v>1162</v>
      </c>
      <c r="F54" s="620" t="s">
        <v>1163</v>
      </c>
      <c r="G54" s="621" t="s">
        <v>1061</v>
      </c>
      <c r="H54" s="622">
        <v>1278782.1200000001</v>
      </c>
      <c r="I54" s="522"/>
      <c r="J54" s="621" t="s">
        <v>90</v>
      </c>
      <c r="K54" s="621" t="s">
        <v>1062</v>
      </c>
      <c r="L54" s="623" t="s">
        <v>232</v>
      </c>
      <c r="M54" s="623" t="s">
        <v>1064</v>
      </c>
      <c r="N54" s="624">
        <v>9.2849000000000015E-2</v>
      </c>
      <c r="O54" s="625" t="s">
        <v>225</v>
      </c>
      <c r="P54" s="624">
        <v>0.01</v>
      </c>
      <c r="Q54" s="624">
        <v>0.05</v>
      </c>
      <c r="R54" s="623">
        <v>3</v>
      </c>
      <c r="S54" s="522"/>
      <c r="T54" s="624" t="s">
        <v>1065</v>
      </c>
      <c r="U54" s="621">
        <v>2.2944444444444443</v>
      </c>
      <c r="V54" s="653">
        <v>46615</v>
      </c>
      <c r="W54" s="621" t="s">
        <v>1066</v>
      </c>
      <c r="X54" s="627">
        <v>100</v>
      </c>
      <c r="Y54" s="523"/>
      <c r="Z54" s="628"/>
      <c r="AA54" s="628"/>
      <c r="AB54" s="629">
        <v>39.348866999999998</v>
      </c>
      <c r="AC54" s="524">
        <v>4.8899999999999997</v>
      </c>
      <c r="AD54" s="524">
        <v>5.7423635603027661</v>
      </c>
      <c r="AE54" s="524"/>
      <c r="AF54" s="652">
        <v>5.7423635603027661</v>
      </c>
      <c r="AG54" s="653">
        <v>45747</v>
      </c>
      <c r="AH54" s="655"/>
      <c r="AI54" s="652">
        <v>5.5662560428653824</v>
      </c>
      <c r="AJ54" s="652">
        <v>82.467292999999998</v>
      </c>
      <c r="AK54" s="524">
        <v>0.70538465642960357</v>
      </c>
      <c r="AL54" s="524"/>
      <c r="AM54" s="652">
        <f>VLOOKUP($A54, [1]BB!$C$1:$K$73, 8, FALSE)</f>
        <v>5.5662560428653824</v>
      </c>
      <c r="AN54" s="652">
        <v>0.70538465642960357</v>
      </c>
      <c r="AO54" s="652">
        <f>VLOOKUP($A54, [1]BB!$C$1:$K$73, 9, FALSE)</f>
        <v>4.8899999999999997</v>
      </c>
      <c r="AP54" s="652">
        <f t="shared" si="0"/>
        <v>0</v>
      </c>
      <c r="AQ54" s="659"/>
      <c r="AR54" s="659"/>
      <c r="AS54" s="623" t="s">
        <v>1189</v>
      </c>
      <c r="AT54" s="658" t="s">
        <v>122</v>
      </c>
      <c r="AU54" s="623" t="s">
        <v>122</v>
      </c>
      <c r="AV54" s="632"/>
      <c r="AW54" s="619" t="s">
        <v>38</v>
      </c>
      <c r="AX54" s="633">
        <v>1279276.3400000001</v>
      </c>
      <c r="AY54" s="633">
        <v>0</v>
      </c>
      <c r="AZ54" s="633">
        <f t="shared" si="19"/>
        <v>1279276.3400000001</v>
      </c>
      <c r="BA54" s="633"/>
      <c r="BB54" s="629" t="s">
        <v>1067</v>
      </c>
      <c r="BC54" s="654" t="s">
        <v>1190</v>
      </c>
      <c r="BD54" s="660">
        <v>100</v>
      </c>
      <c r="BE54" s="666">
        <f t="shared" si="20"/>
        <v>0</v>
      </c>
      <c r="BF54" s="666">
        <f t="shared" si="21"/>
        <v>0</v>
      </c>
      <c r="BG54" s="666">
        <f t="shared" si="22"/>
        <v>0</v>
      </c>
      <c r="BH54" s="666">
        <f t="shared" si="23"/>
        <v>0</v>
      </c>
      <c r="BI54" s="666">
        <f t="shared" si="24"/>
        <v>0</v>
      </c>
      <c r="BJ54" s="666">
        <f t="shared" si="25"/>
        <v>0</v>
      </c>
      <c r="BK54" s="666">
        <f t="shared" si="26"/>
        <v>0</v>
      </c>
      <c r="BL54" s="666">
        <f t="shared" si="27"/>
        <v>0</v>
      </c>
      <c r="BM54" s="666">
        <f t="shared" si="28"/>
        <v>0</v>
      </c>
      <c r="BN54" s="666">
        <f t="shared" si="29"/>
        <v>1</v>
      </c>
      <c r="BO54" s="666">
        <f t="shared" si="30"/>
        <v>0</v>
      </c>
      <c r="BP54" s="666">
        <f t="shared" si="31"/>
        <v>0</v>
      </c>
      <c r="BQ54" s="636">
        <f t="shared" si="13"/>
        <v>1278782.1200000001</v>
      </c>
      <c r="BR54" s="637">
        <v>100</v>
      </c>
      <c r="BS54" s="638">
        <f t="shared" si="14"/>
        <v>1279276.3400000001</v>
      </c>
      <c r="BT54" s="639"/>
      <c r="BU54" s="633">
        <f t="shared" si="15"/>
        <v>1279276.3400000001</v>
      </c>
      <c r="BV54" s="639">
        <v>0</v>
      </c>
      <c r="BW54" s="666" t="str">
        <f t="shared" si="16"/>
        <v>30+</v>
      </c>
      <c r="BX54" s="666" t="str">
        <f t="shared" si="17"/>
        <v>&lt;0.25</v>
      </c>
      <c r="BY54" s="635"/>
      <c r="BZ54" s="666" t="str">
        <f t="shared" si="18"/>
        <v>FL 30+</v>
      </c>
    </row>
    <row r="55" spans="1:78">
      <c r="A55" s="616" t="s">
        <v>1164</v>
      </c>
      <c r="B55" s="617"/>
      <c r="C55" s="651">
        <v>45838</v>
      </c>
      <c r="D55" s="619" t="s">
        <v>1057</v>
      </c>
      <c r="E55" s="616" t="s">
        <v>1165</v>
      </c>
      <c r="F55" s="620" t="s">
        <v>1166</v>
      </c>
      <c r="G55" s="621" t="s">
        <v>1061</v>
      </c>
      <c r="H55" s="622">
        <v>995000</v>
      </c>
      <c r="I55" s="522"/>
      <c r="J55" s="621" t="s">
        <v>90</v>
      </c>
      <c r="K55" s="621" t="s">
        <v>1062</v>
      </c>
      <c r="L55" s="623" t="s">
        <v>322</v>
      </c>
      <c r="M55" s="623" t="s">
        <v>1064</v>
      </c>
      <c r="N55" s="624">
        <v>9.5021942694232711E-2</v>
      </c>
      <c r="O55" s="625" t="s">
        <v>225</v>
      </c>
      <c r="P55" s="624">
        <v>0.01</v>
      </c>
      <c r="Q55" s="624">
        <v>5.2499999999999998E-2</v>
      </c>
      <c r="R55" s="623">
        <v>3</v>
      </c>
      <c r="S55" s="522"/>
      <c r="T55" s="624" t="s">
        <v>1065</v>
      </c>
      <c r="U55" s="621">
        <v>3.5666666666666669</v>
      </c>
      <c r="V55" s="653">
        <v>47081</v>
      </c>
      <c r="W55" s="621" t="s">
        <v>1066</v>
      </c>
      <c r="X55" s="627">
        <v>100</v>
      </c>
      <c r="Y55" s="523"/>
      <c r="Z55" s="628"/>
      <c r="AA55" s="628"/>
      <c r="AB55" s="629">
        <v>133.94999999999999</v>
      </c>
      <c r="AC55" s="524">
        <v>1.69</v>
      </c>
      <c r="AD55" s="524">
        <v>3.75</v>
      </c>
      <c r="AE55" s="524"/>
      <c r="AF55" s="652">
        <v>4.6900000000000004</v>
      </c>
      <c r="AG55" s="653">
        <v>45747</v>
      </c>
      <c r="AH55" s="655"/>
      <c r="AI55" s="652">
        <v>3.3042353005665599</v>
      </c>
      <c r="AJ55" s="652">
        <v>255.40100000000001</v>
      </c>
      <c r="AK55" s="524">
        <v>7.0527629930425384E-2</v>
      </c>
      <c r="AL55" s="524"/>
      <c r="AM55" s="652">
        <f>VLOOKUP($A55, [1]BB!$C$1:$K$73, 8, FALSE)</f>
        <v>3.793661731943101</v>
      </c>
      <c r="AN55" s="652">
        <v>0.45517446974880293</v>
      </c>
      <c r="AO55" s="652">
        <f>VLOOKUP($A55, [1]BB!$C$1:$K$73, 9, FALSE)</f>
        <v>2.1270831424740364</v>
      </c>
      <c r="AP55" s="652">
        <f t="shared" si="0"/>
        <v>-0.43708314247403646</v>
      </c>
      <c r="AQ55" s="659"/>
      <c r="AR55" s="659"/>
      <c r="AS55" s="623" t="s">
        <v>87</v>
      </c>
      <c r="AT55" s="658" t="s">
        <v>231</v>
      </c>
      <c r="AU55" s="623" t="s">
        <v>122</v>
      </c>
      <c r="AV55" s="632"/>
      <c r="AW55" s="619" t="s">
        <v>38</v>
      </c>
      <c r="AX55" s="633">
        <v>997500</v>
      </c>
      <c r="AY55" s="633">
        <v>0</v>
      </c>
      <c r="AZ55" s="633">
        <f t="shared" si="19"/>
        <v>997500</v>
      </c>
      <c r="BA55" s="633"/>
      <c r="BB55" s="629" t="s">
        <v>1067</v>
      </c>
      <c r="BC55" s="654" t="s">
        <v>1190</v>
      </c>
      <c r="BD55" s="660">
        <v>100</v>
      </c>
      <c r="BE55" s="666">
        <f t="shared" si="20"/>
        <v>0</v>
      </c>
      <c r="BF55" s="666">
        <f t="shared" si="21"/>
        <v>0</v>
      </c>
      <c r="BG55" s="666">
        <f t="shared" si="22"/>
        <v>0</v>
      </c>
      <c r="BH55" s="666">
        <f t="shared" si="23"/>
        <v>0</v>
      </c>
      <c r="BI55" s="666">
        <f t="shared" si="24"/>
        <v>0</v>
      </c>
      <c r="BJ55" s="666">
        <f t="shared" si="25"/>
        <v>0</v>
      </c>
      <c r="BK55" s="666">
        <f t="shared" si="26"/>
        <v>0</v>
      </c>
      <c r="BL55" s="666">
        <f t="shared" si="27"/>
        <v>0</v>
      </c>
      <c r="BM55" s="666">
        <f t="shared" si="28"/>
        <v>1</v>
      </c>
      <c r="BN55" s="666">
        <f t="shared" si="29"/>
        <v>0</v>
      </c>
      <c r="BO55" s="666">
        <f t="shared" si="30"/>
        <v>0</v>
      </c>
      <c r="BP55" s="666">
        <f t="shared" si="31"/>
        <v>0</v>
      </c>
      <c r="BQ55" s="636">
        <f t="shared" si="13"/>
        <v>995000</v>
      </c>
      <c r="BR55" s="637">
        <v>100</v>
      </c>
      <c r="BS55" s="638">
        <f t="shared" si="14"/>
        <v>997500</v>
      </c>
      <c r="BT55" s="639"/>
      <c r="BU55" s="633">
        <f t="shared" si="15"/>
        <v>997500</v>
      </c>
      <c r="BV55" s="639">
        <v>0</v>
      </c>
      <c r="BW55" s="666" t="str">
        <f t="shared" si="16"/>
        <v>30+</v>
      </c>
      <c r="BX55" s="666" t="str">
        <f t="shared" si="17"/>
        <v>&lt;0.25</v>
      </c>
      <c r="BY55" s="635"/>
      <c r="BZ55" s="666" t="str">
        <f t="shared" si="18"/>
        <v>FL 30+</v>
      </c>
    </row>
    <row r="56" spans="1:78">
      <c r="A56" s="616" t="s">
        <v>1167</v>
      </c>
      <c r="B56" s="617"/>
      <c r="C56" s="651">
        <v>45838</v>
      </c>
      <c r="D56" s="619" t="s">
        <v>1057</v>
      </c>
      <c r="E56" s="616" t="s">
        <v>1168</v>
      </c>
      <c r="F56" s="620" t="s">
        <v>1169</v>
      </c>
      <c r="G56" s="621" t="s">
        <v>1061</v>
      </c>
      <c r="H56" s="622">
        <v>3920226.14</v>
      </c>
      <c r="I56" s="522"/>
      <c r="J56" s="621" t="s">
        <v>90</v>
      </c>
      <c r="K56" s="621" t="s">
        <v>1062</v>
      </c>
      <c r="L56" s="623" t="s">
        <v>197</v>
      </c>
      <c r="M56" s="623" t="s">
        <v>1064</v>
      </c>
      <c r="N56" s="624">
        <v>0.10799200000000002</v>
      </c>
      <c r="O56" s="625" t="s">
        <v>225</v>
      </c>
      <c r="P56" s="624">
        <v>0.01</v>
      </c>
      <c r="Q56" s="624">
        <v>6.5000000000000002E-2</v>
      </c>
      <c r="R56" s="623">
        <v>3</v>
      </c>
      <c r="S56" s="522"/>
      <c r="T56" s="624" t="s">
        <v>1065</v>
      </c>
      <c r="U56" s="621">
        <v>3.7305555555555556</v>
      </c>
      <c r="V56" s="653">
        <v>47141</v>
      </c>
      <c r="W56" s="621" t="s">
        <v>1066</v>
      </c>
      <c r="X56" s="627">
        <v>100</v>
      </c>
      <c r="Y56" s="523"/>
      <c r="Z56" s="628"/>
      <c r="AA56" s="628"/>
      <c r="AB56" s="629">
        <v>18.280303712633785</v>
      </c>
      <c r="AC56" s="524">
        <v>2.5233716322743476</v>
      </c>
      <c r="AD56" s="524">
        <v>3.3181615006800498</v>
      </c>
      <c r="AE56" s="524"/>
      <c r="AF56" s="652">
        <v>3.3181615006800498</v>
      </c>
      <c r="AG56" s="653">
        <v>45808</v>
      </c>
      <c r="AH56" s="655"/>
      <c r="AI56" s="652">
        <v>3.8763245585453259</v>
      </c>
      <c r="AJ56" s="652">
        <v>15.1566495562095</v>
      </c>
      <c r="AK56" s="524">
        <v>-1.0264833049348545</v>
      </c>
      <c r="AL56" s="524"/>
      <c r="AM56" s="652">
        <f>VLOOKUP($A56, [1]BB!$C$1:$K$73, 8, FALSE)</f>
        <v>3.8763245585453259</v>
      </c>
      <c r="AN56" s="652">
        <v>-1.0264833049348545</v>
      </c>
      <c r="AO56" s="652">
        <f>VLOOKUP($A56, [1]BB!$C$1:$K$73, 9, FALSE)</f>
        <v>2.0688258821861387</v>
      </c>
      <c r="AP56" s="652">
        <f t="shared" si="0"/>
        <v>0.45454575008820886</v>
      </c>
      <c r="AQ56" s="659"/>
      <c r="AR56" s="659"/>
      <c r="AS56" s="623" t="s">
        <v>87</v>
      </c>
      <c r="AT56" s="658" t="s">
        <v>231</v>
      </c>
      <c r="AU56" s="623" t="s">
        <v>122</v>
      </c>
      <c r="AV56" s="632"/>
      <c r="AW56" s="619" t="s">
        <v>38</v>
      </c>
      <c r="AX56" s="633">
        <v>3930150.76</v>
      </c>
      <c r="AY56" s="633">
        <v>0</v>
      </c>
      <c r="AZ56" s="633">
        <f t="shared" si="19"/>
        <v>3930150.76</v>
      </c>
      <c r="BA56" s="633"/>
      <c r="BB56" s="629" t="s">
        <v>1067</v>
      </c>
      <c r="BC56" s="654" t="s">
        <v>1190</v>
      </c>
      <c r="BD56" s="660">
        <v>100</v>
      </c>
      <c r="BE56" s="666">
        <f t="shared" si="20"/>
        <v>0</v>
      </c>
      <c r="BF56" s="666">
        <f t="shared" si="21"/>
        <v>0</v>
      </c>
      <c r="BG56" s="666">
        <f t="shared" si="22"/>
        <v>0</v>
      </c>
      <c r="BH56" s="666">
        <f t="shared" si="23"/>
        <v>0</v>
      </c>
      <c r="BI56" s="666">
        <f t="shared" si="24"/>
        <v>0</v>
      </c>
      <c r="BJ56" s="666">
        <f t="shared" si="25"/>
        <v>0</v>
      </c>
      <c r="BK56" s="666">
        <f t="shared" si="26"/>
        <v>0</v>
      </c>
      <c r="BL56" s="666">
        <f t="shared" si="27"/>
        <v>0</v>
      </c>
      <c r="BM56" s="666">
        <f t="shared" si="28"/>
        <v>1</v>
      </c>
      <c r="BN56" s="666">
        <f t="shared" si="29"/>
        <v>0</v>
      </c>
      <c r="BO56" s="666">
        <f t="shared" si="30"/>
        <v>0</v>
      </c>
      <c r="BP56" s="666">
        <f t="shared" si="31"/>
        <v>0</v>
      </c>
      <c r="BQ56" s="636">
        <f t="shared" si="13"/>
        <v>3920226.14</v>
      </c>
      <c r="BR56" s="637">
        <v>100</v>
      </c>
      <c r="BS56" s="638">
        <f t="shared" si="14"/>
        <v>3930150.76</v>
      </c>
      <c r="BT56" s="639"/>
      <c r="BU56" s="633">
        <f t="shared" si="15"/>
        <v>3930150.76</v>
      </c>
      <c r="BV56" s="639">
        <v>0</v>
      </c>
      <c r="BW56" s="666" t="str">
        <f t="shared" si="16"/>
        <v>15-30</v>
      </c>
      <c r="BX56" s="666" t="str">
        <f t="shared" si="17"/>
        <v>&lt;0.25</v>
      </c>
      <c r="BY56" s="635"/>
      <c r="BZ56" s="666" t="str">
        <f t="shared" si="18"/>
        <v>FL 15-30</v>
      </c>
    </row>
    <row r="57" spans="1:78">
      <c r="A57" s="616" t="s">
        <v>1170</v>
      </c>
      <c r="B57" s="617"/>
      <c r="C57" s="651">
        <v>45838</v>
      </c>
      <c r="D57" s="619" t="s">
        <v>1057</v>
      </c>
      <c r="E57" s="616" t="s">
        <v>1171</v>
      </c>
      <c r="F57" s="620" t="s">
        <v>1172</v>
      </c>
      <c r="G57" s="621" t="s">
        <v>1061</v>
      </c>
      <c r="H57" s="622">
        <v>3610766.51</v>
      </c>
      <c r="I57" s="522"/>
      <c r="J57" s="621" t="s">
        <v>90</v>
      </c>
      <c r="K57" s="621" t="s">
        <v>1062</v>
      </c>
      <c r="L57" s="623" t="s">
        <v>199</v>
      </c>
      <c r="M57" s="623" t="s">
        <v>1064</v>
      </c>
      <c r="N57" s="624">
        <v>0.10199199999999999</v>
      </c>
      <c r="O57" s="625" t="s">
        <v>225</v>
      </c>
      <c r="P57" s="624">
        <v>0.01</v>
      </c>
      <c r="Q57" s="624">
        <v>5.8999999999999997E-2</v>
      </c>
      <c r="R57" s="623">
        <v>3</v>
      </c>
      <c r="S57" s="522"/>
      <c r="T57" s="624" t="s">
        <v>1065</v>
      </c>
      <c r="U57" s="621">
        <v>1.2416666666666667</v>
      </c>
      <c r="V57" s="653">
        <v>46230</v>
      </c>
      <c r="W57" s="621" t="s">
        <v>1066</v>
      </c>
      <c r="X57" s="627">
        <v>100</v>
      </c>
      <c r="Y57" s="523" t="s">
        <v>1105</v>
      </c>
      <c r="Z57" s="628"/>
      <c r="AA57" s="628"/>
      <c r="AB57" s="629">
        <v>15.9</v>
      </c>
      <c r="AC57" s="524">
        <v>3.21</v>
      </c>
      <c r="AD57" s="524">
        <v>2.79</v>
      </c>
      <c r="AE57" s="524"/>
      <c r="AF57" s="652">
        <v>2.79</v>
      </c>
      <c r="AG57" s="653">
        <v>45808</v>
      </c>
      <c r="AH57" s="655"/>
      <c r="AI57" s="652">
        <v>1.7300619564736683</v>
      </c>
      <c r="AJ57" s="652">
        <v>26.115817067091072</v>
      </c>
      <c r="AK57" s="524">
        <v>1.027373042407703</v>
      </c>
      <c r="AL57" s="524"/>
      <c r="AM57" s="652">
        <f>VLOOKUP($A57, [1]BB!$C$1:$K$73, 8, FALSE)</f>
        <v>1.7300619564736683</v>
      </c>
      <c r="AN57" s="652">
        <v>1.027373042407703</v>
      </c>
      <c r="AO57" s="652">
        <f>VLOOKUP($A57, [1]BB!$C$1:$K$73, 9, FALSE)</f>
        <v>4.2526263281398045</v>
      </c>
      <c r="AP57" s="652">
        <f t="shared" si="0"/>
        <v>-1.0426263281398045</v>
      </c>
      <c r="AQ57" s="659"/>
      <c r="AR57" s="659"/>
      <c r="AS57" s="623" t="s">
        <v>1189</v>
      </c>
      <c r="AT57" s="658" t="s">
        <v>122</v>
      </c>
      <c r="AU57" s="623" t="s">
        <v>122</v>
      </c>
      <c r="AV57" s="632"/>
      <c r="AW57" s="619" t="s">
        <v>38</v>
      </c>
      <c r="AX57" s="633">
        <v>3610766.52</v>
      </c>
      <c r="AY57" s="633">
        <v>0</v>
      </c>
      <c r="AZ57" s="633">
        <f t="shared" si="19"/>
        <v>3610766.52</v>
      </c>
      <c r="BA57" s="633"/>
      <c r="BB57" s="629" t="s">
        <v>1067</v>
      </c>
      <c r="BC57" s="654" t="s">
        <v>1190</v>
      </c>
      <c r="BD57" s="660">
        <v>100</v>
      </c>
      <c r="BE57" s="666">
        <f t="shared" si="20"/>
        <v>0</v>
      </c>
      <c r="BF57" s="666">
        <f t="shared" si="21"/>
        <v>0</v>
      </c>
      <c r="BG57" s="666">
        <f t="shared" si="22"/>
        <v>0</v>
      </c>
      <c r="BH57" s="666">
        <f t="shared" si="23"/>
        <v>0</v>
      </c>
      <c r="BI57" s="666">
        <f t="shared" si="24"/>
        <v>0</v>
      </c>
      <c r="BJ57" s="666">
        <f t="shared" si="25"/>
        <v>0</v>
      </c>
      <c r="BK57" s="666">
        <f t="shared" si="26"/>
        <v>0</v>
      </c>
      <c r="BL57" s="666">
        <f t="shared" si="27"/>
        <v>0</v>
      </c>
      <c r="BM57" s="666">
        <f t="shared" si="28"/>
        <v>0</v>
      </c>
      <c r="BN57" s="666">
        <f t="shared" si="29"/>
        <v>0</v>
      </c>
      <c r="BO57" s="666">
        <f t="shared" si="30"/>
        <v>0</v>
      </c>
      <c r="BP57" s="666">
        <f t="shared" si="31"/>
        <v>0</v>
      </c>
      <c r="BQ57" s="636">
        <f t="shared" si="13"/>
        <v>3610766.51</v>
      </c>
      <c r="BR57" s="637">
        <v>100</v>
      </c>
      <c r="BS57" s="638">
        <f t="shared" si="14"/>
        <v>3610766.52</v>
      </c>
      <c r="BT57" s="639"/>
      <c r="BU57" s="633">
        <f t="shared" si="15"/>
        <v>3610766.52</v>
      </c>
      <c r="BV57" s="639">
        <v>0</v>
      </c>
      <c r="BW57" s="666" t="str">
        <f t="shared" si="16"/>
        <v>15-30</v>
      </c>
      <c r="BX57" s="666" t="str">
        <f t="shared" si="17"/>
        <v>&lt;0.25</v>
      </c>
      <c r="BY57" s="635"/>
      <c r="BZ57" s="666" t="str">
        <f t="shared" si="18"/>
        <v>FL 15-30</v>
      </c>
    </row>
    <row r="58" spans="1:78">
      <c r="A58" s="616" t="s">
        <v>1304</v>
      </c>
      <c r="B58" s="617"/>
      <c r="C58" s="651">
        <v>45838</v>
      </c>
      <c r="D58" s="619" t="s">
        <v>1057</v>
      </c>
      <c r="E58" s="277" t="s">
        <v>1316</v>
      </c>
      <c r="F58" s="620" t="s">
        <v>1328</v>
      </c>
      <c r="G58" s="621" t="s">
        <v>1061</v>
      </c>
      <c r="H58" s="622">
        <v>6965000</v>
      </c>
      <c r="I58" s="522"/>
      <c r="J58" s="621" t="s">
        <v>90</v>
      </c>
      <c r="K58" s="621" t="s">
        <v>1062</v>
      </c>
      <c r="L58" s="623" t="s">
        <v>1082</v>
      </c>
      <c r="M58" s="623" t="s">
        <v>1064</v>
      </c>
      <c r="N58" s="624">
        <v>9.3864706091448952E-2</v>
      </c>
      <c r="O58" s="625" t="s">
        <v>225</v>
      </c>
      <c r="P58" s="624">
        <v>0.01</v>
      </c>
      <c r="Q58" s="624">
        <v>0.05</v>
      </c>
      <c r="R58" s="623">
        <v>3</v>
      </c>
      <c r="S58" s="522"/>
      <c r="T58" s="624" t="s">
        <v>1065</v>
      </c>
      <c r="U58" s="621">
        <v>2.3333333333333335</v>
      </c>
      <c r="V58" s="653">
        <v>46630</v>
      </c>
      <c r="W58" s="621" t="s">
        <v>1066</v>
      </c>
      <c r="X58" s="627">
        <v>100</v>
      </c>
      <c r="Y58" s="523" t="s">
        <v>1105</v>
      </c>
      <c r="Z58" s="628"/>
      <c r="AA58" s="628"/>
      <c r="AB58" s="629">
        <v>26.943000000000001</v>
      </c>
      <c r="AC58" s="524">
        <v>3.0598469054440525</v>
      </c>
      <c r="AD58" s="524">
        <v>4.2645585124150989</v>
      </c>
      <c r="AE58" s="524"/>
      <c r="AF58" s="652">
        <v>4.2645585124150989</v>
      </c>
      <c r="AG58" s="653">
        <v>45777</v>
      </c>
      <c r="AH58" s="655"/>
      <c r="AI58" s="652">
        <v>5.4193199184921044</v>
      </c>
      <c r="AJ58" s="652">
        <v>31.407999999999998</v>
      </c>
      <c r="AK58" s="524">
        <v>-1.1488727899293085</v>
      </c>
      <c r="AL58" s="524"/>
      <c r="AM58" s="652">
        <f>VLOOKUP($A58, [1]BB!$C$1:$K$73, 8, FALSE)</f>
        <v>5.4193199184921044</v>
      </c>
      <c r="AN58" s="652">
        <v>-1.1488727899293085</v>
      </c>
      <c r="AO58" s="652">
        <f>VLOOKUP($A58, [1]BB!$C$1:$K$73, 9, FALSE)</f>
        <v>2.641579733310456</v>
      </c>
      <c r="AP58" s="652">
        <f t="shared" si="0"/>
        <v>0.41826717213359643</v>
      </c>
      <c r="AQ58" s="659"/>
      <c r="AR58" s="659"/>
      <c r="AS58" s="623" t="s">
        <v>1189</v>
      </c>
      <c r="AT58" s="658" t="s">
        <v>122</v>
      </c>
      <c r="AU58" s="623" t="s">
        <v>122</v>
      </c>
      <c r="AV58" s="632"/>
      <c r="AW58" s="619" t="s">
        <v>38</v>
      </c>
      <c r="AX58" s="633">
        <v>6982500</v>
      </c>
      <c r="AY58" s="633">
        <v>0</v>
      </c>
      <c r="AZ58" s="633">
        <f t="shared" si="19"/>
        <v>6982500</v>
      </c>
      <c r="BA58" s="633"/>
      <c r="BB58" s="629" t="s">
        <v>1067</v>
      </c>
      <c r="BC58" s="654" t="s">
        <v>1190</v>
      </c>
      <c r="BD58" s="660">
        <v>100</v>
      </c>
      <c r="BE58" s="666">
        <f t="shared" si="20"/>
        <v>0</v>
      </c>
      <c r="BF58" s="666">
        <f t="shared" si="21"/>
        <v>0</v>
      </c>
      <c r="BG58" s="666">
        <f t="shared" si="22"/>
        <v>0</v>
      </c>
      <c r="BH58" s="666">
        <f t="shared" si="23"/>
        <v>0</v>
      </c>
      <c r="BI58" s="666">
        <f t="shared" si="24"/>
        <v>0</v>
      </c>
      <c r="BJ58" s="666">
        <f t="shared" si="25"/>
        <v>0</v>
      </c>
      <c r="BK58" s="666">
        <f t="shared" si="26"/>
        <v>0</v>
      </c>
      <c r="BL58" s="666">
        <f t="shared" si="27"/>
        <v>0</v>
      </c>
      <c r="BM58" s="666">
        <f t="shared" si="28"/>
        <v>0</v>
      </c>
      <c r="BN58" s="666">
        <f t="shared" si="29"/>
        <v>0</v>
      </c>
      <c r="BO58" s="666">
        <f t="shared" si="30"/>
        <v>0</v>
      </c>
      <c r="BP58" s="666">
        <f t="shared" si="31"/>
        <v>0</v>
      </c>
      <c r="BQ58" s="636">
        <f t="shared" si="13"/>
        <v>6965000</v>
      </c>
      <c r="BR58" s="637">
        <v>100</v>
      </c>
      <c r="BS58" s="638">
        <f t="shared" si="14"/>
        <v>6982500</v>
      </c>
      <c r="BT58" s="639"/>
      <c r="BU58" s="633">
        <f t="shared" si="15"/>
        <v>6982500</v>
      </c>
      <c r="BV58" s="639">
        <v>0</v>
      </c>
      <c r="BW58" s="666" t="str">
        <f t="shared" si="16"/>
        <v>30+</v>
      </c>
      <c r="BX58" s="666" t="str">
        <f t="shared" si="17"/>
        <v>&lt;0.25</v>
      </c>
      <c r="BY58" s="635"/>
      <c r="BZ58" s="666" t="str">
        <f t="shared" si="18"/>
        <v>FL 30+</v>
      </c>
    </row>
    <row r="59" spans="1:78">
      <c r="A59" s="616" t="s">
        <v>1174</v>
      </c>
      <c r="B59" s="617"/>
      <c r="C59" s="651">
        <v>45838</v>
      </c>
      <c r="D59" s="619" t="s">
        <v>1057</v>
      </c>
      <c r="E59" s="616" t="s">
        <v>1175</v>
      </c>
      <c r="F59" s="620" t="s">
        <v>1176</v>
      </c>
      <c r="G59" s="621" t="s">
        <v>1061</v>
      </c>
      <c r="H59" s="622">
        <v>3040931.77</v>
      </c>
      <c r="I59" s="522"/>
      <c r="J59" s="621" t="s">
        <v>90</v>
      </c>
      <c r="K59" s="621" t="s">
        <v>1062</v>
      </c>
      <c r="L59" s="623" t="s">
        <v>173</v>
      </c>
      <c r="M59" s="623" t="s">
        <v>1064</v>
      </c>
      <c r="N59" s="624">
        <v>0.10076800000000001</v>
      </c>
      <c r="O59" s="625" t="s">
        <v>225</v>
      </c>
      <c r="P59" s="624">
        <v>0.02</v>
      </c>
      <c r="Q59" s="624">
        <v>5.7500000000000002E-2</v>
      </c>
      <c r="R59" s="623">
        <v>3</v>
      </c>
      <c r="S59" s="526"/>
      <c r="T59" s="624" t="s">
        <v>1065</v>
      </c>
      <c r="U59" s="621">
        <v>3.6638888888888888</v>
      </c>
      <c r="V59" s="653">
        <v>47116</v>
      </c>
      <c r="W59" s="621" t="s">
        <v>1066</v>
      </c>
      <c r="X59" s="627">
        <v>100</v>
      </c>
      <c r="Y59" s="527"/>
      <c r="Z59" s="641"/>
      <c r="AA59" s="628"/>
      <c r="AB59" s="629">
        <v>17.420000000000002</v>
      </c>
      <c r="AC59" s="524">
        <v>4.05</v>
      </c>
      <c r="AD59" s="524">
        <v>4.53</v>
      </c>
      <c r="AE59" s="524"/>
      <c r="AF59" s="652">
        <v>4.53</v>
      </c>
      <c r="AG59" s="653">
        <v>45808</v>
      </c>
      <c r="AH59" s="655"/>
      <c r="AI59" s="652">
        <v>3.4050119783207391</v>
      </c>
      <c r="AJ59" s="652">
        <v>19.73796287</v>
      </c>
      <c r="AK59" s="524">
        <v>1.0541256060081086</v>
      </c>
      <c r="AL59" s="524"/>
      <c r="AM59" s="652">
        <f>VLOOKUP($A59, [1]BB!$C$1:$K$73, 8, FALSE)</f>
        <v>3.4050119783207391</v>
      </c>
      <c r="AN59" s="652">
        <v>1.0541256060081086</v>
      </c>
      <c r="AO59" s="652">
        <f>VLOOKUP($A59, [1]BB!$C$1:$K$73, 9, FALSE)</f>
        <v>2.1824747035662639</v>
      </c>
      <c r="AP59" s="652">
        <f t="shared" si="0"/>
        <v>1.8675252964337359</v>
      </c>
      <c r="AQ59" s="659"/>
      <c r="AR59" s="659"/>
      <c r="AS59" s="623" t="s">
        <v>87</v>
      </c>
      <c r="AT59" s="658" t="s">
        <v>231</v>
      </c>
      <c r="AU59" s="623" t="s">
        <v>122</v>
      </c>
      <c r="AV59" s="644"/>
      <c r="AW59" s="619" t="s">
        <v>38</v>
      </c>
      <c r="AX59" s="633">
        <v>3118265.44</v>
      </c>
      <c r="AY59" s="633">
        <v>0</v>
      </c>
      <c r="AZ59" s="633">
        <f t="shared" si="19"/>
        <v>3118265.44</v>
      </c>
      <c r="BA59" s="633"/>
      <c r="BB59" s="629" t="s">
        <v>1067</v>
      </c>
      <c r="BC59" s="654" t="s">
        <v>1190</v>
      </c>
      <c r="BD59" s="660">
        <v>100</v>
      </c>
      <c r="BE59" s="666">
        <f t="shared" si="20"/>
        <v>0</v>
      </c>
      <c r="BF59" s="666">
        <f t="shared" si="21"/>
        <v>0</v>
      </c>
      <c r="BG59" s="666">
        <f t="shared" si="22"/>
        <v>0</v>
      </c>
      <c r="BH59" s="666">
        <f t="shared" si="23"/>
        <v>0</v>
      </c>
      <c r="BI59" s="666">
        <f t="shared" si="24"/>
        <v>0</v>
      </c>
      <c r="BJ59" s="666">
        <f t="shared" si="25"/>
        <v>0</v>
      </c>
      <c r="BK59" s="666">
        <f t="shared" si="26"/>
        <v>0</v>
      </c>
      <c r="BL59" s="666">
        <f t="shared" si="27"/>
        <v>0</v>
      </c>
      <c r="BM59" s="666">
        <f t="shared" si="28"/>
        <v>1</v>
      </c>
      <c r="BN59" s="666">
        <f t="shared" si="29"/>
        <v>0</v>
      </c>
      <c r="BO59" s="666">
        <f t="shared" si="30"/>
        <v>0</v>
      </c>
      <c r="BP59" s="666">
        <f t="shared" si="31"/>
        <v>0</v>
      </c>
      <c r="BQ59" s="636">
        <f t="shared" si="13"/>
        <v>3040931.77</v>
      </c>
      <c r="BR59" s="637">
        <v>100</v>
      </c>
      <c r="BS59" s="638">
        <f t="shared" si="14"/>
        <v>3118265.44</v>
      </c>
      <c r="BT59" s="639"/>
      <c r="BU59" s="633">
        <f t="shared" si="15"/>
        <v>3118265.44</v>
      </c>
      <c r="BV59" s="639">
        <v>0</v>
      </c>
      <c r="BW59" s="666" t="str">
        <f t="shared" si="16"/>
        <v>15-30</v>
      </c>
      <c r="BX59" s="666" t="str">
        <f t="shared" si="17"/>
        <v>&lt;0.25</v>
      </c>
      <c r="BY59" s="635"/>
      <c r="BZ59" s="666" t="str">
        <f t="shared" si="18"/>
        <v>FL 15-30</v>
      </c>
    </row>
    <row r="60" spans="1:78">
      <c r="A60" s="616" t="s">
        <v>1177</v>
      </c>
      <c r="B60" s="617"/>
      <c r="C60" s="651">
        <v>45838</v>
      </c>
      <c r="D60" s="619" t="s">
        <v>1057</v>
      </c>
      <c r="E60" s="616" t="s">
        <v>1178</v>
      </c>
      <c r="F60" s="620" t="s">
        <v>1179</v>
      </c>
      <c r="G60" s="621" t="s">
        <v>1061</v>
      </c>
      <c r="H60" s="622">
        <v>2665549.9</v>
      </c>
      <c r="I60" s="522"/>
      <c r="J60" s="621" t="s">
        <v>90</v>
      </c>
      <c r="K60" s="621" t="s">
        <v>1062</v>
      </c>
      <c r="L60" s="623" t="s">
        <v>322</v>
      </c>
      <c r="M60" s="623" t="s">
        <v>1064</v>
      </c>
      <c r="N60" s="624">
        <v>9.7991999999999996E-2</v>
      </c>
      <c r="O60" s="625" t="s">
        <v>225</v>
      </c>
      <c r="P60" s="624">
        <v>0.01</v>
      </c>
      <c r="Q60" s="624">
        <v>5.5E-2</v>
      </c>
      <c r="R60" s="623">
        <v>3</v>
      </c>
      <c r="S60" s="522"/>
      <c r="T60" s="624" t="s">
        <v>1065</v>
      </c>
      <c r="U60" s="621">
        <v>1.125</v>
      </c>
      <c r="V60" s="653">
        <v>46553</v>
      </c>
      <c r="W60" s="621" t="s">
        <v>1066</v>
      </c>
      <c r="X60" s="627">
        <v>100</v>
      </c>
      <c r="Y60" s="523"/>
      <c r="Z60" s="628"/>
      <c r="AA60" s="628"/>
      <c r="AB60" s="629">
        <v>95.39</v>
      </c>
      <c r="AC60" s="524">
        <v>1.43</v>
      </c>
      <c r="AD60" s="524">
        <v>5.42</v>
      </c>
      <c r="AE60" s="524"/>
      <c r="AF60" s="652">
        <v>5.42</v>
      </c>
      <c r="AG60" s="653">
        <v>45747</v>
      </c>
      <c r="AH60" s="655"/>
      <c r="AI60" s="652">
        <v>4.4294337509804729</v>
      </c>
      <c r="AJ60" s="652">
        <v>121.11499999999999</v>
      </c>
      <c r="AK60" s="524">
        <v>1.0372865820724275</v>
      </c>
      <c r="AL60" s="524"/>
      <c r="AM60" s="652">
        <f>VLOOKUP($A60, [1]BB!$C$1:$K$73, 8, FALSE)</f>
        <v>4.4294337509804729</v>
      </c>
      <c r="AN60" s="652">
        <v>1.0372865820724275</v>
      </c>
      <c r="AO60" s="652">
        <f>VLOOKUP($A60, [1]BB!$C$1:$K$73, 9, FALSE)</f>
        <v>1.7749515312213437</v>
      </c>
      <c r="AP60" s="652">
        <f t="shared" si="0"/>
        <v>-0.34495153122134381</v>
      </c>
      <c r="AQ60" s="659"/>
      <c r="AR60" s="659"/>
      <c r="AS60" s="623" t="s">
        <v>1189</v>
      </c>
      <c r="AT60" s="658" t="s">
        <v>122</v>
      </c>
      <c r="AU60" s="623" t="s">
        <v>122</v>
      </c>
      <c r="AV60" s="632"/>
      <c r="AW60" s="619" t="s">
        <v>38</v>
      </c>
      <c r="AX60" s="633">
        <v>2672274.0099999998</v>
      </c>
      <c r="AY60" s="633">
        <v>0</v>
      </c>
      <c r="AZ60" s="633">
        <f t="shared" si="19"/>
        <v>2672274.0099999998</v>
      </c>
      <c r="BA60" s="633"/>
      <c r="BB60" s="629" t="s">
        <v>1067</v>
      </c>
      <c r="BC60" s="654" t="s">
        <v>1190</v>
      </c>
      <c r="BD60" s="660">
        <v>100</v>
      </c>
      <c r="BE60" s="666">
        <f t="shared" si="20"/>
        <v>0</v>
      </c>
      <c r="BF60" s="666">
        <f t="shared" si="21"/>
        <v>0</v>
      </c>
      <c r="BG60" s="666">
        <f t="shared" si="22"/>
        <v>0</v>
      </c>
      <c r="BH60" s="666">
        <f t="shared" si="23"/>
        <v>0</v>
      </c>
      <c r="BI60" s="666">
        <f t="shared" si="24"/>
        <v>0</v>
      </c>
      <c r="BJ60" s="666">
        <f t="shared" si="25"/>
        <v>0</v>
      </c>
      <c r="BK60" s="666">
        <f t="shared" si="26"/>
        <v>0</v>
      </c>
      <c r="BL60" s="666">
        <f t="shared" si="27"/>
        <v>0</v>
      </c>
      <c r="BM60" s="666">
        <f t="shared" si="28"/>
        <v>0</v>
      </c>
      <c r="BN60" s="666">
        <f t="shared" si="29"/>
        <v>0</v>
      </c>
      <c r="BO60" s="666">
        <f t="shared" si="30"/>
        <v>0</v>
      </c>
      <c r="BP60" s="666">
        <f t="shared" si="31"/>
        <v>0</v>
      </c>
      <c r="BQ60" s="636">
        <f t="shared" si="13"/>
        <v>2665549.9</v>
      </c>
      <c r="BR60" s="637">
        <v>100</v>
      </c>
      <c r="BS60" s="638">
        <f t="shared" si="14"/>
        <v>2672274.0099999998</v>
      </c>
      <c r="BT60" s="639"/>
      <c r="BU60" s="633">
        <f t="shared" si="15"/>
        <v>2672274.0099999998</v>
      </c>
      <c r="BV60" s="639">
        <v>0</v>
      </c>
      <c r="BW60" s="666" t="str">
        <f t="shared" si="16"/>
        <v>30+</v>
      </c>
      <c r="BX60" s="666" t="str">
        <f t="shared" si="17"/>
        <v>&lt;0.25</v>
      </c>
      <c r="BY60" s="635"/>
      <c r="BZ60" s="666" t="str">
        <f t="shared" si="18"/>
        <v>FL 30+</v>
      </c>
    </row>
    <row r="61" spans="1:78">
      <c r="A61" s="616" t="s">
        <v>1277</v>
      </c>
      <c r="B61" s="617"/>
      <c r="C61" s="651">
        <v>45838</v>
      </c>
      <c r="D61" s="619" t="s">
        <v>1057</v>
      </c>
      <c r="E61" s="616" t="s">
        <v>1283</v>
      </c>
      <c r="F61" s="620" t="s">
        <v>1289</v>
      </c>
      <c r="G61" s="621" t="s">
        <v>1061</v>
      </c>
      <c r="H61" s="622">
        <v>4987500</v>
      </c>
      <c r="I61" s="525"/>
      <c r="J61" s="621" t="s">
        <v>90</v>
      </c>
      <c r="K61" s="621" t="s">
        <v>1062</v>
      </c>
      <c r="L61" s="623" t="s">
        <v>322</v>
      </c>
      <c r="M61" s="623" t="s">
        <v>1064</v>
      </c>
      <c r="N61" s="624">
        <v>8.784900000000001E-2</v>
      </c>
      <c r="O61" s="625" t="s">
        <v>225</v>
      </c>
      <c r="P61" s="624">
        <v>0.01</v>
      </c>
      <c r="Q61" s="624">
        <v>4.4999999999999998E-2</v>
      </c>
      <c r="R61" s="623">
        <v>3</v>
      </c>
      <c r="S61" s="522"/>
      <c r="T61" s="624" t="s">
        <v>1065</v>
      </c>
      <c r="U61" s="621">
        <v>6.4361111111111109</v>
      </c>
      <c r="V61" s="653">
        <v>48128</v>
      </c>
      <c r="W61" s="621" t="s">
        <v>1066</v>
      </c>
      <c r="X61" s="627">
        <v>100</v>
      </c>
      <c r="Y61" s="523"/>
      <c r="Z61" s="628"/>
      <c r="AA61" s="628"/>
      <c r="AB61" s="629">
        <v>110.91983311059916</v>
      </c>
      <c r="AC61" s="524">
        <v>2.07326790860933</v>
      </c>
      <c r="AD61" s="524">
        <v>4.6880705228027466</v>
      </c>
      <c r="AE61" s="524"/>
      <c r="AF61" s="652">
        <v>4.6880705228027466</v>
      </c>
      <c r="AG61" s="653">
        <v>45747</v>
      </c>
      <c r="AH61" s="655"/>
      <c r="AI61" s="652">
        <v>4.4237458193979942</v>
      </c>
      <c r="AJ61" s="652">
        <v>119.6</v>
      </c>
      <c r="AK61" s="524">
        <v>0.43718028944060361</v>
      </c>
      <c r="AL61" s="524"/>
      <c r="AM61" s="652">
        <f>VLOOKUP($A61, [1]BB!$C$1:$K$73, 8, FALSE)</f>
        <v>4.4237458193979942</v>
      </c>
      <c r="AN61" s="652">
        <v>0.43718028944060361</v>
      </c>
      <c r="AO61" s="652">
        <f>VLOOKUP($A61, [1]BB!$C$1:$K$73, 9, FALSE)</f>
        <v>1.8066465256797581</v>
      </c>
      <c r="AP61" s="652">
        <f t="shared" si="0"/>
        <v>0.26662138292957183</v>
      </c>
      <c r="AQ61" s="659"/>
      <c r="AR61" s="659"/>
      <c r="AS61" s="623" t="s">
        <v>1189</v>
      </c>
      <c r="AT61" s="658" t="s">
        <v>122</v>
      </c>
      <c r="AU61" s="623" t="s">
        <v>122</v>
      </c>
      <c r="AV61" s="632"/>
      <c r="AW61" s="619" t="s">
        <v>38</v>
      </c>
      <c r="AX61" s="633">
        <v>4987500</v>
      </c>
      <c r="AY61" s="633">
        <v>0</v>
      </c>
      <c r="AZ61" s="633">
        <f t="shared" si="19"/>
        <v>4987500</v>
      </c>
      <c r="BA61" s="633"/>
      <c r="BB61" s="629" t="s">
        <v>1067</v>
      </c>
      <c r="BC61" s="654" t="s">
        <v>1190</v>
      </c>
      <c r="BD61" s="660">
        <v>100</v>
      </c>
      <c r="BE61" s="666">
        <f t="shared" si="20"/>
        <v>0</v>
      </c>
      <c r="BF61" s="666">
        <f t="shared" si="21"/>
        <v>0</v>
      </c>
      <c r="BG61" s="666">
        <f t="shared" si="22"/>
        <v>0</v>
      </c>
      <c r="BH61" s="666">
        <f t="shared" si="23"/>
        <v>0</v>
      </c>
      <c r="BI61" s="666">
        <f t="shared" si="24"/>
        <v>0</v>
      </c>
      <c r="BJ61" s="666">
        <f t="shared" si="25"/>
        <v>0</v>
      </c>
      <c r="BK61" s="666">
        <f t="shared" si="26"/>
        <v>0</v>
      </c>
      <c r="BL61" s="666">
        <f t="shared" si="27"/>
        <v>0</v>
      </c>
      <c r="BM61" s="666">
        <f t="shared" si="28"/>
        <v>0</v>
      </c>
      <c r="BN61" s="666">
        <f t="shared" si="29"/>
        <v>0</v>
      </c>
      <c r="BO61" s="666">
        <f t="shared" si="30"/>
        <v>0</v>
      </c>
      <c r="BP61" s="666">
        <f t="shared" si="31"/>
        <v>0</v>
      </c>
      <c r="BQ61" s="636">
        <f t="shared" si="13"/>
        <v>4987500</v>
      </c>
      <c r="BR61" s="637">
        <v>100</v>
      </c>
      <c r="BS61" s="638">
        <f t="shared" si="14"/>
        <v>4987500</v>
      </c>
      <c r="BT61" s="639"/>
      <c r="BU61" s="633">
        <f t="shared" si="15"/>
        <v>4987500</v>
      </c>
      <c r="BV61" s="639">
        <v>0</v>
      </c>
      <c r="BW61" s="666" t="str">
        <f t="shared" si="16"/>
        <v>30+</v>
      </c>
      <c r="BX61" s="666" t="str">
        <f t="shared" si="17"/>
        <v>&lt;0.25</v>
      </c>
      <c r="BY61" s="635"/>
      <c r="BZ61" s="666" t="str">
        <f t="shared" si="18"/>
        <v>FL 30+</v>
      </c>
    </row>
    <row r="62" spans="1:78">
      <c r="A62" s="616" t="s">
        <v>1180</v>
      </c>
      <c r="B62" s="617"/>
      <c r="C62" s="651">
        <v>45838</v>
      </c>
      <c r="D62" s="619" t="s">
        <v>1057</v>
      </c>
      <c r="E62" s="616" t="s">
        <v>1181</v>
      </c>
      <c r="F62" s="620" t="s">
        <v>1182</v>
      </c>
      <c r="G62" s="621" t="s">
        <v>1061</v>
      </c>
      <c r="H62" s="622">
        <v>6427124.3100000005</v>
      </c>
      <c r="I62" s="522"/>
      <c r="J62" s="621" t="s">
        <v>90</v>
      </c>
      <c r="K62" s="621" t="s">
        <v>1062</v>
      </c>
      <c r="L62" s="623" t="s">
        <v>199</v>
      </c>
      <c r="M62" s="623" t="s">
        <v>1064</v>
      </c>
      <c r="N62" s="624">
        <v>0.10299200000000001</v>
      </c>
      <c r="O62" s="625" t="s">
        <v>225</v>
      </c>
      <c r="P62" s="624">
        <v>0.01</v>
      </c>
      <c r="Q62" s="624">
        <v>0.06</v>
      </c>
      <c r="R62" s="623">
        <v>3</v>
      </c>
      <c r="S62" s="522"/>
      <c r="T62" s="624" t="s">
        <v>1065</v>
      </c>
      <c r="U62" s="621">
        <v>4.5861111111111112</v>
      </c>
      <c r="V62" s="653">
        <v>47453</v>
      </c>
      <c r="W62" s="621" t="s">
        <v>1066</v>
      </c>
      <c r="X62" s="627">
        <v>100</v>
      </c>
      <c r="Y62" s="523" t="s">
        <v>1105</v>
      </c>
      <c r="Z62" s="628"/>
      <c r="AA62" s="628"/>
      <c r="AB62" s="629">
        <v>10.167894</v>
      </c>
      <c r="AC62" s="524">
        <v>1.6285679552209618</v>
      </c>
      <c r="AD62" s="524">
        <v>4.9362583421896415</v>
      </c>
      <c r="AE62" s="524"/>
      <c r="AF62" s="652">
        <v>4.9362583421896415</v>
      </c>
      <c r="AG62" s="653">
        <v>45808</v>
      </c>
      <c r="AH62" s="655"/>
      <c r="AI62" s="652">
        <v>5.0173086509501541</v>
      </c>
      <c r="AJ62" s="652">
        <v>11.023990260102</v>
      </c>
      <c r="AK62" s="524">
        <v>4.7136589578148147E-2</v>
      </c>
      <c r="AL62" s="524"/>
      <c r="AM62" s="652">
        <f>VLOOKUP($A62, [1]BB!$C$1:$K$73, 8, FALSE)</f>
        <v>5.0173086509501541</v>
      </c>
      <c r="AN62" s="652">
        <v>4.7136589578148147E-2</v>
      </c>
      <c r="AO62" s="652">
        <f>VLOOKUP($A62, [1]BB!$C$1:$K$73, 9, FALSE)</f>
        <v>1.6023310338436321</v>
      </c>
      <c r="AP62" s="652">
        <f t="shared" si="0"/>
        <v>2.6236921377329692E-2</v>
      </c>
      <c r="AQ62" s="659"/>
      <c r="AR62" s="659"/>
      <c r="AS62" s="623" t="s">
        <v>87</v>
      </c>
      <c r="AT62" s="658" t="s">
        <v>231</v>
      </c>
      <c r="AU62" s="623" t="s">
        <v>122</v>
      </c>
      <c r="AV62" s="632"/>
      <c r="AW62" s="619" t="s">
        <v>38</v>
      </c>
      <c r="AX62" s="633">
        <v>6443355.6400000006</v>
      </c>
      <c r="AY62" s="633">
        <v>0</v>
      </c>
      <c r="AZ62" s="633">
        <f t="shared" si="19"/>
        <v>6443355.6400000006</v>
      </c>
      <c r="BA62" s="633"/>
      <c r="BB62" s="629" t="s">
        <v>1067</v>
      </c>
      <c r="BC62" s="654" t="s">
        <v>1190</v>
      </c>
      <c r="BD62" s="660">
        <v>100</v>
      </c>
      <c r="BE62" s="666">
        <f t="shared" si="20"/>
        <v>0</v>
      </c>
      <c r="BF62" s="666">
        <f t="shared" si="21"/>
        <v>0</v>
      </c>
      <c r="BG62" s="666">
        <f t="shared" si="22"/>
        <v>0</v>
      </c>
      <c r="BH62" s="666">
        <f t="shared" si="23"/>
        <v>0</v>
      </c>
      <c r="BI62" s="666">
        <f t="shared" si="24"/>
        <v>0</v>
      </c>
      <c r="BJ62" s="666">
        <f t="shared" si="25"/>
        <v>1</v>
      </c>
      <c r="BK62" s="666">
        <f t="shared" si="26"/>
        <v>0</v>
      </c>
      <c r="BL62" s="666">
        <f t="shared" si="27"/>
        <v>0</v>
      </c>
      <c r="BM62" s="666">
        <f t="shared" si="28"/>
        <v>1</v>
      </c>
      <c r="BN62" s="666">
        <f t="shared" si="29"/>
        <v>0</v>
      </c>
      <c r="BO62" s="666">
        <f t="shared" si="30"/>
        <v>0</v>
      </c>
      <c r="BP62" s="666">
        <f t="shared" si="31"/>
        <v>0</v>
      </c>
      <c r="BQ62" s="636">
        <f t="shared" si="13"/>
        <v>6427124.3100000005</v>
      </c>
      <c r="BR62" s="637">
        <v>100</v>
      </c>
      <c r="BS62" s="638">
        <f t="shared" si="14"/>
        <v>6443355.6399999997</v>
      </c>
      <c r="BT62" s="639"/>
      <c r="BU62" s="633">
        <f t="shared" si="15"/>
        <v>6443355.6399999997</v>
      </c>
      <c r="BV62" s="639">
        <v>0</v>
      </c>
      <c r="BW62" s="666" t="str">
        <f t="shared" si="16"/>
        <v>15-</v>
      </c>
      <c r="BX62" s="666" t="str">
        <f t="shared" si="17"/>
        <v>&lt;0.25</v>
      </c>
      <c r="BY62" s="635"/>
      <c r="BZ62" s="666" t="str">
        <f t="shared" si="18"/>
        <v>FL 15-</v>
      </c>
    </row>
    <row r="63" spans="1:78">
      <c r="A63" s="616" t="s">
        <v>1183</v>
      </c>
      <c r="B63" s="617"/>
      <c r="C63" s="651">
        <v>45838</v>
      </c>
      <c r="D63" s="619" t="s">
        <v>1057</v>
      </c>
      <c r="E63" s="616" t="s">
        <v>1184</v>
      </c>
      <c r="F63" s="620" t="s">
        <v>1185</v>
      </c>
      <c r="G63" s="621" t="s">
        <v>1061</v>
      </c>
      <c r="H63" s="622">
        <v>9422717.2100000009</v>
      </c>
      <c r="I63" s="522"/>
      <c r="J63" s="621" t="s">
        <v>90</v>
      </c>
      <c r="K63" s="621" t="s">
        <v>1062</v>
      </c>
      <c r="L63" s="623" t="s">
        <v>199</v>
      </c>
      <c r="M63" s="623" t="s">
        <v>344</v>
      </c>
      <c r="N63" s="624">
        <v>0.12</v>
      </c>
      <c r="O63" s="625" t="s">
        <v>225</v>
      </c>
      <c r="P63" s="624">
        <v>0.01</v>
      </c>
      <c r="Q63" s="624">
        <v>0</v>
      </c>
      <c r="R63" s="623">
        <v>3</v>
      </c>
      <c r="S63" s="522"/>
      <c r="T63" s="624" t="s">
        <v>1065</v>
      </c>
      <c r="U63" s="621">
        <v>1.6305555555555555</v>
      </c>
      <c r="V63" s="653">
        <v>46373</v>
      </c>
      <c r="W63" s="621" t="s">
        <v>1066</v>
      </c>
      <c r="X63" s="627">
        <v>100</v>
      </c>
      <c r="Y63" s="523"/>
      <c r="Z63" s="628"/>
      <c r="AA63" s="628"/>
      <c r="AB63" s="629">
        <v>24.6</v>
      </c>
      <c r="AC63" s="524">
        <v>2.85</v>
      </c>
      <c r="AD63" s="524">
        <v>4.6500000000000004</v>
      </c>
      <c r="AE63" s="524"/>
      <c r="AF63" s="656">
        <v>4.6500000000000004</v>
      </c>
      <c r="AG63" s="653">
        <v>45777</v>
      </c>
      <c r="AH63" s="655"/>
      <c r="AI63" s="652">
        <v>16.890788644618542</v>
      </c>
      <c r="AJ63" s="652">
        <v>7.3422162700207503</v>
      </c>
      <c r="AK63" s="524">
        <v>-8.7163891680086643</v>
      </c>
      <c r="AL63" s="524"/>
      <c r="AM63" s="652">
        <f>VLOOKUP($A63, [1]BB!$C$1:$K$73, 8, FALSE)</f>
        <v>16.890788644618542</v>
      </c>
      <c r="AN63" s="652">
        <v>-8.7163891680086643</v>
      </c>
      <c r="AO63" s="652">
        <f>VLOOKUP($A63, [1]BB!$C$1:$K$73, 9, FALSE)</f>
        <v>0.4632950738439518</v>
      </c>
      <c r="AP63" s="652">
        <f t="shared" si="0"/>
        <v>2.3867049261560482</v>
      </c>
      <c r="AQ63" s="659"/>
      <c r="AR63" s="659"/>
      <c r="AS63" s="623" t="s">
        <v>1189</v>
      </c>
      <c r="AT63" s="658" t="s">
        <v>122</v>
      </c>
      <c r="AU63" s="623" t="s">
        <v>122</v>
      </c>
      <c r="AV63" s="632"/>
      <c r="AW63" s="619" t="s">
        <v>38</v>
      </c>
      <c r="AX63" s="633">
        <v>9328396.75</v>
      </c>
      <c r="AY63" s="633">
        <v>0</v>
      </c>
      <c r="AZ63" s="633">
        <f t="shared" si="19"/>
        <v>9328396.75</v>
      </c>
      <c r="BA63" s="633"/>
      <c r="BB63" s="629" t="s">
        <v>1067</v>
      </c>
      <c r="BC63" s="654" t="s">
        <v>1067</v>
      </c>
      <c r="BD63" s="661">
        <v>45</v>
      </c>
      <c r="BE63" s="666">
        <f t="shared" si="20"/>
        <v>0</v>
      </c>
      <c r="BF63" s="666">
        <f t="shared" si="21"/>
        <v>0</v>
      </c>
      <c r="BG63" s="666">
        <f t="shared" si="22"/>
        <v>0</v>
      </c>
      <c r="BH63" s="666">
        <f t="shared" si="23"/>
        <v>0</v>
      </c>
      <c r="BI63" s="666">
        <f t="shared" si="24"/>
        <v>0</v>
      </c>
      <c r="BJ63" s="666">
        <f t="shared" si="25"/>
        <v>1</v>
      </c>
      <c r="BK63" s="666">
        <f t="shared" si="26"/>
        <v>1</v>
      </c>
      <c r="BL63" s="666">
        <f t="shared" si="27"/>
        <v>0</v>
      </c>
      <c r="BM63" s="666">
        <f t="shared" si="28"/>
        <v>0</v>
      </c>
      <c r="BN63" s="666">
        <f t="shared" si="29"/>
        <v>1</v>
      </c>
      <c r="BO63" s="666">
        <f t="shared" si="30"/>
        <v>1</v>
      </c>
      <c r="BP63" s="666">
        <f t="shared" si="31"/>
        <v>0</v>
      </c>
      <c r="BQ63" s="636">
        <f t="shared" si="13"/>
        <v>9422717.2100000009</v>
      </c>
      <c r="BR63" s="637">
        <v>45</v>
      </c>
      <c r="BS63" s="638">
        <f t="shared" si="14"/>
        <v>4197778.5374999996</v>
      </c>
      <c r="BT63" s="639"/>
      <c r="BU63" s="633">
        <f t="shared" si="15"/>
        <v>4197778.5374999996</v>
      </c>
      <c r="BV63" s="639">
        <v>0</v>
      </c>
      <c r="BW63" s="666" t="str">
        <f t="shared" si="16"/>
        <v>15-</v>
      </c>
      <c r="BX63" s="666" t="str">
        <f t="shared" si="17"/>
        <v>&lt;0.25</v>
      </c>
      <c r="BY63" s="635"/>
      <c r="BZ63" s="666" t="str">
        <f t="shared" si="18"/>
        <v>FL 15-</v>
      </c>
    </row>
    <row r="64" spans="1:78">
      <c r="A64" s="616" t="s">
        <v>1186</v>
      </c>
      <c r="B64" s="617"/>
      <c r="C64" s="651">
        <v>45838</v>
      </c>
      <c r="D64" s="619" t="s">
        <v>1057</v>
      </c>
      <c r="E64" s="616" t="s">
        <v>1187</v>
      </c>
      <c r="F64" s="620" t="s">
        <v>1188</v>
      </c>
      <c r="G64" s="621" t="s">
        <v>1061</v>
      </c>
      <c r="H64" s="622">
        <v>1919563.63</v>
      </c>
      <c r="I64" s="522"/>
      <c r="J64" s="621" t="s">
        <v>90</v>
      </c>
      <c r="K64" s="621" t="s">
        <v>1062</v>
      </c>
      <c r="L64" s="623" t="s">
        <v>193</v>
      </c>
      <c r="M64" s="623" t="s">
        <v>1064</v>
      </c>
      <c r="N64" s="624">
        <v>9.5000000000000001E-2</v>
      </c>
      <c r="O64" s="625" t="s">
        <v>225</v>
      </c>
      <c r="P64" s="624">
        <v>0.01</v>
      </c>
      <c r="Q64" s="624">
        <v>5.5E-2</v>
      </c>
      <c r="R64" s="623">
        <v>3</v>
      </c>
      <c r="S64" s="522"/>
      <c r="T64" s="624" t="s">
        <v>1065</v>
      </c>
      <c r="U64" s="621">
        <v>0.28888888888888886</v>
      </c>
      <c r="V64" s="653">
        <v>46952</v>
      </c>
      <c r="W64" s="621" t="s">
        <v>1066</v>
      </c>
      <c r="X64" s="627">
        <v>100</v>
      </c>
      <c r="Y64" s="523"/>
      <c r="Z64" s="628"/>
      <c r="AA64" s="628"/>
      <c r="AB64" s="629">
        <v>71.046999999999997</v>
      </c>
      <c r="AC64" s="524">
        <v>2.3519850367047641</v>
      </c>
      <c r="AD64" s="524">
        <v>5.3640688558278322</v>
      </c>
      <c r="AE64" s="524"/>
      <c r="AF64" s="656">
        <v>5.8115588098019622</v>
      </c>
      <c r="AG64" s="653">
        <v>45777</v>
      </c>
      <c r="AH64" s="621"/>
      <c r="AI64" s="652">
        <v>3.884031206422192</v>
      </c>
      <c r="AJ64" s="652">
        <v>53.065999999999995</v>
      </c>
      <c r="AK64" s="524">
        <v>0.92279958155266328</v>
      </c>
      <c r="AL64" s="524"/>
      <c r="AM64" s="652">
        <f>VLOOKUP($A64, [1]BB!$C$1:$K$73, 8, FALSE)</f>
        <v>6.7106998831643621</v>
      </c>
      <c r="AN64" s="652">
        <v>-1.6064324981697</v>
      </c>
      <c r="AO64" s="652">
        <f>VLOOKUP($A64, [1]BB!$C$1:$K$73, 9, FALSE)</f>
        <v>2.3690178571428571</v>
      </c>
      <c r="AP64" s="652">
        <f t="shared" si="0"/>
        <v>-1.7032820438092955E-2</v>
      </c>
      <c r="AQ64" s="657"/>
      <c r="AR64" s="657"/>
      <c r="AS64" s="623" t="s">
        <v>1189</v>
      </c>
      <c r="AT64" s="658" t="s">
        <v>122</v>
      </c>
      <c r="AU64" s="623" t="s">
        <v>122</v>
      </c>
      <c r="AV64" s="632"/>
      <c r="AW64" s="619" t="s">
        <v>38</v>
      </c>
      <c r="AX64" s="633">
        <v>4703275.8</v>
      </c>
      <c r="AY64" s="633">
        <f>62773.04+204469.56</f>
        <v>267242.59999999998</v>
      </c>
      <c r="AZ64" s="633">
        <f t="shared" si="19"/>
        <v>4436033.2</v>
      </c>
      <c r="BA64" s="633"/>
      <c r="BB64" s="629" t="s">
        <v>1067</v>
      </c>
      <c r="BC64" s="654" t="s">
        <v>1067</v>
      </c>
      <c r="BD64" s="661">
        <v>0</v>
      </c>
      <c r="BE64" s="666">
        <f t="shared" si="20"/>
        <v>0</v>
      </c>
      <c r="BF64" s="666">
        <f t="shared" si="21"/>
        <v>0</v>
      </c>
      <c r="BG64" s="666">
        <f t="shared" si="22"/>
        <v>0</v>
      </c>
      <c r="BH64" s="666">
        <f t="shared" si="23"/>
        <v>0</v>
      </c>
      <c r="BI64" s="666">
        <f t="shared" si="24"/>
        <v>0</v>
      </c>
      <c r="BJ64" s="666">
        <f t="shared" si="25"/>
        <v>0</v>
      </c>
      <c r="BK64" s="666">
        <f t="shared" si="26"/>
        <v>0</v>
      </c>
      <c r="BL64" s="666">
        <f t="shared" si="27"/>
        <v>0</v>
      </c>
      <c r="BM64" s="666">
        <f t="shared" si="28"/>
        <v>0</v>
      </c>
      <c r="BN64" s="666">
        <f t="shared" si="29"/>
        <v>0</v>
      </c>
      <c r="BO64" s="666">
        <f t="shared" si="30"/>
        <v>0</v>
      </c>
      <c r="BP64" s="666">
        <f t="shared" si="31"/>
        <v>0</v>
      </c>
      <c r="BQ64" s="636">
        <f t="shared" si="13"/>
        <v>1919563.63</v>
      </c>
      <c r="BR64" s="637">
        <v>70</v>
      </c>
      <c r="BS64" s="638">
        <f t="shared" si="14"/>
        <v>3105223.24</v>
      </c>
      <c r="BT64" s="639"/>
      <c r="BU64" s="633">
        <f t="shared" si="15"/>
        <v>3105223.24</v>
      </c>
      <c r="BV64" s="639">
        <v>0</v>
      </c>
      <c r="BW64" s="666" t="str">
        <f t="shared" si="16"/>
        <v>30+</v>
      </c>
      <c r="BX64" s="666" t="str">
        <f t="shared" si="17"/>
        <v>&lt;0.25</v>
      </c>
      <c r="BY64" s="635"/>
      <c r="BZ64" s="666" t="str">
        <f t="shared" si="18"/>
        <v>FL 30+</v>
      </c>
    </row>
    <row r="65" spans="1:78">
      <c r="A65" s="616" t="s">
        <v>1339</v>
      </c>
      <c r="B65" s="617"/>
      <c r="C65" s="651">
        <v>45838</v>
      </c>
      <c r="D65" s="619" t="s">
        <v>1057</v>
      </c>
      <c r="E65" s="616" t="s">
        <v>1341</v>
      </c>
      <c r="F65" s="620" t="s">
        <v>1334</v>
      </c>
      <c r="G65" s="621" t="s">
        <v>1061</v>
      </c>
      <c r="H65" s="622">
        <v>6963940.1600000001</v>
      </c>
      <c r="I65" s="522"/>
      <c r="J65" s="621" t="s">
        <v>90</v>
      </c>
      <c r="K65" s="621" t="s">
        <v>1062</v>
      </c>
      <c r="L65" s="623" t="s">
        <v>232</v>
      </c>
      <c r="M65" s="623" t="s">
        <v>1064</v>
      </c>
      <c r="N65" s="624">
        <v>0.11049200000000001</v>
      </c>
      <c r="O65" s="625" t="s">
        <v>225</v>
      </c>
      <c r="P65" s="624">
        <v>0.01</v>
      </c>
      <c r="Q65" s="624">
        <v>6.7500000000000004E-2</v>
      </c>
      <c r="R65" s="623">
        <v>3</v>
      </c>
      <c r="S65" s="526"/>
      <c r="T65" s="624" t="s">
        <v>1065</v>
      </c>
      <c r="U65" s="621">
        <v>4.5222222222222221</v>
      </c>
      <c r="V65" s="653">
        <v>47430</v>
      </c>
      <c r="W65" s="621" t="s">
        <v>1066</v>
      </c>
      <c r="X65" s="627">
        <v>100</v>
      </c>
      <c r="Y65" s="527"/>
      <c r="Z65" s="641"/>
      <c r="AA65" s="628"/>
      <c r="AB65" s="629">
        <v>66.954901924900057</v>
      </c>
      <c r="AC65" s="524">
        <v>2.2195661738466961</v>
      </c>
      <c r="AD65" s="524">
        <v>4.7332466315232091</v>
      </c>
      <c r="AE65" s="524"/>
      <c r="AF65" s="524">
        <v>5.0236778117796055</v>
      </c>
      <c r="AG65" s="653">
        <v>45808</v>
      </c>
      <c r="AH65" s="621"/>
      <c r="AI65" s="652">
        <v>4.4645336279665164</v>
      </c>
      <c r="AJ65" s="652">
        <v>70.811008957276698</v>
      </c>
      <c r="AK65" s="524">
        <v>0.31160750004623683</v>
      </c>
      <c r="AL65" s="524"/>
      <c r="AM65" s="652">
        <f>VLOOKUP($A65, [1]BB!$C$1:$K$73, 8, FALSE)</f>
        <v>4.8082879614866947</v>
      </c>
      <c r="AN65" s="652">
        <v>0.33120692551459019</v>
      </c>
      <c r="AO65" s="652">
        <f>VLOOKUP($A65, [1]BB!$C$1:$K$73, 9, FALSE)</f>
        <v>1.9699999669847252</v>
      </c>
      <c r="AP65" s="652">
        <f t="shared" ref="AP65:AP67" si="32">AC65-AO65</f>
        <v>0.24956620686197084</v>
      </c>
      <c r="AQ65" s="643"/>
      <c r="AR65" s="643"/>
      <c r="AS65" s="623" t="s">
        <v>1189</v>
      </c>
      <c r="AT65" s="658" t="s">
        <v>122</v>
      </c>
      <c r="AU65" s="623" t="s">
        <v>122</v>
      </c>
      <c r="AV65" s="644"/>
      <c r="AW65" s="619" t="s">
        <v>38</v>
      </c>
      <c r="AX65" s="633">
        <v>6981437.5</v>
      </c>
      <c r="AY65" s="633">
        <v>0</v>
      </c>
      <c r="AZ65" s="633">
        <f t="shared" si="19"/>
        <v>6981437.5</v>
      </c>
      <c r="BA65" s="633"/>
      <c r="BB65" s="629" t="s">
        <v>1067</v>
      </c>
      <c r="BC65" s="629" t="s">
        <v>1190</v>
      </c>
      <c r="BD65" s="634">
        <v>100</v>
      </c>
      <c r="BE65" s="666">
        <f t="shared" si="20"/>
        <v>0</v>
      </c>
      <c r="BF65" s="666">
        <f t="shared" si="21"/>
        <v>0</v>
      </c>
      <c r="BG65" s="666">
        <f t="shared" si="22"/>
        <v>0</v>
      </c>
      <c r="BH65" s="666">
        <f t="shared" si="23"/>
        <v>0</v>
      </c>
      <c r="BI65" s="666">
        <f t="shared" si="24"/>
        <v>0</v>
      </c>
      <c r="BJ65" s="666">
        <f t="shared" si="25"/>
        <v>0</v>
      </c>
      <c r="BK65" s="666">
        <f t="shared" si="26"/>
        <v>0</v>
      </c>
      <c r="BL65" s="666">
        <f t="shared" si="27"/>
        <v>0</v>
      </c>
      <c r="BM65" s="666">
        <f t="shared" si="28"/>
        <v>0</v>
      </c>
      <c r="BN65" s="666">
        <f t="shared" si="29"/>
        <v>0</v>
      </c>
      <c r="BO65" s="666">
        <f t="shared" si="30"/>
        <v>0</v>
      </c>
      <c r="BP65" s="666">
        <f t="shared" si="31"/>
        <v>0</v>
      </c>
      <c r="BQ65" s="636">
        <f t="shared" ref="BQ65:BQ67" si="33">H65</f>
        <v>6963940.1600000001</v>
      </c>
      <c r="BR65" s="637">
        <v>100</v>
      </c>
      <c r="BS65" s="638">
        <f t="shared" ref="BS65:BS67" si="34">BR65*AZ65/100</f>
        <v>6981437.5</v>
      </c>
      <c r="BT65" s="639"/>
      <c r="BU65" s="633">
        <f t="shared" ref="BU65:BU67" si="35">BS65-BT65</f>
        <v>6981437.5</v>
      </c>
      <c r="BV65" s="639"/>
      <c r="BW65" s="666" t="str">
        <f t="shared" ref="BW65:BW67" si="36">IF(LEN(AJ65)=0,"EBITDA missing",IF(AJ65&gt;10000,"EBITDA bad",IF(AJ65&lt;=15,"15-",IF(AJ65&gt;=30,"30+","15-30"))))</f>
        <v>30+</v>
      </c>
      <c r="BX65" s="666" t="str">
        <f t="shared" ref="BX65:BX67" si="37">IF(AE65&lt;=0.25,"&lt;0.25",IF(AE65&gt;1.5,"&gt;1.50","0.25-1.50"))</f>
        <v>&lt;0.25</v>
      </c>
      <c r="BY65" s="635"/>
      <c r="BZ65" s="666" t="str">
        <f t="shared" ref="BZ65:BZ67" si="38">IF(K65="FL",K65&amp;" "&amp;BW65,IF(K65="FLLO",IF(OR(BX65="&lt;0.25",BY65="FL"),"FL"&amp;" "&amp;BW65,K65&amp;" "&amp;BX65),K65))</f>
        <v>FL 30+</v>
      </c>
    </row>
    <row r="66" spans="1:78">
      <c r="A66" s="616" t="s">
        <v>1333</v>
      </c>
      <c r="B66" s="617"/>
      <c r="C66" s="651">
        <v>45838</v>
      </c>
      <c r="D66" s="619" t="s">
        <v>1057</v>
      </c>
      <c r="E66" s="616" t="s">
        <v>1342</v>
      </c>
      <c r="F66" s="620" t="s">
        <v>1335</v>
      </c>
      <c r="G66" s="621" t="s">
        <v>1061</v>
      </c>
      <c r="H66" s="622">
        <v>2315058.27</v>
      </c>
      <c r="I66" s="522"/>
      <c r="J66" s="621" t="s">
        <v>90</v>
      </c>
      <c r="K66" s="621" t="s">
        <v>1062</v>
      </c>
      <c r="L66" s="623" t="s">
        <v>232</v>
      </c>
      <c r="M66" s="623" t="s">
        <v>1064</v>
      </c>
      <c r="N66" s="624">
        <v>9.2826000000000006E-2</v>
      </c>
      <c r="O66" s="625" t="s">
        <v>225</v>
      </c>
      <c r="P66" s="624">
        <v>0.01</v>
      </c>
      <c r="Q66" s="624">
        <v>0.05</v>
      </c>
      <c r="R66" s="623">
        <v>3</v>
      </c>
      <c r="S66" s="526"/>
      <c r="T66" s="624" t="s">
        <v>1065</v>
      </c>
      <c r="U66" s="621">
        <v>4.2611111111111111</v>
      </c>
      <c r="V66" s="653">
        <v>47334</v>
      </c>
      <c r="W66" s="621" t="s">
        <v>1066</v>
      </c>
      <c r="X66" s="627">
        <v>100</v>
      </c>
      <c r="Y66" s="527"/>
      <c r="Z66" s="641"/>
      <c r="AA66" s="628"/>
      <c r="AB66" s="629">
        <v>65.727999999999994</v>
      </c>
      <c r="AC66" s="524">
        <v>1.786815277966562</v>
      </c>
      <c r="AD66" s="524">
        <v>3.9264544790652387</v>
      </c>
      <c r="AE66" s="524"/>
      <c r="AF66" s="524">
        <v>3.9264544790652387</v>
      </c>
      <c r="AG66" s="653">
        <v>45747</v>
      </c>
      <c r="AH66" s="621"/>
      <c r="AI66" s="652">
        <v>4.3704656922255127</v>
      </c>
      <c r="AJ66" s="652">
        <v>61.779000000000003</v>
      </c>
      <c r="AK66" s="524">
        <v>0</v>
      </c>
      <c r="AL66" s="524"/>
      <c r="AM66" s="652">
        <f>VLOOKUP($A66, [1]BB!$C$1:$K$73, 8, FALSE)</f>
        <v>4.3704656922255127</v>
      </c>
      <c r="AN66" s="652">
        <v>0</v>
      </c>
      <c r="AO66" s="652">
        <f>VLOOKUP($A66, [1]BB!$C$1:$K$73, 9, FALSE)</f>
        <v>1.8366382257632969</v>
      </c>
      <c r="AP66" s="652">
        <f t="shared" si="32"/>
        <v>-4.9822947796734907E-2</v>
      </c>
      <c r="AQ66" s="643"/>
      <c r="AR66" s="643"/>
      <c r="AS66" s="623" t="s">
        <v>1189</v>
      </c>
      <c r="AT66" s="658" t="s">
        <v>122</v>
      </c>
      <c r="AU66" s="623" t="s">
        <v>122</v>
      </c>
      <c r="AV66" s="644"/>
      <c r="AW66" s="619" t="s">
        <v>38</v>
      </c>
      <c r="AX66" s="633">
        <v>2320875</v>
      </c>
      <c r="AY66" s="633">
        <v>0</v>
      </c>
      <c r="AZ66" s="633">
        <f t="shared" ref="AZ66:AZ71" si="39">+AX66-AY66</f>
        <v>2320875</v>
      </c>
      <c r="BA66" s="633"/>
      <c r="BB66" s="629" t="s">
        <v>1067</v>
      </c>
      <c r="BC66" s="629" t="s">
        <v>1190</v>
      </c>
      <c r="BD66" s="634">
        <v>100</v>
      </c>
      <c r="BE66" s="666">
        <f t="shared" ref="BE66:BE68" si="40">IF(LEFT(BZ66,3)="FL ",0,1)</f>
        <v>0</v>
      </c>
      <c r="BF66" s="666">
        <f t="shared" ref="BF66:BF68" si="41">IF(OR(J66="FLLO",L66="2L"),1,0)</f>
        <v>0</v>
      </c>
      <c r="BG66" s="666">
        <f t="shared" ref="BG66:BG68" si="42">IF(L66="2L",1,0)</f>
        <v>0</v>
      </c>
      <c r="BH66" s="666">
        <f t="shared" ref="BH66:BH68" si="43">IF(J66="USD",0,1)</f>
        <v>0</v>
      </c>
      <c r="BI66" s="666">
        <f t="shared" ref="BI66:BI68" si="44">IF(W66="USA",0,1)</f>
        <v>0</v>
      </c>
      <c r="BJ66" s="666">
        <f t="shared" ref="BJ66:BJ68" si="45">IF(AJ66&lt;15,1,0)</f>
        <v>0</v>
      </c>
      <c r="BK66" s="666">
        <f t="shared" ref="BK66:BK68" si="46">IF(AJ66&lt;10,1,0)</f>
        <v>0</v>
      </c>
      <c r="BL66" s="666">
        <f t="shared" ref="BL66:BL68" si="47">IF(BA66="Yes",1,0)</f>
        <v>0</v>
      </c>
      <c r="BM66" s="666">
        <f t="shared" ref="BM66:BM68" si="48">IF(AT66="Yes",1,0)</f>
        <v>0</v>
      </c>
      <c r="BN66" s="666">
        <f t="shared" ref="BN66:BN68" si="49">IF(AI66&gt;5.5,1,0)</f>
        <v>0</v>
      </c>
      <c r="BO66" s="666">
        <f t="shared" ref="BO66:BO68" si="50">IF(M66="Fixed",1,0)</f>
        <v>0</v>
      </c>
      <c r="BP66" s="666">
        <f t="shared" ref="BP66:BP68" si="51">IF(AU66="Yes",1,0)</f>
        <v>0</v>
      </c>
      <c r="BQ66" s="636">
        <f t="shared" si="33"/>
        <v>2315058.27</v>
      </c>
      <c r="BR66" s="637">
        <v>100</v>
      </c>
      <c r="BS66" s="638">
        <f t="shared" si="34"/>
        <v>2320875</v>
      </c>
      <c r="BT66" s="639"/>
      <c r="BU66" s="633">
        <f t="shared" si="35"/>
        <v>2320875</v>
      </c>
      <c r="BV66" s="639"/>
      <c r="BW66" s="666" t="str">
        <f t="shared" si="36"/>
        <v>30+</v>
      </c>
      <c r="BX66" s="666" t="str">
        <f t="shared" si="37"/>
        <v>&lt;0.25</v>
      </c>
      <c r="BY66" s="635"/>
      <c r="BZ66" s="666" t="str">
        <f t="shared" si="38"/>
        <v>FL 30+</v>
      </c>
    </row>
    <row r="67" spans="1:78">
      <c r="A67" s="616" t="s">
        <v>1338</v>
      </c>
      <c r="B67" s="617"/>
      <c r="C67" s="651">
        <v>45838</v>
      </c>
      <c r="D67" s="619" t="s">
        <v>1057</v>
      </c>
      <c r="E67" s="616" t="s">
        <v>1343</v>
      </c>
      <c r="F67" s="620" t="s">
        <v>1336</v>
      </c>
      <c r="G67" s="621" t="s">
        <v>1061</v>
      </c>
      <c r="H67" s="622">
        <v>2093291.07</v>
      </c>
      <c r="I67" s="525"/>
      <c r="J67" s="621" t="s">
        <v>90</v>
      </c>
      <c r="K67" s="621" t="s">
        <v>1062</v>
      </c>
      <c r="L67" s="623" t="s">
        <v>325</v>
      </c>
      <c r="M67" s="623" t="s">
        <v>1064</v>
      </c>
      <c r="N67" s="624">
        <v>9.0491999999999989E-2</v>
      </c>
      <c r="O67" s="625" t="s">
        <v>225</v>
      </c>
      <c r="P67" s="624">
        <v>0.01</v>
      </c>
      <c r="Q67" s="624">
        <v>4.7500000000000001E-2</v>
      </c>
      <c r="R67" s="623">
        <v>3</v>
      </c>
      <c r="S67" s="526"/>
      <c r="T67" s="624" t="s">
        <v>1065</v>
      </c>
      <c r="U67" s="621">
        <v>5.5555555555555554</v>
      </c>
      <c r="V67" s="653">
        <v>47807</v>
      </c>
      <c r="W67" s="621" t="s">
        <v>1066</v>
      </c>
      <c r="X67" s="627">
        <v>100</v>
      </c>
      <c r="Y67" s="527"/>
      <c r="Z67" s="641"/>
      <c r="AA67" s="628"/>
      <c r="AB67" s="629">
        <v>10.888</v>
      </c>
      <c r="AC67" s="524">
        <v>1.8772413793103448</v>
      </c>
      <c r="AD67" s="524">
        <v>4.1373071271124173</v>
      </c>
      <c r="AE67" s="524"/>
      <c r="AF67" s="524">
        <v>4.1373071271124173</v>
      </c>
      <c r="AG67" s="653">
        <v>45808</v>
      </c>
      <c r="AH67" s="621"/>
      <c r="AI67" s="652">
        <v>3.9429104849775691</v>
      </c>
      <c r="AJ67" s="652">
        <v>14.539722679077292</v>
      </c>
      <c r="AK67" s="524">
        <v>-4.0746372779411288E-2</v>
      </c>
      <c r="AL67" s="524"/>
      <c r="AM67" s="652">
        <f>VLOOKUP($A67, [1]BB!$C$1:$K$73, 8, FALSE)</f>
        <v>3.9429104849775691</v>
      </c>
      <c r="AN67" s="652">
        <v>-4.0746372779411288E-2</v>
      </c>
      <c r="AO67" s="652">
        <f>VLOOKUP($A67, [1]BB!$C$1:$K$73, 9, FALSE)</f>
        <v>2.0839723043394098</v>
      </c>
      <c r="AP67" s="652">
        <f t="shared" si="32"/>
        <v>-0.20673092502906498</v>
      </c>
      <c r="AQ67" s="643"/>
      <c r="AR67" s="643"/>
      <c r="AS67" s="623" t="s">
        <v>1189</v>
      </c>
      <c r="AT67" s="658" t="s">
        <v>122</v>
      </c>
      <c r="AU67" s="623" t="s">
        <v>122</v>
      </c>
      <c r="AV67" s="644"/>
      <c r="AW67" s="619" t="s">
        <v>38</v>
      </c>
      <c r="AX67" s="633">
        <v>2098550.6</v>
      </c>
      <c r="AY67" s="633">
        <v>0</v>
      </c>
      <c r="AZ67" s="633">
        <f t="shared" si="39"/>
        <v>2098550.6</v>
      </c>
      <c r="BA67" s="633"/>
      <c r="BB67" s="629" t="s">
        <v>1067</v>
      </c>
      <c r="BC67" s="629" t="s">
        <v>1190</v>
      </c>
      <c r="BD67" s="634">
        <v>100</v>
      </c>
      <c r="BE67" s="666">
        <f t="shared" si="40"/>
        <v>0</v>
      </c>
      <c r="BF67" s="666">
        <f t="shared" si="41"/>
        <v>0</v>
      </c>
      <c r="BG67" s="666">
        <f t="shared" si="42"/>
        <v>0</v>
      </c>
      <c r="BH67" s="666">
        <f t="shared" si="43"/>
        <v>0</v>
      </c>
      <c r="BI67" s="666">
        <f t="shared" si="44"/>
        <v>0</v>
      </c>
      <c r="BJ67" s="666">
        <f t="shared" si="45"/>
        <v>1</v>
      </c>
      <c r="BK67" s="666">
        <f t="shared" si="46"/>
        <v>0</v>
      </c>
      <c r="BL67" s="666">
        <f t="shared" si="47"/>
        <v>0</v>
      </c>
      <c r="BM67" s="666">
        <f t="shared" si="48"/>
        <v>0</v>
      </c>
      <c r="BN67" s="666">
        <f t="shared" si="49"/>
        <v>0</v>
      </c>
      <c r="BO67" s="666">
        <f t="shared" si="50"/>
        <v>0</v>
      </c>
      <c r="BP67" s="666">
        <f t="shared" si="51"/>
        <v>0</v>
      </c>
      <c r="BQ67" s="636">
        <f t="shared" si="33"/>
        <v>2093291.07</v>
      </c>
      <c r="BR67" s="637">
        <v>100</v>
      </c>
      <c r="BS67" s="638">
        <f t="shared" si="34"/>
        <v>2098550.6</v>
      </c>
      <c r="BT67" s="639"/>
      <c r="BU67" s="633">
        <f t="shared" si="35"/>
        <v>2098550.6</v>
      </c>
      <c r="BV67" s="639"/>
      <c r="BW67" s="666" t="str">
        <f t="shared" si="36"/>
        <v>15-</v>
      </c>
      <c r="BX67" s="666" t="str">
        <f t="shared" si="37"/>
        <v>&lt;0.25</v>
      </c>
      <c r="BY67" s="635"/>
      <c r="BZ67" s="666" t="str">
        <f t="shared" si="38"/>
        <v>FL 15-</v>
      </c>
    </row>
    <row r="68" spans="1:78">
      <c r="A68" s="616" t="s">
        <v>1340</v>
      </c>
      <c r="B68" s="617"/>
      <c r="C68" s="651">
        <v>45838</v>
      </c>
      <c r="D68" s="619" t="s">
        <v>1057</v>
      </c>
      <c r="E68" s="616" t="s">
        <v>1344</v>
      </c>
      <c r="F68" s="620" t="s">
        <v>1337</v>
      </c>
      <c r="G68" s="621" t="s">
        <v>1061</v>
      </c>
      <c r="H68" s="622">
        <v>12989293.380000001</v>
      </c>
      <c r="I68" s="522"/>
      <c r="J68" s="621" t="s">
        <v>90</v>
      </c>
      <c r="K68" s="621" t="s">
        <v>1062</v>
      </c>
      <c r="L68" s="623" t="s">
        <v>232</v>
      </c>
      <c r="M68" s="623" t="s">
        <v>1064</v>
      </c>
      <c r="N68" s="624">
        <v>0.100492</v>
      </c>
      <c r="O68" s="625" t="s">
        <v>225</v>
      </c>
      <c r="P68" s="624">
        <v>0.01</v>
      </c>
      <c r="Q68" s="624">
        <v>5.7500000000000002E-2</v>
      </c>
      <c r="R68" s="623">
        <v>3</v>
      </c>
      <c r="S68" s="526"/>
      <c r="T68" s="624" t="s">
        <v>1065</v>
      </c>
      <c r="U68" s="621">
        <v>4.625</v>
      </c>
      <c r="V68" s="653">
        <v>47467</v>
      </c>
      <c r="W68" s="621" t="s">
        <v>1066</v>
      </c>
      <c r="X68" s="627">
        <v>100</v>
      </c>
      <c r="Y68" s="527"/>
      <c r="Z68" s="641"/>
      <c r="AA68" s="628"/>
      <c r="AB68" s="629">
        <v>20.399999999999999</v>
      </c>
      <c r="AC68" s="524">
        <v>2.193548387096774</v>
      </c>
      <c r="AD68" s="524">
        <v>3.8333333333333339</v>
      </c>
      <c r="AE68" s="524"/>
      <c r="AF68" s="524">
        <v>4.3235294117647065</v>
      </c>
      <c r="AG68" s="653">
        <v>45777</v>
      </c>
      <c r="AH68" s="621"/>
      <c r="AI68" s="652">
        <v>4.1491994545179045</v>
      </c>
      <c r="AJ68" s="652">
        <v>19.798999999999999</v>
      </c>
      <c r="AK68" s="524">
        <v>4.0049019607843572E-2</v>
      </c>
      <c r="AL68" s="524"/>
      <c r="AM68" s="652">
        <f>VLOOKUP($A68, [1]BB!$C$1:$K$73, 8, FALSE)</f>
        <v>4.6542754684580023</v>
      </c>
      <c r="AN68" s="652">
        <v>4.0049019607844016E-2</v>
      </c>
      <c r="AO68" s="652">
        <f>VLOOKUP($A68, [1]BB!$C$1:$K$73, 9, FALSE)</f>
        <v>3.5160717456934822</v>
      </c>
      <c r="AP68" s="652">
        <f t="shared" ref="AP68:AP77" si="52">AC68-AO68</f>
        <v>-1.3225233585967082</v>
      </c>
      <c r="AQ68" s="643"/>
      <c r="AR68" s="643"/>
      <c r="AS68" s="623" t="s">
        <v>1189</v>
      </c>
      <c r="AT68" s="658" t="s">
        <v>122</v>
      </c>
      <c r="AU68" s="623" t="s">
        <v>122</v>
      </c>
      <c r="AV68" s="644"/>
      <c r="AW68" s="619" t="s">
        <v>38</v>
      </c>
      <c r="AX68" s="633">
        <v>13022012</v>
      </c>
      <c r="AY68" s="633">
        <v>0</v>
      </c>
      <c r="AZ68" s="633">
        <f t="shared" si="39"/>
        <v>13022012</v>
      </c>
      <c r="BA68" s="633"/>
      <c r="BB68" s="629" t="s">
        <v>1067</v>
      </c>
      <c r="BC68" s="629" t="s">
        <v>1190</v>
      </c>
      <c r="BD68" s="634">
        <v>100</v>
      </c>
      <c r="BE68" s="666">
        <f t="shared" si="40"/>
        <v>0</v>
      </c>
      <c r="BF68" s="666">
        <f t="shared" si="41"/>
        <v>0</v>
      </c>
      <c r="BG68" s="666">
        <f t="shared" si="42"/>
        <v>0</v>
      </c>
      <c r="BH68" s="666">
        <f t="shared" si="43"/>
        <v>0</v>
      </c>
      <c r="BI68" s="666">
        <f t="shared" si="44"/>
        <v>0</v>
      </c>
      <c r="BJ68" s="666">
        <f t="shared" si="45"/>
        <v>0</v>
      </c>
      <c r="BK68" s="666">
        <f t="shared" si="46"/>
        <v>0</v>
      </c>
      <c r="BL68" s="666">
        <f t="shared" si="47"/>
        <v>0</v>
      </c>
      <c r="BM68" s="666">
        <f t="shared" si="48"/>
        <v>0</v>
      </c>
      <c r="BN68" s="666">
        <f t="shared" si="49"/>
        <v>0</v>
      </c>
      <c r="BO68" s="666">
        <f t="shared" si="50"/>
        <v>0</v>
      </c>
      <c r="BP68" s="666">
        <f t="shared" si="51"/>
        <v>0</v>
      </c>
      <c r="BQ68" s="636">
        <f t="shared" ref="BQ68" si="53">H68</f>
        <v>12989293.380000001</v>
      </c>
      <c r="BR68" s="637">
        <v>100</v>
      </c>
      <c r="BS68" s="638">
        <f t="shared" ref="BS68" si="54">BR68*AZ68/100</f>
        <v>13022012</v>
      </c>
      <c r="BT68" s="639"/>
      <c r="BU68" s="633">
        <f t="shared" ref="BU68" si="55">BS68-BT68</f>
        <v>13022012</v>
      </c>
      <c r="BV68" s="639"/>
      <c r="BW68" s="666" t="str">
        <f t="shared" ref="BW68" si="56">IF(LEN(AJ68)=0,"EBITDA missing",IF(AJ68&gt;10000,"EBITDA bad",IF(AJ68&lt;=15,"15-",IF(AJ68&gt;=30,"30+","15-30"))))</f>
        <v>15-30</v>
      </c>
      <c r="BX68" s="666" t="str">
        <f t="shared" ref="BX68" si="57">IF(AE68&lt;=0.25,"&lt;0.25",IF(AE68&gt;1.5,"&gt;1.50","0.25-1.50"))</f>
        <v>&lt;0.25</v>
      </c>
      <c r="BY68" s="635"/>
      <c r="BZ68" s="666" t="str">
        <f t="shared" ref="BZ68" si="58">IF(K68="FL",K68&amp;" "&amp;BW68,IF(K68="FLLO",IF(OR(BX68="&lt;0.25",BY68="FL"),"FL"&amp;" "&amp;BW68,K68&amp;" "&amp;BX68),K68))</f>
        <v>FL 15-30</v>
      </c>
    </row>
    <row r="69" spans="1:78">
      <c r="A69" s="616" t="s">
        <v>1354</v>
      </c>
      <c r="B69" s="617"/>
      <c r="C69" s="651">
        <v>45838</v>
      </c>
      <c r="D69" s="619" t="s">
        <v>1057</v>
      </c>
      <c r="E69" s="616" t="s">
        <v>1360</v>
      </c>
      <c r="F69" s="620" t="s">
        <v>1357</v>
      </c>
      <c r="G69" s="621" t="s">
        <v>1061</v>
      </c>
      <c r="H69" s="622">
        <v>5970000</v>
      </c>
      <c r="I69" s="522"/>
      <c r="J69" s="621" t="s">
        <v>90</v>
      </c>
      <c r="K69" s="621" t="s">
        <v>1062</v>
      </c>
      <c r="L69" s="623" t="s">
        <v>232</v>
      </c>
      <c r="M69" s="623" t="s">
        <v>1064</v>
      </c>
      <c r="N69" s="624">
        <v>9.5491999999999994E-2</v>
      </c>
      <c r="O69" s="625" t="s">
        <v>225</v>
      </c>
      <c r="P69" s="624">
        <v>0.01</v>
      </c>
      <c r="Q69" s="624">
        <v>5.2499999999999998E-2</v>
      </c>
      <c r="R69" s="623">
        <v>3</v>
      </c>
      <c r="S69" s="526"/>
      <c r="T69" s="624" t="s">
        <v>1065</v>
      </c>
      <c r="U69" s="621">
        <v>5.6305555555555555</v>
      </c>
      <c r="V69" s="653">
        <v>47834</v>
      </c>
      <c r="W69" s="621" t="s">
        <v>1066</v>
      </c>
      <c r="X69" s="627">
        <v>100</v>
      </c>
      <c r="Y69" s="527"/>
      <c r="Z69" s="641"/>
      <c r="AA69" s="641"/>
      <c r="AB69" s="646">
        <v>23.625688</v>
      </c>
      <c r="AC69" s="528">
        <v>1.6409410260538424</v>
      </c>
      <c r="AD69" s="524">
        <v>5.1738042083684501</v>
      </c>
      <c r="AE69" s="528"/>
      <c r="AF69" s="528">
        <v>5.1738042083684501</v>
      </c>
      <c r="AG69" s="653">
        <v>45777</v>
      </c>
      <c r="AH69" s="642"/>
      <c r="AI69" s="652">
        <v>5.2453727922402136</v>
      </c>
      <c r="AJ69" s="652">
        <v>22.035960511900001</v>
      </c>
      <c r="AK69" s="524">
        <v>0.1411420181934</v>
      </c>
      <c r="AL69" s="524"/>
      <c r="AM69" s="652">
        <f>VLOOKUP($A69, [1]BB!$C$1:$K$73, 8, FALSE)</f>
        <v>5.2453727922402136</v>
      </c>
      <c r="AN69" s="652">
        <v>0.1411420181934</v>
      </c>
      <c r="AO69" s="652">
        <f>VLOOKUP($A69, [1]BB!$C$1:$K$73, 9, FALSE)</f>
        <v>1.5991844115784608</v>
      </c>
      <c r="AP69" s="652">
        <f t="shared" si="52"/>
        <v>4.1756614475381593E-2</v>
      </c>
      <c r="AQ69" s="643"/>
      <c r="AR69" s="643"/>
      <c r="AS69" s="623" t="s">
        <v>1189</v>
      </c>
      <c r="AT69" s="658" t="s">
        <v>122</v>
      </c>
      <c r="AU69" s="623" t="s">
        <v>122</v>
      </c>
      <c r="AV69" s="644"/>
      <c r="AW69" s="619" t="s">
        <v>38</v>
      </c>
      <c r="AX69" s="633">
        <v>5985000</v>
      </c>
      <c r="AY69" s="633">
        <v>0</v>
      </c>
      <c r="AZ69" s="633">
        <f t="shared" si="39"/>
        <v>5985000</v>
      </c>
      <c r="BA69" s="633"/>
      <c r="BB69" s="629" t="s">
        <v>1067</v>
      </c>
      <c r="BC69" s="629" t="s">
        <v>1190</v>
      </c>
      <c r="BD69" s="634">
        <v>100</v>
      </c>
      <c r="BE69" s="666">
        <f t="shared" ref="BE69:BE71" si="59">IF(LEFT(BZ69,3)="FL ",0,1)</f>
        <v>0</v>
      </c>
      <c r="BF69" s="666">
        <f t="shared" ref="BF69:BF71" si="60">IF(OR(J69="FLLO",L69="2L"),1,0)</f>
        <v>0</v>
      </c>
      <c r="BG69" s="666">
        <f t="shared" ref="BG69:BG71" si="61">IF(L69="2L",1,0)</f>
        <v>0</v>
      </c>
      <c r="BH69" s="666">
        <f t="shared" ref="BH69:BH71" si="62">IF(J69="USD",0,1)</f>
        <v>0</v>
      </c>
      <c r="BI69" s="666">
        <f t="shared" ref="BI69:BI71" si="63">IF(W69="USA",0,1)</f>
        <v>0</v>
      </c>
      <c r="BJ69" s="666">
        <f t="shared" ref="BJ69:BJ71" si="64">IF(AJ69&lt;15,1,0)</f>
        <v>0</v>
      </c>
      <c r="BK69" s="666">
        <f t="shared" ref="BK69:BK71" si="65">IF(AJ69&lt;10,1,0)</f>
        <v>0</v>
      </c>
      <c r="BL69" s="666">
        <f t="shared" ref="BL69:BL71" si="66">IF(BA69="Yes",1,0)</f>
        <v>0</v>
      </c>
      <c r="BM69" s="666">
        <f t="shared" ref="BM69:BM71" si="67">IF(AT69="Yes",1,0)</f>
        <v>0</v>
      </c>
      <c r="BN69" s="666">
        <f t="shared" ref="BN69:BN71" si="68">IF(AI69&gt;5.5,1,0)</f>
        <v>0</v>
      </c>
      <c r="BO69" s="666">
        <f t="shared" ref="BO69:BO71" si="69">IF(M69="Fixed",1,0)</f>
        <v>0</v>
      </c>
      <c r="BP69" s="666">
        <f t="shared" ref="BP69:BP71" si="70">IF(AU69="Yes",1,0)</f>
        <v>0</v>
      </c>
      <c r="BQ69" s="636">
        <f t="shared" ref="BQ69:BQ71" si="71">H69</f>
        <v>5970000</v>
      </c>
      <c r="BR69" s="637">
        <v>100</v>
      </c>
      <c r="BS69" s="638">
        <f t="shared" ref="BS69:BS71" si="72">BR69*AZ69/100</f>
        <v>5985000</v>
      </c>
      <c r="BT69" s="639"/>
      <c r="BU69" s="633">
        <f t="shared" ref="BU69:BU71" si="73">BS69-BT69</f>
        <v>5985000</v>
      </c>
      <c r="BV69" s="639"/>
      <c r="BW69" s="666" t="str">
        <f t="shared" ref="BW69:BW71" si="74">IF(LEN(AJ69)=0,"EBITDA missing",IF(AJ69&gt;10000,"EBITDA bad",IF(AJ69&lt;=15,"15-",IF(AJ69&gt;=30,"30+","15-30"))))</f>
        <v>15-30</v>
      </c>
      <c r="BX69" s="666" t="str">
        <f t="shared" ref="BX69:BX71" si="75">IF(AE69&lt;=0.25,"&lt;0.25",IF(AE69&gt;1.5,"&gt;1.50","0.25-1.50"))</f>
        <v>&lt;0.25</v>
      </c>
      <c r="BY69" s="635"/>
      <c r="BZ69" s="666" t="str">
        <f t="shared" ref="BZ69:BZ71" si="76">IF(K69="FL",K69&amp;" "&amp;BW69,IF(K69="FLLO",IF(OR(BX69="&lt;0.25",BY69="FL"),"FL"&amp;" "&amp;BW69,K69&amp;" "&amp;BX69),K69))</f>
        <v>FL 15-30</v>
      </c>
    </row>
    <row r="70" spans="1:78">
      <c r="A70" s="616" t="s">
        <v>1355</v>
      </c>
      <c r="B70" s="617"/>
      <c r="C70" s="651">
        <v>45838</v>
      </c>
      <c r="D70" s="619" t="s">
        <v>1057</v>
      </c>
      <c r="E70" s="616" t="s">
        <v>1361</v>
      </c>
      <c r="F70" s="620" t="s">
        <v>1358</v>
      </c>
      <c r="G70" s="621" t="s">
        <v>1061</v>
      </c>
      <c r="H70" s="622">
        <v>4975000</v>
      </c>
      <c r="I70" s="522"/>
      <c r="J70" s="621" t="s">
        <v>90</v>
      </c>
      <c r="K70" s="621" t="s">
        <v>1062</v>
      </c>
      <c r="L70" s="623" t="s">
        <v>199</v>
      </c>
      <c r="M70" s="623" t="s">
        <v>1064</v>
      </c>
      <c r="N70" s="624">
        <v>9.2992000000000005E-2</v>
      </c>
      <c r="O70" s="625" t="s">
        <v>225</v>
      </c>
      <c r="P70" s="624">
        <v>0.01</v>
      </c>
      <c r="Q70" s="624">
        <v>0.05</v>
      </c>
      <c r="R70" s="623">
        <v>3</v>
      </c>
      <c r="S70" s="526"/>
      <c r="T70" s="624" t="s">
        <v>1065</v>
      </c>
      <c r="U70" s="621">
        <v>4.6388888888888893</v>
      </c>
      <c r="V70" s="653">
        <v>47472</v>
      </c>
      <c r="W70" s="621" t="s">
        <v>1066</v>
      </c>
      <c r="X70" s="627">
        <v>100</v>
      </c>
      <c r="Y70" s="527"/>
      <c r="Z70" s="641"/>
      <c r="AA70" s="628"/>
      <c r="AB70" s="629">
        <v>10.5</v>
      </c>
      <c r="AC70" s="524">
        <v>5.8189780613231763</v>
      </c>
      <c r="AD70" s="524">
        <v>1.949486310952381</v>
      </c>
      <c r="AE70" s="524"/>
      <c r="AF70" s="524">
        <v>1.949486310952381</v>
      </c>
      <c r="AG70" s="653">
        <v>45777</v>
      </c>
      <c r="AH70" s="642"/>
      <c r="AI70" s="652">
        <v>2.6610762594034663</v>
      </c>
      <c r="AJ70" s="652">
        <v>9.0241488890601023</v>
      </c>
      <c r="AK70" s="524">
        <v>-0.66531561322289257</v>
      </c>
      <c r="AL70" s="524"/>
      <c r="AM70" s="652">
        <f>VLOOKUP($A70, [1]BB!$C$1:$K$73, 8, FALSE)</f>
        <v>2.6610762594034663</v>
      </c>
      <c r="AN70" s="652">
        <v>-0.66531561322289257</v>
      </c>
      <c r="AO70" s="652">
        <f>VLOOKUP($A70, [1]BB!$C$1:$K$73, 9, FALSE)</f>
        <v>3.3436306574838133</v>
      </c>
      <c r="AP70" s="652">
        <f t="shared" si="52"/>
        <v>2.475347403839363</v>
      </c>
      <c r="AQ70" s="643"/>
      <c r="AR70" s="643"/>
      <c r="AS70" s="623" t="s">
        <v>1189</v>
      </c>
      <c r="AT70" s="658" t="s">
        <v>122</v>
      </c>
      <c r="AU70" s="623" t="s">
        <v>122</v>
      </c>
      <c r="AV70" s="644"/>
      <c r="AW70" s="619" t="s">
        <v>38</v>
      </c>
      <c r="AX70" s="633">
        <v>4987500</v>
      </c>
      <c r="AY70" s="633">
        <v>0</v>
      </c>
      <c r="AZ70" s="633">
        <f t="shared" si="39"/>
        <v>4987500</v>
      </c>
      <c r="BA70" s="633"/>
      <c r="BB70" s="629" t="s">
        <v>1067</v>
      </c>
      <c r="BC70" s="629" t="s">
        <v>1190</v>
      </c>
      <c r="BD70" s="634">
        <v>100</v>
      </c>
      <c r="BE70" s="666">
        <f t="shared" si="59"/>
        <v>0</v>
      </c>
      <c r="BF70" s="666">
        <f t="shared" si="60"/>
        <v>0</v>
      </c>
      <c r="BG70" s="666">
        <f t="shared" si="61"/>
        <v>0</v>
      </c>
      <c r="BH70" s="666">
        <f t="shared" si="62"/>
        <v>0</v>
      </c>
      <c r="BI70" s="666">
        <f t="shared" si="63"/>
        <v>0</v>
      </c>
      <c r="BJ70" s="666">
        <f t="shared" si="64"/>
        <v>1</v>
      </c>
      <c r="BK70" s="666">
        <f t="shared" si="65"/>
        <v>1</v>
      </c>
      <c r="BL70" s="666">
        <f t="shared" si="66"/>
        <v>0</v>
      </c>
      <c r="BM70" s="666">
        <f t="shared" si="67"/>
        <v>0</v>
      </c>
      <c r="BN70" s="666">
        <f t="shared" si="68"/>
        <v>0</v>
      </c>
      <c r="BO70" s="666">
        <f t="shared" si="69"/>
        <v>0</v>
      </c>
      <c r="BP70" s="666">
        <f t="shared" si="70"/>
        <v>0</v>
      </c>
      <c r="BQ70" s="636">
        <f t="shared" si="71"/>
        <v>4975000</v>
      </c>
      <c r="BR70" s="637">
        <v>100</v>
      </c>
      <c r="BS70" s="638">
        <f t="shared" si="72"/>
        <v>4987500</v>
      </c>
      <c r="BT70" s="639"/>
      <c r="BU70" s="633">
        <f t="shared" si="73"/>
        <v>4987500</v>
      </c>
      <c r="BV70" s="639"/>
      <c r="BW70" s="666" t="str">
        <f t="shared" si="74"/>
        <v>15-</v>
      </c>
      <c r="BX70" s="666" t="str">
        <f t="shared" si="75"/>
        <v>&lt;0.25</v>
      </c>
      <c r="BY70" s="635"/>
      <c r="BZ70" s="666" t="str">
        <f t="shared" si="76"/>
        <v>FL 15-</v>
      </c>
    </row>
    <row r="71" spans="1:78">
      <c r="A71" s="616" t="s">
        <v>1356</v>
      </c>
      <c r="B71" s="617"/>
      <c r="C71" s="651">
        <v>45838</v>
      </c>
      <c r="D71" s="619" t="s">
        <v>1057</v>
      </c>
      <c r="E71" s="616" t="s">
        <v>1362</v>
      </c>
      <c r="F71" s="620" t="s">
        <v>1359</v>
      </c>
      <c r="G71" s="621" t="s">
        <v>1061</v>
      </c>
      <c r="H71" s="622">
        <v>19950000</v>
      </c>
      <c r="I71" s="522"/>
      <c r="J71" s="621" t="s">
        <v>90</v>
      </c>
      <c r="K71" s="621" t="s">
        <v>1062</v>
      </c>
      <c r="L71" s="623" t="s">
        <v>197</v>
      </c>
      <c r="M71" s="623" t="s">
        <v>1064</v>
      </c>
      <c r="N71" s="624">
        <v>9.4666E-2</v>
      </c>
      <c r="O71" s="625" t="s">
        <v>225</v>
      </c>
      <c r="P71" s="624">
        <v>0.01</v>
      </c>
      <c r="Q71" s="624">
        <v>5.2499999999999998E-2</v>
      </c>
      <c r="R71" s="623">
        <v>3</v>
      </c>
      <c r="S71" s="526"/>
      <c r="T71" s="624" t="s">
        <v>1065</v>
      </c>
      <c r="U71" s="621">
        <v>5.6361111111111111</v>
      </c>
      <c r="V71" s="653">
        <v>47836</v>
      </c>
      <c r="W71" s="621" t="s">
        <v>1066</v>
      </c>
      <c r="X71" s="627">
        <v>100</v>
      </c>
      <c r="Y71" s="527"/>
      <c r="Z71" s="641"/>
      <c r="AA71" s="628"/>
      <c r="AB71" s="629">
        <v>22.007999999999999</v>
      </c>
      <c r="AC71" s="524">
        <v>1.8494117647058823</v>
      </c>
      <c r="AD71" s="524">
        <v>5.1249094761366498</v>
      </c>
      <c r="AE71" s="524"/>
      <c r="AF71" s="524">
        <v>5.1249094761366498</v>
      </c>
      <c r="AG71" s="653">
        <v>45777</v>
      </c>
      <c r="AH71" s="642"/>
      <c r="AI71" s="652">
        <v>4.9947366131628161</v>
      </c>
      <c r="AJ71" s="652">
        <v>22.989000000000001</v>
      </c>
      <c r="AK71" s="524">
        <v>0.125842268450441</v>
      </c>
      <c r="AL71" s="524"/>
      <c r="AM71" s="652">
        <f>VLOOKUP($A71, [1]BB!$C$1:$K$73, 8, FALSE)</f>
        <v>4.9947366131628161</v>
      </c>
      <c r="AN71" s="652">
        <v>0.125842268450441</v>
      </c>
      <c r="AO71" s="652">
        <f>VLOOKUP($A71, [1]BB!$C$1:$K$73, 9, FALSE)</f>
        <v>1.8379437160217464</v>
      </c>
      <c r="AP71" s="652">
        <f t="shared" si="52"/>
        <v>1.1468048684135868E-2</v>
      </c>
      <c r="AQ71" s="643"/>
      <c r="AR71" s="643"/>
      <c r="AS71" s="623" t="s">
        <v>1189</v>
      </c>
      <c r="AT71" s="658" t="s">
        <v>122</v>
      </c>
      <c r="AU71" s="623" t="s">
        <v>122</v>
      </c>
      <c r="AV71" s="644"/>
      <c r="AW71" s="619" t="s">
        <v>38</v>
      </c>
      <c r="AX71" s="633">
        <v>20000000</v>
      </c>
      <c r="AY71" s="633">
        <v>0</v>
      </c>
      <c r="AZ71" s="633">
        <f t="shared" si="39"/>
        <v>20000000</v>
      </c>
      <c r="BA71" s="633"/>
      <c r="BB71" s="629" t="s">
        <v>1067</v>
      </c>
      <c r="BC71" s="629" t="s">
        <v>1190</v>
      </c>
      <c r="BD71" s="634">
        <v>100</v>
      </c>
      <c r="BE71" s="666">
        <f t="shared" si="59"/>
        <v>0</v>
      </c>
      <c r="BF71" s="666">
        <f t="shared" si="60"/>
        <v>0</v>
      </c>
      <c r="BG71" s="666">
        <f t="shared" si="61"/>
        <v>0</v>
      </c>
      <c r="BH71" s="666">
        <f t="shared" si="62"/>
        <v>0</v>
      </c>
      <c r="BI71" s="666">
        <f t="shared" si="63"/>
        <v>0</v>
      </c>
      <c r="BJ71" s="666">
        <f t="shared" si="64"/>
        <v>0</v>
      </c>
      <c r="BK71" s="666">
        <f t="shared" si="65"/>
        <v>0</v>
      </c>
      <c r="BL71" s="666">
        <f t="shared" si="66"/>
        <v>0</v>
      </c>
      <c r="BM71" s="666">
        <f t="shared" si="67"/>
        <v>0</v>
      </c>
      <c r="BN71" s="666">
        <f t="shared" si="68"/>
        <v>0</v>
      </c>
      <c r="BO71" s="666">
        <f t="shared" si="69"/>
        <v>0</v>
      </c>
      <c r="BP71" s="666">
        <f t="shared" si="70"/>
        <v>0</v>
      </c>
      <c r="BQ71" s="636">
        <f t="shared" si="71"/>
        <v>19950000</v>
      </c>
      <c r="BR71" s="637">
        <v>100</v>
      </c>
      <c r="BS71" s="638">
        <f t="shared" si="72"/>
        <v>20000000</v>
      </c>
      <c r="BT71" s="639"/>
      <c r="BU71" s="633">
        <f t="shared" si="73"/>
        <v>20000000</v>
      </c>
      <c r="BV71" s="639"/>
      <c r="BW71" s="666" t="str">
        <f t="shared" si="74"/>
        <v>15-30</v>
      </c>
      <c r="BX71" s="666" t="str">
        <f t="shared" si="75"/>
        <v>&lt;0.25</v>
      </c>
      <c r="BY71" s="635"/>
      <c r="BZ71" s="666" t="str">
        <f t="shared" si="76"/>
        <v>FL 15-30</v>
      </c>
    </row>
    <row r="72" spans="1:78">
      <c r="A72" s="616" t="s">
        <v>1364</v>
      </c>
      <c r="B72" s="617"/>
      <c r="C72" s="651">
        <v>45838</v>
      </c>
      <c r="D72" s="619" t="s">
        <v>1057</v>
      </c>
      <c r="E72" s="616" t="s">
        <v>1370</v>
      </c>
      <c r="F72" s="620" t="s">
        <v>1367</v>
      </c>
      <c r="G72" s="621" t="s">
        <v>1061</v>
      </c>
      <c r="H72" s="622">
        <v>992500</v>
      </c>
      <c r="I72" s="522"/>
      <c r="J72" s="621" t="s">
        <v>90</v>
      </c>
      <c r="K72" s="621" t="s">
        <v>1062</v>
      </c>
      <c r="L72" s="623" t="s">
        <v>322</v>
      </c>
      <c r="M72" s="623" t="s">
        <v>1064</v>
      </c>
      <c r="N72" s="624">
        <v>9.7992000000000024E-2</v>
      </c>
      <c r="O72" s="625" t="s">
        <v>225</v>
      </c>
      <c r="P72" s="624">
        <v>0.01</v>
      </c>
      <c r="Q72" s="624">
        <v>5.5E-2</v>
      </c>
      <c r="R72" s="623">
        <v>3</v>
      </c>
      <c r="S72" s="526"/>
      <c r="T72" s="624" t="s">
        <v>1065</v>
      </c>
      <c r="U72" s="621">
        <v>2.4666666666666668</v>
      </c>
      <c r="V72" s="653">
        <v>46678</v>
      </c>
      <c r="W72" s="621" t="s">
        <v>1066</v>
      </c>
      <c r="X72" s="627">
        <v>100</v>
      </c>
      <c r="Y72" s="527"/>
      <c r="Z72" s="641"/>
      <c r="AA72" s="628"/>
      <c r="AB72" s="629">
        <v>35.390895498587639</v>
      </c>
      <c r="AC72" s="524">
        <v>1.8824944414142362</v>
      </c>
      <c r="AD72" s="524">
        <v>4.5944019700346077</v>
      </c>
      <c r="AE72" s="524"/>
      <c r="AF72" s="524">
        <v>4.5944019700346077</v>
      </c>
      <c r="AG72" s="653">
        <v>45777</v>
      </c>
      <c r="AH72" s="642"/>
      <c r="AI72" s="652">
        <v>4.4471711453871388</v>
      </c>
      <c r="AJ72" s="652">
        <v>33.991542850065102</v>
      </c>
      <c r="AK72" s="524">
        <v>-2.0467762505403719E-2</v>
      </c>
      <c r="AL72" s="524"/>
      <c r="AM72" s="652">
        <f>VLOOKUP($A72, [1]BB!$C$1:$K$73, 8, FALSE)</f>
        <v>4.4471711453871388</v>
      </c>
      <c r="AN72" s="652">
        <v>-2.0467762505403719E-2</v>
      </c>
      <c r="AO72" s="652">
        <f>VLOOKUP($A72, [1]BB!$C$1:$K$73, 9, FALSE)</f>
        <v>1.6981029191710504</v>
      </c>
      <c r="AP72" s="652">
        <f t="shared" si="52"/>
        <v>0.18439152224318578</v>
      </c>
      <c r="AQ72" s="643"/>
      <c r="AR72" s="643"/>
      <c r="AS72" s="623" t="s">
        <v>1189</v>
      </c>
      <c r="AT72" s="658" t="s">
        <v>122</v>
      </c>
      <c r="AU72" s="623" t="s">
        <v>122</v>
      </c>
      <c r="AV72" s="644"/>
      <c r="AW72" s="619" t="s">
        <v>38</v>
      </c>
      <c r="AX72" s="633">
        <v>995000</v>
      </c>
      <c r="AY72" s="633">
        <v>0</v>
      </c>
      <c r="AZ72" s="633">
        <f t="shared" ref="AZ72:AZ77" si="77">+AX72-AY72</f>
        <v>995000</v>
      </c>
      <c r="BA72" s="633"/>
      <c r="BB72" s="629" t="s">
        <v>1067</v>
      </c>
      <c r="BC72" s="629" t="s">
        <v>1190</v>
      </c>
      <c r="BD72" s="634">
        <v>100</v>
      </c>
      <c r="BE72" s="666">
        <f t="shared" ref="BE72:BE77" si="78">IF(LEFT(BZ72,3)="FL ",0,1)</f>
        <v>0</v>
      </c>
      <c r="BF72" s="666">
        <f t="shared" ref="BF72:BF77" si="79">IF(OR(J72="FLLO",L72="2L"),1,0)</f>
        <v>0</v>
      </c>
      <c r="BG72" s="666">
        <f t="shared" ref="BG72:BG77" si="80">IF(L72="2L",1,0)</f>
        <v>0</v>
      </c>
      <c r="BH72" s="666">
        <f t="shared" ref="BH72:BH74" si="81">IF(J72="USD",0,1)</f>
        <v>0</v>
      </c>
      <c r="BI72" s="666">
        <f t="shared" ref="BI72:BI74" si="82">IF(W72="USA",0,1)</f>
        <v>0</v>
      </c>
      <c r="BJ72" s="666">
        <f t="shared" ref="BJ72:BJ74" si="83">IF(AJ72&lt;15,1,0)</f>
        <v>0</v>
      </c>
      <c r="BK72" s="666">
        <f t="shared" ref="BK72:BK74" si="84">IF(AJ72&lt;10,1,0)</f>
        <v>0</v>
      </c>
      <c r="BL72" s="666">
        <f t="shared" ref="BL72:BL74" si="85">IF(BA72="Yes",1,0)</f>
        <v>0</v>
      </c>
      <c r="BM72" s="666">
        <f t="shared" ref="BM72:BM74" si="86">IF(AT72="Yes",1,0)</f>
        <v>0</v>
      </c>
      <c r="BN72" s="666">
        <f t="shared" ref="BN72:BN74" si="87">IF(AI72&gt;5.5,1,0)</f>
        <v>0</v>
      </c>
      <c r="BO72" s="666">
        <f t="shared" ref="BO72:BO74" si="88">IF(M72="Fixed",1,0)</f>
        <v>0</v>
      </c>
      <c r="BP72" s="666">
        <f t="shared" ref="BP72:BP74" si="89">IF(AU72="Yes",1,0)</f>
        <v>0</v>
      </c>
      <c r="BQ72" s="636">
        <f t="shared" ref="BQ72:BQ74" si="90">H72</f>
        <v>992500</v>
      </c>
      <c r="BR72" s="637">
        <v>100</v>
      </c>
      <c r="BS72" s="638">
        <f t="shared" ref="BS72:BS74" si="91">BR72*AZ72/100</f>
        <v>995000</v>
      </c>
      <c r="BT72" s="639"/>
      <c r="BU72" s="633">
        <f t="shared" ref="BU72:BU74" si="92">BS72-BT72</f>
        <v>995000</v>
      </c>
      <c r="BV72" s="639"/>
      <c r="BW72" s="666" t="str">
        <f t="shared" ref="BW72:BW74" si="93">IF(LEN(AJ72)=0,"EBITDA missing",IF(AJ72&gt;10000,"EBITDA bad",IF(AJ72&lt;=15,"15-",IF(AJ72&gt;=30,"30+","15-30"))))</f>
        <v>30+</v>
      </c>
      <c r="BX72" s="666" t="str">
        <f t="shared" ref="BX72:BX74" si="94">IF(AE72&lt;=0.25,"&lt;0.25",IF(AE72&gt;1.5,"&gt;1.50","0.25-1.50"))</f>
        <v>&lt;0.25</v>
      </c>
      <c r="BY72" s="635"/>
      <c r="BZ72" s="666" t="str">
        <f t="shared" ref="BZ72:BZ74" si="95">IF(K72="FL",K72&amp;" "&amp;BW72,IF(K72="FLLO",IF(OR(BX72="&lt;0.25",BY72="FL"),"FL"&amp;" "&amp;BW72,K72&amp;" "&amp;BX72),K72))</f>
        <v>FL 30+</v>
      </c>
    </row>
    <row r="73" spans="1:78">
      <c r="A73" s="616" t="s">
        <v>1365</v>
      </c>
      <c r="B73" s="617"/>
      <c r="C73" s="651">
        <v>45838</v>
      </c>
      <c r="D73" s="619" t="s">
        <v>1057</v>
      </c>
      <c r="E73" s="616" t="s">
        <v>1372</v>
      </c>
      <c r="F73" s="620" t="s">
        <v>1368</v>
      </c>
      <c r="G73" s="621" t="s">
        <v>1061</v>
      </c>
      <c r="H73" s="622">
        <v>15121.31</v>
      </c>
      <c r="I73" s="522"/>
      <c r="J73" s="621" t="s">
        <v>90</v>
      </c>
      <c r="K73" s="621" t="s">
        <v>1062</v>
      </c>
      <c r="L73" s="623" t="s">
        <v>197</v>
      </c>
      <c r="M73" s="623" t="s">
        <v>1064</v>
      </c>
      <c r="N73" s="624">
        <v>0.10674881296059056</v>
      </c>
      <c r="O73" s="625" t="s">
        <v>225</v>
      </c>
      <c r="P73" s="624">
        <v>0.01</v>
      </c>
      <c r="Q73" s="624">
        <v>6.3500000000000001E-2</v>
      </c>
      <c r="R73" s="623">
        <v>3</v>
      </c>
      <c r="S73" s="526"/>
      <c r="T73" s="624" t="s">
        <v>1065</v>
      </c>
      <c r="U73" s="621">
        <v>0.1111111111111111</v>
      </c>
      <c r="V73" s="653">
        <v>46183</v>
      </c>
      <c r="W73" s="621" t="s">
        <v>1066</v>
      </c>
      <c r="X73" s="627">
        <v>100</v>
      </c>
      <c r="Y73" s="527"/>
      <c r="Z73" s="641"/>
      <c r="AA73" s="628"/>
      <c r="AB73" s="629">
        <v>21.719323313075027</v>
      </c>
      <c r="AC73" s="524">
        <v>2.4197107077846507</v>
      </c>
      <c r="AD73" s="524">
        <v>3.3763022421538689</v>
      </c>
      <c r="AE73" s="524"/>
      <c r="AF73" s="524">
        <v>4.4444754842747969</v>
      </c>
      <c r="AG73" s="653">
        <v>45808</v>
      </c>
      <c r="AH73" s="642"/>
      <c r="AI73" s="652">
        <v>4.5545555192507399</v>
      </c>
      <c r="AJ73" s="652">
        <v>33.751487819779307</v>
      </c>
      <c r="AK73" s="524">
        <v>-0.67234110964949556</v>
      </c>
      <c r="AL73" s="524"/>
      <c r="AM73" s="652">
        <f>VLOOKUP($A73, [1]BB!$C$1:$K$73, 8, FALSE)</f>
        <v>6.9435472114257859</v>
      </c>
      <c r="AN73" s="652">
        <v>-1.6478672237994418</v>
      </c>
      <c r="AO73" s="652">
        <f>VLOOKUP($A73, [1]BB!$C$1:$K$73, 9, FALSE)</f>
        <v>1.1738646222239846</v>
      </c>
      <c r="AP73" s="652">
        <f t="shared" si="52"/>
        <v>1.2458460855606661</v>
      </c>
      <c r="AQ73" s="643"/>
      <c r="AR73" s="643"/>
      <c r="AS73" s="623" t="s">
        <v>1189</v>
      </c>
      <c r="AT73" s="658" t="s">
        <v>122</v>
      </c>
      <c r="AU73" s="623" t="s">
        <v>122</v>
      </c>
      <c r="AV73" s="644"/>
      <c r="AW73" s="619" t="s">
        <v>38</v>
      </c>
      <c r="AX73" s="633">
        <v>15159.59</v>
      </c>
      <c r="AY73" s="633">
        <v>0</v>
      </c>
      <c r="AZ73" s="633">
        <f t="shared" si="77"/>
        <v>15159.59</v>
      </c>
      <c r="BA73" s="633"/>
      <c r="BB73" s="629" t="s">
        <v>1067</v>
      </c>
      <c r="BC73" s="629" t="s">
        <v>1190</v>
      </c>
      <c r="BD73" s="634">
        <v>100</v>
      </c>
      <c r="BE73" s="666">
        <f t="shared" si="78"/>
        <v>0</v>
      </c>
      <c r="BF73" s="666">
        <f t="shared" si="79"/>
        <v>0</v>
      </c>
      <c r="BG73" s="666">
        <f t="shared" si="80"/>
        <v>0</v>
      </c>
      <c r="BH73" s="666">
        <f t="shared" si="81"/>
        <v>0</v>
      </c>
      <c r="BI73" s="666">
        <f t="shared" si="82"/>
        <v>0</v>
      </c>
      <c r="BJ73" s="666">
        <f t="shared" si="83"/>
        <v>0</v>
      </c>
      <c r="BK73" s="666">
        <f t="shared" si="84"/>
        <v>0</v>
      </c>
      <c r="BL73" s="666">
        <f t="shared" si="85"/>
        <v>0</v>
      </c>
      <c r="BM73" s="666">
        <f t="shared" si="86"/>
        <v>0</v>
      </c>
      <c r="BN73" s="666">
        <f t="shared" si="87"/>
        <v>0</v>
      </c>
      <c r="BO73" s="666">
        <f t="shared" si="88"/>
        <v>0</v>
      </c>
      <c r="BP73" s="666">
        <f t="shared" si="89"/>
        <v>0</v>
      </c>
      <c r="BQ73" s="636">
        <f t="shared" si="90"/>
        <v>15121.31</v>
      </c>
      <c r="BR73" s="637">
        <v>100</v>
      </c>
      <c r="BS73" s="638">
        <f t="shared" si="91"/>
        <v>15159.59</v>
      </c>
      <c r="BT73" s="639"/>
      <c r="BU73" s="633">
        <f t="shared" si="92"/>
        <v>15159.59</v>
      </c>
      <c r="BV73" s="639"/>
      <c r="BW73" s="666" t="str">
        <f t="shared" si="93"/>
        <v>30+</v>
      </c>
      <c r="BX73" s="666" t="str">
        <f t="shared" si="94"/>
        <v>&lt;0.25</v>
      </c>
      <c r="BY73" s="635"/>
      <c r="BZ73" s="666" t="str">
        <f t="shared" si="95"/>
        <v>FL 30+</v>
      </c>
    </row>
    <row r="74" spans="1:78">
      <c r="A74" s="616" t="s">
        <v>1366</v>
      </c>
      <c r="B74" s="617"/>
      <c r="C74" s="651">
        <v>45838</v>
      </c>
      <c r="D74" s="619" t="s">
        <v>1057</v>
      </c>
      <c r="E74" s="616" t="s">
        <v>1371</v>
      </c>
      <c r="F74" s="620" t="s">
        <v>1369</v>
      </c>
      <c r="G74" s="621" t="s">
        <v>1061</v>
      </c>
      <c r="H74" s="622">
        <v>308218.27</v>
      </c>
      <c r="I74" s="522"/>
      <c r="J74" s="621" t="s">
        <v>90</v>
      </c>
      <c r="K74" s="621" t="s">
        <v>1062</v>
      </c>
      <c r="L74" s="623" t="s">
        <v>199</v>
      </c>
      <c r="M74" s="623" t="s">
        <v>1064</v>
      </c>
      <c r="N74" s="624">
        <v>0.1</v>
      </c>
      <c r="O74" s="625" t="s">
        <v>225</v>
      </c>
      <c r="P74" s="624">
        <v>0.01</v>
      </c>
      <c r="Q74" s="624">
        <v>0</v>
      </c>
      <c r="R74" s="623">
        <v>3</v>
      </c>
      <c r="S74" s="526"/>
      <c r="T74" s="624" t="s">
        <v>1065</v>
      </c>
      <c r="U74" s="621">
        <v>0.5</v>
      </c>
      <c r="V74" s="653">
        <v>45961</v>
      </c>
      <c r="W74" s="621" t="s">
        <v>1066</v>
      </c>
      <c r="X74" s="627">
        <v>100</v>
      </c>
      <c r="Y74" s="527"/>
      <c r="Z74" s="641"/>
      <c r="AA74" s="628"/>
      <c r="AB74" s="629">
        <v>73.041018999999991</v>
      </c>
      <c r="AC74" s="524">
        <v>2.7285316602756509</v>
      </c>
      <c r="AD74" s="524">
        <v>4.2046921607158856</v>
      </c>
      <c r="AE74" s="524"/>
      <c r="AF74" s="524">
        <v>4.2046921607158856</v>
      </c>
      <c r="AG74" s="653">
        <v>45777</v>
      </c>
      <c r="AH74" s="642"/>
      <c r="AI74" s="652">
        <v>8.5093651973672273</v>
      </c>
      <c r="AJ74" s="652">
        <v>55.150999999999996</v>
      </c>
      <c r="AK74" s="524">
        <v>-3.6843630508609611</v>
      </c>
      <c r="AL74" s="524"/>
      <c r="AM74" s="652">
        <f>VLOOKUP($A74, [1]BB!$C$1:$K$73, 8, FALSE)</f>
        <v>9.0515131185291278</v>
      </c>
      <c r="AN74" s="652">
        <v>-4.1658999770086647</v>
      </c>
      <c r="AO74" s="652">
        <f>VLOOKUP($A74, [1]BB!$C$1:$K$73, 9, FALSE)</f>
        <v>0.96517386815071482</v>
      </c>
      <c r="AP74" s="652">
        <f t="shared" si="52"/>
        <v>1.7633577921249359</v>
      </c>
      <c r="AQ74" s="643"/>
      <c r="AR74" s="643"/>
      <c r="AS74" s="623" t="s">
        <v>1189</v>
      </c>
      <c r="AT74" s="658" t="s">
        <v>122</v>
      </c>
      <c r="AU74" s="623" t="s">
        <v>122</v>
      </c>
      <c r="AV74" s="644"/>
      <c r="AW74" s="619" t="s">
        <v>38</v>
      </c>
      <c r="AX74" s="633">
        <v>300766.90999999997</v>
      </c>
      <c r="AY74" s="633">
        <v>0</v>
      </c>
      <c r="AZ74" s="633">
        <f t="shared" si="77"/>
        <v>300766.90999999997</v>
      </c>
      <c r="BA74" s="633"/>
      <c r="BB74" s="629" t="s">
        <v>1067</v>
      </c>
      <c r="BC74" s="629" t="s">
        <v>1190</v>
      </c>
      <c r="BD74" s="634">
        <v>100</v>
      </c>
      <c r="BE74" s="666">
        <f t="shared" si="78"/>
        <v>0</v>
      </c>
      <c r="BF74" s="666">
        <f t="shared" si="79"/>
        <v>0</v>
      </c>
      <c r="BG74" s="666">
        <f t="shared" si="80"/>
        <v>0</v>
      </c>
      <c r="BH74" s="666">
        <f t="shared" si="81"/>
        <v>0</v>
      </c>
      <c r="BI74" s="666">
        <f t="shared" si="82"/>
        <v>0</v>
      </c>
      <c r="BJ74" s="666">
        <f t="shared" si="83"/>
        <v>0</v>
      </c>
      <c r="BK74" s="666">
        <f t="shared" si="84"/>
        <v>0</v>
      </c>
      <c r="BL74" s="666">
        <f t="shared" si="85"/>
        <v>0</v>
      </c>
      <c r="BM74" s="666">
        <f t="shared" si="86"/>
        <v>0</v>
      </c>
      <c r="BN74" s="666">
        <f t="shared" si="87"/>
        <v>1</v>
      </c>
      <c r="BO74" s="666">
        <f t="shared" si="88"/>
        <v>0</v>
      </c>
      <c r="BP74" s="666">
        <f t="shared" si="89"/>
        <v>0</v>
      </c>
      <c r="BQ74" s="636">
        <f t="shared" si="90"/>
        <v>308218.27</v>
      </c>
      <c r="BR74" s="637">
        <v>100</v>
      </c>
      <c r="BS74" s="638">
        <f t="shared" si="91"/>
        <v>300766.90999999997</v>
      </c>
      <c r="BT74" s="639"/>
      <c r="BU74" s="633">
        <f t="shared" si="92"/>
        <v>300766.90999999997</v>
      </c>
      <c r="BV74" s="639"/>
      <c r="BW74" s="666" t="str">
        <f t="shared" si="93"/>
        <v>30+</v>
      </c>
      <c r="BX74" s="666" t="str">
        <f t="shared" si="94"/>
        <v>&lt;0.25</v>
      </c>
      <c r="BY74" s="635"/>
      <c r="BZ74" s="666" t="str">
        <f t="shared" si="95"/>
        <v>FL 30+</v>
      </c>
    </row>
    <row r="75" spans="1:78">
      <c r="A75" s="616" t="s">
        <v>1373</v>
      </c>
      <c r="B75" s="617"/>
      <c r="C75" s="651">
        <v>45838</v>
      </c>
      <c r="D75" s="619" t="s">
        <v>1057</v>
      </c>
      <c r="E75" s="616" t="s">
        <v>1379</v>
      </c>
      <c r="F75" s="620" t="s">
        <v>1376</v>
      </c>
      <c r="G75" s="621" t="s">
        <v>1061</v>
      </c>
      <c r="H75" s="622">
        <v>5970000</v>
      </c>
      <c r="I75" s="522"/>
      <c r="J75" s="621" t="s">
        <v>90</v>
      </c>
      <c r="K75" s="621" t="s">
        <v>1062</v>
      </c>
      <c r="L75" s="623" t="s">
        <v>183</v>
      </c>
      <c r="M75" s="623" t="s">
        <v>1064</v>
      </c>
      <c r="N75" s="624">
        <v>9.299170000000001E-2</v>
      </c>
      <c r="O75" s="625" t="s">
        <v>225</v>
      </c>
      <c r="P75" s="624">
        <v>0.01</v>
      </c>
      <c r="Q75" s="624">
        <v>0.05</v>
      </c>
      <c r="R75" s="623">
        <v>3</v>
      </c>
      <c r="S75" s="526"/>
      <c r="T75" s="624" t="s">
        <v>1065</v>
      </c>
      <c r="U75" s="621">
        <v>5.6583333333333332</v>
      </c>
      <c r="V75" s="653">
        <v>47844</v>
      </c>
      <c r="W75" s="621" t="s">
        <v>1066</v>
      </c>
      <c r="X75" s="627">
        <v>100</v>
      </c>
      <c r="Y75" s="527"/>
      <c r="Z75" s="641"/>
      <c r="AA75" s="628"/>
      <c r="AB75" s="629">
        <v>10.6</v>
      </c>
      <c r="AC75" s="524">
        <v>2.5172254554083073</v>
      </c>
      <c r="AD75" s="524">
        <v>3.88</v>
      </c>
      <c r="AE75" s="524"/>
      <c r="AF75" s="524">
        <v>3.88</v>
      </c>
      <c r="AG75" s="653">
        <v>45747</v>
      </c>
      <c r="AH75" s="642"/>
      <c r="AI75" s="652">
        <v>3.487687551566014</v>
      </c>
      <c r="AJ75" s="652">
        <v>11.396799</v>
      </c>
      <c r="AK75" s="524">
        <v>0.39231244843398594</v>
      </c>
      <c r="AL75" s="524"/>
      <c r="AM75" s="652">
        <f>VLOOKUP($A75, [1]BB!$C$1:$K$73, 8, FALSE)</f>
        <v>3.487687551566014</v>
      </c>
      <c r="AN75" s="652">
        <v>0.39231244843398594</v>
      </c>
      <c r="AO75" s="652">
        <f>VLOOKUP($A75, [1]BB!$C$1:$K$73, 9, FALSE)</f>
        <v>1</v>
      </c>
      <c r="AP75" s="652">
        <f t="shared" si="52"/>
        <v>1.5172254554083073</v>
      </c>
      <c r="AQ75" s="643"/>
      <c r="AR75" s="643"/>
      <c r="AS75" s="623" t="s">
        <v>1189</v>
      </c>
      <c r="AT75" s="658" t="s">
        <v>122</v>
      </c>
      <c r="AU75" s="623" t="s">
        <v>122</v>
      </c>
      <c r="AV75" s="644"/>
      <c r="AW75" s="619" t="s">
        <v>38</v>
      </c>
      <c r="AX75" s="633">
        <v>5985000</v>
      </c>
      <c r="AY75" s="633">
        <v>0</v>
      </c>
      <c r="AZ75" s="633">
        <f t="shared" si="77"/>
        <v>5985000</v>
      </c>
      <c r="BA75" s="633"/>
      <c r="BB75" s="629" t="s">
        <v>1067</v>
      </c>
      <c r="BC75" s="629" t="s">
        <v>1190</v>
      </c>
      <c r="BD75" s="634">
        <v>100</v>
      </c>
      <c r="BE75" s="666">
        <f t="shared" si="78"/>
        <v>0</v>
      </c>
      <c r="BF75" s="635">
        <f t="shared" si="79"/>
        <v>0</v>
      </c>
      <c r="BG75" s="635">
        <f t="shared" si="80"/>
        <v>0</v>
      </c>
      <c r="BH75" s="666">
        <f t="shared" ref="BH75:BH77" si="96">IF(J75="USD",0,1)</f>
        <v>0</v>
      </c>
      <c r="BI75" s="666">
        <f t="shared" ref="BI75:BI77" si="97">IF(W75="USA",0,1)</f>
        <v>0</v>
      </c>
      <c r="BJ75" s="666">
        <f t="shared" ref="BJ75:BJ77" si="98">IF(AJ75&lt;15,1,0)</f>
        <v>1</v>
      </c>
      <c r="BK75" s="666">
        <f t="shared" ref="BK75:BK77" si="99">IF(AJ75&lt;10,1,0)</f>
        <v>0</v>
      </c>
      <c r="BL75" s="666">
        <f t="shared" ref="BL75:BL77" si="100">IF(BA75="Yes",1,0)</f>
        <v>0</v>
      </c>
      <c r="BM75" s="666">
        <f t="shared" ref="BM75:BM77" si="101">IF(AT75="Yes",1,0)</f>
        <v>0</v>
      </c>
      <c r="BN75" s="666">
        <f t="shared" ref="BN75:BN77" si="102">IF(AI75&gt;5.5,1,0)</f>
        <v>0</v>
      </c>
      <c r="BO75" s="666">
        <f t="shared" ref="BO75:BO77" si="103">IF(M75="Fixed",1,0)</f>
        <v>0</v>
      </c>
      <c r="BP75" s="666">
        <f t="shared" ref="BP75:BP77" si="104">IF(AU75="Yes",1,0)</f>
        <v>0</v>
      </c>
      <c r="BQ75" s="636">
        <f t="shared" ref="BQ75:BQ77" si="105">H75</f>
        <v>5970000</v>
      </c>
      <c r="BR75" s="637">
        <v>100</v>
      </c>
      <c r="BS75" s="638">
        <f t="shared" ref="BS75:BS77" si="106">BR75*AZ75/100</f>
        <v>5985000</v>
      </c>
      <c r="BT75" s="639"/>
      <c r="BU75" s="633">
        <f t="shared" ref="BU75:BU77" si="107">BS75-BT75</f>
        <v>5985000</v>
      </c>
      <c r="BV75" s="639"/>
      <c r="BW75" s="666" t="str">
        <f t="shared" ref="BW75:BW77" si="108">IF(LEN(AJ75)=0,"EBITDA missing",IF(AJ75&gt;10000,"EBITDA bad",IF(AJ75&lt;=15,"15-",IF(AJ75&gt;=30,"30+","15-30"))))</f>
        <v>15-</v>
      </c>
      <c r="BX75" s="666" t="str">
        <f t="shared" ref="BX75:BX77" si="109">IF(AE75&lt;=0.25,"&lt;0.25",IF(AE75&gt;1.5,"&gt;1.50","0.25-1.50"))</f>
        <v>&lt;0.25</v>
      </c>
      <c r="BY75" s="635"/>
      <c r="BZ75" s="666" t="str">
        <f t="shared" ref="BZ75:BZ77" si="110">IF(K75="FL",K75&amp;" "&amp;BW75,IF(K75="FLLO",IF(OR(BX75="&lt;0.25",BY75="FL"),"FL"&amp;" "&amp;BW75,K75&amp;" "&amp;BX75),K75))</f>
        <v>FL 15-</v>
      </c>
    </row>
    <row r="76" spans="1:78">
      <c r="A76" s="616" t="s">
        <v>1374</v>
      </c>
      <c r="B76" s="617"/>
      <c r="C76" s="651">
        <v>45838</v>
      </c>
      <c r="D76" s="619" t="s">
        <v>1057</v>
      </c>
      <c r="E76" s="616" t="s">
        <v>1380</v>
      </c>
      <c r="F76" s="620" t="s">
        <v>1377</v>
      </c>
      <c r="G76" s="621" t="s">
        <v>1061</v>
      </c>
      <c r="H76" s="622">
        <v>5985000</v>
      </c>
      <c r="I76" s="522"/>
      <c r="J76" s="621" t="s">
        <v>90</v>
      </c>
      <c r="K76" s="621" t="s">
        <v>1062</v>
      </c>
      <c r="L76" s="623" t="s">
        <v>199</v>
      </c>
      <c r="M76" s="623" t="s">
        <v>1064</v>
      </c>
      <c r="N76" s="624">
        <v>0.10049200000000003</v>
      </c>
      <c r="O76" s="625" t="s">
        <v>225</v>
      </c>
      <c r="P76" s="624">
        <v>0.01</v>
      </c>
      <c r="Q76" s="624">
        <v>5.7500000000000002E-2</v>
      </c>
      <c r="R76" s="623">
        <v>3</v>
      </c>
      <c r="S76" s="526"/>
      <c r="T76" s="624" t="s">
        <v>1065</v>
      </c>
      <c r="U76" s="621">
        <v>6.666666666666667</v>
      </c>
      <c r="V76" s="653">
        <v>48213</v>
      </c>
      <c r="W76" s="621" t="s">
        <v>1066</v>
      </c>
      <c r="X76" s="627">
        <v>100</v>
      </c>
      <c r="Y76" s="527"/>
      <c r="Z76" s="641"/>
      <c r="AA76" s="628"/>
      <c r="AB76" s="629">
        <v>107.5</v>
      </c>
      <c r="AC76" s="524">
        <v>3.0027932960893855</v>
      </c>
      <c r="AD76" s="524">
        <v>2.79</v>
      </c>
      <c r="AE76" s="524"/>
      <c r="AF76" s="524">
        <v>2.79</v>
      </c>
      <c r="AG76" s="653">
        <v>45747</v>
      </c>
      <c r="AH76" s="642"/>
      <c r="AI76" s="652">
        <v>1.5541428237860642</v>
      </c>
      <c r="AJ76" s="652">
        <v>127.73665133065496</v>
      </c>
      <c r="AK76" s="524">
        <v>1.138621586672516</v>
      </c>
      <c r="AL76" s="524"/>
      <c r="AM76" s="652">
        <f>VLOOKUP($A76, [1]BB!$C$1:$K$73, 8, FALSE)</f>
        <v>1.5541428237860642</v>
      </c>
      <c r="AN76" s="652">
        <v>1.138621586672516</v>
      </c>
      <c r="AO76" s="652">
        <f>VLOOKUP($A76, [1]BB!$C$1:$K$73, 9, FALSE)</f>
        <v>1</v>
      </c>
      <c r="AP76" s="652">
        <f t="shared" si="52"/>
        <v>2.0027932960893855</v>
      </c>
      <c r="AQ76" s="643"/>
      <c r="AR76" s="643"/>
      <c r="AS76" s="623" t="s">
        <v>1189</v>
      </c>
      <c r="AT76" s="658" t="s">
        <v>122</v>
      </c>
      <c r="AU76" s="623" t="s">
        <v>122</v>
      </c>
      <c r="AV76" s="644"/>
      <c r="AW76" s="619" t="s">
        <v>38</v>
      </c>
      <c r="AX76" s="633">
        <v>5985000</v>
      </c>
      <c r="AY76" s="633">
        <v>0</v>
      </c>
      <c r="AZ76" s="633">
        <f t="shared" si="77"/>
        <v>5985000</v>
      </c>
      <c r="BA76" s="633"/>
      <c r="BB76" s="629" t="s">
        <v>1067</v>
      </c>
      <c r="BC76" s="629" t="s">
        <v>1190</v>
      </c>
      <c r="BD76" s="634">
        <v>100</v>
      </c>
      <c r="BE76" s="666">
        <f t="shared" si="78"/>
        <v>0</v>
      </c>
      <c r="BF76" s="635">
        <f t="shared" si="79"/>
        <v>0</v>
      </c>
      <c r="BG76" s="635">
        <f t="shared" si="80"/>
        <v>0</v>
      </c>
      <c r="BH76" s="666">
        <f t="shared" si="96"/>
        <v>0</v>
      </c>
      <c r="BI76" s="666">
        <f t="shared" si="97"/>
        <v>0</v>
      </c>
      <c r="BJ76" s="666">
        <f t="shared" si="98"/>
        <v>0</v>
      </c>
      <c r="BK76" s="666">
        <f t="shared" si="99"/>
        <v>0</v>
      </c>
      <c r="BL76" s="666">
        <f t="shared" si="100"/>
        <v>0</v>
      </c>
      <c r="BM76" s="666">
        <f t="shared" si="101"/>
        <v>0</v>
      </c>
      <c r="BN76" s="666">
        <f t="shared" si="102"/>
        <v>0</v>
      </c>
      <c r="BO76" s="666">
        <f t="shared" si="103"/>
        <v>0</v>
      </c>
      <c r="BP76" s="666">
        <f t="shared" si="104"/>
        <v>0</v>
      </c>
      <c r="BQ76" s="636">
        <f t="shared" si="105"/>
        <v>5985000</v>
      </c>
      <c r="BR76" s="637">
        <v>100</v>
      </c>
      <c r="BS76" s="638">
        <f t="shared" si="106"/>
        <v>5985000</v>
      </c>
      <c r="BT76" s="639"/>
      <c r="BU76" s="633">
        <f t="shared" si="107"/>
        <v>5985000</v>
      </c>
      <c r="BV76" s="639"/>
      <c r="BW76" s="666" t="str">
        <f t="shared" si="108"/>
        <v>30+</v>
      </c>
      <c r="BX76" s="666" t="str">
        <f t="shared" si="109"/>
        <v>&lt;0.25</v>
      </c>
      <c r="BY76" s="635"/>
      <c r="BZ76" s="666" t="str">
        <f t="shared" si="110"/>
        <v>FL 30+</v>
      </c>
    </row>
    <row r="77" spans="1:78">
      <c r="A77" s="616" t="s">
        <v>1375</v>
      </c>
      <c r="B77" s="617"/>
      <c r="C77" s="651">
        <v>45838</v>
      </c>
      <c r="D77" s="619" t="s">
        <v>1057</v>
      </c>
      <c r="E77" s="616" t="s">
        <v>1381</v>
      </c>
      <c r="F77" s="620" t="s">
        <v>1378</v>
      </c>
      <c r="G77" s="621" t="s">
        <v>1061</v>
      </c>
      <c r="H77" s="622">
        <v>10000000</v>
      </c>
      <c r="I77" s="522"/>
      <c r="J77" s="621" t="s">
        <v>90</v>
      </c>
      <c r="K77" s="621" t="s">
        <v>1062</v>
      </c>
      <c r="L77" s="623" t="s">
        <v>199</v>
      </c>
      <c r="M77" s="623" t="s">
        <v>1064</v>
      </c>
      <c r="N77" s="624">
        <v>9.2992000000000005E-2</v>
      </c>
      <c r="O77" s="625" t="s">
        <v>225</v>
      </c>
      <c r="P77" s="624">
        <v>0.01</v>
      </c>
      <c r="Q77" s="624">
        <v>0.05</v>
      </c>
      <c r="R77" s="623">
        <v>3</v>
      </c>
      <c r="S77" s="526"/>
      <c r="T77" s="624" t="s">
        <v>1065</v>
      </c>
      <c r="U77" s="621">
        <v>5.7138888888888886</v>
      </c>
      <c r="V77" s="653">
        <v>47865</v>
      </c>
      <c r="W77" s="621" t="s">
        <v>1066</v>
      </c>
      <c r="X77" s="627">
        <v>100</v>
      </c>
      <c r="Y77" s="527"/>
      <c r="Z77" s="641"/>
      <c r="AA77" s="628"/>
      <c r="AB77" s="629">
        <v>16.100000000000001</v>
      </c>
      <c r="AC77" s="524">
        <v>2.037974683544304</v>
      </c>
      <c r="AD77" s="524">
        <v>4.66</v>
      </c>
      <c r="AE77" s="524"/>
      <c r="AF77" s="524">
        <v>4.66</v>
      </c>
      <c r="AG77" s="653">
        <v>45747</v>
      </c>
      <c r="AH77" s="642"/>
      <c r="AI77" s="652">
        <v>3.4039624162937558</v>
      </c>
      <c r="AJ77" s="652">
        <v>21.486219089819791</v>
      </c>
      <c r="AK77" s="524">
        <v>0.99824655300589038</v>
      </c>
      <c r="AL77" s="524"/>
      <c r="AM77" s="652">
        <f>VLOOKUP($A77, [1]BB!$C$1:$K$73, 8, FALSE)</f>
        <v>3.4039624162937558</v>
      </c>
      <c r="AN77" s="652">
        <v>0.99824655300589038</v>
      </c>
      <c r="AO77" s="652">
        <f>VLOOKUP($A77, [1]BB!$C$1:$K$73, 9, FALSE)</f>
        <v>1</v>
      </c>
      <c r="AP77" s="652">
        <f t="shared" si="52"/>
        <v>1.037974683544304</v>
      </c>
      <c r="AQ77" s="643"/>
      <c r="AR77" s="643"/>
      <c r="AS77" s="623" t="s">
        <v>1189</v>
      </c>
      <c r="AT77" s="658" t="s">
        <v>122</v>
      </c>
      <c r="AU77" s="623" t="s">
        <v>122</v>
      </c>
      <c r="AV77" s="644"/>
      <c r="AW77" s="619" t="s">
        <v>38</v>
      </c>
      <c r="AX77" s="633">
        <v>10000000</v>
      </c>
      <c r="AY77" s="633">
        <v>0</v>
      </c>
      <c r="AZ77" s="633">
        <f t="shared" si="77"/>
        <v>10000000</v>
      </c>
      <c r="BA77" s="633"/>
      <c r="BB77" s="629" t="s">
        <v>1067</v>
      </c>
      <c r="BC77" s="629" t="s">
        <v>1190</v>
      </c>
      <c r="BD77" s="634">
        <v>100</v>
      </c>
      <c r="BE77" s="666">
        <f t="shared" si="78"/>
        <v>0</v>
      </c>
      <c r="BF77" s="635">
        <f t="shared" si="79"/>
        <v>0</v>
      </c>
      <c r="BG77" s="635">
        <f t="shared" si="80"/>
        <v>0</v>
      </c>
      <c r="BH77" s="666">
        <f t="shared" si="96"/>
        <v>0</v>
      </c>
      <c r="BI77" s="666">
        <f t="shared" si="97"/>
        <v>0</v>
      </c>
      <c r="BJ77" s="666">
        <f t="shared" si="98"/>
        <v>0</v>
      </c>
      <c r="BK77" s="666">
        <f t="shared" si="99"/>
        <v>0</v>
      </c>
      <c r="BL77" s="666">
        <f t="shared" si="100"/>
        <v>0</v>
      </c>
      <c r="BM77" s="666">
        <f t="shared" si="101"/>
        <v>0</v>
      </c>
      <c r="BN77" s="666">
        <f t="shared" si="102"/>
        <v>0</v>
      </c>
      <c r="BO77" s="666">
        <f t="shared" si="103"/>
        <v>0</v>
      </c>
      <c r="BP77" s="666">
        <f t="shared" si="104"/>
        <v>0</v>
      </c>
      <c r="BQ77" s="636">
        <f t="shared" si="105"/>
        <v>10000000</v>
      </c>
      <c r="BR77" s="637">
        <v>100</v>
      </c>
      <c r="BS77" s="638">
        <f t="shared" si="106"/>
        <v>10000000</v>
      </c>
      <c r="BT77" s="639"/>
      <c r="BU77" s="633">
        <f t="shared" si="107"/>
        <v>10000000</v>
      </c>
      <c r="BV77" s="639"/>
      <c r="BW77" s="666" t="str">
        <f t="shared" si="108"/>
        <v>15-30</v>
      </c>
      <c r="BX77" s="666" t="str">
        <f t="shared" si="109"/>
        <v>&lt;0.25</v>
      </c>
      <c r="BY77" s="635"/>
      <c r="BZ77" s="666" t="str">
        <f t="shared" si="110"/>
        <v>FL 15-30</v>
      </c>
    </row>
    <row r="78" spans="1:78">
      <c r="A78" s="616"/>
      <c r="B78" s="617"/>
      <c r="C78" s="618"/>
      <c r="D78" s="619"/>
      <c r="E78" s="616"/>
      <c r="F78" s="620"/>
      <c r="G78" s="621"/>
      <c r="H78" s="622"/>
      <c r="I78" s="522"/>
      <c r="J78" s="621"/>
      <c r="K78" s="621"/>
      <c r="L78" s="623"/>
      <c r="M78" s="623"/>
      <c r="N78" s="624" t="e">
        <v>#N/A</v>
      </c>
      <c r="O78" s="625"/>
      <c r="P78" s="624"/>
      <c r="Q78" s="624"/>
      <c r="R78" s="623"/>
      <c r="S78" s="526"/>
      <c r="T78" s="624"/>
      <c r="U78" s="621"/>
      <c r="V78" s="626"/>
      <c r="W78" s="621"/>
      <c r="X78" s="627"/>
      <c r="Y78" s="527"/>
      <c r="Z78" s="641"/>
      <c r="AA78" s="628"/>
      <c r="AB78" s="629"/>
      <c r="AC78" s="524"/>
      <c r="AD78" s="524"/>
      <c r="AE78" s="524"/>
      <c r="AF78" s="524"/>
      <c r="AG78" s="630"/>
      <c r="AH78" s="642"/>
      <c r="AI78" s="524"/>
      <c r="AJ78" s="629"/>
      <c r="AK78" s="524"/>
      <c r="AL78" s="524"/>
      <c r="AM78" s="524"/>
      <c r="AN78" s="524"/>
      <c r="AO78" s="524"/>
      <c r="AP78" s="524"/>
      <c r="AQ78" s="643"/>
      <c r="AR78" s="643"/>
      <c r="AS78" s="619"/>
      <c r="AT78" s="631"/>
      <c r="AU78" s="619"/>
      <c r="AV78" s="644"/>
      <c r="AW78" s="619"/>
      <c r="AX78" s="633"/>
      <c r="AY78" s="633"/>
      <c r="AZ78" s="633"/>
      <c r="BA78" s="633"/>
      <c r="BB78" s="629"/>
      <c r="BC78" s="629"/>
      <c r="BD78" s="634"/>
      <c r="BE78" s="635"/>
      <c r="BF78" s="635"/>
      <c r="BG78" s="635"/>
      <c r="BH78" s="635"/>
      <c r="BI78" s="635"/>
      <c r="BJ78" s="635"/>
      <c r="BK78" s="635"/>
      <c r="BL78" s="635"/>
      <c r="BM78" s="635"/>
      <c r="BN78" s="635"/>
      <c r="BO78" s="635"/>
      <c r="BP78" s="635"/>
      <c r="BQ78" s="636"/>
      <c r="BR78" s="637"/>
      <c r="BS78" s="638"/>
      <c r="BT78" s="639"/>
      <c r="BU78" s="633"/>
      <c r="BV78" s="639"/>
      <c r="BW78" s="635"/>
      <c r="BX78" s="635"/>
      <c r="BY78" s="635"/>
      <c r="BZ78" s="635"/>
    </row>
    <row r="79" spans="1:78">
      <c r="A79" s="616"/>
      <c r="B79" s="617"/>
      <c r="C79" s="618"/>
      <c r="D79" s="619"/>
      <c r="E79" s="616"/>
      <c r="F79" s="620"/>
      <c r="G79" s="621"/>
      <c r="H79" s="622"/>
      <c r="I79" s="522"/>
      <c r="J79" s="621"/>
      <c r="K79" s="621"/>
      <c r="L79" s="623"/>
      <c r="M79" s="623"/>
      <c r="N79" s="624"/>
      <c r="O79" s="625"/>
      <c r="P79" s="624"/>
      <c r="Q79" s="624"/>
      <c r="R79" s="623"/>
      <c r="S79" s="526"/>
      <c r="T79" s="624"/>
      <c r="U79" s="621"/>
      <c r="V79" s="626"/>
      <c r="W79" s="621"/>
      <c r="X79" s="627"/>
      <c r="Y79" s="527"/>
      <c r="Z79" s="641"/>
      <c r="AA79" s="628"/>
      <c r="AB79" s="629"/>
      <c r="AC79" s="524"/>
      <c r="AD79" s="524"/>
      <c r="AE79" s="524"/>
      <c r="AF79" s="524"/>
      <c r="AG79" s="630"/>
      <c r="AH79" s="642"/>
      <c r="AI79" s="524"/>
      <c r="AJ79" s="629"/>
      <c r="AK79" s="524"/>
      <c r="AL79" s="524"/>
      <c r="AM79" s="524"/>
      <c r="AN79" s="524"/>
      <c r="AO79" s="524"/>
      <c r="AP79" s="524"/>
      <c r="AQ79" s="643"/>
      <c r="AR79" s="643"/>
      <c r="AS79" s="619"/>
      <c r="AT79" s="631"/>
      <c r="AU79" s="619"/>
      <c r="AV79" s="644"/>
      <c r="AW79" s="619"/>
      <c r="AX79" s="633"/>
      <c r="AY79" s="633"/>
      <c r="AZ79" s="633"/>
      <c r="BA79" s="633"/>
      <c r="BB79" s="629"/>
      <c r="BC79" s="629"/>
      <c r="BD79" s="634"/>
      <c r="BE79" s="635"/>
      <c r="BF79" s="635"/>
      <c r="BG79" s="635"/>
      <c r="BH79" s="635"/>
      <c r="BI79" s="635"/>
      <c r="BJ79" s="635"/>
      <c r="BK79" s="635"/>
      <c r="BL79" s="635"/>
      <c r="BM79" s="635"/>
      <c r="BN79" s="635"/>
      <c r="BO79" s="635"/>
      <c r="BP79" s="635"/>
      <c r="BQ79" s="636"/>
      <c r="BR79" s="637"/>
      <c r="BS79" s="638"/>
      <c r="BT79" s="639"/>
      <c r="BU79" s="633"/>
      <c r="BV79" s="639"/>
      <c r="BW79" s="635"/>
      <c r="BX79" s="635"/>
      <c r="BY79" s="635"/>
      <c r="BZ79" s="635"/>
    </row>
    <row r="80" spans="1:78">
      <c r="A80" s="616"/>
      <c r="B80" s="617"/>
      <c r="C80" s="618"/>
      <c r="D80" s="619"/>
      <c r="E80" s="616"/>
      <c r="F80" s="620"/>
      <c r="G80" s="621"/>
      <c r="H80" s="622"/>
      <c r="I80" s="522"/>
      <c r="J80" s="621"/>
      <c r="K80" s="621"/>
      <c r="L80" s="623"/>
      <c r="M80" s="623"/>
      <c r="N80" s="624"/>
      <c r="O80" s="625"/>
      <c r="P80" s="624"/>
      <c r="Q80" s="624"/>
      <c r="R80" s="623"/>
      <c r="S80" s="526"/>
      <c r="T80" s="624"/>
      <c r="U80" s="621"/>
      <c r="V80" s="626"/>
      <c r="W80" s="621"/>
      <c r="X80" s="627"/>
      <c r="Y80" s="527"/>
      <c r="Z80" s="641"/>
      <c r="AA80" s="628"/>
      <c r="AB80" s="629"/>
      <c r="AC80" s="524"/>
      <c r="AD80" s="524"/>
      <c r="AE80" s="524"/>
      <c r="AF80" s="524"/>
      <c r="AG80" s="630"/>
      <c r="AH80" s="642"/>
      <c r="AI80" s="524"/>
      <c r="AJ80" s="629"/>
      <c r="AK80" s="524"/>
      <c r="AL80" s="524"/>
      <c r="AM80" s="524"/>
      <c r="AN80" s="524"/>
      <c r="AO80" s="524"/>
      <c r="AP80" s="524"/>
      <c r="AQ80" s="643"/>
      <c r="AR80" s="643"/>
      <c r="AS80" s="619"/>
      <c r="AT80" s="631"/>
      <c r="AU80" s="619"/>
      <c r="AV80" s="644"/>
      <c r="AW80" s="619"/>
      <c r="AX80" s="633"/>
      <c r="AY80" s="633"/>
      <c r="AZ80" s="633"/>
      <c r="BA80" s="633"/>
      <c r="BB80" s="629"/>
      <c r="BC80" s="629"/>
      <c r="BD80" s="634"/>
      <c r="BE80" s="635"/>
      <c r="BF80" s="635"/>
      <c r="BG80" s="635"/>
      <c r="BH80" s="635"/>
      <c r="BI80" s="635"/>
      <c r="BJ80" s="635"/>
      <c r="BK80" s="635"/>
      <c r="BL80" s="635"/>
      <c r="BM80" s="635"/>
      <c r="BN80" s="635"/>
      <c r="BO80" s="635"/>
      <c r="BP80" s="635"/>
      <c r="BQ80" s="636"/>
      <c r="BR80" s="637"/>
      <c r="BS80" s="638"/>
      <c r="BT80" s="639"/>
      <c r="BU80" s="633"/>
      <c r="BV80" s="639"/>
      <c r="BW80" s="635"/>
      <c r="BX80" s="635"/>
      <c r="BY80" s="635"/>
      <c r="BZ80" s="635"/>
    </row>
    <row r="81" spans="1:78">
      <c r="A81" s="616"/>
      <c r="B81" s="617"/>
      <c r="C81" s="618"/>
      <c r="D81" s="619"/>
      <c r="E81" s="616"/>
      <c r="F81" s="620"/>
      <c r="G81" s="621"/>
      <c r="H81" s="622"/>
      <c r="I81" s="522"/>
      <c r="J81" s="621"/>
      <c r="K81" s="621"/>
      <c r="L81" s="623"/>
      <c r="M81" s="623"/>
      <c r="N81" s="624"/>
      <c r="O81" s="625"/>
      <c r="P81" s="624"/>
      <c r="Q81" s="624"/>
      <c r="R81" s="623"/>
      <c r="S81" s="526"/>
      <c r="T81" s="624"/>
      <c r="U81" s="621"/>
      <c r="V81" s="626"/>
      <c r="W81" s="621"/>
      <c r="X81" s="627"/>
      <c r="Y81" s="527"/>
      <c r="Z81" s="641"/>
      <c r="AA81" s="628"/>
      <c r="AB81" s="629"/>
      <c r="AC81" s="524"/>
      <c r="AD81" s="524"/>
      <c r="AE81" s="524"/>
      <c r="AF81" s="524"/>
      <c r="AG81" s="630"/>
      <c r="AH81" s="642"/>
      <c r="AI81" s="524"/>
      <c r="AJ81" s="629"/>
      <c r="AK81" s="524"/>
      <c r="AL81" s="524"/>
      <c r="AM81" s="524"/>
      <c r="AN81" s="524"/>
      <c r="AO81" s="524"/>
      <c r="AP81" s="524"/>
      <c r="AQ81" s="643"/>
      <c r="AR81" s="643"/>
      <c r="AS81" s="619"/>
      <c r="AT81" s="631"/>
      <c r="AU81" s="619"/>
      <c r="AV81" s="644"/>
      <c r="AW81" s="619"/>
      <c r="AX81" s="633"/>
      <c r="AY81" s="633"/>
      <c r="AZ81" s="633"/>
      <c r="BA81" s="633"/>
      <c r="BB81" s="629"/>
      <c r="BC81" s="629"/>
      <c r="BD81" s="634"/>
      <c r="BE81" s="635"/>
      <c r="BF81" s="635"/>
      <c r="BG81" s="635"/>
      <c r="BH81" s="635"/>
      <c r="BI81" s="635"/>
      <c r="BJ81" s="635"/>
      <c r="BK81" s="635"/>
      <c r="BL81" s="635"/>
      <c r="BM81" s="635"/>
      <c r="BN81" s="635"/>
      <c r="BO81" s="635"/>
      <c r="BP81" s="635"/>
      <c r="BQ81" s="636"/>
      <c r="BR81" s="637"/>
      <c r="BS81" s="638"/>
      <c r="BT81" s="639"/>
      <c r="BU81" s="633"/>
      <c r="BV81" s="639"/>
      <c r="BW81" s="635"/>
      <c r="BX81" s="635"/>
      <c r="BY81" s="635"/>
      <c r="BZ81" s="635"/>
    </row>
    <row r="82" spans="1:78">
      <c r="A82" s="616"/>
      <c r="B82" s="617"/>
      <c r="C82" s="618"/>
      <c r="D82" s="619"/>
      <c r="E82" s="616"/>
      <c r="F82" s="620"/>
      <c r="G82" s="621"/>
      <c r="H82" s="622"/>
      <c r="I82" s="522"/>
      <c r="J82" s="621"/>
      <c r="K82" s="621"/>
      <c r="L82" s="623"/>
      <c r="M82" s="623"/>
      <c r="N82" s="624"/>
      <c r="O82" s="625"/>
      <c r="P82" s="624"/>
      <c r="Q82" s="624"/>
      <c r="R82" s="623"/>
      <c r="S82" s="526"/>
      <c r="T82" s="624"/>
      <c r="U82" s="621"/>
      <c r="V82" s="626"/>
      <c r="W82" s="621"/>
      <c r="X82" s="627"/>
      <c r="Y82" s="527"/>
      <c r="Z82" s="641"/>
      <c r="AA82" s="628"/>
      <c r="AB82" s="629"/>
      <c r="AC82" s="524"/>
      <c r="AD82" s="524"/>
      <c r="AE82" s="524"/>
      <c r="AF82" s="524"/>
      <c r="AG82" s="630"/>
      <c r="AH82" s="642"/>
      <c r="AI82" s="524"/>
      <c r="AJ82" s="629"/>
      <c r="AK82" s="524"/>
      <c r="AL82" s="524"/>
      <c r="AM82" s="524"/>
      <c r="AN82" s="524"/>
      <c r="AO82" s="524"/>
      <c r="AP82" s="524"/>
      <c r="AQ82" s="643"/>
      <c r="AR82" s="643"/>
      <c r="AS82" s="619"/>
      <c r="AT82" s="631"/>
      <c r="AU82" s="619"/>
      <c r="AV82" s="644"/>
      <c r="AW82" s="619"/>
      <c r="AX82" s="633"/>
      <c r="AY82" s="633"/>
      <c r="AZ82" s="633"/>
      <c r="BA82" s="633"/>
      <c r="BB82" s="629"/>
      <c r="BC82" s="629"/>
      <c r="BD82" s="634"/>
      <c r="BE82" s="635"/>
      <c r="BF82" s="635"/>
      <c r="BG82" s="635"/>
      <c r="BH82" s="635"/>
      <c r="BI82" s="635"/>
      <c r="BJ82" s="635"/>
      <c r="BK82" s="635"/>
      <c r="BL82" s="635"/>
      <c r="BM82" s="635"/>
      <c r="BN82" s="635"/>
      <c r="BO82" s="635"/>
      <c r="BP82" s="635"/>
      <c r="BQ82" s="636"/>
      <c r="BR82" s="637"/>
      <c r="BS82" s="638"/>
      <c r="BT82" s="639"/>
      <c r="BU82" s="633"/>
      <c r="BV82" s="639"/>
      <c r="BW82" s="635"/>
      <c r="BX82" s="635"/>
      <c r="BY82" s="635"/>
      <c r="BZ82" s="635"/>
    </row>
    <row r="83" spans="1:78">
      <c r="B83" s="617"/>
      <c r="C83" s="618"/>
      <c r="D83" s="619"/>
      <c r="V83" s="101"/>
    </row>
    <row r="84" spans="1:78">
      <c r="B84" s="617"/>
      <c r="C84" s="618"/>
      <c r="D84" s="619"/>
      <c r="AD84" s="678"/>
    </row>
    <row r="85" spans="1:78">
      <c r="B85" s="617"/>
      <c r="C85" s="618"/>
      <c r="D85" s="619"/>
      <c r="AD85" s="678"/>
    </row>
    <row r="86" spans="1:78">
      <c r="B86" s="617"/>
      <c r="C86" s="618"/>
      <c r="D86" s="619"/>
      <c r="AD86" s="678"/>
    </row>
    <row r="87" spans="1:78">
      <c r="B87" s="617"/>
      <c r="C87" s="618"/>
      <c r="D87" s="619"/>
      <c r="H87" t="s">
        <v>1383</v>
      </c>
    </row>
    <row r="88" spans="1:78">
      <c r="B88" s="617"/>
      <c r="C88" s="618"/>
      <c r="D88" s="619"/>
    </row>
    <row r="89" spans="1:78">
      <c r="B89" s="617"/>
      <c r="C89" s="618"/>
      <c r="D89" s="619"/>
    </row>
    <row r="90" spans="1:78">
      <c r="B90" s="617"/>
      <c r="C90" s="618"/>
      <c r="D90" s="619"/>
    </row>
    <row r="91" spans="1:78">
      <c r="B91" s="617"/>
      <c r="C91" s="618"/>
      <c r="D91" s="619"/>
    </row>
    <row r="92" spans="1:78">
      <c r="B92" s="617"/>
      <c r="C92" s="618"/>
      <c r="D92" s="619"/>
    </row>
    <row r="93" spans="1:78">
      <c r="B93" s="617"/>
      <c r="C93" s="618"/>
      <c r="D93" s="619"/>
    </row>
    <row r="94" spans="1:78">
      <c r="B94" s="617"/>
      <c r="C94" s="618"/>
      <c r="D94" s="619"/>
    </row>
    <row r="95" spans="1:78">
      <c r="B95" s="617"/>
      <c r="C95" s="618"/>
      <c r="D95" s="619"/>
    </row>
    <row r="96" spans="1:78">
      <c r="B96" s="617"/>
      <c r="C96" s="618"/>
      <c r="D96" s="619"/>
    </row>
    <row r="97" spans="2:4">
      <c r="B97" s="617"/>
      <c r="C97" s="618"/>
      <c r="D97" s="619"/>
    </row>
    <row r="98" spans="2:4">
      <c r="B98" s="617"/>
      <c r="C98" s="618"/>
      <c r="D98" s="619"/>
    </row>
    <row r="99" spans="2:4">
      <c r="B99" s="617"/>
      <c r="C99" s="618"/>
      <c r="D99" s="619"/>
    </row>
    <row r="100" spans="2:4">
      <c r="B100" s="617"/>
      <c r="C100" s="618"/>
      <c r="D100" s="619"/>
    </row>
    <row r="101" spans="2:4">
      <c r="B101" s="617"/>
      <c r="C101" s="618"/>
      <c r="D101" s="619"/>
    </row>
    <row r="102" spans="2:4">
      <c r="B102" s="617"/>
      <c r="C102" s="618"/>
      <c r="D102" s="619"/>
    </row>
    <row r="103" spans="2:4">
      <c r="B103" s="617"/>
      <c r="C103" s="618"/>
      <c r="D103" s="619"/>
    </row>
    <row r="104" spans="2:4">
      <c r="B104" s="617"/>
      <c r="C104" s="618"/>
      <c r="D104" s="619"/>
    </row>
    <row r="105" spans="2:4">
      <c r="B105" s="617"/>
      <c r="C105" s="618"/>
      <c r="D105" s="619"/>
    </row>
    <row r="106" spans="2:4">
      <c r="B106" s="617"/>
      <c r="C106" s="618"/>
      <c r="D106" s="619"/>
    </row>
    <row r="107" spans="2:4">
      <c r="B107" s="617"/>
      <c r="C107" s="618"/>
      <c r="D107" s="619"/>
    </row>
    <row r="108" spans="2:4">
      <c r="B108" s="617"/>
      <c r="C108" s="618"/>
      <c r="D108" s="619"/>
    </row>
    <row r="109" spans="2:4">
      <c r="B109" s="617"/>
      <c r="C109" s="618"/>
      <c r="D109" s="619"/>
    </row>
    <row r="110" spans="2:4">
      <c r="B110" s="617"/>
      <c r="C110" s="618"/>
      <c r="D110" s="619"/>
    </row>
    <row r="111" spans="2:4">
      <c r="B111" s="617"/>
      <c r="C111" s="618"/>
      <c r="D111" s="619"/>
    </row>
    <row r="112" spans="2:4">
      <c r="B112" s="617"/>
      <c r="C112" s="618"/>
      <c r="D112" s="619"/>
    </row>
    <row r="113" spans="2:4">
      <c r="B113" s="617"/>
      <c r="C113" s="618"/>
      <c r="D113" s="619"/>
    </row>
    <row r="114" spans="2:4">
      <c r="B114" s="617"/>
      <c r="C114" s="618"/>
      <c r="D114" s="619"/>
    </row>
    <row r="115" spans="2:4">
      <c r="B115" s="617"/>
      <c r="C115" s="618"/>
      <c r="D115" s="619"/>
    </row>
    <row r="116" spans="2:4">
      <c r="B116" s="617"/>
      <c r="C116" s="618"/>
      <c r="D116" s="619"/>
    </row>
    <row r="117" spans="2:4">
      <c r="B117" s="617"/>
      <c r="C117" s="618"/>
      <c r="D117" s="619"/>
    </row>
    <row r="118" spans="2:4">
      <c r="B118" s="617"/>
      <c r="C118" s="618"/>
      <c r="D118" s="619"/>
    </row>
    <row r="119" spans="2:4">
      <c r="B119" s="617"/>
      <c r="C119" s="618"/>
      <c r="D119" s="619"/>
    </row>
    <row r="120" spans="2:4">
      <c r="B120" s="617"/>
      <c r="C120" s="618"/>
      <c r="D120" s="619"/>
    </row>
    <row r="121" spans="2:4">
      <c r="B121" s="617"/>
      <c r="C121" s="618"/>
      <c r="D121" s="619"/>
    </row>
    <row r="122" spans="2:4">
      <c r="B122" s="617"/>
      <c r="C122" s="618"/>
      <c r="D122" s="619"/>
    </row>
    <row r="123" spans="2:4">
      <c r="B123" s="617"/>
      <c r="C123" s="618"/>
      <c r="D123" s="619"/>
    </row>
    <row r="124" spans="2:4">
      <c r="B124" s="617"/>
      <c r="C124" s="618"/>
      <c r="D124" s="619"/>
    </row>
    <row r="125" spans="2:4">
      <c r="B125" s="617"/>
      <c r="C125" s="618"/>
      <c r="D125" s="619"/>
    </row>
    <row r="126" spans="2:4">
      <c r="B126" s="617"/>
      <c r="C126" s="618"/>
      <c r="D126" s="619"/>
    </row>
    <row r="127" spans="2:4">
      <c r="B127" s="617"/>
      <c r="C127" s="618"/>
      <c r="D127" s="619"/>
    </row>
    <row r="128" spans="2:4">
      <c r="B128" s="617"/>
      <c r="C128" s="618"/>
      <c r="D128" s="619"/>
    </row>
    <row r="129" spans="2:4">
      <c r="B129" s="617"/>
      <c r="C129" s="618"/>
      <c r="D129" s="619"/>
    </row>
    <row r="130" spans="2:4">
      <c r="B130" s="617"/>
      <c r="C130" s="618"/>
      <c r="D130" s="619"/>
    </row>
    <row r="131" spans="2:4">
      <c r="B131" s="617"/>
      <c r="C131" s="618"/>
      <c r="D131" s="619"/>
    </row>
    <row r="132" spans="2:4">
      <c r="B132" s="617"/>
      <c r="C132" s="618"/>
      <c r="D132" s="619"/>
    </row>
    <row r="133" spans="2:4">
      <c r="B133" s="617"/>
      <c r="C133" s="618"/>
      <c r="D133" s="619"/>
    </row>
    <row r="134" spans="2:4">
      <c r="B134" s="617"/>
      <c r="C134" s="618"/>
      <c r="D134" s="619"/>
    </row>
    <row r="135" spans="2:4">
      <c r="B135" s="617"/>
      <c r="C135" s="618"/>
      <c r="D135" s="619"/>
    </row>
    <row r="136" spans="2:4">
      <c r="B136" s="617"/>
      <c r="C136" s="618"/>
      <c r="D136" s="619"/>
    </row>
    <row r="137" spans="2:4">
      <c r="B137" s="617"/>
      <c r="C137" s="618"/>
      <c r="D137" s="619"/>
    </row>
    <row r="138" spans="2:4">
      <c r="B138" s="617"/>
      <c r="C138" s="618"/>
      <c r="D138" s="619"/>
    </row>
    <row r="139" spans="2:4">
      <c r="B139" s="617"/>
      <c r="C139" s="618"/>
      <c r="D139" s="619"/>
    </row>
    <row r="140" spans="2:4">
      <c r="B140" s="617"/>
      <c r="C140" s="618"/>
      <c r="D140" s="619"/>
    </row>
    <row r="141" spans="2:4">
      <c r="B141" s="617"/>
      <c r="C141" s="618"/>
      <c r="D141" s="619"/>
    </row>
    <row r="142" spans="2:4">
      <c r="B142" s="617"/>
      <c r="C142" s="618"/>
      <c r="D142" s="619"/>
    </row>
    <row r="143" spans="2:4">
      <c r="B143" s="617"/>
      <c r="C143" s="618"/>
      <c r="D143" s="619"/>
    </row>
    <row r="144" spans="2:4">
      <c r="B144" s="617"/>
      <c r="C144" s="618"/>
      <c r="D144" s="619"/>
    </row>
    <row r="145" spans="2:4">
      <c r="B145" s="617"/>
      <c r="C145" s="618"/>
      <c r="D145" s="619"/>
    </row>
    <row r="146" spans="2:4">
      <c r="B146" s="617"/>
      <c r="C146" s="618"/>
      <c r="D146" s="619"/>
    </row>
    <row r="147" spans="2:4">
      <c r="B147" s="617"/>
      <c r="C147" s="618"/>
      <c r="D147" s="619"/>
    </row>
    <row r="148" spans="2:4">
      <c r="B148" s="617"/>
      <c r="C148" s="618"/>
      <c r="D148" s="619"/>
    </row>
    <row r="149" spans="2:4">
      <c r="B149" s="617"/>
      <c r="C149" s="618"/>
      <c r="D149" s="619"/>
    </row>
    <row r="150" spans="2:4">
      <c r="B150" s="617"/>
      <c r="C150" s="618"/>
      <c r="D150" s="619"/>
    </row>
    <row r="151" spans="2:4">
      <c r="B151" s="617"/>
      <c r="C151" s="618"/>
      <c r="D151" s="619"/>
    </row>
    <row r="152" spans="2:4">
      <c r="B152" s="617"/>
      <c r="C152" s="618"/>
      <c r="D152" s="619"/>
    </row>
    <row r="153" spans="2:4">
      <c r="B153" s="617"/>
      <c r="C153" s="618"/>
      <c r="D153" s="619"/>
    </row>
    <row r="154" spans="2:4">
      <c r="B154" s="617"/>
      <c r="C154" s="618"/>
      <c r="D154" s="619"/>
    </row>
    <row r="155" spans="2:4">
      <c r="B155" s="617"/>
      <c r="C155" s="618"/>
      <c r="D155" s="619"/>
    </row>
    <row r="156" spans="2:4">
      <c r="B156" s="617"/>
      <c r="C156" s="618"/>
      <c r="D156" s="619"/>
    </row>
    <row r="157" spans="2:4">
      <c r="B157" s="617"/>
      <c r="C157" s="618"/>
      <c r="D157" s="619"/>
    </row>
    <row r="158" spans="2:4">
      <c r="B158" s="617"/>
      <c r="C158" s="618"/>
      <c r="D158" s="619"/>
    </row>
    <row r="159" spans="2:4">
      <c r="B159" s="617"/>
      <c r="C159" s="618"/>
      <c r="D159" s="619"/>
    </row>
    <row r="160" spans="2:4">
      <c r="B160" s="617"/>
      <c r="C160" s="618"/>
      <c r="D160" s="619"/>
    </row>
    <row r="161" spans="2:4">
      <c r="B161" s="617"/>
      <c r="C161" s="618"/>
      <c r="D161" s="619"/>
    </row>
    <row r="162" spans="2:4">
      <c r="B162" s="617"/>
      <c r="C162" s="618"/>
      <c r="D162" s="619"/>
    </row>
    <row r="163" spans="2:4">
      <c r="B163" s="617"/>
      <c r="C163" s="618"/>
      <c r="D163" s="619"/>
    </row>
    <row r="164" spans="2:4">
      <c r="B164" s="617"/>
      <c r="C164" s="618"/>
      <c r="D164" s="619"/>
    </row>
    <row r="165" spans="2:4">
      <c r="B165" s="617"/>
      <c r="C165" s="618"/>
      <c r="D165" s="619"/>
    </row>
    <row r="166" spans="2:4">
      <c r="B166" s="617"/>
      <c r="C166" s="618"/>
      <c r="D166" s="619"/>
    </row>
    <row r="167" spans="2:4">
      <c r="B167" s="617"/>
      <c r="C167" s="618"/>
      <c r="D167" s="619"/>
    </row>
    <row r="168" spans="2:4">
      <c r="B168" s="617"/>
      <c r="C168" s="618"/>
      <c r="D168" s="619"/>
    </row>
    <row r="169" spans="2:4">
      <c r="B169" s="617"/>
      <c r="C169" s="618"/>
      <c r="D169" s="619"/>
    </row>
    <row r="170" spans="2:4">
      <c r="B170" s="617"/>
      <c r="C170" s="618"/>
      <c r="D170" s="619"/>
    </row>
    <row r="171" spans="2:4">
      <c r="B171" s="617"/>
      <c r="C171" s="618"/>
      <c r="D171" s="619"/>
    </row>
    <row r="172" spans="2:4">
      <c r="B172" s="617"/>
      <c r="C172" s="618"/>
      <c r="D172" s="619"/>
    </row>
    <row r="173" spans="2:4">
      <c r="B173" s="617"/>
      <c r="C173" s="618"/>
      <c r="D173" s="619"/>
    </row>
    <row r="174" spans="2:4">
      <c r="B174" s="617"/>
      <c r="C174" s="618"/>
      <c r="D174" s="619"/>
    </row>
    <row r="175" spans="2:4">
      <c r="B175" s="617"/>
      <c r="C175" s="618"/>
      <c r="D175" s="619"/>
    </row>
    <row r="176" spans="2:4">
      <c r="B176" s="617"/>
      <c r="C176" s="618"/>
      <c r="D176" s="619"/>
    </row>
    <row r="177" spans="2:4">
      <c r="B177" s="617"/>
      <c r="C177" s="618"/>
      <c r="D177" s="619"/>
    </row>
    <row r="178" spans="2:4">
      <c r="B178" s="617"/>
      <c r="C178" s="618"/>
      <c r="D178" s="619"/>
    </row>
    <row r="179" spans="2:4">
      <c r="B179" s="617"/>
      <c r="C179" s="618"/>
      <c r="D179" s="619"/>
    </row>
    <row r="180" spans="2:4">
      <c r="B180" s="617"/>
      <c r="C180" s="618"/>
      <c r="D180" s="619"/>
    </row>
    <row r="181" spans="2:4">
      <c r="B181" s="617"/>
      <c r="C181" s="618"/>
      <c r="D181" s="619"/>
    </row>
    <row r="182" spans="2:4">
      <c r="B182" s="617"/>
      <c r="C182" s="618"/>
      <c r="D182" s="619"/>
    </row>
    <row r="183" spans="2:4">
      <c r="B183" s="617"/>
      <c r="C183" s="618"/>
      <c r="D183" s="619"/>
    </row>
    <row r="184" spans="2:4">
      <c r="B184" s="617"/>
      <c r="C184" s="618"/>
      <c r="D184" s="619"/>
    </row>
    <row r="185" spans="2:4">
      <c r="B185" s="617"/>
      <c r="C185" s="618"/>
      <c r="D185" s="619"/>
    </row>
    <row r="186" spans="2:4">
      <c r="B186" s="617"/>
      <c r="C186" s="618"/>
      <c r="D186" s="619"/>
    </row>
    <row r="187" spans="2:4">
      <c r="B187" s="617"/>
      <c r="C187" s="618"/>
      <c r="D187" s="619"/>
    </row>
    <row r="188" spans="2:4">
      <c r="B188" s="617"/>
      <c r="C188" s="618"/>
      <c r="D188" s="619"/>
    </row>
    <row r="189" spans="2:4">
      <c r="B189" s="617"/>
      <c r="C189" s="618"/>
      <c r="D189" s="619"/>
    </row>
    <row r="190" spans="2:4">
      <c r="B190" s="617"/>
      <c r="C190" s="618"/>
      <c r="D190" s="619"/>
    </row>
    <row r="191" spans="2:4">
      <c r="B191" s="617"/>
      <c r="C191" s="618"/>
      <c r="D191" s="619"/>
    </row>
    <row r="192" spans="2:4">
      <c r="B192" s="617"/>
      <c r="C192" s="618"/>
      <c r="D192" s="619"/>
    </row>
    <row r="193" spans="2:4">
      <c r="B193" s="617"/>
      <c r="C193" s="618"/>
      <c r="D193" s="619"/>
    </row>
    <row r="194" spans="2:4">
      <c r="B194" s="617"/>
      <c r="C194" s="618"/>
      <c r="D194" s="619"/>
    </row>
    <row r="195" spans="2:4">
      <c r="B195" s="617"/>
      <c r="C195" s="618"/>
      <c r="D195" s="619"/>
    </row>
    <row r="196" spans="2:4">
      <c r="B196" s="617"/>
      <c r="C196" s="618"/>
      <c r="D196" s="619"/>
    </row>
    <row r="197" spans="2:4">
      <c r="B197" s="617"/>
      <c r="C197" s="618"/>
      <c r="D197" s="619"/>
    </row>
    <row r="198" spans="2:4">
      <c r="B198" s="617"/>
      <c r="C198" s="618"/>
      <c r="D198" s="619"/>
    </row>
    <row r="199" spans="2:4">
      <c r="B199" s="617"/>
      <c r="C199" s="618"/>
      <c r="D199" s="619"/>
    </row>
    <row r="200" spans="2:4">
      <c r="B200" s="617"/>
      <c r="C200" s="618"/>
      <c r="D200" s="619"/>
    </row>
    <row r="201" spans="2:4">
      <c r="B201" s="617"/>
      <c r="C201" s="618"/>
      <c r="D201" s="619"/>
    </row>
    <row r="202" spans="2:4">
      <c r="B202" s="617"/>
      <c r="C202" s="618"/>
      <c r="D202" s="619"/>
    </row>
    <row r="203" spans="2:4">
      <c r="B203" s="617"/>
      <c r="C203" s="618"/>
      <c r="D203" s="619"/>
    </row>
    <row r="204" spans="2:4">
      <c r="B204" s="617"/>
      <c r="C204" s="618"/>
      <c r="D204" s="619"/>
    </row>
    <row r="205" spans="2:4">
      <c r="B205" s="617"/>
      <c r="C205" s="618"/>
      <c r="D205" s="619"/>
    </row>
    <row r="206" spans="2:4">
      <c r="B206" s="617"/>
      <c r="C206" s="618"/>
      <c r="D206" s="619"/>
    </row>
    <row r="207" spans="2:4">
      <c r="B207" s="617"/>
      <c r="C207" s="618"/>
      <c r="D207" s="619"/>
    </row>
    <row r="208" spans="2:4">
      <c r="B208" s="617"/>
      <c r="C208" s="618"/>
      <c r="D208" s="619"/>
    </row>
    <row r="209" spans="2:4">
      <c r="B209" s="617"/>
      <c r="C209" s="618"/>
      <c r="D209" s="619"/>
    </row>
    <row r="210" spans="2:4">
      <c r="B210" s="617"/>
      <c r="C210" s="618"/>
      <c r="D210" s="619"/>
    </row>
    <row r="211" spans="2:4">
      <c r="B211" s="617"/>
      <c r="C211" s="618"/>
      <c r="D211" s="619"/>
    </row>
    <row r="212" spans="2:4">
      <c r="B212" s="617"/>
      <c r="C212" s="618"/>
      <c r="D212" s="619"/>
    </row>
    <row r="213" spans="2:4">
      <c r="B213" s="617"/>
      <c r="C213" s="618"/>
      <c r="D213" s="619"/>
    </row>
    <row r="214" spans="2:4">
      <c r="B214" s="617"/>
      <c r="C214" s="618"/>
      <c r="D214" s="619"/>
    </row>
    <row r="215" spans="2:4">
      <c r="B215" s="617"/>
      <c r="C215" s="618"/>
      <c r="D215" s="619"/>
    </row>
    <row r="216" spans="2:4">
      <c r="B216" s="617"/>
      <c r="C216" s="618"/>
      <c r="D216" s="619"/>
    </row>
    <row r="217" spans="2:4">
      <c r="B217" s="617"/>
      <c r="C217" s="618"/>
      <c r="D217" s="619"/>
    </row>
    <row r="218" spans="2:4">
      <c r="B218" s="617"/>
      <c r="C218" s="618"/>
      <c r="D218" s="619"/>
    </row>
    <row r="219" spans="2:4">
      <c r="B219" s="617"/>
      <c r="C219" s="618"/>
      <c r="D219" s="619"/>
    </row>
    <row r="220" spans="2:4">
      <c r="B220" s="617"/>
      <c r="C220" s="618"/>
      <c r="D220" s="619"/>
    </row>
    <row r="221" spans="2:4">
      <c r="B221" s="617"/>
      <c r="C221" s="618"/>
      <c r="D221" s="619"/>
    </row>
    <row r="222" spans="2:4">
      <c r="B222" s="617"/>
      <c r="C222" s="618"/>
      <c r="D222" s="619"/>
    </row>
    <row r="223" spans="2:4">
      <c r="B223" s="617"/>
      <c r="C223" s="618"/>
      <c r="D223" s="619"/>
    </row>
    <row r="224" spans="2:4">
      <c r="B224" s="617"/>
      <c r="C224" s="618"/>
      <c r="D224" s="619"/>
    </row>
    <row r="225" spans="2:4">
      <c r="B225" s="617"/>
      <c r="C225" s="618"/>
      <c r="D225" s="619"/>
    </row>
    <row r="226" spans="2:4">
      <c r="B226" s="617"/>
      <c r="C226" s="618"/>
      <c r="D226" s="619"/>
    </row>
    <row r="227" spans="2:4">
      <c r="B227" s="617"/>
      <c r="C227" s="618"/>
      <c r="D227" s="619"/>
    </row>
    <row r="228" spans="2:4">
      <c r="B228" s="617"/>
      <c r="C228" s="618"/>
      <c r="D228" s="619"/>
    </row>
    <row r="229" spans="2:4">
      <c r="B229" s="617"/>
      <c r="C229" s="618"/>
      <c r="D229" s="619"/>
    </row>
    <row r="230" spans="2:4">
      <c r="B230" s="617"/>
      <c r="C230" s="618"/>
      <c r="D230" s="619"/>
    </row>
    <row r="231" spans="2:4">
      <c r="B231" s="617"/>
      <c r="C231" s="618"/>
      <c r="D231" s="619"/>
    </row>
    <row r="232" spans="2:4">
      <c r="B232" s="617"/>
      <c r="C232" s="618"/>
      <c r="D232" s="619"/>
    </row>
    <row r="233" spans="2:4">
      <c r="B233" s="617"/>
      <c r="C233" s="618"/>
      <c r="D233" s="619"/>
    </row>
    <row r="234" spans="2:4">
      <c r="B234" s="617"/>
      <c r="C234" s="618"/>
      <c r="D234" s="619"/>
    </row>
    <row r="235" spans="2:4">
      <c r="B235" s="617"/>
      <c r="C235" s="618"/>
      <c r="D235" s="619"/>
    </row>
    <row r="236" spans="2:4">
      <c r="B236" s="617"/>
      <c r="C236" s="618"/>
      <c r="D236" s="619"/>
    </row>
    <row r="237" spans="2:4">
      <c r="B237" s="617"/>
      <c r="C237" s="618"/>
      <c r="D237" s="619"/>
    </row>
    <row r="238" spans="2:4">
      <c r="B238" s="617"/>
      <c r="C238" s="618"/>
      <c r="D238" s="619"/>
    </row>
    <row r="239" spans="2:4">
      <c r="B239" s="617"/>
      <c r="C239" s="618"/>
      <c r="D239" s="619"/>
    </row>
    <row r="240" spans="2:4">
      <c r="B240" s="617"/>
      <c r="C240" s="618"/>
      <c r="D240" s="619"/>
    </row>
    <row r="241" spans="2:4">
      <c r="B241" s="617"/>
      <c r="C241" s="618"/>
      <c r="D241" s="619"/>
    </row>
    <row r="242" spans="2:4">
      <c r="B242" s="617"/>
      <c r="C242" s="618"/>
      <c r="D242" s="619"/>
    </row>
    <row r="243" spans="2:4">
      <c r="B243" s="617"/>
      <c r="C243" s="618"/>
      <c r="D243" s="619"/>
    </row>
    <row r="244" spans="2:4">
      <c r="B244" s="617"/>
      <c r="C244" s="618"/>
      <c r="D244" s="619"/>
    </row>
    <row r="245" spans="2:4">
      <c r="B245" s="617"/>
      <c r="C245" s="618"/>
      <c r="D245" s="619"/>
    </row>
    <row r="246" spans="2:4">
      <c r="B246" s="617"/>
      <c r="C246" s="618"/>
      <c r="D246" s="619"/>
    </row>
    <row r="247" spans="2:4">
      <c r="B247" s="617"/>
      <c r="C247" s="618"/>
      <c r="D247" s="619"/>
    </row>
    <row r="248" spans="2:4">
      <c r="B248" s="617"/>
      <c r="C248" s="618"/>
      <c r="D248" s="619"/>
    </row>
    <row r="249" spans="2:4">
      <c r="B249" s="617"/>
      <c r="C249" s="618"/>
      <c r="D249" s="619"/>
    </row>
    <row r="250" spans="2:4">
      <c r="B250" s="617"/>
      <c r="C250" s="618"/>
      <c r="D250" s="619"/>
    </row>
    <row r="251" spans="2:4">
      <c r="B251" s="617"/>
      <c r="C251" s="618"/>
      <c r="D251" s="619"/>
    </row>
    <row r="252" spans="2:4">
      <c r="B252" s="617"/>
      <c r="C252" s="618"/>
      <c r="D252" s="619"/>
    </row>
    <row r="253" spans="2:4">
      <c r="B253" s="617"/>
      <c r="C253" s="618"/>
      <c r="D253" s="619"/>
    </row>
    <row r="254" spans="2:4">
      <c r="B254" s="617"/>
      <c r="C254" s="618"/>
      <c r="D254" s="619"/>
    </row>
    <row r="255" spans="2:4">
      <c r="B255" s="617"/>
      <c r="C255" s="618"/>
      <c r="D255" s="619"/>
    </row>
    <row r="256" spans="2:4">
      <c r="B256" s="617"/>
      <c r="C256" s="618"/>
      <c r="D256" s="619"/>
    </row>
    <row r="257" spans="2:4">
      <c r="B257" s="617"/>
      <c r="C257" s="618"/>
      <c r="D257" s="619"/>
    </row>
    <row r="258" spans="2:4">
      <c r="B258" s="617"/>
      <c r="C258" s="618"/>
      <c r="D258" s="619"/>
    </row>
    <row r="259" spans="2:4">
      <c r="B259" s="617"/>
      <c r="C259" s="618"/>
      <c r="D259" s="619"/>
    </row>
    <row r="260" spans="2:4">
      <c r="B260" s="617"/>
      <c r="C260" s="618"/>
      <c r="D260" s="619"/>
    </row>
    <row r="261" spans="2:4">
      <c r="B261" s="617"/>
      <c r="C261" s="618"/>
      <c r="D261" s="619"/>
    </row>
    <row r="262" spans="2:4">
      <c r="B262" s="617"/>
      <c r="C262" s="618"/>
      <c r="D262" s="619"/>
    </row>
    <row r="263" spans="2:4">
      <c r="B263" s="617"/>
      <c r="C263" s="618"/>
      <c r="D263" s="619"/>
    </row>
    <row r="264" spans="2:4">
      <c r="B264" s="617"/>
      <c r="C264" s="618"/>
      <c r="D264" s="619"/>
    </row>
    <row r="265" spans="2:4">
      <c r="B265" s="617"/>
      <c r="C265" s="618"/>
      <c r="D265" s="619"/>
    </row>
    <row r="266" spans="2:4">
      <c r="B266" s="617"/>
      <c r="C266" s="618"/>
      <c r="D266" s="619"/>
    </row>
    <row r="267" spans="2:4">
      <c r="B267" s="617"/>
      <c r="C267" s="618"/>
      <c r="D267" s="619"/>
    </row>
    <row r="268" spans="2:4">
      <c r="B268" s="617"/>
      <c r="C268" s="618"/>
      <c r="D268" s="619"/>
    </row>
    <row r="269" spans="2:4">
      <c r="B269" s="617"/>
      <c r="C269" s="618"/>
      <c r="D269" s="619"/>
    </row>
    <row r="270" spans="2:4">
      <c r="B270" s="617"/>
      <c r="C270" s="618"/>
      <c r="D270" s="619"/>
    </row>
    <row r="271" spans="2:4">
      <c r="B271" s="617"/>
      <c r="C271" s="618"/>
      <c r="D271" s="619"/>
    </row>
    <row r="272" spans="2:4">
      <c r="B272" s="617"/>
      <c r="C272" s="618"/>
      <c r="D272" s="619"/>
    </row>
    <row r="273" spans="2:4">
      <c r="B273" s="617"/>
      <c r="C273" s="618"/>
      <c r="D273" s="619"/>
    </row>
    <row r="274" spans="2:4">
      <c r="B274" s="617"/>
      <c r="C274" s="618"/>
      <c r="D274" s="619"/>
    </row>
    <row r="275" spans="2:4">
      <c r="B275" s="617"/>
      <c r="C275" s="618"/>
      <c r="D275" s="619"/>
    </row>
    <row r="276" spans="2:4">
      <c r="B276" s="617"/>
      <c r="C276" s="618"/>
      <c r="D276" s="619"/>
    </row>
    <row r="277" spans="2:4">
      <c r="B277" s="617"/>
      <c r="C277" s="618"/>
      <c r="D277" s="619"/>
    </row>
    <row r="278" spans="2:4">
      <c r="B278" s="617"/>
      <c r="C278" s="618"/>
      <c r="D278" s="619"/>
    </row>
    <row r="279" spans="2:4">
      <c r="B279" s="617"/>
      <c r="C279" s="618"/>
      <c r="D279" s="619"/>
    </row>
    <row r="280" spans="2:4">
      <c r="B280" s="617"/>
      <c r="C280" s="618"/>
      <c r="D280" s="619"/>
    </row>
    <row r="281" spans="2:4">
      <c r="B281" s="617"/>
      <c r="C281" s="618"/>
      <c r="D281" s="619"/>
    </row>
    <row r="282" spans="2:4">
      <c r="B282" s="617"/>
      <c r="C282" s="618"/>
      <c r="D282" s="619"/>
    </row>
    <row r="283" spans="2:4">
      <c r="B283" s="617"/>
      <c r="C283" s="618"/>
      <c r="D283" s="619"/>
    </row>
    <row r="284" spans="2:4">
      <c r="B284" s="617"/>
      <c r="C284" s="618"/>
      <c r="D284" s="619"/>
    </row>
    <row r="285" spans="2:4">
      <c r="B285" s="617"/>
      <c r="C285" s="618"/>
      <c r="D285" s="619"/>
    </row>
    <row r="286" spans="2:4">
      <c r="B286" s="617"/>
      <c r="C286" s="618"/>
      <c r="D286" s="619"/>
    </row>
    <row r="287" spans="2:4">
      <c r="B287" s="617"/>
      <c r="C287" s="618"/>
      <c r="D287" s="619"/>
    </row>
    <row r="288" spans="2:4">
      <c r="B288" s="617"/>
      <c r="C288" s="618"/>
      <c r="D288" s="619"/>
    </row>
    <row r="289" spans="2:4">
      <c r="B289" s="617"/>
      <c r="C289" s="618"/>
      <c r="D289" s="619"/>
    </row>
    <row r="290" spans="2:4">
      <c r="B290" s="617"/>
      <c r="C290" s="618"/>
      <c r="D290" s="619"/>
    </row>
    <row r="291" spans="2:4">
      <c r="B291" s="617"/>
      <c r="C291" s="618"/>
      <c r="D291" s="619"/>
    </row>
    <row r="292" spans="2:4">
      <c r="B292" s="617"/>
      <c r="C292" s="618"/>
      <c r="D292" s="619"/>
    </row>
    <row r="293" spans="2:4">
      <c r="B293" s="617"/>
      <c r="C293" s="618"/>
      <c r="D293" s="619"/>
    </row>
    <row r="294" spans="2:4">
      <c r="B294" s="617"/>
      <c r="C294" s="618"/>
      <c r="D294" s="619"/>
    </row>
    <row r="295" spans="2:4">
      <c r="B295" s="617"/>
      <c r="C295" s="618"/>
      <c r="D295" s="619"/>
    </row>
    <row r="296" spans="2:4">
      <c r="B296" s="617"/>
      <c r="C296" s="618"/>
      <c r="D296" s="619"/>
    </row>
    <row r="297" spans="2:4">
      <c r="B297" s="617"/>
      <c r="C297" s="618"/>
      <c r="D297" s="619"/>
    </row>
    <row r="298" spans="2:4">
      <c r="B298" s="617"/>
      <c r="C298" s="618"/>
      <c r="D298" s="619"/>
    </row>
    <row r="299" spans="2:4">
      <c r="B299" s="617"/>
      <c r="C299" s="618"/>
      <c r="D299" s="619"/>
    </row>
    <row r="300" spans="2:4">
      <c r="B300" s="617"/>
      <c r="C300" s="618"/>
      <c r="D300" s="619"/>
    </row>
    <row r="301" spans="2:4">
      <c r="B301" s="617"/>
      <c r="C301" s="618"/>
      <c r="D301" s="619"/>
    </row>
    <row r="302" spans="2:4">
      <c r="B302" s="617"/>
      <c r="C302" s="618"/>
      <c r="D302" s="619"/>
    </row>
    <row r="303" spans="2:4">
      <c r="B303" s="617"/>
      <c r="C303" s="618"/>
      <c r="D303" s="619"/>
    </row>
    <row r="304" spans="2:4">
      <c r="B304" s="617"/>
      <c r="C304" s="618"/>
      <c r="D304" s="619"/>
    </row>
    <row r="305" spans="2:4">
      <c r="B305" s="617"/>
      <c r="C305" s="618"/>
      <c r="D305" s="619"/>
    </row>
    <row r="306" spans="2:4">
      <c r="B306" s="617"/>
      <c r="C306" s="618"/>
      <c r="D306" s="619"/>
    </row>
    <row r="307" spans="2:4">
      <c r="B307" s="617"/>
      <c r="C307" s="618"/>
      <c r="D307" s="619"/>
    </row>
    <row r="308" spans="2:4">
      <c r="B308" s="617"/>
      <c r="C308" s="618"/>
      <c r="D308" s="619"/>
    </row>
    <row r="309" spans="2:4">
      <c r="B309" s="617"/>
      <c r="C309" s="618"/>
      <c r="D309" s="619"/>
    </row>
    <row r="310" spans="2:4">
      <c r="B310" s="617"/>
      <c r="C310" s="618"/>
      <c r="D310" s="619"/>
    </row>
    <row r="311" spans="2:4">
      <c r="B311" s="617"/>
      <c r="C311" s="618"/>
      <c r="D311" s="619"/>
    </row>
    <row r="312" spans="2:4">
      <c r="B312" s="617"/>
      <c r="C312" s="618"/>
      <c r="D312" s="619"/>
    </row>
    <row r="313" spans="2:4">
      <c r="B313" s="617"/>
      <c r="C313" s="618"/>
      <c r="D313" s="619"/>
    </row>
    <row r="314" spans="2:4">
      <c r="B314" s="617"/>
      <c r="C314" s="618"/>
      <c r="D314" s="619"/>
    </row>
    <row r="315" spans="2:4">
      <c r="B315" s="617"/>
      <c r="C315" s="618"/>
      <c r="D315" s="619"/>
    </row>
    <row r="316" spans="2:4">
      <c r="B316" s="617"/>
      <c r="C316" s="618"/>
      <c r="D316" s="619"/>
    </row>
    <row r="317" spans="2:4">
      <c r="B317" s="617"/>
      <c r="C317" s="618"/>
      <c r="D317" s="619"/>
    </row>
    <row r="318" spans="2:4">
      <c r="B318" s="617"/>
      <c r="C318" s="618"/>
      <c r="D318" s="619"/>
    </row>
    <row r="319" spans="2:4">
      <c r="B319" s="617"/>
      <c r="C319" s="618"/>
      <c r="D319" s="619"/>
    </row>
    <row r="320" spans="2:4">
      <c r="B320" s="617"/>
      <c r="C320" s="618"/>
      <c r="D320" s="619"/>
    </row>
    <row r="321" spans="2:4">
      <c r="B321" s="617"/>
      <c r="C321" s="618"/>
      <c r="D321" s="619"/>
    </row>
    <row r="322" spans="2:4">
      <c r="B322" s="617"/>
      <c r="C322" s="618"/>
      <c r="D322" s="619"/>
    </row>
    <row r="323" spans="2:4">
      <c r="B323" s="617"/>
      <c r="C323" s="618"/>
      <c r="D323" s="619"/>
    </row>
    <row r="324" spans="2:4">
      <c r="B324" s="617"/>
      <c r="C324" s="618"/>
      <c r="D324" s="619"/>
    </row>
    <row r="325" spans="2:4">
      <c r="B325" s="617"/>
      <c r="C325" s="618"/>
      <c r="D325" s="619"/>
    </row>
    <row r="326" spans="2:4">
      <c r="B326" s="617"/>
      <c r="C326" s="618"/>
      <c r="D326" s="619"/>
    </row>
    <row r="327" spans="2:4">
      <c r="B327" s="617"/>
      <c r="C327" s="618"/>
      <c r="D327" s="619"/>
    </row>
    <row r="328" spans="2:4">
      <c r="B328" s="617"/>
      <c r="C328" s="618"/>
      <c r="D328" s="619"/>
    </row>
    <row r="329" spans="2:4">
      <c r="B329" s="617"/>
      <c r="C329" s="618"/>
      <c r="D329" s="619"/>
    </row>
    <row r="330" spans="2:4">
      <c r="B330" s="617"/>
      <c r="C330" s="618"/>
      <c r="D330" s="619"/>
    </row>
    <row r="331" spans="2:4">
      <c r="B331" s="617"/>
      <c r="C331" s="618"/>
      <c r="D331" s="619"/>
    </row>
    <row r="332" spans="2:4">
      <c r="B332" s="617"/>
      <c r="C332" s="618"/>
      <c r="D332" s="619"/>
    </row>
    <row r="333" spans="2:4">
      <c r="B333" s="617"/>
      <c r="C333" s="618"/>
      <c r="D333" s="619"/>
    </row>
    <row r="334" spans="2:4">
      <c r="B334" s="617"/>
      <c r="C334" s="618"/>
      <c r="D334" s="619"/>
    </row>
    <row r="335" spans="2:4">
      <c r="B335" s="617"/>
      <c r="C335" s="618"/>
      <c r="D335" s="619"/>
    </row>
    <row r="336" spans="2:4">
      <c r="B336" s="617"/>
      <c r="C336" s="618"/>
      <c r="D336" s="619"/>
    </row>
    <row r="337" spans="2:4">
      <c r="B337" s="617"/>
      <c r="C337" s="618"/>
      <c r="D337" s="619"/>
    </row>
    <row r="338" spans="2:4">
      <c r="B338" s="617"/>
      <c r="C338" s="618"/>
      <c r="D338" s="619"/>
    </row>
    <row r="339" spans="2:4">
      <c r="B339" s="617"/>
      <c r="C339" s="618"/>
      <c r="D339" s="619"/>
    </row>
    <row r="340" spans="2:4">
      <c r="B340" s="617"/>
      <c r="C340" s="618"/>
      <c r="D340" s="619"/>
    </row>
    <row r="341" spans="2:4">
      <c r="B341" s="617"/>
      <c r="C341" s="618"/>
      <c r="D341" s="619"/>
    </row>
    <row r="342" spans="2:4">
      <c r="B342" s="617"/>
      <c r="C342" s="618"/>
      <c r="D342" s="619"/>
    </row>
    <row r="343" spans="2:4">
      <c r="B343" s="617"/>
      <c r="C343" s="618"/>
      <c r="D343" s="619"/>
    </row>
    <row r="344" spans="2:4">
      <c r="B344" s="617"/>
      <c r="C344" s="618"/>
      <c r="D344" s="619"/>
    </row>
    <row r="345" spans="2:4">
      <c r="B345" s="617"/>
      <c r="C345" s="618"/>
      <c r="D345" s="619"/>
    </row>
    <row r="346" spans="2:4">
      <c r="B346" s="617"/>
      <c r="C346" s="618"/>
      <c r="D346" s="619"/>
    </row>
    <row r="347" spans="2:4">
      <c r="B347" s="617"/>
      <c r="C347" s="618"/>
      <c r="D347" s="619"/>
    </row>
    <row r="348" spans="2:4">
      <c r="B348" s="617"/>
      <c r="C348" s="618"/>
      <c r="D348" s="619"/>
    </row>
    <row r="349" spans="2:4">
      <c r="B349" s="617"/>
      <c r="C349" s="618"/>
      <c r="D349" s="619"/>
    </row>
    <row r="350" spans="2:4">
      <c r="B350" s="617"/>
      <c r="C350" s="618"/>
      <c r="D350" s="619"/>
    </row>
    <row r="351" spans="2:4">
      <c r="B351" s="617"/>
      <c r="C351" s="618"/>
      <c r="D351" s="619"/>
    </row>
    <row r="352" spans="2:4">
      <c r="B352" s="617"/>
      <c r="C352" s="618"/>
      <c r="D352" s="619"/>
    </row>
    <row r="353" spans="2:4">
      <c r="B353" s="617"/>
      <c r="C353" s="618"/>
      <c r="D353" s="619"/>
    </row>
    <row r="354" spans="2:4">
      <c r="B354" s="617"/>
      <c r="C354" s="618"/>
      <c r="D354" s="619"/>
    </row>
    <row r="355" spans="2:4">
      <c r="B355" s="617"/>
      <c r="C355" s="618"/>
      <c r="D355" s="619"/>
    </row>
    <row r="356" spans="2:4">
      <c r="B356" s="617"/>
      <c r="C356" s="618"/>
      <c r="D356" s="619"/>
    </row>
    <row r="357" spans="2:4">
      <c r="B357" s="617"/>
      <c r="C357" s="618"/>
      <c r="D357" s="619"/>
    </row>
    <row r="358" spans="2:4">
      <c r="B358" s="617"/>
      <c r="C358" s="618"/>
      <c r="D358" s="619"/>
    </row>
    <row r="359" spans="2:4">
      <c r="B359" s="617"/>
      <c r="C359" s="618"/>
      <c r="D359" s="619"/>
    </row>
    <row r="360" spans="2:4">
      <c r="B360" s="617"/>
      <c r="C360" s="618"/>
      <c r="D360" s="619"/>
    </row>
    <row r="361" spans="2:4">
      <c r="B361" s="617"/>
      <c r="C361" s="618"/>
      <c r="D361" s="619"/>
    </row>
    <row r="362" spans="2:4">
      <c r="B362" s="617"/>
      <c r="C362" s="618"/>
      <c r="D362" s="619"/>
    </row>
    <row r="363" spans="2:4">
      <c r="B363" s="617"/>
      <c r="C363" s="618"/>
      <c r="D363" s="619"/>
    </row>
    <row r="364" spans="2:4">
      <c r="B364" s="617"/>
      <c r="C364" s="618"/>
      <c r="D364" s="619"/>
    </row>
    <row r="365" spans="2:4">
      <c r="B365" s="617"/>
      <c r="C365" s="618"/>
      <c r="D365" s="619"/>
    </row>
    <row r="366" spans="2:4">
      <c r="B366" s="617"/>
      <c r="C366" s="618"/>
      <c r="D366" s="619"/>
    </row>
    <row r="367" spans="2:4">
      <c r="B367" s="617"/>
      <c r="C367" s="618"/>
      <c r="D367" s="619"/>
    </row>
    <row r="368" spans="2:4">
      <c r="B368" s="617"/>
      <c r="C368" s="618"/>
      <c r="D368" s="619"/>
    </row>
    <row r="369" spans="2:4">
      <c r="B369" s="617"/>
      <c r="C369" s="618"/>
      <c r="D369" s="619"/>
    </row>
    <row r="370" spans="2:4">
      <c r="B370" s="617"/>
      <c r="C370" s="618"/>
      <c r="D370" s="619"/>
    </row>
    <row r="371" spans="2:4">
      <c r="B371" s="617"/>
      <c r="C371" s="618"/>
      <c r="D371" s="619"/>
    </row>
    <row r="372" spans="2:4">
      <c r="B372" s="617"/>
      <c r="C372" s="618"/>
      <c r="D372" s="619"/>
    </row>
    <row r="373" spans="2:4">
      <c r="B373" s="617"/>
      <c r="C373" s="618"/>
      <c r="D373" s="619"/>
    </row>
    <row r="374" spans="2:4">
      <c r="B374" s="617"/>
      <c r="C374" s="618"/>
      <c r="D374" s="619"/>
    </row>
    <row r="375" spans="2:4">
      <c r="B375" s="617"/>
      <c r="C375" s="618"/>
      <c r="D375" s="619"/>
    </row>
    <row r="376" spans="2:4">
      <c r="B376" s="617"/>
      <c r="C376" s="618"/>
      <c r="D376" s="619"/>
    </row>
    <row r="377" spans="2:4">
      <c r="B377" s="617"/>
      <c r="C377" s="618"/>
      <c r="D377" s="619"/>
    </row>
    <row r="378" spans="2:4">
      <c r="B378" s="617"/>
      <c r="C378" s="618"/>
      <c r="D378" s="619"/>
    </row>
    <row r="379" spans="2:4">
      <c r="B379" s="617"/>
      <c r="C379" s="618"/>
      <c r="D379" s="619"/>
    </row>
    <row r="380" spans="2:4">
      <c r="B380" s="617"/>
      <c r="C380" s="618"/>
      <c r="D380" s="619"/>
    </row>
    <row r="381" spans="2:4">
      <c r="B381" s="617"/>
      <c r="C381" s="618"/>
      <c r="D381" s="619"/>
    </row>
    <row r="382" spans="2:4">
      <c r="B382" s="617"/>
      <c r="C382" s="618"/>
      <c r="D382" s="619"/>
    </row>
    <row r="383" spans="2:4">
      <c r="B383" s="617"/>
      <c r="C383" s="618"/>
      <c r="D383" s="619"/>
    </row>
    <row r="384" spans="2:4">
      <c r="B384" s="617"/>
      <c r="C384" s="618"/>
      <c r="D384" s="619"/>
    </row>
    <row r="385" spans="2:4">
      <c r="B385" s="617"/>
      <c r="C385" s="618"/>
      <c r="D385" s="619"/>
    </row>
    <row r="386" spans="2:4">
      <c r="B386" s="617"/>
      <c r="C386" s="618"/>
      <c r="D386" s="619"/>
    </row>
    <row r="387" spans="2:4">
      <c r="B387" s="617"/>
      <c r="C387" s="618"/>
      <c r="D387" s="619"/>
    </row>
    <row r="388" spans="2:4">
      <c r="B388" s="617"/>
      <c r="C388" s="618"/>
      <c r="D388" s="619"/>
    </row>
    <row r="389" spans="2:4">
      <c r="B389" s="617"/>
      <c r="C389" s="618"/>
      <c r="D389" s="619"/>
    </row>
    <row r="390" spans="2:4">
      <c r="B390" s="617"/>
      <c r="C390" s="618"/>
      <c r="D390" s="619"/>
    </row>
    <row r="391" spans="2:4">
      <c r="B391" s="617"/>
      <c r="C391" s="618"/>
      <c r="D391" s="619"/>
    </row>
    <row r="392" spans="2:4">
      <c r="B392" s="617"/>
      <c r="C392" s="618"/>
      <c r="D392" s="619"/>
    </row>
    <row r="393" spans="2:4">
      <c r="B393" s="617"/>
      <c r="C393" s="618"/>
      <c r="D393" s="619"/>
    </row>
    <row r="394" spans="2:4">
      <c r="B394" s="617"/>
      <c r="C394" s="618"/>
      <c r="D394" s="619"/>
    </row>
    <row r="395" spans="2:4">
      <c r="B395" s="617"/>
      <c r="C395" s="618"/>
      <c r="D395" s="619"/>
    </row>
    <row r="396" spans="2:4">
      <c r="B396" s="617"/>
      <c r="C396" s="618"/>
      <c r="D396" s="619"/>
    </row>
    <row r="397" spans="2:4">
      <c r="B397" s="617"/>
      <c r="C397" s="618"/>
      <c r="D397" s="619"/>
    </row>
    <row r="398" spans="2:4">
      <c r="B398" s="617"/>
      <c r="C398" s="618"/>
      <c r="D398" s="619"/>
    </row>
    <row r="399" spans="2:4">
      <c r="B399" s="617"/>
      <c r="C399" s="618"/>
      <c r="D399" s="619"/>
    </row>
    <row r="400" spans="2:4">
      <c r="B400" s="617"/>
      <c r="C400" s="618"/>
      <c r="D400" s="619"/>
    </row>
    <row r="401" spans="2:4">
      <c r="B401" s="617"/>
      <c r="C401" s="618"/>
      <c r="D401" s="619"/>
    </row>
    <row r="402" spans="2:4">
      <c r="B402" s="617"/>
      <c r="C402" s="618"/>
      <c r="D402" s="619"/>
    </row>
    <row r="403" spans="2:4">
      <c r="B403" s="617"/>
      <c r="C403" s="618"/>
      <c r="D403" s="619"/>
    </row>
    <row r="404" spans="2:4">
      <c r="B404" s="617"/>
      <c r="C404" s="618"/>
      <c r="D404" s="619"/>
    </row>
    <row r="405" spans="2:4">
      <c r="B405" s="617"/>
      <c r="C405" s="618"/>
      <c r="D405" s="619"/>
    </row>
    <row r="406" spans="2:4">
      <c r="B406" s="617"/>
      <c r="C406" s="618"/>
      <c r="D406" s="619"/>
    </row>
    <row r="407" spans="2:4">
      <c r="B407" s="617"/>
      <c r="C407" s="618"/>
      <c r="D407" s="619"/>
    </row>
    <row r="408" spans="2:4">
      <c r="B408" s="617"/>
      <c r="C408" s="618"/>
      <c r="D408" s="619"/>
    </row>
    <row r="409" spans="2:4">
      <c r="B409" s="617"/>
      <c r="C409" s="618"/>
      <c r="D409" s="619"/>
    </row>
    <row r="410" spans="2:4">
      <c r="B410" s="617"/>
      <c r="C410" s="618"/>
      <c r="D410" s="619"/>
    </row>
    <row r="411" spans="2:4">
      <c r="B411" s="617"/>
      <c r="C411" s="618"/>
      <c r="D411" s="619"/>
    </row>
    <row r="412" spans="2:4">
      <c r="B412" s="617"/>
      <c r="C412" s="618"/>
      <c r="D412" s="619"/>
    </row>
    <row r="413" spans="2:4">
      <c r="B413" s="617"/>
      <c r="C413" s="618"/>
      <c r="D413" s="619"/>
    </row>
    <row r="414" spans="2:4">
      <c r="B414" s="617"/>
      <c r="C414" s="618"/>
      <c r="D414" s="619"/>
    </row>
    <row r="415" spans="2:4">
      <c r="B415" s="617"/>
      <c r="C415" s="618"/>
      <c r="D415" s="619"/>
    </row>
    <row r="416" spans="2:4">
      <c r="B416" s="617"/>
      <c r="C416" s="618"/>
      <c r="D416" s="619"/>
    </row>
    <row r="417" spans="2:4">
      <c r="B417" s="617"/>
      <c r="C417" s="618"/>
      <c r="D417" s="619"/>
    </row>
    <row r="418" spans="2:4">
      <c r="B418" s="617"/>
      <c r="C418" s="618"/>
      <c r="D418" s="619"/>
    </row>
    <row r="419" spans="2:4">
      <c r="B419" s="617"/>
      <c r="C419" s="618"/>
      <c r="D419" s="619"/>
    </row>
    <row r="420" spans="2:4">
      <c r="B420" s="617"/>
      <c r="C420" s="618"/>
      <c r="D420" s="619"/>
    </row>
    <row r="421" spans="2:4">
      <c r="B421" s="617"/>
      <c r="C421" s="618"/>
      <c r="D421" s="619"/>
    </row>
    <row r="422" spans="2:4">
      <c r="B422" s="617"/>
      <c r="C422" s="618"/>
      <c r="D422" s="619"/>
    </row>
    <row r="423" spans="2:4">
      <c r="B423" s="617"/>
      <c r="C423" s="618"/>
      <c r="D423" s="619"/>
    </row>
    <row r="424" spans="2:4">
      <c r="B424" s="617"/>
      <c r="C424" s="618"/>
      <c r="D424" s="619"/>
    </row>
    <row r="425" spans="2:4">
      <c r="B425" s="617"/>
      <c r="C425" s="618"/>
      <c r="D425" s="619"/>
    </row>
    <row r="426" spans="2:4">
      <c r="B426" s="617"/>
      <c r="C426" s="618"/>
      <c r="D426" s="619"/>
    </row>
    <row r="427" spans="2:4">
      <c r="B427" s="617"/>
      <c r="C427" s="618"/>
      <c r="D427" s="619"/>
    </row>
    <row r="428" spans="2:4">
      <c r="B428" s="617"/>
      <c r="C428" s="618"/>
      <c r="D428" s="619"/>
    </row>
    <row r="429" spans="2:4">
      <c r="B429" s="617"/>
      <c r="C429" s="618"/>
      <c r="D429" s="619"/>
    </row>
    <row r="430" spans="2:4">
      <c r="B430" s="617"/>
      <c r="C430" s="618"/>
      <c r="D430" s="619"/>
    </row>
    <row r="431" spans="2:4">
      <c r="B431" s="617"/>
      <c r="C431" s="618"/>
      <c r="D431" s="619"/>
    </row>
    <row r="432" spans="2:4">
      <c r="B432" s="617"/>
      <c r="C432" s="618"/>
      <c r="D432" s="619"/>
    </row>
    <row r="433" spans="2:4">
      <c r="B433" s="617"/>
      <c r="C433" s="618"/>
      <c r="D433" s="619"/>
    </row>
    <row r="434" spans="2:4">
      <c r="B434" s="617"/>
      <c r="C434" s="618"/>
      <c r="D434" s="619"/>
    </row>
    <row r="435" spans="2:4">
      <c r="B435" s="617"/>
      <c r="C435" s="618"/>
      <c r="D435" s="619"/>
    </row>
    <row r="436" spans="2:4">
      <c r="B436" s="617"/>
      <c r="C436" s="618"/>
      <c r="D436" s="619"/>
    </row>
    <row r="437" spans="2:4">
      <c r="B437" s="617"/>
      <c r="C437" s="618"/>
      <c r="D437" s="619"/>
    </row>
    <row r="438" spans="2:4">
      <c r="B438" s="617"/>
      <c r="C438" s="618"/>
      <c r="D438" s="619"/>
    </row>
    <row r="439" spans="2:4">
      <c r="B439" s="617"/>
      <c r="C439" s="618"/>
      <c r="D439" s="619"/>
    </row>
    <row r="440" spans="2:4">
      <c r="B440" s="617"/>
      <c r="C440" s="618"/>
      <c r="D440" s="619"/>
    </row>
    <row r="441" spans="2:4">
      <c r="B441" s="617"/>
      <c r="C441" s="618"/>
      <c r="D441" s="619"/>
    </row>
    <row r="442" spans="2:4">
      <c r="B442" s="617"/>
      <c r="C442" s="618"/>
      <c r="D442" s="619"/>
    </row>
    <row r="443" spans="2:4">
      <c r="B443" s="617"/>
      <c r="C443" s="618"/>
      <c r="D443" s="619"/>
    </row>
    <row r="444" spans="2:4">
      <c r="B444" s="617"/>
      <c r="C444" s="618"/>
      <c r="D444" s="619"/>
    </row>
    <row r="445" spans="2:4">
      <c r="B445" s="617"/>
      <c r="C445" s="618"/>
      <c r="D445" s="619"/>
    </row>
    <row r="446" spans="2:4">
      <c r="B446" s="617"/>
      <c r="C446" s="618"/>
      <c r="D446" s="619"/>
    </row>
    <row r="447" spans="2:4">
      <c r="B447" s="617"/>
      <c r="C447" s="618"/>
      <c r="D447" s="619"/>
    </row>
    <row r="448" spans="2:4">
      <c r="B448" s="617"/>
      <c r="C448" s="618"/>
      <c r="D448" s="619"/>
    </row>
    <row r="449" spans="2:4">
      <c r="B449" s="617"/>
      <c r="C449" s="618"/>
      <c r="D449" s="619"/>
    </row>
    <row r="450" spans="2:4">
      <c r="B450" s="617"/>
      <c r="C450" s="618"/>
      <c r="D450" s="619"/>
    </row>
    <row r="451" spans="2:4">
      <c r="B451" s="617"/>
      <c r="C451" s="618"/>
      <c r="D451" s="619"/>
    </row>
    <row r="452" spans="2:4">
      <c r="B452" s="617"/>
      <c r="C452" s="618"/>
      <c r="D452" s="619"/>
    </row>
    <row r="453" spans="2:4">
      <c r="B453" s="617"/>
      <c r="C453" s="618"/>
      <c r="D453" s="619"/>
    </row>
    <row r="454" spans="2:4">
      <c r="B454" s="617"/>
      <c r="C454" s="618"/>
      <c r="D454" s="619"/>
    </row>
    <row r="455" spans="2:4">
      <c r="B455" s="617"/>
      <c r="C455" s="618"/>
      <c r="D455" s="619"/>
    </row>
    <row r="456" spans="2:4">
      <c r="B456" s="617"/>
      <c r="C456" s="618"/>
      <c r="D456" s="619"/>
    </row>
    <row r="457" spans="2:4">
      <c r="B457" s="617"/>
      <c r="C457" s="618"/>
      <c r="D457" s="619"/>
    </row>
    <row r="458" spans="2:4">
      <c r="B458" s="617"/>
      <c r="C458" s="618"/>
      <c r="D458" s="619"/>
    </row>
    <row r="459" spans="2:4">
      <c r="B459" s="617"/>
      <c r="C459" s="618"/>
      <c r="D459" s="619"/>
    </row>
    <row r="460" spans="2:4">
      <c r="B460" s="617"/>
      <c r="C460" s="618"/>
      <c r="D460" s="619"/>
    </row>
    <row r="461" spans="2:4">
      <c r="B461" s="617"/>
      <c r="C461" s="618"/>
      <c r="D461" s="619"/>
    </row>
    <row r="462" spans="2:4">
      <c r="B462" s="617"/>
      <c r="C462" s="618"/>
      <c r="D462" s="619"/>
    </row>
    <row r="463" spans="2:4">
      <c r="B463" s="617"/>
      <c r="C463" s="618"/>
      <c r="D463" s="619"/>
    </row>
    <row r="464" spans="2:4">
      <c r="B464" s="617"/>
      <c r="C464" s="618"/>
      <c r="D464" s="619"/>
    </row>
    <row r="465" spans="2:4">
      <c r="B465" s="617"/>
      <c r="C465" s="618"/>
      <c r="D465" s="619"/>
    </row>
    <row r="466" spans="2:4">
      <c r="B466" s="617"/>
      <c r="C466" s="618"/>
      <c r="D466" s="619"/>
    </row>
    <row r="467" spans="2:4">
      <c r="B467" s="617"/>
      <c r="C467" s="618"/>
      <c r="D467" s="619"/>
    </row>
    <row r="468" spans="2:4">
      <c r="B468" s="617"/>
      <c r="C468" s="618"/>
      <c r="D468" s="619"/>
    </row>
    <row r="469" spans="2:4">
      <c r="B469" s="617"/>
      <c r="C469" s="618"/>
      <c r="D469" s="619"/>
    </row>
    <row r="470" spans="2:4">
      <c r="B470" s="617"/>
      <c r="C470" s="618"/>
      <c r="D470" s="619"/>
    </row>
    <row r="471" spans="2:4">
      <c r="B471" s="617"/>
      <c r="C471" s="618"/>
      <c r="D471" s="619"/>
    </row>
    <row r="472" spans="2:4">
      <c r="B472" s="617"/>
      <c r="C472" s="618"/>
      <c r="D472" s="619"/>
    </row>
    <row r="473" spans="2:4">
      <c r="B473" s="617"/>
      <c r="C473" s="618"/>
      <c r="D473" s="619"/>
    </row>
    <row r="474" spans="2:4">
      <c r="B474" s="617"/>
      <c r="C474" s="618"/>
      <c r="D474" s="619"/>
    </row>
    <row r="475" spans="2:4">
      <c r="B475" s="617"/>
      <c r="C475" s="618"/>
      <c r="D475" s="619"/>
    </row>
    <row r="476" spans="2:4">
      <c r="B476" s="617"/>
      <c r="C476" s="618"/>
      <c r="D476" s="619"/>
    </row>
    <row r="477" spans="2:4">
      <c r="B477" s="617"/>
      <c r="C477" s="618"/>
      <c r="D477" s="619"/>
    </row>
    <row r="478" spans="2:4">
      <c r="B478" s="617"/>
      <c r="C478" s="618"/>
      <c r="D478" s="619"/>
    </row>
    <row r="479" spans="2:4">
      <c r="B479" s="617"/>
      <c r="C479" s="618"/>
      <c r="D479" s="619"/>
    </row>
    <row r="480" spans="2:4">
      <c r="B480" s="617"/>
      <c r="C480" s="618"/>
      <c r="D480" s="619"/>
    </row>
    <row r="481" spans="2:4">
      <c r="B481" s="617"/>
      <c r="C481" s="618"/>
      <c r="D481" s="619"/>
    </row>
    <row r="482" spans="2:4">
      <c r="B482" s="617"/>
      <c r="C482" s="618"/>
      <c r="D482" s="619"/>
    </row>
    <row r="483" spans="2:4">
      <c r="B483" s="617"/>
      <c r="C483" s="618"/>
      <c r="D483" s="619"/>
    </row>
    <row r="484" spans="2:4">
      <c r="B484" s="617"/>
      <c r="C484" s="618"/>
      <c r="D484" s="619"/>
    </row>
    <row r="485" spans="2:4">
      <c r="B485" s="617"/>
      <c r="C485" s="618"/>
      <c r="D485" s="619"/>
    </row>
    <row r="486" spans="2:4">
      <c r="B486" s="617"/>
      <c r="C486" s="618"/>
      <c r="D486" s="619"/>
    </row>
    <row r="487" spans="2:4">
      <c r="B487" s="617"/>
      <c r="C487" s="618"/>
      <c r="D487" s="619"/>
    </row>
    <row r="488" spans="2:4">
      <c r="B488" s="617"/>
      <c r="C488" s="618"/>
      <c r="D488" s="619"/>
    </row>
    <row r="489" spans="2:4">
      <c r="B489" s="617"/>
      <c r="C489" s="618"/>
      <c r="D489" s="619"/>
    </row>
    <row r="490" spans="2:4">
      <c r="B490" s="617"/>
      <c r="C490" s="618"/>
      <c r="D490" s="619"/>
    </row>
    <row r="491" spans="2:4">
      <c r="B491" s="617"/>
      <c r="C491" s="618"/>
      <c r="D491" s="619"/>
    </row>
    <row r="492" spans="2:4">
      <c r="B492" s="617"/>
      <c r="C492" s="618"/>
      <c r="D492" s="619"/>
    </row>
    <row r="493" spans="2:4">
      <c r="B493" s="617"/>
      <c r="C493" s="618"/>
      <c r="D493" s="619"/>
    </row>
    <row r="494" spans="2:4">
      <c r="B494" s="617"/>
      <c r="C494" s="618"/>
      <c r="D494" s="619"/>
    </row>
    <row r="495" spans="2:4">
      <c r="B495" s="617"/>
      <c r="C495" s="618"/>
      <c r="D495" s="619"/>
    </row>
    <row r="496" spans="2:4">
      <c r="B496" s="617"/>
      <c r="C496" s="618"/>
      <c r="D496" s="619"/>
    </row>
    <row r="497" spans="2:4">
      <c r="B497" s="617"/>
      <c r="C497" s="618"/>
      <c r="D497" s="619"/>
    </row>
    <row r="498" spans="2:4">
      <c r="B498" s="617"/>
      <c r="C498" s="618"/>
      <c r="D498" s="619"/>
    </row>
    <row r="499" spans="2:4">
      <c r="B499" s="617"/>
      <c r="C499" s="618"/>
      <c r="D499" s="619"/>
    </row>
    <row r="500" spans="2:4">
      <c r="B500" s="617"/>
      <c r="C500" s="618"/>
      <c r="D500" s="619"/>
    </row>
    <row r="501" spans="2:4">
      <c r="B501" s="617"/>
      <c r="C501" s="618"/>
      <c r="D501" s="619"/>
    </row>
    <row r="502" spans="2:4">
      <c r="B502" s="617"/>
      <c r="C502" s="618"/>
      <c r="D502" s="619"/>
    </row>
    <row r="503" spans="2:4">
      <c r="B503" s="617"/>
      <c r="C503" s="618"/>
      <c r="D503" s="619"/>
    </row>
    <row r="504" spans="2:4">
      <c r="B504" s="617"/>
      <c r="C504" s="618"/>
      <c r="D504" s="619"/>
    </row>
    <row r="505" spans="2:4">
      <c r="B505" s="617"/>
      <c r="C505" s="618"/>
      <c r="D505" s="619"/>
    </row>
    <row r="506" spans="2:4">
      <c r="B506" s="617"/>
      <c r="C506" s="618"/>
      <c r="D506" s="619"/>
    </row>
    <row r="507" spans="2:4">
      <c r="B507" s="617"/>
      <c r="C507" s="618"/>
      <c r="D507" s="619"/>
    </row>
    <row r="508" spans="2:4">
      <c r="B508" s="617"/>
      <c r="C508" s="618"/>
      <c r="D508" s="619"/>
    </row>
    <row r="509" spans="2:4">
      <c r="B509" s="617"/>
      <c r="C509" s="618"/>
      <c r="D509" s="619"/>
    </row>
    <row r="510" spans="2:4">
      <c r="B510" s="617"/>
      <c r="C510" s="618"/>
      <c r="D510" s="619"/>
    </row>
    <row r="511" spans="2:4">
      <c r="B511" s="617"/>
      <c r="C511" s="618"/>
      <c r="D511" s="619"/>
    </row>
    <row r="512" spans="2:4">
      <c r="B512" s="617"/>
      <c r="C512" s="618"/>
      <c r="D512" s="619"/>
    </row>
    <row r="513" spans="2:4">
      <c r="B513" s="617"/>
      <c r="C513" s="618"/>
      <c r="D513" s="619"/>
    </row>
    <row r="514" spans="2:4">
      <c r="B514" s="617"/>
      <c r="C514" s="618"/>
      <c r="D514" s="619"/>
    </row>
    <row r="515" spans="2:4">
      <c r="B515" s="617"/>
      <c r="C515" s="618"/>
      <c r="D515" s="619"/>
    </row>
    <row r="516" spans="2:4">
      <c r="B516" s="617"/>
      <c r="C516" s="618"/>
      <c r="D516" s="619"/>
    </row>
    <row r="517" spans="2:4">
      <c r="B517" s="617"/>
      <c r="C517" s="618"/>
      <c r="D517" s="619"/>
    </row>
    <row r="518" spans="2:4">
      <c r="B518" s="617"/>
      <c r="C518" s="618"/>
      <c r="D518" s="619"/>
    </row>
    <row r="519" spans="2:4">
      <c r="B519" s="617"/>
      <c r="C519" s="618"/>
      <c r="D519" s="619"/>
    </row>
    <row r="520" spans="2:4">
      <c r="B520" s="617"/>
      <c r="C520" s="618"/>
      <c r="D520" s="619"/>
    </row>
    <row r="521" spans="2:4">
      <c r="B521" s="617"/>
      <c r="C521" s="618"/>
      <c r="D521" s="619"/>
    </row>
    <row r="522" spans="2:4">
      <c r="B522" s="617"/>
      <c r="C522" s="618"/>
      <c r="D522" s="619"/>
    </row>
    <row r="523" spans="2:4">
      <c r="B523" s="617"/>
      <c r="C523" s="618"/>
      <c r="D523" s="619"/>
    </row>
    <row r="524" spans="2:4">
      <c r="B524" s="617"/>
      <c r="C524" s="618"/>
      <c r="D524" s="619"/>
    </row>
    <row r="525" spans="2:4">
      <c r="B525" s="617"/>
      <c r="C525" s="618"/>
      <c r="D525" s="619"/>
    </row>
    <row r="526" spans="2:4">
      <c r="B526" s="617"/>
      <c r="C526" s="618"/>
      <c r="D526" s="619"/>
    </row>
    <row r="527" spans="2:4">
      <c r="B527" s="617"/>
      <c r="C527" s="618"/>
      <c r="D527" s="619"/>
    </row>
    <row r="528" spans="2:4">
      <c r="B528" s="617"/>
      <c r="C528" s="618"/>
      <c r="D528" s="619"/>
    </row>
    <row r="529" spans="2:4">
      <c r="B529" s="617"/>
      <c r="C529" s="618"/>
      <c r="D529" s="619"/>
    </row>
    <row r="530" spans="2:4">
      <c r="B530" s="617"/>
      <c r="C530" s="618"/>
      <c r="D530" s="619"/>
    </row>
    <row r="531" spans="2:4">
      <c r="B531" s="617"/>
      <c r="C531" s="618"/>
      <c r="D531" s="619"/>
    </row>
    <row r="532" spans="2:4">
      <c r="B532" s="617"/>
      <c r="C532" s="618"/>
      <c r="D532" s="619"/>
    </row>
    <row r="533" spans="2:4">
      <c r="B533" s="617"/>
      <c r="C533" s="618"/>
      <c r="D533" s="619"/>
    </row>
    <row r="534" spans="2:4">
      <c r="B534" s="617"/>
      <c r="C534" s="618"/>
      <c r="D534" s="619"/>
    </row>
    <row r="535" spans="2:4">
      <c r="B535" s="617"/>
      <c r="C535" s="618"/>
      <c r="D535" s="619"/>
    </row>
    <row r="536" spans="2:4">
      <c r="B536" s="617"/>
      <c r="C536" s="618"/>
      <c r="D536" s="619"/>
    </row>
    <row r="537" spans="2:4">
      <c r="B537" s="617"/>
      <c r="C537" s="618"/>
      <c r="D537" s="619"/>
    </row>
    <row r="538" spans="2:4">
      <c r="B538" s="617"/>
      <c r="C538" s="618"/>
      <c r="D538" s="619"/>
    </row>
    <row r="539" spans="2:4">
      <c r="B539" s="617"/>
      <c r="C539" s="618"/>
      <c r="D539" s="619"/>
    </row>
    <row r="540" spans="2:4">
      <c r="B540" s="617"/>
      <c r="C540" s="618"/>
      <c r="D540" s="619"/>
    </row>
    <row r="541" spans="2:4">
      <c r="B541" s="617"/>
      <c r="C541" s="618"/>
      <c r="D541" s="619"/>
    </row>
    <row r="542" spans="2:4">
      <c r="B542" s="617"/>
      <c r="C542" s="618"/>
      <c r="D542" s="619"/>
    </row>
    <row r="543" spans="2:4">
      <c r="B543" s="617"/>
      <c r="C543" s="618"/>
      <c r="D543" s="619"/>
    </row>
    <row r="544" spans="2:4">
      <c r="B544" s="617"/>
      <c r="C544" s="618"/>
      <c r="D544" s="619"/>
    </row>
    <row r="545" spans="2:4">
      <c r="B545" s="617"/>
      <c r="C545" s="618"/>
      <c r="D545" s="619"/>
    </row>
    <row r="546" spans="2:4">
      <c r="B546" s="617"/>
      <c r="C546" s="618"/>
      <c r="D546" s="619"/>
    </row>
    <row r="547" spans="2:4">
      <c r="B547" s="617"/>
      <c r="C547" s="618"/>
      <c r="D547" s="619"/>
    </row>
    <row r="548" spans="2:4">
      <c r="B548" s="617"/>
      <c r="C548" s="618"/>
      <c r="D548" s="619"/>
    </row>
    <row r="549" spans="2:4">
      <c r="B549" s="617"/>
      <c r="C549" s="618"/>
      <c r="D549" s="619"/>
    </row>
    <row r="550" spans="2:4">
      <c r="B550" s="617"/>
      <c r="C550" s="618"/>
      <c r="D550" s="619"/>
    </row>
    <row r="551" spans="2:4">
      <c r="B551" s="617"/>
      <c r="C551" s="618"/>
      <c r="D551" s="619"/>
    </row>
    <row r="552" spans="2:4">
      <c r="B552" s="617"/>
      <c r="C552" s="618"/>
      <c r="D552" s="619"/>
    </row>
    <row r="553" spans="2:4">
      <c r="B553" s="617"/>
      <c r="C553" s="618"/>
      <c r="D553" s="619"/>
    </row>
    <row r="554" spans="2:4">
      <c r="B554" s="617"/>
      <c r="C554" s="618"/>
      <c r="D554" s="619"/>
    </row>
    <row r="555" spans="2:4">
      <c r="B555" s="617"/>
      <c r="C555" s="618"/>
      <c r="D555" s="619"/>
    </row>
    <row r="556" spans="2:4">
      <c r="B556" s="617"/>
      <c r="C556" s="618"/>
      <c r="D556" s="619"/>
    </row>
    <row r="557" spans="2:4">
      <c r="B557" s="617"/>
      <c r="C557" s="618"/>
      <c r="D557" s="619"/>
    </row>
    <row r="558" spans="2:4">
      <c r="B558" s="617"/>
      <c r="C558" s="618"/>
      <c r="D558" s="619"/>
    </row>
    <row r="559" spans="2:4">
      <c r="B559" s="617"/>
      <c r="C559" s="618"/>
      <c r="D559" s="619"/>
    </row>
    <row r="560" spans="2:4">
      <c r="B560" s="617"/>
      <c r="C560" s="618"/>
      <c r="D560" s="619"/>
    </row>
    <row r="561" spans="2:4">
      <c r="B561" s="617"/>
      <c r="C561" s="618"/>
      <c r="D561" s="619"/>
    </row>
    <row r="562" spans="2:4">
      <c r="B562" s="617"/>
      <c r="C562" s="618"/>
      <c r="D562" s="619"/>
    </row>
    <row r="563" spans="2:4">
      <c r="B563" s="617"/>
      <c r="C563" s="618"/>
      <c r="D563" s="619"/>
    </row>
    <row r="564" spans="2:4">
      <c r="B564" s="617"/>
      <c r="C564" s="618"/>
      <c r="D564" s="619"/>
    </row>
    <row r="565" spans="2:4">
      <c r="B565" s="617"/>
      <c r="C565" s="618"/>
      <c r="D565" s="619"/>
    </row>
    <row r="566" spans="2:4">
      <c r="B566" s="617"/>
      <c r="C566" s="618"/>
      <c r="D566" s="619"/>
    </row>
    <row r="567" spans="2:4">
      <c r="B567" s="617"/>
      <c r="C567" s="618"/>
      <c r="D567" s="619"/>
    </row>
    <row r="568" spans="2:4">
      <c r="B568" s="617"/>
      <c r="C568" s="618"/>
      <c r="D568" s="619"/>
    </row>
    <row r="569" spans="2:4">
      <c r="B569" s="617"/>
      <c r="C569" s="618"/>
      <c r="D569" s="619"/>
    </row>
    <row r="570" spans="2:4">
      <c r="B570" s="617"/>
      <c r="C570" s="618"/>
      <c r="D570" s="619"/>
    </row>
    <row r="571" spans="2:4">
      <c r="B571" s="617"/>
      <c r="C571" s="618"/>
      <c r="D571" s="619"/>
    </row>
    <row r="572" spans="2:4">
      <c r="B572" s="617"/>
      <c r="C572" s="618"/>
      <c r="D572" s="619"/>
    </row>
    <row r="573" spans="2:4">
      <c r="B573" s="617"/>
      <c r="C573" s="618"/>
      <c r="D573" s="619"/>
    </row>
    <row r="574" spans="2:4">
      <c r="B574" s="617"/>
      <c r="C574" s="618"/>
      <c r="D574" s="619"/>
    </row>
    <row r="575" spans="2:4">
      <c r="B575" s="617"/>
      <c r="C575" s="618"/>
      <c r="D575" s="619"/>
    </row>
    <row r="576" spans="2:4">
      <c r="B576" s="617"/>
      <c r="C576" s="618"/>
      <c r="D576" s="619"/>
    </row>
    <row r="577" spans="2:4">
      <c r="B577" s="617"/>
      <c r="C577" s="618"/>
      <c r="D577" s="619"/>
    </row>
    <row r="578" spans="2:4">
      <c r="B578" s="617"/>
      <c r="C578" s="618"/>
      <c r="D578" s="619"/>
    </row>
    <row r="579" spans="2:4">
      <c r="B579" s="617"/>
      <c r="C579" s="618"/>
      <c r="D579" s="619"/>
    </row>
    <row r="580" spans="2:4">
      <c r="B580" s="617"/>
      <c r="C580" s="618"/>
      <c r="D580" s="619"/>
    </row>
    <row r="581" spans="2:4">
      <c r="B581" s="617"/>
      <c r="C581" s="618"/>
      <c r="D581" s="619"/>
    </row>
    <row r="582" spans="2:4">
      <c r="B582" s="617"/>
      <c r="C582" s="618"/>
      <c r="D582" s="619"/>
    </row>
    <row r="583" spans="2:4">
      <c r="B583" s="617"/>
      <c r="C583" s="618"/>
      <c r="D583" s="619"/>
    </row>
    <row r="584" spans="2:4">
      <c r="B584" s="617"/>
      <c r="C584" s="618"/>
      <c r="D584" s="619"/>
    </row>
    <row r="585" spans="2:4">
      <c r="B585" s="617"/>
      <c r="C585" s="618"/>
      <c r="D585" s="619"/>
    </row>
    <row r="586" spans="2:4">
      <c r="B586" s="617"/>
      <c r="C586" s="618"/>
      <c r="D586" s="619"/>
    </row>
    <row r="587" spans="2:4">
      <c r="B587" s="617"/>
      <c r="C587" s="618"/>
      <c r="D587" s="619"/>
    </row>
    <row r="588" spans="2:4">
      <c r="B588" s="617"/>
      <c r="C588" s="618"/>
      <c r="D588" s="619"/>
    </row>
    <row r="589" spans="2:4">
      <c r="B589" s="617"/>
      <c r="C589" s="618"/>
      <c r="D589" s="619"/>
    </row>
    <row r="590" spans="2:4">
      <c r="B590" s="617"/>
      <c r="C590" s="618"/>
      <c r="D590" s="619"/>
    </row>
    <row r="591" spans="2:4">
      <c r="B591" s="617"/>
      <c r="C591" s="618"/>
      <c r="D591" s="619"/>
    </row>
    <row r="592" spans="2:4">
      <c r="B592" s="617"/>
      <c r="C592" s="618"/>
      <c r="D592" s="619"/>
    </row>
    <row r="593" spans="2:4">
      <c r="B593" s="617"/>
      <c r="C593" s="618"/>
      <c r="D593" s="619"/>
    </row>
    <row r="594" spans="2:4">
      <c r="B594" s="617"/>
      <c r="C594" s="618"/>
      <c r="D594" s="619"/>
    </row>
    <row r="595" spans="2:4">
      <c r="B595" s="617"/>
      <c r="C595" s="618"/>
      <c r="D595" s="619"/>
    </row>
    <row r="596" spans="2:4">
      <c r="B596" s="617"/>
      <c r="C596" s="618"/>
      <c r="D596" s="619"/>
    </row>
    <row r="597" spans="2:4">
      <c r="B597" s="617"/>
      <c r="C597" s="618"/>
      <c r="D597" s="619"/>
    </row>
    <row r="598" spans="2:4">
      <c r="B598" s="617"/>
      <c r="C598" s="618"/>
      <c r="D598" s="619"/>
    </row>
    <row r="599" spans="2:4">
      <c r="B599" s="617"/>
      <c r="C599" s="618"/>
      <c r="D599" s="619"/>
    </row>
    <row r="600" spans="2:4">
      <c r="B600" s="617"/>
      <c r="C600" s="618"/>
      <c r="D600" s="619"/>
    </row>
    <row r="601" spans="2:4">
      <c r="B601" s="617"/>
      <c r="C601" s="618"/>
      <c r="D601" s="619"/>
    </row>
    <row r="602" spans="2:4">
      <c r="B602" s="617"/>
      <c r="C602" s="618"/>
      <c r="D602" s="619"/>
    </row>
    <row r="603" spans="2:4">
      <c r="B603" s="617"/>
      <c r="C603" s="618"/>
      <c r="D603" s="619"/>
    </row>
    <row r="604" spans="2:4">
      <c r="B604" s="617"/>
      <c r="C604" s="618"/>
      <c r="D604" s="619"/>
    </row>
    <row r="605" spans="2:4">
      <c r="B605" s="617"/>
      <c r="C605" s="618"/>
      <c r="D605" s="619"/>
    </row>
    <row r="606" spans="2:4">
      <c r="B606" s="617"/>
      <c r="C606" s="618"/>
      <c r="D606" s="619"/>
    </row>
    <row r="607" spans="2:4">
      <c r="B607" s="617"/>
      <c r="C607" s="618"/>
      <c r="D607" s="619"/>
    </row>
    <row r="608" spans="2:4">
      <c r="B608" s="617"/>
      <c r="C608" s="618"/>
      <c r="D608" s="619"/>
    </row>
    <row r="609" spans="2:4">
      <c r="B609" s="617"/>
      <c r="C609" s="618"/>
      <c r="D609" s="619"/>
    </row>
    <row r="610" spans="2:4">
      <c r="B610" s="617"/>
      <c r="C610" s="618"/>
      <c r="D610" s="619"/>
    </row>
    <row r="611" spans="2:4">
      <c r="B611" s="617"/>
      <c r="C611" s="618"/>
      <c r="D611" s="619"/>
    </row>
    <row r="612" spans="2:4">
      <c r="B612" s="617"/>
      <c r="C612" s="618"/>
      <c r="D612" s="619"/>
    </row>
    <row r="613" spans="2:4">
      <c r="B613" s="617"/>
      <c r="C613" s="618"/>
      <c r="D613" s="619"/>
    </row>
    <row r="614" spans="2:4">
      <c r="B614" s="617"/>
      <c r="C614" s="618"/>
      <c r="D614" s="619"/>
    </row>
    <row r="615" spans="2:4">
      <c r="B615" s="617"/>
      <c r="C615" s="618"/>
      <c r="D615" s="619"/>
    </row>
    <row r="616" spans="2:4">
      <c r="B616" s="617"/>
      <c r="C616" s="618"/>
      <c r="D616" s="619"/>
    </row>
    <row r="617" spans="2:4">
      <c r="B617" s="617"/>
      <c r="C617" s="618"/>
      <c r="D617" s="619"/>
    </row>
    <row r="618" spans="2:4">
      <c r="B618" s="617"/>
      <c r="C618" s="618"/>
      <c r="D618" s="619"/>
    </row>
    <row r="619" spans="2:4">
      <c r="B619" s="617"/>
      <c r="C619" s="618"/>
      <c r="D619" s="619"/>
    </row>
    <row r="620" spans="2:4">
      <c r="B620" s="617"/>
      <c r="C620" s="618"/>
      <c r="D620" s="619"/>
    </row>
    <row r="621" spans="2:4">
      <c r="B621" s="617"/>
      <c r="C621" s="618"/>
      <c r="D621" s="619"/>
    </row>
    <row r="622" spans="2:4">
      <c r="B622" s="617"/>
      <c r="C622" s="618"/>
      <c r="D622" s="619"/>
    </row>
    <row r="623" spans="2:4">
      <c r="B623" s="617"/>
      <c r="C623" s="618"/>
      <c r="D623" s="619"/>
    </row>
    <row r="624" spans="2:4">
      <c r="B624" s="617"/>
      <c r="C624" s="618"/>
      <c r="D624" s="619"/>
    </row>
    <row r="625" spans="2:4">
      <c r="B625" s="617"/>
      <c r="C625" s="618"/>
      <c r="D625" s="619"/>
    </row>
    <row r="626" spans="2:4">
      <c r="B626" s="617"/>
      <c r="C626" s="618"/>
      <c r="D626" s="619"/>
    </row>
    <row r="627" spans="2:4">
      <c r="B627" s="617"/>
      <c r="C627" s="618"/>
      <c r="D627" s="619"/>
    </row>
    <row r="628" spans="2:4">
      <c r="B628" s="617"/>
      <c r="C628" s="618"/>
      <c r="D628" s="619"/>
    </row>
    <row r="629" spans="2:4">
      <c r="B629" s="617"/>
      <c r="C629" s="618"/>
      <c r="D629" s="619"/>
    </row>
    <row r="630" spans="2:4">
      <c r="B630" s="617"/>
      <c r="C630" s="618"/>
      <c r="D630" s="619"/>
    </row>
    <row r="631" spans="2:4">
      <c r="B631" s="617"/>
      <c r="C631" s="618"/>
      <c r="D631" s="619"/>
    </row>
    <row r="632" spans="2:4">
      <c r="B632" s="617"/>
      <c r="C632" s="618"/>
      <c r="D632" s="619"/>
    </row>
    <row r="633" spans="2:4">
      <c r="B633" s="617"/>
      <c r="C633" s="618"/>
      <c r="D633" s="619"/>
    </row>
    <row r="634" spans="2:4">
      <c r="B634" s="617"/>
      <c r="C634" s="618"/>
      <c r="D634" s="619"/>
    </row>
    <row r="635" spans="2:4">
      <c r="B635" s="617"/>
      <c r="C635" s="618"/>
      <c r="D635" s="619"/>
    </row>
    <row r="636" spans="2:4">
      <c r="B636" s="617"/>
      <c r="C636" s="618"/>
      <c r="D636" s="619"/>
    </row>
    <row r="637" spans="2:4">
      <c r="B637" s="617"/>
      <c r="C637" s="618"/>
      <c r="D637" s="619"/>
    </row>
    <row r="638" spans="2:4">
      <c r="B638" s="617"/>
      <c r="C638" s="618"/>
      <c r="D638" s="619"/>
    </row>
    <row r="639" spans="2:4">
      <c r="B639" s="617"/>
      <c r="C639" s="618"/>
      <c r="D639" s="619"/>
    </row>
    <row r="640" spans="2:4">
      <c r="B640" s="617"/>
      <c r="C640" s="618"/>
      <c r="D640" s="619"/>
    </row>
    <row r="641" spans="2:4">
      <c r="B641" s="617"/>
      <c r="C641" s="618"/>
      <c r="D641" s="619"/>
    </row>
    <row r="642" spans="2:4">
      <c r="B642" s="617"/>
      <c r="C642" s="618"/>
      <c r="D642" s="619"/>
    </row>
    <row r="643" spans="2:4">
      <c r="B643" s="617"/>
      <c r="C643" s="618"/>
      <c r="D643" s="619"/>
    </row>
    <row r="644" spans="2:4">
      <c r="B644" s="617"/>
      <c r="C644" s="618"/>
      <c r="D644" s="619"/>
    </row>
    <row r="645" spans="2:4">
      <c r="B645" s="617"/>
      <c r="C645" s="618"/>
      <c r="D645" s="619"/>
    </row>
    <row r="646" spans="2:4">
      <c r="B646" s="617"/>
      <c r="C646" s="618"/>
      <c r="D646" s="619"/>
    </row>
    <row r="647" spans="2:4">
      <c r="B647" s="617"/>
      <c r="C647" s="618"/>
      <c r="D647" s="619"/>
    </row>
    <row r="648" spans="2:4">
      <c r="B648" s="617"/>
      <c r="C648" s="618"/>
      <c r="D648" s="619"/>
    </row>
    <row r="649" spans="2:4">
      <c r="B649" s="617"/>
      <c r="C649" s="618"/>
      <c r="D649" s="619"/>
    </row>
    <row r="650" spans="2:4">
      <c r="B650" s="617"/>
      <c r="C650" s="618"/>
      <c r="D650" s="619"/>
    </row>
    <row r="651" spans="2:4">
      <c r="B651" s="617"/>
      <c r="C651" s="618"/>
      <c r="D651" s="619"/>
    </row>
    <row r="652" spans="2:4">
      <c r="B652" s="617"/>
      <c r="C652" s="618"/>
      <c r="D652" s="619"/>
    </row>
    <row r="653" spans="2:4">
      <c r="B653" s="617"/>
      <c r="C653" s="618"/>
      <c r="D653" s="619"/>
    </row>
    <row r="654" spans="2:4">
      <c r="B654" s="617"/>
      <c r="C654" s="618"/>
      <c r="D654" s="619"/>
    </row>
    <row r="655" spans="2:4">
      <c r="B655" s="617"/>
      <c r="C655" s="618"/>
      <c r="D655" s="619"/>
    </row>
    <row r="656" spans="2:4">
      <c r="B656" s="617"/>
      <c r="C656" s="618"/>
      <c r="D656" s="619"/>
    </row>
    <row r="657" spans="2:4">
      <c r="B657" s="617"/>
      <c r="C657" s="618"/>
      <c r="D657" s="619"/>
    </row>
    <row r="658" spans="2:4">
      <c r="B658" s="617"/>
      <c r="C658" s="618"/>
      <c r="D658" s="619"/>
    </row>
    <row r="659" spans="2:4">
      <c r="B659" s="617"/>
      <c r="C659" s="618"/>
      <c r="D659" s="619"/>
    </row>
    <row r="660" spans="2:4">
      <c r="B660" s="617"/>
      <c r="C660" s="618"/>
      <c r="D660" s="619"/>
    </row>
    <row r="661" spans="2:4">
      <c r="B661" s="617"/>
      <c r="C661" s="618"/>
      <c r="D661" s="619"/>
    </row>
    <row r="662" spans="2:4">
      <c r="B662" s="617"/>
      <c r="C662" s="618"/>
      <c r="D662" s="619"/>
    </row>
    <row r="663" spans="2:4">
      <c r="B663" s="617"/>
      <c r="C663" s="618"/>
      <c r="D663" s="619"/>
    </row>
    <row r="664" spans="2:4">
      <c r="B664" s="617"/>
      <c r="C664" s="618"/>
      <c r="D664" s="619"/>
    </row>
    <row r="665" spans="2:4">
      <c r="B665" s="617"/>
      <c r="C665" s="618"/>
      <c r="D665" s="619"/>
    </row>
    <row r="666" spans="2:4">
      <c r="B666" s="617"/>
      <c r="C666" s="618"/>
      <c r="D666" s="619"/>
    </row>
    <row r="667" spans="2:4">
      <c r="B667" s="617"/>
      <c r="C667" s="618"/>
      <c r="D667" s="619"/>
    </row>
    <row r="668" spans="2:4">
      <c r="B668" s="617"/>
      <c r="C668" s="618"/>
      <c r="D668" s="619"/>
    </row>
    <row r="669" spans="2:4">
      <c r="B669" s="617"/>
      <c r="C669" s="618"/>
      <c r="D669" s="619"/>
    </row>
    <row r="670" spans="2:4">
      <c r="B670" s="617"/>
      <c r="C670" s="618"/>
      <c r="D670" s="619"/>
    </row>
    <row r="671" spans="2:4">
      <c r="B671" s="617"/>
      <c r="C671" s="618"/>
      <c r="D671" s="619"/>
    </row>
    <row r="672" spans="2:4">
      <c r="B672" s="617"/>
      <c r="C672" s="618"/>
      <c r="D672" s="619"/>
    </row>
    <row r="673" spans="2:4">
      <c r="B673" s="617"/>
      <c r="C673" s="618"/>
      <c r="D673" s="619"/>
    </row>
    <row r="674" spans="2:4">
      <c r="B674" s="617"/>
      <c r="C674" s="618"/>
      <c r="D674" s="619"/>
    </row>
    <row r="675" spans="2:4">
      <c r="B675" s="617"/>
      <c r="C675" s="618"/>
      <c r="D675" s="619"/>
    </row>
    <row r="676" spans="2:4">
      <c r="B676" s="617"/>
      <c r="C676" s="618"/>
      <c r="D676" s="619"/>
    </row>
    <row r="677" spans="2:4">
      <c r="B677" s="617"/>
      <c r="C677" s="618"/>
      <c r="D677" s="619"/>
    </row>
    <row r="678" spans="2:4">
      <c r="B678" s="617"/>
      <c r="C678" s="618"/>
      <c r="D678" s="619"/>
    </row>
    <row r="679" spans="2:4">
      <c r="B679" s="617"/>
      <c r="C679" s="618"/>
      <c r="D679" s="619"/>
    </row>
    <row r="680" spans="2:4">
      <c r="B680" s="617"/>
      <c r="C680" s="618"/>
      <c r="D680" s="619"/>
    </row>
    <row r="681" spans="2:4">
      <c r="B681" s="617"/>
      <c r="C681" s="618"/>
      <c r="D681" s="619"/>
    </row>
    <row r="682" spans="2:4">
      <c r="B682" s="617"/>
      <c r="C682" s="618"/>
      <c r="D682" s="619"/>
    </row>
    <row r="683" spans="2:4">
      <c r="B683" s="617"/>
      <c r="C683" s="618"/>
      <c r="D683" s="619"/>
    </row>
    <row r="684" spans="2:4">
      <c r="B684" s="617"/>
      <c r="C684" s="618"/>
      <c r="D684" s="619"/>
    </row>
    <row r="685" spans="2:4">
      <c r="B685" s="617"/>
      <c r="C685" s="618"/>
      <c r="D685" s="619"/>
    </row>
    <row r="686" spans="2:4">
      <c r="B686" s="617"/>
      <c r="C686" s="618"/>
      <c r="D686" s="619"/>
    </row>
    <row r="687" spans="2:4">
      <c r="B687" s="617"/>
      <c r="C687" s="618"/>
      <c r="D687" s="619"/>
    </row>
    <row r="688" spans="2:4">
      <c r="B688" s="617"/>
      <c r="C688" s="618"/>
      <c r="D688" s="619"/>
    </row>
    <row r="689" spans="2:4">
      <c r="B689" s="617"/>
      <c r="C689" s="618"/>
      <c r="D689" s="619"/>
    </row>
    <row r="690" spans="2:4">
      <c r="B690" s="617"/>
      <c r="C690" s="618"/>
      <c r="D690" s="619"/>
    </row>
    <row r="691" spans="2:4">
      <c r="B691" s="617"/>
      <c r="C691" s="618"/>
      <c r="D691" s="619"/>
    </row>
    <row r="692" spans="2:4">
      <c r="B692" s="617"/>
      <c r="C692" s="618"/>
      <c r="D692" s="619"/>
    </row>
    <row r="693" spans="2:4">
      <c r="B693" s="617"/>
      <c r="C693" s="618"/>
      <c r="D693" s="619"/>
    </row>
    <row r="694" spans="2:4">
      <c r="B694" s="617"/>
      <c r="C694" s="618"/>
      <c r="D694" s="619"/>
    </row>
    <row r="695" spans="2:4">
      <c r="B695" s="617"/>
      <c r="C695" s="618"/>
      <c r="D695" s="619"/>
    </row>
    <row r="696" spans="2:4">
      <c r="B696" s="617"/>
      <c r="C696" s="618"/>
      <c r="D696" s="619"/>
    </row>
    <row r="697" spans="2:4">
      <c r="B697" s="617"/>
      <c r="C697" s="618"/>
      <c r="D697" s="619"/>
    </row>
    <row r="698" spans="2:4">
      <c r="B698" s="617"/>
      <c r="C698" s="618"/>
      <c r="D698" s="619"/>
    </row>
    <row r="699" spans="2:4">
      <c r="B699" s="617"/>
      <c r="C699" s="618"/>
      <c r="D699" s="619"/>
    </row>
    <row r="700" spans="2:4">
      <c r="B700" s="617"/>
      <c r="C700" s="618"/>
      <c r="D700" s="619"/>
    </row>
    <row r="701" spans="2:4">
      <c r="B701" s="617"/>
      <c r="C701" s="618"/>
      <c r="D701" s="619"/>
    </row>
    <row r="702" spans="2:4">
      <c r="B702" s="617"/>
      <c r="C702" s="618"/>
      <c r="D702" s="619"/>
    </row>
    <row r="703" spans="2:4">
      <c r="B703" s="617"/>
      <c r="C703" s="618"/>
      <c r="D703" s="619"/>
    </row>
    <row r="704" spans="2:4">
      <c r="B704" s="617"/>
      <c r="C704" s="618"/>
      <c r="D704" s="619"/>
    </row>
    <row r="705" spans="2:4">
      <c r="B705" s="617"/>
      <c r="C705" s="618"/>
      <c r="D705" s="619"/>
    </row>
    <row r="706" spans="2:4">
      <c r="B706" s="617"/>
      <c r="C706" s="618"/>
      <c r="D706" s="619"/>
    </row>
    <row r="707" spans="2:4">
      <c r="B707" s="617"/>
      <c r="C707" s="618"/>
      <c r="D707" s="619"/>
    </row>
    <row r="708" spans="2:4">
      <c r="B708" s="617"/>
      <c r="C708" s="618"/>
      <c r="D708" s="619"/>
    </row>
    <row r="709" spans="2:4">
      <c r="B709" s="617"/>
      <c r="C709" s="618"/>
      <c r="D709" s="619"/>
    </row>
    <row r="710" spans="2:4">
      <c r="B710" s="617"/>
      <c r="C710" s="618"/>
      <c r="D710" s="619"/>
    </row>
    <row r="711" spans="2:4">
      <c r="B711" s="617"/>
      <c r="C711" s="618"/>
      <c r="D711" s="619"/>
    </row>
    <row r="712" spans="2:4">
      <c r="B712" s="617"/>
      <c r="C712" s="618"/>
      <c r="D712" s="619"/>
    </row>
    <row r="713" spans="2:4">
      <c r="B713" s="617"/>
      <c r="C713" s="618"/>
      <c r="D713" s="619"/>
    </row>
    <row r="714" spans="2:4">
      <c r="B714" s="617"/>
      <c r="C714" s="618"/>
      <c r="D714" s="619"/>
    </row>
    <row r="715" spans="2:4">
      <c r="B715" s="617"/>
      <c r="C715" s="618"/>
      <c r="D715" s="619"/>
    </row>
    <row r="716" spans="2:4">
      <c r="B716" s="617"/>
      <c r="C716" s="618"/>
      <c r="D716" s="619"/>
    </row>
    <row r="717" spans="2:4">
      <c r="B717" s="617"/>
      <c r="C717" s="618"/>
      <c r="D717" s="619"/>
    </row>
    <row r="718" spans="2:4">
      <c r="B718" s="617"/>
      <c r="C718" s="618"/>
      <c r="D718" s="619"/>
    </row>
    <row r="719" spans="2:4">
      <c r="B719" s="617"/>
      <c r="C719" s="618"/>
      <c r="D719" s="619"/>
    </row>
    <row r="720" spans="2:4">
      <c r="B720" s="617"/>
      <c r="C720" s="618"/>
      <c r="D720" s="619"/>
    </row>
    <row r="721" spans="2:4">
      <c r="B721" s="617"/>
      <c r="C721" s="618"/>
      <c r="D721" s="619"/>
    </row>
    <row r="722" spans="2:4">
      <c r="B722" s="617"/>
      <c r="C722" s="618"/>
      <c r="D722" s="619"/>
    </row>
    <row r="723" spans="2:4">
      <c r="B723" s="617"/>
      <c r="C723" s="618"/>
      <c r="D723" s="619"/>
    </row>
    <row r="724" spans="2:4">
      <c r="B724" s="617"/>
      <c r="C724" s="618"/>
      <c r="D724" s="619"/>
    </row>
    <row r="725" spans="2:4">
      <c r="B725" s="617"/>
      <c r="C725" s="618"/>
      <c r="D725" s="619"/>
    </row>
    <row r="726" spans="2:4">
      <c r="B726" s="617"/>
      <c r="C726" s="618"/>
      <c r="D726" s="619"/>
    </row>
    <row r="727" spans="2:4">
      <c r="B727" s="617"/>
      <c r="C727" s="618"/>
      <c r="D727" s="619"/>
    </row>
    <row r="728" spans="2:4">
      <c r="B728" s="617"/>
      <c r="C728" s="618"/>
      <c r="D728" s="619"/>
    </row>
    <row r="729" spans="2:4">
      <c r="B729" s="617"/>
      <c r="C729" s="618"/>
      <c r="D729" s="619"/>
    </row>
    <row r="730" spans="2:4">
      <c r="B730" s="617"/>
      <c r="C730" s="618"/>
      <c r="D730" s="619"/>
    </row>
    <row r="731" spans="2:4">
      <c r="B731" s="617"/>
      <c r="C731" s="618"/>
      <c r="D731" s="619"/>
    </row>
    <row r="732" spans="2:4">
      <c r="B732" s="617"/>
      <c r="C732" s="618"/>
      <c r="D732" s="619"/>
    </row>
    <row r="733" spans="2:4">
      <c r="B733" s="617"/>
      <c r="C733" s="618"/>
      <c r="D733" s="619"/>
    </row>
    <row r="734" spans="2:4">
      <c r="B734" s="617"/>
      <c r="C734" s="618"/>
      <c r="D734" s="619"/>
    </row>
    <row r="735" spans="2:4">
      <c r="B735" s="617"/>
      <c r="C735" s="618"/>
      <c r="D735" s="619"/>
    </row>
    <row r="736" spans="2:4">
      <c r="B736" s="617"/>
      <c r="C736" s="618"/>
      <c r="D736" s="619"/>
    </row>
    <row r="737" spans="2:4">
      <c r="B737" s="617"/>
      <c r="C737" s="618"/>
      <c r="D737" s="619"/>
    </row>
    <row r="738" spans="2:4">
      <c r="B738" s="617"/>
      <c r="C738" s="618"/>
      <c r="D738" s="619"/>
    </row>
    <row r="739" spans="2:4">
      <c r="B739" s="617"/>
      <c r="C739" s="618"/>
      <c r="D739" s="619"/>
    </row>
    <row r="740" spans="2:4">
      <c r="B740" s="617"/>
      <c r="C740" s="618"/>
      <c r="D740" s="619"/>
    </row>
    <row r="741" spans="2:4">
      <c r="B741" s="617"/>
      <c r="C741" s="618"/>
      <c r="D741" s="619"/>
    </row>
    <row r="742" spans="2:4">
      <c r="B742" s="617"/>
      <c r="C742" s="618"/>
      <c r="D742" s="619"/>
    </row>
    <row r="743" spans="2:4">
      <c r="B743" s="617"/>
      <c r="C743" s="618"/>
      <c r="D743" s="619"/>
    </row>
    <row r="744" spans="2:4">
      <c r="B744" s="617"/>
      <c r="C744" s="618"/>
      <c r="D744" s="619"/>
    </row>
    <row r="745" spans="2:4">
      <c r="B745" s="617"/>
      <c r="C745" s="618"/>
      <c r="D745" s="619"/>
    </row>
    <row r="746" spans="2:4">
      <c r="B746" s="617"/>
      <c r="C746" s="618"/>
      <c r="D746" s="619"/>
    </row>
    <row r="747" spans="2:4">
      <c r="B747" s="617"/>
      <c r="C747" s="618"/>
      <c r="D747" s="619"/>
    </row>
    <row r="748" spans="2:4">
      <c r="B748" s="617"/>
      <c r="C748" s="618"/>
      <c r="D748" s="619"/>
    </row>
    <row r="749" spans="2:4">
      <c r="B749" s="617"/>
      <c r="C749" s="618"/>
      <c r="D749" s="619"/>
    </row>
    <row r="750" spans="2:4">
      <c r="B750" s="617"/>
      <c r="C750" s="618"/>
      <c r="D750" s="619"/>
    </row>
    <row r="751" spans="2:4">
      <c r="B751" s="617"/>
      <c r="C751" s="618"/>
      <c r="D751" s="619"/>
    </row>
    <row r="752" spans="2:4">
      <c r="B752" s="617"/>
      <c r="C752" s="618"/>
      <c r="D752" s="619"/>
    </row>
    <row r="753" spans="2:4">
      <c r="B753" s="617"/>
      <c r="C753" s="618"/>
      <c r="D753" s="619"/>
    </row>
    <row r="754" spans="2:4">
      <c r="B754" s="617"/>
      <c r="C754" s="618"/>
      <c r="D754" s="619"/>
    </row>
    <row r="755" spans="2:4">
      <c r="B755" s="617"/>
      <c r="C755" s="618"/>
      <c r="D755" s="619"/>
    </row>
    <row r="756" spans="2:4">
      <c r="B756" s="617"/>
      <c r="C756" s="618"/>
      <c r="D756" s="619"/>
    </row>
    <row r="757" spans="2:4">
      <c r="B757" s="617"/>
      <c r="C757" s="618"/>
      <c r="D757" s="619"/>
    </row>
    <row r="758" spans="2:4">
      <c r="B758" s="617"/>
      <c r="C758" s="618"/>
      <c r="D758" s="619"/>
    </row>
    <row r="759" spans="2:4">
      <c r="B759" s="617"/>
      <c r="C759" s="618"/>
      <c r="D759" s="619"/>
    </row>
    <row r="760" spans="2:4">
      <c r="B760" s="617"/>
      <c r="C760" s="618"/>
      <c r="D760" s="619"/>
    </row>
    <row r="761" spans="2:4">
      <c r="B761" s="617"/>
      <c r="C761" s="618"/>
      <c r="D761" s="619"/>
    </row>
    <row r="762" spans="2:4">
      <c r="B762" s="617"/>
      <c r="C762" s="618"/>
      <c r="D762" s="619"/>
    </row>
    <row r="763" spans="2:4">
      <c r="B763" s="617"/>
      <c r="C763" s="618"/>
      <c r="D763" s="619"/>
    </row>
    <row r="764" spans="2:4">
      <c r="B764" s="617"/>
      <c r="C764" s="618"/>
      <c r="D764" s="619"/>
    </row>
    <row r="765" spans="2:4">
      <c r="B765" s="617"/>
      <c r="C765" s="618"/>
      <c r="D765" s="619"/>
    </row>
    <row r="766" spans="2:4">
      <c r="B766" s="617"/>
      <c r="C766" s="618"/>
      <c r="D766" s="619"/>
    </row>
    <row r="767" spans="2:4">
      <c r="B767" s="617"/>
      <c r="C767" s="618"/>
      <c r="D767" s="619"/>
    </row>
    <row r="768" spans="2:4">
      <c r="B768" s="617"/>
      <c r="C768" s="618"/>
      <c r="D768" s="619"/>
    </row>
    <row r="769" spans="2:4">
      <c r="B769" s="617"/>
      <c r="C769" s="618"/>
      <c r="D769" s="619"/>
    </row>
    <row r="770" spans="2:4">
      <c r="B770" s="617"/>
      <c r="C770" s="618"/>
      <c r="D770" s="619"/>
    </row>
    <row r="771" spans="2:4">
      <c r="B771" s="617"/>
      <c r="C771" s="618"/>
      <c r="D771" s="619"/>
    </row>
    <row r="772" spans="2:4">
      <c r="B772" s="617"/>
      <c r="C772" s="618"/>
      <c r="D772" s="619"/>
    </row>
    <row r="773" spans="2:4">
      <c r="B773" s="617"/>
      <c r="C773" s="618"/>
      <c r="D773" s="619"/>
    </row>
    <row r="774" spans="2:4">
      <c r="B774" s="617"/>
      <c r="C774" s="618"/>
      <c r="D774" s="619"/>
    </row>
    <row r="775" spans="2:4">
      <c r="B775" s="617"/>
      <c r="C775" s="618"/>
      <c r="D775" s="619"/>
    </row>
    <row r="776" spans="2:4">
      <c r="B776" s="617"/>
      <c r="C776" s="618"/>
      <c r="D776" s="619"/>
    </row>
    <row r="777" spans="2:4">
      <c r="B777" s="617"/>
      <c r="C777" s="618"/>
      <c r="D777" s="619"/>
    </row>
    <row r="778" spans="2:4">
      <c r="B778" s="617"/>
      <c r="C778" s="618"/>
      <c r="D778" s="619"/>
    </row>
    <row r="779" spans="2:4">
      <c r="B779" s="617"/>
      <c r="C779" s="618"/>
      <c r="D779" s="619"/>
    </row>
    <row r="780" spans="2:4">
      <c r="B780" s="617"/>
      <c r="C780" s="618"/>
      <c r="D780" s="619"/>
    </row>
    <row r="781" spans="2:4">
      <c r="B781" s="617"/>
      <c r="C781" s="618"/>
      <c r="D781" s="619"/>
    </row>
    <row r="782" spans="2:4">
      <c r="B782" s="617"/>
      <c r="C782" s="618"/>
      <c r="D782" s="619"/>
    </row>
    <row r="783" spans="2:4">
      <c r="B783" s="617"/>
      <c r="C783" s="618"/>
      <c r="D783" s="619"/>
    </row>
    <row r="784" spans="2:4">
      <c r="B784" s="617"/>
      <c r="C784" s="618"/>
      <c r="D784" s="619"/>
    </row>
    <row r="785" spans="2:4">
      <c r="B785" s="617"/>
      <c r="C785" s="618"/>
      <c r="D785" s="619"/>
    </row>
    <row r="786" spans="2:4">
      <c r="B786" s="617"/>
      <c r="C786" s="618"/>
      <c r="D786" s="619"/>
    </row>
    <row r="787" spans="2:4">
      <c r="B787" s="617"/>
      <c r="C787" s="618"/>
      <c r="D787" s="619"/>
    </row>
    <row r="788" spans="2:4">
      <c r="B788" s="617"/>
      <c r="C788" s="618"/>
      <c r="D788" s="619"/>
    </row>
    <row r="789" spans="2:4">
      <c r="B789" s="617"/>
      <c r="C789" s="618"/>
      <c r="D789" s="619"/>
    </row>
    <row r="790" spans="2:4">
      <c r="B790" s="617"/>
      <c r="C790" s="618"/>
      <c r="D790" s="619"/>
    </row>
    <row r="791" spans="2:4">
      <c r="B791" s="617"/>
      <c r="C791" s="618"/>
      <c r="D791" s="619"/>
    </row>
    <row r="792" spans="2:4">
      <c r="B792" s="617"/>
      <c r="C792" s="618"/>
      <c r="D792" s="619"/>
    </row>
    <row r="793" spans="2:4">
      <c r="B793" s="617"/>
      <c r="C793" s="618"/>
      <c r="D793" s="619"/>
    </row>
    <row r="794" spans="2:4">
      <c r="B794" s="617"/>
      <c r="C794" s="618"/>
      <c r="D794" s="619"/>
    </row>
    <row r="795" spans="2:4">
      <c r="B795" s="617"/>
      <c r="C795" s="618"/>
      <c r="D795" s="619"/>
    </row>
    <row r="796" spans="2:4">
      <c r="B796" s="617"/>
      <c r="C796" s="618"/>
      <c r="D796" s="619"/>
    </row>
    <row r="797" spans="2:4">
      <c r="B797" s="617"/>
      <c r="C797" s="618"/>
      <c r="D797" s="619"/>
    </row>
    <row r="798" spans="2:4">
      <c r="B798" s="617"/>
      <c r="C798" s="618"/>
      <c r="D798" s="619"/>
    </row>
    <row r="799" spans="2:4">
      <c r="B799" s="617"/>
      <c r="C799" s="618"/>
      <c r="D799" s="619"/>
    </row>
    <row r="800" spans="2:4">
      <c r="B800" s="617"/>
      <c r="C800" s="618"/>
      <c r="D800" s="619"/>
    </row>
    <row r="801" spans="2:4">
      <c r="B801" s="617"/>
      <c r="C801" s="618"/>
      <c r="D801" s="619"/>
    </row>
    <row r="802" spans="2:4">
      <c r="B802" s="617"/>
      <c r="C802" s="618"/>
      <c r="D802" s="619"/>
    </row>
    <row r="803" spans="2:4">
      <c r="B803" s="617"/>
      <c r="C803" s="618"/>
      <c r="D803" s="619"/>
    </row>
    <row r="804" spans="2:4">
      <c r="B804" s="617"/>
      <c r="C804" s="618"/>
      <c r="D804" s="619"/>
    </row>
    <row r="805" spans="2:4">
      <c r="B805" s="617"/>
      <c r="C805" s="618"/>
      <c r="D805" s="619"/>
    </row>
    <row r="806" spans="2:4">
      <c r="B806" s="617"/>
      <c r="C806" s="618"/>
      <c r="D806" s="619"/>
    </row>
    <row r="807" spans="2:4">
      <c r="B807" s="617"/>
      <c r="C807" s="618"/>
      <c r="D807" s="619"/>
    </row>
    <row r="808" spans="2:4">
      <c r="B808" s="617"/>
      <c r="C808" s="618"/>
      <c r="D808" s="619"/>
    </row>
    <row r="809" spans="2:4">
      <c r="B809" s="617"/>
      <c r="C809" s="618"/>
      <c r="D809" s="619"/>
    </row>
    <row r="810" spans="2:4">
      <c r="B810" s="617"/>
      <c r="C810" s="618"/>
      <c r="D810" s="619"/>
    </row>
    <row r="811" spans="2:4">
      <c r="B811" s="617"/>
      <c r="C811" s="618"/>
      <c r="D811" s="619"/>
    </row>
    <row r="812" spans="2:4">
      <c r="B812" s="617"/>
      <c r="C812" s="618"/>
      <c r="D812" s="619"/>
    </row>
    <row r="813" spans="2:4">
      <c r="B813" s="617"/>
      <c r="C813" s="618"/>
      <c r="D813" s="619"/>
    </row>
    <row r="814" spans="2:4">
      <c r="B814" s="617"/>
      <c r="C814" s="618"/>
      <c r="D814" s="619"/>
    </row>
    <row r="815" spans="2:4">
      <c r="B815" s="617"/>
      <c r="C815" s="618"/>
      <c r="D815" s="619"/>
    </row>
    <row r="816" spans="2:4">
      <c r="B816" s="617"/>
      <c r="C816" s="618"/>
      <c r="D816" s="619"/>
    </row>
    <row r="817" spans="2:4">
      <c r="B817" s="617"/>
      <c r="C817" s="618"/>
      <c r="D817" s="619"/>
    </row>
    <row r="818" spans="2:4">
      <c r="B818" s="617"/>
      <c r="C818" s="618"/>
      <c r="D818" s="619"/>
    </row>
    <row r="819" spans="2:4">
      <c r="B819" s="617"/>
      <c r="C819" s="618"/>
      <c r="D819" s="619"/>
    </row>
    <row r="820" spans="2:4">
      <c r="B820" s="617"/>
      <c r="C820" s="618"/>
      <c r="D820" s="619"/>
    </row>
    <row r="821" spans="2:4">
      <c r="B821" s="617"/>
      <c r="C821" s="618"/>
      <c r="D821" s="619"/>
    </row>
    <row r="822" spans="2:4">
      <c r="B822" s="617"/>
      <c r="C822" s="618"/>
      <c r="D822" s="619"/>
    </row>
    <row r="823" spans="2:4">
      <c r="B823" s="617"/>
      <c r="C823" s="618"/>
      <c r="D823" s="619"/>
    </row>
    <row r="824" spans="2:4">
      <c r="B824" s="617"/>
      <c r="C824" s="618"/>
      <c r="D824" s="619"/>
    </row>
    <row r="825" spans="2:4">
      <c r="B825" s="617"/>
      <c r="C825" s="618"/>
      <c r="D825" s="619"/>
    </row>
    <row r="826" spans="2:4">
      <c r="B826" s="617"/>
      <c r="C826" s="618"/>
      <c r="D826" s="619"/>
    </row>
    <row r="827" spans="2:4">
      <c r="B827" s="617"/>
      <c r="C827" s="618"/>
      <c r="D827" s="619"/>
    </row>
    <row r="828" spans="2:4">
      <c r="B828" s="617"/>
      <c r="C828" s="618"/>
      <c r="D828" s="619"/>
    </row>
    <row r="829" spans="2:4">
      <c r="B829" s="617"/>
      <c r="C829" s="618"/>
      <c r="D829" s="619"/>
    </row>
    <row r="830" spans="2:4">
      <c r="B830" s="617"/>
      <c r="C830" s="618"/>
      <c r="D830" s="619"/>
    </row>
    <row r="831" spans="2:4">
      <c r="B831" s="617"/>
      <c r="C831" s="618"/>
      <c r="D831" s="619"/>
    </row>
    <row r="832" spans="2:4">
      <c r="B832" s="617"/>
      <c r="C832" s="618"/>
      <c r="D832" s="619"/>
    </row>
    <row r="833" spans="2:4">
      <c r="B833" s="617"/>
      <c r="C833" s="618"/>
      <c r="D833" s="619"/>
    </row>
    <row r="834" spans="2:4">
      <c r="B834" s="617"/>
      <c r="C834" s="618"/>
      <c r="D834" s="619"/>
    </row>
    <row r="835" spans="2:4">
      <c r="B835" s="617"/>
      <c r="C835" s="618"/>
      <c r="D835" s="619"/>
    </row>
    <row r="836" spans="2:4">
      <c r="B836" s="617"/>
      <c r="C836" s="618"/>
      <c r="D836" s="619"/>
    </row>
    <row r="837" spans="2:4">
      <c r="B837" s="617"/>
      <c r="C837" s="618"/>
      <c r="D837" s="619"/>
    </row>
    <row r="838" spans="2:4">
      <c r="B838" s="617"/>
      <c r="C838" s="618"/>
      <c r="D838" s="619"/>
    </row>
    <row r="839" spans="2:4">
      <c r="B839" s="617"/>
      <c r="C839" s="618"/>
      <c r="D839" s="619"/>
    </row>
    <row r="840" spans="2:4">
      <c r="B840" s="617"/>
      <c r="C840" s="618"/>
      <c r="D840" s="619"/>
    </row>
    <row r="841" spans="2:4">
      <c r="B841" s="617"/>
      <c r="C841" s="618"/>
      <c r="D841" s="619"/>
    </row>
    <row r="842" spans="2:4">
      <c r="B842" s="617"/>
      <c r="C842" s="618"/>
      <c r="D842" s="619"/>
    </row>
    <row r="843" spans="2:4">
      <c r="B843" s="617"/>
      <c r="C843" s="618"/>
      <c r="D843" s="619"/>
    </row>
    <row r="844" spans="2:4">
      <c r="B844" s="617"/>
      <c r="C844" s="618"/>
      <c r="D844" s="619"/>
    </row>
    <row r="845" spans="2:4">
      <c r="B845" s="617"/>
      <c r="C845" s="618"/>
      <c r="D845" s="619"/>
    </row>
    <row r="846" spans="2:4">
      <c r="B846" s="617"/>
      <c r="C846" s="618"/>
      <c r="D846" s="619"/>
    </row>
    <row r="847" spans="2:4">
      <c r="B847" s="617"/>
      <c r="C847" s="618"/>
      <c r="D847" s="619"/>
    </row>
    <row r="848" spans="2:4">
      <c r="B848" s="617"/>
      <c r="C848" s="618"/>
      <c r="D848" s="619"/>
    </row>
    <row r="849" spans="2:4">
      <c r="B849" s="617"/>
      <c r="C849" s="618"/>
      <c r="D849" s="619"/>
    </row>
    <row r="850" spans="2:4">
      <c r="B850" s="617"/>
      <c r="C850" s="618"/>
      <c r="D850" s="619"/>
    </row>
    <row r="851" spans="2:4">
      <c r="B851" s="617"/>
      <c r="C851" s="618"/>
      <c r="D851" s="619"/>
    </row>
    <row r="852" spans="2:4">
      <c r="B852" s="617"/>
      <c r="C852" s="618"/>
      <c r="D852" s="619"/>
    </row>
    <row r="853" spans="2:4">
      <c r="B853" s="617"/>
      <c r="C853" s="618"/>
      <c r="D853" s="619"/>
    </row>
    <row r="854" spans="2:4">
      <c r="B854" s="617"/>
      <c r="C854" s="618"/>
      <c r="D854" s="619"/>
    </row>
    <row r="855" spans="2:4">
      <c r="B855" s="617"/>
      <c r="C855" s="618"/>
      <c r="D855" s="619"/>
    </row>
    <row r="856" spans="2:4">
      <c r="B856" s="617"/>
      <c r="C856" s="618"/>
      <c r="D856" s="619"/>
    </row>
    <row r="857" spans="2:4">
      <c r="B857" s="617"/>
      <c r="C857" s="618"/>
      <c r="D857" s="619"/>
    </row>
    <row r="858" spans="2:4">
      <c r="B858" s="617"/>
      <c r="C858" s="618"/>
      <c r="D858" s="619"/>
    </row>
    <row r="859" spans="2:4">
      <c r="B859" s="617"/>
      <c r="C859" s="618"/>
      <c r="D859" s="619"/>
    </row>
    <row r="860" spans="2:4">
      <c r="B860" s="617"/>
      <c r="C860" s="618"/>
      <c r="D860" s="619"/>
    </row>
    <row r="861" spans="2:4">
      <c r="B861" s="617"/>
      <c r="C861" s="618"/>
      <c r="D861" s="619"/>
    </row>
    <row r="862" spans="2:4">
      <c r="B862" s="617"/>
      <c r="C862" s="618"/>
      <c r="D862" s="619"/>
    </row>
    <row r="863" spans="2:4">
      <c r="B863" s="617"/>
      <c r="C863" s="618"/>
      <c r="D863" s="619"/>
    </row>
    <row r="864" spans="2:4">
      <c r="B864" s="617"/>
      <c r="C864" s="618"/>
      <c r="D864" s="619"/>
    </row>
    <row r="865" spans="2:4">
      <c r="B865" s="617"/>
      <c r="C865" s="618"/>
      <c r="D865" s="619"/>
    </row>
    <row r="866" spans="2:4">
      <c r="B866" s="617"/>
      <c r="C866" s="618"/>
      <c r="D866" s="619"/>
    </row>
    <row r="867" spans="2:4">
      <c r="B867" s="617"/>
      <c r="C867" s="618"/>
      <c r="D867" s="619"/>
    </row>
    <row r="868" spans="2:4">
      <c r="B868" s="617"/>
      <c r="C868" s="618"/>
      <c r="D868" s="619"/>
    </row>
    <row r="869" spans="2:4">
      <c r="B869" s="617"/>
      <c r="C869" s="618"/>
      <c r="D869" s="619"/>
    </row>
    <row r="870" spans="2:4">
      <c r="B870" s="617"/>
      <c r="C870" s="618"/>
      <c r="D870" s="619"/>
    </row>
    <row r="871" spans="2:4">
      <c r="B871" s="617"/>
      <c r="C871" s="618"/>
      <c r="D871" s="619"/>
    </row>
    <row r="872" spans="2:4">
      <c r="B872" s="617"/>
      <c r="C872" s="618"/>
      <c r="D872" s="619"/>
    </row>
    <row r="873" spans="2:4">
      <c r="B873" s="617"/>
      <c r="C873" s="618"/>
      <c r="D873" s="619"/>
    </row>
    <row r="874" spans="2:4">
      <c r="B874" s="617"/>
      <c r="C874" s="618"/>
      <c r="D874" s="619"/>
    </row>
    <row r="875" spans="2:4">
      <c r="B875" s="617"/>
      <c r="C875" s="618"/>
      <c r="D875" s="619"/>
    </row>
    <row r="876" spans="2:4">
      <c r="B876" s="617"/>
      <c r="C876" s="618"/>
      <c r="D876" s="619"/>
    </row>
    <row r="877" spans="2:4">
      <c r="B877" s="617"/>
      <c r="C877" s="618"/>
      <c r="D877" s="619"/>
    </row>
    <row r="878" spans="2:4">
      <c r="B878" s="617"/>
      <c r="C878" s="618"/>
      <c r="D878" s="619"/>
    </row>
    <row r="879" spans="2:4">
      <c r="B879" s="617"/>
      <c r="C879" s="618"/>
      <c r="D879" s="619"/>
    </row>
    <row r="880" spans="2:4">
      <c r="B880" s="617"/>
      <c r="C880" s="618"/>
      <c r="D880" s="619"/>
    </row>
    <row r="881" spans="2:4">
      <c r="B881" s="617"/>
      <c r="C881" s="618"/>
      <c r="D881" s="619"/>
    </row>
    <row r="882" spans="2:4">
      <c r="B882" s="617"/>
      <c r="C882" s="618"/>
      <c r="D882" s="619"/>
    </row>
    <row r="883" spans="2:4">
      <c r="B883" s="617"/>
      <c r="C883" s="618"/>
      <c r="D883" s="619"/>
    </row>
    <row r="884" spans="2:4">
      <c r="B884" s="617"/>
      <c r="C884" s="618"/>
      <c r="D884" s="619"/>
    </row>
    <row r="885" spans="2:4">
      <c r="B885" s="617"/>
      <c r="C885" s="618"/>
      <c r="D885" s="619"/>
    </row>
    <row r="886" spans="2:4">
      <c r="B886" s="617"/>
      <c r="C886" s="618"/>
      <c r="D886" s="619"/>
    </row>
    <row r="887" spans="2:4">
      <c r="B887" s="617"/>
      <c r="C887" s="618"/>
      <c r="D887" s="619"/>
    </row>
    <row r="888" spans="2:4">
      <c r="B888" s="617"/>
      <c r="C888" s="618"/>
      <c r="D888" s="619"/>
    </row>
    <row r="889" spans="2:4">
      <c r="B889" s="617"/>
      <c r="C889" s="618"/>
      <c r="D889" s="619"/>
    </row>
    <row r="890" spans="2:4">
      <c r="B890" s="617"/>
      <c r="C890" s="618"/>
      <c r="D890" s="619"/>
    </row>
    <row r="891" spans="2:4">
      <c r="B891" s="617"/>
      <c r="C891" s="618"/>
      <c r="D891" s="619"/>
    </row>
    <row r="892" spans="2:4">
      <c r="B892" s="617"/>
      <c r="C892" s="618"/>
      <c r="D892" s="619"/>
    </row>
    <row r="893" spans="2:4">
      <c r="B893" s="617"/>
      <c r="C893" s="618"/>
      <c r="D893" s="619"/>
    </row>
    <row r="894" spans="2:4">
      <c r="B894" s="617"/>
      <c r="C894" s="618"/>
      <c r="D894" s="619"/>
    </row>
    <row r="895" spans="2:4">
      <c r="B895" s="617"/>
      <c r="C895" s="618"/>
      <c r="D895" s="619"/>
    </row>
    <row r="896" spans="2:4">
      <c r="B896" s="617"/>
      <c r="C896" s="618"/>
      <c r="D896" s="619"/>
    </row>
    <row r="897" spans="2:4">
      <c r="B897" s="617"/>
      <c r="C897" s="618"/>
      <c r="D897" s="619"/>
    </row>
    <row r="898" spans="2:4">
      <c r="B898" s="617"/>
      <c r="C898" s="618"/>
      <c r="D898" s="619"/>
    </row>
    <row r="899" spans="2:4">
      <c r="B899" s="617"/>
      <c r="C899" s="618"/>
      <c r="D899" s="619"/>
    </row>
    <row r="900" spans="2:4">
      <c r="B900" s="617"/>
      <c r="C900" s="618"/>
      <c r="D900" s="619"/>
    </row>
    <row r="901" spans="2:4">
      <c r="B901" s="617"/>
      <c r="C901" s="618"/>
      <c r="D901" s="619"/>
    </row>
    <row r="902" spans="2:4">
      <c r="B902" s="617"/>
      <c r="C902" s="618"/>
      <c r="D902" s="619"/>
    </row>
    <row r="903" spans="2:4">
      <c r="B903" s="617"/>
      <c r="C903" s="618"/>
      <c r="D903" s="619"/>
    </row>
    <row r="904" spans="2:4">
      <c r="B904" s="617"/>
      <c r="C904" s="618"/>
      <c r="D904" s="619"/>
    </row>
    <row r="905" spans="2:4">
      <c r="B905" s="617"/>
      <c r="C905" s="618"/>
      <c r="D905" s="619"/>
    </row>
    <row r="906" spans="2:4">
      <c r="B906" s="617"/>
      <c r="C906" s="618"/>
      <c r="D906" s="619"/>
    </row>
    <row r="907" spans="2:4">
      <c r="B907" s="617"/>
      <c r="C907" s="618"/>
      <c r="D907" s="619"/>
    </row>
    <row r="908" spans="2:4">
      <c r="B908" s="617"/>
      <c r="C908" s="618"/>
      <c r="D908" s="619"/>
    </row>
    <row r="909" spans="2:4">
      <c r="B909" s="617"/>
      <c r="C909" s="618"/>
      <c r="D909" s="619"/>
    </row>
    <row r="910" spans="2:4">
      <c r="B910" s="617"/>
      <c r="C910" s="618"/>
      <c r="D910" s="619"/>
    </row>
    <row r="911" spans="2:4">
      <c r="B911" s="617"/>
      <c r="C911" s="618"/>
      <c r="D911" s="619"/>
    </row>
    <row r="912" spans="2:4">
      <c r="B912" s="617"/>
      <c r="C912" s="618"/>
      <c r="D912" s="619"/>
    </row>
    <row r="913" spans="2:4">
      <c r="B913" s="617"/>
      <c r="C913" s="618"/>
      <c r="D913" s="619"/>
    </row>
    <row r="914" spans="2:4">
      <c r="B914" s="617"/>
      <c r="C914" s="618"/>
      <c r="D914" s="619"/>
    </row>
    <row r="915" spans="2:4">
      <c r="B915" s="617"/>
      <c r="C915" s="618"/>
      <c r="D915" s="619"/>
    </row>
    <row r="916" spans="2:4">
      <c r="B916" s="617"/>
      <c r="C916" s="618"/>
      <c r="D916" s="619"/>
    </row>
    <row r="917" spans="2:4">
      <c r="B917" s="617"/>
      <c r="C917" s="618"/>
      <c r="D917" s="619"/>
    </row>
    <row r="918" spans="2:4">
      <c r="B918" s="617"/>
      <c r="C918" s="618"/>
      <c r="D918" s="619"/>
    </row>
    <row r="919" spans="2:4">
      <c r="B919" s="617"/>
      <c r="C919" s="618"/>
      <c r="D919" s="619"/>
    </row>
    <row r="920" spans="2:4">
      <c r="B920" s="617"/>
      <c r="C920" s="618"/>
      <c r="D920" s="619"/>
    </row>
    <row r="921" spans="2:4">
      <c r="B921" s="617"/>
      <c r="C921" s="618"/>
      <c r="D921" s="619"/>
    </row>
    <row r="922" spans="2:4">
      <c r="B922" s="617"/>
      <c r="C922" s="618"/>
      <c r="D922" s="619"/>
    </row>
    <row r="923" spans="2:4">
      <c r="B923" s="617"/>
      <c r="C923" s="618"/>
      <c r="D923" s="619"/>
    </row>
    <row r="924" spans="2:4">
      <c r="B924" s="617"/>
      <c r="C924" s="618"/>
      <c r="D924" s="619"/>
    </row>
    <row r="925" spans="2:4">
      <c r="B925" s="617"/>
      <c r="C925" s="618"/>
      <c r="D925" s="619"/>
    </row>
    <row r="926" spans="2:4">
      <c r="B926" s="617"/>
      <c r="C926" s="618"/>
      <c r="D926" s="619"/>
    </row>
    <row r="927" spans="2:4">
      <c r="B927" s="617"/>
      <c r="C927" s="618"/>
      <c r="D927" s="619"/>
    </row>
    <row r="928" spans="2:4">
      <c r="B928" s="617"/>
      <c r="C928" s="618"/>
      <c r="D928" s="619"/>
    </row>
    <row r="929" spans="2:4">
      <c r="B929" s="617"/>
      <c r="C929" s="618"/>
      <c r="D929" s="619"/>
    </row>
    <row r="930" spans="2:4">
      <c r="B930" s="617"/>
      <c r="C930" s="618"/>
      <c r="D930" s="619"/>
    </row>
    <row r="931" spans="2:4">
      <c r="B931" s="617"/>
      <c r="C931" s="618"/>
      <c r="D931" s="619"/>
    </row>
    <row r="932" spans="2:4">
      <c r="B932" s="617"/>
      <c r="C932" s="618"/>
      <c r="D932" s="619"/>
    </row>
    <row r="933" spans="2:4">
      <c r="B933" s="617"/>
      <c r="C933" s="618"/>
      <c r="D933" s="619"/>
    </row>
    <row r="934" spans="2:4">
      <c r="B934" s="617"/>
      <c r="C934" s="618"/>
      <c r="D934" s="619"/>
    </row>
    <row r="935" spans="2:4">
      <c r="B935" s="617"/>
      <c r="C935" s="618"/>
      <c r="D935" s="619"/>
    </row>
    <row r="936" spans="2:4">
      <c r="B936" s="617"/>
      <c r="C936" s="618"/>
      <c r="D936" s="619"/>
    </row>
    <row r="937" spans="2:4">
      <c r="B937" s="617"/>
      <c r="C937" s="618"/>
      <c r="D937" s="619"/>
    </row>
    <row r="938" spans="2:4">
      <c r="B938" s="617"/>
      <c r="C938" s="618"/>
      <c r="D938" s="619"/>
    </row>
    <row r="939" spans="2:4">
      <c r="B939" s="617"/>
      <c r="C939" s="618"/>
      <c r="D939" s="619"/>
    </row>
    <row r="940" spans="2:4">
      <c r="B940" s="617"/>
      <c r="C940" s="618"/>
      <c r="D940" s="619"/>
    </row>
    <row r="941" spans="2:4">
      <c r="B941" s="617"/>
      <c r="C941" s="618"/>
      <c r="D941" s="619"/>
    </row>
    <row r="942" spans="2:4">
      <c r="B942" s="617"/>
      <c r="C942" s="618"/>
      <c r="D942" s="619"/>
    </row>
    <row r="943" spans="2:4">
      <c r="B943" s="617"/>
      <c r="C943" s="618"/>
      <c r="D943" s="619"/>
    </row>
    <row r="944" spans="2:4">
      <c r="B944" s="617"/>
      <c r="C944" s="618"/>
      <c r="D944" s="619"/>
    </row>
    <row r="945" spans="2:4">
      <c r="B945" s="617"/>
      <c r="C945" s="618"/>
      <c r="D945" s="619"/>
    </row>
    <row r="946" spans="2:4">
      <c r="B946" s="617"/>
      <c r="C946" s="618"/>
      <c r="D946" s="619"/>
    </row>
    <row r="947" spans="2:4">
      <c r="B947" s="617"/>
      <c r="C947" s="618"/>
      <c r="D947" s="619"/>
    </row>
    <row r="948" spans="2:4">
      <c r="B948" s="617"/>
      <c r="C948" s="618"/>
      <c r="D948" s="619"/>
    </row>
    <row r="949" spans="2:4">
      <c r="B949" s="617"/>
      <c r="C949" s="618"/>
      <c r="D949" s="619"/>
    </row>
    <row r="950" spans="2:4">
      <c r="B950" s="617"/>
      <c r="C950" s="618"/>
      <c r="D950" s="619"/>
    </row>
    <row r="951" spans="2:4">
      <c r="B951" s="617"/>
      <c r="C951" s="618"/>
      <c r="D951" s="619"/>
    </row>
    <row r="952" spans="2:4">
      <c r="B952" s="617"/>
      <c r="C952" s="618"/>
      <c r="D952" s="619"/>
    </row>
    <row r="953" spans="2:4">
      <c r="B953" s="617"/>
      <c r="C953" s="618"/>
      <c r="D953" s="619"/>
    </row>
    <row r="954" spans="2:4">
      <c r="B954" s="617"/>
      <c r="C954" s="618"/>
      <c r="D954" s="619"/>
    </row>
    <row r="955" spans="2:4">
      <c r="B955" s="617"/>
      <c r="C955" s="618"/>
      <c r="D955" s="619"/>
    </row>
    <row r="956" spans="2:4">
      <c r="B956" s="617"/>
      <c r="C956" s="618"/>
      <c r="D956" s="619"/>
    </row>
    <row r="957" spans="2:4">
      <c r="B957" s="617"/>
      <c r="C957" s="618"/>
      <c r="D957" s="619"/>
    </row>
    <row r="958" spans="2:4">
      <c r="B958" s="617"/>
      <c r="C958" s="618"/>
      <c r="D958" s="619"/>
    </row>
    <row r="959" spans="2:4">
      <c r="B959" s="617"/>
      <c r="C959" s="618"/>
      <c r="D959" s="619"/>
    </row>
    <row r="960" spans="2:4">
      <c r="B960" s="617"/>
      <c r="C960" s="618"/>
      <c r="D960" s="619"/>
    </row>
    <row r="961" spans="2:4">
      <c r="B961" s="617"/>
      <c r="C961" s="618"/>
      <c r="D961" s="619"/>
    </row>
    <row r="962" spans="2:4">
      <c r="B962" s="617"/>
      <c r="C962" s="618"/>
      <c r="D962" s="619"/>
    </row>
    <row r="963" spans="2:4">
      <c r="B963" s="617"/>
      <c r="C963" s="618"/>
      <c r="D963" s="619"/>
    </row>
    <row r="964" spans="2:4">
      <c r="B964" s="617"/>
      <c r="C964" s="618"/>
      <c r="D964" s="619"/>
    </row>
    <row r="965" spans="2:4">
      <c r="B965" s="617"/>
      <c r="C965" s="618"/>
      <c r="D965" s="619"/>
    </row>
    <row r="966" spans="2:4">
      <c r="B966" s="617"/>
      <c r="C966" s="618"/>
      <c r="D966" s="619"/>
    </row>
    <row r="967" spans="2:4">
      <c r="B967" s="617"/>
      <c r="C967" s="618"/>
      <c r="D967" s="619"/>
    </row>
    <row r="968" spans="2:4">
      <c r="B968" s="617"/>
      <c r="C968" s="618"/>
      <c r="D968" s="619"/>
    </row>
    <row r="969" spans="2:4">
      <c r="B969" s="617"/>
      <c r="C969" s="618"/>
      <c r="D969" s="619"/>
    </row>
    <row r="970" spans="2:4">
      <c r="B970" s="617"/>
      <c r="C970" s="618"/>
      <c r="D970" s="619"/>
    </row>
    <row r="971" spans="2:4">
      <c r="B971" s="617"/>
      <c r="C971" s="618"/>
      <c r="D971" s="619"/>
    </row>
    <row r="972" spans="2:4">
      <c r="B972" s="617"/>
      <c r="C972" s="618"/>
      <c r="D972" s="619"/>
    </row>
    <row r="973" spans="2:4">
      <c r="B973" s="617"/>
      <c r="C973" s="618"/>
      <c r="D973" s="619"/>
    </row>
    <row r="974" spans="2:4">
      <c r="B974" s="617"/>
      <c r="C974" s="618"/>
      <c r="D974" s="619"/>
    </row>
    <row r="975" spans="2:4">
      <c r="B975" s="617"/>
      <c r="C975" s="618"/>
      <c r="D975" s="619"/>
    </row>
    <row r="976" spans="2:4">
      <c r="B976" s="617"/>
      <c r="C976" s="618"/>
      <c r="D976" s="619"/>
    </row>
    <row r="977" spans="2:4">
      <c r="B977" s="617"/>
      <c r="C977" s="618"/>
      <c r="D977" s="619"/>
    </row>
    <row r="978" spans="2:4">
      <c r="B978" s="617"/>
      <c r="C978" s="618"/>
      <c r="D978" s="619"/>
    </row>
    <row r="979" spans="2:4">
      <c r="B979" s="617"/>
      <c r="C979" s="618"/>
      <c r="D979" s="619"/>
    </row>
    <row r="980" spans="2:4">
      <c r="B980" s="617"/>
      <c r="C980" s="618"/>
      <c r="D980" s="619"/>
    </row>
    <row r="981" spans="2:4">
      <c r="B981" s="617"/>
      <c r="C981" s="618"/>
      <c r="D981" s="619"/>
    </row>
    <row r="982" spans="2:4">
      <c r="B982" s="617"/>
      <c r="C982" s="618"/>
      <c r="D982" s="619"/>
    </row>
    <row r="983" spans="2:4">
      <c r="B983" s="617"/>
      <c r="C983" s="618"/>
      <c r="D983" s="619"/>
    </row>
    <row r="984" spans="2:4">
      <c r="B984" s="617"/>
      <c r="C984" s="618"/>
      <c r="D984" s="619"/>
    </row>
    <row r="985" spans="2:4">
      <c r="B985" s="617"/>
      <c r="C985" s="618"/>
      <c r="D985" s="619"/>
    </row>
    <row r="986" spans="2:4">
      <c r="B986" s="617"/>
      <c r="C986" s="618"/>
      <c r="D986" s="619"/>
    </row>
    <row r="987" spans="2:4">
      <c r="B987" s="617"/>
      <c r="C987" s="618"/>
      <c r="D987" s="619"/>
    </row>
    <row r="988" spans="2:4">
      <c r="B988" s="617"/>
      <c r="C988" s="618"/>
      <c r="D988" s="619"/>
    </row>
    <row r="989" spans="2:4">
      <c r="B989" s="617"/>
      <c r="C989" s="618"/>
      <c r="D989" s="619"/>
    </row>
    <row r="990" spans="2:4">
      <c r="B990" s="617"/>
      <c r="C990" s="618"/>
      <c r="D990" s="619"/>
    </row>
    <row r="991" spans="2:4">
      <c r="B991" s="617"/>
      <c r="C991" s="618"/>
      <c r="D991" s="619"/>
    </row>
    <row r="992" spans="2:4">
      <c r="B992" s="617"/>
      <c r="C992" s="618"/>
      <c r="D992" s="619"/>
    </row>
    <row r="993" spans="2:4">
      <c r="B993" s="617"/>
      <c r="C993" s="618"/>
      <c r="D993" s="619"/>
    </row>
    <row r="994" spans="2:4">
      <c r="B994" s="617"/>
      <c r="C994" s="618"/>
      <c r="D994" s="619"/>
    </row>
    <row r="995" spans="2:4">
      <c r="B995" s="617"/>
      <c r="C995" s="618"/>
      <c r="D995" s="619"/>
    </row>
    <row r="996" spans="2:4">
      <c r="B996" s="617"/>
      <c r="C996" s="618"/>
      <c r="D996" s="619"/>
    </row>
    <row r="997" spans="2:4">
      <c r="B997" s="617"/>
      <c r="C997" s="618"/>
      <c r="D997" s="619"/>
    </row>
    <row r="998" spans="2:4">
      <c r="B998" s="617"/>
      <c r="C998" s="618"/>
      <c r="D998" s="619"/>
    </row>
    <row r="999" spans="2:4">
      <c r="B999" s="617"/>
      <c r="C999" s="618"/>
      <c r="D999" s="619"/>
    </row>
    <row r="1000" spans="2:4">
      <c r="B1000" s="617"/>
      <c r="C1000" s="618"/>
      <c r="D1000" s="619"/>
    </row>
    <row r="1001" spans="2:4">
      <c r="B1001" s="617"/>
      <c r="C1001" s="618"/>
      <c r="D1001" s="619"/>
    </row>
    <row r="1002" spans="2:4">
      <c r="B1002" s="617"/>
      <c r="C1002" s="618"/>
      <c r="D1002" s="619"/>
    </row>
    <row r="1003" spans="2:4">
      <c r="B1003" s="617"/>
      <c r="C1003" s="618"/>
      <c r="D1003" s="619"/>
    </row>
    <row r="1004" spans="2:4">
      <c r="B1004" s="617"/>
      <c r="C1004" s="618"/>
      <c r="D1004" s="619"/>
    </row>
    <row r="1005" spans="2:4">
      <c r="B1005" s="617"/>
      <c r="C1005" s="618"/>
      <c r="D1005" s="619"/>
    </row>
    <row r="1006" spans="2:4">
      <c r="B1006" s="617"/>
      <c r="C1006" s="618"/>
      <c r="D1006" s="619"/>
    </row>
    <row r="1007" spans="2:4">
      <c r="B1007" s="617"/>
      <c r="C1007" s="618"/>
      <c r="D1007" s="619"/>
    </row>
    <row r="1008" spans="2:4">
      <c r="B1008" s="617"/>
      <c r="C1008" s="618"/>
      <c r="D1008" s="619"/>
    </row>
    <row r="1009" spans="2:4">
      <c r="B1009" s="617"/>
      <c r="C1009" s="618"/>
      <c r="D1009" s="619"/>
    </row>
    <row r="1010" spans="2:4">
      <c r="B1010" s="617"/>
      <c r="C1010" s="618"/>
      <c r="D1010" s="619"/>
    </row>
    <row r="1011" spans="2:4">
      <c r="B1011" s="617"/>
      <c r="C1011" s="618"/>
      <c r="D1011" s="619"/>
    </row>
    <row r="1012" spans="2:4">
      <c r="B1012" s="617"/>
      <c r="C1012" s="618"/>
      <c r="D1012" s="619"/>
    </row>
    <row r="1013" spans="2:4">
      <c r="B1013" s="617"/>
      <c r="C1013" s="618"/>
      <c r="D1013" s="619"/>
    </row>
    <row r="1014" spans="2:4">
      <c r="B1014" s="617"/>
      <c r="C1014" s="618"/>
      <c r="D1014" s="619"/>
    </row>
    <row r="1015" spans="2:4">
      <c r="B1015" s="617"/>
      <c r="C1015" s="618"/>
      <c r="D1015" s="619"/>
    </row>
    <row r="1016" spans="2:4">
      <c r="B1016" s="617"/>
      <c r="C1016" s="618"/>
      <c r="D1016" s="619"/>
    </row>
    <row r="1017" spans="2:4">
      <c r="B1017" s="617"/>
      <c r="C1017" s="618"/>
      <c r="D1017" s="619"/>
    </row>
    <row r="1018" spans="2:4">
      <c r="B1018" s="617"/>
      <c r="C1018" s="618"/>
      <c r="D1018" s="619"/>
    </row>
    <row r="1019" spans="2:4">
      <c r="B1019" s="617"/>
      <c r="C1019" s="618"/>
      <c r="D1019" s="619"/>
    </row>
    <row r="1020" spans="2:4">
      <c r="B1020" s="617"/>
      <c r="C1020" s="618"/>
      <c r="D1020" s="619"/>
    </row>
    <row r="1021" spans="2:4">
      <c r="B1021" s="617"/>
      <c r="C1021" s="618"/>
      <c r="D1021" s="619"/>
    </row>
    <row r="1022" spans="2:4">
      <c r="B1022" s="617"/>
      <c r="C1022" s="618"/>
      <c r="D1022" s="619"/>
    </row>
    <row r="1023" spans="2:4">
      <c r="B1023" s="617"/>
      <c r="C1023" s="618"/>
      <c r="D1023" s="619"/>
    </row>
    <row r="1024" spans="2:4">
      <c r="B1024" s="617"/>
      <c r="C1024" s="618"/>
      <c r="D1024" s="619"/>
    </row>
    <row r="1025" spans="2:4">
      <c r="B1025" s="617"/>
      <c r="C1025" s="618"/>
      <c r="D1025" s="619"/>
    </row>
    <row r="1026" spans="2:4">
      <c r="B1026" s="617"/>
      <c r="C1026" s="618"/>
      <c r="D1026" s="619"/>
    </row>
    <row r="1027" spans="2:4">
      <c r="B1027" s="617"/>
      <c r="C1027" s="618"/>
      <c r="D1027" s="619"/>
    </row>
    <row r="1028" spans="2:4">
      <c r="B1028" s="617"/>
      <c r="C1028" s="618"/>
      <c r="D1028" s="619"/>
    </row>
    <row r="1029" spans="2:4">
      <c r="B1029" s="617"/>
      <c r="C1029" s="618"/>
      <c r="D1029" s="619"/>
    </row>
    <row r="1030" spans="2:4">
      <c r="B1030" s="617"/>
      <c r="C1030" s="618"/>
      <c r="D1030" s="619"/>
    </row>
    <row r="1031" spans="2:4">
      <c r="B1031" s="617"/>
      <c r="C1031" s="618"/>
      <c r="D1031" s="619"/>
    </row>
    <row r="1032" spans="2:4">
      <c r="B1032" s="617"/>
      <c r="C1032" s="618"/>
      <c r="D1032" s="619"/>
    </row>
    <row r="1033" spans="2:4">
      <c r="B1033" s="617"/>
      <c r="C1033" s="618"/>
      <c r="D1033" s="619"/>
    </row>
    <row r="1034" spans="2:4">
      <c r="B1034" s="617"/>
      <c r="C1034" s="618"/>
      <c r="D1034" s="619"/>
    </row>
    <row r="1035" spans="2:4">
      <c r="B1035" s="617"/>
      <c r="C1035" s="618"/>
      <c r="D1035" s="619"/>
    </row>
    <row r="1036" spans="2:4">
      <c r="B1036" s="617"/>
      <c r="C1036" s="618"/>
      <c r="D1036" s="619"/>
    </row>
    <row r="1037" spans="2:4">
      <c r="B1037" s="617"/>
      <c r="C1037" s="618"/>
      <c r="D1037" s="619"/>
    </row>
    <row r="1038" spans="2:4">
      <c r="B1038" s="617"/>
      <c r="C1038" s="618"/>
      <c r="D1038" s="619"/>
    </row>
    <row r="1039" spans="2:4">
      <c r="B1039" s="617"/>
      <c r="C1039" s="618"/>
      <c r="D1039" s="619"/>
    </row>
    <row r="1040" spans="2:4">
      <c r="B1040" s="617"/>
      <c r="C1040" s="618"/>
      <c r="D1040" s="619"/>
    </row>
    <row r="1041" spans="2:4">
      <c r="B1041" s="617"/>
      <c r="C1041" s="618"/>
      <c r="D1041" s="619"/>
    </row>
    <row r="1042" spans="2:4">
      <c r="B1042" s="617"/>
      <c r="C1042" s="618"/>
      <c r="D1042" s="619"/>
    </row>
    <row r="1043" spans="2:4">
      <c r="B1043" s="617"/>
      <c r="C1043" s="618"/>
      <c r="D1043" s="619"/>
    </row>
    <row r="1044" spans="2:4">
      <c r="B1044" s="617"/>
      <c r="C1044" s="618"/>
      <c r="D1044" s="619"/>
    </row>
    <row r="1045" spans="2:4">
      <c r="B1045" s="617"/>
      <c r="C1045" s="618"/>
      <c r="D1045" s="619"/>
    </row>
    <row r="1046" spans="2:4">
      <c r="B1046" s="617"/>
      <c r="C1046" s="618"/>
      <c r="D1046" s="619"/>
    </row>
    <row r="1047" spans="2:4">
      <c r="B1047" s="617"/>
      <c r="C1047" s="618"/>
      <c r="D1047" s="619"/>
    </row>
    <row r="1048" spans="2:4">
      <c r="B1048" s="617"/>
      <c r="C1048" s="618"/>
      <c r="D1048" s="619"/>
    </row>
    <row r="1049" spans="2:4">
      <c r="B1049" s="617"/>
      <c r="C1049" s="618"/>
      <c r="D1049" s="619"/>
    </row>
    <row r="1050" spans="2:4">
      <c r="B1050" s="617"/>
      <c r="C1050" s="618"/>
      <c r="D1050" s="619"/>
    </row>
    <row r="1051" spans="2:4">
      <c r="B1051" s="617"/>
      <c r="C1051" s="618"/>
      <c r="D1051" s="619"/>
    </row>
    <row r="1052" spans="2:4">
      <c r="B1052" s="617"/>
      <c r="C1052" s="618"/>
      <c r="D1052" s="619"/>
    </row>
    <row r="1053" spans="2:4">
      <c r="B1053" s="617"/>
      <c r="C1053" s="618"/>
      <c r="D1053" s="619"/>
    </row>
    <row r="1054" spans="2:4">
      <c r="B1054" s="617"/>
      <c r="C1054" s="618"/>
      <c r="D1054" s="619"/>
    </row>
    <row r="1055" spans="2:4">
      <c r="B1055" s="617"/>
      <c r="C1055" s="618"/>
      <c r="D1055" s="619"/>
    </row>
    <row r="1056" spans="2:4">
      <c r="B1056" s="617"/>
      <c r="C1056" s="618"/>
      <c r="D1056" s="619"/>
    </row>
    <row r="1057" spans="2:4">
      <c r="B1057" s="617"/>
      <c r="C1057" s="618"/>
      <c r="D1057" s="619"/>
    </row>
    <row r="1058" spans="2:4">
      <c r="B1058" s="617"/>
      <c r="C1058" s="618"/>
      <c r="D1058" s="619"/>
    </row>
    <row r="1059" spans="2:4">
      <c r="B1059" s="617"/>
      <c r="C1059" s="618"/>
      <c r="D1059" s="619"/>
    </row>
    <row r="1060" spans="2:4">
      <c r="B1060" s="617"/>
      <c r="C1060" s="618"/>
      <c r="D1060" s="619"/>
    </row>
    <row r="1061" spans="2:4">
      <c r="B1061" s="617"/>
      <c r="C1061" s="618"/>
      <c r="D1061" s="619"/>
    </row>
    <row r="1062" spans="2:4">
      <c r="B1062" s="617"/>
      <c r="C1062" s="618"/>
      <c r="D1062" s="619"/>
    </row>
    <row r="1063" spans="2:4">
      <c r="B1063" s="617"/>
      <c r="C1063" s="618"/>
      <c r="D1063" s="619"/>
    </row>
    <row r="1064" spans="2:4">
      <c r="B1064" s="617"/>
      <c r="C1064" s="618"/>
      <c r="D1064" s="619"/>
    </row>
    <row r="1065" spans="2:4">
      <c r="B1065" s="617"/>
      <c r="C1065" s="618"/>
      <c r="D1065" s="619"/>
    </row>
    <row r="1066" spans="2:4">
      <c r="B1066" s="617"/>
      <c r="C1066" s="618"/>
      <c r="D1066" s="619"/>
    </row>
    <row r="1067" spans="2:4">
      <c r="B1067" s="617"/>
      <c r="C1067" s="618"/>
      <c r="D1067" s="619"/>
    </row>
    <row r="1068" spans="2:4">
      <c r="B1068" s="617"/>
      <c r="C1068" s="618"/>
      <c r="D1068" s="619"/>
    </row>
    <row r="1069" spans="2:4">
      <c r="B1069" s="617"/>
      <c r="C1069" s="618"/>
      <c r="D1069" s="619"/>
    </row>
    <row r="1070" spans="2:4">
      <c r="B1070" s="617"/>
      <c r="C1070" s="618"/>
      <c r="D1070" s="619"/>
    </row>
    <row r="1071" spans="2:4">
      <c r="B1071" s="617"/>
      <c r="C1071" s="618"/>
      <c r="D1071" s="619"/>
    </row>
    <row r="1072" spans="2:4">
      <c r="B1072" s="617"/>
      <c r="C1072" s="618"/>
      <c r="D1072" s="619"/>
    </row>
    <row r="1073" spans="2:4">
      <c r="B1073" s="617"/>
      <c r="C1073" s="618"/>
      <c r="D1073" s="619"/>
    </row>
    <row r="1074" spans="2:4">
      <c r="B1074" s="617"/>
      <c r="C1074" s="618"/>
      <c r="D1074" s="619"/>
    </row>
    <row r="1075" spans="2:4">
      <c r="B1075" s="617"/>
      <c r="C1075" s="618"/>
      <c r="D1075" s="619"/>
    </row>
    <row r="1076" spans="2:4">
      <c r="B1076" s="617"/>
      <c r="C1076" s="618"/>
      <c r="D1076" s="619"/>
    </row>
    <row r="1077" spans="2:4">
      <c r="B1077" s="617"/>
      <c r="C1077" s="618"/>
      <c r="D1077" s="619"/>
    </row>
    <row r="1078" spans="2:4">
      <c r="B1078" s="617"/>
      <c r="C1078" s="618"/>
      <c r="D1078" s="619"/>
    </row>
    <row r="1079" spans="2:4">
      <c r="B1079" s="617"/>
      <c r="C1079" s="618"/>
      <c r="D1079" s="619"/>
    </row>
    <row r="1080" spans="2:4">
      <c r="B1080" s="617"/>
      <c r="C1080" s="618"/>
      <c r="D1080" s="619"/>
    </row>
    <row r="1081" spans="2:4">
      <c r="B1081" s="617"/>
      <c r="C1081" s="618"/>
      <c r="D1081" s="619"/>
    </row>
    <row r="1082" spans="2:4">
      <c r="B1082" s="617"/>
      <c r="C1082" s="618"/>
      <c r="D1082" s="619"/>
    </row>
    <row r="1083" spans="2:4">
      <c r="B1083" s="617"/>
      <c r="C1083" s="618"/>
      <c r="D1083" s="619"/>
    </row>
    <row r="1084" spans="2:4">
      <c r="B1084" s="617"/>
      <c r="C1084" s="618"/>
      <c r="D1084" s="619"/>
    </row>
    <row r="1085" spans="2:4">
      <c r="B1085" s="617"/>
      <c r="C1085" s="618"/>
      <c r="D1085" s="619"/>
    </row>
    <row r="1086" spans="2:4">
      <c r="B1086" s="617"/>
      <c r="C1086" s="618"/>
      <c r="D1086" s="619"/>
    </row>
    <row r="1087" spans="2:4">
      <c r="B1087" s="617"/>
      <c r="C1087" s="618"/>
      <c r="D1087" s="619"/>
    </row>
    <row r="1088" spans="2:4">
      <c r="B1088" s="617"/>
      <c r="C1088" s="618"/>
      <c r="D1088" s="619"/>
    </row>
    <row r="1089" spans="2:4">
      <c r="B1089" s="617"/>
      <c r="C1089" s="618"/>
      <c r="D1089" s="619"/>
    </row>
    <row r="1090" spans="2:4">
      <c r="B1090" s="617"/>
      <c r="C1090" s="618"/>
      <c r="D1090" s="619"/>
    </row>
    <row r="1091" spans="2:4">
      <c r="B1091" s="617"/>
      <c r="C1091" s="618"/>
      <c r="D1091" s="619"/>
    </row>
    <row r="1092" spans="2:4">
      <c r="B1092" s="617"/>
      <c r="C1092" s="618"/>
      <c r="D1092" s="619"/>
    </row>
    <row r="1093" spans="2:4">
      <c r="B1093" s="617"/>
      <c r="C1093" s="618"/>
      <c r="D1093" s="619"/>
    </row>
    <row r="1094" spans="2:4">
      <c r="B1094" s="617"/>
      <c r="C1094" s="618"/>
      <c r="D1094" s="619"/>
    </row>
    <row r="1095" spans="2:4">
      <c r="B1095" s="617"/>
      <c r="C1095" s="618"/>
      <c r="D1095" s="619"/>
    </row>
    <row r="1096" spans="2:4">
      <c r="B1096" s="617"/>
      <c r="C1096" s="618"/>
      <c r="D1096" s="619"/>
    </row>
    <row r="1097" spans="2:4">
      <c r="B1097" s="617"/>
      <c r="C1097" s="618"/>
      <c r="D1097" s="619"/>
    </row>
    <row r="1098" spans="2:4">
      <c r="B1098" s="617"/>
      <c r="C1098" s="618"/>
      <c r="D1098" s="619"/>
    </row>
    <row r="1099" spans="2:4">
      <c r="B1099" s="617"/>
      <c r="C1099" s="618"/>
      <c r="D1099" s="619"/>
    </row>
    <row r="1100" spans="2:4">
      <c r="B1100" s="617"/>
      <c r="C1100" s="618"/>
      <c r="D1100" s="619"/>
    </row>
    <row r="1101" spans="2:4">
      <c r="B1101" s="617"/>
      <c r="C1101" s="618"/>
      <c r="D1101" s="619"/>
    </row>
    <row r="1102" spans="2:4">
      <c r="B1102" s="617"/>
      <c r="C1102" s="618"/>
      <c r="D1102" s="619"/>
    </row>
    <row r="1103" spans="2:4">
      <c r="B1103" s="617"/>
      <c r="C1103" s="618"/>
      <c r="D1103" s="619"/>
    </row>
    <row r="1104" spans="2:4">
      <c r="B1104" s="617"/>
      <c r="C1104" s="618"/>
      <c r="D1104" s="619"/>
    </row>
    <row r="1105" spans="2:4">
      <c r="B1105" s="617"/>
      <c r="C1105" s="618"/>
      <c r="D1105" s="619"/>
    </row>
    <row r="1106" spans="2:4">
      <c r="B1106" s="617"/>
      <c r="C1106" s="618"/>
      <c r="D1106" s="619"/>
    </row>
    <row r="1107" spans="2:4">
      <c r="B1107" s="617"/>
      <c r="C1107" s="618"/>
      <c r="D1107" s="619"/>
    </row>
    <row r="1108" spans="2:4">
      <c r="B1108" s="617"/>
      <c r="C1108" s="618"/>
      <c r="D1108" s="619"/>
    </row>
    <row r="1109" spans="2:4">
      <c r="B1109" s="617"/>
      <c r="C1109" s="618"/>
      <c r="D1109" s="619"/>
    </row>
    <row r="1110" spans="2:4">
      <c r="B1110" s="617"/>
      <c r="C1110" s="618"/>
      <c r="D1110" s="619"/>
    </row>
    <row r="1111" spans="2:4">
      <c r="B1111" s="617"/>
      <c r="C1111" s="618"/>
      <c r="D1111" s="619"/>
    </row>
    <row r="1112" spans="2:4">
      <c r="B1112" s="617"/>
      <c r="C1112" s="618"/>
      <c r="D1112" s="619"/>
    </row>
    <row r="1113" spans="2:4">
      <c r="B1113" s="617"/>
      <c r="C1113" s="618"/>
      <c r="D1113" s="619"/>
    </row>
    <row r="1114" spans="2:4">
      <c r="B1114" s="617"/>
      <c r="C1114" s="618"/>
      <c r="D1114" s="619"/>
    </row>
    <row r="1115" spans="2:4">
      <c r="B1115" s="617"/>
      <c r="C1115" s="618"/>
      <c r="D1115" s="619"/>
    </row>
    <row r="1116" spans="2:4">
      <c r="B1116" s="617"/>
      <c r="C1116" s="618"/>
      <c r="D1116" s="619"/>
    </row>
    <row r="1117" spans="2:4">
      <c r="B1117" s="617"/>
      <c r="C1117" s="618"/>
      <c r="D1117" s="619"/>
    </row>
    <row r="1118" spans="2:4">
      <c r="B1118" s="617"/>
      <c r="C1118" s="618"/>
      <c r="D1118" s="619"/>
    </row>
    <row r="1119" spans="2:4">
      <c r="B1119" s="617"/>
      <c r="C1119" s="618"/>
      <c r="D1119" s="619"/>
    </row>
    <row r="1120" spans="2:4">
      <c r="B1120" s="617"/>
      <c r="C1120" s="618"/>
      <c r="D1120" s="619"/>
    </row>
    <row r="1121" spans="2:4">
      <c r="B1121" s="617"/>
      <c r="C1121" s="618"/>
      <c r="D1121" s="619"/>
    </row>
    <row r="1122" spans="2:4">
      <c r="B1122" s="617"/>
      <c r="C1122" s="618"/>
      <c r="D1122" s="619"/>
    </row>
    <row r="1123" spans="2:4">
      <c r="B1123" s="617"/>
      <c r="C1123" s="618"/>
      <c r="D1123" s="619"/>
    </row>
    <row r="1124" spans="2:4">
      <c r="B1124" s="617"/>
      <c r="C1124" s="618"/>
      <c r="D1124" s="619"/>
    </row>
    <row r="1125" spans="2:4">
      <c r="B1125" s="617"/>
      <c r="C1125" s="618"/>
      <c r="D1125" s="619"/>
    </row>
    <row r="1126" spans="2:4">
      <c r="B1126" s="617"/>
      <c r="C1126" s="618"/>
      <c r="D1126" s="619"/>
    </row>
    <row r="1127" spans="2:4">
      <c r="B1127" s="617"/>
      <c r="C1127" s="618"/>
      <c r="D1127" s="619"/>
    </row>
    <row r="1128" spans="2:4">
      <c r="B1128" s="617"/>
      <c r="C1128" s="618"/>
      <c r="D1128" s="619"/>
    </row>
    <row r="1129" spans="2:4">
      <c r="B1129" s="617"/>
      <c r="C1129" s="618"/>
      <c r="D1129" s="619"/>
    </row>
    <row r="1130" spans="2:4">
      <c r="B1130" s="617"/>
      <c r="C1130" s="618"/>
      <c r="D1130" s="619"/>
    </row>
    <row r="1131" spans="2:4">
      <c r="B1131" s="617"/>
      <c r="C1131" s="618"/>
      <c r="D1131" s="619"/>
    </row>
    <row r="1132" spans="2:4">
      <c r="B1132" s="617"/>
      <c r="C1132" s="618"/>
      <c r="D1132" s="619"/>
    </row>
    <row r="1133" spans="2:4">
      <c r="B1133" s="617"/>
      <c r="C1133" s="618"/>
      <c r="D1133" s="619"/>
    </row>
    <row r="1134" spans="2:4">
      <c r="B1134" s="617"/>
      <c r="C1134" s="618"/>
      <c r="D1134" s="619"/>
    </row>
    <row r="1135" spans="2:4">
      <c r="B1135" s="617"/>
      <c r="C1135" s="618"/>
      <c r="D1135" s="619"/>
    </row>
    <row r="1136" spans="2:4">
      <c r="B1136" s="617"/>
      <c r="C1136" s="618"/>
      <c r="D1136" s="619"/>
    </row>
    <row r="1137" spans="2:4">
      <c r="B1137" s="617"/>
      <c r="C1137" s="618"/>
      <c r="D1137" s="619"/>
    </row>
    <row r="1138" spans="2:4">
      <c r="B1138" s="617"/>
      <c r="C1138" s="618"/>
      <c r="D1138" s="619"/>
    </row>
    <row r="1139" spans="2:4">
      <c r="B1139" s="617"/>
      <c r="C1139" s="618"/>
      <c r="D1139" s="619"/>
    </row>
    <row r="1140" spans="2:4">
      <c r="B1140" s="617"/>
      <c r="C1140" s="618"/>
      <c r="D1140" s="619"/>
    </row>
    <row r="1141" spans="2:4">
      <c r="B1141" s="617"/>
      <c r="C1141" s="618"/>
      <c r="D1141" s="619"/>
    </row>
    <row r="1142" spans="2:4">
      <c r="B1142" s="617"/>
      <c r="C1142" s="618"/>
      <c r="D1142" s="619"/>
    </row>
    <row r="1143" spans="2:4">
      <c r="B1143" s="617"/>
      <c r="C1143" s="618"/>
      <c r="D1143" s="619"/>
    </row>
    <row r="1144" spans="2:4">
      <c r="B1144" s="617"/>
      <c r="C1144" s="618"/>
      <c r="D1144" s="619"/>
    </row>
    <row r="1145" spans="2:4">
      <c r="B1145" s="617"/>
      <c r="C1145" s="618"/>
      <c r="D1145" s="619"/>
    </row>
    <row r="1146" spans="2:4">
      <c r="B1146" s="617"/>
      <c r="C1146" s="618"/>
      <c r="D1146" s="619"/>
    </row>
    <row r="1147" spans="2:4">
      <c r="B1147" s="617"/>
      <c r="C1147" s="618"/>
      <c r="D1147" s="619"/>
    </row>
    <row r="1148" spans="2:4">
      <c r="B1148" s="617"/>
      <c r="C1148" s="618"/>
      <c r="D1148" s="619"/>
    </row>
    <row r="1149" spans="2:4">
      <c r="B1149" s="617"/>
      <c r="C1149" s="618"/>
      <c r="D1149" s="619"/>
    </row>
    <row r="1150" spans="2:4">
      <c r="B1150" s="617"/>
      <c r="C1150" s="618"/>
      <c r="D1150" s="619"/>
    </row>
    <row r="1151" spans="2:4">
      <c r="B1151" s="617"/>
      <c r="C1151" s="618"/>
      <c r="D1151" s="619"/>
    </row>
    <row r="1152" spans="2:4">
      <c r="B1152" s="617"/>
      <c r="C1152" s="618"/>
      <c r="D1152" s="619"/>
    </row>
    <row r="1153" spans="2:4">
      <c r="B1153" s="617"/>
      <c r="C1153" s="618"/>
      <c r="D1153" s="619"/>
    </row>
    <row r="1154" spans="2:4">
      <c r="B1154" s="617"/>
      <c r="C1154" s="618"/>
      <c r="D1154" s="619"/>
    </row>
    <row r="1155" spans="2:4">
      <c r="B1155" s="617"/>
      <c r="C1155" s="618"/>
      <c r="D1155" s="619"/>
    </row>
    <row r="1156" spans="2:4">
      <c r="B1156" s="617"/>
      <c r="C1156" s="618"/>
      <c r="D1156" s="619"/>
    </row>
    <row r="1157" spans="2:4">
      <c r="B1157" s="617"/>
      <c r="C1157" s="618"/>
      <c r="D1157" s="619"/>
    </row>
    <row r="1158" spans="2:4">
      <c r="B1158" s="617"/>
      <c r="C1158" s="618"/>
      <c r="D1158" s="619"/>
    </row>
    <row r="1159" spans="2:4">
      <c r="B1159" s="617"/>
      <c r="C1159" s="618"/>
      <c r="D1159" s="619"/>
    </row>
    <row r="1160" spans="2:4">
      <c r="B1160" s="617"/>
      <c r="C1160" s="618"/>
      <c r="D1160" s="619"/>
    </row>
    <row r="1161" spans="2:4">
      <c r="B1161" s="617"/>
      <c r="C1161" s="618"/>
      <c r="D1161" s="619"/>
    </row>
    <row r="1162" spans="2:4">
      <c r="B1162" s="617"/>
      <c r="C1162" s="618"/>
      <c r="D1162" s="619"/>
    </row>
    <row r="1163" spans="2:4">
      <c r="B1163" s="617"/>
      <c r="C1163" s="618"/>
      <c r="D1163" s="619"/>
    </row>
    <row r="1164" spans="2:4">
      <c r="B1164" s="617"/>
      <c r="C1164" s="618"/>
      <c r="D1164" s="619"/>
    </row>
    <row r="1165" spans="2:4">
      <c r="B1165" s="617"/>
      <c r="C1165" s="618"/>
      <c r="D1165" s="619"/>
    </row>
    <row r="1166" spans="2:4">
      <c r="B1166" s="617"/>
      <c r="C1166" s="618"/>
      <c r="D1166" s="619"/>
    </row>
    <row r="1167" spans="2:4">
      <c r="B1167" s="617"/>
      <c r="C1167" s="618"/>
      <c r="D1167" s="619"/>
    </row>
    <row r="1168" spans="2:4">
      <c r="B1168" s="617"/>
      <c r="C1168" s="618"/>
      <c r="D1168" s="619"/>
    </row>
    <row r="1169" spans="2:4">
      <c r="B1169" s="617"/>
      <c r="C1169" s="618"/>
      <c r="D1169" s="619"/>
    </row>
    <row r="1170" spans="2:4">
      <c r="B1170" s="617"/>
      <c r="C1170" s="618"/>
      <c r="D1170" s="619"/>
    </row>
    <row r="1171" spans="2:4">
      <c r="B1171" s="617"/>
      <c r="C1171" s="618"/>
      <c r="D1171" s="619"/>
    </row>
    <row r="1172" spans="2:4">
      <c r="B1172" s="617"/>
      <c r="C1172" s="618"/>
      <c r="D1172" s="619"/>
    </row>
    <row r="1173" spans="2:4">
      <c r="B1173" s="617"/>
      <c r="C1173" s="618"/>
      <c r="D1173" s="619"/>
    </row>
    <row r="1174" spans="2:4">
      <c r="B1174" s="617"/>
      <c r="C1174" s="618"/>
      <c r="D1174" s="619"/>
    </row>
    <row r="1175" spans="2:4">
      <c r="B1175" s="617"/>
      <c r="C1175" s="618"/>
      <c r="D1175" s="619"/>
    </row>
    <row r="1176" spans="2:4">
      <c r="B1176" s="617"/>
      <c r="C1176" s="618"/>
      <c r="D1176" s="619"/>
    </row>
    <row r="1177" spans="2:4">
      <c r="B1177" s="617"/>
      <c r="C1177" s="618"/>
      <c r="D1177" s="619"/>
    </row>
    <row r="1178" spans="2:4">
      <c r="B1178" s="617"/>
      <c r="C1178" s="618"/>
      <c r="D1178" s="619"/>
    </row>
    <row r="1179" spans="2:4">
      <c r="B1179" s="617"/>
      <c r="C1179" s="618"/>
      <c r="D1179" s="619"/>
    </row>
    <row r="1180" spans="2:4">
      <c r="B1180" s="617"/>
      <c r="C1180" s="618"/>
      <c r="D1180" s="619"/>
    </row>
    <row r="1181" spans="2:4">
      <c r="B1181" s="617"/>
      <c r="C1181" s="618"/>
      <c r="D1181" s="619"/>
    </row>
    <row r="1182" spans="2:4">
      <c r="B1182" s="617"/>
      <c r="C1182" s="618"/>
      <c r="D1182" s="619"/>
    </row>
    <row r="1183" spans="2:4">
      <c r="B1183" s="617"/>
      <c r="C1183" s="618"/>
      <c r="D1183" s="619"/>
    </row>
    <row r="1184" spans="2:4">
      <c r="B1184" s="617"/>
      <c r="C1184" s="618"/>
      <c r="D1184" s="619"/>
    </row>
    <row r="1185" spans="2:4">
      <c r="B1185" s="617"/>
      <c r="C1185" s="618"/>
      <c r="D1185" s="619"/>
    </row>
    <row r="1186" spans="2:4">
      <c r="B1186" s="617"/>
      <c r="C1186" s="618"/>
      <c r="D1186" s="619"/>
    </row>
    <row r="1187" spans="2:4">
      <c r="B1187" s="617"/>
      <c r="C1187" s="618"/>
      <c r="D1187" s="619"/>
    </row>
    <row r="1188" spans="2:4">
      <c r="B1188" s="617"/>
      <c r="C1188" s="618"/>
      <c r="D1188" s="619"/>
    </row>
    <row r="1189" spans="2:4">
      <c r="B1189" s="617"/>
      <c r="C1189" s="618"/>
      <c r="D1189" s="619"/>
    </row>
    <row r="1190" spans="2:4">
      <c r="B1190" s="617"/>
      <c r="C1190" s="618"/>
      <c r="D1190" s="619"/>
    </row>
    <row r="1191" spans="2:4">
      <c r="B1191" s="617"/>
      <c r="C1191" s="618"/>
      <c r="D1191" s="619"/>
    </row>
    <row r="1192" spans="2:4">
      <c r="B1192" s="617"/>
      <c r="C1192" s="618"/>
      <c r="D1192" s="619"/>
    </row>
    <row r="1193" spans="2:4">
      <c r="B1193" s="617"/>
      <c r="C1193" s="618"/>
      <c r="D1193" s="619"/>
    </row>
    <row r="1194" spans="2:4">
      <c r="B1194" s="617"/>
      <c r="C1194" s="618"/>
      <c r="D1194" s="619"/>
    </row>
    <row r="1195" spans="2:4">
      <c r="B1195" s="617"/>
      <c r="C1195" s="618"/>
      <c r="D1195" s="619"/>
    </row>
    <row r="1196" spans="2:4">
      <c r="B1196" s="617"/>
      <c r="C1196" s="618"/>
      <c r="D1196" s="619"/>
    </row>
    <row r="1197" spans="2:4">
      <c r="B1197" s="617"/>
      <c r="C1197" s="618"/>
      <c r="D1197" s="619"/>
    </row>
    <row r="1198" spans="2:4">
      <c r="B1198" s="617"/>
      <c r="C1198" s="618"/>
      <c r="D1198" s="619"/>
    </row>
    <row r="1199" spans="2:4">
      <c r="B1199" s="617"/>
      <c r="C1199" s="618"/>
      <c r="D1199" s="619"/>
    </row>
    <row r="1200" spans="2:4">
      <c r="B1200" s="617"/>
      <c r="C1200" s="618"/>
      <c r="D1200" s="619"/>
    </row>
    <row r="1201" spans="2:4">
      <c r="B1201" s="617"/>
      <c r="C1201" s="618"/>
      <c r="D1201" s="619"/>
    </row>
    <row r="1202" spans="2:4">
      <c r="B1202" s="617"/>
      <c r="C1202" s="618"/>
      <c r="D1202" s="619"/>
    </row>
    <row r="1203" spans="2:4">
      <c r="B1203" s="617"/>
      <c r="C1203" s="618"/>
      <c r="D1203" s="619"/>
    </row>
    <row r="1204" spans="2:4">
      <c r="B1204" s="617"/>
      <c r="C1204" s="618"/>
      <c r="D1204" s="619"/>
    </row>
    <row r="1205" spans="2:4">
      <c r="B1205" s="617"/>
      <c r="C1205" s="618"/>
      <c r="D1205" s="619"/>
    </row>
    <row r="1206" spans="2:4">
      <c r="B1206" s="617"/>
      <c r="C1206" s="618"/>
      <c r="D1206" s="619"/>
    </row>
    <row r="1207" spans="2:4">
      <c r="B1207" s="617"/>
      <c r="C1207" s="618"/>
      <c r="D1207" s="619"/>
    </row>
    <row r="1208" spans="2:4">
      <c r="B1208" s="617"/>
      <c r="C1208" s="618"/>
      <c r="D1208" s="619"/>
    </row>
    <row r="1209" spans="2:4">
      <c r="B1209" s="617"/>
      <c r="C1209" s="618"/>
      <c r="D1209" s="619"/>
    </row>
    <row r="1210" spans="2:4">
      <c r="B1210" s="617"/>
      <c r="C1210" s="618"/>
      <c r="D1210" s="619"/>
    </row>
    <row r="1211" spans="2:4">
      <c r="B1211" s="617"/>
      <c r="C1211" s="618"/>
      <c r="D1211" s="619"/>
    </row>
    <row r="1212" spans="2:4">
      <c r="B1212" s="617"/>
      <c r="C1212" s="618"/>
      <c r="D1212" s="619"/>
    </row>
    <row r="1213" spans="2:4">
      <c r="B1213" s="617"/>
      <c r="C1213" s="618"/>
      <c r="D1213" s="619"/>
    </row>
    <row r="1214" spans="2:4">
      <c r="B1214" s="617"/>
      <c r="C1214" s="618"/>
      <c r="D1214" s="619"/>
    </row>
    <row r="1215" spans="2:4">
      <c r="B1215" s="617"/>
      <c r="C1215" s="618"/>
      <c r="D1215" s="619"/>
    </row>
    <row r="1216" spans="2:4">
      <c r="B1216" s="617"/>
      <c r="C1216" s="618"/>
      <c r="D1216" s="619"/>
    </row>
    <row r="1217" spans="2:4">
      <c r="B1217" s="617"/>
      <c r="C1217" s="618"/>
      <c r="D1217" s="619"/>
    </row>
    <row r="1218" spans="2:4">
      <c r="B1218" s="617"/>
      <c r="C1218" s="618"/>
      <c r="D1218" s="619"/>
    </row>
    <row r="1219" spans="2:4">
      <c r="B1219" s="617"/>
      <c r="C1219" s="618"/>
      <c r="D1219" s="619"/>
    </row>
    <row r="1220" spans="2:4">
      <c r="B1220" s="617"/>
      <c r="C1220" s="618"/>
      <c r="D1220" s="619"/>
    </row>
    <row r="1221" spans="2:4">
      <c r="B1221" s="617"/>
      <c r="C1221" s="618"/>
      <c r="D1221" s="619"/>
    </row>
    <row r="1222" spans="2:4">
      <c r="B1222" s="617"/>
      <c r="C1222" s="618"/>
      <c r="D1222" s="619"/>
    </row>
    <row r="1223" spans="2:4">
      <c r="B1223" s="617"/>
      <c r="C1223" s="618"/>
      <c r="D1223" s="619"/>
    </row>
    <row r="1224" spans="2:4">
      <c r="B1224" s="617"/>
      <c r="C1224" s="618"/>
      <c r="D1224" s="619"/>
    </row>
    <row r="1225" spans="2:4">
      <c r="B1225" s="617"/>
      <c r="C1225" s="618"/>
      <c r="D1225" s="619"/>
    </row>
    <row r="1226" spans="2:4">
      <c r="B1226" s="617"/>
      <c r="C1226" s="618"/>
      <c r="D1226" s="619"/>
    </row>
    <row r="1227" spans="2:4">
      <c r="B1227" s="617"/>
      <c r="C1227" s="618"/>
      <c r="D1227" s="619"/>
    </row>
    <row r="1228" spans="2:4">
      <c r="B1228" s="617"/>
      <c r="C1228" s="618"/>
      <c r="D1228" s="619"/>
    </row>
    <row r="1229" spans="2:4">
      <c r="B1229" s="617"/>
      <c r="C1229" s="618"/>
      <c r="D1229" s="619"/>
    </row>
    <row r="1230" spans="2:4">
      <c r="B1230" s="617"/>
      <c r="C1230" s="618"/>
      <c r="D1230" s="619"/>
    </row>
    <row r="1231" spans="2:4">
      <c r="B1231" s="617"/>
      <c r="C1231" s="618"/>
      <c r="D1231" s="619"/>
    </row>
    <row r="1232" spans="2:4">
      <c r="B1232" s="617"/>
      <c r="C1232" s="618"/>
      <c r="D1232" s="619"/>
    </row>
    <row r="1233" spans="2:4">
      <c r="B1233" s="617"/>
      <c r="C1233" s="618"/>
      <c r="D1233" s="619"/>
    </row>
    <row r="1234" spans="2:4">
      <c r="B1234" s="617"/>
      <c r="C1234" s="618"/>
      <c r="D1234" s="619"/>
    </row>
    <row r="1235" spans="2:4">
      <c r="B1235" s="617"/>
      <c r="C1235" s="618"/>
      <c r="D1235" s="619"/>
    </row>
    <row r="1236" spans="2:4">
      <c r="B1236" s="617"/>
      <c r="C1236" s="618"/>
      <c r="D1236" s="619"/>
    </row>
    <row r="1237" spans="2:4">
      <c r="B1237" s="617"/>
      <c r="C1237" s="618"/>
      <c r="D1237" s="619"/>
    </row>
    <row r="1238" spans="2:4">
      <c r="B1238" s="617"/>
      <c r="C1238" s="618"/>
      <c r="D1238" s="619"/>
    </row>
    <row r="1239" spans="2:4">
      <c r="B1239" s="617"/>
      <c r="C1239" s="618"/>
      <c r="D1239" s="619"/>
    </row>
    <row r="1240" spans="2:4">
      <c r="B1240" s="617"/>
      <c r="C1240" s="618"/>
      <c r="D1240" s="619"/>
    </row>
    <row r="1241" spans="2:4">
      <c r="B1241" s="617"/>
      <c r="C1241" s="618"/>
      <c r="D1241" s="619"/>
    </row>
    <row r="1242" spans="2:4">
      <c r="B1242" s="617"/>
      <c r="C1242" s="618"/>
      <c r="D1242" s="619"/>
    </row>
    <row r="1243" spans="2:4">
      <c r="B1243" s="617"/>
      <c r="C1243" s="618"/>
      <c r="D1243" s="619"/>
    </row>
    <row r="1244" spans="2:4">
      <c r="B1244" s="617"/>
      <c r="C1244" s="618"/>
      <c r="D1244" s="619"/>
    </row>
    <row r="1245" spans="2:4">
      <c r="B1245" s="617"/>
      <c r="C1245" s="618"/>
      <c r="D1245" s="619"/>
    </row>
    <row r="1246" spans="2:4">
      <c r="B1246" s="617"/>
      <c r="C1246" s="618"/>
      <c r="D1246" s="619"/>
    </row>
    <row r="1247" spans="2:4">
      <c r="B1247" s="617"/>
      <c r="C1247" s="618"/>
      <c r="D1247" s="619"/>
    </row>
    <row r="1248" spans="2:4">
      <c r="B1248" s="617"/>
      <c r="C1248" s="618"/>
      <c r="D1248" s="619"/>
    </row>
    <row r="1249" spans="2:4">
      <c r="B1249" s="617"/>
      <c r="C1249" s="618"/>
      <c r="D1249" s="619"/>
    </row>
    <row r="1250" spans="2:4">
      <c r="B1250" s="617"/>
      <c r="C1250" s="618"/>
      <c r="D1250" s="619"/>
    </row>
    <row r="1251" spans="2:4">
      <c r="B1251" s="617"/>
      <c r="C1251" s="618"/>
      <c r="D1251" s="619"/>
    </row>
    <row r="1252" spans="2:4">
      <c r="B1252" s="617"/>
      <c r="C1252" s="618"/>
      <c r="D1252" s="619"/>
    </row>
    <row r="1253" spans="2:4">
      <c r="B1253" s="617"/>
      <c r="C1253" s="618"/>
      <c r="D1253" s="619"/>
    </row>
    <row r="1254" spans="2:4">
      <c r="B1254" s="617"/>
      <c r="C1254" s="618"/>
      <c r="D1254" s="619"/>
    </row>
    <row r="1255" spans="2:4">
      <c r="B1255" s="617"/>
      <c r="C1255" s="618"/>
      <c r="D1255" s="619"/>
    </row>
    <row r="1256" spans="2:4">
      <c r="B1256" s="617"/>
      <c r="C1256" s="618"/>
      <c r="D1256" s="619"/>
    </row>
    <row r="1257" spans="2:4">
      <c r="B1257" s="617"/>
      <c r="C1257" s="618"/>
      <c r="D1257" s="619"/>
    </row>
    <row r="1258" spans="2:4">
      <c r="B1258" s="617"/>
      <c r="C1258" s="618"/>
      <c r="D1258" s="619"/>
    </row>
    <row r="1259" spans="2:4">
      <c r="B1259" s="617"/>
      <c r="C1259" s="618"/>
      <c r="D1259" s="619"/>
    </row>
    <row r="1260" spans="2:4">
      <c r="B1260" s="617"/>
      <c r="C1260" s="618"/>
      <c r="D1260" s="619"/>
    </row>
    <row r="1261" spans="2:4">
      <c r="B1261" s="617"/>
      <c r="C1261" s="618"/>
      <c r="D1261" s="619"/>
    </row>
    <row r="1262" spans="2:4">
      <c r="B1262" s="617"/>
      <c r="C1262" s="618"/>
      <c r="D1262" s="619"/>
    </row>
    <row r="1263" spans="2:4">
      <c r="B1263" s="617"/>
      <c r="C1263" s="618"/>
      <c r="D1263" s="619"/>
    </row>
    <row r="1264" spans="2:4">
      <c r="B1264" s="617"/>
      <c r="C1264" s="618"/>
      <c r="D1264" s="619"/>
    </row>
    <row r="1265" spans="2:4">
      <c r="B1265" s="617"/>
      <c r="C1265" s="618"/>
      <c r="D1265" s="619"/>
    </row>
    <row r="1266" spans="2:4">
      <c r="B1266" s="617"/>
      <c r="C1266" s="618"/>
      <c r="D1266" s="619"/>
    </row>
    <row r="1267" spans="2:4">
      <c r="B1267" s="617"/>
      <c r="C1267" s="618"/>
      <c r="D1267" s="619"/>
    </row>
    <row r="1268" spans="2:4">
      <c r="B1268" s="617"/>
      <c r="C1268" s="618"/>
      <c r="D1268" s="619"/>
    </row>
    <row r="1269" spans="2:4">
      <c r="B1269" s="617"/>
      <c r="C1269" s="618"/>
      <c r="D1269" s="619"/>
    </row>
    <row r="1270" spans="2:4">
      <c r="B1270" s="617"/>
      <c r="C1270" s="618"/>
      <c r="D1270" s="619"/>
    </row>
    <row r="1271" spans="2:4">
      <c r="B1271" s="617"/>
      <c r="C1271" s="618"/>
      <c r="D1271" s="619"/>
    </row>
    <row r="1272" spans="2:4">
      <c r="B1272" s="617"/>
      <c r="C1272" s="618"/>
      <c r="D1272" s="619"/>
    </row>
    <row r="1273" spans="2:4">
      <c r="B1273" s="617"/>
      <c r="C1273" s="618"/>
      <c r="D1273" s="619"/>
    </row>
    <row r="1274" spans="2:4">
      <c r="B1274" s="617"/>
      <c r="C1274" s="618"/>
      <c r="D1274" s="619"/>
    </row>
    <row r="1275" spans="2:4">
      <c r="B1275" s="617"/>
      <c r="C1275" s="618"/>
      <c r="D1275" s="619"/>
    </row>
    <row r="1276" spans="2:4">
      <c r="B1276" s="617"/>
      <c r="C1276" s="618"/>
      <c r="D1276" s="619"/>
    </row>
    <row r="1277" spans="2:4">
      <c r="B1277" s="617"/>
      <c r="C1277" s="618"/>
      <c r="D1277" s="619"/>
    </row>
    <row r="1278" spans="2:4">
      <c r="B1278" s="617"/>
      <c r="C1278" s="618"/>
      <c r="D1278" s="619"/>
    </row>
    <row r="1279" spans="2:4">
      <c r="B1279" s="617"/>
      <c r="C1279" s="618"/>
      <c r="D1279" s="619"/>
    </row>
    <row r="1280" spans="2:4">
      <c r="B1280" s="617"/>
      <c r="C1280" s="618"/>
      <c r="D1280" s="619"/>
    </row>
    <row r="1281" spans="2:4">
      <c r="B1281" s="617"/>
      <c r="C1281" s="618"/>
      <c r="D1281" s="619"/>
    </row>
    <row r="1282" spans="2:4">
      <c r="B1282" s="617"/>
      <c r="C1282" s="618"/>
      <c r="D1282" s="619"/>
    </row>
    <row r="1283" spans="2:4">
      <c r="B1283" s="617"/>
      <c r="C1283" s="618"/>
      <c r="D1283" s="619"/>
    </row>
    <row r="1284" spans="2:4">
      <c r="B1284" s="617"/>
      <c r="C1284" s="618"/>
      <c r="D1284" s="619"/>
    </row>
    <row r="1285" spans="2:4">
      <c r="B1285" s="617"/>
      <c r="C1285" s="618"/>
      <c r="D1285" s="619"/>
    </row>
    <row r="1286" spans="2:4">
      <c r="B1286" s="617"/>
      <c r="C1286" s="618"/>
      <c r="D1286" s="619"/>
    </row>
    <row r="1287" spans="2:4">
      <c r="B1287" s="617"/>
      <c r="C1287" s="618"/>
      <c r="D1287" s="619"/>
    </row>
    <row r="1288" spans="2:4">
      <c r="B1288" s="617"/>
      <c r="C1288" s="618"/>
      <c r="D1288" s="619"/>
    </row>
    <row r="1289" spans="2:4">
      <c r="B1289" s="617"/>
      <c r="C1289" s="618"/>
      <c r="D1289" s="619"/>
    </row>
    <row r="1290" spans="2:4">
      <c r="B1290" s="617"/>
      <c r="C1290" s="618"/>
      <c r="D1290" s="619"/>
    </row>
    <row r="1291" spans="2:4">
      <c r="B1291" s="617"/>
      <c r="C1291" s="618"/>
      <c r="D1291" s="619"/>
    </row>
    <row r="1292" spans="2:4">
      <c r="B1292" s="617"/>
      <c r="C1292" s="618"/>
      <c r="D1292" s="619"/>
    </row>
    <row r="1293" spans="2:4">
      <c r="B1293" s="617"/>
      <c r="C1293" s="618"/>
      <c r="D1293" s="619"/>
    </row>
    <row r="1294" spans="2:4">
      <c r="B1294" s="617"/>
      <c r="C1294" s="618"/>
      <c r="D1294" s="619"/>
    </row>
    <row r="1295" spans="2:4">
      <c r="B1295" s="617"/>
      <c r="C1295" s="618"/>
      <c r="D1295" s="619"/>
    </row>
    <row r="1296" spans="2:4">
      <c r="B1296" s="617"/>
      <c r="C1296" s="618"/>
      <c r="D1296" s="619"/>
    </row>
    <row r="1297" spans="2:4">
      <c r="B1297" s="617"/>
      <c r="C1297" s="618"/>
      <c r="D1297" s="619"/>
    </row>
    <row r="1298" spans="2:4">
      <c r="B1298" s="617"/>
      <c r="C1298" s="618"/>
      <c r="D1298" s="619"/>
    </row>
    <row r="1299" spans="2:4">
      <c r="B1299" s="617"/>
      <c r="C1299" s="618"/>
      <c r="D1299" s="619"/>
    </row>
    <row r="1300" spans="2:4">
      <c r="B1300" s="617"/>
      <c r="C1300" s="618"/>
      <c r="D1300" s="619"/>
    </row>
    <row r="1301" spans="2:4">
      <c r="B1301" s="617"/>
      <c r="C1301" s="618"/>
      <c r="D1301" s="619"/>
    </row>
    <row r="1302" spans="2:4">
      <c r="B1302" s="617"/>
      <c r="C1302" s="618"/>
      <c r="D1302" s="619"/>
    </row>
    <row r="1303" spans="2:4">
      <c r="B1303" s="617"/>
      <c r="C1303" s="618"/>
      <c r="D1303" s="619"/>
    </row>
    <row r="1304" spans="2:4">
      <c r="B1304" s="617"/>
      <c r="C1304" s="618"/>
      <c r="D1304" s="619"/>
    </row>
    <row r="1305" spans="2:4">
      <c r="B1305" s="617"/>
      <c r="C1305" s="618"/>
      <c r="D1305" s="619"/>
    </row>
    <row r="1306" spans="2:4">
      <c r="B1306" s="617"/>
      <c r="C1306" s="618"/>
      <c r="D1306" s="619"/>
    </row>
    <row r="1307" spans="2:4">
      <c r="B1307" s="617"/>
      <c r="C1307" s="618"/>
      <c r="D1307" s="619"/>
    </row>
    <row r="1308" spans="2:4">
      <c r="B1308" s="617"/>
      <c r="C1308" s="618"/>
      <c r="D1308" s="619"/>
    </row>
    <row r="1309" spans="2:4">
      <c r="B1309" s="617"/>
      <c r="C1309" s="618"/>
      <c r="D1309" s="619"/>
    </row>
    <row r="1310" spans="2:4">
      <c r="B1310" s="617"/>
      <c r="C1310" s="618"/>
      <c r="D1310" s="619"/>
    </row>
    <row r="1311" spans="2:4">
      <c r="B1311" s="617"/>
      <c r="C1311" s="618"/>
      <c r="D1311" s="619"/>
    </row>
    <row r="1312" spans="2:4">
      <c r="B1312" s="617"/>
      <c r="C1312" s="618"/>
      <c r="D1312" s="619"/>
    </row>
    <row r="1313" spans="2:4">
      <c r="B1313" s="617"/>
      <c r="C1313" s="618"/>
      <c r="D1313" s="619"/>
    </row>
    <row r="1314" spans="2:4">
      <c r="B1314" s="617"/>
      <c r="C1314" s="618"/>
      <c r="D1314" s="619"/>
    </row>
    <row r="1315" spans="2:4">
      <c r="B1315" s="617"/>
      <c r="C1315" s="618"/>
      <c r="D1315" s="619"/>
    </row>
    <row r="1316" spans="2:4">
      <c r="B1316" s="617"/>
      <c r="C1316" s="618"/>
      <c r="D1316" s="619"/>
    </row>
    <row r="1317" spans="2:4">
      <c r="B1317" s="617"/>
      <c r="C1317" s="618"/>
      <c r="D1317" s="619"/>
    </row>
    <row r="1318" spans="2:4">
      <c r="B1318" s="617"/>
      <c r="C1318" s="618"/>
      <c r="D1318" s="619"/>
    </row>
    <row r="1319" spans="2:4">
      <c r="B1319" s="617"/>
      <c r="C1319" s="618"/>
      <c r="D1319" s="619"/>
    </row>
    <row r="1320" spans="2:4">
      <c r="B1320" s="617"/>
      <c r="C1320" s="618"/>
      <c r="D1320" s="619"/>
    </row>
    <row r="1321" spans="2:4">
      <c r="B1321" s="617"/>
      <c r="C1321" s="618"/>
      <c r="D1321" s="619"/>
    </row>
    <row r="1322" spans="2:4">
      <c r="B1322" s="617"/>
      <c r="C1322" s="618"/>
      <c r="D1322" s="619"/>
    </row>
    <row r="1323" spans="2:4">
      <c r="B1323" s="617"/>
      <c r="C1323" s="618"/>
      <c r="D1323" s="619"/>
    </row>
    <row r="1324" spans="2:4">
      <c r="B1324" s="617"/>
      <c r="C1324" s="618"/>
      <c r="D1324" s="619"/>
    </row>
    <row r="1325" spans="2:4">
      <c r="B1325" s="617"/>
      <c r="C1325" s="618"/>
      <c r="D1325" s="619"/>
    </row>
    <row r="1326" spans="2:4">
      <c r="B1326" s="617"/>
      <c r="C1326" s="618"/>
      <c r="D1326" s="619"/>
    </row>
    <row r="1327" spans="2:4">
      <c r="B1327" s="617"/>
      <c r="C1327" s="618"/>
      <c r="D1327" s="619"/>
    </row>
    <row r="1328" spans="2:4">
      <c r="B1328" s="617"/>
      <c r="C1328" s="618"/>
      <c r="D1328" s="619"/>
    </row>
    <row r="1329" spans="2:4">
      <c r="B1329" s="617"/>
      <c r="C1329" s="618"/>
      <c r="D1329" s="619"/>
    </row>
    <row r="1330" spans="2:4">
      <c r="B1330" s="617"/>
      <c r="C1330" s="618"/>
      <c r="D1330" s="619"/>
    </row>
    <row r="1331" spans="2:4">
      <c r="B1331" s="617"/>
      <c r="C1331" s="618"/>
      <c r="D1331" s="619"/>
    </row>
    <row r="1332" spans="2:4">
      <c r="B1332" s="617"/>
      <c r="C1332" s="618"/>
      <c r="D1332" s="619"/>
    </row>
    <row r="1333" spans="2:4">
      <c r="B1333" s="617"/>
      <c r="C1333" s="618"/>
      <c r="D1333" s="619"/>
    </row>
    <row r="1334" spans="2:4">
      <c r="B1334" s="617"/>
      <c r="C1334" s="618"/>
      <c r="D1334" s="619"/>
    </row>
    <row r="1335" spans="2:4">
      <c r="B1335" s="617"/>
      <c r="C1335" s="618"/>
      <c r="D1335" s="619"/>
    </row>
    <row r="1336" spans="2:4">
      <c r="B1336" s="617"/>
      <c r="C1336" s="618"/>
      <c r="D1336" s="619"/>
    </row>
    <row r="1337" spans="2:4">
      <c r="B1337" s="617"/>
      <c r="C1337" s="618"/>
      <c r="D1337" s="619"/>
    </row>
    <row r="1338" spans="2:4">
      <c r="B1338" s="617"/>
      <c r="C1338" s="618"/>
      <c r="D1338" s="619"/>
    </row>
    <row r="1339" spans="2:4">
      <c r="B1339" s="617"/>
      <c r="C1339" s="618"/>
      <c r="D1339" s="619"/>
    </row>
    <row r="1340" spans="2:4">
      <c r="B1340" s="617"/>
      <c r="C1340" s="618"/>
      <c r="D1340" s="619"/>
    </row>
    <row r="1341" spans="2:4">
      <c r="B1341" s="617"/>
      <c r="C1341" s="618"/>
      <c r="D1341" s="619"/>
    </row>
    <row r="1342" spans="2:4">
      <c r="B1342" s="617"/>
      <c r="C1342" s="618"/>
      <c r="D1342" s="619"/>
    </row>
    <row r="1343" spans="2:4">
      <c r="B1343" s="617"/>
      <c r="C1343" s="618"/>
      <c r="D1343" s="619"/>
    </row>
    <row r="1344" spans="2:4">
      <c r="B1344" s="617"/>
      <c r="C1344" s="618"/>
      <c r="D1344" s="619"/>
    </row>
    <row r="1345" spans="2:4">
      <c r="B1345" s="617"/>
      <c r="C1345" s="618"/>
      <c r="D1345" s="619"/>
    </row>
    <row r="1346" spans="2:4">
      <c r="B1346" s="617"/>
      <c r="C1346" s="618"/>
      <c r="D1346" s="619"/>
    </row>
    <row r="1347" spans="2:4">
      <c r="B1347" s="617"/>
      <c r="C1347" s="618"/>
      <c r="D1347" s="619"/>
    </row>
    <row r="1348" spans="2:4">
      <c r="B1348" s="617"/>
      <c r="C1348" s="618"/>
      <c r="D1348" s="619"/>
    </row>
    <row r="1349" spans="2:4">
      <c r="B1349" s="617"/>
      <c r="C1349" s="618"/>
      <c r="D1349" s="619"/>
    </row>
    <row r="1350" spans="2:4">
      <c r="B1350" s="617"/>
      <c r="C1350" s="618"/>
      <c r="D1350" s="619"/>
    </row>
    <row r="1351" spans="2:4">
      <c r="B1351" s="617"/>
      <c r="C1351" s="618"/>
      <c r="D1351" s="619"/>
    </row>
    <row r="1352" spans="2:4">
      <c r="B1352" s="617"/>
      <c r="C1352" s="618"/>
      <c r="D1352" s="619"/>
    </row>
    <row r="1353" spans="2:4">
      <c r="B1353" s="617"/>
      <c r="C1353" s="618"/>
      <c r="D1353" s="619"/>
    </row>
    <row r="1354" spans="2:4">
      <c r="B1354" s="617"/>
      <c r="C1354" s="618"/>
      <c r="D1354" s="619"/>
    </row>
    <row r="1355" spans="2:4">
      <c r="B1355" s="617"/>
      <c r="C1355" s="618"/>
      <c r="D1355" s="619"/>
    </row>
    <row r="1356" spans="2:4">
      <c r="B1356" s="617"/>
      <c r="C1356" s="618"/>
      <c r="D1356" s="619"/>
    </row>
    <row r="1357" spans="2:4">
      <c r="B1357" s="617"/>
      <c r="C1357" s="618"/>
      <c r="D1357" s="619"/>
    </row>
    <row r="1358" spans="2:4">
      <c r="B1358" s="617"/>
      <c r="C1358" s="618"/>
      <c r="D1358" s="619"/>
    </row>
    <row r="1359" spans="2:4">
      <c r="B1359" s="617"/>
      <c r="C1359" s="618"/>
      <c r="D1359" s="619"/>
    </row>
    <row r="1360" spans="2:4">
      <c r="B1360" s="617"/>
      <c r="C1360" s="618"/>
      <c r="D1360" s="619"/>
    </row>
    <row r="1361" spans="2:4">
      <c r="B1361" s="617"/>
      <c r="C1361" s="618"/>
      <c r="D1361" s="619"/>
    </row>
    <row r="1362" spans="2:4">
      <c r="B1362" s="617"/>
      <c r="C1362" s="618"/>
      <c r="D1362" s="619"/>
    </row>
    <row r="1363" spans="2:4">
      <c r="B1363" s="617"/>
      <c r="C1363" s="618"/>
      <c r="D1363" s="619"/>
    </row>
    <row r="1364" spans="2:4">
      <c r="B1364" s="617"/>
      <c r="C1364" s="618"/>
      <c r="D1364" s="619"/>
    </row>
    <row r="1365" spans="2:4">
      <c r="B1365" s="617"/>
      <c r="C1365" s="618"/>
      <c r="D1365" s="619"/>
    </row>
    <row r="1366" spans="2:4">
      <c r="B1366" s="617"/>
      <c r="C1366" s="618"/>
      <c r="D1366" s="619"/>
    </row>
    <row r="1367" spans="2:4">
      <c r="B1367" s="617"/>
      <c r="C1367" s="618"/>
      <c r="D1367" s="619"/>
    </row>
    <row r="1368" spans="2:4">
      <c r="B1368" s="617"/>
      <c r="C1368" s="618"/>
      <c r="D1368" s="619"/>
    </row>
    <row r="1369" spans="2:4">
      <c r="B1369" s="617"/>
      <c r="C1369" s="618"/>
      <c r="D1369" s="619"/>
    </row>
    <row r="1370" spans="2:4">
      <c r="B1370" s="617"/>
      <c r="C1370" s="618"/>
      <c r="D1370" s="619"/>
    </row>
    <row r="1371" spans="2:4">
      <c r="B1371" s="617"/>
      <c r="C1371" s="618"/>
      <c r="D1371" s="619"/>
    </row>
    <row r="1372" spans="2:4">
      <c r="B1372" s="617"/>
      <c r="C1372" s="618"/>
      <c r="D1372" s="619"/>
    </row>
    <row r="1373" spans="2:4">
      <c r="B1373" s="617"/>
      <c r="C1373" s="618"/>
      <c r="D1373" s="619"/>
    </row>
    <row r="1374" spans="2:4">
      <c r="B1374" s="617"/>
      <c r="C1374" s="618"/>
      <c r="D1374" s="619"/>
    </row>
    <row r="1375" spans="2:4">
      <c r="B1375" s="617"/>
      <c r="C1375" s="618"/>
      <c r="D1375" s="619"/>
    </row>
    <row r="1376" spans="2:4">
      <c r="B1376" s="617"/>
      <c r="C1376" s="618"/>
      <c r="D1376" s="619"/>
    </row>
    <row r="1377" spans="2:4">
      <c r="B1377" s="617"/>
      <c r="C1377" s="618"/>
      <c r="D1377" s="619"/>
    </row>
    <row r="1378" spans="2:4">
      <c r="B1378" s="617"/>
      <c r="C1378" s="618"/>
      <c r="D1378" s="619"/>
    </row>
    <row r="1379" spans="2:4">
      <c r="B1379" s="617"/>
      <c r="C1379" s="618"/>
      <c r="D1379" s="619"/>
    </row>
    <row r="1380" spans="2:4">
      <c r="B1380" s="617"/>
      <c r="C1380" s="618"/>
      <c r="D1380" s="619"/>
    </row>
    <row r="1381" spans="2:4">
      <c r="B1381" s="617"/>
      <c r="C1381" s="618"/>
      <c r="D1381" s="619"/>
    </row>
    <row r="1382" spans="2:4">
      <c r="B1382" s="617"/>
      <c r="C1382" s="618"/>
      <c r="D1382" s="619"/>
    </row>
    <row r="1383" spans="2:4">
      <c r="B1383" s="617"/>
      <c r="C1383" s="618"/>
      <c r="D1383" s="619"/>
    </row>
    <row r="1384" spans="2:4">
      <c r="B1384" s="617"/>
      <c r="C1384" s="618"/>
      <c r="D1384" s="619"/>
    </row>
    <row r="1385" spans="2:4">
      <c r="B1385" s="617"/>
      <c r="C1385" s="618"/>
      <c r="D1385" s="619"/>
    </row>
    <row r="1386" spans="2:4">
      <c r="B1386" s="617"/>
      <c r="C1386" s="618"/>
      <c r="D1386" s="619"/>
    </row>
    <row r="1387" spans="2:4">
      <c r="B1387" s="617"/>
      <c r="C1387" s="618"/>
      <c r="D1387" s="619"/>
    </row>
    <row r="1388" spans="2:4">
      <c r="B1388" s="617"/>
      <c r="C1388" s="618"/>
      <c r="D1388" s="619"/>
    </row>
    <row r="1389" spans="2:4">
      <c r="B1389" s="617"/>
      <c r="C1389" s="618"/>
      <c r="D1389" s="619"/>
    </row>
    <row r="1390" spans="2:4">
      <c r="B1390" s="617"/>
      <c r="C1390" s="618"/>
      <c r="D1390" s="619"/>
    </row>
    <row r="1391" spans="2:4">
      <c r="B1391" s="617"/>
      <c r="C1391" s="618"/>
      <c r="D1391" s="619"/>
    </row>
    <row r="1392" spans="2:4">
      <c r="B1392" s="617"/>
      <c r="C1392" s="618"/>
      <c r="D1392" s="619"/>
    </row>
    <row r="1393" spans="2:4">
      <c r="B1393" s="617"/>
      <c r="C1393" s="618"/>
      <c r="D1393" s="619"/>
    </row>
    <row r="1394" spans="2:4">
      <c r="B1394" s="617"/>
      <c r="C1394" s="618"/>
      <c r="D1394" s="619"/>
    </row>
    <row r="1395" spans="2:4">
      <c r="B1395" s="617"/>
      <c r="C1395" s="618"/>
      <c r="D1395" s="619"/>
    </row>
    <row r="1396" spans="2:4">
      <c r="B1396" s="617"/>
      <c r="C1396" s="618"/>
      <c r="D1396" s="619"/>
    </row>
    <row r="1397" spans="2:4">
      <c r="B1397" s="617"/>
      <c r="C1397" s="618"/>
      <c r="D1397" s="619"/>
    </row>
    <row r="1398" spans="2:4">
      <c r="B1398" s="617"/>
      <c r="C1398" s="618"/>
      <c r="D1398" s="619"/>
    </row>
    <row r="1399" spans="2:4">
      <c r="B1399" s="617"/>
      <c r="C1399" s="618"/>
      <c r="D1399" s="619"/>
    </row>
    <row r="1400" spans="2:4">
      <c r="B1400" s="617"/>
      <c r="C1400" s="618"/>
      <c r="D1400" s="619"/>
    </row>
    <row r="1401" spans="2:4">
      <c r="B1401" s="617"/>
      <c r="C1401" s="618"/>
      <c r="D1401" s="619"/>
    </row>
    <row r="1402" spans="2:4">
      <c r="B1402" s="617"/>
      <c r="C1402" s="618"/>
      <c r="D1402" s="619"/>
    </row>
    <row r="1403" spans="2:4">
      <c r="B1403" s="617"/>
      <c r="C1403" s="618"/>
      <c r="D1403" s="619"/>
    </row>
    <row r="1404" spans="2:4">
      <c r="B1404" s="617"/>
      <c r="C1404" s="618"/>
      <c r="D1404" s="619"/>
    </row>
    <row r="1405" spans="2:4">
      <c r="B1405" s="617"/>
      <c r="C1405" s="618"/>
      <c r="D1405" s="619"/>
    </row>
    <row r="1406" spans="2:4">
      <c r="B1406" s="617"/>
      <c r="C1406" s="618"/>
      <c r="D1406" s="619"/>
    </row>
    <row r="1407" spans="2:4">
      <c r="B1407" s="617"/>
      <c r="C1407" s="618"/>
      <c r="D1407" s="619"/>
    </row>
    <row r="1408" spans="2:4">
      <c r="B1408" s="617"/>
      <c r="C1408" s="618"/>
      <c r="D1408" s="619"/>
    </row>
    <row r="1409" spans="2:4">
      <c r="B1409" s="617"/>
      <c r="C1409" s="618"/>
      <c r="D1409" s="619"/>
    </row>
    <row r="1410" spans="2:4">
      <c r="B1410" s="617"/>
      <c r="C1410" s="618"/>
      <c r="D1410" s="619"/>
    </row>
    <row r="1411" spans="2:4">
      <c r="B1411" s="617"/>
      <c r="C1411" s="618"/>
      <c r="D1411" s="619"/>
    </row>
    <row r="1412" spans="2:4">
      <c r="B1412" s="617"/>
      <c r="C1412" s="618"/>
      <c r="D1412" s="619"/>
    </row>
    <row r="1413" spans="2:4">
      <c r="B1413" s="617"/>
      <c r="C1413" s="618"/>
      <c r="D1413" s="619"/>
    </row>
    <row r="1414" spans="2:4">
      <c r="B1414" s="617"/>
      <c r="C1414" s="618"/>
      <c r="D1414" s="619"/>
    </row>
    <row r="1415" spans="2:4">
      <c r="B1415" s="617"/>
      <c r="C1415" s="618"/>
      <c r="D1415" s="619"/>
    </row>
    <row r="1416" spans="2:4">
      <c r="B1416" s="617"/>
      <c r="C1416" s="618"/>
      <c r="D1416" s="619"/>
    </row>
    <row r="1417" spans="2:4">
      <c r="B1417" s="617"/>
      <c r="C1417" s="618"/>
      <c r="D1417" s="619"/>
    </row>
    <row r="1418" spans="2:4">
      <c r="B1418" s="617"/>
      <c r="C1418" s="618"/>
      <c r="D1418" s="619"/>
    </row>
    <row r="1419" spans="2:4">
      <c r="B1419" s="617"/>
      <c r="C1419" s="618"/>
      <c r="D1419" s="619"/>
    </row>
    <row r="1420" spans="2:4">
      <c r="B1420" s="617"/>
      <c r="C1420" s="618"/>
      <c r="D1420" s="619"/>
    </row>
    <row r="1421" spans="2:4">
      <c r="B1421" s="617"/>
      <c r="C1421" s="618"/>
      <c r="D1421" s="619"/>
    </row>
    <row r="1422" spans="2:4">
      <c r="B1422" s="617"/>
      <c r="C1422" s="618"/>
      <c r="D1422" s="619"/>
    </row>
    <row r="1423" spans="2:4">
      <c r="B1423" s="617"/>
      <c r="C1423" s="618"/>
      <c r="D1423" s="619"/>
    </row>
    <row r="1424" spans="2:4">
      <c r="B1424" s="617"/>
      <c r="C1424" s="618"/>
      <c r="D1424" s="619"/>
    </row>
    <row r="1425" spans="2:4">
      <c r="B1425" s="617"/>
      <c r="C1425" s="618"/>
      <c r="D1425" s="619"/>
    </row>
    <row r="1426" spans="2:4">
      <c r="B1426" s="617"/>
      <c r="C1426" s="618"/>
      <c r="D1426" s="619"/>
    </row>
    <row r="1427" spans="2:4">
      <c r="B1427" s="617"/>
      <c r="C1427" s="618"/>
      <c r="D1427" s="619"/>
    </row>
    <row r="1428" spans="2:4">
      <c r="B1428" s="617"/>
      <c r="C1428" s="618"/>
      <c r="D1428" s="619"/>
    </row>
    <row r="1429" spans="2:4">
      <c r="B1429" s="617"/>
      <c r="C1429" s="618"/>
      <c r="D1429" s="619"/>
    </row>
    <row r="1430" spans="2:4">
      <c r="B1430" s="617"/>
      <c r="C1430" s="618"/>
      <c r="D1430" s="619"/>
    </row>
    <row r="1431" spans="2:4">
      <c r="B1431" s="617"/>
      <c r="C1431" s="618"/>
      <c r="D1431" s="619"/>
    </row>
    <row r="1432" spans="2:4">
      <c r="B1432" s="617"/>
      <c r="C1432" s="618"/>
      <c r="D1432" s="619"/>
    </row>
    <row r="1433" spans="2:4">
      <c r="B1433" s="617"/>
      <c r="C1433" s="618"/>
      <c r="D1433" s="619"/>
    </row>
    <row r="1434" spans="2:4">
      <c r="B1434" s="617"/>
      <c r="C1434" s="618"/>
      <c r="D1434" s="619"/>
    </row>
    <row r="1435" spans="2:4">
      <c r="B1435" s="617"/>
      <c r="C1435" s="618"/>
      <c r="D1435" s="619"/>
    </row>
    <row r="1436" spans="2:4">
      <c r="B1436" s="617"/>
      <c r="C1436" s="618"/>
      <c r="D1436" s="619"/>
    </row>
    <row r="1437" spans="2:4">
      <c r="B1437" s="617"/>
      <c r="C1437" s="618"/>
      <c r="D1437" s="619"/>
    </row>
    <row r="1438" spans="2:4">
      <c r="B1438" s="617"/>
      <c r="C1438" s="618"/>
      <c r="D1438" s="619"/>
    </row>
    <row r="1439" spans="2:4">
      <c r="B1439" s="617"/>
      <c r="C1439" s="618"/>
      <c r="D1439" s="619"/>
    </row>
    <row r="1440" spans="2:4">
      <c r="B1440" s="617"/>
      <c r="C1440" s="618"/>
      <c r="D1440" s="619"/>
    </row>
    <row r="1441" spans="2:4">
      <c r="B1441" s="617"/>
      <c r="C1441" s="618"/>
      <c r="D1441" s="619"/>
    </row>
    <row r="1442" spans="2:4">
      <c r="B1442" s="617"/>
      <c r="C1442" s="618"/>
      <c r="D1442" s="619"/>
    </row>
    <row r="1443" spans="2:4">
      <c r="B1443" s="617"/>
      <c r="C1443" s="618"/>
      <c r="D1443" s="619"/>
    </row>
    <row r="1444" spans="2:4">
      <c r="B1444" s="617"/>
      <c r="C1444" s="618"/>
      <c r="D1444" s="619"/>
    </row>
    <row r="1445" spans="2:4">
      <c r="B1445" s="617"/>
      <c r="C1445" s="618"/>
      <c r="D1445" s="619"/>
    </row>
    <row r="1446" spans="2:4">
      <c r="B1446" s="617"/>
      <c r="C1446" s="618"/>
      <c r="D1446" s="619"/>
    </row>
    <row r="1447" spans="2:4">
      <c r="B1447" s="617"/>
      <c r="C1447" s="618"/>
      <c r="D1447" s="619"/>
    </row>
    <row r="1448" spans="2:4">
      <c r="B1448" s="617"/>
      <c r="C1448" s="618"/>
      <c r="D1448" s="619"/>
    </row>
    <row r="1449" spans="2:4">
      <c r="B1449" s="617"/>
      <c r="C1449" s="618"/>
      <c r="D1449" s="619"/>
    </row>
    <row r="1450" spans="2:4">
      <c r="B1450" s="617"/>
      <c r="C1450" s="618"/>
      <c r="D1450" s="619"/>
    </row>
    <row r="1451" spans="2:4">
      <c r="B1451" s="617"/>
      <c r="C1451" s="618"/>
      <c r="D1451" s="619"/>
    </row>
    <row r="1452" spans="2:4">
      <c r="B1452" s="617"/>
      <c r="C1452" s="618"/>
      <c r="D1452" s="619"/>
    </row>
    <row r="1453" spans="2:4">
      <c r="B1453" s="617"/>
      <c r="C1453" s="618"/>
      <c r="D1453" s="619"/>
    </row>
    <row r="1454" spans="2:4">
      <c r="B1454" s="617"/>
      <c r="C1454" s="618"/>
      <c r="D1454" s="619"/>
    </row>
    <row r="1455" spans="2:4">
      <c r="B1455" s="617"/>
      <c r="C1455" s="618"/>
      <c r="D1455" s="619"/>
    </row>
    <row r="1456" spans="2:4">
      <c r="B1456" s="617"/>
      <c r="C1456" s="618"/>
      <c r="D1456" s="619"/>
    </row>
    <row r="1457" spans="2:4">
      <c r="B1457" s="617"/>
      <c r="C1457" s="618"/>
      <c r="D1457" s="619"/>
    </row>
    <row r="1458" spans="2:4">
      <c r="B1458" s="617"/>
      <c r="C1458" s="618"/>
      <c r="D1458" s="619"/>
    </row>
    <row r="1459" spans="2:4">
      <c r="B1459" s="617"/>
      <c r="C1459" s="618"/>
      <c r="D1459" s="619"/>
    </row>
    <row r="1460" spans="2:4">
      <c r="B1460" s="617"/>
      <c r="C1460" s="618"/>
      <c r="D1460" s="619"/>
    </row>
  </sheetData>
  <phoneticPr fontId="48" type="noConversion"/>
  <conditionalFormatting sqref="E6:E68">
    <cfRule type="duplicateValues" dxfId="5" priority="394"/>
  </conditionalFormatting>
  <conditionalFormatting sqref="E75:E77">
    <cfRule type="duplicateValues" dxfId="4" priority="1"/>
  </conditionalFormatting>
  <dataValidations disablePrompts="1" count="1">
    <dataValidation type="list" allowBlank="1" showInputMessage="1" showErrorMessage="1" sqref="L23" xr:uid="{00000000-0002-0000-0300-000000000000}">
      <formula1>$S$4:$S$30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2:AE297"/>
  <sheetViews>
    <sheetView showGridLines="0" topLeftCell="I33" zoomScale="70" zoomScaleNormal="70" workbookViewId="0">
      <selection activeCell="L52" sqref="L52"/>
    </sheetView>
  </sheetViews>
  <sheetFormatPr defaultRowHeight="15" outlineLevelCol="1"/>
  <cols>
    <col min="1" max="1" width="4.7109375" customWidth="1"/>
    <col min="2" max="2" width="13.85546875" customWidth="1"/>
    <col min="3" max="3" width="5" customWidth="1"/>
    <col min="4" max="4" width="4.7109375" customWidth="1"/>
    <col min="5" max="5" width="22" bestFit="1" customWidth="1"/>
    <col min="6" max="6" width="3.140625" customWidth="1"/>
    <col min="7" max="7" width="7.140625" customWidth="1"/>
    <col min="8" max="8" width="13.5703125" bestFit="1" customWidth="1"/>
    <col min="9" max="9" width="46.42578125" style="58" customWidth="1" outlineLevel="1"/>
    <col min="10" max="10" width="24.28515625" customWidth="1" outlineLevel="1"/>
    <col min="11" max="11" width="43.140625" customWidth="1" outlineLevel="1"/>
    <col min="12" max="12" width="21.28515625" customWidth="1" outlineLevel="1"/>
    <col min="13" max="13" width="25.42578125" customWidth="1" outlineLevel="1"/>
    <col min="14" max="14" width="26" customWidth="1" outlineLevel="1"/>
    <col min="15" max="15" width="19.7109375" customWidth="1" outlineLevel="1"/>
    <col min="16" max="16" width="20.42578125" customWidth="1" outlineLevel="1"/>
    <col min="17" max="17" width="9.140625" customWidth="1" outlineLevel="1"/>
    <col min="18" max="18" width="43.7109375" bestFit="1" customWidth="1" outlineLevel="1"/>
    <col min="19" max="19" width="43.140625" customWidth="1" outlineLevel="1"/>
    <col min="20" max="20" width="13.42578125" customWidth="1" outlineLevel="1"/>
    <col min="21" max="21" width="8.85546875" customWidth="1" outlineLevel="1"/>
    <col min="22" max="22" width="9.140625" customWidth="1" outlineLevel="1"/>
    <col min="23" max="23" width="27" bestFit="1" customWidth="1" outlineLevel="1"/>
    <col min="24" max="24" width="19.5703125" bestFit="1" customWidth="1" outlineLevel="1"/>
    <col min="25" max="25" width="9.140625" customWidth="1" outlineLevel="1"/>
    <col min="26" max="26" width="8.140625" bestFit="1" customWidth="1" outlineLevel="1"/>
    <col min="27" max="27" width="42.140625" bestFit="1" customWidth="1" outlineLevel="1"/>
    <col min="28" max="28" width="29.85546875" bestFit="1" customWidth="1" outlineLevel="1"/>
    <col min="30" max="30" width="19.5703125" bestFit="1" customWidth="1"/>
    <col min="31" max="31" width="19.28515625" bestFit="1" customWidth="1"/>
  </cols>
  <sheetData>
    <row r="2" spans="2:31">
      <c r="B2" s="42" t="s">
        <v>56</v>
      </c>
      <c r="C2" s="43"/>
      <c r="D2" s="43"/>
      <c r="E2" s="44"/>
      <c r="H2" s="22" t="s">
        <v>44</v>
      </c>
      <c r="I2" s="23"/>
      <c r="J2" s="24"/>
      <c r="K2" s="24"/>
      <c r="L2" s="24"/>
      <c r="M2" s="24"/>
      <c r="N2" s="24"/>
      <c r="O2" s="24"/>
      <c r="P2" s="25"/>
      <c r="R2" s="22" t="s">
        <v>1211</v>
      </c>
      <c r="S2" s="22"/>
      <c r="T2" s="24"/>
      <c r="U2" s="25"/>
      <c r="W2" s="26"/>
      <c r="X2" s="25"/>
      <c r="Z2" s="26"/>
      <c r="AA2" s="25"/>
      <c r="AB2" s="25"/>
      <c r="AD2" s="26"/>
      <c r="AE2" s="25"/>
    </row>
    <row r="3" spans="2:31">
      <c r="B3" s="45" t="s">
        <v>57</v>
      </c>
      <c r="C3" s="46"/>
      <c r="D3" s="46"/>
      <c r="E3" s="47">
        <f ca="1">SUM(AB4:AB206)</f>
        <v>25.308409999999999</v>
      </c>
      <c r="F3" s="108"/>
      <c r="G3" s="48"/>
      <c r="H3" s="27"/>
      <c r="I3" s="28" t="s">
        <v>45</v>
      </c>
      <c r="J3" s="29" t="s">
        <v>46</v>
      </c>
      <c r="K3" s="29" t="s">
        <v>47</v>
      </c>
      <c r="L3" s="29" t="s">
        <v>50</v>
      </c>
      <c r="M3" s="29" t="s">
        <v>999</v>
      </c>
      <c r="N3" s="29" t="s">
        <v>1000</v>
      </c>
      <c r="O3" s="29" t="s">
        <v>48</v>
      </c>
      <c r="P3" s="30" t="s">
        <v>49</v>
      </c>
      <c r="R3" s="119" t="s">
        <v>47</v>
      </c>
      <c r="S3" s="119" t="s">
        <v>47</v>
      </c>
      <c r="T3" s="31" t="s">
        <v>50</v>
      </c>
      <c r="U3" s="30" t="s">
        <v>51</v>
      </c>
      <c r="W3" s="27" t="s">
        <v>49</v>
      </c>
      <c r="X3" s="31" t="s">
        <v>52</v>
      </c>
      <c r="Z3" s="27" t="s">
        <v>53</v>
      </c>
      <c r="AA3" s="31" t="s">
        <v>54</v>
      </c>
      <c r="AB3" s="31" t="s">
        <v>55</v>
      </c>
      <c r="AD3" s="59" t="s">
        <v>52</v>
      </c>
      <c r="AE3" s="60" t="s">
        <v>43</v>
      </c>
    </row>
    <row r="4" spans="2:31">
      <c r="B4" s="49" t="s">
        <v>58</v>
      </c>
      <c r="C4" s="50"/>
      <c r="D4" s="50"/>
      <c r="E4" s="51">
        <f ca="1">+SUM(J4:J297)</f>
        <v>337448908.59000003</v>
      </c>
      <c r="G4" s="52"/>
      <c r="H4" s="32">
        <v>1</v>
      </c>
      <c r="I4" s="33" t="str">
        <f>Calcs!A17</f>
        <v>A1 Garage Merger Sub, LLC</v>
      </c>
      <c r="J4" s="106">
        <f ca="1">Calcs!BO17</f>
        <v>3183892.61</v>
      </c>
      <c r="K4" s="35" t="str">
        <f>VLOOKUP(Calcs!F17,'Diversity Score'!R$4:S$149,2,FALSE)</f>
        <v>Energy Equipment &amp; Services</v>
      </c>
      <c r="L4" s="36">
        <f t="shared" ref="L4" si="0">+IF(K4="","",VLOOKUP(K4,$S$4:$T$149,2,FALSE))</f>
        <v>25</v>
      </c>
      <c r="M4" s="36">
        <f>+IF(I4="","",IF(COUNTIF(I5:$I$297,I4)=0,1,0))</f>
        <v>1</v>
      </c>
      <c r="N4" s="37">
        <f t="shared" ref="N4:N35" ca="1" si="1">+IF(M4=0,0,SUMPRODUCT(($I$4:$I$297=I4)*($J$4:$J$297)))</f>
        <v>3183892.61</v>
      </c>
      <c r="O4" s="38">
        <f ca="1">+IF(M4=0,0,N4/$E$4)</f>
        <v>9.4351841981164183E-3</v>
      </c>
      <c r="P4" s="39">
        <f ca="1">+MIN(1,N4/$E$6)</f>
        <v>0.67933326226438207</v>
      </c>
      <c r="R4" s="532" t="s">
        <v>232</v>
      </c>
      <c r="S4" s="532" t="s">
        <v>232</v>
      </c>
      <c r="T4" s="36">
        <v>1</v>
      </c>
      <c r="U4" s="41">
        <f t="shared" ref="U4:U35" ca="1" si="2">+SUMPRODUCT((S4=$K$4:$K$296)*($J$4:$J$296))/SUM($J$4:$J$296)</f>
        <v>0.14092947619451654</v>
      </c>
      <c r="W4" s="531">
        <v>0</v>
      </c>
      <c r="X4" s="529">
        <v>0</v>
      </c>
      <c r="Z4" s="536">
        <v>1</v>
      </c>
      <c r="AA4" s="537" cm="1">
        <f t="array" aca="1" ref="AA4" ca="1">SUMPRODUCT(IF($Z4=$L$4:$L$297,1,0),$P$4:$P$297)</f>
        <v>5.9353608799591582</v>
      </c>
      <c r="AB4" s="538">
        <f ca="1">+VLOOKUP(AA4,$W$4:$X$203,2,1)</f>
        <v>2.96671</v>
      </c>
      <c r="AD4" s="110">
        <v>0</v>
      </c>
      <c r="AE4" s="112">
        <v>0</v>
      </c>
    </row>
    <row r="5" spans="2:31">
      <c r="B5" s="45" t="s">
        <v>59</v>
      </c>
      <c r="C5" s="46"/>
      <c r="D5" s="46"/>
      <c r="E5" s="53">
        <f>+SUM(M4:M297)</f>
        <v>72</v>
      </c>
      <c r="G5" s="54"/>
      <c r="H5" s="32">
        <f>+H4+1</f>
        <v>2</v>
      </c>
      <c r="I5" s="33" t="str">
        <f>Calcs!A18</f>
        <v>AFC - Dell Holding Corp.</v>
      </c>
      <c r="J5" s="106">
        <f ca="1">Calcs!BO18</f>
        <v>268902.61</v>
      </c>
      <c r="K5" s="35" t="str">
        <f>VLOOKUP(Calcs!F18,'Diversity Score'!R$4:S$149,2,FALSE)</f>
        <v>Distributors</v>
      </c>
      <c r="L5" s="36">
        <f t="shared" ref="L5" si="3">+IF(K5="","",VLOOKUP(K5,$S$4:$T$149,2,FALSE))</f>
        <v>18</v>
      </c>
      <c r="M5" s="36">
        <f>+IF(I5="","",IF(COUNTIF(I6:$I$297,I5)=0,1,0))</f>
        <v>1</v>
      </c>
      <c r="N5" s="37">
        <f t="shared" ca="1" si="1"/>
        <v>268902.61</v>
      </c>
      <c r="O5" s="38">
        <f t="shared" ref="O5" ca="1" si="4">+IF(M5=0,0,N5/$E$4)</f>
        <v>7.9686910567761322E-4</v>
      </c>
      <c r="P5" s="39">
        <f t="shared" ref="P5" ca="1" si="5">+MIN(1,N5/$E$6)</f>
        <v>5.7374575608788156E-2</v>
      </c>
      <c r="R5" s="532" t="s">
        <v>319</v>
      </c>
      <c r="S5" s="532" t="s">
        <v>319</v>
      </c>
      <c r="T5" s="36">
        <v>2</v>
      </c>
      <c r="U5" s="41">
        <f t="shared" ca="1" si="2"/>
        <v>1.1166830782607154E-2</v>
      </c>
      <c r="W5" s="531">
        <v>0.05</v>
      </c>
      <c r="X5" s="529">
        <v>0.1</v>
      </c>
      <c r="Z5" s="536">
        <v>2</v>
      </c>
      <c r="AA5" s="537" cm="1">
        <f t="array" aca="1" ref="AA5" ca="1">SUMPRODUCT(IF($Z5=$L$4:$L$297,1,0),$P$4:$P$297)</f>
        <v>0.80401181634771501</v>
      </c>
      <c r="AB5" s="538">
        <f t="shared" ref="AB5:AB68" ca="1" si="6">+VLOOKUP(AA5,$W$4:$X$203,2,1)</f>
        <v>0.7</v>
      </c>
      <c r="AD5" s="110">
        <v>4</v>
      </c>
      <c r="AE5" s="112">
        <v>0.4</v>
      </c>
    </row>
    <row r="6" spans="2:31">
      <c r="B6" s="55" t="s">
        <v>60</v>
      </c>
      <c r="C6" s="56"/>
      <c r="D6" s="56"/>
      <c r="E6" s="51">
        <f ca="1">+E4/E5</f>
        <v>4686790.3970833337</v>
      </c>
      <c r="G6" s="57"/>
      <c r="H6" s="32">
        <f t="shared" ref="H6:H69" si="7">+H5+1</f>
        <v>3</v>
      </c>
      <c r="I6" s="33" t="str">
        <f>Calcs!A19</f>
        <v>Alpine Acquisition Corp II</v>
      </c>
      <c r="J6" s="106">
        <f ca="1">Calcs!BO19</f>
        <v>0</v>
      </c>
      <c r="K6" s="35" t="str">
        <f>VLOOKUP(Calcs!F19,'Diversity Score'!R$4:S$149,2,FALSE)</f>
        <v>Containers and Packaging</v>
      </c>
      <c r="L6" s="36">
        <f t="shared" ref="L6:L68" si="8">+IF(K6="","",VLOOKUP(K6,$S$4:$T$149,2,FALSE))</f>
        <v>17</v>
      </c>
      <c r="M6" s="36">
        <f>+IF(I6="","",IF(COUNTIF(I7:$I$297,I6)=0,1,0))</f>
        <v>1</v>
      </c>
      <c r="N6" s="37">
        <f t="shared" ca="1" si="1"/>
        <v>0</v>
      </c>
      <c r="O6" s="38">
        <f t="shared" ref="O6:O68" ca="1" si="9">+IF(M6=0,0,N6/$E$4)</f>
        <v>0</v>
      </c>
      <c r="P6" s="39">
        <f t="shared" ref="P6:P68" ca="1" si="10">+MIN(1,N6/$E$6)</f>
        <v>0</v>
      </c>
      <c r="R6" s="532" t="s">
        <v>172</v>
      </c>
      <c r="S6" s="532" t="s">
        <v>172</v>
      </c>
      <c r="T6" s="36">
        <v>3</v>
      </c>
      <c r="U6" s="41">
        <f t="shared" ca="1" si="2"/>
        <v>0</v>
      </c>
      <c r="W6" s="531">
        <v>0.15</v>
      </c>
      <c r="X6" s="529">
        <v>0.2</v>
      </c>
      <c r="Z6" s="536">
        <v>3</v>
      </c>
      <c r="AA6" s="537" cm="1">
        <f t="array" aca="1" ref="AA6" ca="1">SUMPRODUCT(IF($Z6=$L$4:$L$297,1,0),$P$4:$P$297)</f>
        <v>0</v>
      </c>
      <c r="AB6" s="538">
        <f t="shared" ca="1" si="6"/>
        <v>0</v>
      </c>
      <c r="AD6" s="110">
        <v>6</v>
      </c>
      <c r="AE6" s="112">
        <v>0.6</v>
      </c>
    </row>
    <row r="7" spans="2:31">
      <c r="B7" s="55" t="s">
        <v>61</v>
      </c>
      <c r="C7" s="56"/>
      <c r="D7" s="56"/>
      <c r="E7" s="107">
        <f ca="1">VLOOKUP(E3,AD3:AE9,2,1)</f>
        <v>1</v>
      </c>
      <c r="H7" s="32">
        <f t="shared" si="7"/>
        <v>4</v>
      </c>
      <c r="I7" s="33" t="str">
        <f>Calcs!A20</f>
        <v>Archer Lewis</v>
      </c>
      <c r="J7" s="106">
        <f ca="1">Calcs!BO20</f>
        <v>3893383.44</v>
      </c>
      <c r="K7" s="35" t="str">
        <f>VLOOKUP(Calcs!F20,'Diversity Score'!R$4:S$149,2,FALSE)</f>
        <v>Diversified Financial Services</v>
      </c>
      <c r="L7" s="36">
        <f t="shared" si="8"/>
        <v>20</v>
      </c>
      <c r="M7" s="36">
        <f>+IF(I7="","",IF(COUNTIF(I8:$I$297,I7)=0,1,0))</f>
        <v>1</v>
      </c>
      <c r="N7" s="37">
        <f t="shared" ca="1" si="1"/>
        <v>3893383.44</v>
      </c>
      <c r="O7" s="38">
        <f t="shared" ca="1" si="9"/>
        <v>1.1537697532548418E-2</v>
      </c>
      <c r="P7" s="39">
        <f t="shared" ca="1" si="10"/>
        <v>0.83071422234348613</v>
      </c>
      <c r="R7" s="532" t="s">
        <v>1210</v>
      </c>
      <c r="S7" s="532" t="s">
        <v>1210</v>
      </c>
      <c r="T7" s="36">
        <v>4</v>
      </c>
      <c r="U7" s="41">
        <f t="shared" ca="1" si="2"/>
        <v>0</v>
      </c>
      <c r="W7" s="531">
        <v>0.25</v>
      </c>
      <c r="X7" s="529">
        <v>0.3</v>
      </c>
      <c r="Z7" s="536">
        <v>4</v>
      </c>
      <c r="AA7" s="537" cm="1">
        <f t="array" aca="1" ref="AA7" ca="1">SUMPRODUCT(IF($Z7=$L$4:$L$297,1,0),$P$4:$P$297)</f>
        <v>0</v>
      </c>
      <c r="AB7" s="538">
        <f t="shared" ca="1" si="6"/>
        <v>0</v>
      </c>
      <c r="AD7" s="110">
        <v>10</v>
      </c>
      <c r="AE7" s="112">
        <v>0.8</v>
      </c>
    </row>
    <row r="8" spans="2:31">
      <c r="H8" s="32">
        <f t="shared" si="7"/>
        <v>5</v>
      </c>
      <c r="I8" s="33" t="str">
        <f>Calcs!A21</f>
        <v>Argano, LLC</v>
      </c>
      <c r="J8" s="106">
        <f ca="1">Calcs!BO21</f>
        <v>820443.75</v>
      </c>
      <c r="K8" s="35" t="str">
        <f>VLOOKUP(Calcs!F21,'Diversity Score'!R$4:S$149,2,FALSE)</f>
        <v>IT Services</v>
      </c>
      <c r="L8" s="36">
        <f t="shared" si="8"/>
        <v>42</v>
      </c>
      <c r="M8" s="36">
        <f>+IF(I8="","",IF(COUNTIF(I9:$I$297,I8)=0,1,0))</f>
        <v>1</v>
      </c>
      <c r="N8" s="37">
        <f t="shared" ca="1" si="1"/>
        <v>820443.75</v>
      </c>
      <c r="O8" s="38">
        <f t="shared" ca="1" si="9"/>
        <v>2.4313125012854556E-3</v>
      </c>
      <c r="P8" s="39">
        <f t="shared" ca="1" si="10"/>
        <v>0.1750545000925528</v>
      </c>
      <c r="R8" s="532" t="s">
        <v>173</v>
      </c>
      <c r="S8" s="532" t="s">
        <v>173</v>
      </c>
      <c r="T8" s="36">
        <v>5</v>
      </c>
      <c r="U8" s="41">
        <f t="shared" ca="1" si="2"/>
        <v>9.6941658705276997E-3</v>
      </c>
      <c r="W8" s="531">
        <v>0.45</v>
      </c>
      <c r="X8" s="529">
        <v>0.5</v>
      </c>
      <c r="Z8" s="536">
        <v>5</v>
      </c>
      <c r="AA8" s="537" cm="1">
        <f t="array" aca="1" ref="AA8" ca="1">SUMPRODUCT(IF($Z8=$L$4:$L$297,1,0),$P$4:$P$297)</f>
        <v>0.69797994267799435</v>
      </c>
      <c r="AB8" s="538">
        <f t="shared" ca="1" si="6"/>
        <v>0.7</v>
      </c>
      <c r="AD8" s="110">
        <v>14</v>
      </c>
      <c r="AE8" s="112">
        <v>1</v>
      </c>
    </row>
    <row r="9" spans="2:31">
      <c r="H9" s="32">
        <f t="shared" si="7"/>
        <v>6</v>
      </c>
      <c r="I9" s="33" t="str">
        <f>Calcs!A22</f>
        <v>BBB Industries</v>
      </c>
      <c r="J9" s="106">
        <f ca="1">Calcs!BO22</f>
        <v>230353.92270000002</v>
      </c>
      <c r="K9" s="35" t="str">
        <f>VLOOKUP(Calcs!F22,'Diversity Score'!R$4:S$149,2,FALSE)</f>
        <v>Automobiles</v>
      </c>
      <c r="L9" s="36">
        <f t="shared" si="8"/>
        <v>5</v>
      </c>
      <c r="M9" s="36">
        <f>+IF(I9="","",IF(COUNTIF(I10:$I$297,I9)=0,1,0))</f>
        <v>1</v>
      </c>
      <c r="N9" s="37">
        <f t="shared" ca="1" si="1"/>
        <v>230353.92270000002</v>
      </c>
      <c r="O9" s="38">
        <f t="shared" ca="1" si="9"/>
        <v>6.8263347972442173E-4</v>
      </c>
      <c r="P9" s="39">
        <f t="shared" ca="1" si="10"/>
        <v>4.9149610540158366E-2</v>
      </c>
      <c r="R9" s="532" t="s">
        <v>174</v>
      </c>
      <c r="S9" s="532" t="s">
        <v>174</v>
      </c>
      <c r="T9" s="36">
        <v>6</v>
      </c>
      <c r="U9" s="41">
        <f t="shared" ca="1" si="2"/>
        <v>0</v>
      </c>
      <c r="W9" s="531">
        <v>0.55000000000000004</v>
      </c>
      <c r="X9" s="529">
        <v>0.6</v>
      </c>
      <c r="Z9" s="536">
        <v>6</v>
      </c>
      <c r="AA9" s="537" cm="1">
        <f t="array" aca="1" ref="AA9" ca="1">SUMPRODUCT(IF($Z9=$L$4:$L$297,1,0),$P$4:$P$297)</f>
        <v>0</v>
      </c>
      <c r="AB9" s="538">
        <f t="shared" ca="1" si="6"/>
        <v>0</v>
      </c>
      <c r="AD9" s="111"/>
      <c r="AE9" s="113"/>
    </row>
    <row r="10" spans="2:31">
      <c r="H10" s="32">
        <f t="shared" si="7"/>
        <v>7</v>
      </c>
      <c r="I10" s="33" t="str">
        <f>Calcs!A23</f>
        <v>Beacon Behavioral Support  Services, LLC</v>
      </c>
      <c r="J10" s="106">
        <f ca="1">Calcs!BO23</f>
        <v>12139547.219999997</v>
      </c>
      <c r="K10" s="35" t="str">
        <f>VLOOKUP(Calcs!F23,'Diversity Score'!R$4:S$149,2,FALSE)</f>
        <v>Health Care Providers &amp; Services</v>
      </c>
      <c r="L10" s="36">
        <f t="shared" si="8"/>
        <v>33</v>
      </c>
      <c r="M10" s="36">
        <f>+IF(I10="","",IF(COUNTIF(I11:$I$297,I10)=0,1,0))</f>
        <v>1</v>
      </c>
      <c r="N10" s="37">
        <f t="shared" ca="1" si="1"/>
        <v>12139547.219999997</v>
      </c>
      <c r="O10" s="38">
        <f t="shared" ca="1" si="9"/>
        <v>3.5974474686328091E-2</v>
      </c>
      <c r="P10" s="39">
        <f t="shared" ca="1" si="10"/>
        <v>1</v>
      </c>
      <c r="R10" s="532" t="s">
        <v>1209</v>
      </c>
      <c r="S10" s="532" t="s">
        <v>1209</v>
      </c>
      <c r="T10" s="36">
        <v>7</v>
      </c>
      <c r="U10" s="41">
        <f t="shared" ca="1" si="2"/>
        <v>0</v>
      </c>
      <c r="W10" s="531">
        <v>0.65</v>
      </c>
      <c r="X10" s="529">
        <v>0.7</v>
      </c>
      <c r="Z10" s="536">
        <v>7</v>
      </c>
      <c r="AA10" s="537" cm="1">
        <f t="array" aca="1" ref="AA10" ca="1">SUMPRODUCT(IF($Z10=$L$4:$L$297,1,0),$P$4:$P$297)</f>
        <v>0</v>
      </c>
      <c r="AB10" s="538">
        <f t="shared" ca="1" si="6"/>
        <v>0</v>
      </c>
    </row>
    <row r="11" spans="2:31">
      <c r="H11" s="32">
        <f t="shared" si="7"/>
        <v>8</v>
      </c>
      <c r="I11" s="33" t="str">
        <f>Calcs!A24</f>
        <v>BlackHawk Industrial</v>
      </c>
      <c r="J11" s="106">
        <f ca="1">Calcs!BO24</f>
        <v>8631215.8200000003</v>
      </c>
      <c r="K11" s="35" t="str">
        <f>VLOOKUP(Calcs!F24,'Diversity Score'!R$4:S$149,2,FALSE)</f>
        <v>Distributors</v>
      </c>
      <c r="L11" s="36">
        <f t="shared" si="8"/>
        <v>18</v>
      </c>
      <c r="M11" s="36">
        <f>+IF(I11="","",IF(COUNTIF(I12:$I$297,I11)=0,1,0))</f>
        <v>1</v>
      </c>
      <c r="N11" s="37">
        <f t="shared" ca="1" si="1"/>
        <v>8631215.8200000003</v>
      </c>
      <c r="O11" s="38">
        <f t="shared" ca="1" si="9"/>
        <v>2.5577844824168378E-2</v>
      </c>
      <c r="P11" s="39">
        <f t="shared" ca="1" si="10"/>
        <v>1</v>
      </c>
      <c r="R11" s="532" t="s">
        <v>175</v>
      </c>
      <c r="S11" s="532" t="s">
        <v>175</v>
      </c>
      <c r="T11" s="36">
        <v>8</v>
      </c>
      <c r="U11" s="41">
        <f t="shared" ca="1" si="2"/>
        <v>0</v>
      </c>
      <c r="W11" s="531">
        <v>0.75</v>
      </c>
      <c r="X11" s="529">
        <v>0.8</v>
      </c>
      <c r="Z11" s="536">
        <v>8</v>
      </c>
      <c r="AA11" s="537" cm="1">
        <f t="array" aca="1" ref="AA11" ca="1">SUMPRODUCT(IF($Z11=$L$4:$L$297,1,0),$P$4:$P$297)</f>
        <v>0</v>
      </c>
      <c r="AB11" s="538">
        <f t="shared" ca="1" si="6"/>
        <v>0</v>
      </c>
    </row>
    <row r="12" spans="2:31">
      <c r="H12" s="32">
        <f t="shared" si="7"/>
        <v>9</v>
      </c>
      <c r="I12" s="33" t="str">
        <f>Calcs!A25</f>
        <v>C5MI Acquisition, LLC</v>
      </c>
      <c r="J12" s="106">
        <f ca="1">Calcs!BO25</f>
        <v>1488750</v>
      </c>
      <c r="K12" s="35" t="str">
        <f>VLOOKUP(Calcs!F25,'Diversity Score'!R$4:S$149,2,FALSE)</f>
        <v>IT Services</v>
      </c>
      <c r="L12" s="36">
        <f t="shared" si="8"/>
        <v>42</v>
      </c>
      <c r="M12" s="36">
        <f>+IF(I12="","",IF(COUNTIF(I13:$I$297,I12)=0,1,0))</f>
        <v>1</v>
      </c>
      <c r="N12" s="37">
        <f t="shared" ca="1" si="1"/>
        <v>1488750</v>
      </c>
      <c r="O12" s="38">
        <f t="shared" ca="1" si="9"/>
        <v>4.4117789748398008E-3</v>
      </c>
      <c r="P12" s="39">
        <f t="shared" ca="1" si="10"/>
        <v>0.31764808618846568</v>
      </c>
      <c r="R12" s="532" t="s">
        <v>176</v>
      </c>
      <c r="S12" s="532" t="s">
        <v>176</v>
      </c>
      <c r="T12" s="36">
        <v>9</v>
      </c>
      <c r="U12" s="41">
        <f t="shared" ca="1" si="2"/>
        <v>0</v>
      </c>
      <c r="W12" s="531">
        <v>0.85</v>
      </c>
      <c r="X12" s="529">
        <v>0.9</v>
      </c>
      <c r="Z12" s="536">
        <v>9</v>
      </c>
      <c r="AA12" s="537" cm="1">
        <f t="array" aca="1" ref="AA12" ca="1">SUMPRODUCT(IF($Z12=$L$4:$L$297,1,0),$P$4:$P$297)</f>
        <v>0</v>
      </c>
      <c r="AB12" s="538">
        <f t="shared" ca="1" si="6"/>
        <v>0</v>
      </c>
    </row>
    <row r="13" spans="2:31">
      <c r="H13" s="32">
        <f t="shared" si="7"/>
        <v>10</v>
      </c>
      <c r="I13" s="33" t="str">
        <f>Calcs!A26</f>
        <v>CF512, Inc.</v>
      </c>
      <c r="J13" s="106">
        <f ca="1">Calcs!BO26</f>
        <v>6282197.3100000005</v>
      </c>
      <c r="K13" s="35" t="str">
        <f>VLOOKUP(Calcs!F26,'Diversity Score'!R$4:S$149,2,FALSE)</f>
        <v>Media</v>
      </c>
      <c r="L13" s="36">
        <f t="shared" si="8"/>
        <v>47</v>
      </c>
      <c r="M13" s="36">
        <f>+IF(I13="","",IF(COUNTIF(I14:$I$297,I13)=0,1,0))</f>
        <v>1</v>
      </c>
      <c r="N13" s="37">
        <f t="shared" ca="1" si="1"/>
        <v>6282197.3100000005</v>
      </c>
      <c r="O13" s="38">
        <f t="shared" ca="1" si="9"/>
        <v>1.8616736193486586E-2</v>
      </c>
      <c r="P13" s="39">
        <f t="shared" ca="1" si="10"/>
        <v>1</v>
      </c>
      <c r="R13" s="532" t="s">
        <v>177</v>
      </c>
      <c r="S13" s="532" t="s">
        <v>177</v>
      </c>
      <c r="T13" s="36">
        <v>10</v>
      </c>
      <c r="U13" s="41">
        <f t="shared" ca="1" si="2"/>
        <v>0</v>
      </c>
      <c r="W13" s="531">
        <v>0.95</v>
      </c>
      <c r="X13" s="529">
        <v>1</v>
      </c>
      <c r="Z13" s="536">
        <v>10</v>
      </c>
      <c r="AA13" s="537" cm="1">
        <f t="array" aca="1" ref="AA13" ca="1">SUMPRODUCT(IF($Z13=$L$4:$L$297,1,0),$P$4:$P$297)</f>
        <v>0</v>
      </c>
      <c r="AB13" s="538">
        <f t="shared" ca="1" si="6"/>
        <v>0</v>
      </c>
    </row>
    <row r="14" spans="2:31">
      <c r="H14" s="32">
        <f t="shared" si="7"/>
        <v>11</v>
      </c>
      <c r="I14" s="33" t="str">
        <f>Calcs!A27</f>
        <v>Carnegie Dartlet, LLC</v>
      </c>
      <c r="J14" s="106">
        <f ca="1">Calcs!BO27</f>
        <v>6882726.1399999997</v>
      </c>
      <c r="K14" s="35" t="str">
        <f>VLOOKUP(Calcs!F27,'Diversity Score'!R$4:S$149,2,FALSE)</f>
        <v>Media</v>
      </c>
      <c r="L14" s="36">
        <f t="shared" si="8"/>
        <v>47</v>
      </c>
      <c r="M14" s="36">
        <f>+IF(I14="","",IF(COUNTIF(I15:$I$297,I14)=0,1,0))</f>
        <v>1</v>
      </c>
      <c r="N14" s="37">
        <f t="shared" ca="1" si="1"/>
        <v>6882726.1399999997</v>
      </c>
      <c r="O14" s="38">
        <f t="shared" ca="1" si="9"/>
        <v>2.0396350276428075E-2</v>
      </c>
      <c r="P14" s="39">
        <f t="shared" ca="1" si="10"/>
        <v>1</v>
      </c>
      <c r="R14" s="532" t="s">
        <v>178</v>
      </c>
      <c r="S14" s="532" t="s">
        <v>178</v>
      </c>
      <c r="T14" s="36">
        <v>11</v>
      </c>
      <c r="U14" s="41">
        <f t="shared" ca="1" si="2"/>
        <v>1.5782663865334626E-2</v>
      </c>
      <c r="W14" s="531">
        <v>1.05</v>
      </c>
      <c r="X14" s="529">
        <v>1.05</v>
      </c>
      <c r="Z14" s="536">
        <v>11</v>
      </c>
      <c r="AA14" s="537" cm="1">
        <f t="array" aca="1" ref="AA14" ca="1">SUMPRODUCT(IF($Z14=$L$4:$L$297,1,0),$P$4:$P$297)</f>
        <v>1.1164725131168041</v>
      </c>
      <c r="AB14" s="538">
        <f t="shared" ca="1" si="6"/>
        <v>0.7</v>
      </c>
    </row>
    <row r="15" spans="2:31">
      <c r="H15" s="32">
        <f t="shared" si="7"/>
        <v>12</v>
      </c>
      <c r="I15" s="33" t="str">
        <f>Calcs!A28</f>
        <v>Carisk Buyer, Inc.</v>
      </c>
      <c r="J15" s="106">
        <f ca="1">Calcs!BO28</f>
        <v>1113939.3600000001</v>
      </c>
      <c r="K15" s="35" t="str">
        <f>VLOOKUP(Calcs!F28,'Diversity Score'!R$4:S$149,2,FALSE)</f>
        <v>Health Care Providers &amp; Services</v>
      </c>
      <c r="L15" s="36">
        <f t="shared" si="8"/>
        <v>33</v>
      </c>
      <c r="M15" s="36">
        <f>+IF(I15="","",IF(COUNTIF(I16:$I$297,I15)=0,1,0))</f>
        <v>1</v>
      </c>
      <c r="N15" s="37">
        <f t="shared" ca="1" si="1"/>
        <v>1113939.3600000001</v>
      </c>
      <c r="O15" s="38">
        <f t="shared" ca="1" si="9"/>
        <v>3.301060787704117E-3</v>
      </c>
      <c r="P15" s="39">
        <f t="shared" ca="1" si="10"/>
        <v>0.23767637671469644</v>
      </c>
      <c r="R15" s="532" t="s">
        <v>325</v>
      </c>
      <c r="S15" s="532" t="s">
        <v>325</v>
      </c>
      <c r="T15" s="36">
        <v>12</v>
      </c>
      <c r="U15" s="41">
        <f t="shared" ca="1" si="2"/>
        <v>9.1444689594454495E-3</v>
      </c>
      <c r="W15" s="531">
        <v>1.1499999999999999</v>
      </c>
      <c r="X15" s="529">
        <v>1.1000000000000001</v>
      </c>
      <c r="Z15" s="536">
        <v>12</v>
      </c>
      <c r="AA15" s="537" cm="1">
        <f t="array" aca="1" ref="AA15" ca="1">SUMPRODUCT(IF($Z15=$L$4:$L$297,1,0),$P$4:$P$297)</f>
        <v>0.65840176508007242</v>
      </c>
      <c r="AB15" s="538">
        <f t="shared" ca="1" si="6"/>
        <v>0.7</v>
      </c>
    </row>
    <row r="16" spans="2:31">
      <c r="H16" s="32">
        <f t="shared" si="7"/>
        <v>13</v>
      </c>
      <c r="I16" s="33" t="str">
        <f>Calcs!A29</f>
        <v>Cartessa</v>
      </c>
      <c r="J16" s="106">
        <f ca="1">Calcs!BO29</f>
        <v>5192492.34</v>
      </c>
      <c r="K16" s="35" t="str">
        <f>VLOOKUP(Calcs!F29,'Diversity Score'!R$4:S$149,2,FALSE)</f>
        <v>Distributors</v>
      </c>
      <c r="L16" s="36">
        <f t="shared" si="8"/>
        <v>18</v>
      </c>
      <c r="M16" s="36">
        <f>+IF(I16="","",IF(COUNTIF(I17:$I$297,I16)=0,1,0))</f>
        <v>1</v>
      </c>
      <c r="N16" s="37">
        <f t="shared" ca="1" si="1"/>
        <v>5192492.34</v>
      </c>
      <c r="O16" s="38">
        <f t="shared" ca="1" si="9"/>
        <v>1.5387491877500398E-2</v>
      </c>
      <c r="P16" s="39">
        <f t="shared" ca="1" si="10"/>
        <v>1</v>
      </c>
      <c r="R16" s="532" t="s">
        <v>1208</v>
      </c>
      <c r="S16" s="532" t="s">
        <v>1208</v>
      </c>
      <c r="T16" s="36">
        <v>13</v>
      </c>
      <c r="U16" s="41">
        <f t="shared" ca="1" si="2"/>
        <v>0</v>
      </c>
      <c r="W16" s="531">
        <v>1.25</v>
      </c>
      <c r="X16" s="529">
        <v>1.1499999999999999</v>
      </c>
      <c r="Z16" s="536">
        <v>13</v>
      </c>
      <c r="AA16" s="537" cm="1">
        <f t="array" aca="1" ref="AA16" ca="1">SUMPRODUCT(IF($Z16=$L$4:$L$297,1,0),$P$4:$P$297)</f>
        <v>0</v>
      </c>
      <c r="AB16" s="538">
        <f t="shared" ca="1" si="6"/>
        <v>0</v>
      </c>
    </row>
    <row r="17" spans="8:28">
      <c r="H17" s="32">
        <f t="shared" si="7"/>
        <v>14</v>
      </c>
      <c r="I17" s="33" t="str">
        <f>Calcs!A30</f>
        <v>Case Works</v>
      </c>
      <c r="J17" s="106">
        <f ca="1">Calcs!BO30</f>
        <v>4491992.74</v>
      </c>
      <c r="K17" s="35" t="str">
        <f>VLOOKUP(Calcs!F30,'Diversity Score'!R$4:S$149,2,FALSE)</f>
        <v>Professional Services</v>
      </c>
      <c r="L17" s="36">
        <f t="shared" si="8"/>
        <v>56</v>
      </c>
      <c r="M17" s="36">
        <f>+IF(I17="","",IF(COUNTIF(I18:$I$297,I17)=0,1,0))</f>
        <v>1</v>
      </c>
      <c r="N17" s="37">
        <f t="shared" ca="1" si="1"/>
        <v>4491992.74</v>
      </c>
      <c r="O17" s="38">
        <f t="shared" ca="1" si="9"/>
        <v>1.3311623258078945E-2</v>
      </c>
      <c r="P17" s="39">
        <f t="shared" ca="1" si="10"/>
        <v>0.95843687458168403</v>
      </c>
      <c r="R17" s="532" t="s">
        <v>1082</v>
      </c>
      <c r="S17" s="532" t="s">
        <v>1082</v>
      </c>
      <c r="T17" s="36">
        <v>14</v>
      </c>
      <c r="U17" s="41">
        <f t="shared" ca="1" si="2"/>
        <v>2.2110763881786361E-2</v>
      </c>
      <c r="W17" s="531">
        <v>1.35</v>
      </c>
      <c r="X17" s="529">
        <v>1.2</v>
      </c>
      <c r="Z17" s="536">
        <v>14</v>
      </c>
      <c r="AA17" s="537" cm="1">
        <f t="array" aca="1" ref="AA17" ca="1">SUMPRODUCT(IF($Z17=$L$4:$L$297,1,0),$P$4:$P$297)</f>
        <v>1.105883365364243</v>
      </c>
      <c r="AB17" s="538">
        <f t="shared" ca="1" si="6"/>
        <v>0.7</v>
      </c>
    </row>
    <row r="18" spans="8:28">
      <c r="H18" s="32">
        <f t="shared" si="7"/>
        <v>15</v>
      </c>
      <c r="I18" s="33" t="str">
        <f>Calcs!A31</f>
        <v>Centauri</v>
      </c>
      <c r="J18" s="106">
        <f ca="1">Calcs!BO31</f>
        <v>2500143.9300000002</v>
      </c>
      <c r="K18" s="35" t="str">
        <f>VLOOKUP(Calcs!F31,'Diversity Score'!R$4:S$149,2,FALSE)</f>
        <v>Health Care Providers &amp; Services</v>
      </c>
      <c r="L18" s="36">
        <f t="shared" si="8"/>
        <v>33</v>
      </c>
      <c r="M18" s="36">
        <f>+IF(I18="","",IF(COUNTIF(I19:$I$297,I18)=0,1,0))</f>
        <v>1</v>
      </c>
      <c r="N18" s="37">
        <f t="shared" ca="1" si="1"/>
        <v>2500143.9300000002</v>
      </c>
      <c r="O18" s="38">
        <f t="shared" ca="1" si="9"/>
        <v>7.4089554488311346E-3</v>
      </c>
      <c r="P18" s="39">
        <f t="shared" ca="1" si="10"/>
        <v>0.53344479231584174</v>
      </c>
      <c r="R18" s="532" t="s">
        <v>180</v>
      </c>
      <c r="S18" s="532" t="s">
        <v>180</v>
      </c>
      <c r="T18" s="36">
        <v>15</v>
      </c>
      <c r="U18" s="41">
        <f t="shared" ca="1" si="2"/>
        <v>0</v>
      </c>
      <c r="W18" s="531">
        <v>1.45</v>
      </c>
      <c r="X18" s="529">
        <v>1.25</v>
      </c>
      <c r="Z18" s="536">
        <v>15</v>
      </c>
      <c r="AA18" s="537" cm="1">
        <f t="array" aca="1" ref="AA18" ca="1">SUMPRODUCT(IF($Z18=$L$4:$L$297,1,0),$P$4:$P$297)</f>
        <v>0</v>
      </c>
      <c r="AB18" s="538">
        <f t="shared" ca="1" si="6"/>
        <v>0</v>
      </c>
    </row>
    <row r="19" spans="8:28">
      <c r="H19" s="32">
        <f t="shared" si="7"/>
        <v>16</v>
      </c>
      <c r="I19" s="33" t="str">
        <f>Calcs!A32</f>
        <v>Comprehensive Rehab Consultants</v>
      </c>
      <c r="J19" s="106">
        <f ca="1">Calcs!BO32</f>
        <v>3727355.9</v>
      </c>
      <c r="K19" s="35" t="str">
        <f>VLOOKUP(Calcs!F32,'Diversity Score'!R$4:S$149,2,FALSE)</f>
        <v>Health Care Providers &amp; Services</v>
      </c>
      <c r="L19" s="36">
        <f t="shared" si="8"/>
        <v>33</v>
      </c>
      <c r="M19" s="36">
        <f>+IF(I19="","",IF(COUNTIF(I20:$I$297,I19)=0,1,0))</f>
        <v>1</v>
      </c>
      <c r="N19" s="37">
        <f t="shared" ca="1" si="1"/>
        <v>3727355.9</v>
      </c>
      <c r="O19" s="38">
        <f t="shared" ca="1" si="9"/>
        <v>1.1045689599573524E-2</v>
      </c>
      <c r="P19" s="39">
        <f t="shared" ca="1" si="10"/>
        <v>0.79528965116929373</v>
      </c>
      <c r="R19" s="532" t="s">
        <v>181</v>
      </c>
      <c r="S19" s="532" t="s">
        <v>181</v>
      </c>
      <c r="T19" s="36">
        <v>16</v>
      </c>
      <c r="U19" s="41">
        <f t="shared" ca="1" si="2"/>
        <v>0</v>
      </c>
      <c r="W19" s="531">
        <v>1.55</v>
      </c>
      <c r="X19" s="529">
        <v>1.3</v>
      </c>
      <c r="Z19" s="536">
        <v>16</v>
      </c>
      <c r="AA19" s="537" cm="1">
        <f t="array" aca="1" ref="AA19" ca="1">SUMPRODUCT(IF($Z19=$L$4:$L$297,1,0),$P$4:$P$297)</f>
        <v>0</v>
      </c>
      <c r="AB19" s="538">
        <f t="shared" ca="1" si="6"/>
        <v>0</v>
      </c>
    </row>
    <row r="20" spans="8:28">
      <c r="H20" s="32">
        <f t="shared" si="7"/>
        <v>17</v>
      </c>
      <c r="I20" s="33" t="str">
        <f>Calcs!A33</f>
        <v>Crane 1 Services, Inc.</v>
      </c>
      <c r="J20" s="106">
        <f ca="1">Calcs!BO33</f>
        <v>992500</v>
      </c>
      <c r="K20" s="35" t="str">
        <f>VLOOKUP(Calcs!F33,'Diversity Score'!R$4:S$149,2,FALSE)</f>
        <v>Commercial Services &amp; Supplies</v>
      </c>
      <c r="L20" s="36">
        <f t="shared" si="8"/>
        <v>12</v>
      </c>
      <c r="M20" s="36">
        <f>+IF(I20="","",IF(COUNTIF(I21:$I$297,I20)=0,1,0))</f>
        <v>1</v>
      </c>
      <c r="N20" s="37">
        <f t="shared" ca="1" si="1"/>
        <v>992500</v>
      </c>
      <c r="O20" s="38">
        <f t="shared" ca="1" si="9"/>
        <v>2.9411859832265339E-3</v>
      </c>
      <c r="P20" s="39">
        <f t="shared" ca="1" si="10"/>
        <v>0.21176539079231044</v>
      </c>
      <c r="R20" s="532" t="s">
        <v>975</v>
      </c>
      <c r="S20" s="532" t="s">
        <v>975</v>
      </c>
      <c r="T20" s="36">
        <v>17</v>
      </c>
      <c r="U20" s="41">
        <f t="shared" ca="1" si="2"/>
        <v>0</v>
      </c>
      <c r="W20" s="531">
        <v>1.65</v>
      </c>
      <c r="X20" s="529">
        <v>1.35</v>
      </c>
      <c r="Z20" s="536">
        <v>17</v>
      </c>
      <c r="AA20" s="537" cm="1">
        <f t="array" aca="1" ref="AA20" ca="1">SUMPRODUCT(IF($Z20=$L$4:$L$297,1,0),$P$4:$P$297)</f>
        <v>0</v>
      </c>
      <c r="AB20" s="538">
        <f t="shared" ca="1" si="6"/>
        <v>0</v>
      </c>
    </row>
    <row r="21" spans="8:28">
      <c r="H21" s="32">
        <f>+H20+1</f>
        <v>18</v>
      </c>
      <c r="I21" s="33" t="str">
        <f>Calcs!A34</f>
        <v xml:space="preserve">Dr. Squatch, LLC </v>
      </c>
      <c r="J21" s="106">
        <f ca="1">Calcs!BO34</f>
        <v>14391474.029999997</v>
      </c>
      <c r="K21" s="35" t="str">
        <f>VLOOKUP(Calcs!F34,'Diversity Score'!R$4:S$149,2,FALSE)</f>
        <v>Leisure Products</v>
      </c>
      <c r="L21" s="36">
        <f t="shared" si="8"/>
        <v>43</v>
      </c>
      <c r="M21" s="36">
        <f>+IF(I21="","",IF(COUNTIF(I22:$I$297,I21)=0,1,0))</f>
        <v>1</v>
      </c>
      <c r="N21" s="37">
        <f t="shared" ca="1" si="1"/>
        <v>14391474.029999997</v>
      </c>
      <c r="O21" s="38">
        <f t="shared" ca="1" si="9"/>
        <v>4.2647860649878758E-2</v>
      </c>
      <c r="P21" s="39">
        <f t="shared" ca="1" si="10"/>
        <v>1</v>
      </c>
      <c r="R21" s="532" t="s">
        <v>182</v>
      </c>
      <c r="S21" s="532" t="s">
        <v>182</v>
      </c>
      <c r="T21" s="36">
        <v>18</v>
      </c>
      <c r="U21" s="41">
        <f t="shared" ca="1" si="2"/>
        <v>4.9151875551484647E-2</v>
      </c>
      <c r="W21" s="531">
        <v>1.75</v>
      </c>
      <c r="X21" s="529">
        <v>1.4</v>
      </c>
      <c r="Z21" s="536">
        <v>18</v>
      </c>
      <c r="AA21" s="537" cm="1">
        <f t="array" aca="1" ref="AA21" ca="1">SUMPRODUCT(IF($Z21=$L$4:$L$297,1,0),$P$4:$P$297)</f>
        <v>2.589430797186743</v>
      </c>
      <c r="AB21" s="538">
        <f t="shared" ca="1" si="6"/>
        <v>1.8</v>
      </c>
    </row>
    <row r="22" spans="8:28">
      <c r="H22" s="32">
        <f t="shared" si="7"/>
        <v>19</v>
      </c>
      <c r="I22" s="33" t="str">
        <f>Calcs!A35</f>
        <v>EDS Buyers, LLC</v>
      </c>
      <c r="J22" s="106">
        <f ca="1">Calcs!BO35</f>
        <v>5438891.75</v>
      </c>
      <c r="K22" s="35" t="str">
        <f>VLOOKUP(Calcs!F35,'Diversity Score'!R$4:S$149,2,FALSE)</f>
        <v>Aerospace &amp; Defense</v>
      </c>
      <c r="L22" s="36">
        <f t="shared" si="8"/>
        <v>1</v>
      </c>
      <c r="M22" s="36">
        <f>+IF(I22="","",IF(COUNTIF(I23:$I$297,I22)=0,1,0))</f>
        <v>1</v>
      </c>
      <c r="N22" s="37">
        <f t="shared" ca="1" si="1"/>
        <v>5438891.75</v>
      </c>
      <c r="O22" s="38">
        <f t="shared" ca="1" si="9"/>
        <v>1.6117674739935955E-2</v>
      </c>
      <c r="P22" s="39">
        <f t="shared" ca="1" si="10"/>
        <v>1</v>
      </c>
      <c r="R22" s="532" t="s">
        <v>183</v>
      </c>
      <c r="S22" s="532" t="s">
        <v>183</v>
      </c>
      <c r="T22" s="36">
        <v>19</v>
      </c>
      <c r="U22" s="41">
        <f t="shared" ca="1" si="2"/>
        <v>5.9136673178712323E-2</v>
      </c>
      <c r="W22" s="531">
        <v>1.85</v>
      </c>
      <c r="X22" s="529">
        <v>1.45</v>
      </c>
      <c r="Z22" s="536">
        <v>19</v>
      </c>
      <c r="AA22" s="537" cm="1">
        <f t="array" aca="1" ref="AA22" ca="1">SUMPRODUCT(IF($Z22=$L$4:$L$297,1,0),$P$4:$P$297)</f>
        <v>3.3363134867266337</v>
      </c>
      <c r="AB22" s="538">
        <f t="shared" ca="1" si="6"/>
        <v>2.1</v>
      </c>
    </row>
    <row r="23" spans="8:28">
      <c r="H23" s="32">
        <f t="shared" si="7"/>
        <v>20</v>
      </c>
      <c r="I23" s="33" t="str">
        <f>Calcs!A36</f>
        <v>Eval Home Health Solutions Intermediate, LLC</v>
      </c>
      <c r="J23" s="106">
        <f ca="1">Calcs!BO36</f>
        <v>1358911.12</v>
      </c>
      <c r="K23" s="35" t="str">
        <f>VLOOKUP(Calcs!F36,'Diversity Score'!R$4:S$149,2,FALSE)</f>
        <v>Health Care Providers &amp; Services</v>
      </c>
      <c r="L23" s="36">
        <f t="shared" si="8"/>
        <v>33</v>
      </c>
      <c r="M23" s="36">
        <f>+IF(I23="","",IF(COUNTIF(I24:$I$297,I23)=0,1,0))</f>
        <v>1</v>
      </c>
      <c r="N23" s="37">
        <f t="shared" ca="1" si="1"/>
        <v>1358911.12</v>
      </c>
      <c r="O23" s="38">
        <f t="shared" ca="1" si="9"/>
        <v>4.027012935611759E-3</v>
      </c>
      <c r="P23" s="39">
        <f t="shared" ca="1" si="10"/>
        <v>0.28994493136404664</v>
      </c>
      <c r="R23" s="532" t="s">
        <v>1145</v>
      </c>
      <c r="S23" s="532" t="s">
        <v>1145</v>
      </c>
      <c r="T23" s="36">
        <v>20</v>
      </c>
      <c r="U23" s="41">
        <f t="shared" ca="1" si="2"/>
        <v>3.5854506214155063E-2</v>
      </c>
      <c r="W23" s="531">
        <v>1.95</v>
      </c>
      <c r="X23" s="529">
        <v>1.5</v>
      </c>
      <c r="Z23" s="536">
        <v>20</v>
      </c>
      <c r="AA23" s="537" cm="1">
        <f t="array" aca="1" ref="AA23" ca="1">SUMPRODUCT(IF($Z23=$L$4:$L$297,1,0),$P$4:$P$297)</f>
        <v>1.8307142223434862</v>
      </c>
      <c r="AB23" s="538">
        <f t="shared" ca="1" si="6"/>
        <v>0.7</v>
      </c>
    </row>
    <row r="24" spans="8:28">
      <c r="H24" s="32">
        <f t="shared" si="7"/>
        <v>21</v>
      </c>
      <c r="I24" s="33" t="str">
        <f>Calcs!A37</f>
        <v>GGG Midco, LLC</v>
      </c>
      <c r="J24" s="106">
        <f ca="1">Calcs!BO37</f>
        <v>6561913.8300000001</v>
      </c>
      <c r="K24" s="35" t="str">
        <f>VLOOKUP(Calcs!F37,'Diversity Score'!R$4:S$149,2,FALSE)</f>
        <v>Professional Services</v>
      </c>
      <c r="L24" s="36">
        <f t="shared" si="8"/>
        <v>56</v>
      </c>
      <c r="M24" s="36">
        <f>+IF(I24="","",IF(COUNTIF(I25:$I$297,I24)=0,1,0))</f>
        <v>1</v>
      </c>
      <c r="N24" s="37">
        <f t="shared" ca="1" si="1"/>
        <v>6561913.8300000001</v>
      </c>
      <c r="O24" s="38">
        <f t="shared" ca="1" si="9"/>
        <v>1.9445651365175155E-2</v>
      </c>
      <c r="P24" s="39">
        <f t="shared" ca="1" si="10"/>
        <v>1</v>
      </c>
      <c r="R24" s="532" t="s">
        <v>184</v>
      </c>
      <c r="S24" s="532" t="s">
        <v>184</v>
      </c>
      <c r="T24" s="36">
        <v>21</v>
      </c>
      <c r="U24" s="41">
        <f t="shared" ca="1" si="2"/>
        <v>0</v>
      </c>
      <c r="W24" s="531">
        <v>2.0499999999999998</v>
      </c>
      <c r="X24" s="529">
        <v>1.55</v>
      </c>
      <c r="Z24" s="536">
        <v>21</v>
      </c>
      <c r="AA24" s="537" cm="1">
        <f t="array" aca="1" ref="AA24" ca="1">SUMPRODUCT(IF($Z24=$L$4:$L$297,1,0),$P$4:$P$297)</f>
        <v>0</v>
      </c>
      <c r="AB24" s="538">
        <f t="shared" ca="1" si="6"/>
        <v>0</v>
      </c>
    </row>
    <row r="25" spans="8:28">
      <c r="H25" s="32">
        <f t="shared" si="7"/>
        <v>22</v>
      </c>
      <c r="I25" s="33" t="str">
        <f>Calcs!A38</f>
        <v>HEC Purchaser Corp.</v>
      </c>
      <c r="J25" s="106">
        <f ca="1">Calcs!BO38</f>
        <v>1965112.77</v>
      </c>
      <c r="K25" s="35" t="str">
        <f>VLOOKUP(Calcs!F38,'Diversity Score'!R$4:S$149,2,FALSE)</f>
        <v>Health Care Providers &amp; Services</v>
      </c>
      <c r="L25" s="36">
        <f t="shared" si="8"/>
        <v>33</v>
      </c>
      <c r="M25" s="36">
        <f>+IF(I25="","",IF(COUNTIF(I26:$I$297,I25)=0,1,0))</f>
        <v>1</v>
      </c>
      <c r="N25" s="37">
        <f t="shared" ca="1" si="1"/>
        <v>1965112.77</v>
      </c>
      <c r="O25" s="38">
        <f t="shared" ca="1" si="9"/>
        <v>5.823437918975786E-3</v>
      </c>
      <c r="P25" s="39">
        <f t="shared" ca="1" si="10"/>
        <v>0.41928753016625658</v>
      </c>
      <c r="R25" s="532" t="s">
        <v>1207</v>
      </c>
      <c r="S25" s="532" t="s">
        <v>1207</v>
      </c>
      <c r="T25" s="36">
        <v>22</v>
      </c>
      <c r="U25" s="41">
        <f t="shared" ca="1" si="2"/>
        <v>0</v>
      </c>
      <c r="W25" s="531">
        <v>2.15</v>
      </c>
      <c r="X25" s="529">
        <v>1.6</v>
      </c>
      <c r="Z25" s="536">
        <v>22</v>
      </c>
      <c r="AA25" s="537" cm="1">
        <f t="array" aca="1" ref="AA25" ca="1">SUMPRODUCT(IF($Z25=$L$4:$L$297,1,0),$P$4:$P$297)</f>
        <v>0</v>
      </c>
      <c r="AB25" s="538">
        <f t="shared" ca="1" si="6"/>
        <v>0</v>
      </c>
    </row>
    <row r="26" spans="8:28">
      <c r="H26" s="32">
        <f t="shared" si="7"/>
        <v>23</v>
      </c>
      <c r="I26" s="33" t="str">
        <f>Calcs!A39</f>
        <v>Harris &amp; Co. LLC</v>
      </c>
      <c r="J26" s="106">
        <f ca="1">Calcs!BO39</f>
        <v>8205680.5499999998</v>
      </c>
      <c r="K26" s="35" t="str">
        <f>VLOOKUP(Calcs!F39,'Diversity Score'!R$4:S$149,2,FALSE)</f>
        <v>Diversified Financial Services</v>
      </c>
      <c r="L26" s="36">
        <f t="shared" si="8"/>
        <v>20</v>
      </c>
      <c r="M26" s="36">
        <f>+IF(I26="","",IF(COUNTIF(I27:$I$297,I26)=0,1,0))</f>
        <v>1</v>
      </c>
      <c r="N26" s="37">
        <f t="shared" ca="1" si="1"/>
        <v>8205680.5499999998</v>
      </c>
      <c r="O26" s="38">
        <f t="shared" ca="1" si="9"/>
        <v>2.4316808681606645E-2</v>
      </c>
      <c r="P26" s="39">
        <f t="shared" ca="1" si="10"/>
        <v>1</v>
      </c>
      <c r="R26" s="532" t="s">
        <v>185</v>
      </c>
      <c r="S26" s="532" t="s">
        <v>185</v>
      </c>
      <c r="T26" s="36">
        <v>23</v>
      </c>
      <c r="U26" s="41">
        <f t="shared" ca="1" si="2"/>
        <v>0</v>
      </c>
      <c r="W26" s="531">
        <v>2.25</v>
      </c>
      <c r="X26" s="529">
        <v>1.65</v>
      </c>
      <c r="Z26" s="536">
        <v>23</v>
      </c>
      <c r="AA26" s="537" cm="1">
        <f t="array" aca="1" ref="AA26" ca="1">SUMPRODUCT(IF($Z26=$L$4:$L$297,1,0),$P$4:$P$297)</f>
        <v>0</v>
      </c>
      <c r="AB26" s="538">
        <f t="shared" ca="1" si="6"/>
        <v>0</v>
      </c>
    </row>
    <row r="27" spans="8:28">
      <c r="H27" s="32">
        <f t="shared" si="7"/>
        <v>24</v>
      </c>
      <c r="I27" s="33" t="str">
        <f>Calcs!A40</f>
        <v>HW Holdco, LLC</v>
      </c>
      <c r="J27" s="106">
        <f ca="1">Calcs!BO40</f>
        <v>7618243.3600000003</v>
      </c>
      <c r="K27" s="35" t="str">
        <f>VLOOKUP(Calcs!F40,'Diversity Score'!R$4:S$149,2,FALSE)</f>
        <v>Media</v>
      </c>
      <c r="L27" s="36">
        <f t="shared" si="8"/>
        <v>47</v>
      </c>
      <c r="M27" s="36">
        <f>+IF(I27="","",IF(COUNTIF(I28:$I$297,I27)=0,1,0))</f>
        <v>1</v>
      </c>
      <c r="N27" s="37">
        <f t="shared" ca="1" si="1"/>
        <v>7618243.3600000003</v>
      </c>
      <c r="O27" s="38">
        <f t="shared" ca="1" si="9"/>
        <v>2.2575990516111449E-2</v>
      </c>
      <c r="P27" s="39">
        <f t="shared" ca="1" si="10"/>
        <v>1</v>
      </c>
      <c r="R27" s="532" t="s">
        <v>317</v>
      </c>
      <c r="S27" s="532" t="s">
        <v>317</v>
      </c>
      <c r="T27" s="36">
        <v>24</v>
      </c>
      <c r="U27" s="41">
        <f t="shared" ca="1" si="2"/>
        <v>1.8988135142511707E-2</v>
      </c>
      <c r="W27" s="531">
        <v>2.35</v>
      </c>
      <c r="X27" s="529">
        <v>1.7</v>
      </c>
      <c r="Z27" s="536">
        <v>24</v>
      </c>
      <c r="AA27" s="537" cm="1">
        <f t="array" aca="1" ref="AA27" ca="1">SUMPRODUCT(IF($Z27=$L$4:$L$297,1,0),$P$4:$P$297)</f>
        <v>1.367145730260843</v>
      </c>
      <c r="AB27" s="538">
        <f t="shared" ca="1" si="6"/>
        <v>0.7</v>
      </c>
    </row>
    <row r="28" spans="8:28">
      <c r="H28" s="32">
        <f t="shared" si="7"/>
        <v>25</v>
      </c>
      <c r="I28" s="33" t="str">
        <f>Calcs!A41</f>
        <v>Infinity Home Services Holdco, Inc.</v>
      </c>
      <c r="J28" s="106">
        <f ca="1">Calcs!BO41</f>
        <v>5105362.6500000004</v>
      </c>
      <c r="K28" s="35" t="str">
        <f>VLOOKUP(Calcs!F41,'Diversity Score'!R$4:S$149,2,FALSE)</f>
        <v>Professional Services</v>
      </c>
      <c r="L28" s="36">
        <f t="shared" si="8"/>
        <v>56</v>
      </c>
      <c r="M28" s="36">
        <f>+IF(I28="","",IF(COUNTIF(I29:$I$297,I28)=0,1,0))</f>
        <v>1</v>
      </c>
      <c r="N28" s="37">
        <f t="shared" ca="1" si="1"/>
        <v>5105362.6500000004</v>
      </c>
      <c r="O28" s="38">
        <f t="shared" ca="1" si="9"/>
        <v>1.5129290746063753E-2</v>
      </c>
      <c r="P28" s="39">
        <f t="shared" ca="1" si="10"/>
        <v>1</v>
      </c>
      <c r="R28" s="532" t="s">
        <v>1063</v>
      </c>
      <c r="S28" s="532" t="s">
        <v>1063</v>
      </c>
      <c r="T28" s="36">
        <v>25</v>
      </c>
      <c r="U28" s="41">
        <f t="shared" ca="1" si="2"/>
        <v>9.4351841981164183E-3</v>
      </c>
      <c r="W28" s="531">
        <v>0.65</v>
      </c>
      <c r="X28" s="529">
        <v>0.7</v>
      </c>
      <c r="Z28" s="536">
        <v>25</v>
      </c>
      <c r="AA28" s="537" cm="1">
        <f t="array" aca="1" ref="AA28" ca="1">SUMPRODUCT(IF($Z28=$L$4:$L$297,1,0),$P$4:$P$297)</f>
        <v>0.67933326226438207</v>
      </c>
      <c r="AB28" s="538">
        <f t="shared" ca="1" si="6"/>
        <v>0.7</v>
      </c>
    </row>
    <row r="29" spans="8:28">
      <c r="H29" s="32">
        <f t="shared" si="7"/>
        <v>26</v>
      </c>
      <c r="I29" s="33" t="str">
        <f>Calcs!A42</f>
        <v>Infolinks</v>
      </c>
      <c r="J29" s="106">
        <f ca="1">Calcs!BO42</f>
        <v>2048423.5</v>
      </c>
      <c r="K29" s="35" t="str">
        <f>VLOOKUP(Calcs!F42,'Diversity Score'!R$4:S$149,2,FALSE)</f>
        <v>Media</v>
      </c>
      <c r="L29" s="36">
        <f t="shared" si="8"/>
        <v>47</v>
      </c>
      <c r="M29" s="36">
        <f>+IF(I29="","",IF(COUNTIF(I30:$I$297,I29)=0,1,0))</f>
        <v>1</v>
      </c>
      <c r="N29" s="37">
        <f t="shared" ca="1" si="1"/>
        <v>2048423.5</v>
      </c>
      <c r="O29" s="38">
        <f t="shared" ca="1" si="9"/>
        <v>6.0703219001630605E-3</v>
      </c>
      <c r="P29" s="39">
        <f t="shared" ca="1" si="10"/>
        <v>0.43706317681174039</v>
      </c>
      <c r="R29" s="532" t="s">
        <v>186</v>
      </c>
      <c r="S29" s="532" t="s">
        <v>186</v>
      </c>
      <c r="T29" s="36">
        <v>26</v>
      </c>
      <c r="U29" s="41">
        <f t="shared" ca="1" si="2"/>
        <v>0</v>
      </c>
      <c r="W29" s="531">
        <v>2.4500000000000002</v>
      </c>
      <c r="X29" s="529">
        <v>1.75</v>
      </c>
      <c r="Z29" s="536">
        <v>26</v>
      </c>
      <c r="AA29" s="537" cm="1">
        <f t="array" aca="1" ref="AA29" ca="1">SUMPRODUCT(IF($Z29=$L$4:$L$297,1,0),$P$4:$P$297)</f>
        <v>0</v>
      </c>
      <c r="AB29" s="538">
        <f t="shared" ca="1" si="6"/>
        <v>0</v>
      </c>
    </row>
    <row r="30" spans="8:28">
      <c r="H30" s="32">
        <f t="shared" si="7"/>
        <v>27</v>
      </c>
      <c r="I30" s="33" t="str">
        <f>Calcs!A43</f>
        <v xml:space="preserve">Inventus Power Inc.  </v>
      </c>
      <c r="J30" s="106">
        <f ca="1">Calcs!BO43</f>
        <v>1970457.8</v>
      </c>
      <c r="K30" s="35" t="str">
        <f>VLOOKUP(Calcs!F43,'Diversity Score'!R$4:S$149,2,FALSE)</f>
        <v>Electronic Equipment, Instruments &amp; Components</v>
      </c>
      <c r="L30" s="36">
        <f t="shared" si="8"/>
        <v>24</v>
      </c>
      <c r="M30" s="36">
        <f>+IF(I30="","",IF(COUNTIF(I31:$I$297,I30)=0,1,0))</f>
        <v>1</v>
      </c>
      <c r="N30" s="37">
        <f t="shared" ca="1" si="1"/>
        <v>1970457.8</v>
      </c>
      <c r="O30" s="38">
        <f t="shared" ca="1" si="9"/>
        <v>5.8392774427197917E-3</v>
      </c>
      <c r="P30" s="39">
        <f t="shared" ca="1" si="10"/>
        <v>0.42042797587582498</v>
      </c>
      <c r="R30" s="532" t="s">
        <v>187</v>
      </c>
      <c r="S30" s="532" t="s">
        <v>187</v>
      </c>
      <c r="T30" s="36">
        <v>27</v>
      </c>
      <c r="U30" s="41">
        <f t="shared" ca="1" si="2"/>
        <v>0</v>
      </c>
      <c r="W30" s="531">
        <v>2.5499999999999998</v>
      </c>
      <c r="X30" s="529">
        <v>1.8</v>
      </c>
      <c r="Z30" s="536">
        <v>27</v>
      </c>
      <c r="AA30" s="537" cm="1">
        <f t="array" aca="1" ref="AA30" ca="1">SUMPRODUCT(IF($Z30=$L$4:$L$297,1,0),$P$4:$P$297)</f>
        <v>0</v>
      </c>
      <c r="AB30" s="538">
        <f t="shared" ca="1" si="6"/>
        <v>0</v>
      </c>
    </row>
    <row r="31" spans="8:28">
      <c r="H31" s="32">
        <f t="shared" si="7"/>
        <v>28</v>
      </c>
      <c r="I31" s="33" t="str">
        <f>Calcs!A44</f>
        <v>Lash OpCo, LLC</v>
      </c>
      <c r="J31" s="106">
        <f ca="1">Calcs!BO44</f>
        <v>1684995.885</v>
      </c>
      <c r="K31" s="35" t="str">
        <f>VLOOKUP(Calcs!F44,'Diversity Score'!R$4:S$149,2,FALSE)</f>
        <v>Personal Products</v>
      </c>
      <c r="L31" s="36">
        <f t="shared" si="8"/>
        <v>54</v>
      </c>
      <c r="M31" s="36">
        <f>+IF(I31="","",IF(COUNTIF(I32:$I$297,I31)=0,1,0))</f>
        <v>1</v>
      </c>
      <c r="N31" s="37">
        <f t="shared" ca="1" si="1"/>
        <v>1684995.885</v>
      </c>
      <c r="O31" s="38">
        <f t="shared" ca="1" si="9"/>
        <v>4.9933363010139934E-3</v>
      </c>
      <c r="P31" s="39">
        <f t="shared" ca="1" si="10"/>
        <v>0.35952021367300757</v>
      </c>
      <c r="R31" s="532" t="s">
        <v>324</v>
      </c>
      <c r="S31" s="532" t="s">
        <v>324</v>
      </c>
      <c r="T31" s="36">
        <v>28</v>
      </c>
      <c r="U31" s="41">
        <f t="shared" ca="1" si="2"/>
        <v>0</v>
      </c>
      <c r="W31" s="531">
        <v>2.65</v>
      </c>
      <c r="X31" s="529">
        <v>1.85</v>
      </c>
      <c r="Z31" s="536">
        <v>28</v>
      </c>
      <c r="AA31" s="537" cm="1">
        <f t="array" aca="1" ref="AA31" ca="1">SUMPRODUCT(IF($Z31=$L$4:$L$297,1,0),$P$4:$P$297)</f>
        <v>0</v>
      </c>
      <c r="AB31" s="538">
        <f t="shared" ca="1" si="6"/>
        <v>0</v>
      </c>
    </row>
    <row r="32" spans="8:28">
      <c r="H32" s="32">
        <f t="shared" si="7"/>
        <v>29</v>
      </c>
      <c r="I32" s="33" t="str">
        <f>Calcs!A45</f>
        <v>MDI Buyer Inc.</v>
      </c>
      <c r="J32" s="106">
        <f ca="1">Calcs!BO45</f>
        <v>4779960.4400000004</v>
      </c>
      <c r="K32" s="35" t="str">
        <f>VLOOKUP(Calcs!F45,'Diversity Score'!R$4:S$149,2,FALSE)</f>
        <v>Chemicals</v>
      </c>
      <c r="L32" s="36">
        <f t="shared" si="8"/>
        <v>11</v>
      </c>
      <c r="M32" s="36">
        <f>+IF(I32="","",IF(COUNTIF(I33:$I$297,I32)=0,1,0))</f>
        <v>1</v>
      </c>
      <c r="N32" s="37">
        <f t="shared" ca="1" si="1"/>
        <v>4779960.4400000004</v>
      </c>
      <c r="O32" s="38">
        <f t="shared" ca="1" si="9"/>
        <v>1.4164990072045679E-2</v>
      </c>
      <c r="P32" s="39">
        <f t="shared" ca="1" si="10"/>
        <v>1</v>
      </c>
      <c r="R32" s="532" t="s">
        <v>188</v>
      </c>
      <c r="S32" s="532" t="s">
        <v>188</v>
      </c>
      <c r="T32" s="36">
        <v>29</v>
      </c>
      <c r="U32" s="41">
        <f t="shared" ca="1" si="2"/>
        <v>0</v>
      </c>
      <c r="W32" s="531">
        <v>2.75</v>
      </c>
      <c r="X32" s="529">
        <v>1.9</v>
      </c>
      <c r="Z32" s="536">
        <v>29</v>
      </c>
      <c r="AA32" s="537" cm="1">
        <f t="array" aca="1" ref="AA32" ca="1">SUMPRODUCT(IF($Z32=$L$4:$L$297,1,0),$P$4:$P$297)</f>
        <v>0</v>
      </c>
      <c r="AB32" s="538">
        <f t="shared" ca="1" si="6"/>
        <v>0</v>
      </c>
    </row>
    <row r="33" spans="8:28">
      <c r="H33" s="32">
        <f t="shared" si="7"/>
        <v>30</v>
      </c>
      <c r="I33" s="33" t="str">
        <f>Calcs!A46</f>
        <v>Megawatt Acquisitionco, Inc.</v>
      </c>
      <c r="J33" s="106">
        <f ca="1">Calcs!BO46</f>
        <v>4437067.6800000006</v>
      </c>
      <c r="K33" s="35" t="str">
        <f>VLOOKUP(Calcs!F46,'Diversity Score'!R$4:S$149,2,FALSE)</f>
        <v>Electronic Equipment, Instruments &amp; Components</v>
      </c>
      <c r="L33" s="36">
        <f t="shared" si="8"/>
        <v>24</v>
      </c>
      <c r="M33" s="36">
        <f>+IF(I33="","",IF(COUNTIF(I34:$I$297,I33)=0,1,0))</f>
        <v>1</v>
      </c>
      <c r="N33" s="37">
        <f t="shared" ca="1" si="1"/>
        <v>4437067.6800000006</v>
      </c>
      <c r="O33" s="38">
        <f t="shared" ca="1" si="9"/>
        <v>1.3148857699791917E-2</v>
      </c>
      <c r="P33" s="39">
        <f t="shared" ca="1" si="10"/>
        <v>0.94671775438501804</v>
      </c>
      <c r="R33" s="532" t="s">
        <v>189</v>
      </c>
      <c r="S33" s="532" t="s">
        <v>189</v>
      </c>
      <c r="T33" s="36">
        <v>30</v>
      </c>
      <c r="U33" s="41">
        <f t="shared" ca="1" si="2"/>
        <v>0</v>
      </c>
      <c r="W33" s="531">
        <v>2.85</v>
      </c>
      <c r="X33" s="529">
        <v>1.95</v>
      </c>
      <c r="Z33" s="536">
        <v>30</v>
      </c>
      <c r="AA33" s="537" cm="1">
        <f t="array" aca="1" ref="AA33" ca="1">SUMPRODUCT(IF($Z33=$L$4:$L$297,1,0),$P$4:$P$297)</f>
        <v>0</v>
      </c>
      <c r="AB33" s="538">
        <f t="shared" ca="1" si="6"/>
        <v>0</v>
      </c>
    </row>
    <row r="34" spans="8:28">
      <c r="H34" s="32">
        <f t="shared" si="7"/>
        <v>31</v>
      </c>
      <c r="I34" s="33" t="str">
        <f>Calcs!A47</f>
        <v>Michael Baker International, LLC</v>
      </c>
      <c r="J34" s="106">
        <f ca="1">Calcs!BO47</f>
        <v>496253.14</v>
      </c>
      <c r="K34" s="35" t="str">
        <f>VLOOKUP(Calcs!F47,'Diversity Score'!R$4:S$149,2,FALSE)</f>
        <v>Construction &amp; Engineering</v>
      </c>
      <c r="L34" s="36">
        <f t="shared" si="8"/>
        <v>14</v>
      </c>
      <c r="M34" s="36">
        <f>+IF(I34="","",IF(COUNTIF(I35:$I$297,I34)=0,1,0))</f>
        <v>1</v>
      </c>
      <c r="N34" s="37">
        <f t="shared" ca="1" si="1"/>
        <v>496253.14</v>
      </c>
      <c r="O34" s="38">
        <f t="shared" ca="1" si="9"/>
        <v>1.4706022967255967E-3</v>
      </c>
      <c r="P34" s="39">
        <f t="shared" ca="1" si="10"/>
        <v>0.10588336536424298</v>
      </c>
      <c r="R34" s="532" t="s">
        <v>190</v>
      </c>
      <c r="S34" s="532" t="s">
        <v>190</v>
      </c>
      <c r="T34" s="36">
        <v>31</v>
      </c>
      <c r="U34" s="41">
        <f t="shared" ca="1" si="2"/>
        <v>2.9485945121515379E-3</v>
      </c>
      <c r="W34" s="531">
        <v>2.95</v>
      </c>
      <c r="X34" s="529">
        <v>2</v>
      </c>
      <c r="Z34" s="536">
        <v>31</v>
      </c>
      <c r="AA34" s="537" cm="1">
        <f t="array" aca="1" ref="AA34" ca="1">SUMPRODUCT(IF($Z34=$L$4:$L$297,1,0),$P$4:$P$297)</f>
        <v>0.21229880487491073</v>
      </c>
      <c r="AB34" s="538">
        <f t="shared" ca="1" si="6"/>
        <v>0.2</v>
      </c>
    </row>
    <row r="35" spans="8:28">
      <c r="H35" s="32">
        <f t="shared" si="7"/>
        <v>32</v>
      </c>
      <c r="I35" s="33" t="str">
        <f>Calcs!A48</f>
        <v>Municipal Emergency Services, Inc.</v>
      </c>
      <c r="J35" s="106">
        <f ca="1">Calcs!BO48</f>
        <v>2493635.9900000002</v>
      </c>
      <c r="K35" s="35" t="str">
        <f>VLOOKUP(Calcs!F48,'Diversity Score'!R$4:S$149,2,FALSE)</f>
        <v>Distributors</v>
      </c>
      <c r="L35" s="36">
        <f t="shared" si="8"/>
        <v>18</v>
      </c>
      <c r="M35" s="36">
        <f>+IF(I35="","",IF(COUNTIF(I36:$I$297,I35)=0,1,0))</f>
        <v>1</v>
      </c>
      <c r="N35" s="37">
        <f t="shared" ca="1" si="1"/>
        <v>2493635.9900000002</v>
      </c>
      <c r="O35" s="38">
        <f t="shared" ca="1" si="9"/>
        <v>7.3896697441382586E-3</v>
      </c>
      <c r="P35" s="39">
        <f t="shared" ca="1" si="10"/>
        <v>0.53205622157795462</v>
      </c>
      <c r="R35" s="532" t="s">
        <v>1083</v>
      </c>
      <c r="S35" s="532" t="s">
        <v>1083</v>
      </c>
      <c r="T35" s="36">
        <v>32</v>
      </c>
      <c r="U35" s="41">
        <f t="shared" ca="1" si="2"/>
        <v>0</v>
      </c>
      <c r="W35" s="531">
        <v>3.05</v>
      </c>
      <c r="X35" s="529">
        <v>2.0333000000000001</v>
      </c>
      <c r="Z35" s="536">
        <v>32</v>
      </c>
      <c r="AA35" s="537" cm="1">
        <f t="array" aca="1" ref="AA35" ca="1">SUMPRODUCT(IF($Z35=$L$4:$L$297,1,0),$P$4:$P$297)</f>
        <v>0</v>
      </c>
      <c r="AB35" s="538">
        <f t="shared" ca="1" si="6"/>
        <v>0</v>
      </c>
    </row>
    <row r="36" spans="8:28">
      <c r="H36" s="32">
        <f t="shared" si="7"/>
        <v>33</v>
      </c>
      <c r="I36" s="33" t="str">
        <f>Calcs!A49</f>
        <v>MOREgroup Holdings, LLC</v>
      </c>
      <c r="J36" s="106">
        <f ca="1">Calcs!BO49</f>
        <v>4241967.99</v>
      </c>
      <c r="K36" s="35" t="str">
        <f>VLOOKUP(Calcs!F49,'Diversity Score'!R$4:S$149,2,FALSE)</f>
        <v>Professional Services</v>
      </c>
      <c r="L36" s="36">
        <f t="shared" si="8"/>
        <v>56</v>
      </c>
      <c r="M36" s="36">
        <f>+IF(I36="","",IF(COUNTIF(I37:$I$297,I36)=0,1,0))</f>
        <v>1</v>
      </c>
      <c r="N36" s="37">
        <f t="shared" ref="N36:N67" ca="1" si="11">+IF(M36=0,0,SUMPRODUCT(($I$4:$I$297=I36)*($J$4:$J$297)))</f>
        <v>4241967.99</v>
      </c>
      <c r="O36" s="38">
        <f t="shared" ca="1" si="9"/>
        <v>1.2570697021142201E-2</v>
      </c>
      <c r="P36" s="39">
        <f t="shared" ca="1" si="10"/>
        <v>0.90509018552223852</v>
      </c>
      <c r="R36" s="532" t="s">
        <v>322</v>
      </c>
      <c r="S36" s="532" t="s">
        <v>322</v>
      </c>
      <c r="T36" s="36">
        <v>33</v>
      </c>
      <c r="U36" s="41">
        <f t="shared" ref="U36:U72" ca="1" si="12">+SUMPRODUCT((S36=$K$4:$K$296)*($J$4:$J$296))/SUM($J$4:$J$296)</f>
        <v>0.14736346248023877</v>
      </c>
      <c r="W36" s="531">
        <v>3.15</v>
      </c>
      <c r="X36" s="529">
        <v>2.0667</v>
      </c>
      <c r="Z36" s="536">
        <v>33</v>
      </c>
      <c r="AA36" s="537" cm="1">
        <f t="array" aca="1" ref="AA36" ca="1">SUMPRODUCT(IF($Z36=$L$4:$L$297,1,0),$P$4:$P$297)</f>
        <v>6.2684442192108607</v>
      </c>
      <c r="AB36" s="538">
        <f t="shared" ca="1" si="6"/>
        <v>3.0750000000000002</v>
      </c>
    </row>
    <row r="37" spans="8:28">
      <c r="H37" s="32">
        <f t="shared" si="7"/>
        <v>34</v>
      </c>
      <c r="I37" s="33" t="str">
        <f>Calcs!A50</f>
        <v>NFS - CFP Holdings, LLC</v>
      </c>
      <c r="J37" s="106">
        <f ca="1">Calcs!BO50</f>
        <v>3980866.8899999997</v>
      </c>
      <c r="K37" s="35" t="str">
        <f>VLOOKUP(Calcs!F50,'Diversity Score'!R$4:S$149,2,FALSE)</f>
        <v>Professional Services</v>
      </c>
      <c r="L37" s="36">
        <f t="shared" si="8"/>
        <v>56</v>
      </c>
      <c r="M37" s="36">
        <f>+IF(I37="","",IF(COUNTIF(I38:$I$297,I37)=0,1,0))</f>
        <v>1</v>
      </c>
      <c r="N37" s="37">
        <f t="shared" ca="1" si="11"/>
        <v>3980866.8899999997</v>
      </c>
      <c r="O37" s="38">
        <f t="shared" ca="1" si="9"/>
        <v>1.1796947000462068E-2</v>
      </c>
      <c r="P37" s="39">
        <f t="shared" ca="1" si="10"/>
        <v>0.84938018403326898</v>
      </c>
      <c r="R37" s="532" t="s">
        <v>321</v>
      </c>
      <c r="S37" s="532" t="s">
        <v>321</v>
      </c>
      <c r="T37" s="36">
        <v>34</v>
      </c>
      <c r="U37" s="41">
        <f t="shared" ca="1" si="12"/>
        <v>0</v>
      </c>
      <c r="W37" s="531">
        <v>3.25</v>
      </c>
      <c r="X37" s="529">
        <v>2.1</v>
      </c>
      <c r="Z37" s="536">
        <v>34</v>
      </c>
      <c r="AA37" s="537" cm="1">
        <f t="array" aca="1" ref="AA37" ca="1">SUMPRODUCT(IF($Z37=$L$4:$L$297,1,0),$P$4:$P$297)</f>
        <v>0</v>
      </c>
      <c r="AB37" s="538">
        <f t="shared" ca="1" si="6"/>
        <v>0</v>
      </c>
    </row>
    <row r="38" spans="8:28">
      <c r="H38" s="32">
        <f t="shared" si="7"/>
        <v>35</v>
      </c>
      <c r="I38" s="33" t="str">
        <f>Calcs!A51</f>
        <v>NORA ACQUISITION, LLC</v>
      </c>
      <c r="J38" s="106">
        <f ca="1">Calcs!BO51</f>
        <v>3768234.86</v>
      </c>
      <c r="K38" s="35" t="str">
        <f>VLOOKUP(Calcs!F51,'Diversity Score'!R$4:S$149,2,FALSE)</f>
        <v>Air Freight &amp; Logistics</v>
      </c>
      <c r="L38" s="36">
        <f t="shared" si="8"/>
        <v>2</v>
      </c>
      <c r="M38" s="36">
        <f>+IF(I38="","",IF(COUNTIF(I39:$I$297,I38)=0,1,0))</f>
        <v>1</v>
      </c>
      <c r="N38" s="37">
        <f t="shared" ca="1" si="11"/>
        <v>3768234.86</v>
      </c>
      <c r="O38" s="38">
        <f t="shared" ca="1" si="9"/>
        <v>1.1166830782607154E-2</v>
      </c>
      <c r="P38" s="39">
        <f t="shared" ca="1" si="10"/>
        <v>0.80401181634771501</v>
      </c>
      <c r="R38" s="532" t="s">
        <v>1206</v>
      </c>
      <c r="S38" s="532" t="s">
        <v>1206</v>
      </c>
      <c r="T38" s="36">
        <v>35</v>
      </c>
      <c r="U38" s="41">
        <f t="shared" ca="1" si="12"/>
        <v>0</v>
      </c>
      <c r="W38" s="531">
        <v>3.35</v>
      </c>
      <c r="X38" s="529">
        <v>2.1333000000000002</v>
      </c>
      <c r="Z38" s="536">
        <v>35</v>
      </c>
      <c r="AA38" s="537" cm="1">
        <f t="array" aca="1" ref="AA38" ca="1">SUMPRODUCT(IF($Z38=$L$4:$L$297,1,0),$P$4:$P$297)</f>
        <v>0</v>
      </c>
      <c r="AB38" s="538">
        <f t="shared" ca="1" si="6"/>
        <v>0</v>
      </c>
    </row>
    <row r="39" spans="8:28">
      <c r="H39" s="32">
        <f t="shared" si="7"/>
        <v>36</v>
      </c>
      <c r="I39" s="33" t="str">
        <f>Calcs!A52</f>
        <v>Omnia Exterior Solutions, LLC</v>
      </c>
      <c r="J39" s="106">
        <f ca="1">Calcs!BO52</f>
        <v>7118722.4500000002</v>
      </c>
      <c r="K39" s="35" t="str">
        <f>VLOOKUP(Calcs!F52,'Diversity Score'!R$4:S$149,2,FALSE)</f>
        <v>Diversified Consumer Services</v>
      </c>
      <c r="L39" s="36">
        <f t="shared" si="8"/>
        <v>19</v>
      </c>
      <c r="M39" s="36">
        <f>+IF(I39="","",IF(COUNTIF(I40:$I$297,I39)=0,1,0))</f>
        <v>1</v>
      </c>
      <c r="N39" s="37">
        <f t="shared" ca="1" si="11"/>
        <v>7118722.4500000002</v>
      </c>
      <c r="O39" s="38">
        <f t="shared" ca="1" si="9"/>
        <v>2.1095704471959749E-2</v>
      </c>
      <c r="P39" s="39">
        <f t="shared" ca="1" si="10"/>
        <v>1</v>
      </c>
      <c r="R39" s="532" t="s">
        <v>1173</v>
      </c>
      <c r="S39" s="532" t="s">
        <v>1173</v>
      </c>
      <c r="T39" s="36">
        <v>36</v>
      </c>
      <c r="U39" s="41">
        <f t="shared" ca="1" si="12"/>
        <v>0</v>
      </c>
      <c r="W39" s="531">
        <v>3.45</v>
      </c>
      <c r="X39" s="529">
        <v>2.1667000000000001</v>
      </c>
      <c r="Z39" s="536">
        <v>36</v>
      </c>
      <c r="AA39" s="537" cm="1">
        <f t="array" aca="1" ref="AA39" ca="1">SUMPRODUCT(IF($Z39=$L$4:$L$297,1,0),$P$4:$P$297)</f>
        <v>0</v>
      </c>
      <c r="AB39" s="538">
        <f t="shared" ca="1" si="6"/>
        <v>0</v>
      </c>
    </row>
    <row r="40" spans="8:28">
      <c r="H40" s="32">
        <f t="shared" si="7"/>
        <v>37</v>
      </c>
      <c r="I40" s="33" t="str">
        <f>Calcs!A53</f>
        <v>PAR Excellence</v>
      </c>
      <c r="J40" s="106">
        <f ca="1">Calcs!BO53</f>
        <v>995000</v>
      </c>
      <c r="K40" s="35" t="str">
        <f>VLOOKUP(Calcs!F53,'Diversity Score'!R$4:S$149,2,FALSE)</f>
        <v>Health Care Technology</v>
      </c>
      <c r="L40" s="36">
        <f t="shared" si="8"/>
        <v>31</v>
      </c>
      <c r="M40" s="36">
        <f>+IF(I40="","",IF(COUNTIF(I41:$I$297,I40)=0,1,0))</f>
        <v>1</v>
      </c>
      <c r="N40" s="37">
        <f t="shared" ca="1" si="11"/>
        <v>995000</v>
      </c>
      <c r="O40" s="38">
        <f t="shared" ca="1" si="9"/>
        <v>2.9485945121515379E-3</v>
      </c>
      <c r="P40" s="39">
        <f t="shared" ca="1" si="10"/>
        <v>0.21229880487491073</v>
      </c>
      <c r="R40" s="532" t="s">
        <v>1205</v>
      </c>
      <c r="S40" s="532" t="s">
        <v>1205</v>
      </c>
      <c r="T40" s="36">
        <v>37</v>
      </c>
      <c r="U40" s="41">
        <f t="shared" ca="1" si="12"/>
        <v>0</v>
      </c>
      <c r="W40" s="531">
        <v>3.55</v>
      </c>
      <c r="X40" s="529">
        <v>2.2000000000000002</v>
      </c>
      <c r="Z40" s="536">
        <v>37</v>
      </c>
      <c r="AA40" s="537" cm="1">
        <f t="array" aca="1" ref="AA40" ca="1">SUMPRODUCT(IF($Z40=$L$4:$L$297,1,0),$P$4:$P$297)</f>
        <v>0</v>
      </c>
      <c r="AB40" s="538">
        <f t="shared" ca="1" si="6"/>
        <v>0</v>
      </c>
    </row>
    <row r="41" spans="8:28">
      <c r="H41" s="32">
        <f t="shared" si="7"/>
        <v>38</v>
      </c>
      <c r="I41" s="33" t="str">
        <f>Calcs!A54</f>
        <v>PL Acquisitionco, LLC</v>
      </c>
      <c r="J41" s="106">
        <f ca="1">Calcs!BO54</f>
        <v>0</v>
      </c>
      <c r="K41" s="35" t="str">
        <f>VLOOKUP(Calcs!F54,'Diversity Score'!R$4:S$149,2,FALSE)</f>
        <v>Specialty Retail</v>
      </c>
      <c r="L41" s="36">
        <f t="shared" si="8"/>
        <v>61</v>
      </c>
      <c r="M41" s="36">
        <f>+IF(I41="","",IF(COUNTIF(I42:$I$297,I41)=0,1,0))</f>
        <v>1</v>
      </c>
      <c r="N41" s="37">
        <f t="shared" ca="1" si="11"/>
        <v>0</v>
      </c>
      <c r="O41" s="38">
        <f t="shared" ca="1" si="9"/>
        <v>0</v>
      </c>
      <c r="P41" s="39">
        <f t="shared" ca="1" si="10"/>
        <v>0</v>
      </c>
      <c r="R41" s="532" t="s">
        <v>191</v>
      </c>
      <c r="S41" s="532" t="s">
        <v>191</v>
      </c>
      <c r="T41" s="36">
        <v>38</v>
      </c>
      <c r="U41" s="41">
        <f t="shared" ca="1" si="12"/>
        <v>0</v>
      </c>
      <c r="W41" s="531">
        <v>3.65</v>
      </c>
      <c r="X41" s="529">
        <v>2.2333428571428602</v>
      </c>
      <c r="Z41" s="536">
        <v>38</v>
      </c>
      <c r="AA41" s="537" cm="1">
        <f t="array" aca="1" ref="AA41" ca="1">SUMPRODUCT(IF($Z41=$L$4:$L$297,1,0),$P$4:$P$297)</f>
        <v>0</v>
      </c>
      <c r="AB41" s="538">
        <f t="shared" ca="1" si="6"/>
        <v>0</v>
      </c>
    </row>
    <row r="42" spans="8:28">
      <c r="H42" s="32">
        <f t="shared" si="7"/>
        <v>39</v>
      </c>
      <c r="I42" s="33" t="str">
        <f>Calcs!A55</f>
        <v>Radius Aerospace</v>
      </c>
      <c r="J42" s="106">
        <f ca="1">Calcs!BO55</f>
        <v>11810532.25</v>
      </c>
      <c r="K42" s="35" t="str">
        <f>VLOOKUP(Calcs!F55,'Diversity Score'!R$4:S$149,2,FALSE)</f>
        <v>Aerospace &amp; Defense</v>
      </c>
      <c r="L42" s="36">
        <f t="shared" si="8"/>
        <v>1</v>
      </c>
      <c r="M42" s="36">
        <f>+IF(I42="","",IF(COUNTIF(I43:$I$297,I42)=0,1,0))</f>
        <v>1</v>
      </c>
      <c r="N42" s="37">
        <f t="shared" ca="1" si="11"/>
        <v>11810532.25</v>
      </c>
      <c r="O42" s="38">
        <f t="shared" ca="1" si="9"/>
        <v>3.4999467917526388E-2</v>
      </c>
      <c r="P42" s="39">
        <f t="shared" ca="1" si="10"/>
        <v>1</v>
      </c>
      <c r="R42" s="532" t="s">
        <v>192</v>
      </c>
      <c r="S42" s="532" t="s">
        <v>192</v>
      </c>
      <c r="T42" s="36">
        <v>39</v>
      </c>
      <c r="U42" s="41">
        <f t="shared" ca="1" si="12"/>
        <v>0</v>
      </c>
      <c r="W42" s="531">
        <v>3.75</v>
      </c>
      <c r="X42" s="529">
        <v>2.26667857142857</v>
      </c>
      <c r="Z42" s="536">
        <v>39</v>
      </c>
      <c r="AA42" s="537" cm="1">
        <f t="array" aca="1" ref="AA42" ca="1">SUMPRODUCT(IF($Z42=$L$4:$L$297,1,0),$P$4:$P$297)</f>
        <v>0</v>
      </c>
      <c r="AB42" s="538">
        <f t="shared" ca="1" si="6"/>
        <v>0</v>
      </c>
    </row>
    <row r="43" spans="8:28">
      <c r="H43" s="32">
        <f t="shared" si="7"/>
        <v>40</v>
      </c>
      <c r="I43" s="33" t="str">
        <f>Calcs!A56</f>
        <v>Rancho Medical</v>
      </c>
      <c r="J43" s="106">
        <f ca="1">Calcs!BO56</f>
        <v>17282079.379999999</v>
      </c>
      <c r="K43" s="35" t="str">
        <f>VLOOKUP(Calcs!F56,'Diversity Score'!R$4:S$149,2,FALSE)</f>
        <v>Health Care Providers &amp; Services</v>
      </c>
      <c r="L43" s="36">
        <f t="shared" si="8"/>
        <v>33</v>
      </c>
      <c r="M43" s="36">
        <f>+IF(I43="","",IF(COUNTIF(I44:$I$297,I43)=0,1,0))</f>
        <v>1</v>
      </c>
      <c r="N43" s="37">
        <f t="shared" ca="1" si="11"/>
        <v>17282079.379999999</v>
      </c>
      <c r="O43" s="38">
        <f t="shared" ca="1" si="9"/>
        <v>5.121391398837713E-2</v>
      </c>
      <c r="P43" s="39">
        <f t="shared" ca="1" si="10"/>
        <v>1</v>
      </c>
      <c r="R43" s="532" t="s">
        <v>323</v>
      </c>
      <c r="S43" s="532" t="s">
        <v>323</v>
      </c>
      <c r="T43" s="36">
        <v>40</v>
      </c>
      <c r="U43" s="41">
        <f t="shared" ca="1" si="12"/>
        <v>0</v>
      </c>
      <c r="W43" s="531">
        <v>3.85</v>
      </c>
      <c r="X43" s="529">
        <v>2.3000142857142798</v>
      </c>
      <c r="Z43" s="536">
        <v>40</v>
      </c>
      <c r="AA43" s="537" cm="1">
        <f t="array" aca="1" ref="AA43" ca="1">SUMPRODUCT(IF($Z43=$L$4:$L$297,1,0),$P$4:$P$297)</f>
        <v>0</v>
      </c>
      <c r="AB43" s="538">
        <f t="shared" ca="1" si="6"/>
        <v>0</v>
      </c>
    </row>
    <row r="44" spans="8:28">
      <c r="H44" s="32">
        <f t="shared" si="7"/>
        <v>41</v>
      </c>
      <c r="I44" s="33" t="str">
        <f>Calcs!A57</f>
        <v>Reception Purchaser, LLC -First Out Term loan</v>
      </c>
      <c r="J44" s="106">
        <f ca="1">Calcs!BO57</f>
        <v>0</v>
      </c>
      <c r="K44" s="35" t="str">
        <f>VLOOKUP(Calcs!F57,'Diversity Score'!R$4:S$149,2,FALSE)</f>
        <v>Air Freight &amp; Logistics</v>
      </c>
      <c r="L44" s="36">
        <f t="shared" si="8"/>
        <v>2</v>
      </c>
      <c r="M44" s="36">
        <f>+IF(I44="","",IF(COUNTIF(I45:$I$297,I44)=0,1,0))</f>
        <v>1</v>
      </c>
      <c r="N44" s="37">
        <f t="shared" ca="1" si="11"/>
        <v>0</v>
      </c>
      <c r="O44" s="38">
        <f t="shared" ca="1" si="9"/>
        <v>0</v>
      </c>
      <c r="P44" s="39">
        <f t="shared" ca="1" si="10"/>
        <v>0</v>
      </c>
      <c r="R44" s="532" t="s">
        <v>1204</v>
      </c>
      <c r="S44" s="532" t="s">
        <v>1204</v>
      </c>
      <c r="T44" s="36">
        <v>41</v>
      </c>
      <c r="U44" s="41">
        <f t="shared" ca="1" si="12"/>
        <v>0</v>
      </c>
      <c r="W44" s="531">
        <v>3.95</v>
      </c>
      <c r="X44" s="529">
        <v>2.3333499999999998</v>
      </c>
      <c r="Z44" s="536">
        <v>41</v>
      </c>
      <c r="AA44" s="537" cm="1">
        <f t="array" aca="1" ref="AA44" ca="1">SUMPRODUCT(IF($Z44=$L$4:$L$297,1,0),$P$4:$P$297)</f>
        <v>0</v>
      </c>
      <c r="AB44" s="538">
        <f t="shared" ca="1" si="6"/>
        <v>0</v>
      </c>
    </row>
    <row r="45" spans="8:28">
      <c r="H45" s="32">
        <f t="shared" si="7"/>
        <v>42</v>
      </c>
      <c r="I45" s="33" t="str">
        <f>Calcs!A58</f>
        <v>Research Now Group, LLC and Dynata, LLC - First Out Term Loan</v>
      </c>
      <c r="J45" s="106">
        <f ca="1">Calcs!BO58</f>
        <v>1576230.82</v>
      </c>
      <c r="K45" s="35" t="str">
        <f>VLOOKUP(Calcs!F58,'Diversity Score'!R$4:S$149,2,FALSE)</f>
        <v>Diversified Consumer Services</v>
      </c>
      <c r="L45" s="36">
        <f t="shared" si="8"/>
        <v>19</v>
      </c>
      <c r="M45" s="36">
        <f>+IF(I45="","",IF(COUNTIF(I46:$I$297,I45)=0,1,0))</f>
        <v>1</v>
      </c>
      <c r="N45" s="37">
        <f t="shared" ca="1" si="11"/>
        <v>1576230.82</v>
      </c>
      <c r="O45" s="38">
        <f t="shared" ca="1" si="9"/>
        <v>4.671020648981024E-3</v>
      </c>
      <c r="P45" s="39">
        <f t="shared" ca="1" si="10"/>
        <v>0.33631348672663369</v>
      </c>
      <c r="R45" s="532" t="s">
        <v>193</v>
      </c>
      <c r="S45" s="532" t="s">
        <v>193</v>
      </c>
      <c r="T45" s="36">
        <v>42</v>
      </c>
      <c r="U45" s="41">
        <f t="shared" ca="1" si="12"/>
        <v>7.8354019043887752E-2</v>
      </c>
      <c r="W45" s="531">
        <v>4.05</v>
      </c>
      <c r="X45" s="529">
        <v>2.3666857142857101</v>
      </c>
      <c r="Z45" s="536">
        <v>42</v>
      </c>
      <c r="AA45" s="537" cm="1">
        <f t="array" aca="1" ref="AA45" ca="1">SUMPRODUCT(IF($Z45=$L$4:$L$297,1,0),$P$4:$P$297)</f>
        <v>2.4927025862810184</v>
      </c>
      <c r="AB45" s="538">
        <f t="shared" ca="1" si="6"/>
        <v>1.75</v>
      </c>
    </row>
    <row r="46" spans="8:28">
      <c r="H46" s="32">
        <f t="shared" si="7"/>
        <v>43</v>
      </c>
      <c r="I46" s="33" t="str">
        <f>Calcs!A59</f>
        <v>Research Now Group, LLC and Dynata, LLC-Last Out Term loan</v>
      </c>
      <c r="J46" s="106">
        <f ca="1">Calcs!BO59</f>
        <v>5290652.5518000005</v>
      </c>
      <c r="K46" s="35" t="str">
        <f>VLOOKUP(Calcs!F59,'Diversity Score'!R$4:S$149,2,FALSE)</f>
        <v>Diversified Consumer Services</v>
      </c>
      <c r="L46" s="36">
        <f t="shared" si="8"/>
        <v>19</v>
      </c>
      <c r="M46" s="36">
        <f>+IF(I46="","",IF(COUNTIF(I47:$I$297,I46)=0,1,0))</f>
        <v>1</v>
      </c>
      <c r="N46" s="37">
        <f t="shared" ca="1" si="11"/>
        <v>5290652.5518000005</v>
      </c>
      <c r="O46" s="38">
        <f t="shared" ca="1" si="9"/>
        <v>1.5678380984862322E-2</v>
      </c>
      <c r="P46" s="39">
        <f t="shared" ca="1" si="10"/>
        <v>1</v>
      </c>
      <c r="R46" s="532" t="s">
        <v>194</v>
      </c>
      <c r="S46" s="532" t="s">
        <v>194</v>
      </c>
      <c r="T46" s="36">
        <v>43</v>
      </c>
      <c r="U46" s="41">
        <f t="shared" ca="1" si="12"/>
        <v>6.8911709530090071E-2</v>
      </c>
      <c r="W46" s="531">
        <v>4.25</v>
      </c>
      <c r="X46" s="529">
        <v>2.4333571428571399</v>
      </c>
      <c r="Z46" s="536">
        <v>43</v>
      </c>
      <c r="AA46" s="537" cm="1">
        <f t="array" aca="1" ref="AA46" ca="1">SUMPRODUCT(IF($Z46=$L$4:$L$297,1,0),$P$4:$P$297)</f>
        <v>2</v>
      </c>
      <c r="AB46" s="538">
        <f t="shared" ca="1" si="6"/>
        <v>0.7</v>
      </c>
    </row>
    <row r="47" spans="8:28">
      <c r="H47" s="32">
        <f t="shared" si="7"/>
        <v>44</v>
      </c>
      <c r="I47" s="33" t="str">
        <f>Calcs!A60</f>
        <v>RTIC subsidiary Holdings, LLC</v>
      </c>
      <c r="J47" s="106">
        <f ca="1">Calcs!BO60</f>
        <v>8862707.1400000006</v>
      </c>
      <c r="K47" s="35" t="str">
        <f>VLOOKUP(Calcs!F60,'Diversity Score'!R$4:S$149,2,FALSE)</f>
        <v>Leisure Products</v>
      </c>
      <c r="L47" s="36">
        <f t="shared" si="8"/>
        <v>43</v>
      </c>
      <c r="M47" s="36">
        <f>+IF(I47="","",IF(COUNTIF(I48:$I$297,I47)=0,1,0))</f>
        <v>1</v>
      </c>
      <c r="N47" s="37">
        <f t="shared" ca="1" si="11"/>
        <v>8862707.1400000006</v>
      </c>
      <c r="O47" s="38">
        <f t="shared" ca="1" si="9"/>
        <v>2.6263848880211309E-2</v>
      </c>
      <c r="P47" s="39">
        <f t="shared" ca="1" si="10"/>
        <v>1</v>
      </c>
      <c r="R47" s="532" t="s">
        <v>320</v>
      </c>
      <c r="S47" s="532" t="s">
        <v>320</v>
      </c>
      <c r="T47" s="36">
        <v>44</v>
      </c>
      <c r="U47" s="41">
        <f t="shared" ca="1" si="12"/>
        <v>0</v>
      </c>
      <c r="W47" s="531">
        <v>4.3499999999999996</v>
      </c>
      <c r="X47" s="529">
        <v>2.4666928571428501</v>
      </c>
      <c r="Z47" s="536">
        <v>44</v>
      </c>
      <c r="AA47" s="537" cm="1">
        <f t="array" aca="1" ref="AA47" ca="1">SUMPRODUCT(IF($Z47=$L$4:$L$297,1,0),$P$4:$P$297)</f>
        <v>0</v>
      </c>
      <c r="AB47" s="538">
        <f t="shared" ca="1" si="6"/>
        <v>0</v>
      </c>
    </row>
    <row r="48" spans="8:28">
      <c r="H48" s="32">
        <f t="shared" si="7"/>
        <v>45</v>
      </c>
      <c r="I48" s="33" t="str">
        <f>Calcs!A61</f>
        <v>SV- Aero Holdings, LLC (Aeronix)</v>
      </c>
      <c r="J48" s="106">
        <f ca="1">Calcs!BO61</f>
        <v>790000</v>
      </c>
      <c r="K48" s="35" t="str">
        <f>VLOOKUP(Calcs!F61,'Diversity Score'!R$4:S$149,2,FALSE)</f>
        <v>Aerospace &amp; Defense</v>
      </c>
      <c r="L48" s="36">
        <f t="shared" si="8"/>
        <v>1</v>
      </c>
      <c r="M48" s="36">
        <f>+IF(I48="","",IF(COUNTIF(I49:$I$297,I48)=0,1,0))</f>
        <v>1</v>
      </c>
      <c r="N48" s="37">
        <f t="shared" ca="1" si="11"/>
        <v>790000</v>
      </c>
      <c r="O48" s="38">
        <f t="shared" ca="1" si="9"/>
        <v>2.3410951403012208E-3</v>
      </c>
      <c r="P48" s="39">
        <f t="shared" ca="1" si="10"/>
        <v>0.16855885010168792</v>
      </c>
      <c r="R48" s="532" t="s">
        <v>195</v>
      </c>
      <c r="S48" s="532" t="s">
        <v>195</v>
      </c>
      <c r="T48" s="36">
        <v>45</v>
      </c>
      <c r="U48" s="41">
        <f t="shared" ca="1" si="12"/>
        <v>0</v>
      </c>
      <c r="W48" s="531">
        <v>4.45</v>
      </c>
      <c r="X48" s="529">
        <v>2.5000285714285702</v>
      </c>
      <c r="Z48" s="536">
        <v>45</v>
      </c>
      <c r="AA48" s="537" cm="1">
        <f t="array" aca="1" ref="AA48" ca="1">SUMPRODUCT(IF($Z48=$L$4:$L$297,1,0),$P$4:$P$297)</f>
        <v>0</v>
      </c>
      <c r="AB48" s="538">
        <f t="shared" ca="1" si="6"/>
        <v>0</v>
      </c>
    </row>
    <row r="49" spans="8:28">
      <c r="H49" s="32">
        <f t="shared" si="7"/>
        <v>46</v>
      </c>
      <c r="I49" s="33" t="str">
        <f>Calcs!A62</f>
        <v>Sabel Systems Technology Solutions, LLC</v>
      </c>
      <c r="J49" s="106">
        <f ca="1">Calcs!BO62</f>
        <v>5970000</v>
      </c>
      <c r="K49" s="35" t="str">
        <f>VLOOKUP(Calcs!F62,'Diversity Score'!R$4:S$149,2,FALSE)</f>
        <v>IT Services</v>
      </c>
      <c r="L49" s="36">
        <f t="shared" si="8"/>
        <v>42</v>
      </c>
      <c r="M49" s="36">
        <f>+IF(I49="","",IF(COUNTIF(I50:$I$297,I49)=0,1,0))</f>
        <v>1</v>
      </c>
      <c r="N49" s="37">
        <f t="shared" ca="1" si="11"/>
        <v>5970000</v>
      </c>
      <c r="O49" s="38">
        <f t="shared" ca="1" si="9"/>
        <v>1.7691567072909226E-2</v>
      </c>
      <c r="P49" s="39">
        <f t="shared" ca="1" si="10"/>
        <v>1</v>
      </c>
      <c r="R49" s="532" t="s">
        <v>196</v>
      </c>
      <c r="S49" s="532" t="s">
        <v>196</v>
      </c>
      <c r="T49" s="36">
        <v>46</v>
      </c>
      <c r="U49" s="41">
        <f t="shared" ca="1" si="12"/>
        <v>0</v>
      </c>
      <c r="W49" s="531">
        <v>4.55</v>
      </c>
      <c r="X49" s="529">
        <v>2.53336428571428</v>
      </c>
      <c r="Z49" s="536">
        <v>46</v>
      </c>
      <c r="AA49" s="537" cm="1">
        <f t="array" aca="1" ref="AA49" ca="1">SUMPRODUCT(IF($Z49=$L$4:$L$297,1,0),$P$4:$P$297)</f>
        <v>0</v>
      </c>
      <c r="AB49" s="538">
        <f t="shared" ca="1" si="6"/>
        <v>0</v>
      </c>
    </row>
    <row r="50" spans="8:28">
      <c r="H50" s="32">
        <f t="shared" si="7"/>
        <v>47</v>
      </c>
      <c r="I50" s="33" t="str">
        <f>Calcs!A63</f>
        <v>Seaway Plastics</v>
      </c>
      <c r="J50" s="106">
        <f ca="1">Calcs!BO63</f>
        <v>545882.25599999994</v>
      </c>
      <c r="K50" s="35" t="str">
        <f>VLOOKUP(Calcs!F63,'Diversity Score'!R$4:S$149,2,FALSE)</f>
        <v>Chemicals</v>
      </c>
      <c r="L50" s="36">
        <f t="shared" si="8"/>
        <v>11</v>
      </c>
      <c r="M50" s="36">
        <f>+IF(I50="","",IF(COUNTIF(I51:$I$297,I50)=0,1,0))</f>
        <v>1</v>
      </c>
      <c r="N50" s="37">
        <f t="shared" ca="1" si="11"/>
        <v>545882.25599999994</v>
      </c>
      <c r="O50" s="38">
        <f t="shared" ca="1" si="9"/>
        <v>1.6176737932889454E-3</v>
      </c>
      <c r="P50" s="39">
        <f t="shared" ca="1" si="10"/>
        <v>0.11647251311680407</v>
      </c>
      <c r="R50" s="532" t="s">
        <v>197</v>
      </c>
      <c r="S50" s="532" t="s">
        <v>197</v>
      </c>
      <c r="T50" s="36">
        <v>47</v>
      </c>
      <c r="U50" s="41">
        <f t="shared" ca="1" si="12"/>
        <v>0.13844151387302611</v>
      </c>
      <c r="W50" s="531">
        <v>4.6500000000000004</v>
      </c>
      <c r="X50" s="529">
        <v>2.5667</v>
      </c>
      <c r="Z50" s="536">
        <v>47</v>
      </c>
      <c r="AA50" s="537" cm="1">
        <f t="array" aca="1" ref="AA50" ca="1">SUMPRODUCT(IF($Z50=$L$4:$L$297,1,0),$P$4:$P$297)</f>
        <v>5.2767310767137792</v>
      </c>
      <c r="AB50" s="538">
        <f t="shared" ca="1" si="6"/>
        <v>2.7667000000000002</v>
      </c>
    </row>
    <row r="51" spans="8:28">
      <c r="H51" s="32">
        <f t="shared" si="7"/>
        <v>48</v>
      </c>
      <c r="I51" s="33" t="str">
        <f>Calcs!A64</f>
        <v>Sigma Defense Systems, LLC</v>
      </c>
      <c r="J51" s="106">
        <f ca="1">Calcs!BO64</f>
        <v>18161284.460000001</v>
      </c>
      <c r="K51" s="35" t="str">
        <f>VLOOKUP(Calcs!F64,'Diversity Score'!R$4:S$149,2,FALSE)</f>
        <v>IT Services</v>
      </c>
      <c r="L51" s="36">
        <f t="shared" si="8"/>
        <v>42</v>
      </c>
      <c r="M51" s="36">
        <f>+IF(I51="","",IF(COUNTIF(I52:$I$297,I51)=0,1,0))</f>
        <v>1</v>
      </c>
      <c r="N51" s="37">
        <f t="shared" ca="1" si="11"/>
        <v>18161284.460000001</v>
      </c>
      <c r="O51" s="38">
        <f t="shared" ca="1" si="9"/>
        <v>5.3819360494853273E-2</v>
      </c>
      <c r="P51" s="39">
        <f t="shared" ca="1" si="10"/>
        <v>1</v>
      </c>
      <c r="R51" s="532" t="s">
        <v>1203</v>
      </c>
      <c r="S51" s="532" t="s">
        <v>1203</v>
      </c>
      <c r="T51" s="36">
        <v>48</v>
      </c>
      <c r="U51" s="41">
        <f t="shared" ca="1" si="12"/>
        <v>0</v>
      </c>
      <c r="W51" s="531">
        <v>4.75</v>
      </c>
      <c r="X51" s="529">
        <v>2.6000357142857098</v>
      </c>
      <c r="Z51" s="536">
        <v>48</v>
      </c>
      <c r="AA51" s="537" cm="1">
        <f t="array" aca="1" ref="AA51" ca="1">SUMPRODUCT(IF($Z51=$L$4:$L$297,1,0),$P$4:$P$297)</f>
        <v>0</v>
      </c>
      <c r="AB51" s="538">
        <f t="shared" ca="1" si="6"/>
        <v>0</v>
      </c>
    </row>
    <row r="52" spans="8:28">
      <c r="H52" s="32">
        <f t="shared" si="7"/>
        <v>49</v>
      </c>
      <c r="I52" s="33" t="str">
        <f>Calcs!A65</f>
        <v xml:space="preserve">System Planning and Analysis, Inc. </v>
      </c>
      <c r="J52" s="106">
        <f ca="1">Calcs!BO65</f>
        <v>1278782.1200000001</v>
      </c>
      <c r="K52" s="35" t="str">
        <f>VLOOKUP(Calcs!F65,'Diversity Score'!R$4:S$149,2,FALSE)</f>
        <v>Aerospace &amp; Defense</v>
      </c>
      <c r="L52" s="36">
        <f t="shared" si="8"/>
        <v>1</v>
      </c>
      <c r="M52" s="36">
        <f>+IF(I52="","",IF(COUNTIF(I53:$I$297,I52)=0,1,0))</f>
        <v>1</v>
      </c>
      <c r="N52" s="37">
        <f t="shared" ca="1" si="11"/>
        <v>1278782.1200000001</v>
      </c>
      <c r="O52" s="38">
        <f t="shared" ca="1" si="9"/>
        <v>3.789557729919105E-3</v>
      </c>
      <c r="P52" s="39">
        <f t="shared" ca="1" si="10"/>
        <v>0.27284815655417555</v>
      </c>
      <c r="R52" s="532" t="s">
        <v>1202</v>
      </c>
      <c r="S52" s="532" t="s">
        <v>1202</v>
      </c>
      <c r="T52" s="36">
        <v>49</v>
      </c>
      <c r="U52" s="41">
        <f t="shared" ca="1" si="12"/>
        <v>0</v>
      </c>
      <c r="W52" s="531">
        <v>4.8499999999999996</v>
      </c>
      <c r="X52" s="529">
        <v>2.63337142857142</v>
      </c>
      <c r="Z52" s="536">
        <v>49</v>
      </c>
      <c r="AA52" s="537" cm="1">
        <f t="array" aca="1" ref="AA52" ca="1">SUMPRODUCT(IF($Z52=$L$4:$L$297,1,0),$P$4:$P$297)</f>
        <v>0</v>
      </c>
      <c r="AB52" s="538">
        <f t="shared" ca="1" si="6"/>
        <v>0</v>
      </c>
    </row>
    <row r="53" spans="8:28">
      <c r="H53" s="32">
        <f t="shared" si="7"/>
        <v>50</v>
      </c>
      <c r="I53" s="33" t="str">
        <f>Calcs!A66</f>
        <v>Team Services Group, LLC</v>
      </c>
      <c r="J53" s="106">
        <f ca="1">Calcs!BO66</f>
        <v>995000</v>
      </c>
      <c r="K53" s="35" t="str">
        <f>VLOOKUP(Calcs!F66,'Diversity Score'!R$4:S$149,2,FALSE)</f>
        <v>Health Care Providers &amp; Services</v>
      </c>
      <c r="L53" s="36">
        <f t="shared" si="8"/>
        <v>33</v>
      </c>
      <c r="M53" s="36">
        <f>+IF(I53="","",IF(COUNTIF(I54:$I$297,I53)=0,1,0))</f>
        <v>1</v>
      </c>
      <c r="N53" s="37">
        <f t="shared" ca="1" si="11"/>
        <v>995000</v>
      </c>
      <c r="O53" s="38">
        <f t="shared" ca="1" si="9"/>
        <v>2.9485945121515379E-3</v>
      </c>
      <c r="P53" s="39">
        <f t="shared" ca="1" si="10"/>
        <v>0.21229880487491073</v>
      </c>
      <c r="R53" s="532" t="s">
        <v>1201</v>
      </c>
      <c r="S53" s="532" t="s">
        <v>1201</v>
      </c>
      <c r="T53" s="36">
        <v>50</v>
      </c>
      <c r="U53" s="41">
        <f t="shared" ca="1" si="12"/>
        <v>0</v>
      </c>
      <c r="W53" s="531">
        <v>4.95</v>
      </c>
      <c r="X53" s="529">
        <v>2.6667071428571401</v>
      </c>
      <c r="Z53" s="536">
        <v>50</v>
      </c>
      <c r="AA53" s="537" cm="1">
        <f t="array" aca="1" ref="AA53" ca="1">SUMPRODUCT(IF($Z53=$L$4:$L$297,1,0),$P$4:$P$297)</f>
        <v>0</v>
      </c>
      <c r="AB53" s="538">
        <f t="shared" ca="1" si="6"/>
        <v>0</v>
      </c>
    </row>
    <row r="54" spans="8:28">
      <c r="H54" s="32">
        <f t="shared" si="7"/>
        <v>51</v>
      </c>
      <c r="I54" s="33" t="str">
        <f>Calcs!A67</f>
        <v>TCD 3.0 Jogger Acquisitionco, Inc. Term Loan</v>
      </c>
      <c r="J54" s="106">
        <f ca="1">Calcs!BO67</f>
        <v>3920226.14</v>
      </c>
      <c r="K54" s="35" t="str">
        <f>VLOOKUP(Calcs!F67,'Diversity Score'!R$4:S$149,2,FALSE)</f>
        <v>Media</v>
      </c>
      <c r="L54" s="36">
        <f t="shared" si="8"/>
        <v>47</v>
      </c>
      <c r="M54" s="36">
        <f>+IF(I54="","",IF(COUNTIF(I55:$I$297,I54)=0,1,0))</f>
        <v>1</v>
      </c>
      <c r="N54" s="37">
        <f t="shared" ca="1" si="11"/>
        <v>3920226.14</v>
      </c>
      <c r="O54" s="38">
        <f t="shared" ca="1" si="9"/>
        <v>1.1617243500298498E-2</v>
      </c>
      <c r="P54" s="39">
        <f t="shared" ca="1" si="10"/>
        <v>0.83644153202149196</v>
      </c>
      <c r="R54" s="532" t="s">
        <v>1200</v>
      </c>
      <c r="S54" s="532" t="s">
        <v>1200</v>
      </c>
      <c r="T54" s="36">
        <v>51</v>
      </c>
      <c r="U54" s="41">
        <f t="shared" ca="1" si="12"/>
        <v>0</v>
      </c>
      <c r="W54" s="531">
        <v>4.95</v>
      </c>
      <c r="X54" s="529">
        <v>2.6667071428571401</v>
      </c>
      <c r="Z54" s="536">
        <v>51</v>
      </c>
      <c r="AA54" s="537" cm="1">
        <f t="array" aca="1" ref="AA54" ca="1">SUMPRODUCT(IF($Z54=$L$4:$L$297,1,0),$P$4:$P$297)</f>
        <v>0</v>
      </c>
      <c r="AB54" s="538">
        <f t="shared" ca="1" si="6"/>
        <v>0</v>
      </c>
    </row>
    <row r="55" spans="8:28">
      <c r="H55" s="32">
        <f t="shared" si="7"/>
        <v>52</v>
      </c>
      <c r="I55" s="33" t="str">
        <f>Calcs!A68</f>
        <v>The Bluebird Group LLC</v>
      </c>
      <c r="J55" s="106">
        <f ca="1">Calcs!BO68</f>
        <v>3610766.51</v>
      </c>
      <c r="K55" s="35" t="str">
        <f>VLOOKUP(Calcs!F68,'Diversity Score'!R$4:S$149,2,FALSE)</f>
        <v>Professional Services</v>
      </c>
      <c r="L55" s="36">
        <f t="shared" si="8"/>
        <v>56</v>
      </c>
      <c r="M55" s="36">
        <f>+IF(I55="","",IF(COUNTIF(I56:$I$297,I55)=0,1,0))</f>
        <v>1</v>
      </c>
      <c r="N55" s="37">
        <f t="shared" ca="1" si="11"/>
        <v>3610766.51</v>
      </c>
      <c r="O55" s="38">
        <f t="shared" ca="1" si="9"/>
        <v>1.07001872523081E-2</v>
      </c>
      <c r="P55" s="39">
        <f t="shared" ca="1" si="10"/>
        <v>0.77041348216618322</v>
      </c>
      <c r="R55" s="532" t="s">
        <v>326</v>
      </c>
      <c r="S55" s="532" t="s">
        <v>326</v>
      </c>
      <c r="T55" s="36">
        <v>52</v>
      </c>
      <c r="U55" s="41">
        <f t="shared" ca="1" si="12"/>
        <v>0</v>
      </c>
      <c r="W55" s="531">
        <v>4.95</v>
      </c>
      <c r="X55" s="529">
        <v>2.6667071428571401</v>
      </c>
      <c r="Z55" s="536">
        <v>52</v>
      </c>
      <c r="AA55" s="537" cm="1">
        <f t="array" aca="1" ref="AA55" ca="1">SUMPRODUCT(IF($Z55=$L$4:$L$297,1,0),$P$4:$P$297)</f>
        <v>0</v>
      </c>
      <c r="AB55" s="538">
        <f t="shared" ca="1" si="6"/>
        <v>0</v>
      </c>
    </row>
    <row r="56" spans="8:28">
      <c r="H56" s="32">
        <f t="shared" si="7"/>
        <v>53</v>
      </c>
      <c r="I56" s="33" t="str">
        <f>Calcs!A69</f>
        <v>The Vertex Companies, LLC</v>
      </c>
      <c r="J56" s="106">
        <f ca="1">Calcs!BO69</f>
        <v>6965000</v>
      </c>
      <c r="K56" s="35" t="str">
        <f>VLOOKUP(Calcs!F69,'Diversity Score'!R$4:S$149,2,FALSE)</f>
        <v>Construction &amp; Engineering</v>
      </c>
      <c r="L56" s="36">
        <f t="shared" si="8"/>
        <v>14</v>
      </c>
      <c r="M56" s="36">
        <f>+IF(I56="","",IF(COUNTIF(I57:$I$297,I56)=0,1,0))</f>
        <v>1</v>
      </c>
      <c r="N56" s="37">
        <f t="shared" ca="1" si="11"/>
        <v>6965000</v>
      </c>
      <c r="O56" s="38">
        <f t="shared" ca="1" si="9"/>
        <v>2.0640161585060764E-2</v>
      </c>
      <c r="P56" s="39">
        <f t="shared" ca="1" si="10"/>
        <v>1</v>
      </c>
      <c r="R56" s="532" t="s">
        <v>1199</v>
      </c>
      <c r="S56" s="532" t="s">
        <v>1199</v>
      </c>
      <c r="T56" s="36">
        <v>53</v>
      </c>
      <c r="U56" s="41">
        <f t="shared" ca="1" si="12"/>
        <v>0</v>
      </c>
      <c r="W56" s="531">
        <v>5.25</v>
      </c>
      <c r="X56" s="529">
        <v>2.7667000000000002</v>
      </c>
      <c r="Z56" s="536">
        <v>53</v>
      </c>
      <c r="AA56" s="537" cm="1">
        <f t="array" aca="1" ref="AA56" ca="1">SUMPRODUCT(IF($Z56=$L$4:$L$297,1,0),$P$4:$P$297)</f>
        <v>0</v>
      </c>
      <c r="AB56" s="538">
        <f t="shared" ca="1" si="6"/>
        <v>0</v>
      </c>
    </row>
    <row r="57" spans="8:28">
      <c r="H57" s="32">
        <f t="shared" si="7"/>
        <v>54</v>
      </c>
      <c r="I57" s="33" t="str">
        <f>Calcs!A70</f>
        <v>Transgo</v>
      </c>
      <c r="J57" s="106">
        <f ca="1">Calcs!BO70</f>
        <v>3040931.77</v>
      </c>
      <c r="K57" s="35" t="str">
        <f>VLOOKUP(Calcs!F70,'Diversity Score'!R$4:S$149,2,FALSE)</f>
        <v>Automobiles</v>
      </c>
      <c r="L57" s="36">
        <f t="shared" si="8"/>
        <v>5</v>
      </c>
      <c r="M57" s="36">
        <f>+IF(I57="","",IF(COUNTIF(I58:$I$297,I57)=0,1,0))</f>
        <v>1</v>
      </c>
      <c r="N57" s="37">
        <f t="shared" ca="1" si="11"/>
        <v>3040931.77</v>
      </c>
      <c r="O57" s="38">
        <f t="shared" ca="1" si="9"/>
        <v>9.0115323908032778E-3</v>
      </c>
      <c r="P57" s="39">
        <f t="shared" ca="1" si="10"/>
        <v>0.64883033213783603</v>
      </c>
      <c r="R57" s="532" t="s">
        <v>1099</v>
      </c>
      <c r="S57" s="532" t="s">
        <v>1099</v>
      </c>
      <c r="T57" s="36">
        <v>54</v>
      </c>
      <c r="U57" s="41">
        <f t="shared" ca="1" si="12"/>
        <v>4.9933363010139934E-3</v>
      </c>
      <c r="W57" s="531">
        <v>5.35</v>
      </c>
      <c r="X57" s="529">
        <v>2.8</v>
      </c>
      <c r="Z57" s="536">
        <v>54</v>
      </c>
      <c r="AA57" s="537" cm="1">
        <f t="array" aca="1" ref="AA57" ca="1">SUMPRODUCT(IF($Z57=$L$4:$L$297,1,0),$P$4:$P$297)</f>
        <v>0.35952021367300757</v>
      </c>
      <c r="AB57" s="538">
        <f t="shared" ca="1" si="6"/>
        <v>0.3</v>
      </c>
    </row>
    <row r="58" spans="8:28">
      <c r="H58" s="32">
        <f t="shared" si="7"/>
        <v>55</v>
      </c>
      <c r="I58" s="33" t="str">
        <f>Calcs!A71</f>
        <v>UROLOGY MANAGEMENT HOLDINGS, INC.</v>
      </c>
      <c r="J58" s="106">
        <f ca="1">Calcs!BO71</f>
        <v>2665549.9</v>
      </c>
      <c r="K58" s="35" t="str">
        <f>VLOOKUP(Calcs!F71,'Diversity Score'!R$4:S$149,2,FALSE)</f>
        <v>Health Care Providers &amp; Services</v>
      </c>
      <c r="L58" s="36">
        <f t="shared" si="8"/>
        <v>33</v>
      </c>
      <c r="M58" s="36">
        <f>+IF(I58="","",IF(COUNTIF(I59:$I$297,I58)=0,1,0))</f>
        <v>1</v>
      </c>
      <c r="N58" s="37">
        <f t="shared" ca="1" si="11"/>
        <v>2665549.9</v>
      </c>
      <c r="O58" s="38">
        <f t="shared" ca="1" si="9"/>
        <v>7.8991214140764626E-3</v>
      </c>
      <c r="P58" s="39">
        <f t="shared" ca="1" si="10"/>
        <v>0.56873674181350531</v>
      </c>
      <c r="R58" s="532" t="s">
        <v>198</v>
      </c>
      <c r="S58" s="532" t="s">
        <v>198</v>
      </c>
      <c r="T58" s="36">
        <v>55</v>
      </c>
      <c r="U58" s="41">
        <f t="shared" ca="1" si="12"/>
        <v>0</v>
      </c>
      <c r="W58" s="531">
        <v>5.45</v>
      </c>
      <c r="X58" s="529">
        <v>2.8333499999999998</v>
      </c>
      <c r="Z58" s="536">
        <v>55</v>
      </c>
      <c r="AA58" s="537" cm="1">
        <f t="array" aca="1" ref="AA58" ca="1">SUMPRODUCT(IF($Z58=$L$4:$L$297,1,0),$P$4:$P$297)</f>
        <v>0</v>
      </c>
      <c r="AB58" s="538">
        <f t="shared" ca="1" si="6"/>
        <v>0</v>
      </c>
    </row>
    <row r="59" spans="8:28">
      <c r="H59" s="32">
        <f t="shared" si="7"/>
        <v>56</v>
      </c>
      <c r="I59" s="33" t="str">
        <f>Calcs!A72</f>
        <v>US Fertility</v>
      </c>
      <c r="J59" s="106">
        <f ca="1">Calcs!BO72</f>
        <v>4987500</v>
      </c>
      <c r="K59" s="35" t="str">
        <f>VLOOKUP(Calcs!F72,'Diversity Score'!R$4:S$149,2,FALSE)</f>
        <v>Health Care Providers &amp; Services</v>
      </c>
      <c r="L59" s="36">
        <f t="shared" si="8"/>
        <v>33</v>
      </c>
      <c r="M59" s="36">
        <f>+IF(I59="","",IF(COUNTIF(I60:$I$297,I59)=0,1,0))</f>
        <v>1</v>
      </c>
      <c r="N59" s="37">
        <f t="shared" ca="1" si="11"/>
        <v>4987500</v>
      </c>
      <c r="O59" s="38">
        <f t="shared" ca="1" si="9"/>
        <v>1.4780015205382708E-2</v>
      </c>
      <c r="P59" s="39">
        <f t="shared" ca="1" si="10"/>
        <v>1</v>
      </c>
      <c r="R59" s="532" t="s">
        <v>199</v>
      </c>
      <c r="S59" s="532" t="s">
        <v>199</v>
      </c>
      <c r="T59" s="36">
        <v>56</v>
      </c>
      <c r="U59" s="41">
        <f t="shared" ca="1" si="12"/>
        <v>0.1775926204203937</v>
      </c>
      <c r="W59" s="531">
        <v>5.55</v>
      </c>
      <c r="X59" s="529">
        <v>2.8666900000000002</v>
      </c>
      <c r="Z59" s="536">
        <v>56</v>
      </c>
      <c r="AA59" s="537" cm="1">
        <f t="array" aca="1" ref="AA59" ca="1">SUMPRODUCT(IF($Z59=$L$4:$L$297,1,0),$P$4:$P$297)</f>
        <v>10.453801722707773</v>
      </c>
      <c r="AB59" s="538">
        <f t="shared" ca="1" si="6"/>
        <v>4.05</v>
      </c>
    </row>
    <row r="60" spans="8:28">
      <c r="H60" s="32">
        <f t="shared" si="7"/>
        <v>57</v>
      </c>
      <c r="I60" s="33" t="str">
        <f>Calcs!A73</f>
        <v>Watchtower Buyer, LLC</v>
      </c>
      <c r="J60" s="106">
        <f ca="1">Calcs!BO73</f>
        <v>6427124.3100000005</v>
      </c>
      <c r="K60" s="35" t="str">
        <f>VLOOKUP(Calcs!F73,'Diversity Score'!R$4:S$149,2,FALSE)</f>
        <v>Professional Services</v>
      </c>
      <c r="L60" s="36">
        <f t="shared" si="8"/>
        <v>56</v>
      </c>
      <c r="M60" s="36">
        <f>+IF(I60="","",IF(COUNTIF(I61:$I$297,I60)=0,1,0))</f>
        <v>1</v>
      </c>
      <c r="N60" s="37">
        <f t="shared" ca="1" si="11"/>
        <v>6427124.3100000005</v>
      </c>
      <c r="O60" s="38">
        <f t="shared" ca="1" si="9"/>
        <v>1.90462145420922E-2</v>
      </c>
      <c r="P60" s="39">
        <f t="shared" ca="1" si="10"/>
        <v>1</v>
      </c>
      <c r="R60" s="532" t="s">
        <v>1132</v>
      </c>
      <c r="S60" s="532" t="s">
        <v>1132</v>
      </c>
      <c r="T60" s="36">
        <v>57</v>
      </c>
      <c r="U60" s="41">
        <f t="shared" ca="1" si="12"/>
        <v>0</v>
      </c>
      <c r="W60" s="531">
        <v>5.65</v>
      </c>
      <c r="X60" s="529">
        <v>2.9000300000000001</v>
      </c>
      <c r="Z60" s="536">
        <v>57</v>
      </c>
      <c r="AA60" s="537" cm="1">
        <f t="array" aca="1" ref="AA60" ca="1">SUMPRODUCT(IF($Z60=$L$4:$L$297,1,0),$P$4:$P$297)</f>
        <v>0</v>
      </c>
      <c r="AB60" s="538">
        <f t="shared" ca="1" si="6"/>
        <v>0</v>
      </c>
    </row>
    <row r="61" spans="8:28">
      <c r="H61" s="32">
        <f t="shared" si="7"/>
        <v>58</v>
      </c>
      <c r="I61" s="33" t="str">
        <f>Calcs!A74</f>
        <v>Watterson</v>
      </c>
      <c r="J61" s="106">
        <f ca="1">Calcs!BO74</f>
        <v>4240222.744500001</v>
      </c>
      <c r="K61" s="35" t="str">
        <f>VLOOKUP(Calcs!F74,'Diversity Score'!R$4:S$149,2,FALSE)</f>
        <v>Professional Services</v>
      </c>
      <c r="L61" s="36">
        <f t="shared" si="8"/>
        <v>56</v>
      </c>
      <c r="M61" s="36">
        <f>+IF(I61="","",IF(COUNTIF(I62:$I$297,I61)=0,1,0))</f>
        <v>1</v>
      </c>
      <c r="N61" s="37">
        <f t="shared" ca="1" si="11"/>
        <v>4240222.744500001</v>
      </c>
      <c r="O61" s="38">
        <f t="shared" ca="1" si="9"/>
        <v>1.256552514043501E-2</v>
      </c>
      <c r="P61" s="39">
        <f t="shared" ca="1" si="10"/>
        <v>0.90471781011132069</v>
      </c>
      <c r="R61" s="532" t="s">
        <v>1198</v>
      </c>
      <c r="S61" s="532" t="s">
        <v>1198</v>
      </c>
      <c r="T61" s="36">
        <v>58</v>
      </c>
      <c r="U61" s="41">
        <f t="shared" ca="1" si="12"/>
        <v>0</v>
      </c>
      <c r="W61" s="531">
        <v>5.75</v>
      </c>
      <c r="X61" s="529">
        <v>2.93337</v>
      </c>
      <c r="Z61" s="536">
        <v>58</v>
      </c>
      <c r="AA61" s="537" cm="1">
        <f t="array" aca="1" ref="AA61" ca="1">SUMPRODUCT(IF($Z61=$L$4:$L$297,1,0),$P$4:$P$297)</f>
        <v>0</v>
      </c>
      <c r="AB61" s="538">
        <f t="shared" ca="1" si="6"/>
        <v>0</v>
      </c>
    </row>
    <row r="62" spans="8:28">
      <c r="H62" s="32">
        <f t="shared" si="7"/>
        <v>59</v>
      </c>
      <c r="I62" s="33" t="str">
        <f>Calcs!A75</f>
        <v>Zips Car Wash, LLC</v>
      </c>
      <c r="J62" s="106">
        <f ca="1">Calcs!BO75</f>
        <v>0</v>
      </c>
      <c r="K62" s="35" t="str">
        <f>VLOOKUP(Calcs!F75,'Diversity Score'!R$4:S$149,2,FALSE)</f>
        <v>IT Services</v>
      </c>
      <c r="L62" s="36">
        <f t="shared" si="8"/>
        <v>42</v>
      </c>
      <c r="M62" s="36">
        <f>+IF(I62="","",IF(COUNTIF(I63:$I$297,I62)=0,1,0))</f>
        <v>1</v>
      </c>
      <c r="N62" s="37">
        <f t="shared" ca="1" si="11"/>
        <v>0</v>
      </c>
      <c r="O62" s="38">
        <f t="shared" ca="1" si="9"/>
        <v>0</v>
      </c>
      <c r="P62" s="39">
        <f t="shared" ca="1" si="10"/>
        <v>0</v>
      </c>
      <c r="R62" s="532" t="s">
        <v>1197</v>
      </c>
      <c r="S62" s="532" t="s">
        <v>1197</v>
      </c>
      <c r="T62" s="36">
        <v>59</v>
      </c>
      <c r="U62" s="41">
        <f t="shared" ca="1" si="12"/>
        <v>0</v>
      </c>
      <c r="W62" s="531">
        <v>5.85</v>
      </c>
      <c r="X62" s="529">
        <v>2.96671</v>
      </c>
      <c r="Z62" s="536">
        <v>59</v>
      </c>
      <c r="AA62" s="537" cm="1">
        <f t="array" aca="1" ref="AA62" ca="1">SUMPRODUCT(IF($Z62=$L$4:$L$297,1,0),$P$4:$P$297)</f>
        <v>0</v>
      </c>
      <c r="AB62" s="538">
        <f t="shared" ca="1" si="6"/>
        <v>0</v>
      </c>
    </row>
    <row r="63" spans="8:28">
      <c r="H63" s="32">
        <f t="shared" si="7"/>
        <v>60</v>
      </c>
      <c r="I63" s="33" t="str">
        <f>Calcs!A76</f>
        <v>Federal Advisory Partners</v>
      </c>
      <c r="J63" s="106">
        <f ca="1">Calcs!BO76</f>
        <v>6963940.1600000001</v>
      </c>
      <c r="K63" s="35" t="str">
        <f>VLOOKUP(Calcs!F76,'Diversity Score'!R$4:S$149,2,FALSE)</f>
        <v>Aerospace &amp; Defense</v>
      </c>
      <c r="L63" s="36">
        <f t="shared" si="8"/>
        <v>1</v>
      </c>
      <c r="M63" s="36">
        <f>+IF(I63="","",IF(COUNTIF(I64:$I$297,I63)=0,1,0))</f>
        <v>1</v>
      </c>
      <c r="N63" s="37">
        <f t="shared" ca="1" si="11"/>
        <v>6963940.1600000001</v>
      </c>
      <c r="O63" s="38">
        <f t="shared" ca="1" si="9"/>
        <v>2.0637020842942413E-2</v>
      </c>
      <c r="P63" s="39">
        <f t="shared" ca="1" si="10"/>
        <v>1</v>
      </c>
      <c r="R63" s="532" t="s">
        <v>200</v>
      </c>
      <c r="S63" s="532" t="s">
        <v>200</v>
      </c>
      <c r="T63" s="36">
        <v>60</v>
      </c>
      <c r="U63" s="41">
        <f t="shared" ca="1" si="12"/>
        <v>0</v>
      </c>
      <c r="W63" s="531">
        <v>5.95</v>
      </c>
      <c r="X63" s="529">
        <v>3</v>
      </c>
      <c r="Z63" s="536">
        <v>60</v>
      </c>
      <c r="AA63" s="537" cm="1">
        <f t="array" aca="1" ref="AA63" ca="1">SUMPRODUCT(IF($Z63=$L$4:$L$297,1,0),$P$4:$P$297)</f>
        <v>0</v>
      </c>
      <c r="AB63" s="538">
        <f t="shared" ca="1" si="6"/>
        <v>0</v>
      </c>
    </row>
    <row r="64" spans="8:28">
      <c r="H64" s="32">
        <f t="shared" si="7"/>
        <v>61</v>
      </c>
      <c r="I64" s="33" t="str">
        <f>Calcs!A77</f>
        <v>Arcfield</v>
      </c>
      <c r="J64" s="106">
        <f ca="1">Calcs!BO77</f>
        <v>2315058.27</v>
      </c>
      <c r="K64" s="35" t="str">
        <f>VLOOKUP(Calcs!F77,'Diversity Score'!R$4:S$149,2,FALSE)</f>
        <v>Aerospace &amp; Defense</v>
      </c>
      <c r="L64" s="36">
        <f t="shared" si="8"/>
        <v>1</v>
      </c>
      <c r="M64" s="36">
        <f>+IF(I64="","",IF(COUNTIF(I65:$I$297,I64)=0,1,0))</f>
        <v>1</v>
      </c>
      <c r="N64" s="37">
        <f t="shared" ca="1" si="11"/>
        <v>2315058.27</v>
      </c>
      <c r="O64" s="38">
        <f t="shared" ca="1" si="9"/>
        <v>6.8604704625457617E-3</v>
      </c>
      <c r="P64" s="39">
        <f t="shared" ca="1" si="10"/>
        <v>0.49395387330329488</v>
      </c>
      <c r="R64" s="532" t="s">
        <v>201</v>
      </c>
      <c r="S64" s="532" t="s">
        <v>201</v>
      </c>
      <c r="T64" s="36">
        <v>61</v>
      </c>
      <c r="U64" s="41">
        <f t="shared" ca="1" si="12"/>
        <v>0</v>
      </c>
      <c r="W64" s="531">
        <v>6.05</v>
      </c>
      <c r="X64" s="529">
        <v>3.0249999999999999</v>
      </c>
      <c r="Z64" s="536">
        <v>61</v>
      </c>
      <c r="AA64" s="537" cm="1">
        <f t="array" aca="1" ref="AA64" ca="1">SUMPRODUCT(IF($Z64=$L$4:$L$297,1,0),$P$4:$P$297)</f>
        <v>0</v>
      </c>
      <c r="AB64" s="538">
        <f t="shared" ca="1" si="6"/>
        <v>0</v>
      </c>
    </row>
    <row r="65" spans="8:28">
      <c r="H65" s="32">
        <f t="shared" si="7"/>
        <v>62</v>
      </c>
      <c r="I65" s="33" t="str">
        <f>Calcs!A78</f>
        <v>Bland Landscaping</v>
      </c>
      <c r="J65" s="106">
        <f ca="1">Calcs!BO78</f>
        <v>2093291.07</v>
      </c>
      <c r="K65" s="35" t="str">
        <f>VLOOKUP(Calcs!F78,'Diversity Score'!R$4:S$149,2,FALSE)</f>
        <v>Commercial Services &amp; Supplies</v>
      </c>
      <c r="L65" s="36">
        <f t="shared" si="8"/>
        <v>12</v>
      </c>
      <c r="M65" s="36">
        <f>+IF(I65="","",IF(COUNTIF(I66:$I$297,I65)=0,1,0))</f>
        <v>1</v>
      </c>
      <c r="N65" s="37">
        <f t="shared" ca="1" si="11"/>
        <v>2093291.07</v>
      </c>
      <c r="O65" s="38">
        <f t="shared" ca="1" si="9"/>
        <v>6.2032829762189148E-3</v>
      </c>
      <c r="P65" s="39">
        <f t="shared" ca="1" si="10"/>
        <v>0.44663637428776193</v>
      </c>
      <c r="R65" s="532" t="s">
        <v>1196</v>
      </c>
      <c r="S65" s="532" t="s">
        <v>1196</v>
      </c>
      <c r="T65" s="36">
        <v>62</v>
      </c>
      <c r="U65" s="41">
        <f t="shared" ca="1" si="12"/>
        <v>0</v>
      </c>
      <c r="W65" s="531">
        <v>6.15</v>
      </c>
      <c r="X65" s="529">
        <v>3.05</v>
      </c>
      <c r="Z65" s="536">
        <v>62</v>
      </c>
      <c r="AA65" s="537" cm="1">
        <f t="array" aca="1" ref="AA65" ca="1">SUMPRODUCT(IF($Z65=$L$4:$L$297,1,0),$P$4:$P$297)</f>
        <v>0</v>
      </c>
      <c r="AB65" s="538">
        <f t="shared" ca="1" si="6"/>
        <v>0</v>
      </c>
    </row>
    <row r="66" spans="8:28">
      <c r="H66" s="32">
        <f t="shared" si="7"/>
        <v>63</v>
      </c>
      <c r="I66" s="33" t="str">
        <f>Calcs!A79</f>
        <v xml:space="preserve">Lynx Technologies </v>
      </c>
      <c r="J66" s="106">
        <f ca="1">Calcs!BO79</f>
        <v>12989293.380000001</v>
      </c>
      <c r="K66" s="35" t="str">
        <f>VLOOKUP(Calcs!F79,'Diversity Score'!R$4:S$149,2,FALSE)</f>
        <v>Aerospace &amp; Defense</v>
      </c>
      <c r="L66" s="36">
        <f t="shared" si="8"/>
        <v>1</v>
      </c>
      <c r="M66" s="36">
        <f>+IF(I66="","",IF(COUNTIF(I67:$I$297,I66)=0,1,0))</f>
        <v>1</v>
      </c>
      <c r="N66" s="37">
        <f t="shared" ca="1" si="11"/>
        <v>12989293.380000001</v>
      </c>
      <c r="O66" s="38">
        <f t="shared" ca="1" si="9"/>
        <v>3.849262228843648E-2</v>
      </c>
      <c r="P66" s="39">
        <f t="shared" ca="1" si="10"/>
        <v>1</v>
      </c>
      <c r="R66" s="532" t="s">
        <v>243</v>
      </c>
      <c r="S66" s="532" t="s">
        <v>243</v>
      </c>
      <c r="T66" s="36">
        <v>63</v>
      </c>
      <c r="U66" s="41">
        <f t="shared" ca="1" si="12"/>
        <v>0</v>
      </c>
      <c r="W66" s="531">
        <v>6.25</v>
      </c>
      <c r="X66" s="529">
        <v>3.0750000000000002</v>
      </c>
      <c r="Z66" s="536">
        <v>63</v>
      </c>
      <c r="AA66" s="537" cm="1">
        <f t="array" aca="1" ref="AA66" ca="1">SUMPRODUCT(IF($Z66=$L$4:$L$297,1,0),$P$4:$P$297)</f>
        <v>0</v>
      </c>
      <c r="AB66" s="538">
        <f t="shared" ca="1" si="6"/>
        <v>0</v>
      </c>
    </row>
    <row r="67" spans="8:28">
      <c r="H67" s="32">
        <f t="shared" si="7"/>
        <v>64</v>
      </c>
      <c r="I67" s="33" t="str">
        <f>Calcs!A80</f>
        <v>RealmOne</v>
      </c>
      <c r="J67" s="106">
        <f ca="1">Calcs!BO80</f>
        <v>5970000</v>
      </c>
      <c r="K67" s="35" t="str">
        <f>VLOOKUP(Calcs!F80,'Diversity Score'!R$4:S$149,2,FALSE)</f>
        <v>Aerospace &amp; Defense</v>
      </c>
      <c r="L67" s="36">
        <f t="shared" si="8"/>
        <v>1</v>
      </c>
      <c r="M67" s="36">
        <f>+IF(I67="","",IF(COUNTIF(I68:$I$297,I67)=0,1,0))</f>
        <v>1</v>
      </c>
      <c r="N67" s="37">
        <f t="shared" ca="1" si="11"/>
        <v>5970000</v>
      </c>
      <c r="O67" s="38">
        <f t="shared" ca="1" si="9"/>
        <v>1.7691567072909226E-2</v>
      </c>
      <c r="P67" s="39">
        <f t="shared" ca="1" si="10"/>
        <v>1</v>
      </c>
      <c r="R67" s="532" t="s">
        <v>1195</v>
      </c>
      <c r="S67" s="532" t="s">
        <v>1195</v>
      </c>
      <c r="T67" s="36">
        <v>64</v>
      </c>
      <c r="U67" s="41">
        <f t="shared" ca="1" si="12"/>
        <v>0</v>
      </c>
      <c r="W67" s="531">
        <v>6.35</v>
      </c>
      <c r="X67" s="529">
        <v>3.1</v>
      </c>
      <c r="Z67" s="536">
        <v>64</v>
      </c>
      <c r="AA67" s="537" cm="1">
        <f t="array" aca="1" ref="AA67" ca="1">SUMPRODUCT(IF($Z67=$L$4:$L$297,1,0),$P$4:$P$297)</f>
        <v>0</v>
      </c>
      <c r="AB67" s="538">
        <f t="shared" ca="1" si="6"/>
        <v>0</v>
      </c>
    </row>
    <row r="68" spans="8:28">
      <c r="H68" s="32">
        <f t="shared" si="7"/>
        <v>65</v>
      </c>
      <c r="I68" s="33" t="str">
        <f>Calcs!A81</f>
        <v>Seacoast</v>
      </c>
      <c r="J68" s="106">
        <f ca="1">Calcs!BO81</f>
        <v>4975000</v>
      </c>
      <c r="K68" s="35" t="str">
        <f>VLOOKUP(Calcs!F81,'Diversity Score'!R$4:S$149,2,FALSE)</f>
        <v>Professional Services</v>
      </c>
      <c r="L68" s="36">
        <f t="shared" si="8"/>
        <v>56</v>
      </c>
      <c r="M68" s="36">
        <f>+IF(I68="","",IF(COUNTIF(I69:$I$297,I68)=0,1,0))</f>
        <v>1</v>
      </c>
      <c r="N68" s="37">
        <f t="shared" ref="N68:N84" ca="1" si="13">+IF(M68=0,0,SUMPRODUCT(($I$4:$I$297=I68)*($J$4:$J$297)))</f>
        <v>4975000</v>
      </c>
      <c r="O68" s="38">
        <f t="shared" ca="1" si="9"/>
        <v>1.4742972560757689E-2</v>
      </c>
      <c r="P68" s="39">
        <f t="shared" ca="1" si="10"/>
        <v>1</v>
      </c>
      <c r="R68" s="532" t="s">
        <v>1194</v>
      </c>
      <c r="S68" s="532" t="s">
        <v>1194</v>
      </c>
      <c r="T68" s="36">
        <v>65</v>
      </c>
      <c r="U68" s="41">
        <f t="shared" ca="1" si="12"/>
        <v>0</v>
      </c>
      <c r="W68" s="531">
        <v>6.45</v>
      </c>
      <c r="X68" s="529">
        <v>3.125</v>
      </c>
      <c r="Z68" s="536">
        <v>65</v>
      </c>
      <c r="AA68" s="537" cm="1">
        <f t="array" aca="1" ref="AA68" ca="1">SUMPRODUCT(IF($Z68=$L$4:$L$297,1,0),$P$4:$P$297)</f>
        <v>0</v>
      </c>
      <c r="AB68" s="538">
        <f t="shared" ca="1" si="6"/>
        <v>0</v>
      </c>
    </row>
    <row r="69" spans="8:28">
      <c r="H69" s="32">
        <f t="shared" si="7"/>
        <v>66</v>
      </c>
      <c r="I69" s="33" t="str">
        <f>Calcs!A82</f>
        <v>Marketplace</v>
      </c>
      <c r="J69" s="106">
        <f ca="1">Calcs!BO82</f>
        <v>19950000</v>
      </c>
      <c r="K69" s="35" t="str">
        <f>VLOOKUP(Calcs!F82,'Diversity Score'!R$4:S$149,2,FALSE)</f>
        <v>Media</v>
      </c>
      <c r="L69" s="36">
        <f t="shared" ref="L69:L84" si="14">+IF(K69="","",VLOOKUP(K69,$S$4:$T$149,2,FALSE))</f>
        <v>47</v>
      </c>
      <c r="M69" s="36">
        <f>+IF(I69="","",IF(COUNTIF(I70:$I$297,I69)=0,1,0))</f>
        <v>1</v>
      </c>
      <c r="N69" s="37">
        <f t="shared" ca="1" si="13"/>
        <v>19950000</v>
      </c>
      <c r="O69" s="38">
        <f t="shared" ref="O69:O84" ca="1" si="15">+IF(M69=0,0,N69/$E$4)</f>
        <v>5.9120060821530832E-2</v>
      </c>
      <c r="P69" s="39">
        <f t="shared" ref="P69:P84" ca="1" si="16">+MIN(1,N69/$E$6)</f>
        <v>1</v>
      </c>
      <c r="R69" s="532" t="s">
        <v>318</v>
      </c>
      <c r="S69" s="532" t="s">
        <v>318</v>
      </c>
      <c r="T69" s="36">
        <v>66</v>
      </c>
      <c r="U69" s="41">
        <f t="shared" ca="1" si="12"/>
        <v>0</v>
      </c>
      <c r="W69" s="531">
        <v>6.55</v>
      </c>
      <c r="X69" s="529">
        <v>3.15</v>
      </c>
      <c r="Z69" s="536">
        <v>66</v>
      </c>
      <c r="AA69" s="537" cm="1">
        <f t="array" aca="1" ref="AA69" ca="1">SUMPRODUCT(IF($Z69=$L$4:$L$297,1,0),$P$4:$P$297)</f>
        <v>0</v>
      </c>
      <c r="AB69" s="538">
        <f t="shared" ref="AB69:AB101" ca="1" si="17">+VLOOKUP(AA69,$W$4:$X$203,2,1)</f>
        <v>0</v>
      </c>
    </row>
    <row r="70" spans="8:28">
      <c r="H70" s="32">
        <f t="shared" ref="H70:H122" si="18">+H69+1</f>
        <v>67</v>
      </c>
      <c r="I70" s="33" t="str">
        <f>Calcs!A83</f>
        <v>Emergency Care Partners LLC</v>
      </c>
      <c r="J70" s="106">
        <f ca="1">Calcs!BO83</f>
        <v>992500</v>
      </c>
      <c r="K70" s="35" t="str">
        <f>VLOOKUP(Calcs!F83,'Diversity Score'!R$4:S$149,2,FALSE)</f>
        <v>Health Care Providers &amp; Services</v>
      </c>
      <c r="L70" s="36">
        <f t="shared" si="14"/>
        <v>33</v>
      </c>
      <c r="M70" s="36">
        <f>+IF(I70="","",IF(COUNTIF(I71:$I$297,I70)=0,1,0))</f>
        <v>1</v>
      </c>
      <c r="N70" s="37">
        <f t="shared" ca="1" si="13"/>
        <v>992500</v>
      </c>
      <c r="O70" s="38">
        <f t="shared" ca="1" si="15"/>
        <v>2.9411859832265339E-3</v>
      </c>
      <c r="P70" s="39">
        <f t="shared" ca="1" si="16"/>
        <v>0.21176539079231044</v>
      </c>
      <c r="R70" s="532" t="s">
        <v>1193</v>
      </c>
      <c r="S70" s="532" t="s">
        <v>1193</v>
      </c>
      <c r="T70" s="36">
        <v>67</v>
      </c>
      <c r="U70" s="41">
        <f t="shared" ca="1" si="12"/>
        <v>0</v>
      </c>
      <c r="W70" s="531">
        <v>6.65</v>
      </c>
      <c r="X70" s="529">
        <v>3.1749999999999998</v>
      </c>
      <c r="Z70" s="536">
        <v>67</v>
      </c>
      <c r="AA70" s="537" cm="1">
        <f t="array" aca="1" ref="AA70" ca="1">SUMPRODUCT(IF($Z70=$L$4:$L$297,1,0),$P$4:$P$297)</f>
        <v>0</v>
      </c>
      <c r="AB70" s="538">
        <f t="shared" ca="1" si="17"/>
        <v>0</v>
      </c>
    </row>
    <row r="71" spans="8:28">
      <c r="H71" s="32">
        <f t="shared" si="18"/>
        <v>68</v>
      </c>
      <c r="I71" s="33" t="str">
        <f>Calcs!A84</f>
        <v>Amsive Holding Corporation</v>
      </c>
      <c r="J71" s="106">
        <f ca="1">Calcs!BO84</f>
        <v>15121.31</v>
      </c>
      <c r="K71" s="35" t="str">
        <f>VLOOKUP(Calcs!F84,'Diversity Score'!R$4:S$149,2,FALSE)</f>
        <v>Media</v>
      </c>
      <c r="L71" s="36">
        <f t="shared" si="14"/>
        <v>47</v>
      </c>
      <c r="M71" s="36">
        <f>+IF(I71="","",IF(COUNTIF(I72:$I$297,I71)=0,1,0))</f>
        <v>1</v>
      </c>
      <c r="N71" s="37">
        <f t="shared" ca="1" si="13"/>
        <v>15121.31</v>
      </c>
      <c r="O71" s="38">
        <f t="shared" ca="1" si="15"/>
        <v>4.4810665007580069E-5</v>
      </c>
      <c r="P71" s="39">
        <f t="shared" ca="1" si="16"/>
        <v>3.2263678805457652E-3</v>
      </c>
      <c r="R71" s="532" t="s">
        <v>1192</v>
      </c>
      <c r="S71" s="532" t="s">
        <v>1192</v>
      </c>
      <c r="T71" s="36">
        <v>68</v>
      </c>
      <c r="U71" s="41">
        <f t="shared" ca="1" si="12"/>
        <v>0</v>
      </c>
      <c r="W71" s="531">
        <v>6.75</v>
      </c>
      <c r="X71" s="529">
        <v>3.2</v>
      </c>
      <c r="Z71" s="536">
        <v>68</v>
      </c>
      <c r="AA71" s="537" cm="1">
        <f t="array" aca="1" ref="AA71" ca="1">SUMPRODUCT(IF($Z71=$L$4:$L$297,1,0),$P$4:$P$297)</f>
        <v>0</v>
      </c>
      <c r="AB71" s="538">
        <f t="shared" ca="1" si="17"/>
        <v>0</v>
      </c>
    </row>
    <row r="72" spans="8:28">
      <c r="H72" s="32">
        <f t="shared" si="18"/>
        <v>69</v>
      </c>
      <c r="I72" s="33" t="str">
        <f>Calcs!A85</f>
        <v>LAV Gear Holdings, Inc.</v>
      </c>
      <c r="J72" s="106">
        <f ca="1">Calcs!BO85</f>
        <v>308218.27</v>
      </c>
      <c r="K72" s="35" t="str">
        <f>VLOOKUP(Calcs!F85,'Diversity Score'!R$4:S$149,2,FALSE)</f>
        <v>Professional Services</v>
      </c>
      <c r="L72" s="36">
        <f t="shared" si="14"/>
        <v>56</v>
      </c>
      <c r="M72" s="36">
        <f>+IF(I72="","",IF(COUNTIF(I73:$I$297,I72)=0,1,0))</f>
        <v>1</v>
      </c>
      <c r="N72" s="37">
        <f t="shared" ca="1" si="13"/>
        <v>308218.27</v>
      </c>
      <c r="O72" s="38">
        <f t="shared" ca="1" si="15"/>
        <v>9.133775874038603E-4</v>
      </c>
      <c r="P72" s="39">
        <f t="shared" ca="1" si="16"/>
        <v>6.5763186293077938E-2</v>
      </c>
      <c r="R72" s="532" t="s">
        <v>1131</v>
      </c>
      <c r="S72" s="532" t="s">
        <v>1131</v>
      </c>
      <c r="T72" s="36">
        <v>69</v>
      </c>
      <c r="U72" s="41">
        <f t="shared" ca="1" si="12"/>
        <v>0</v>
      </c>
      <c r="W72" s="531">
        <v>6.85</v>
      </c>
      <c r="X72" s="529">
        <v>3.2250000000000001</v>
      </c>
      <c r="Z72" s="536">
        <v>69</v>
      </c>
      <c r="AA72" s="537" cm="1">
        <f t="array" aca="1" ref="AA72" ca="1">SUMPRODUCT(IF($Z72=$L$4:$L$297,1,0),$P$4:$P$297)</f>
        <v>0</v>
      </c>
      <c r="AB72" s="538">
        <f t="shared" ca="1" si="17"/>
        <v>0</v>
      </c>
    </row>
    <row r="73" spans="8:28">
      <c r="H73" s="32">
        <f t="shared" si="18"/>
        <v>70</v>
      </c>
      <c r="I73" s="33" t="str">
        <f>Calcs!A86</f>
        <v>Boss Industries</v>
      </c>
      <c r="J73" s="106">
        <f ca="1">Calcs!BO86</f>
        <v>5970000</v>
      </c>
      <c r="K73" s="35" t="str">
        <f>VLOOKUP(Calcs!F86,'Diversity Score'!R$4:S$149,2,FALSE)</f>
        <v>Diversified Consumer Services</v>
      </c>
      <c r="L73" s="36">
        <f t="shared" si="14"/>
        <v>19</v>
      </c>
      <c r="M73" s="36">
        <f>+IF(I73="","",IF(COUNTIF(I74:$I$297,I73)=0,1,0))</f>
        <v>1</v>
      </c>
      <c r="N73" s="37">
        <f t="shared" ca="1" si="13"/>
        <v>5970000</v>
      </c>
      <c r="O73" s="38">
        <f t="shared" ca="1" si="15"/>
        <v>1.7691567072909226E-2</v>
      </c>
      <c r="P73" s="39">
        <f t="shared" ca="1" si="16"/>
        <v>1</v>
      </c>
      <c r="T73" s="36"/>
      <c r="U73" s="41"/>
      <c r="W73" s="531">
        <v>6.95</v>
      </c>
      <c r="X73" s="529">
        <v>3.25</v>
      </c>
      <c r="Z73">
        <v>71</v>
      </c>
      <c r="AA73" s="537" cm="1">
        <f t="array" aca="1" ref="AA73" ca="1">SUMPRODUCT(IF($Z73=$L$4:$L$297,1,0),$P$4:$P$297)</f>
        <v>0</v>
      </c>
      <c r="AB73" s="538">
        <f t="shared" ca="1" si="17"/>
        <v>0</v>
      </c>
    </row>
    <row r="74" spans="8:28">
      <c r="H74" s="32">
        <f t="shared" si="18"/>
        <v>71</v>
      </c>
      <c r="I74" s="33" t="str">
        <f>Calcs!A87</f>
        <v>Tranzact</v>
      </c>
      <c r="J74" s="106">
        <f ca="1">Calcs!BO87</f>
        <v>5985000</v>
      </c>
      <c r="K74" s="35" t="str">
        <f>VLOOKUP(Calcs!F87,'Diversity Score'!R$4:S$149,2,FALSE)</f>
        <v>Professional Services</v>
      </c>
      <c r="L74" s="36">
        <f t="shared" si="14"/>
        <v>56</v>
      </c>
      <c r="M74" s="36">
        <f>+IF(I74="","",IF(COUNTIF(I75:$I$297,I74)=0,1,0))</f>
        <v>1</v>
      </c>
      <c r="N74" s="37">
        <f t="shared" ca="1" si="13"/>
        <v>5985000</v>
      </c>
      <c r="O74" s="38">
        <f t="shared" ca="1" si="15"/>
        <v>1.7736018246459248E-2</v>
      </c>
      <c r="P74" s="39">
        <f t="shared" ca="1" si="16"/>
        <v>1</v>
      </c>
      <c r="T74" s="36"/>
      <c r="U74" s="41"/>
      <c r="W74" s="531">
        <v>7.05</v>
      </c>
      <c r="X74" s="529">
        <v>3.2749999999999999</v>
      </c>
      <c r="Z74">
        <v>72</v>
      </c>
      <c r="AA74" s="537" cm="1">
        <f t="array" aca="1" ref="AA74" ca="1">SUMPRODUCT(IF($Z74=$L$4:$L$297,1,0),$P$4:$P$297)</f>
        <v>0</v>
      </c>
      <c r="AB74" s="538">
        <f t="shared" ca="1" si="17"/>
        <v>0</v>
      </c>
    </row>
    <row r="75" spans="8:28">
      <c r="H75" s="32">
        <f t="shared" si="18"/>
        <v>72</v>
      </c>
      <c r="I75" s="33" t="str">
        <f>Calcs!A88</f>
        <v xml:space="preserve">Ro Health </v>
      </c>
      <c r="J75" s="106">
        <f ca="1">Calcs!BO88</f>
        <v>10000000</v>
      </c>
      <c r="K75" s="35" t="str">
        <f>VLOOKUP(Calcs!F88,'Diversity Score'!R$4:S$149,2,FALSE)</f>
        <v>Professional Services</v>
      </c>
      <c r="L75" s="36">
        <f t="shared" si="14"/>
        <v>56</v>
      </c>
      <c r="M75" s="36">
        <f>+IF(I75="","",IF(COUNTIF(I76:$I$297,I75)=0,1,0))</f>
        <v>1</v>
      </c>
      <c r="N75" s="37">
        <f t="shared" ca="1" si="13"/>
        <v>10000000</v>
      </c>
      <c r="O75" s="38">
        <f t="shared" ca="1" si="15"/>
        <v>2.9634115700015454E-2</v>
      </c>
      <c r="P75" s="39">
        <f t="shared" ca="1" si="16"/>
        <v>1</v>
      </c>
      <c r="T75" s="36"/>
      <c r="U75" s="41"/>
      <c r="W75" s="531">
        <v>7.15</v>
      </c>
      <c r="X75" s="529">
        <v>3.3</v>
      </c>
      <c r="Z75">
        <v>73</v>
      </c>
      <c r="AA75" s="537" cm="1">
        <f t="array" aca="1" ref="AA75" ca="1">SUMPRODUCT(IF($Z75=$L$4:$L$297,1,0),$P$4:$P$297)</f>
        <v>0</v>
      </c>
      <c r="AB75" s="538">
        <f t="shared" ca="1" si="17"/>
        <v>0</v>
      </c>
    </row>
    <row r="76" spans="8:28">
      <c r="H76" s="32">
        <f t="shared" si="18"/>
        <v>73</v>
      </c>
      <c r="I76" s="33">
        <f>Calcs!A89</f>
        <v>0</v>
      </c>
      <c r="J76" s="106">
        <f>Calcs!BO89</f>
        <v>0</v>
      </c>
      <c r="K76" s="35"/>
      <c r="L76" s="36" t="str">
        <f t="shared" si="14"/>
        <v/>
      </c>
      <c r="M76" s="36">
        <f>+IF(I76="","",IF(COUNTIF(I77:$I$297,I76)=0,1,0))</f>
        <v>0</v>
      </c>
      <c r="N76" s="37">
        <f t="shared" si="13"/>
        <v>0</v>
      </c>
      <c r="O76" s="38">
        <f t="shared" si="15"/>
        <v>0</v>
      </c>
      <c r="P76" s="39">
        <f t="shared" ca="1" si="16"/>
        <v>0</v>
      </c>
      <c r="T76" s="36"/>
      <c r="U76" s="41"/>
      <c r="W76" s="531">
        <v>7.25</v>
      </c>
      <c r="X76" s="529">
        <v>3.3250000000000002</v>
      </c>
      <c r="Z76">
        <v>74</v>
      </c>
      <c r="AA76" s="537" cm="1">
        <f t="array" aca="1" ref="AA76" ca="1">SUMPRODUCT(IF($Z76=$L$4:$L$297,1,0),$P$4:$P$297)</f>
        <v>0</v>
      </c>
      <c r="AB76" s="538">
        <f t="shared" ca="1" si="17"/>
        <v>0</v>
      </c>
    </row>
    <row r="77" spans="8:28">
      <c r="H77" s="32">
        <f t="shared" si="18"/>
        <v>74</v>
      </c>
      <c r="I77" s="33">
        <f>Calcs!A90</f>
        <v>0</v>
      </c>
      <c r="J77" s="106">
        <f>Calcs!BO90</f>
        <v>0</v>
      </c>
      <c r="K77" s="35"/>
      <c r="L77" s="36" t="str">
        <f t="shared" si="14"/>
        <v/>
      </c>
      <c r="M77" s="36">
        <f>+IF(I77="","",IF(COUNTIF(I78:$I$297,I77)=0,1,0))</f>
        <v>0</v>
      </c>
      <c r="N77" s="37">
        <f t="shared" si="13"/>
        <v>0</v>
      </c>
      <c r="O77" s="38">
        <f t="shared" si="15"/>
        <v>0</v>
      </c>
      <c r="P77" s="39">
        <f t="shared" ca="1" si="16"/>
        <v>0</v>
      </c>
      <c r="T77" s="36"/>
      <c r="U77" s="41"/>
      <c r="W77" s="531">
        <v>7.35</v>
      </c>
      <c r="X77" s="529">
        <v>3.35</v>
      </c>
      <c r="Z77">
        <v>75</v>
      </c>
      <c r="AA77" s="537" cm="1">
        <f t="array" aca="1" ref="AA77" ca="1">SUMPRODUCT(IF($Z77=$L$4:$L$297,1,0),$P$4:$P$297)</f>
        <v>0</v>
      </c>
      <c r="AB77" s="538">
        <f t="shared" ca="1" si="17"/>
        <v>0</v>
      </c>
    </row>
    <row r="78" spans="8:28">
      <c r="H78" s="32">
        <f t="shared" si="18"/>
        <v>75</v>
      </c>
      <c r="I78" s="33">
        <f>Calcs!A91</f>
        <v>0</v>
      </c>
      <c r="J78" s="106">
        <f>Calcs!BO91</f>
        <v>0</v>
      </c>
      <c r="K78" s="35"/>
      <c r="L78" s="36" t="str">
        <f t="shared" si="14"/>
        <v/>
      </c>
      <c r="M78" s="36">
        <f>+IF(I78="","",IF(COUNTIF(I79:$I$297,I78)=0,1,0))</f>
        <v>0</v>
      </c>
      <c r="N78" s="37">
        <f t="shared" si="13"/>
        <v>0</v>
      </c>
      <c r="O78" s="38">
        <f t="shared" si="15"/>
        <v>0</v>
      </c>
      <c r="P78" s="39">
        <f t="shared" ca="1" si="16"/>
        <v>0</v>
      </c>
      <c r="T78" s="36"/>
      <c r="U78" s="41"/>
      <c r="W78" s="531">
        <v>7.45</v>
      </c>
      <c r="X78" s="529">
        <v>3.375</v>
      </c>
      <c r="Z78">
        <v>76</v>
      </c>
      <c r="AA78" s="537" cm="1">
        <f t="array" aca="1" ref="AA78" ca="1">SUMPRODUCT(IF($Z78=$L$4:$L$297,1,0),$P$4:$P$297)</f>
        <v>0</v>
      </c>
      <c r="AB78" s="538">
        <f t="shared" ca="1" si="17"/>
        <v>0</v>
      </c>
    </row>
    <row r="79" spans="8:28">
      <c r="H79" s="32">
        <f t="shared" si="18"/>
        <v>76</v>
      </c>
      <c r="I79" s="33">
        <f>Calcs!A92</f>
        <v>0</v>
      </c>
      <c r="J79" s="106">
        <f>Calcs!BO92</f>
        <v>0</v>
      </c>
      <c r="K79" s="35"/>
      <c r="L79" s="36" t="str">
        <f t="shared" si="14"/>
        <v/>
      </c>
      <c r="M79" s="36">
        <f>+IF(I79="","",IF(COUNTIF(I80:$I$297,I79)=0,1,0))</f>
        <v>0</v>
      </c>
      <c r="N79" s="37">
        <f t="shared" si="13"/>
        <v>0</v>
      </c>
      <c r="O79" s="38">
        <f t="shared" si="15"/>
        <v>0</v>
      </c>
      <c r="P79" s="39">
        <f t="shared" ca="1" si="16"/>
        <v>0</v>
      </c>
      <c r="T79" s="36"/>
      <c r="U79" s="41"/>
      <c r="W79" s="531">
        <v>7.55</v>
      </c>
      <c r="X79" s="529">
        <v>3.4</v>
      </c>
      <c r="Z79">
        <v>77</v>
      </c>
      <c r="AA79" s="537" cm="1">
        <f t="array" aca="1" ref="AA79" ca="1">SUMPRODUCT(IF($Z79=$L$4:$L$297,1,0),$P$4:$P$297)</f>
        <v>0</v>
      </c>
      <c r="AB79" s="538">
        <f t="shared" ca="1" si="17"/>
        <v>0</v>
      </c>
    </row>
    <row r="80" spans="8:28">
      <c r="H80" s="32">
        <f t="shared" si="18"/>
        <v>77</v>
      </c>
      <c r="I80" s="33">
        <f>Calcs!A93</f>
        <v>0</v>
      </c>
      <c r="J80" s="106">
        <f>Calcs!BO93</f>
        <v>0</v>
      </c>
      <c r="K80" s="35"/>
      <c r="L80" s="36" t="str">
        <f t="shared" si="14"/>
        <v/>
      </c>
      <c r="M80" s="36">
        <f>+IF(I80="","",IF(COUNTIF(I81:$I$297,I80)=0,1,0))</f>
        <v>0</v>
      </c>
      <c r="N80" s="37">
        <f t="shared" si="13"/>
        <v>0</v>
      </c>
      <c r="O80" s="38">
        <f t="shared" si="15"/>
        <v>0</v>
      </c>
      <c r="P80" s="39">
        <f t="shared" ca="1" si="16"/>
        <v>0</v>
      </c>
      <c r="T80" s="36"/>
      <c r="U80" s="41"/>
      <c r="W80" s="531">
        <v>7.65</v>
      </c>
      <c r="X80" s="529">
        <v>3.4249999999999998</v>
      </c>
      <c r="Z80">
        <v>78</v>
      </c>
      <c r="AA80" s="537" cm="1">
        <f t="array" aca="1" ref="AA80" ca="1">SUMPRODUCT(IF($Z80=$L$4:$L$297,1,0),$P$4:$P$297)</f>
        <v>0</v>
      </c>
      <c r="AB80" s="538">
        <f t="shared" ca="1" si="17"/>
        <v>0</v>
      </c>
    </row>
    <row r="81" spans="8:28">
      <c r="H81" s="32">
        <f t="shared" si="18"/>
        <v>78</v>
      </c>
      <c r="I81" s="33">
        <f>Calcs!A94</f>
        <v>0</v>
      </c>
      <c r="J81" s="106">
        <f>Calcs!BO94</f>
        <v>0</v>
      </c>
      <c r="K81" s="35"/>
      <c r="L81" s="36" t="str">
        <f t="shared" si="14"/>
        <v/>
      </c>
      <c r="M81" s="36">
        <f>+IF(I81="","",IF(COUNTIF(I82:$I$297,I81)=0,1,0))</f>
        <v>0</v>
      </c>
      <c r="N81" s="37">
        <f t="shared" si="13"/>
        <v>0</v>
      </c>
      <c r="O81" s="38">
        <f t="shared" si="15"/>
        <v>0</v>
      </c>
      <c r="P81" s="39">
        <f t="shared" ca="1" si="16"/>
        <v>0</v>
      </c>
      <c r="T81" s="36"/>
      <c r="U81" s="41"/>
      <c r="W81" s="531">
        <v>7.75</v>
      </c>
      <c r="X81" s="529">
        <v>3.45</v>
      </c>
      <c r="Z81">
        <v>79</v>
      </c>
      <c r="AA81" s="537" cm="1">
        <f t="array" aca="1" ref="AA81" ca="1">SUMPRODUCT(IF($Z81=$L$4:$L$297,1,0),$P$4:$P$297)</f>
        <v>0</v>
      </c>
      <c r="AB81" s="538">
        <f t="shared" ca="1" si="17"/>
        <v>0</v>
      </c>
    </row>
    <row r="82" spans="8:28">
      <c r="H82" s="32">
        <f t="shared" si="18"/>
        <v>79</v>
      </c>
      <c r="I82" s="33">
        <f>Calcs!A95</f>
        <v>0</v>
      </c>
      <c r="J82" s="106">
        <f>Calcs!BO95</f>
        <v>0</v>
      </c>
      <c r="K82" s="35"/>
      <c r="L82" s="36" t="str">
        <f t="shared" si="14"/>
        <v/>
      </c>
      <c r="M82" s="36">
        <f>+IF(I82="","",IF(COUNTIF(I83:$I$297,I82)=0,1,0))</f>
        <v>0</v>
      </c>
      <c r="N82" s="37">
        <f t="shared" si="13"/>
        <v>0</v>
      </c>
      <c r="O82" s="38">
        <f t="shared" si="15"/>
        <v>0</v>
      </c>
      <c r="P82" s="39">
        <f t="shared" ca="1" si="16"/>
        <v>0</v>
      </c>
      <c r="T82" s="36"/>
      <c r="U82" s="41"/>
      <c r="W82" s="531">
        <v>7.85</v>
      </c>
      <c r="X82" s="529">
        <v>3.4750000000000001</v>
      </c>
      <c r="Z82">
        <v>80</v>
      </c>
      <c r="AA82" s="537" cm="1">
        <f t="array" aca="1" ref="AA82" ca="1">SUMPRODUCT(IF($Z82=$L$4:$L$297,1,0),$P$4:$P$297)</f>
        <v>0</v>
      </c>
      <c r="AB82" s="538">
        <f t="shared" ca="1" si="17"/>
        <v>0</v>
      </c>
    </row>
    <row r="83" spans="8:28">
      <c r="H83" s="32">
        <f t="shared" si="18"/>
        <v>80</v>
      </c>
      <c r="I83" s="33">
        <f>Calcs!A96</f>
        <v>0</v>
      </c>
      <c r="J83" s="106">
        <f>Calcs!BO96</f>
        <v>0</v>
      </c>
      <c r="K83" s="35"/>
      <c r="L83" s="36" t="str">
        <f t="shared" si="14"/>
        <v/>
      </c>
      <c r="M83" s="36">
        <f>+IF(I83="","",IF(COUNTIF(I84:$I$297,I83)=0,1,0))</f>
        <v>0</v>
      </c>
      <c r="N83" s="37">
        <f t="shared" si="13"/>
        <v>0</v>
      </c>
      <c r="O83" s="38">
        <f t="shared" si="15"/>
        <v>0</v>
      </c>
      <c r="P83" s="39">
        <f t="shared" ca="1" si="16"/>
        <v>0</v>
      </c>
      <c r="T83" s="36"/>
      <c r="U83" s="41"/>
      <c r="W83" s="531">
        <v>7.95</v>
      </c>
      <c r="X83" s="529">
        <v>3.5</v>
      </c>
      <c r="Z83">
        <v>81</v>
      </c>
      <c r="AA83" s="537" cm="1">
        <f t="array" aca="1" ref="AA83" ca="1">SUMPRODUCT(IF($Z83=$L$4:$L$297,1,0),$P$4:$P$297)</f>
        <v>0</v>
      </c>
      <c r="AB83" s="538">
        <f t="shared" ca="1" si="17"/>
        <v>0</v>
      </c>
    </row>
    <row r="84" spans="8:28">
      <c r="H84" s="32">
        <f t="shared" si="18"/>
        <v>81</v>
      </c>
      <c r="I84" s="33">
        <f>Calcs!A97</f>
        <v>0</v>
      </c>
      <c r="J84" s="106">
        <f>Calcs!BO97</f>
        <v>0</v>
      </c>
      <c r="K84" s="35"/>
      <c r="L84" s="36" t="str">
        <f t="shared" si="14"/>
        <v/>
      </c>
      <c r="M84" s="36">
        <f>+IF(I84="","",IF(COUNTIF(I85:$I$297,I84)=0,1,0))</f>
        <v>0</v>
      </c>
      <c r="N84" s="37">
        <f t="shared" si="13"/>
        <v>0</v>
      </c>
      <c r="O84" s="38">
        <f t="shared" si="15"/>
        <v>0</v>
      </c>
      <c r="P84" s="39">
        <f t="shared" ca="1" si="16"/>
        <v>0</v>
      </c>
      <c r="T84" s="36"/>
      <c r="U84" s="41"/>
      <c r="W84" s="531">
        <v>8.0500000000000007</v>
      </c>
      <c r="X84" s="529">
        <v>3.5249999999999999</v>
      </c>
      <c r="Z84">
        <v>82</v>
      </c>
      <c r="AA84" s="537" cm="1">
        <f t="array" aca="1" ref="AA84" ca="1">SUMPRODUCT(IF($Z84=$L$4:$L$297,1,0),$P$4:$P$297)</f>
        <v>0</v>
      </c>
      <c r="AB84" s="538">
        <f t="shared" ca="1" si="17"/>
        <v>0</v>
      </c>
    </row>
    <row r="85" spans="8:28">
      <c r="H85" s="32">
        <f t="shared" si="18"/>
        <v>82</v>
      </c>
      <c r="I85" s="33">
        <f>Calcs!A98</f>
        <v>0</v>
      </c>
      <c r="J85" s="106"/>
      <c r="K85" s="35"/>
      <c r="L85" s="36"/>
      <c r="M85" s="36"/>
      <c r="N85" s="37"/>
      <c r="O85" s="38"/>
      <c r="P85" s="39"/>
      <c r="T85" s="36"/>
      <c r="U85" s="41"/>
      <c r="W85" s="531">
        <v>8.15</v>
      </c>
      <c r="X85" s="529">
        <v>3.55</v>
      </c>
      <c r="Z85">
        <v>83</v>
      </c>
      <c r="AA85" s="537" cm="1">
        <f t="array" aca="1" ref="AA85" ca="1">SUMPRODUCT(IF($Z85=$L$4:$L$297,1,0),$P$4:$P$297)</f>
        <v>0</v>
      </c>
      <c r="AB85" s="538">
        <f t="shared" ca="1" si="17"/>
        <v>0</v>
      </c>
    </row>
    <row r="86" spans="8:28">
      <c r="H86" s="32">
        <f t="shared" si="18"/>
        <v>83</v>
      </c>
      <c r="I86" s="33">
        <f>Calcs!A99</f>
        <v>0</v>
      </c>
      <c r="J86" s="106"/>
      <c r="K86" s="35"/>
      <c r="L86" s="36"/>
      <c r="M86" s="36"/>
      <c r="N86" s="37"/>
      <c r="O86" s="38"/>
      <c r="P86" s="39"/>
      <c r="T86" s="36"/>
      <c r="U86" s="41"/>
      <c r="W86" s="531">
        <v>8.25</v>
      </c>
      <c r="X86" s="529">
        <v>3.5750000000000002</v>
      </c>
      <c r="Z86">
        <v>84</v>
      </c>
      <c r="AA86" s="537" cm="1">
        <f t="array" aca="1" ref="AA86" ca="1">SUMPRODUCT(IF($Z86=$L$4:$L$297,1,0),$P$4:$P$297)</f>
        <v>0</v>
      </c>
      <c r="AB86" s="538">
        <f t="shared" ca="1" si="17"/>
        <v>0</v>
      </c>
    </row>
    <row r="87" spans="8:28">
      <c r="H87" s="32">
        <f t="shared" si="18"/>
        <v>84</v>
      </c>
      <c r="I87" s="33">
        <f>Calcs!A100</f>
        <v>0</v>
      </c>
      <c r="J87" s="106"/>
      <c r="K87" s="35"/>
      <c r="L87" s="36"/>
      <c r="M87" s="36"/>
      <c r="N87" s="37"/>
      <c r="O87" s="38"/>
      <c r="P87" s="39"/>
      <c r="T87" s="36"/>
      <c r="U87" s="41"/>
      <c r="W87" s="531">
        <v>8.35</v>
      </c>
      <c r="X87" s="529">
        <v>3.6</v>
      </c>
      <c r="Z87">
        <v>85</v>
      </c>
      <c r="AA87" s="537" cm="1">
        <f t="array" aca="1" ref="AA87" ca="1">SUMPRODUCT(IF($Z87=$L$4:$L$297,1,0),$P$4:$P$297)</f>
        <v>0</v>
      </c>
      <c r="AB87" s="538">
        <f t="shared" ca="1" si="17"/>
        <v>0</v>
      </c>
    </row>
    <row r="88" spans="8:28">
      <c r="H88" s="32">
        <f t="shared" si="18"/>
        <v>85</v>
      </c>
      <c r="I88" s="33">
        <f>Calcs!A101</f>
        <v>0</v>
      </c>
      <c r="J88" s="106"/>
      <c r="K88" s="35"/>
      <c r="L88" s="36"/>
      <c r="M88" s="36"/>
      <c r="N88" s="37"/>
      <c r="O88" s="38"/>
      <c r="P88" s="39"/>
      <c r="T88" s="36"/>
      <c r="U88" s="41"/>
      <c r="W88" s="531">
        <v>8.4499999999999993</v>
      </c>
      <c r="X88" s="529">
        <v>3.625</v>
      </c>
      <c r="Z88">
        <v>86</v>
      </c>
      <c r="AA88" s="537" cm="1">
        <f t="array" aca="1" ref="AA88" ca="1">SUMPRODUCT(IF($Z88=$L$4:$L$297,1,0),$P$4:$P$297)</f>
        <v>0</v>
      </c>
      <c r="AB88" s="538">
        <f t="shared" ca="1" si="17"/>
        <v>0</v>
      </c>
    </row>
    <row r="89" spans="8:28">
      <c r="H89" s="32">
        <f t="shared" si="18"/>
        <v>86</v>
      </c>
      <c r="I89" s="33">
        <f>Calcs!A102</f>
        <v>0</v>
      </c>
      <c r="J89" s="106"/>
      <c r="K89" s="35"/>
      <c r="L89" s="36"/>
      <c r="M89" s="36"/>
      <c r="N89" s="37"/>
      <c r="O89" s="38"/>
      <c r="P89" s="39"/>
      <c r="T89" s="36"/>
      <c r="U89" s="41"/>
      <c r="W89" s="531">
        <v>8.5500000000000007</v>
      </c>
      <c r="X89" s="529">
        <v>3.65</v>
      </c>
      <c r="Z89">
        <v>87</v>
      </c>
      <c r="AA89" s="537" cm="1">
        <f t="array" aca="1" ref="AA89" ca="1">SUMPRODUCT(IF($Z89=$L$4:$L$297,1,0),$P$4:$P$297)</f>
        <v>0</v>
      </c>
      <c r="AB89" s="538">
        <f t="shared" ca="1" si="17"/>
        <v>0</v>
      </c>
    </row>
    <row r="90" spans="8:28">
      <c r="H90" s="32">
        <f t="shared" si="18"/>
        <v>87</v>
      </c>
      <c r="I90" s="33">
        <f>Calcs!A103</f>
        <v>0</v>
      </c>
      <c r="J90" s="106"/>
      <c r="K90" s="35"/>
      <c r="L90" s="36"/>
      <c r="M90" s="36"/>
      <c r="N90" s="37"/>
      <c r="O90" s="38"/>
      <c r="P90" s="39"/>
      <c r="T90" s="36"/>
      <c r="U90" s="41"/>
      <c r="W90" s="531">
        <v>8.65</v>
      </c>
      <c r="X90" s="529">
        <v>3.6749999999999998</v>
      </c>
      <c r="Z90">
        <v>88</v>
      </c>
      <c r="AA90" s="537" cm="1">
        <f t="array" aca="1" ref="AA90" ca="1">SUMPRODUCT(IF($Z90=$L$4:$L$297,1,0),$P$4:$P$297)</f>
        <v>0</v>
      </c>
      <c r="AB90" s="538">
        <f t="shared" ca="1" si="17"/>
        <v>0</v>
      </c>
    </row>
    <row r="91" spans="8:28">
      <c r="H91" s="32">
        <f t="shared" si="18"/>
        <v>88</v>
      </c>
      <c r="I91" s="33">
        <f>Calcs!A104</f>
        <v>0</v>
      </c>
      <c r="J91" s="106"/>
      <c r="K91" s="35"/>
      <c r="L91" s="36"/>
      <c r="M91" s="36"/>
      <c r="N91" s="37"/>
      <c r="O91" s="38"/>
      <c r="P91" s="39"/>
      <c r="T91" s="36"/>
      <c r="U91" s="41"/>
      <c r="W91" s="531">
        <v>8.75</v>
      </c>
      <c r="X91" s="529">
        <v>3.7</v>
      </c>
      <c r="Z91">
        <v>89</v>
      </c>
      <c r="AA91" s="537" cm="1">
        <f t="array" aca="1" ref="AA91" ca="1">SUMPRODUCT(IF($Z91=$L$4:$L$297,1,0),$P$4:$P$297)</f>
        <v>0</v>
      </c>
      <c r="AB91" s="538">
        <f t="shared" ca="1" si="17"/>
        <v>0</v>
      </c>
    </row>
    <row r="92" spans="8:28">
      <c r="H92" s="32">
        <f t="shared" si="18"/>
        <v>89</v>
      </c>
      <c r="I92" s="33">
        <f>Calcs!A105</f>
        <v>0</v>
      </c>
      <c r="J92" s="106"/>
      <c r="K92" s="35"/>
      <c r="L92" s="36"/>
      <c r="M92" s="36"/>
      <c r="N92" s="37"/>
      <c r="O92" s="38"/>
      <c r="P92" s="39"/>
      <c r="T92" s="36"/>
      <c r="U92" s="41"/>
      <c r="W92" s="531">
        <v>8.85</v>
      </c>
      <c r="X92" s="529">
        <v>3.7250000000000001</v>
      </c>
      <c r="Z92">
        <v>90</v>
      </c>
      <c r="AA92" s="537" cm="1">
        <f t="array" aca="1" ref="AA92" ca="1">SUMPRODUCT(IF($Z92=$L$4:$L$297,1,0),$P$4:$P$297)</f>
        <v>0</v>
      </c>
      <c r="AB92" s="538">
        <f t="shared" ca="1" si="17"/>
        <v>0</v>
      </c>
    </row>
    <row r="93" spans="8:28">
      <c r="H93" s="32">
        <f t="shared" si="18"/>
        <v>90</v>
      </c>
      <c r="I93" s="33">
        <f>Calcs!A106</f>
        <v>0</v>
      </c>
      <c r="J93" s="106"/>
      <c r="K93" s="35"/>
      <c r="L93" s="36"/>
      <c r="M93" s="36"/>
      <c r="N93" s="37"/>
      <c r="O93" s="38"/>
      <c r="P93" s="39"/>
      <c r="T93" s="36"/>
      <c r="U93" s="41"/>
      <c r="W93" s="531">
        <v>8.9499999999999993</v>
      </c>
      <c r="X93" s="529">
        <v>3.75</v>
      </c>
      <c r="Z93">
        <v>91</v>
      </c>
      <c r="AA93" s="537" cm="1">
        <f t="array" aca="1" ref="AA93" ca="1">SUMPRODUCT(IF($Z93=$L$4:$L$297,1,0),$P$4:$P$297)</f>
        <v>0</v>
      </c>
      <c r="AB93" s="538">
        <f t="shared" ca="1" si="17"/>
        <v>0</v>
      </c>
    </row>
    <row r="94" spans="8:28">
      <c r="H94" s="32">
        <f t="shared" si="18"/>
        <v>91</v>
      </c>
      <c r="I94" s="33">
        <f>Calcs!A107</f>
        <v>0</v>
      </c>
      <c r="J94" s="106"/>
      <c r="K94" s="35"/>
      <c r="L94" s="36"/>
      <c r="M94" s="36"/>
      <c r="N94" s="37"/>
      <c r="O94" s="38"/>
      <c r="P94" s="39"/>
      <c r="T94" s="36"/>
      <c r="U94" s="41"/>
      <c r="W94" s="531">
        <v>9.0500000000000007</v>
      </c>
      <c r="X94" s="529">
        <v>3.7749999999999999</v>
      </c>
      <c r="Z94">
        <v>92</v>
      </c>
      <c r="AA94" s="537" cm="1">
        <f t="array" aca="1" ref="AA94" ca="1">SUMPRODUCT(IF($Z94=$L$4:$L$297,1,0),$P$4:$P$297)</f>
        <v>0</v>
      </c>
      <c r="AB94" s="538">
        <f t="shared" ca="1" si="17"/>
        <v>0</v>
      </c>
    </row>
    <row r="95" spans="8:28">
      <c r="H95" s="32">
        <f t="shared" si="18"/>
        <v>92</v>
      </c>
      <c r="I95" s="33">
        <f>Calcs!A108</f>
        <v>0</v>
      </c>
      <c r="J95" s="106"/>
      <c r="K95" s="35"/>
      <c r="L95" s="36"/>
      <c r="M95" s="36"/>
      <c r="N95" s="37"/>
      <c r="O95" s="38"/>
      <c r="P95" s="39"/>
      <c r="T95" s="36"/>
      <c r="U95" s="41"/>
      <c r="W95" s="531">
        <v>9.15</v>
      </c>
      <c r="X95" s="529">
        <v>3.8</v>
      </c>
      <c r="Z95">
        <v>93</v>
      </c>
      <c r="AA95" s="537" cm="1">
        <f t="array" aca="1" ref="AA95" ca="1">SUMPRODUCT(IF($Z95=$L$4:$L$297,1,0),$P$4:$P$297)</f>
        <v>0</v>
      </c>
      <c r="AB95" s="538">
        <f t="shared" ca="1" si="17"/>
        <v>0</v>
      </c>
    </row>
    <row r="96" spans="8:28">
      <c r="H96" s="32">
        <f t="shared" si="18"/>
        <v>93</v>
      </c>
      <c r="I96" s="33">
        <f>Calcs!A109</f>
        <v>0</v>
      </c>
      <c r="J96" s="106"/>
      <c r="K96" s="35"/>
      <c r="L96" s="36"/>
      <c r="M96" s="36"/>
      <c r="N96" s="37"/>
      <c r="O96" s="38"/>
      <c r="P96" s="39"/>
      <c r="T96" s="36"/>
      <c r="U96" s="41"/>
      <c r="W96" s="531">
        <v>9.25</v>
      </c>
      <c r="X96" s="529">
        <v>3.8250000000000002</v>
      </c>
      <c r="Z96">
        <v>94</v>
      </c>
      <c r="AA96" s="537" cm="1">
        <f t="array" aca="1" ref="AA96" ca="1">SUMPRODUCT(IF($Z96=$L$4:$L$297,1,0),$P$4:$P$297)</f>
        <v>0</v>
      </c>
      <c r="AB96" s="538">
        <f t="shared" ca="1" si="17"/>
        <v>0</v>
      </c>
    </row>
    <row r="97" spans="8:28">
      <c r="H97" s="32">
        <f t="shared" si="18"/>
        <v>94</v>
      </c>
      <c r="I97" s="33">
        <f>Calcs!A110</f>
        <v>0</v>
      </c>
      <c r="J97" s="106"/>
      <c r="K97" s="35"/>
      <c r="L97" s="36"/>
      <c r="M97" s="36"/>
      <c r="N97" s="37"/>
      <c r="O97" s="38"/>
      <c r="P97" s="39"/>
      <c r="T97" s="36"/>
      <c r="U97" s="41"/>
      <c r="W97" s="531">
        <v>9.35</v>
      </c>
      <c r="X97" s="529">
        <v>3.85</v>
      </c>
      <c r="Z97">
        <v>95</v>
      </c>
      <c r="AA97" s="537" cm="1">
        <f t="array" aca="1" ref="AA97" ca="1">SUMPRODUCT(IF($Z97=$L$4:$L$297,1,0),$P$4:$P$297)</f>
        <v>0</v>
      </c>
      <c r="AB97" s="538">
        <f t="shared" ca="1" si="17"/>
        <v>0</v>
      </c>
    </row>
    <row r="98" spans="8:28">
      <c r="H98" s="32">
        <f t="shared" si="18"/>
        <v>95</v>
      </c>
      <c r="I98" s="33">
        <f>Calcs!A111</f>
        <v>0</v>
      </c>
      <c r="J98" s="106"/>
      <c r="K98" s="35"/>
      <c r="L98" s="36"/>
      <c r="M98" s="36"/>
      <c r="N98" s="37"/>
      <c r="O98" s="38"/>
      <c r="P98" s="39"/>
      <c r="T98" s="36"/>
      <c r="U98" s="41"/>
      <c r="W98" s="531">
        <v>9.4499999999999993</v>
      </c>
      <c r="X98" s="529">
        <v>3.875</v>
      </c>
      <c r="Z98">
        <v>96</v>
      </c>
      <c r="AA98" s="537" cm="1">
        <f t="array" aca="1" ref="AA98" ca="1">SUMPRODUCT(IF($Z98=$L$4:$L$297,1,0),$P$4:$P$297)</f>
        <v>0</v>
      </c>
      <c r="AB98" s="538">
        <f t="shared" ca="1" si="17"/>
        <v>0</v>
      </c>
    </row>
    <row r="99" spans="8:28">
      <c r="H99" s="32">
        <f t="shared" si="18"/>
        <v>96</v>
      </c>
      <c r="I99" s="33">
        <f>Calcs!A112</f>
        <v>0</v>
      </c>
      <c r="J99" s="106"/>
      <c r="K99" s="35"/>
      <c r="L99" s="36"/>
      <c r="M99" s="36"/>
      <c r="N99" s="37"/>
      <c r="O99" s="38"/>
      <c r="P99" s="39"/>
      <c r="T99" s="36"/>
      <c r="U99" s="41"/>
      <c r="W99" s="531">
        <v>9.5500000000000007</v>
      </c>
      <c r="X99" s="529">
        <v>3.9</v>
      </c>
      <c r="Z99">
        <v>97</v>
      </c>
      <c r="AA99" s="537" cm="1">
        <f t="array" aca="1" ref="AA99" ca="1">SUMPRODUCT(IF($Z99=$L$4:$L$297,1,0),$P$4:$P$297)</f>
        <v>0</v>
      </c>
      <c r="AB99" s="538">
        <f t="shared" ca="1" si="17"/>
        <v>0</v>
      </c>
    </row>
    <row r="100" spans="8:28">
      <c r="H100" s="32">
        <f t="shared" si="18"/>
        <v>97</v>
      </c>
      <c r="I100" s="33">
        <f>Calcs!A113</f>
        <v>0</v>
      </c>
      <c r="J100" s="106"/>
      <c r="K100" s="35"/>
      <c r="L100" s="36"/>
      <c r="M100" s="36"/>
      <c r="N100" s="37"/>
      <c r="O100" s="38"/>
      <c r="P100" s="39"/>
      <c r="T100" s="36"/>
      <c r="U100" s="41"/>
      <c r="W100" s="531">
        <v>9.65</v>
      </c>
      <c r="X100" s="529">
        <v>3.9249999999999998</v>
      </c>
      <c r="Z100">
        <v>98</v>
      </c>
      <c r="AA100" s="537" cm="1">
        <f t="array" aca="1" ref="AA100" ca="1">SUMPRODUCT(IF($Z100=$L$4:$L$297,1,0),$P$4:$P$297)</f>
        <v>0</v>
      </c>
      <c r="AB100" s="538">
        <f t="shared" ca="1" si="17"/>
        <v>0</v>
      </c>
    </row>
    <row r="101" spans="8:28">
      <c r="H101" s="32">
        <f t="shared" si="18"/>
        <v>98</v>
      </c>
      <c r="I101" s="33">
        <f>Calcs!A114</f>
        <v>0</v>
      </c>
      <c r="J101" s="106"/>
      <c r="K101" s="35"/>
      <c r="L101" s="36"/>
      <c r="M101" s="36"/>
      <c r="N101" s="37"/>
      <c r="O101" s="38"/>
      <c r="P101" s="39"/>
      <c r="T101" s="36"/>
      <c r="U101" s="41"/>
      <c r="W101" s="531">
        <v>9.75</v>
      </c>
      <c r="X101" s="529">
        <v>3.95</v>
      </c>
      <c r="Z101">
        <v>99</v>
      </c>
      <c r="AA101" s="537" cm="1">
        <f t="array" aca="1" ref="AA101" ca="1">SUMPRODUCT(IF($Z101=$L$4:$L$297,1,0),$P$4:$P$297)</f>
        <v>0</v>
      </c>
      <c r="AB101" s="538">
        <f t="shared" ca="1" si="17"/>
        <v>0</v>
      </c>
    </row>
    <row r="102" spans="8:28">
      <c r="H102" s="32">
        <f t="shared" si="18"/>
        <v>99</v>
      </c>
      <c r="I102" s="33">
        <f>Calcs!A115</f>
        <v>0</v>
      </c>
      <c r="J102" s="106"/>
      <c r="K102" s="35"/>
      <c r="L102" s="36"/>
      <c r="M102" s="36"/>
      <c r="N102" s="37"/>
      <c r="O102" s="38"/>
      <c r="P102" s="39"/>
      <c r="T102" s="36"/>
      <c r="U102" s="41"/>
      <c r="W102" s="531">
        <v>9.85</v>
      </c>
      <c r="X102" s="529">
        <v>3.9750000000000001</v>
      </c>
    </row>
    <row r="103" spans="8:28">
      <c r="H103" s="32">
        <f t="shared" si="18"/>
        <v>100</v>
      </c>
      <c r="I103" s="33">
        <f>Calcs!A116</f>
        <v>0</v>
      </c>
      <c r="J103" s="106"/>
      <c r="K103" s="35"/>
      <c r="L103" s="36"/>
      <c r="M103" s="36"/>
      <c r="N103" s="37"/>
      <c r="O103" s="38"/>
      <c r="P103" s="39"/>
      <c r="T103" s="36"/>
      <c r="U103" s="41"/>
      <c r="W103" s="531">
        <v>9.9499999999999993</v>
      </c>
      <c r="X103" s="529">
        <v>4</v>
      </c>
    </row>
    <row r="104" spans="8:28">
      <c r="H104" s="32">
        <f t="shared" si="18"/>
        <v>101</v>
      </c>
      <c r="I104" s="33">
        <f>Calcs!A117</f>
        <v>0</v>
      </c>
      <c r="J104" s="106"/>
      <c r="K104" s="35"/>
      <c r="L104" s="36"/>
      <c r="M104" s="36"/>
      <c r="N104" s="37"/>
      <c r="O104" s="38"/>
      <c r="P104" s="39"/>
      <c r="T104" s="36"/>
      <c r="U104" s="41"/>
      <c r="W104" s="531">
        <v>10.050000000000001</v>
      </c>
      <c r="X104" s="529">
        <v>4.01</v>
      </c>
    </row>
    <row r="105" spans="8:28">
      <c r="H105" s="32">
        <f t="shared" si="18"/>
        <v>102</v>
      </c>
      <c r="I105" s="33">
        <f>Calcs!A118</f>
        <v>0</v>
      </c>
      <c r="J105" s="106"/>
      <c r="K105" s="35"/>
      <c r="L105" s="36"/>
      <c r="M105" s="36"/>
      <c r="N105" s="37"/>
      <c r="O105" s="38"/>
      <c r="P105" s="39"/>
      <c r="T105" s="36"/>
      <c r="U105" s="41"/>
      <c r="W105" s="531">
        <v>10.15</v>
      </c>
      <c r="X105" s="529">
        <v>4.0199999999999996</v>
      </c>
    </row>
    <row r="106" spans="8:28">
      <c r="H106" s="32">
        <f t="shared" si="18"/>
        <v>103</v>
      </c>
      <c r="I106" s="33">
        <f>Calcs!A119</f>
        <v>0</v>
      </c>
      <c r="J106" s="106"/>
      <c r="K106" s="35"/>
      <c r="L106" s="36"/>
      <c r="M106" s="36"/>
      <c r="N106" s="37"/>
      <c r="O106" s="38"/>
      <c r="P106" s="39"/>
      <c r="T106" s="36"/>
      <c r="U106" s="41"/>
      <c r="W106" s="531">
        <v>10.25</v>
      </c>
      <c r="X106" s="529">
        <v>4.03</v>
      </c>
    </row>
    <row r="107" spans="8:28">
      <c r="H107" s="32">
        <f t="shared" si="18"/>
        <v>104</v>
      </c>
      <c r="I107" s="33">
        <f>Calcs!A120</f>
        <v>0</v>
      </c>
      <c r="J107" s="106"/>
      <c r="K107" s="35"/>
      <c r="L107" s="36"/>
      <c r="M107" s="36"/>
      <c r="N107" s="37"/>
      <c r="O107" s="38"/>
      <c r="P107" s="39"/>
      <c r="W107" s="531">
        <v>10.35</v>
      </c>
      <c r="X107" s="529">
        <v>4.04</v>
      </c>
    </row>
    <row r="108" spans="8:28">
      <c r="H108" s="32">
        <f t="shared" si="18"/>
        <v>105</v>
      </c>
      <c r="I108" s="33">
        <f>Calcs!A121</f>
        <v>0</v>
      </c>
      <c r="J108" s="106"/>
      <c r="K108" s="35"/>
      <c r="L108" s="36"/>
      <c r="M108" s="36"/>
      <c r="N108" s="37"/>
      <c r="O108" s="38"/>
      <c r="P108" s="39"/>
      <c r="W108" s="531">
        <v>10.45</v>
      </c>
      <c r="X108" s="529">
        <v>4.05</v>
      </c>
    </row>
    <row r="109" spans="8:28">
      <c r="H109" s="32">
        <f t="shared" si="18"/>
        <v>106</v>
      </c>
      <c r="I109" s="33">
        <f>Calcs!A122</f>
        <v>0</v>
      </c>
      <c r="J109" s="106"/>
      <c r="K109" s="35"/>
      <c r="L109" s="36"/>
      <c r="M109" s="36"/>
      <c r="N109" s="37"/>
      <c r="O109" s="38"/>
      <c r="P109" s="39"/>
      <c r="W109" s="531">
        <v>10.55</v>
      </c>
      <c r="X109" s="529">
        <v>4.0599999999999996</v>
      </c>
    </row>
    <row r="110" spans="8:28">
      <c r="H110" s="32">
        <f t="shared" si="18"/>
        <v>107</v>
      </c>
      <c r="I110" s="33">
        <f>Calcs!A123</f>
        <v>0</v>
      </c>
      <c r="J110" s="106"/>
      <c r="K110" s="35"/>
      <c r="L110" s="36"/>
      <c r="M110" s="36"/>
      <c r="N110" s="37"/>
      <c r="O110" s="38"/>
      <c r="P110" s="39"/>
      <c r="W110" s="531">
        <v>10.65</v>
      </c>
      <c r="X110" s="529">
        <v>4.07</v>
      </c>
    </row>
    <row r="111" spans="8:28">
      <c r="H111" s="32">
        <f t="shared" si="18"/>
        <v>108</v>
      </c>
      <c r="I111" s="33">
        <f>Calcs!A124</f>
        <v>0</v>
      </c>
      <c r="J111" s="106"/>
      <c r="K111" s="35"/>
      <c r="L111" s="36"/>
      <c r="M111" s="36"/>
      <c r="N111" s="37"/>
      <c r="O111" s="38"/>
      <c r="P111" s="39"/>
      <c r="W111" s="531">
        <v>10.75</v>
      </c>
      <c r="X111" s="529">
        <v>4.08</v>
      </c>
    </row>
    <row r="112" spans="8:28">
      <c r="H112" s="32">
        <f t="shared" si="18"/>
        <v>109</v>
      </c>
      <c r="I112" s="33">
        <f>Calcs!A125</f>
        <v>0</v>
      </c>
      <c r="J112" s="106"/>
      <c r="K112" s="35"/>
      <c r="L112" s="36"/>
      <c r="M112" s="36"/>
      <c r="N112" s="37"/>
      <c r="O112" s="38"/>
      <c r="P112" s="39"/>
      <c r="W112" s="531">
        <v>10.85</v>
      </c>
      <c r="X112" s="529">
        <v>4.09</v>
      </c>
    </row>
    <row r="113" spans="8:24">
      <c r="H113" s="32">
        <f t="shared" si="18"/>
        <v>110</v>
      </c>
      <c r="I113" s="33">
        <f>Calcs!A126</f>
        <v>0</v>
      </c>
      <c r="J113" s="106"/>
      <c r="K113" s="35"/>
      <c r="L113" s="36"/>
      <c r="M113" s="36"/>
      <c r="N113" s="37"/>
      <c r="O113" s="38"/>
      <c r="P113" s="39"/>
      <c r="W113" s="531">
        <v>10.95</v>
      </c>
      <c r="X113" s="529">
        <v>4.0999999999999996</v>
      </c>
    </row>
    <row r="114" spans="8:24">
      <c r="H114" s="32">
        <f t="shared" si="18"/>
        <v>111</v>
      </c>
      <c r="I114" s="33">
        <f>Calcs!A127</f>
        <v>0</v>
      </c>
      <c r="J114" s="106"/>
      <c r="K114" s="35"/>
      <c r="L114" s="36"/>
      <c r="M114" s="36"/>
      <c r="N114" s="37"/>
      <c r="O114" s="38"/>
      <c r="P114" s="39"/>
      <c r="W114" s="531">
        <v>11.05</v>
      </c>
      <c r="X114" s="529">
        <v>4.1100000000000101</v>
      </c>
    </row>
    <row r="115" spans="8:24">
      <c r="H115" s="32">
        <f t="shared" si="18"/>
        <v>112</v>
      </c>
      <c r="I115" s="33">
        <f>Calcs!A128</f>
        <v>0</v>
      </c>
      <c r="J115" s="106"/>
      <c r="K115" s="35"/>
      <c r="L115" s="36"/>
      <c r="M115" s="36"/>
      <c r="N115" s="37"/>
      <c r="O115" s="38"/>
      <c r="P115" s="39"/>
      <c r="W115" s="531">
        <v>11.15</v>
      </c>
      <c r="X115" s="529">
        <v>4.1200000000000099</v>
      </c>
    </row>
    <row r="116" spans="8:24">
      <c r="H116" s="32">
        <f t="shared" si="18"/>
        <v>113</v>
      </c>
      <c r="I116" s="33">
        <f>Calcs!A129</f>
        <v>0</v>
      </c>
      <c r="J116" s="106"/>
      <c r="K116" s="35"/>
      <c r="L116" s="36"/>
      <c r="M116" s="36"/>
      <c r="N116" s="37"/>
      <c r="O116" s="38"/>
      <c r="P116" s="39"/>
      <c r="W116" s="531">
        <v>11.25</v>
      </c>
      <c r="X116" s="529">
        <v>4.1300000000000097</v>
      </c>
    </row>
    <row r="117" spans="8:24">
      <c r="H117" s="32">
        <f t="shared" si="18"/>
        <v>114</v>
      </c>
      <c r="I117" s="33">
        <f>Calcs!A130</f>
        <v>0</v>
      </c>
      <c r="J117" s="106"/>
      <c r="K117" s="35"/>
      <c r="L117" s="36"/>
      <c r="M117" s="36"/>
      <c r="N117" s="37"/>
      <c r="O117" s="38"/>
      <c r="P117" s="39"/>
      <c r="W117" s="531">
        <v>11.35</v>
      </c>
      <c r="X117" s="529">
        <v>4.1400000000000103</v>
      </c>
    </row>
    <row r="118" spans="8:24">
      <c r="H118" s="32">
        <f t="shared" si="18"/>
        <v>115</v>
      </c>
      <c r="I118" s="33">
        <f>Calcs!A131</f>
        <v>0</v>
      </c>
      <c r="J118" s="106"/>
      <c r="K118" s="35"/>
      <c r="L118" s="36"/>
      <c r="M118" s="36"/>
      <c r="N118" s="37"/>
      <c r="O118" s="38"/>
      <c r="P118" s="39"/>
      <c r="W118" s="531">
        <v>11.45</v>
      </c>
      <c r="X118" s="529">
        <v>4.1500000000000101</v>
      </c>
    </row>
    <row r="119" spans="8:24">
      <c r="H119" s="32">
        <f t="shared" si="18"/>
        <v>116</v>
      </c>
      <c r="I119" s="33">
        <f>Calcs!A132</f>
        <v>0</v>
      </c>
      <c r="J119" s="106"/>
      <c r="K119" s="35"/>
      <c r="L119" s="36"/>
      <c r="M119" s="36"/>
      <c r="N119" s="37"/>
      <c r="O119" s="38"/>
      <c r="P119" s="39"/>
      <c r="W119" s="531">
        <v>11.55</v>
      </c>
      <c r="X119" s="529">
        <v>4.1600000000000099</v>
      </c>
    </row>
    <row r="120" spans="8:24">
      <c r="H120" s="32">
        <f t="shared" si="18"/>
        <v>117</v>
      </c>
      <c r="I120" s="33">
        <f>Calcs!A133</f>
        <v>0</v>
      </c>
      <c r="J120" s="106"/>
      <c r="K120" s="35"/>
      <c r="L120" s="36"/>
      <c r="M120" s="36"/>
      <c r="N120" s="37"/>
      <c r="O120" s="38"/>
      <c r="P120" s="39"/>
      <c r="W120" s="531">
        <v>11.65</v>
      </c>
      <c r="X120" s="529">
        <v>4.1700000000000097</v>
      </c>
    </row>
    <row r="121" spans="8:24">
      <c r="H121" s="32">
        <f t="shared" si="18"/>
        <v>118</v>
      </c>
      <c r="I121" s="33">
        <f>Calcs!A134</f>
        <v>0</v>
      </c>
      <c r="J121" s="106"/>
      <c r="K121" s="35"/>
      <c r="L121" s="36"/>
      <c r="M121" s="36"/>
      <c r="N121" s="37"/>
      <c r="O121" s="38"/>
      <c r="P121" s="39"/>
      <c r="W121" s="531">
        <v>11.75</v>
      </c>
      <c r="X121" s="529">
        <v>4.1800000000000104</v>
      </c>
    </row>
    <row r="122" spans="8:24">
      <c r="H122" s="32">
        <f t="shared" si="18"/>
        <v>119</v>
      </c>
      <c r="I122" s="33">
        <f>Calcs!A135</f>
        <v>0</v>
      </c>
      <c r="J122" s="106"/>
      <c r="K122" s="35"/>
      <c r="L122" s="36"/>
      <c r="M122" s="36"/>
      <c r="N122" s="37"/>
      <c r="O122" s="38"/>
      <c r="P122" s="39"/>
      <c r="W122" s="531">
        <v>11.85</v>
      </c>
      <c r="X122" s="529">
        <v>4.1900000000000102</v>
      </c>
    </row>
    <row r="123" spans="8:24">
      <c r="H123" s="32"/>
      <c r="I123" s="33"/>
      <c r="J123" s="106"/>
      <c r="K123" s="35"/>
      <c r="L123" s="36"/>
      <c r="M123" s="36"/>
      <c r="N123" s="37"/>
      <c r="O123" s="38"/>
      <c r="P123" s="39"/>
      <c r="W123" s="531">
        <v>11.95</v>
      </c>
      <c r="X123" s="529">
        <v>4.2000000000000099</v>
      </c>
    </row>
    <row r="124" spans="8:24">
      <c r="H124" s="32"/>
      <c r="I124" s="33"/>
      <c r="J124" s="34"/>
      <c r="K124" s="35"/>
      <c r="L124" s="36"/>
      <c r="M124" s="36"/>
      <c r="N124" s="37"/>
      <c r="O124" s="38"/>
      <c r="P124" s="39"/>
      <c r="W124" s="531">
        <v>12.05</v>
      </c>
      <c r="X124" s="529">
        <v>4.2100000000000097</v>
      </c>
    </row>
    <row r="125" spans="8:24">
      <c r="H125" s="32"/>
      <c r="I125" s="33"/>
      <c r="J125" s="34"/>
      <c r="K125" s="35"/>
      <c r="L125" s="36"/>
      <c r="M125" s="36"/>
      <c r="N125" s="37"/>
      <c r="O125" s="38"/>
      <c r="P125" s="39"/>
      <c r="W125" s="531">
        <v>12.15</v>
      </c>
      <c r="X125" s="529">
        <v>4.2200000000000104</v>
      </c>
    </row>
    <row r="126" spans="8:24">
      <c r="H126" s="32"/>
      <c r="I126" s="33"/>
      <c r="J126" s="34"/>
      <c r="K126" s="35"/>
      <c r="L126" s="36"/>
      <c r="M126" s="36"/>
      <c r="N126" s="37"/>
      <c r="O126" s="38"/>
      <c r="P126" s="39"/>
      <c r="W126" s="531">
        <v>12.25</v>
      </c>
      <c r="X126" s="529">
        <v>4.2300000000000102</v>
      </c>
    </row>
    <row r="127" spans="8:24">
      <c r="H127" s="32"/>
      <c r="I127" s="33"/>
      <c r="J127" s="34"/>
      <c r="K127" s="35"/>
      <c r="L127" s="36"/>
      <c r="M127" s="36"/>
      <c r="N127" s="37"/>
      <c r="O127" s="38"/>
      <c r="P127" s="39"/>
      <c r="W127" s="531">
        <v>12.35</v>
      </c>
      <c r="X127" s="529">
        <v>4.24000000000001</v>
      </c>
    </row>
    <row r="128" spans="8:24">
      <c r="H128" s="32"/>
      <c r="I128" s="33"/>
      <c r="J128" s="34"/>
      <c r="K128" s="35"/>
      <c r="L128" s="36"/>
      <c r="M128" s="36"/>
      <c r="N128" s="37"/>
      <c r="O128" s="38"/>
      <c r="P128" s="39"/>
      <c r="W128" s="531">
        <v>12.45</v>
      </c>
      <c r="X128" s="529">
        <v>4.2500000000000204</v>
      </c>
    </row>
    <row r="129" spans="8:24">
      <c r="H129" s="32"/>
      <c r="I129" s="33"/>
      <c r="J129" s="34"/>
      <c r="K129" s="35"/>
      <c r="L129" s="36"/>
      <c r="M129" s="36"/>
      <c r="N129" s="37"/>
      <c r="O129" s="38"/>
      <c r="P129" s="39"/>
      <c r="W129" s="531">
        <v>12.55</v>
      </c>
      <c r="X129" s="529">
        <v>4.2600000000000202</v>
      </c>
    </row>
    <row r="130" spans="8:24">
      <c r="H130" s="32"/>
      <c r="I130" s="33"/>
      <c r="J130" s="34"/>
      <c r="K130" s="35"/>
      <c r="L130" s="36"/>
      <c r="M130" s="36"/>
      <c r="N130" s="37"/>
      <c r="O130" s="38"/>
      <c r="P130" s="39"/>
      <c r="W130" s="531">
        <v>12.65</v>
      </c>
      <c r="X130" s="529">
        <v>4.27000000000002</v>
      </c>
    </row>
    <row r="131" spans="8:24">
      <c r="H131" s="32"/>
      <c r="I131" s="33"/>
      <c r="J131" s="34"/>
      <c r="K131" s="35"/>
      <c r="L131" s="36"/>
      <c r="M131" s="36"/>
      <c r="N131" s="37"/>
      <c r="O131" s="38"/>
      <c r="P131" s="39"/>
      <c r="W131" s="531">
        <v>12.75</v>
      </c>
      <c r="X131" s="529">
        <v>4.2800000000000198</v>
      </c>
    </row>
    <row r="132" spans="8:24">
      <c r="H132" s="32"/>
      <c r="I132" s="33"/>
      <c r="J132" s="34"/>
      <c r="K132" s="35"/>
      <c r="L132" s="36"/>
      <c r="M132" s="36"/>
      <c r="N132" s="37"/>
      <c r="O132" s="38"/>
      <c r="P132" s="39"/>
      <c r="W132" s="531">
        <v>12.85</v>
      </c>
      <c r="X132" s="529">
        <v>4.2900000000000196</v>
      </c>
    </row>
    <row r="133" spans="8:24">
      <c r="H133" s="32"/>
      <c r="I133" s="33"/>
      <c r="J133" s="34"/>
      <c r="K133" s="35"/>
      <c r="L133" s="36"/>
      <c r="M133" s="36"/>
      <c r="N133" s="37"/>
      <c r="O133" s="38"/>
      <c r="P133" s="39"/>
      <c r="W133" s="531">
        <v>12.95</v>
      </c>
      <c r="X133" s="529">
        <v>4.3000000000000203</v>
      </c>
    </row>
    <row r="134" spans="8:24">
      <c r="H134" s="32"/>
      <c r="I134" s="33"/>
      <c r="J134" s="34"/>
      <c r="K134" s="35"/>
      <c r="L134" s="36"/>
      <c r="M134" s="36"/>
      <c r="N134" s="37"/>
      <c r="O134" s="38"/>
      <c r="P134" s="39"/>
      <c r="W134" s="531">
        <v>13.05</v>
      </c>
      <c r="X134" s="529">
        <v>4.31000000000002</v>
      </c>
    </row>
    <row r="135" spans="8:24">
      <c r="H135" s="32"/>
      <c r="I135" s="33"/>
      <c r="J135" s="34"/>
      <c r="K135" s="35"/>
      <c r="L135" s="36"/>
      <c r="M135" s="36"/>
      <c r="N135" s="37"/>
      <c r="O135" s="38"/>
      <c r="P135" s="39"/>
      <c r="W135" s="531">
        <v>13.15</v>
      </c>
      <c r="X135" s="529">
        <v>4.3200000000000198</v>
      </c>
    </row>
    <row r="136" spans="8:24">
      <c r="H136" s="32"/>
      <c r="I136" s="33"/>
      <c r="J136" s="34"/>
      <c r="K136" s="35"/>
      <c r="L136" s="36"/>
      <c r="M136" s="36"/>
      <c r="N136" s="37"/>
      <c r="O136" s="38"/>
      <c r="P136" s="39"/>
      <c r="W136" s="531">
        <v>13.25</v>
      </c>
      <c r="X136" s="529">
        <v>4.3300000000000196</v>
      </c>
    </row>
    <row r="137" spans="8:24">
      <c r="H137" s="32"/>
      <c r="I137" s="33"/>
      <c r="J137" s="34"/>
      <c r="K137" s="35"/>
      <c r="L137" s="36"/>
      <c r="M137" s="36"/>
      <c r="N137" s="37"/>
      <c r="O137" s="38"/>
      <c r="P137" s="39"/>
      <c r="W137" s="531">
        <v>13.35</v>
      </c>
      <c r="X137" s="529">
        <v>4.3400000000000203</v>
      </c>
    </row>
    <row r="138" spans="8:24">
      <c r="H138" s="32"/>
      <c r="I138" s="33"/>
      <c r="J138" s="34"/>
      <c r="K138" s="35"/>
      <c r="L138" s="36"/>
      <c r="M138" s="36"/>
      <c r="N138" s="37"/>
      <c r="O138" s="38"/>
      <c r="P138" s="39"/>
      <c r="W138" s="531">
        <v>13.45</v>
      </c>
      <c r="X138" s="529">
        <v>4.3500000000000201</v>
      </c>
    </row>
    <row r="139" spans="8:24">
      <c r="H139" s="32"/>
      <c r="I139" s="33"/>
      <c r="J139" s="34"/>
      <c r="K139" s="35"/>
      <c r="L139" s="36"/>
      <c r="M139" s="36"/>
      <c r="N139" s="37"/>
      <c r="O139" s="38"/>
      <c r="P139" s="39"/>
      <c r="W139" s="531">
        <v>13.55</v>
      </c>
      <c r="X139" s="529">
        <v>4.3600000000000199</v>
      </c>
    </row>
    <row r="140" spans="8:24">
      <c r="H140" s="32"/>
      <c r="I140" s="33"/>
      <c r="J140" s="34"/>
      <c r="K140" s="35"/>
      <c r="L140" s="36"/>
      <c r="M140" s="36"/>
      <c r="N140" s="37"/>
      <c r="O140" s="38"/>
      <c r="P140" s="39"/>
      <c r="W140" s="531">
        <v>13.65</v>
      </c>
      <c r="X140" s="529">
        <v>4.3700000000000196</v>
      </c>
    </row>
    <row r="141" spans="8:24">
      <c r="H141" s="32"/>
      <c r="I141" s="33"/>
      <c r="J141" s="34"/>
      <c r="K141" s="35"/>
      <c r="L141" s="36"/>
      <c r="M141" s="36"/>
      <c r="N141" s="37"/>
      <c r="O141" s="38"/>
      <c r="P141" s="39"/>
      <c r="W141" s="531">
        <v>13.75</v>
      </c>
      <c r="X141" s="529">
        <v>4.3800000000000203</v>
      </c>
    </row>
    <row r="142" spans="8:24">
      <c r="H142" s="32"/>
      <c r="I142" s="33"/>
      <c r="J142" s="34"/>
      <c r="K142" s="35"/>
      <c r="L142" s="36"/>
      <c r="M142" s="36"/>
      <c r="N142" s="37"/>
      <c r="O142" s="38"/>
      <c r="P142" s="39"/>
      <c r="W142" s="531">
        <v>13.85</v>
      </c>
      <c r="X142" s="529">
        <v>4.3900000000000201</v>
      </c>
    </row>
    <row r="143" spans="8:24">
      <c r="H143" s="32"/>
      <c r="I143" s="33"/>
      <c r="J143" s="34"/>
      <c r="K143" s="35"/>
      <c r="L143" s="36"/>
      <c r="M143" s="36"/>
      <c r="N143" s="37"/>
      <c r="O143" s="38"/>
      <c r="P143" s="39"/>
      <c r="W143" s="531">
        <v>13.95</v>
      </c>
      <c r="X143" s="529">
        <v>4.4000000000000297</v>
      </c>
    </row>
    <row r="144" spans="8:24">
      <c r="H144" s="32"/>
      <c r="I144" s="33"/>
      <c r="J144" s="34"/>
      <c r="K144" s="35"/>
      <c r="L144" s="36"/>
      <c r="M144" s="36"/>
      <c r="N144" s="37"/>
      <c r="O144" s="38"/>
      <c r="P144" s="39"/>
      <c r="W144" s="531">
        <v>14.05</v>
      </c>
      <c r="X144" s="529">
        <v>4.4100000000000303</v>
      </c>
    </row>
    <row r="145" spans="8:24">
      <c r="H145" s="32"/>
      <c r="I145" s="33"/>
      <c r="J145" s="34"/>
      <c r="K145" s="35"/>
      <c r="L145" s="36"/>
      <c r="M145" s="36"/>
      <c r="N145" s="37"/>
      <c r="O145" s="38"/>
      <c r="P145" s="39"/>
      <c r="W145" s="531">
        <v>14.15</v>
      </c>
      <c r="X145" s="529">
        <v>4.4200000000000301</v>
      </c>
    </row>
    <row r="146" spans="8:24">
      <c r="H146" s="32"/>
      <c r="I146" s="33"/>
      <c r="J146" s="34"/>
      <c r="K146" s="35"/>
      <c r="L146" s="36"/>
      <c r="M146" s="36"/>
      <c r="N146" s="37"/>
      <c r="O146" s="38"/>
      <c r="P146" s="39"/>
      <c r="W146" s="531">
        <v>14.25</v>
      </c>
      <c r="X146" s="529">
        <v>4.4300000000000299</v>
      </c>
    </row>
    <row r="147" spans="8:24">
      <c r="H147" s="32"/>
      <c r="I147" s="33"/>
      <c r="J147" s="34"/>
      <c r="K147" s="35"/>
      <c r="L147" s="36"/>
      <c r="M147" s="36"/>
      <c r="N147" s="37"/>
      <c r="O147" s="38"/>
      <c r="P147" s="39"/>
      <c r="W147" s="531">
        <v>14.35</v>
      </c>
      <c r="X147" s="529">
        <v>4.4400000000000297</v>
      </c>
    </row>
    <row r="148" spans="8:24">
      <c r="H148" s="32"/>
      <c r="I148" s="33"/>
      <c r="J148" s="34"/>
      <c r="K148" s="35"/>
      <c r="L148" s="36"/>
      <c r="M148" s="36"/>
      <c r="N148" s="37"/>
      <c r="O148" s="38"/>
      <c r="P148" s="39"/>
      <c r="W148" s="531">
        <v>14.45</v>
      </c>
      <c r="X148" s="529">
        <v>4.4500000000000304</v>
      </c>
    </row>
    <row r="149" spans="8:24">
      <c r="H149" s="32"/>
      <c r="I149" s="33"/>
      <c r="J149" s="34"/>
      <c r="K149" s="35"/>
      <c r="L149" s="36"/>
      <c r="M149" s="36"/>
      <c r="N149" s="37"/>
      <c r="O149" s="38"/>
      <c r="P149" s="39"/>
      <c r="W149" s="531">
        <v>14.55</v>
      </c>
      <c r="X149" s="529">
        <v>4.4600000000000302</v>
      </c>
    </row>
    <row r="150" spans="8:24">
      <c r="H150" s="32"/>
      <c r="I150" s="33"/>
      <c r="J150" s="34"/>
      <c r="K150" s="35"/>
      <c r="L150" s="36"/>
      <c r="M150" s="36"/>
      <c r="N150" s="37"/>
      <c r="O150" s="38"/>
      <c r="P150" s="39"/>
      <c r="W150" s="531">
        <v>14.65</v>
      </c>
      <c r="X150" s="529">
        <v>4.4700000000000299</v>
      </c>
    </row>
    <row r="151" spans="8:24">
      <c r="H151" s="32"/>
      <c r="I151" s="33"/>
      <c r="J151" s="34"/>
      <c r="K151" s="35"/>
      <c r="L151" s="36"/>
      <c r="M151" s="36"/>
      <c r="N151" s="37"/>
      <c r="O151" s="38"/>
      <c r="P151" s="39"/>
      <c r="W151" s="531">
        <v>14.75</v>
      </c>
      <c r="X151" s="529">
        <v>4.4800000000000297</v>
      </c>
    </row>
    <row r="152" spans="8:24">
      <c r="H152" s="32"/>
      <c r="I152" s="33"/>
      <c r="J152" s="34"/>
      <c r="K152" s="35"/>
      <c r="L152" s="36"/>
      <c r="M152" s="36"/>
      <c r="N152" s="37"/>
      <c r="O152" s="38"/>
      <c r="P152" s="39"/>
      <c r="W152" s="531">
        <v>14.85</v>
      </c>
      <c r="X152" s="529">
        <v>4.4900000000000304</v>
      </c>
    </row>
    <row r="153" spans="8:24">
      <c r="H153" s="32"/>
      <c r="I153" s="33"/>
      <c r="J153" s="34"/>
      <c r="K153" s="35"/>
      <c r="L153" s="36"/>
      <c r="M153" s="36"/>
      <c r="N153" s="37"/>
      <c r="O153" s="38"/>
      <c r="P153" s="39"/>
      <c r="W153" s="531">
        <v>14.95</v>
      </c>
      <c r="X153" s="529">
        <v>4.5000000000000302</v>
      </c>
    </row>
    <row r="154" spans="8:24">
      <c r="H154" s="32"/>
      <c r="I154" s="33"/>
      <c r="J154" s="34"/>
      <c r="K154" s="35"/>
      <c r="L154" s="36"/>
      <c r="M154" s="36"/>
      <c r="N154" s="37"/>
      <c r="O154" s="38"/>
      <c r="P154" s="39"/>
      <c r="W154" s="531">
        <v>15.05</v>
      </c>
      <c r="X154" s="529">
        <v>4.51000000000003</v>
      </c>
    </row>
    <row r="155" spans="8:24">
      <c r="H155" s="32"/>
      <c r="I155" s="33"/>
      <c r="J155" s="34"/>
      <c r="K155" s="35"/>
      <c r="L155" s="36"/>
      <c r="M155" s="36"/>
      <c r="N155" s="37"/>
      <c r="O155" s="38"/>
      <c r="P155" s="39"/>
      <c r="W155" s="531">
        <v>15.15</v>
      </c>
      <c r="X155" s="529">
        <v>4.5200000000000298</v>
      </c>
    </row>
    <row r="156" spans="8:24">
      <c r="H156" s="32"/>
      <c r="I156" s="33"/>
      <c r="J156" s="34"/>
      <c r="K156" s="35"/>
      <c r="L156" s="36"/>
      <c r="M156" s="36"/>
      <c r="N156" s="37"/>
      <c r="O156" s="38"/>
      <c r="P156" s="39"/>
      <c r="W156" s="531">
        <v>15.25</v>
      </c>
      <c r="X156" s="529">
        <v>4.53</v>
      </c>
    </row>
    <row r="157" spans="8:24">
      <c r="H157" s="32"/>
      <c r="I157" s="33"/>
      <c r="J157" s="34"/>
      <c r="K157" s="35"/>
      <c r="L157" s="36"/>
      <c r="M157" s="36"/>
      <c r="N157" s="37"/>
      <c r="O157" s="38"/>
      <c r="P157" s="39"/>
      <c r="W157" s="531">
        <v>15.35</v>
      </c>
      <c r="X157" s="529">
        <v>4.54</v>
      </c>
    </row>
    <row r="158" spans="8:24">
      <c r="H158" s="32"/>
      <c r="I158" s="33"/>
      <c r="J158" s="34"/>
      <c r="K158" s="35"/>
      <c r="L158" s="36"/>
      <c r="M158" s="36"/>
      <c r="N158" s="37"/>
      <c r="O158" s="38"/>
      <c r="P158" s="39"/>
      <c r="W158" s="531">
        <v>15.45</v>
      </c>
      <c r="X158" s="529">
        <v>4.55</v>
      </c>
    </row>
    <row r="159" spans="8:24">
      <c r="H159" s="32"/>
      <c r="I159" s="33"/>
      <c r="J159" s="34"/>
      <c r="K159" s="35"/>
      <c r="L159" s="36"/>
      <c r="M159" s="36"/>
      <c r="N159" s="37"/>
      <c r="O159" s="38"/>
      <c r="P159" s="39"/>
      <c r="W159" s="531">
        <v>15.55</v>
      </c>
      <c r="X159" s="529">
        <v>4.5599999999999996</v>
      </c>
    </row>
    <row r="160" spans="8:24">
      <c r="H160" s="32"/>
      <c r="I160" s="33"/>
      <c r="J160" s="34"/>
      <c r="K160" s="35"/>
      <c r="L160" s="36"/>
      <c r="M160" s="36"/>
      <c r="N160" s="37"/>
      <c r="O160" s="38"/>
      <c r="P160" s="39"/>
      <c r="W160" s="531">
        <v>15.65</v>
      </c>
      <c r="X160" s="529">
        <v>4.57</v>
      </c>
    </row>
    <row r="161" spans="8:24">
      <c r="H161" s="32"/>
      <c r="I161" s="33"/>
      <c r="J161" s="34"/>
      <c r="K161" s="35"/>
      <c r="L161" s="36"/>
      <c r="M161" s="36"/>
      <c r="N161" s="37"/>
      <c r="O161" s="38"/>
      <c r="P161" s="39"/>
      <c r="W161" s="531">
        <v>15.75</v>
      </c>
      <c r="X161" s="529">
        <v>4.58</v>
      </c>
    </row>
    <row r="162" spans="8:24">
      <c r="H162" s="32"/>
      <c r="I162" s="33"/>
      <c r="J162" s="34"/>
      <c r="K162" s="35"/>
      <c r="L162" s="36"/>
      <c r="M162" s="36"/>
      <c r="N162" s="37"/>
      <c r="O162" s="38"/>
      <c r="P162" s="39"/>
      <c r="W162" s="531">
        <v>15.85</v>
      </c>
      <c r="X162" s="529">
        <v>4.59</v>
      </c>
    </row>
    <row r="163" spans="8:24">
      <c r="H163" s="32"/>
      <c r="I163" s="33"/>
      <c r="J163" s="34"/>
      <c r="K163" s="35"/>
      <c r="L163" s="36"/>
      <c r="M163" s="36"/>
      <c r="N163" s="37"/>
      <c r="O163" s="38"/>
      <c r="P163" s="39"/>
      <c r="W163" s="531">
        <v>15.95</v>
      </c>
      <c r="X163" s="529">
        <v>4.5999999999999996</v>
      </c>
    </row>
    <row r="164" spans="8:24">
      <c r="H164" s="32"/>
      <c r="I164" s="33"/>
      <c r="J164" s="34"/>
      <c r="K164" s="35"/>
      <c r="L164" s="36"/>
      <c r="M164" s="36"/>
      <c r="N164" s="37"/>
      <c r="O164" s="38"/>
      <c r="P164" s="39"/>
      <c r="W164" s="531">
        <v>16.05</v>
      </c>
      <c r="X164" s="529">
        <v>4.6100000000000003</v>
      </c>
    </row>
    <row r="165" spans="8:24">
      <c r="H165" s="32"/>
      <c r="I165" s="33"/>
      <c r="J165" s="34"/>
      <c r="K165" s="35"/>
      <c r="L165" s="36"/>
      <c r="M165" s="36"/>
      <c r="N165" s="37"/>
      <c r="O165" s="38"/>
      <c r="P165" s="39"/>
      <c r="W165" s="531">
        <v>16.149999999999999</v>
      </c>
      <c r="X165" s="529">
        <v>4.62</v>
      </c>
    </row>
    <row r="166" spans="8:24">
      <c r="H166" s="32"/>
      <c r="I166" s="33"/>
      <c r="J166" s="34"/>
      <c r="K166" s="35"/>
      <c r="L166" s="36"/>
      <c r="M166" s="36"/>
      <c r="N166" s="37"/>
      <c r="O166" s="38"/>
      <c r="P166" s="39"/>
      <c r="W166" s="531">
        <v>16.25</v>
      </c>
      <c r="X166" s="529">
        <v>4.63</v>
      </c>
    </row>
    <row r="167" spans="8:24">
      <c r="H167" s="32"/>
      <c r="I167" s="33"/>
      <c r="J167" s="34"/>
      <c r="K167" s="35"/>
      <c r="L167" s="36"/>
      <c r="M167" s="36"/>
      <c r="N167" s="37"/>
      <c r="O167" s="38"/>
      <c r="P167" s="39"/>
      <c r="W167" s="531">
        <v>16.350000000000001</v>
      </c>
      <c r="X167" s="529">
        <v>4.6399999999999997</v>
      </c>
    </row>
    <row r="168" spans="8:24">
      <c r="H168" s="32"/>
      <c r="I168" s="33"/>
      <c r="J168" s="34"/>
      <c r="K168" s="35"/>
      <c r="L168" s="36"/>
      <c r="M168" s="36"/>
      <c r="N168" s="37"/>
      <c r="O168" s="38"/>
      <c r="P168" s="39"/>
      <c r="W168" s="531">
        <v>16.45</v>
      </c>
      <c r="X168" s="529">
        <v>4.6500000000000004</v>
      </c>
    </row>
    <row r="169" spans="8:24">
      <c r="H169" s="32"/>
      <c r="I169" s="33"/>
      <c r="J169" s="34"/>
      <c r="K169" s="35"/>
      <c r="L169" s="36"/>
      <c r="M169" s="36"/>
      <c r="N169" s="37"/>
      <c r="O169" s="38"/>
      <c r="P169" s="39"/>
      <c r="W169" s="531">
        <v>16.55</v>
      </c>
      <c r="X169" s="529">
        <v>4.66</v>
      </c>
    </row>
    <row r="170" spans="8:24">
      <c r="H170" s="32"/>
      <c r="I170" s="33"/>
      <c r="J170" s="34"/>
      <c r="K170" s="35"/>
      <c r="L170" s="36"/>
      <c r="M170" s="36"/>
      <c r="N170" s="37"/>
      <c r="O170" s="38"/>
      <c r="P170" s="39"/>
      <c r="W170" s="531">
        <v>16.649999999999999</v>
      </c>
      <c r="X170" s="529">
        <v>4.67</v>
      </c>
    </row>
    <row r="171" spans="8:24">
      <c r="H171" s="32"/>
      <c r="I171" s="33"/>
      <c r="J171" s="34"/>
      <c r="K171" s="35"/>
      <c r="L171" s="36"/>
      <c r="M171" s="36"/>
      <c r="N171" s="37"/>
      <c r="O171" s="38"/>
      <c r="P171" s="39"/>
      <c r="W171" s="531">
        <v>16.75</v>
      </c>
      <c r="X171" s="529">
        <v>4.68</v>
      </c>
    </row>
    <row r="172" spans="8:24">
      <c r="H172" s="32"/>
      <c r="I172" s="33"/>
      <c r="J172" s="34"/>
      <c r="K172" s="35"/>
      <c r="L172" s="36"/>
      <c r="M172" s="36"/>
      <c r="N172" s="37"/>
      <c r="O172" s="38"/>
      <c r="P172" s="39"/>
      <c r="W172" s="531">
        <v>16.850000000000001</v>
      </c>
      <c r="X172" s="529">
        <v>4.6900000000000004</v>
      </c>
    </row>
    <row r="173" spans="8:24">
      <c r="H173" s="32"/>
      <c r="I173" s="33"/>
      <c r="J173" s="34"/>
      <c r="K173" s="35"/>
      <c r="L173" s="36"/>
      <c r="M173" s="36"/>
      <c r="N173" s="37"/>
      <c r="O173" s="38"/>
      <c r="P173" s="39"/>
      <c r="W173" s="531">
        <v>16.95</v>
      </c>
      <c r="X173" s="529">
        <v>4.7</v>
      </c>
    </row>
    <row r="174" spans="8:24">
      <c r="H174" s="32"/>
      <c r="I174" s="33"/>
      <c r="J174" s="34"/>
      <c r="K174" s="35"/>
      <c r="L174" s="36"/>
      <c r="M174" s="36"/>
      <c r="N174" s="37"/>
      <c r="O174" s="38"/>
      <c r="P174" s="39"/>
      <c r="W174" s="531">
        <v>17.05</v>
      </c>
      <c r="X174" s="529">
        <v>4.71</v>
      </c>
    </row>
    <row r="175" spans="8:24">
      <c r="H175" s="32"/>
      <c r="I175" s="33"/>
      <c r="J175" s="34"/>
      <c r="K175" s="35"/>
      <c r="L175" s="36"/>
      <c r="M175" s="36"/>
      <c r="N175" s="37"/>
      <c r="O175" s="38"/>
      <c r="P175" s="39"/>
      <c r="W175" s="531">
        <v>17.149999999999999</v>
      </c>
      <c r="X175" s="529">
        <v>4.72</v>
      </c>
    </row>
    <row r="176" spans="8:24">
      <c r="H176" s="32"/>
      <c r="I176" s="33"/>
      <c r="J176" s="34"/>
      <c r="K176" s="35"/>
      <c r="L176" s="36"/>
      <c r="M176" s="36"/>
      <c r="N176" s="37"/>
      <c r="O176" s="38"/>
      <c r="P176" s="39"/>
      <c r="W176" s="531">
        <v>17.25</v>
      </c>
      <c r="X176" s="529">
        <v>4.7300000000000004</v>
      </c>
    </row>
    <row r="177" spans="8:24">
      <c r="H177" s="32"/>
      <c r="I177" s="33"/>
      <c r="J177" s="34"/>
      <c r="K177" s="35"/>
      <c r="L177" s="36"/>
      <c r="M177" s="36"/>
      <c r="N177" s="37"/>
      <c r="O177" s="38"/>
      <c r="P177" s="39"/>
      <c r="W177" s="531">
        <v>17.350000000000001</v>
      </c>
      <c r="X177" s="529">
        <v>4.74</v>
      </c>
    </row>
    <row r="178" spans="8:24">
      <c r="H178" s="32"/>
      <c r="I178" s="33"/>
      <c r="J178" s="34"/>
      <c r="K178" s="35"/>
      <c r="L178" s="36"/>
      <c r="M178" s="36"/>
      <c r="N178" s="37"/>
      <c r="O178" s="38"/>
      <c r="P178" s="39"/>
      <c r="W178" s="531">
        <v>17.45</v>
      </c>
      <c r="X178" s="529">
        <v>4.75</v>
      </c>
    </row>
    <row r="179" spans="8:24">
      <c r="H179" s="32"/>
      <c r="I179" s="33"/>
      <c r="J179" s="34"/>
      <c r="K179" s="35"/>
      <c r="L179" s="36"/>
      <c r="M179" s="36"/>
      <c r="N179" s="37"/>
      <c r="O179" s="38"/>
      <c r="P179" s="39"/>
      <c r="W179" s="531">
        <v>17.55</v>
      </c>
      <c r="X179" s="529">
        <v>4.76</v>
      </c>
    </row>
    <row r="180" spans="8:24">
      <c r="H180" s="32"/>
      <c r="I180" s="33"/>
      <c r="J180" s="34"/>
      <c r="K180" s="35"/>
      <c r="L180" s="36"/>
      <c r="M180" s="36"/>
      <c r="N180" s="37"/>
      <c r="O180" s="38"/>
      <c r="P180" s="39"/>
      <c r="W180" s="531">
        <v>17.649999999999999</v>
      </c>
      <c r="X180" s="529">
        <v>4.7699999999999996</v>
      </c>
    </row>
    <row r="181" spans="8:24">
      <c r="H181" s="32"/>
      <c r="I181" s="33"/>
      <c r="J181" s="34"/>
      <c r="K181" s="35"/>
      <c r="L181" s="36"/>
      <c r="M181" s="36"/>
      <c r="N181" s="37"/>
      <c r="O181" s="38"/>
      <c r="P181" s="39"/>
      <c r="W181" s="531">
        <v>17.75</v>
      </c>
      <c r="X181" s="529">
        <v>4.7799999999999896</v>
      </c>
    </row>
    <row r="182" spans="8:24">
      <c r="H182" s="32"/>
      <c r="I182" s="33"/>
      <c r="J182" s="34"/>
      <c r="K182" s="35"/>
      <c r="L182" s="36"/>
      <c r="M182" s="36"/>
      <c r="N182" s="37"/>
      <c r="O182" s="38"/>
      <c r="P182" s="39"/>
      <c r="W182" s="531">
        <v>17.850000000000001</v>
      </c>
      <c r="X182" s="529">
        <v>4.7899999999999903</v>
      </c>
    </row>
    <row r="183" spans="8:24">
      <c r="H183" s="32"/>
      <c r="I183" s="33"/>
      <c r="J183" s="34"/>
      <c r="K183" s="35"/>
      <c r="L183" s="36"/>
      <c r="M183" s="36"/>
      <c r="N183" s="37"/>
      <c r="O183" s="38"/>
      <c r="P183" s="39"/>
      <c r="W183" s="531">
        <v>17.95</v>
      </c>
      <c r="X183" s="529">
        <v>4.7999999999999901</v>
      </c>
    </row>
    <row r="184" spans="8:24">
      <c r="H184" s="32"/>
      <c r="I184" s="33"/>
      <c r="J184" s="34"/>
      <c r="K184" s="35"/>
      <c r="L184" s="36"/>
      <c r="M184" s="36"/>
      <c r="N184" s="37"/>
      <c r="O184" s="38"/>
      <c r="P184" s="39"/>
      <c r="W184" s="531">
        <v>18.05</v>
      </c>
      <c r="X184" s="529">
        <v>4.8099999999999898</v>
      </c>
    </row>
    <row r="185" spans="8:24">
      <c r="H185" s="32"/>
      <c r="I185" s="33"/>
      <c r="J185" s="34"/>
      <c r="K185" s="35"/>
      <c r="L185" s="36"/>
      <c r="M185" s="36"/>
      <c r="N185" s="37"/>
      <c r="O185" s="38"/>
      <c r="P185" s="39"/>
      <c r="W185" s="531">
        <v>18.149999999999999</v>
      </c>
      <c r="X185" s="529">
        <v>4.8199999999999896</v>
      </c>
    </row>
    <row r="186" spans="8:24">
      <c r="H186" s="32"/>
      <c r="I186" s="33"/>
      <c r="J186" s="34"/>
      <c r="K186" s="35"/>
      <c r="L186" s="36"/>
      <c r="M186" s="36"/>
      <c r="N186" s="37"/>
      <c r="O186" s="38"/>
      <c r="P186" s="39"/>
      <c r="W186" s="531">
        <v>18.25</v>
      </c>
      <c r="X186" s="529">
        <v>4.8299999999999903</v>
      </c>
    </row>
    <row r="187" spans="8:24">
      <c r="H187" s="32"/>
      <c r="I187" s="33"/>
      <c r="J187" s="34"/>
      <c r="K187" s="35"/>
      <c r="L187" s="36"/>
      <c r="M187" s="36"/>
      <c r="N187" s="37"/>
      <c r="O187" s="38"/>
      <c r="P187" s="39"/>
      <c r="W187" s="531">
        <v>18.350000000000001</v>
      </c>
      <c r="X187" s="529">
        <v>4.8399999999999901</v>
      </c>
    </row>
    <row r="188" spans="8:24">
      <c r="H188" s="32"/>
      <c r="I188" s="33"/>
      <c r="J188" s="34"/>
      <c r="K188" s="35"/>
      <c r="L188" s="36"/>
      <c r="M188" s="36"/>
      <c r="N188" s="37"/>
      <c r="O188" s="38"/>
      <c r="P188" s="39"/>
      <c r="W188" s="531">
        <v>18.45</v>
      </c>
      <c r="X188" s="529">
        <v>4.8499999999999899</v>
      </c>
    </row>
    <row r="189" spans="8:24">
      <c r="H189" s="32"/>
      <c r="I189" s="33"/>
      <c r="J189" s="34"/>
      <c r="K189" s="35"/>
      <c r="L189" s="36"/>
      <c r="M189" s="36"/>
      <c r="N189" s="37"/>
      <c r="O189" s="38"/>
      <c r="P189" s="39"/>
      <c r="W189" s="531">
        <v>18.55</v>
      </c>
      <c r="X189" s="529">
        <v>4.8599999999999897</v>
      </c>
    </row>
    <row r="190" spans="8:24">
      <c r="H190" s="32"/>
      <c r="I190" s="33"/>
      <c r="J190" s="34"/>
      <c r="K190" s="35"/>
      <c r="L190" s="36"/>
      <c r="M190" s="36"/>
      <c r="N190" s="37"/>
      <c r="O190" s="38"/>
      <c r="P190" s="39"/>
      <c r="W190" s="531">
        <v>18.649999999999999</v>
      </c>
      <c r="X190" s="529">
        <v>4.8699999999999903</v>
      </c>
    </row>
    <row r="191" spans="8:24">
      <c r="H191" s="32"/>
      <c r="I191" s="33"/>
      <c r="J191" s="34"/>
      <c r="K191" s="35"/>
      <c r="L191" s="36"/>
      <c r="M191" s="36"/>
      <c r="N191" s="37"/>
      <c r="O191" s="38"/>
      <c r="P191" s="39"/>
      <c r="W191" s="531">
        <v>18.75</v>
      </c>
      <c r="X191" s="529">
        <v>4.8799999999999901</v>
      </c>
    </row>
    <row r="192" spans="8:24">
      <c r="H192" s="32"/>
      <c r="I192" s="33"/>
      <c r="J192" s="34"/>
      <c r="K192" s="35"/>
      <c r="L192" s="36"/>
      <c r="M192" s="36"/>
      <c r="N192" s="37"/>
      <c r="O192" s="38"/>
      <c r="P192" s="39"/>
      <c r="W192" s="531">
        <v>18.850000000000001</v>
      </c>
      <c r="X192" s="529">
        <v>4.8899999999999899</v>
      </c>
    </row>
    <row r="193" spans="8:24">
      <c r="H193" s="32"/>
      <c r="I193" s="33"/>
      <c r="J193" s="34"/>
      <c r="K193" s="35"/>
      <c r="L193" s="36"/>
      <c r="M193" s="36"/>
      <c r="N193" s="37"/>
      <c r="O193" s="38"/>
      <c r="P193" s="39"/>
      <c r="W193" s="531">
        <v>18.95</v>
      </c>
      <c r="X193" s="529">
        <v>4.8999999999999897</v>
      </c>
    </row>
    <row r="194" spans="8:24">
      <c r="H194" s="32"/>
      <c r="I194" s="33"/>
      <c r="J194" s="34"/>
      <c r="K194" s="35"/>
      <c r="L194" s="36"/>
      <c r="M194" s="36"/>
      <c r="N194" s="37"/>
      <c r="O194" s="38"/>
      <c r="P194" s="39"/>
      <c r="W194" s="531">
        <v>19.05</v>
      </c>
      <c r="X194" s="529">
        <v>4.9099999999999904</v>
      </c>
    </row>
    <row r="195" spans="8:24">
      <c r="H195" s="32"/>
      <c r="I195" s="33"/>
      <c r="J195" s="34"/>
      <c r="K195" s="35"/>
      <c r="L195" s="36"/>
      <c r="M195" s="36"/>
      <c r="N195" s="37"/>
      <c r="O195" s="38"/>
      <c r="P195" s="39"/>
      <c r="W195" s="531">
        <v>19.149999999999999</v>
      </c>
      <c r="X195" s="529">
        <v>4.9199999999999902</v>
      </c>
    </row>
    <row r="196" spans="8:24">
      <c r="H196" s="32"/>
      <c r="I196" s="33"/>
      <c r="J196" s="34"/>
      <c r="K196" s="35"/>
      <c r="L196" s="36"/>
      <c r="M196" s="36"/>
      <c r="N196" s="37"/>
      <c r="O196" s="38"/>
      <c r="P196" s="39"/>
      <c r="W196" s="531">
        <v>19.25</v>
      </c>
      <c r="X196" s="529">
        <v>4.9299999999999899</v>
      </c>
    </row>
    <row r="197" spans="8:24">
      <c r="H197" s="32"/>
      <c r="I197" s="33"/>
      <c r="J197" s="34"/>
      <c r="K197" s="35"/>
      <c r="L197" s="36"/>
      <c r="M197" s="36"/>
      <c r="N197" s="37"/>
      <c r="O197" s="38"/>
      <c r="P197" s="39"/>
      <c r="W197" s="531">
        <v>19.350000000000001</v>
      </c>
      <c r="X197" s="529">
        <v>4.9399999999999897</v>
      </c>
    </row>
    <row r="198" spans="8:24">
      <c r="H198" s="32"/>
      <c r="I198" s="33"/>
      <c r="J198" s="34"/>
      <c r="K198" s="35"/>
      <c r="L198" s="36"/>
      <c r="M198" s="36"/>
      <c r="N198" s="37"/>
      <c r="O198" s="38"/>
      <c r="P198" s="39"/>
      <c r="W198" s="531">
        <v>19.45</v>
      </c>
      <c r="X198" s="529">
        <v>4.9499999999999904</v>
      </c>
    </row>
    <row r="199" spans="8:24">
      <c r="H199" s="32"/>
      <c r="I199" s="33"/>
      <c r="J199" s="34"/>
      <c r="K199" s="35"/>
      <c r="L199" s="36"/>
      <c r="M199" s="36"/>
      <c r="N199" s="37"/>
      <c r="O199" s="38"/>
      <c r="P199" s="39"/>
      <c r="W199" s="531">
        <v>19.55</v>
      </c>
      <c r="X199" s="529">
        <v>4.9599999999999902</v>
      </c>
    </row>
    <row r="200" spans="8:24">
      <c r="H200" s="32"/>
      <c r="I200" s="33"/>
      <c r="J200" s="34"/>
      <c r="K200" s="35"/>
      <c r="L200" s="36"/>
      <c r="M200" s="36"/>
      <c r="N200" s="37"/>
      <c r="O200" s="38"/>
      <c r="P200" s="39"/>
      <c r="W200" s="531">
        <v>19.649999999999999</v>
      </c>
      <c r="X200" s="529">
        <v>4.96999999999999</v>
      </c>
    </row>
    <row r="201" spans="8:24">
      <c r="H201" s="32"/>
      <c r="I201" s="33"/>
      <c r="J201" s="34"/>
      <c r="K201" s="35"/>
      <c r="L201" s="36"/>
      <c r="M201" s="36"/>
      <c r="N201" s="37"/>
      <c r="O201" s="38"/>
      <c r="P201" s="39"/>
      <c r="W201" s="531">
        <v>19.75</v>
      </c>
      <c r="X201" s="529">
        <v>4.9799999999999898</v>
      </c>
    </row>
    <row r="202" spans="8:24">
      <c r="H202" s="32"/>
      <c r="I202" s="33"/>
      <c r="J202" s="34"/>
      <c r="K202" s="35"/>
      <c r="L202" s="36"/>
      <c r="M202" s="36"/>
      <c r="N202" s="37"/>
      <c r="O202" s="38"/>
      <c r="P202" s="39"/>
      <c r="W202" s="531">
        <v>19.850000000000001</v>
      </c>
      <c r="X202" s="529">
        <v>4.9899999999999904</v>
      </c>
    </row>
    <row r="203" spans="8:24">
      <c r="H203" s="32"/>
      <c r="I203" s="33"/>
      <c r="J203" s="34"/>
      <c r="K203" s="35"/>
      <c r="L203" s="36"/>
      <c r="M203" s="36"/>
      <c r="N203" s="37"/>
      <c r="O203" s="38"/>
      <c r="P203" s="39"/>
      <c r="W203" s="530">
        <v>19.95</v>
      </c>
      <c r="X203" s="529">
        <v>4.9999999999999902</v>
      </c>
    </row>
    <row r="204" spans="8:24">
      <c r="H204" s="32"/>
      <c r="I204" s="33"/>
      <c r="J204" s="34"/>
      <c r="K204" s="35"/>
      <c r="L204" s="36"/>
      <c r="M204" s="36"/>
      <c r="N204" s="37"/>
      <c r="O204" s="38"/>
      <c r="P204" s="39"/>
    </row>
    <row r="205" spans="8:24">
      <c r="H205" s="32"/>
      <c r="I205" s="33"/>
      <c r="J205" s="34"/>
      <c r="K205" s="35"/>
      <c r="L205" s="36"/>
      <c r="M205" s="36"/>
      <c r="N205" s="37"/>
      <c r="O205" s="38"/>
      <c r="P205" s="39"/>
    </row>
    <row r="206" spans="8:24">
      <c r="H206" s="32"/>
      <c r="I206" s="33"/>
      <c r="J206" s="34"/>
      <c r="K206" s="35"/>
      <c r="L206" s="36"/>
      <c r="M206" s="36"/>
      <c r="N206" s="37"/>
      <c r="O206" s="38"/>
      <c r="P206" s="39"/>
    </row>
    <row r="207" spans="8:24">
      <c r="H207" s="32"/>
      <c r="I207" s="33"/>
      <c r="J207" s="34"/>
      <c r="K207" s="35"/>
      <c r="L207" s="36"/>
      <c r="M207" s="36"/>
      <c r="N207" s="37"/>
      <c r="O207" s="38"/>
      <c r="P207" s="39"/>
    </row>
    <row r="208" spans="8:24">
      <c r="H208" s="32"/>
      <c r="I208" s="33"/>
      <c r="J208" s="34"/>
      <c r="K208" s="35"/>
      <c r="L208" s="36"/>
      <c r="M208" s="36"/>
      <c r="N208" s="37"/>
      <c r="O208" s="38"/>
      <c r="P208" s="39"/>
    </row>
    <row r="209" spans="8:16">
      <c r="H209" s="32"/>
      <c r="I209" s="33"/>
      <c r="J209" s="34"/>
      <c r="K209" s="35"/>
      <c r="L209" s="36"/>
      <c r="M209" s="36"/>
      <c r="N209" s="37"/>
      <c r="O209" s="38"/>
      <c r="P209" s="39"/>
    </row>
    <row r="210" spans="8:16">
      <c r="H210" s="32"/>
      <c r="I210" s="33"/>
      <c r="J210" s="34"/>
      <c r="K210" s="35"/>
      <c r="L210" s="36"/>
      <c r="M210" s="36"/>
      <c r="N210" s="37"/>
      <c r="O210" s="38"/>
      <c r="P210" s="39"/>
    </row>
    <row r="211" spans="8:16">
      <c r="H211" s="32"/>
      <c r="I211" s="33"/>
      <c r="J211" s="34"/>
      <c r="K211" s="35"/>
      <c r="L211" s="36"/>
      <c r="M211" s="36"/>
      <c r="N211" s="37"/>
      <c r="O211" s="38"/>
      <c r="P211" s="39"/>
    </row>
    <row r="212" spans="8:16">
      <c r="H212" s="32"/>
      <c r="I212" s="33"/>
      <c r="J212" s="34"/>
      <c r="K212" s="35"/>
      <c r="L212" s="36"/>
      <c r="M212" s="36"/>
      <c r="N212" s="37"/>
      <c r="O212" s="38"/>
      <c r="P212" s="39"/>
    </row>
    <row r="213" spans="8:16">
      <c r="H213" s="32"/>
      <c r="I213" s="33"/>
      <c r="J213" s="34"/>
      <c r="K213" s="35"/>
      <c r="L213" s="36"/>
      <c r="M213" s="36"/>
      <c r="N213" s="37"/>
      <c r="O213" s="38"/>
      <c r="P213" s="39"/>
    </row>
    <row r="214" spans="8:16">
      <c r="H214" s="32"/>
      <c r="I214" s="33"/>
      <c r="J214" s="34"/>
      <c r="K214" s="35"/>
      <c r="L214" s="36"/>
      <c r="M214" s="36"/>
      <c r="N214" s="37"/>
      <c r="O214" s="38"/>
      <c r="P214" s="39"/>
    </row>
    <row r="215" spans="8:16">
      <c r="H215" s="32"/>
      <c r="I215" s="33"/>
      <c r="J215" s="34"/>
      <c r="K215" s="35"/>
      <c r="L215" s="36"/>
      <c r="M215" s="36"/>
      <c r="N215" s="37"/>
      <c r="O215" s="38"/>
      <c r="P215" s="39"/>
    </row>
    <row r="216" spans="8:16">
      <c r="H216" s="32"/>
      <c r="I216" s="33"/>
      <c r="J216" s="34"/>
      <c r="K216" s="35"/>
      <c r="L216" s="36"/>
      <c r="M216" s="36"/>
      <c r="N216" s="37"/>
      <c r="O216" s="38"/>
      <c r="P216" s="39"/>
    </row>
    <row r="217" spans="8:16">
      <c r="H217" s="32"/>
      <c r="I217" s="33"/>
      <c r="J217" s="34"/>
      <c r="K217" s="35"/>
      <c r="L217" s="36"/>
      <c r="M217" s="36"/>
      <c r="N217" s="37"/>
      <c r="O217" s="38"/>
      <c r="P217" s="39"/>
    </row>
    <row r="218" spans="8:16">
      <c r="H218" s="32"/>
      <c r="I218" s="33"/>
      <c r="J218" s="34"/>
      <c r="K218" s="35"/>
      <c r="L218" s="36"/>
      <c r="M218" s="36"/>
      <c r="N218" s="37"/>
      <c r="O218" s="38"/>
      <c r="P218" s="39"/>
    </row>
    <row r="219" spans="8:16">
      <c r="H219" s="32"/>
      <c r="I219" s="33"/>
      <c r="J219" s="34"/>
      <c r="K219" s="35"/>
      <c r="L219" s="36"/>
      <c r="M219" s="36"/>
      <c r="N219" s="37"/>
      <c r="O219" s="38"/>
      <c r="P219" s="39"/>
    </row>
    <row r="220" spans="8:16">
      <c r="H220" s="32"/>
      <c r="I220" s="33"/>
      <c r="J220" s="34"/>
      <c r="K220" s="35"/>
      <c r="L220" s="36"/>
      <c r="M220" s="36"/>
      <c r="N220" s="37"/>
      <c r="O220" s="38"/>
      <c r="P220" s="39"/>
    </row>
    <row r="221" spans="8:16">
      <c r="H221" s="32"/>
      <c r="I221" s="33"/>
      <c r="J221" s="34"/>
      <c r="K221" s="35"/>
      <c r="L221" s="36"/>
      <c r="M221" s="36"/>
      <c r="N221" s="37"/>
      <c r="O221" s="38"/>
      <c r="P221" s="39"/>
    </row>
    <row r="222" spans="8:16">
      <c r="H222" s="32"/>
      <c r="I222" s="33"/>
      <c r="J222" s="34"/>
      <c r="K222" s="35"/>
      <c r="L222" s="36"/>
      <c r="M222" s="36"/>
      <c r="N222" s="37"/>
      <c r="O222" s="38"/>
      <c r="P222" s="39"/>
    </row>
    <row r="223" spans="8:16">
      <c r="H223" s="32"/>
      <c r="I223" s="33"/>
      <c r="J223" s="34"/>
      <c r="K223" s="35"/>
      <c r="L223" s="36"/>
      <c r="M223" s="36"/>
      <c r="N223" s="37"/>
      <c r="O223" s="38"/>
      <c r="P223" s="39"/>
    </row>
    <row r="224" spans="8:16">
      <c r="H224" s="32"/>
      <c r="I224" s="33"/>
      <c r="J224" s="34"/>
      <c r="K224" s="35"/>
      <c r="L224" s="36"/>
      <c r="M224" s="36"/>
      <c r="N224" s="37"/>
      <c r="O224" s="38"/>
      <c r="P224" s="39"/>
    </row>
    <row r="225" spans="8:16">
      <c r="H225" s="32"/>
      <c r="I225" s="33"/>
      <c r="J225" s="34"/>
      <c r="K225" s="35"/>
      <c r="L225" s="36"/>
      <c r="M225" s="36"/>
      <c r="N225" s="37"/>
      <c r="O225" s="38"/>
      <c r="P225" s="39"/>
    </row>
    <row r="226" spans="8:16">
      <c r="H226" s="32"/>
      <c r="I226" s="33"/>
      <c r="J226" s="34"/>
      <c r="K226" s="35"/>
      <c r="L226" s="36"/>
      <c r="M226" s="36"/>
      <c r="N226" s="37"/>
      <c r="O226" s="38"/>
      <c r="P226" s="39"/>
    </row>
    <row r="227" spans="8:16">
      <c r="H227" s="32"/>
      <c r="I227" s="33"/>
      <c r="J227" s="34"/>
      <c r="K227" s="35"/>
      <c r="L227" s="36"/>
      <c r="M227" s="36"/>
      <c r="N227" s="37"/>
      <c r="O227" s="38"/>
      <c r="P227" s="39"/>
    </row>
    <row r="228" spans="8:16">
      <c r="H228" s="32"/>
      <c r="I228" s="33"/>
      <c r="J228" s="34"/>
      <c r="K228" s="35"/>
      <c r="L228" s="36"/>
      <c r="M228" s="36"/>
      <c r="N228" s="37"/>
      <c r="O228" s="38"/>
      <c r="P228" s="39"/>
    </row>
    <row r="229" spans="8:16">
      <c r="H229" s="32"/>
      <c r="I229" s="33"/>
      <c r="J229" s="34"/>
      <c r="K229" s="35"/>
      <c r="L229" s="36"/>
      <c r="M229" s="36"/>
      <c r="N229" s="37"/>
      <c r="O229" s="38"/>
      <c r="P229" s="39"/>
    </row>
    <row r="230" spans="8:16">
      <c r="H230" s="32"/>
      <c r="I230" s="33"/>
      <c r="J230" s="34"/>
      <c r="K230" s="35"/>
      <c r="L230" s="36"/>
      <c r="M230" s="36"/>
      <c r="N230" s="37"/>
      <c r="O230" s="38"/>
      <c r="P230" s="39"/>
    </row>
    <row r="231" spans="8:16">
      <c r="H231" s="32"/>
      <c r="I231" s="33"/>
      <c r="J231" s="34"/>
      <c r="K231" s="35"/>
      <c r="L231" s="36"/>
      <c r="M231" s="36"/>
      <c r="N231" s="37"/>
      <c r="O231" s="38"/>
      <c r="P231" s="39"/>
    </row>
    <row r="232" spans="8:16">
      <c r="H232" s="32"/>
      <c r="I232" s="33"/>
      <c r="J232" s="34"/>
      <c r="K232" s="35"/>
      <c r="L232" s="36"/>
      <c r="M232" s="36"/>
      <c r="N232" s="37"/>
      <c r="O232" s="38"/>
      <c r="P232" s="39"/>
    </row>
    <row r="233" spans="8:16">
      <c r="H233" s="32"/>
      <c r="I233" s="33"/>
      <c r="J233" s="34"/>
      <c r="K233" s="35"/>
      <c r="L233" s="36"/>
      <c r="M233" s="36"/>
      <c r="N233" s="37"/>
      <c r="O233" s="38"/>
      <c r="P233" s="39"/>
    </row>
    <row r="234" spans="8:16">
      <c r="H234" s="32"/>
      <c r="I234" s="33"/>
      <c r="J234" s="34"/>
      <c r="K234" s="35"/>
      <c r="L234" s="36"/>
      <c r="M234" s="36"/>
      <c r="N234" s="37"/>
      <c r="O234" s="38"/>
      <c r="P234" s="39"/>
    </row>
    <row r="235" spans="8:16">
      <c r="H235" s="32"/>
      <c r="I235" s="33"/>
      <c r="J235" s="34"/>
      <c r="K235" s="35"/>
      <c r="L235" s="36"/>
      <c r="M235" s="36"/>
      <c r="N235" s="37"/>
      <c r="O235" s="38"/>
      <c r="P235" s="39"/>
    </row>
    <row r="236" spans="8:16">
      <c r="H236" s="32"/>
      <c r="I236" s="33"/>
      <c r="J236" s="34"/>
      <c r="K236" s="35"/>
      <c r="L236" s="36"/>
      <c r="M236" s="36"/>
      <c r="N236" s="37"/>
      <c r="O236" s="38"/>
      <c r="P236" s="39"/>
    </row>
    <row r="237" spans="8:16">
      <c r="H237" s="32"/>
      <c r="I237" s="33"/>
      <c r="J237" s="34"/>
      <c r="K237" s="35"/>
      <c r="L237" s="36"/>
      <c r="M237" s="36"/>
      <c r="N237" s="37"/>
      <c r="O237" s="38"/>
      <c r="P237" s="39"/>
    </row>
    <row r="238" spans="8:16">
      <c r="H238" s="32"/>
      <c r="I238" s="33"/>
      <c r="J238" s="34"/>
      <c r="K238" s="35"/>
      <c r="L238" s="36"/>
      <c r="M238" s="36"/>
      <c r="N238" s="37"/>
      <c r="O238" s="38"/>
      <c r="P238" s="39"/>
    </row>
    <row r="239" spans="8:16">
      <c r="H239" s="32"/>
      <c r="I239" s="33"/>
      <c r="J239" s="34"/>
      <c r="K239" s="35"/>
      <c r="L239" s="36"/>
      <c r="M239" s="36"/>
      <c r="N239" s="37"/>
      <c r="O239" s="38"/>
      <c r="P239" s="39"/>
    </row>
    <row r="240" spans="8:16">
      <c r="H240" s="32"/>
      <c r="I240" s="33"/>
      <c r="J240" s="34"/>
      <c r="K240" s="35"/>
      <c r="L240" s="36"/>
      <c r="M240" s="36"/>
      <c r="N240" s="37"/>
      <c r="O240" s="38"/>
      <c r="P240" s="39"/>
    </row>
    <row r="241" spans="8:16">
      <c r="H241" s="32"/>
      <c r="I241" s="33"/>
      <c r="J241" s="34"/>
      <c r="K241" s="35"/>
      <c r="L241" s="36"/>
      <c r="M241" s="36"/>
      <c r="N241" s="37"/>
      <c r="O241" s="38"/>
      <c r="P241" s="39"/>
    </row>
    <row r="242" spans="8:16">
      <c r="H242" s="32"/>
      <c r="I242" s="33"/>
      <c r="J242" s="34"/>
      <c r="K242" s="35"/>
      <c r="L242" s="36"/>
      <c r="M242" s="36"/>
      <c r="N242" s="37"/>
      <c r="O242" s="38"/>
      <c r="P242" s="39"/>
    </row>
    <row r="243" spans="8:16">
      <c r="H243" s="32"/>
      <c r="I243" s="33"/>
      <c r="J243" s="34"/>
      <c r="K243" s="35"/>
      <c r="L243" s="36"/>
      <c r="M243" s="36"/>
      <c r="N243" s="37"/>
      <c r="O243" s="38"/>
      <c r="P243" s="39"/>
    </row>
    <row r="244" spans="8:16">
      <c r="H244" s="32"/>
      <c r="I244" s="33"/>
      <c r="J244" s="34"/>
      <c r="K244" s="35"/>
      <c r="L244" s="36"/>
      <c r="M244" s="36"/>
      <c r="N244" s="37"/>
      <c r="O244" s="38"/>
      <c r="P244" s="39"/>
    </row>
    <row r="245" spans="8:16">
      <c r="H245" s="32"/>
      <c r="I245" s="33"/>
      <c r="J245" s="34"/>
      <c r="K245" s="35"/>
      <c r="L245" s="36"/>
      <c r="M245" s="36"/>
      <c r="N245" s="37"/>
      <c r="O245" s="38"/>
      <c r="P245" s="39"/>
    </row>
    <row r="246" spans="8:16">
      <c r="H246" s="32"/>
      <c r="I246" s="33"/>
      <c r="J246" s="34"/>
      <c r="K246" s="35"/>
      <c r="L246" s="36"/>
      <c r="M246" s="36"/>
      <c r="N246" s="37"/>
      <c r="O246" s="38"/>
      <c r="P246" s="39"/>
    </row>
    <row r="247" spans="8:16">
      <c r="H247" s="32"/>
      <c r="I247" s="33"/>
      <c r="J247" s="34"/>
      <c r="K247" s="35"/>
      <c r="L247" s="36"/>
      <c r="M247" s="36"/>
      <c r="N247" s="37"/>
      <c r="O247" s="38"/>
      <c r="P247" s="39"/>
    </row>
    <row r="248" spans="8:16">
      <c r="H248" s="32"/>
      <c r="I248" s="33"/>
      <c r="J248" s="34"/>
      <c r="K248" s="35"/>
      <c r="L248" s="36"/>
      <c r="M248" s="36"/>
      <c r="N248" s="37"/>
      <c r="O248" s="38"/>
      <c r="P248" s="39"/>
    </row>
    <row r="249" spans="8:16">
      <c r="H249" s="32"/>
      <c r="I249" s="33"/>
      <c r="J249" s="34"/>
      <c r="K249" s="35"/>
      <c r="L249" s="36"/>
      <c r="M249" s="36"/>
      <c r="N249" s="37"/>
      <c r="O249" s="38"/>
      <c r="P249" s="39"/>
    </row>
    <row r="250" spans="8:16">
      <c r="H250" s="32"/>
      <c r="I250" s="33"/>
      <c r="J250" s="34"/>
      <c r="K250" s="35"/>
      <c r="L250" s="36"/>
      <c r="M250" s="36"/>
      <c r="N250" s="37"/>
      <c r="O250" s="38"/>
      <c r="P250" s="39"/>
    </row>
    <row r="251" spans="8:16">
      <c r="H251" s="32"/>
      <c r="I251" s="33"/>
      <c r="J251" s="34"/>
      <c r="K251" s="35"/>
      <c r="L251" s="36"/>
      <c r="M251" s="36"/>
      <c r="N251" s="37"/>
      <c r="O251" s="38"/>
      <c r="P251" s="39"/>
    </row>
    <row r="252" spans="8:16">
      <c r="H252" s="32"/>
      <c r="I252" s="33"/>
      <c r="J252" s="34"/>
      <c r="K252" s="35"/>
      <c r="L252" s="36"/>
      <c r="M252" s="36"/>
      <c r="N252" s="37"/>
      <c r="O252" s="38"/>
      <c r="P252" s="39"/>
    </row>
    <row r="253" spans="8:16">
      <c r="H253" s="32"/>
      <c r="I253" s="33"/>
      <c r="J253" s="34"/>
      <c r="K253" s="35"/>
      <c r="L253" s="36"/>
      <c r="M253" s="36"/>
      <c r="N253" s="37"/>
      <c r="O253" s="38"/>
      <c r="P253" s="39"/>
    </row>
    <row r="254" spans="8:16">
      <c r="H254" s="32"/>
      <c r="I254" s="33"/>
      <c r="J254" s="34"/>
      <c r="K254" s="35"/>
      <c r="L254" s="36"/>
      <c r="M254" s="36"/>
      <c r="N254" s="37"/>
      <c r="O254" s="38"/>
      <c r="P254" s="39"/>
    </row>
    <row r="255" spans="8:16">
      <c r="H255" s="32"/>
      <c r="I255" s="33"/>
      <c r="J255" s="34"/>
      <c r="K255" s="35"/>
      <c r="L255" s="36"/>
      <c r="M255" s="36"/>
      <c r="N255" s="37"/>
      <c r="O255" s="38"/>
      <c r="P255" s="39"/>
    </row>
    <row r="256" spans="8:16">
      <c r="H256" s="32"/>
      <c r="I256" s="33"/>
      <c r="J256" s="34"/>
      <c r="K256" s="35"/>
      <c r="L256" s="36"/>
      <c r="M256" s="36"/>
      <c r="N256" s="37"/>
      <c r="O256" s="38"/>
      <c r="P256" s="39"/>
    </row>
    <row r="257" spans="8:16">
      <c r="H257" s="32"/>
      <c r="I257" s="33"/>
      <c r="J257" s="34"/>
      <c r="K257" s="35"/>
      <c r="L257" s="36"/>
      <c r="M257" s="36"/>
      <c r="N257" s="37"/>
      <c r="O257" s="38"/>
      <c r="P257" s="39"/>
    </row>
    <row r="258" spans="8:16">
      <c r="H258" s="32"/>
      <c r="I258" s="33"/>
      <c r="J258" s="34"/>
      <c r="K258" s="35"/>
      <c r="L258" s="36"/>
      <c r="M258" s="36"/>
      <c r="N258" s="37"/>
      <c r="O258" s="38"/>
      <c r="P258" s="39"/>
    </row>
    <row r="259" spans="8:16">
      <c r="H259" s="32"/>
      <c r="I259" s="33"/>
      <c r="J259" s="34"/>
      <c r="K259" s="35"/>
      <c r="L259" s="36"/>
      <c r="M259" s="36"/>
      <c r="N259" s="37"/>
      <c r="O259" s="38"/>
      <c r="P259" s="39"/>
    </row>
    <row r="260" spans="8:16">
      <c r="H260" s="32"/>
      <c r="I260" s="33"/>
      <c r="J260" s="34"/>
      <c r="K260" s="35"/>
      <c r="L260" s="36"/>
      <c r="M260" s="36"/>
      <c r="N260" s="37"/>
      <c r="O260" s="38"/>
      <c r="P260" s="39"/>
    </row>
    <row r="261" spans="8:16">
      <c r="H261" s="32"/>
      <c r="I261" s="33"/>
      <c r="J261" s="34"/>
      <c r="K261" s="35"/>
      <c r="L261" s="36"/>
      <c r="M261" s="36"/>
      <c r="N261" s="37"/>
      <c r="O261" s="38"/>
      <c r="P261" s="39"/>
    </row>
    <row r="262" spans="8:16">
      <c r="H262" s="32"/>
      <c r="I262" s="33"/>
      <c r="J262" s="34"/>
      <c r="K262" s="35"/>
      <c r="L262" s="36"/>
      <c r="M262" s="36"/>
      <c r="N262" s="37"/>
      <c r="O262" s="38"/>
      <c r="P262" s="39"/>
    </row>
    <row r="263" spans="8:16">
      <c r="H263" s="32"/>
      <c r="I263" s="33"/>
      <c r="J263" s="34"/>
      <c r="K263" s="35"/>
      <c r="L263" s="36"/>
      <c r="M263" s="36"/>
      <c r="N263" s="37"/>
      <c r="O263" s="38"/>
      <c r="P263" s="39"/>
    </row>
    <row r="264" spans="8:16">
      <c r="H264" s="32"/>
      <c r="I264" s="33"/>
      <c r="J264" s="34"/>
      <c r="K264" s="35"/>
      <c r="L264" s="36"/>
      <c r="M264" s="36"/>
      <c r="N264" s="37"/>
      <c r="O264" s="38"/>
      <c r="P264" s="39"/>
    </row>
    <row r="265" spans="8:16">
      <c r="H265" s="32"/>
      <c r="I265" s="33"/>
      <c r="J265" s="34"/>
      <c r="K265" s="35"/>
      <c r="L265" s="36"/>
      <c r="M265" s="36"/>
      <c r="N265" s="37"/>
      <c r="O265" s="38"/>
      <c r="P265" s="39"/>
    </row>
    <row r="266" spans="8:16">
      <c r="H266" s="32"/>
      <c r="I266" s="33"/>
      <c r="J266" s="34"/>
      <c r="K266" s="35"/>
      <c r="L266" s="36"/>
      <c r="M266" s="36"/>
      <c r="N266" s="37"/>
      <c r="O266" s="38"/>
      <c r="P266" s="39"/>
    </row>
    <row r="267" spans="8:16">
      <c r="H267" s="32"/>
      <c r="I267" s="33"/>
      <c r="J267" s="34"/>
      <c r="K267" s="35"/>
      <c r="L267" s="36"/>
      <c r="M267" s="36"/>
      <c r="N267" s="37"/>
      <c r="O267" s="38"/>
      <c r="P267" s="39"/>
    </row>
    <row r="268" spans="8:16">
      <c r="H268" s="32"/>
      <c r="I268" s="33"/>
      <c r="J268" s="34"/>
      <c r="K268" s="35"/>
      <c r="L268" s="36"/>
      <c r="M268" s="36"/>
      <c r="N268" s="37"/>
      <c r="O268" s="38"/>
      <c r="P268" s="39"/>
    </row>
    <row r="269" spans="8:16">
      <c r="H269" s="32"/>
      <c r="I269" s="33"/>
      <c r="J269" s="34"/>
      <c r="K269" s="35"/>
      <c r="L269" s="36"/>
      <c r="M269" s="36"/>
      <c r="N269" s="37"/>
      <c r="O269" s="38"/>
      <c r="P269" s="39"/>
    </row>
    <row r="270" spans="8:16">
      <c r="H270" s="32"/>
      <c r="I270" s="33"/>
      <c r="J270" s="34"/>
      <c r="K270" s="35"/>
      <c r="L270" s="36"/>
      <c r="M270" s="36"/>
      <c r="N270" s="37"/>
      <c r="O270" s="38"/>
      <c r="P270" s="39"/>
    </row>
    <row r="271" spans="8:16">
      <c r="H271" s="32"/>
      <c r="I271" s="33"/>
      <c r="J271" s="34"/>
      <c r="K271" s="35"/>
      <c r="L271" s="36"/>
      <c r="M271" s="36"/>
      <c r="N271" s="37"/>
      <c r="O271" s="38"/>
      <c r="P271" s="39"/>
    </row>
    <row r="272" spans="8:16">
      <c r="H272" s="32"/>
      <c r="I272" s="33"/>
      <c r="J272" s="34"/>
      <c r="K272" s="35"/>
      <c r="L272" s="36"/>
      <c r="M272" s="36"/>
      <c r="N272" s="37"/>
      <c r="O272" s="38"/>
      <c r="P272" s="39"/>
    </row>
    <row r="273" spans="8:16">
      <c r="H273" s="32"/>
      <c r="I273" s="33"/>
      <c r="J273" s="34"/>
      <c r="K273" s="35"/>
      <c r="L273" s="36"/>
      <c r="M273" s="36"/>
      <c r="N273" s="37"/>
      <c r="O273" s="38"/>
      <c r="P273" s="39"/>
    </row>
    <row r="274" spans="8:16">
      <c r="H274" s="32"/>
      <c r="I274" s="33"/>
      <c r="J274" s="34"/>
      <c r="K274" s="35"/>
      <c r="L274" s="36"/>
      <c r="M274" s="36"/>
      <c r="N274" s="37"/>
      <c r="O274" s="38"/>
      <c r="P274" s="39"/>
    </row>
    <row r="275" spans="8:16">
      <c r="H275" s="32"/>
      <c r="I275" s="33"/>
      <c r="J275" s="34"/>
      <c r="K275" s="35"/>
      <c r="L275" s="36"/>
      <c r="M275" s="36"/>
      <c r="N275" s="37"/>
      <c r="O275" s="38"/>
      <c r="P275" s="39"/>
    </row>
    <row r="276" spans="8:16">
      <c r="H276" s="32"/>
      <c r="I276" s="33"/>
      <c r="J276" s="34"/>
      <c r="K276" s="35"/>
      <c r="L276" s="36"/>
      <c r="M276" s="36"/>
      <c r="N276" s="37"/>
      <c r="O276" s="38"/>
      <c r="P276" s="39"/>
    </row>
    <row r="277" spans="8:16">
      <c r="H277" s="32"/>
      <c r="I277" s="33"/>
      <c r="J277" s="34"/>
      <c r="K277" s="35"/>
      <c r="L277" s="36"/>
      <c r="M277" s="36"/>
      <c r="N277" s="37"/>
      <c r="O277" s="38"/>
      <c r="P277" s="39"/>
    </row>
    <row r="278" spans="8:16">
      <c r="H278" s="32"/>
      <c r="I278" s="33"/>
      <c r="J278" s="34"/>
      <c r="K278" s="35"/>
      <c r="L278" s="36"/>
      <c r="M278" s="36"/>
      <c r="N278" s="37"/>
      <c r="O278" s="38"/>
      <c r="P278" s="39"/>
    </row>
    <row r="279" spans="8:16">
      <c r="H279" s="32"/>
      <c r="I279" s="33"/>
      <c r="J279" s="34"/>
      <c r="K279" s="35"/>
      <c r="L279" s="36"/>
      <c r="M279" s="36"/>
      <c r="N279" s="37"/>
      <c r="O279" s="38"/>
      <c r="P279" s="39"/>
    </row>
    <row r="280" spans="8:16">
      <c r="H280" s="32"/>
      <c r="I280" s="33"/>
      <c r="J280" s="34"/>
      <c r="K280" s="35"/>
      <c r="L280" s="36"/>
      <c r="M280" s="36"/>
      <c r="N280" s="37"/>
      <c r="O280" s="38"/>
      <c r="P280" s="39"/>
    </row>
    <row r="281" spans="8:16">
      <c r="H281" s="32"/>
      <c r="I281" s="33"/>
      <c r="J281" s="34"/>
      <c r="K281" s="35"/>
      <c r="L281" s="36"/>
      <c r="M281" s="36"/>
      <c r="N281" s="37"/>
      <c r="O281" s="38"/>
      <c r="P281" s="39"/>
    </row>
    <row r="282" spans="8:16">
      <c r="H282" s="32"/>
      <c r="I282" s="33"/>
      <c r="J282" s="34"/>
      <c r="K282" s="35"/>
      <c r="L282" s="36"/>
      <c r="M282" s="36"/>
      <c r="N282" s="37"/>
      <c r="O282" s="38"/>
      <c r="P282" s="39"/>
    </row>
    <row r="283" spans="8:16">
      <c r="H283" s="32"/>
      <c r="I283" s="33"/>
      <c r="J283" s="34"/>
      <c r="K283" s="35"/>
      <c r="L283" s="36"/>
      <c r="M283" s="36"/>
      <c r="N283" s="37"/>
      <c r="O283" s="38"/>
      <c r="P283" s="39"/>
    </row>
    <row r="284" spans="8:16">
      <c r="H284" s="32"/>
      <c r="I284" s="33"/>
      <c r="J284" s="34"/>
      <c r="K284" s="35"/>
      <c r="L284" s="36"/>
      <c r="M284" s="36"/>
      <c r="N284" s="37"/>
      <c r="O284" s="38"/>
      <c r="P284" s="39"/>
    </row>
    <row r="285" spans="8:16">
      <c r="H285" s="32"/>
      <c r="I285" s="33"/>
      <c r="J285" s="34"/>
      <c r="K285" s="35"/>
      <c r="L285" s="36"/>
      <c r="M285" s="36"/>
      <c r="N285" s="37"/>
      <c r="O285" s="38"/>
      <c r="P285" s="39"/>
    </row>
    <row r="286" spans="8:16">
      <c r="H286" s="32"/>
      <c r="I286" s="33"/>
      <c r="J286" s="34"/>
      <c r="K286" s="35"/>
      <c r="L286" s="36"/>
      <c r="M286" s="36"/>
      <c r="N286" s="37"/>
      <c r="O286" s="38"/>
      <c r="P286" s="39"/>
    </row>
    <row r="287" spans="8:16">
      <c r="H287" s="32"/>
      <c r="I287" s="33"/>
      <c r="J287" s="34"/>
      <c r="K287" s="35"/>
      <c r="L287" s="36"/>
      <c r="M287" s="36"/>
      <c r="N287" s="37"/>
      <c r="O287" s="38"/>
      <c r="P287" s="39"/>
    </row>
    <row r="288" spans="8:16">
      <c r="H288" s="32"/>
      <c r="I288" s="33"/>
      <c r="J288" s="34"/>
      <c r="K288" s="35"/>
      <c r="L288" s="36"/>
      <c r="M288" s="36"/>
      <c r="N288" s="37"/>
      <c r="O288" s="38"/>
      <c r="P288" s="39"/>
    </row>
    <row r="289" spans="8:16">
      <c r="H289" s="32"/>
      <c r="I289" s="33"/>
      <c r="J289" s="34"/>
      <c r="K289" s="35"/>
      <c r="L289" s="36"/>
      <c r="M289" s="36"/>
      <c r="N289" s="37"/>
      <c r="O289" s="38"/>
      <c r="P289" s="39"/>
    </row>
    <row r="290" spans="8:16">
      <c r="H290" s="32"/>
      <c r="I290" s="33"/>
      <c r="J290" s="34"/>
      <c r="K290" s="35"/>
      <c r="L290" s="36"/>
      <c r="M290" s="36"/>
      <c r="N290" s="37"/>
      <c r="O290" s="38"/>
      <c r="P290" s="39"/>
    </row>
    <row r="291" spans="8:16">
      <c r="H291" s="32"/>
      <c r="I291" s="33"/>
      <c r="J291" s="34"/>
      <c r="K291" s="35"/>
      <c r="L291" s="36"/>
      <c r="M291" s="36"/>
      <c r="N291" s="37"/>
      <c r="O291" s="38"/>
      <c r="P291" s="39"/>
    </row>
    <row r="292" spans="8:16">
      <c r="H292" s="32"/>
      <c r="I292" s="33"/>
      <c r="J292" s="34"/>
      <c r="K292" s="35"/>
      <c r="L292" s="36"/>
      <c r="M292" s="36"/>
      <c r="N292" s="37"/>
      <c r="O292" s="38"/>
      <c r="P292" s="39"/>
    </row>
    <row r="293" spans="8:16">
      <c r="H293" s="32"/>
      <c r="I293" s="33"/>
      <c r="J293" s="34"/>
      <c r="K293" s="35"/>
      <c r="L293" s="36"/>
      <c r="M293" s="36"/>
      <c r="N293" s="37"/>
      <c r="O293" s="38"/>
      <c r="P293" s="39"/>
    </row>
    <row r="294" spans="8:16">
      <c r="H294" s="32"/>
      <c r="I294" s="33"/>
      <c r="J294" s="34"/>
      <c r="K294" s="35"/>
      <c r="L294" s="36"/>
      <c r="M294" s="36"/>
      <c r="N294" s="37"/>
      <c r="O294" s="38"/>
      <c r="P294" s="39"/>
    </row>
    <row r="295" spans="8:16">
      <c r="H295" s="32"/>
      <c r="I295" s="33"/>
      <c r="J295" s="34"/>
      <c r="K295" s="35"/>
      <c r="L295" s="36"/>
      <c r="M295" s="36"/>
      <c r="N295" s="37"/>
      <c r="O295" s="38"/>
      <c r="P295" s="39"/>
    </row>
    <row r="296" spans="8:16">
      <c r="H296" s="32"/>
      <c r="I296" s="33"/>
      <c r="J296" s="34"/>
      <c r="K296" s="35"/>
      <c r="L296" s="36"/>
      <c r="M296" s="36"/>
      <c r="N296" s="37"/>
      <c r="O296" s="38"/>
      <c r="P296" s="39"/>
    </row>
    <row r="297" spans="8:16">
      <c r="H297" s="32"/>
      <c r="I297" s="33"/>
      <c r="J297" s="34"/>
      <c r="K297" s="35"/>
      <c r="L297" s="36"/>
      <c r="M297" s="36"/>
      <c r="N297" s="37"/>
      <c r="O297" s="38"/>
      <c r="P297" s="39"/>
    </row>
  </sheetData>
  <dataValidations count="3">
    <dataValidation type="list" allowBlank="1" showInputMessage="1" showErrorMessage="1" sqref="K123:K297" xr:uid="{00000000-0002-0000-0400-000000000000}">
      <formula1>$S$4:$S$34</formula1>
    </dataValidation>
    <dataValidation type="list" allowBlank="1" showInputMessage="1" showErrorMessage="1" sqref="R10:S10 R31:S31" xr:uid="{00000000-0002-0000-0400-000002000000}">
      <formula1>$R$4:$R$41</formula1>
    </dataValidation>
    <dataValidation type="list" allowBlank="1" showInputMessage="1" showErrorMessage="1" sqref="K4:K122" xr:uid="{00000000-0002-0000-0400-000001000000}">
      <formula1>$S$4:$S$97</formula1>
    </dataValidation>
  </dataValidations>
  <pageMargins left="0.7" right="0.7" top="0.75" bottom="0.75" header="0.3" footer="0.3"/>
  <pageSetup orientation="portrait" r:id="rId1"/>
  <headerFooter>
    <oddFooter>&amp;R&amp;"Calibri"&amp;11&amp;K000000_x000D_&amp;1#&amp;"Calibri"&amp;10&amp;KFF8C00Classification :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67"/>
  <sheetViews>
    <sheetView showGridLines="0" view="pageBreakPreview" topLeftCell="B5" zoomScale="130" zoomScaleNormal="75" zoomScaleSheetLayoutView="130" workbookViewId="0">
      <pane ySplit="1" topLeftCell="A6" activePane="bottomLeft" state="frozen"/>
      <selection activeCell="B9" sqref="B9"/>
      <selection pane="bottomLeft" activeCell="B13" sqref="B13"/>
    </sheetView>
  </sheetViews>
  <sheetFormatPr defaultRowHeight="15" outlineLevelCol="1"/>
  <cols>
    <col min="1" max="1" width="34.42578125" hidden="1" customWidth="1" outlineLevel="1"/>
    <col min="2" max="2" width="36" bestFit="1" customWidth="1" collapsed="1"/>
    <col min="3" max="3" width="19.85546875" bestFit="1" customWidth="1"/>
    <col min="5" max="5" width="21.85546875" bestFit="1" customWidth="1"/>
    <col min="6" max="6" width="23.28515625" customWidth="1"/>
    <col min="7" max="7" width="17.5703125" customWidth="1"/>
    <col min="8" max="8" width="16.140625" customWidth="1"/>
    <col min="9" max="9" width="16.5703125" customWidth="1"/>
    <col min="10" max="10" width="17.5703125" customWidth="1"/>
    <col min="11" max="11" width="17.7109375" customWidth="1"/>
    <col min="12" max="13" width="15.42578125" customWidth="1"/>
    <col min="14" max="14" width="40.5703125" customWidth="1"/>
    <col min="15" max="15" width="10.7109375" customWidth="1"/>
    <col min="16" max="16" width="18.28515625" customWidth="1"/>
    <col min="17" max="17" width="20.42578125" customWidth="1"/>
    <col min="18" max="21" width="10.7109375" customWidth="1"/>
    <col min="22" max="22" width="21.140625" bestFit="1" customWidth="1"/>
  </cols>
  <sheetData>
    <row r="2" spans="1:22" ht="21">
      <c r="B2" s="237" t="s">
        <v>263</v>
      </c>
      <c r="V2" s="236" t="s">
        <v>262</v>
      </c>
    </row>
    <row r="3" spans="1:22" ht="15.75">
      <c r="B3" s="235" t="s">
        <v>261</v>
      </c>
    </row>
    <row r="5" spans="1:22" s="11" customFormat="1" ht="30" customHeight="1">
      <c r="B5" s="234" t="s">
        <v>260</v>
      </c>
      <c r="C5" s="230" t="s">
        <v>218</v>
      </c>
      <c r="D5" s="233" t="s">
        <v>92</v>
      </c>
      <c r="E5" s="232" t="s">
        <v>259</v>
      </c>
      <c r="F5" s="227" t="s">
        <v>258</v>
      </c>
      <c r="G5" s="228" t="s">
        <v>257</v>
      </c>
      <c r="H5" s="228" t="s">
        <v>230</v>
      </c>
      <c r="I5" s="228" t="s">
        <v>1</v>
      </c>
      <c r="J5" s="228" t="s">
        <v>256</v>
      </c>
      <c r="K5" s="228" t="s">
        <v>255</v>
      </c>
      <c r="L5" s="227" t="s">
        <v>254</v>
      </c>
      <c r="M5" s="228" t="s">
        <v>253</v>
      </c>
      <c r="N5" s="231" t="s">
        <v>252</v>
      </c>
      <c r="O5" s="230" t="s">
        <v>251</v>
      </c>
      <c r="P5" s="227" t="s">
        <v>145</v>
      </c>
      <c r="Q5" s="229" t="s">
        <v>250</v>
      </c>
      <c r="R5" s="228" t="s">
        <v>249</v>
      </c>
      <c r="S5" s="228" t="s">
        <v>248</v>
      </c>
      <c r="T5" s="228" t="s">
        <v>247</v>
      </c>
      <c r="U5" s="228" t="s">
        <v>22</v>
      </c>
      <c r="V5" s="227" t="s">
        <v>246</v>
      </c>
    </row>
    <row r="6" spans="1:22" s="11" customFormat="1">
      <c r="A6"/>
      <c r="B6" s="238" t="s">
        <v>264</v>
      </c>
      <c r="C6" s="239" t="s">
        <v>235</v>
      </c>
      <c r="D6" s="240" t="s">
        <v>90</v>
      </c>
      <c r="E6" s="241">
        <v>30.172946</v>
      </c>
      <c r="F6" s="241">
        <v>30.172946</v>
      </c>
      <c r="G6" s="242" t="s">
        <v>225</v>
      </c>
      <c r="H6" s="242">
        <v>0.11970929999999999</v>
      </c>
      <c r="I6" s="242">
        <v>6.5000000000000002E-2</v>
      </c>
      <c r="J6" s="242">
        <v>0.01</v>
      </c>
      <c r="K6" s="242" t="s">
        <v>231</v>
      </c>
      <c r="L6" s="243">
        <v>1.4999999999999999E-2</v>
      </c>
      <c r="M6" s="242" t="s">
        <v>122</v>
      </c>
      <c r="N6" s="244" t="s">
        <v>186</v>
      </c>
      <c r="O6" s="239" t="s">
        <v>122</v>
      </c>
      <c r="P6" s="240" t="s">
        <v>233</v>
      </c>
      <c r="Q6" s="245">
        <v>23.718</v>
      </c>
      <c r="R6" s="246">
        <v>4.63</v>
      </c>
      <c r="S6" s="246">
        <v>6.46</v>
      </c>
      <c r="T6" s="246">
        <v>1.37</v>
      </c>
      <c r="U6" s="247">
        <v>0.501</v>
      </c>
      <c r="V6" s="248">
        <v>45107</v>
      </c>
    </row>
    <row r="7" spans="1:22" s="255" customFormat="1">
      <c r="A7" s="2"/>
      <c r="B7" s="225" t="s">
        <v>265</v>
      </c>
      <c r="C7" s="219" t="s">
        <v>235</v>
      </c>
      <c r="D7" s="218" t="s">
        <v>90</v>
      </c>
      <c r="E7" s="249">
        <v>33.536856999999998</v>
      </c>
      <c r="F7" s="249">
        <v>33.536856999999998</v>
      </c>
      <c r="G7" s="250" t="s">
        <v>225</v>
      </c>
      <c r="H7" s="250">
        <v>0.11675890000000001</v>
      </c>
      <c r="I7" s="250">
        <v>6.25E-2</v>
      </c>
      <c r="J7" s="250">
        <v>0.01</v>
      </c>
      <c r="K7" s="250" t="s">
        <v>122</v>
      </c>
      <c r="L7" s="251">
        <v>0</v>
      </c>
      <c r="M7" s="250" t="s">
        <v>122</v>
      </c>
      <c r="N7" s="220" t="s">
        <v>179</v>
      </c>
      <c r="O7" s="219" t="s">
        <v>122</v>
      </c>
      <c r="P7" s="218" t="s">
        <v>233</v>
      </c>
      <c r="Q7" s="252">
        <v>51.5</v>
      </c>
      <c r="R7" s="253">
        <v>5.48</v>
      </c>
      <c r="S7" s="253">
        <v>5.48</v>
      </c>
      <c r="T7" s="253">
        <v>1.55</v>
      </c>
      <c r="U7" s="254">
        <v>0.502</v>
      </c>
      <c r="V7" s="214">
        <v>45107</v>
      </c>
    </row>
    <row r="8" spans="1:22" s="255" customFormat="1">
      <c r="A8" s="2"/>
      <c r="B8" s="225" t="s">
        <v>266</v>
      </c>
      <c r="C8" s="219" t="s">
        <v>235</v>
      </c>
      <c r="D8" s="218" t="s">
        <v>90</v>
      </c>
      <c r="E8" s="249">
        <v>56.135783000000004</v>
      </c>
      <c r="F8" s="249">
        <v>56.135783000000004</v>
      </c>
      <c r="G8" s="250" t="s">
        <v>225</v>
      </c>
      <c r="H8" s="250">
        <v>0.1239847</v>
      </c>
      <c r="I8" s="250">
        <v>7.0000000000000007E-2</v>
      </c>
      <c r="J8" s="250">
        <v>0.01</v>
      </c>
      <c r="K8" s="250" t="s">
        <v>231</v>
      </c>
      <c r="L8" s="251">
        <v>0.02</v>
      </c>
      <c r="M8" s="250" t="s">
        <v>122</v>
      </c>
      <c r="N8" s="220" t="s">
        <v>183</v>
      </c>
      <c r="O8" s="219" t="s">
        <v>231</v>
      </c>
      <c r="P8" s="218" t="s">
        <v>233</v>
      </c>
      <c r="Q8" s="252">
        <v>327.2</v>
      </c>
      <c r="R8" s="253">
        <v>5.74</v>
      </c>
      <c r="S8" s="253">
        <v>6.4</v>
      </c>
      <c r="T8" s="253">
        <v>1.365</v>
      </c>
      <c r="U8" s="254">
        <v>0.33300000000000002</v>
      </c>
      <c r="V8" s="214">
        <v>45169</v>
      </c>
    </row>
    <row r="9" spans="1:22" s="255" customFormat="1">
      <c r="A9" s="2"/>
      <c r="B9" s="225" t="s">
        <v>267</v>
      </c>
      <c r="C9" s="219" t="s">
        <v>235</v>
      </c>
      <c r="D9" s="218" t="s">
        <v>90</v>
      </c>
      <c r="E9" s="249">
        <v>67.600027999999995</v>
      </c>
      <c r="F9" s="249">
        <v>67.600027999999995</v>
      </c>
      <c r="G9" s="250" t="s">
        <v>225</v>
      </c>
      <c r="H9" s="250">
        <v>0.11145040000000001</v>
      </c>
      <c r="I9" s="250">
        <v>5.7500000000000002E-2</v>
      </c>
      <c r="J9" s="250">
        <v>0.01</v>
      </c>
      <c r="K9" s="250" t="s">
        <v>122</v>
      </c>
      <c r="L9" s="251">
        <v>0</v>
      </c>
      <c r="M9" s="250" t="s">
        <v>122</v>
      </c>
      <c r="N9" s="220" t="s">
        <v>200</v>
      </c>
      <c r="O9" s="219" t="s">
        <v>231</v>
      </c>
      <c r="P9" s="218" t="s">
        <v>233</v>
      </c>
      <c r="Q9" s="252">
        <v>66.391999999999996</v>
      </c>
      <c r="R9" s="253">
        <v>6.37</v>
      </c>
      <c r="S9" s="253">
        <v>6.37</v>
      </c>
      <c r="T9" s="253">
        <v>1.1299999999999999</v>
      </c>
      <c r="U9" s="254">
        <v>0.40100000000000002</v>
      </c>
      <c r="V9" s="214">
        <v>45107</v>
      </c>
    </row>
    <row r="10" spans="1:22" s="255" customFormat="1">
      <c r="A10" s="2"/>
      <c r="B10" s="225" t="s">
        <v>268</v>
      </c>
      <c r="C10" s="219" t="s">
        <v>235</v>
      </c>
      <c r="D10" s="218" t="s">
        <v>90</v>
      </c>
      <c r="E10" s="249">
        <v>54.989092079999999</v>
      </c>
      <c r="F10" s="249">
        <v>54.989092079999999</v>
      </c>
      <c r="G10" s="250" t="s">
        <v>225</v>
      </c>
      <c r="H10" s="250">
        <v>0.11383210000000001</v>
      </c>
      <c r="I10" s="250">
        <v>0.06</v>
      </c>
      <c r="J10" s="250">
        <v>0.01</v>
      </c>
      <c r="K10" s="250" t="s">
        <v>231</v>
      </c>
      <c r="L10" s="251">
        <v>7.4999999999999997E-3</v>
      </c>
      <c r="M10" s="250" t="s">
        <v>122</v>
      </c>
      <c r="N10" s="220" t="s">
        <v>198</v>
      </c>
      <c r="O10" s="219" t="s">
        <v>122</v>
      </c>
      <c r="P10" s="218" t="s">
        <v>233</v>
      </c>
      <c r="Q10" s="252">
        <v>283.17982599999999</v>
      </c>
      <c r="R10" s="253">
        <v>5.35</v>
      </c>
      <c r="S10" s="253">
        <v>5.35</v>
      </c>
      <c r="T10" s="253">
        <v>1.62</v>
      </c>
      <c r="U10" s="254">
        <v>0.35420000000000001</v>
      </c>
      <c r="V10" s="214">
        <v>45016</v>
      </c>
    </row>
    <row r="11" spans="1:22" s="255" customFormat="1">
      <c r="A11" s="2"/>
      <c r="B11" s="225" t="s">
        <v>269</v>
      </c>
      <c r="C11" s="219" t="s">
        <v>235</v>
      </c>
      <c r="D11" s="218" t="s">
        <v>90</v>
      </c>
      <c r="E11" s="249">
        <v>12.45066291</v>
      </c>
      <c r="F11" s="249">
        <v>12.45066291</v>
      </c>
      <c r="G11" s="250" t="s">
        <v>225</v>
      </c>
      <c r="H11" s="250">
        <v>0.11092890000000001</v>
      </c>
      <c r="I11" s="250">
        <v>5.7500000000000002E-2</v>
      </c>
      <c r="J11" s="250">
        <v>7.4999999999999997E-3</v>
      </c>
      <c r="K11" s="250" t="s">
        <v>122</v>
      </c>
      <c r="L11" s="251">
        <v>0</v>
      </c>
      <c r="M11" s="250" t="s">
        <v>122</v>
      </c>
      <c r="N11" s="220" t="s">
        <v>200</v>
      </c>
      <c r="O11" s="219" t="s">
        <v>231</v>
      </c>
      <c r="P11" s="218" t="s">
        <v>233</v>
      </c>
      <c r="Q11" s="252">
        <v>209.4</v>
      </c>
      <c r="R11" s="253">
        <v>6.09</v>
      </c>
      <c r="S11" s="253">
        <v>6.09</v>
      </c>
      <c r="T11" s="253">
        <v>1.3560000000000001</v>
      </c>
      <c r="U11" s="254">
        <v>0.47699999999999998</v>
      </c>
      <c r="V11" s="214">
        <v>45107</v>
      </c>
    </row>
    <row r="12" spans="1:22" s="255" customFormat="1">
      <c r="A12" s="2"/>
      <c r="B12" s="225" t="s">
        <v>270</v>
      </c>
      <c r="C12" s="219" t="s">
        <v>235</v>
      </c>
      <c r="D12" s="218" t="s">
        <v>90</v>
      </c>
      <c r="E12" s="249">
        <v>61.965266999999997</v>
      </c>
      <c r="F12" s="249">
        <v>61.965266999999997</v>
      </c>
      <c r="G12" s="250" t="s">
        <v>225</v>
      </c>
      <c r="H12" s="250">
        <v>0.11383210000000001</v>
      </c>
      <c r="I12" s="250">
        <v>0.06</v>
      </c>
      <c r="J12" s="250">
        <v>0.01</v>
      </c>
      <c r="K12" s="250" t="s">
        <v>122</v>
      </c>
      <c r="L12" s="251">
        <v>0</v>
      </c>
      <c r="M12" s="250" t="s">
        <v>122</v>
      </c>
      <c r="N12" s="220" t="s">
        <v>182</v>
      </c>
      <c r="O12" s="219" t="s">
        <v>122</v>
      </c>
      <c r="P12" s="218" t="s">
        <v>233</v>
      </c>
      <c r="Q12" s="252">
        <v>464.7</v>
      </c>
      <c r="R12" s="253">
        <v>4.95</v>
      </c>
      <c r="S12" s="253">
        <v>4.95</v>
      </c>
      <c r="T12" s="253">
        <v>1.73</v>
      </c>
      <c r="U12" s="254">
        <v>0.47499999999999998</v>
      </c>
      <c r="V12" s="214">
        <v>45291</v>
      </c>
    </row>
    <row r="13" spans="1:22" s="255" customFormat="1">
      <c r="A13" s="2"/>
      <c r="B13" s="225" t="s">
        <v>271</v>
      </c>
      <c r="C13" s="219" t="s">
        <v>235</v>
      </c>
      <c r="D13" s="218" t="s">
        <v>90</v>
      </c>
      <c r="E13" s="249">
        <v>38.233069999999998</v>
      </c>
      <c r="F13" s="249">
        <v>38.233069999999998</v>
      </c>
      <c r="G13" s="250" t="s">
        <v>225</v>
      </c>
      <c r="H13" s="250">
        <v>0.11395039999999999</v>
      </c>
      <c r="I13" s="250">
        <v>0.06</v>
      </c>
      <c r="J13" s="250">
        <v>0.01</v>
      </c>
      <c r="K13" s="250" t="s">
        <v>122</v>
      </c>
      <c r="L13" s="251">
        <v>0</v>
      </c>
      <c r="M13" s="250" t="s">
        <v>122</v>
      </c>
      <c r="N13" s="220" t="s">
        <v>195</v>
      </c>
      <c r="O13" s="219" t="s">
        <v>231</v>
      </c>
      <c r="P13" s="218" t="s">
        <v>233</v>
      </c>
      <c r="Q13" s="252">
        <v>130</v>
      </c>
      <c r="R13" s="253">
        <v>4.62</v>
      </c>
      <c r="S13" s="253">
        <v>4.62</v>
      </c>
      <c r="T13" s="253">
        <v>1.756</v>
      </c>
      <c r="U13" s="254">
        <v>0.47499999999999998</v>
      </c>
      <c r="V13" s="214">
        <v>45016</v>
      </c>
    </row>
    <row r="14" spans="1:22" s="255" customFormat="1">
      <c r="A14" s="2"/>
      <c r="B14" s="225" t="s">
        <v>272</v>
      </c>
      <c r="C14" s="219" t="s">
        <v>235</v>
      </c>
      <c r="D14" s="218" t="s">
        <v>90</v>
      </c>
      <c r="E14" s="249">
        <v>52.986730000000001</v>
      </c>
      <c r="F14" s="249">
        <v>52.986730000000001</v>
      </c>
      <c r="G14" s="250" t="s">
        <v>225</v>
      </c>
      <c r="H14" s="250">
        <v>0.12712850000000001</v>
      </c>
      <c r="I14" s="250">
        <v>7.2499999999999995E-2</v>
      </c>
      <c r="J14" s="250">
        <v>0.01</v>
      </c>
      <c r="K14" s="250" t="s">
        <v>122</v>
      </c>
      <c r="L14" s="251">
        <v>0</v>
      </c>
      <c r="M14" s="250" t="s">
        <v>122</v>
      </c>
      <c r="N14" s="220" t="s">
        <v>200</v>
      </c>
      <c r="O14" s="219" t="s">
        <v>231</v>
      </c>
      <c r="P14" s="218" t="s">
        <v>233</v>
      </c>
      <c r="Q14" s="252">
        <v>834</v>
      </c>
      <c r="R14" s="253">
        <v>5.58</v>
      </c>
      <c r="S14" s="253">
        <v>5.58</v>
      </c>
      <c r="T14" s="253">
        <v>1.37</v>
      </c>
      <c r="U14" s="254">
        <v>0.501</v>
      </c>
      <c r="V14" s="214">
        <v>45077</v>
      </c>
    </row>
    <row r="15" spans="1:22" s="255" customFormat="1">
      <c r="A15" s="2"/>
      <c r="B15" s="225" t="s">
        <v>273</v>
      </c>
      <c r="C15" s="219" t="s">
        <v>235</v>
      </c>
      <c r="D15" s="218" t="s">
        <v>90</v>
      </c>
      <c r="E15" s="249">
        <v>19.04395057</v>
      </c>
      <c r="F15" s="249">
        <v>19.04395057</v>
      </c>
      <c r="G15" s="250" t="s">
        <v>225</v>
      </c>
      <c r="H15" s="250">
        <v>0.1138275</v>
      </c>
      <c r="I15" s="250">
        <v>0.06</v>
      </c>
      <c r="J15" s="250">
        <v>0.01</v>
      </c>
      <c r="K15" s="250" t="s">
        <v>122</v>
      </c>
      <c r="L15" s="251">
        <v>0</v>
      </c>
      <c r="M15" s="250" t="s">
        <v>122</v>
      </c>
      <c r="N15" s="220" t="s">
        <v>200</v>
      </c>
      <c r="O15" s="219" t="s">
        <v>122</v>
      </c>
      <c r="P15" s="218" t="s">
        <v>233</v>
      </c>
      <c r="Q15" s="252">
        <v>57.631276</v>
      </c>
      <c r="R15" s="253">
        <v>5.23</v>
      </c>
      <c r="S15" s="253">
        <v>5.23</v>
      </c>
      <c r="T15" s="253">
        <v>1.63</v>
      </c>
      <c r="U15" s="254">
        <v>0.38900000000000001</v>
      </c>
      <c r="V15" s="214">
        <v>45107</v>
      </c>
    </row>
    <row r="16" spans="1:22" s="255" customFormat="1">
      <c r="A16" s="2"/>
      <c r="B16" s="225" t="s">
        <v>274</v>
      </c>
      <c r="C16" s="219" t="s">
        <v>235</v>
      </c>
      <c r="D16" s="218" t="s">
        <v>90</v>
      </c>
      <c r="E16" s="249">
        <v>11.837052</v>
      </c>
      <c r="F16" s="249">
        <v>11.837052</v>
      </c>
      <c r="G16" s="250" t="s">
        <v>225</v>
      </c>
      <c r="H16" s="250">
        <v>0.11368059999999999</v>
      </c>
      <c r="I16" s="250">
        <v>0.06</v>
      </c>
      <c r="J16" s="250">
        <v>0.01</v>
      </c>
      <c r="K16" s="250" t="s">
        <v>122</v>
      </c>
      <c r="L16" s="251">
        <v>0</v>
      </c>
      <c r="M16" s="250" t="s">
        <v>122</v>
      </c>
      <c r="N16" s="220" t="s">
        <v>183</v>
      </c>
      <c r="O16" s="219" t="s">
        <v>122</v>
      </c>
      <c r="P16" s="218" t="s">
        <v>233</v>
      </c>
      <c r="Q16" s="252">
        <v>27.178000000000001</v>
      </c>
      <c r="R16" s="253">
        <v>3.47</v>
      </c>
      <c r="S16" s="253">
        <v>3.47</v>
      </c>
      <c r="T16" s="253">
        <v>2.48</v>
      </c>
      <c r="U16" s="254">
        <v>0.377</v>
      </c>
      <c r="V16" s="214">
        <v>45169</v>
      </c>
    </row>
    <row r="17" spans="1:22" s="255" customFormat="1">
      <c r="A17" s="2"/>
      <c r="B17" s="225" t="s">
        <v>275</v>
      </c>
      <c r="C17" s="219" t="s">
        <v>235</v>
      </c>
      <c r="D17" s="218" t="s">
        <v>90</v>
      </c>
      <c r="E17" s="249">
        <v>55.903134000000001</v>
      </c>
      <c r="F17" s="249">
        <v>55.903134000000001</v>
      </c>
      <c r="G17" s="250" t="s">
        <v>225</v>
      </c>
      <c r="H17" s="250">
        <v>0.1132412</v>
      </c>
      <c r="I17" s="250">
        <v>0.06</v>
      </c>
      <c r="J17" s="250">
        <v>7.4999999999999997E-3</v>
      </c>
      <c r="K17" s="250" t="s">
        <v>122</v>
      </c>
      <c r="L17" s="251">
        <v>0</v>
      </c>
      <c r="M17" s="250" t="s">
        <v>231</v>
      </c>
      <c r="N17" s="220" t="s">
        <v>200</v>
      </c>
      <c r="O17" s="219" t="s">
        <v>122</v>
      </c>
      <c r="P17" s="218" t="s">
        <v>233</v>
      </c>
      <c r="Q17" s="252">
        <v>483.241758</v>
      </c>
      <c r="R17" s="253">
        <v>6.42</v>
      </c>
      <c r="S17" s="253">
        <v>6.42</v>
      </c>
      <c r="T17" s="253">
        <v>1.31</v>
      </c>
      <c r="U17" s="254">
        <v>0.44500000000000001</v>
      </c>
      <c r="V17" s="214">
        <v>45107</v>
      </c>
    </row>
    <row r="18" spans="1:22" s="255" customFormat="1">
      <c r="A18" s="2"/>
      <c r="B18" s="225" t="s">
        <v>276</v>
      </c>
      <c r="C18" s="219" t="s">
        <v>235</v>
      </c>
      <c r="D18" s="218" t="s">
        <v>90</v>
      </c>
      <c r="E18" s="249">
        <v>24.485050000000001</v>
      </c>
      <c r="F18" s="249">
        <v>24.485050000000001</v>
      </c>
      <c r="G18" s="250" t="s">
        <v>225</v>
      </c>
      <c r="H18" s="250">
        <v>0.1086908</v>
      </c>
      <c r="I18" s="250">
        <v>5.5E-2</v>
      </c>
      <c r="J18" s="250">
        <v>0.01</v>
      </c>
      <c r="K18" s="250" t="s">
        <v>122</v>
      </c>
      <c r="L18" s="251">
        <v>0</v>
      </c>
      <c r="M18" s="250" t="s">
        <v>122</v>
      </c>
      <c r="N18" s="220" t="s">
        <v>173</v>
      </c>
      <c r="O18" s="219" t="s">
        <v>122</v>
      </c>
      <c r="P18" s="218" t="s">
        <v>233</v>
      </c>
      <c r="Q18" s="252">
        <v>15.9</v>
      </c>
      <c r="R18" s="253">
        <v>5.28</v>
      </c>
      <c r="S18" s="253">
        <v>5.28</v>
      </c>
      <c r="T18" s="253">
        <v>1.73</v>
      </c>
      <c r="U18" s="254">
        <v>0.377</v>
      </c>
      <c r="V18" s="214">
        <v>45230</v>
      </c>
    </row>
    <row r="19" spans="1:22" s="255" customFormat="1">
      <c r="A19" s="2"/>
      <c r="B19" s="225" t="s">
        <v>277</v>
      </c>
      <c r="C19" s="219" t="s">
        <v>235</v>
      </c>
      <c r="D19" s="218" t="s">
        <v>90</v>
      </c>
      <c r="E19" s="249">
        <v>21.956607999999999</v>
      </c>
      <c r="F19" s="249">
        <v>21.956607999999999</v>
      </c>
      <c r="G19" s="250" t="s">
        <v>225</v>
      </c>
      <c r="H19" s="250">
        <v>0.1107008</v>
      </c>
      <c r="I19" s="250">
        <v>5.7500000000000002E-2</v>
      </c>
      <c r="J19" s="250">
        <v>7.4999999999999997E-3</v>
      </c>
      <c r="K19" s="250" t="s">
        <v>122</v>
      </c>
      <c r="L19" s="251">
        <v>0</v>
      </c>
      <c r="M19" s="250" t="s">
        <v>122</v>
      </c>
      <c r="N19" s="220" t="s">
        <v>174</v>
      </c>
      <c r="O19" s="219" t="s">
        <v>122</v>
      </c>
      <c r="P19" s="218" t="s">
        <v>233</v>
      </c>
      <c r="Q19" s="252">
        <v>33.1</v>
      </c>
      <c r="R19" s="253">
        <v>6.31</v>
      </c>
      <c r="S19" s="253">
        <v>6.67</v>
      </c>
      <c r="T19" s="253">
        <v>1.3819999999999999</v>
      </c>
      <c r="U19" s="254">
        <v>0.39</v>
      </c>
      <c r="V19" s="214">
        <v>45138</v>
      </c>
    </row>
    <row r="20" spans="1:22" s="255" customFormat="1">
      <c r="A20" s="2"/>
      <c r="B20" s="225" t="s">
        <v>278</v>
      </c>
      <c r="C20" s="219" t="s">
        <v>235</v>
      </c>
      <c r="D20" s="218" t="s">
        <v>90</v>
      </c>
      <c r="E20" s="249">
        <v>55.419695000000004</v>
      </c>
      <c r="F20" s="249">
        <v>55.419695000000004</v>
      </c>
      <c r="G20" s="250" t="s">
        <v>225</v>
      </c>
      <c r="H20" s="250">
        <v>0.11422399999999999</v>
      </c>
      <c r="I20" s="250">
        <v>0.06</v>
      </c>
      <c r="J20" s="250">
        <v>0.01</v>
      </c>
      <c r="K20" s="250" t="s">
        <v>122</v>
      </c>
      <c r="L20" s="251">
        <v>0</v>
      </c>
      <c r="M20" s="250" t="s">
        <v>122</v>
      </c>
      <c r="N20" s="220" t="s">
        <v>190</v>
      </c>
      <c r="O20" s="219" t="s">
        <v>231</v>
      </c>
      <c r="P20" s="218" t="s">
        <v>233</v>
      </c>
      <c r="Q20" s="252">
        <v>114.24778999999999</v>
      </c>
      <c r="R20" s="253">
        <v>4.99</v>
      </c>
      <c r="S20" s="253">
        <v>4.99</v>
      </c>
      <c r="T20" s="253">
        <v>1.65</v>
      </c>
      <c r="U20" s="254">
        <v>0.33260000000000001</v>
      </c>
      <c r="V20" s="214">
        <v>45199</v>
      </c>
    </row>
    <row r="21" spans="1:22" s="255" customFormat="1">
      <c r="A21" s="2"/>
      <c r="B21" s="225" t="s">
        <v>279</v>
      </c>
      <c r="C21" s="219" t="s">
        <v>235</v>
      </c>
      <c r="D21" s="218" t="s">
        <v>90</v>
      </c>
      <c r="E21" s="249">
        <v>48.470803000000004</v>
      </c>
      <c r="F21" s="249">
        <v>48.470803000000004</v>
      </c>
      <c r="G21" s="250" t="s">
        <v>225</v>
      </c>
      <c r="H21" s="250">
        <v>0.10188599999999999</v>
      </c>
      <c r="I21" s="250">
        <v>4.7500000000000001E-2</v>
      </c>
      <c r="J21" s="250">
        <v>7.4999999999999997E-3</v>
      </c>
      <c r="K21" s="250" t="s">
        <v>122</v>
      </c>
      <c r="L21" s="251">
        <v>0</v>
      </c>
      <c r="M21" s="250" t="s">
        <v>122</v>
      </c>
      <c r="N21" s="220" t="s">
        <v>190</v>
      </c>
      <c r="O21" s="219" t="s">
        <v>231</v>
      </c>
      <c r="P21" s="218" t="s">
        <v>233</v>
      </c>
      <c r="Q21" s="252">
        <v>305</v>
      </c>
      <c r="R21" s="253">
        <v>5.45</v>
      </c>
      <c r="S21" s="253">
        <v>6.78</v>
      </c>
      <c r="T21" s="253">
        <v>1.74</v>
      </c>
      <c r="U21" s="254">
        <v>0.38200000000000001</v>
      </c>
      <c r="V21" s="214">
        <v>45107</v>
      </c>
    </row>
    <row r="22" spans="1:22" s="255" customFormat="1">
      <c r="A22" s="2"/>
      <c r="B22" s="225" t="s">
        <v>280</v>
      </c>
      <c r="C22" s="219" t="s">
        <v>235</v>
      </c>
      <c r="D22" s="218" t="s">
        <v>90</v>
      </c>
      <c r="E22" s="249">
        <v>36.564746</v>
      </c>
      <c r="F22" s="249">
        <v>36.564746</v>
      </c>
      <c r="G22" s="250" t="s">
        <v>225</v>
      </c>
      <c r="H22" s="250">
        <v>0.1131959</v>
      </c>
      <c r="I22" s="250">
        <v>0.06</v>
      </c>
      <c r="J22" s="250">
        <v>0.01</v>
      </c>
      <c r="K22" s="250" t="s">
        <v>122</v>
      </c>
      <c r="L22" s="251">
        <v>0</v>
      </c>
      <c r="M22" s="250" t="s">
        <v>122</v>
      </c>
      <c r="N22" s="220" t="s">
        <v>188</v>
      </c>
      <c r="O22" s="219" t="s">
        <v>231</v>
      </c>
      <c r="P22" s="218" t="s">
        <v>233</v>
      </c>
      <c r="Q22" s="252">
        <v>90.1</v>
      </c>
      <c r="R22" s="253">
        <v>4.99</v>
      </c>
      <c r="S22" s="253">
        <v>4.99</v>
      </c>
      <c r="T22" s="253">
        <v>1.76</v>
      </c>
      <c r="U22" s="254">
        <v>0.46400000000000002</v>
      </c>
      <c r="V22" s="214">
        <v>45016</v>
      </c>
    </row>
    <row r="23" spans="1:22" s="255" customFormat="1">
      <c r="A23" s="2"/>
      <c r="B23" s="225" t="s">
        <v>281</v>
      </c>
      <c r="C23" s="219" t="s">
        <v>235</v>
      </c>
      <c r="D23" s="218" t="s">
        <v>90</v>
      </c>
      <c r="E23" s="249">
        <v>20.633822000000002</v>
      </c>
      <c r="F23" s="249">
        <v>20.633822000000002</v>
      </c>
      <c r="G23" s="250" t="s">
        <v>225</v>
      </c>
      <c r="H23" s="250">
        <v>0.1154482</v>
      </c>
      <c r="I23" s="250">
        <v>0.06</v>
      </c>
      <c r="J23" s="250">
        <v>0.01</v>
      </c>
      <c r="K23" s="250" t="s">
        <v>122</v>
      </c>
      <c r="L23" s="251">
        <v>0</v>
      </c>
      <c r="M23" s="250" t="s">
        <v>122</v>
      </c>
      <c r="N23" s="220" t="s">
        <v>200</v>
      </c>
      <c r="O23" s="219" t="s">
        <v>122</v>
      </c>
      <c r="P23" s="218" t="s">
        <v>233</v>
      </c>
      <c r="Q23" s="252">
        <v>53.5</v>
      </c>
      <c r="R23" s="253">
        <v>5.73</v>
      </c>
      <c r="S23" s="253">
        <v>5.73</v>
      </c>
      <c r="T23" s="253">
        <v>1.65</v>
      </c>
      <c r="U23" s="254">
        <v>0.35599999999999998</v>
      </c>
      <c r="V23" s="214">
        <v>45138</v>
      </c>
    </row>
    <row r="24" spans="1:22" s="255" customFormat="1">
      <c r="A24" s="2"/>
      <c r="B24" s="225" t="s">
        <v>282</v>
      </c>
      <c r="C24" s="219" t="s">
        <v>235</v>
      </c>
      <c r="D24" s="218" t="s">
        <v>90</v>
      </c>
      <c r="E24" s="249">
        <v>12.125469349999999</v>
      </c>
      <c r="F24" s="249">
        <v>12.125469349999999</v>
      </c>
      <c r="G24" s="250" t="s">
        <v>225</v>
      </c>
      <c r="H24" s="250">
        <v>0.118023</v>
      </c>
      <c r="I24" s="250">
        <v>6.25E-2</v>
      </c>
      <c r="J24" s="250">
        <v>0.01</v>
      </c>
      <c r="K24" s="250" t="s">
        <v>122</v>
      </c>
      <c r="L24" s="251">
        <v>0</v>
      </c>
      <c r="M24" s="250" t="s">
        <v>122</v>
      </c>
      <c r="N24" s="220" t="s">
        <v>183</v>
      </c>
      <c r="O24" s="219" t="s">
        <v>122</v>
      </c>
      <c r="P24" s="218" t="s">
        <v>233</v>
      </c>
      <c r="Q24" s="252">
        <v>52.137</v>
      </c>
      <c r="R24" s="253">
        <v>5.64</v>
      </c>
      <c r="S24" s="253">
        <v>5.64</v>
      </c>
      <c r="T24" s="253">
        <v>1.57</v>
      </c>
      <c r="U24" s="254">
        <v>0.43419999999999997</v>
      </c>
      <c r="V24" s="214">
        <v>45138</v>
      </c>
    </row>
    <row r="25" spans="1:22" s="255" customFormat="1">
      <c r="A25" s="2"/>
      <c r="B25" s="225" t="s">
        <v>283</v>
      </c>
      <c r="C25" s="219" t="s">
        <v>235</v>
      </c>
      <c r="D25" s="218" t="s">
        <v>90</v>
      </c>
      <c r="E25" s="249">
        <v>17.010889079999998</v>
      </c>
      <c r="F25" s="249">
        <v>17.010889079999998</v>
      </c>
      <c r="G25" s="250" t="s">
        <v>225</v>
      </c>
      <c r="H25" s="250">
        <v>0.116427</v>
      </c>
      <c r="I25" s="250">
        <v>6.25E-2</v>
      </c>
      <c r="J25" s="250">
        <v>7.4999999999999997E-3</v>
      </c>
      <c r="K25" s="250" t="s">
        <v>122</v>
      </c>
      <c r="L25" s="251">
        <v>0</v>
      </c>
      <c r="M25" s="250" t="s">
        <v>122</v>
      </c>
      <c r="N25" s="220" t="s">
        <v>175</v>
      </c>
      <c r="O25" s="219" t="s">
        <v>122</v>
      </c>
      <c r="P25" s="218" t="s">
        <v>233</v>
      </c>
      <c r="Q25" s="252">
        <v>37.4</v>
      </c>
      <c r="R25" s="253">
        <v>4.68</v>
      </c>
      <c r="S25" s="253">
        <v>5</v>
      </c>
      <c r="T25" s="253">
        <v>1.83</v>
      </c>
      <c r="U25" s="254">
        <v>0.28699999999999998</v>
      </c>
      <c r="V25" s="214">
        <v>45199</v>
      </c>
    </row>
    <row r="26" spans="1:22" s="2" customFormat="1">
      <c r="B26" s="225" t="s">
        <v>284</v>
      </c>
      <c r="C26" s="219" t="s">
        <v>235</v>
      </c>
      <c r="D26" s="218" t="s">
        <v>90</v>
      </c>
      <c r="E26" s="249">
        <v>4.18067265</v>
      </c>
      <c r="F26" s="249">
        <v>4.18067265</v>
      </c>
      <c r="G26" s="250" t="s">
        <v>225</v>
      </c>
      <c r="H26" s="250">
        <v>0.11651690000000001</v>
      </c>
      <c r="I26" s="250">
        <v>0.06</v>
      </c>
      <c r="J26" s="250">
        <v>0.01</v>
      </c>
      <c r="K26" s="250" t="s">
        <v>122</v>
      </c>
      <c r="L26" s="251">
        <v>0</v>
      </c>
      <c r="M26" s="250" t="s">
        <v>122</v>
      </c>
      <c r="N26" s="220" t="s">
        <v>188</v>
      </c>
      <c r="O26" s="219" t="s">
        <v>122</v>
      </c>
      <c r="P26" s="218" t="s">
        <v>233</v>
      </c>
      <c r="Q26" s="256">
        <v>16.868572</v>
      </c>
      <c r="R26" s="253">
        <v>3.42</v>
      </c>
      <c r="S26" s="253">
        <v>5.17</v>
      </c>
      <c r="T26" s="253">
        <v>1.77</v>
      </c>
      <c r="U26" s="254">
        <v>0.46870000000000001</v>
      </c>
      <c r="V26" s="214">
        <v>45138</v>
      </c>
    </row>
    <row r="27" spans="1:22" s="2" customFormat="1">
      <c r="B27" s="225" t="s">
        <v>285</v>
      </c>
      <c r="C27" s="219" t="s">
        <v>235</v>
      </c>
      <c r="D27" s="218" t="s">
        <v>90</v>
      </c>
      <c r="E27" s="249">
        <v>11.411517999999999</v>
      </c>
      <c r="F27" s="249">
        <v>11.411517999999999</v>
      </c>
      <c r="G27" s="250" t="s">
        <v>225</v>
      </c>
      <c r="H27" s="250">
        <v>0.1132971</v>
      </c>
      <c r="I27" s="250">
        <v>0.06</v>
      </c>
      <c r="J27" s="250">
        <v>7.4999999999999997E-3</v>
      </c>
      <c r="K27" s="250" t="s">
        <v>122</v>
      </c>
      <c r="L27" s="251">
        <v>0</v>
      </c>
      <c r="M27" s="250" t="s">
        <v>122</v>
      </c>
      <c r="N27" s="220" t="s">
        <v>234</v>
      </c>
      <c r="O27" s="219" t="s">
        <v>122</v>
      </c>
      <c r="P27" s="218" t="s">
        <v>233</v>
      </c>
      <c r="Q27" s="256">
        <v>65.7</v>
      </c>
      <c r="R27" s="253">
        <v>4.57</v>
      </c>
      <c r="S27" s="253">
        <v>4.57</v>
      </c>
      <c r="T27" s="253">
        <v>1.92</v>
      </c>
      <c r="U27" s="254">
        <v>0.315</v>
      </c>
      <c r="V27" s="214">
        <v>45107</v>
      </c>
    </row>
    <row r="28" spans="1:22" s="2" customFormat="1">
      <c r="B28" s="225" t="s">
        <v>286</v>
      </c>
      <c r="C28" s="219" t="s">
        <v>235</v>
      </c>
      <c r="D28" s="218" t="s">
        <v>90</v>
      </c>
      <c r="E28" s="249">
        <v>8.125769</v>
      </c>
      <c r="F28" s="249">
        <v>8.125769</v>
      </c>
      <c r="G28" s="250" t="s">
        <v>225</v>
      </c>
      <c r="H28" s="250">
        <v>0.11477119999999999</v>
      </c>
      <c r="I28" s="250">
        <v>0.06</v>
      </c>
      <c r="J28" s="250">
        <v>0.01</v>
      </c>
      <c r="K28" s="250" t="s">
        <v>122</v>
      </c>
      <c r="L28" s="251">
        <v>0</v>
      </c>
      <c r="M28" s="250" t="s">
        <v>122</v>
      </c>
      <c r="N28" s="220" t="s">
        <v>188</v>
      </c>
      <c r="O28" s="219" t="s">
        <v>122</v>
      </c>
      <c r="P28" s="218" t="s">
        <v>233</v>
      </c>
      <c r="Q28" s="256">
        <v>46.5</v>
      </c>
      <c r="R28" s="253">
        <v>3.47</v>
      </c>
      <c r="S28" s="253">
        <v>3.47</v>
      </c>
      <c r="T28" s="253">
        <v>4.2699999999999996</v>
      </c>
      <c r="U28" s="254">
        <v>0.31459999999999999</v>
      </c>
      <c r="V28" s="214">
        <v>45199</v>
      </c>
    </row>
    <row r="29" spans="1:22" s="2" customFormat="1">
      <c r="B29" s="225" t="s">
        <v>287</v>
      </c>
      <c r="C29" s="219" t="s">
        <v>235</v>
      </c>
      <c r="D29" s="218" t="s">
        <v>90</v>
      </c>
      <c r="E29" s="249">
        <v>6.8092249000000002</v>
      </c>
      <c r="F29" s="249">
        <v>6.8092249000000002</v>
      </c>
      <c r="G29" s="250" t="s">
        <v>225</v>
      </c>
      <c r="H29" s="250">
        <v>0.10824120000000001</v>
      </c>
      <c r="I29" s="250">
        <v>5.5E-2</v>
      </c>
      <c r="J29" s="250">
        <v>0.01</v>
      </c>
      <c r="K29" s="250" t="s">
        <v>122</v>
      </c>
      <c r="L29" s="251">
        <v>0</v>
      </c>
      <c r="M29" s="250" t="s">
        <v>122</v>
      </c>
      <c r="N29" s="220" t="s">
        <v>179</v>
      </c>
      <c r="O29" s="219" t="s">
        <v>122</v>
      </c>
      <c r="P29" s="218" t="s">
        <v>233</v>
      </c>
      <c r="Q29" s="256">
        <v>68.317312999999999</v>
      </c>
      <c r="R29" s="253">
        <v>2.4700000000000002</v>
      </c>
      <c r="S29" s="253">
        <v>3.73</v>
      </c>
      <c r="T29" s="253">
        <v>2.87</v>
      </c>
      <c r="U29" s="254">
        <v>0.29880000000000001</v>
      </c>
      <c r="V29" s="214">
        <v>45199</v>
      </c>
    </row>
    <row r="30" spans="1:22" s="2" customFormat="1">
      <c r="B30" s="225" t="s">
        <v>288</v>
      </c>
      <c r="C30" s="219" t="s">
        <v>235</v>
      </c>
      <c r="D30" s="218" t="s">
        <v>90</v>
      </c>
      <c r="E30" s="249">
        <v>5.1058560000000002</v>
      </c>
      <c r="F30" s="249">
        <v>5.1058560000000002</v>
      </c>
      <c r="G30" s="250" t="s">
        <v>225</v>
      </c>
      <c r="H30" s="250">
        <v>0.1154008</v>
      </c>
      <c r="I30" s="250">
        <v>0.06</v>
      </c>
      <c r="J30" s="250">
        <v>0.01</v>
      </c>
      <c r="K30" s="250" t="s">
        <v>122</v>
      </c>
      <c r="L30" s="251">
        <v>0</v>
      </c>
      <c r="M30" s="250" t="s">
        <v>122</v>
      </c>
      <c r="N30" s="220" t="s">
        <v>289</v>
      </c>
      <c r="O30" s="219" t="s">
        <v>122</v>
      </c>
      <c r="P30" s="218" t="s">
        <v>233</v>
      </c>
      <c r="Q30" s="256">
        <v>29.273</v>
      </c>
      <c r="R30" s="253">
        <v>5.33</v>
      </c>
      <c r="S30" s="253">
        <v>5.33</v>
      </c>
      <c r="T30" s="253">
        <v>1.6</v>
      </c>
      <c r="U30" s="254">
        <v>0.42630000000000001</v>
      </c>
      <c r="V30" s="214">
        <v>45107</v>
      </c>
    </row>
    <row r="31" spans="1:22" s="255" customFormat="1">
      <c r="A31" s="2"/>
      <c r="B31" s="225" t="s">
        <v>290</v>
      </c>
      <c r="C31" s="219" t="s">
        <v>235</v>
      </c>
      <c r="D31" s="218" t="s">
        <v>90</v>
      </c>
      <c r="E31" s="249">
        <v>17.935778770000002</v>
      </c>
      <c r="F31" s="249">
        <v>17.935778770000002</v>
      </c>
      <c r="G31" s="250" t="s">
        <v>225</v>
      </c>
      <c r="H31" s="250">
        <v>0.1103321</v>
      </c>
      <c r="I31" s="250">
        <v>5.5E-2</v>
      </c>
      <c r="J31" s="250">
        <v>7.4999999999999997E-3</v>
      </c>
      <c r="K31" s="250" t="s">
        <v>122</v>
      </c>
      <c r="L31" s="251">
        <v>0</v>
      </c>
      <c r="M31" s="250" t="s">
        <v>122</v>
      </c>
      <c r="N31" s="220" t="s">
        <v>192</v>
      </c>
      <c r="O31" s="219" t="s">
        <v>122</v>
      </c>
      <c r="P31" s="218" t="s">
        <v>233</v>
      </c>
      <c r="Q31" s="256">
        <v>517.20000000000005</v>
      </c>
      <c r="R31" s="253">
        <v>6.77</v>
      </c>
      <c r="S31" s="253">
        <v>7.47</v>
      </c>
      <c r="T31" s="253">
        <v>1.26</v>
      </c>
      <c r="U31" s="254">
        <v>0.51900000000000002</v>
      </c>
      <c r="V31" s="214">
        <v>45199</v>
      </c>
    </row>
    <row r="32" spans="1:22" s="255" customFormat="1">
      <c r="A32" s="2"/>
      <c r="B32" s="225" t="s">
        <v>291</v>
      </c>
      <c r="C32" s="219" t="s">
        <v>235</v>
      </c>
      <c r="D32" s="218" t="s">
        <v>90</v>
      </c>
      <c r="E32" s="249">
        <v>6.6130599999999999</v>
      </c>
      <c r="F32" s="249">
        <v>6.6130599999999999</v>
      </c>
      <c r="G32" s="250" t="s">
        <v>225</v>
      </c>
      <c r="H32" s="250">
        <v>0.1087968</v>
      </c>
      <c r="I32" s="250">
        <v>5.5E-2</v>
      </c>
      <c r="J32" s="250">
        <v>7.4999999999999997E-3</v>
      </c>
      <c r="K32" s="250" t="s">
        <v>122</v>
      </c>
      <c r="L32" s="251">
        <v>0</v>
      </c>
      <c r="M32" s="250" t="s">
        <v>231</v>
      </c>
      <c r="N32" s="220" t="s">
        <v>182</v>
      </c>
      <c r="O32" s="219" t="s">
        <v>122</v>
      </c>
      <c r="P32" s="218" t="s">
        <v>233</v>
      </c>
      <c r="Q32" s="256">
        <v>103.245</v>
      </c>
      <c r="R32" s="253">
        <v>5.01</v>
      </c>
      <c r="S32" s="253">
        <v>7.65</v>
      </c>
      <c r="T32" s="253">
        <v>1.46</v>
      </c>
      <c r="U32" s="254">
        <v>0.25480000000000003</v>
      </c>
      <c r="V32" s="214">
        <v>45199</v>
      </c>
    </row>
    <row r="33" spans="1:22" s="255" customFormat="1">
      <c r="A33" s="2"/>
      <c r="B33" s="225" t="s">
        <v>268</v>
      </c>
      <c r="C33" s="219" t="s">
        <v>235</v>
      </c>
      <c r="D33" s="218" t="s">
        <v>229</v>
      </c>
      <c r="E33" s="249">
        <v>35.214386111975003</v>
      </c>
      <c r="F33" s="257">
        <v>35.214386111975003</v>
      </c>
      <c r="G33" s="250" t="s">
        <v>245</v>
      </c>
      <c r="H33" s="250">
        <v>0.11383210000000001</v>
      </c>
      <c r="I33" s="250">
        <v>0.06</v>
      </c>
      <c r="J33" s="250">
        <v>0.01</v>
      </c>
      <c r="K33" s="250" t="s">
        <v>231</v>
      </c>
      <c r="L33" s="251">
        <v>7.4999999999999997E-3</v>
      </c>
      <c r="M33" s="250" t="s">
        <v>122</v>
      </c>
      <c r="N33" s="220" t="s">
        <v>244</v>
      </c>
      <c r="O33" s="219" t="s">
        <v>122</v>
      </c>
      <c r="P33" s="218" t="s">
        <v>233</v>
      </c>
      <c r="Q33" s="256">
        <v>283.17982599999999</v>
      </c>
      <c r="R33" s="253">
        <v>5.35</v>
      </c>
      <c r="S33" s="253">
        <v>5.35</v>
      </c>
      <c r="T33" s="253">
        <v>1.62</v>
      </c>
      <c r="U33" s="254">
        <v>0.35420000000000001</v>
      </c>
      <c r="V33" s="214">
        <v>45016</v>
      </c>
    </row>
    <row r="34" spans="1:22" s="255" customFormat="1">
      <c r="A34" s="2"/>
      <c r="B34" s="225" t="s">
        <v>292</v>
      </c>
      <c r="C34" s="219" t="s">
        <v>235</v>
      </c>
      <c r="D34" s="218" t="s">
        <v>90</v>
      </c>
      <c r="E34" s="249">
        <v>15.06558588</v>
      </c>
      <c r="F34" s="249">
        <v>15.06558588</v>
      </c>
      <c r="G34" s="250" t="s">
        <v>225</v>
      </c>
      <c r="H34" s="250">
        <v>9.9900800000000012E-2</v>
      </c>
      <c r="I34" s="250">
        <v>4.4999999999999998E-2</v>
      </c>
      <c r="J34" s="250">
        <v>5.0000000000000001E-3</v>
      </c>
      <c r="K34" s="250" t="s">
        <v>122</v>
      </c>
      <c r="L34" s="251">
        <v>0</v>
      </c>
      <c r="M34" s="250" t="s">
        <v>122</v>
      </c>
      <c r="N34" s="220" t="s">
        <v>232</v>
      </c>
      <c r="O34" s="219" t="s">
        <v>231</v>
      </c>
      <c r="P34" s="218" t="s">
        <v>233</v>
      </c>
      <c r="Q34" s="256">
        <v>2114</v>
      </c>
      <c r="R34" s="253">
        <v>5.18</v>
      </c>
      <c r="S34" s="253">
        <v>6.99</v>
      </c>
      <c r="T34" s="253">
        <v>1.81</v>
      </c>
      <c r="U34" s="254">
        <v>0.63560000000000005</v>
      </c>
      <c r="V34" s="214">
        <v>45199</v>
      </c>
    </row>
    <row r="35" spans="1:22" s="255" customFormat="1">
      <c r="A35" s="2"/>
      <c r="B35" s="225" t="s">
        <v>293</v>
      </c>
      <c r="C35" s="219" t="s">
        <v>235</v>
      </c>
      <c r="D35" s="218" t="s">
        <v>90</v>
      </c>
      <c r="E35" s="249">
        <v>31.394691999999999</v>
      </c>
      <c r="F35" s="249">
        <v>31.394691999999999</v>
      </c>
      <c r="G35" s="250" t="s">
        <v>225</v>
      </c>
      <c r="H35" s="250">
        <v>0.1086937</v>
      </c>
      <c r="I35" s="250">
        <v>5.5E-2</v>
      </c>
      <c r="J35" s="250">
        <v>7.4999999999999997E-3</v>
      </c>
      <c r="K35" s="250" t="s">
        <v>122</v>
      </c>
      <c r="L35" s="251">
        <v>0</v>
      </c>
      <c r="M35" s="250" t="s">
        <v>122</v>
      </c>
      <c r="N35" s="220" t="s">
        <v>195</v>
      </c>
      <c r="O35" s="219" t="s">
        <v>122</v>
      </c>
      <c r="P35" s="218" t="s">
        <v>233</v>
      </c>
      <c r="Q35" s="256">
        <v>25.2</v>
      </c>
      <c r="R35" s="253">
        <v>6.47</v>
      </c>
      <c r="S35" s="253">
        <v>6.47</v>
      </c>
      <c r="T35" s="253">
        <v>1.4</v>
      </c>
      <c r="U35" s="254">
        <v>0.38700000000000001</v>
      </c>
      <c r="V35" s="214">
        <v>45107</v>
      </c>
    </row>
    <row r="36" spans="1:22" s="255" customFormat="1">
      <c r="A36" s="2"/>
      <c r="B36" s="225" t="s">
        <v>294</v>
      </c>
      <c r="C36" s="219" t="s">
        <v>235</v>
      </c>
      <c r="D36" s="218" t="s">
        <v>90</v>
      </c>
      <c r="E36" s="249">
        <v>24.28958987</v>
      </c>
      <c r="F36" s="249">
        <v>24.28958987</v>
      </c>
      <c r="G36" s="250" t="s">
        <v>225</v>
      </c>
      <c r="H36" s="250">
        <v>0.11329589999999999</v>
      </c>
      <c r="I36" s="250">
        <v>0.06</v>
      </c>
      <c r="J36" s="250">
        <v>0.01</v>
      </c>
      <c r="K36" s="250" t="s">
        <v>122</v>
      </c>
      <c r="L36" s="251">
        <v>0</v>
      </c>
      <c r="M36" s="250" t="s">
        <v>231</v>
      </c>
      <c r="N36" s="220" t="s">
        <v>200</v>
      </c>
      <c r="O36" s="219" t="s">
        <v>122</v>
      </c>
      <c r="P36" s="218" t="s">
        <v>233</v>
      </c>
      <c r="Q36" s="256">
        <v>181.8</v>
      </c>
      <c r="R36" s="253">
        <v>5.17</v>
      </c>
      <c r="S36" s="253">
        <v>5.17</v>
      </c>
      <c r="T36" s="253">
        <v>1.5680000000000001</v>
      </c>
      <c r="U36" s="254">
        <v>0.438</v>
      </c>
      <c r="V36" s="214">
        <v>45199</v>
      </c>
    </row>
    <row r="37" spans="1:22" s="255" customFormat="1">
      <c r="A37" s="2"/>
      <c r="B37" s="225" t="s">
        <v>295</v>
      </c>
      <c r="C37" s="219" t="s">
        <v>235</v>
      </c>
      <c r="D37" s="218" t="s">
        <v>90</v>
      </c>
      <c r="E37" s="249">
        <v>3.6615960899999997</v>
      </c>
      <c r="F37" s="249">
        <v>3.6615960899999997</v>
      </c>
      <c r="G37" s="250" t="s">
        <v>225</v>
      </c>
      <c r="H37" s="250">
        <v>0.108927</v>
      </c>
      <c r="I37" s="250">
        <v>5.5E-2</v>
      </c>
      <c r="J37" s="250">
        <v>7.4999999999999997E-3</v>
      </c>
      <c r="K37" s="250" t="s">
        <v>122</v>
      </c>
      <c r="L37" s="251">
        <v>0</v>
      </c>
      <c r="M37" s="250" t="s">
        <v>231</v>
      </c>
      <c r="N37" s="220" t="s">
        <v>188</v>
      </c>
      <c r="O37" s="219" t="s">
        <v>231</v>
      </c>
      <c r="P37" s="218" t="s">
        <v>233</v>
      </c>
      <c r="Q37" s="256">
        <v>106.422124</v>
      </c>
      <c r="R37" s="253">
        <v>5.66</v>
      </c>
      <c r="S37" s="253">
        <v>5.66</v>
      </c>
      <c r="T37" s="253">
        <v>1.5</v>
      </c>
      <c r="U37" s="254">
        <v>0.3871</v>
      </c>
      <c r="V37" s="214">
        <v>45107</v>
      </c>
    </row>
    <row r="38" spans="1:22" s="255" customFormat="1">
      <c r="A38" s="2"/>
      <c r="B38" s="225" t="s">
        <v>296</v>
      </c>
      <c r="C38" s="219" t="s">
        <v>235</v>
      </c>
      <c r="D38" s="218" t="s">
        <v>90</v>
      </c>
      <c r="E38" s="249">
        <v>22.074797180000001</v>
      </c>
      <c r="F38" s="249">
        <v>22.074797180000001</v>
      </c>
      <c r="G38" s="250" t="s">
        <v>225</v>
      </c>
      <c r="H38" s="250">
        <v>0.1132344</v>
      </c>
      <c r="I38" s="250">
        <v>0.06</v>
      </c>
      <c r="J38" s="250">
        <v>7.4999999999999997E-3</v>
      </c>
      <c r="K38" s="250" t="s">
        <v>122</v>
      </c>
      <c r="L38" s="251">
        <v>0</v>
      </c>
      <c r="M38" s="250" t="s">
        <v>122</v>
      </c>
      <c r="N38" s="220" t="s">
        <v>177</v>
      </c>
      <c r="O38" s="219" t="s">
        <v>122</v>
      </c>
      <c r="P38" s="218" t="s">
        <v>233</v>
      </c>
      <c r="Q38" s="256">
        <v>193.2</v>
      </c>
      <c r="R38" s="253">
        <v>4.79</v>
      </c>
      <c r="S38" s="253">
        <v>4.79</v>
      </c>
      <c r="T38" s="253">
        <v>1.74</v>
      </c>
      <c r="U38" s="254">
        <v>0.46300000000000002</v>
      </c>
      <c r="V38" s="214">
        <v>45199</v>
      </c>
    </row>
    <row r="39" spans="1:22" s="255" customFormat="1">
      <c r="A39" s="2"/>
      <c r="B39" s="225" t="s">
        <v>297</v>
      </c>
      <c r="C39" s="219" t="s">
        <v>235</v>
      </c>
      <c r="D39" s="218" t="s">
        <v>90</v>
      </c>
      <c r="E39" s="249">
        <v>100.47576599999999</v>
      </c>
      <c r="F39" s="249">
        <v>100.47576599999999</v>
      </c>
      <c r="G39" s="250" t="s">
        <v>225</v>
      </c>
      <c r="H39" s="250">
        <v>0.1132291</v>
      </c>
      <c r="I39" s="250">
        <v>0.06</v>
      </c>
      <c r="J39" s="250">
        <v>7.4999999999999997E-3</v>
      </c>
      <c r="K39" s="250" t="s">
        <v>122</v>
      </c>
      <c r="L39" s="251">
        <v>0</v>
      </c>
      <c r="M39" s="250" t="s">
        <v>122</v>
      </c>
      <c r="N39" s="220" t="s">
        <v>243</v>
      </c>
      <c r="O39" s="219" t="s">
        <v>231</v>
      </c>
      <c r="P39" s="218" t="s">
        <v>233</v>
      </c>
      <c r="Q39" s="256">
        <v>324.60000000000002</v>
      </c>
      <c r="R39" s="253">
        <v>6.17</v>
      </c>
      <c r="S39" s="253">
        <v>6.17</v>
      </c>
      <c r="T39" s="253">
        <v>1.24</v>
      </c>
      <c r="U39" s="254">
        <v>0.3427</v>
      </c>
      <c r="V39" s="214">
        <v>45107</v>
      </c>
    </row>
    <row r="40" spans="1:22" s="255" customFormat="1">
      <c r="A40" s="2"/>
      <c r="B40" s="225" t="s">
        <v>298</v>
      </c>
      <c r="C40" s="219" t="s">
        <v>235</v>
      </c>
      <c r="D40" s="218" t="s">
        <v>228</v>
      </c>
      <c r="E40" s="249">
        <v>3.054204120249</v>
      </c>
      <c r="F40" s="257">
        <v>3.054204120249</v>
      </c>
      <c r="G40" s="250" t="s">
        <v>242</v>
      </c>
      <c r="H40" s="250">
        <v>0.11186600000000001</v>
      </c>
      <c r="I40" s="250">
        <v>0.06</v>
      </c>
      <c r="J40" s="250">
        <v>7.4999999999999997E-3</v>
      </c>
      <c r="K40" s="250" t="s">
        <v>122</v>
      </c>
      <c r="L40" s="251">
        <v>0</v>
      </c>
      <c r="M40" s="250" t="s">
        <v>122</v>
      </c>
      <c r="N40" s="220" t="s">
        <v>200</v>
      </c>
      <c r="O40" s="219" t="s">
        <v>231</v>
      </c>
      <c r="P40" s="218" t="s">
        <v>233</v>
      </c>
      <c r="Q40" s="256">
        <v>81.400000000000006</v>
      </c>
      <c r="R40" s="253">
        <v>5.36</v>
      </c>
      <c r="S40" s="253">
        <v>5.36</v>
      </c>
      <c r="T40" s="253">
        <v>1.49</v>
      </c>
      <c r="U40" s="254">
        <v>0.28949999999999998</v>
      </c>
      <c r="V40" s="214">
        <v>45107</v>
      </c>
    </row>
    <row r="41" spans="1:22" s="255" customFormat="1">
      <c r="A41" s="2"/>
      <c r="B41" s="225" t="s">
        <v>298</v>
      </c>
      <c r="C41" s="219" t="s">
        <v>235</v>
      </c>
      <c r="D41" s="218" t="s">
        <v>90</v>
      </c>
      <c r="E41" s="249">
        <v>21.39018038</v>
      </c>
      <c r="F41" s="249">
        <v>21.39018038</v>
      </c>
      <c r="G41" s="250" t="s">
        <v>225</v>
      </c>
      <c r="H41" s="250">
        <v>0.11186600000000001</v>
      </c>
      <c r="I41" s="250">
        <v>0.06</v>
      </c>
      <c r="J41" s="250">
        <v>7.4999999999999997E-3</v>
      </c>
      <c r="K41" s="250" t="s">
        <v>122</v>
      </c>
      <c r="L41" s="251">
        <v>0</v>
      </c>
      <c r="M41" s="250" t="s">
        <v>122</v>
      </c>
      <c r="N41" s="220" t="s">
        <v>200</v>
      </c>
      <c r="O41" s="219" t="s">
        <v>231</v>
      </c>
      <c r="P41" s="218" t="s">
        <v>233</v>
      </c>
      <c r="Q41" s="256">
        <v>81.400000000000006</v>
      </c>
      <c r="R41" s="253">
        <v>5.36</v>
      </c>
      <c r="S41" s="253">
        <v>5.36</v>
      </c>
      <c r="T41" s="253">
        <v>1.49</v>
      </c>
      <c r="U41" s="254">
        <v>0.28949999999999998</v>
      </c>
      <c r="V41" s="214">
        <v>45107</v>
      </c>
    </row>
    <row r="42" spans="1:22" s="255" customFormat="1">
      <c r="A42" s="2"/>
      <c r="B42" s="225" t="s">
        <v>299</v>
      </c>
      <c r="C42" s="219" t="s">
        <v>235</v>
      </c>
      <c r="D42" s="218" t="s">
        <v>90</v>
      </c>
      <c r="E42" s="249">
        <v>0.74531002000000002</v>
      </c>
      <c r="F42" s="249">
        <v>0.74531002000000002</v>
      </c>
      <c r="G42" s="250" t="s">
        <v>225</v>
      </c>
      <c r="H42" s="250">
        <v>9.9832099999999993E-2</v>
      </c>
      <c r="I42" s="250">
        <v>4.4999999999999998E-2</v>
      </c>
      <c r="J42" s="250">
        <v>7.4999999999999997E-3</v>
      </c>
      <c r="K42" s="250" t="s">
        <v>122</v>
      </c>
      <c r="L42" s="251">
        <v>0</v>
      </c>
      <c r="M42" s="250" t="s">
        <v>122</v>
      </c>
      <c r="N42" s="220" t="s">
        <v>200</v>
      </c>
      <c r="O42" s="219" t="s">
        <v>231</v>
      </c>
      <c r="P42" s="218" t="s">
        <v>233</v>
      </c>
      <c r="Q42" s="256">
        <v>241.83799999999999</v>
      </c>
      <c r="R42" s="253">
        <v>5.62</v>
      </c>
      <c r="S42" s="253">
        <v>7.23</v>
      </c>
      <c r="T42" s="253">
        <v>1.27</v>
      </c>
      <c r="U42" s="254">
        <v>0.38190000000000002</v>
      </c>
      <c r="V42" s="214">
        <v>45199</v>
      </c>
    </row>
    <row r="43" spans="1:22" s="255" customFormat="1">
      <c r="A43" s="2"/>
      <c r="B43" s="225" t="s">
        <v>300</v>
      </c>
      <c r="C43" s="219" t="s">
        <v>235</v>
      </c>
      <c r="D43" s="218" t="s">
        <v>90</v>
      </c>
      <c r="E43" s="249">
        <v>17.859946999999998</v>
      </c>
      <c r="F43" s="249">
        <v>17.859946999999998</v>
      </c>
      <c r="G43" s="250" t="s">
        <v>225</v>
      </c>
      <c r="H43" s="250">
        <v>0.10898189999999999</v>
      </c>
      <c r="I43" s="250">
        <v>5.5E-2</v>
      </c>
      <c r="J43" s="250">
        <v>7.4999999999999997E-3</v>
      </c>
      <c r="K43" s="250" t="s">
        <v>122</v>
      </c>
      <c r="L43" s="251">
        <v>0</v>
      </c>
      <c r="M43" s="250" t="s">
        <v>122</v>
      </c>
      <c r="N43" s="220" t="s">
        <v>200</v>
      </c>
      <c r="O43" s="219" t="s">
        <v>122</v>
      </c>
      <c r="P43" s="218" t="s">
        <v>233</v>
      </c>
      <c r="Q43" s="256">
        <v>36.327458</v>
      </c>
      <c r="R43" s="253">
        <v>2.96</v>
      </c>
      <c r="S43" s="253">
        <v>2.96</v>
      </c>
      <c r="T43" s="253">
        <v>2.4700000000000002</v>
      </c>
      <c r="U43" s="254">
        <v>0.435</v>
      </c>
      <c r="V43" s="214">
        <v>45138</v>
      </c>
    </row>
    <row r="44" spans="1:22" s="255" customFormat="1">
      <c r="A44" s="2"/>
      <c r="B44" s="225" t="s">
        <v>301</v>
      </c>
      <c r="C44" s="219" t="s">
        <v>235</v>
      </c>
      <c r="D44" s="218" t="s">
        <v>241</v>
      </c>
      <c r="E44" s="249">
        <v>30.576000000000001</v>
      </c>
      <c r="F44" s="249">
        <v>30.576000000000001</v>
      </c>
      <c r="G44" s="250" t="s">
        <v>240</v>
      </c>
      <c r="H44" s="250">
        <v>0.106</v>
      </c>
      <c r="I44" s="250">
        <v>6.25E-2</v>
      </c>
      <c r="J44" s="250">
        <v>7.4999999999999997E-3</v>
      </c>
      <c r="K44" s="250" t="s">
        <v>231</v>
      </c>
      <c r="L44" s="251">
        <v>0.02</v>
      </c>
      <c r="M44" s="250" t="s">
        <v>122</v>
      </c>
      <c r="N44" s="220" t="s">
        <v>239</v>
      </c>
      <c r="O44" s="219" t="s">
        <v>122</v>
      </c>
      <c r="P44" s="218" t="s">
        <v>233</v>
      </c>
      <c r="Q44" s="256">
        <v>121</v>
      </c>
      <c r="R44" s="253">
        <v>5.5</v>
      </c>
      <c r="S44" s="253">
        <v>5.5</v>
      </c>
      <c r="T44" s="253">
        <v>1.69</v>
      </c>
      <c r="U44" s="254">
        <v>0.30000000000000004</v>
      </c>
      <c r="V44" s="214">
        <v>45046</v>
      </c>
    </row>
    <row r="45" spans="1:22" s="2" customFormat="1">
      <c r="B45" s="225" t="s">
        <v>302</v>
      </c>
      <c r="C45" s="219" t="s">
        <v>235</v>
      </c>
      <c r="D45" s="218" t="s">
        <v>90</v>
      </c>
      <c r="E45" s="224">
        <v>9.546963074999999</v>
      </c>
      <c r="F45" s="224">
        <v>9.546963074999999</v>
      </c>
      <c r="G45" s="221" t="s">
        <v>225</v>
      </c>
      <c r="H45" s="221"/>
      <c r="I45" s="221">
        <v>5.7500000000000002E-2</v>
      </c>
      <c r="J45" s="221"/>
      <c r="K45" s="221" t="s">
        <v>122</v>
      </c>
      <c r="L45" s="222">
        <v>0</v>
      </c>
      <c r="M45" s="250" t="s">
        <v>122</v>
      </c>
      <c r="N45" s="220" t="s">
        <v>238</v>
      </c>
      <c r="O45" s="219" t="s">
        <v>122</v>
      </c>
      <c r="P45" s="218" t="s">
        <v>233</v>
      </c>
      <c r="Q45" s="217">
        <v>40.700000000000003</v>
      </c>
      <c r="R45" s="216">
        <v>5.18</v>
      </c>
      <c r="S45" s="216">
        <v>7.15</v>
      </c>
      <c r="T45" s="216">
        <v>1.6150793650793653</v>
      </c>
      <c r="U45" s="215">
        <v>0.61299999999999999</v>
      </c>
      <c r="V45" s="214">
        <v>45169</v>
      </c>
    </row>
    <row r="46" spans="1:22" s="2" customFormat="1">
      <c r="B46" s="225" t="s">
        <v>303</v>
      </c>
      <c r="C46" s="219" t="s">
        <v>235</v>
      </c>
      <c r="D46" s="218" t="s">
        <v>90</v>
      </c>
      <c r="E46" s="224">
        <v>69.431809297499996</v>
      </c>
      <c r="F46" s="224">
        <v>69.431809297499996</v>
      </c>
      <c r="G46" s="221" t="s">
        <v>225</v>
      </c>
      <c r="H46" s="221"/>
      <c r="I46" s="221">
        <v>6.7500000000000004E-2</v>
      </c>
      <c r="J46" s="221"/>
      <c r="K46" s="221" t="s">
        <v>231</v>
      </c>
      <c r="L46" s="222">
        <v>3.2500000000000001E-2</v>
      </c>
      <c r="M46" s="250" t="s">
        <v>122</v>
      </c>
      <c r="N46" s="220" t="s">
        <v>186</v>
      </c>
      <c r="O46" s="219" t="s">
        <v>231</v>
      </c>
      <c r="P46" s="218" t="s">
        <v>233</v>
      </c>
      <c r="Q46" s="217">
        <v>314</v>
      </c>
      <c r="R46" s="216">
        <v>4.9400000000000004</v>
      </c>
      <c r="S46" s="216">
        <v>6.69</v>
      </c>
      <c r="T46" s="216">
        <v>1.695464362850972</v>
      </c>
      <c r="U46" s="215">
        <v>0.46700000000000003</v>
      </c>
      <c r="V46" s="214">
        <v>45291</v>
      </c>
    </row>
    <row r="47" spans="1:22" s="2" customFormat="1">
      <c r="B47" s="225" t="s">
        <v>304</v>
      </c>
      <c r="C47" s="219" t="s">
        <v>235</v>
      </c>
      <c r="D47" s="218" t="s">
        <v>90</v>
      </c>
      <c r="E47" s="224">
        <v>65.286166435425002</v>
      </c>
      <c r="F47" s="224">
        <v>65.286166435425002</v>
      </c>
      <c r="G47" s="221" t="s">
        <v>225</v>
      </c>
      <c r="H47" s="221"/>
      <c r="I47" s="221">
        <v>5.7500000000000002E-2</v>
      </c>
      <c r="J47" s="221"/>
      <c r="K47" s="221" t="s">
        <v>122</v>
      </c>
      <c r="L47" s="222">
        <v>0</v>
      </c>
      <c r="M47" s="250" t="s">
        <v>122</v>
      </c>
      <c r="N47" s="226" t="s">
        <v>197</v>
      </c>
      <c r="O47" s="219" t="s">
        <v>231</v>
      </c>
      <c r="P47" s="218" t="s">
        <v>233</v>
      </c>
      <c r="Q47" s="217">
        <v>105.2</v>
      </c>
      <c r="R47" s="216">
        <v>4.0599999999999996</v>
      </c>
      <c r="S47" s="216">
        <v>4.0599999999999996</v>
      </c>
      <c r="T47" s="216">
        <v>1.7050243111831442</v>
      </c>
      <c r="U47" s="215">
        <v>0.48899999999999999</v>
      </c>
      <c r="V47" s="214">
        <v>45199</v>
      </c>
    </row>
    <row r="48" spans="1:22" s="2" customFormat="1">
      <c r="B48" s="225" t="s">
        <v>305</v>
      </c>
      <c r="C48" s="219" t="s">
        <v>235</v>
      </c>
      <c r="D48" s="218" t="s">
        <v>90</v>
      </c>
      <c r="E48" s="224">
        <v>15.065955020024999</v>
      </c>
      <c r="F48" s="224">
        <v>15.065955020024999</v>
      </c>
      <c r="G48" s="221" t="s">
        <v>225</v>
      </c>
      <c r="H48" s="221"/>
      <c r="I48" s="221">
        <v>4.4999999999999998E-2</v>
      </c>
      <c r="J48" s="221"/>
      <c r="K48" s="221" t="s">
        <v>122</v>
      </c>
      <c r="L48" s="222">
        <v>0</v>
      </c>
      <c r="M48" s="250" t="s">
        <v>122</v>
      </c>
      <c r="N48" s="220" t="s">
        <v>200</v>
      </c>
      <c r="O48" s="219" t="s">
        <v>231</v>
      </c>
      <c r="P48" s="218" t="s">
        <v>233</v>
      </c>
      <c r="Q48" s="217">
        <v>2575</v>
      </c>
      <c r="R48" s="216">
        <v>4.41</v>
      </c>
      <c r="S48" s="216">
        <v>6.47</v>
      </c>
      <c r="T48" s="216">
        <v>1.7599569135208433</v>
      </c>
      <c r="U48" s="215">
        <v>0.72099999999999997</v>
      </c>
      <c r="V48" s="214">
        <v>45077</v>
      </c>
    </row>
    <row r="49" spans="2:22" s="2" customFormat="1">
      <c r="B49" s="225" t="s">
        <v>306</v>
      </c>
      <c r="C49" s="219" t="s">
        <v>235</v>
      </c>
      <c r="D49" s="218" t="s">
        <v>90</v>
      </c>
      <c r="E49" s="224">
        <v>21.242813962499998</v>
      </c>
      <c r="F49" s="224">
        <v>21.242813962499998</v>
      </c>
      <c r="G49" s="221" t="s">
        <v>225</v>
      </c>
      <c r="H49" s="221"/>
      <c r="I49" s="221">
        <v>6.25E-2</v>
      </c>
      <c r="J49" s="221"/>
      <c r="K49" s="221" t="s">
        <v>122</v>
      </c>
      <c r="L49" s="222">
        <v>0</v>
      </c>
      <c r="M49" s="250" t="s">
        <v>122</v>
      </c>
      <c r="N49" s="220" t="s">
        <v>188</v>
      </c>
      <c r="O49" s="219" t="s">
        <v>122</v>
      </c>
      <c r="P49" s="218" t="s">
        <v>233</v>
      </c>
      <c r="Q49" s="217">
        <v>39.799999999999997</v>
      </c>
      <c r="R49" s="216">
        <v>4.0199999999999996</v>
      </c>
      <c r="S49" s="216">
        <v>4.0199999999999996</v>
      </c>
      <c r="T49" s="216">
        <v>2.0729166666666665</v>
      </c>
      <c r="U49" s="215">
        <v>0.48799999999999999</v>
      </c>
      <c r="V49" s="214">
        <v>45107</v>
      </c>
    </row>
    <row r="50" spans="2:22" s="2" customFormat="1">
      <c r="B50" s="225" t="s">
        <v>307</v>
      </c>
      <c r="C50" s="219" t="s">
        <v>235</v>
      </c>
      <c r="D50" s="218" t="s">
        <v>90</v>
      </c>
      <c r="E50" s="224">
        <v>26.568536962499998</v>
      </c>
      <c r="F50" s="224">
        <v>26.568536962499998</v>
      </c>
      <c r="G50" s="221" t="s">
        <v>225</v>
      </c>
      <c r="H50" s="221"/>
      <c r="I50" s="221">
        <v>5.2499999999999998E-2</v>
      </c>
      <c r="J50" s="221"/>
      <c r="K50" s="221" t="s">
        <v>231</v>
      </c>
      <c r="L50" s="222">
        <v>2.63E-2</v>
      </c>
      <c r="M50" s="250" t="s">
        <v>122</v>
      </c>
      <c r="N50" s="220" t="s">
        <v>237</v>
      </c>
      <c r="O50" s="219" t="s">
        <v>231</v>
      </c>
      <c r="P50" s="218" t="s">
        <v>233</v>
      </c>
      <c r="Q50" s="217">
        <v>85.7</v>
      </c>
      <c r="R50" s="216">
        <v>4.03</v>
      </c>
      <c r="S50" s="216">
        <v>4.03</v>
      </c>
      <c r="T50" s="216">
        <v>1.8272921108742006</v>
      </c>
      <c r="U50" s="215">
        <v>0.436</v>
      </c>
      <c r="V50" s="214">
        <v>45199</v>
      </c>
    </row>
    <row r="51" spans="2:22" s="2" customFormat="1">
      <c r="B51" s="225" t="s">
        <v>308</v>
      </c>
      <c r="C51" s="219" t="s">
        <v>235</v>
      </c>
      <c r="D51" s="218" t="s">
        <v>90</v>
      </c>
      <c r="E51" s="224">
        <v>34.842325634999995</v>
      </c>
      <c r="F51" s="224">
        <v>34.842325634999995</v>
      </c>
      <c r="G51" s="221" t="s">
        <v>225</v>
      </c>
      <c r="H51" s="221"/>
      <c r="I51" s="221">
        <v>0.06</v>
      </c>
      <c r="J51" s="221"/>
      <c r="K51" s="221" t="s">
        <v>122</v>
      </c>
      <c r="L51" s="222">
        <v>0</v>
      </c>
      <c r="M51" s="250" t="s">
        <v>122</v>
      </c>
      <c r="N51" s="220" t="s">
        <v>192</v>
      </c>
      <c r="O51" s="219" t="s">
        <v>122</v>
      </c>
      <c r="P51" s="218" t="s">
        <v>233</v>
      </c>
      <c r="Q51" s="217">
        <v>42</v>
      </c>
      <c r="R51" s="216">
        <v>4.25</v>
      </c>
      <c r="S51" s="216">
        <v>4.45</v>
      </c>
      <c r="T51" s="216">
        <v>1.6733067729083664</v>
      </c>
      <c r="U51" s="215">
        <v>0.32</v>
      </c>
      <c r="V51" s="214">
        <v>45016</v>
      </c>
    </row>
    <row r="52" spans="2:22" s="2" customFormat="1">
      <c r="B52" s="225" t="s">
        <v>309</v>
      </c>
      <c r="C52" s="219" t="s">
        <v>235</v>
      </c>
      <c r="D52" s="218" t="s">
        <v>90</v>
      </c>
      <c r="E52" s="224">
        <v>22.2193995075</v>
      </c>
      <c r="F52" s="224">
        <v>22.2193995075</v>
      </c>
      <c r="G52" s="221" t="s">
        <v>225</v>
      </c>
      <c r="H52" s="221"/>
      <c r="I52" s="221">
        <v>5.7500000000000002E-2</v>
      </c>
      <c r="J52" s="221"/>
      <c r="K52" s="221" t="s">
        <v>231</v>
      </c>
      <c r="L52" s="222">
        <v>3.6249999999999998E-2</v>
      </c>
      <c r="M52" s="250" t="s">
        <v>122</v>
      </c>
      <c r="N52" s="220" t="s">
        <v>200</v>
      </c>
      <c r="O52" s="219" t="s">
        <v>122</v>
      </c>
      <c r="P52" s="218" t="s">
        <v>233</v>
      </c>
      <c r="Q52" s="217">
        <v>30</v>
      </c>
      <c r="R52" s="216">
        <v>5</v>
      </c>
      <c r="S52" s="216">
        <v>5</v>
      </c>
      <c r="T52" s="216">
        <v>1.7543859649122806</v>
      </c>
      <c r="U52" s="215">
        <v>0.40100000000000002</v>
      </c>
      <c r="V52" s="214">
        <v>45169</v>
      </c>
    </row>
    <row r="53" spans="2:22" s="2" customFormat="1">
      <c r="B53" s="225" t="s">
        <v>310</v>
      </c>
      <c r="C53" s="219" t="s">
        <v>235</v>
      </c>
      <c r="D53" s="218" t="s">
        <v>90</v>
      </c>
      <c r="E53" s="224">
        <v>9.3760626404249976</v>
      </c>
      <c r="F53" s="224">
        <v>9.3760626404249976</v>
      </c>
      <c r="G53" s="221" t="s">
        <v>225</v>
      </c>
      <c r="H53" s="221"/>
      <c r="I53" s="221">
        <v>5.7500000000000002E-2</v>
      </c>
      <c r="J53" s="221"/>
      <c r="K53" s="221" t="s">
        <v>122</v>
      </c>
      <c r="L53" s="222">
        <v>0</v>
      </c>
      <c r="M53" s="250" t="s">
        <v>122</v>
      </c>
      <c r="N53" s="220" t="s">
        <v>175</v>
      </c>
      <c r="O53" s="219" t="s">
        <v>122</v>
      </c>
      <c r="P53" s="218" t="s">
        <v>233</v>
      </c>
      <c r="Q53" s="217">
        <v>228</v>
      </c>
      <c r="R53" s="216">
        <v>3.98</v>
      </c>
      <c r="S53" s="216">
        <v>3.98</v>
      </c>
      <c r="T53" s="216">
        <v>1.8</v>
      </c>
      <c r="U53" s="215">
        <v>0.311</v>
      </c>
      <c r="V53" s="214">
        <v>45107</v>
      </c>
    </row>
    <row r="54" spans="2:22" s="2" customFormat="1">
      <c r="B54" s="225" t="s">
        <v>311</v>
      </c>
      <c r="C54" s="219" t="s">
        <v>235</v>
      </c>
      <c r="D54" s="218" t="s">
        <v>90</v>
      </c>
      <c r="E54" s="224">
        <v>30.916267784999995</v>
      </c>
      <c r="F54" s="224">
        <v>30.916267784999995</v>
      </c>
      <c r="G54" s="221" t="s">
        <v>225</v>
      </c>
      <c r="H54" s="221"/>
      <c r="I54" s="221">
        <v>0.06</v>
      </c>
      <c r="J54" s="221"/>
      <c r="K54" s="221" t="s">
        <v>122</v>
      </c>
      <c r="L54" s="222">
        <v>0</v>
      </c>
      <c r="M54" s="250" t="s">
        <v>122</v>
      </c>
      <c r="N54" s="220" t="s">
        <v>201</v>
      </c>
      <c r="O54" s="219" t="s">
        <v>122</v>
      </c>
      <c r="P54" s="218" t="s">
        <v>233</v>
      </c>
      <c r="Q54" s="217">
        <v>45.2</v>
      </c>
      <c r="R54" s="216">
        <v>6.08</v>
      </c>
      <c r="S54" s="216">
        <v>6.08</v>
      </c>
      <c r="T54" s="216">
        <v>1.3655589123867069</v>
      </c>
      <c r="U54" s="215">
        <v>0.62</v>
      </c>
      <c r="V54" s="214">
        <v>45107</v>
      </c>
    </row>
    <row r="55" spans="2:22" s="2" customFormat="1">
      <c r="B55" s="225" t="s">
        <v>312</v>
      </c>
      <c r="C55" s="219" t="s">
        <v>235</v>
      </c>
      <c r="D55" s="218" t="s">
        <v>90</v>
      </c>
      <c r="E55" s="224">
        <v>17.936218234349997</v>
      </c>
      <c r="F55" s="224">
        <v>17.936218234349997</v>
      </c>
      <c r="G55" s="221" t="s">
        <v>225</v>
      </c>
      <c r="H55" s="221"/>
      <c r="I55" s="221">
        <v>5.5E-2</v>
      </c>
      <c r="J55" s="221"/>
      <c r="K55" s="221" t="s">
        <v>122</v>
      </c>
      <c r="L55" s="222">
        <v>0</v>
      </c>
      <c r="M55" s="250" t="s">
        <v>122</v>
      </c>
      <c r="N55" s="220" t="s">
        <v>192</v>
      </c>
      <c r="O55" s="219" t="s">
        <v>122</v>
      </c>
      <c r="P55" s="218" t="s">
        <v>233</v>
      </c>
      <c r="Q55" s="217">
        <v>517.20000000000005</v>
      </c>
      <c r="R55" s="216">
        <v>6.77</v>
      </c>
      <c r="S55" s="216">
        <v>7.36</v>
      </c>
      <c r="T55" s="216">
        <v>1.267336437147758</v>
      </c>
      <c r="U55" s="215">
        <v>0.57599999999999996</v>
      </c>
      <c r="V55" s="214">
        <v>45199</v>
      </c>
    </row>
    <row r="56" spans="2:22" s="2" customFormat="1">
      <c r="B56" s="225" t="s">
        <v>313</v>
      </c>
      <c r="C56" s="219" t="s">
        <v>235</v>
      </c>
      <c r="D56" s="218" t="s">
        <v>90</v>
      </c>
      <c r="E56" s="224">
        <v>27.744340744574998</v>
      </c>
      <c r="F56" s="224">
        <v>27.744340744574998</v>
      </c>
      <c r="G56" s="221" t="s">
        <v>225</v>
      </c>
      <c r="H56" s="221"/>
      <c r="I56" s="221">
        <v>4.7500000000000001E-2</v>
      </c>
      <c r="J56" s="221"/>
      <c r="K56" s="221" t="s">
        <v>122</v>
      </c>
      <c r="L56" s="222">
        <v>0</v>
      </c>
      <c r="M56" s="250" t="s">
        <v>122</v>
      </c>
      <c r="N56" s="220" t="s">
        <v>236</v>
      </c>
      <c r="O56" s="219" t="s">
        <v>122</v>
      </c>
      <c r="P56" s="218" t="s">
        <v>233</v>
      </c>
      <c r="Q56" s="217">
        <v>43</v>
      </c>
      <c r="R56" s="216">
        <v>3.94</v>
      </c>
      <c r="S56" s="216">
        <v>3.94</v>
      </c>
      <c r="T56" s="216">
        <v>2.5499999999999998</v>
      </c>
      <c r="U56" s="215">
        <v>0.38600000000000001</v>
      </c>
      <c r="V56" s="214">
        <v>45199</v>
      </c>
    </row>
    <row r="57" spans="2:22" s="2" customFormat="1">
      <c r="B57" s="225" t="s">
        <v>314</v>
      </c>
      <c r="C57" s="219" t="s">
        <v>235</v>
      </c>
      <c r="D57" s="218" t="s">
        <v>90</v>
      </c>
      <c r="E57" s="224">
        <v>7.5517649999999996</v>
      </c>
      <c r="F57" s="224">
        <v>7.5517649999999996</v>
      </c>
      <c r="G57" s="221" t="s">
        <v>225</v>
      </c>
      <c r="H57" s="221"/>
      <c r="I57" s="221">
        <v>5.5E-2</v>
      </c>
      <c r="J57" s="221"/>
      <c r="K57" s="221" t="s">
        <v>122</v>
      </c>
      <c r="L57" s="222">
        <v>0</v>
      </c>
      <c r="M57" s="250" t="s">
        <v>122</v>
      </c>
      <c r="N57" s="220" t="s">
        <v>234</v>
      </c>
      <c r="O57" s="219" t="s">
        <v>122</v>
      </c>
      <c r="P57" s="218" t="s">
        <v>233</v>
      </c>
      <c r="Q57" s="217">
        <v>41.2</v>
      </c>
      <c r="R57" s="216">
        <v>3.47</v>
      </c>
      <c r="S57" s="216">
        <v>4.1500000000000004</v>
      </c>
      <c r="T57" s="216">
        <v>2.2762430939226519</v>
      </c>
      <c r="U57" s="215">
        <v>0.28299999999999997</v>
      </c>
      <c r="V57" s="214">
        <v>45291</v>
      </c>
    </row>
    <row r="58" spans="2:22">
      <c r="B58" s="225"/>
      <c r="C58" s="219"/>
      <c r="D58" s="218"/>
      <c r="E58" s="224"/>
      <c r="F58" s="223"/>
      <c r="G58" s="221"/>
      <c r="H58" s="221"/>
      <c r="I58" s="221"/>
      <c r="J58" s="221"/>
      <c r="K58" s="221"/>
      <c r="L58" s="222"/>
      <c r="M58" s="221"/>
      <c r="N58" s="220"/>
      <c r="O58" s="219"/>
      <c r="P58" s="218"/>
      <c r="Q58" s="217"/>
      <c r="R58" s="216"/>
      <c r="S58" s="216"/>
      <c r="T58" s="216"/>
      <c r="U58" s="215"/>
      <c r="V58" s="214"/>
    </row>
    <row r="59" spans="2:22">
      <c r="B59" s="213"/>
      <c r="C59" s="207"/>
      <c r="D59" s="206"/>
      <c r="E59" s="212"/>
      <c r="F59" s="211"/>
      <c r="G59" s="209"/>
      <c r="H59" s="209"/>
      <c r="I59" s="209"/>
      <c r="J59" s="209"/>
      <c r="K59" s="209"/>
      <c r="L59" s="210"/>
      <c r="M59" s="209"/>
      <c r="N59" s="208"/>
      <c r="O59" s="207"/>
      <c r="P59" s="206"/>
      <c r="Q59" s="205"/>
      <c r="R59" s="204"/>
      <c r="S59" s="204"/>
      <c r="T59" s="204"/>
      <c r="U59" s="203"/>
      <c r="V59" s="202"/>
    </row>
    <row r="60" spans="2:22">
      <c r="B60" s="201" t="s">
        <v>144</v>
      </c>
      <c r="C60" s="195"/>
      <c r="D60" s="194"/>
      <c r="E60" s="200">
        <f>SUM(E6:E59)</f>
        <v>1455.2342132620238</v>
      </c>
      <c r="F60" s="199">
        <f>SUM(F6:F59)</f>
        <v>1455.2342132620238</v>
      </c>
      <c r="G60" s="197"/>
      <c r="H60" s="197"/>
      <c r="I60" s="197">
        <f>SUMPRODUCT(I6:I59,$E$6:$E$59)/$E$60</f>
        <v>5.9569892502318651E-2</v>
      </c>
      <c r="J60" s="197">
        <f>SUMPRODUCT(J6:J59,$E$6:$E$59)/$E$60</f>
        <v>6.7633550009688079E-3</v>
      </c>
      <c r="K60" s="197"/>
      <c r="L60" s="198">
        <f>SUMPRODUCT(L6:L59,$E$6:$E$59)/$E$60</f>
        <v>4.5519102234551981E-3</v>
      </c>
      <c r="M60" s="197"/>
      <c r="N60" s="196"/>
      <c r="O60" s="195"/>
      <c r="P60" s="194"/>
      <c r="Q60" s="193">
        <f>SUMPRODUCT(Q6:Q59,$E$6:$E$59)/$E$60</f>
        <v>252.72519989806403</v>
      </c>
      <c r="R60" s="192">
        <f>SUMPRODUCT(R6:R59,$E$6:$E$59)/$E$60</f>
        <v>5.243829926774489</v>
      </c>
      <c r="S60" s="192">
        <f>SUMPRODUCT(S6:S59,$E$6:$E$59)/$E$60</f>
        <v>5.5451513250208073</v>
      </c>
      <c r="T60" s="192">
        <f>SUMPRODUCT(T6:T59,$E$6:$E$59)/$E$60</f>
        <v>1.6165670722064569</v>
      </c>
      <c r="U60" s="191">
        <f>SUMPRODUCT(U6:U59,$E$6:$E$59)/$E$60</f>
        <v>0.41925978822262139</v>
      </c>
      <c r="V60" s="190"/>
    </row>
    <row r="62" spans="2:22">
      <c r="B62" s="189"/>
    </row>
    <row r="64" spans="2:22">
      <c r="E64" s="14"/>
    </row>
    <row r="65" spans="5:5">
      <c r="E65" s="14"/>
    </row>
    <row r="66" spans="5:5">
      <c r="E66" s="14"/>
    </row>
    <row r="67" spans="5:5">
      <c r="E67" s="14"/>
    </row>
  </sheetData>
  <autoFilter ref="A5:W57" xr:uid="{00000000-0009-0000-0000-000005000000}"/>
  <conditionalFormatting sqref="A1:A1048576">
    <cfRule type="duplicateValues" dxfId="3" priority="1"/>
  </conditionalFormatting>
  <pageMargins left="0.7" right="0.7" top="0.75" bottom="0.75" header="0.3" footer="0.3"/>
  <pageSetup scale="47" fitToWidth="0" fitToHeight="0" orientation="landscape" r:id="rId1"/>
  <headerFooter>
    <oddFooter>&amp;R&amp;"Calibri"&amp;11&amp;K000000_x000D_&amp;1#&amp;"Calibri"&amp;10&amp;KFF8C00Classification :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F1:DW308"/>
  <sheetViews>
    <sheetView showGridLines="0" zoomScale="70" zoomScaleNormal="70" workbookViewId="0">
      <pane xSplit="7" ySplit="11" topLeftCell="H46" activePane="bottomRight" state="frozen"/>
      <selection activeCell="A17" sqref="A17"/>
      <selection pane="topRight" activeCell="A17" sqref="A17"/>
      <selection pane="bottomLeft" activeCell="A17" sqref="A17"/>
      <selection pane="bottomRight" activeCell="L81" sqref="L81"/>
    </sheetView>
  </sheetViews>
  <sheetFormatPr defaultColWidth="2.85546875" defaultRowHeight="15" outlineLevelCol="1"/>
  <cols>
    <col min="6" max="6" width="7.140625" bestFit="1" customWidth="1"/>
    <col min="7" max="7" width="75.7109375" style="40" bestFit="1" customWidth="1"/>
    <col min="8" max="8" width="22.140625" bestFit="1" customWidth="1"/>
    <col min="9" max="9" width="4.5703125" style="15" customWidth="1"/>
    <col min="10" max="10" width="0" style="15" hidden="1" customWidth="1"/>
    <col min="11" max="11" width="33.140625" style="63" bestFit="1" customWidth="1"/>
    <col min="12" max="12" width="28.5703125" bestFit="1" customWidth="1"/>
    <col min="13" max="13" width="5.7109375" bestFit="1" customWidth="1"/>
    <col min="14" max="14" width="28.5703125" bestFit="1" customWidth="1"/>
    <col min="15" max="15" width="27.140625" bestFit="1" customWidth="1"/>
    <col min="16" max="16" width="28.85546875" bestFit="1" customWidth="1"/>
    <col min="17" max="17" width="20" bestFit="1" customWidth="1"/>
    <col min="18" max="18" width="16.28515625" style="61" bestFit="1" customWidth="1" outlineLevel="1"/>
    <col min="19" max="19" width="16.28515625" bestFit="1" customWidth="1" outlineLevel="1"/>
    <col min="20" max="20" width="15.7109375" bestFit="1" customWidth="1" outlineLevel="1"/>
    <col min="21" max="21" width="7.140625" bestFit="1" customWidth="1" outlineLevel="1"/>
    <col min="22" max="22" width="16.28515625" style="15" bestFit="1" customWidth="1" outlineLevel="1"/>
    <col min="23" max="23" width="23.85546875" style="64" bestFit="1" customWidth="1"/>
    <col min="24" max="24" width="21.7109375" style="65" bestFit="1" customWidth="1"/>
    <col min="25" max="25" width="13.42578125" bestFit="1" customWidth="1" outlineLevel="1"/>
    <col min="26" max="26" width="23.85546875" style="15" bestFit="1" customWidth="1" outlineLevel="1"/>
    <col min="27" max="27" width="21.140625" style="64" customWidth="1"/>
    <col min="28" max="28" width="14.85546875" style="65" bestFit="1" customWidth="1"/>
    <col min="29" max="29" width="10.5703125" customWidth="1" outlineLevel="1"/>
    <col min="30" max="30" width="16.28515625" style="15" customWidth="1" outlineLevel="1"/>
    <col min="31" max="31" width="21.140625" style="64" customWidth="1"/>
    <col min="32" max="32" width="14.85546875" style="65" bestFit="1" customWidth="1"/>
    <col min="33" max="33" width="14.42578125" bestFit="1" customWidth="1" outlineLevel="1"/>
    <col min="34" max="34" width="15.28515625" style="15" bestFit="1" customWidth="1" outlineLevel="1"/>
    <col min="35" max="35" width="21.140625" style="64" customWidth="1"/>
    <col min="36" max="36" width="14.42578125" style="65" bestFit="1" customWidth="1"/>
    <col min="37" max="37" width="10" customWidth="1" outlineLevel="1"/>
    <col min="38" max="38" width="16.28515625" style="15" bestFit="1" customWidth="1" outlineLevel="1"/>
    <col min="39" max="39" width="21.140625" style="64" bestFit="1" customWidth="1"/>
    <col min="40" max="40" width="14.85546875" style="65" bestFit="1" customWidth="1"/>
    <col min="41" max="41" width="10.5703125" customWidth="1" outlineLevel="1"/>
    <col min="42" max="42" width="16.28515625" style="15" bestFit="1" customWidth="1" outlineLevel="1"/>
    <col min="43" max="43" width="23" style="64" bestFit="1" customWidth="1"/>
    <col min="44" max="44" width="11.140625" style="65" bestFit="1" customWidth="1"/>
    <col min="45" max="45" width="10.5703125" customWidth="1" outlineLevel="1"/>
    <col min="46" max="46" width="16.28515625" style="15" bestFit="1" customWidth="1" outlineLevel="1"/>
    <col min="47" max="47" width="37.140625" style="64" bestFit="1" customWidth="1"/>
    <col min="48" max="48" width="14.42578125" bestFit="1" customWidth="1"/>
    <col min="49" max="49" width="10.5703125" customWidth="1" outlineLevel="1"/>
    <col min="50" max="50" width="16.28515625" bestFit="1" customWidth="1" outlineLevel="1"/>
    <col min="51" max="51" width="21.140625" style="64" bestFit="1" customWidth="1"/>
    <col min="52" max="52" width="14.42578125" bestFit="1" customWidth="1"/>
    <col min="53" max="53" width="14" bestFit="1" customWidth="1" outlineLevel="1"/>
    <col min="54" max="54" width="16.28515625" bestFit="1" customWidth="1" outlineLevel="1"/>
    <col min="55" max="55" width="24.28515625" style="64" hidden="1" customWidth="1"/>
    <col min="56" max="56" width="12.28515625" hidden="1" customWidth="1"/>
    <col min="57" max="57" width="10.5703125" hidden="1" customWidth="1" outlineLevel="1"/>
    <col min="58" max="58" width="16.28515625" hidden="1" customWidth="1" outlineLevel="1"/>
    <col min="59" max="59" width="31.7109375" style="64" bestFit="1" customWidth="1" collapsed="1"/>
    <col min="60" max="60" width="14.42578125" bestFit="1" customWidth="1"/>
    <col min="61" max="61" width="10.5703125" bestFit="1" customWidth="1" outlineLevel="1"/>
    <col min="62" max="62" width="16.28515625" bestFit="1" customWidth="1" outlineLevel="1"/>
    <col min="63" max="63" width="30.5703125" style="64" bestFit="1" customWidth="1"/>
    <col min="64" max="64" width="14.28515625" bestFit="1" customWidth="1"/>
    <col min="65" max="65" width="13.42578125" bestFit="1" customWidth="1" outlineLevel="1"/>
    <col min="66" max="66" width="16.28515625" bestFit="1" customWidth="1" outlineLevel="1"/>
    <col min="67" max="67" width="21.140625" style="64" bestFit="1" customWidth="1"/>
    <col min="68" max="68" width="10.42578125" bestFit="1" customWidth="1"/>
    <col min="69" max="69" width="12" bestFit="1" customWidth="1" outlineLevel="1"/>
    <col min="70" max="70" width="24.42578125" bestFit="1" customWidth="1" outlineLevel="1"/>
    <col min="71" max="71" width="21.140625" style="64" bestFit="1" customWidth="1"/>
    <col min="72" max="72" width="14.85546875" bestFit="1" customWidth="1"/>
    <col min="73" max="73" width="7.7109375" bestFit="1" customWidth="1" outlineLevel="1"/>
    <col min="74" max="74" width="16.5703125" bestFit="1" customWidth="1" outlineLevel="1"/>
    <col min="75" max="75" width="21.140625" style="64" bestFit="1" customWidth="1"/>
    <col min="76" max="76" width="8.42578125" customWidth="1"/>
    <col min="77" max="77" width="7.28515625" customWidth="1" outlineLevel="1"/>
    <col min="78" max="78" width="16.28515625" bestFit="1" customWidth="1" outlineLevel="1"/>
    <col min="79" max="79" width="21.140625" bestFit="1" customWidth="1"/>
    <col min="80" max="80" width="2.85546875" hidden="1" customWidth="1"/>
    <col min="81" max="81" width="2.85546875" hidden="1" customWidth="1" outlineLevel="1"/>
    <col min="82" max="82" width="16.28515625" style="15" hidden="1" customWidth="1" outlineLevel="1"/>
    <col min="83" max="83" width="21.140625" bestFit="1" customWidth="1" collapsed="1"/>
    <col min="84" max="84" width="2.85546875" hidden="1" customWidth="1"/>
    <col min="85" max="85" width="2.85546875" hidden="1" customWidth="1" outlineLevel="1"/>
    <col min="86" max="86" width="16.28515625" style="15" hidden="1" customWidth="1" outlineLevel="1"/>
    <col min="87" max="87" width="21.140625" bestFit="1" customWidth="1" collapsed="1"/>
    <col min="88" max="88" width="2.85546875" hidden="1" customWidth="1"/>
    <col min="89" max="89" width="2.85546875" hidden="1" customWidth="1" outlineLevel="1"/>
    <col min="90" max="90" width="16.28515625" style="15" hidden="1" customWidth="1" outlineLevel="1"/>
    <col min="91" max="91" width="21.140625" bestFit="1" customWidth="1" collapsed="1"/>
    <col min="92" max="92" width="2.85546875" hidden="1" customWidth="1"/>
    <col min="93" max="93" width="2.85546875" hidden="1" customWidth="1" outlineLevel="1"/>
    <col min="94" max="94" width="16.28515625" style="15" hidden="1" customWidth="1" outlineLevel="1"/>
    <col min="95" max="95" width="21.140625" bestFit="1" customWidth="1" collapsed="1"/>
    <col min="96" max="96" width="2.85546875" hidden="1" customWidth="1"/>
    <col min="97" max="97" width="7.28515625" hidden="1" customWidth="1" outlineLevel="1"/>
    <col min="98" max="98" width="16.28515625" style="15" hidden="1" customWidth="1" outlineLevel="1"/>
    <col min="99" max="99" width="21.140625" bestFit="1" customWidth="1" collapsed="1"/>
    <col min="100" max="100" width="2.85546875" hidden="1" customWidth="1"/>
    <col min="101" max="101" width="14" hidden="1" customWidth="1" outlineLevel="1"/>
    <col min="102" max="102" width="16.5703125" style="15" hidden="1" customWidth="1" outlineLevel="1"/>
    <col min="103" max="103" width="20.28515625" bestFit="1" customWidth="1" collapsed="1"/>
    <col min="104" max="104" width="8.42578125" hidden="1" customWidth="1"/>
    <col min="105" max="105" width="15.85546875" hidden="1" customWidth="1" outlineLevel="1"/>
    <col min="106" max="106" width="16.28515625" style="15" hidden="1" customWidth="1" outlineLevel="1"/>
    <col min="107" max="107" width="20.28515625" bestFit="1" customWidth="1" collapsed="1"/>
    <col min="108" max="108" width="14.28515625" style="61" hidden="1" customWidth="1"/>
    <col min="109" max="109" width="13" customWidth="1" outlineLevel="1"/>
    <col min="110" max="110" width="16.5703125" style="15" bestFit="1" customWidth="1" outlineLevel="1"/>
    <col min="111" max="111" width="28.140625" bestFit="1" customWidth="1"/>
    <col min="112" max="112" width="52.42578125" style="65" bestFit="1" customWidth="1"/>
    <col min="113" max="113" width="14" bestFit="1" customWidth="1" outlineLevel="1"/>
    <col min="114" max="114" width="16.28515625" style="15" bestFit="1" customWidth="1" outlineLevel="1"/>
    <col min="115" max="115" width="5" bestFit="1" customWidth="1"/>
    <col min="116" max="116" width="48.7109375" bestFit="1" customWidth="1"/>
    <col min="121" max="121" width="6.7109375" bestFit="1" customWidth="1"/>
    <col min="122" max="122" width="7.42578125" bestFit="1" customWidth="1"/>
    <col min="123" max="123" width="9.85546875" bestFit="1" customWidth="1" outlineLevel="1"/>
    <col min="124" max="125" width="8.42578125" bestFit="1" customWidth="1" outlineLevel="1"/>
    <col min="126" max="126" width="11.28515625" bestFit="1" customWidth="1"/>
    <col min="127" max="127" width="8.7109375" style="180" bestFit="1" customWidth="1"/>
  </cols>
  <sheetData>
    <row r="1" spans="6:127">
      <c r="K1" s="63" t="s">
        <v>83</v>
      </c>
      <c r="L1" s="101">
        <f ca="1">TODAY()</f>
        <v>45863</v>
      </c>
      <c r="N1" s="123" t="s">
        <v>84</v>
      </c>
      <c r="O1" s="285">
        <f>Calcs!O1</f>
        <v>600546064.96716809</v>
      </c>
      <c r="AA1" s="63"/>
      <c r="AB1" s="101"/>
      <c r="AC1" s="5"/>
    </row>
    <row r="2" spans="6:127">
      <c r="L2" s="3"/>
      <c r="N2" s="17" t="s">
        <v>110</v>
      </c>
      <c r="O2" s="286">
        <f>Calcs!U15</f>
        <v>337448908.59000003</v>
      </c>
      <c r="AA2" s="63"/>
      <c r="AB2" s="101"/>
      <c r="AC2" s="5"/>
    </row>
    <row r="3" spans="6:127" ht="15.75" thickBot="1">
      <c r="L3" s="101"/>
      <c r="N3" s="125" t="s">
        <v>85</v>
      </c>
      <c r="O3" s="287">
        <f>(Calcs!O15*1000000)-'Summary '!J38</f>
        <v>200546064.96716809</v>
      </c>
      <c r="AA3" s="63"/>
      <c r="AB3" s="101"/>
    </row>
    <row r="4" spans="6:127">
      <c r="K4" s="279" t="s">
        <v>120</v>
      </c>
      <c r="L4" s="279"/>
      <c r="W4" s="279" t="s">
        <v>86</v>
      </c>
      <c r="X4" s="62"/>
      <c r="AA4" s="279" t="s">
        <v>1259</v>
      </c>
      <c r="AB4" s="62"/>
      <c r="AE4" s="279" t="s">
        <v>1224</v>
      </c>
      <c r="AF4" s="62"/>
      <c r="AI4" s="279" t="s">
        <v>1001</v>
      </c>
      <c r="AJ4" s="62"/>
      <c r="AM4" s="279" t="s">
        <v>91</v>
      </c>
      <c r="AN4" s="62"/>
      <c r="AQ4" s="279" t="s">
        <v>141</v>
      </c>
      <c r="AR4" s="62"/>
      <c r="AU4" s="279" t="s">
        <v>1261</v>
      </c>
      <c r="AY4" s="279" t="s">
        <v>79</v>
      </c>
      <c r="BC4" s="279"/>
      <c r="BG4" s="279" t="s">
        <v>349</v>
      </c>
      <c r="BK4" s="587" t="s">
        <v>1257</v>
      </c>
      <c r="BL4" s="258"/>
      <c r="BM4" s="258"/>
      <c r="BN4" s="258"/>
      <c r="BO4" s="587" t="s">
        <v>1258</v>
      </c>
      <c r="BP4" s="258"/>
      <c r="BQ4" s="258"/>
      <c r="BR4" s="258"/>
      <c r="BS4" s="279" t="s">
        <v>1263</v>
      </c>
      <c r="BW4" s="279" t="s">
        <v>78</v>
      </c>
      <c r="DD4" s="62"/>
      <c r="DG4" s="279" t="s">
        <v>97</v>
      </c>
      <c r="DH4" s="62"/>
    </row>
    <row r="5" spans="6:127" ht="19.5" customHeight="1">
      <c r="L5" s="58" t="str">
        <f>N2</f>
        <v>Agg. Adj. Collateral Balance</v>
      </c>
      <c r="N5" s="68">
        <f>O2</f>
        <v>337448908.59000003</v>
      </c>
      <c r="BK5" s="588"/>
      <c r="BL5" s="258"/>
      <c r="BM5" s="258"/>
      <c r="BN5" s="258"/>
      <c r="BO5" s="588"/>
      <c r="BP5" s="258"/>
      <c r="BQ5" s="258"/>
      <c r="BR5" s="258"/>
    </row>
    <row r="6" spans="6:127">
      <c r="K6" s="66"/>
      <c r="L6" t="str">
        <f>N1</f>
        <v>Max. Port. Amount</v>
      </c>
      <c r="N6" s="68">
        <f>O1</f>
        <v>600546064.96716809</v>
      </c>
      <c r="P6" t="s">
        <v>121</v>
      </c>
      <c r="W6" s="64" t="s">
        <v>63</v>
      </c>
      <c r="X6" s="69">
        <v>0.4</v>
      </c>
      <c r="Y6" s="14"/>
      <c r="Z6" s="70"/>
      <c r="AA6" s="64" t="s">
        <v>63</v>
      </c>
      <c r="AB6" s="69">
        <v>0.15</v>
      </c>
      <c r="AD6" s="70"/>
      <c r="AE6" s="64" t="s">
        <v>63</v>
      </c>
      <c r="AF6" s="69">
        <v>0.25</v>
      </c>
      <c r="AH6" s="70"/>
      <c r="AI6" s="64" t="s">
        <v>63</v>
      </c>
      <c r="AJ6" s="69">
        <v>0.1</v>
      </c>
      <c r="AL6" s="70"/>
      <c r="AM6" s="64" t="s">
        <v>63</v>
      </c>
      <c r="AN6" s="69">
        <v>0.1</v>
      </c>
      <c r="AP6" s="70"/>
      <c r="AQ6" s="64" t="s">
        <v>63</v>
      </c>
      <c r="AR6" s="69">
        <v>0.1</v>
      </c>
      <c r="AT6" s="70"/>
      <c r="AU6" s="64" t="s">
        <v>63</v>
      </c>
      <c r="AV6" s="69">
        <v>0.25</v>
      </c>
      <c r="AX6" s="71"/>
      <c r="AY6" s="64" t="s">
        <v>63</v>
      </c>
      <c r="AZ6" s="69">
        <v>0.05</v>
      </c>
      <c r="BB6" s="71"/>
      <c r="BC6" s="64" t="s">
        <v>63</v>
      </c>
      <c r="BD6" s="259"/>
      <c r="BF6" s="71"/>
      <c r="BG6" s="64" t="s">
        <v>63</v>
      </c>
      <c r="BH6" s="69">
        <v>0.1</v>
      </c>
      <c r="BJ6" s="71"/>
      <c r="BK6" s="588" t="s">
        <v>63</v>
      </c>
      <c r="BL6" s="589">
        <v>7.4999999999999997E-2</v>
      </c>
      <c r="BM6" s="258"/>
      <c r="BN6" s="590"/>
      <c r="BO6" s="588" t="s">
        <v>63</v>
      </c>
      <c r="BP6" s="589">
        <v>0.15</v>
      </c>
      <c r="BQ6" s="258"/>
      <c r="BR6" s="590"/>
      <c r="BS6" s="64" t="s">
        <v>63</v>
      </c>
      <c r="BT6" s="69">
        <v>0.25</v>
      </c>
      <c r="BV6" s="71"/>
      <c r="BW6" s="64" t="s">
        <v>63</v>
      </c>
      <c r="BX6" s="69">
        <v>0.1</v>
      </c>
      <c r="BZ6" s="71"/>
      <c r="CA6" t="s">
        <v>63</v>
      </c>
      <c r="CB6" s="69"/>
      <c r="CD6" s="70"/>
      <c r="CE6" t="s">
        <v>63</v>
      </c>
      <c r="CF6" s="69"/>
      <c r="CH6" s="70"/>
      <c r="CI6" t="s">
        <v>63</v>
      </c>
      <c r="CJ6" s="69"/>
      <c r="CL6" s="70"/>
      <c r="CM6" t="s">
        <v>63</v>
      </c>
      <c r="CN6" s="69"/>
      <c r="CP6" s="70"/>
      <c r="CQ6" t="s">
        <v>63</v>
      </c>
      <c r="CR6" s="69"/>
      <c r="CT6" s="70"/>
      <c r="CU6" t="s">
        <v>63</v>
      </c>
      <c r="CV6" s="69"/>
      <c r="CX6" s="70"/>
      <c r="CY6" t="s">
        <v>63</v>
      </c>
      <c r="CZ6" s="69"/>
      <c r="DB6" s="70"/>
      <c r="DC6" t="s">
        <v>63</v>
      </c>
      <c r="DD6" s="69"/>
      <c r="DF6" s="70"/>
      <c r="DI6" s="69"/>
      <c r="DJ6" s="70"/>
    </row>
    <row r="7" spans="6:127">
      <c r="K7" s="63" t="s">
        <v>118</v>
      </c>
      <c r="L7" t="s">
        <v>463</v>
      </c>
      <c r="N7" s="596">
        <f>N5</f>
        <v>337448908.59000003</v>
      </c>
      <c r="O7" s="67"/>
      <c r="P7" t="str">
        <f>N1</f>
        <v>Max. Port. Amount</v>
      </c>
      <c r="Q7" s="61">
        <f>O1</f>
        <v>600546064.96716809</v>
      </c>
      <c r="W7" s="74" t="s">
        <v>64</v>
      </c>
      <c r="X7" s="72">
        <f>X9/$N$7</f>
        <v>0</v>
      </c>
      <c r="Y7" s="72"/>
      <c r="Z7" s="73"/>
      <c r="AA7" s="74" t="s">
        <v>64</v>
      </c>
      <c r="AB7" s="72">
        <f>AB9/$N$7</f>
        <v>9.8118890657692859E-2</v>
      </c>
      <c r="AD7" s="73"/>
      <c r="AE7" s="74" t="s">
        <v>64</v>
      </c>
      <c r="AF7" s="72">
        <f>AF9/$N$5</f>
        <v>0.10567781599740747</v>
      </c>
      <c r="AH7" s="73"/>
      <c r="AI7" s="74" t="s">
        <v>64</v>
      </c>
      <c r="AJ7" s="72">
        <f>AJ9/$N$5</f>
        <v>2.8926171494481644E-2</v>
      </c>
      <c r="AL7" s="73"/>
      <c r="AM7" s="74" t="s">
        <v>64</v>
      </c>
      <c r="AN7" s="72">
        <f>AN9/$N$7</f>
        <v>0</v>
      </c>
      <c r="AO7" s="14"/>
      <c r="AP7" s="73"/>
      <c r="AQ7" s="74" t="s">
        <v>64</v>
      </c>
      <c r="AR7" s="72">
        <f>AR9/$N$7</f>
        <v>0</v>
      </c>
      <c r="AT7" s="73"/>
      <c r="AU7" s="74" t="s">
        <v>64</v>
      </c>
      <c r="AV7" s="72">
        <f>AV9/$N$7</f>
        <v>7.5252506444030393E-2</v>
      </c>
      <c r="AX7" s="72"/>
      <c r="AY7" s="74" t="s">
        <v>64</v>
      </c>
      <c r="AZ7" s="72">
        <f>AZ9/$N$7</f>
        <v>1.256552514043501E-2</v>
      </c>
      <c r="BB7" s="72"/>
      <c r="BC7" s="74" t="s">
        <v>64</v>
      </c>
      <c r="BD7" s="72">
        <f>BD9/$N$7</f>
        <v>0</v>
      </c>
      <c r="BF7" s="72"/>
      <c r="BG7" s="74" t="s">
        <v>64</v>
      </c>
      <c r="BH7" s="72">
        <f>BH9/$N$7</f>
        <v>0</v>
      </c>
      <c r="BJ7" s="72"/>
      <c r="BK7" s="591" t="s">
        <v>64</v>
      </c>
      <c r="BL7" s="592">
        <f>BL9/$N$7</f>
        <v>0</v>
      </c>
      <c r="BM7" s="258"/>
      <c r="BN7" s="592"/>
      <c r="BO7" s="591" t="s">
        <v>64</v>
      </c>
      <c r="BP7" s="592">
        <f>+BP9/$N$5</f>
        <v>0</v>
      </c>
      <c r="BQ7" s="258"/>
      <c r="BR7" s="592"/>
      <c r="BS7" s="74" t="s">
        <v>64</v>
      </c>
      <c r="BT7" s="72">
        <f>BT9/$N$7</f>
        <v>1.5678380984862322E-2</v>
      </c>
      <c r="BV7" s="72"/>
      <c r="BW7" s="74" t="s">
        <v>64</v>
      </c>
      <c r="BX7" s="72">
        <f>BX9/$N$7</f>
        <v>0</v>
      </c>
      <c r="BZ7" s="72"/>
      <c r="CA7" s="67" t="s">
        <v>64</v>
      </c>
      <c r="CB7" s="72"/>
      <c r="CD7" s="73"/>
      <c r="CE7" s="67" t="s">
        <v>64</v>
      </c>
      <c r="CF7" s="72"/>
      <c r="CH7" s="73"/>
      <c r="CI7" s="67" t="s">
        <v>64</v>
      </c>
      <c r="CJ7" s="72"/>
      <c r="CL7" s="73"/>
      <c r="CM7" s="67" t="s">
        <v>64</v>
      </c>
      <c r="CN7" s="72"/>
      <c r="CP7" s="73"/>
      <c r="CQ7" s="67" t="s">
        <v>64</v>
      </c>
      <c r="CR7" s="72"/>
      <c r="CT7" s="73"/>
      <c r="CU7" s="67" t="s">
        <v>64</v>
      </c>
      <c r="CV7" s="72"/>
      <c r="CX7" s="73"/>
      <c r="CY7" s="67" t="s">
        <v>64</v>
      </c>
      <c r="CZ7" s="72"/>
      <c r="DB7" s="73"/>
      <c r="DC7" s="67" t="s">
        <v>64</v>
      </c>
      <c r="DD7" s="72"/>
      <c r="DF7" s="73"/>
      <c r="DG7" s="67"/>
      <c r="DI7" s="72"/>
      <c r="DJ7" s="73"/>
    </row>
    <row r="8" spans="6:127" ht="3.75" customHeight="1">
      <c r="BK8" s="588"/>
      <c r="BL8" s="258"/>
      <c r="BM8" s="258"/>
      <c r="BN8" s="258"/>
      <c r="BO8" s="588"/>
      <c r="BP8" s="258"/>
      <c r="BQ8" s="258"/>
      <c r="BR8" s="258"/>
    </row>
    <row r="9" spans="6:127">
      <c r="G9" s="103"/>
      <c r="H9" s="68">
        <f ca="1">SUM(H12:H131)</f>
        <v>337448908.59000003</v>
      </c>
      <c r="I9" s="96"/>
      <c r="J9" s="115"/>
      <c r="L9" s="75">
        <f>+SUM(L12:L307)</f>
        <v>337448908.59000003</v>
      </c>
      <c r="N9" s="75">
        <f>+SUM(N12:N307)</f>
        <v>337448908.59000003</v>
      </c>
      <c r="O9" s="75"/>
      <c r="Q9" s="72"/>
      <c r="R9" s="75">
        <f>+SUM(R12:R307)</f>
        <v>0</v>
      </c>
      <c r="S9" s="75">
        <f>+SUM(S12:S307)</f>
        <v>337448908.59000003</v>
      </c>
      <c r="T9" s="75">
        <f>+SUM(T12:T307)</f>
        <v>337448908.59000003</v>
      </c>
      <c r="U9" s="75"/>
      <c r="V9" s="76">
        <f t="shared" ref="V9:BA9" si="0">+SUM(V12:V307)</f>
        <v>337448908.59000003</v>
      </c>
      <c r="W9" s="77">
        <f t="shared" si="0"/>
        <v>337448908.59000003</v>
      </c>
      <c r="X9" s="75">
        <f t="shared" si="0"/>
        <v>0</v>
      </c>
      <c r="Y9" s="75">
        <f t="shared" si="0"/>
        <v>0</v>
      </c>
      <c r="Z9" s="76">
        <f t="shared" si="0"/>
        <v>337448908.59000003</v>
      </c>
      <c r="AA9" s="77">
        <f t="shared" si="0"/>
        <v>337448908.59000003</v>
      </c>
      <c r="AB9" s="75">
        <f t="shared" si="0"/>
        <v>33110112.564500004</v>
      </c>
      <c r="AC9" s="75">
        <f t="shared" si="0"/>
        <v>0</v>
      </c>
      <c r="AD9" s="76">
        <f t="shared" si="0"/>
        <v>337448908.59000003</v>
      </c>
      <c r="AE9" s="77">
        <f t="shared" si="0"/>
        <v>337448908.59000003</v>
      </c>
      <c r="AF9" s="75">
        <f t="shared" si="0"/>
        <v>35660863.670499995</v>
      </c>
      <c r="AG9" s="75">
        <f t="shared" si="0"/>
        <v>0</v>
      </c>
      <c r="AH9" s="76">
        <f t="shared" si="0"/>
        <v>337448908.59000003</v>
      </c>
      <c r="AI9" s="77">
        <f t="shared" si="0"/>
        <v>337448908.59000003</v>
      </c>
      <c r="AJ9" s="75">
        <f t="shared" si="0"/>
        <v>9761105.000500001</v>
      </c>
      <c r="AK9" s="75">
        <f t="shared" si="0"/>
        <v>0</v>
      </c>
      <c r="AL9" s="76">
        <f t="shared" si="0"/>
        <v>337448908.59000003</v>
      </c>
      <c r="AM9" s="77">
        <f t="shared" si="0"/>
        <v>337448908.59000003</v>
      </c>
      <c r="AN9" s="75">
        <f t="shared" si="0"/>
        <v>0</v>
      </c>
      <c r="AO9" s="75">
        <f t="shared" si="0"/>
        <v>0</v>
      </c>
      <c r="AP9" s="76">
        <f t="shared" si="0"/>
        <v>337448908.59000003</v>
      </c>
      <c r="AQ9" s="77">
        <f t="shared" si="0"/>
        <v>337448908.59000003</v>
      </c>
      <c r="AR9" s="75">
        <f t="shared" si="0"/>
        <v>0</v>
      </c>
      <c r="AS9" s="75">
        <f t="shared" si="0"/>
        <v>0</v>
      </c>
      <c r="AT9" s="76">
        <f t="shared" si="0"/>
        <v>337448908.59000003</v>
      </c>
      <c r="AU9" s="77">
        <f t="shared" si="0"/>
        <v>337448908.59000003</v>
      </c>
      <c r="AV9" s="75">
        <f t="shared" si="0"/>
        <v>25393876.168200001</v>
      </c>
      <c r="AW9" s="75">
        <f t="shared" si="0"/>
        <v>0</v>
      </c>
      <c r="AX9" s="76">
        <f t="shared" si="0"/>
        <v>337448908.59000003</v>
      </c>
      <c r="AY9" s="77">
        <f t="shared" si="0"/>
        <v>337448908.59000003</v>
      </c>
      <c r="AZ9" s="75">
        <f t="shared" si="0"/>
        <v>4240222.744500001</v>
      </c>
      <c r="BA9" s="75">
        <f t="shared" si="0"/>
        <v>0</v>
      </c>
      <c r="BB9" s="76">
        <f t="shared" ref="BB9:BT9" si="1">+SUM(BB12:BB307)</f>
        <v>337448908.59000003</v>
      </c>
      <c r="BC9" s="77">
        <f t="shared" si="1"/>
        <v>337448908.59000003</v>
      </c>
      <c r="BD9" s="75">
        <f t="shared" si="1"/>
        <v>0</v>
      </c>
      <c r="BE9" s="75">
        <f t="shared" si="1"/>
        <v>0</v>
      </c>
      <c r="BF9" s="76">
        <f t="shared" si="1"/>
        <v>0</v>
      </c>
      <c r="BG9" s="77">
        <f t="shared" si="1"/>
        <v>337448908.59000003</v>
      </c>
      <c r="BH9" s="75">
        <f t="shared" si="1"/>
        <v>0</v>
      </c>
      <c r="BI9" s="75">
        <f t="shared" si="1"/>
        <v>0</v>
      </c>
      <c r="BJ9" s="76">
        <f t="shared" si="1"/>
        <v>337448908.59000003</v>
      </c>
      <c r="BK9" s="593">
        <f t="shared" si="1"/>
        <v>337448908.59000003</v>
      </c>
      <c r="BL9" s="594">
        <f t="shared" si="1"/>
        <v>0</v>
      </c>
      <c r="BM9" s="594">
        <f t="shared" si="1"/>
        <v>0</v>
      </c>
      <c r="BN9" s="595">
        <f t="shared" si="1"/>
        <v>337448908.59000003</v>
      </c>
      <c r="BO9" s="593">
        <f t="shared" si="1"/>
        <v>337448908.59000003</v>
      </c>
      <c r="BP9" s="594">
        <f t="shared" si="1"/>
        <v>0</v>
      </c>
      <c r="BQ9" s="594">
        <f t="shared" si="1"/>
        <v>0</v>
      </c>
      <c r="BR9" s="595">
        <f t="shared" si="1"/>
        <v>337448908.59000003</v>
      </c>
      <c r="BS9" s="77">
        <f t="shared" si="1"/>
        <v>337448908.59000003</v>
      </c>
      <c r="BT9" s="75">
        <f t="shared" si="1"/>
        <v>5290652.5518000005</v>
      </c>
      <c r="BU9" s="75"/>
      <c r="BV9" s="76">
        <f>+SUM(BV12:BV307)</f>
        <v>337448908.59000003</v>
      </c>
      <c r="BW9" s="77">
        <f>+SUM(BW12:BW307)</f>
        <v>337448908.59000003</v>
      </c>
      <c r="BX9" s="75">
        <f>+SUM(BX12:BX307)</f>
        <v>0</v>
      </c>
      <c r="BY9" s="75"/>
      <c r="BZ9" s="76">
        <f>+SUM(BZ12:BZ307)</f>
        <v>337448908.59000003</v>
      </c>
      <c r="CA9" s="75">
        <f>+SUM(CA12:CA307)</f>
        <v>337448908.59000003</v>
      </c>
      <c r="CB9" s="75"/>
      <c r="CC9" s="75"/>
      <c r="CD9" s="76">
        <f>+SUM(CD12:CD307)</f>
        <v>337448908.59000003</v>
      </c>
      <c r="CE9" s="75">
        <f>+SUM(CE12:CE307)</f>
        <v>337448908.59000003</v>
      </c>
      <c r="CF9" s="75"/>
      <c r="CG9" s="75"/>
      <c r="CH9" s="76">
        <f>+SUM(CH12:CH307)</f>
        <v>337448908.59000003</v>
      </c>
      <c r="CI9" s="75">
        <f>+SUM(CI12:CI307)</f>
        <v>337448908.59000003</v>
      </c>
      <c r="CJ9" s="75"/>
      <c r="CK9" s="75"/>
      <c r="CL9" s="76">
        <f>+SUM(CL12:CL307)</f>
        <v>337448908.59000003</v>
      </c>
      <c r="CM9" s="75">
        <f>+SUM(CM12:CM307)</f>
        <v>337448908.59000003</v>
      </c>
      <c r="CN9" s="75"/>
      <c r="CO9" s="75"/>
      <c r="CP9" s="76">
        <f>+SUM(CP12:CP307)</f>
        <v>337448908.59000003</v>
      </c>
      <c r="CQ9" s="75">
        <f>+SUM(CQ12:CQ307)</f>
        <v>337448908.59000003</v>
      </c>
      <c r="CR9" s="75"/>
      <c r="CS9" s="75">
        <f>+SUM(CS12:CS307)</f>
        <v>0</v>
      </c>
      <c r="CT9" s="76">
        <f>+SUM(CT12:CT307)</f>
        <v>337448908.59000003</v>
      </c>
      <c r="CU9" s="75">
        <f>+SUM(CU12:CU307)</f>
        <v>337448908.59000003</v>
      </c>
      <c r="CV9" s="75"/>
      <c r="CW9" s="75">
        <f>+SUM(CW12:CW307)</f>
        <v>0</v>
      </c>
      <c r="CX9" s="76">
        <f>+SUM(CX12:CX307)</f>
        <v>337448908.59000003</v>
      </c>
      <c r="CY9" s="75">
        <f>+SUM(CY12:CY307)</f>
        <v>337448908.59000003</v>
      </c>
      <c r="CZ9" s="75"/>
      <c r="DA9" s="75"/>
      <c r="DB9" s="76">
        <f>+SUM(DB12:DB307)</f>
        <v>337448908.59000003</v>
      </c>
      <c r="DC9" s="75">
        <f>+SUM(DC12:DC307)</f>
        <v>337448908.59000003</v>
      </c>
      <c r="DD9" s="75"/>
      <c r="DE9" s="75"/>
      <c r="DF9" s="76">
        <f>+SUM(DF12:DF307)</f>
        <v>337448908.59000003</v>
      </c>
      <c r="DG9" s="75">
        <f>+SUM(DG12:DG307)</f>
        <v>337448908.59000003</v>
      </c>
      <c r="DH9" s="78"/>
      <c r="DI9" s="75">
        <f ca="1">+SUM(DI12:DI307)</f>
        <v>0</v>
      </c>
      <c r="DJ9" s="76">
        <f ca="1">+SUM(DJ12:DJ307)</f>
        <v>337448908.59000003</v>
      </c>
    </row>
    <row r="10" spans="6:127" ht="45">
      <c r="G10" s="104" t="s">
        <v>65</v>
      </c>
      <c r="H10" s="102" t="s">
        <v>111</v>
      </c>
      <c r="I10" s="117"/>
      <c r="J10" s="116"/>
      <c r="K10" s="79" t="s">
        <v>66</v>
      </c>
      <c r="L10" s="80" t="s">
        <v>67</v>
      </c>
      <c r="M10" s="80" t="s">
        <v>68</v>
      </c>
      <c r="N10" s="80" t="s">
        <v>69</v>
      </c>
      <c r="O10" s="80" t="s">
        <v>70</v>
      </c>
      <c r="P10" s="80" t="s">
        <v>71</v>
      </c>
      <c r="Q10" s="80" t="s">
        <v>72</v>
      </c>
      <c r="R10" s="80" t="s">
        <v>73</v>
      </c>
      <c r="S10" s="80" t="s">
        <v>74</v>
      </c>
      <c r="T10" s="80" t="s">
        <v>75</v>
      </c>
      <c r="U10" s="82" t="s">
        <v>76</v>
      </c>
      <c r="V10" s="83" t="s">
        <v>77</v>
      </c>
      <c r="W10" s="79" t="s">
        <v>67</v>
      </c>
      <c r="X10" s="84" t="s">
        <v>89</v>
      </c>
      <c r="Y10" s="84" t="s">
        <v>73</v>
      </c>
      <c r="Z10" s="85" t="s">
        <v>77</v>
      </c>
      <c r="AA10" s="79" t="s">
        <v>67</v>
      </c>
      <c r="AB10" s="84" t="s">
        <v>1259</v>
      </c>
      <c r="AC10" s="84" t="s">
        <v>73</v>
      </c>
      <c r="AD10" s="85" t="s">
        <v>77</v>
      </c>
      <c r="AE10" s="79" t="s">
        <v>67</v>
      </c>
      <c r="AF10" s="84" t="s">
        <v>1260</v>
      </c>
      <c r="AG10" s="84" t="s">
        <v>73</v>
      </c>
      <c r="AH10" s="85" t="s">
        <v>77</v>
      </c>
      <c r="AI10" s="79" t="s">
        <v>67</v>
      </c>
      <c r="AJ10" s="84" t="s">
        <v>1002</v>
      </c>
      <c r="AK10" s="84" t="s">
        <v>73</v>
      </c>
      <c r="AL10" s="85" t="s">
        <v>77</v>
      </c>
      <c r="AM10" s="79" t="s">
        <v>67</v>
      </c>
      <c r="AN10" s="84" t="s">
        <v>91</v>
      </c>
      <c r="AO10" s="84" t="s">
        <v>73</v>
      </c>
      <c r="AP10" s="85" t="s">
        <v>77</v>
      </c>
      <c r="AQ10" s="79" t="s">
        <v>67</v>
      </c>
      <c r="AR10" s="84" t="s">
        <v>119</v>
      </c>
      <c r="AS10" s="84" t="s">
        <v>73</v>
      </c>
      <c r="AT10" s="85" t="s">
        <v>77</v>
      </c>
      <c r="AU10" s="79" t="s">
        <v>67</v>
      </c>
      <c r="AV10" s="84" t="s">
        <v>1262</v>
      </c>
      <c r="AW10" s="84" t="s">
        <v>73</v>
      </c>
      <c r="AX10" s="85" t="s">
        <v>77</v>
      </c>
      <c r="AY10" s="79" t="s">
        <v>67</v>
      </c>
      <c r="AZ10" s="84" t="s">
        <v>79</v>
      </c>
      <c r="BA10" s="84" t="s">
        <v>73</v>
      </c>
      <c r="BB10" s="85" t="s">
        <v>77</v>
      </c>
      <c r="BC10" s="79" t="s">
        <v>67</v>
      </c>
      <c r="BD10" s="84"/>
      <c r="BE10" s="84" t="s">
        <v>73</v>
      </c>
      <c r="BF10" s="85" t="s">
        <v>77</v>
      </c>
      <c r="BG10" s="79" t="s">
        <v>67</v>
      </c>
      <c r="BH10" s="84" t="s">
        <v>114</v>
      </c>
      <c r="BI10" s="84" t="s">
        <v>73</v>
      </c>
      <c r="BJ10" s="85" t="s">
        <v>77</v>
      </c>
      <c r="BK10" s="79" t="s">
        <v>67</v>
      </c>
      <c r="BL10" s="84" t="s">
        <v>139</v>
      </c>
      <c r="BM10" s="84" t="s">
        <v>73</v>
      </c>
      <c r="BN10" s="85" t="s">
        <v>77</v>
      </c>
      <c r="BO10" s="79" t="s">
        <v>67</v>
      </c>
      <c r="BP10" s="84" t="s">
        <v>139</v>
      </c>
      <c r="BQ10" s="84" t="s">
        <v>73</v>
      </c>
      <c r="BR10" s="85" t="s">
        <v>77</v>
      </c>
      <c r="BS10" s="79" t="s">
        <v>67</v>
      </c>
      <c r="BT10" s="84" t="s">
        <v>1264</v>
      </c>
      <c r="BU10" s="84" t="s">
        <v>73</v>
      </c>
      <c r="BV10" s="85" t="s">
        <v>77</v>
      </c>
      <c r="BW10" s="79" t="s">
        <v>67</v>
      </c>
      <c r="BX10" s="84" t="s">
        <v>6</v>
      </c>
      <c r="BY10" s="84" t="s">
        <v>73</v>
      </c>
      <c r="BZ10" s="85" t="s">
        <v>77</v>
      </c>
      <c r="CA10" s="80" t="s">
        <v>67</v>
      </c>
      <c r="CB10" s="84"/>
      <c r="CC10" s="81"/>
      <c r="CD10" s="85" t="s">
        <v>77</v>
      </c>
      <c r="CE10" s="80" t="s">
        <v>67</v>
      </c>
      <c r="CF10" s="84"/>
      <c r="CG10" s="81"/>
      <c r="CH10" s="85" t="s">
        <v>77</v>
      </c>
      <c r="CI10" s="80" t="s">
        <v>67</v>
      </c>
      <c r="CJ10" s="84"/>
      <c r="CK10" s="84"/>
      <c r="CL10" s="85" t="s">
        <v>77</v>
      </c>
      <c r="CM10" s="80" t="s">
        <v>67</v>
      </c>
      <c r="CN10" s="84"/>
      <c r="CO10" s="81"/>
      <c r="CP10" s="85" t="s">
        <v>77</v>
      </c>
      <c r="CQ10" s="80" t="s">
        <v>67</v>
      </c>
      <c r="CR10" s="84"/>
      <c r="CS10" s="84" t="s">
        <v>73</v>
      </c>
      <c r="CT10" s="85" t="s">
        <v>77</v>
      </c>
      <c r="CU10" s="80" t="s">
        <v>67</v>
      </c>
      <c r="CV10" s="84"/>
      <c r="CW10" s="84" t="s">
        <v>73</v>
      </c>
      <c r="CX10" s="85" t="s">
        <v>77</v>
      </c>
      <c r="CY10" s="80" t="s">
        <v>67</v>
      </c>
      <c r="CZ10" s="84"/>
      <c r="DA10" s="84"/>
      <c r="DB10" s="85" t="s">
        <v>77</v>
      </c>
      <c r="DC10" s="80" t="s">
        <v>67</v>
      </c>
      <c r="DD10" s="84"/>
      <c r="DE10" s="81"/>
      <c r="DF10" s="85" t="s">
        <v>77</v>
      </c>
      <c r="DG10" s="80" t="s">
        <v>67</v>
      </c>
      <c r="DH10" s="86" t="s">
        <v>47</v>
      </c>
      <c r="DI10" s="84" t="s">
        <v>73</v>
      </c>
      <c r="DJ10" s="85" t="s">
        <v>77</v>
      </c>
      <c r="DL10" s="86" t="s">
        <v>47</v>
      </c>
      <c r="DM10" s="87"/>
      <c r="DN10" s="87"/>
      <c r="DO10" s="87"/>
      <c r="DP10" s="87"/>
      <c r="DQ10" s="87"/>
      <c r="DR10" s="87"/>
      <c r="DS10" s="87"/>
      <c r="DT10" s="87"/>
      <c r="DU10" s="87"/>
      <c r="DV10" s="88"/>
    </row>
    <row r="11" spans="6:127">
      <c r="G11" s="105"/>
      <c r="H11" s="90"/>
      <c r="I11" s="92"/>
      <c r="J11" s="92"/>
      <c r="K11" s="89"/>
      <c r="L11" s="90"/>
      <c r="M11" s="90"/>
      <c r="N11" s="90"/>
      <c r="O11" s="90"/>
      <c r="P11" s="90"/>
      <c r="Q11" s="90"/>
      <c r="R11" s="91"/>
      <c r="S11" s="90"/>
      <c r="T11" s="90"/>
      <c r="U11" s="90"/>
      <c r="V11" s="92"/>
      <c r="W11" s="94"/>
      <c r="X11" s="91"/>
      <c r="Y11" s="91"/>
      <c r="Z11" s="93"/>
      <c r="AA11" s="94"/>
      <c r="AB11" s="91"/>
      <c r="AC11" s="91"/>
      <c r="AD11" s="93"/>
      <c r="AE11" s="94"/>
      <c r="AF11" s="91"/>
      <c r="AG11" s="91"/>
      <c r="AH11" s="93"/>
      <c r="AI11" s="94"/>
      <c r="AJ11" s="91"/>
      <c r="AK11" s="91"/>
      <c r="AL11" s="93"/>
      <c r="AM11" s="94"/>
      <c r="AN11" s="91"/>
      <c r="AO11" s="91"/>
      <c r="AP11" s="93"/>
      <c r="AQ11" s="94"/>
      <c r="AR11" s="91"/>
      <c r="AS11" s="91"/>
      <c r="AT11" s="93"/>
      <c r="AU11" s="95"/>
      <c r="AV11" s="91"/>
      <c r="AW11" s="91"/>
      <c r="AX11" s="91"/>
      <c r="AY11" s="95"/>
      <c r="AZ11" s="91"/>
      <c r="BA11" s="91"/>
      <c r="BB11" s="91"/>
      <c r="BC11" s="95"/>
      <c r="BD11" s="91"/>
      <c r="BE11" s="91"/>
      <c r="BF11" s="91"/>
      <c r="BG11" s="95"/>
      <c r="BH11" s="91"/>
      <c r="BI11" s="91"/>
      <c r="BJ11" s="91"/>
      <c r="BK11" s="95"/>
      <c r="BL11" s="91"/>
      <c r="BM11" s="91"/>
      <c r="BN11" s="91"/>
      <c r="BO11" s="95"/>
      <c r="BP11" s="91"/>
      <c r="BQ11" s="91"/>
      <c r="BR11" s="91"/>
      <c r="BS11" s="95"/>
      <c r="BT11" s="91"/>
      <c r="BU11" s="91"/>
      <c r="BV11" s="91"/>
      <c r="BW11" s="95"/>
      <c r="BX11" s="91"/>
      <c r="BY11" s="91"/>
      <c r="BZ11" s="91"/>
      <c r="CA11" s="91"/>
      <c r="CB11" s="91"/>
      <c r="CC11" s="91"/>
      <c r="CD11" s="93"/>
      <c r="CE11" s="91"/>
      <c r="CF11" s="91"/>
      <c r="CG11" s="91"/>
      <c r="CH11" s="93"/>
      <c r="CI11" s="91"/>
      <c r="CJ11" s="91"/>
      <c r="CK11" s="91"/>
      <c r="CL11" s="93"/>
      <c r="CM11" s="91"/>
      <c r="CN11" s="91"/>
      <c r="CO11" s="91"/>
      <c r="CP11" s="93"/>
      <c r="CQ11" s="91"/>
      <c r="CR11" s="91"/>
      <c r="CS11" s="91"/>
      <c r="CT11" s="93"/>
      <c r="CU11" s="91"/>
      <c r="CV11" s="91"/>
      <c r="CW11" s="91"/>
      <c r="CX11" s="93"/>
      <c r="CY11" s="91"/>
      <c r="CZ11" s="91"/>
      <c r="DA11" s="91"/>
      <c r="DB11" s="93"/>
      <c r="DC11" s="90"/>
      <c r="DD11" s="91"/>
      <c r="DE11" s="91"/>
      <c r="DF11" s="93"/>
      <c r="DG11" s="90"/>
      <c r="DH11" s="91"/>
      <c r="DI11" s="91"/>
      <c r="DJ11" s="93"/>
      <c r="DL11" s="119" t="s">
        <v>47</v>
      </c>
      <c r="DM11" s="13"/>
      <c r="DN11" s="13"/>
      <c r="DO11" s="13"/>
      <c r="DP11" s="13"/>
      <c r="DQ11" s="411" t="s">
        <v>80</v>
      </c>
      <c r="DR11" s="411" t="s">
        <v>68</v>
      </c>
      <c r="DS11" s="411" t="s">
        <v>81</v>
      </c>
      <c r="DT11" s="411" t="s">
        <v>76</v>
      </c>
      <c r="DU11" s="411" t="s">
        <v>82</v>
      </c>
      <c r="DV11" s="412" t="s">
        <v>219</v>
      </c>
    </row>
    <row r="12" spans="6:127">
      <c r="F12" s="2">
        <f ca="1">U12</f>
        <v>41</v>
      </c>
      <c r="G12" s="40" t="str">
        <f>Calcs!A17</f>
        <v>A1 Garage Merger Sub, LLC</v>
      </c>
      <c r="H12" s="68">
        <f ca="1">MIN(V12,Z12,AD12,AH12,AL12,AP12,AT12,AX12,BB12,BF12,BJ12,DJ12,BN12,BR12,BV12,BZ12)</f>
        <v>3183892.61</v>
      </c>
      <c r="I12" s="96"/>
      <c r="J12" s="96"/>
      <c r="K12" s="63">
        <f>+IF(G12="","",IF(COUNTIF(G13:$G$307,G12)=0,1,0))</f>
        <v>1</v>
      </c>
      <c r="L12" s="75">
        <f>Calcs!U17</f>
        <v>3183892.61</v>
      </c>
      <c r="M12">
        <f t="shared" ref="M12:M43" si="2">COUNTIF($N$12:$N$307,"&gt;"&amp;N12)+1</f>
        <v>41</v>
      </c>
      <c r="N12" s="75" cm="1">
        <f t="array" ref="N12">+SUMPRODUCT((G12=$G$12:$G$307)*($L$12:$L$307))*K12</f>
        <v>3183892.61</v>
      </c>
      <c r="O12" s="75">
        <f t="shared" ref="O12:O43" si="3">+SUMPRODUCT((G12=$G$12:$G$307)*($L$12:$L$307))</f>
        <v>3183892.61</v>
      </c>
      <c r="P12" s="72">
        <f>+IF(M12=1,0.1,IF(M12=2,0.07,0.05))</f>
        <v>0.05</v>
      </c>
      <c r="Q12" s="72">
        <f>+N12/$Q$7</f>
        <v>5.3016625963140124E-3</v>
      </c>
      <c r="R12" s="61">
        <f>MAX(0,Q12-P12)*$Q$7</f>
        <v>0</v>
      </c>
      <c r="S12" s="68">
        <f>+N12-R12</f>
        <v>3183892.61</v>
      </c>
      <c r="T12" s="68">
        <f t="shared" ref="T12:T43" si="4">+SUMPRODUCT((G12=$G$12:$G$307)*($S$12:$S$307))</f>
        <v>3183892.61</v>
      </c>
      <c r="U12">
        <f t="array" aca="1" ref="U12" ca="1">SUM(1*(S12&lt;$S$12:$S$307))+1+IF(ROW(S12)-ROW($S$12)=0,0,SUM(1*(S12=OFFSET($S$12,0,0,INDEX(ROW(S12)-ROW($S$12)+1,1)-1,1))))</f>
        <v>41</v>
      </c>
      <c r="V12" s="96">
        <f>+IFERROR(T12*L12/O12,0)</f>
        <v>3183892.61</v>
      </c>
      <c r="W12" s="75">
        <f>Calcs!U17</f>
        <v>3183892.61</v>
      </c>
      <c r="X12" s="78">
        <f>IFERROR(OR(Calcs!BH17,Calcs!BI17)*W12,0)</f>
        <v>0</v>
      </c>
      <c r="Y12" s="97">
        <f>+IFERROR(MAX(0,(X$7-X$6)/X$7*X12),0)</f>
        <v>0</v>
      </c>
      <c r="Z12" s="98">
        <f>+W12-Y12</f>
        <v>3183892.61</v>
      </c>
      <c r="AA12" s="77">
        <f>W12</f>
        <v>3183892.61</v>
      </c>
      <c r="AB12" s="78">
        <f>IF(AND(Calcs!BM17=TRUE),AA12,0)</f>
        <v>0</v>
      </c>
      <c r="AC12" s="97">
        <f>+IFERROR(MAX(0,(AB$7-AB$6)/AB$7*AB12),0)</f>
        <v>0</v>
      </c>
      <c r="AD12" s="98">
        <f>+AA12-AC12</f>
        <v>3183892.61</v>
      </c>
      <c r="AE12" s="77">
        <f>AA12</f>
        <v>3183892.61</v>
      </c>
      <c r="AF12" s="78">
        <f>IF(Calcs!BY17&lt;15,AE12,0)</f>
        <v>0</v>
      </c>
      <c r="AG12" s="97">
        <f>+IFERROR(MAX(0,(AF$7-AF$6)/AF$7*AF12),0)</f>
        <v>0</v>
      </c>
      <c r="AH12" s="98">
        <f>+AE12-AG12</f>
        <v>3183892.61</v>
      </c>
      <c r="AI12" s="77">
        <f>AE12</f>
        <v>3183892.61</v>
      </c>
      <c r="AJ12" s="78">
        <f>IF(Calcs!BY17&lt;10,AE12,0)</f>
        <v>0</v>
      </c>
      <c r="AK12" s="97">
        <f>+IFERROR(MAX(0,(AJ$7-AJ$6)/AJ$7*AJ12),0)</f>
        <v>0</v>
      </c>
      <c r="AL12" s="98">
        <f>+AI12-AK12</f>
        <v>3183892.61</v>
      </c>
      <c r="AM12" s="77">
        <f>AI12</f>
        <v>3183892.61</v>
      </c>
      <c r="AN12" s="78">
        <f>NOT(Calcs!BD17)*AM12</f>
        <v>0</v>
      </c>
      <c r="AO12" s="97">
        <f>IFERROR(0,MAX(0,($AN$7-$AN$6)/$AN$7*AN12))</f>
        <v>0</v>
      </c>
      <c r="AP12" s="98">
        <f>+AM12-AO12</f>
        <v>3183892.61</v>
      </c>
      <c r="AQ12" s="77">
        <f>AM12</f>
        <v>3183892.61</v>
      </c>
      <c r="AR12" s="78">
        <f>NOT(Calcs!BE17)*AQ12</f>
        <v>0</v>
      </c>
      <c r="AS12" s="97">
        <f>IFERROR(0,MAX(0,($AR$7-$AR$6)/$AR$7*AR12))</f>
        <v>0</v>
      </c>
      <c r="AT12" s="98">
        <f>+AQ12-AS12</f>
        <v>3183892.61</v>
      </c>
      <c r="AU12" s="77">
        <f>AQ12</f>
        <v>3183892.61</v>
      </c>
      <c r="AV12" s="97">
        <f>IF(Calcs!BC17=TRUE, AU12, 0)</f>
        <v>0</v>
      </c>
      <c r="AW12" s="97">
        <f>+IFERROR(MAX(0,($AV$7-$AV$6)/$AV$7*AV12),0)</f>
        <v>0</v>
      </c>
      <c r="AX12" s="98">
        <f>+AU12-AW12</f>
        <v>3183892.61</v>
      </c>
      <c r="AY12" s="77">
        <f>AU12</f>
        <v>3183892.61</v>
      </c>
      <c r="AZ12" s="97">
        <f>Calcs!BK17*AY12</f>
        <v>0</v>
      </c>
      <c r="BA12" s="97">
        <f>+IFERROR(MAX(0,($AZ$7-$AZ$6)/$AZ$7*AZ12),0)</f>
        <v>0</v>
      </c>
      <c r="BB12" s="98">
        <f>+AY12-BA12</f>
        <v>3183892.61</v>
      </c>
      <c r="BC12" s="77">
        <f>AY12</f>
        <v>3183892.61</v>
      </c>
      <c r="BD12" s="97"/>
      <c r="BE12" s="97"/>
      <c r="BF12" s="98"/>
      <c r="BG12" s="77">
        <f>BC12</f>
        <v>3183892.61</v>
      </c>
      <c r="BH12" s="97">
        <f>IF(Calcs!BJ17=FALSE,0,BG12)</f>
        <v>0</v>
      </c>
      <c r="BI12" s="97">
        <f>+IFERROR(MAX(0,($BH$7-$BH$6)/$BH$7*BH12),0)</f>
        <v>0</v>
      </c>
      <c r="BJ12" s="98">
        <f>+BG12-BI12</f>
        <v>3183892.61</v>
      </c>
      <c r="BK12" s="77">
        <f>BG12</f>
        <v>3183892.61</v>
      </c>
      <c r="BL12" s="97">
        <f>IF(Calcs!AW17=TRUE,BK12,0)</f>
        <v>0</v>
      </c>
      <c r="BM12" s="97">
        <f>+IFERROR(MAX(0,($BL$7-$BL$6)/$BL$7*BL12),0)</f>
        <v>0</v>
      </c>
      <c r="BN12" s="98">
        <f>+BK12-BM12</f>
        <v>3183892.61</v>
      </c>
      <c r="BO12" s="77">
        <f>BK12</f>
        <v>3183892.61</v>
      </c>
      <c r="BP12" s="97"/>
      <c r="BQ12" s="97">
        <f>+IFERROR(MAX(0,($BP$7-$BP$6)/$BP$7*BP12),0)</f>
        <v>0</v>
      </c>
      <c r="BR12" s="98">
        <f>+BO12-BQ12</f>
        <v>3183892.61</v>
      </c>
      <c r="BS12" s="77">
        <f>BO12</f>
        <v>3183892.61</v>
      </c>
      <c r="BT12" s="97">
        <f>IF(Calcs!BB17=TRUE,'Concentration Limitations'!BS12,0)</f>
        <v>0</v>
      </c>
      <c r="BU12" s="97">
        <f>+IFERROR(MAX(0,($BT$7-$BT$6)/$BT$7*BT12),0)</f>
        <v>0</v>
      </c>
      <c r="BV12" s="98">
        <f>+BS12-BU12</f>
        <v>3183892.61</v>
      </c>
      <c r="BW12" s="77">
        <f>BS12</f>
        <v>3183892.61</v>
      </c>
      <c r="BX12" s="97">
        <f>IF(Calcs!BI17=TRUE,'Concentration Limitations'!BW12,0)</f>
        <v>0</v>
      </c>
      <c r="BY12" s="97">
        <f>+IFERROR(MAX(0,($BT$7-$BT$6)/$BT$7*BX12),0)</f>
        <v>0</v>
      </c>
      <c r="BZ12" s="98">
        <f>+BW12-BY12</f>
        <v>3183892.61</v>
      </c>
      <c r="CA12" s="97">
        <f>AU12</f>
        <v>3183892.61</v>
      </c>
      <c r="CB12" s="97"/>
      <c r="CC12" s="97"/>
      <c r="CD12" s="98">
        <f>+CA12-CC12</f>
        <v>3183892.61</v>
      </c>
      <c r="CE12" s="97">
        <f>CA12</f>
        <v>3183892.61</v>
      </c>
      <c r="CF12" s="97"/>
      <c r="CG12" s="97"/>
      <c r="CH12" s="98">
        <f>+CE12-CG12</f>
        <v>3183892.61</v>
      </c>
      <c r="CI12" s="97">
        <f>CE12</f>
        <v>3183892.61</v>
      </c>
      <c r="CJ12" s="97"/>
      <c r="CK12" s="97"/>
      <c r="CL12" s="98">
        <f>+CI12-CK12</f>
        <v>3183892.61</v>
      </c>
      <c r="CM12" s="97">
        <f>CI12</f>
        <v>3183892.61</v>
      </c>
      <c r="CN12" s="97"/>
      <c r="CO12" s="97"/>
      <c r="CP12" s="98">
        <f>+CM12-CO12</f>
        <v>3183892.61</v>
      </c>
      <c r="CQ12" s="97">
        <f>CM12</f>
        <v>3183892.61</v>
      </c>
      <c r="CR12" s="97"/>
      <c r="CS12" s="97">
        <f>+IFERROR(MAX(0,(CR$7-CR$6)/CR$7*CR12),0)</f>
        <v>0</v>
      </c>
      <c r="CT12" s="98">
        <f>+CQ12-CS12</f>
        <v>3183892.61</v>
      </c>
      <c r="CU12" s="97">
        <f>CQ12</f>
        <v>3183892.61</v>
      </c>
      <c r="CV12" s="97"/>
      <c r="CW12" s="97">
        <f>+IFERROR(MAX(0,(CV$7-CV$6)/CV$7*CV12),0)</f>
        <v>0</v>
      </c>
      <c r="CX12" s="98">
        <f>+CU12-CW12</f>
        <v>3183892.61</v>
      </c>
      <c r="CY12" s="97">
        <f>CU12</f>
        <v>3183892.61</v>
      </c>
      <c r="CZ12" s="97"/>
      <c r="DA12" s="97"/>
      <c r="DB12" s="98">
        <f>+CY12-DA12</f>
        <v>3183892.61</v>
      </c>
      <c r="DC12" s="75">
        <f>CY12</f>
        <v>3183892.61</v>
      </c>
      <c r="DD12" s="97"/>
      <c r="DE12" s="97"/>
      <c r="DF12" s="98">
        <f>+DC12-DE12</f>
        <v>3183892.61</v>
      </c>
      <c r="DG12" s="75">
        <f>DF12</f>
        <v>3183892.61</v>
      </c>
      <c r="DH12" s="78" t="str">
        <f>Calcs!F17</f>
        <v>Energy Equipment &amp; Services</v>
      </c>
      <c r="DI12" s="99">
        <f t="shared" ref="DI12" ca="1" si="5">+IFERROR(MAX(0,OFFSET($DQ$11,MATCH(DH12,$DL$12:$DL$106,0),0)-OFFSET($DU$11,MATCH(DH12,$DL$12:$DL$106,0),0))/OFFSET($DQ$11,MATCH(DH12,$DL$12:$DL$106,0),0)*DG12,0)</f>
        <v>0</v>
      </c>
      <c r="DJ12" s="98">
        <f ca="1">(+DG12-DI12)</f>
        <v>3183892.61</v>
      </c>
      <c r="DK12" s="293">
        <f>DR12</f>
        <v>3</v>
      </c>
      <c r="DL12" s="532" t="s">
        <v>232</v>
      </c>
      <c r="DM12" s="36"/>
      <c r="DN12" s="36"/>
      <c r="DO12" s="36"/>
      <c r="DP12" s="36"/>
      <c r="DQ12" s="413" cm="1">
        <f t="array" ref="DQ12">+SUMPRODUCT((DL12=$DH$12:$DH$307)*($DG$12:$DG$307))/$N$6</f>
        <v>7.9188759537704934E-2</v>
      </c>
      <c r="DR12" s="414">
        <f>COUNTIF($DQ$12:$DQ$300,"&gt;"&amp;DQ12)+1</f>
        <v>3</v>
      </c>
      <c r="DS12" s="413" cm="1">
        <f t="array" aca="1" ref="DS12" ca="1">+SUMPRODUCT((DL12=$DH$12:$DH$307)*($DJ$12:$DJ$307))/$N$6</f>
        <v>7.9188759537704934E-2</v>
      </c>
      <c r="DT12" s="417">
        <f t="shared" ref="DT12:DT15" ca="1" si="6">COUNTIF($DS$12:$DS$106,"&gt;"&amp;DS12)+1</f>
        <v>3</v>
      </c>
      <c r="DU12" s="415">
        <f>+IF(DR12=1,0.2,IF(DR12=2,0.15, IF(DR12=3, 0.12, 0.1)))</f>
        <v>0.12</v>
      </c>
      <c r="DV12" s="416">
        <f>DU12-DQ12</f>
        <v>4.0811240462295062E-2</v>
      </c>
      <c r="DW12" s="291"/>
    </row>
    <row r="13" spans="6:127">
      <c r="F13" s="2">
        <f t="shared" ref="F13:F15" ca="1" si="7">U13</f>
        <v>66</v>
      </c>
      <c r="G13" s="40" t="str">
        <f>Calcs!A18</f>
        <v>AFC - Dell Holding Corp.</v>
      </c>
      <c r="H13" s="68">
        <f t="shared" ref="H13:H76" ca="1" si="8">MIN(V13,Z13,AD13,AH13,AL13,AP13,AT13,AX13,BB13,BF13,BJ13,DJ13,BN13,BR13,BV13,BZ13)</f>
        <v>268902.61</v>
      </c>
      <c r="I13" s="96"/>
      <c r="J13" s="96"/>
      <c r="K13" s="63">
        <f>+IF(G13="","",IF(COUNTIF(G14:$G$307,G13)=0,1,0))</f>
        <v>1</v>
      </c>
      <c r="L13" s="75">
        <f>Calcs!U18</f>
        <v>268902.61</v>
      </c>
      <c r="M13">
        <f t="shared" si="2"/>
        <v>66</v>
      </c>
      <c r="N13" s="75">
        <f t="shared" ref="N13:N44" si="9">+SUMPRODUCT((G13=$G$12:$G$307)*($L$12:$L$307))*K13</f>
        <v>268902.61</v>
      </c>
      <c r="O13" s="75">
        <f t="shared" si="3"/>
        <v>268902.61</v>
      </c>
      <c r="P13" s="72">
        <f t="shared" ref="P13:P75" si="10">+IF(M13=1,0.1,IF(M13=2,0.07,0.05))</f>
        <v>0.05</v>
      </c>
      <c r="Q13" s="72">
        <f t="shared" ref="Q13:Q75" si="11">+N13/$Q$7</f>
        <v>4.4776350339536554E-4</v>
      </c>
      <c r="R13" s="61">
        <f t="shared" ref="R13:R75" si="12">MAX(0,Q13-P13)*$Q$7</f>
        <v>0</v>
      </c>
      <c r="S13" s="68">
        <f t="shared" ref="S13:S75" si="13">+N13-R13</f>
        <v>268902.61</v>
      </c>
      <c r="T13" s="68">
        <f t="shared" si="4"/>
        <v>268902.61</v>
      </c>
      <c r="U13">
        <f t="array" aca="1" ref="U13" ca="1">SUM(1*(S13&lt;$S$12:$S$307))+1+IF(ROW(S13)-ROW($S$12)=0,0,SUM(1*(S13=OFFSET($S$12,0,0,INDEX(ROW(S13)-ROW($S$12)+1,1)-1,1))))</f>
        <v>66</v>
      </c>
      <c r="V13" s="96">
        <f t="shared" ref="V13:V75" si="14">+IFERROR(T13*L13/O13,0)</f>
        <v>268902.61</v>
      </c>
      <c r="W13" s="75">
        <f>Calcs!U18</f>
        <v>268902.61</v>
      </c>
      <c r="X13" s="78">
        <f>IFERROR(OR(Calcs!BH18,Calcs!BI18)*W13,0)</f>
        <v>0</v>
      </c>
      <c r="Y13" s="97">
        <f t="shared" ref="Y13:Y75" si="15">+IFERROR(MAX(0,(X$7-X$6)/X$7*X13),0)</f>
        <v>0</v>
      </c>
      <c r="Z13" s="98">
        <f t="shared" ref="Z13:Z75" si="16">+W13-Y13</f>
        <v>268902.61</v>
      </c>
      <c r="AA13" s="77">
        <f t="shared" ref="AA13:AA75" si="17">W13</f>
        <v>268902.61</v>
      </c>
      <c r="AB13" s="78">
        <f>IF(AND(Calcs!BM18=TRUE),AA13,0)</f>
        <v>268902.61</v>
      </c>
      <c r="AC13" s="97">
        <f t="shared" ref="AC13:AC75" si="18">+IFERROR(MAX(0,(AB$7-AB$6)/AB$7*AB13),0)</f>
        <v>0</v>
      </c>
      <c r="AD13" s="98">
        <f t="shared" ref="AD13:AD75" si="19">+AA13-AC13</f>
        <v>268902.61</v>
      </c>
      <c r="AE13" s="77">
        <f t="shared" ref="AE13:AE76" si="20">AA13</f>
        <v>268902.61</v>
      </c>
      <c r="AF13" s="78">
        <f>IF(Calcs!BY18&lt;15,AE13,0)</f>
        <v>0</v>
      </c>
      <c r="AG13" s="97">
        <f t="shared" ref="AG13:AG75" si="21">+IFERROR(MAX(0,(AF$7-AF$6)/AF$7*AF13),0)</f>
        <v>0</v>
      </c>
      <c r="AH13" s="98">
        <f t="shared" ref="AH13:AH75" si="22">+AE13-AG13</f>
        <v>268902.61</v>
      </c>
      <c r="AI13" s="77">
        <f t="shared" ref="AI13:AI75" si="23">AE13</f>
        <v>268902.61</v>
      </c>
      <c r="AJ13" s="78">
        <f>IF(Calcs!BY18&lt;10,AE13,0)</f>
        <v>0</v>
      </c>
      <c r="AK13" s="97">
        <f t="shared" ref="AK13:AK75" si="24">+IFERROR(MAX(0,(AJ$7-AJ$6)/AJ$7*AJ13),0)</f>
        <v>0</v>
      </c>
      <c r="AL13" s="98">
        <f t="shared" ref="AL13:AL75" si="25">+AI13-AK13</f>
        <v>268902.61</v>
      </c>
      <c r="AM13" s="77">
        <f t="shared" ref="AM13:AM75" si="26">AI13</f>
        <v>268902.61</v>
      </c>
      <c r="AN13" s="78">
        <f>NOT(Calcs!BD18)*AM13</f>
        <v>0</v>
      </c>
      <c r="AO13" s="97">
        <f t="shared" ref="AO13:AO75" si="27">IFERROR(0,MAX(0,($AN$7-$AN$6)/$AN$7*AN13))</f>
        <v>0</v>
      </c>
      <c r="AP13" s="98">
        <f t="shared" ref="AP13:AP75" si="28">+AM13-AO13</f>
        <v>268902.61</v>
      </c>
      <c r="AQ13" s="77">
        <f t="shared" ref="AQ13:AQ75" si="29">AM13</f>
        <v>268902.61</v>
      </c>
      <c r="AR13" s="78">
        <f>NOT(Calcs!BE18)*AQ13</f>
        <v>0</v>
      </c>
      <c r="AS13" s="97">
        <f t="shared" ref="AS13:AS75" si="30">IFERROR(0,MAX(0,($AR$7-$AR$6)/$AR$7*AR13))</f>
        <v>0</v>
      </c>
      <c r="AT13" s="98">
        <f t="shared" ref="AT13:AT75" si="31">+AQ13-AS13</f>
        <v>268902.61</v>
      </c>
      <c r="AU13" s="77">
        <f t="shared" ref="AU13:AU75" si="32">AQ13</f>
        <v>268902.61</v>
      </c>
      <c r="AV13" s="97">
        <f>IF(Calcs!BC18=TRUE, AU13, 0)</f>
        <v>268902.61</v>
      </c>
      <c r="AW13" s="97">
        <f t="shared" ref="AW13:AW75" si="33">+IFERROR(MAX(0,($AV$7-$AV$6)/$AV$7*AV13),0)</f>
        <v>0</v>
      </c>
      <c r="AX13" s="98">
        <f t="shared" ref="AX13:AX75" si="34">+AU13-AW13</f>
        <v>268902.61</v>
      </c>
      <c r="AY13" s="77">
        <f t="shared" ref="AY13:AY75" si="35">AU13</f>
        <v>268902.61</v>
      </c>
      <c r="AZ13" s="97">
        <f>Calcs!BK18*AY13</f>
        <v>0</v>
      </c>
      <c r="BA13" s="97">
        <f t="shared" ref="BA13:BA75" si="36">+IFERROR(MAX(0,($AZ$7-$AZ$6)/$AZ$7*AZ13),0)</f>
        <v>0</v>
      </c>
      <c r="BB13" s="98">
        <f t="shared" ref="BB13:BB75" si="37">+AY13-BA13</f>
        <v>268902.61</v>
      </c>
      <c r="BC13" s="77">
        <f t="shared" ref="BC13:BC75" si="38">AY13</f>
        <v>268902.61</v>
      </c>
      <c r="BD13" s="97"/>
      <c r="BE13" s="97"/>
      <c r="BF13" s="98"/>
      <c r="BG13" s="77">
        <f t="shared" ref="BG13:BG75" si="39">BC13</f>
        <v>268902.61</v>
      </c>
      <c r="BH13" s="97">
        <f>IF(Calcs!BJ18=FALSE,0,BG13)</f>
        <v>0</v>
      </c>
      <c r="BI13" s="97">
        <f t="shared" ref="BI13:BI75" si="40">+IFERROR(MAX(0,($BH$7-$BH$6)/$BH$7*BH13),0)</f>
        <v>0</v>
      </c>
      <c r="BJ13" s="98">
        <f t="shared" ref="BJ13:BJ75" si="41">+BG13-BI13</f>
        <v>268902.61</v>
      </c>
      <c r="BK13" s="77">
        <f t="shared" ref="BK13:BK75" si="42">BG13</f>
        <v>268902.61</v>
      </c>
      <c r="BL13" s="97">
        <f>IF(Calcs!AW18=TRUE,BK13,0)</f>
        <v>0</v>
      </c>
      <c r="BM13" s="97">
        <f t="shared" ref="BM13:BM75" si="43">+IFERROR(MAX(0,($BL$7-$BL$6)/$BL$7*BL13),0)</f>
        <v>0</v>
      </c>
      <c r="BN13" s="98">
        <f t="shared" ref="BN13:BN75" si="44">+BK13-BM13</f>
        <v>268902.61</v>
      </c>
      <c r="BO13" s="77">
        <f t="shared" ref="BO13:BO75" si="45">BK13</f>
        <v>268902.61</v>
      </c>
      <c r="BP13" s="97"/>
      <c r="BQ13" s="97">
        <f t="shared" ref="BQ13:BQ75" si="46">+IFERROR(MAX(0,($BP$7-$BP$6)/$BP$7*BP13),0)</f>
        <v>0</v>
      </c>
      <c r="BR13" s="98">
        <f t="shared" ref="BR13:BR75" si="47">+BO13-BQ13</f>
        <v>268902.61</v>
      </c>
      <c r="BS13" s="77">
        <f t="shared" ref="BS13:BS75" si="48">BO13</f>
        <v>268902.61</v>
      </c>
      <c r="BT13" s="97">
        <f>IF(Calcs!BB18=TRUE,'Concentration Limitations'!BS13,0)</f>
        <v>0</v>
      </c>
      <c r="BU13" s="97">
        <f t="shared" ref="BU13:BU75" si="49">+IFERROR(MAX(0,($BT$7-$BT$6)/$BT$7*BT13),0)</f>
        <v>0</v>
      </c>
      <c r="BV13" s="98">
        <f t="shared" ref="BV13:BV75" si="50">+BS13-BU13</f>
        <v>268902.61</v>
      </c>
      <c r="BW13" s="77">
        <f t="shared" ref="BW13:BW75" si="51">BS13</f>
        <v>268902.61</v>
      </c>
      <c r="BX13" s="97">
        <f>IF(Calcs!BI18=TRUE,'Concentration Limitations'!BW13,0)</f>
        <v>0</v>
      </c>
      <c r="BY13" s="97">
        <f t="shared" ref="BY13:BY75" si="52">+IFERROR(MAX(0,($BT$7-$BT$6)/$BT$7*BX13),0)</f>
        <v>0</v>
      </c>
      <c r="BZ13" s="98">
        <f t="shared" ref="BZ13:BZ75" si="53">+BW13-BY13</f>
        <v>268902.61</v>
      </c>
      <c r="CA13" s="97">
        <f t="shared" ref="CA13:CA75" si="54">AU13</f>
        <v>268902.61</v>
      </c>
      <c r="CB13" s="97"/>
      <c r="CC13" s="97"/>
      <c r="CD13" s="98">
        <f t="shared" ref="CD13:CD75" si="55">+CA13-CC13</f>
        <v>268902.61</v>
      </c>
      <c r="CE13" s="97">
        <f t="shared" ref="CE13:CE75" si="56">CA13</f>
        <v>268902.61</v>
      </c>
      <c r="CF13" s="97"/>
      <c r="CG13" s="97"/>
      <c r="CH13" s="98">
        <f t="shared" ref="CH13:CH75" si="57">+CE13-CG13</f>
        <v>268902.61</v>
      </c>
      <c r="CI13" s="97">
        <f t="shared" ref="CI13:CI75" si="58">CE13</f>
        <v>268902.61</v>
      </c>
      <c r="CJ13" s="97"/>
      <c r="CK13" s="97"/>
      <c r="CL13" s="98">
        <f t="shared" ref="CL13:CL75" si="59">+CI13-CK13</f>
        <v>268902.61</v>
      </c>
      <c r="CM13" s="97">
        <f t="shared" ref="CM13:CM75" si="60">CI13</f>
        <v>268902.61</v>
      </c>
      <c r="CN13" s="97"/>
      <c r="CO13" s="97"/>
      <c r="CP13" s="98">
        <f t="shared" ref="CP13:CP75" si="61">+CM13-CO13</f>
        <v>268902.61</v>
      </c>
      <c r="CQ13" s="97">
        <f t="shared" ref="CQ13:CQ75" si="62">CM13</f>
        <v>268902.61</v>
      </c>
      <c r="CR13" s="97"/>
      <c r="CS13" s="97">
        <f t="shared" ref="CS13:CS75" si="63">+IFERROR(MAX(0,(CR$7-CR$6)/CR$7*CR13),0)</f>
        <v>0</v>
      </c>
      <c r="CT13" s="98">
        <f t="shared" ref="CT13:CT75" si="64">+CQ13-CS13</f>
        <v>268902.61</v>
      </c>
      <c r="CU13" s="97">
        <f t="shared" ref="CU13:CU75" si="65">CQ13</f>
        <v>268902.61</v>
      </c>
      <c r="CV13" s="97"/>
      <c r="CW13" s="97">
        <f t="shared" ref="CW13:CW75" si="66">+IFERROR(MAX(0,(CV$7-CV$6)/CV$7*CV13),0)</f>
        <v>0</v>
      </c>
      <c r="CX13" s="98">
        <f t="shared" ref="CX13:CX75" si="67">+CU13-CW13</f>
        <v>268902.61</v>
      </c>
      <c r="CY13" s="97">
        <f t="shared" ref="CY13:CY75" si="68">CU13</f>
        <v>268902.61</v>
      </c>
      <c r="CZ13" s="97"/>
      <c r="DA13" s="97"/>
      <c r="DB13" s="98">
        <f t="shared" ref="DB13:DB75" si="69">+CY13-DA13</f>
        <v>268902.61</v>
      </c>
      <c r="DC13" s="75">
        <f t="shared" ref="DC13:DC75" si="70">CY13</f>
        <v>268902.61</v>
      </c>
      <c r="DD13" s="97"/>
      <c r="DE13" s="97"/>
      <c r="DF13" s="98">
        <f t="shared" ref="DF13:DF75" si="71">+DC13-DE13</f>
        <v>268902.61</v>
      </c>
      <c r="DG13" s="75">
        <f t="shared" ref="DG13:DG75" si="72">DF13</f>
        <v>268902.61</v>
      </c>
      <c r="DH13" s="78" t="str">
        <f>Calcs!F18</f>
        <v>Distributors</v>
      </c>
      <c r="DI13" s="99">
        <f t="shared" ref="DI13:DI75" ca="1" si="73">+IFERROR(MAX(0,OFFSET($DQ$11,MATCH(DH13,$DL$12:$DL$106,0),0)-OFFSET($DU$11,MATCH(DH13,$DL$12:$DL$106,0),0))/OFFSET($DQ$11,MATCH(DH13,$DL$12:$DL$106,0),0)*DG13,0)</f>
        <v>0</v>
      </c>
      <c r="DJ13" s="98">
        <f t="shared" ref="DJ13:DJ75" ca="1" si="74">(+DG13-DI13)</f>
        <v>268902.61</v>
      </c>
      <c r="DK13" s="293">
        <f t="shared" ref="DK13:DK76" si="75">DR13</f>
        <v>13</v>
      </c>
      <c r="DL13" s="532" t="s">
        <v>319</v>
      </c>
      <c r="DM13" s="36"/>
      <c r="DN13" s="36"/>
      <c r="DO13" s="36"/>
      <c r="DP13" s="36"/>
      <c r="DQ13" s="413" cm="1">
        <f t="array" ref="DQ13">+SUMPRODUCT((DL13=$DH$12:$DH$307)*($DG$12:$DG$307))/$N$6</f>
        <v>6.2746807943966955E-3</v>
      </c>
      <c r="DR13" s="414">
        <f t="shared" ref="DR13:DR76" si="76">COUNTIF($DQ$12:$DQ$300,"&gt;"&amp;DQ13)+1</f>
        <v>13</v>
      </c>
      <c r="DS13" s="413" cm="1">
        <f t="array" aca="1" ref="DS13" ca="1">+SUMPRODUCT((DL13=$DH$12:$DH$307)*($DJ$12:$DJ$307))/$N$6</f>
        <v>6.2746807943966955E-3</v>
      </c>
      <c r="DT13" s="417">
        <f t="shared" ca="1" si="6"/>
        <v>13</v>
      </c>
      <c r="DU13" s="415">
        <f t="shared" ref="DU13:DU76" si="77">+IF(DR13=1,0.2,IF(DR13=2,0.15, IF(DR13=3, 0.12, 0.1)))</f>
        <v>0.1</v>
      </c>
      <c r="DV13" s="416">
        <f>DU13-DQ13</f>
        <v>9.3725319205603314E-2</v>
      </c>
    </row>
    <row r="14" spans="6:127">
      <c r="F14" s="2">
        <f t="shared" ca="1" si="7"/>
        <v>69</v>
      </c>
      <c r="G14" s="40" t="str">
        <f>Calcs!A19</f>
        <v>Alpine Acquisition Corp II</v>
      </c>
      <c r="H14" s="68">
        <f t="shared" ca="1" si="8"/>
        <v>0</v>
      </c>
      <c r="I14" s="96"/>
      <c r="J14" s="96"/>
      <c r="K14" s="63">
        <f>+IF(G14="","",IF(COUNTIF(G15:$G$307,G14)=0,1,0))</f>
        <v>1</v>
      </c>
      <c r="L14" s="75">
        <f>Calcs!U19</f>
        <v>0</v>
      </c>
      <c r="M14">
        <f t="shared" si="2"/>
        <v>69</v>
      </c>
      <c r="N14" s="75">
        <f t="shared" si="9"/>
        <v>0</v>
      </c>
      <c r="O14" s="75">
        <f t="shared" si="3"/>
        <v>0</v>
      </c>
      <c r="P14" s="72">
        <f t="shared" si="10"/>
        <v>0.05</v>
      </c>
      <c r="Q14" s="72">
        <f t="shared" si="11"/>
        <v>0</v>
      </c>
      <c r="R14" s="61">
        <f t="shared" si="12"/>
        <v>0</v>
      </c>
      <c r="S14" s="68">
        <f t="shared" si="13"/>
        <v>0</v>
      </c>
      <c r="T14" s="68">
        <f t="shared" si="4"/>
        <v>0</v>
      </c>
      <c r="U14">
        <f t="array" aca="1" ref="U14" ca="1">SUM(1*(S14&lt;$S$12:$S$307))+1+IF(ROW(S14)-ROW($S$12)=0,0,SUM(1*(S14=OFFSET($S$12,0,0,INDEX(ROW(S14)-ROW($S$12)+1,1)-1,1))))</f>
        <v>69</v>
      </c>
      <c r="V14" s="96">
        <f t="shared" si="14"/>
        <v>0</v>
      </c>
      <c r="W14" s="75">
        <f>Calcs!U19</f>
        <v>0</v>
      </c>
      <c r="X14" s="78">
        <f>IFERROR(OR(Calcs!BH19,Calcs!BI19)*W14,0)</f>
        <v>0</v>
      </c>
      <c r="Y14" s="97">
        <f t="shared" si="15"/>
        <v>0</v>
      </c>
      <c r="Z14" s="98">
        <f t="shared" si="16"/>
        <v>0</v>
      </c>
      <c r="AA14" s="77">
        <f t="shared" si="17"/>
        <v>0</v>
      </c>
      <c r="AB14" s="78">
        <f>IF(AND(Calcs!BM19=TRUE),AA14,0)</f>
        <v>0</v>
      </c>
      <c r="AC14" s="97">
        <f t="shared" si="18"/>
        <v>0</v>
      </c>
      <c r="AD14" s="98">
        <f t="shared" si="19"/>
        <v>0</v>
      </c>
      <c r="AE14" s="77">
        <f t="shared" si="20"/>
        <v>0</v>
      </c>
      <c r="AF14" s="78">
        <f>IF(Calcs!BY19&lt;15,AE14,0)</f>
        <v>0</v>
      </c>
      <c r="AG14" s="97">
        <f t="shared" si="21"/>
        <v>0</v>
      </c>
      <c r="AH14" s="98">
        <f t="shared" si="22"/>
        <v>0</v>
      </c>
      <c r="AI14" s="77">
        <f t="shared" si="23"/>
        <v>0</v>
      </c>
      <c r="AJ14" s="78">
        <f>IF(Calcs!BY19&lt;10,AE14,0)</f>
        <v>0</v>
      </c>
      <c r="AK14" s="97">
        <f t="shared" si="24"/>
        <v>0</v>
      </c>
      <c r="AL14" s="98">
        <f t="shared" si="25"/>
        <v>0</v>
      </c>
      <c r="AM14" s="77">
        <f t="shared" si="26"/>
        <v>0</v>
      </c>
      <c r="AN14" s="78">
        <f>NOT(Calcs!BD19)*AM14</f>
        <v>0</v>
      </c>
      <c r="AO14" s="97">
        <f t="shared" si="27"/>
        <v>0</v>
      </c>
      <c r="AP14" s="98">
        <f t="shared" si="28"/>
        <v>0</v>
      </c>
      <c r="AQ14" s="77">
        <f t="shared" si="29"/>
        <v>0</v>
      </c>
      <c r="AR14" s="78">
        <f>NOT(Calcs!BE19)*AQ14</f>
        <v>0</v>
      </c>
      <c r="AS14" s="97">
        <f t="shared" si="30"/>
        <v>0</v>
      </c>
      <c r="AT14" s="98">
        <f t="shared" si="31"/>
        <v>0</v>
      </c>
      <c r="AU14" s="77">
        <f t="shared" si="32"/>
        <v>0</v>
      </c>
      <c r="AV14" s="97">
        <f>IF(Calcs!BC19=TRUE, AU14, 0)</f>
        <v>0</v>
      </c>
      <c r="AW14" s="97">
        <f t="shared" si="33"/>
        <v>0</v>
      </c>
      <c r="AX14" s="98">
        <f t="shared" si="34"/>
        <v>0</v>
      </c>
      <c r="AY14" s="77">
        <f t="shared" si="35"/>
        <v>0</v>
      </c>
      <c r="AZ14" s="97">
        <f>Calcs!BK19*AY14</f>
        <v>0</v>
      </c>
      <c r="BA14" s="97">
        <f t="shared" si="36"/>
        <v>0</v>
      </c>
      <c r="BB14" s="98">
        <f t="shared" si="37"/>
        <v>0</v>
      </c>
      <c r="BC14" s="77">
        <f t="shared" si="38"/>
        <v>0</v>
      </c>
      <c r="BD14" s="97"/>
      <c r="BE14" s="97"/>
      <c r="BF14" s="98"/>
      <c r="BG14" s="77">
        <f t="shared" si="39"/>
        <v>0</v>
      </c>
      <c r="BH14" s="97">
        <f>IF(Calcs!BJ19=FALSE,0,BG14)</f>
        <v>0</v>
      </c>
      <c r="BI14" s="97">
        <f t="shared" si="40"/>
        <v>0</v>
      </c>
      <c r="BJ14" s="98">
        <f t="shared" si="41"/>
        <v>0</v>
      </c>
      <c r="BK14" s="77">
        <f t="shared" si="42"/>
        <v>0</v>
      </c>
      <c r="BL14" s="97">
        <f>IF(Calcs!AW19=TRUE,BK14,0)</f>
        <v>0</v>
      </c>
      <c r="BM14" s="97">
        <f t="shared" si="43"/>
        <v>0</v>
      </c>
      <c r="BN14" s="98">
        <f t="shared" si="44"/>
        <v>0</v>
      </c>
      <c r="BO14" s="77">
        <f t="shared" si="45"/>
        <v>0</v>
      </c>
      <c r="BP14" s="97"/>
      <c r="BQ14" s="97">
        <f t="shared" si="46"/>
        <v>0</v>
      </c>
      <c r="BR14" s="98">
        <f t="shared" si="47"/>
        <v>0</v>
      </c>
      <c r="BS14" s="77">
        <f t="shared" si="48"/>
        <v>0</v>
      </c>
      <c r="BT14" s="97">
        <f>IF(Calcs!BB19=TRUE,'Concentration Limitations'!BS14,0)</f>
        <v>0</v>
      </c>
      <c r="BU14" s="97">
        <f t="shared" si="49"/>
        <v>0</v>
      </c>
      <c r="BV14" s="98">
        <f t="shared" si="50"/>
        <v>0</v>
      </c>
      <c r="BW14" s="77">
        <f t="shared" si="51"/>
        <v>0</v>
      </c>
      <c r="BX14" s="97">
        <f>IF(Calcs!BI19=TRUE,'Concentration Limitations'!BW14,0)</f>
        <v>0</v>
      </c>
      <c r="BY14" s="97">
        <f t="shared" si="52"/>
        <v>0</v>
      </c>
      <c r="BZ14" s="98">
        <f t="shared" si="53"/>
        <v>0</v>
      </c>
      <c r="CA14" s="97">
        <f t="shared" si="54"/>
        <v>0</v>
      </c>
      <c r="CB14" s="97"/>
      <c r="CC14" s="97"/>
      <c r="CD14" s="98">
        <f t="shared" si="55"/>
        <v>0</v>
      </c>
      <c r="CE14" s="97">
        <f t="shared" si="56"/>
        <v>0</v>
      </c>
      <c r="CF14" s="97"/>
      <c r="CG14" s="97"/>
      <c r="CH14" s="98">
        <f t="shared" si="57"/>
        <v>0</v>
      </c>
      <c r="CI14" s="97">
        <f t="shared" si="58"/>
        <v>0</v>
      </c>
      <c r="CJ14" s="97"/>
      <c r="CK14" s="97"/>
      <c r="CL14" s="98">
        <f t="shared" si="59"/>
        <v>0</v>
      </c>
      <c r="CM14" s="97">
        <f t="shared" si="60"/>
        <v>0</v>
      </c>
      <c r="CN14" s="97"/>
      <c r="CO14" s="97"/>
      <c r="CP14" s="98">
        <f t="shared" si="61"/>
        <v>0</v>
      </c>
      <c r="CQ14" s="97">
        <f t="shared" si="62"/>
        <v>0</v>
      </c>
      <c r="CR14" s="97"/>
      <c r="CS14" s="97">
        <f t="shared" si="63"/>
        <v>0</v>
      </c>
      <c r="CT14" s="98">
        <f t="shared" si="64"/>
        <v>0</v>
      </c>
      <c r="CU14" s="97">
        <f t="shared" si="65"/>
        <v>0</v>
      </c>
      <c r="CV14" s="97"/>
      <c r="CW14" s="97">
        <f t="shared" si="66"/>
        <v>0</v>
      </c>
      <c r="CX14" s="98">
        <f t="shared" si="67"/>
        <v>0</v>
      </c>
      <c r="CY14" s="97">
        <f t="shared" si="68"/>
        <v>0</v>
      </c>
      <c r="CZ14" s="97"/>
      <c r="DA14" s="97"/>
      <c r="DB14" s="98">
        <f t="shared" si="69"/>
        <v>0</v>
      </c>
      <c r="DC14" s="75">
        <f t="shared" si="70"/>
        <v>0</v>
      </c>
      <c r="DD14" s="97"/>
      <c r="DE14" s="97"/>
      <c r="DF14" s="98">
        <f t="shared" si="71"/>
        <v>0</v>
      </c>
      <c r="DG14" s="75">
        <f t="shared" si="72"/>
        <v>0</v>
      </c>
      <c r="DH14" s="78" t="str">
        <f>Calcs!F19</f>
        <v>Containers and Packaging</v>
      </c>
      <c r="DI14" s="99">
        <f t="shared" ca="1" si="73"/>
        <v>0</v>
      </c>
      <c r="DJ14" s="98">
        <f t="shared" ca="1" si="74"/>
        <v>0</v>
      </c>
      <c r="DK14" s="293">
        <f t="shared" si="75"/>
        <v>19</v>
      </c>
      <c r="DL14" s="532" t="s">
        <v>172</v>
      </c>
      <c r="DM14" s="36"/>
      <c r="DN14" s="36"/>
      <c r="DO14" s="36"/>
      <c r="DP14" s="36"/>
      <c r="DQ14" s="413" cm="1">
        <f t="array" ref="DQ14">+SUMPRODUCT((DL14=$DH$12:$DH$307)*($DG$12:$DG$307))/$N$6</f>
        <v>0</v>
      </c>
      <c r="DR14" s="414">
        <f t="shared" si="76"/>
        <v>19</v>
      </c>
      <c r="DS14" s="413" cm="1">
        <f t="array" aca="1" ref="DS14" ca="1">+SUMPRODUCT((DL14=$DH$12:$DH$307)*($DJ$12:$DJ$307))/$N$6</f>
        <v>0</v>
      </c>
      <c r="DT14" s="417">
        <f t="shared" ca="1" si="6"/>
        <v>19</v>
      </c>
      <c r="DU14" s="415">
        <f t="shared" si="77"/>
        <v>0.1</v>
      </c>
      <c r="DV14" s="416">
        <f t="shared" ref="DV14:DV76" si="78">DU14-DQ14</f>
        <v>0.1</v>
      </c>
    </row>
    <row r="15" spans="6:127">
      <c r="F15" s="2">
        <f t="shared" ca="1" si="7"/>
        <v>37</v>
      </c>
      <c r="G15" s="40" t="str">
        <f>Calcs!A20</f>
        <v>Archer Lewis</v>
      </c>
      <c r="H15" s="68">
        <f t="shared" ca="1" si="8"/>
        <v>3893383.44</v>
      </c>
      <c r="I15" s="96"/>
      <c r="J15" s="96"/>
      <c r="K15" s="63">
        <f>+IF(G15="","",IF(COUNTIF(G16:$G$307,G15)=0,1,0))</f>
        <v>1</v>
      </c>
      <c r="L15" s="75">
        <f>Calcs!U20</f>
        <v>3893383.44</v>
      </c>
      <c r="M15">
        <f t="shared" si="2"/>
        <v>37</v>
      </c>
      <c r="N15" s="75">
        <f t="shared" si="9"/>
        <v>3893383.44</v>
      </c>
      <c r="O15" s="75">
        <f t="shared" si="3"/>
        <v>3893383.44</v>
      </c>
      <c r="P15" s="72">
        <f t="shared" si="10"/>
        <v>0.05</v>
      </c>
      <c r="Q15" s="72">
        <f t="shared" si="11"/>
        <v>6.4830721024087493E-3</v>
      </c>
      <c r="R15" s="61">
        <f t="shared" si="12"/>
        <v>0</v>
      </c>
      <c r="S15" s="68">
        <f t="shared" si="13"/>
        <v>3893383.44</v>
      </c>
      <c r="T15" s="68">
        <f t="shared" si="4"/>
        <v>3893383.44</v>
      </c>
      <c r="U15">
        <f t="array" aca="1" ref="U15" ca="1">SUM(1*(S15&lt;$S$12:$S$307))+1+IF(ROW(S15)-ROW($S$12)=0,0,SUM(1*(S15=OFFSET($S$12,0,0,INDEX(ROW(S15)-ROW($S$12)+1,1)-1,1))))</f>
        <v>37</v>
      </c>
      <c r="V15" s="96">
        <f t="shared" si="14"/>
        <v>3893383.44</v>
      </c>
      <c r="W15" s="75">
        <f>Calcs!U20</f>
        <v>3893383.44</v>
      </c>
      <c r="X15" s="78">
        <f>IFERROR(OR(Calcs!BH20,Calcs!BI20)*W15,0)</f>
        <v>0</v>
      </c>
      <c r="Y15" s="97">
        <f t="shared" si="15"/>
        <v>0</v>
      </c>
      <c r="Z15" s="98">
        <f t="shared" si="16"/>
        <v>3893383.44</v>
      </c>
      <c r="AA15" s="77">
        <f t="shared" si="17"/>
        <v>3893383.44</v>
      </c>
      <c r="AB15" s="78">
        <f>IF(AND(Calcs!BM20=TRUE),AA15,0)</f>
        <v>0</v>
      </c>
      <c r="AC15" s="97">
        <f t="shared" si="18"/>
        <v>0</v>
      </c>
      <c r="AD15" s="98">
        <f t="shared" si="19"/>
        <v>3893383.44</v>
      </c>
      <c r="AE15" s="77">
        <f t="shared" si="20"/>
        <v>3893383.44</v>
      </c>
      <c r="AF15" s="78">
        <f>IF(Calcs!BY20&lt;15,AE15,0)</f>
        <v>0</v>
      </c>
      <c r="AG15" s="97">
        <f t="shared" si="21"/>
        <v>0</v>
      </c>
      <c r="AH15" s="98">
        <f t="shared" si="22"/>
        <v>3893383.44</v>
      </c>
      <c r="AI15" s="77">
        <f t="shared" si="23"/>
        <v>3893383.44</v>
      </c>
      <c r="AJ15" s="78">
        <f>IF(Calcs!BY20&lt;10,AE15,0)</f>
        <v>0</v>
      </c>
      <c r="AK15" s="97">
        <f t="shared" si="24"/>
        <v>0</v>
      </c>
      <c r="AL15" s="98">
        <f t="shared" si="25"/>
        <v>3893383.44</v>
      </c>
      <c r="AM15" s="77">
        <f t="shared" si="26"/>
        <v>3893383.44</v>
      </c>
      <c r="AN15" s="78">
        <f>NOT(Calcs!BD20)*AM15</f>
        <v>0</v>
      </c>
      <c r="AO15" s="97">
        <f t="shared" si="27"/>
        <v>0</v>
      </c>
      <c r="AP15" s="98">
        <f t="shared" si="28"/>
        <v>3893383.44</v>
      </c>
      <c r="AQ15" s="77">
        <f t="shared" si="29"/>
        <v>3893383.44</v>
      </c>
      <c r="AR15" s="78">
        <f>NOT(Calcs!BE20)*AQ15</f>
        <v>0</v>
      </c>
      <c r="AS15" s="97">
        <f t="shared" si="30"/>
        <v>0</v>
      </c>
      <c r="AT15" s="98">
        <f t="shared" si="31"/>
        <v>3893383.44</v>
      </c>
      <c r="AU15" s="77">
        <f t="shared" si="32"/>
        <v>3893383.44</v>
      </c>
      <c r="AV15" s="97">
        <f>IF(Calcs!BC20=TRUE, AU15, 0)</f>
        <v>0</v>
      </c>
      <c r="AW15" s="97">
        <f t="shared" si="33"/>
        <v>0</v>
      </c>
      <c r="AX15" s="98">
        <f t="shared" si="34"/>
        <v>3893383.44</v>
      </c>
      <c r="AY15" s="77">
        <f t="shared" si="35"/>
        <v>3893383.44</v>
      </c>
      <c r="AZ15" s="97">
        <f>Calcs!BK20*AY15</f>
        <v>0</v>
      </c>
      <c r="BA15" s="97">
        <f t="shared" si="36"/>
        <v>0</v>
      </c>
      <c r="BB15" s="98">
        <f t="shared" si="37"/>
        <v>3893383.44</v>
      </c>
      <c r="BC15" s="77">
        <f t="shared" si="38"/>
        <v>3893383.44</v>
      </c>
      <c r="BD15" s="97"/>
      <c r="BE15" s="97"/>
      <c r="BF15" s="98"/>
      <c r="BG15" s="77">
        <f t="shared" si="39"/>
        <v>3893383.44</v>
      </c>
      <c r="BH15" s="97">
        <f>IF(Calcs!BJ20=FALSE,0,BG15)</f>
        <v>0</v>
      </c>
      <c r="BI15" s="97">
        <f t="shared" si="40"/>
        <v>0</v>
      </c>
      <c r="BJ15" s="98">
        <f t="shared" si="41"/>
        <v>3893383.44</v>
      </c>
      <c r="BK15" s="77">
        <f t="shared" si="42"/>
        <v>3893383.44</v>
      </c>
      <c r="BL15" s="97">
        <f>IF(Calcs!AW20=TRUE,BK15,0)</f>
        <v>0</v>
      </c>
      <c r="BM15" s="97">
        <f t="shared" si="43"/>
        <v>0</v>
      </c>
      <c r="BN15" s="98">
        <f t="shared" si="44"/>
        <v>3893383.44</v>
      </c>
      <c r="BO15" s="77">
        <f t="shared" si="45"/>
        <v>3893383.44</v>
      </c>
      <c r="BP15" s="97"/>
      <c r="BQ15" s="97">
        <f t="shared" si="46"/>
        <v>0</v>
      </c>
      <c r="BR15" s="98">
        <f t="shared" si="47"/>
        <v>3893383.44</v>
      </c>
      <c r="BS15" s="77">
        <f t="shared" si="48"/>
        <v>3893383.44</v>
      </c>
      <c r="BT15" s="97">
        <f>IF(Calcs!BB20=TRUE,'Concentration Limitations'!BS15,0)</f>
        <v>0</v>
      </c>
      <c r="BU15" s="97">
        <f t="shared" si="49"/>
        <v>0</v>
      </c>
      <c r="BV15" s="98">
        <f t="shared" si="50"/>
        <v>3893383.44</v>
      </c>
      <c r="BW15" s="77">
        <f t="shared" si="51"/>
        <v>3893383.44</v>
      </c>
      <c r="BX15" s="97">
        <f>IF(Calcs!BI20=TRUE,'Concentration Limitations'!BW15,0)</f>
        <v>0</v>
      </c>
      <c r="BY15" s="97">
        <f t="shared" si="52"/>
        <v>0</v>
      </c>
      <c r="BZ15" s="98">
        <f t="shared" si="53"/>
        <v>3893383.44</v>
      </c>
      <c r="CA15" s="97">
        <f t="shared" si="54"/>
        <v>3893383.44</v>
      </c>
      <c r="CB15" s="97"/>
      <c r="CC15" s="97"/>
      <c r="CD15" s="98">
        <f t="shared" si="55"/>
        <v>3893383.44</v>
      </c>
      <c r="CE15" s="97">
        <f t="shared" si="56"/>
        <v>3893383.44</v>
      </c>
      <c r="CF15" s="97"/>
      <c r="CG15" s="97"/>
      <c r="CH15" s="98">
        <f t="shared" si="57"/>
        <v>3893383.44</v>
      </c>
      <c r="CI15" s="97">
        <f t="shared" si="58"/>
        <v>3893383.44</v>
      </c>
      <c r="CJ15" s="97"/>
      <c r="CK15" s="97"/>
      <c r="CL15" s="98">
        <f t="shared" si="59"/>
        <v>3893383.44</v>
      </c>
      <c r="CM15" s="97">
        <f t="shared" si="60"/>
        <v>3893383.44</v>
      </c>
      <c r="CN15" s="97"/>
      <c r="CO15" s="97"/>
      <c r="CP15" s="98">
        <f t="shared" si="61"/>
        <v>3893383.44</v>
      </c>
      <c r="CQ15" s="97">
        <f t="shared" si="62"/>
        <v>3893383.44</v>
      </c>
      <c r="CR15" s="97"/>
      <c r="CS15" s="97">
        <f t="shared" si="63"/>
        <v>0</v>
      </c>
      <c r="CT15" s="98">
        <f t="shared" si="64"/>
        <v>3893383.44</v>
      </c>
      <c r="CU15" s="97">
        <f t="shared" si="65"/>
        <v>3893383.44</v>
      </c>
      <c r="CV15" s="97"/>
      <c r="CW15" s="97">
        <f t="shared" si="66"/>
        <v>0</v>
      </c>
      <c r="CX15" s="98">
        <f t="shared" si="67"/>
        <v>3893383.44</v>
      </c>
      <c r="CY15" s="97">
        <f t="shared" si="68"/>
        <v>3893383.44</v>
      </c>
      <c r="CZ15" s="97"/>
      <c r="DA15" s="97"/>
      <c r="DB15" s="98">
        <f t="shared" si="69"/>
        <v>3893383.44</v>
      </c>
      <c r="DC15" s="75">
        <f t="shared" si="70"/>
        <v>3893383.44</v>
      </c>
      <c r="DD15" s="97"/>
      <c r="DE15" s="97"/>
      <c r="DF15" s="98">
        <f t="shared" si="71"/>
        <v>3893383.44</v>
      </c>
      <c r="DG15" s="75">
        <f t="shared" si="72"/>
        <v>3893383.44</v>
      </c>
      <c r="DH15" s="78" t="str">
        <f>Calcs!F20</f>
        <v>Diversified Financial Services</v>
      </c>
      <c r="DI15" s="99">
        <f t="shared" ca="1" si="73"/>
        <v>0</v>
      </c>
      <c r="DJ15" s="98">
        <f t="shared" ca="1" si="74"/>
        <v>3893383.44</v>
      </c>
      <c r="DK15" s="293">
        <f t="shared" si="75"/>
        <v>19</v>
      </c>
      <c r="DL15" s="532" t="s">
        <v>1210</v>
      </c>
      <c r="DM15" s="36"/>
      <c r="DN15" s="36"/>
      <c r="DO15" s="36"/>
      <c r="DP15" s="36"/>
      <c r="DQ15" s="413" cm="1">
        <f t="array" ref="DQ15">+SUMPRODUCT((DL15=$DH$12:$DH$307)*($DG$12:$DG$307))/$N$6</f>
        <v>0</v>
      </c>
      <c r="DR15" s="414">
        <f t="shared" si="76"/>
        <v>19</v>
      </c>
      <c r="DS15" s="413" cm="1">
        <f t="array" aca="1" ref="DS15" ca="1">+SUMPRODUCT((DL15=$DH$12:$DH$307)*($DJ$12:$DJ$307))/$N$6</f>
        <v>0</v>
      </c>
      <c r="DT15" s="417">
        <f t="shared" ca="1" si="6"/>
        <v>19</v>
      </c>
      <c r="DU15" s="415">
        <f t="shared" si="77"/>
        <v>0.1</v>
      </c>
      <c r="DV15" s="416">
        <f t="shared" si="78"/>
        <v>0.1</v>
      </c>
    </row>
    <row r="16" spans="6:127">
      <c r="F16" s="2">
        <f t="shared" ref="F16:F78" ca="1" si="79">U16</f>
        <v>61</v>
      </c>
      <c r="G16" s="40" t="str">
        <f>Calcs!A21</f>
        <v>Argano, LLC</v>
      </c>
      <c r="H16" s="68">
        <f t="shared" ca="1" si="8"/>
        <v>820443.75</v>
      </c>
      <c r="I16" s="96"/>
      <c r="J16" s="96"/>
      <c r="K16" s="63">
        <f>+IF(G16="","",IF(COUNTIF(G17:$G$307,G16)=0,1,0))</f>
        <v>1</v>
      </c>
      <c r="L16" s="75">
        <f>Calcs!U21</f>
        <v>820443.75</v>
      </c>
      <c r="M16">
        <f t="shared" si="2"/>
        <v>61</v>
      </c>
      <c r="N16" s="75">
        <f t="shared" si="9"/>
        <v>820443.75</v>
      </c>
      <c r="O16" s="75">
        <f t="shared" si="3"/>
        <v>820443.75</v>
      </c>
      <c r="P16" s="72">
        <f t="shared" si="10"/>
        <v>0.05</v>
      </c>
      <c r="Q16" s="72">
        <f t="shared" si="11"/>
        <v>1.3661628938403812E-3</v>
      </c>
      <c r="R16" s="61">
        <f t="shared" si="12"/>
        <v>0</v>
      </c>
      <c r="S16" s="68">
        <f t="shared" si="13"/>
        <v>820443.75</v>
      </c>
      <c r="T16" s="68">
        <f t="shared" si="4"/>
        <v>820443.75</v>
      </c>
      <c r="U16">
        <f t="array" aca="1" ref="U16" ca="1">SUM(1*(S16&lt;$S$12:$S$307))+1+IF(ROW(S16)-ROW($S$12)=0,0,SUM(1*(S16=OFFSET($S$12,0,0,INDEX(ROW(S16)-ROW($S$12)+1,1)-1,1))))</f>
        <v>61</v>
      </c>
      <c r="V16" s="96">
        <f t="shared" si="14"/>
        <v>820443.75</v>
      </c>
      <c r="W16" s="75">
        <f>Calcs!U21</f>
        <v>820443.75</v>
      </c>
      <c r="X16" s="78">
        <f>IFERROR(OR(Calcs!BH21,Calcs!BI21)*W16,0)</f>
        <v>0</v>
      </c>
      <c r="Y16" s="97">
        <f t="shared" si="15"/>
        <v>0</v>
      </c>
      <c r="Z16" s="98">
        <f t="shared" si="16"/>
        <v>820443.75</v>
      </c>
      <c r="AA16" s="77">
        <f t="shared" si="17"/>
        <v>820443.75</v>
      </c>
      <c r="AB16" s="78">
        <f>IF(AND(Calcs!BM21=TRUE),AA16,0)</f>
        <v>0</v>
      </c>
      <c r="AC16" s="97">
        <f t="shared" si="18"/>
        <v>0</v>
      </c>
      <c r="AD16" s="98">
        <f t="shared" si="19"/>
        <v>820443.75</v>
      </c>
      <c r="AE16" s="77">
        <f t="shared" si="20"/>
        <v>820443.75</v>
      </c>
      <c r="AF16" s="78">
        <f>IF(Calcs!BY21&lt;15,AE16,0)</f>
        <v>0</v>
      </c>
      <c r="AG16" s="97">
        <f t="shared" si="21"/>
        <v>0</v>
      </c>
      <c r="AH16" s="98">
        <f t="shared" si="22"/>
        <v>820443.75</v>
      </c>
      <c r="AI16" s="77">
        <f t="shared" si="23"/>
        <v>820443.75</v>
      </c>
      <c r="AJ16" s="78">
        <f>IF(Calcs!BY21&lt;10,AE16,0)</f>
        <v>0</v>
      </c>
      <c r="AK16" s="97">
        <f t="shared" si="24"/>
        <v>0</v>
      </c>
      <c r="AL16" s="98">
        <f t="shared" si="25"/>
        <v>820443.75</v>
      </c>
      <c r="AM16" s="77">
        <f t="shared" si="26"/>
        <v>820443.75</v>
      </c>
      <c r="AN16" s="78">
        <f>NOT(Calcs!BD21)*AM16</f>
        <v>0</v>
      </c>
      <c r="AO16" s="97">
        <f t="shared" si="27"/>
        <v>0</v>
      </c>
      <c r="AP16" s="98">
        <f t="shared" si="28"/>
        <v>820443.75</v>
      </c>
      <c r="AQ16" s="77">
        <f t="shared" si="29"/>
        <v>820443.75</v>
      </c>
      <c r="AR16" s="78">
        <f>NOT(Calcs!BE21)*AQ16</f>
        <v>0</v>
      </c>
      <c r="AS16" s="97">
        <f t="shared" si="30"/>
        <v>0</v>
      </c>
      <c r="AT16" s="98">
        <f t="shared" si="31"/>
        <v>820443.75</v>
      </c>
      <c r="AU16" s="77">
        <f t="shared" si="32"/>
        <v>820443.75</v>
      </c>
      <c r="AV16" s="97">
        <f>IF(Calcs!BC21=TRUE, AU16, 0)</f>
        <v>0</v>
      </c>
      <c r="AW16" s="97">
        <f t="shared" si="33"/>
        <v>0</v>
      </c>
      <c r="AX16" s="98">
        <f t="shared" si="34"/>
        <v>820443.75</v>
      </c>
      <c r="AY16" s="77">
        <f t="shared" si="35"/>
        <v>820443.75</v>
      </c>
      <c r="AZ16" s="97">
        <f>Calcs!BK21*AY16</f>
        <v>0</v>
      </c>
      <c r="BA16" s="97">
        <f t="shared" si="36"/>
        <v>0</v>
      </c>
      <c r="BB16" s="98">
        <f t="shared" si="37"/>
        <v>820443.75</v>
      </c>
      <c r="BC16" s="77">
        <f t="shared" si="38"/>
        <v>820443.75</v>
      </c>
      <c r="BD16" s="97"/>
      <c r="BE16" s="97"/>
      <c r="BF16" s="98"/>
      <c r="BG16" s="77">
        <f t="shared" si="39"/>
        <v>820443.75</v>
      </c>
      <c r="BH16" s="97">
        <f>IF(Calcs!BJ21=FALSE,0,BG16)</f>
        <v>0</v>
      </c>
      <c r="BI16" s="97">
        <f t="shared" si="40"/>
        <v>0</v>
      </c>
      <c r="BJ16" s="98">
        <f t="shared" si="41"/>
        <v>820443.75</v>
      </c>
      <c r="BK16" s="77">
        <f t="shared" si="42"/>
        <v>820443.75</v>
      </c>
      <c r="BL16" s="97">
        <f>IF(Calcs!AW21=TRUE,BK16,0)</f>
        <v>0</v>
      </c>
      <c r="BM16" s="97">
        <f t="shared" si="43"/>
        <v>0</v>
      </c>
      <c r="BN16" s="98">
        <f t="shared" si="44"/>
        <v>820443.75</v>
      </c>
      <c r="BO16" s="77">
        <f t="shared" si="45"/>
        <v>820443.75</v>
      </c>
      <c r="BP16" s="97"/>
      <c r="BQ16" s="97">
        <f t="shared" si="46"/>
        <v>0</v>
      </c>
      <c r="BR16" s="98">
        <f t="shared" si="47"/>
        <v>820443.75</v>
      </c>
      <c r="BS16" s="77">
        <f t="shared" si="48"/>
        <v>820443.75</v>
      </c>
      <c r="BT16" s="97">
        <f>IF(Calcs!BB21=TRUE,'Concentration Limitations'!BS16,0)</f>
        <v>0</v>
      </c>
      <c r="BU16" s="97">
        <f t="shared" si="49"/>
        <v>0</v>
      </c>
      <c r="BV16" s="98">
        <f t="shared" si="50"/>
        <v>820443.75</v>
      </c>
      <c r="BW16" s="77">
        <f t="shared" si="51"/>
        <v>820443.75</v>
      </c>
      <c r="BX16" s="97">
        <f>IF(Calcs!BI21=TRUE,'Concentration Limitations'!BW16,0)</f>
        <v>0</v>
      </c>
      <c r="BY16" s="97">
        <f t="shared" si="52"/>
        <v>0</v>
      </c>
      <c r="BZ16" s="98">
        <f t="shared" si="53"/>
        <v>820443.75</v>
      </c>
      <c r="CA16" s="97">
        <f t="shared" si="54"/>
        <v>820443.75</v>
      </c>
      <c r="CB16" s="97"/>
      <c r="CC16" s="97"/>
      <c r="CD16" s="98">
        <f t="shared" si="55"/>
        <v>820443.75</v>
      </c>
      <c r="CE16" s="97">
        <f t="shared" si="56"/>
        <v>820443.75</v>
      </c>
      <c r="CF16" s="97"/>
      <c r="CG16" s="97"/>
      <c r="CH16" s="98">
        <f t="shared" si="57"/>
        <v>820443.75</v>
      </c>
      <c r="CI16" s="97">
        <f t="shared" si="58"/>
        <v>820443.75</v>
      </c>
      <c r="CJ16" s="97"/>
      <c r="CK16" s="97"/>
      <c r="CL16" s="98">
        <f t="shared" si="59"/>
        <v>820443.75</v>
      </c>
      <c r="CM16" s="97">
        <f t="shared" si="60"/>
        <v>820443.75</v>
      </c>
      <c r="CN16" s="97"/>
      <c r="CO16" s="97"/>
      <c r="CP16" s="98">
        <f t="shared" si="61"/>
        <v>820443.75</v>
      </c>
      <c r="CQ16" s="97">
        <f t="shared" si="62"/>
        <v>820443.75</v>
      </c>
      <c r="CR16" s="97"/>
      <c r="CS16" s="97">
        <f t="shared" si="63"/>
        <v>0</v>
      </c>
      <c r="CT16" s="98">
        <f t="shared" si="64"/>
        <v>820443.75</v>
      </c>
      <c r="CU16" s="97">
        <f t="shared" si="65"/>
        <v>820443.75</v>
      </c>
      <c r="CV16" s="97"/>
      <c r="CW16" s="97">
        <f t="shared" si="66"/>
        <v>0</v>
      </c>
      <c r="CX16" s="98">
        <f t="shared" si="67"/>
        <v>820443.75</v>
      </c>
      <c r="CY16" s="97">
        <f t="shared" si="68"/>
        <v>820443.75</v>
      </c>
      <c r="CZ16" s="97"/>
      <c r="DA16" s="97"/>
      <c r="DB16" s="98">
        <f t="shared" si="69"/>
        <v>820443.75</v>
      </c>
      <c r="DC16" s="75">
        <f t="shared" si="70"/>
        <v>820443.75</v>
      </c>
      <c r="DD16" s="97"/>
      <c r="DE16" s="97"/>
      <c r="DF16" s="98">
        <f t="shared" si="71"/>
        <v>820443.75</v>
      </c>
      <c r="DG16" s="75">
        <f t="shared" si="72"/>
        <v>820443.75</v>
      </c>
      <c r="DH16" s="78" t="str">
        <f>Calcs!F21</f>
        <v>IT Services</v>
      </c>
      <c r="DI16" s="99">
        <f t="shared" ca="1" si="73"/>
        <v>0</v>
      </c>
      <c r="DJ16" s="98">
        <f t="shared" ca="1" si="74"/>
        <v>820443.75</v>
      </c>
      <c r="DK16" s="293">
        <f t="shared" si="75"/>
        <v>14</v>
      </c>
      <c r="DL16" s="532" t="s">
        <v>173</v>
      </c>
      <c r="DM16" s="36"/>
      <c r="DN16" s="36"/>
      <c r="DO16" s="36"/>
      <c r="DP16" s="36"/>
      <c r="DQ16" s="413" cm="1">
        <f t="array" ref="DQ16">+SUMPRODUCT((DL16=$DH$12:$DH$307)*($DG$12:$DG$307))/$N$6</f>
        <v>5.4471852927366051E-3</v>
      </c>
      <c r="DR16" s="414">
        <f t="shared" si="76"/>
        <v>14</v>
      </c>
      <c r="DS16" s="413" cm="1">
        <f t="array" aca="1" ref="DS16" ca="1">+SUMPRODUCT((DL16=$DH$12:$DH$307)*($DJ$12:$DJ$307))/$N$6</f>
        <v>5.4471852927366051E-3</v>
      </c>
      <c r="DT16" s="417">
        <f t="shared" ref="DT16:DT49" ca="1" si="80">COUNTIF($DS$12:$DS$106,"&gt;"&amp;DS16)+1</f>
        <v>14</v>
      </c>
      <c r="DU16" s="415">
        <f t="shared" si="77"/>
        <v>0.1</v>
      </c>
      <c r="DV16" s="416">
        <f t="shared" ref="DV16:DV49" si="81">DU16-DQ16</f>
        <v>9.45528147072634E-2</v>
      </c>
    </row>
    <row r="17" spans="6:127">
      <c r="F17" s="2">
        <f t="shared" ca="1" si="79"/>
        <v>67</v>
      </c>
      <c r="G17" s="40" t="str">
        <f>Calcs!A22</f>
        <v>BBB Industries</v>
      </c>
      <c r="H17" s="68">
        <f t="shared" ca="1" si="8"/>
        <v>230353.92270000002</v>
      </c>
      <c r="I17" s="96"/>
      <c r="J17" s="96"/>
      <c r="K17" s="63">
        <f>+IF(G17="","",IF(COUNTIF(G18:$G$307,G17)=0,1,0))</f>
        <v>1</v>
      </c>
      <c r="L17" s="75">
        <f>Calcs!U22</f>
        <v>230353.92270000002</v>
      </c>
      <c r="M17">
        <f t="shared" si="2"/>
        <v>67</v>
      </c>
      <c r="N17" s="75">
        <f t="shared" si="9"/>
        <v>230353.92270000002</v>
      </c>
      <c r="O17" s="75">
        <f t="shared" si="3"/>
        <v>230353.92270000002</v>
      </c>
      <c r="P17" s="72">
        <f t="shared" si="10"/>
        <v>0.05</v>
      </c>
      <c r="Q17" s="72">
        <f t="shared" si="11"/>
        <v>3.8357411052654801E-4</v>
      </c>
      <c r="R17" s="61">
        <f t="shared" si="12"/>
        <v>0</v>
      </c>
      <c r="S17" s="68">
        <f t="shared" si="13"/>
        <v>230353.92270000002</v>
      </c>
      <c r="T17" s="68">
        <f t="shared" si="4"/>
        <v>230353.92270000002</v>
      </c>
      <c r="U17">
        <f t="array" aca="1" ref="U17" ca="1">SUM(1*(S17&lt;$S$12:$S$307))+1+IF(ROW(S17)-ROW($S$12)=0,0,SUM(1*(S17=OFFSET($S$12,0,0,INDEX(ROW(S17)-ROW($S$12)+1,1)-1,1))))</f>
        <v>67</v>
      </c>
      <c r="V17" s="96">
        <f t="shared" si="14"/>
        <v>230353.92270000002</v>
      </c>
      <c r="W17" s="75">
        <f>Calcs!U22</f>
        <v>230353.92270000002</v>
      </c>
      <c r="X17" s="78">
        <f>IFERROR(OR(Calcs!BH22,Calcs!BI22)*W17,0)</f>
        <v>0</v>
      </c>
      <c r="Y17" s="97">
        <f t="shared" si="15"/>
        <v>0</v>
      </c>
      <c r="Z17" s="98">
        <f t="shared" si="16"/>
        <v>230353.92270000002</v>
      </c>
      <c r="AA17" s="77">
        <f t="shared" si="17"/>
        <v>230353.92270000002</v>
      </c>
      <c r="AB17" s="78">
        <f>IF(AND(Calcs!BM22=TRUE),AA17,0)</f>
        <v>230353.92270000002</v>
      </c>
      <c r="AC17" s="97">
        <f t="shared" si="18"/>
        <v>0</v>
      </c>
      <c r="AD17" s="98">
        <f t="shared" si="19"/>
        <v>230353.92270000002</v>
      </c>
      <c r="AE17" s="77">
        <f t="shared" si="20"/>
        <v>230353.92270000002</v>
      </c>
      <c r="AF17" s="78">
        <f>IF(Calcs!BY22&lt;15,AE17,0)</f>
        <v>0</v>
      </c>
      <c r="AG17" s="97">
        <f t="shared" si="21"/>
        <v>0</v>
      </c>
      <c r="AH17" s="98">
        <f t="shared" si="22"/>
        <v>230353.92270000002</v>
      </c>
      <c r="AI17" s="77">
        <f t="shared" si="23"/>
        <v>230353.92270000002</v>
      </c>
      <c r="AJ17" s="78">
        <f>IF(Calcs!BY22&lt;10,AE17,0)</f>
        <v>0</v>
      </c>
      <c r="AK17" s="97">
        <f t="shared" si="24"/>
        <v>0</v>
      </c>
      <c r="AL17" s="98">
        <f t="shared" si="25"/>
        <v>230353.92270000002</v>
      </c>
      <c r="AM17" s="77">
        <f t="shared" si="26"/>
        <v>230353.92270000002</v>
      </c>
      <c r="AN17" s="78">
        <f>NOT(Calcs!BD22)*AM17</f>
        <v>0</v>
      </c>
      <c r="AO17" s="97">
        <f t="shared" si="27"/>
        <v>0</v>
      </c>
      <c r="AP17" s="98">
        <f t="shared" si="28"/>
        <v>230353.92270000002</v>
      </c>
      <c r="AQ17" s="77">
        <f t="shared" si="29"/>
        <v>230353.92270000002</v>
      </c>
      <c r="AR17" s="78">
        <f>NOT(Calcs!BE22)*AQ17</f>
        <v>0</v>
      </c>
      <c r="AS17" s="97">
        <f t="shared" si="30"/>
        <v>0</v>
      </c>
      <c r="AT17" s="98">
        <f t="shared" si="31"/>
        <v>230353.92270000002</v>
      </c>
      <c r="AU17" s="77">
        <f t="shared" si="32"/>
        <v>230353.92270000002</v>
      </c>
      <c r="AV17" s="97">
        <f>IF(Calcs!BC22=TRUE, AU17, 0)</f>
        <v>230353.92270000002</v>
      </c>
      <c r="AW17" s="97">
        <f t="shared" si="33"/>
        <v>0</v>
      </c>
      <c r="AX17" s="98">
        <f t="shared" si="34"/>
        <v>230353.92270000002</v>
      </c>
      <c r="AY17" s="77">
        <f t="shared" si="35"/>
        <v>230353.92270000002</v>
      </c>
      <c r="AZ17" s="97">
        <f>Calcs!BK22*AY17</f>
        <v>0</v>
      </c>
      <c r="BA17" s="97">
        <f t="shared" si="36"/>
        <v>0</v>
      </c>
      <c r="BB17" s="98">
        <f t="shared" si="37"/>
        <v>230353.92270000002</v>
      </c>
      <c r="BC17" s="77">
        <f t="shared" si="38"/>
        <v>230353.92270000002</v>
      </c>
      <c r="BD17" s="97"/>
      <c r="BE17" s="97"/>
      <c r="BF17" s="98"/>
      <c r="BG17" s="77">
        <f t="shared" si="39"/>
        <v>230353.92270000002</v>
      </c>
      <c r="BH17" s="97">
        <f>IF(Calcs!BJ22=FALSE,0,BG17)</f>
        <v>0</v>
      </c>
      <c r="BI17" s="97">
        <f t="shared" si="40"/>
        <v>0</v>
      </c>
      <c r="BJ17" s="98">
        <f t="shared" si="41"/>
        <v>230353.92270000002</v>
      </c>
      <c r="BK17" s="77">
        <f t="shared" si="42"/>
        <v>230353.92270000002</v>
      </c>
      <c r="BL17" s="97">
        <f>IF(Calcs!AW22=TRUE,BK17,0)</f>
        <v>0</v>
      </c>
      <c r="BM17" s="97">
        <f t="shared" si="43"/>
        <v>0</v>
      </c>
      <c r="BN17" s="98">
        <f t="shared" si="44"/>
        <v>230353.92270000002</v>
      </c>
      <c r="BO17" s="77">
        <f t="shared" si="45"/>
        <v>230353.92270000002</v>
      </c>
      <c r="BP17" s="97"/>
      <c r="BQ17" s="97">
        <f t="shared" si="46"/>
        <v>0</v>
      </c>
      <c r="BR17" s="98">
        <f t="shared" si="47"/>
        <v>230353.92270000002</v>
      </c>
      <c r="BS17" s="77">
        <f t="shared" si="48"/>
        <v>230353.92270000002</v>
      </c>
      <c r="BT17" s="97">
        <f>IF(Calcs!BB22=TRUE,'Concentration Limitations'!BS17,0)</f>
        <v>0</v>
      </c>
      <c r="BU17" s="97">
        <f t="shared" si="49"/>
        <v>0</v>
      </c>
      <c r="BV17" s="98">
        <f t="shared" si="50"/>
        <v>230353.92270000002</v>
      </c>
      <c r="BW17" s="77">
        <f t="shared" si="51"/>
        <v>230353.92270000002</v>
      </c>
      <c r="BX17" s="97">
        <f>IF(Calcs!BI22=TRUE,'Concentration Limitations'!BW17,0)</f>
        <v>0</v>
      </c>
      <c r="BY17" s="97">
        <f t="shared" si="52"/>
        <v>0</v>
      </c>
      <c r="BZ17" s="98">
        <f t="shared" si="53"/>
        <v>230353.92270000002</v>
      </c>
      <c r="CA17" s="97">
        <f t="shared" si="54"/>
        <v>230353.92270000002</v>
      </c>
      <c r="CB17" s="97"/>
      <c r="CC17" s="97"/>
      <c r="CD17" s="98">
        <f t="shared" si="55"/>
        <v>230353.92270000002</v>
      </c>
      <c r="CE17" s="97">
        <f t="shared" si="56"/>
        <v>230353.92270000002</v>
      </c>
      <c r="CF17" s="97"/>
      <c r="CG17" s="97"/>
      <c r="CH17" s="98">
        <f t="shared" si="57"/>
        <v>230353.92270000002</v>
      </c>
      <c r="CI17" s="97">
        <f t="shared" si="58"/>
        <v>230353.92270000002</v>
      </c>
      <c r="CJ17" s="97"/>
      <c r="CK17" s="97"/>
      <c r="CL17" s="98">
        <f t="shared" si="59"/>
        <v>230353.92270000002</v>
      </c>
      <c r="CM17" s="97">
        <f t="shared" si="60"/>
        <v>230353.92270000002</v>
      </c>
      <c r="CN17" s="97"/>
      <c r="CO17" s="97"/>
      <c r="CP17" s="98">
        <f t="shared" si="61"/>
        <v>230353.92270000002</v>
      </c>
      <c r="CQ17" s="97">
        <f t="shared" si="62"/>
        <v>230353.92270000002</v>
      </c>
      <c r="CR17" s="97"/>
      <c r="CS17" s="97">
        <f t="shared" si="63"/>
        <v>0</v>
      </c>
      <c r="CT17" s="98">
        <f t="shared" si="64"/>
        <v>230353.92270000002</v>
      </c>
      <c r="CU17" s="97">
        <f t="shared" si="65"/>
        <v>230353.92270000002</v>
      </c>
      <c r="CV17" s="97"/>
      <c r="CW17" s="97">
        <f t="shared" si="66"/>
        <v>0</v>
      </c>
      <c r="CX17" s="98">
        <f t="shared" si="67"/>
        <v>230353.92270000002</v>
      </c>
      <c r="CY17" s="97">
        <f t="shared" si="68"/>
        <v>230353.92270000002</v>
      </c>
      <c r="CZ17" s="97"/>
      <c r="DA17" s="97"/>
      <c r="DB17" s="98">
        <f t="shared" si="69"/>
        <v>230353.92270000002</v>
      </c>
      <c r="DC17" s="75">
        <f t="shared" si="70"/>
        <v>230353.92270000002</v>
      </c>
      <c r="DD17" s="97"/>
      <c r="DE17" s="97"/>
      <c r="DF17" s="98">
        <f t="shared" si="71"/>
        <v>230353.92270000002</v>
      </c>
      <c r="DG17" s="75">
        <f t="shared" si="72"/>
        <v>230353.92270000002</v>
      </c>
      <c r="DH17" s="78" t="str">
        <f>Calcs!F22</f>
        <v>Automobiles</v>
      </c>
      <c r="DI17" s="99">
        <f t="shared" ca="1" si="73"/>
        <v>0</v>
      </c>
      <c r="DJ17" s="98">
        <f t="shared" ca="1" si="74"/>
        <v>230353.92270000002</v>
      </c>
      <c r="DK17" s="293">
        <f t="shared" si="75"/>
        <v>19</v>
      </c>
      <c r="DL17" s="532" t="s">
        <v>174</v>
      </c>
      <c r="DM17" s="36"/>
      <c r="DN17" s="36"/>
      <c r="DO17" s="36"/>
      <c r="DP17" s="36"/>
      <c r="DQ17" s="413" cm="1">
        <f t="array" ref="DQ17">+SUMPRODUCT((DL17=$DH$12:$DH$307)*($DG$12:$DG$307))/$N$6</f>
        <v>0</v>
      </c>
      <c r="DR17" s="414">
        <f t="shared" si="76"/>
        <v>19</v>
      </c>
      <c r="DS17" s="413" cm="1">
        <f t="array" aca="1" ref="DS17" ca="1">+SUMPRODUCT((DL17=$DH$12:$DH$307)*($DJ$12:$DJ$307))/$N$6</f>
        <v>0</v>
      </c>
      <c r="DT17" s="417">
        <f t="shared" ca="1" si="80"/>
        <v>19</v>
      </c>
      <c r="DU17" s="415">
        <f t="shared" si="77"/>
        <v>0.1</v>
      </c>
      <c r="DV17" s="416">
        <f t="shared" si="81"/>
        <v>0.1</v>
      </c>
    </row>
    <row r="18" spans="6:127">
      <c r="F18" s="2">
        <f t="shared" ca="1" si="79"/>
        <v>6</v>
      </c>
      <c r="G18" s="40" t="str">
        <f>Calcs!A23</f>
        <v>Beacon Behavioral Support  Services, LLC</v>
      </c>
      <c r="H18" s="68">
        <f t="shared" ca="1" si="8"/>
        <v>12139547.219999997</v>
      </c>
      <c r="I18" s="96"/>
      <c r="J18" s="96"/>
      <c r="K18" s="63">
        <f>+IF(G18="","",IF(COUNTIF(G19:$G$307,G18)=0,1,0))</f>
        <v>1</v>
      </c>
      <c r="L18" s="75">
        <f>Calcs!U23</f>
        <v>12139547.219999999</v>
      </c>
      <c r="M18">
        <f t="shared" si="2"/>
        <v>6</v>
      </c>
      <c r="N18" s="75">
        <f t="shared" si="9"/>
        <v>12139547.219999999</v>
      </c>
      <c r="O18" s="75">
        <f t="shared" si="3"/>
        <v>12139547.219999999</v>
      </c>
      <c r="P18" s="72">
        <f t="shared" si="10"/>
        <v>0.05</v>
      </c>
      <c r="Q18" s="72">
        <f t="shared" si="11"/>
        <v>2.0214181605975004E-2</v>
      </c>
      <c r="R18" s="61">
        <f t="shared" si="12"/>
        <v>0</v>
      </c>
      <c r="S18" s="68">
        <f t="shared" si="13"/>
        <v>12139547.219999999</v>
      </c>
      <c r="T18" s="68">
        <f t="shared" si="4"/>
        <v>12139547.219999999</v>
      </c>
      <c r="U18">
        <f t="array" aca="1" ref="U18" ca="1">SUM(1*(S18&lt;$S$12:$S$307))+1+IF(ROW(S18)-ROW($S$12)=0,0,SUM(1*(S18=OFFSET($S$12,0,0,INDEX(ROW(S18)-ROW($S$12)+1,1)-1,1))))</f>
        <v>6</v>
      </c>
      <c r="V18" s="96">
        <f t="shared" si="14"/>
        <v>12139547.219999997</v>
      </c>
      <c r="W18" s="75">
        <f>Calcs!U23</f>
        <v>12139547.219999999</v>
      </c>
      <c r="X18" s="78">
        <f>IFERROR(OR(Calcs!BH23,Calcs!BI23)*W18,0)</f>
        <v>0</v>
      </c>
      <c r="Y18" s="97">
        <f t="shared" si="15"/>
        <v>0</v>
      </c>
      <c r="Z18" s="98">
        <f t="shared" si="16"/>
        <v>12139547.219999999</v>
      </c>
      <c r="AA18" s="77">
        <f t="shared" si="17"/>
        <v>12139547.219999999</v>
      </c>
      <c r="AB18" s="78">
        <f>IF(AND(Calcs!BM23=TRUE),AA18,0)</f>
        <v>0</v>
      </c>
      <c r="AC18" s="97">
        <f t="shared" si="18"/>
        <v>0</v>
      </c>
      <c r="AD18" s="98">
        <f t="shared" si="19"/>
        <v>12139547.219999999</v>
      </c>
      <c r="AE18" s="77">
        <f t="shared" si="20"/>
        <v>12139547.219999999</v>
      </c>
      <c r="AF18" s="78">
        <f>IF(Calcs!BY23&lt;15,AE18,0)</f>
        <v>0</v>
      </c>
      <c r="AG18" s="97">
        <f t="shared" si="21"/>
        <v>0</v>
      </c>
      <c r="AH18" s="98">
        <f t="shared" si="22"/>
        <v>12139547.219999999</v>
      </c>
      <c r="AI18" s="77">
        <f t="shared" si="23"/>
        <v>12139547.219999999</v>
      </c>
      <c r="AJ18" s="78">
        <f>IF(Calcs!BY23&lt;10,AE18,0)</f>
        <v>0</v>
      </c>
      <c r="AK18" s="97">
        <f t="shared" si="24"/>
        <v>0</v>
      </c>
      <c r="AL18" s="98">
        <f t="shared" si="25"/>
        <v>12139547.219999999</v>
      </c>
      <c r="AM18" s="77">
        <f t="shared" si="26"/>
        <v>12139547.219999999</v>
      </c>
      <c r="AN18" s="78">
        <f>NOT(Calcs!BD23)*AM18</f>
        <v>0</v>
      </c>
      <c r="AO18" s="97">
        <f t="shared" si="27"/>
        <v>0</v>
      </c>
      <c r="AP18" s="98">
        <f t="shared" si="28"/>
        <v>12139547.219999999</v>
      </c>
      <c r="AQ18" s="77">
        <f t="shared" si="29"/>
        <v>12139547.219999999</v>
      </c>
      <c r="AR18" s="78">
        <f>NOT(Calcs!BE23)*AQ18</f>
        <v>0</v>
      </c>
      <c r="AS18" s="97">
        <f t="shared" si="30"/>
        <v>0</v>
      </c>
      <c r="AT18" s="98">
        <f t="shared" si="31"/>
        <v>12139547.219999999</v>
      </c>
      <c r="AU18" s="77">
        <f t="shared" si="32"/>
        <v>12139547.219999999</v>
      </c>
      <c r="AV18" s="97">
        <f>IF(Calcs!BC23=TRUE, AU18, 0)</f>
        <v>0</v>
      </c>
      <c r="AW18" s="97">
        <f t="shared" si="33"/>
        <v>0</v>
      </c>
      <c r="AX18" s="98">
        <f t="shared" si="34"/>
        <v>12139547.219999999</v>
      </c>
      <c r="AY18" s="77">
        <f t="shared" si="35"/>
        <v>12139547.219999999</v>
      </c>
      <c r="AZ18" s="97">
        <f>Calcs!BK23*AY18</f>
        <v>0</v>
      </c>
      <c r="BA18" s="97">
        <f t="shared" si="36"/>
        <v>0</v>
      </c>
      <c r="BB18" s="98">
        <f t="shared" si="37"/>
        <v>12139547.219999999</v>
      </c>
      <c r="BC18" s="77">
        <f t="shared" si="38"/>
        <v>12139547.219999999</v>
      </c>
      <c r="BD18" s="97"/>
      <c r="BE18" s="97"/>
      <c r="BF18" s="98"/>
      <c r="BG18" s="77">
        <f t="shared" si="39"/>
        <v>12139547.219999999</v>
      </c>
      <c r="BH18" s="97">
        <f>IF(Calcs!BJ23=FALSE,0,BG18)</f>
        <v>0</v>
      </c>
      <c r="BI18" s="97">
        <f t="shared" si="40"/>
        <v>0</v>
      </c>
      <c r="BJ18" s="98">
        <f t="shared" si="41"/>
        <v>12139547.219999999</v>
      </c>
      <c r="BK18" s="77">
        <f t="shared" si="42"/>
        <v>12139547.219999999</v>
      </c>
      <c r="BL18" s="97">
        <f>IF(Calcs!AW23=TRUE,BK18,0)</f>
        <v>0</v>
      </c>
      <c r="BM18" s="97">
        <f t="shared" si="43"/>
        <v>0</v>
      </c>
      <c r="BN18" s="98">
        <f t="shared" si="44"/>
        <v>12139547.219999999</v>
      </c>
      <c r="BO18" s="77">
        <f t="shared" si="45"/>
        <v>12139547.219999999</v>
      </c>
      <c r="BP18" s="97"/>
      <c r="BQ18" s="97">
        <f t="shared" si="46"/>
        <v>0</v>
      </c>
      <c r="BR18" s="98">
        <f t="shared" si="47"/>
        <v>12139547.219999999</v>
      </c>
      <c r="BS18" s="77">
        <f t="shared" si="48"/>
        <v>12139547.219999999</v>
      </c>
      <c r="BT18" s="97">
        <f>IF(Calcs!BB23=TRUE,'Concentration Limitations'!BS18,0)</f>
        <v>0</v>
      </c>
      <c r="BU18" s="97">
        <f t="shared" si="49"/>
        <v>0</v>
      </c>
      <c r="BV18" s="98">
        <f t="shared" si="50"/>
        <v>12139547.219999999</v>
      </c>
      <c r="BW18" s="77">
        <f t="shared" si="51"/>
        <v>12139547.219999999</v>
      </c>
      <c r="BX18" s="97">
        <f>IF(Calcs!BI23=TRUE,'Concentration Limitations'!BW18,0)</f>
        <v>0</v>
      </c>
      <c r="BY18" s="97">
        <f t="shared" si="52"/>
        <v>0</v>
      </c>
      <c r="BZ18" s="98">
        <f t="shared" si="53"/>
        <v>12139547.219999999</v>
      </c>
      <c r="CA18" s="97">
        <f t="shared" si="54"/>
        <v>12139547.219999999</v>
      </c>
      <c r="CB18" s="97"/>
      <c r="CC18" s="97"/>
      <c r="CD18" s="98">
        <f t="shared" si="55"/>
        <v>12139547.219999999</v>
      </c>
      <c r="CE18" s="97">
        <f t="shared" si="56"/>
        <v>12139547.219999999</v>
      </c>
      <c r="CF18" s="97"/>
      <c r="CG18" s="97"/>
      <c r="CH18" s="98">
        <f t="shared" si="57"/>
        <v>12139547.219999999</v>
      </c>
      <c r="CI18" s="97">
        <f t="shared" si="58"/>
        <v>12139547.219999999</v>
      </c>
      <c r="CJ18" s="97"/>
      <c r="CK18" s="97"/>
      <c r="CL18" s="98">
        <f t="shared" si="59"/>
        <v>12139547.219999999</v>
      </c>
      <c r="CM18" s="97">
        <f t="shared" si="60"/>
        <v>12139547.219999999</v>
      </c>
      <c r="CN18" s="97"/>
      <c r="CO18" s="97"/>
      <c r="CP18" s="98">
        <f t="shared" si="61"/>
        <v>12139547.219999999</v>
      </c>
      <c r="CQ18" s="97">
        <f t="shared" si="62"/>
        <v>12139547.219999999</v>
      </c>
      <c r="CR18" s="97"/>
      <c r="CS18" s="97">
        <f t="shared" si="63"/>
        <v>0</v>
      </c>
      <c r="CT18" s="98">
        <f t="shared" si="64"/>
        <v>12139547.219999999</v>
      </c>
      <c r="CU18" s="97">
        <f t="shared" si="65"/>
        <v>12139547.219999999</v>
      </c>
      <c r="CV18" s="97"/>
      <c r="CW18" s="97">
        <f t="shared" si="66"/>
        <v>0</v>
      </c>
      <c r="CX18" s="98">
        <f t="shared" si="67"/>
        <v>12139547.219999999</v>
      </c>
      <c r="CY18" s="97">
        <f t="shared" si="68"/>
        <v>12139547.219999999</v>
      </c>
      <c r="CZ18" s="97"/>
      <c r="DA18" s="97"/>
      <c r="DB18" s="98">
        <f t="shared" si="69"/>
        <v>12139547.219999999</v>
      </c>
      <c r="DC18" s="75">
        <f t="shared" si="70"/>
        <v>12139547.219999999</v>
      </c>
      <c r="DD18" s="97"/>
      <c r="DE18" s="97"/>
      <c r="DF18" s="98">
        <f t="shared" si="71"/>
        <v>12139547.219999999</v>
      </c>
      <c r="DG18" s="75">
        <f t="shared" si="72"/>
        <v>12139547.219999999</v>
      </c>
      <c r="DH18" s="78" t="str">
        <f>Calcs!F23</f>
        <v>Health Care Providers &amp; Services</v>
      </c>
      <c r="DI18" s="99">
        <f t="shared" ca="1" si="73"/>
        <v>0</v>
      </c>
      <c r="DJ18" s="98">
        <f t="shared" ca="1" si="74"/>
        <v>12139547.219999999</v>
      </c>
      <c r="DK18" s="293">
        <f t="shared" si="75"/>
        <v>19</v>
      </c>
      <c r="DL18" s="532" t="s">
        <v>1209</v>
      </c>
      <c r="DM18" s="36"/>
      <c r="DN18" s="36"/>
      <c r="DO18" s="36"/>
      <c r="DP18" s="36"/>
      <c r="DQ18" s="413" cm="1">
        <f t="array" ref="DQ18">+SUMPRODUCT((DL18=$DH$12:$DH$307)*($DG$12:$DG$307))/$N$6</f>
        <v>0</v>
      </c>
      <c r="DR18" s="414">
        <f t="shared" si="76"/>
        <v>19</v>
      </c>
      <c r="DS18" s="413" cm="1">
        <f t="array" aca="1" ref="DS18" ca="1">+SUMPRODUCT((DL18=$DH$12:$DH$307)*($DJ$12:$DJ$307))/$N$6</f>
        <v>0</v>
      </c>
      <c r="DT18" s="417">
        <f t="shared" ca="1" si="80"/>
        <v>19</v>
      </c>
      <c r="DU18" s="415">
        <f t="shared" si="77"/>
        <v>0.1</v>
      </c>
      <c r="DV18" s="416">
        <f t="shared" si="81"/>
        <v>0.1</v>
      </c>
    </row>
    <row r="19" spans="6:127">
      <c r="F19" s="2">
        <f t="shared" ca="1" si="79"/>
        <v>10</v>
      </c>
      <c r="G19" s="40" t="str">
        <f>Calcs!A24</f>
        <v>BlackHawk Industrial</v>
      </c>
      <c r="H19" s="68">
        <f t="shared" ca="1" si="8"/>
        <v>8631215.8200000003</v>
      </c>
      <c r="I19" s="96"/>
      <c r="J19" s="96"/>
      <c r="K19" s="63">
        <f>+IF(G19="","",IF(COUNTIF(G20:$G$307,G19)=0,1,0))</f>
        <v>1</v>
      </c>
      <c r="L19" s="75">
        <f>Calcs!U24</f>
        <v>8631215.8200000003</v>
      </c>
      <c r="M19">
        <f t="shared" si="2"/>
        <v>10</v>
      </c>
      <c r="N19" s="75">
        <f t="shared" si="9"/>
        <v>8631215.8200000003</v>
      </c>
      <c r="O19" s="75">
        <f t="shared" si="3"/>
        <v>8631215.8200000003</v>
      </c>
      <c r="P19" s="72">
        <f t="shared" si="10"/>
        <v>0.05</v>
      </c>
      <c r="Q19" s="72">
        <f t="shared" si="11"/>
        <v>1.4372279369563215E-2</v>
      </c>
      <c r="R19" s="61">
        <f t="shared" si="12"/>
        <v>0</v>
      </c>
      <c r="S19" s="68">
        <f t="shared" si="13"/>
        <v>8631215.8200000003</v>
      </c>
      <c r="T19" s="68">
        <f t="shared" si="4"/>
        <v>8631215.8200000003</v>
      </c>
      <c r="U19">
        <f t="array" aca="1" ref="U19" ca="1">SUM(1*(S19&lt;$S$12:$S$307))+1+IF(ROW(S19)-ROW($S$12)=0,0,SUM(1*(S19=OFFSET($S$12,0,0,INDEX(ROW(S19)-ROW($S$12)+1,1)-1,1))))</f>
        <v>10</v>
      </c>
      <c r="V19" s="96">
        <f t="shared" si="14"/>
        <v>8631215.8200000003</v>
      </c>
      <c r="W19" s="75">
        <f>Calcs!U24</f>
        <v>8631215.8200000003</v>
      </c>
      <c r="X19" s="78">
        <f>IFERROR(OR(Calcs!BH24,Calcs!BI24)*W19,0)</f>
        <v>0</v>
      </c>
      <c r="Y19" s="97">
        <f t="shared" si="15"/>
        <v>0</v>
      </c>
      <c r="Z19" s="98">
        <f t="shared" si="16"/>
        <v>8631215.8200000003</v>
      </c>
      <c r="AA19" s="77">
        <f t="shared" si="17"/>
        <v>8631215.8200000003</v>
      </c>
      <c r="AB19" s="78">
        <f>IF(AND(Calcs!BM24=TRUE),AA19,0)</f>
        <v>0</v>
      </c>
      <c r="AC19" s="97">
        <f t="shared" si="18"/>
        <v>0</v>
      </c>
      <c r="AD19" s="98">
        <f t="shared" si="19"/>
        <v>8631215.8200000003</v>
      </c>
      <c r="AE19" s="77">
        <f t="shared" si="20"/>
        <v>8631215.8200000003</v>
      </c>
      <c r="AF19" s="78">
        <f>IF(Calcs!BY24&lt;15,AE19,0)</f>
        <v>0</v>
      </c>
      <c r="AG19" s="97">
        <f t="shared" si="21"/>
        <v>0</v>
      </c>
      <c r="AH19" s="98">
        <f t="shared" si="22"/>
        <v>8631215.8200000003</v>
      </c>
      <c r="AI19" s="77">
        <f t="shared" si="23"/>
        <v>8631215.8200000003</v>
      </c>
      <c r="AJ19" s="78">
        <f>IF(Calcs!BY24&lt;10,AE19,0)</f>
        <v>0</v>
      </c>
      <c r="AK19" s="97">
        <f t="shared" si="24"/>
        <v>0</v>
      </c>
      <c r="AL19" s="98">
        <f t="shared" si="25"/>
        <v>8631215.8200000003</v>
      </c>
      <c r="AM19" s="77">
        <f t="shared" si="26"/>
        <v>8631215.8200000003</v>
      </c>
      <c r="AN19" s="78">
        <f>NOT(Calcs!BD24)*AM19</f>
        <v>0</v>
      </c>
      <c r="AO19" s="97">
        <f t="shared" si="27"/>
        <v>0</v>
      </c>
      <c r="AP19" s="98">
        <f t="shared" si="28"/>
        <v>8631215.8200000003</v>
      </c>
      <c r="AQ19" s="77">
        <f t="shared" si="29"/>
        <v>8631215.8200000003</v>
      </c>
      <c r="AR19" s="78">
        <f>NOT(Calcs!BE24)*AQ19</f>
        <v>0</v>
      </c>
      <c r="AS19" s="97">
        <f t="shared" si="30"/>
        <v>0</v>
      </c>
      <c r="AT19" s="98">
        <f t="shared" si="31"/>
        <v>8631215.8200000003</v>
      </c>
      <c r="AU19" s="77">
        <f t="shared" si="32"/>
        <v>8631215.8200000003</v>
      </c>
      <c r="AV19" s="97">
        <f>IF(Calcs!BC24=TRUE, AU19, 0)</f>
        <v>8631215.8200000003</v>
      </c>
      <c r="AW19" s="97">
        <f t="shared" si="33"/>
        <v>0</v>
      </c>
      <c r="AX19" s="98">
        <f t="shared" si="34"/>
        <v>8631215.8200000003</v>
      </c>
      <c r="AY19" s="77">
        <f t="shared" si="35"/>
        <v>8631215.8200000003</v>
      </c>
      <c r="AZ19" s="97">
        <f>Calcs!BK24*AY19</f>
        <v>0</v>
      </c>
      <c r="BA19" s="97">
        <f t="shared" si="36"/>
        <v>0</v>
      </c>
      <c r="BB19" s="98">
        <f t="shared" si="37"/>
        <v>8631215.8200000003</v>
      </c>
      <c r="BC19" s="77">
        <f t="shared" si="38"/>
        <v>8631215.8200000003</v>
      </c>
      <c r="BD19" s="97"/>
      <c r="BE19" s="97"/>
      <c r="BF19" s="98"/>
      <c r="BG19" s="77">
        <f t="shared" si="39"/>
        <v>8631215.8200000003</v>
      </c>
      <c r="BH19" s="97">
        <f>IF(Calcs!BJ24=FALSE,0,BG19)</f>
        <v>0</v>
      </c>
      <c r="BI19" s="97">
        <f t="shared" si="40"/>
        <v>0</v>
      </c>
      <c r="BJ19" s="98">
        <f t="shared" si="41"/>
        <v>8631215.8200000003</v>
      </c>
      <c r="BK19" s="77">
        <f t="shared" si="42"/>
        <v>8631215.8200000003</v>
      </c>
      <c r="BL19" s="97">
        <f>IF(Calcs!AW24=TRUE,BK19,0)</f>
        <v>0</v>
      </c>
      <c r="BM19" s="97">
        <f t="shared" si="43"/>
        <v>0</v>
      </c>
      <c r="BN19" s="98">
        <f t="shared" si="44"/>
        <v>8631215.8200000003</v>
      </c>
      <c r="BO19" s="77">
        <f t="shared" si="45"/>
        <v>8631215.8200000003</v>
      </c>
      <c r="BP19" s="97"/>
      <c r="BQ19" s="97">
        <f t="shared" si="46"/>
        <v>0</v>
      </c>
      <c r="BR19" s="98">
        <f t="shared" si="47"/>
        <v>8631215.8200000003</v>
      </c>
      <c r="BS19" s="77">
        <f t="shared" si="48"/>
        <v>8631215.8200000003</v>
      </c>
      <c r="BT19" s="97">
        <f>IF(Calcs!BB24=TRUE,'Concentration Limitations'!BS19,0)</f>
        <v>0</v>
      </c>
      <c r="BU19" s="97">
        <f t="shared" si="49"/>
        <v>0</v>
      </c>
      <c r="BV19" s="98">
        <f t="shared" si="50"/>
        <v>8631215.8200000003</v>
      </c>
      <c r="BW19" s="77">
        <f t="shared" si="51"/>
        <v>8631215.8200000003</v>
      </c>
      <c r="BX19" s="97">
        <f>IF(Calcs!BI24=TRUE,'Concentration Limitations'!BW19,0)</f>
        <v>0</v>
      </c>
      <c r="BY19" s="97">
        <f t="shared" si="52"/>
        <v>0</v>
      </c>
      <c r="BZ19" s="98">
        <f t="shared" si="53"/>
        <v>8631215.8200000003</v>
      </c>
      <c r="CA19" s="97">
        <f t="shared" si="54"/>
        <v>8631215.8200000003</v>
      </c>
      <c r="CB19" s="97"/>
      <c r="CC19" s="97"/>
      <c r="CD19" s="98">
        <f t="shared" si="55"/>
        <v>8631215.8200000003</v>
      </c>
      <c r="CE19" s="97">
        <f t="shared" si="56"/>
        <v>8631215.8200000003</v>
      </c>
      <c r="CF19" s="97"/>
      <c r="CG19" s="97"/>
      <c r="CH19" s="98">
        <f t="shared" si="57"/>
        <v>8631215.8200000003</v>
      </c>
      <c r="CI19" s="97">
        <f t="shared" si="58"/>
        <v>8631215.8200000003</v>
      </c>
      <c r="CJ19" s="97"/>
      <c r="CK19" s="97"/>
      <c r="CL19" s="98">
        <f t="shared" si="59"/>
        <v>8631215.8200000003</v>
      </c>
      <c r="CM19" s="97">
        <f t="shared" si="60"/>
        <v>8631215.8200000003</v>
      </c>
      <c r="CN19" s="97"/>
      <c r="CO19" s="97"/>
      <c r="CP19" s="98">
        <f t="shared" si="61"/>
        <v>8631215.8200000003</v>
      </c>
      <c r="CQ19" s="97">
        <f t="shared" si="62"/>
        <v>8631215.8200000003</v>
      </c>
      <c r="CR19" s="97"/>
      <c r="CS19" s="97">
        <f t="shared" si="63"/>
        <v>0</v>
      </c>
      <c r="CT19" s="98">
        <f t="shared" si="64"/>
        <v>8631215.8200000003</v>
      </c>
      <c r="CU19" s="97">
        <f t="shared" si="65"/>
        <v>8631215.8200000003</v>
      </c>
      <c r="CV19" s="97"/>
      <c r="CW19" s="97">
        <f t="shared" si="66"/>
        <v>0</v>
      </c>
      <c r="CX19" s="98">
        <f t="shared" si="67"/>
        <v>8631215.8200000003</v>
      </c>
      <c r="CY19" s="97">
        <f t="shared" si="68"/>
        <v>8631215.8200000003</v>
      </c>
      <c r="CZ19" s="97"/>
      <c r="DA19" s="97"/>
      <c r="DB19" s="98">
        <f t="shared" si="69"/>
        <v>8631215.8200000003</v>
      </c>
      <c r="DC19" s="75">
        <f t="shared" si="70"/>
        <v>8631215.8200000003</v>
      </c>
      <c r="DD19" s="97"/>
      <c r="DE19" s="97"/>
      <c r="DF19" s="98">
        <f t="shared" si="71"/>
        <v>8631215.8200000003</v>
      </c>
      <c r="DG19" s="75">
        <f t="shared" si="72"/>
        <v>8631215.8200000003</v>
      </c>
      <c r="DH19" s="78" t="str">
        <f>Calcs!F24</f>
        <v>Distributors</v>
      </c>
      <c r="DI19" s="99">
        <f t="shared" ca="1" si="73"/>
        <v>0</v>
      </c>
      <c r="DJ19" s="98">
        <f t="shared" ca="1" si="74"/>
        <v>8631215.8200000003</v>
      </c>
      <c r="DK19" s="293">
        <f t="shared" si="75"/>
        <v>19</v>
      </c>
      <c r="DL19" s="532" t="s">
        <v>175</v>
      </c>
      <c r="DM19" s="36"/>
      <c r="DN19" s="36"/>
      <c r="DO19" s="36"/>
      <c r="DP19" s="36"/>
      <c r="DQ19" s="413" cm="1">
        <f t="array" ref="DQ19">+SUMPRODUCT((DL19=$DH$12:$DH$307)*($DG$12:$DG$307))/$N$6</f>
        <v>0</v>
      </c>
      <c r="DR19" s="414">
        <f t="shared" si="76"/>
        <v>19</v>
      </c>
      <c r="DS19" s="413" cm="1">
        <f t="array" aca="1" ref="DS19" ca="1">+SUMPRODUCT((DL19=$DH$12:$DH$307)*($DJ$12:$DJ$307))/$N$6</f>
        <v>0</v>
      </c>
      <c r="DT19" s="417">
        <f t="shared" ca="1" si="80"/>
        <v>19</v>
      </c>
      <c r="DU19" s="415">
        <f t="shared" si="77"/>
        <v>0.1</v>
      </c>
      <c r="DV19" s="416">
        <f t="shared" si="81"/>
        <v>0.1</v>
      </c>
    </row>
    <row r="20" spans="6:127">
      <c r="F20" s="2">
        <f t="shared" ca="1" si="79"/>
        <v>53</v>
      </c>
      <c r="G20" s="40" t="str">
        <f>Calcs!A25</f>
        <v>C5MI Acquisition, LLC</v>
      </c>
      <c r="H20" s="68">
        <f t="shared" ca="1" si="8"/>
        <v>1488750</v>
      </c>
      <c r="I20" s="96"/>
      <c r="J20" s="96"/>
      <c r="K20" s="63">
        <f>+IF(G20="","",IF(COUNTIF(G21:$G$307,G20)=0,1,0))</f>
        <v>1</v>
      </c>
      <c r="L20" s="75">
        <f>Calcs!U25</f>
        <v>1488750</v>
      </c>
      <c r="M20">
        <f t="shared" si="2"/>
        <v>53</v>
      </c>
      <c r="N20" s="75">
        <f t="shared" si="9"/>
        <v>1488750</v>
      </c>
      <c r="O20" s="75">
        <f t="shared" si="3"/>
        <v>1488750</v>
      </c>
      <c r="P20" s="72">
        <f t="shared" si="10"/>
        <v>0.05</v>
      </c>
      <c r="Q20" s="72">
        <f t="shared" si="11"/>
        <v>2.4789938471770521E-3</v>
      </c>
      <c r="R20" s="61">
        <f t="shared" si="12"/>
        <v>0</v>
      </c>
      <c r="S20" s="68">
        <f t="shared" si="13"/>
        <v>1488750</v>
      </c>
      <c r="T20" s="68">
        <f t="shared" si="4"/>
        <v>1488750</v>
      </c>
      <c r="U20">
        <f t="array" aca="1" ref="U20" ca="1">SUM(1*(S20&lt;$S$12:$S$307))+1+IF(ROW(S20)-ROW($S$12)=0,0,SUM(1*(S20=OFFSET($S$12,0,0,INDEX(ROW(S20)-ROW($S$12)+1,1)-1,1))))</f>
        <v>53</v>
      </c>
      <c r="V20" s="96">
        <f t="shared" si="14"/>
        <v>1488750</v>
      </c>
      <c r="W20" s="75">
        <f>Calcs!U25</f>
        <v>1488750</v>
      </c>
      <c r="X20" s="78">
        <f>IFERROR(OR(Calcs!#REF!,Calcs!#REF!)*W20,0)</f>
        <v>0</v>
      </c>
      <c r="Y20" s="97">
        <f t="shared" si="15"/>
        <v>0</v>
      </c>
      <c r="Z20" s="98">
        <f t="shared" si="16"/>
        <v>1488750</v>
      </c>
      <c r="AA20" s="77">
        <f t="shared" si="17"/>
        <v>1488750</v>
      </c>
      <c r="AB20" s="78">
        <f>IF(AND(Calcs!BM25=TRUE),AA20,0)</f>
        <v>0</v>
      </c>
      <c r="AC20" s="97">
        <f t="shared" si="18"/>
        <v>0</v>
      </c>
      <c r="AD20" s="98">
        <f t="shared" si="19"/>
        <v>1488750</v>
      </c>
      <c r="AE20" s="77">
        <f t="shared" si="20"/>
        <v>1488750</v>
      </c>
      <c r="AF20" s="78">
        <f>IF(Calcs!BY25&lt;15,AE20,0)</f>
        <v>0</v>
      </c>
      <c r="AG20" s="97">
        <f t="shared" si="21"/>
        <v>0</v>
      </c>
      <c r="AH20" s="98">
        <f t="shared" si="22"/>
        <v>1488750</v>
      </c>
      <c r="AI20" s="77">
        <f t="shared" si="23"/>
        <v>1488750</v>
      </c>
      <c r="AJ20" s="78">
        <f>IF(Calcs!BY25&lt;10,AE20,0)</f>
        <v>0</v>
      </c>
      <c r="AK20" s="97">
        <f t="shared" si="24"/>
        <v>0</v>
      </c>
      <c r="AL20" s="98">
        <f t="shared" si="25"/>
        <v>1488750</v>
      </c>
      <c r="AM20" s="77">
        <f t="shared" si="26"/>
        <v>1488750</v>
      </c>
      <c r="AN20" s="78">
        <f>NOT(Calcs!BD25)*AM20</f>
        <v>0</v>
      </c>
      <c r="AO20" s="97">
        <f t="shared" si="27"/>
        <v>0</v>
      </c>
      <c r="AP20" s="98">
        <f t="shared" si="28"/>
        <v>1488750</v>
      </c>
      <c r="AQ20" s="77">
        <f t="shared" si="29"/>
        <v>1488750</v>
      </c>
      <c r="AR20" s="78">
        <f>NOT(Calcs!BE25)*AQ20</f>
        <v>0</v>
      </c>
      <c r="AS20" s="97">
        <f t="shared" si="30"/>
        <v>0</v>
      </c>
      <c r="AT20" s="98">
        <f t="shared" si="31"/>
        <v>1488750</v>
      </c>
      <c r="AU20" s="77">
        <f t="shared" si="32"/>
        <v>1488750</v>
      </c>
      <c r="AV20" s="97">
        <f>IF(Calcs!BC25=TRUE, AU20, 0)</f>
        <v>0</v>
      </c>
      <c r="AW20" s="97">
        <f t="shared" si="33"/>
        <v>0</v>
      </c>
      <c r="AX20" s="98">
        <f t="shared" si="34"/>
        <v>1488750</v>
      </c>
      <c r="AY20" s="77">
        <f t="shared" si="35"/>
        <v>1488750</v>
      </c>
      <c r="AZ20" s="97">
        <f>Calcs!BK25*AY20</f>
        <v>0</v>
      </c>
      <c r="BA20" s="97">
        <f t="shared" si="36"/>
        <v>0</v>
      </c>
      <c r="BB20" s="98">
        <f t="shared" si="37"/>
        <v>1488750</v>
      </c>
      <c r="BC20" s="77">
        <f t="shared" si="38"/>
        <v>1488750</v>
      </c>
      <c r="BD20" s="97"/>
      <c r="BE20" s="97"/>
      <c r="BF20" s="98"/>
      <c r="BG20" s="77">
        <f t="shared" si="39"/>
        <v>1488750</v>
      </c>
      <c r="BH20" s="97">
        <f>IF(Calcs!BJ25=FALSE,0,BG20)</f>
        <v>0</v>
      </c>
      <c r="BI20" s="97">
        <f t="shared" si="40"/>
        <v>0</v>
      </c>
      <c r="BJ20" s="98">
        <f t="shared" si="41"/>
        <v>1488750</v>
      </c>
      <c r="BK20" s="77">
        <f t="shared" si="42"/>
        <v>1488750</v>
      </c>
      <c r="BL20" s="97">
        <f>IF(Calcs!AW25=TRUE,BK20,0)</f>
        <v>0</v>
      </c>
      <c r="BM20" s="97">
        <f t="shared" si="43"/>
        <v>0</v>
      </c>
      <c r="BN20" s="98">
        <f t="shared" si="44"/>
        <v>1488750</v>
      </c>
      <c r="BO20" s="77">
        <f t="shared" si="45"/>
        <v>1488750</v>
      </c>
      <c r="BP20" s="97"/>
      <c r="BQ20" s="97">
        <f t="shared" si="46"/>
        <v>0</v>
      </c>
      <c r="BR20" s="98">
        <f t="shared" si="47"/>
        <v>1488750</v>
      </c>
      <c r="BS20" s="77">
        <f t="shared" si="48"/>
        <v>1488750</v>
      </c>
      <c r="BT20" s="97">
        <f>IF(Calcs!BB25=TRUE,'Concentration Limitations'!BS20,0)</f>
        <v>0</v>
      </c>
      <c r="BU20" s="97">
        <f t="shared" si="49"/>
        <v>0</v>
      </c>
      <c r="BV20" s="98">
        <f t="shared" si="50"/>
        <v>1488750</v>
      </c>
      <c r="BW20" s="77">
        <f t="shared" si="51"/>
        <v>1488750</v>
      </c>
      <c r="BX20" s="97">
        <f>IF(Calcs!BI25=TRUE,'Concentration Limitations'!BW20,0)</f>
        <v>0</v>
      </c>
      <c r="BY20" s="97">
        <f t="shared" si="52"/>
        <v>0</v>
      </c>
      <c r="BZ20" s="98">
        <f t="shared" si="53"/>
        <v>1488750</v>
      </c>
      <c r="CA20" s="97">
        <f t="shared" si="54"/>
        <v>1488750</v>
      </c>
      <c r="CB20" s="97"/>
      <c r="CC20" s="97"/>
      <c r="CD20" s="98">
        <f t="shared" si="55"/>
        <v>1488750</v>
      </c>
      <c r="CE20" s="97">
        <f t="shared" si="56"/>
        <v>1488750</v>
      </c>
      <c r="CF20" s="97"/>
      <c r="CG20" s="97"/>
      <c r="CH20" s="98">
        <f t="shared" si="57"/>
        <v>1488750</v>
      </c>
      <c r="CI20" s="97">
        <f t="shared" si="58"/>
        <v>1488750</v>
      </c>
      <c r="CJ20" s="97"/>
      <c r="CK20" s="97"/>
      <c r="CL20" s="98">
        <f t="shared" si="59"/>
        <v>1488750</v>
      </c>
      <c r="CM20" s="97">
        <f t="shared" si="60"/>
        <v>1488750</v>
      </c>
      <c r="CN20" s="97"/>
      <c r="CO20" s="97"/>
      <c r="CP20" s="98">
        <f t="shared" si="61"/>
        <v>1488750</v>
      </c>
      <c r="CQ20" s="97">
        <f t="shared" si="62"/>
        <v>1488750</v>
      </c>
      <c r="CR20" s="97"/>
      <c r="CS20" s="97">
        <f t="shared" si="63"/>
        <v>0</v>
      </c>
      <c r="CT20" s="98">
        <f t="shared" si="64"/>
        <v>1488750</v>
      </c>
      <c r="CU20" s="97">
        <f t="shared" si="65"/>
        <v>1488750</v>
      </c>
      <c r="CV20" s="97"/>
      <c r="CW20" s="97">
        <f t="shared" si="66"/>
        <v>0</v>
      </c>
      <c r="CX20" s="98">
        <f t="shared" si="67"/>
        <v>1488750</v>
      </c>
      <c r="CY20" s="97">
        <f t="shared" si="68"/>
        <v>1488750</v>
      </c>
      <c r="CZ20" s="97"/>
      <c r="DA20" s="97"/>
      <c r="DB20" s="98">
        <f t="shared" si="69"/>
        <v>1488750</v>
      </c>
      <c r="DC20" s="75">
        <f t="shared" si="70"/>
        <v>1488750</v>
      </c>
      <c r="DD20" s="97"/>
      <c r="DE20" s="97"/>
      <c r="DF20" s="98">
        <f t="shared" si="71"/>
        <v>1488750</v>
      </c>
      <c r="DG20" s="75">
        <f t="shared" si="72"/>
        <v>1488750</v>
      </c>
      <c r="DH20" s="78" t="str">
        <f>Calcs!F25</f>
        <v>IT Services</v>
      </c>
      <c r="DI20" s="99">
        <f t="shared" ca="1" si="73"/>
        <v>0</v>
      </c>
      <c r="DJ20" s="98">
        <f t="shared" ca="1" si="74"/>
        <v>1488750</v>
      </c>
      <c r="DK20" s="293">
        <f t="shared" si="75"/>
        <v>19</v>
      </c>
      <c r="DL20" s="532" t="s">
        <v>176</v>
      </c>
      <c r="DM20" s="36"/>
      <c r="DN20" s="36"/>
      <c r="DO20" s="36"/>
      <c r="DP20" s="36"/>
      <c r="DQ20" s="413" cm="1">
        <f t="array" ref="DQ20">+SUMPRODUCT((DL20=$DH$12:$DH$307)*($DG$12:$DG$307))/$N$6</f>
        <v>0</v>
      </c>
      <c r="DR20" s="414">
        <f t="shared" si="76"/>
        <v>19</v>
      </c>
      <c r="DS20" s="413" cm="1">
        <f t="array" aca="1" ref="DS20" ca="1">+SUMPRODUCT((DL20=$DH$12:$DH$307)*($DJ$12:$DJ$307))/$N$6</f>
        <v>0</v>
      </c>
      <c r="DT20" s="417">
        <f t="shared" ca="1" si="80"/>
        <v>19</v>
      </c>
      <c r="DU20" s="415">
        <f t="shared" si="77"/>
        <v>0.1</v>
      </c>
      <c r="DV20" s="416">
        <f t="shared" si="81"/>
        <v>0.1</v>
      </c>
    </row>
    <row r="21" spans="6:127">
      <c r="F21" s="2">
        <f t="shared" ca="1" si="79"/>
        <v>19</v>
      </c>
      <c r="G21" s="40" t="str">
        <f>Calcs!A26</f>
        <v>CF512, Inc.</v>
      </c>
      <c r="H21" s="68">
        <f t="shared" ca="1" si="8"/>
        <v>6282197.3100000005</v>
      </c>
      <c r="I21" s="96"/>
      <c r="J21" s="96"/>
      <c r="K21" s="63">
        <f>+IF(G21="","",IF(COUNTIF(G22:$G$307,G21)=0,1,0))</f>
        <v>1</v>
      </c>
      <c r="L21" s="75">
        <f>Calcs!U26</f>
        <v>6282197.3100000005</v>
      </c>
      <c r="M21">
        <f t="shared" si="2"/>
        <v>19</v>
      </c>
      <c r="N21" s="75">
        <f t="shared" si="9"/>
        <v>6282197.3100000005</v>
      </c>
      <c r="O21" s="75">
        <f t="shared" si="3"/>
        <v>6282197.3100000005</v>
      </c>
      <c r="P21" s="72">
        <f t="shared" si="10"/>
        <v>0.05</v>
      </c>
      <c r="Q21" s="72">
        <f t="shared" si="11"/>
        <v>1.0460808381690835E-2</v>
      </c>
      <c r="R21" s="61">
        <f t="shared" si="12"/>
        <v>0</v>
      </c>
      <c r="S21" s="68">
        <f t="shared" si="13"/>
        <v>6282197.3100000005</v>
      </c>
      <c r="T21" s="68">
        <f t="shared" si="4"/>
        <v>6282197.3100000005</v>
      </c>
      <c r="U21">
        <f t="array" aca="1" ref="U21" ca="1">SUM(1*(S21&lt;$S$12:$S$307))+1+IF(ROW(S21)-ROW($S$12)=0,0,SUM(1*(S21=OFFSET($S$12,0,0,INDEX(ROW(S21)-ROW($S$12)+1,1)-1,1))))</f>
        <v>19</v>
      </c>
      <c r="V21" s="96">
        <f t="shared" si="14"/>
        <v>6282197.3100000005</v>
      </c>
      <c r="W21" s="75">
        <f>Calcs!U26</f>
        <v>6282197.3100000005</v>
      </c>
      <c r="X21" s="78">
        <f>IFERROR(OR(Calcs!BH25,Calcs!BI25)*W21,0)</f>
        <v>0</v>
      </c>
      <c r="Y21" s="97">
        <f t="shared" si="15"/>
        <v>0</v>
      </c>
      <c r="Z21" s="98">
        <f t="shared" si="16"/>
        <v>6282197.3100000005</v>
      </c>
      <c r="AA21" s="77">
        <f t="shared" si="17"/>
        <v>6282197.3100000005</v>
      </c>
      <c r="AB21" s="78">
        <f>IF(AND(Calcs!BM26=TRUE),AA21,0)</f>
        <v>0</v>
      </c>
      <c r="AC21" s="97">
        <f t="shared" si="18"/>
        <v>0</v>
      </c>
      <c r="AD21" s="98">
        <f t="shared" si="19"/>
        <v>6282197.3100000005</v>
      </c>
      <c r="AE21" s="77">
        <f t="shared" si="20"/>
        <v>6282197.3100000005</v>
      </c>
      <c r="AF21" s="78">
        <f>IF(Calcs!BY26&lt;15,AE21,0)</f>
        <v>6282197.3100000005</v>
      </c>
      <c r="AG21" s="97">
        <f t="shared" si="21"/>
        <v>0</v>
      </c>
      <c r="AH21" s="98">
        <f t="shared" si="22"/>
        <v>6282197.3100000005</v>
      </c>
      <c r="AI21" s="77">
        <f t="shared" si="23"/>
        <v>6282197.3100000005</v>
      </c>
      <c r="AJ21" s="78">
        <f>IF(Calcs!BY26&lt;10,AE21,0)</f>
        <v>0</v>
      </c>
      <c r="AK21" s="97">
        <f t="shared" si="24"/>
        <v>0</v>
      </c>
      <c r="AL21" s="98">
        <f t="shared" si="25"/>
        <v>6282197.3100000005</v>
      </c>
      <c r="AM21" s="77">
        <f t="shared" si="26"/>
        <v>6282197.3100000005</v>
      </c>
      <c r="AN21" s="78">
        <f>NOT(Calcs!BD26)*AM21</f>
        <v>0</v>
      </c>
      <c r="AO21" s="97">
        <f t="shared" si="27"/>
        <v>0</v>
      </c>
      <c r="AP21" s="98">
        <f t="shared" si="28"/>
        <v>6282197.3100000005</v>
      </c>
      <c r="AQ21" s="77">
        <f t="shared" si="29"/>
        <v>6282197.3100000005</v>
      </c>
      <c r="AR21" s="78">
        <f>NOT(Calcs!BE26)*AQ21</f>
        <v>0</v>
      </c>
      <c r="AS21" s="97">
        <f t="shared" si="30"/>
        <v>0</v>
      </c>
      <c r="AT21" s="98">
        <f t="shared" si="31"/>
        <v>6282197.3100000005</v>
      </c>
      <c r="AU21" s="77">
        <f t="shared" si="32"/>
        <v>6282197.3100000005</v>
      </c>
      <c r="AV21" s="97">
        <f>IF(Calcs!BC26=TRUE, AU21, 0)</f>
        <v>0</v>
      </c>
      <c r="AW21" s="97">
        <f t="shared" si="33"/>
        <v>0</v>
      </c>
      <c r="AX21" s="98">
        <f t="shared" si="34"/>
        <v>6282197.3100000005</v>
      </c>
      <c r="AY21" s="77">
        <f t="shared" si="35"/>
        <v>6282197.3100000005</v>
      </c>
      <c r="AZ21" s="97">
        <f>Calcs!BK26*AY21</f>
        <v>0</v>
      </c>
      <c r="BA21" s="97">
        <f t="shared" si="36"/>
        <v>0</v>
      </c>
      <c r="BB21" s="98">
        <f t="shared" si="37"/>
        <v>6282197.3100000005</v>
      </c>
      <c r="BC21" s="77">
        <f t="shared" si="38"/>
        <v>6282197.3100000005</v>
      </c>
      <c r="BD21" s="97"/>
      <c r="BE21" s="97"/>
      <c r="BF21" s="98"/>
      <c r="BG21" s="77">
        <f t="shared" si="39"/>
        <v>6282197.3100000005</v>
      </c>
      <c r="BH21" s="97">
        <f>IF(Calcs!BJ26=FALSE,0,BG21)</f>
        <v>0</v>
      </c>
      <c r="BI21" s="97">
        <f t="shared" si="40"/>
        <v>0</v>
      </c>
      <c r="BJ21" s="98">
        <f t="shared" si="41"/>
        <v>6282197.3100000005</v>
      </c>
      <c r="BK21" s="77">
        <f t="shared" si="42"/>
        <v>6282197.3100000005</v>
      </c>
      <c r="BL21" s="97">
        <f>IF(Calcs!AW26=TRUE,BK21,0)</f>
        <v>0</v>
      </c>
      <c r="BM21" s="97">
        <f t="shared" si="43"/>
        <v>0</v>
      </c>
      <c r="BN21" s="98">
        <f t="shared" si="44"/>
        <v>6282197.3100000005</v>
      </c>
      <c r="BO21" s="77">
        <f t="shared" si="45"/>
        <v>6282197.3100000005</v>
      </c>
      <c r="BP21" s="97"/>
      <c r="BQ21" s="97">
        <f t="shared" si="46"/>
        <v>0</v>
      </c>
      <c r="BR21" s="98">
        <f t="shared" si="47"/>
        <v>6282197.3100000005</v>
      </c>
      <c r="BS21" s="77">
        <f t="shared" si="48"/>
        <v>6282197.3100000005</v>
      </c>
      <c r="BT21" s="97">
        <f>IF(Calcs!BB26=TRUE,'Concentration Limitations'!BS21,0)</f>
        <v>0</v>
      </c>
      <c r="BU21" s="97">
        <f t="shared" si="49"/>
        <v>0</v>
      </c>
      <c r="BV21" s="98">
        <f t="shared" si="50"/>
        <v>6282197.3100000005</v>
      </c>
      <c r="BW21" s="77">
        <f t="shared" si="51"/>
        <v>6282197.3100000005</v>
      </c>
      <c r="BX21" s="97">
        <f>IF(Calcs!BI26=TRUE,'Concentration Limitations'!BW21,0)</f>
        <v>0</v>
      </c>
      <c r="BY21" s="97">
        <f t="shared" si="52"/>
        <v>0</v>
      </c>
      <c r="BZ21" s="98">
        <f t="shared" si="53"/>
        <v>6282197.3100000005</v>
      </c>
      <c r="CA21" s="97">
        <f t="shared" si="54"/>
        <v>6282197.3100000005</v>
      </c>
      <c r="CB21" s="97"/>
      <c r="CC21" s="97"/>
      <c r="CD21" s="98">
        <f t="shared" si="55"/>
        <v>6282197.3100000005</v>
      </c>
      <c r="CE21" s="97">
        <f t="shared" si="56"/>
        <v>6282197.3100000005</v>
      </c>
      <c r="CF21" s="97"/>
      <c r="CG21" s="97"/>
      <c r="CH21" s="98">
        <f t="shared" si="57"/>
        <v>6282197.3100000005</v>
      </c>
      <c r="CI21" s="97">
        <f t="shared" si="58"/>
        <v>6282197.3100000005</v>
      </c>
      <c r="CJ21" s="97"/>
      <c r="CK21" s="97"/>
      <c r="CL21" s="98">
        <f t="shared" si="59"/>
        <v>6282197.3100000005</v>
      </c>
      <c r="CM21" s="97">
        <f t="shared" si="60"/>
        <v>6282197.3100000005</v>
      </c>
      <c r="CN21" s="97"/>
      <c r="CO21" s="97"/>
      <c r="CP21" s="98">
        <f t="shared" si="61"/>
        <v>6282197.3100000005</v>
      </c>
      <c r="CQ21" s="97">
        <f t="shared" si="62"/>
        <v>6282197.3100000005</v>
      </c>
      <c r="CR21" s="97"/>
      <c r="CS21" s="97">
        <f t="shared" si="63"/>
        <v>0</v>
      </c>
      <c r="CT21" s="98">
        <f t="shared" si="64"/>
        <v>6282197.3100000005</v>
      </c>
      <c r="CU21" s="97">
        <f t="shared" si="65"/>
        <v>6282197.3100000005</v>
      </c>
      <c r="CV21" s="97"/>
      <c r="CW21" s="97">
        <f t="shared" si="66"/>
        <v>0</v>
      </c>
      <c r="CX21" s="98">
        <f t="shared" si="67"/>
        <v>6282197.3100000005</v>
      </c>
      <c r="CY21" s="97">
        <f t="shared" si="68"/>
        <v>6282197.3100000005</v>
      </c>
      <c r="CZ21" s="97"/>
      <c r="DA21" s="97"/>
      <c r="DB21" s="98">
        <f t="shared" si="69"/>
        <v>6282197.3100000005</v>
      </c>
      <c r="DC21" s="75">
        <f t="shared" si="70"/>
        <v>6282197.3100000005</v>
      </c>
      <c r="DD21" s="97"/>
      <c r="DE21" s="97"/>
      <c r="DF21" s="98">
        <f t="shared" si="71"/>
        <v>6282197.3100000005</v>
      </c>
      <c r="DG21" s="75">
        <f t="shared" si="72"/>
        <v>6282197.3100000005</v>
      </c>
      <c r="DH21" s="78" t="str">
        <f>Calcs!F26</f>
        <v>Media</v>
      </c>
      <c r="DI21" s="99">
        <f t="shared" ca="1" si="73"/>
        <v>0</v>
      </c>
      <c r="DJ21" s="98">
        <f t="shared" ca="1" si="74"/>
        <v>6282197.3100000005</v>
      </c>
      <c r="DK21" s="293">
        <f t="shared" si="75"/>
        <v>19</v>
      </c>
      <c r="DL21" s="532" t="s">
        <v>177</v>
      </c>
      <c r="DM21" s="36"/>
      <c r="DN21" s="36"/>
      <c r="DO21" s="36"/>
      <c r="DP21" s="36"/>
      <c r="DQ21" s="413" cm="1">
        <f t="array" ref="DQ21">+SUMPRODUCT((DL21=$DH$12:$DH$307)*($DG$12:$DG$307))/$N$6</f>
        <v>0</v>
      </c>
      <c r="DR21" s="414">
        <f t="shared" si="76"/>
        <v>19</v>
      </c>
      <c r="DS21" s="413" cm="1">
        <f t="array" aca="1" ref="DS21" ca="1">+SUMPRODUCT((DL21=$DH$12:$DH$307)*($DJ$12:$DJ$307))/$N$6</f>
        <v>0</v>
      </c>
      <c r="DT21" s="417">
        <f t="shared" ca="1" si="80"/>
        <v>19</v>
      </c>
      <c r="DU21" s="415">
        <f t="shared" si="77"/>
        <v>0.1</v>
      </c>
      <c r="DV21" s="416">
        <f t="shared" si="81"/>
        <v>0.1</v>
      </c>
    </row>
    <row r="22" spans="6:127">
      <c r="F22" s="2">
        <f t="shared" ca="1" si="79"/>
        <v>16</v>
      </c>
      <c r="G22" s="40" t="str">
        <f>Calcs!A27</f>
        <v>Carnegie Dartlet, LLC</v>
      </c>
      <c r="H22" s="68">
        <f t="shared" ca="1" si="8"/>
        <v>6882726.1399999997</v>
      </c>
      <c r="I22" s="96"/>
      <c r="J22" s="96"/>
      <c r="K22" s="63">
        <f>+IF(G22="","",IF(COUNTIF(G23:$G$307,G22)=0,1,0))</f>
        <v>1</v>
      </c>
      <c r="L22" s="75">
        <f>Calcs!U27</f>
        <v>6882726.1399999997</v>
      </c>
      <c r="M22">
        <f t="shared" si="2"/>
        <v>16</v>
      </c>
      <c r="N22" s="75">
        <f t="shared" si="9"/>
        <v>6882726.1399999997</v>
      </c>
      <c r="O22" s="75">
        <f t="shared" si="3"/>
        <v>6882726.1399999997</v>
      </c>
      <c r="P22" s="72">
        <f t="shared" si="10"/>
        <v>0.05</v>
      </c>
      <c r="Q22" s="72">
        <f t="shared" si="11"/>
        <v>1.1460779682864592E-2</v>
      </c>
      <c r="R22" s="61">
        <f t="shared" si="12"/>
        <v>0</v>
      </c>
      <c r="S22" s="68">
        <f t="shared" si="13"/>
        <v>6882726.1399999997</v>
      </c>
      <c r="T22" s="68">
        <f t="shared" si="4"/>
        <v>6882726.1399999997</v>
      </c>
      <c r="U22">
        <f t="array" aca="1" ref="U22" ca="1">SUM(1*(S22&lt;$S$12:$S$307))+1+IF(ROW(S22)-ROW($S$12)=0,0,SUM(1*(S22=OFFSET($S$12,0,0,INDEX(ROW(S22)-ROW($S$12)+1,1)-1,1))))</f>
        <v>16</v>
      </c>
      <c r="V22" s="96">
        <f t="shared" si="14"/>
        <v>6882726.1399999997</v>
      </c>
      <c r="W22" s="75">
        <f>Calcs!U27</f>
        <v>6882726.1399999997</v>
      </c>
      <c r="X22" s="78">
        <f>IFERROR(OR(Calcs!BH26,Calcs!BI26)*W22,0)</f>
        <v>0</v>
      </c>
      <c r="Y22" s="97">
        <f t="shared" si="15"/>
        <v>0</v>
      </c>
      <c r="Z22" s="98">
        <f t="shared" si="16"/>
        <v>6882726.1399999997</v>
      </c>
      <c r="AA22" s="77">
        <f t="shared" si="17"/>
        <v>6882726.1399999997</v>
      </c>
      <c r="AB22" s="78">
        <f>IF(AND(Calcs!BM27=TRUE),AA22,0)</f>
        <v>0</v>
      </c>
      <c r="AC22" s="97">
        <f t="shared" si="18"/>
        <v>0</v>
      </c>
      <c r="AD22" s="98">
        <f t="shared" si="19"/>
        <v>6882726.1399999997</v>
      </c>
      <c r="AE22" s="77">
        <f t="shared" si="20"/>
        <v>6882726.1399999997</v>
      </c>
      <c r="AF22" s="78">
        <f>IF(Calcs!BY27&lt;15,AE22,0)</f>
        <v>0</v>
      </c>
      <c r="AG22" s="97">
        <f t="shared" si="21"/>
        <v>0</v>
      </c>
      <c r="AH22" s="98">
        <f t="shared" si="22"/>
        <v>6882726.1399999997</v>
      </c>
      <c r="AI22" s="77">
        <f t="shared" si="23"/>
        <v>6882726.1399999997</v>
      </c>
      <c r="AJ22" s="78">
        <f>IF(Calcs!BY27&lt;10,AE22,0)</f>
        <v>0</v>
      </c>
      <c r="AK22" s="97">
        <f t="shared" si="24"/>
        <v>0</v>
      </c>
      <c r="AL22" s="98">
        <f t="shared" si="25"/>
        <v>6882726.1399999997</v>
      </c>
      <c r="AM22" s="77">
        <f t="shared" si="26"/>
        <v>6882726.1399999997</v>
      </c>
      <c r="AN22" s="78">
        <f>NOT(Calcs!BD27)*AM22</f>
        <v>0</v>
      </c>
      <c r="AO22" s="97">
        <f t="shared" si="27"/>
        <v>0</v>
      </c>
      <c r="AP22" s="98">
        <f t="shared" si="28"/>
        <v>6882726.1399999997</v>
      </c>
      <c r="AQ22" s="77">
        <f t="shared" si="29"/>
        <v>6882726.1399999997</v>
      </c>
      <c r="AR22" s="78">
        <f>NOT(Calcs!BE27)*AQ22</f>
        <v>0</v>
      </c>
      <c r="AS22" s="97">
        <f t="shared" si="30"/>
        <v>0</v>
      </c>
      <c r="AT22" s="98">
        <f t="shared" si="31"/>
        <v>6882726.1399999997</v>
      </c>
      <c r="AU22" s="77">
        <f t="shared" si="32"/>
        <v>6882726.1399999997</v>
      </c>
      <c r="AV22" s="97">
        <f>IF(Calcs!BC27=TRUE, AU22, 0)</f>
        <v>0</v>
      </c>
      <c r="AW22" s="97">
        <f t="shared" si="33"/>
        <v>0</v>
      </c>
      <c r="AX22" s="98">
        <f t="shared" si="34"/>
        <v>6882726.1399999997</v>
      </c>
      <c r="AY22" s="77">
        <f t="shared" si="35"/>
        <v>6882726.1399999997</v>
      </c>
      <c r="AZ22" s="97">
        <f>Calcs!BK27*AY22</f>
        <v>0</v>
      </c>
      <c r="BA22" s="97">
        <f t="shared" si="36"/>
        <v>0</v>
      </c>
      <c r="BB22" s="98">
        <f t="shared" si="37"/>
        <v>6882726.1399999997</v>
      </c>
      <c r="BC22" s="77">
        <f t="shared" si="38"/>
        <v>6882726.1399999997</v>
      </c>
      <c r="BD22" s="97"/>
      <c r="BE22" s="97"/>
      <c r="BF22" s="98"/>
      <c r="BG22" s="77">
        <f t="shared" si="39"/>
        <v>6882726.1399999997</v>
      </c>
      <c r="BH22" s="97">
        <f>IF(Calcs!BJ27=FALSE,0,BG22)</f>
        <v>0</v>
      </c>
      <c r="BI22" s="97">
        <f t="shared" si="40"/>
        <v>0</v>
      </c>
      <c r="BJ22" s="98">
        <f t="shared" si="41"/>
        <v>6882726.1399999997</v>
      </c>
      <c r="BK22" s="77">
        <f t="shared" si="42"/>
        <v>6882726.1399999997</v>
      </c>
      <c r="BL22" s="97">
        <f>IF(Calcs!AW27=TRUE,BK22,0)</f>
        <v>0</v>
      </c>
      <c r="BM22" s="97">
        <f t="shared" si="43"/>
        <v>0</v>
      </c>
      <c r="BN22" s="98">
        <f t="shared" si="44"/>
        <v>6882726.1399999997</v>
      </c>
      <c r="BO22" s="77">
        <f t="shared" si="45"/>
        <v>6882726.1399999997</v>
      </c>
      <c r="BP22" s="97"/>
      <c r="BQ22" s="97">
        <f t="shared" si="46"/>
        <v>0</v>
      </c>
      <c r="BR22" s="98">
        <f t="shared" si="47"/>
        <v>6882726.1399999997</v>
      </c>
      <c r="BS22" s="77">
        <f t="shared" si="48"/>
        <v>6882726.1399999997</v>
      </c>
      <c r="BT22" s="97">
        <f>IF(Calcs!BB27=TRUE,'Concentration Limitations'!BS22,0)</f>
        <v>0</v>
      </c>
      <c r="BU22" s="97">
        <f t="shared" si="49"/>
        <v>0</v>
      </c>
      <c r="BV22" s="98">
        <f t="shared" si="50"/>
        <v>6882726.1399999997</v>
      </c>
      <c r="BW22" s="77">
        <f t="shared" si="51"/>
        <v>6882726.1399999997</v>
      </c>
      <c r="BX22" s="97">
        <f>IF(Calcs!BI27=TRUE,'Concentration Limitations'!BW22,0)</f>
        <v>0</v>
      </c>
      <c r="BY22" s="97">
        <f t="shared" si="52"/>
        <v>0</v>
      </c>
      <c r="BZ22" s="98">
        <f t="shared" si="53"/>
        <v>6882726.1399999997</v>
      </c>
      <c r="CA22" s="97">
        <f t="shared" si="54"/>
        <v>6882726.1399999997</v>
      </c>
      <c r="CB22" s="97"/>
      <c r="CC22" s="97"/>
      <c r="CD22" s="98">
        <f t="shared" si="55"/>
        <v>6882726.1399999997</v>
      </c>
      <c r="CE22" s="97">
        <f t="shared" si="56"/>
        <v>6882726.1399999997</v>
      </c>
      <c r="CF22" s="97"/>
      <c r="CG22" s="97"/>
      <c r="CH22" s="98">
        <f t="shared" si="57"/>
        <v>6882726.1399999997</v>
      </c>
      <c r="CI22" s="97">
        <f t="shared" si="58"/>
        <v>6882726.1399999997</v>
      </c>
      <c r="CJ22" s="97"/>
      <c r="CK22" s="97"/>
      <c r="CL22" s="98">
        <f t="shared" si="59"/>
        <v>6882726.1399999997</v>
      </c>
      <c r="CM22" s="97">
        <f t="shared" si="60"/>
        <v>6882726.1399999997</v>
      </c>
      <c r="CN22" s="97"/>
      <c r="CO22" s="97"/>
      <c r="CP22" s="98">
        <f t="shared" si="61"/>
        <v>6882726.1399999997</v>
      </c>
      <c r="CQ22" s="97">
        <f t="shared" si="62"/>
        <v>6882726.1399999997</v>
      </c>
      <c r="CR22" s="97"/>
      <c r="CS22" s="97">
        <f t="shared" si="63"/>
        <v>0</v>
      </c>
      <c r="CT22" s="98">
        <f t="shared" si="64"/>
        <v>6882726.1399999997</v>
      </c>
      <c r="CU22" s="97">
        <f t="shared" si="65"/>
        <v>6882726.1399999997</v>
      </c>
      <c r="CV22" s="97"/>
      <c r="CW22" s="97">
        <f t="shared" si="66"/>
        <v>0</v>
      </c>
      <c r="CX22" s="98">
        <f t="shared" si="67"/>
        <v>6882726.1399999997</v>
      </c>
      <c r="CY22" s="97">
        <f t="shared" si="68"/>
        <v>6882726.1399999997</v>
      </c>
      <c r="CZ22" s="97"/>
      <c r="DA22" s="97"/>
      <c r="DB22" s="98">
        <f t="shared" si="69"/>
        <v>6882726.1399999997</v>
      </c>
      <c r="DC22" s="75">
        <f t="shared" si="70"/>
        <v>6882726.1399999997</v>
      </c>
      <c r="DD22" s="97"/>
      <c r="DE22" s="97"/>
      <c r="DF22" s="98">
        <f t="shared" si="71"/>
        <v>6882726.1399999997</v>
      </c>
      <c r="DG22" s="75">
        <f t="shared" si="72"/>
        <v>6882726.1399999997</v>
      </c>
      <c r="DH22" s="78" t="str">
        <f>Calcs!F27</f>
        <v>Media</v>
      </c>
      <c r="DI22" s="99">
        <f t="shared" ca="1" si="73"/>
        <v>0</v>
      </c>
      <c r="DJ22" s="98">
        <f t="shared" ca="1" si="74"/>
        <v>6882726.1399999997</v>
      </c>
      <c r="DK22" s="293">
        <f t="shared" si="75"/>
        <v>12</v>
      </c>
      <c r="DL22" s="532" t="s">
        <v>178</v>
      </c>
      <c r="DM22" s="36"/>
      <c r="DN22" s="36"/>
      <c r="DO22" s="36"/>
      <c r="DP22" s="36"/>
      <c r="DQ22" s="413" cm="1">
        <f t="array" ref="DQ22">+SUMPRODUCT((DL22=$DH$12:$DH$307)*($DG$12:$DG$307))/$N$6</f>
        <v>8.8683333497342372E-3</v>
      </c>
      <c r="DR22" s="414">
        <f t="shared" si="76"/>
        <v>12</v>
      </c>
      <c r="DS22" s="413" cm="1">
        <f t="array" aca="1" ref="DS22" ca="1">+SUMPRODUCT((DL22=$DH$12:$DH$307)*($DJ$12:$DJ$307))/$N$6</f>
        <v>8.8683333497342372E-3</v>
      </c>
      <c r="DT22" s="417">
        <f t="shared" ca="1" si="80"/>
        <v>12</v>
      </c>
      <c r="DU22" s="415">
        <f t="shared" si="77"/>
        <v>0.1</v>
      </c>
      <c r="DV22" s="416">
        <f t="shared" si="81"/>
        <v>9.1131666650265772E-2</v>
      </c>
    </row>
    <row r="23" spans="6:127">
      <c r="F23" s="2">
        <f t="shared" ca="1" si="79"/>
        <v>56</v>
      </c>
      <c r="G23" s="40" t="str">
        <f>Calcs!A28</f>
        <v>Carisk Buyer, Inc.</v>
      </c>
      <c r="H23" s="68">
        <f t="shared" ca="1" si="8"/>
        <v>1113939.3600000001</v>
      </c>
      <c r="I23" s="96"/>
      <c r="J23" s="96"/>
      <c r="K23" s="63">
        <f>+IF(G23="","",IF(COUNTIF(G24:$G$307,G23)=0,1,0))</f>
        <v>1</v>
      </c>
      <c r="L23" s="75">
        <f>Calcs!U28</f>
        <v>1113939.3600000001</v>
      </c>
      <c r="M23">
        <f t="shared" si="2"/>
        <v>56</v>
      </c>
      <c r="N23" s="75">
        <f t="shared" si="9"/>
        <v>1113939.3600000001</v>
      </c>
      <c r="O23" s="75">
        <f t="shared" si="3"/>
        <v>1113939.3600000001</v>
      </c>
      <c r="P23" s="72">
        <f t="shared" si="10"/>
        <v>0.05</v>
      </c>
      <c r="Q23" s="72">
        <f t="shared" si="11"/>
        <v>1.8548774606672333E-3</v>
      </c>
      <c r="R23" s="61">
        <f t="shared" si="12"/>
        <v>0</v>
      </c>
      <c r="S23" s="68">
        <f t="shared" si="13"/>
        <v>1113939.3600000001</v>
      </c>
      <c r="T23" s="68">
        <f t="shared" si="4"/>
        <v>1113939.3600000001</v>
      </c>
      <c r="U23">
        <f t="array" aca="1" ref="U23" ca="1">SUM(1*(S23&lt;$S$12:$S$307))+1+IF(ROW(S23)-ROW($S$12)=0,0,SUM(1*(S23=OFFSET($S$12,0,0,INDEX(ROW(S23)-ROW($S$12)+1,1)-1,1))))</f>
        <v>56</v>
      </c>
      <c r="V23" s="96">
        <f t="shared" si="14"/>
        <v>1113939.3600000001</v>
      </c>
      <c r="W23" s="75">
        <f>Calcs!U28</f>
        <v>1113939.3600000001</v>
      </c>
      <c r="X23" s="78">
        <f>IFERROR(OR(Calcs!BH27,Calcs!BI27)*W23,0)</f>
        <v>0</v>
      </c>
      <c r="Y23" s="97">
        <f t="shared" si="15"/>
        <v>0</v>
      </c>
      <c r="Z23" s="98">
        <f t="shared" si="16"/>
        <v>1113939.3600000001</v>
      </c>
      <c r="AA23" s="77">
        <f t="shared" si="17"/>
        <v>1113939.3600000001</v>
      </c>
      <c r="AB23" s="78">
        <f>IF(AND(Calcs!BM28=TRUE),AA23,0)</f>
        <v>0</v>
      </c>
      <c r="AC23" s="97">
        <f t="shared" si="18"/>
        <v>0</v>
      </c>
      <c r="AD23" s="98">
        <f t="shared" si="19"/>
        <v>1113939.3600000001</v>
      </c>
      <c r="AE23" s="77">
        <f t="shared" si="20"/>
        <v>1113939.3600000001</v>
      </c>
      <c r="AF23" s="78">
        <f>IF(Calcs!BY28&lt;15,AE23,0)</f>
        <v>0</v>
      </c>
      <c r="AG23" s="97">
        <f t="shared" si="21"/>
        <v>0</v>
      </c>
      <c r="AH23" s="98">
        <f t="shared" si="22"/>
        <v>1113939.3600000001</v>
      </c>
      <c r="AI23" s="77">
        <f t="shared" si="23"/>
        <v>1113939.3600000001</v>
      </c>
      <c r="AJ23" s="78">
        <f>IF(Calcs!BY28&lt;10,AE23,0)</f>
        <v>0</v>
      </c>
      <c r="AK23" s="97">
        <f t="shared" si="24"/>
        <v>0</v>
      </c>
      <c r="AL23" s="98">
        <f t="shared" si="25"/>
        <v>1113939.3600000001</v>
      </c>
      <c r="AM23" s="77">
        <f t="shared" si="26"/>
        <v>1113939.3600000001</v>
      </c>
      <c r="AN23" s="78">
        <f>NOT(Calcs!BD28)*AM23</f>
        <v>0</v>
      </c>
      <c r="AO23" s="97">
        <f t="shared" si="27"/>
        <v>0</v>
      </c>
      <c r="AP23" s="98">
        <f t="shared" si="28"/>
        <v>1113939.3600000001</v>
      </c>
      <c r="AQ23" s="77">
        <f t="shared" si="29"/>
        <v>1113939.3600000001</v>
      </c>
      <c r="AR23" s="78">
        <f>NOT(Calcs!BE28)*AQ23</f>
        <v>0</v>
      </c>
      <c r="AS23" s="97">
        <f t="shared" si="30"/>
        <v>0</v>
      </c>
      <c r="AT23" s="98">
        <f t="shared" si="31"/>
        <v>1113939.3600000001</v>
      </c>
      <c r="AU23" s="77">
        <f t="shared" si="32"/>
        <v>1113939.3600000001</v>
      </c>
      <c r="AV23" s="97">
        <f>IF(Calcs!BC28=TRUE, AU23, 0)</f>
        <v>0</v>
      </c>
      <c r="AW23" s="97">
        <f t="shared" si="33"/>
        <v>0</v>
      </c>
      <c r="AX23" s="98">
        <f t="shared" si="34"/>
        <v>1113939.3600000001</v>
      </c>
      <c r="AY23" s="77">
        <f t="shared" si="35"/>
        <v>1113939.3600000001</v>
      </c>
      <c r="AZ23" s="97">
        <f>Calcs!BK28*AY23</f>
        <v>0</v>
      </c>
      <c r="BA23" s="97">
        <f t="shared" si="36"/>
        <v>0</v>
      </c>
      <c r="BB23" s="98">
        <f t="shared" si="37"/>
        <v>1113939.3600000001</v>
      </c>
      <c r="BC23" s="77">
        <f t="shared" si="38"/>
        <v>1113939.3600000001</v>
      </c>
      <c r="BD23" s="97"/>
      <c r="BE23" s="97"/>
      <c r="BF23" s="98"/>
      <c r="BG23" s="77">
        <f t="shared" si="39"/>
        <v>1113939.3600000001</v>
      </c>
      <c r="BH23" s="97">
        <f>IF(Calcs!BJ28=FALSE,0,BG23)</f>
        <v>0</v>
      </c>
      <c r="BI23" s="97">
        <f t="shared" si="40"/>
        <v>0</v>
      </c>
      <c r="BJ23" s="98">
        <f t="shared" si="41"/>
        <v>1113939.3600000001</v>
      </c>
      <c r="BK23" s="77">
        <f t="shared" si="42"/>
        <v>1113939.3600000001</v>
      </c>
      <c r="BL23" s="97">
        <f>IF(Calcs!AW28=TRUE,BK23,0)</f>
        <v>0</v>
      </c>
      <c r="BM23" s="97">
        <f t="shared" si="43"/>
        <v>0</v>
      </c>
      <c r="BN23" s="98">
        <f t="shared" si="44"/>
        <v>1113939.3600000001</v>
      </c>
      <c r="BO23" s="77">
        <f t="shared" si="45"/>
        <v>1113939.3600000001</v>
      </c>
      <c r="BP23" s="97"/>
      <c r="BQ23" s="97">
        <f t="shared" si="46"/>
        <v>0</v>
      </c>
      <c r="BR23" s="98">
        <f t="shared" si="47"/>
        <v>1113939.3600000001</v>
      </c>
      <c r="BS23" s="77">
        <f t="shared" si="48"/>
        <v>1113939.3600000001</v>
      </c>
      <c r="BT23" s="97">
        <f>IF(Calcs!BB28=TRUE,'Concentration Limitations'!BS23,0)</f>
        <v>0</v>
      </c>
      <c r="BU23" s="97">
        <f t="shared" si="49"/>
        <v>0</v>
      </c>
      <c r="BV23" s="98">
        <f t="shared" si="50"/>
        <v>1113939.3600000001</v>
      </c>
      <c r="BW23" s="77">
        <f t="shared" si="51"/>
        <v>1113939.3600000001</v>
      </c>
      <c r="BX23" s="97">
        <f>IF(Calcs!BI28=TRUE,'Concentration Limitations'!BW23,0)</f>
        <v>0</v>
      </c>
      <c r="BY23" s="97">
        <f t="shared" si="52"/>
        <v>0</v>
      </c>
      <c r="BZ23" s="98">
        <f t="shared" si="53"/>
        <v>1113939.3600000001</v>
      </c>
      <c r="CA23" s="97">
        <f t="shared" si="54"/>
        <v>1113939.3600000001</v>
      </c>
      <c r="CB23" s="97"/>
      <c r="CC23" s="97"/>
      <c r="CD23" s="98">
        <f t="shared" si="55"/>
        <v>1113939.3600000001</v>
      </c>
      <c r="CE23" s="97">
        <f t="shared" si="56"/>
        <v>1113939.3600000001</v>
      </c>
      <c r="CF23" s="97"/>
      <c r="CG23" s="97"/>
      <c r="CH23" s="98">
        <f t="shared" si="57"/>
        <v>1113939.3600000001</v>
      </c>
      <c r="CI23" s="97">
        <f t="shared" si="58"/>
        <v>1113939.3600000001</v>
      </c>
      <c r="CJ23" s="97"/>
      <c r="CK23" s="97"/>
      <c r="CL23" s="98">
        <f t="shared" si="59"/>
        <v>1113939.3600000001</v>
      </c>
      <c r="CM23" s="97">
        <f t="shared" si="60"/>
        <v>1113939.3600000001</v>
      </c>
      <c r="CN23" s="97"/>
      <c r="CO23" s="97"/>
      <c r="CP23" s="98">
        <f t="shared" si="61"/>
        <v>1113939.3600000001</v>
      </c>
      <c r="CQ23" s="97">
        <f t="shared" si="62"/>
        <v>1113939.3600000001</v>
      </c>
      <c r="CR23" s="97"/>
      <c r="CS23" s="97">
        <f t="shared" si="63"/>
        <v>0</v>
      </c>
      <c r="CT23" s="98">
        <f t="shared" si="64"/>
        <v>1113939.3600000001</v>
      </c>
      <c r="CU23" s="97">
        <f t="shared" si="65"/>
        <v>1113939.3600000001</v>
      </c>
      <c r="CV23" s="97"/>
      <c r="CW23" s="97">
        <f t="shared" si="66"/>
        <v>0</v>
      </c>
      <c r="CX23" s="98">
        <f t="shared" si="67"/>
        <v>1113939.3600000001</v>
      </c>
      <c r="CY23" s="97">
        <f t="shared" si="68"/>
        <v>1113939.3600000001</v>
      </c>
      <c r="CZ23" s="97"/>
      <c r="DA23" s="97"/>
      <c r="DB23" s="98">
        <f t="shared" si="69"/>
        <v>1113939.3600000001</v>
      </c>
      <c r="DC23" s="75">
        <f t="shared" si="70"/>
        <v>1113939.3600000001</v>
      </c>
      <c r="DD23" s="97"/>
      <c r="DE23" s="97"/>
      <c r="DF23" s="98">
        <f t="shared" si="71"/>
        <v>1113939.3600000001</v>
      </c>
      <c r="DG23" s="75">
        <f t="shared" si="72"/>
        <v>1113939.3600000001</v>
      </c>
      <c r="DH23" s="78" t="str">
        <f>Calcs!F28</f>
        <v>Health Care Providers &amp; Services</v>
      </c>
      <c r="DI23" s="99">
        <f t="shared" ca="1" si="73"/>
        <v>0</v>
      </c>
      <c r="DJ23" s="98">
        <f t="shared" ca="1" si="74"/>
        <v>1113939.3600000001</v>
      </c>
      <c r="DK23" s="293">
        <f t="shared" si="75"/>
        <v>16</v>
      </c>
      <c r="DL23" s="532" t="s">
        <v>325</v>
      </c>
      <c r="DM23" s="36"/>
      <c r="DN23" s="36"/>
      <c r="DO23" s="36"/>
      <c r="DP23" s="36"/>
      <c r="DQ23" s="413" cm="1">
        <f t="array" ref="DQ23">+SUMPRODUCT((DL23=$DH$12:$DH$307)*($DG$12:$DG$307))/$N$6</f>
        <v>5.1383086993812884E-3</v>
      </c>
      <c r="DR23" s="414">
        <f t="shared" si="76"/>
        <v>16</v>
      </c>
      <c r="DS23" s="413" cm="1">
        <f t="array" aca="1" ref="DS23" ca="1">+SUMPRODUCT((DL23=$DH$12:$DH$307)*($DJ$12:$DJ$307))/$N$6</f>
        <v>5.1383086993812884E-3</v>
      </c>
      <c r="DT23" s="417">
        <f t="shared" ca="1" si="80"/>
        <v>16</v>
      </c>
      <c r="DU23" s="415">
        <f t="shared" si="77"/>
        <v>0.1</v>
      </c>
      <c r="DV23" s="416">
        <f t="shared" si="81"/>
        <v>9.4861691300618722E-2</v>
      </c>
    </row>
    <row r="24" spans="6:127">
      <c r="F24" s="2">
        <f t="shared" ca="1" si="79"/>
        <v>26</v>
      </c>
      <c r="G24" s="40" t="str">
        <f>Calcs!A29</f>
        <v>Cartessa</v>
      </c>
      <c r="H24" s="68">
        <f t="shared" ca="1" si="8"/>
        <v>5192492.34</v>
      </c>
      <c r="I24" s="96"/>
      <c r="J24" s="96"/>
      <c r="K24" s="63">
        <f>+IF(G24="","",IF(COUNTIF(G25:$G$307,G24)=0,1,0))</f>
        <v>1</v>
      </c>
      <c r="L24" s="75">
        <f>Calcs!U29</f>
        <v>5192492.34</v>
      </c>
      <c r="M24">
        <f t="shared" si="2"/>
        <v>26</v>
      </c>
      <c r="N24" s="75">
        <f t="shared" si="9"/>
        <v>5192492.34</v>
      </c>
      <c r="O24" s="75">
        <f t="shared" si="3"/>
        <v>5192492.34</v>
      </c>
      <c r="P24" s="72">
        <f t="shared" si="10"/>
        <v>0.05</v>
      </c>
      <c r="Q24" s="72">
        <f t="shared" si="11"/>
        <v>8.6462848445836935E-3</v>
      </c>
      <c r="R24" s="61">
        <f t="shared" si="12"/>
        <v>0</v>
      </c>
      <c r="S24" s="68">
        <f t="shared" si="13"/>
        <v>5192492.34</v>
      </c>
      <c r="T24" s="68">
        <f t="shared" si="4"/>
        <v>5192492.34</v>
      </c>
      <c r="U24">
        <f t="array" aca="1" ref="U24" ca="1">SUM(1*(S24&lt;$S$12:$S$307))+1+IF(ROW(S24)-ROW($S$12)=0,0,SUM(1*(S24=OFFSET($S$12,0,0,INDEX(ROW(S24)-ROW($S$12)+1,1)-1,1))))</f>
        <v>26</v>
      </c>
      <c r="V24" s="96">
        <f t="shared" si="14"/>
        <v>5192492.34</v>
      </c>
      <c r="W24" s="75">
        <f>Calcs!U29</f>
        <v>5192492.34</v>
      </c>
      <c r="X24" s="78">
        <f>IFERROR(OR(Calcs!BH28,Calcs!BI28)*W24,0)</f>
        <v>0</v>
      </c>
      <c r="Y24" s="97">
        <f t="shared" si="15"/>
        <v>0</v>
      </c>
      <c r="Z24" s="98">
        <f t="shared" si="16"/>
        <v>5192492.34</v>
      </c>
      <c r="AA24" s="77">
        <f t="shared" si="17"/>
        <v>5192492.34</v>
      </c>
      <c r="AB24" s="78">
        <f>IF(AND(Calcs!BM29=TRUE),AA24,0)</f>
        <v>0</v>
      </c>
      <c r="AC24" s="97">
        <f t="shared" si="18"/>
        <v>0</v>
      </c>
      <c r="AD24" s="98">
        <f t="shared" si="19"/>
        <v>5192492.34</v>
      </c>
      <c r="AE24" s="77">
        <f t="shared" si="20"/>
        <v>5192492.34</v>
      </c>
      <c r="AF24" s="78">
        <f>IF(Calcs!BY29&lt;15,AE24,0)</f>
        <v>0</v>
      </c>
      <c r="AG24" s="97">
        <f t="shared" si="21"/>
        <v>0</v>
      </c>
      <c r="AH24" s="98">
        <f t="shared" si="22"/>
        <v>5192492.34</v>
      </c>
      <c r="AI24" s="77">
        <f t="shared" si="23"/>
        <v>5192492.34</v>
      </c>
      <c r="AJ24" s="78">
        <f>IF(Calcs!BY29&lt;10,AE24,0)</f>
        <v>0</v>
      </c>
      <c r="AK24" s="97">
        <f t="shared" si="24"/>
        <v>0</v>
      </c>
      <c r="AL24" s="98">
        <f t="shared" si="25"/>
        <v>5192492.34</v>
      </c>
      <c r="AM24" s="77">
        <f t="shared" si="26"/>
        <v>5192492.34</v>
      </c>
      <c r="AN24" s="78">
        <f>NOT(Calcs!BD29)*AM24</f>
        <v>0</v>
      </c>
      <c r="AO24" s="97">
        <f t="shared" si="27"/>
        <v>0</v>
      </c>
      <c r="AP24" s="98">
        <f t="shared" si="28"/>
        <v>5192492.34</v>
      </c>
      <c r="AQ24" s="77">
        <f t="shared" si="29"/>
        <v>5192492.34</v>
      </c>
      <c r="AR24" s="78">
        <f>NOT(Calcs!BE29)*AQ24</f>
        <v>0</v>
      </c>
      <c r="AS24" s="97">
        <f t="shared" si="30"/>
        <v>0</v>
      </c>
      <c r="AT24" s="98">
        <f t="shared" si="31"/>
        <v>5192492.34</v>
      </c>
      <c r="AU24" s="77">
        <f t="shared" si="32"/>
        <v>5192492.34</v>
      </c>
      <c r="AV24" s="97">
        <f>IF(Calcs!BC29=TRUE, AU24, 0)</f>
        <v>0</v>
      </c>
      <c r="AW24" s="97">
        <f t="shared" si="33"/>
        <v>0</v>
      </c>
      <c r="AX24" s="98">
        <f t="shared" si="34"/>
        <v>5192492.34</v>
      </c>
      <c r="AY24" s="77">
        <f t="shared" si="35"/>
        <v>5192492.34</v>
      </c>
      <c r="AZ24" s="97">
        <f>Calcs!BK29*AY24</f>
        <v>0</v>
      </c>
      <c r="BA24" s="97">
        <f t="shared" si="36"/>
        <v>0</v>
      </c>
      <c r="BB24" s="98">
        <f t="shared" si="37"/>
        <v>5192492.34</v>
      </c>
      <c r="BC24" s="77">
        <f t="shared" si="38"/>
        <v>5192492.34</v>
      </c>
      <c r="BD24" s="97"/>
      <c r="BE24" s="97"/>
      <c r="BF24" s="98"/>
      <c r="BG24" s="77">
        <f t="shared" si="39"/>
        <v>5192492.34</v>
      </c>
      <c r="BH24" s="97">
        <f>IF(Calcs!BJ29=FALSE,0,BG24)</f>
        <v>0</v>
      </c>
      <c r="BI24" s="97">
        <f t="shared" si="40"/>
        <v>0</v>
      </c>
      <c r="BJ24" s="98">
        <f t="shared" si="41"/>
        <v>5192492.34</v>
      </c>
      <c r="BK24" s="77">
        <f t="shared" si="42"/>
        <v>5192492.34</v>
      </c>
      <c r="BL24" s="97">
        <f>IF(Calcs!AW29=TRUE,BK24,0)</f>
        <v>0</v>
      </c>
      <c r="BM24" s="97">
        <f t="shared" si="43"/>
        <v>0</v>
      </c>
      <c r="BN24" s="98">
        <f t="shared" si="44"/>
        <v>5192492.34</v>
      </c>
      <c r="BO24" s="77">
        <f t="shared" si="45"/>
        <v>5192492.34</v>
      </c>
      <c r="BP24" s="97"/>
      <c r="BQ24" s="97">
        <f t="shared" si="46"/>
        <v>0</v>
      </c>
      <c r="BR24" s="98">
        <f t="shared" si="47"/>
        <v>5192492.34</v>
      </c>
      <c r="BS24" s="77">
        <f t="shared" si="48"/>
        <v>5192492.34</v>
      </c>
      <c r="BT24" s="97">
        <f>IF(Calcs!BB29=TRUE,'Concentration Limitations'!BS24,0)</f>
        <v>0</v>
      </c>
      <c r="BU24" s="97">
        <f t="shared" si="49"/>
        <v>0</v>
      </c>
      <c r="BV24" s="98">
        <f t="shared" si="50"/>
        <v>5192492.34</v>
      </c>
      <c r="BW24" s="77">
        <f t="shared" si="51"/>
        <v>5192492.34</v>
      </c>
      <c r="BX24" s="97">
        <f>IF(Calcs!BI29=TRUE,'Concentration Limitations'!BW24,0)</f>
        <v>0</v>
      </c>
      <c r="BY24" s="97">
        <f t="shared" si="52"/>
        <v>0</v>
      </c>
      <c r="BZ24" s="98">
        <f t="shared" si="53"/>
        <v>5192492.34</v>
      </c>
      <c r="CA24" s="97">
        <f t="shared" si="54"/>
        <v>5192492.34</v>
      </c>
      <c r="CB24" s="97"/>
      <c r="CC24" s="97"/>
      <c r="CD24" s="98">
        <f t="shared" si="55"/>
        <v>5192492.34</v>
      </c>
      <c r="CE24" s="97">
        <f t="shared" si="56"/>
        <v>5192492.34</v>
      </c>
      <c r="CF24" s="97"/>
      <c r="CG24" s="97"/>
      <c r="CH24" s="98">
        <f t="shared" si="57"/>
        <v>5192492.34</v>
      </c>
      <c r="CI24" s="97">
        <f t="shared" si="58"/>
        <v>5192492.34</v>
      </c>
      <c r="CJ24" s="97"/>
      <c r="CK24" s="97"/>
      <c r="CL24" s="98">
        <f t="shared" si="59"/>
        <v>5192492.34</v>
      </c>
      <c r="CM24" s="97">
        <f t="shared" si="60"/>
        <v>5192492.34</v>
      </c>
      <c r="CN24" s="97"/>
      <c r="CO24" s="97"/>
      <c r="CP24" s="98">
        <f t="shared" si="61"/>
        <v>5192492.34</v>
      </c>
      <c r="CQ24" s="97">
        <f t="shared" si="62"/>
        <v>5192492.34</v>
      </c>
      <c r="CR24" s="97"/>
      <c r="CS24" s="97">
        <f t="shared" si="63"/>
        <v>0</v>
      </c>
      <c r="CT24" s="98">
        <f t="shared" si="64"/>
        <v>5192492.34</v>
      </c>
      <c r="CU24" s="97">
        <f t="shared" si="65"/>
        <v>5192492.34</v>
      </c>
      <c r="CV24" s="97"/>
      <c r="CW24" s="97">
        <f t="shared" si="66"/>
        <v>0</v>
      </c>
      <c r="CX24" s="98">
        <f t="shared" si="67"/>
        <v>5192492.34</v>
      </c>
      <c r="CY24" s="97">
        <f t="shared" si="68"/>
        <v>5192492.34</v>
      </c>
      <c r="CZ24" s="97"/>
      <c r="DA24" s="97"/>
      <c r="DB24" s="98">
        <f t="shared" si="69"/>
        <v>5192492.34</v>
      </c>
      <c r="DC24" s="75">
        <f t="shared" si="70"/>
        <v>5192492.34</v>
      </c>
      <c r="DD24" s="97"/>
      <c r="DE24" s="97"/>
      <c r="DF24" s="98">
        <f t="shared" si="71"/>
        <v>5192492.34</v>
      </c>
      <c r="DG24" s="75">
        <f t="shared" si="72"/>
        <v>5192492.34</v>
      </c>
      <c r="DH24" s="78" t="str">
        <f>Calcs!F29</f>
        <v>Distributors</v>
      </c>
      <c r="DI24" s="99">
        <f t="shared" ca="1" si="73"/>
        <v>0</v>
      </c>
      <c r="DJ24" s="98">
        <f t="shared" ca="1" si="74"/>
        <v>5192492.34</v>
      </c>
      <c r="DK24" s="293">
        <f t="shared" si="75"/>
        <v>19</v>
      </c>
      <c r="DL24" s="532" t="s">
        <v>1208</v>
      </c>
      <c r="DM24" s="36"/>
      <c r="DN24" s="36"/>
      <c r="DO24" s="36"/>
      <c r="DP24" s="36"/>
      <c r="DQ24" s="413" cm="1">
        <f t="array" ref="DQ24">+SUMPRODUCT((DL24=$DH$12:$DH$307)*($DG$12:$DG$307))/$N$6</f>
        <v>0</v>
      </c>
      <c r="DR24" s="414">
        <f t="shared" si="76"/>
        <v>19</v>
      </c>
      <c r="DS24" s="413" cm="1">
        <f t="array" aca="1" ref="DS24" ca="1">+SUMPRODUCT((DL24=$DH$12:$DH$307)*($DJ$12:$DJ$307))/$N$6</f>
        <v>0</v>
      </c>
      <c r="DT24" s="417">
        <f t="shared" ca="1" si="80"/>
        <v>19</v>
      </c>
      <c r="DU24" s="415">
        <f t="shared" si="77"/>
        <v>0.1</v>
      </c>
      <c r="DV24" s="416">
        <f t="shared" si="81"/>
        <v>0.1</v>
      </c>
    </row>
    <row r="25" spans="6:127">
      <c r="F25" s="2">
        <f t="shared" ca="1" si="79"/>
        <v>31</v>
      </c>
      <c r="G25" s="40" t="str">
        <f>Calcs!A30</f>
        <v>Case Works</v>
      </c>
      <c r="H25" s="68">
        <f t="shared" ca="1" si="8"/>
        <v>4491992.74</v>
      </c>
      <c r="I25" s="96"/>
      <c r="J25" s="96"/>
      <c r="K25" s="63">
        <f>+IF(G25="","",IF(COUNTIF(G26:$G$307,G25)=0,1,0))</f>
        <v>1</v>
      </c>
      <c r="L25" s="75">
        <f>Calcs!U30</f>
        <v>4491992.74</v>
      </c>
      <c r="M25">
        <f t="shared" si="2"/>
        <v>31</v>
      </c>
      <c r="N25" s="75">
        <f t="shared" si="9"/>
        <v>4491992.74</v>
      </c>
      <c r="O25" s="75">
        <f t="shared" si="3"/>
        <v>4491992.74</v>
      </c>
      <c r="P25" s="72">
        <f t="shared" si="10"/>
        <v>0.05</v>
      </c>
      <c r="Q25" s="72">
        <f t="shared" si="11"/>
        <v>7.479847095901924E-3</v>
      </c>
      <c r="R25" s="61">
        <f t="shared" si="12"/>
        <v>0</v>
      </c>
      <c r="S25" s="68">
        <f t="shared" si="13"/>
        <v>4491992.74</v>
      </c>
      <c r="T25" s="68">
        <f t="shared" si="4"/>
        <v>4491992.74</v>
      </c>
      <c r="U25">
        <f t="array" aca="1" ref="U25" ca="1">SUM(1*(S25&lt;$S$12:$S$307))+1+IF(ROW(S25)-ROW($S$12)=0,0,SUM(1*(S25=OFFSET($S$12,0,0,INDEX(ROW(S25)-ROW($S$12)+1,1)-1,1))))</f>
        <v>31</v>
      </c>
      <c r="V25" s="96">
        <f t="shared" si="14"/>
        <v>4491992.74</v>
      </c>
      <c r="W25" s="75">
        <f>Calcs!U30</f>
        <v>4491992.74</v>
      </c>
      <c r="X25" s="78">
        <f>IFERROR(OR(Calcs!BH29,Calcs!BI29)*W25,0)</f>
        <v>0</v>
      </c>
      <c r="Y25" s="97">
        <f t="shared" si="15"/>
        <v>0</v>
      </c>
      <c r="Z25" s="98">
        <f t="shared" si="16"/>
        <v>4491992.74</v>
      </c>
      <c r="AA25" s="77">
        <f t="shared" si="17"/>
        <v>4491992.74</v>
      </c>
      <c r="AB25" s="78">
        <f>IF(AND(Calcs!BM30=TRUE),AA25,0)</f>
        <v>0</v>
      </c>
      <c r="AC25" s="97">
        <f t="shared" si="18"/>
        <v>0</v>
      </c>
      <c r="AD25" s="98">
        <f t="shared" si="19"/>
        <v>4491992.74</v>
      </c>
      <c r="AE25" s="77">
        <f t="shared" si="20"/>
        <v>4491992.74</v>
      </c>
      <c r="AF25" s="78">
        <f>IF(Calcs!BY30&lt;15,AE25,0)</f>
        <v>0</v>
      </c>
      <c r="AG25" s="97">
        <f t="shared" si="21"/>
        <v>0</v>
      </c>
      <c r="AH25" s="98">
        <f t="shared" si="22"/>
        <v>4491992.74</v>
      </c>
      <c r="AI25" s="77">
        <f t="shared" si="23"/>
        <v>4491992.74</v>
      </c>
      <c r="AJ25" s="78">
        <f>IF(Calcs!BY30&lt;10,AE25,0)</f>
        <v>0</v>
      </c>
      <c r="AK25" s="97">
        <f t="shared" si="24"/>
        <v>0</v>
      </c>
      <c r="AL25" s="98">
        <f t="shared" si="25"/>
        <v>4491992.74</v>
      </c>
      <c r="AM25" s="77">
        <f t="shared" si="26"/>
        <v>4491992.74</v>
      </c>
      <c r="AN25" s="78">
        <f>NOT(Calcs!BD30)*AM25</f>
        <v>0</v>
      </c>
      <c r="AO25" s="97">
        <f t="shared" si="27"/>
        <v>0</v>
      </c>
      <c r="AP25" s="98">
        <f t="shared" si="28"/>
        <v>4491992.74</v>
      </c>
      <c r="AQ25" s="77">
        <f t="shared" si="29"/>
        <v>4491992.74</v>
      </c>
      <c r="AR25" s="78">
        <f>NOT(Calcs!BE30)*AQ25</f>
        <v>0</v>
      </c>
      <c r="AS25" s="97">
        <f t="shared" si="30"/>
        <v>0</v>
      </c>
      <c r="AT25" s="98">
        <f t="shared" si="31"/>
        <v>4491992.74</v>
      </c>
      <c r="AU25" s="77">
        <f t="shared" si="32"/>
        <v>4491992.74</v>
      </c>
      <c r="AV25" s="97">
        <f>IF(Calcs!BC30=TRUE, AU25, 0)</f>
        <v>0</v>
      </c>
      <c r="AW25" s="97">
        <f t="shared" si="33"/>
        <v>0</v>
      </c>
      <c r="AX25" s="98">
        <f t="shared" si="34"/>
        <v>4491992.74</v>
      </c>
      <c r="AY25" s="77">
        <f t="shared" si="35"/>
        <v>4491992.74</v>
      </c>
      <c r="AZ25" s="97">
        <f>Calcs!BK30*AY25</f>
        <v>0</v>
      </c>
      <c r="BA25" s="97">
        <f t="shared" si="36"/>
        <v>0</v>
      </c>
      <c r="BB25" s="98">
        <f t="shared" si="37"/>
        <v>4491992.74</v>
      </c>
      <c r="BC25" s="77">
        <f t="shared" si="38"/>
        <v>4491992.74</v>
      </c>
      <c r="BD25" s="97"/>
      <c r="BE25" s="97"/>
      <c r="BF25" s="98"/>
      <c r="BG25" s="77">
        <f t="shared" si="39"/>
        <v>4491992.74</v>
      </c>
      <c r="BH25" s="97">
        <f>IF(Calcs!BJ30=FALSE,0,BG25)</f>
        <v>0</v>
      </c>
      <c r="BI25" s="97">
        <f t="shared" si="40"/>
        <v>0</v>
      </c>
      <c r="BJ25" s="98">
        <f t="shared" si="41"/>
        <v>4491992.74</v>
      </c>
      <c r="BK25" s="77">
        <f t="shared" si="42"/>
        <v>4491992.74</v>
      </c>
      <c r="BL25" s="97">
        <f>IF(Calcs!AW30=TRUE,BK25,0)</f>
        <v>0</v>
      </c>
      <c r="BM25" s="97">
        <f t="shared" si="43"/>
        <v>0</v>
      </c>
      <c r="BN25" s="98">
        <f t="shared" si="44"/>
        <v>4491992.74</v>
      </c>
      <c r="BO25" s="77">
        <f t="shared" si="45"/>
        <v>4491992.74</v>
      </c>
      <c r="BP25" s="97"/>
      <c r="BQ25" s="97">
        <f t="shared" si="46"/>
        <v>0</v>
      </c>
      <c r="BR25" s="98">
        <f t="shared" si="47"/>
        <v>4491992.74</v>
      </c>
      <c r="BS25" s="77">
        <f t="shared" si="48"/>
        <v>4491992.74</v>
      </c>
      <c r="BT25" s="97">
        <f>IF(Calcs!BB30=TRUE,'Concentration Limitations'!BS25,0)</f>
        <v>0</v>
      </c>
      <c r="BU25" s="97">
        <f t="shared" si="49"/>
        <v>0</v>
      </c>
      <c r="BV25" s="98">
        <f t="shared" si="50"/>
        <v>4491992.74</v>
      </c>
      <c r="BW25" s="77">
        <f t="shared" si="51"/>
        <v>4491992.74</v>
      </c>
      <c r="BX25" s="97">
        <f>IF(Calcs!BI30=TRUE,'Concentration Limitations'!BW25,0)</f>
        <v>0</v>
      </c>
      <c r="BY25" s="97">
        <f t="shared" si="52"/>
        <v>0</v>
      </c>
      <c r="BZ25" s="98">
        <f t="shared" si="53"/>
        <v>4491992.74</v>
      </c>
      <c r="CA25" s="97">
        <f t="shared" si="54"/>
        <v>4491992.74</v>
      </c>
      <c r="CB25" s="97"/>
      <c r="CC25" s="97"/>
      <c r="CD25" s="98">
        <f t="shared" si="55"/>
        <v>4491992.74</v>
      </c>
      <c r="CE25" s="97">
        <f t="shared" si="56"/>
        <v>4491992.74</v>
      </c>
      <c r="CF25" s="97"/>
      <c r="CG25" s="97"/>
      <c r="CH25" s="98">
        <f t="shared" si="57"/>
        <v>4491992.74</v>
      </c>
      <c r="CI25" s="97">
        <f t="shared" si="58"/>
        <v>4491992.74</v>
      </c>
      <c r="CJ25" s="97"/>
      <c r="CK25" s="97"/>
      <c r="CL25" s="98">
        <f t="shared" si="59"/>
        <v>4491992.74</v>
      </c>
      <c r="CM25" s="97">
        <f t="shared" si="60"/>
        <v>4491992.74</v>
      </c>
      <c r="CN25" s="97"/>
      <c r="CO25" s="97"/>
      <c r="CP25" s="98">
        <f t="shared" si="61"/>
        <v>4491992.74</v>
      </c>
      <c r="CQ25" s="97">
        <f t="shared" si="62"/>
        <v>4491992.74</v>
      </c>
      <c r="CR25" s="97"/>
      <c r="CS25" s="97">
        <f t="shared" si="63"/>
        <v>0</v>
      </c>
      <c r="CT25" s="98">
        <f t="shared" si="64"/>
        <v>4491992.74</v>
      </c>
      <c r="CU25" s="97">
        <f t="shared" si="65"/>
        <v>4491992.74</v>
      </c>
      <c r="CV25" s="97"/>
      <c r="CW25" s="97">
        <f t="shared" si="66"/>
        <v>0</v>
      </c>
      <c r="CX25" s="98">
        <f t="shared" si="67"/>
        <v>4491992.74</v>
      </c>
      <c r="CY25" s="97">
        <f t="shared" si="68"/>
        <v>4491992.74</v>
      </c>
      <c r="CZ25" s="97"/>
      <c r="DA25" s="97"/>
      <c r="DB25" s="98">
        <f t="shared" si="69"/>
        <v>4491992.74</v>
      </c>
      <c r="DC25" s="75">
        <f t="shared" si="70"/>
        <v>4491992.74</v>
      </c>
      <c r="DD25" s="97"/>
      <c r="DE25" s="97"/>
      <c r="DF25" s="98">
        <f t="shared" si="71"/>
        <v>4491992.74</v>
      </c>
      <c r="DG25" s="75">
        <f t="shared" si="72"/>
        <v>4491992.74</v>
      </c>
      <c r="DH25" s="78" t="str">
        <f>Calcs!F30</f>
        <v>Professional Services</v>
      </c>
      <c r="DI25" s="99">
        <f t="shared" ca="1" si="73"/>
        <v>0</v>
      </c>
      <c r="DJ25" s="98">
        <f t="shared" ca="1" si="74"/>
        <v>4491992.74</v>
      </c>
      <c r="DK25" s="293">
        <f t="shared" si="75"/>
        <v>10</v>
      </c>
      <c r="DL25" s="532" t="s">
        <v>1082</v>
      </c>
      <c r="DM25" s="36"/>
      <c r="DN25" s="36"/>
      <c r="DO25" s="36"/>
      <c r="DP25" s="36"/>
      <c r="DQ25" s="413" cm="1">
        <f t="array" ref="DQ25">+SUMPRODUCT((DL25=$DH$12:$DH$307)*($DG$12:$DG$307))/$N$6</f>
        <v>1.2424114610438597E-2</v>
      </c>
      <c r="DR25" s="414">
        <f t="shared" si="76"/>
        <v>10</v>
      </c>
      <c r="DS25" s="413" cm="1">
        <f t="array" aca="1" ref="DS25" ca="1">+SUMPRODUCT((DL25=$DH$12:$DH$307)*($DJ$12:$DJ$307))/$N$6</f>
        <v>1.2424114610438597E-2</v>
      </c>
      <c r="DT25" s="417">
        <f t="shared" ca="1" si="80"/>
        <v>10</v>
      </c>
      <c r="DU25" s="415">
        <f t="shared" si="77"/>
        <v>0.1</v>
      </c>
      <c r="DV25" s="416">
        <f t="shared" si="81"/>
        <v>8.7575885389561403E-2</v>
      </c>
    </row>
    <row r="26" spans="6:127">
      <c r="F26" s="2">
        <f t="shared" ca="1" si="79"/>
        <v>44</v>
      </c>
      <c r="G26" s="40" t="str">
        <f>Calcs!A31</f>
        <v>Centauri</v>
      </c>
      <c r="H26" s="68">
        <f t="shared" ca="1" si="8"/>
        <v>2500143.9300000002</v>
      </c>
      <c r="I26" s="96"/>
      <c r="J26" s="96"/>
      <c r="K26" s="63">
        <f>+IF(G26="","",IF(COUNTIF(G27:$G$307,G26)=0,1,0))</f>
        <v>1</v>
      </c>
      <c r="L26" s="75">
        <f>Calcs!U31</f>
        <v>2500143.9300000002</v>
      </c>
      <c r="M26">
        <f t="shared" si="2"/>
        <v>44</v>
      </c>
      <c r="N26" s="75">
        <f t="shared" si="9"/>
        <v>2500143.9300000002</v>
      </c>
      <c r="O26" s="75">
        <f t="shared" si="3"/>
        <v>2500143.9300000002</v>
      </c>
      <c r="P26" s="72">
        <f t="shared" si="10"/>
        <v>0.05</v>
      </c>
      <c r="Q26" s="72">
        <f t="shared" si="11"/>
        <v>4.1631176621508351E-3</v>
      </c>
      <c r="R26" s="61">
        <f t="shared" si="12"/>
        <v>0</v>
      </c>
      <c r="S26" s="68">
        <f t="shared" si="13"/>
        <v>2500143.9300000002</v>
      </c>
      <c r="T26" s="68">
        <f t="shared" si="4"/>
        <v>2500143.9300000002</v>
      </c>
      <c r="U26">
        <f t="array" aca="1" ref="U26" ca="1">SUM(1*(S26&lt;$S$12:$S$307))+1+IF(ROW(S26)-ROW($S$12)=0,0,SUM(1*(S26=OFFSET($S$12,0,0,INDEX(ROW(S26)-ROW($S$12)+1,1)-1,1))))</f>
        <v>44</v>
      </c>
      <c r="V26" s="96">
        <f t="shared" si="14"/>
        <v>2500143.9300000002</v>
      </c>
      <c r="W26" s="75">
        <f>Calcs!U31</f>
        <v>2500143.9300000002</v>
      </c>
      <c r="X26" s="78">
        <f>IFERROR(OR(Calcs!BH30,Calcs!BI30)*W26,0)</f>
        <v>0</v>
      </c>
      <c r="Y26" s="97">
        <f t="shared" si="15"/>
        <v>0</v>
      </c>
      <c r="Z26" s="98">
        <f t="shared" si="16"/>
        <v>2500143.9300000002</v>
      </c>
      <c r="AA26" s="77">
        <f t="shared" si="17"/>
        <v>2500143.9300000002</v>
      </c>
      <c r="AB26" s="78">
        <f>IF(AND(Calcs!BM31=TRUE),AA26,0)</f>
        <v>0</v>
      </c>
      <c r="AC26" s="97">
        <f t="shared" si="18"/>
        <v>0</v>
      </c>
      <c r="AD26" s="98">
        <f t="shared" si="19"/>
        <v>2500143.9300000002</v>
      </c>
      <c r="AE26" s="77">
        <f t="shared" si="20"/>
        <v>2500143.9300000002</v>
      </c>
      <c r="AF26" s="78">
        <f>IF(Calcs!BY31&lt;15,AE26,0)</f>
        <v>0</v>
      </c>
      <c r="AG26" s="97">
        <f t="shared" si="21"/>
        <v>0</v>
      </c>
      <c r="AH26" s="98">
        <f t="shared" si="22"/>
        <v>2500143.9300000002</v>
      </c>
      <c r="AI26" s="77">
        <f t="shared" si="23"/>
        <v>2500143.9300000002</v>
      </c>
      <c r="AJ26" s="78">
        <f>IF(Calcs!BY31&lt;10,AE26,0)</f>
        <v>0</v>
      </c>
      <c r="AK26" s="97">
        <f t="shared" si="24"/>
        <v>0</v>
      </c>
      <c r="AL26" s="98">
        <f t="shared" si="25"/>
        <v>2500143.9300000002</v>
      </c>
      <c r="AM26" s="77">
        <f t="shared" si="26"/>
        <v>2500143.9300000002</v>
      </c>
      <c r="AN26" s="78">
        <f>NOT(Calcs!BD31)*AM26</f>
        <v>0</v>
      </c>
      <c r="AO26" s="97">
        <f t="shared" si="27"/>
        <v>0</v>
      </c>
      <c r="AP26" s="98">
        <f t="shared" si="28"/>
        <v>2500143.9300000002</v>
      </c>
      <c r="AQ26" s="77">
        <f t="shared" si="29"/>
        <v>2500143.9300000002</v>
      </c>
      <c r="AR26" s="78">
        <f>NOT(Calcs!BE31)*AQ26</f>
        <v>0</v>
      </c>
      <c r="AS26" s="97">
        <f t="shared" si="30"/>
        <v>0</v>
      </c>
      <c r="AT26" s="98">
        <f t="shared" si="31"/>
        <v>2500143.9300000002</v>
      </c>
      <c r="AU26" s="77">
        <f t="shared" si="32"/>
        <v>2500143.9300000002</v>
      </c>
      <c r="AV26" s="97">
        <f>IF(Calcs!BC31=TRUE, AU26, 0)</f>
        <v>0</v>
      </c>
      <c r="AW26" s="97">
        <f t="shared" si="33"/>
        <v>0</v>
      </c>
      <c r="AX26" s="98">
        <f t="shared" si="34"/>
        <v>2500143.9300000002</v>
      </c>
      <c r="AY26" s="77">
        <f t="shared" si="35"/>
        <v>2500143.9300000002</v>
      </c>
      <c r="AZ26" s="97">
        <f>Calcs!BK31*AY26</f>
        <v>0</v>
      </c>
      <c r="BA26" s="97">
        <f t="shared" si="36"/>
        <v>0</v>
      </c>
      <c r="BB26" s="98">
        <f t="shared" si="37"/>
        <v>2500143.9300000002</v>
      </c>
      <c r="BC26" s="77">
        <f t="shared" si="38"/>
        <v>2500143.9300000002</v>
      </c>
      <c r="BD26" s="97"/>
      <c r="BE26" s="97"/>
      <c r="BF26" s="98"/>
      <c r="BG26" s="77">
        <f t="shared" si="39"/>
        <v>2500143.9300000002</v>
      </c>
      <c r="BH26" s="97">
        <f>IF(Calcs!BJ31=FALSE,0,BG26)</f>
        <v>0</v>
      </c>
      <c r="BI26" s="97">
        <f t="shared" si="40"/>
        <v>0</v>
      </c>
      <c r="BJ26" s="98">
        <f t="shared" si="41"/>
        <v>2500143.9300000002</v>
      </c>
      <c r="BK26" s="77">
        <f t="shared" si="42"/>
        <v>2500143.9300000002</v>
      </c>
      <c r="BL26" s="97">
        <f>IF(Calcs!AW31=TRUE,BK26,0)</f>
        <v>0</v>
      </c>
      <c r="BM26" s="97">
        <f t="shared" si="43"/>
        <v>0</v>
      </c>
      <c r="BN26" s="98">
        <f t="shared" si="44"/>
        <v>2500143.9300000002</v>
      </c>
      <c r="BO26" s="77">
        <f t="shared" si="45"/>
        <v>2500143.9300000002</v>
      </c>
      <c r="BP26" s="97"/>
      <c r="BQ26" s="97">
        <f t="shared" si="46"/>
        <v>0</v>
      </c>
      <c r="BR26" s="98">
        <f t="shared" si="47"/>
        <v>2500143.9300000002</v>
      </c>
      <c r="BS26" s="77">
        <f t="shared" si="48"/>
        <v>2500143.9300000002</v>
      </c>
      <c r="BT26" s="97">
        <f>IF(Calcs!BB31=TRUE,'Concentration Limitations'!BS26,0)</f>
        <v>0</v>
      </c>
      <c r="BU26" s="97">
        <f t="shared" si="49"/>
        <v>0</v>
      </c>
      <c r="BV26" s="98">
        <f t="shared" si="50"/>
        <v>2500143.9300000002</v>
      </c>
      <c r="BW26" s="77">
        <f t="shared" si="51"/>
        <v>2500143.9300000002</v>
      </c>
      <c r="BX26" s="97">
        <f>IF(Calcs!BI31=TRUE,'Concentration Limitations'!BW26,0)</f>
        <v>0</v>
      </c>
      <c r="BY26" s="97">
        <f t="shared" si="52"/>
        <v>0</v>
      </c>
      <c r="BZ26" s="98">
        <f t="shared" si="53"/>
        <v>2500143.9300000002</v>
      </c>
      <c r="CA26" s="97">
        <f t="shared" si="54"/>
        <v>2500143.9300000002</v>
      </c>
      <c r="CB26" s="97"/>
      <c r="CC26" s="97"/>
      <c r="CD26" s="98">
        <f t="shared" si="55"/>
        <v>2500143.9300000002</v>
      </c>
      <c r="CE26" s="97">
        <f t="shared" si="56"/>
        <v>2500143.9300000002</v>
      </c>
      <c r="CF26" s="97"/>
      <c r="CG26" s="97"/>
      <c r="CH26" s="98">
        <f t="shared" si="57"/>
        <v>2500143.9300000002</v>
      </c>
      <c r="CI26" s="97">
        <f t="shared" si="58"/>
        <v>2500143.9300000002</v>
      </c>
      <c r="CJ26" s="97"/>
      <c r="CK26" s="97"/>
      <c r="CL26" s="98">
        <f t="shared" si="59"/>
        <v>2500143.9300000002</v>
      </c>
      <c r="CM26" s="97">
        <f t="shared" si="60"/>
        <v>2500143.9300000002</v>
      </c>
      <c r="CN26" s="97"/>
      <c r="CO26" s="97"/>
      <c r="CP26" s="98">
        <f t="shared" si="61"/>
        <v>2500143.9300000002</v>
      </c>
      <c r="CQ26" s="97">
        <f t="shared" si="62"/>
        <v>2500143.9300000002</v>
      </c>
      <c r="CR26" s="97"/>
      <c r="CS26" s="97">
        <f t="shared" si="63"/>
        <v>0</v>
      </c>
      <c r="CT26" s="98">
        <f t="shared" si="64"/>
        <v>2500143.9300000002</v>
      </c>
      <c r="CU26" s="97">
        <f t="shared" si="65"/>
        <v>2500143.9300000002</v>
      </c>
      <c r="CV26" s="97"/>
      <c r="CW26" s="97">
        <f t="shared" si="66"/>
        <v>0</v>
      </c>
      <c r="CX26" s="98">
        <f t="shared" si="67"/>
        <v>2500143.9300000002</v>
      </c>
      <c r="CY26" s="97">
        <f t="shared" si="68"/>
        <v>2500143.9300000002</v>
      </c>
      <c r="CZ26" s="97"/>
      <c r="DA26" s="97"/>
      <c r="DB26" s="98">
        <f t="shared" si="69"/>
        <v>2500143.9300000002</v>
      </c>
      <c r="DC26" s="75">
        <f t="shared" si="70"/>
        <v>2500143.9300000002</v>
      </c>
      <c r="DD26" s="97"/>
      <c r="DE26" s="97"/>
      <c r="DF26" s="98">
        <f t="shared" si="71"/>
        <v>2500143.9300000002</v>
      </c>
      <c r="DG26" s="75">
        <f t="shared" si="72"/>
        <v>2500143.9300000002</v>
      </c>
      <c r="DH26" s="78" t="str">
        <f>Calcs!F31</f>
        <v>Health Care Providers &amp; Services</v>
      </c>
      <c r="DI26" s="99">
        <f t="shared" ca="1" si="73"/>
        <v>0</v>
      </c>
      <c r="DJ26" s="98">
        <f t="shared" ca="1" si="74"/>
        <v>2500143.9300000002</v>
      </c>
      <c r="DK26" s="293">
        <f t="shared" si="75"/>
        <v>19</v>
      </c>
      <c r="DL26" s="532" t="s">
        <v>180</v>
      </c>
      <c r="DM26" s="36"/>
      <c r="DN26" s="36"/>
      <c r="DO26" s="36"/>
      <c r="DP26" s="36"/>
      <c r="DQ26" s="413" cm="1">
        <f t="array" ref="DQ26">+SUMPRODUCT((DL26=$DH$12:$DH$307)*($DG$12:$DG$307))/$N$6</f>
        <v>0</v>
      </c>
      <c r="DR26" s="414">
        <f t="shared" si="76"/>
        <v>19</v>
      </c>
      <c r="DS26" s="413" cm="1">
        <f t="array" aca="1" ref="DS26" ca="1">+SUMPRODUCT((DL26=$DH$12:$DH$307)*($DJ$12:$DJ$307))/$N$6</f>
        <v>0</v>
      </c>
      <c r="DT26" s="417">
        <f t="shared" ca="1" si="80"/>
        <v>19</v>
      </c>
      <c r="DU26" s="415">
        <f t="shared" si="77"/>
        <v>0.1</v>
      </c>
      <c r="DV26" s="416">
        <f t="shared" si="81"/>
        <v>0.1</v>
      </c>
    </row>
    <row r="27" spans="6:127">
      <c r="F27" s="2">
        <f t="shared" ca="1" si="79"/>
        <v>39</v>
      </c>
      <c r="G27" s="40" t="str">
        <f>Calcs!A32</f>
        <v>Comprehensive Rehab Consultants</v>
      </c>
      <c r="H27" s="68">
        <f t="shared" ca="1" si="8"/>
        <v>3727355.9</v>
      </c>
      <c r="I27" s="96"/>
      <c r="J27" s="96"/>
      <c r="K27" s="63">
        <f>+IF(G27="","",IF(COUNTIF(G28:$G$307,G27)=0,1,0))</f>
        <v>1</v>
      </c>
      <c r="L27" s="75">
        <f>Calcs!U32</f>
        <v>3727355.9</v>
      </c>
      <c r="M27">
        <f t="shared" si="2"/>
        <v>39</v>
      </c>
      <c r="N27" s="75">
        <f t="shared" si="9"/>
        <v>3727355.9</v>
      </c>
      <c r="O27" s="75">
        <f t="shared" si="3"/>
        <v>3727355.9</v>
      </c>
      <c r="P27" s="72">
        <f t="shared" si="10"/>
        <v>0.05</v>
      </c>
      <c r="Q27" s="72">
        <f t="shared" si="11"/>
        <v>6.2066111451479994E-3</v>
      </c>
      <c r="R27" s="61">
        <f t="shared" si="12"/>
        <v>0</v>
      </c>
      <c r="S27" s="68">
        <f t="shared" si="13"/>
        <v>3727355.9</v>
      </c>
      <c r="T27" s="68">
        <f t="shared" si="4"/>
        <v>3727355.9</v>
      </c>
      <c r="U27">
        <f t="array" aca="1" ref="U27" ca="1">SUM(1*(S27&lt;$S$12:$S$307))+1+IF(ROW(S27)-ROW($S$12)=0,0,SUM(1*(S27=OFFSET($S$12,0,0,INDEX(ROW(S27)-ROW($S$12)+1,1)-1,1))))</f>
        <v>39</v>
      </c>
      <c r="V27" s="96">
        <f t="shared" si="14"/>
        <v>3727355.9</v>
      </c>
      <c r="W27" s="75">
        <f>Calcs!U32</f>
        <v>3727355.9</v>
      </c>
      <c r="X27" s="78">
        <f>IFERROR(OR(Calcs!BH31,Calcs!BI31)*W27,0)</f>
        <v>0</v>
      </c>
      <c r="Y27" s="97">
        <f t="shared" si="15"/>
        <v>0</v>
      </c>
      <c r="Z27" s="98">
        <f t="shared" si="16"/>
        <v>3727355.9</v>
      </c>
      <c r="AA27" s="77">
        <f t="shared" si="17"/>
        <v>3727355.9</v>
      </c>
      <c r="AB27" s="78">
        <f>IF(AND(Calcs!BM32=TRUE),AA27,0)</f>
        <v>0</v>
      </c>
      <c r="AC27" s="97">
        <f t="shared" si="18"/>
        <v>0</v>
      </c>
      <c r="AD27" s="98">
        <f t="shared" si="19"/>
        <v>3727355.9</v>
      </c>
      <c r="AE27" s="77">
        <f t="shared" si="20"/>
        <v>3727355.9</v>
      </c>
      <c r="AF27" s="78">
        <f>IF(Calcs!BY32&lt;15,AE27,0)</f>
        <v>0</v>
      </c>
      <c r="AG27" s="97">
        <f t="shared" si="21"/>
        <v>0</v>
      </c>
      <c r="AH27" s="98">
        <f t="shared" si="22"/>
        <v>3727355.9</v>
      </c>
      <c r="AI27" s="77">
        <f t="shared" si="23"/>
        <v>3727355.9</v>
      </c>
      <c r="AJ27" s="78">
        <f>IF(Calcs!BY32&lt;10,AE27,0)</f>
        <v>0</v>
      </c>
      <c r="AK27" s="97">
        <f t="shared" si="24"/>
        <v>0</v>
      </c>
      <c r="AL27" s="98">
        <f t="shared" si="25"/>
        <v>3727355.9</v>
      </c>
      <c r="AM27" s="77">
        <f t="shared" si="26"/>
        <v>3727355.9</v>
      </c>
      <c r="AN27" s="78">
        <f>NOT(Calcs!BD32)*AM27</f>
        <v>0</v>
      </c>
      <c r="AO27" s="97">
        <f t="shared" si="27"/>
        <v>0</v>
      </c>
      <c r="AP27" s="98">
        <f t="shared" si="28"/>
        <v>3727355.9</v>
      </c>
      <c r="AQ27" s="77">
        <f t="shared" si="29"/>
        <v>3727355.9</v>
      </c>
      <c r="AR27" s="78">
        <f>NOT(Calcs!BE32)*AQ27</f>
        <v>0</v>
      </c>
      <c r="AS27" s="97">
        <f t="shared" si="30"/>
        <v>0</v>
      </c>
      <c r="AT27" s="98">
        <f t="shared" si="31"/>
        <v>3727355.9</v>
      </c>
      <c r="AU27" s="77">
        <f t="shared" si="32"/>
        <v>3727355.9</v>
      </c>
      <c r="AV27" s="97">
        <f>IF(Calcs!BC32=TRUE, AU27, 0)</f>
        <v>0</v>
      </c>
      <c r="AW27" s="97">
        <f t="shared" si="33"/>
        <v>0</v>
      </c>
      <c r="AX27" s="98">
        <f t="shared" si="34"/>
        <v>3727355.9</v>
      </c>
      <c r="AY27" s="77">
        <f t="shared" si="35"/>
        <v>3727355.9</v>
      </c>
      <c r="AZ27" s="97">
        <f>Calcs!BK32*AY27</f>
        <v>0</v>
      </c>
      <c r="BA27" s="97">
        <f t="shared" si="36"/>
        <v>0</v>
      </c>
      <c r="BB27" s="98">
        <f t="shared" si="37"/>
        <v>3727355.9</v>
      </c>
      <c r="BC27" s="77">
        <f t="shared" si="38"/>
        <v>3727355.9</v>
      </c>
      <c r="BD27" s="97"/>
      <c r="BE27" s="97"/>
      <c r="BF27" s="98"/>
      <c r="BG27" s="77">
        <f t="shared" si="39"/>
        <v>3727355.9</v>
      </c>
      <c r="BH27" s="97">
        <f>IF(Calcs!BJ32=FALSE,0,BG27)</f>
        <v>0</v>
      </c>
      <c r="BI27" s="97">
        <f t="shared" si="40"/>
        <v>0</v>
      </c>
      <c r="BJ27" s="98">
        <f t="shared" si="41"/>
        <v>3727355.9</v>
      </c>
      <c r="BK27" s="77">
        <f t="shared" si="42"/>
        <v>3727355.9</v>
      </c>
      <c r="BL27" s="97">
        <f>IF(Calcs!AW32=TRUE,BK27,0)</f>
        <v>0</v>
      </c>
      <c r="BM27" s="97">
        <f t="shared" si="43"/>
        <v>0</v>
      </c>
      <c r="BN27" s="98">
        <f t="shared" si="44"/>
        <v>3727355.9</v>
      </c>
      <c r="BO27" s="77">
        <f t="shared" si="45"/>
        <v>3727355.9</v>
      </c>
      <c r="BP27" s="97"/>
      <c r="BQ27" s="97">
        <f t="shared" si="46"/>
        <v>0</v>
      </c>
      <c r="BR27" s="98">
        <f t="shared" si="47"/>
        <v>3727355.9</v>
      </c>
      <c r="BS27" s="77">
        <f t="shared" si="48"/>
        <v>3727355.9</v>
      </c>
      <c r="BT27" s="97">
        <f>IF(Calcs!BB32=TRUE,'Concentration Limitations'!BS27,0)</f>
        <v>0</v>
      </c>
      <c r="BU27" s="97">
        <f t="shared" si="49"/>
        <v>0</v>
      </c>
      <c r="BV27" s="98">
        <f t="shared" si="50"/>
        <v>3727355.9</v>
      </c>
      <c r="BW27" s="77">
        <f t="shared" si="51"/>
        <v>3727355.9</v>
      </c>
      <c r="BX27" s="97">
        <f>IF(Calcs!BI32=TRUE,'Concentration Limitations'!BW27,0)</f>
        <v>0</v>
      </c>
      <c r="BY27" s="97">
        <f t="shared" si="52"/>
        <v>0</v>
      </c>
      <c r="BZ27" s="98">
        <f t="shared" si="53"/>
        <v>3727355.9</v>
      </c>
      <c r="CA27" s="97">
        <f t="shared" si="54"/>
        <v>3727355.9</v>
      </c>
      <c r="CB27" s="97"/>
      <c r="CC27" s="97"/>
      <c r="CD27" s="98">
        <f t="shared" si="55"/>
        <v>3727355.9</v>
      </c>
      <c r="CE27" s="97">
        <f t="shared" si="56"/>
        <v>3727355.9</v>
      </c>
      <c r="CF27" s="97"/>
      <c r="CG27" s="97"/>
      <c r="CH27" s="98">
        <f t="shared" si="57"/>
        <v>3727355.9</v>
      </c>
      <c r="CI27" s="97">
        <f t="shared" si="58"/>
        <v>3727355.9</v>
      </c>
      <c r="CJ27" s="97"/>
      <c r="CK27" s="97"/>
      <c r="CL27" s="98">
        <f t="shared" si="59"/>
        <v>3727355.9</v>
      </c>
      <c r="CM27" s="97">
        <f t="shared" si="60"/>
        <v>3727355.9</v>
      </c>
      <c r="CN27" s="97"/>
      <c r="CO27" s="97"/>
      <c r="CP27" s="98">
        <f t="shared" si="61"/>
        <v>3727355.9</v>
      </c>
      <c r="CQ27" s="97">
        <f t="shared" si="62"/>
        <v>3727355.9</v>
      </c>
      <c r="CR27" s="97"/>
      <c r="CS27" s="97">
        <f t="shared" si="63"/>
        <v>0</v>
      </c>
      <c r="CT27" s="98">
        <f t="shared" si="64"/>
        <v>3727355.9</v>
      </c>
      <c r="CU27" s="97">
        <f t="shared" si="65"/>
        <v>3727355.9</v>
      </c>
      <c r="CV27" s="97"/>
      <c r="CW27" s="97">
        <f t="shared" si="66"/>
        <v>0</v>
      </c>
      <c r="CX27" s="98">
        <f t="shared" si="67"/>
        <v>3727355.9</v>
      </c>
      <c r="CY27" s="97">
        <f t="shared" si="68"/>
        <v>3727355.9</v>
      </c>
      <c r="CZ27" s="97"/>
      <c r="DA27" s="97"/>
      <c r="DB27" s="98">
        <f t="shared" si="69"/>
        <v>3727355.9</v>
      </c>
      <c r="DC27" s="75">
        <f t="shared" si="70"/>
        <v>3727355.9</v>
      </c>
      <c r="DD27" s="97"/>
      <c r="DE27" s="97"/>
      <c r="DF27" s="98">
        <f t="shared" si="71"/>
        <v>3727355.9</v>
      </c>
      <c r="DG27" s="75">
        <f t="shared" si="72"/>
        <v>3727355.9</v>
      </c>
      <c r="DH27" s="78" t="str">
        <f>Calcs!F32</f>
        <v>Health Care Providers &amp; Services</v>
      </c>
      <c r="DI27" s="99">
        <f t="shared" ca="1" si="73"/>
        <v>0</v>
      </c>
      <c r="DJ27" s="98">
        <f t="shared" ca="1" si="74"/>
        <v>3727355.9</v>
      </c>
      <c r="DK27" s="293">
        <f t="shared" si="75"/>
        <v>19</v>
      </c>
      <c r="DL27" s="532" t="s">
        <v>181</v>
      </c>
      <c r="DM27" s="36"/>
      <c r="DN27" s="36"/>
      <c r="DO27" s="36"/>
      <c r="DP27" s="36"/>
      <c r="DQ27" s="413" cm="1">
        <f t="array" ref="DQ27">+SUMPRODUCT((DL27=$DH$12:$DH$307)*($DG$12:$DG$307))/$N$6</f>
        <v>0</v>
      </c>
      <c r="DR27" s="414">
        <f t="shared" si="76"/>
        <v>19</v>
      </c>
      <c r="DS27" s="413" cm="1">
        <f t="array" aca="1" ref="DS27" ca="1">+SUMPRODUCT((DL27=$DH$12:$DH$307)*($DJ$12:$DJ$307))/$N$6</f>
        <v>0</v>
      </c>
      <c r="DT27" s="417">
        <f t="shared" ca="1" si="80"/>
        <v>19</v>
      </c>
      <c r="DU27" s="415">
        <f t="shared" si="77"/>
        <v>0.1</v>
      </c>
      <c r="DV27" s="416">
        <f t="shared" si="81"/>
        <v>0.1</v>
      </c>
    </row>
    <row r="28" spans="6:127">
      <c r="F28" s="2">
        <f t="shared" ca="1" si="79"/>
        <v>59</v>
      </c>
      <c r="G28" s="40" t="str">
        <f>Calcs!A33</f>
        <v>Crane 1 Services, Inc.</v>
      </c>
      <c r="H28" s="68">
        <f t="shared" ca="1" si="8"/>
        <v>992500</v>
      </c>
      <c r="I28" s="96"/>
      <c r="J28" s="96"/>
      <c r="K28" s="63">
        <f>+IF(G28="","",IF(COUNTIF(G29:$G$307,G28)=0,1,0))</f>
        <v>1</v>
      </c>
      <c r="L28" s="75">
        <f>Calcs!U33</f>
        <v>992500</v>
      </c>
      <c r="M28">
        <f t="shared" si="2"/>
        <v>59</v>
      </c>
      <c r="N28" s="75">
        <f t="shared" si="9"/>
        <v>992500</v>
      </c>
      <c r="O28" s="75">
        <f t="shared" si="3"/>
        <v>992500</v>
      </c>
      <c r="P28" s="72">
        <f t="shared" si="10"/>
        <v>0.05</v>
      </c>
      <c r="Q28" s="72">
        <f t="shared" si="11"/>
        <v>1.6526625647847015E-3</v>
      </c>
      <c r="R28" s="61">
        <f t="shared" si="12"/>
        <v>0</v>
      </c>
      <c r="S28" s="68">
        <f t="shared" si="13"/>
        <v>992500</v>
      </c>
      <c r="T28" s="68">
        <f t="shared" si="4"/>
        <v>992500</v>
      </c>
      <c r="U28">
        <f t="array" aca="1" ref="U28" ca="1">SUM(1*(S28&lt;$S$12:$S$307))+1+IF(ROW(S28)-ROW($S$12)=0,0,SUM(1*(S28=OFFSET($S$12,0,0,INDEX(ROW(S28)-ROW($S$12)+1,1)-1,1))))</f>
        <v>59</v>
      </c>
      <c r="V28" s="96">
        <f t="shared" si="14"/>
        <v>992500</v>
      </c>
      <c r="W28" s="75">
        <f>Calcs!U33</f>
        <v>992500</v>
      </c>
      <c r="X28" s="78">
        <f>IFERROR(OR(Calcs!BH32,Calcs!BI32)*W28,0)</f>
        <v>0</v>
      </c>
      <c r="Y28" s="97">
        <f t="shared" si="15"/>
        <v>0</v>
      </c>
      <c r="Z28" s="98">
        <f t="shared" si="16"/>
        <v>992500</v>
      </c>
      <c r="AA28" s="77">
        <f t="shared" si="17"/>
        <v>992500</v>
      </c>
      <c r="AB28" s="78">
        <f>IF(AND(Calcs!BM33=TRUE),AA28,0)</f>
        <v>0</v>
      </c>
      <c r="AC28" s="97">
        <f t="shared" si="18"/>
        <v>0</v>
      </c>
      <c r="AD28" s="98">
        <f t="shared" si="19"/>
        <v>992500</v>
      </c>
      <c r="AE28" s="77">
        <f t="shared" si="20"/>
        <v>992500</v>
      </c>
      <c r="AF28" s="78">
        <f>IF(Calcs!BY33&lt;15,AE28,0)</f>
        <v>0</v>
      </c>
      <c r="AG28" s="97">
        <f t="shared" si="21"/>
        <v>0</v>
      </c>
      <c r="AH28" s="98">
        <f t="shared" si="22"/>
        <v>992500</v>
      </c>
      <c r="AI28" s="77">
        <f t="shared" si="23"/>
        <v>992500</v>
      </c>
      <c r="AJ28" s="78">
        <f>IF(Calcs!BY33&lt;10,AE28,0)</f>
        <v>0</v>
      </c>
      <c r="AK28" s="97">
        <f t="shared" si="24"/>
        <v>0</v>
      </c>
      <c r="AL28" s="98">
        <f t="shared" si="25"/>
        <v>992500</v>
      </c>
      <c r="AM28" s="77">
        <f t="shared" si="26"/>
        <v>992500</v>
      </c>
      <c r="AN28" s="78">
        <f>NOT(Calcs!BD33)*AM28</f>
        <v>0</v>
      </c>
      <c r="AO28" s="97">
        <f t="shared" si="27"/>
        <v>0</v>
      </c>
      <c r="AP28" s="98">
        <f t="shared" si="28"/>
        <v>992500</v>
      </c>
      <c r="AQ28" s="77">
        <f t="shared" si="29"/>
        <v>992500</v>
      </c>
      <c r="AR28" s="78">
        <f>NOT(Calcs!BE33)*AQ28</f>
        <v>0</v>
      </c>
      <c r="AS28" s="97">
        <f t="shared" si="30"/>
        <v>0</v>
      </c>
      <c r="AT28" s="98">
        <f t="shared" si="31"/>
        <v>992500</v>
      </c>
      <c r="AU28" s="77">
        <f t="shared" si="32"/>
        <v>992500</v>
      </c>
      <c r="AV28" s="97">
        <f>IF(Calcs!BC33=TRUE, AU28, 0)</f>
        <v>0</v>
      </c>
      <c r="AW28" s="97">
        <f t="shared" si="33"/>
        <v>0</v>
      </c>
      <c r="AX28" s="98">
        <f t="shared" si="34"/>
        <v>992500</v>
      </c>
      <c r="AY28" s="77">
        <f t="shared" si="35"/>
        <v>992500</v>
      </c>
      <c r="AZ28" s="97">
        <f>Calcs!BK33*AY28</f>
        <v>0</v>
      </c>
      <c r="BA28" s="97">
        <f t="shared" si="36"/>
        <v>0</v>
      </c>
      <c r="BB28" s="98">
        <f t="shared" si="37"/>
        <v>992500</v>
      </c>
      <c r="BC28" s="77">
        <f t="shared" si="38"/>
        <v>992500</v>
      </c>
      <c r="BD28" s="97"/>
      <c r="BE28" s="97"/>
      <c r="BF28" s="98"/>
      <c r="BG28" s="77">
        <f t="shared" si="39"/>
        <v>992500</v>
      </c>
      <c r="BH28" s="97">
        <f>IF(Calcs!BJ33=FALSE,0,BG28)</f>
        <v>0</v>
      </c>
      <c r="BI28" s="97">
        <f t="shared" si="40"/>
        <v>0</v>
      </c>
      <c r="BJ28" s="98">
        <f t="shared" si="41"/>
        <v>992500</v>
      </c>
      <c r="BK28" s="77">
        <f t="shared" si="42"/>
        <v>992500</v>
      </c>
      <c r="BL28" s="97">
        <f>IF(Calcs!AW33=TRUE,BK28,0)</f>
        <v>0</v>
      </c>
      <c r="BM28" s="97">
        <f t="shared" si="43"/>
        <v>0</v>
      </c>
      <c r="BN28" s="98">
        <f t="shared" si="44"/>
        <v>992500</v>
      </c>
      <c r="BO28" s="77">
        <f t="shared" si="45"/>
        <v>992500</v>
      </c>
      <c r="BP28" s="97"/>
      <c r="BQ28" s="97">
        <f t="shared" si="46"/>
        <v>0</v>
      </c>
      <c r="BR28" s="98">
        <f t="shared" si="47"/>
        <v>992500</v>
      </c>
      <c r="BS28" s="77">
        <f t="shared" si="48"/>
        <v>992500</v>
      </c>
      <c r="BT28" s="97">
        <f>IF(Calcs!BB33=TRUE,'Concentration Limitations'!BS28,0)</f>
        <v>0</v>
      </c>
      <c r="BU28" s="97">
        <f t="shared" si="49"/>
        <v>0</v>
      </c>
      <c r="BV28" s="98">
        <f t="shared" si="50"/>
        <v>992500</v>
      </c>
      <c r="BW28" s="77">
        <f t="shared" si="51"/>
        <v>992500</v>
      </c>
      <c r="BX28" s="97">
        <f>IF(Calcs!BI33=TRUE,'Concentration Limitations'!BW28,0)</f>
        <v>0</v>
      </c>
      <c r="BY28" s="97">
        <f t="shared" si="52"/>
        <v>0</v>
      </c>
      <c r="BZ28" s="98">
        <f t="shared" si="53"/>
        <v>992500</v>
      </c>
      <c r="CA28" s="97">
        <f t="shared" si="54"/>
        <v>992500</v>
      </c>
      <c r="CB28" s="97"/>
      <c r="CC28" s="97"/>
      <c r="CD28" s="98">
        <f t="shared" si="55"/>
        <v>992500</v>
      </c>
      <c r="CE28" s="97">
        <f t="shared" si="56"/>
        <v>992500</v>
      </c>
      <c r="CF28" s="97"/>
      <c r="CG28" s="97"/>
      <c r="CH28" s="98">
        <f t="shared" si="57"/>
        <v>992500</v>
      </c>
      <c r="CI28" s="97">
        <f t="shared" si="58"/>
        <v>992500</v>
      </c>
      <c r="CJ28" s="97"/>
      <c r="CK28" s="97"/>
      <c r="CL28" s="98">
        <f t="shared" si="59"/>
        <v>992500</v>
      </c>
      <c r="CM28" s="97">
        <f t="shared" si="60"/>
        <v>992500</v>
      </c>
      <c r="CN28" s="97"/>
      <c r="CO28" s="97"/>
      <c r="CP28" s="98">
        <f t="shared" si="61"/>
        <v>992500</v>
      </c>
      <c r="CQ28" s="97">
        <f t="shared" si="62"/>
        <v>992500</v>
      </c>
      <c r="CR28" s="97"/>
      <c r="CS28" s="97">
        <f t="shared" si="63"/>
        <v>0</v>
      </c>
      <c r="CT28" s="98">
        <f t="shared" si="64"/>
        <v>992500</v>
      </c>
      <c r="CU28" s="97">
        <f t="shared" si="65"/>
        <v>992500</v>
      </c>
      <c r="CV28" s="97"/>
      <c r="CW28" s="97">
        <f t="shared" si="66"/>
        <v>0</v>
      </c>
      <c r="CX28" s="98">
        <f t="shared" si="67"/>
        <v>992500</v>
      </c>
      <c r="CY28" s="97">
        <f t="shared" si="68"/>
        <v>992500</v>
      </c>
      <c r="CZ28" s="97"/>
      <c r="DA28" s="97"/>
      <c r="DB28" s="98">
        <f t="shared" si="69"/>
        <v>992500</v>
      </c>
      <c r="DC28" s="75">
        <f t="shared" si="70"/>
        <v>992500</v>
      </c>
      <c r="DD28" s="97"/>
      <c r="DE28" s="97"/>
      <c r="DF28" s="98">
        <f t="shared" si="71"/>
        <v>992500</v>
      </c>
      <c r="DG28" s="75">
        <f t="shared" si="72"/>
        <v>992500</v>
      </c>
      <c r="DH28" s="78" t="str">
        <f>Calcs!F33</f>
        <v>Commercial Services &amp; Supplies</v>
      </c>
      <c r="DI28" s="99">
        <f t="shared" ca="1" si="73"/>
        <v>0</v>
      </c>
      <c r="DJ28" s="98">
        <f t="shared" ca="1" si="74"/>
        <v>992500</v>
      </c>
      <c r="DK28" s="293">
        <f t="shared" si="75"/>
        <v>19</v>
      </c>
      <c r="DL28" s="532" t="s">
        <v>975</v>
      </c>
      <c r="DM28" s="36"/>
      <c r="DN28" s="36"/>
      <c r="DO28" s="36"/>
      <c r="DP28" s="36"/>
      <c r="DQ28" s="413" cm="1">
        <f t="array" ref="DQ28">+SUMPRODUCT((DL28=$DH$12:$DH$307)*($DG$12:$DG$307))/$N$6</f>
        <v>0</v>
      </c>
      <c r="DR28" s="414">
        <f t="shared" si="76"/>
        <v>19</v>
      </c>
      <c r="DS28" s="413" cm="1">
        <f t="array" aca="1" ref="DS28" ca="1">+SUMPRODUCT((DL28=$DH$12:$DH$307)*($DJ$12:$DJ$307))/$N$6</f>
        <v>0</v>
      </c>
      <c r="DT28" s="417">
        <f t="shared" ca="1" si="80"/>
        <v>19</v>
      </c>
      <c r="DU28" s="415">
        <f t="shared" si="77"/>
        <v>0.1</v>
      </c>
      <c r="DV28" s="416">
        <f t="shared" si="81"/>
        <v>0.1</v>
      </c>
    </row>
    <row r="29" spans="6:127">
      <c r="F29" s="2">
        <f t="shared" ca="1" si="79"/>
        <v>4</v>
      </c>
      <c r="G29" s="40" t="str">
        <f>Calcs!A34</f>
        <v xml:space="preserve">Dr. Squatch, LLC </v>
      </c>
      <c r="H29" s="68">
        <f t="shared" ca="1" si="8"/>
        <v>14391474.029999997</v>
      </c>
      <c r="I29" s="96"/>
      <c r="J29" s="96"/>
      <c r="K29" s="63">
        <f>+IF(G29="","",IF(COUNTIF(G30:$G$307,G29)=0,1,0))</f>
        <v>1</v>
      </c>
      <c r="L29" s="75">
        <f>Calcs!U34</f>
        <v>14391474.029999999</v>
      </c>
      <c r="M29">
        <f t="shared" si="2"/>
        <v>4</v>
      </c>
      <c r="N29" s="75">
        <f t="shared" si="9"/>
        <v>14391474.029999999</v>
      </c>
      <c r="O29" s="75">
        <f t="shared" si="3"/>
        <v>14391474.029999999</v>
      </c>
      <c r="P29" s="72">
        <f t="shared" si="10"/>
        <v>0.05</v>
      </c>
      <c r="Q29" s="72">
        <f t="shared" si="11"/>
        <v>2.3963980233201232E-2</v>
      </c>
      <c r="R29" s="61">
        <f t="shared" si="12"/>
        <v>0</v>
      </c>
      <c r="S29" s="68">
        <f t="shared" si="13"/>
        <v>14391474.029999999</v>
      </c>
      <c r="T29" s="68">
        <f t="shared" si="4"/>
        <v>14391474.029999999</v>
      </c>
      <c r="U29">
        <f t="array" aca="1" ref="U29" ca="1">SUM(1*(S29&lt;$S$12:$S$307))+1+IF(ROW(S29)-ROW($S$12)=0,0,SUM(1*(S29=OFFSET($S$12,0,0,INDEX(ROW(S29)-ROW($S$12)+1,1)-1,1))))</f>
        <v>4</v>
      </c>
      <c r="V29" s="96">
        <f t="shared" si="14"/>
        <v>14391474.029999997</v>
      </c>
      <c r="W29" s="75">
        <f>Calcs!U34</f>
        <v>14391474.029999999</v>
      </c>
      <c r="X29" s="78">
        <f>IFERROR(OR(Calcs!BH33,Calcs!BI33)*W29,0)</f>
        <v>0</v>
      </c>
      <c r="Y29" s="97">
        <f t="shared" si="15"/>
        <v>0</v>
      </c>
      <c r="Z29" s="98">
        <f t="shared" si="16"/>
        <v>14391474.029999999</v>
      </c>
      <c r="AA29" s="77">
        <f t="shared" si="17"/>
        <v>14391474.029999999</v>
      </c>
      <c r="AB29" s="78">
        <f>IF(AND(Calcs!BM34=TRUE),AA29,0)</f>
        <v>0</v>
      </c>
      <c r="AC29" s="97">
        <f t="shared" si="18"/>
        <v>0</v>
      </c>
      <c r="AD29" s="98">
        <f t="shared" si="19"/>
        <v>14391474.029999999</v>
      </c>
      <c r="AE29" s="77">
        <f t="shared" si="20"/>
        <v>14391474.029999999</v>
      </c>
      <c r="AF29" s="78">
        <f>IF(Calcs!BY34&lt;15,AE29,0)</f>
        <v>0</v>
      </c>
      <c r="AG29" s="97">
        <f t="shared" si="21"/>
        <v>0</v>
      </c>
      <c r="AH29" s="98">
        <f t="shared" si="22"/>
        <v>14391474.029999999</v>
      </c>
      <c r="AI29" s="77">
        <f t="shared" si="23"/>
        <v>14391474.029999999</v>
      </c>
      <c r="AJ29" s="78">
        <f>IF(Calcs!BY34&lt;10,AE29,0)</f>
        <v>0</v>
      </c>
      <c r="AK29" s="97">
        <f t="shared" si="24"/>
        <v>0</v>
      </c>
      <c r="AL29" s="98">
        <f t="shared" si="25"/>
        <v>14391474.029999999</v>
      </c>
      <c r="AM29" s="77">
        <f t="shared" si="26"/>
        <v>14391474.029999999</v>
      </c>
      <c r="AN29" s="78">
        <f>NOT(Calcs!BD34)*AM29</f>
        <v>0</v>
      </c>
      <c r="AO29" s="97">
        <f t="shared" si="27"/>
        <v>0</v>
      </c>
      <c r="AP29" s="98">
        <f t="shared" si="28"/>
        <v>14391474.029999999</v>
      </c>
      <c r="AQ29" s="77">
        <f t="shared" si="29"/>
        <v>14391474.029999999</v>
      </c>
      <c r="AR29" s="78">
        <f>NOT(Calcs!BE34)*AQ29</f>
        <v>0</v>
      </c>
      <c r="AS29" s="97">
        <f t="shared" si="30"/>
        <v>0</v>
      </c>
      <c r="AT29" s="98">
        <f t="shared" si="31"/>
        <v>14391474.029999999</v>
      </c>
      <c r="AU29" s="77">
        <f t="shared" si="32"/>
        <v>14391474.029999999</v>
      </c>
      <c r="AV29" s="97">
        <f>IF(Calcs!BC34=TRUE, AU29, 0)</f>
        <v>0</v>
      </c>
      <c r="AW29" s="97">
        <f t="shared" si="33"/>
        <v>0</v>
      </c>
      <c r="AX29" s="98">
        <f t="shared" si="34"/>
        <v>14391474.029999999</v>
      </c>
      <c r="AY29" s="77">
        <f t="shared" si="35"/>
        <v>14391474.029999999</v>
      </c>
      <c r="AZ29" s="97">
        <f>Calcs!BK34*AY29</f>
        <v>0</v>
      </c>
      <c r="BA29" s="97">
        <f t="shared" si="36"/>
        <v>0</v>
      </c>
      <c r="BB29" s="98">
        <f t="shared" si="37"/>
        <v>14391474.029999999</v>
      </c>
      <c r="BC29" s="77">
        <f t="shared" si="38"/>
        <v>14391474.029999999</v>
      </c>
      <c r="BD29" s="97"/>
      <c r="BE29" s="97"/>
      <c r="BF29" s="98"/>
      <c r="BG29" s="77">
        <f t="shared" si="39"/>
        <v>14391474.029999999</v>
      </c>
      <c r="BH29" s="97">
        <f>IF(Calcs!BJ34=FALSE,0,BG29)</f>
        <v>0</v>
      </c>
      <c r="BI29" s="97">
        <f t="shared" si="40"/>
        <v>0</v>
      </c>
      <c r="BJ29" s="98">
        <f t="shared" si="41"/>
        <v>14391474.029999999</v>
      </c>
      <c r="BK29" s="77">
        <f t="shared" si="42"/>
        <v>14391474.029999999</v>
      </c>
      <c r="BL29" s="97">
        <f>IF(Calcs!AW34=TRUE,BK29,0)</f>
        <v>0</v>
      </c>
      <c r="BM29" s="97">
        <f t="shared" si="43"/>
        <v>0</v>
      </c>
      <c r="BN29" s="98">
        <f t="shared" si="44"/>
        <v>14391474.029999999</v>
      </c>
      <c r="BO29" s="77">
        <f t="shared" si="45"/>
        <v>14391474.029999999</v>
      </c>
      <c r="BP29" s="97"/>
      <c r="BQ29" s="97">
        <f t="shared" si="46"/>
        <v>0</v>
      </c>
      <c r="BR29" s="98">
        <f t="shared" si="47"/>
        <v>14391474.029999999</v>
      </c>
      <c r="BS29" s="77">
        <f t="shared" si="48"/>
        <v>14391474.029999999</v>
      </c>
      <c r="BT29" s="97">
        <f>IF(Calcs!BB34=TRUE,'Concentration Limitations'!BS29,0)</f>
        <v>0</v>
      </c>
      <c r="BU29" s="97">
        <f t="shared" si="49"/>
        <v>0</v>
      </c>
      <c r="BV29" s="98">
        <f t="shared" si="50"/>
        <v>14391474.029999999</v>
      </c>
      <c r="BW29" s="77">
        <f t="shared" si="51"/>
        <v>14391474.029999999</v>
      </c>
      <c r="BX29" s="97">
        <f>IF(Calcs!BI34=TRUE,'Concentration Limitations'!BW29,0)</f>
        <v>0</v>
      </c>
      <c r="BY29" s="97">
        <f t="shared" si="52"/>
        <v>0</v>
      </c>
      <c r="BZ29" s="98">
        <f t="shared" si="53"/>
        <v>14391474.029999999</v>
      </c>
      <c r="CA29" s="97">
        <f t="shared" si="54"/>
        <v>14391474.029999999</v>
      </c>
      <c r="CB29" s="97"/>
      <c r="CC29" s="97"/>
      <c r="CD29" s="98">
        <f t="shared" si="55"/>
        <v>14391474.029999999</v>
      </c>
      <c r="CE29" s="97">
        <f t="shared" si="56"/>
        <v>14391474.029999999</v>
      </c>
      <c r="CF29" s="97"/>
      <c r="CG29" s="97"/>
      <c r="CH29" s="98">
        <f t="shared" si="57"/>
        <v>14391474.029999999</v>
      </c>
      <c r="CI29" s="97">
        <f t="shared" si="58"/>
        <v>14391474.029999999</v>
      </c>
      <c r="CJ29" s="97"/>
      <c r="CK29" s="97"/>
      <c r="CL29" s="98">
        <f t="shared" si="59"/>
        <v>14391474.029999999</v>
      </c>
      <c r="CM29" s="97">
        <f t="shared" si="60"/>
        <v>14391474.029999999</v>
      </c>
      <c r="CN29" s="97"/>
      <c r="CO29" s="97"/>
      <c r="CP29" s="98">
        <f t="shared" si="61"/>
        <v>14391474.029999999</v>
      </c>
      <c r="CQ29" s="97">
        <f t="shared" si="62"/>
        <v>14391474.029999999</v>
      </c>
      <c r="CR29" s="97"/>
      <c r="CS29" s="97">
        <f t="shared" si="63"/>
        <v>0</v>
      </c>
      <c r="CT29" s="98">
        <f t="shared" si="64"/>
        <v>14391474.029999999</v>
      </c>
      <c r="CU29" s="97">
        <f t="shared" si="65"/>
        <v>14391474.029999999</v>
      </c>
      <c r="CV29" s="97"/>
      <c r="CW29" s="97">
        <f t="shared" si="66"/>
        <v>0</v>
      </c>
      <c r="CX29" s="98">
        <f t="shared" si="67"/>
        <v>14391474.029999999</v>
      </c>
      <c r="CY29" s="97">
        <f t="shared" si="68"/>
        <v>14391474.029999999</v>
      </c>
      <c r="CZ29" s="97"/>
      <c r="DA29" s="97"/>
      <c r="DB29" s="98">
        <f t="shared" si="69"/>
        <v>14391474.029999999</v>
      </c>
      <c r="DC29" s="75">
        <f t="shared" si="70"/>
        <v>14391474.029999999</v>
      </c>
      <c r="DD29" s="97"/>
      <c r="DE29" s="97"/>
      <c r="DF29" s="98">
        <f t="shared" si="71"/>
        <v>14391474.029999999</v>
      </c>
      <c r="DG29" s="75">
        <f t="shared" si="72"/>
        <v>14391474.029999999</v>
      </c>
      <c r="DH29" s="78" t="str">
        <f>Calcs!F34</f>
        <v>Leisure Products</v>
      </c>
      <c r="DI29" s="99">
        <f t="shared" ca="1" si="73"/>
        <v>0</v>
      </c>
      <c r="DJ29" s="98">
        <f t="shared" ca="1" si="74"/>
        <v>14391474.029999999</v>
      </c>
      <c r="DK29" s="293">
        <f t="shared" si="75"/>
        <v>8</v>
      </c>
      <c r="DL29" s="532" t="s">
        <v>182</v>
      </c>
      <c r="DM29" s="36"/>
      <c r="DN29" s="36"/>
      <c r="DO29" s="36"/>
      <c r="DP29" s="36"/>
      <c r="DQ29" s="413" cm="1">
        <f t="array" ref="DQ29">+SUMPRODUCT((DL29=$DH$12:$DH$307)*($DG$12:$DG$307))/$N$6</f>
        <v>2.7618608675600551E-2</v>
      </c>
      <c r="DR29" s="414">
        <f t="shared" si="76"/>
        <v>8</v>
      </c>
      <c r="DS29" s="413" cm="1">
        <f t="array" aca="1" ref="DS29" ca="1">+SUMPRODUCT((DL29=$DH$12:$DH$307)*($DJ$12:$DJ$307))/$N$6</f>
        <v>2.7618608675600551E-2</v>
      </c>
      <c r="DT29" s="417">
        <f t="shared" ca="1" si="80"/>
        <v>8</v>
      </c>
      <c r="DU29" s="415">
        <f t="shared" si="77"/>
        <v>0.1</v>
      </c>
      <c r="DV29" s="416">
        <f t="shared" si="81"/>
        <v>7.2381391324399455E-2</v>
      </c>
    </row>
    <row r="30" spans="6:127" s="2" customFormat="1">
      <c r="F30" s="2">
        <f t="shared" ca="1" si="79"/>
        <v>24</v>
      </c>
      <c r="G30" s="40" t="str">
        <f>Calcs!A35</f>
        <v>EDS Buyers, LLC</v>
      </c>
      <c r="H30" s="68">
        <f t="shared" ca="1" si="8"/>
        <v>5438891.75</v>
      </c>
      <c r="I30" s="96"/>
      <c r="J30" s="96"/>
      <c r="K30" s="63">
        <f>+IF(G30="","",IF(COUNTIF(G31:$G$307,G30)=0,1,0))</f>
        <v>1</v>
      </c>
      <c r="L30" s="75">
        <f>Calcs!U35</f>
        <v>5438891.75</v>
      </c>
      <c r="M30">
        <f t="shared" si="2"/>
        <v>24</v>
      </c>
      <c r="N30" s="75">
        <f t="shared" si="9"/>
        <v>5438891.75</v>
      </c>
      <c r="O30" s="75">
        <f t="shared" si="3"/>
        <v>5438891.75</v>
      </c>
      <c r="P30" s="72">
        <f t="shared" si="10"/>
        <v>0.05</v>
      </c>
      <c r="Q30" s="72">
        <f t="shared" si="11"/>
        <v>9.0565771175227742E-3</v>
      </c>
      <c r="R30" s="61">
        <f t="shared" si="12"/>
        <v>0</v>
      </c>
      <c r="S30" s="68">
        <f t="shared" si="13"/>
        <v>5438891.75</v>
      </c>
      <c r="T30" s="68">
        <f t="shared" si="4"/>
        <v>5438891.75</v>
      </c>
      <c r="U30">
        <f t="array" aca="1" ref="U30" ca="1">SUM(1*(S30&lt;$S$12:$S$307))+1+IF(ROW(S30)-ROW($S$12)=0,0,SUM(1*(S30=OFFSET($S$12,0,0,INDEX(ROW(S30)-ROW($S$12)+1,1)-1,1))))</f>
        <v>24</v>
      </c>
      <c r="V30" s="96">
        <f t="shared" si="14"/>
        <v>5438891.75</v>
      </c>
      <c r="W30" s="75">
        <f>Calcs!U35</f>
        <v>5438891.75</v>
      </c>
      <c r="X30" s="78">
        <f>IFERROR(OR(Calcs!BH34,Calcs!BI34)*W30,0)</f>
        <v>0</v>
      </c>
      <c r="Y30" s="97">
        <f t="shared" si="15"/>
        <v>0</v>
      </c>
      <c r="Z30" s="98">
        <f t="shared" si="16"/>
        <v>5438891.75</v>
      </c>
      <c r="AA30" s="77">
        <f t="shared" si="17"/>
        <v>5438891.75</v>
      </c>
      <c r="AB30" s="78">
        <f>IF(AND(Calcs!BM35=TRUE),AA30,0)</f>
        <v>0</v>
      </c>
      <c r="AC30" s="97">
        <f t="shared" si="18"/>
        <v>0</v>
      </c>
      <c r="AD30" s="98">
        <f t="shared" si="19"/>
        <v>5438891.75</v>
      </c>
      <c r="AE30" s="77">
        <f t="shared" si="20"/>
        <v>5438891.75</v>
      </c>
      <c r="AF30" s="78">
        <f>IF(Calcs!BY35&lt;15,AE30,0)</f>
        <v>0</v>
      </c>
      <c r="AG30" s="97">
        <f t="shared" si="21"/>
        <v>0</v>
      </c>
      <c r="AH30" s="98">
        <f t="shared" si="22"/>
        <v>5438891.75</v>
      </c>
      <c r="AI30" s="77">
        <f t="shared" si="23"/>
        <v>5438891.75</v>
      </c>
      <c r="AJ30" s="78">
        <f>IF(Calcs!BY35&lt;10,AE30,0)</f>
        <v>0</v>
      </c>
      <c r="AK30" s="97">
        <f t="shared" si="24"/>
        <v>0</v>
      </c>
      <c r="AL30" s="98">
        <f t="shared" si="25"/>
        <v>5438891.75</v>
      </c>
      <c r="AM30" s="77">
        <f t="shared" si="26"/>
        <v>5438891.75</v>
      </c>
      <c r="AN30" s="78">
        <f>NOT(Calcs!BD35)*AM30</f>
        <v>0</v>
      </c>
      <c r="AO30" s="97">
        <f t="shared" si="27"/>
        <v>0</v>
      </c>
      <c r="AP30" s="98">
        <f t="shared" si="28"/>
        <v>5438891.75</v>
      </c>
      <c r="AQ30" s="77">
        <f t="shared" si="29"/>
        <v>5438891.75</v>
      </c>
      <c r="AR30" s="78">
        <f>NOT(Calcs!BE35)*AQ30</f>
        <v>0</v>
      </c>
      <c r="AS30" s="97">
        <f t="shared" si="30"/>
        <v>0</v>
      </c>
      <c r="AT30" s="98">
        <f t="shared" si="31"/>
        <v>5438891.75</v>
      </c>
      <c r="AU30" s="77">
        <f t="shared" si="32"/>
        <v>5438891.75</v>
      </c>
      <c r="AV30" s="97">
        <f>IF(Calcs!BC35=TRUE, AU30, 0)</f>
        <v>0</v>
      </c>
      <c r="AW30" s="97">
        <f t="shared" si="33"/>
        <v>0</v>
      </c>
      <c r="AX30" s="98">
        <f t="shared" si="34"/>
        <v>5438891.75</v>
      </c>
      <c r="AY30" s="77">
        <f t="shared" si="35"/>
        <v>5438891.75</v>
      </c>
      <c r="AZ30" s="97">
        <f>Calcs!BK35*AY30</f>
        <v>0</v>
      </c>
      <c r="BA30" s="97">
        <f t="shared" si="36"/>
        <v>0</v>
      </c>
      <c r="BB30" s="98">
        <f t="shared" si="37"/>
        <v>5438891.75</v>
      </c>
      <c r="BC30" s="77">
        <f t="shared" si="38"/>
        <v>5438891.75</v>
      </c>
      <c r="BD30" s="97"/>
      <c r="BE30" s="97"/>
      <c r="BF30" s="98"/>
      <c r="BG30" s="77">
        <f t="shared" si="39"/>
        <v>5438891.75</v>
      </c>
      <c r="BH30" s="97">
        <f>IF(Calcs!BJ35=FALSE,0,BG30)</f>
        <v>0</v>
      </c>
      <c r="BI30" s="97">
        <f t="shared" si="40"/>
        <v>0</v>
      </c>
      <c r="BJ30" s="98">
        <f t="shared" si="41"/>
        <v>5438891.75</v>
      </c>
      <c r="BK30" s="77">
        <f t="shared" si="42"/>
        <v>5438891.75</v>
      </c>
      <c r="BL30" s="97">
        <f>IF(Calcs!AW35=TRUE,BK30,0)</f>
        <v>0</v>
      </c>
      <c r="BM30" s="97">
        <f t="shared" si="43"/>
        <v>0</v>
      </c>
      <c r="BN30" s="98">
        <f t="shared" si="44"/>
        <v>5438891.75</v>
      </c>
      <c r="BO30" s="77">
        <f t="shared" si="45"/>
        <v>5438891.75</v>
      </c>
      <c r="BP30" s="97"/>
      <c r="BQ30" s="97">
        <f t="shared" si="46"/>
        <v>0</v>
      </c>
      <c r="BR30" s="98">
        <f t="shared" si="47"/>
        <v>5438891.75</v>
      </c>
      <c r="BS30" s="77">
        <f t="shared" si="48"/>
        <v>5438891.75</v>
      </c>
      <c r="BT30" s="97">
        <f>IF(Calcs!BB35=TRUE,'Concentration Limitations'!BS30,0)</f>
        <v>0</v>
      </c>
      <c r="BU30" s="97">
        <f t="shared" si="49"/>
        <v>0</v>
      </c>
      <c r="BV30" s="98">
        <f t="shared" si="50"/>
        <v>5438891.75</v>
      </c>
      <c r="BW30" s="77">
        <f t="shared" si="51"/>
        <v>5438891.75</v>
      </c>
      <c r="BX30" s="97">
        <f>IF(Calcs!BI35=TRUE,'Concentration Limitations'!BW30,0)</f>
        <v>0</v>
      </c>
      <c r="BY30" s="97">
        <f t="shared" si="52"/>
        <v>0</v>
      </c>
      <c r="BZ30" s="98">
        <f t="shared" si="53"/>
        <v>5438891.75</v>
      </c>
      <c r="CA30" s="97">
        <f t="shared" si="54"/>
        <v>5438891.75</v>
      </c>
      <c r="CB30" s="97"/>
      <c r="CC30" s="97"/>
      <c r="CD30" s="98">
        <f t="shared" si="55"/>
        <v>5438891.75</v>
      </c>
      <c r="CE30" s="97">
        <f t="shared" si="56"/>
        <v>5438891.75</v>
      </c>
      <c r="CF30" s="97"/>
      <c r="CG30" s="97"/>
      <c r="CH30" s="98">
        <f t="shared" si="57"/>
        <v>5438891.75</v>
      </c>
      <c r="CI30" s="97">
        <f t="shared" si="58"/>
        <v>5438891.75</v>
      </c>
      <c r="CJ30" s="97"/>
      <c r="CK30" s="97"/>
      <c r="CL30" s="98">
        <f t="shared" si="59"/>
        <v>5438891.75</v>
      </c>
      <c r="CM30" s="97">
        <f t="shared" si="60"/>
        <v>5438891.75</v>
      </c>
      <c r="CN30" s="97"/>
      <c r="CO30" s="97"/>
      <c r="CP30" s="98">
        <f t="shared" si="61"/>
        <v>5438891.75</v>
      </c>
      <c r="CQ30" s="97">
        <f t="shared" si="62"/>
        <v>5438891.75</v>
      </c>
      <c r="CR30" s="97"/>
      <c r="CS30" s="97">
        <f t="shared" si="63"/>
        <v>0</v>
      </c>
      <c r="CT30" s="98">
        <f t="shared" si="64"/>
        <v>5438891.75</v>
      </c>
      <c r="CU30" s="97">
        <f t="shared" si="65"/>
        <v>5438891.75</v>
      </c>
      <c r="CV30" s="97"/>
      <c r="CW30" s="97">
        <f t="shared" si="66"/>
        <v>0</v>
      </c>
      <c r="CX30" s="98">
        <f t="shared" si="67"/>
        <v>5438891.75</v>
      </c>
      <c r="CY30" s="97">
        <f t="shared" si="68"/>
        <v>5438891.75</v>
      </c>
      <c r="CZ30" s="97"/>
      <c r="DA30" s="97"/>
      <c r="DB30" s="98">
        <f t="shared" si="69"/>
        <v>5438891.75</v>
      </c>
      <c r="DC30" s="75">
        <f t="shared" si="70"/>
        <v>5438891.75</v>
      </c>
      <c r="DD30" s="97"/>
      <c r="DE30" s="97"/>
      <c r="DF30" s="98">
        <f t="shared" si="71"/>
        <v>5438891.75</v>
      </c>
      <c r="DG30" s="75">
        <f t="shared" si="72"/>
        <v>5438891.75</v>
      </c>
      <c r="DH30" s="78" t="str">
        <f>Calcs!F35</f>
        <v>Aerospace &amp; Defense</v>
      </c>
      <c r="DI30" s="99">
        <f t="shared" ca="1" si="73"/>
        <v>0</v>
      </c>
      <c r="DJ30" s="98">
        <f t="shared" ca="1" si="74"/>
        <v>5438891.75</v>
      </c>
      <c r="DK30" s="293">
        <f t="shared" si="75"/>
        <v>7</v>
      </c>
      <c r="DL30" s="532" t="s">
        <v>183</v>
      </c>
      <c r="DM30" s="36"/>
      <c r="DN30" s="36"/>
      <c r="DO30" s="36"/>
      <c r="DP30" s="36"/>
      <c r="DQ30" s="413" cm="1">
        <f t="array" ref="DQ30">+SUMPRODUCT((DL30=$DH$12:$DH$307)*($DG$12:$DG$307))/$N$6</f>
        <v>3.3229100956461977E-2</v>
      </c>
      <c r="DR30" s="414">
        <f t="shared" si="76"/>
        <v>7</v>
      </c>
      <c r="DS30" s="413" cm="1">
        <f t="array" aca="1" ref="DS30" ca="1">+SUMPRODUCT((DL30=$DH$12:$DH$307)*($DJ$12:$DJ$307))/$N$6</f>
        <v>3.3229100956461977E-2</v>
      </c>
      <c r="DT30" s="417">
        <f t="shared" ca="1" si="80"/>
        <v>7</v>
      </c>
      <c r="DU30" s="415">
        <f t="shared" si="77"/>
        <v>0.1</v>
      </c>
      <c r="DV30" s="416">
        <f t="shared" si="81"/>
        <v>6.6770899043538029E-2</v>
      </c>
      <c r="DW30" s="180"/>
    </row>
    <row r="31" spans="6:127" s="2" customFormat="1">
      <c r="F31" s="2">
        <f t="shared" ca="1" si="79"/>
        <v>54</v>
      </c>
      <c r="G31" s="40" t="str">
        <f>Calcs!A36</f>
        <v>Eval Home Health Solutions Intermediate, LLC</v>
      </c>
      <c r="H31" s="68">
        <f t="shared" ca="1" si="8"/>
        <v>1358911.12</v>
      </c>
      <c r="I31" s="96"/>
      <c r="J31" s="96"/>
      <c r="K31" s="63">
        <f>+IF(G31="","",IF(COUNTIF(G32:$G$307,G31)=0,1,0))</f>
        <v>1</v>
      </c>
      <c r="L31" s="75">
        <f>Calcs!U36</f>
        <v>1358911.12</v>
      </c>
      <c r="M31">
        <f t="shared" si="2"/>
        <v>54</v>
      </c>
      <c r="N31" s="75">
        <f t="shared" si="9"/>
        <v>1358911.12</v>
      </c>
      <c r="O31" s="75">
        <f t="shared" si="3"/>
        <v>1358911.12</v>
      </c>
      <c r="P31" s="72">
        <f t="shared" si="10"/>
        <v>0.05</v>
      </c>
      <c r="Q31" s="72">
        <f t="shared" si="11"/>
        <v>2.2627924804973819E-3</v>
      </c>
      <c r="R31" s="61">
        <f t="shared" si="12"/>
        <v>0</v>
      </c>
      <c r="S31" s="68">
        <f t="shared" si="13"/>
        <v>1358911.12</v>
      </c>
      <c r="T31" s="68">
        <f t="shared" si="4"/>
        <v>1358911.12</v>
      </c>
      <c r="U31">
        <f t="array" aca="1" ref="U31" ca="1">SUM(1*(S31&lt;$S$12:$S$307))+1+IF(ROW(S31)-ROW($S$12)=0,0,SUM(1*(S31=OFFSET($S$12,0,0,INDEX(ROW(S31)-ROW($S$12)+1,1)-1,1))))</f>
        <v>54</v>
      </c>
      <c r="V31" s="96">
        <f t="shared" si="14"/>
        <v>1358911.12</v>
      </c>
      <c r="W31" s="75">
        <f>Calcs!U36</f>
        <v>1358911.12</v>
      </c>
      <c r="X31" s="78">
        <f>IFERROR(OR(Calcs!BH35,Calcs!BI35)*W31,0)</f>
        <v>0</v>
      </c>
      <c r="Y31" s="97">
        <f t="shared" si="15"/>
        <v>0</v>
      </c>
      <c r="Z31" s="98">
        <f t="shared" si="16"/>
        <v>1358911.12</v>
      </c>
      <c r="AA31" s="77">
        <f t="shared" si="17"/>
        <v>1358911.12</v>
      </c>
      <c r="AB31" s="78">
        <f>IF(AND(Calcs!BM36=TRUE),AA31,0)</f>
        <v>0</v>
      </c>
      <c r="AC31" s="97">
        <f t="shared" si="18"/>
        <v>0</v>
      </c>
      <c r="AD31" s="98">
        <f t="shared" si="19"/>
        <v>1358911.12</v>
      </c>
      <c r="AE31" s="77">
        <f t="shared" si="20"/>
        <v>1358911.12</v>
      </c>
      <c r="AF31" s="78">
        <f>IF(Calcs!BY36&lt;15,AE31,0)</f>
        <v>1358911.12</v>
      </c>
      <c r="AG31" s="97">
        <f t="shared" si="21"/>
        <v>0</v>
      </c>
      <c r="AH31" s="98">
        <f t="shared" si="22"/>
        <v>1358911.12</v>
      </c>
      <c r="AI31" s="77">
        <f t="shared" si="23"/>
        <v>1358911.12</v>
      </c>
      <c r="AJ31" s="78">
        <f>IF(Calcs!BY36&lt;10,AE31,0)</f>
        <v>0</v>
      </c>
      <c r="AK31" s="97">
        <f t="shared" si="24"/>
        <v>0</v>
      </c>
      <c r="AL31" s="98">
        <f t="shared" si="25"/>
        <v>1358911.12</v>
      </c>
      <c r="AM31" s="77">
        <f t="shared" si="26"/>
        <v>1358911.12</v>
      </c>
      <c r="AN31" s="78">
        <f>NOT(Calcs!BD36)*AM31</f>
        <v>0</v>
      </c>
      <c r="AO31" s="97">
        <f t="shared" si="27"/>
        <v>0</v>
      </c>
      <c r="AP31" s="98">
        <f t="shared" si="28"/>
        <v>1358911.12</v>
      </c>
      <c r="AQ31" s="77">
        <f t="shared" si="29"/>
        <v>1358911.12</v>
      </c>
      <c r="AR31" s="78">
        <f>NOT(Calcs!BE36)*AQ31</f>
        <v>0</v>
      </c>
      <c r="AS31" s="97">
        <f t="shared" si="30"/>
        <v>0</v>
      </c>
      <c r="AT31" s="98">
        <f t="shared" si="31"/>
        <v>1358911.12</v>
      </c>
      <c r="AU31" s="77">
        <f t="shared" si="32"/>
        <v>1358911.12</v>
      </c>
      <c r="AV31" s="97">
        <f>IF(Calcs!BC36=TRUE, AU31, 0)</f>
        <v>0</v>
      </c>
      <c r="AW31" s="97">
        <f t="shared" si="33"/>
        <v>0</v>
      </c>
      <c r="AX31" s="98">
        <f t="shared" si="34"/>
        <v>1358911.12</v>
      </c>
      <c r="AY31" s="77">
        <f t="shared" si="35"/>
        <v>1358911.12</v>
      </c>
      <c r="AZ31" s="97">
        <f>Calcs!BK36*AY31</f>
        <v>0</v>
      </c>
      <c r="BA31" s="97">
        <f t="shared" si="36"/>
        <v>0</v>
      </c>
      <c r="BB31" s="98">
        <f t="shared" si="37"/>
        <v>1358911.12</v>
      </c>
      <c r="BC31" s="77">
        <f t="shared" si="38"/>
        <v>1358911.12</v>
      </c>
      <c r="BD31" s="97"/>
      <c r="BE31" s="97"/>
      <c r="BF31" s="98"/>
      <c r="BG31" s="77">
        <f t="shared" si="39"/>
        <v>1358911.12</v>
      </c>
      <c r="BH31" s="97">
        <f>IF(Calcs!BJ36=FALSE,0,BG31)</f>
        <v>0</v>
      </c>
      <c r="BI31" s="97">
        <f t="shared" si="40"/>
        <v>0</v>
      </c>
      <c r="BJ31" s="98">
        <f t="shared" si="41"/>
        <v>1358911.12</v>
      </c>
      <c r="BK31" s="77">
        <f t="shared" si="42"/>
        <v>1358911.12</v>
      </c>
      <c r="BL31" s="97">
        <f>IF(Calcs!AW36=TRUE,BK31,0)</f>
        <v>0</v>
      </c>
      <c r="BM31" s="97">
        <f t="shared" si="43"/>
        <v>0</v>
      </c>
      <c r="BN31" s="98">
        <f t="shared" si="44"/>
        <v>1358911.12</v>
      </c>
      <c r="BO31" s="77">
        <f t="shared" si="45"/>
        <v>1358911.12</v>
      </c>
      <c r="BP31" s="97"/>
      <c r="BQ31" s="97">
        <f t="shared" si="46"/>
        <v>0</v>
      </c>
      <c r="BR31" s="98">
        <f t="shared" si="47"/>
        <v>1358911.12</v>
      </c>
      <c r="BS31" s="77">
        <f t="shared" si="48"/>
        <v>1358911.12</v>
      </c>
      <c r="BT31" s="97">
        <f>IF(Calcs!BB36=TRUE,'Concentration Limitations'!BS31,0)</f>
        <v>0</v>
      </c>
      <c r="BU31" s="97">
        <f t="shared" si="49"/>
        <v>0</v>
      </c>
      <c r="BV31" s="98">
        <f t="shared" si="50"/>
        <v>1358911.12</v>
      </c>
      <c r="BW31" s="77">
        <f t="shared" si="51"/>
        <v>1358911.12</v>
      </c>
      <c r="BX31" s="97">
        <f>IF(Calcs!BI36=TRUE,'Concentration Limitations'!BW31,0)</f>
        <v>0</v>
      </c>
      <c r="BY31" s="97">
        <f t="shared" si="52"/>
        <v>0</v>
      </c>
      <c r="BZ31" s="98">
        <f t="shared" si="53"/>
        <v>1358911.12</v>
      </c>
      <c r="CA31" s="97">
        <f t="shared" si="54"/>
        <v>1358911.12</v>
      </c>
      <c r="CB31" s="97"/>
      <c r="CC31" s="97"/>
      <c r="CD31" s="98">
        <f t="shared" si="55"/>
        <v>1358911.12</v>
      </c>
      <c r="CE31" s="97">
        <f t="shared" si="56"/>
        <v>1358911.12</v>
      </c>
      <c r="CF31" s="97"/>
      <c r="CG31" s="97"/>
      <c r="CH31" s="98">
        <f t="shared" si="57"/>
        <v>1358911.12</v>
      </c>
      <c r="CI31" s="97">
        <f t="shared" si="58"/>
        <v>1358911.12</v>
      </c>
      <c r="CJ31" s="97"/>
      <c r="CK31" s="97"/>
      <c r="CL31" s="98">
        <f t="shared" si="59"/>
        <v>1358911.12</v>
      </c>
      <c r="CM31" s="97">
        <f t="shared" si="60"/>
        <v>1358911.12</v>
      </c>
      <c r="CN31" s="97"/>
      <c r="CO31" s="97"/>
      <c r="CP31" s="98">
        <f t="shared" si="61"/>
        <v>1358911.12</v>
      </c>
      <c r="CQ31" s="97">
        <f t="shared" si="62"/>
        <v>1358911.12</v>
      </c>
      <c r="CR31" s="97"/>
      <c r="CS31" s="97">
        <f t="shared" si="63"/>
        <v>0</v>
      </c>
      <c r="CT31" s="98">
        <f t="shared" si="64"/>
        <v>1358911.12</v>
      </c>
      <c r="CU31" s="97">
        <f t="shared" si="65"/>
        <v>1358911.12</v>
      </c>
      <c r="CV31" s="97"/>
      <c r="CW31" s="97">
        <f t="shared" si="66"/>
        <v>0</v>
      </c>
      <c r="CX31" s="98">
        <f t="shared" si="67"/>
        <v>1358911.12</v>
      </c>
      <c r="CY31" s="97">
        <f t="shared" si="68"/>
        <v>1358911.12</v>
      </c>
      <c r="CZ31" s="97"/>
      <c r="DA31" s="97"/>
      <c r="DB31" s="98">
        <f t="shared" si="69"/>
        <v>1358911.12</v>
      </c>
      <c r="DC31" s="75">
        <f t="shared" si="70"/>
        <v>1358911.12</v>
      </c>
      <c r="DD31" s="97"/>
      <c r="DE31" s="97"/>
      <c r="DF31" s="98">
        <f t="shared" si="71"/>
        <v>1358911.12</v>
      </c>
      <c r="DG31" s="75">
        <f t="shared" si="72"/>
        <v>1358911.12</v>
      </c>
      <c r="DH31" s="78" t="str">
        <f>Calcs!F36</f>
        <v>Health Care Providers &amp; Services</v>
      </c>
      <c r="DI31" s="99">
        <f t="shared" ca="1" si="73"/>
        <v>0</v>
      </c>
      <c r="DJ31" s="98">
        <f t="shared" ca="1" si="74"/>
        <v>1358911.12</v>
      </c>
      <c r="DK31" s="293">
        <f t="shared" si="75"/>
        <v>9</v>
      </c>
      <c r="DL31" s="532" t="s">
        <v>1145</v>
      </c>
      <c r="DM31" s="36"/>
      <c r="DN31" s="36"/>
      <c r="DO31" s="36"/>
      <c r="DP31" s="36"/>
      <c r="DQ31" s="413" cm="1">
        <f t="array" ref="DQ31">+SUMPRODUCT((DL31=$DH$12:$DH$307)*($DG$12:$DG$307))/$N$6</f>
        <v>2.0146770907010201E-2</v>
      </c>
      <c r="DR31" s="414">
        <f t="shared" si="76"/>
        <v>9</v>
      </c>
      <c r="DS31" s="413" cm="1">
        <f t="array" aca="1" ref="DS31" ca="1">+SUMPRODUCT((DL31=$DH$12:$DH$307)*($DJ$12:$DJ$307))/$N$6</f>
        <v>2.0146770907010201E-2</v>
      </c>
      <c r="DT31" s="417">
        <f t="shared" ca="1" si="80"/>
        <v>9</v>
      </c>
      <c r="DU31" s="415">
        <f t="shared" si="77"/>
        <v>0.1</v>
      </c>
      <c r="DV31" s="416">
        <f t="shared" si="81"/>
        <v>7.9853229092989808E-2</v>
      </c>
      <c r="DW31" s="180"/>
    </row>
    <row r="32" spans="6:127" s="2" customFormat="1">
      <c r="F32" s="2">
        <f t="shared" ca="1" si="79"/>
        <v>17</v>
      </c>
      <c r="G32" s="40" t="str">
        <f>Calcs!A37</f>
        <v>GGG Midco, LLC</v>
      </c>
      <c r="H32" s="68">
        <f t="shared" ca="1" si="8"/>
        <v>6561913.8300000001</v>
      </c>
      <c r="I32" s="96"/>
      <c r="J32" s="96"/>
      <c r="K32" s="63">
        <f>+IF(G32="","",IF(COUNTIF(G33:$G$307,G32)=0,1,0))</f>
        <v>1</v>
      </c>
      <c r="L32" s="75">
        <f>Calcs!U37</f>
        <v>6561913.8300000001</v>
      </c>
      <c r="M32">
        <f t="shared" si="2"/>
        <v>17</v>
      </c>
      <c r="N32" s="75">
        <f t="shared" si="9"/>
        <v>6561913.8300000001</v>
      </c>
      <c r="O32" s="75">
        <f t="shared" si="3"/>
        <v>6561913.8300000001</v>
      </c>
      <c r="P32" s="72">
        <f t="shared" si="10"/>
        <v>0.05</v>
      </c>
      <c r="Q32" s="72">
        <f t="shared" si="11"/>
        <v>1.092657868028615E-2</v>
      </c>
      <c r="R32" s="61">
        <f t="shared" si="12"/>
        <v>0</v>
      </c>
      <c r="S32" s="68">
        <f t="shared" si="13"/>
        <v>6561913.8300000001</v>
      </c>
      <c r="T32" s="68">
        <f t="shared" si="4"/>
        <v>6561913.8300000001</v>
      </c>
      <c r="U32">
        <f t="array" aca="1" ref="U32" ca="1">SUM(1*(S32&lt;$S$12:$S$307))+1+IF(ROW(S32)-ROW($S$12)=0,0,SUM(1*(S32=OFFSET($S$12,0,0,INDEX(ROW(S32)-ROW($S$12)+1,1)-1,1))))</f>
        <v>17</v>
      </c>
      <c r="V32" s="96">
        <f t="shared" si="14"/>
        <v>6561913.830000001</v>
      </c>
      <c r="W32" s="75">
        <f>Calcs!U37</f>
        <v>6561913.8300000001</v>
      </c>
      <c r="X32" s="78">
        <f>IFERROR(OR(Calcs!BH36,Calcs!BI36)*W32,0)</f>
        <v>0</v>
      </c>
      <c r="Y32" s="97">
        <f t="shared" si="15"/>
        <v>0</v>
      </c>
      <c r="Z32" s="98">
        <f t="shared" si="16"/>
        <v>6561913.8300000001</v>
      </c>
      <c r="AA32" s="77">
        <f t="shared" si="17"/>
        <v>6561913.8300000001</v>
      </c>
      <c r="AB32" s="78">
        <f>IF(AND(Calcs!BM37=TRUE),AA32,0)</f>
        <v>0</v>
      </c>
      <c r="AC32" s="97">
        <f t="shared" si="18"/>
        <v>0</v>
      </c>
      <c r="AD32" s="98">
        <f t="shared" si="19"/>
        <v>6561913.8300000001</v>
      </c>
      <c r="AE32" s="77">
        <f t="shared" si="20"/>
        <v>6561913.8300000001</v>
      </c>
      <c r="AF32" s="78">
        <f>IF(Calcs!BY37&lt;15,AE32,0)</f>
        <v>0</v>
      </c>
      <c r="AG32" s="97">
        <f t="shared" si="21"/>
        <v>0</v>
      </c>
      <c r="AH32" s="98">
        <f t="shared" si="22"/>
        <v>6561913.8300000001</v>
      </c>
      <c r="AI32" s="77">
        <f t="shared" si="23"/>
        <v>6561913.8300000001</v>
      </c>
      <c r="AJ32" s="78">
        <f>IF(Calcs!BY37&lt;10,AE32,0)</f>
        <v>0</v>
      </c>
      <c r="AK32" s="97">
        <f t="shared" si="24"/>
        <v>0</v>
      </c>
      <c r="AL32" s="98">
        <f t="shared" si="25"/>
        <v>6561913.8300000001</v>
      </c>
      <c r="AM32" s="77">
        <f t="shared" si="26"/>
        <v>6561913.8300000001</v>
      </c>
      <c r="AN32" s="78">
        <f>NOT(Calcs!BD37)*AM32</f>
        <v>0</v>
      </c>
      <c r="AO32" s="97">
        <f t="shared" si="27"/>
        <v>0</v>
      </c>
      <c r="AP32" s="98">
        <f t="shared" si="28"/>
        <v>6561913.8300000001</v>
      </c>
      <c r="AQ32" s="77">
        <f t="shared" si="29"/>
        <v>6561913.8300000001</v>
      </c>
      <c r="AR32" s="78">
        <f>NOT(Calcs!BE37)*AQ32</f>
        <v>0</v>
      </c>
      <c r="AS32" s="97">
        <f t="shared" si="30"/>
        <v>0</v>
      </c>
      <c r="AT32" s="98">
        <f t="shared" si="31"/>
        <v>6561913.8300000001</v>
      </c>
      <c r="AU32" s="77">
        <f t="shared" si="32"/>
        <v>6561913.8300000001</v>
      </c>
      <c r="AV32" s="97">
        <f>IF(Calcs!BC37=TRUE, AU32, 0)</f>
        <v>0</v>
      </c>
      <c r="AW32" s="97">
        <f t="shared" si="33"/>
        <v>0</v>
      </c>
      <c r="AX32" s="98">
        <f t="shared" si="34"/>
        <v>6561913.8300000001</v>
      </c>
      <c r="AY32" s="77">
        <f t="shared" si="35"/>
        <v>6561913.8300000001</v>
      </c>
      <c r="AZ32" s="97">
        <f>Calcs!BK37*AY32</f>
        <v>0</v>
      </c>
      <c r="BA32" s="97">
        <f t="shared" si="36"/>
        <v>0</v>
      </c>
      <c r="BB32" s="98">
        <f t="shared" si="37"/>
        <v>6561913.8300000001</v>
      </c>
      <c r="BC32" s="77">
        <f t="shared" si="38"/>
        <v>6561913.8300000001</v>
      </c>
      <c r="BD32" s="97"/>
      <c r="BE32" s="97"/>
      <c r="BF32" s="98"/>
      <c r="BG32" s="77">
        <f t="shared" si="39"/>
        <v>6561913.8300000001</v>
      </c>
      <c r="BH32" s="97">
        <f>IF(Calcs!BJ37=FALSE,0,BG32)</f>
        <v>0</v>
      </c>
      <c r="BI32" s="97">
        <f t="shared" si="40"/>
        <v>0</v>
      </c>
      <c r="BJ32" s="98">
        <f t="shared" si="41"/>
        <v>6561913.8300000001</v>
      </c>
      <c r="BK32" s="77">
        <f t="shared" si="42"/>
        <v>6561913.8300000001</v>
      </c>
      <c r="BL32" s="97">
        <f>IF(Calcs!AW37=TRUE,BK32,0)</f>
        <v>0</v>
      </c>
      <c r="BM32" s="97">
        <f t="shared" si="43"/>
        <v>0</v>
      </c>
      <c r="BN32" s="98">
        <f t="shared" si="44"/>
        <v>6561913.8300000001</v>
      </c>
      <c r="BO32" s="77">
        <f t="shared" si="45"/>
        <v>6561913.8300000001</v>
      </c>
      <c r="BP32" s="97"/>
      <c r="BQ32" s="97">
        <f t="shared" si="46"/>
        <v>0</v>
      </c>
      <c r="BR32" s="98">
        <f t="shared" si="47"/>
        <v>6561913.8300000001</v>
      </c>
      <c r="BS32" s="77">
        <f t="shared" si="48"/>
        <v>6561913.8300000001</v>
      </c>
      <c r="BT32" s="97">
        <f>IF(Calcs!BB37=TRUE,'Concentration Limitations'!BS32,0)</f>
        <v>0</v>
      </c>
      <c r="BU32" s="97">
        <f t="shared" si="49"/>
        <v>0</v>
      </c>
      <c r="BV32" s="98">
        <f t="shared" si="50"/>
        <v>6561913.8300000001</v>
      </c>
      <c r="BW32" s="77">
        <f t="shared" si="51"/>
        <v>6561913.8300000001</v>
      </c>
      <c r="BX32" s="97">
        <f>IF(Calcs!BI37=TRUE,'Concentration Limitations'!BW32,0)</f>
        <v>0</v>
      </c>
      <c r="BY32" s="97">
        <f t="shared" si="52"/>
        <v>0</v>
      </c>
      <c r="BZ32" s="98">
        <f t="shared" si="53"/>
        <v>6561913.8300000001</v>
      </c>
      <c r="CA32" s="97">
        <f t="shared" si="54"/>
        <v>6561913.8300000001</v>
      </c>
      <c r="CB32" s="97"/>
      <c r="CC32" s="97"/>
      <c r="CD32" s="98">
        <f t="shared" si="55"/>
        <v>6561913.8300000001</v>
      </c>
      <c r="CE32" s="97">
        <f t="shared" si="56"/>
        <v>6561913.8300000001</v>
      </c>
      <c r="CF32" s="97"/>
      <c r="CG32" s="97"/>
      <c r="CH32" s="98">
        <f t="shared" si="57"/>
        <v>6561913.8300000001</v>
      </c>
      <c r="CI32" s="97">
        <f t="shared" si="58"/>
        <v>6561913.8300000001</v>
      </c>
      <c r="CJ32" s="97"/>
      <c r="CK32" s="97"/>
      <c r="CL32" s="98">
        <f t="shared" si="59"/>
        <v>6561913.8300000001</v>
      </c>
      <c r="CM32" s="97">
        <f t="shared" si="60"/>
        <v>6561913.8300000001</v>
      </c>
      <c r="CN32" s="97"/>
      <c r="CO32" s="97"/>
      <c r="CP32" s="98">
        <f t="shared" si="61"/>
        <v>6561913.8300000001</v>
      </c>
      <c r="CQ32" s="97">
        <f t="shared" si="62"/>
        <v>6561913.8300000001</v>
      </c>
      <c r="CR32" s="97"/>
      <c r="CS32" s="97">
        <f t="shared" si="63"/>
        <v>0</v>
      </c>
      <c r="CT32" s="98">
        <f t="shared" si="64"/>
        <v>6561913.8300000001</v>
      </c>
      <c r="CU32" s="97">
        <f t="shared" si="65"/>
        <v>6561913.8300000001</v>
      </c>
      <c r="CV32" s="97"/>
      <c r="CW32" s="97">
        <f t="shared" si="66"/>
        <v>0</v>
      </c>
      <c r="CX32" s="98">
        <f t="shared" si="67"/>
        <v>6561913.8300000001</v>
      </c>
      <c r="CY32" s="97">
        <f t="shared" si="68"/>
        <v>6561913.8300000001</v>
      </c>
      <c r="CZ32" s="97"/>
      <c r="DA32" s="97"/>
      <c r="DB32" s="98">
        <f t="shared" si="69"/>
        <v>6561913.8300000001</v>
      </c>
      <c r="DC32" s="75">
        <f t="shared" si="70"/>
        <v>6561913.8300000001</v>
      </c>
      <c r="DD32" s="97"/>
      <c r="DE32" s="97"/>
      <c r="DF32" s="98">
        <f t="shared" si="71"/>
        <v>6561913.8300000001</v>
      </c>
      <c r="DG32" s="75">
        <f t="shared" si="72"/>
        <v>6561913.8300000001</v>
      </c>
      <c r="DH32" s="78" t="str">
        <f>Calcs!F37</f>
        <v>Professional Services</v>
      </c>
      <c r="DI32" s="99">
        <f t="shared" ca="1" si="73"/>
        <v>0</v>
      </c>
      <c r="DJ32" s="98">
        <f t="shared" ca="1" si="74"/>
        <v>6561913.8300000001</v>
      </c>
      <c r="DK32" s="293">
        <f t="shared" si="75"/>
        <v>19</v>
      </c>
      <c r="DL32" s="532" t="s">
        <v>184</v>
      </c>
      <c r="DM32" s="36"/>
      <c r="DN32" s="36"/>
      <c r="DO32" s="36"/>
      <c r="DP32" s="36"/>
      <c r="DQ32" s="413" cm="1">
        <f t="array" ref="DQ32">+SUMPRODUCT((DL32=$DH$12:$DH$307)*($DG$12:$DG$307))/$N$6</f>
        <v>0</v>
      </c>
      <c r="DR32" s="414">
        <f t="shared" si="76"/>
        <v>19</v>
      </c>
      <c r="DS32" s="413" cm="1">
        <f t="array" aca="1" ref="DS32" ca="1">+SUMPRODUCT((DL32=$DH$12:$DH$307)*($DJ$12:$DJ$307))/$N$6</f>
        <v>0</v>
      </c>
      <c r="DT32" s="417">
        <f t="shared" ca="1" si="80"/>
        <v>19</v>
      </c>
      <c r="DU32" s="415">
        <f t="shared" si="77"/>
        <v>0.1</v>
      </c>
      <c r="DV32" s="416">
        <f t="shared" si="81"/>
        <v>0.1</v>
      </c>
      <c r="DW32" s="180"/>
    </row>
    <row r="33" spans="6:127" s="2" customFormat="1">
      <c r="F33" s="2">
        <f t="shared" ca="1" si="79"/>
        <v>50</v>
      </c>
      <c r="G33" s="40" t="str">
        <f>Calcs!A38</f>
        <v>HEC Purchaser Corp.</v>
      </c>
      <c r="H33" s="68">
        <f t="shared" ca="1" si="8"/>
        <v>1965112.77</v>
      </c>
      <c r="I33" s="96"/>
      <c r="J33" s="96"/>
      <c r="K33" s="63">
        <f>+IF(G33="","",IF(COUNTIF(G34:$G$307,G33)=0,1,0))</f>
        <v>1</v>
      </c>
      <c r="L33" s="75">
        <f>Calcs!U38</f>
        <v>1965112.77</v>
      </c>
      <c r="M33">
        <f t="shared" si="2"/>
        <v>50</v>
      </c>
      <c r="N33" s="75">
        <f t="shared" si="9"/>
        <v>1965112.77</v>
      </c>
      <c r="O33" s="75">
        <f t="shared" si="3"/>
        <v>1965112.77</v>
      </c>
      <c r="P33" s="72">
        <f t="shared" si="10"/>
        <v>0.05</v>
      </c>
      <c r="Q33" s="72">
        <f t="shared" si="11"/>
        <v>3.2722098846945788E-3</v>
      </c>
      <c r="R33" s="61">
        <f t="shared" si="12"/>
        <v>0</v>
      </c>
      <c r="S33" s="68">
        <f t="shared" si="13"/>
        <v>1965112.77</v>
      </c>
      <c r="T33" s="68">
        <f t="shared" si="4"/>
        <v>1965112.77</v>
      </c>
      <c r="U33">
        <f t="array" aca="1" ref="U33" ca="1">SUM(1*(S33&lt;$S$12:$S$307))+1+IF(ROW(S33)-ROW($S$12)=0,0,SUM(1*(S33=OFFSET($S$12,0,0,INDEX(ROW(S33)-ROW($S$12)+1,1)-1,1))))</f>
        <v>50</v>
      </c>
      <c r="V33" s="96">
        <f t="shared" si="14"/>
        <v>1965112.77</v>
      </c>
      <c r="W33" s="75">
        <f>Calcs!U38</f>
        <v>1965112.77</v>
      </c>
      <c r="X33" s="78">
        <f>IFERROR(OR(Calcs!BH37,Calcs!BI37)*W33,0)</f>
        <v>0</v>
      </c>
      <c r="Y33" s="97">
        <f t="shared" si="15"/>
        <v>0</v>
      </c>
      <c r="Z33" s="98">
        <f t="shared" si="16"/>
        <v>1965112.77</v>
      </c>
      <c r="AA33" s="77">
        <f t="shared" si="17"/>
        <v>1965112.77</v>
      </c>
      <c r="AB33" s="78">
        <f>IF(AND(Calcs!BM38=TRUE),AA33,0)</f>
        <v>0</v>
      </c>
      <c r="AC33" s="97">
        <f t="shared" si="18"/>
        <v>0</v>
      </c>
      <c r="AD33" s="98">
        <f t="shared" si="19"/>
        <v>1965112.77</v>
      </c>
      <c r="AE33" s="77">
        <f t="shared" si="20"/>
        <v>1965112.77</v>
      </c>
      <c r="AF33" s="78">
        <f>IF(Calcs!BY38&lt;15,AE33,0)</f>
        <v>0</v>
      </c>
      <c r="AG33" s="97">
        <f t="shared" si="21"/>
        <v>0</v>
      </c>
      <c r="AH33" s="98">
        <f t="shared" si="22"/>
        <v>1965112.77</v>
      </c>
      <c r="AI33" s="77">
        <f t="shared" si="23"/>
        <v>1965112.77</v>
      </c>
      <c r="AJ33" s="78">
        <f>IF(Calcs!BY38&lt;10,AE33,0)</f>
        <v>0</v>
      </c>
      <c r="AK33" s="97">
        <f t="shared" si="24"/>
        <v>0</v>
      </c>
      <c r="AL33" s="98">
        <f t="shared" si="25"/>
        <v>1965112.77</v>
      </c>
      <c r="AM33" s="77">
        <f t="shared" si="26"/>
        <v>1965112.77</v>
      </c>
      <c r="AN33" s="78">
        <f>NOT(Calcs!BD38)*AM33</f>
        <v>0</v>
      </c>
      <c r="AO33" s="97">
        <f t="shared" si="27"/>
        <v>0</v>
      </c>
      <c r="AP33" s="98">
        <f t="shared" si="28"/>
        <v>1965112.77</v>
      </c>
      <c r="AQ33" s="77">
        <f t="shared" si="29"/>
        <v>1965112.77</v>
      </c>
      <c r="AR33" s="78">
        <f>NOT(Calcs!BE38)*AQ33</f>
        <v>0</v>
      </c>
      <c r="AS33" s="97">
        <f t="shared" si="30"/>
        <v>0</v>
      </c>
      <c r="AT33" s="98">
        <f t="shared" si="31"/>
        <v>1965112.77</v>
      </c>
      <c r="AU33" s="77">
        <f t="shared" si="32"/>
        <v>1965112.77</v>
      </c>
      <c r="AV33" s="97">
        <f>IF(Calcs!BC38=TRUE, AU33, 0)</f>
        <v>0</v>
      </c>
      <c r="AW33" s="97">
        <f t="shared" si="33"/>
        <v>0</v>
      </c>
      <c r="AX33" s="98">
        <f t="shared" si="34"/>
        <v>1965112.77</v>
      </c>
      <c r="AY33" s="77">
        <f t="shared" si="35"/>
        <v>1965112.77</v>
      </c>
      <c r="AZ33" s="97">
        <f>Calcs!BK38*AY33</f>
        <v>0</v>
      </c>
      <c r="BA33" s="97">
        <f t="shared" si="36"/>
        <v>0</v>
      </c>
      <c r="BB33" s="98">
        <f t="shared" si="37"/>
        <v>1965112.77</v>
      </c>
      <c r="BC33" s="77">
        <f t="shared" si="38"/>
        <v>1965112.77</v>
      </c>
      <c r="BD33" s="97"/>
      <c r="BE33" s="97"/>
      <c r="BF33" s="98"/>
      <c r="BG33" s="77">
        <f t="shared" si="39"/>
        <v>1965112.77</v>
      </c>
      <c r="BH33" s="97">
        <f>IF(Calcs!BJ38=FALSE,0,BG33)</f>
        <v>0</v>
      </c>
      <c r="BI33" s="97">
        <f t="shared" si="40"/>
        <v>0</v>
      </c>
      <c r="BJ33" s="98">
        <f t="shared" si="41"/>
        <v>1965112.77</v>
      </c>
      <c r="BK33" s="77">
        <f t="shared" si="42"/>
        <v>1965112.77</v>
      </c>
      <c r="BL33" s="97">
        <f>IF(Calcs!AW38=TRUE,BK33,0)</f>
        <v>0</v>
      </c>
      <c r="BM33" s="97">
        <f t="shared" si="43"/>
        <v>0</v>
      </c>
      <c r="BN33" s="98">
        <f t="shared" si="44"/>
        <v>1965112.77</v>
      </c>
      <c r="BO33" s="77">
        <f t="shared" si="45"/>
        <v>1965112.77</v>
      </c>
      <c r="BP33" s="97"/>
      <c r="BQ33" s="97">
        <f t="shared" si="46"/>
        <v>0</v>
      </c>
      <c r="BR33" s="98">
        <f t="shared" si="47"/>
        <v>1965112.77</v>
      </c>
      <c r="BS33" s="77">
        <f t="shared" si="48"/>
        <v>1965112.77</v>
      </c>
      <c r="BT33" s="97">
        <f>IF(Calcs!BB38=TRUE,'Concentration Limitations'!BS33,0)</f>
        <v>0</v>
      </c>
      <c r="BU33" s="97">
        <f t="shared" si="49"/>
        <v>0</v>
      </c>
      <c r="BV33" s="98">
        <f t="shared" si="50"/>
        <v>1965112.77</v>
      </c>
      <c r="BW33" s="77">
        <f t="shared" si="51"/>
        <v>1965112.77</v>
      </c>
      <c r="BX33" s="97">
        <f>IF(Calcs!BI38=TRUE,'Concentration Limitations'!BW33,0)</f>
        <v>0</v>
      </c>
      <c r="BY33" s="97">
        <f t="shared" si="52"/>
        <v>0</v>
      </c>
      <c r="BZ33" s="98">
        <f t="shared" si="53"/>
        <v>1965112.77</v>
      </c>
      <c r="CA33" s="97">
        <f t="shared" si="54"/>
        <v>1965112.77</v>
      </c>
      <c r="CB33" s="97"/>
      <c r="CC33" s="97"/>
      <c r="CD33" s="98">
        <f t="shared" si="55"/>
        <v>1965112.77</v>
      </c>
      <c r="CE33" s="97">
        <f t="shared" si="56"/>
        <v>1965112.77</v>
      </c>
      <c r="CF33" s="97"/>
      <c r="CG33" s="97"/>
      <c r="CH33" s="98">
        <f t="shared" si="57"/>
        <v>1965112.77</v>
      </c>
      <c r="CI33" s="97">
        <f t="shared" si="58"/>
        <v>1965112.77</v>
      </c>
      <c r="CJ33" s="97"/>
      <c r="CK33" s="97"/>
      <c r="CL33" s="98">
        <f t="shared" si="59"/>
        <v>1965112.77</v>
      </c>
      <c r="CM33" s="97">
        <f t="shared" si="60"/>
        <v>1965112.77</v>
      </c>
      <c r="CN33" s="97"/>
      <c r="CO33" s="97"/>
      <c r="CP33" s="98">
        <f t="shared" si="61"/>
        <v>1965112.77</v>
      </c>
      <c r="CQ33" s="97">
        <f t="shared" si="62"/>
        <v>1965112.77</v>
      </c>
      <c r="CR33" s="97"/>
      <c r="CS33" s="97">
        <f t="shared" si="63"/>
        <v>0</v>
      </c>
      <c r="CT33" s="98">
        <f t="shared" si="64"/>
        <v>1965112.77</v>
      </c>
      <c r="CU33" s="97">
        <f t="shared" si="65"/>
        <v>1965112.77</v>
      </c>
      <c r="CV33" s="97"/>
      <c r="CW33" s="97">
        <f t="shared" si="66"/>
        <v>0</v>
      </c>
      <c r="CX33" s="98">
        <f t="shared" si="67"/>
        <v>1965112.77</v>
      </c>
      <c r="CY33" s="97">
        <f t="shared" si="68"/>
        <v>1965112.77</v>
      </c>
      <c r="CZ33" s="97"/>
      <c r="DA33" s="97"/>
      <c r="DB33" s="98">
        <f t="shared" si="69"/>
        <v>1965112.77</v>
      </c>
      <c r="DC33" s="75">
        <f t="shared" si="70"/>
        <v>1965112.77</v>
      </c>
      <c r="DD33" s="97"/>
      <c r="DE33" s="97"/>
      <c r="DF33" s="98">
        <f t="shared" si="71"/>
        <v>1965112.77</v>
      </c>
      <c r="DG33" s="75">
        <f t="shared" si="72"/>
        <v>1965112.77</v>
      </c>
      <c r="DH33" s="78" t="str">
        <f>Calcs!F38</f>
        <v>Health Care Providers &amp; Services</v>
      </c>
      <c r="DI33" s="99">
        <f t="shared" ca="1" si="73"/>
        <v>0</v>
      </c>
      <c r="DJ33" s="98">
        <f t="shared" ca="1" si="74"/>
        <v>1965112.77</v>
      </c>
      <c r="DK33" s="293">
        <f t="shared" si="75"/>
        <v>19</v>
      </c>
      <c r="DL33" s="532" t="s">
        <v>1207</v>
      </c>
      <c r="DM33" s="36"/>
      <c r="DN33" s="36"/>
      <c r="DO33" s="36"/>
      <c r="DP33" s="36"/>
      <c r="DQ33" s="413" cm="1">
        <f t="array" ref="DQ33">+SUMPRODUCT((DL33=$DH$12:$DH$307)*($DG$12:$DG$307))/$N$6</f>
        <v>0</v>
      </c>
      <c r="DR33" s="414">
        <f t="shared" si="76"/>
        <v>19</v>
      </c>
      <c r="DS33" s="413" cm="1">
        <f t="array" aca="1" ref="DS33" ca="1">+SUMPRODUCT((DL33=$DH$12:$DH$307)*($DJ$12:$DJ$307))/$N$6</f>
        <v>0</v>
      </c>
      <c r="DT33" s="417">
        <f t="shared" ca="1" si="80"/>
        <v>19</v>
      </c>
      <c r="DU33" s="415">
        <f t="shared" si="77"/>
        <v>0.1</v>
      </c>
      <c r="DV33" s="416">
        <f t="shared" si="81"/>
        <v>0.1</v>
      </c>
      <c r="DW33" s="180"/>
    </row>
    <row r="34" spans="6:127" s="2" customFormat="1">
      <c r="F34" s="2">
        <f t="shared" ca="1" si="79"/>
        <v>11</v>
      </c>
      <c r="G34" s="40" t="str">
        <f>Calcs!A39</f>
        <v>Harris &amp; Co. LLC</v>
      </c>
      <c r="H34" s="68">
        <f t="shared" ca="1" si="8"/>
        <v>8205680.5499999998</v>
      </c>
      <c r="I34" s="96"/>
      <c r="J34" s="96"/>
      <c r="K34" s="63">
        <f>+IF(G34="","",IF(COUNTIF(G35:$G$307,G34)=0,1,0))</f>
        <v>1</v>
      </c>
      <c r="L34" s="75">
        <f>Calcs!U39</f>
        <v>8205680.5499999998</v>
      </c>
      <c r="M34">
        <f t="shared" si="2"/>
        <v>11</v>
      </c>
      <c r="N34" s="75">
        <f t="shared" si="9"/>
        <v>8205680.5499999998</v>
      </c>
      <c r="O34" s="75">
        <f t="shared" si="3"/>
        <v>8205680.5499999998</v>
      </c>
      <c r="P34" s="72">
        <f t="shared" si="10"/>
        <v>0.05</v>
      </c>
      <c r="Q34" s="72">
        <f t="shared" si="11"/>
        <v>1.366369880460145E-2</v>
      </c>
      <c r="R34" s="61">
        <f t="shared" si="12"/>
        <v>0</v>
      </c>
      <c r="S34" s="68">
        <f t="shared" si="13"/>
        <v>8205680.5499999998</v>
      </c>
      <c r="T34" s="68">
        <f t="shared" si="4"/>
        <v>8205680.5499999998</v>
      </c>
      <c r="U34">
        <f t="array" aca="1" ref="U34" ca="1">SUM(1*(S34&lt;$S$12:$S$307))+1+IF(ROW(S34)-ROW($S$12)=0,0,SUM(1*(S34=OFFSET($S$12,0,0,INDEX(ROW(S34)-ROW($S$12)+1,1)-1,1))))</f>
        <v>11</v>
      </c>
      <c r="V34" s="96">
        <f t="shared" si="14"/>
        <v>8205680.5499999998</v>
      </c>
      <c r="W34" s="75">
        <f>Calcs!U39</f>
        <v>8205680.5499999998</v>
      </c>
      <c r="X34" s="78">
        <f>IFERROR(OR(Calcs!BH38,Calcs!BI38)*W34,0)</f>
        <v>0</v>
      </c>
      <c r="Y34" s="97">
        <f t="shared" si="15"/>
        <v>0</v>
      </c>
      <c r="Z34" s="98">
        <f t="shared" si="16"/>
        <v>8205680.5499999998</v>
      </c>
      <c r="AA34" s="77">
        <f t="shared" si="17"/>
        <v>8205680.5499999998</v>
      </c>
      <c r="AB34" s="78">
        <f>IF(AND(Calcs!BM39=TRUE),AA34,0)</f>
        <v>0</v>
      </c>
      <c r="AC34" s="97">
        <f t="shared" si="18"/>
        <v>0</v>
      </c>
      <c r="AD34" s="98">
        <f t="shared" si="19"/>
        <v>8205680.5499999998</v>
      </c>
      <c r="AE34" s="77">
        <f t="shared" si="20"/>
        <v>8205680.5499999998</v>
      </c>
      <c r="AF34" s="78">
        <f>IF(Calcs!BY39&lt;15,AE34,0)</f>
        <v>0</v>
      </c>
      <c r="AG34" s="97">
        <f t="shared" si="21"/>
        <v>0</v>
      </c>
      <c r="AH34" s="98">
        <f t="shared" si="22"/>
        <v>8205680.5499999998</v>
      </c>
      <c r="AI34" s="77">
        <f t="shared" si="23"/>
        <v>8205680.5499999998</v>
      </c>
      <c r="AJ34" s="78">
        <f>IF(Calcs!BY39&lt;10,AE34,0)</f>
        <v>0</v>
      </c>
      <c r="AK34" s="97">
        <f t="shared" si="24"/>
        <v>0</v>
      </c>
      <c r="AL34" s="98">
        <f t="shared" si="25"/>
        <v>8205680.5499999998</v>
      </c>
      <c r="AM34" s="77">
        <f t="shared" si="26"/>
        <v>8205680.5499999998</v>
      </c>
      <c r="AN34" s="78">
        <f>NOT(Calcs!BD39)*AM34</f>
        <v>0</v>
      </c>
      <c r="AO34" s="97">
        <f t="shared" si="27"/>
        <v>0</v>
      </c>
      <c r="AP34" s="98">
        <f t="shared" si="28"/>
        <v>8205680.5499999998</v>
      </c>
      <c r="AQ34" s="77">
        <f t="shared" si="29"/>
        <v>8205680.5499999998</v>
      </c>
      <c r="AR34" s="78">
        <f>NOT(Calcs!BE39)*AQ34</f>
        <v>0</v>
      </c>
      <c r="AS34" s="97">
        <f t="shared" si="30"/>
        <v>0</v>
      </c>
      <c r="AT34" s="98">
        <f t="shared" si="31"/>
        <v>8205680.5499999998</v>
      </c>
      <c r="AU34" s="77">
        <f t="shared" si="32"/>
        <v>8205680.5499999998</v>
      </c>
      <c r="AV34" s="97">
        <f>IF(Calcs!BC39=TRUE, AU34, 0)</f>
        <v>0</v>
      </c>
      <c r="AW34" s="97">
        <f t="shared" si="33"/>
        <v>0</v>
      </c>
      <c r="AX34" s="98">
        <f t="shared" si="34"/>
        <v>8205680.5499999998</v>
      </c>
      <c r="AY34" s="77">
        <f t="shared" si="35"/>
        <v>8205680.5499999998</v>
      </c>
      <c r="AZ34" s="97">
        <f>Calcs!BK39*AY34</f>
        <v>0</v>
      </c>
      <c r="BA34" s="97">
        <f t="shared" si="36"/>
        <v>0</v>
      </c>
      <c r="BB34" s="98">
        <f t="shared" si="37"/>
        <v>8205680.5499999998</v>
      </c>
      <c r="BC34" s="77">
        <f t="shared" si="38"/>
        <v>8205680.5499999998</v>
      </c>
      <c r="BD34" s="97"/>
      <c r="BE34" s="97"/>
      <c r="BF34" s="98"/>
      <c r="BG34" s="77">
        <f t="shared" si="39"/>
        <v>8205680.5499999998</v>
      </c>
      <c r="BH34" s="97">
        <f>IF(Calcs!BJ39=FALSE,0,BG34)</f>
        <v>0</v>
      </c>
      <c r="BI34" s="97">
        <f t="shared" si="40"/>
        <v>0</v>
      </c>
      <c r="BJ34" s="98">
        <f t="shared" si="41"/>
        <v>8205680.5499999998</v>
      </c>
      <c r="BK34" s="77">
        <f t="shared" si="42"/>
        <v>8205680.5499999998</v>
      </c>
      <c r="BL34" s="97">
        <f>IF(Calcs!AW39=TRUE,BK34,0)</f>
        <v>0</v>
      </c>
      <c r="BM34" s="97">
        <f t="shared" si="43"/>
        <v>0</v>
      </c>
      <c r="BN34" s="98">
        <f t="shared" si="44"/>
        <v>8205680.5499999998</v>
      </c>
      <c r="BO34" s="77">
        <f t="shared" si="45"/>
        <v>8205680.5499999998</v>
      </c>
      <c r="BP34" s="97"/>
      <c r="BQ34" s="97">
        <f t="shared" si="46"/>
        <v>0</v>
      </c>
      <c r="BR34" s="98">
        <f t="shared" si="47"/>
        <v>8205680.5499999998</v>
      </c>
      <c r="BS34" s="77">
        <f t="shared" si="48"/>
        <v>8205680.5499999998</v>
      </c>
      <c r="BT34" s="97">
        <f>IF(Calcs!BB39=TRUE,'Concentration Limitations'!BS34,0)</f>
        <v>0</v>
      </c>
      <c r="BU34" s="97">
        <f t="shared" si="49"/>
        <v>0</v>
      </c>
      <c r="BV34" s="98">
        <f t="shared" si="50"/>
        <v>8205680.5499999998</v>
      </c>
      <c r="BW34" s="77">
        <f t="shared" si="51"/>
        <v>8205680.5499999998</v>
      </c>
      <c r="BX34" s="97">
        <f>IF(Calcs!BI39=TRUE,'Concentration Limitations'!BW34,0)</f>
        <v>0</v>
      </c>
      <c r="BY34" s="97">
        <f t="shared" si="52"/>
        <v>0</v>
      </c>
      <c r="BZ34" s="98">
        <f t="shared" si="53"/>
        <v>8205680.5499999998</v>
      </c>
      <c r="CA34" s="97">
        <f t="shared" si="54"/>
        <v>8205680.5499999998</v>
      </c>
      <c r="CB34" s="97"/>
      <c r="CC34" s="97"/>
      <c r="CD34" s="98">
        <f t="shared" si="55"/>
        <v>8205680.5499999998</v>
      </c>
      <c r="CE34" s="97">
        <f t="shared" si="56"/>
        <v>8205680.5499999998</v>
      </c>
      <c r="CF34" s="97"/>
      <c r="CG34" s="97"/>
      <c r="CH34" s="98">
        <f t="shared" si="57"/>
        <v>8205680.5499999998</v>
      </c>
      <c r="CI34" s="97">
        <f t="shared" si="58"/>
        <v>8205680.5499999998</v>
      </c>
      <c r="CJ34" s="97"/>
      <c r="CK34" s="97"/>
      <c r="CL34" s="98">
        <f t="shared" si="59"/>
        <v>8205680.5499999998</v>
      </c>
      <c r="CM34" s="97">
        <f t="shared" si="60"/>
        <v>8205680.5499999998</v>
      </c>
      <c r="CN34" s="97"/>
      <c r="CO34" s="97"/>
      <c r="CP34" s="98">
        <f t="shared" si="61"/>
        <v>8205680.5499999998</v>
      </c>
      <c r="CQ34" s="97">
        <f t="shared" si="62"/>
        <v>8205680.5499999998</v>
      </c>
      <c r="CR34" s="97"/>
      <c r="CS34" s="97">
        <f t="shared" si="63"/>
        <v>0</v>
      </c>
      <c r="CT34" s="98">
        <f t="shared" si="64"/>
        <v>8205680.5499999998</v>
      </c>
      <c r="CU34" s="97">
        <f t="shared" si="65"/>
        <v>8205680.5499999998</v>
      </c>
      <c r="CV34" s="97"/>
      <c r="CW34" s="97">
        <f t="shared" si="66"/>
        <v>0</v>
      </c>
      <c r="CX34" s="98">
        <f t="shared" si="67"/>
        <v>8205680.5499999998</v>
      </c>
      <c r="CY34" s="97">
        <f t="shared" si="68"/>
        <v>8205680.5499999998</v>
      </c>
      <c r="CZ34" s="97"/>
      <c r="DA34" s="97"/>
      <c r="DB34" s="98">
        <f t="shared" si="69"/>
        <v>8205680.5499999998</v>
      </c>
      <c r="DC34" s="75">
        <f t="shared" si="70"/>
        <v>8205680.5499999998</v>
      </c>
      <c r="DD34" s="97"/>
      <c r="DE34" s="97"/>
      <c r="DF34" s="98">
        <f t="shared" si="71"/>
        <v>8205680.5499999998</v>
      </c>
      <c r="DG34" s="75">
        <f t="shared" si="72"/>
        <v>8205680.5499999998</v>
      </c>
      <c r="DH34" s="78" t="str">
        <f>Calcs!F39</f>
        <v>Diversified Financial Services</v>
      </c>
      <c r="DI34" s="99">
        <f t="shared" ca="1" si="73"/>
        <v>0</v>
      </c>
      <c r="DJ34" s="98">
        <f t="shared" ca="1" si="74"/>
        <v>8205680.5499999998</v>
      </c>
      <c r="DK34" s="293">
        <f t="shared" si="75"/>
        <v>19</v>
      </c>
      <c r="DL34" s="532" t="s">
        <v>185</v>
      </c>
      <c r="DM34" s="36"/>
      <c r="DN34" s="36"/>
      <c r="DO34" s="36"/>
      <c r="DP34" s="36"/>
      <c r="DQ34" s="413" cm="1">
        <f t="array" ref="DQ34">+SUMPRODUCT((DL34=$DH$12:$DH$307)*($DG$12:$DG$307))/$N$6</f>
        <v>0</v>
      </c>
      <c r="DR34" s="414">
        <f t="shared" si="76"/>
        <v>19</v>
      </c>
      <c r="DS34" s="413" cm="1">
        <f t="array" aca="1" ref="DS34" ca="1">+SUMPRODUCT((DL34=$DH$12:$DH$307)*($DJ$12:$DJ$307))/$N$6</f>
        <v>0</v>
      </c>
      <c r="DT34" s="417">
        <f t="shared" ca="1" si="80"/>
        <v>19</v>
      </c>
      <c r="DU34" s="415">
        <f t="shared" si="77"/>
        <v>0.1</v>
      </c>
      <c r="DV34" s="416">
        <f t="shared" si="81"/>
        <v>0.1</v>
      </c>
      <c r="DW34" s="180"/>
    </row>
    <row r="35" spans="6:127" s="2" customFormat="1">
      <c r="F35" s="2">
        <f t="shared" ca="1" si="79"/>
        <v>12</v>
      </c>
      <c r="G35" s="40" t="str">
        <f>Calcs!A40</f>
        <v>HW Holdco, LLC</v>
      </c>
      <c r="H35" s="68">
        <f t="shared" ca="1" si="8"/>
        <v>7618243.3600000003</v>
      </c>
      <c r="I35" s="96"/>
      <c r="J35" s="96"/>
      <c r="K35" s="63">
        <f>+IF(G35="","",IF(COUNTIF(G36:$G$307,G35)=0,1,0))</f>
        <v>1</v>
      </c>
      <c r="L35" s="75">
        <f>Calcs!U40</f>
        <v>7618243.3600000003</v>
      </c>
      <c r="M35">
        <f t="shared" si="2"/>
        <v>12</v>
      </c>
      <c r="N35" s="75">
        <f t="shared" si="9"/>
        <v>7618243.3600000003</v>
      </c>
      <c r="O35" s="75">
        <f t="shared" si="3"/>
        <v>7618243.3600000003</v>
      </c>
      <c r="P35" s="72">
        <f t="shared" si="10"/>
        <v>0.05</v>
      </c>
      <c r="Q35" s="72">
        <f t="shared" si="11"/>
        <v>1.2685527063467631E-2</v>
      </c>
      <c r="R35" s="61">
        <f t="shared" si="12"/>
        <v>0</v>
      </c>
      <c r="S35" s="68">
        <f t="shared" si="13"/>
        <v>7618243.3600000003</v>
      </c>
      <c r="T35" s="68">
        <f t="shared" si="4"/>
        <v>7618243.3600000003</v>
      </c>
      <c r="U35">
        <f t="array" aca="1" ref="U35" ca="1">SUM(1*(S35&lt;$S$12:$S$307))+1+IF(ROW(S35)-ROW($S$12)=0,0,SUM(1*(S35=OFFSET($S$12,0,0,INDEX(ROW(S35)-ROW($S$12)+1,1)-1,1))))</f>
        <v>12</v>
      </c>
      <c r="V35" s="96">
        <f t="shared" si="14"/>
        <v>7618243.3600000003</v>
      </c>
      <c r="W35" s="75">
        <f>Calcs!U40</f>
        <v>7618243.3600000003</v>
      </c>
      <c r="X35" s="78">
        <f>IFERROR(OR(Calcs!BH39,Calcs!BI39)*W35,0)</f>
        <v>0</v>
      </c>
      <c r="Y35" s="97">
        <f t="shared" si="15"/>
        <v>0</v>
      </c>
      <c r="Z35" s="98">
        <f t="shared" si="16"/>
        <v>7618243.3600000003</v>
      </c>
      <c r="AA35" s="77">
        <f t="shared" si="17"/>
        <v>7618243.3600000003</v>
      </c>
      <c r="AB35" s="78">
        <f>IF(AND(Calcs!BM40=TRUE),AA35,0)</f>
        <v>0</v>
      </c>
      <c r="AC35" s="97">
        <f t="shared" si="18"/>
        <v>0</v>
      </c>
      <c r="AD35" s="98">
        <f t="shared" si="19"/>
        <v>7618243.3600000003</v>
      </c>
      <c r="AE35" s="77">
        <f t="shared" si="20"/>
        <v>7618243.3600000003</v>
      </c>
      <c r="AF35" s="78">
        <f>IF(Calcs!BY40&lt;15,AE35,0)</f>
        <v>0</v>
      </c>
      <c r="AG35" s="97">
        <f t="shared" si="21"/>
        <v>0</v>
      </c>
      <c r="AH35" s="98">
        <f t="shared" si="22"/>
        <v>7618243.3600000003</v>
      </c>
      <c r="AI35" s="77">
        <f t="shared" si="23"/>
        <v>7618243.3600000003</v>
      </c>
      <c r="AJ35" s="78">
        <f>IF(Calcs!BY40&lt;10,AE35,0)</f>
        <v>0</v>
      </c>
      <c r="AK35" s="97">
        <f t="shared" si="24"/>
        <v>0</v>
      </c>
      <c r="AL35" s="98">
        <f t="shared" si="25"/>
        <v>7618243.3600000003</v>
      </c>
      <c r="AM35" s="77">
        <f t="shared" si="26"/>
        <v>7618243.3600000003</v>
      </c>
      <c r="AN35" s="78">
        <f>NOT(Calcs!BD40)*AM35</f>
        <v>0</v>
      </c>
      <c r="AO35" s="97">
        <f t="shared" si="27"/>
        <v>0</v>
      </c>
      <c r="AP35" s="98">
        <f t="shared" si="28"/>
        <v>7618243.3600000003</v>
      </c>
      <c r="AQ35" s="77">
        <f t="shared" si="29"/>
        <v>7618243.3600000003</v>
      </c>
      <c r="AR35" s="78">
        <f>NOT(Calcs!BE40)*AQ35</f>
        <v>0</v>
      </c>
      <c r="AS35" s="97">
        <f t="shared" si="30"/>
        <v>0</v>
      </c>
      <c r="AT35" s="98">
        <f t="shared" si="31"/>
        <v>7618243.3600000003</v>
      </c>
      <c r="AU35" s="77">
        <f t="shared" si="32"/>
        <v>7618243.3600000003</v>
      </c>
      <c r="AV35" s="97">
        <f>IF(Calcs!BC40=TRUE, AU35, 0)</f>
        <v>0</v>
      </c>
      <c r="AW35" s="97">
        <f t="shared" si="33"/>
        <v>0</v>
      </c>
      <c r="AX35" s="98">
        <f t="shared" si="34"/>
        <v>7618243.3600000003</v>
      </c>
      <c r="AY35" s="77">
        <f t="shared" si="35"/>
        <v>7618243.3600000003</v>
      </c>
      <c r="AZ35" s="97">
        <f>Calcs!BK40*AY35</f>
        <v>0</v>
      </c>
      <c r="BA35" s="97">
        <f t="shared" si="36"/>
        <v>0</v>
      </c>
      <c r="BB35" s="98">
        <f t="shared" si="37"/>
        <v>7618243.3600000003</v>
      </c>
      <c r="BC35" s="77">
        <f t="shared" si="38"/>
        <v>7618243.3600000003</v>
      </c>
      <c r="BD35" s="97"/>
      <c r="BE35" s="97"/>
      <c r="BF35" s="98"/>
      <c r="BG35" s="77">
        <f t="shared" si="39"/>
        <v>7618243.3600000003</v>
      </c>
      <c r="BH35" s="97">
        <f>IF(Calcs!BJ40=FALSE,0,BG35)</f>
        <v>0</v>
      </c>
      <c r="BI35" s="97">
        <f t="shared" si="40"/>
        <v>0</v>
      </c>
      <c r="BJ35" s="98">
        <f t="shared" si="41"/>
        <v>7618243.3600000003</v>
      </c>
      <c r="BK35" s="77">
        <f t="shared" si="42"/>
        <v>7618243.3600000003</v>
      </c>
      <c r="BL35" s="97">
        <f>IF(Calcs!AW40=TRUE,BK35,0)</f>
        <v>0</v>
      </c>
      <c r="BM35" s="97">
        <f t="shared" si="43"/>
        <v>0</v>
      </c>
      <c r="BN35" s="98">
        <f t="shared" si="44"/>
        <v>7618243.3600000003</v>
      </c>
      <c r="BO35" s="77">
        <f t="shared" si="45"/>
        <v>7618243.3600000003</v>
      </c>
      <c r="BP35" s="97"/>
      <c r="BQ35" s="97">
        <f t="shared" si="46"/>
        <v>0</v>
      </c>
      <c r="BR35" s="98">
        <f t="shared" si="47"/>
        <v>7618243.3600000003</v>
      </c>
      <c r="BS35" s="77">
        <f t="shared" si="48"/>
        <v>7618243.3600000003</v>
      </c>
      <c r="BT35" s="97">
        <f>IF(Calcs!BB40=TRUE,'Concentration Limitations'!BS35,0)</f>
        <v>0</v>
      </c>
      <c r="BU35" s="97">
        <f t="shared" si="49"/>
        <v>0</v>
      </c>
      <c r="BV35" s="98">
        <f t="shared" si="50"/>
        <v>7618243.3600000003</v>
      </c>
      <c r="BW35" s="77">
        <f t="shared" si="51"/>
        <v>7618243.3600000003</v>
      </c>
      <c r="BX35" s="97">
        <f>IF(Calcs!BI40=TRUE,'Concentration Limitations'!BW35,0)</f>
        <v>0</v>
      </c>
      <c r="BY35" s="97">
        <f t="shared" si="52"/>
        <v>0</v>
      </c>
      <c r="BZ35" s="98">
        <f t="shared" si="53"/>
        <v>7618243.3600000003</v>
      </c>
      <c r="CA35" s="97">
        <f t="shared" si="54"/>
        <v>7618243.3600000003</v>
      </c>
      <c r="CB35" s="97"/>
      <c r="CC35" s="97"/>
      <c r="CD35" s="98">
        <f t="shared" si="55"/>
        <v>7618243.3600000003</v>
      </c>
      <c r="CE35" s="97">
        <f t="shared" si="56"/>
        <v>7618243.3600000003</v>
      </c>
      <c r="CF35" s="97"/>
      <c r="CG35" s="97"/>
      <c r="CH35" s="98">
        <f t="shared" si="57"/>
        <v>7618243.3600000003</v>
      </c>
      <c r="CI35" s="97">
        <f t="shared" si="58"/>
        <v>7618243.3600000003</v>
      </c>
      <c r="CJ35" s="97"/>
      <c r="CK35" s="97"/>
      <c r="CL35" s="98">
        <f t="shared" si="59"/>
        <v>7618243.3600000003</v>
      </c>
      <c r="CM35" s="97">
        <f t="shared" si="60"/>
        <v>7618243.3600000003</v>
      </c>
      <c r="CN35" s="97"/>
      <c r="CO35" s="97"/>
      <c r="CP35" s="98">
        <f t="shared" si="61"/>
        <v>7618243.3600000003</v>
      </c>
      <c r="CQ35" s="97">
        <f t="shared" si="62"/>
        <v>7618243.3600000003</v>
      </c>
      <c r="CR35" s="97"/>
      <c r="CS35" s="97">
        <f t="shared" si="63"/>
        <v>0</v>
      </c>
      <c r="CT35" s="98">
        <f t="shared" si="64"/>
        <v>7618243.3600000003</v>
      </c>
      <c r="CU35" s="97">
        <f t="shared" si="65"/>
        <v>7618243.3600000003</v>
      </c>
      <c r="CV35" s="97"/>
      <c r="CW35" s="97">
        <f t="shared" si="66"/>
        <v>0</v>
      </c>
      <c r="CX35" s="98">
        <f t="shared" si="67"/>
        <v>7618243.3600000003</v>
      </c>
      <c r="CY35" s="97">
        <f t="shared" si="68"/>
        <v>7618243.3600000003</v>
      </c>
      <c r="CZ35" s="97"/>
      <c r="DA35" s="97"/>
      <c r="DB35" s="98">
        <f t="shared" si="69"/>
        <v>7618243.3600000003</v>
      </c>
      <c r="DC35" s="75">
        <f t="shared" si="70"/>
        <v>7618243.3600000003</v>
      </c>
      <c r="DD35" s="97"/>
      <c r="DE35" s="97"/>
      <c r="DF35" s="98">
        <f t="shared" si="71"/>
        <v>7618243.3600000003</v>
      </c>
      <c r="DG35" s="75">
        <f t="shared" si="72"/>
        <v>7618243.3600000003</v>
      </c>
      <c r="DH35" s="78" t="str">
        <f>Calcs!F40</f>
        <v>Media</v>
      </c>
      <c r="DI35" s="99">
        <f t="shared" ca="1" si="73"/>
        <v>0</v>
      </c>
      <c r="DJ35" s="98">
        <f t="shared" ca="1" si="74"/>
        <v>7618243.3600000003</v>
      </c>
      <c r="DK35" s="293">
        <f t="shared" si="75"/>
        <v>11</v>
      </c>
      <c r="DL35" s="532" t="s">
        <v>317</v>
      </c>
      <c r="DM35" s="36"/>
      <c r="DN35" s="36"/>
      <c r="DO35" s="36"/>
      <c r="DP35" s="36"/>
      <c r="DQ35" s="413" cm="1">
        <f t="array" ref="DQ35">+SUMPRODUCT((DL35=$DH$12:$DH$307)*($DG$12:$DG$307))/$N$6</f>
        <v>1.0669498734206676E-2</v>
      </c>
      <c r="DR35" s="414">
        <f t="shared" si="76"/>
        <v>11</v>
      </c>
      <c r="DS35" s="413" cm="1">
        <f t="array" aca="1" ref="DS35" ca="1">+SUMPRODUCT((DL35=$DH$12:$DH$307)*($DJ$12:$DJ$307))/$N$6</f>
        <v>1.0669498734206676E-2</v>
      </c>
      <c r="DT35" s="417">
        <f t="shared" ca="1" si="80"/>
        <v>11</v>
      </c>
      <c r="DU35" s="415">
        <f t="shared" si="77"/>
        <v>0.1</v>
      </c>
      <c r="DV35" s="416">
        <f t="shared" si="81"/>
        <v>8.9330501265793325E-2</v>
      </c>
      <c r="DW35" s="180"/>
    </row>
    <row r="36" spans="6:127" s="2" customFormat="1">
      <c r="F36" s="2">
        <f t="shared" ca="1" si="79"/>
        <v>27</v>
      </c>
      <c r="G36" s="40" t="str">
        <f>Calcs!A41</f>
        <v>Infinity Home Services Holdco, Inc.</v>
      </c>
      <c r="H36" s="68">
        <f t="shared" ca="1" si="8"/>
        <v>5105362.6500000004</v>
      </c>
      <c r="I36" s="96"/>
      <c r="J36" s="96"/>
      <c r="K36" s="63">
        <f>+IF(G36="","",IF(COUNTIF(G37:$G$307,G36)=0,1,0))</f>
        <v>1</v>
      </c>
      <c r="L36" s="75">
        <f>Calcs!U41</f>
        <v>5105362.6500000004</v>
      </c>
      <c r="M36">
        <f t="shared" si="2"/>
        <v>27</v>
      </c>
      <c r="N36" s="75">
        <f t="shared" si="9"/>
        <v>5105362.6500000004</v>
      </c>
      <c r="O36" s="75">
        <f t="shared" si="3"/>
        <v>5105362.6500000004</v>
      </c>
      <c r="P36" s="72">
        <f t="shared" si="10"/>
        <v>0.05</v>
      </c>
      <c r="Q36" s="72">
        <f t="shared" si="11"/>
        <v>8.5012007368312562E-3</v>
      </c>
      <c r="R36" s="61">
        <f t="shared" si="12"/>
        <v>0</v>
      </c>
      <c r="S36" s="68">
        <f t="shared" si="13"/>
        <v>5105362.6500000004</v>
      </c>
      <c r="T36" s="68">
        <f t="shared" si="4"/>
        <v>5105362.6500000004</v>
      </c>
      <c r="U36">
        <f t="array" aca="1" ref="U36" ca="1">SUM(1*(S36&lt;$S$12:$S$307))+1+IF(ROW(S36)-ROW($S$12)=0,0,SUM(1*(S36=OFFSET($S$12,0,0,INDEX(ROW(S36)-ROW($S$12)+1,1)-1,1))))</f>
        <v>27</v>
      </c>
      <c r="V36" s="96">
        <f t="shared" si="14"/>
        <v>5105362.6500000004</v>
      </c>
      <c r="W36" s="75">
        <f>Calcs!U41</f>
        <v>5105362.6500000004</v>
      </c>
      <c r="X36" s="78">
        <f>IFERROR(OR(Calcs!BH40,Calcs!BI40)*W36,0)</f>
        <v>0</v>
      </c>
      <c r="Y36" s="97">
        <f t="shared" si="15"/>
        <v>0</v>
      </c>
      <c r="Z36" s="98">
        <f t="shared" si="16"/>
        <v>5105362.6500000004</v>
      </c>
      <c r="AA36" s="77">
        <f t="shared" si="17"/>
        <v>5105362.6500000004</v>
      </c>
      <c r="AB36" s="78">
        <f>IF(AND(Calcs!BM41=TRUE),AA36,0)</f>
        <v>0</v>
      </c>
      <c r="AC36" s="97">
        <f t="shared" si="18"/>
        <v>0</v>
      </c>
      <c r="AD36" s="98">
        <f t="shared" si="19"/>
        <v>5105362.6500000004</v>
      </c>
      <c r="AE36" s="77">
        <f t="shared" si="20"/>
        <v>5105362.6500000004</v>
      </c>
      <c r="AF36" s="78">
        <f>IF(Calcs!BY41&lt;15,AE36,0)</f>
        <v>0</v>
      </c>
      <c r="AG36" s="97">
        <f t="shared" si="21"/>
        <v>0</v>
      </c>
      <c r="AH36" s="98">
        <f t="shared" si="22"/>
        <v>5105362.6500000004</v>
      </c>
      <c r="AI36" s="77">
        <f t="shared" si="23"/>
        <v>5105362.6500000004</v>
      </c>
      <c r="AJ36" s="78">
        <f>IF(Calcs!BY41&lt;10,AE36,0)</f>
        <v>0</v>
      </c>
      <c r="AK36" s="97">
        <f t="shared" si="24"/>
        <v>0</v>
      </c>
      <c r="AL36" s="98">
        <f t="shared" si="25"/>
        <v>5105362.6500000004</v>
      </c>
      <c r="AM36" s="77">
        <f t="shared" si="26"/>
        <v>5105362.6500000004</v>
      </c>
      <c r="AN36" s="78">
        <f>NOT(Calcs!BD41)*AM36</f>
        <v>0</v>
      </c>
      <c r="AO36" s="97">
        <f t="shared" si="27"/>
        <v>0</v>
      </c>
      <c r="AP36" s="98">
        <f t="shared" si="28"/>
        <v>5105362.6500000004</v>
      </c>
      <c r="AQ36" s="77">
        <f t="shared" si="29"/>
        <v>5105362.6500000004</v>
      </c>
      <c r="AR36" s="78">
        <f>NOT(Calcs!BE41)*AQ36</f>
        <v>0</v>
      </c>
      <c r="AS36" s="97">
        <f t="shared" si="30"/>
        <v>0</v>
      </c>
      <c r="AT36" s="98">
        <f t="shared" si="31"/>
        <v>5105362.6500000004</v>
      </c>
      <c r="AU36" s="77">
        <f t="shared" si="32"/>
        <v>5105362.6500000004</v>
      </c>
      <c r="AV36" s="97">
        <f>IF(Calcs!BC41=TRUE, AU36, 0)</f>
        <v>0</v>
      </c>
      <c r="AW36" s="97">
        <f t="shared" si="33"/>
        <v>0</v>
      </c>
      <c r="AX36" s="98">
        <f t="shared" si="34"/>
        <v>5105362.6500000004</v>
      </c>
      <c r="AY36" s="77">
        <f t="shared" si="35"/>
        <v>5105362.6500000004</v>
      </c>
      <c r="AZ36" s="97">
        <f>Calcs!BK41*AY36</f>
        <v>0</v>
      </c>
      <c r="BA36" s="97">
        <f t="shared" si="36"/>
        <v>0</v>
      </c>
      <c r="BB36" s="98">
        <f t="shared" si="37"/>
        <v>5105362.6500000004</v>
      </c>
      <c r="BC36" s="77">
        <f t="shared" si="38"/>
        <v>5105362.6500000004</v>
      </c>
      <c r="BD36" s="97"/>
      <c r="BE36" s="97"/>
      <c r="BF36" s="98"/>
      <c r="BG36" s="77">
        <f t="shared" si="39"/>
        <v>5105362.6500000004</v>
      </c>
      <c r="BH36" s="97">
        <f>IF(Calcs!BJ41=FALSE,0,BG36)</f>
        <v>0</v>
      </c>
      <c r="BI36" s="97">
        <f t="shared" si="40"/>
        <v>0</v>
      </c>
      <c r="BJ36" s="98">
        <f t="shared" si="41"/>
        <v>5105362.6500000004</v>
      </c>
      <c r="BK36" s="77">
        <f t="shared" si="42"/>
        <v>5105362.6500000004</v>
      </c>
      <c r="BL36" s="97">
        <f>IF(Calcs!AW41=TRUE,BK36,0)</f>
        <v>0</v>
      </c>
      <c r="BM36" s="97">
        <f t="shared" si="43"/>
        <v>0</v>
      </c>
      <c r="BN36" s="98">
        <f t="shared" si="44"/>
        <v>5105362.6500000004</v>
      </c>
      <c r="BO36" s="77">
        <f t="shared" si="45"/>
        <v>5105362.6500000004</v>
      </c>
      <c r="BP36" s="97"/>
      <c r="BQ36" s="97">
        <f t="shared" si="46"/>
        <v>0</v>
      </c>
      <c r="BR36" s="98">
        <f t="shared" si="47"/>
        <v>5105362.6500000004</v>
      </c>
      <c r="BS36" s="77">
        <f t="shared" si="48"/>
        <v>5105362.6500000004</v>
      </c>
      <c r="BT36" s="97">
        <f>IF(Calcs!BB41=TRUE,'Concentration Limitations'!BS36,0)</f>
        <v>0</v>
      </c>
      <c r="BU36" s="97">
        <f t="shared" si="49"/>
        <v>0</v>
      </c>
      <c r="BV36" s="98">
        <f t="shared" si="50"/>
        <v>5105362.6500000004</v>
      </c>
      <c r="BW36" s="77">
        <f t="shared" si="51"/>
        <v>5105362.6500000004</v>
      </c>
      <c r="BX36" s="97">
        <f>IF(Calcs!BI41=TRUE,'Concentration Limitations'!BW36,0)</f>
        <v>0</v>
      </c>
      <c r="BY36" s="97">
        <f t="shared" si="52"/>
        <v>0</v>
      </c>
      <c r="BZ36" s="98">
        <f t="shared" si="53"/>
        <v>5105362.6500000004</v>
      </c>
      <c r="CA36" s="97">
        <f t="shared" si="54"/>
        <v>5105362.6500000004</v>
      </c>
      <c r="CB36" s="97"/>
      <c r="CC36" s="97"/>
      <c r="CD36" s="98">
        <f t="shared" si="55"/>
        <v>5105362.6500000004</v>
      </c>
      <c r="CE36" s="97">
        <f t="shared" si="56"/>
        <v>5105362.6500000004</v>
      </c>
      <c r="CF36" s="97"/>
      <c r="CG36" s="97"/>
      <c r="CH36" s="98">
        <f t="shared" si="57"/>
        <v>5105362.6500000004</v>
      </c>
      <c r="CI36" s="97">
        <f t="shared" si="58"/>
        <v>5105362.6500000004</v>
      </c>
      <c r="CJ36" s="97"/>
      <c r="CK36" s="97"/>
      <c r="CL36" s="98">
        <f t="shared" si="59"/>
        <v>5105362.6500000004</v>
      </c>
      <c r="CM36" s="97">
        <f t="shared" si="60"/>
        <v>5105362.6500000004</v>
      </c>
      <c r="CN36" s="97"/>
      <c r="CO36" s="97"/>
      <c r="CP36" s="98">
        <f t="shared" si="61"/>
        <v>5105362.6500000004</v>
      </c>
      <c r="CQ36" s="97">
        <f t="shared" si="62"/>
        <v>5105362.6500000004</v>
      </c>
      <c r="CR36" s="97"/>
      <c r="CS36" s="97">
        <f t="shared" si="63"/>
        <v>0</v>
      </c>
      <c r="CT36" s="98">
        <f t="shared" si="64"/>
        <v>5105362.6500000004</v>
      </c>
      <c r="CU36" s="97">
        <f t="shared" si="65"/>
        <v>5105362.6500000004</v>
      </c>
      <c r="CV36" s="97"/>
      <c r="CW36" s="97">
        <f t="shared" si="66"/>
        <v>0</v>
      </c>
      <c r="CX36" s="98">
        <f t="shared" si="67"/>
        <v>5105362.6500000004</v>
      </c>
      <c r="CY36" s="97">
        <f t="shared" si="68"/>
        <v>5105362.6500000004</v>
      </c>
      <c r="CZ36" s="97"/>
      <c r="DA36" s="97"/>
      <c r="DB36" s="98">
        <f t="shared" si="69"/>
        <v>5105362.6500000004</v>
      </c>
      <c r="DC36" s="75">
        <f t="shared" si="70"/>
        <v>5105362.6500000004</v>
      </c>
      <c r="DD36" s="97"/>
      <c r="DE36" s="97"/>
      <c r="DF36" s="98">
        <f t="shared" si="71"/>
        <v>5105362.6500000004</v>
      </c>
      <c r="DG36" s="75">
        <f t="shared" si="72"/>
        <v>5105362.6500000004</v>
      </c>
      <c r="DH36" s="78" t="str">
        <f>Calcs!F41</f>
        <v>Professional Services</v>
      </c>
      <c r="DI36" s="99">
        <f t="shared" ca="1" si="73"/>
        <v>0</v>
      </c>
      <c r="DJ36" s="98">
        <f t="shared" ca="1" si="74"/>
        <v>5105362.6500000004</v>
      </c>
      <c r="DK36" s="293">
        <f t="shared" si="75"/>
        <v>15</v>
      </c>
      <c r="DL36" s="532" t="s">
        <v>1063</v>
      </c>
      <c r="DM36" s="36"/>
      <c r="DN36" s="36"/>
      <c r="DO36" s="36"/>
      <c r="DP36" s="36"/>
      <c r="DQ36" s="413" cm="1">
        <f t="array" ref="DQ36">+SUMPRODUCT((DL36=$DH$12:$DH$307)*($DG$12:$DG$307))/$N$6</f>
        <v>5.3016625963140124E-3</v>
      </c>
      <c r="DR36" s="414">
        <f t="shared" si="76"/>
        <v>15</v>
      </c>
      <c r="DS36" s="413" cm="1">
        <f t="array" aca="1" ref="DS36" ca="1">+SUMPRODUCT((DL36=$DH$12:$DH$307)*($DJ$12:$DJ$307))/$N$6</f>
        <v>5.3016625963140124E-3</v>
      </c>
      <c r="DT36" s="417">
        <f t="shared" ca="1" si="80"/>
        <v>15</v>
      </c>
      <c r="DU36" s="415">
        <f t="shared" si="77"/>
        <v>0.1</v>
      </c>
      <c r="DV36" s="416">
        <f t="shared" si="81"/>
        <v>9.4698337403685995E-2</v>
      </c>
      <c r="DW36" s="180"/>
    </row>
    <row r="37" spans="6:127" s="2" customFormat="1">
      <c r="F37" s="2">
        <f t="shared" ca="1" si="79"/>
        <v>48</v>
      </c>
      <c r="G37" s="40" t="str">
        <f>Calcs!A42</f>
        <v>Infolinks</v>
      </c>
      <c r="H37" s="68">
        <f t="shared" ca="1" si="8"/>
        <v>2048423.5</v>
      </c>
      <c r="I37" s="96"/>
      <c r="J37" s="96"/>
      <c r="K37" s="63">
        <f>+IF(G37="","",IF(COUNTIF(G38:$G$307,G37)=0,1,0))</f>
        <v>1</v>
      </c>
      <c r="L37" s="75">
        <f>Calcs!U42</f>
        <v>2048423.5</v>
      </c>
      <c r="M37">
        <f t="shared" si="2"/>
        <v>48</v>
      </c>
      <c r="N37" s="75">
        <f t="shared" si="9"/>
        <v>2048423.5</v>
      </c>
      <c r="O37" s="75">
        <f t="shared" si="3"/>
        <v>2048423.5</v>
      </c>
      <c r="P37" s="72">
        <f t="shared" si="10"/>
        <v>0.05</v>
      </c>
      <c r="Q37" s="72">
        <f t="shared" si="11"/>
        <v>3.410934846624942E-3</v>
      </c>
      <c r="R37" s="61">
        <f t="shared" si="12"/>
        <v>0</v>
      </c>
      <c r="S37" s="68">
        <f t="shared" si="13"/>
        <v>2048423.5</v>
      </c>
      <c r="T37" s="68">
        <f t="shared" si="4"/>
        <v>2048423.5</v>
      </c>
      <c r="U37">
        <f t="array" aca="1" ref="U37" ca="1">SUM(1*(S37&lt;$S$12:$S$307))+1+IF(ROW(S37)-ROW($S$12)=0,0,SUM(1*(S37=OFFSET($S$12,0,0,INDEX(ROW(S37)-ROW($S$12)+1,1)-1,1))))</f>
        <v>48</v>
      </c>
      <c r="V37" s="96">
        <f t="shared" si="14"/>
        <v>2048423.5</v>
      </c>
      <c r="W37" s="75">
        <f>Calcs!U42</f>
        <v>2048423.5</v>
      </c>
      <c r="X37" s="78">
        <f>IFERROR(OR(Calcs!BH41,Calcs!BI41)*W37,0)</f>
        <v>0</v>
      </c>
      <c r="Y37" s="97">
        <f t="shared" si="15"/>
        <v>0</v>
      </c>
      <c r="Z37" s="98">
        <f t="shared" si="16"/>
        <v>2048423.5</v>
      </c>
      <c r="AA37" s="77">
        <f t="shared" si="17"/>
        <v>2048423.5</v>
      </c>
      <c r="AB37" s="78">
        <f>IF(AND(Calcs!BM42=TRUE),AA37,0)</f>
        <v>0</v>
      </c>
      <c r="AC37" s="97">
        <f t="shared" si="18"/>
        <v>0</v>
      </c>
      <c r="AD37" s="98">
        <f t="shared" si="19"/>
        <v>2048423.5</v>
      </c>
      <c r="AE37" s="77">
        <f t="shared" si="20"/>
        <v>2048423.5</v>
      </c>
      <c r="AF37" s="78">
        <f>IF(Calcs!BY42&lt;15,AE37,0)</f>
        <v>0</v>
      </c>
      <c r="AG37" s="97">
        <f t="shared" si="21"/>
        <v>0</v>
      </c>
      <c r="AH37" s="98">
        <f t="shared" si="22"/>
        <v>2048423.5</v>
      </c>
      <c r="AI37" s="77">
        <f t="shared" si="23"/>
        <v>2048423.5</v>
      </c>
      <c r="AJ37" s="78">
        <f>IF(Calcs!BY42&lt;10,AE37,0)</f>
        <v>0</v>
      </c>
      <c r="AK37" s="97">
        <f t="shared" si="24"/>
        <v>0</v>
      </c>
      <c r="AL37" s="98">
        <f t="shared" si="25"/>
        <v>2048423.5</v>
      </c>
      <c r="AM37" s="77">
        <f t="shared" si="26"/>
        <v>2048423.5</v>
      </c>
      <c r="AN37" s="78">
        <f>NOT(Calcs!BD42)*AM37</f>
        <v>0</v>
      </c>
      <c r="AO37" s="97">
        <f t="shared" si="27"/>
        <v>0</v>
      </c>
      <c r="AP37" s="98">
        <f t="shared" si="28"/>
        <v>2048423.5</v>
      </c>
      <c r="AQ37" s="77">
        <f t="shared" si="29"/>
        <v>2048423.5</v>
      </c>
      <c r="AR37" s="78">
        <f>NOT(Calcs!BE42)*AQ37</f>
        <v>0</v>
      </c>
      <c r="AS37" s="97">
        <f t="shared" si="30"/>
        <v>0</v>
      </c>
      <c r="AT37" s="98">
        <f t="shared" si="31"/>
        <v>2048423.5</v>
      </c>
      <c r="AU37" s="77">
        <f t="shared" si="32"/>
        <v>2048423.5</v>
      </c>
      <c r="AV37" s="97">
        <f>IF(Calcs!BC42=TRUE, AU37, 0)</f>
        <v>0</v>
      </c>
      <c r="AW37" s="97">
        <f t="shared" si="33"/>
        <v>0</v>
      </c>
      <c r="AX37" s="98">
        <f t="shared" si="34"/>
        <v>2048423.5</v>
      </c>
      <c r="AY37" s="77">
        <f t="shared" si="35"/>
        <v>2048423.5</v>
      </c>
      <c r="AZ37" s="97">
        <f>Calcs!BK42*AY37</f>
        <v>0</v>
      </c>
      <c r="BA37" s="97">
        <f t="shared" si="36"/>
        <v>0</v>
      </c>
      <c r="BB37" s="98">
        <f t="shared" si="37"/>
        <v>2048423.5</v>
      </c>
      <c r="BC37" s="77">
        <f t="shared" si="38"/>
        <v>2048423.5</v>
      </c>
      <c r="BD37" s="97"/>
      <c r="BE37" s="97"/>
      <c r="BF37" s="98"/>
      <c r="BG37" s="77">
        <f t="shared" si="39"/>
        <v>2048423.5</v>
      </c>
      <c r="BH37" s="97">
        <f>IF(Calcs!BJ42=FALSE,0,BG37)</f>
        <v>0</v>
      </c>
      <c r="BI37" s="97">
        <f t="shared" si="40"/>
        <v>0</v>
      </c>
      <c r="BJ37" s="98">
        <f t="shared" si="41"/>
        <v>2048423.5</v>
      </c>
      <c r="BK37" s="77">
        <f t="shared" si="42"/>
        <v>2048423.5</v>
      </c>
      <c r="BL37" s="97">
        <f>IF(Calcs!AW42=TRUE,BK37,0)</f>
        <v>0</v>
      </c>
      <c r="BM37" s="97">
        <f t="shared" si="43"/>
        <v>0</v>
      </c>
      <c r="BN37" s="98">
        <f t="shared" si="44"/>
        <v>2048423.5</v>
      </c>
      <c r="BO37" s="77">
        <f t="shared" si="45"/>
        <v>2048423.5</v>
      </c>
      <c r="BP37" s="97"/>
      <c r="BQ37" s="97">
        <f t="shared" si="46"/>
        <v>0</v>
      </c>
      <c r="BR37" s="98">
        <f t="shared" si="47"/>
        <v>2048423.5</v>
      </c>
      <c r="BS37" s="77">
        <f t="shared" si="48"/>
        <v>2048423.5</v>
      </c>
      <c r="BT37" s="97">
        <f>IF(Calcs!BB42=TRUE,'Concentration Limitations'!BS37,0)</f>
        <v>0</v>
      </c>
      <c r="BU37" s="97">
        <f t="shared" si="49"/>
        <v>0</v>
      </c>
      <c r="BV37" s="98">
        <f t="shared" si="50"/>
        <v>2048423.5</v>
      </c>
      <c r="BW37" s="77">
        <f t="shared" si="51"/>
        <v>2048423.5</v>
      </c>
      <c r="BX37" s="97">
        <f>IF(Calcs!BI42=TRUE,'Concentration Limitations'!BW37,0)</f>
        <v>0</v>
      </c>
      <c r="BY37" s="97">
        <f t="shared" si="52"/>
        <v>0</v>
      </c>
      <c r="BZ37" s="98">
        <f t="shared" si="53"/>
        <v>2048423.5</v>
      </c>
      <c r="CA37" s="97">
        <f t="shared" si="54"/>
        <v>2048423.5</v>
      </c>
      <c r="CB37" s="97"/>
      <c r="CC37" s="97"/>
      <c r="CD37" s="98">
        <f t="shared" si="55"/>
        <v>2048423.5</v>
      </c>
      <c r="CE37" s="97">
        <f t="shared" si="56"/>
        <v>2048423.5</v>
      </c>
      <c r="CF37" s="97"/>
      <c r="CG37" s="97"/>
      <c r="CH37" s="98">
        <f t="shared" si="57"/>
        <v>2048423.5</v>
      </c>
      <c r="CI37" s="97">
        <f t="shared" si="58"/>
        <v>2048423.5</v>
      </c>
      <c r="CJ37" s="97"/>
      <c r="CK37" s="97"/>
      <c r="CL37" s="98">
        <f t="shared" si="59"/>
        <v>2048423.5</v>
      </c>
      <c r="CM37" s="97">
        <f t="shared" si="60"/>
        <v>2048423.5</v>
      </c>
      <c r="CN37" s="97"/>
      <c r="CO37" s="97"/>
      <c r="CP37" s="98">
        <f t="shared" si="61"/>
        <v>2048423.5</v>
      </c>
      <c r="CQ37" s="97">
        <f t="shared" si="62"/>
        <v>2048423.5</v>
      </c>
      <c r="CR37" s="97"/>
      <c r="CS37" s="97">
        <f t="shared" si="63"/>
        <v>0</v>
      </c>
      <c r="CT37" s="98">
        <f t="shared" si="64"/>
        <v>2048423.5</v>
      </c>
      <c r="CU37" s="97">
        <f t="shared" si="65"/>
        <v>2048423.5</v>
      </c>
      <c r="CV37" s="97"/>
      <c r="CW37" s="97">
        <f t="shared" si="66"/>
        <v>0</v>
      </c>
      <c r="CX37" s="98">
        <f t="shared" si="67"/>
        <v>2048423.5</v>
      </c>
      <c r="CY37" s="97">
        <f t="shared" si="68"/>
        <v>2048423.5</v>
      </c>
      <c r="CZ37" s="97"/>
      <c r="DA37" s="97"/>
      <c r="DB37" s="98">
        <f t="shared" si="69"/>
        <v>2048423.5</v>
      </c>
      <c r="DC37" s="75">
        <f t="shared" si="70"/>
        <v>2048423.5</v>
      </c>
      <c r="DD37" s="97"/>
      <c r="DE37" s="97"/>
      <c r="DF37" s="98">
        <f t="shared" si="71"/>
        <v>2048423.5</v>
      </c>
      <c r="DG37" s="75">
        <f t="shared" si="72"/>
        <v>2048423.5</v>
      </c>
      <c r="DH37" s="78" t="str">
        <f>Calcs!F42</f>
        <v>Media</v>
      </c>
      <c r="DI37" s="99">
        <f t="shared" ca="1" si="73"/>
        <v>0</v>
      </c>
      <c r="DJ37" s="98">
        <f t="shared" ca="1" si="74"/>
        <v>2048423.5</v>
      </c>
      <c r="DK37" s="293">
        <f t="shared" si="75"/>
        <v>19</v>
      </c>
      <c r="DL37" s="532" t="s">
        <v>186</v>
      </c>
      <c r="DM37" s="36"/>
      <c r="DN37" s="36"/>
      <c r="DO37" s="36"/>
      <c r="DP37" s="36"/>
      <c r="DQ37" s="413" cm="1">
        <f t="array" ref="DQ37">+SUMPRODUCT((DL37=$DH$12:$DH$307)*($DG$12:$DG$307))/$N$6</f>
        <v>0</v>
      </c>
      <c r="DR37" s="414">
        <f t="shared" si="76"/>
        <v>19</v>
      </c>
      <c r="DS37" s="413" cm="1">
        <f t="array" aca="1" ref="DS37" ca="1">+SUMPRODUCT((DL37=$DH$12:$DH$307)*($DJ$12:$DJ$307))/$N$6</f>
        <v>0</v>
      </c>
      <c r="DT37" s="417">
        <f t="shared" ca="1" si="80"/>
        <v>19</v>
      </c>
      <c r="DU37" s="415">
        <f t="shared" si="77"/>
        <v>0.1</v>
      </c>
      <c r="DV37" s="416">
        <f t="shared" si="81"/>
        <v>0.1</v>
      </c>
      <c r="DW37" s="180"/>
    </row>
    <row r="38" spans="6:127" s="2" customFormat="1">
      <c r="F38" s="2">
        <f t="shared" ca="1" si="79"/>
        <v>49</v>
      </c>
      <c r="G38" s="40" t="str">
        <f>Calcs!A43</f>
        <v xml:space="preserve">Inventus Power Inc.  </v>
      </c>
      <c r="H38" s="68">
        <f t="shared" ca="1" si="8"/>
        <v>1970457.8</v>
      </c>
      <c r="I38" s="96"/>
      <c r="J38" s="96"/>
      <c r="K38" s="63">
        <f>+IF(G38="","",IF(COUNTIF(G39:$G$307,G38)=0,1,0))</f>
        <v>1</v>
      </c>
      <c r="L38" s="75">
        <f>Calcs!U43</f>
        <v>1970457.8</v>
      </c>
      <c r="M38">
        <f t="shared" si="2"/>
        <v>49</v>
      </c>
      <c r="N38" s="75">
        <f t="shared" si="9"/>
        <v>1970457.8</v>
      </c>
      <c r="O38" s="75">
        <f t="shared" si="3"/>
        <v>1970457.8</v>
      </c>
      <c r="P38" s="72">
        <f t="shared" si="10"/>
        <v>0.05</v>
      </c>
      <c r="Q38" s="72">
        <f t="shared" si="11"/>
        <v>3.2811101678065697E-3</v>
      </c>
      <c r="R38" s="61">
        <f t="shared" si="12"/>
        <v>0</v>
      </c>
      <c r="S38" s="68">
        <f t="shared" si="13"/>
        <v>1970457.8</v>
      </c>
      <c r="T38" s="68">
        <f t="shared" si="4"/>
        <v>1970457.8</v>
      </c>
      <c r="U38">
        <f t="array" aca="1" ref="U38" ca="1">SUM(1*(S38&lt;$S$12:$S$307))+1+IF(ROW(S38)-ROW($S$12)=0,0,SUM(1*(S38=OFFSET($S$12,0,0,INDEX(ROW(S38)-ROW($S$12)+1,1)-1,1))))</f>
        <v>49</v>
      </c>
      <c r="V38" s="96">
        <f t="shared" si="14"/>
        <v>1970457.8</v>
      </c>
      <c r="W38" s="75">
        <f>Calcs!U43</f>
        <v>1970457.8</v>
      </c>
      <c r="X38" s="78">
        <f>IFERROR(OR(Calcs!BH42,Calcs!BI42)*W38,0)</f>
        <v>0</v>
      </c>
      <c r="Y38" s="97">
        <f t="shared" si="15"/>
        <v>0</v>
      </c>
      <c r="Z38" s="98">
        <f t="shared" si="16"/>
        <v>1970457.8</v>
      </c>
      <c r="AA38" s="77">
        <f t="shared" si="17"/>
        <v>1970457.8</v>
      </c>
      <c r="AB38" s="78">
        <f>IF(AND(Calcs!BM43=TRUE),AA38,0)</f>
        <v>0</v>
      </c>
      <c r="AC38" s="97">
        <f t="shared" si="18"/>
        <v>0</v>
      </c>
      <c r="AD38" s="98">
        <f t="shared" si="19"/>
        <v>1970457.8</v>
      </c>
      <c r="AE38" s="77">
        <f t="shared" si="20"/>
        <v>1970457.8</v>
      </c>
      <c r="AF38" s="78">
        <f>IF(Calcs!BY43&lt;15,AE38,0)</f>
        <v>0</v>
      </c>
      <c r="AG38" s="97">
        <f t="shared" si="21"/>
        <v>0</v>
      </c>
      <c r="AH38" s="98">
        <f t="shared" si="22"/>
        <v>1970457.8</v>
      </c>
      <c r="AI38" s="77">
        <f t="shared" si="23"/>
        <v>1970457.8</v>
      </c>
      <c r="AJ38" s="78">
        <f>IF(Calcs!BY43&lt;10,AE38,0)</f>
        <v>0</v>
      </c>
      <c r="AK38" s="97">
        <f t="shared" si="24"/>
        <v>0</v>
      </c>
      <c r="AL38" s="98">
        <f t="shared" si="25"/>
        <v>1970457.8</v>
      </c>
      <c r="AM38" s="77">
        <f t="shared" si="26"/>
        <v>1970457.8</v>
      </c>
      <c r="AN38" s="78">
        <f>NOT(Calcs!BD43)*AM38</f>
        <v>0</v>
      </c>
      <c r="AO38" s="97">
        <f t="shared" si="27"/>
        <v>0</v>
      </c>
      <c r="AP38" s="98">
        <f t="shared" si="28"/>
        <v>1970457.8</v>
      </c>
      <c r="AQ38" s="77">
        <f t="shared" si="29"/>
        <v>1970457.8</v>
      </c>
      <c r="AR38" s="78">
        <f>NOT(Calcs!BE43)*AQ38</f>
        <v>0</v>
      </c>
      <c r="AS38" s="97">
        <f t="shared" si="30"/>
        <v>0</v>
      </c>
      <c r="AT38" s="98">
        <f t="shared" si="31"/>
        <v>1970457.8</v>
      </c>
      <c r="AU38" s="77">
        <f t="shared" si="32"/>
        <v>1970457.8</v>
      </c>
      <c r="AV38" s="97">
        <f>IF(Calcs!BC43=TRUE, AU38, 0)</f>
        <v>0</v>
      </c>
      <c r="AW38" s="97">
        <f t="shared" si="33"/>
        <v>0</v>
      </c>
      <c r="AX38" s="98">
        <f t="shared" si="34"/>
        <v>1970457.8</v>
      </c>
      <c r="AY38" s="77">
        <f t="shared" si="35"/>
        <v>1970457.8</v>
      </c>
      <c r="AZ38" s="97">
        <f>Calcs!BK43*AY38</f>
        <v>0</v>
      </c>
      <c r="BA38" s="97">
        <f t="shared" si="36"/>
        <v>0</v>
      </c>
      <c r="BB38" s="98">
        <f t="shared" si="37"/>
        <v>1970457.8</v>
      </c>
      <c r="BC38" s="77">
        <f t="shared" si="38"/>
        <v>1970457.8</v>
      </c>
      <c r="BD38" s="97"/>
      <c r="BE38" s="97"/>
      <c r="BF38" s="98"/>
      <c r="BG38" s="77">
        <f t="shared" si="39"/>
        <v>1970457.8</v>
      </c>
      <c r="BH38" s="97">
        <f>IF(Calcs!BJ43=FALSE,0,BG38)</f>
        <v>0</v>
      </c>
      <c r="BI38" s="97">
        <f t="shared" si="40"/>
        <v>0</v>
      </c>
      <c r="BJ38" s="98">
        <f t="shared" si="41"/>
        <v>1970457.8</v>
      </c>
      <c r="BK38" s="77">
        <f t="shared" si="42"/>
        <v>1970457.8</v>
      </c>
      <c r="BL38" s="97">
        <f>IF(Calcs!AW43=TRUE,BK38,0)</f>
        <v>0</v>
      </c>
      <c r="BM38" s="97">
        <f t="shared" si="43"/>
        <v>0</v>
      </c>
      <c r="BN38" s="98">
        <f t="shared" si="44"/>
        <v>1970457.8</v>
      </c>
      <c r="BO38" s="77">
        <f t="shared" si="45"/>
        <v>1970457.8</v>
      </c>
      <c r="BP38" s="97"/>
      <c r="BQ38" s="97">
        <f t="shared" si="46"/>
        <v>0</v>
      </c>
      <c r="BR38" s="98">
        <f t="shared" si="47"/>
        <v>1970457.8</v>
      </c>
      <c r="BS38" s="77">
        <f t="shared" si="48"/>
        <v>1970457.8</v>
      </c>
      <c r="BT38" s="97">
        <f>IF(Calcs!BB43=TRUE,'Concentration Limitations'!BS38,0)</f>
        <v>0</v>
      </c>
      <c r="BU38" s="97">
        <f t="shared" si="49"/>
        <v>0</v>
      </c>
      <c r="BV38" s="98">
        <f t="shared" si="50"/>
        <v>1970457.8</v>
      </c>
      <c r="BW38" s="77">
        <f t="shared" si="51"/>
        <v>1970457.8</v>
      </c>
      <c r="BX38" s="97">
        <f>IF(Calcs!BI43=TRUE,'Concentration Limitations'!BW38,0)</f>
        <v>0</v>
      </c>
      <c r="BY38" s="97">
        <f t="shared" si="52"/>
        <v>0</v>
      </c>
      <c r="BZ38" s="98">
        <f t="shared" si="53"/>
        <v>1970457.8</v>
      </c>
      <c r="CA38" s="97">
        <f t="shared" si="54"/>
        <v>1970457.8</v>
      </c>
      <c r="CB38" s="97"/>
      <c r="CC38" s="97"/>
      <c r="CD38" s="98">
        <f t="shared" si="55"/>
        <v>1970457.8</v>
      </c>
      <c r="CE38" s="97">
        <f t="shared" si="56"/>
        <v>1970457.8</v>
      </c>
      <c r="CF38" s="97"/>
      <c r="CG38" s="97"/>
      <c r="CH38" s="98">
        <f t="shared" si="57"/>
        <v>1970457.8</v>
      </c>
      <c r="CI38" s="97">
        <f t="shared" si="58"/>
        <v>1970457.8</v>
      </c>
      <c r="CJ38" s="97"/>
      <c r="CK38" s="97"/>
      <c r="CL38" s="98">
        <f t="shared" si="59"/>
        <v>1970457.8</v>
      </c>
      <c r="CM38" s="97">
        <f t="shared" si="60"/>
        <v>1970457.8</v>
      </c>
      <c r="CN38" s="97"/>
      <c r="CO38" s="97"/>
      <c r="CP38" s="98">
        <f t="shared" si="61"/>
        <v>1970457.8</v>
      </c>
      <c r="CQ38" s="97">
        <f t="shared" si="62"/>
        <v>1970457.8</v>
      </c>
      <c r="CR38" s="97"/>
      <c r="CS38" s="97">
        <f t="shared" si="63"/>
        <v>0</v>
      </c>
      <c r="CT38" s="98">
        <f t="shared" si="64"/>
        <v>1970457.8</v>
      </c>
      <c r="CU38" s="97">
        <f t="shared" si="65"/>
        <v>1970457.8</v>
      </c>
      <c r="CV38" s="97"/>
      <c r="CW38" s="97">
        <f t="shared" si="66"/>
        <v>0</v>
      </c>
      <c r="CX38" s="98">
        <f t="shared" si="67"/>
        <v>1970457.8</v>
      </c>
      <c r="CY38" s="97">
        <f t="shared" si="68"/>
        <v>1970457.8</v>
      </c>
      <c r="CZ38" s="97"/>
      <c r="DA38" s="97"/>
      <c r="DB38" s="98">
        <f t="shared" si="69"/>
        <v>1970457.8</v>
      </c>
      <c r="DC38" s="75">
        <f t="shared" si="70"/>
        <v>1970457.8</v>
      </c>
      <c r="DD38" s="97"/>
      <c r="DE38" s="97"/>
      <c r="DF38" s="98">
        <f t="shared" si="71"/>
        <v>1970457.8</v>
      </c>
      <c r="DG38" s="75">
        <f t="shared" si="72"/>
        <v>1970457.8</v>
      </c>
      <c r="DH38" s="78" t="str">
        <f>Calcs!F43</f>
        <v>Electronic Equipment, Instruments &amp; Components</v>
      </c>
      <c r="DI38" s="99">
        <f t="shared" ca="1" si="73"/>
        <v>0</v>
      </c>
      <c r="DJ38" s="98">
        <f t="shared" ca="1" si="74"/>
        <v>1970457.8</v>
      </c>
      <c r="DK38" s="293">
        <f t="shared" si="75"/>
        <v>19</v>
      </c>
      <c r="DL38" s="532" t="s">
        <v>187</v>
      </c>
      <c r="DM38" s="36"/>
      <c r="DN38" s="36"/>
      <c r="DO38" s="36"/>
      <c r="DP38" s="36"/>
      <c r="DQ38" s="413" cm="1">
        <f t="array" ref="DQ38">+SUMPRODUCT((DL38=$DH$12:$DH$307)*($DG$12:$DG$307))/$N$6</f>
        <v>0</v>
      </c>
      <c r="DR38" s="414">
        <f t="shared" si="76"/>
        <v>19</v>
      </c>
      <c r="DS38" s="413" cm="1">
        <f t="array" aca="1" ref="DS38" ca="1">+SUMPRODUCT((DL38=$DH$12:$DH$307)*($DJ$12:$DJ$307))/$N$6</f>
        <v>0</v>
      </c>
      <c r="DT38" s="417">
        <f t="shared" ca="1" si="80"/>
        <v>19</v>
      </c>
      <c r="DU38" s="415">
        <f t="shared" si="77"/>
        <v>0.1</v>
      </c>
      <c r="DV38" s="416">
        <f t="shared" si="81"/>
        <v>0.1</v>
      </c>
      <c r="DW38" s="180"/>
    </row>
    <row r="39" spans="6:127" s="2" customFormat="1">
      <c r="F39" s="2">
        <f t="shared" ca="1" si="79"/>
        <v>51</v>
      </c>
      <c r="G39" s="40" t="str">
        <f>Calcs!A44</f>
        <v>Lash OpCo, LLC</v>
      </c>
      <c r="H39" s="68">
        <f t="shared" ca="1" si="8"/>
        <v>1684995.885</v>
      </c>
      <c r="I39" s="96"/>
      <c r="J39" s="96"/>
      <c r="K39" s="63">
        <f>+IF(G39="","",IF(COUNTIF(G40:$G$307,G39)=0,1,0))</f>
        <v>1</v>
      </c>
      <c r="L39" s="75">
        <f>Calcs!U44</f>
        <v>1684995.885</v>
      </c>
      <c r="M39">
        <f t="shared" si="2"/>
        <v>51</v>
      </c>
      <c r="N39" s="75">
        <f t="shared" si="9"/>
        <v>1684995.885</v>
      </c>
      <c r="O39" s="75">
        <f t="shared" si="3"/>
        <v>1684995.885</v>
      </c>
      <c r="P39" s="72">
        <f t="shared" si="10"/>
        <v>0.05</v>
      </c>
      <c r="Q39" s="72">
        <f t="shared" si="11"/>
        <v>2.8057729178395645E-3</v>
      </c>
      <c r="R39" s="61">
        <f t="shared" si="12"/>
        <v>0</v>
      </c>
      <c r="S39" s="68">
        <f t="shared" si="13"/>
        <v>1684995.885</v>
      </c>
      <c r="T39" s="68">
        <f t="shared" si="4"/>
        <v>1684995.885</v>
      </c>
      <c r="U39">
        <f t="array" aca="1" ref="U39" ca="1">SUM(1*(S39&lt;$S$12:$S$307))+1+IF(ROW(S39)-ROW($S$12)=0,0,SUM(1*(S39=OFFSET($S$12,0,0,INDEX(ROW(S39)-ROW($S$12)+1,1)-1,1))))</f>
        <v>51</v>
      </c>
      <c r="V39" s="96">
        <f t="shared" si="14"/>
        <v>1684995.885</v>
      </c>
      <c r="W39" s="75">
        <f>Calcs!U44</f>
        <v>1684995.885</v>
      </c>
      <c r="X39" s="78">
        <f>IFERROR(OR(Calcs!BH43,Calcs!BI43)*W39,0)</f>
        <v>0</v>
      </c>
      <c r="Y39" s="97">
        <f t="shared" si="15"/>
        <v>0</v>
      </c>
      <c r="Z39" s="98">
        <f t="shared" si="16"/>
        <v>1684995.885</v>
      </c>
      <c r="AA39" s="77">
        <f t="shared" si="17"/>
        <v>1684995.885</v>
      </c>
      <c r="AB39" s="78">
        <f>IF(AND(Calcs!BM44=TRUE),AA39,0)</f>
        <v>0</v>
      </c>
      <c r="AC39" s="97">
        <f t="shared" si="18"/>
        <v>0</v>
      </c>
      <c r="AD39" s="98">
        <f t="shared" si="19"/>
        <v>1684995.885</v>
      </c>
      <c r="AE39" s="77">
        <f t="shared" si="20"/>
        <v>1684995.885</v>
      </c>
      <c r="AF39" s="78">
        <f>IF(Calcs!BY44&lt;15,AE39,0)</f>
        <v>0</v>
      </c>
      <c r="AG39" s="97">
        <f t="shared" si="21"/>
        <v>0</v>
      </c>
      <c r="AH39" s="98">
        <f t="shared" si="22"/>
        <v>1684995.885</v>
      </c>
      <c r="AI39" s="77">
        <f t="shared" si="23"/>
        <v>1684995.885</v>
      </c>
      <c r="AJ39" s="78">
        <f>IF(Calcs!BY44&lt;10,AE39,0)</f>
        <v>0</v>
      </c>
      <c r="AK39" s="97">
        <f t="shared" si="24"/>
        <v>0</v>
      </c>
      <c r="AL39" s="98">
        <f t="shared" si="25"/>
        <v>1684995.885</v>
      </c>
      <c r="AM39" s="77">
        <f t="shared" si="26"/>
        <v>1684995.885</v>
      </c>
      <c r="AN39" s="78">
        <f>NOT(Calcs!BD44)*AM39</f>
        <v>0</v>
      </c>
      <c r="AO39" s="97">
        <f t="shared" si="27"/>
        <v>0</v>
      </c>
      <c r="AP39" s="98">
        <f t="shared" si="28"/>
        <v>1684995.885</v>
      </c>
      <c r="AQ39" s="77">
        <f t="shared" si="29"/>
        <v>1684995.885</v>
      </c>
      <c r="AR39" s="78">
        <f>NOT(Calcs!BE44)*AQ39</f>
        <v>0</v>
      </c>
      <c r="AS39" s="97">
        <f t="shared" si="30"/>
        <v>0</v>
      </c>
      <c r="AT39" s="98">
        <f t="shared" si="31"/>
        <v>1684995.885</v>
      </c>
      <c r="AU39" s="77">
        <f t="shared" si="32"/>
        <v>1684995.885</v>
      </c>
      <c r="AV39" s="97">
        <f>IF(Calcs!BC44=TRUE, AU39, 0)</f>
        <v>1684995.885</v>
      </c>
      <c r="AW39" s="97">
        <f t="shared" si="33"/>
        <v>0</v>
      </c>
      <c r="AX39" s="98">
        <f t="shared" si="34"/>
        <v>1684995.885</v>
      </c>
      <c r="AY39" s="77">
        <f t="shared" si="35"/>
        <v>1684995.885</v>
      </c>
      <c r="AZ39" s="97">
        <f>Calcs!BK44*AY39</f>
        <v>0</v>
      </c>
      <c r="BA39" s="97">
        <f t="shared" si="36"/>
        <v>0</v>
      </c>
      <c r="BB39" s="98">
        <f t="shared" si="37"/>
        <v>1684995.885</v>
      </c>
      <c r="BC39" s="77">
        <f t="shared" si="38"/>
        <v>1684995.885</v>
      </c>
      <c r="BD39" s="97"/>
      <c r="BE39" s="97"/>
      <c r="BF39" s="98"/>
      <c r="BG39" s="77">
        <f t="shared" si="39"/>
        <v>1684995.885</v>
      </c>
      <c r="BH39" s="97">
        <f>IF(Calcs!BJ44=FALSE,0,BG39)</f>
        <v>0</v>
      </c>
      <c r="BI39" s="97">
        <f t="shared" si="40"/>
        <v>0</v>
      </c>
      <c r="BJ39" s="98">
        <f t="shared" si="41"/>
        <v>1684995.885</v>
      </c>
      <c r="BK39" s="77">
        <f t="shared" si="42"/>
        <v>1684995.885</v>
      </c>
      <c r="BL39" s="97">
        <f>IF(Calcs!AW44=TRUE,BK39,0)</f>
        <v>0</v>
      </c>
      <c r="BM39" s="97">
        <f t="shared" si="43"/>
        <v>0</v>
      </c>
      <c r="BN39" s="98">
        <f t="shared" si="44"/>
        <v>1684995.885</v>
      </c>
      <c r="BO39" s="77">
        <f t="shared" si="45"/>
        <v>1684995.885</v>
      </c>
      <c r="BP39" s="97"/>
      <c r="BQ39" s="97">
        <f t="shared" si="46"/>
        <v>0</v>
      </c>
      <c r="BR39" s="98">
        <f t="shared" si="47"/>
        <v>1684995.885</v>
      </c>
      <c r="BS39" s="77">
        <f t="shared" si="48"/>
        <v>1684995.885</v>
      </c>
      <c r="BT39" s="97">
        <f>IF(Calcs!BB44=TRUE,'Concentration Limitations'!BS39,0)</f>
        <v>0</v>
      </c>
      <c r="BU39" s="97">
        <f t="shared" si="49"/>
        <v>0</v>
      </c>
      <c r="BV39" s="98">
        <f t="shared" si="50"/>
        <v>1684995.885</v>
      </c>
      <c r="BW39" s="77">
        <f t="shared" si="51"/>
        <v>1684995.885</v>
      </c>
      <c r="BX39" s="97">
        <f>IF(Calcs!BI44=TRUE,'Concentration Limitations'!BW39,0)</f>
        <v>0</v>
      </c>
      <c r="BY39" s="97">
        <f t="shared" si="52"/>
        <v>0</v>
      </c>
      <c r="BZ39" s="98">
        <f t="shared" si="53"/>
        <v>1684995.885</v>
      </c>
      <c r="CA39" s="97">
        <f t="shared" si="54"/>
        <v>1684995.885</v>
      </c>
      <c r="CB39" s="97"/>
      <c r="CC39" s="97"/>
      <c r="CD39" s="98">
        <f t="shared" si="55"/>
        <v>1684995.885</v>
      </c>
      <c r="CE39" s="97">
        <f t="shared" si="56"/>
        <v>1684995.885</v>
      </c>
      <c r="CF39" s="97"/>
      <c r="CG39" s="97"/>
      <c r="CH39" s="98">
        <f t="shared" si="57"/>
        <v>1684995.885</v>
      </c>
      <c r="CI39" s="97">
        <f t="shared" si="58"/>
        <v>1684995.885</v>
      </c>
      <c r="CJ39" s="97"/>
      <c r="CK39" s="97"/>
      <c r="CL39" s="98">
        <f t="shared" si="59"/>
        <v>1684995.885</v>
      </c>
      <c r="CM39" s="97">
        <f t="shared" si="60"/>
        <v>1684995.885</v>
      </c>
      <c r="CN39" s="97"/>
      <c r="CO39" s="97"/>
      <c r="CP39" s="98">
        <f t="shared" si="61"/>
        <v>1684995.885</v>
      </c>
      <c r="CQ39" s="97">
        <f t="shared" si="62"/>
        <v>1684995.885</v>
      </c>
      <c r="CR39" s="97"/>
      <c r="CS39" s="97">
        <f t="shared" si="63"/>
        <v>0</v>
      </c>
      <c r="CT39" s="98">
        <f t="shared" si="64"/>
        <v>1684995.885</v>
      </c>
      <c r="CU39" s="97">
        <f t="shared" si="65"/>
        <v>1684995.885</v>
      </c>
      <c r="CV39" s="97"/>
      <c r="CW39" s="97">
        <f t="shared" si="66"/>
        <v>0</v>
      </c>
      <c r="CX39" s="98">
        <f t="shared" si="67"/>
        <v>1684995.885</v>
      </c>
      <c r="CY39" s="97">
        <f t="shared" si="68"/>
        <v>1684995.885</v>
      </c>
      <c r="CZ39" s="97"/>
      <c r="DA39" s="97"/>
      <c r="DB39" s="98">
        <f t="shared" si="69"/>
        <v>1684995.885</v>
      </c>
      <c r="DC39" s="75">
        <f t="shared" si="70"/>
        <v>1684995.885</v>
      </c>
      <c r="DD39" s="97"/>
      <c r="DE39" s="97"/>
      <c r="DF39" s="98">
        <f t="shared" si="71"/>
        <v>1684995.885</v>
      </c>
      <c r="DG39" s="75">
        <f t="shared" si="72"/>
        <v>1684995.885</v>
      </c>
      <c r="DH39" s="78" t="str">
        <f>Calcs!F44</f>
        <v>Personal Products</v>
      </c>
      <c r="DI39" s="99">
        <f t="shared" ca="1" si="73"/>
        <v>0</v>
      </c>
      <c r="DJ39" s="98">
        <f t="shared" ca="1" si="74"/>
        <v>1684995.885</v>
      </c>
      <c r="DK39" s="293">
        <f t="shared" si="75"/>
        <v>19</v>
      </c>
      <c r="DL39" s="532" t="s">
        <v>324</v>
      </c>
      <c r="DM39" s="36"/>
      <c r="DN39" s="36"/>
      <c r="DO39" s="36"/>
      <c r="DP39" s="36"/>
      <c r="DQ39" s="413" cm="1">
        <f t="array" ref="DQ39">+SUMPRODUCT((DL39=$DH$12:$DH$307)*($DG$12:$DG$307))/$N$6</f>
        <v>0</v>
      </c>
      <c r="DR39" s="414">
        <f t="shared" si="76"/>
        <v>19</v>
      </c>
      <c r="DS39" s="413" cm="1">
        <f t="array" aca="1" ref="DS39" ca="1">+SUMPRODUCT((DL39=$DH$12:$DH$307)*($DJ$12:$DJ$307))/$N$6</f>
        <v>0</v>
      </c>
      <c r="DT39" s="417">
        <f t="shared" ca="1" si="80"/>
        <v>19</v>
      </c>
      <c r="DU39" s="415">
        <f t="shared" si="77"/>
        <v>0.1</v>
      </c>
      <c r="DV39" s="416">
        <f t="shared" si="81"/>
        <v>0.1</v>
      </c>
      <c r="DW39" s="180"/>
    </row>
    <row r="40" spans="6:127" s="2" customFormat="1">
      <c r="F40" s="2">
        <f t="shared" ca="1" si="79"/>
        <v>30</v>
      </c>
      <c r="G40" s="40" t="str">
        <f>Calcs!A45</f>
        <v>MDI Buyer Inc.</v>
      </c>
      <c r="H40" s="68">
        <f t="shared" ca="1" si="8"/>
        <v>4779960.4400000004</v>
      </c>
      <c r="I40" s="96"/>
      <c r="J40" s="96"/>
      <c r="K40" s="63">
        <f>+IF(G40="","",IF(COUNTIF(G41:$G$307,G40)=0,1,0))</f>
        <v>1</v>
      </c>
      <c r="L40" s="75">
        <f>Calcs!U45</f>
        <v>4779960.4400000004</v>
      </c>
      <c r="M40">
        <f t="shared" si="2"/>
        <v>30</v>
      </c>
      <c r="N40" s="75">
        <f t="shared" si="9"/>
        <v>4779960.4400000004</v>
      </c>
      <c r="O40" s="75">
        <f t="shared" si="3"/>
        <v>4779960.4400000004</v>
      </c>
      <c r="P40" s="72">
        <f t="shared" si="10"/>
        <v>0.05</v>
      </c>
      <c r="Q40" s="72">
        <f t="shared" si="11"/>
        <v>7.9593568567655534E-3</v>
      </c>
      <c r="R40" s="61">
        <f t="shared" si="12"/>
        <v>0</v>
      </c>
      <c r="S40" s="68">
        <f t="shared" si="13"/>
        <v>4779960.4400000004</v>
      </c>
      <c r="T40" s="68">
        <f t="shared" si="4"/>
        <v>4779960.4400000004</v>
      </c>
      <c r="U40">
        <f t="array" aca="1" ref="U40" ca="1">SUM(1*(S40&lt;$S$12:$S$307))+1+IF(ROW(S40)-ROW($S$12)=0,0,SUM(1*(S40=OFFSET($S$12,0,0,INDEX(ROW(S40)-ROW($S$12)+1,1)-1,1))))</f>
        <v>30</v>
      </c>
      <c r="V40" s="96">
        <f t="shared" si="14"/>
        <v>4779960.4400000004</v>
      </c>
      <c r="W40" s="75">
        <f>Calcs!U45</f>
        <v>4779960.4400000004</v>
      </c>
      <c r="X40" s="78">
        <f>IFERROR(OR(Calcs!BH44,Calcs!BI44)*W40,0)</f>
        <v>0</v>
      </c>
      <c r="Y40" s="97">
        <f t="shared" si="15"/>
        <v>0</v>
      </c>
      <c r="Z40" s="98">
        <f t="shared" si="16"/>
        <v>4779960.4400000004</v>
      </c>
      <c r="AA40" s="77">
        <f t="shared" si="17"/>
        <v>4779960.4400000004</v>
      </c>
      <c r="AB40" s="78">
        <f>IF(AND(Calcs!BM45=TRUE),AA40,0)</f>
        <v>0</v>
      </c>
      <c r="AC40" s="97">
        <f t="shared" si="18"/>
        <v>0</v>
      </c>
      <c r="AD40" s="98">
        <f t="shared" si="19"/>
        <v>4779960.4400000004</v>
      </c>
      <c r="AE40" s="77">
        <f t="shared" si="20"/>
        <v>4779960.4400000004</v>
      </c>
      <c r="AF40" s="78">
        <f>IF(Calcs!BY45&lt;15,AE40,0)</f>
        <v>0</v>
      </c>
      <c r="AG40" s="97">
        <f t="shared" si="21"/>
        <v>0</v>
      </c>
      <c r="AH40" s="98">
        <f t="shared" si="22"/>
        <v>4779960.4400000004</v>
      </c>
      <c r="AI40" s="77">
        <f t="shared" si="23"/>
        <v>4779960.4400000004</v>
      </c>
      <c r="AJ40" s="78">
        <f>IF(Calcs!BY45&lt;10,AE40,0)</f>
        <v>0</v>
      </c>
      <c r="AK40" s="97">
        <f t="shared" si="24"/>
        <v>0</v>
      </c>
      <c r="AL40" s="98">
        <f t="shared" si="25"/>
        <v>4779960.4400000004</v>
      </c>
      <c r="AM40" s="77">
        <f t="shared" si="26"/>
        <v>4779960.4400000004</v>
      </c>
      <c r="AN40" s="78">
        <f>NOT(Calcs!BD45)*AM40</f>
        <v>0</v>
      </c>
      <c r="AO40" s="97">
        <f t="shared" si="27"/>
        <v>0</v>
      </c>
      <c r="AP40" s="98">
        <f t="shared" si="28"/>
        <v>4779960.4400000004</v>
      </c>
      <c r="AQ40" s="77">
        <f t="shared" si="29"/>
        <v>4779960.4400000004</v>
      </c>
      <c r="AR40" s="78">
        <f>NOT(Calcs!BE45)*AQ40</f>
        <v>0</v>
      </c>
      <c r="AS40" s="97">
        <f t="shared" si="30"/>
        <v>0</v>
      </c>
      <c r="AT40" s="98">
        <f t="shared" si="31"/>
        <v>4779960.4400000004</v>
      </c>
      <c r="AU40" s="77">
        <f t="shared" si="32"/>
        <v>4779960.4400000004</v>
      </c>
      <c r="AV40" s="97">
        <f>IF(Calcs!BC45=TRUE, AU40, 0)</f>
        <v>0</v>
      </c>
      <c r="AW40" s="97">
        <f t="shared" si="33"/>
        <v>0</v>
      </c>
      <c r="AX40" s="98">
        <f t="shared" si="34"/>
        <v>4779960.4400000004</v>
      </c>
      <c r="AY40" s="77">
        <f t="shared" si="35"/>
        <v>4779960.4400000004</v>
      </c>
      <c r="AZ40" s="97">
        <f>Calcs!BK45*AY40</f>
        <v>0</v>
      </c>
      <c r="BA40" s="97">
        <f t="shared" si="36"/>
        <v>0</v>
      </c>
      <c r="BB40" s="98">
        <f t="shared" si="37"/>
        <v>4779960.4400000004</v>
      </c>
      <c r="BC40" s="77">
        <f t="shared" si="38"/>
        <v>4779960.4400000004</v>
      </c>
      <c r="BD40" s="97"/>
      <c r="BE40" s="97"/>
      <c r="BF40" s="98"/>
      <c r="BG40" s="77">
        <f t="shared" si="39"/>
        <v>4779960.4400000004</v>
      </c>
      <c r="BH40" s="97">
        <f>IF(Calcs!BJ45=FALSE,0,BG40)</f>
        <v>0</v>
      </c>
      <c r="BI40" s="97">
        <f t="shared" si="40"/>
        <v>0</v>
      </c>
      <c r="BJ40" s="98">
        <f t="shared" si="41"/>
        <v>4779960.4400000004</v>
      </c>
      <c r="BK40" s="77">
        <f t="shared" si="42"/>
        <v>4779960.4400000004</v>
      </c>
      <c r="BL40" s="97">
        <f>IF(Calcs!AW45=TRUE,BK40,0)</f>
        <v>0</v>
      </c>
      <c r="BM40" s="97">
        <f t="shared" si="43"/>
        <v>0</v>
      </c>
      <c r="BN40" s="98">
        <f t="shared" si="44"/>
        <v>4779960.4400000004</v>
      </c>
      <c r="BO40" s="77">
        <f t="shared" si="45"/>
        <v>4779960.4400000004</v>
      </c>
      <c r="BP40" s="97"/>
      <c r="BQ40" s="97">
        <f t="shared" si="46"/>
        <v>0</v>
      </c>
      <c r="BR40" s="98">
        <f t="shared" si="47"/>
        <v>4779960.4400000004</v>
      </c>
      <c r="BS40" s="77">
        <f t="shared" si="48"/>
        <v>4779960.4400000004</v>
      </c>
      <c r="BT40" s="97">
        <f>IF(Calcs!BB45=TRUE,'Concentration Limitations'!BS40,0)</f>
        <v>0</v>
      </c>
      <c r="BU40" s="97">
        <f t="shared" si="49"/>
        <v>0</v>
      </c>
      <c r="BV40" s="98">
        <f t="shared" si="50"/>
        <v>4779960.4400000004</v>
      </c>
      <c r="BW40" s="77">
        <f t="shared" si="51"/>
        <v>4779960.4400000004</v>
      </c>
      <c r="BX40" s="97">
        <f>IF(Calcs!BI45=TRUE,'Concentration Limitations'!BW40,0)</f>
        <v>0</v>
      </c>
      <c r="BY40" s="97">
        <f t="shared" si="52"/>
        <v>0</v>
      </c>
      <c r="BZ40" s="98">
        <f t="shared" si="53"/>
        <v>4779960.4400000004</v>
      </c>
      <c r="CA40" s="97">
        <f t="shared" si="54"/>
        <v>4779960.4400000004</v>
      </c>
      <c r="CB40" s="97"/>
      <c r="CC40" s="97"/>
      <c r="CD40" s="98">
        <f t="shared" si="55"/>
        <v>4779960.4400000004</v>
      </c>
      <c r="CE40" s="97">
        <f t="shared" si="56"/>
        <v>4779960.4400000004</v>
      </c>
      <c r="CF40" s="97"/>
      <c r="CG40" s="97"/>
      <c r="CH40" s="98">
        <f t="shared" si="57"/>
        <v>4779960.4400000004</v>
      </c>
      <c r="CI40" s="97">
        <f t="shared" si="58"/>
        <v>4779960.4400000004</v>
      </c>
      <c r="CJ40" s="97"/>
      <c r="CK40" s="97"/>
      <c r="CL40" s="98">
        <f t="shared" si="59"/>
        <v>4779960.4400000004</v>
      </c>
      <c r="CM40" s="97">
        <f t="shared" si="60"/>
        <v>4779960.4400000004</v>
      </c>
      <c r="CN40" s="97"/>
      <c r="CO40" s="97"/>
      <c r="CP40" s="98">
        <f t="shared" si="61"/>
        <v>4779960.4400000004</v>
      </c>
      <c r="CQ40" s="97">
        <f t="shared" si="62"/>
        <v>4779960.4400000004</v>
      </c>
      <c r="CR40" s="97"/>
      <c r="CS40" s="97">
        <f t="shared" si="63"/>
        <v>0</v>
      </c>
      <c r="CT40" s="98">
        <f t="shared" si="64"/>
        <v>4779960.4400000004</v>
      </c>
      <c r="CU40" s="97">
        <f t="shared" si="65"/>
        <v>4779960.4400000004</v>
      </c>
      <c r="CV40" s="97"/>
      <c r="CW40" s="97">
        <f t="shared" si="66"/>
        <v>0</v>
      </c>
      <c r="CX40" s="98">
        <f t="shared" si="67"/>
        <v>4779960.4400000004</v>
      </c>
      <c r="CY40" s="97">
        <f t="shared" si="68"/>
        <v>4779960.4400000004</v>
      </c>
      <c r="CZ40" s="97"/>
      <c r="DA40" s="97"/>
      <c r="DB40" s="98">
        <f t="shared" si="69"/>
        <v>4779960.4400000004</v>
      </c>
      <c r="DC40" s="75">
        <f t="shared" si="70"/>
        <v>4779960.4400000004</v>
      </c>
      <c r="DD40" s="97"/>
      <c r="DE40" s="97"/>
      <c r="DF40" s="98">
        <f t="shared" si="71"/>
        <v>4779960.4400000004</v>
      </c>
      <c r="DG40" s="75">
        <f t="shared" si="72"/>
        <v>4779960.4400000004</v>
      </c>
      <c r="DH40" s="78" t="str">
        <f>Calcs!F45</f>
        <v>Chemicals</v>
      </c>
      <c r="DI40" s="99">
        <f t="shared" ca="1" si="73"/>
        <v>0</v>
      </c>
      <c r="DJ40" s="98">
        <f t="shared" ca="1" si="74"/>
        <v>4779960.4400000004</v>
      </c>
      <c r="DK40" s="293">
        <f t="shared" si="75"/>
        <v>19</v>
      </c>
      <c r="DL40" s="532" t="s">
        <v>188</v>
      </c>
      <c r="DM40" s="36"/>
      <c r="DN40" s="36"/>
      <c r="DO40" s="36"/>
      <c r="DP40" s="36"/>
      <c r="DQ40" s="413" cm="1">
        <f t="array" ref="DQ40">+SUMPRODUCT((DL40=$DH$12:$DH$307)*($DG$12:$DG$307))/$N$6</f>
        <v>0</v>
      </c>
      <c r="DR40" s="414">
        <f t="shared" si="76"/>
        <v>19</v>
      </c>
      <c r="DS40" s="413" cm="1">
        <f t="array" aca="1" ref="DS40" ca="1">+SUMPRODUCT((DL40=$DH$12:$DH$307)*($DJ$12:$DJ$307))/$N$6</f>
        <v>0</v>
      </c>
      <c r="DT40" s="417">
        <f t="shared" ca="1" si="80"/>
        <v>19</v>
      </c>
      <c r="DU40" s="415">
        <f t="shared" si="77"/>
        <v>0.1</v>
      </c>
      <c r="DV40" s="416">
        <f t="shared" si="81"/>
        <v>0.1</v>
      </c>
      <c r="DW40" s="180"/>
    </row>
    <row r="41" spans="6:127" s="2" customFormat="1">
      <c r="F41" s="2">
        <f t="shared" ca="1" si="79"/>
        <v>32</v>
      </c>
      <c r="G41" s="40" t="str">
        <f>Calcs!A46</f>
        <v>Megawatt Acquisitionco, Inc.</v>
      </c>
      <c r="H41" s="68">
        <f t="shared" ca="1" si="8"/>
        <v>4437067.6800000006</v>
      </c>
      <c r="I41" s="96"/>
      <c r="J41" s="96"/>
      <c r="K41" s="63">
        <f>+IF(G41="","",IF(COUNTIF(G42:$G$307,G41)=0,1,0))</f>
        <v>1</v>
      </c>
      <c r="L41" s="75">
        <f>Calcs!U46</f>
        <v>4437067.6800000006</v>
      </c>
      <c r="M41">
        <f t="shared" si="2"/>
        <v>32</v>
      </c>
      <c r="N41" s="75">
        <f t="shared" si="9"/>
        <v>4437067.6800000006</v>
      </c>
      <c r="O41" s="75">
        <f t="shared" si="3"/>
        <v>4437067.6800000006</v>
      </c>
      <c r="P41" s="72">
        <f t="shared" si="10"/>
        <v>0.05</v>
      </c>
      <c r="Q41" s="72">
        <f t="shared" si="11"/>
        <v>7.3883885664001074E-3</v>
      </c>
      <c r="R41" s="61">
        <f t="shared" si="12"/>
        <v>0</v>
      </c>
      <c r="S41" s="68">
        <f t="shared" si="13"/>
        <v>4437067.6800000006</v>
      </c>
      <c r="T41" s="68">
        <f t="shared" si="4"/>
        <v>4437067.6800000006</v>
      </c>
      <c r="U41">
        <f t="array" aca="1" ref="U41" ca="1">SUM(1*(S41&lt;$S$12:$S$307))+1+IF(ROW(S41)-ROW($S$12)=0,0,SUM(1*(S41=OFFSET($S$12,0,0,INDEX(ROW(S41)-ROW($S$12)+1,1)-1,1))))</f>
        <v>32</v>
      </c>
      <c r="V41" s="96">
        <f t="shared" si="14"/>
        <v>4437067.6800000006</v>
      </c>
      <c r="W41" s="75">
        <f>Calcs!U46</f>
        <v>4437067.6800000006</v>
      </c>
      <c r="X41" s="78">
        <f>IFERROR(OR(Calcs!BH45,Calcs!BI45)*W41,0)</f>
        <v>0</v>
      </c>
      <c r="Y41" s="97">
        <f t="shared" si="15"/>
        <v>0</v>
      </c>
      <c r="Z41" s="98">
        <f t="shared" si="16"/>
        <v>4437067.6800000006</v>
      </c>
      <c r="AA41" s="77">
        <f t="shared" si="17"/>
        <v>4437067.6800000006</v>
      </c>
      <c r="AB41" s="78">
        <f>IF(AND(Calcs!BM46=TRUE),AA41,0)</f>
        <v>0</v>
      </c>
      <c r="AC41" s="97">
        <f t="shared" si="18"/>
        <v>0</v>
      </c>
      <c r="AD41" s="98">
        <f t="shared" si="19"/>
        <v>4437067.6800000006</v>
      </c>
      <c r="AE41" s="77">
        <f t="shared" si="20"/>
        <v>4437067.6800000006</v>
      </c>
      <c r="AF41" s="78">
        <f>IF(Calcs!BY46&lt;15,AE41,0)</f>
        <v>0</v>
      </c>
      <c r="AG41" s="97">
        <f t="shared" si="21"/>
        <v>0</v>
      </c>
      <c r="AH41" s="98">
        <f t="shared" si="22"/>
        <v>4437067.6800000006</v>
      </c>
      <c r="AI41" s="77">
        <f t="shared" si="23"/>
        <v>4437067.6800000006</v>
      </c>
      <c r="AJ41" s="78">
        <f>IF(Calcs!BY46&lt;10,AE41,0)</f>
        <v>0</v>
      </c>
      <c r="AK41" s="97">
        <f t="shared" si="24"/>
        <v>0</v>
      </c>
      <c r="AL41" s="98">
        <f t="shared" si="25"/>
        <v>4437067.6800000006</v>
      </c>
      <c r="AM41" s="77">
        <f t="shared" si="26"/>
        <v>4437067.6800000006</v>
      </c>
      <c r="AN41" s="78">
        <f>NOT(Calcs!BD46)*AM41</f>
        <v>0</v>
      </c>
      <c r="AO41" s="97">
        <f t="shared" si="27"/>
        <v>0</v>
      </c>
      <c r="AP41" s="98">
        <f t="shared" si="28"/>
        <v>4437067.6800000006</v>
      </c>
      <c r="AQ41" s="77">
        <f t="shared" si="29"/>
        <v>4437067.6800000006</v>
      </c>
      <c r="AR41" s="78">
        <f>NOT(Calcs!BE46)*AQ41</f>
        <v>0</v>
      </c>
      <c r="AS41" s="97">
        <f t="shared" si="30"/>
        <v>0</v>
      </c>
      <c r="AT41" s="98">
        <f t="shared" si="31"/>
        <v>4437067.6800000006</v>
      </c>
      <c r="AU41" s="77">
        <f t="shared" si="32"/>
        <v>4437067.6800000006</v>
      </c>
      <c r="AV41" s="97">
        <f>IF(Calcs!BC46=TRUE, AU41, 0)</f>
        <v>4437067.6800000006</v>
      </c>
      <c r="AW41" s="97">
        <f t="shared" si="33"/>
        <v>0</v>
      </c>
      <c r="AX41" s="98">
        <f t="shared" si="34"/>
        <v>4437067.6800000006</v>
      </c>
      <c r="AY41" s="77">
        <f t="shared" si="35"/>
        <v>4437067.6800000006</v>
      </c>
      <c r="AZ41" s="97">
        <f>Calcs!BK46*AY41</f>
        <v>0</v>
      </c>
      <c r="BA41" s="97">
        <f t="shared" si="36"/>
        <v>0</v>
      </c>
      <c r="BB41" s="98">
        <f t="shared" si="37"/>
        <v>4437067.6800000006</v>
      </c>
      <c r="BC41" s="77">
        <f t="shared" si="38"/>
        <v>4437067.6800000006</v>
      </c>
      <c r="BD41" s="97"/>
      <c r="BE41" s="97"/>
      <c r="BF41" s="98"/>
      <c r="BG41" s="77">
        <f t="shared" si="39"/>
        <v>4437067.6800000006</v>
      </c>
      <c r="BH41" s="97">
        <f>IF(Calcs!BJ46=FALSE,0,BG41)</f>
        <v>0</v>
      </c>
      <c r="BI41" s="97">
        <f t="shared" si="40"/>
        <v>0</v>
      </c>
      <c r="BJ41" s="98">
        <f t="shared" si="41"/>
        <v>4437067.6800000006</v>
      </c>
      <c r="BK41" s="77">
        <f t="shared" si="42"/>
        <v>4437067.6800000006</v>
      </c>
      <c r="BL41" s="97">
        <f>IF(Calcs!AW46=TRUE,BK41,0)</f>
        <v>0</v>
      </c>
      <c r="BM41" s="97">
        <f t="shared" si="43"/>
        <v>0</v>
      </c>
      <c r="BN41" s="98">
        <f t="shared" si="44"/>
        <v>4437067.6800000006</v>
      </c>
      <c r="BO41" s="77">
        <f t="shared" si="45"/>
        <v>4437067.6800000006</v>
      </c>
      <c r="BP41" s="97"/>
      <c r="BQ41" s="97">
        <f t="shared" si="46"/>
        <v>0</v>
      </c>
      <c r="BR41" s="98">
        <f t="shared" si="47"/>
        <v>4437067.6800000006</v>
      </c>
      <c r="BS41" s="77">
        <f t="shared" si="48"/>
        <v>4437067.6800000006</v>
      </c>
      <c r="BT41" s="97">
        <f>IF(Calcs!BB46=TRUE,'Concentration Limitations'!BS41,0)</f>
        <v>0</v>
      </c>
      <c r="BU41" s="97">
        <f t="shared" si="49"/>
        <v>0</v>
      </c>
      <c r="BV41" s="98">
        <f t="shared" si="50"/>
        <v>4437067.6800000006</v>
      </c>
      <c r="BW41" s="77">
        <f t="shared" si="51"/>
        <v>4437067.6800000006</v>
      </c>
      <c r="BX41" s="97">
        <f>IF(Calcs!BI46=TRUE,'Concentration Limitations'!BW41,0)</f>
        <v>0</v>
      </c>
      <c r="BY41" s="97">
        <f t="shared" si="52"/>
        <v>0</v>
      </c>
      <c r="BZ41" s="98">
        <f t="shared" si="53"/>
        <v>4437067.6800000006</v>
      </c>
      <c r="CA41" s="97">
        <f t="shared" si="54"/>
        <v>4437067.6800000006</v>
      </c>
      <c r="CB41" s="97"/>
      <c r="CC41" s="97"/>
      <c r="CD41" s="98">
        <f t="shared" si="55"/>
        <v>4437067.6800000006</v>
      </c>
      <c r="CE41" s="97">
        <f t="shared" si="56"/>
        <v>4437067.6800000006</v>
      </c>
      <c r="CF41" s="97"/>
      <c r="CG41" s="97"/>
      <c r="CH41" s="98">
        <f t="shared" si="57"/>
        <v>4437067.6800000006</v>
      </c>
      <c r="CI41" s="97">
        <f t="shared" si="58"/>
        <v>4437067.6800000006</v>
      </c>
      <c r="CJ41" s="97"/>
      <c r="CK41" s="97"/>
      <c r="CL41" s="98">
        <f t="shared" si="59"/>
        <v>4437067.6800000006</v>
      </c>
      <c r="CM41" s="97">
        <f t="shared" si="60"/>
        <v>4437067.6800000006</v>
      </c>
      <c r="CN41" s="97"/>
      <c r="CO41" s="97"/>
      <c r="CP41" s="98">
        <f t="shared" si="61"/>
        <v>4437067.6800000006</v>
      </c>
      <c r="CQ41" s="97">
        <f t="shared" si="62"/>
        <v>4437067.6800000006</v>
      </c>
      <c r="CR41" s="97"/>
      <c r="CS41" s="97">
        <f t="shared" si="63"/>
        <v>0</v>
      </c>
      <c r="CT41" s="98">
        <f t="shared" si="64"/>
        <v>4437067.6800000006</v>
      </c>
      <c r="CU41" s="97">
        <f t="shared" si="65"/>
        <v>4437067.6800000006</v>
      </c>
      <c r="CV41" s="97"/>
      <c r="CW41" s="97">
        <f t="shared" si="66"/>
        <v>0</v>
      </c>
      <c r="CX41" s="98">
        <f t="shared" si="67"/>
        <v>4437067.6800000006</v>
      </c>
      <c r="CY41" s="97">
        <f t="shared" si="68"/>
        <v>4437067.6800000006</v>
      </c>
      <c r="CZ41" s="97"/>
      <c r="DA41" s="97"/>
      <c r="DB41" s="98">
        <f t="shared" si="69"/>
        <v>4437067.6800000006</v>
      </c>
      <c r="DC41" s="75">
        <f t="shared" si="70"/>
        <v>4437067.6800000006</v>
      </c>
      <c r="DD41" s="97"/>
      <c r="DE41" s="97"/>
      <c r="DF41" s="98">
        <f t="shared" si="71"/>
        <v>4437067.6800000006</v>
      </c>
      <c r="DG41" s="75">
        <f t="shared" si="72"/>
        <v>4437067.6800000006</v>
      </c>
      <c r="DH41" s="78" t="str">
        <f>Calcs!F46</f>
        <v>Electronic Equipment, Instruments &amp; Components</v>
      </c>
      <c r="DI41" s="99">
        <f t="shared" ca="1" si="73"/>
        <v>0</v>
      </c>
      <c r="DJ41" s="98">
        <f t="shared" ca="1" si="74"/>
        <v>4437067.6800000006</v>
      </c>
      <c r="DK41" s="293">
        <f t="shared" si="75"/>
        <v>19</v>
      </c>
      <c r="DL41" s="532" t="s">
        <v>189</v>
      </c>
      <c r="DM41" s="36"/>
      <c r="DN41" s="36"/>
      <c r="DO41" s="36"/>
      <c r="DP41" s="36"/>
      <c r="DQ41" s="413" cm="1">
        <f t="array" ref="DQ41">+SUMPRODUCT((DL41=$DH$12:$DH$307)*($DG$12:$DG$307))/$N$6</f>
        <v>0</v>
      </c>
      <c r="DR41" s="414">
        <f t="shared" si="76"/>
        <v>19</v>
      </c>
      <c r="DS41" s="413" cm="1">
        <f t="array" aca="1" ref="DS41" ca="1">+SUMPRODUCT((DL41=$DH$12:$DH$307)*($DJ$12:$DJ$307))/$N$6</f>
        <v>0</v>
      </c>
      <c r="DT41" s="417">
        <f t="shared" ca="1" si="80"/>
        <v>19</v>
      </c>
      <c r="DU41" s="415">
        <f t="shared" si="77"/>
        <v>0.1</v>
      </c>
      <c r="DV41" s="416">
        <f t="shared" si="81"/>
        <v>0.1</v>
      </c>
      <c r="DW41" s="180"/>
    </row>
    <row r="42" spans="6:127" s="2" customFormat="1">
      <c r="F42" s="2">
        <f t="shared" ca="1" si="79"/>
        <v>64</v>
      </c>
      <c r="G42" s="40" t="str">
        <f>Calcs!A47</f>
        <v>Michael Baker International, LLC</v>
      </c>
      <c r="H42" s="68">
        <f t="shared" ca="1" si="8"/>
        <v>496253.14</v>
      </c>
      <c r="I42" s="96"/>
      <c r="J42" s="96"/>
      <c r="K42" s="63">
        <f>+IF(G42="","",IF(COUNTIF(G43:$G$307,G42)=0,1,0))</f>
        <v>1</v>
      </c>
      <c r="L42" s="75">
        <f>Calcs!U47</f>
        <v>496253.14</v>
      </c>
      <c r="M42">
        <f t="shared" si="2"/>
        <v>64</v>
      </c>
      <c r="N42" s="75">
        <f t="shared" si="9"/>
        <v>496253.14</v>
      </c>
      <c r="O42" s="75">
        <f t="shared" si="3"/>
        <v>496253.14</v>
      </c>
      <c r="P42" s="72">
        <f t="shared" si="10"/>
        <v>0.05</v>
      </c>
      <c r="Q42" s="72">
        <f t="shared" si="11"/>
        <v>8.2633651096711497E-4</v>
      </c>
      <c r="R42" s="61">
        <f t="shared" si="12"/>
        <v>0</v>
      </c>
      <c r="S42" s="68">
        <f t="shared" si="13"/>
        <v>496253.14</v>
      </c>
      <c r="T42" s="68">
        <f t="shared" si="4"/>
        <v>496253.14</v>
      </c>
      <c r="U42">
        <f t="array" aca="1" ref="U42" ca="1">SUM(1*(S42&lt;$S$12:$S$307))+1+IF(ROW(S42)-ROW($S$12)=0,0,SUM(1*(S42=OFFSET($S$12,0,0,INDEX(ROW(S42)-ROW($S$12)+1,1)-1,1))))</f>
        <v>64</v>
      </c>
      <c r="V42" s="96">
        <f t="shared" si="14"/>
        <v>496253.14</v>
      </c>
      <c r="W42" s="75">
        <f>Calcs!U47</f>
        <v>496253.14</v>
      </c>
      <c r="X42" s="78">
        <f>IFERROR(OR(Calcs!BH46,Calcs!BI46)*W42,0)</f>
        <v>0</v>
      </c>
      <c r="Y42" s="97">
        <f t="shared" si="15"/>
        <v>0</v>
      </c>
      <c r="Z42" s="98">
        <f t="shared" si="16"/>
        <v>496253.14</v>
      </c>
      <c r="AA42" s="77">
        <f t="shared" si="17"/>
        <v>496253.14</v>
      </c>
      <c r="AB42" s="78">
        <f>IF(AND(Calcs!BM47=TRUE),AA42,0)</f>
        <v>0</v>
      </c>
      <c r="AC42" s="97">
        <f t="shared" si="18"/>
        <v>0</v>
      </c>
      <c r="AD42" s="98">
        <f t="shared" si="19"/>
        <v>496253.14</v>
      </c>
      <c r="AE42" s="77">
        <f t="shared" si="20"/>
        <v>496253.14</v>
      </c>
      <c r="AF42" s="78">
        <f>IF(Calcs!BY47&lt;15,AE42,0)</f>
        <v>0</v>
      </c>
      <c r="AG42" s="97">
        <f t="shared" si="21"/>
        <v>0</v>
      </c>
      <c r="AH42" s="98">
        <f t="shared" si="22"/>
        <v>496253.14</v>
      </c>
      <c r="AI42" s="77">
        <f t="shared" si="23"/>
        <v>496253.14</v>
      </c>
      <c r="AJ42" s="78">
        <f>IF(Calcs!BY47&lt;10,AE42,0)</f>
        <v>0</v>
      </c>
      <c r="AK42" s="97">
        <f t="shared" si="24"/>
        <v>0</v>
      </c>
      <c r="AL42" s="98">
        <f t="shared" si="25"/>
        <v>496253.14</v>
      </c>
      <c r="AM42" s="77">
        <f t="shared" si="26"/>
        <v>496253.14</v>
      </c>
      <c r="AN42" s="78">
        <f>NOT(Calcs!BD47)*AM42</f>
        <v>0</v>
      </c>
      <c r="AO42" s="97">
        <f t="shared" si="27"/>
        <v>0</v>
      </c>
      <c r="AP42" s="98">
        <f t="shared" si="28"/>
        <v>496253.14</v>
      </c>
      <c r="AQ42" s="77">
        <f t="shared" si="29"/>
        <v>496253.14</v>
      </c>
      <c r="AR42" s="78">
        <f>NOT(Calcs!BE47)*AQ42</f>
        <v>0</v>
      </c>
      <c r="AS42" s="97">
        <f t="shared" si="30"/>
        <v>0</v>
      </c>
      <c r="AT42" s="98">
        <f t="shared" si="31"/>
        <v>496253.14</v>
      </c>
      <c r="AU42" s="77">
        <f t="shared" si="32"/>
        <v>496253.14</v>
      </c>
      <c r="AV42" s="97">
        <f>IF(Calcs!BC47=TRUE, AU42, 0)</f>
        <v>0</v>
      </c>
      <c r="AW42" s="97">
        <f t="shared" si="33"/>
        <v>0</v>
      </c>
      <c r="AX42" s="98">
        <f t="shared" si="34"/>
        <v>496253.14</v>
      </c>
      <c r="AY42" s="77">
        <f t="shared" si="35"/>
        <v>496253.14</v>
      </c>
      <c r="AZ42" s="97">
        <f>Calcs!BK47*AY42</f>
        <v>0</v>
      </c>
      <c r="BA42" s="97">
        <f t="shared" si="36"/>
        <v>0</v>
      </c>
      <c r="BB42" s="98">
        <f t="shared" si="37"/>
        <v>496253.14</v>
      </c>
      <c r="BC42" s="77">
        <f t="shared" si="38"/>
        <v>496253.14</v>
      </c>
      <c r="BD42" s="97"/>
      <c r="BE42" s="97"/>
      <c r="BF42" s="98"/>
      <c r="BG42" s="77">
        <f t="shared" si="39"/>
        <v>496253.14</v>
      </c>
      <c r="BH42" s="97">
        <f>IF(Calcs!BJ47=FALSE,0,BG42)</f>
        <v>0</v>
      </c>
      <c r="BI42" s="97">
        <f t="shared" si="40"/>
        <v>0</v>
      </c>
      <c r="BJ42" s="98">
        <f t="shared" si="41"/>
        <v>496253.14</v>
      </c>
      <c r="BK42" s="77">
        <f t="shared" si="42"/>
        <v>496253.14</v>
      </c>
      <c r="BL42" s="97">
        <f>IF(Calcs!AW47=TRUE,BK42,0)</f>
        <v>0</v>
      </c>
      <c r="BM42" s="97">
        <f t="shared" si="43"/>
        <v>0</v>
      </c>
      <c r="BN42" s="98">
        <f t="shared" si="44"/>
        <v>496253.14</v>
      </c>
      <c r="BO42" s="77">
        <f t="shared" si="45"/>
        <v>496253.14</v>
      </c>
      <c r="BP42" s="97"/>
      <c r="BQ42" s="97">
        <f t="shared" si="46"/>
        <v>0</v>
      </c>
      <c r="BR42" s="98">
        <f t="shared" si="47"/>
        <v>496253.14</v>
      </c>
      <c r="BS42" s="77">
        <f t="shared" si="48"/>
        <v>496253.14</v>
      </c>
      <c r="BT42" s="97">
        <f>IF(Calcs!BB47=TRUE,'Concentration Limitations'!BS42,0)</f>
        <v>0</v>
      </c>
      <c r="BU42" s="97">
        <f t="shared" si="49"/>
        <v>0</v>
      </c>
      <c r="BV42" s="98">
        <f t="shared" si="50"/>
        <v>496253.14</v>
      </c>
      <c r="BW42" s="77">
        <f t="shared" si="51"/>
        <v>496253.14</v>
      </c>
      <c r="BX42" s="97">
        <f>IF(Calcs!BI47=TRUE,'Concentration Limitations'!BW42,0)</f>
        <v>0</v>
      </c>
      <c r="BY42" s="97">
        <f t="shared" si="52"/>
        <v>0</v>
      </c>
      <c r="BZ42" s="98">
        <f t="shared" si="53"/>
        <v>496253.14</v>
      </c>
      <c r="CA42" s="97">
        <f t="shared" si="54"/>
        <v>496253.14</v>
      </c>
      <c r="CB42" s="97"/>
      <c r="CC42" s="97"/>
      <c r="CD42" s="98">
        <f t="shared" si="55"/>
        <v>496253.14</v>
      </c>
      <c r="CE42" s="97">
        <f t="shared" si="56"/>
        <v>496253.14</v>
      </c>
      <c r="CF42" s="97"/>
      <c r="CG42" s="97"/>
      <c r="CH42" s="98">
        <f t="shared" si="57"/>
        <v>496253.14</v>
      </c>
      <c r="CI42" s="97">
        <f t="shared" si="58"/>
        <v>496253.14</v>
      </c>
      <c r="CJ42" s="97"/>
      <c r="CK42" s="97"/>
      <c r="CL42" s="98">
        <f t="shared" si="59"/>
        <v>496253.14</v>
      </c>
      <c r="CM42" s="97">
        <f t="shared" si="60"/>
        <v>496253.14</v>
      </c>
      <c r="CN42" s="97"/>
      <c r="CO42" s="97"/>
      <c r="CP42" s="98">
        <f t="shared" si="61"/>
        <v>496253.14</v>
      </c>
      <c r="CQ42" s="97">
        <f t="shared" si="62"/>
        <v>496253.14</v>
      </c>
      <c r="CR42" s="97"/>
      <c r="CS42" s="97">
        <f t="shared" si="63"/>
        <v>0</v>
      </c>
      <c r="CT42" s="98">
        <f t="shared" si="64"/>
        <v>496253.14</v>
      </c>
      <c r="CU42" s="97">
        <f t="shared" si="65"/>
        <v>496253.14</v>
      </c>
      <c r="CV42" s="97"/>
      <c r="CW42" s="97">
        <f t="shared" si="66"/>
        <v>0</v>
      </c>
      <c r="CX42" s="98">
        <f t="shared" si="67"/>
        <v>496253.14</v>
      </c>
      <c r="CY42" s="97">
        <f t="shared" si="68"/>
        <v>496253.14</v>
      </c>
      <c r="CZ42" s="97"/>
      <c r="DA42" s="97"/>
      <c r="DB42" s="98">
        <f t="shared" si="69"/>
        <v>496253.14</v>
      </c>
      <c r="DC42" s="75">
        <f t="shared" si="70"/>
        <v>496253.14</v>
      </c>
      <c r="DD42" s="97"/>
      <c r="DE42" s="97"/>
      <c r="DF42" s="98">
        <f t="shared" si="71"/>
        <v>496253.14</v>
      </c>
      <c r="DG42" s="75">
        <f t="shared" si="72"/>
        <v>496253.14</v>
      </c>
      <c r="DH42" s="78" t="str">
        <f>Calcs!F47</f>
        <v>Construction &amp; Engineering</v>
      </c>
      <c r="DI42" s="99">
        <f t="shared" ca="1" si="73"/>
        <v>0</v>
      </c>
      <c r="DJ42" s="98">
        <f t="shared" ca="1" si="74"/>
        <v>496253.14</v>
      </c>
      <c r="DK42" s="293">
        <f t="shared" si="75"/>
        <v>18</v>
      </c>
      <c r="DL42" s="532" t="s">
        <v>190</v>
      </c>
      <c r="DM42" s="36"/>
      <c r="DN42" s="36"/>
      <c r="DO42" s="36"/>
      <c r="DP42" s="36"/>
      <c r="DQ42" s="413" cm="1">
        <f t="array" ref="DQ42">+SUMPRODUCT((DL42=$DH$12:$DH$307)*($DG$12:$DG$307))/$N$6</f>
        <v>1.6568254427816404E-3</v>
      </c>
      <c r="DR42" s="414">
        <f t="shared" si="76"/>
        <v>18</v>
      </c>
      <c r="DS42" s="413" cm="1">
        <f t="array" aca="1" ref="DS42" ca="1">+SUMPRODUCT((DL42=$DH$12:$DH$307)*($DJ$12:$DJ$307))/$N$6</f>
        <v>1.6568254427816404E-3</v>
      </c>
      <c r="DT42" s="417">
        <f t="shared" ca="1" si="80"/>
        <v>18</v>
      </c>
      <c r="DU42" s="415">
        <f t="shared" si="77"/>
        <v>0.1</v>
      </c>
      <c r="DV42" s="416">
        <f t="shared" si="81"/>
        <v>9.834317455721836E-2</v>
      </c>
      <c r="DW42" s="180"/>
    </row>
    <row r="43" spans="6:127" s="2" customFormat="1">
      <c r="F43" s="2">
        <f t="shared" ca="1" si="79"/>
        <v>45</v>
      </c>
      <c r="G43" s="40" t="str">
        <f>Calcs!A48</f>
        <v>Municipal Emergency Services, Inc.</v>
      </c>
      <c r="H43" s="68">
        <f t="shared" ca="1" si="8"/>
        <v>2493635.9900000002</v>
      </c>
      <c r="I43" s="96"/>
      <c r="J43" s="96"/>
      <c r="K43" s="63">
        <f>+IF(G43="","",IF(COUNTIF(G44:$G$307,G43)=0,1,0))</f>
        <v>1</v>
      </c>
      <c r="L43" s="75">
        <f>Calcs!U48</f>
        <v>2493635.9900000002</v>
      </c>
      <c r="M43">
        <f t="shared" si="2"/>
        <v>45</v>
      </c>
      <c r="N43" s="75">
        <f t="shared" si="9"/>
        <v>2493635.9900000002</v>
      </c>
      <c r="O43" s="75">
        <f t="shared" si="3"/>
        <v>2493635.9900000002</v>
      </c>
      <c r="P43" s="72">
        <f t="shared" si="10"/>
        <v>0.05</v>
      </c>
      <c r="Q43" s="72">
        <f t="shared" si="11"/>
        <v>4.1522809580582755E-3</v>
      </c>
      <c r="R43" s="61">
        <f t="shared" si="12"/>
        <v>0</v>
      </c>
      <c r="S43" s="68">
        <f t="shared" si="13"/>
        <v>2493635.9900000002</v>
      </c>
      <c r="T43" s="68">
        <f t="shared" si="4"/>
        <v>2493635.9900000002</v>
      </c>
      <c r="U43">
        <f t="array" aca="1" ref="U43" ca="1">SUM(1*(S43&lt;$S$12:$S$307))+1+IF(ROW(S43)-ROW($S$12)=0,0,SUM(1*(S43=OFFSET($S$12,0,0,INDEX(ROW(S43)-ROW($S$12)+1,1)-1,1))))</f>
        <v>45</v>
      </c>
      <c r="V43" s="96">
        <f t="shared" si="14"/>
        <v>2493635.9900000002</v>
      </c>
      <c r="W43" s="75">
        <f>Calcs!U48</f>
        <v>2493635.9900000002</v>
      </c>
      <c r="X43" s="78">
        <f>IFERROR(OR(Calcs!BH47,Calcs!BI47)*W43,0)</f>
        <v>0</v>
      </c>
      <c r="Y43" s="97">
        <f t="shared" si="15"/>
        <v>0</v>
      </c>
      <c r="Z43" s="98">
        <f t="shared" si="16"/>
        <v>2493635.9900000002</v>
      </c>
      <c r="AA43" s="77">
        <f t="shared" si="17"/>
        <v>2493635.9900000002</v>
      </c>
      <c r="AB43" s="78">
        <f>IF(AND(Calcs!BM48=TRUE),AA43,0)</f>
        <v>0</v>
      </c>
      <c r="AC43" s="97">
        <f t="shared" si="18"/>
        <v>0</v>
      </c>
      <c r="AD43" s="98">
        <f t="shared" si="19"/>
        <v>2493635.9900000002</v>
      </c>
      <c r="AE43" s="77">
        <f t="shared" si="20"/>
        <v>2493635.9900000002</v>
      </c>
      <c r="AF43" s="78">
        <f>IF(Calcs!BY48&lt;15,AE43,0)</f>
        <v>0</v>
      </c>
      <c r="AG43" s="97">
        <f t="shared" si="21"/>
        <v>0</v>
      </c>
      <c r="AH43" s="98">
        <f t="shared" si="22"/>
        <v>2493635.9900000002</v>
      </c>
      <c r="AI43" s="77">
        <f t="shared" si="23"/>
        <v>2493635.9900000002</v>
      </c>
      <c r="AJ43" s="78">
        <f>IF(Calcs!BY48&lt;10,AE43,0)</f>
        <v>0</v>
      </c>
      <c r="AK43" s="97">
        <f t="shared" si="24"/>
        <v>0</v>
      </c>
      <c r="AL43" s="98">
        <f t="shared" si="25"/>
        <v>2493635.9900000002</v>
      </c>
      <c r="AM43" s="77">
        <f t="shared" si="26"/>
        <v>2493635.9900000002</v>
      </c>
      <c r="AN43" s="78">
        <f>NOT(Calcs!BD48)*AM43</f>
        <v>0</v>
      </c>
      <c r="AO43" s="97">
        <f t="shared" si="27"/>
        <v>0</v>
      </c>
      <c r="AP43" s="98">
        <f t="shared" si="28"/>
        <v>2493635.9900000002</v>
      </c>
      <c r="AQ43" s="77">
        <f t="shared" si="29"/>
        <v>2493635.9900000002</v>
      </c>
      <c r="AR43" s="78">
        <f>NOT(Calcs!BE48)*AQ43</f>
        <v>0</v>
      </c>
      <c r="AS43" s="97">
        <f t="shared" si="30"/>
        <v>0</v>
      </c>
      <c r="AT43" s="98">
        <f t="shared" si="31"/>
        <v>2493635.9900000002</v>
      </c>
      <c r="AU43" s="77">
        <f t="shared" si="32"/>
        <v>2493635.9900000002</v>
      </c>
      <c r="AV43" s="97">
        <f>IF(Calcs!BC48=TRUE, AU43, 0)</f>
        <v>0</v>
      </c>
      <c r="AW43" s="97">
        <f t="shared" si="33"/>
        <v>0</v>
      </c>
      <c r="AX43" s="98">
        <f t="shared" si="34"/>
        <v>2493635.9900000002</v>
      </c>
      <c r="AY43" s="77">
        <f t="shared" si="35"/>
        <v>2493635.9900000002</v>
      </c>
      <c r="AZ43" s="97">
        <f>Calcs!BK48*AY43</f>
        <v>0</v>
      </c>
      <c r="BA43" s="97">
        <f t="shared" si="36"/>
        <v>0</v>
      </c>
      <c r="BB43" s="98">
        <f t="shared" si="37"/>
        <v>2493635.9900000002</v>
      </c>
      <c r="BC43" s="77">
        <f t="shared" si="38"/>
        <v>2493635.9900000002</v>
      </c>
      <c r="BD43" s="97"/>
      <c r="BE43" s="97"/>
      <c r="BF43" s="98"/>
      <c r="BG43" s="77">
        <f t="shared" si="39"/>
        <v>2493635.9900000002</v>
      </c>
      <c r="BH43" s="97">
        <f>IF(Calcs!BJ48=FALSE,0,BG43)</f>
        <v>0</v>
      </c>
      <c r="BI43" s="97">
        <f t="shared" si="40"/>
        <v>0</v>
      </c>
      <c r="BJ43" s="98">
        <f t="shared" si="41"/>
        <v>2493635.9900000002</v>
      </c>
      <c r="BK43" s="77">
        <f t="shared" si="42"/>
        <v>2493635.9900000002</v>
      </c>
      <c r="BL43" s="97">
        <f>IF(Calcs!AW48=TRUE,BK43,0)</f>
        <v>0</v>
      </c>
      <c r="BM43" s="97">
        <f t="shared" si="43"/>
        <v>0</v>
      </c>
      <c r="BN43" s="98">
        <f t="shared" si="44"/>
        <v>2493635.9900000002</v>
      </c>
      <c r="BO43" s="77">
        <f t="shared" si="45"/>
        <v>2493635.9900000002</v>
      </c>
      <c r="BP43" s="97"/>
      <c r="BQ43" s="97">
        <f t="shared" si="46"/>
        <v>0</v>
      </c>
      <c r="BR43" s="98">
        <f t="shared" si="47"/>
        <v>2493635.9900000002</v>
      </c>
      <c r="BS43" s="77">
        <f t="shared" si="48"/>
        <v>2493635.9900000002</v>
      </c>
      <c r="BT43" s="97">
        <f>IF(Calcs!BB48=TRUE,'Concentration Limitations'!BS43,0)</f>
        <v>0</v>
      </c>
      <c r="BU43" s="97">
        <f t="shared" si="49"/>
        <v>0</v>
      </c>
      <c r="BV43" s="98">
        <f t="shared" si="50"/>
        <v>2493635.9900000002</v>
      </c>
      <c r="BW43" s="77">
        <f t="shared" si="51"/>
        <v>2493635.9900000002</v>
      </c>
      <c r="BX43" s="97">
        <f>IF(Calcs!BI48=TRUE,'Concentration Limitations'!BW43,0)</f>
        <v>0</v>
      </c>
      <c r="BY43" s="97">
        <f t="shared" si="52"/>
        <v>0</v>
      </c>
      <c r="BZ43" s="98">
        <f t="shared" si="53"/>
        <v>2493635.9900000002</v>
      </c>
      <c r="CA43" s="97">
        <f t="shared" si="54"/>
        <v>2493635.9900000002</v>
      </c>
      <c r="CB43" s="97"/>
      <c r="CC43" s="97"/>
      <c r="CD43" s="98">
        <f t="shared" si="55"/>
        <v>2493635.9900000002</v>
      </c>
      <c r="CE43" s="97">
        <f t="shared" si="56"/>
        <v>2493635.9900000002</v>
      </c>
      <c r="CF43" s="97"/>
      <c r="CG43" s="97"/>
      <c r="CH43" s="98">
        <f t="shared" si="57"/>
        <v>2493635.9900000002</v>
      </c>
      <c r="CI43" s="97">
        <f t="shared" si="58"/>
        <v>2493635.9900000002</v>
      </c>
      <c r="CJ43" s="97"/>
      <c r="CK43" s="97"/>
      <c r="CL43" s="98">
        <f t="shared" si="59"/>
        <v>2493635.9900000002</v>
      </c>
      <c r="CM43" s="97">
        <f t="shared" si="60"/>
        <v>2493635.9900000002</v>
      </c>
      <c r="CN43" s="97"/>
      <c r="CO43" s="97"/>
      <c r="CP43" s="98">
        <f t="shared" si="61"/>
        <v>2493635.9900000002</v>
      </c>
      <c r="CQ43" s="97">
        <f t="shared" si="62"/>
        <v>2493635.9900000002</v>
      </c>
      <c r="CR43" s="97"/>
      <c r="CS43" s="97">
        <f t="shared" si="63"/>
        <v>0</v>
      </c>
      <c r="CT43" s="98">
        <f t="shared" si="64"/>
        <v>2493635.9900000002</v>
      </c>
      <c r="CU43" s="97">
        <f t="shared" si="65"/>
        <v>2493635.9900000002</v>
      </c>
      <c r="CV43" s="97"/>
      <c r="CW43" s="97">
        <f t="shared" si="66"/>
        <v>0</v>
      </c>
      <c r="CX43" s="98">
        <f t="shared" si="67"/>
        <v>2493635.9900000002</v>
      </c>
      <c r="CY43" s="97">
        <f t="shared" si="68"/>
        <v>2493635.9900000002</v>
      </c>
      <c r="CZ43" s="97"/>
      <c r="DA43" s="97"/>
      <c r="DB43" s="98">
        <f t="shared" si="69"/>
        <v>2493635.9900000002</v>
      </c>
      <c r="DC43" s="75">
        <f t="shared" si="70"/>
        <v>2493635.9900000002</v>
      </c>
      <c r="DD43" s="97"/>
      <c r="DE43" s="97"/>
      <c r="DF43" s="98">
        <f t="shared" si="71"/>
        <v>2493635.9900000002</v>
      </c>
      <c r="DG43" s="75">
        <f t="shared" si="72"/>
        <v>2493635.9900000002</v>
      </c>
      <c r="DH43" s="78" t="str">
        <f>Calcs!F48</f>
        <v>Distributors</v>
      </c>
      <c r="DI43" s="99">
        <f t="shared" ca="1" si="73"/>
        <v>0</v>
      </c>
      <c r="DJ43" s="98">
        <f t="shared" ca="1" si="74"/>
        <v>2493635.9900000002</v>
      </c>
      <c r="DK43" s="293">
        <f t="shared" si="75"/>
        <v>19</v>
      </c>
      <c r="DL43" s="532" t="s">
        <v>1083</v>
      </c>
      <c r="DM43" s="36"/>
      <c r="DN43" s="36"/>
      <c r="DO43" s="36"/>
      <c r="DP43" s="36"/>
      <c r="DQ43" s="413" cm="1">
        <f t="array" ref="DQ43">+SUMPRODUCT((DL43=$DH$12:$DH$307)*($DG$12:$DG$307))/$N$6</f>
        <v>0</v>
      </c>
      <c r="DR43" s="414">
        <f t="shared" si="76"/>
        <v>19</v>
      </c>
      <c r="DS43" s="413" cm="1">
        <f t="array" aca="1" ref="DS43" ca="1">+SUMPRODUCT((DL43=$DH$12:$DH$307)*($DJ$12:$DJ$307))/$N$6</f>
        <v>0</v>
      </c>
      <c r="DT43" s="417">
        <f t="shared" ca="1" si="80"/>
        <v>19</v>
      </c>
      <c r="DU43" s="415">
        <f t="shared" si="77"/>
        <v>0.1</v>
      </c>
      <c r="DV43" s="416">
        <f t="shared" si="81"/>
        <v>0.1</v>
      </c>
      <c r="DW43" s="180"/>
    </row>
    <row r="44" spans="6:127" s="2" customFormat="1">
      <c r="F44" s="2">
        <f t="shared" ca="1" si="79"/>
        <v>33</v>
      </c>
      <c r="G44" s="40" t="str">
        <f>Calcs!A49</f>
        <v>MOREgroup Holdings, LLC</v>
      </c>
      <c r="H44" s="68">
        <f t="shared" ca="1" si="8"/>
        <v>4241967.99</v>
      </c>
      <c r="I44" s="96"/>
      <c r="J44" s="96"/>
      <c r="K44" s="63">
        <f>+IF(G44="","",IF(COUNTIF(G45:$G$307,G44)=0,1,0))</f>
        <v>1</v>
      </c>
      <c r="L44" s="75">
        <f>Calcs!U49</f>
        <v>4241967.99</v>
      </c>
      <c r="M44">
        <f t="shared" ref="M44:M75" si="82">COUNTIF($N$12:$N$307,"&gt;"&amp;N44)+1</f>
        <v>33</v>
      </c>
      <c r="N44" s="75">
        <f t="shared" si="9"/>
        <v>4241967.99</v>
      </c>
      <c r="O44" s="75">
        <f t="shared" ref="O44:O75" si="83">+SUMPRODUCT((G44=$G$12:$G$307)*($L$12:$L$307))</f>
        <v>4241967.99</v>
      </c>
      <c r="P44" s="72">
        <f t="shared" si="10"/>
        <v>0.05</v>
      </c>
      <c r="Q44" s="72">
        <f t="shared" si="11"/>
        <v>7.063518083715874E-3</v>
      </c>
      <c r="R44" s="61">
        <f t="shared" si="12"/>
        <v>0</v>
      </c>
      <c r="S44" s="68">
        <f t="shared" si="13"/>
        <v>4241967.99</v>
      </c>
      <c r="T44" s="68">
        <f t="shared" ref="T44:T75" si="84">+SUMPRODUCT((G44=$G$12:$G$307)*($S$12:$S$307))</f>
        <v>4241967.99</v>
      </c>
      <c r="U44">
        <f t="array" aca="1" ref="U44" ca="1">SUM(1*(S44&lt;$S$12:$S$307))+1+IF(ROW(S44)-ROW($S$12)=0,0,SUM(1*(S44=OFFSET($S$12,0,0,INDEX(ROW(S44)-ROW($S$12)+1,1)-1,1))))</f>
        <v>33</v>
      </c>
      <c r="V44" s="96">
        <f t="shared" si="14"/>
        <v>4241967.99</v>
      </c>
      <c r="W44" s="75">
        <f>Calcs!U49</f>
        <v>4241967.99</v>
      </c>
      <c r="X44" s="78">
        <f>IFERROR(OR(Calcs!BH48,Calcs!BI48)*W44,0)</f>
        <v>0</v>
      </c>
      <c r="Y44" s="97">
        <f t="shared" si="15"/>
        <v>0</v>
      </c>
      <c r="Z44" s="98">
        <f t="shared" si="16"/>
        <v>4241967.99</v>
      </c>
      <c r="AA44" s="77">
        <f t="shared" si="17"/>
        <v>4241967.99</v>
      </c>
      <c r="AB44" s="78">
        <f>IF(AND(Calcs!BM49=TRUE),AA44,0)</f>
        <v>4241967.99</v>
      </c>
      <c r="AC44" s="97">
        <f t="shared" si="18"/>
        <v>0</v>
      </c>
      <c r="AD44" s="98">
        <f t="shared" si="19"/>
        <v>4241967.99</v>
      </c>
      <c r="AE44" s="77">
        <f t="shared" si="20"/>
        <v>4241967.99</v>
      </c>
      <c r="AF44" s="78">
        <f>IF(Calcs!BY49&lt;15,AE44,0)</f>
        <v>0</v>
      </c>
      <c r="AG44" s="97">
        <f t="shared" si="21"/>
        <v>0</v>
      </c>
      <c r="AH44" s="98">
        <f t="shared" si="22"/>
        <v>4241967.99</v>
      </c>
      <c r="AI44" s="77">
        <f t="shared" si="23"/>
        <v>4241967.99</v>
      </c>
      <c r="AJ44" s="78">
        <f>IF(Calcs!BY49&lt;10,AE44,0)</f>
        <v>0</v>
      </c>
      <c r="AK44" s="97">
        <f t="shared" si="24"/>
        <v>0</v>
      </c>
      <c r="AL44" s="98">
        <f t="shared" si="25"/>
        <v>4241967.99</v>
      </c>
      <c r="AM44" s="77">
        <f t="shared" si="26"/>
        <v>4241967.99</v>
      </c>
      <c r="AN44" s="78">
        <f>NOT(Calcs!BD49)*AM44</f>
        <v>0</v>
      </c>
      <c r="AO44" s="97">
        <f t="shared" si="27"/>
        <v>0</v>
      </c>
      <c r="AP44" s="98">
        <f t="shared" si="28"/>
        <v>4241967.99</v>
      </c>
      <c r="AQ44" s="77">
        <f t="shared" si="29"/>
        <v>4241967.99</v>
      </c>
      <c r="AR44" s="78">
        <f>NOT(Calcs!BE49)*AQ44</f>
        <v>0</v>
      </c>
      <c r="AS44" s="97">
        <f t="shared" si="30"/>
        <v>0</v>
      </c>
      <c r="AT44" s="98">
        <f t="shared" si="31"/>
        <v>4241967.99</v>
      </c>
      <c r="AU44" s="77">
        <f t="shared" si="32"/>
        <v>4241967.99</v>
      </c>
      <c r="AV44" s="97">
        <f>IF(Calcs!BC49=TRUE, AU44, 0)</f>
        <v>0</v>
      </c>
      <c r="AW44" s="97">
        <f t="shared" si="33"/>
        <v>0</v>
      </c>
      <c r="AX44" s="98">
        <f t="shared" si="34"/>
        <v>4241967.99</v>
      </c>
      <c r="AY44" s="77">
        <f t="shared" si="35"/>
        <v>4241967.99</v>
      </c>
      <c r="AZ44" s="97">
        <f>Calcs!BK49*AY44</f>
        <v>0</v>
      </c>
      <c r="BA44" s="97">
        <f t="shared" si="36"/>
        <v>0</v>
      </c>
      <c r="BB44" s="98">
        <f t="shared" si="37"/>
        <v>4241967.99</v>
      </c>
      <c r="BC44" s="77">
        <f t="shared" si="38"/>
        <v>4241967.99</v>
      </c>
      <c r="BD44" s="97"/>
      <c r="BE44" s="97"/>
      <c r="BF44" s="98"/>
      <c r="BG44" s="77">
        <f t="shared" si="39"/>
        <v>4241967.99</v>
      </c>
      <c r="BH44" s="97">
        <f>IF(Calcs!BJ49=FALSE,0,BG44)</f>
        <v>0</v>
      </c>
      <c r="BI44" s="97">
        <f t="shared" si="40"/>
        <v>0</v>
      </c>
      <c r="BJ44" s="98">
        <f t="shared" si="41"/>
        <v>4241967.99</v>
      </c>
      <c r="BK44" s="77">
        <f t="shared" si="42"/>
        <v>4241967.99</v>
      </c>
      <c r="BL44" s="97">
        <f>IF(Calcs!AW49=TRUE,BK44,0)</f>
        <v>0</v>
      </c>
      <c r="BM44" s="97">
        <f t="shared" si="43"/>
        <v>0</v>
      </c>
      <c r="BN44" s="98">
        <f t="shared" si="44"/>
        <v>4241967.99</v>
      </c>
      <c r="BO44" s="77">
        <f t="shared" si="45"/>
        <v>4241967.99</v>
      </c>
      <c r="BP44" s="97"/>
      <c r="BQ44" s="97">
        <f t="shared" si="46"/>
        <v>0</v>
      </c>
      <c r="BR44" s="98">
        <f t="shared" si="47"/>
        <v>4241967.99</v>
      </c>
      <c r="BS44" s="77">
        <f t="shared" si="48"/>
        <v>4241967.99</v>
      </c>
      <c r="BT44" s="97">
        <f>IF(Calcs!BB49=TRUE,'Concentration Limitations'!BS44,0)</f>
        <v>0</v>
      </c>
      <c r="BU44" s="97">
        <f t="shared" si="49"/>
        <v>0</v>
      </c>
      <c r="BV44" s="98">
        <f t="shared" si="50"/>
        <v>4241967.99</v>
      </c>
      <c r="BW44" s="77">
        <f t="shared" si="51"/>
        <v>4241967.99</v>
      </c>
      <c r="BX44" s="97">
        <f>IF(Calcs!BI49=TRUE,'Concentration Limitations'!BW44,0)</f>
        <v>0</v>
      </c>
      <c r="BY44" s="97">
        <f t="shared" si="52"/>
        <v>0</v>
      </c>
      <c r="BZ44" s="98">
        <f t="shared" si="53"/>
        <v>4241967.99</v>
      </c>
      <c r="CA44" s="97">
        <f t="shared" si="54"/>
        <v>4241967.99</v>
      </c>
      <c r="CB44" s="97"/>
      <c r="CC44" s="97"/>
      <c r="CD44" s="98">
        <f t="shared" si="55"/>
        <v>4241967.99</v>
      </c>
      <c r="CE44" s="97">
        <f t="shared" si="56"/>
        <v>4241967.99</v>
      </c>
      <c r="CF44" s="97"/>
      <c r="CG44" s="97"/>
      <c r="CH44" s="98">
        <f t="shared" si="57"/>
        <v>4241967.99</v>
      </c>
      <c r="CI44" s="97">
        <f t="shared" si="58"/>
        <v>4241967.99</v>
      </c>
      <c r="CJ44" s="97"/>
      <c r="CK44" s="97"/>
      <c r="CL44" s="98">
        <f t="shared" si="59"/>
        <v>4241967.99</v>
      </c>
      <c r="CM44" s="97">
        <f t="shared" si="60"/>
        <v>4241967.99</v>
      </c>
      <c r="CN44" s="97"/>
      <c r="CO44" s="97"/>
      <c r="CP44" s="98">
        <f t="shared" si="61"/>
        <v>4241967.99</v>
      </c>
      <c r="CQ44" s="97">
        <f t="shared" si="62"/>
        <v>4241967.99</v>
      </c>
      <c r="CR44" s="97"/>
      <c r="CS44" s="97">
        <f t="shared" si="63"/>
        <v>0</v>
      </c>
      <c r="CT44" s="98">
        <f t="shared" si="64"/>
        <v>4241967.99</v>
      </c>
      <c r="CU44" s="97">
        <f t="shared" si="65"/>
        <v>4241967.99</v>
      </c>
      <c r="CV44" s="97"/>
      <c r="CW44" s="97">
        <f t="shared" si="66"/>
        <v>0</v>
      </c>
      <c r="CX44" s="98">
        <f t="shared" si="67"/>
        <v>4241967.99</v>
      </c>
      <c r="CY44" s="97">
        <f t="shared" si="68"/>
        <v>4241967.99</v>
      </c>
      <c r="CZ44" s="97"/>
      <c r="DA44" s="97"/>
      <c r="DB44" s="98">
        <f t="shared" si="69"/>
        <v>4241967.99</v>
      </c>
      <c r="DC44" s="75">
        <f t="shared" si="70"/>
        <v>4241967.99</v>
      </c>
      <c r="DD44" s="97"/>
      <c r="DE44" s="97"/>
      <c r="DF44" s="98">
        <f t="shared" si="71"/>
        <v>4241967.99</v>
      </c>
      <c r="DG44" s="75">
        <f t="shared" si="72"/>
        <v>4241967.99</v>
      </c>
      <c r="DH44" s="78" t="str">
        <f>Calcs!F49</f>
        <v>Professional Services</v>
      </c>
      <c r="DI44" s="99">
        <f t="shared" ca="1" si="73"/>
        <v>0</v>
      </c>
      <c r="DJ44" s="98">
        <f t="shared" ca="1" si="74"/>
        <v>4241967.99</v>
      </c>
      <c r="DK44" s="293">
        <f t="shared" si="75"/>
        <v>2</v>
      </c>
      <c r="DL44" s="532" t="s">
        <v>322</v>
      </c>
      <c r="DM44" s="36"/>
      <c r="DN44" s="36"/>
      <c r="DO44" s="36"/>
      <c r="DP44" s="36"/>
      <c r="DQ44" s="413" cm="1">
        <f t="array" ref="DQ44">+SUMPRODUCT((DL44=$DH$12:$DH$307)*($DG$12:$DG$307))/$N$6</f>
        <v>8.2804038658913878E-2</v>
      </c>
      <c r="DR44" s="414">
        <f t="shared" si="76"/>
        <v>2</v>
      </c>
      <c r="DS44" s="413" cm="1">
        <f t="array" aca="1" ref="DS44" ca="1">+SUMPRODUCT((DL44=$DH$12:$DH$307)*($DJ$12:$DJ$307))/$N$6</f>
        <v>8.2804038658913878E-2</v>
      </c>
      <c r="DT44" s="417">
        <f t="shared" ca="1" si="80"/>
        <v>2</v>
      </c>
      <c r="DU44" s="415">
        <f t="shared" si="77"/>
        <v>0.15</v>
      </c>
      <c r="DV44" s="416">
        <f t="shared" si="81"/>
        <v>6.7195961341086116E-2</v>
      </c>
      <c r="DW44" s="180"/>
    </row>
    <row r="45" spans="6:127" s="2" customFormat="1">
      <c r="F45" s="2">
        <f t="shared" ca="1" si="79"/>
        <v>35</v>
      </c>
      <c r="G45" s="40" t="str">
        <f>Calcs!A50</f>
        <v>NFS - CFP Holdings, LLC</v>
      </c>
      <c r="H45" s="68">
        <f t="shared" ca="1" si="8"/>
        <v>3980866.8899999997</v>
      </c>
      <c r="I45" s="96"/>
      <c r="J45" s="96"/>
      <c r="K45" s="63">
        <f>+IF(G45="","",IF(COUNTIF(G46:$G$307,G45)=0,1,0))</f>
        <v>1</v>
      </c>
      <c r="L45" s="75">
        <f>Calcs!U50</f>
        <v>3980866.8899999997</v>
      </c>
      <c r="M45">
        <f t="shared" si="82"/>
        <v>35</v>
      </c>
      <c r="N45" s="75">
        <f t="shared" ref="N45:N76" si="85">+SUMPRODUCT((G45=$G$12:$G$307)*($L$12:$L$307))*K45</f>
        <v>3980866.8899999997</v>
      </c>
      <c r="O45" s="75">
        <f t="shared" si="83"/>
        <v>3980866.8899999997</v>
      </c>
      <c r="P45" s="72">
        <f t="shared" si="10"/>
        <v>0.05</v>
      </c>
      <c r="Q45" s="72">
        <f t="shared" si="11"/>
        <v>6.6287452740492669E-3</v>
      </c>
      <c r="R45" s="61">
        <f t="shared" si="12"/>
        <v>0</v>
      </c>
      <c r="S45" s="68">
        <f t="shared" si="13"/>
        <v>3980866.8899999997</v>
      </c>
      <c r="T45" s="68">
        <f t="shared" si="84"/>
        <v>3980866.8899999997</v>
      </c>
      <c r="U45">
        <f t="array" aca="1" ref="U45" ca="1">SUM(1*(S45&lt;$S$12:$S$307))+1+IF(ROW(S45)-ROW($S$12)=0,0,SUM(1*(S45=OFFSET($S$12,0,0,INDEX(ROW(S45)-ROW($S$12)+1,1)-1,1))))</f>
        <v>35</v>
      </c>
      <c r="V45" s="96">
        <f t="shared" si="14"/>
        <v>3980866.8899999997</v>
      </c>
      <c r="W45" s="75">
        <f>Calcs!U50</f>
        <v>3980866.8899999997</v>
      </c>
      <c r="X45" s="78">
        <f>IFERROR(OR(Calcs!BH49,Calcs!BI49)*W45,0)</f>
        <v>0</v>
      </c>
      <c r="Y45" s="97">
        <f t="shared" si="15"/>
        <v>0</v>
      </c>
      <c r="Z45" s="98">
        <f t="shared" si="16"/>
        <v>3980866.8899999997</v>
      </c>
      <c r="AA45" s="77">
        <f t="shared" si="17"/>
        <v>3980866.8899999997</v>
      </c>
      <c r="AB45" s="78">
        <f>IF(AND(Calcs!BM50=TRUE),AA45,0)</f>
        <v>0</v>
      </c>
      <c r="AC45" s="97">
        <f t="shared" si="18"/>
        <v>0</v>
      </c>
      <c r="AD45" s="98">
        <f t="shared" si="19"/>
        <v>3980866.8899999997</v>
      </c>
      <c r="AE45" s="77">
        <f t="shared" si="20"/>
        <v>3980866.8899999997</v>
      </c>
      <c r="AF45" s="78">
        <f>IF(Calcs!BY50&lt;15,AE45,0)</f>
        <v>0</v>
      </c>
      <c r="AG45" s="97">
        <f t="shared" si="21"/>
        <v>0</v>
      </c>
      <c r="AH45" s="98">
        <f t="shared" si="22"/>
        <v>3980866.8899999997</v>
      </c>
      <c r="AI45" s="77">
        <f t="shared" si="23"/>
        <v>3980866.8899999997</v>
      </c>
      <c r="AJ45" s="78">
        <f>IF(Calcs!BY50&lt;10,AE45,0)</f>
        <v>0</v>
      </c>
      <c r="AK45" s="97">
        <f t="shared" si="24"/>
        <v>0</v>
      </c>
      <c r="AL45" s="98">
        <f t="shared" si="25"/>
        <v>3980866.8899999997</v>
      </c>
      <c r="AM45" s="77">
        <f t="shared" si="26"/>
        <v>3980866.8899999997</v>
      </c>
      <c r="AN45" s="78">
        <f>NOT(Calcs!BD50)*AM45</f>
        <v>0</v>
      </c>
      <c r="AO45" s="97">
        <f t="shared" si="27"/>
        <v>0</v>
      </c>
      <c r="AP45" s="98">
        <f t="shared" si="28"/>
        <v>3980866.8899999997</v>
      </c>
      <c r="AQ45" s="77">
        <f t="shared" si="29"/>
        <v>3980866.8899999997</v>
      </c>
      <c r="AR45" s="78">
        <f>NOT(Calcs!BE50)*AQ45</f>
        <v>0</v>
      </c>
      <c r="AS45" s="97">
        <f t="shared" si="30"/>
        <v>0</v>
      </c>
      <c r="AT45" s="98">
        <f t="shared" si="31"/>
        <v>3980866.8899999997</v>
      </c>
      <c r="AU45" s="77">
        <f t="shared" si="32"/>
        <v>3980866.8899999997</v>
      </c>
      <c r="AV45" s="97">
        <f>IF(Calcs!BC50=TRUE, AU45, 0)</f>
        <v>0</v>
      </c>
      <c r="AW45" s="97">
        <f t="shared" si="33"/>
        <v>0</v>
      </c>
      <c r="AX45" s="98">
        <f t="shared" si="34"/>
        <v>3980866.8899999997</v>
      </c>
      <c r="AY45" s="77">
        <f t="shared" si="35"/>
        <v>3980866.8899999997</v>
      </c>
      <c r="AZ45" s="97">
        <f>Calcs!BK50*AY45</f>
        <v>0</v>
      </c>
      <c r="BA45" s="97">
        <f t="shared" si="36"/>
        <v>0</v>
      </c>
      <c r="BB45" s="98">
        <f t="shared" si="37"/>
        <v>3980866.8899999997</v>
      </c>
      <c r="BC45" s="77">
        <f t="shared" si="38"/>
        <v>3980866.8899999997</v>
      </c>
      <c r="BD45" s="97"/>
      <c r="BE45" s="97"/>
      <c r="BF45" s="98"/>
      <c r="BG45" s="77">
        <f t="shared" si="39"/>
        <v>3980866.8899999997</v>
      </c>
      <c r="BH45" s="97">
        <f>IF(Calcs!BJ50=FALSE,0,BG45)</f>
        <v>0</v>
      </c>
      <c r="BI45" s="97">
        <f t="shared" si="40"/>
        <v>0</v>
      </c>
      <c r="BJ45" s="98">
        <f t="shared" si="41"/>
        <v>3980866.8899999997</v>
      </c>
      <c r="BK45" s="77">
        <f t="shared" si="42"/>
        <v>3980866.8899999997</v>
      </c>
      <c r="BL45" s="97">
        <f>IF(Calcs!AW50=TRUE,BK45,0)</f>
        <v>0</v>
      </c>
      <c r="BM45" s="97">
        <f t="shared" si="43"/>
        <v>0</v>
      </c>
      <c r="BN45" s="98">
        <f t="shared" si="44"/>
        <v>3980866.8899999997</v>
      </c>
      <c r="BO45" s="77">
        <f t="shared" si="45"/>
        <v>3980866.8899999997</v>
      </c>
      <c r="BP45" s="97"/>
      <c r="BQ45" s="97">
        <f t="shared" si="46"/>
        <v>0</v>
      </c>
      <c r="BR45" s="98">
        <f t="shared" si="47"/>
        <v>3980866.8899999997</v>
      </c>
      <c r="BS45" s="77">
        <f t="shared" si="48"/>
        <v>3980866.8899999997</v>
      </c>
      <c r="BT45" s="97">
        <f>IF(Calcs!BB50=TRUE,'Concentration Limitations'!BS45,0)</f>
        <v>0</v>
      </c>
      <c r="BU45" s="97">
        <f t="shared" si="49"/>
        <v>0</v>
      </c>
      <c r="BV45" s="98">
        <f t="shared" si="50"/>
        <v>3980866.8899999997</v>
      </c>
      <c r="BW45" s="77">
        <f t="shared" si="51"/>
        <v>3980866.8899999997</v>
      </c>
      <c r="BX45" s="97">
        <f>IF(Calcs!BI50=TRUE,'Concentration Limitations'!BW45,0)</f>
        <v>0</v>
      </c>
      <c r="BY45" s="97">
        <f t="shared" si="52"/>
        <v>0</v>
      </c>
      <c r="BZ45" s="98">
        <f t="shared" si="53"/>
        <v>3980866.8899999997</v>
      </c>
      <c r="CA45" s="97">
        <f t="shared" si="54"/>
        <v>3980866.8899999997</v>
      </c>
      <c r="CB45" s="97"/>
      <c r="CC45" s="97"/>
      <c r="CD45" s="98">
        <f t="shared" si="55"/>
        <v>3980866.8899999997</v>
      </c>
      <c r="CE45" s="97">
        <f t="shared" si="56"/>
        <v>3980866.8899999997</v>
      </c>
      <c r="CF45" s="97"/>
      <c r="CG45" s="97"/>
      <c r="CH45" s="98">
        <f t="shared" si="57"/>
        <v>3980866.8899999997</v>
      </c>
      <c r="CI45" s="97">
        <f t="shared" si="58"/>
        <v>3980866.8899999997</v>
      </c>
      <c r="CJ45" s="97"/>
      <c r="CK45" s="97"/>
      <c r="CL45" s="98">
        <f t="shared" si="59"/>
        <v>3980866.8899999997</v>
      </c>
      <c r="CM45" s="97">
        <f t="shared" si="60"/>
        <v>3980866.8899999997</v>
      </c>
      <c r="CN45" s="97"/>
      <c r="CO45" s="97"/>
      <c r="CP45" s="98">
        <f t="shared" si="61"/>
        <v>3980866.8899999997</v>
      </c>
      <c r="CQ45" s="97">
        <f t="shared" si="62"/>
        <v>3980866.8899999997</v>
      </c>
      <c r="CR45" s="97"/>
      <c r="CS45" s="97">
        <f t="shared" si="63"/>
        <v>0</v>
      </c>
      <c r="CT45" s="98">
        <f t="shared" si="64"/>
        <v>3980866.8899999997</v>
      </c>
      <c r="CU45" s="97">
        <f t="shared" si="65"/>
        <v>3980866.8899999997</v>
      </c>
      <c r="CV45" s="97"/>
      <c r="CW45" s="97">
        <f t="shared" si="66"/>
        <v>0</v>
      </c>
      <c r="CX45" s="98">
        <f t="shared" si="67"/>
        <v>3980866.8899999997</v>
      </c>
      <c r="CY45" s="97">
        <f t="shared" si="68"/>
        <v>3980866.8899999997</v>
      </c>
      <c r="CZ45" s="97"/>
      <c r="DA45" s="97"/>
      <c r="DB45" s="98">
        <f t="shared" si="69"/>
        <v>3980866.8899999997</v>
      </c>
      <c r="DC45" s="75">
        <f t="shared" si="70"/>
        <v>3980866.8899999997</v>
      </c>
      <c r="DD45" s="97"/>
      <c r="DE45" s="97"/>
      <c r="DF45" s="98">
        <f t="shared" si="71"/>
        <v>3980866.8899999997</v>
      </c>
      <c r="DG45" s="75">
        <f t="shared" si="72"/>
        <v>3980866.8899999997</v>
      </c>
      <c r="DH45" s="78" t="str">
        <f>Calcs!F50</f>
        <v>Professional Services</v>
      </c>
      <c r="DI45" s="99">
        <f t="shared" ca="1" si="73"/>
        <v>0</v>
      </c>
      <c r="DJ45" s="98">
        <f t="shared" ca="1" si="74"/>
        <v>3980866.8899999997</v>
      </c>
      <c r="DK45" s="293">
        <f t="shared" si="75"/>
        <v>19</v>
      </c>
      <c r="DL45" s="532" t="s">
        <v>321</v>
      </c>
      <c r="DM45" s="36"/>
      <c r="DN45" s="36"/>
      <c r="DO45" s="36"/>
      <c r="DP45" s="36"/>
      <c r="DQ45" s="413" cm="1">
        <f t="array" ref="DQ45">+SUMPRODUCT((DL45=$DH$12:$DH$307)*($DG$12:$DG$307))/$N$6</f>
        <v>0</v>
      </c>
      <c r="DR45" s="414">
        <f t="shared" si="76"/>
        <v>19</v>
      </c>
      <c r="DS45" s="413" cm="1">
        <f t="array" aca="1" ref="DS45" ca="1">+SUMPRODUCT((DL45=$DH$12:$DH$307)*($DJ$12:$DJ$307))/$N$6</f>
        <v>0</v>
      </c>
      <c r="DT45" s="417">
        <f t="shared" ca="1" si="80"/>
        <v>19</v>
      </c>
      <c r="DU45" s="415">
        <f t="shared" si="77"/>
        <v>0.1</v>
      </c>
      <c r="DV45" s="416">
        <f t="shared" si="81"/>
        <v>0.1</v>
      </c>
      <c r="DW45" s="180"/>
    </row>
    <row r="46" spans="6:127">
      <c r="F46" s="2">
        <f t="shared" ca="1" si="79"/>
        <v>38</v>
      </c>
      <c r="G46" s="40" t="str">
        <f>Calcs!A51</f>
        <v>NORA ACQUISITION, LLC</v>
      </c>
      <c r="H46" s="68">
        <f t="shared" ca="1" si="8"/>
        <v>3768234.86</v>
      </c>
      <c r="I46" s="96"/>
      <c r="J46" s="96"/>
      <c r="K46" s="63">
        <f>+IF(G46="","",IF(COUNTIF(G47:$G$307,G46)=0,1,0))</f>
        <v>1</v>
      </c>
      <c r="L46" s="75">
        <f>Calcs!U51</f>
        <v>3768234.86</v>
      </c>
      <c r="M46">
        <f t="shared" si="82"/>
        <v>38</v>
      </c>
      <c r="N46" s="75">
        <f t="shared" si="85"/>
        <v>3768234.86</v>
      </c>
      <c r="O46" s="75">
        <f t="shared" si="83"/>
        <v>3768234.86</v>
      </c>
      <c r="P46" s="72">
        <f t="shared" si="10"/>
        <v>0.05</v>
      </c>
      <c r="Q46" s="72">
        <f t="shared" si="11"/>
        <v>6.2746807943966955E-3</v>
      </c>
      <c r="R46" s="61">
        <f t="shared" si="12"/>
        <v>0</v>
      </c>
      <c r="S46" s="68">
        <f t="shared" si="13"/>
        <v>3768234.86</v>
      </c>
      <c r="T46" s="68">
        <f t="shared" si="84"/>
        <v>3768234.86</v>
      </c>
      <c r="U46">
        <f t="array" aca="1" ref="U46" ca="1">SUM(1*(S46&lt;$S$12:$S$307))+1+IF(ROW(S46)-ROW($S$12)=0,0,SUM(1*(S46=OFFSET($S$12,0,0,INDEX(ROW(S46)-ROW($S$12)+1,1)-1,1))))</f>
        <v>38</v>
      </c>
      <c r="V46" s="96">
        <f t="shared" si="14"/>
        <v>3768234.86</v>
      </c>
      <c r="W46" s="75">
        <f>Calcs!U51</f>
        <v>3768234.86</v>
      </c>
      <c r="X46" s="78">
        <f>IFERROR(OR(Calcs!BH50,Calcs!BI50)*W46,0)</f>
        <v>0</v>
      </c>
      <c r="Y46" s="97">
        <f t="shared" si="15"/>
        <v>0</v>
      </c>
      <c r="Z46" s="98">
        <f t="shared" si="16"/>
        <v>3768234.86</v>
      </c>
      <c r="AA46" s="77">
        <f t="shared" si="17"/>
        <v>3768234.86</v>
      </c>
      <c r="AB46" s="78">
        <f>IF(AND(Calcs!BM51=TRUE),AA46,0)</f>
        <v>0</v>
      </c>
      <c r="AC46" s="97">
        <f t="shared" si="18"/>
        <v>0</v>
      </c>
      <c r="AD46" s="98">
        <f t="shared" si="19"/>
        <v>3768234.86</v>
      </c>
      <c r="AE46" s="77">
        <f t="shared" si="20"/>
        <v>3768234.86</v>
      </c>
      <c r="AF46" s="78">
        <f>IF(Calcs!BY51&lt;15,AE46,0)</f>
        <v>3768234.86</v>
      </c>
      <c r="AG46" s="97">
        <f t="shared" si="21"/>
        <v>0</v>
      </c>
      <c r="AH46" s="98">
        <f t="shared" si="22"/>
        <v>3768234.86</v>
      </c>
      <c r="AI46" s="77">
        <f t="shared" si="23"/>
        <v>3768234.86</v>
      </c>
      <c r="AJ46" s="78">
        <f>IF(Calcs!BY51&lt;10,AE46,0)</f>
        <v>0</v>
      </c>
      <c r="AK46" s="97">
        <f t="shared" si="24"/>
        <v>0</v>
      </c>
      <c r="AL46" s="98">
        <f t="shared" si="25"/>
        <v>3768234.86</v>
      </c>
      <c r="AM46" s="77">
        <f t="shared" si="26"/>
        <v>3768234.86</v>
      </c>
      <c r="AN46" s="78">
        <f>NOT(Calcs!BD51)*AM46</f>
        <v>0</v>
      </c>
      <c r="AO46" s="97">
        <f t="shared" si="27"/>
        <v>0</v>
      </c>
      <c r="AP46" s="98">
        <f t="shared" si="28"/>
        <v>3768234.86</v>
      </c>
      <c r="AQ46" s="77">
        <f t="shared" si="29"/>
        <v>3768234.86</v>
      </c>
      <c r="AR46" s="78">
        <f>NOT(Calcs!BE51)*AQ46</f>
        <v>0</v>
      </c>
      <c r="AS46" s="97">
        <f t="shared" si="30"/>
        <v>0</v>
      </c>
      <c r="AT46" s="98">
        <f t="shared" si="31"/>
        <v>3768234.86</v>
      </c>
      <c r="AU46" s="77">
        <f t="shared" si="32"/>
        <v>3768234.86</v>
      </c>
      <c r="AV46" s="97">
        <f>IF(Calcs!BC51=TRUE, AU46, 0)</f>
        <v>3768234.86</v>
      </c>
      <c r="AW46" s="97">
        <f t="shared" si="33"/>
        <v>0</v>
      </c>
      <c r="AX46" s="98">
        <f t="shared" si="34"/>
        <v>3768234.86</v>
      </c>
      <c r="AY46" s="77">
        <f t="shared" si="35"/>
        <v>3768234.86</v>
      </c>
      <c r="AZ46" s="97">
        <f>Calcs!BK51*AY46</f>
        <v>0</v>
      </c>
      <c r="BA46" s="97">
        <f t="shared" si="36"/>
        <v>0</v>
      </c>
      <c r="BB46" s="98">
        <f t="shared" si="37"/>
        <v>3768234.86</v>
      </c>
      <c r="BC46" s="77">
        <f t="shared" si="38"/>
        <v>3768234.86</v>
      </c>
      <c r="BD46" s="97"/>
      <c r="BE46" s="97"/>
      <c r="BF46" s="98"/>
      <c r="BG46" s="77">
        <f t="shared" si="39"/>
        <v>3768234.86</v>
      </c>
      <c r="BH46" s="97">
        <f>IF(Calcs!BJ51=FALSE,0,BG46)</f>
        <v>0</v>
      </c>
      <c r="BI46" s="97">
        <f t="shared" si="40"/>
        <v>0</v>
      </c>
      <c r="BJ46" s="98">
        <f t="shared" si="41"/>
        <v>3768234.86</v>
      </c>
      <c r="BK46" s="77">
        <f t="shared" si="42"/>
        <v>3768234.86</v>
      </c>
      <c r="BL46" s="97">
        <f>IF(Calcs!AW51=TRUE,BK46,0)</f>
        <v>0</v>
      </c>
      <c r="BM46" s="97">
        <f t="shared" si="43"/>
        <v>0</v>
      </c>
      <c r="BN46" s="98">
        <f t="shared" si="44"/>
        <v>3768234.86</v>
      </c>
      <c r="BO46" s="77">
        <f t="shared" si="45"/>
        <v>3768234.86</v>
      </c>
      <c r="BP46" s="97"/>
      <c r="BQ46" s="97">
        <f t="shared" si="46"/>
        <v>0</v>
      </c>
      <c r="BR46" s="98">
        <f t="shared" si="47"/>
        <v>3768234.86</v>
      </c>
      <c r="BS46" s="77">
        <f t="shared" si="48"/>
        <v>3768234.86</v>
      </c>
      <c r="BT46" s="97">
        <f>IF(Calcs!BB51=TRUE,'Concentration Limitations'!BS46,0)</f>
        <v>0</v>
      </c>
      <c r="BU46" s="97">
        <f t="shared" si="49"/>
        <v>0</v>
      </c>
      <c r="BV46" s="98">
        <f t="shared" si="50"/>
        <v>3768234.86</v>
      </c>
      <c r="BW46" s="77">
        <f t="shared" si="51"/>
        <v>3768234.86</v>
      </c>
      <c r="BX46" s="97">
        <f>IF(Calcs!BI51=TRUE,'Concentration Limitations'!BW46,0)</f>
        <v>0</v>
      </c>
      <c r="BY46" s="97">
        <f t="shared" si="52"/>
        <v>0</v>
      </c>
      <c r="BZ46" s="98">
        <f t="shared" si="53"/>
        <v>3768234.86</v>
      </c>
      <c r="CA46" s="97">
        <f t="shared" si="54"/>
        <v>3768234.86</v>
      </c>
      <c r="CB46" s="97"/>
      <c r="CC46" s="97"/>
      <c r="CD46" s="98">
        <f t="shared" si="55"/>
        <v>3768234.86</v>
      </c>
      <c r="CE46" s="97">
        <f t="shared" si="56"/>
        <v>3768234.86</v>
      </c>
      <c r="CF46" s="97"/>
      <c r="CG46" s="97"/>
      <c r="CH46" s="98">
        <f t="shared" si="57"/>
        <v>3768234.86</v>
      </c>
      <c r="CI46" s="97">
        <f t="shared" si="58"/>
        <v>3768234.86</v>
      </c>
      <c r="CJ46" s="97"/>
      <c r="CK46" s="97"/>
      <c r="CL46" s="98">
        <f t="shared" si="59"/>
        <v>3768234.86</v>
      </c>
      <c r="CM46" s="97">
        <f t="shared" si="60"/>
        <v>3768234.86</v>
      </c>
      <c r="CN46" s="97"/>
      <c r="CO46" s="97"/>
      <c r="CP46" s="98">
        <f t="shared" si="61"/>
        <v>3768234.86</v>
      </c>
      <c r="CQ46" s="97">
        <f t="shared" si="62"/>
        <v>3768234.86</v>
      </c>
      <c r="CR46" s="97"/>
      <c r="CS46" s="97">
        <f t="shared" si="63"/>
        <v>0</v>
      </c>
      <c r="CT46" s="98">
        <f t="shared" si="64"/>
        <v>3768234.86</v>
      </c>
      <c r="CU46" s="97">
        <f t="shared" si="65"/>
        <v>3768234.86</v>
      </c>
      <c r="CV46" s="97"/>
      <c r="CW46" s="97">
        <f t="shared" si="66"/>
        <v>0</v>
      </c>
      <c r="CX46" s="98">
        <f t="shared" si="67"/>
        <v>3768234.86</v>
      </c>
      <c r="CY46" s="97">
        <f t="shared" si="68"/>
        <v>3768234.86</v>
      </c>
      <c r="CZ46" s="97"/>
      <c r="DA46" s="97"/>
      <c r="DB46" s="98">
        <f t="shared" si="69"/>
        <v>3768234.86</v>
      </c>
      <c r="DC46" s="75">
        <f t="shared" si="70"/>
        <v>3768234.86</v>
      </c>
      <c r="DD46" s="97"/>
      <c r="DE46" s="97"/>
      <c r="DF46" s="98">
        <f t="shared" si="71"/>
        <v>3768234.86</v>
      </c>
      <c r="DG46" s="75">
        <f t="shared" si="72"/>
        <v>3768234.86</v>
      </c>
      <c r="DH46" s="78" t="str">
        <f>Calcs!F51</f>
        <v>Air Freight &amp; Logistics</v>
      </c>
      <c r="DI46" s="99">
        <f t="shared" ca="1" si="73"/>
        <v>0</v>
      </c>
      <c r="DJ46" s="98">
        <f t="shared" ca="1" si="74"/>
        <v>3768234.86</v>
      </c>
      <c r="DK46" s="293">
        <f t="shared" si="75"/>
        <v>19</v>
      </c>
      <c r="DL46" s="532" t="s">
        <v>1206</v>
      </c>
      <c r="DM46" s="36"/>
      <c r="DN46" s="36"/>
      <c r="DO46" s="36"/>
      <c r="DP46" s="36"/>
      <c r="DQ46" s="413" cm="1">
        <f t="array" ref="DQ46">+SUMPRODUCT((DL46=$DH$12:$DH$307)*($DG$12:$DG$307))/$N$6</f>
        <v>0</v>
      </c>
      <c r="DR46" s="414">
        <f t="shared" si="76"/>
        <v>19</v>
      </c>
      <c r="DS46" s="413" cm="1">
        <f t="array" aca="1" ref="DS46" ca="1">+SUMPRODUCT((DL46=$DH$12:$DH$307)*($DJ$12:$DJ$307))/$N$6</f>
        <v>0</v>
      </c>
      <c r="DT46" s="417">
        <f t="shared" ca="1" si="80"/>
        <v>19</v>
      </c>
      <c r="DU46" s="415">
        <f t="shared" si="77"/>
        <v>0.1</v>
      </c>
      <c r="DV46" s="416">
        <f t="shared" si="81"/>
        <v>0.1</v>
      </c>
    </row>
    <row r="47" spans="6:127">
      <c r="F47" s="2">
        <f t="shared" ca="1" si="79"/>
        <v>13</v>
      </c>
      <c r="G47" s="40" t="str">
        <f>Calcs!A52</f>
        <v>Omnia Exterior Solutions, LLC</v>
      </c>
      <c r="H47" s="68">
        <f t="shared" ca="1" si="8"/>
        <v>7118722.4500000002</v>
      </c>
      <c r="I47" s="96"/>
      <c r="J47" s="96"/>
      <c r="K47" s="63">
        <f>+IF(G47="","",IF(COUNTIF(G48:$G$307,G47)=0,1,0))</f>
        <v>1</v>
      </c>
      <c r="L47" s="75">
        <f>Calcs!U52</f>
        <v>7118722.4500000002</v>
      </c>
      <c r="M47">
        <f t="shared" si="82"/>
        <v>13</v>
      </c>
      <c r="N47" s="75">
        <f t="shared" si="85"/>
        <v>7118722.4500000002</v>
      </c>
      <c r="O47" s="75">
        <f t="shared" si="83"/>
        <v>7118722.4500000002</v>
      </c>
      <c r="P47" s="72">
        <f t="shared" si="10"/>
        <v>0.05</v>
      </c>
      <c r="Q47" s="72">
        <f t="shared" si="11"/>
        <v>1.1853749221367692E-2</v>
      </c>
      <c r="R47" s="61">
        <f t="shared" si="12"/>
        <v>0</v>
      </c>
      <c r="S47" s="68">
        <f t="shared" si="13"/>
        <v>7118722.4500000002</v>
      </c>
      <c r="T47" s="68">
        <f t="shared" si="84"/>
        <v>7118722.4500000002</v>
      </c>
      <c r="U47">
        <f t="array" aca="1" ref="U47" ca="1">SUM(1*(S47&lt;$S$12:$S$307))+1+IF(ROW(S47)-ROW($S$12)=0,0,SUM(1*(S47=OFFSET($S$12,0,0,INDEX(ROW(S47)-ROW($S$12)+1,1)-1,1))))</f>
        <v>13</v>
      </c>
      <c r="V47" s="96">
        <f t="shared" si="14"/>
        <v>7118722.4500000002</v>
      </c>
      <c r="W47" s="75">
        <f>Calcs!U52</f>
        <v>7118722.4500000002</v>
      </c>
      <c r="X47" s="78">
        <f>IFERROR(OR(Calcs!BH51,Calcs!BI51)*W47,0)</f>
        <v>0</v>
      </c>
      <c r="Y47" s="97">
        <f t="shared" si="15"/>
        <v>0</v>
      </c>
      <c r="Z47" s="98">
        <f t="shared" si="16"/>
        <v>7118722.4500000002</v>
      </c>
      <c r="AA47" s="77">
        <f t="shared" si="17"/>
        <v>7118722.4500000002</v>
      </c>
      <c r="AB47" s="78">
        <f>IF(AND(Calcs!BM52=TRUE),AA47,0)</f>
        <v>7118722.4500000002</v>
      </c>
      <c r="AC47" s="97">
        <f t="shared" si="18"/>
        <v>0</v>
      </c>
      <c r="AD47" s="98">
        <f t="shared" si="19"/>
        <v>7118722.4500000002</v>
      </c>
      <c r="AE47" s="77">
        <f t="shared" si="20"/>
        <v>7118722.4500000002</v>
      </c>
      <c r="AF47" s="78">
        <f>IF(Calcs!BY52&lt;15,AE47,0)</f>
        <v>0</v>
      </c>
      <c r="AG47" s="97">
        <f t="shared" si="21"/>
        <v>0</v>
      </c>
      <c r="AH47" s="98">
        <f t="shared" si="22"/>
        <v>7118722.4500000002</v>
      </c>
      <c r="AI47" s="77">
        <f t="shared" si="23"/>
        <v>7118722.4500000002</v>
      </c>
      <c r="AJ47" s="78">
        <f>IF(Calcs!BY52&lt;10,AE47,0)</f>
        <v>0</v>
      </c>
      <c r="AK47" s="97">
        <f t="shared" si="24"/>
        <v>0</v>
      </c>
      <c r="AL47" s="98">
        <f t="shared" si="25"/>
        <v>7118722.4500000002</v>
      </c>
      <c r="AM47" s="77">
        <f t="shared" si="26"/>
        <v>7118722.4500000002</v>
      </c>
      <c r="AN47" s="78">
        <f>NOT(Calcs!BD52)*AM47</f>
        <v>0</v>
      </c>
      <c r="AO47" s="97">
        <f t="shared" si="27"/>
        <v>0</v>
      </c>
      <c r="AP47" s="98">
        <f t="shared" si="28"/>
        <v>7118722.4500000002</v>
      </c>
      <c r="AQ47" s="77">
        <f t="shared" si="29"/>
        <v>7118722.4500000002</v>
      </c>
      <c r="AR47" s="78">
        <f>NOT(Calcs!BE52)*AQ47</f>
        <v>0</v>
      </c>
      <c r="AS47" s="97">
        <f t="shared" si="30"/>
        <v>0</v>
      </c>
      <c r="AT47" s="98">
        <f t="shared" si="31"/>
        <v>7118722.4500000002</v>
      </c>
      <c r="AU47" s="77">
        <f t="shared" si="32"/>
        <v>7118722.4500000002</v>
      </c>
      <c r="AV47" s="97">
        <f>IF(Calcs!BC52=TRUE, AU47, 0)</f>
        <v>0</v>
      </c>
      <c r="AW47" s="97">
        <f t="shared" si="33"/>
        <v>0</v>
      </c>
      <c r="AX47" s="98">
        <f t="shared" si="34"/>
        <v>7118722.4500000002</v>
      </c>
      <c r="AY47" s="77">
        <f t="shared" si="35"/>
        <v>7118722.4500000002</v>
      </c>
      <c r="AZ47" s="97">
        <f>Calcs!BK52*AY47</f>
        <v>0</v>
      </c>
      <c r="BA47" s="97">
        <f t="shared" si="36"/>
        <v>0</v>
      </c>
      <c r="BB47" s="98">
        <f t="shared" si="37"/>
        <v>7118722.4500000002</v>
      </c>
      <c r="BC47" s="77">
        <f t="shared" si="38"/>
        <v>7118722.4500000002</v>
      </c>
      <c r="BD47" s="97"/>
      <c r="BE47" s="97"/>
      <c r="BF47" s="98"/>
      <c r="BG47" s="77">
        <f t="shared" si="39"/>
        <v>7118722.4500000002</v>
      </c>
      <c r="BH47" s="97">
        <f>IF(Calcs!BJ52=FALSE,0,BG47)</f>
        <v>0</v>
      </c>
      <c r="BI47" s="97">
        <f t="shared" si="40"/>
        <v>0</v>
      </c>
      <c r="BJ47" s="98">
        <f t="shared" si="41"/>
        <v>7118722.4500000002</v>
      </c>
      <c r="BK47" s="77">
        <f t="shared" si="42"/>
        <v>7118722.4500000002</v>
      </c>
      <c r="BL47" s="97">
        <f>IF(Calcs!AW52=TRUE,BK47,0)</f>
        <v>0</v>
      </c>
      <c r="BM47" s="97">
        <f t="shared" si="43"/>
        <v>0</v>
      </c>
      <c r="BN47" s="98">
        <f t="shared" si="44"/>
        <v>7118722.4500000002</v>
      </c>
      <c r="BO47" s="77">
        <f t="shared" si="45"/>
        <v>7118722.4500000002</v>
      </c>
      <c r="BP47" s="97"/>
      <c r="BQ47" s="97">
        <f t="shared" si="46"/>
        <v>0</v>
      </c>
      <c r="BR47" s="98">
        <f t="shared" si="47"/>
        <v>7118722.4500000002</v>
      </c>
      <c r="BS47" s="77">
        <f t="shared" si="48"/>
        <v>7118722.4500000002</v>
      </c>
      <c r="BT47" s="97">
        <f>IF(Calcs!BB52=TRUE,'Concentration Limitations'!BS47,0)</f>
        <v>0</v>
      </c>
      <c r="BU47" s="97">
        <f t="shared" si="49"/>
        <v>0</v>
      </c>
      <c r="BV47" s="98">
        <f t="shared" si="50"/>
        <v>7118722.4500000002</v>
      </c>
      <c r="BW47" s="77">
        <f t="shared" si="51"/>
        <v>7118722.4500000002</v>
      </c>
      <c r="BX47" s="97">
        <f>IF(Calcs!BI52=TRUE,'Concentration Limitations'!BW47,0)</f>
        <v>0</v>
      </c>
      <c r="BY47" s="97">
        <f t="shared" si="52"/>
        <v>0</v>
      </c>
      <c r="BZ47" s="98">
        <f t="shared" si="53"/>
        <v>7118722.4500000002</v>
      </c>
      <c r="CA47" s="97">
        <f t="shared" si="54"/>
        <v>7118722.4500000002</v>
      </c>
      <c r="CB47" s="97"/>
      <c r="CC47" s="97"/>
      <c r="CD47" s="98">
        <f t="shared" si="55"/>
        <v>7118722.4500000002</v>
      </c>
      <c r="CE47" s="97">
        <f t="shared" si="56"/>
        <v>7118722.4500000002</v>
      </c>
      <c r="CF47" s="97"/>
      <c r="CG47" s="97"/>
      <c r="CH47" s="98">
        <f t="shared" si="57"/>
        <v>7118722.4500000002</v>
      </c>
      <c r="CI47" s="97">
        <f t="shared" si="58"/>
        <v>7118722.4500000002</v>
      </c>
      <c r="CJ47" s="97"/>
      <c r="CK47" s="97"/>
      <c r="CL47" s="98">
        <f t="shared" si="59"/>
        <v>7118722.4500000002</v>
      </c>
      <c r="CM47" s="97">
        <f t="shared" si="60"/>
        <v>7118722.4500000002</v>
      </c>
      <c r="CN47" s="97"/>
      <c r="CO47" s="97"/>
      <c r="CP47" s="98">
        <f t="shared" si="61"/>
        <v>7118722.4500000002</v>
      </c>
      <c r="CQ47" s="97">
        <f t="shared" si="62"/>
        <v>7118722.4500000002</v>
      </c>
      <c r="CR47" s="97"/>
      <c r="CS47" s="97">
        <f t="shared" si="63"/>
        <v>0</v>
      </c>
      <c r="CT47" s="98">
        <f t="shared" si="64"/>
        <v>7118722.4500000002</v>
      </c>
      <c r="CU47" s="97">
        <f t="shared" si="65"/>
        <v>7118722.4500000002</v>
      </c>
      <c r="CV47" s="97"/>
      <c r="CW47" s="97">
        <f t="shared" si="66"/>
        <v>0</v>
      </c>
      <c r="CX47" s="98">
        <f t="shared" si="67"/>
        <v>7118722.4500000002</v>
      </c>
      <c r="CY47" s="97">
        <f t="shared" si="68"/>
        <v>7118722.4500000002</v>
      </c>
      <c r="CZ47" s="97"/>
      <c r="DA47" s="97"/>
      <c r="DB47" s="98">
        <f t="shared" si="69"/>
        <v>7118722.4500000002</v>
      </c>
      <c r="DC47" s="75">
        <f t="shared" si="70"/>
        <v>7118722.4500000002</v>
      </c>
      <c r="DD47" s="97"/>
      <c r="DE47" s="97"/>
      <c r="DF47" s="98">
        <f t="shared" si="71"/>
        <v>7118722.4500000002</v>
      </c>
      <c r="DG47" s="75">
        <f t="shared" si="72"/>
        <v>7118722.4500000002</v>
      </c>
      <c r="DH47" s="78" t="str">
        <f>Calcs!F52</f>
        <v>Diversified Consumer Services</v>
      </c>
      <c r="DI47" s="99">
        <f t="shared" ca="1" si="73"/>
        <v>0</v>
      </c>
      <c r="DJ47" s="98">
        <f t="shared" ca="1" si="74"/>
        <v>7118722.4500000002</v>
      </c>
      <c r="DK47" s="293">
        <f t="shared" si="75"/>
        <v>19</v>
      </c>
      <c r="DL47" s="532" t="s">
        <v>1173</v>
      </c>
      <c r="DM47" s="36"/>
      <c r="DN47" s="36"/>
      <c r="DO47" s="36"/>
      <c r="DP47" s="36"/>
      <c r="DQ47" s="413" cm="1">
        <f t="array" ref="DQ47">+SUMPRODUCT((DL47=$DH$12:$DH$307)*($DG$12:$DG$307))/$N$6</f>
        <v>0</v>
      </c>
      <c r="DR47" s="414">
        <f t="shared" si="76"/>
        <v>19</v>
      </c>
      <c r="DS47" s="413" cm="1">
        <f t="array" aca="1" ref="DS47" ca="1">+SUMPRODUCT((DL47=$DH$12:$DH$307)*($DJ$12:$DJ$307))/$N$6</f>
        <v>0</v>
      </c>
      <c r="DT47" s="417">
        <f t="shared" ca="1" si="80"/>
        <v>19</v>
      </c>
      <c r="DU47" s="415">
        <f t="shared" si="77"/>
        <v>0.1</v>
      </c>
      <c r="DV47" s="416">
        <f t="shared" si="81"/>
        <v>0.1</v>
      </c>
    </row>
    <row r="48" spans="6:127">
      <c r="F48" s="2">
        <f t="shared" ca="1" si="79"/>
        <v>57</v>
      </c>
      <c r="G48" s="40" t="str">
        <f>Calcs!A53</f>
        <v>PAR Excellence</v>
      </c>
      <c r="H48" s="68">
        <f t="shared" ca="1" si="8"/>
        <v>995000</v>
      </c>
      <c r="I48" s="96"/>
      <c r="J48" s="96"/>
      <c r="K48" s="63">
        <f>+IF(G48="","",IF(COUNTIF(G49:$G$307,G48)=0,1,0))</f>
        <v>1</v>
      </c>
      <c r="L48" s="75">
        <f>Calcs!U53</f>
        <v>995000</v>
      </c>
      <c r="M48">
        <f t="shared" si="82"/>
        <v>57</v>
      </c>
      <c r="N48" s="75">
        <f t="shared" si="85"/>
        <v>995000</v>
      </c>
      <c r="O48" s="75">
        <f t="shared" si="83"/>
        <v>995000</v>
      </c>
      <c r="P48" s="72">
        <f t="shared" si="10"/>
        <v>0.05</v>
      </c>
      <c r="Q48" s="72">
        <f t="shared" si="11"/>
        <v>1.6568254427816404E-3</v>
      </c>
      <c r="R48" s="61">
        <f t="shared" si="12"/>
        <v>0</v>
      </c>
      <c r="S48" s="68">
        <f t="shared" si="13"/>
        <v>995000</v>
      </c>
      <c r="T48" s="68">
        <f t="shared" si="84"/>
        <v>995000</v>
      </c>
      <c r="U48">
        <f t="array" aca="1" ref="U48" ca="1">SUM(1*(S48&lt;$S$12:$S$307))+1+IF(ROW(S48)-ROW($S$12)=0,0,SUM(1*(S48=OFFSET($S$12,0,0,INDEX(ROW(S48)-ROW($S$12)+1,1)-1,1))))</f>
        <v>57</v>
      </c>
      <c r="V48" s="96">
        <f t="shared" si="14"/>
        <v>995000</v>
      </c>
      <c r="W48" s="75">
        <f>Calcs!U53</f>
        <v>995000</v>
      </c>
      <c r="X48" s="78">
        <f>IFERROR(OR(Calcs!BH52,Calcs!BI52)*W48,0)</f>
        <v>0</v>
      </c>
      <c r="Y48" s="97">
        <f t="shared" si="15"/>
        <v>0</v>
      </c>
      <c r="Z48" s="98">
        <f t="shared" si="16"/>
        <v>995000</v>
      </c>
      <c r="AA48" s="77">
        <f t="shared" si="17"/>
        <v>995000</v>
      </c>
      <c r="AB48" s="78">
        <f>IF(AND(Calcs!BM53=TRUE),AA48,0)</f>
        <v>0</v>
      </c>
      <c r="AC48" s="97">
        <f t="shared" si="18"/>
        <v>0</v>
      </c>
      <c r="AD48" s="98">
        <f t="shared" si="19"/>
        <v>995000</v>
      </c>
      <c r="AE48" s="77">
        <f t="shared" si="20"/>
        <v>995000</v>
      </c>
      <c r="AF48" s="78">
        <f>IF(Calcs!BY53&lt;15,AE48,0)</f>
        <v>0</v>
      </c>
      <c r="AG48" s="97">
        <f t="shared" si="21"/>
        <v>0</v>
      </c>
      <c r="AH48" s="98">
        <f t="shared" si="22"/>
        <v>995000</v>
      </c>
      <c r="AI48" s="77">
        <f t="shared" si="23"/>
        <v>995000</v>
      </c>
      <c r="AJ48" s="78">
        <f>IF(Calcs!BY53&lt;10,AE48,0)</f>
        <v>0</v>
      </c>
      <c r="AK48" s="97">
        <f t="shared" si="24"/>
        <v>0</v>
      </c>
      <c r="AL48" s="98">
        <f t="shared" si="25"/>
        <v>995000</v>
      </c>
      <c r="AM48" s="77">
        <f t="shared" si="26"/>
        <v>995000</v>
      </c>
      <c r="AN48" s="78">
        <f>NOT(Calcs!BD53)*AM48</f>
        <v>0</v>
      </c>
      <c r="AO48" s="97">
        <f t="shared" si="27"/>
        <v>0</v>
      </c>
      <c r="AP48" s="98">
        <f t="shared" si="28"/>
        <v>995000</v>
      </c>
      <c r="AQ48" s="77">
        <f t="shared" si="29"/>
        <v>995000</v>
      </c>
      <c r="AR48" s="78">
        <f>NOT(Calcs!BE53)*AQ48</f>
        <v>0</v>
      </c>
      <c r="AS48" s="97">
        <f t="shared" si="30"/>
        <v>0</v>
      </c>
      <c r="AT48" s="98">
        <f t="shared" si="31"/>
        <v>995000</v>
      </c>
      <c r="AU48" s="77">
        <f t="shared" si="32"/>
        <v>995000</v>
      </c>
      <c r="AV48" s="97">
        <f>IF(Calcs!BC53=TRUE, AU48, 0)</f>
        <v>0</v>
      </c>
      <c r="AW48" s="97">
        <f t="shared" si="33"/>
        <v>0</v>
      </c>
      <c r="AX48" s="98">
        <f t="shared" si="34"/>
        <v>995000</v>
      </c>
      <c r="AY48" s="77">
        <f t="shared" si="35"/>
        <v>995000</v>
      </c>
      <c r="AZ48" s="97">
        <f>Calcs!BK53*AY48</f>
        <v>0</v>
      </c>
      <c r="BA48" s="97">
        <f t="shared" si="36"/>
        <v>0</v>
      </c>
      <c r="BB48" s="98">
        <f t="shared" si="37"/>
        <v>995000</v>
      </c>
      <c r="BC48" s="77">
        <f t="shared" si="38"/>
        <v>995000</v>
      </c>
      <c r="BD48" s="97"/>
      <c r="BE48" s="97"/>
      <c r="BF48" s="98"/>
      <c r="BG48" s="77">
        <f t="shared" si="39"/>
        <v>995000</v>
      </c>
      <c r="BH48" s="97">
        <f>IF(Calcs!BJ53=FALSE,0,BG48)</f>
        <v>0</v>
      </c>
      <c r="BI48" s="97">
        <f t="shared" si="40"/>
        <v>0</v>
      </c>
      <c r="BJ48" s="98">
        <f t="shared" si="41"/>
        <v>995000</v>
      </c>
      <c r="BK48" s="77">
        <f t="shared" si="42"/>
        <v>995000</v>
      </c>
      <c r="BL48" s="97">
        <f>IF(Calcs!AW53=TRUE,BK48,0)</f>
        <v>0</v>
      </c>
      <c r="BM48" s="97">
        <f t="shared" si="43"/>
        <v>0</v>
      </c>
      <c r="BN48" s="98">
        <f t="shared" si="44"/>
        <v>995000</v>
      </c>
      <c r="BO48" s="77">
        <f t="shared" si="45"/>
        <v>995000</v>
      </c>
      <c r="BP48" s="97"/>
      <c r="BQ48" s="97">
        <f t="shared" si="46"/>
        <v>0</v>
      </c>
      <c r="BR48" s="98">
        <f t="shared" si="47"/>
        <v>995000</v>
      </c>
      <c r="BS48" s="77">
        <f t="shared" si="48"/>
        <v>995000</v>
      </c>
      <c r="BT48" s="97">
        <f>IF(Calcs!BB53=TRUE,'Concentration Limitations'!BS48,0)</f>
        <v>0</v>
      </c>
      <c r="BU48" s="97">
        <f t="shared" si="49"/>
        <v>0</v>
      </c>
      <c r="BV48" s="98">
        <f t="shared" si="50"/>
        <v>995000</v>
      </c>
      <c r="BW48" s="77">
        <f t="shared" si="51"/>
        <v>995000</v>
      </c>
      <c r="BX48" s="97">
        <f>IF(Calcs!BI53=TRUE,'Concentration Limitations'!BW48,0)</f>
        <v>0</v>
      </c>
      <c r="BY48" s="97">
        <f t="shared" si="52"/>
        <v>0</v>
      </c>
      <c r="BZ48" s="98">
        <f t="shared" si="53"/>
        <v>995000</v>
      </c>
      <c r="CA48" s="97">
        <f t="shared" si="54"/>
        <v>995000</v>
      </c>
      <c r="CB48" s="97"/>
      <c r="CC48" s="97"/>
      <c r="CD48" s="98">
        <f t="shared" si="55"/>
        <v>995000</v>
      </c>
      <c r="CE48" s="97">
        <f t="shared" si="56"/>
        <v>995000</v>
      </c>
      <c r="CF48" s="97"/>
      <c r="CG48" s="97"/>
      <c r="CH48" s="98">
        <f t="shared" si="57"/>
        <v>995000</v>
      </c>
      <c r="CI48" s="97">
        <f t="shared" si="58"/>
        <v>995000</v>
      </c>
      <c r="CJ48" s="97"/>
      <c r="CK48" s="97"/>
      <c r="CL48" s="98">
        <f t="shared" si="59"/>
        <v>995000</v>
      </c>
      <c r="CM48" s="97">
        <f t="shared" si="60"/>
        <v>995000</v>
      </c>
      <c r="CN48" s="97"/>
      <c r="CO48" s="97"/>
      <c r="CP48" s="98">
        <f t="shared" si="61"/>
        <v>995000</v>
      </c>
      <c r="CQ48" s="97">
        <f t="shared" si="62"/>
        <v>995000</v>
      </c>
      <c r="CR48" s="97"/>
      <c r="CS48" s="97">
        <f t="shared" si="63"/>
        <v>0</v>
      </c>
      <c r="CT48" s="98">
        <f t="shared" si="64"/>
        <v>995000</v>
      </c>
      <c r="CU48" s="97">
        <f t="shared" si="65"/>
        <v>995000</v>
      </c>
      <c r="CV48" s="97"/>
      <c r="CW48" s="97">
        <f t="shared" si="66"/>
        <v>0</v>
      </c>
      <c r="CX48" s="98">
        <f t="shared" si="67"/>
        <v>995000</v>
      </c>
      <c r="CY48" s="97">
        <f t="shared" si="68"/>
        <v>995000</v>
      </c>
      <c r="CZ48" s="97"/>
      <c r="DA48" s="97"/>
      <c r="DB48" s="98">
        <f t="shared" si="69"/>
        <v>995000</v>
      </c>
      <c r="DC48" s="75">
        <f t="shared" si="70"/>
        <v>995000</v>
      </c>
      <c r="DD48" s="97"/>
      <c r="DE48" s="97"/>
      <c r="DF48" s="98">
        <f t="shared" si="71"/>
        <v>995000</v>
      </c>
      <c r="DG48" s="75">
        <f t="shared" si="72"/>
        <v>995000</v>
      </c>
      <c r="DH48" s="78" t="str">
        <f>Calcs!F53</f>
        <v>Health Care Technology</v>
      </c>
      <c r="DI48" s="99">
        <f t="shared" ca="1" si="73"/>
        <v>0</v>
      </c>
      <c r="DJ48" s="98">
        <f t="shared" ca="1" si="74"/>
        <v>995000</v>
      </c>
      <c r="DK48" s="293">
        <f t="shared" si="75"/>
        <v>19</v>
      </c>
      <c r="DL48" s="532" t="s">
        <v>1205</v>
      </c>
      <c r="DM48" s="36"/>
      <c r="DN48" s="36"/>
      <c r="DO48" s="36"/>
      <c r="DP48" s="36"/>
      <c r="DQ48" s="413" cm="1">
        <f t="array" ref="DQ48">+SUMPRODUCT((DL48=$DH$12:$DH$307)*($DG$12:$DG$307))/$N$6</f>
        <v>0</v>
      </c>
      <c r="DR48" s="414">
        <f t="shared" si="76"/>
        <v>19</v>
      </c>
      <c r="DS48" s="413" cm="1">
        <f t="array" aca="1" ref="DS48" ca="1">+SUMPRODUCT((DL48=$DH$12:$DH$307)*($DJ$12:$DJ$307))/$N$6</f>
        <v>0</v>
      </c>
      <c r="DT48" s="417">
        <f t="shared" ca="1" si="80"/>
        <v>19</v>
      </c>
      <c r="DU48" s="415">
        <f t="shared" si="77"/>
        <v>0.1</v>
      </c>
      <c r="DV48" s="416">
        <f t="shared" si="81"/>
        <v>0.1</v>
      </c>
    </row>
    <row r="49" spans="6:126">
      <c r="F49" s="2">
        <f t="shared" ca="1" si="79"/>
        <v>70</v>
      </c>
      <c r="G49" s="40" t="str">
        <f>Calcs!A54</f>
        <v>PL Acquisitionco, LLC</v>
      </c>
      <c r="H49" s="68">
        <f t="shared" ca="1" si="8"/>
        <v>0</v>
      </c>
      <c r="I49" s="96"/>
      <c r="J49" s="96"/>
      <c r="K49" s="63">
        <f>+IF(G49="","",IF(COUNTIF(G50:$G$307,G49)=0,1,0))</f>
        <v>1</v>
      </c>
      <c r="L49" s="75">
        <f>Calcs!U54</f>
        <v>0</v>
      </c>
      <c r="M49">
        <f t="shared" si="82"/>
        <v>69</v>
      </c>
      <c r="N49" s="75">
        <f t="shared" si="85"/>
        <v>0</v>
      </c>
      <c r="O49" s="75">
        <f t="shared" si="83"/>
        <v>0</v>
      </c>
      <c r="P49" s="72">
        <f t="shared" si="10"/>
        <v>0.05</v>
      </c>
      <c r="Q49" s="72">
        <f t="shared" si="11"/>
        <v>0</v>
      </c>
      <c r="R49" s="61">
        <f t="shared" si="12"/>
        <v>0</v>
      </c>
      <c r="S49" s="68">
        <f t="shared" si="13"/>
        <v>0</v>
      </c>
      <c r="T49" s="68">
        <f t="shared" si="84"/>
        <v>0</v>
      </c>
      <c r="U49">
        <f t="array" aca="1" ref="U49" ca="1">SUM(1*(S49&lt;$S$12:$S$307))+1+IF(ROW(S49)-ROW($S$12)=0,0,SUM(1*(S49=OFFSET($S$12,0,0,INDEX(ROW(S49)-ROW($S$12)+1,1)-1,1))))</f>
        <v>70</v>
      </c>
      <c r="V49" s="96">
        <f t="shared" si="14"/>
        <v>0</v>
      </c>
      <c r="W49" s="75">
        <f>Calcs!U54</f>
        <v>0</v>
      </c>
      <c r="X49" s="78">
        <f>IFERROR(OR(Calcs!BH53,Calcs!BI53)*W49,0)</f>
        <v>0</v>
      </c>
      <c r="Y49" s="97">
        <f t="shared" si="15"/>
        <v>0</v>
      </c>
      <c r="Z49" s="98">
        <f t="shared" si="16"/>
        <v>0</v>
      </c>
      <c r="AA49" s="77">
        <f t="shared" si="17"/>
        <v>0</v>
      </c>
      <c r="AB49" s="78">
        <f>IF(AND(Calcs!BM54=TRUE),AA49,0)</f>
        <v>0</v>
      </c>
      <c r="AC49" s="97">
        <f t="shared" si="18"/>
        <v>0</v>
      </c>
      <c r="AD49" s="98">
        <f t="shared" si="19"/>
        <v>0</v>
      </c>
      <c r="AE49" s="77">
        <f t="shared" si="20"/>
        <v>0</v>
      </c>
      <c r="AF49" s="78">
        <f>IF(Calcs!BY54&lt;15,AE49,0)</f>
        <v>0</v>
      </c>
      <c r="AG49" s="97">
        <f t="shared" si="21"/>
        <v>0</v>
      </c>
      <c r="AH49" s="98">
        <f t="shared" si="22"/>
        <v>0</v>
      </c>
      <c r="AI49" s="77">
        <f t="shared" si="23"/>
        <v>0</v>
      </c>
      <c r="AJ49" s="78">
        <f>IF(Calcs!BY54&lt;10,AE49,0)</f>
        <v>0</v>
      </c>
      <c r="AK49" s="97">
        <f t="shared" si="24"/>
        <v>0</v>
      </c>
      <c r="AL49" s="98">
        <f t="shared" si="25"/>
        <v>0</v>
      </c>
      <c r="AM49" s="77">
        <f t="shared" si="26"/>
        <v>0</v>
      </c>
      <c r="AN49" s="78">
        <f>NOT(Calcs!BD54)*AM49</f>
        <v>0</v>
      </c>
      <c r="AO49" s="97">
        <f t="shared" si="27"/>
        <v>0</v>
      </c>
      <c r="AP49" s="98">
        <f t="shared" si="28"/>
        <v>0</v>
      </c>
      <c r="AQ49" s="77">
        <f t="shared" si="29"/>
        <v>0</v>
      </c>
      <c r="AR49" s="78">
        <f>NOT(Calcs!BE54)*AQ49</f>
        <v>0</v>
      </c>
      <c r="AS49" s="97">
        <f t="shared" si="30"/>
        <v>0</v>
      </c>
      <c r="AT49" s="98">
        <f t="shared" si="31"/>
        <v>0</v>
      </c>
      <c r="AU49" s="77">
        <f t="shared" si="32"/>
        <v>0</v>
      </c>
      <c r="AV49" s="97">
        <f>IF(Calcs!BC54=TRUE, AU49, 0)</f>
        <v>0</v>
      </c>
      <c r="AW49" s="97">
        <f t="shared" si="33"/>
        <v>0</v>
      </c>
      <c r="AX49" s="98">
        <f t="shared" si="34"/>
        <v>0</v>
      </c>
      <c r="AY49" s="77">
        <f t="shared" si="35"/>
        <v>0</v>
      </c>
      <c r="AZ49" s="97">
        <f>Calcs!BK54*AY49</f>
        <v>0</v>
      </c>
      <c r="BA49" s="97">
        <f t="shared" si="36"/>
        <v>0</v>
      </c>
      <c r="BB49" s="98">
        <f t="shared" si="37"/>
        <v>0</v>
      </c>
      <c r="BC49" s="77">
        <f t="shared" si="38"/>
        <v>0</v>
      </c>
      <c r="BD49" s="97"/>
      <c r="BE49" s="97"/>
      <c r="BF49" s="98"/>
      <c r="BG49" s="77">
        <f t="shared" si="39"/>
        <v>0</v>
      </c>
      <c r="BH49" s="97">
        <f>IF(Calcs!BJ54=FALSE,0,BG49)</f>
        <v>0</v>
      </c>
      <c r="BI49" s="97">
        <f t="shared" si="40"/>
        <v>0</v>
      </c>
      <c r="BJ49" s="98">
        <f t="shared" si="41"/>
        <v>0</v>
      </c>
      <c r="BK49" s="77">
        <f t="shared" si="42"/>
        <v>0</v>
      </c>
      <c r="BL49" s="97">
        <f>IF(Calcs!AW54=TRUE,BK49,0)</f>
        <v>0</v>
      </c>
      <c r="BM49" s="97">
        <f t="shared" si="43"/>
        <v>0</v>
      </c>
      <c r="BN49" s="98">
        <f t="shared" si="44"/>
        <v>0</v>
      </c>
      <c r="BO49" s="77">
        <f t="shared" si="45"/>
        <v>0</v>
      </c>
      <c r="BP49" s="97"/>
      <c r="BQ49" s="97">
        <f t="shared" si="46"/>
        <v>0</v>
      </c>
      <c r="BR49" s="98">
        <f t="shared" si="47"/>
        <v>0</v>
      </c>
      <c r="BS49" s="77">
        <f t="shared" si="48"/>
        <v>0</v>
      </c>
      <c r="BT49" s="97">
        <f>IF(Calcs!BB54=TRUE,'Concentration Limitations'!BS49,0)</f>
        <v>0</v>
      </c>
      <c r="BU49" s="97">
        <f t="shared" si="49"/>
        <v>0</v>
      </c>
      <c r="BV49" s="98">
        <f t="shared" si="50"/>
        <v>0</v>
      </c>
      <c r="BW49" s="77">
        <f t="shared" si="51"/>
        <v>0</v>
      </c>
      <c r="BX49" s="97">
        <f>IF(Calcs!BI54=TRUE,'Concentration Limitations'!BW49,0)</f>
        <v>0</v>
      </c>
      <c r="BY49" s="97">
        <f t="shared" si="52"/>
        <v>0</v>
      </c>
      <c r="BZ49" s="98">
        <f t="shared" si="53"/>
        <v>0</v>
      </c>
      <c r="CA49" s="97">
        <f t="shared" si="54"/>
        <v>0</v>
      </c>
      <c r="CB49" s="97"/>
      <c r="CC49" s="97"/>
      <c r="CD49" s="98">
        <f t="shared" si="55"/>
        <v>0</v>
      </c>
      <c r="CE49" s="97">
        <f t="shared" si="56"/>
        <v>0</v>
      </c>
      <c r="CF49" s="97"/>
      <c r="CG49" s="97"/>
      <c r="CH49" s="98">
        <f t="shared" si="57"/>
        <v>0</v>
      </c>
      <c r="CI49" s="97">
        <f t="shared" si="58"/>
        <v>0</v>
      </c>
      <c r="CJ49" s="97"/>
      <c r="CK49" s="97"/>
      <c r="CL49" s="98">
        <f t="shared" si="59"/>
        <v>0</v>
      </c>
      <c r="CM49" s="97">
        <f t="shared" si="60"/>
        <v>0</v>
      </c>
      <c r="CN49" s="97"/>
      <c r="CO49" s="97"/>
      <c r="CP49" s="98">
        <f t="shared" si="61"/>
        <v>0</v>
      </c>
      <c r="CQ49" s="97">
        <f t="shared" si="62"/>
        <v>0</v>
      </c>
      <c r="CR49" s="97"/>
      <c r="CS49" s="97">
        <f t="shared" si="63"/>
        <v>0</v>
      </c>
      <c r="CT49" s="98">
        <f t="shared" si="64"/>
        <v>0</v>
      </c>
      <c r="CU49" s="97">
        <f t="shared" si="65"/>
        <v>0</v>
      </c>
      <c r="CV49" s="97"/>
      <c r="CW49" s="97">
        <f t="shared" si="66"/>
        <v>0</v>
      </c>
      <c r="CX49" s="98">
        <f t="shared" si="67"/>
        <v>0</v>
      </c>
      <c r="CY49" s="97">
        <f t="shared" si="68"/>
        <v>0</v>
      </c>
      <c r="CZ49" s="97"/>
      <c r="DA49" s="97"/>
      <c r="DB49" s="98">
        <f t="shared" si="69"/>
        <v>0</v>
      </c>
      <c r="DC49" s="75">
        <f t="shared" si="70"/>
        <v>0</v>
      </c>
      <c r="DD49" s="97"/>
      <c r="DE49" s="97"/>
      <c r="DF49" s="98">
        <f t="shared" si="71"/>
        <v>0</v>
      </c>
      <c r="DG49" s="75">
        <f t="shared" si="72"/>
        <v>0</v>
      </c>
      <c r="DH49" s="78" t="str">
        <f>Calcs!F54</f>
        <v>Specialty Retail</v>
      </c>
      <c r="DI49" s="99">
        <f t="shared" ca="1" si="73"/>
        <v>0</v>
      </c>
      <c r="DJ49" s="98">
        <f t="shared" ca="1" si="74"/>
        <v>0</v>
      </c>
      <c r="DK49" s="293">
        <f t="shared" si="75"/>
        <v>19</v>
      </c>
      <c r="DL49" s="532" t="s">
        <v>191</v>
      </c>
      <c r="DM49" s="36"/>
      <c r="DN49" s="36"/>
      <c r="DO49" s="36"/>
      <c r="DP49" s="36"/>
      <c r="DQ49" s="413" cm="1">
        <f t="array" ref="DQ49">+SUMPRODUCT((DL49=$DH$12:$DH$307)*($DG$12:$DG$307))/$N$6</f>
        <v>0</v>
      </c>
      <c r="DR49" s="414">
        <f t="shared" si="76"/>
        <v>19</v>
      </c>
      <c r="DS49" s="413" cm="1">
        <f t="array" aca="1" ref="DS49" ca="1">+SUMPRODUCT((DL49=$DH$12:$DH$307)*($DJ$12:$DJ$307))/$N$6</f>
        <v>0</v>
      </c>
      <c r="DT49" s="417">
        <f t="shared" ca="1" si="80"/>
        <v>19</v>
      </c>
      <c r="DU49" s="415">
        <f t="shared" si="77"/>
        <v>0.1</v>
      </c>
      <c r="DV49" s="416">
        <f t="shared" si="81"/>
        <v>0.1</v>
      </c>
    </row>
    <row r="50" spans="6:126">
      <c r="F50" s="2">
        <f t="shared" ca="1" si="79"/>
        <v>7</v>
      </c>
      <c r="G50" s="40" t="str">
        <f>Calcs!A55</f>
        <v>Radius Aerospace</v>
      </c>
      <c r="H50" s="68">
        <f t="shared" ca="1" si="8"/>
        <v>11810532.25</v>
      </c>
      <c r="I50" s="96"/>
      <c r="J50" s="96"/>
      <c r="K50" s="63">
        <f>+IF(G50="","",IF(COUNTIF(G51:$G$307,G50)=0,1,0))</f>
        <v>1</v>
      </c>
      <c r="L50" s="75">
        <f>Calcs!U55</f>
        <v>11810532.25</v>
      </c>
      <c r="M50">
        <f t="shared" si="82"/>
        <v>7</v>
      </c>
      <c r="N50" s="75">
        <f t="shared" si="85"/>
        <v>11810532.25</v>
      </c>
      <c r="O50" s="75">
        <f t="shared" si="83"/>
        <v>11810532.25</v>
      </c>
      <c r="P50" s="72">
        <f t="shared" si="10"/>
        <v>0.05</v>
      </c>
      <c r="Q50" s="72">
        <f t="shared" si="11"/>
        <v>1.9666321934264416E-2</v>
      </c>
      <c r="R50" s="61">
        <f t="shared" si="12"/>
        <v>0</v>
      </c>
      <c r="S50" s="68">
        <f t="shared" si="13"/>
        <v>11810532.25</v>
      </c>
      <c r="T50" s="68">
        <f t="shared" si="84"/>
        <v>11810532.25</v>
      </c>
      <c r="U50">
        <f t="array" aca="1" ref="U50" ca="1">SUM(1*(S50&lt;$S$12:$S$307))+1+IF(ROW(S50)-ROW($S$12)=0,0,SUM(1*(S50=OFFSET($S$12,0,0,INDEX(ROW(S50)-ROW($S$12)+1,1)-1,1))))</f>
        <v>7</v>
      </c>
      <c r="V50" s="96">
        <f t="shared" si="14"/>
        <v>11810532.25</v>
      </c>
      <c r="W50" s="75">
        <f>Calcs!U55</f>
        <v>11810532.25</v>
      </c>
      <c r="X50" s="78">
        <f>IFERROR(OR(Calcs!BH54,Calcs!BI54)*W50,0)</f>
        <v>0</v>
      </c>
      <c r="Y50" s="97">
        <f t="shared" si="15"/>
        <v>0</v>
      </c>
      <c r="Z50" s="98">
        <f t="shared" si="16"/>
        <v>11810532.25</v>
      </c>
      <c r="AA50" s="77">
        <f t="shared" si="17"/>
        <v>11810532.25</v>
      </c>
      <c r="AB50" s="78">
        <f>IF(AND(Calcs!BM55=TRUE),AA50,0)</f>
        <v>0</v>
      </c>
      <c r="AC50" s="97">
        <f t="shared" si="18"/>
        <v>0</v>
      </c>
      <c r="AD50" s="98">
        <f t="shared" si="19"/>
        <v>11810532.25</v>
      </c>
      <c r="AE50" s="77">
        <f t="shared" si="20"/>
        <v>11810532.25</v>
      </c>
      <c r="AF50" s="78">
        <f>IF(Calcs!BY55&lt;15,AE50,0)</f>
        <v>0</v>
      </c>
      <c r="AG50" s="97">
        <f t="shared" si="21"/>
        <v>0</v>
      </c>
      <c r="AH50" s="98">
        <f t="shared" si="22"/>
        <v>11810532.25</v>
      </c>
      <c r="AI50" s="77">
        <f t="shared" si="23"/>
        <v>11810532.25</v>
      </c>
      <c r="AJ50" s="78">
        <f>IF(Calcs!BY55&lt;10,AE50,0)</f>
        <v>0</v>
      </c>
      <c r="AK50" s="97">
        <f t="shared" si="24"/>
        <v>0</v>
      </c>
      <c r="AL50" s="98">
        <f t="shared" si="25"/>
        <v>11810532.25</v>
      </c>
      <c r="AM50" s="77">
        <f t="shared" si="26"/>
        <v>11810532.25</v>
      </c>
      <c r="AN50" s="78">
        <f>NOT(Calcs!BD55)*AM50</f>
        <v>0</v>
      </c>
      <c r="AO50" s="97">
        <f t="shared" si="27"/>
        <v>0</v>
      </c>
      <c r="AP50" s="98">
        <f t="shared" si="28"/>
        <v>11810532.25</v>
      </c>
      <c r="AQ50" s="77">
        <f t="shared" si="29"/>
        <v>11810532.25</v>
      </c>
      <c r="AR50" s="78">
        <f>NOT(Calcs!BE55)*AQ50</f>
        <v>0</v>
      </c>
      <c r="AS50" s="97">
        <f t="shared" si="30"/>
        <v>0</v>
      </c>
      <c r="AT50" s="98">
        <f t="shared" si="31"/>
        <v>11810532.25</v>
      </c>
      <c r="AU50" s="77">
        <f t="shared" si="32"/>
        <v>11810532.25</v>
      </c>
      <c r="AV50" s="97">
        <f>IF(Calcs!BC55=TRUE, AU50, 0)</f>
        <v>0</v>
      </c>
      <c r="AW50" s="97">
        <f t="shared" si="33"/>
        <v>0</v>
      </c>
      <c r="AX50" s="98">
        <f t="shared" si="34"/>
        <v>11810532.25</v>
      </c>
      <c r="AY50" s="77">
        <f t="shared" si="35"/>
        <v>11810532.25</v>
      </c>
      <c r="AZ50" s="97">
        <f>Calcs!BK55*AY50</f>
        <v>0</v>
      </c>
      <c r="BA50" s="97">
        <f t="shared" si="36"/>
        <v>0</v>
      </c>
      <c r="BB50" s="98">
        <f t="shared" si="37"/>
        <v>11810532.25</v>
      </c>
      <c r="BC50" s="77">
        <f t="shared" si="38"/>
        <v>11810532.25</v>
      </c>
      <c r="BD50" s="97"/>
      <c r="BE50" s="97"/>
      <c r="BF50" s="98"/>
      <c r="BG50" s="77">
        <f t="shared" si="39"/>
        <v>11810532.25</v>
      </c>
      <c r="BH50" s="97">
        <f>IF(Calcs!BJ55=FALSE,0,BG50)</f>
        <v>0</v>
      </c>
      <c r="BI50" s="97">
        <f t="shared" si="40"/>
        <v>0</v>
      </c>
      <c r="BJ50" s="98">
        <f t="shared" si="41"/>
        <v>11810532.25</v>
      </c>
      <c r="BK50" s="77">
        <f t="shared" si="42"/>
        <v>11810532.25</v>
      </c>
      <c r="BL50" s="97">
        <f>IF(Calcs!AW55=TRUE,BK50,0)</f>
        <v>0</v>
      </c>
      <c r="BM50" s="97">
        <f t="shared" si="43"/>
        <v>0</v>
      </c>
      <c r="BN50" s="98">
        <f t="shared" si="44"/>
        <v>11810532.25</v>
      </c>
      <c r="BO50" s="77">
        <f t="shared" si="45"/>
        <v>11810532.25</v>
      </c>
      <c r="BP50" s="97"/>
      <c r="BQ50" s="97">
        <f t="shared" si="46"/>
        <v>0</v>
      </c>
      <c r="BR50" s="98">
        <f t="shared" si="47"/>
        <v>11810532.25</v>
      </c>
      <c r="BS50" s="77">
        <f t="shared" si="48"/>
        <v>11810532.25</v>
      </c>
      <c r="BT50" s="97">
        <f>IF(Calcs!BB55=TRUE,'Concentration Limitations'!BS50,0)</f>
        <v>0</v>
      </c>
      <c r="BU50" s="97">
        <f t="shared" si="49"/>
        <v>0</v>
      </c>
      <c r="BV50" s="98">
        <f t="shared" si="50"/>
        <v>11810532.25</v>
      </c>
      <c r="BW50" s="77">
        <f t="shared" si="51"/>
        <v>11810532.25</v>
      </c>
      <c r="BX50" s="97">
        <f>IF(Calcs!BI55=TRUE,'Concentration Limitations'!BW50,0)</f>
        <v>0</v>
      </c>
      <c r="BY50" s="97">
        <f t="shared" si="52"/>
        <v>0</v>
      </c>
      <c r="BZ50" s="98">
        <f t="shared" si="53"/>
        <v>11810532.25</v>
      </c>
      <c r="CA50" s="97">
        <f t="shared" si="54"/>
        <v>11810532.25</v>
      </c>
      <c r="CB50" s="97"/>
      <c r="CC50" s="97"/>
      <c r="CD50" s="98">
        <f t="shared" si="55"/>
        <v>11810532.25</v>
      </c>
      <c r="CE50" s="97">
        <f t="shared" si="56"/>
        <v>11810532.25</v>
      </c>
      <c r="CF50" s="97"/>
      <c r="CG50" s="97"/>
      <c r="CH50" s="98">
        <f t="shared" si="57"/>
        <v>11810532.25</v>
      </c>
      <c r="CI50" s="97">
        <f t="shared" si="58"/>
        <v>11810532.25</v>
      </c>
      <c r="CJ50" s="97"/>
      <c r="CK50" s="97"/>
      <c r="CL50" s="98">
        <f t="shared" si="59"/>
        <v>11810532.25</v>
      </c>
      <c r="CM50" s="97">
        <f t="shared" si="60"/>
        <v>11810532.25</v>
      </c>
      <c r="CN50" s="97"/>
      <c r="CO50" s="97"/>
      <c r="CP50" s="98">
        <f t="shared" si="61"/>
        <v>11810532.25</v>
      </c>
      <c r="CQ50" s="97">
        <f t="shared" si="62"/>
        <v>11810532.25</v>
      </c>
      <c r="CR50" s="97"/>
      <c r="CS50" s="97">
        <f t="shared" si="63"/>
        <v>0</v>
      </c>
      <c r="CT50" s="98">
        <f t="shared" si="64"/>
        <v>11810532.25</v>
      </c>
      <c r="CU50" s="97">
        <f t="shared" si="65"/>
        <v>11810532.25</v>
      </c>
      <c r="CV50" s="97"/>
      <c r="CW50" s="97">
        <f t="shared" si="66"/>
        <v>0</v>
      </c>
      <c r="CX50" s="98">
        <f t="shared" si="67"/>
        <v>11810532.25</v>
      </c>
      <c r="CY50" s="97">
        <f t="shared" si="68"/>
        <v>11810532.25</v>
      </c>
      <c r="CZ50" s="97"/>
      <c r="DA50" s="97"/>
      <c r="DB50" s="98">
        <f t="shared" si="69"/>
        <v>11810532.25</v>
      </c>
      <c r="DC50" s="75">
        <f t="shared" si="70"/>
        <v>11810532.25</v>
      </c>
      <c r="DD50" s="97"/>
      <c r="DE50" s="97"/>
      <c r="DF50" s="98">
        <f t="shared" si="71"/>
        <v>11810532.25</v>
      </c>
      <c r="DG50" s="75">
        <f t="shared" si="72"/>
        <v>11810532.25</v>
      </c>
      <c r="DH50" s="78" t="str">
        <f>Calcs!F55</f>
        <v>Aerospace &amp; Defense</v>
      </c>
      <c r="DI50" s="99">
        <f t="shared" ca="1" si="73"/>
        <v>0</v>
      </c>
      <c r="DJ50" s="98">
        <f t="shared" ca="1" si="74"/>
        <v>11810532.25</v>
      </c>
      <c r="DK50" s="293">
        <f t="shared" si="75"/>
        <v>19</v>
      </c>
      <c r="DL50" s="532" t="s">
        <v>192</v>
      </c>
      <c r="DM50" s="36"/>
      <c r="DN50" s="36"/>
      <c r="DO50" s="36"/>
      <c r="DP50" s="36"/>
      <c r="DQ50" s="413" cm="1">
        <f t="array" ref="DQ50">+SUMPRODUCT((DL50=$DH$12:$DH$307)*($DG$12:$DG$307))/$N$6</f>
        <v>0</v>
      </c>
      <c r="DR50" s="414">
        <f t="shared" si="76"/>
        <v>19</v>
      </c>
      <c r="DS50" s="413" cm="1">
        <f t="array" aca="1" ref="DS50" ca="1">+SUMPRODUCT((DL50=$DH$12:$DH$307)*($DJ$12:$DJ$307))/$N$6</f>
        <v>0</v>
      </c>
      <c r="DT50" s="417">
        <f t="shared" ref="DT50:DT75" ca="1" si="86">COUNTIF($DS$12:$DS$106,"&gt;"&amp;DS50)+1</f>
        <v>19</v>
      </c>
      <c r="DU50" s="415">
        <f t="shared" si="77"/>
        <v>0.1</v>
      </c>
      <c r="DV50" s="416">
        <f t="shared" si="78"/>
        <v>0.1</v>
      </c>
    </row>
    <row r="51" spans="6:126">
      <c r="F51" s="2">
        <f t="shared" ca="1" si="79"/>
        <v>3</v>
      </c>
      <c r="G51" s="40" t="str">
        <f>Calcs!A56</f>
        <v>Rancho Medical</v>
      </c>
      <c r="H51" s="68">
        <f t="shared" ca="1" si="8"/>
        <v>17282079.379999999</v>
      </c>
      <c r="I51" s="96"/>
      <c r="J51" s="96"/>
      <c r="K51" s="63">
        <f>+IF(G51="","",IF(COUNTIF(G52:$G$307,G51)=0,1,0))</f>
        <v>1</v>
      </c>
      <c r="L51" s="75">
        <f>Calcs!U56</f>
        <v>17282079.379999999</v>
      </c>
      <c r="M51">
        <f t="shared" si="82"/>
        <v>3</v>
      </c>
      <c r="N51" s="75">
        <f t="shared" si="85"/>
        <v>17282079.379999999</v>
      </c>
      <c r="O51" s="75">
        <f t="shared" si="83"/>
        <v>17282079.379999999</v>
      </c>
      <c r="P51" s="72">
        <f t="shared" si="10"/>
        <v>0.05</v>
      </c>
      <c r="Q51" s="72">
        <f t="shared" si="11"/>
        <v>2.8777275196940656E-2</v>
      </c>
      <c r="R51" s="61">
        <f t="shared" si="12"/>
        <v>0</v>
      </c>
      <c r="S51" s="68">
        <f t="shared" si="13"/>
        <v>17282079.379999999</v>
      </c>
      <c r="T51" s="68">
        <f t="shared" si="84"/>
        <v>17282079.379999999</v>
      </c>
      <c r="U51">
        <f t="array" aca="1" ref="U51" ca="1">SUM(1*(S51&lt;$S$12:$S$307))+1+IF(ROW(S51)-ROW($S$12)=0,0,SUM(1*(S51=OFFSET($S$12,0,0,INDEX(ROW(S51)-ROW($S$12)+1,1)-1,1))))</f>
        <v>3</v>
      </c>
      <c r="V51" s="96">
        <f t="shared" si="14"/>
        <v>17282079.379999999</v>
      </c>
      <c r="W51" s="75">
        <f>Calcs!U56</f>
        <v>17282079.379999999</v>
      </c>
      <c r="X51" s="78">
        <f>IFERROR(OR(Calcs!BH55,Calcs!BI55)*W51,0)</f>
        <v>0</v>
      </c>
      <c r="Y51" s="97">
        <f t="shared" si="15"/>
        <v>0</v>
      </c>
      <c r="Z51" s="98">
        <f t="shared" si="16"/>
        <v>17282079.379999999</v>
      </c>
      <c r="AA51" s="77">
        <f t="shared" si="17"/>
        <v>17282079.379999999</v>
      </c>
      <c r="AB51" s="78">
        <f>IF(AND(Calcs!BM56=TRUE),AA51,0)</f>
        <v>0</v>
      </c>
      <c r="AC51" s="97">
        <f t="shared" si="18"/>
        <v>0</v>
      </c>
      <c r="AD51" s="98">
        <f t="shared" si="19"/>
        <v>17282079.379999999</v>
      </c>
      <c r="AE51" s="77">
        <f t="shared" si="20"/>
        <v>17282079.379999999</v>
      </c>
      <c r="AF51" s="78">
        <f>IF(Calcs!BY56&lt;15,AE51,0)</f>
        <v>0</v>
      </c>
      <c r="AG51" s="97">
        <f t="shared" si="21"/>
        <v>0</v>
      </c>
      <c r="AH51" s="98">
        <f t="shared" si="22"/>
        <v>17282079.379999999</v>
      </c>
      <c r="AI51" s="77">
        <f t="shared" si="23"/>
        <v>17282079.379999999</v>
      </c>
      <c r="AJ51" s="78">
        <f>IF(Calcs!BY56&lt;10,AE51,0)</f>
        <v>0</v>
      </c>
      <c r="AK51" s="97">
        <f t="shared" si="24"/>
        <v>0</v>
      </c>
      <c r="AL51" s="98">
        <f t="shared" si="25"/>
        <v>17282079.379999999</v>
      </c>
      <c r="AM51" s="77">
        <f t="shared" si="26"/>
        <v>17282079.379999999</v>
      </c>
      <c r="AN51" s="78">
        <f>NOT(Calcs!BD56)*AM51</f>
        <v>0</v>
      </c>
      <c r="AO51" s="97">
        <f t="shared" si="27"/>
        <v>0</v>
      </c>
      <c r="AP51" s="98">
        <f t="shared" si="28"/>
        <v>17282079.379999999</v>
      </c>
      <c r="AQ51" s="77">
        <f t="shared" si="29"/>
        <v>17282079.379999999</v>
      </c>
      <c r="AR51" s="78">
        <f>NOT(Calcs!BE56)*AQ51</f>
        <v>0</v>
      </c>
      <c r="AS51" s="97">
        <f t="shared" si="30"/>
        <v>0</v>
      </c>
      <c r="AT51" s="98">
        <f t="shared" si="31"/>
        <v>17282079.379999999</v>
      </c>
      <c r="AU51" s="77">
        <f t="shared" si="32"/>
        <v>17282079.379999999</v>
      </c>
      <c r="AV51" s="97">
        <f>IF(Calcs!BC56=TRUE, AU51, 0)</f>
        <v>0</v>
      </c>
      <c r="AW51" s="97">
        <f t="shared" si="33"/>
        <v>0</v>
      </c>
      <c r="AX51" s="98">
        <f t="shared" si="34"/>
        <v>17282079.379999999</v>
      </c>
      <c r="AY51" s="77">
        <f t="shared" si="35"/>
        <v>17282079.379999999</v>
      </c>
      <c r="AZ51" s="97">
        <f>Calcs!BK56*AY51</f>
        <v>0</v>
      </c>
      <c r="BA51" s="97">
        <f t="shared" si="36"/>
        <v>0</v>
      </c>
      <c r="BB51" s="98">
        <f t="shared" si="37"/>
        <v>17282079.379999999</v>
      </c>
      <c r="BC51" s="77">
        <f t="shared" si="38"/>
        <v>17282079.379999999</v>
      </c>
      <c r="BD51" s="97"/>
      <c r="BE51" s="97"/>
      <c r="BF51" s="98"/>
      <c r="BG51" s="77">
        <f t="shared" si="39"/>
        <v>17282079.379999999</v>
      </c>
      <c r="BH51" s="97">
        <f>IF(Calcs!BJ56=FALSE,0,BG51)</f>
        <v>0</v>
      </c>
      <c r="BI51" s="97">
        <f t="shared" si="40"/>
        <v>0</v>
      </c>
      <c r="BJ51" s="98">
        <f t="shared" si="41"/>
        <v>17282079.379999999</v>
      </c>
      <c r="BK51" s="77">
        <f t="shared" si="42"/>
        <v>17282079.379999999</v>
      </c>
      <c r="BL51" s="97">
        <f>IF(Calcs!AW56=TRUE,BK51,0)</f>
        <v>0</v>
      </c>
      <c r="BM51" s="97">
        <f t="shared" si="43"/>
        <v>0</v>
      </c>
      <c r="BN51" s="98">
        <f t="shared" si="44"/>
        <v>17282079.379999999</v>
      </c>
      <c r="BO51" s="77">
        <f t="shared" si="45"/>
        <v>17282079.379999999</v>
      </c>
      <c r="BP51" s="97"/>
      <c r="BQ51" s="97">
        <f t="shared" si="46"/>
        <v>0</v>
      </c>
      <c r="BR51" s="98">
        <f t="shared" si="47"/>
        <v>17282079.379999999</v>
      </c>
      <c r="BS51" s="77">
        <f t="shared" si="48"/>
        <v>17282079.379999999</v>
      </c>
      <c r="BT51" s="97">
        <f>IF(Calcs!BB56=TRUE,'Concentration Limitations'!BS51,0)</f>
        <v>0</v>
      </c>
      <c r="BU51" s="97">
        <f t="shared" si="49"/>
        <v>0</v>
      </c>
      <c r="BV51" s="98">
        <f t="shared" si="50"/>
        <v>17282079.379999999</v>
      </c>
      <c r="BW51" s="77">
        <f t="shared" si="51"/>
        <v>17282079.379999999</v>
      </c>
      <c r="BX51" s="97">
        <f>IF(Calcs!BI56=TRUE,'Concentration Limitations'!BW51,0)</f>
        <v>0</v>
      </c>
      <c r="BY51" s="97">
        <f t="shared" si="52"/>
        <v>0</v>
      </c>
      <c r="BZ51" s="98">
        <f t="shared" si="53"/>
        <v>17282079.379999999</v>
      </c>
      <c r="CA51" s="97">
        <f t="shared" si="54"/>
        <v>17282079.379999999</v>
      </c>
      <c r="CB51" s="97"/>
      <c r="CC51" s="97"/>
      <c r="CD51" s="98">
        <f t="shared" si="55"/>
        <v>17282079.379999999</v>
      </c>
      <c r="CE51" s="97">
        <f t="shared" si="56"/>
        <v>17282079.379999999</v>
      </c>
      <c r="CF51" s="97"/>
      <c r="CG51" s="97"/>
      <c r="CH51" s="98">
        <f t="shared" si="57"/>
        <v>17282079.379999999</v>
      </c>
      <c r="CI51" s="97">
        <f t="shared" si="58"/>
        <v>17282079.379999999</v>
      </c>
      <c r="CJ51" s="97"/>
      <c r="CK51" s="97"/>
      <c r="CL51" s="98">
        <f t="shared" si="59"/>
        <v>17282079.379999999</v>
      </c>
      <c r="CM51" s="97">
        <f t="shared" si="60"/>
        <v>17282079.379999999</v>
      </c>
      <c r="CN51" s="97"/>
      <c r="CO51" s="97"/>
      <c r="CP51" s="98">
        <f t="shared" si="61"/>
        <v>17282079.379999999</v>
      </c>
      <c r="CQ51" s="97">
        <f t="shared" si="62"/>
        <v>17282079.379999999</v>
      </c>
      <c r="CR51" s="97"/>
      <c r="CS51" s="97">
        <f t="shared" si="63"/>
        <v>0</v>
      </c>
      <c r="CT51" s="98">
        <f t="shared" si="64"/>
        <v>17282079.379999999</v>
      </c>
      <c r="CU51" s="97">
        <f t="shared" si="65"/>
        <v>17282079.379999999</v>
      </c>
      <c r="CV51" s="97"/>
      <c r="CW51" s="97">
        <f t="shared" si="66"/>
        <v>0</v>
      </c>
      <c r="CX51" s="98">
        <f t="shared" si="67"/>
        <v>17282079.379999999</v>
      </c>
      <c r="CY51" s="97">
        <f t="shared" si="68"/>
        <v>17282079.379999999</v>
      </c>
      <c r="CZ51" s="97"/>
      <c r="DA51" s="97"/>
      <c r="DB51" s="98">
        <f t="shared" si="69"/>
        <v>17282079.379999999</v>
      </c>
      <c r="DC51" s="75">
        <f t="shared" si="70"/>
        <v>17282079.379999999</v>
      </c>
      <c r="DD51" s="97"/>
      <c r="DE51" s="97"/>
      <c r="DF51" s="98">
        <f t="shared" si="71"/>
        <v>17282079.379999999</v>
      </c>
      <c r="DG51" s="75">
        <f t="shared" si="72"/>
        <v>17282079.379999999</v>
      </c>
      <c r="DH51" s="78" t="str">
        <f>Calcs!F56</f>
        <v>Health Care Providers &amp; Services</v>
      </c>
      <c r="DI51" s="99">
        <f t="shared" ca="1" si="73"/>
        <v>0</v>
      </c>
      <c r="DJ51" s="98">
        <f t="shared" ca="1" si="74"/>
        <v>17282079.379999999</v>
      </c>
      <c r="DK51" s="293">
        <f t="shared" si="75"/>
        <v>19</v>
      </c>
      <c r="DL51" s="532" t="s">
        <v>323</v>
      </c>
      <c r="DM51" s="36"/>
      <c r="DN51" s="36"/>
      <c r="DO51" s="36"/>
      <c r="DP51" s="36"/>
      <c r="DQ51" s="413" cm="1">
        <f t="array" ref="DQ51">+SUMPRODUCT((DL51=$DH$12:$DH$307)*($DG$12:$DG$307))/$N$6</f>
        <v>0</v>
      </c>
      <c r="DR51" s="414">
        <f t="shared" si="76"/>
        <v>19</v>
      </c>
      <c r="DS51" s="413" cm="1">
        <f t="array" aca="1" ref="DS51" ca="1">+SUMPRODUCT((DL51=$DH$12:$DH$307)*($DJ$12:$DJ$307))/$N$6</f>
        <v>0</v>
      </c>
      <c r="DT51" s="417">
        <f t="shared" ca="1" si="86"/>
        <v>19</v>
      </c>
      <c r="DU51" s="415">
        <f t="shared" si="77"/>
        <v>0.1</v>
      </c>
      <c r="DV51" s="416">
        <f t="shared" si="78"/>
        <v>0.1</v>
      </c>
    </row>
    <row r="52" spans="6:126">
      <c r="F52" s="2">
        <f t="shared" ca="1" si="79"/>
        <v>71</v>
      </c>
      <c r="G52" s="40" t="str">
        <f>Calcs!A57</f>
        <v>Reception Purchaser, LLC -First Out Term loan</v>
      </c>
      <c r="H52" s="68">
        <f t="shared" ca="1" si="8"/>
        <v>0</v>
      </c>
      <c r="I52" s="96"/>
      <c r="J52" s="96"/>
      <c r="K52" s="63">
        <f>+IF(G52="","",IF(COUNTIF(G53:$G$307,G52)=0,1,0))</f>
        <v>1</v>
      </c>
      <c r="L52" s="75">
        <f>Calcs!U57</f>
        <v>0</v>
      </c>
      <c r="M52">
        <f t="shared" si="82"/>
        <v>69</v>
      </c>
      <c r="N52" s="75">
        <f t="shared" si="85"/>
        <v>0</v>
      </c>
      <c r="O52" s="75">
        <f t="shared" si="83"/>
        <v>0</v>
      </c>
      <c r="P52" s="72">
        <f t="shared" si="10"/>
        <v>0.05</v>
      </c>
      <c r="Q52" s="72">
        <f t="shared" si="11"/>
        <v>0</v>
      </c>
      <c r="R52" s="61">
        <f t="shared" si="12"/>
        <v>0</v>
      </c>
      <c r="S52" s="68">
        <f t="shared" si="13"/>
        <v>0</v>
      </c>
      <c r="T52" s="68">
        <f t="shared" si="84"/>
        <v>0</v>
      </c>
      <c r="U52">
        <f t="array" aca="1" ref="U52" ca="1">SUM(1*(S52&lt;$S$12:$S$307))+1+IF(ROW(S52)-ROW($S$12)=0,0,SUM(1*(S52=OFFSET($S$12,0,0,INDEX(ROW(S52)-ROW($S$12)+1,1)-1,1))))</f>
        <v>71</v>
      </c>
      <c r="V52" s="96">
        <f t="shared" si="14"/>
        <v>0</v>
      </c>
      <c r="W52" s="75">
        <f>Calcs!U57</f>
        <v>0</v>
      </c>
      <c r="X52" s="78">
        <f>IFERROR(OR(Calcs!BH56,Calcs!BI56)*W52,0)</f>
        <v>0</v>
      </c>
      <c r="Y52" s="97">
        <f t="shared" si="15"/>
        <v>0</v>
      </c>
      <c r="Z52" s="98">
        <f t="shared" si="16"/>
        <v>0</v>
      </c>
      <c r="AA52" s="77">
        <f t="shared" si="17"/>
        <v>0</v>
      </c>
      <c r="AB52" s="78">
        <f>IF(AND(Calcs!BM57=TRUE),AA52,0)</f>
        <v>0</v>
      </c>
      <c r="AC52" s="97">
        <f t="shared" si="18"/>
        <v>0</v>
      </c>
      <c r="AD52" s="98">
        <f t="shared" si="19"/>
        <v>0</v>
      </c>
      <c r="AE52" s="77">
        <f t="shared" si="20"/>
        <v>0</v>
      </c>
      <c r="AF52" s="78">
        <f>IF(Calcs!BY57&lt;15,AE52,0)</f>
        <v>0</v>
      </c>
      <c r="AG52" s="97">
        <f t="shared" si="21"/>
        <v>0</v>
      </c>
      <c r="AH52" s="98">
        <f t="shared" si="22"/>
        <v>0</v>
      </c>
      <c r="AI52" s="77">
        <f t="shared" si="23"/>
        <v>0</v>
      </c>
      <c r="AJ52" s="78">
        <f>IF(Calcs!BY57&lt;10,AE52,0)</f>
        <v>0</v>
      </c>
      <c r="AK52" s="97">
        <f t="shared" si="24"/>
        <v>0</v>
      </c>
      <c r="AL52" s="98">
        <f t="shared" si="25"/>
        <v>0</v>
      </c>
      <c r="AM52" s="77">
        <f t="shared" si="26"/>
        <v>0</v>
      </c>
      <c r="AN52" s="78">
        <f>NOT(Calcs!BD57)*AM52</f>
        <v>0</v>
      </c>
      <c r="AO52" s="97">
        <f t="shared" si="27"/>
        <v>0</v>
      </c>
      <c r="AP52" s="98">
        <f t="shared" si="28"/>
        <v>0</v>
      </c>
      <c r="AQ52" s="77">
        <f t="shared" si="29"/>
        <v>0</v>
      </c>
      <c r="AR52" s="78">
        <f>NOT(Calcs!BE57)*AQ52</f>
        <v>0</v>
      </c>
      <c r="AS52" s="97">
        <f t="shared" si="30"/>
        <v>0</v>
      </c>
      <c r="AT52" s="98">
        <f t="shared" si="31"/>
        <v>0</v>
      </c>
      <c r="AU52" s="77">
        <f t="shared" si="32"/>
        <v>0</v>
      </c>
      <c r="AV52" s="97">
        <f>IF(Calcs!BC57=TRUE, AU52, 0)</f>
        <v>0</v>
      </c>
      <c r="AW52" s="97">
        <f t="shared" si="33"/>
        <v>0</v>
      </c>
      <c r="AX52" s="98">
        <f t="shared" si="34"/>
        <v>0</v>
      </c>
      <c r="AY52" s="77">
        <f t="shared" si="35"/>
        <v>0</v>
      </c>
      <c r="AZ52" s="97">
        <f>Calcs!BK57*AY52</f>
        <v>0</v>
      </c>
      <c r="BA52" s="97">
        <f t="shared" si="36"/>
        <v>0</v>
      </c>
      <c r="BB52" s="98">
        <f t="shared" si="37"/>
        <v>0</v>
      </c>
      <c r="BC52" s="77">
        <f t="shared" si="38"/>
        <v>0</v>
      </c>
      <c r="BD52" s="97"/>
      <c r="BE52" s="97"/>
      <c r="BF52" s="98"/>
      <c r="BG52" s="77">
        <f t="shared" si="39"/>
        <v>0</v>
      </c>
      <c r="BH52" s="97">
        <f>IF(Calcs!BJ57=FALSE,0,BG52)</f>
        <v>0</v>
      </c>
      <c r="BI52" s="97">
        <f t="shared" si="40"/>
        <v>0</v>
      </c>
      <c r="BJ52" s="98">
        <f t="shared" si="41"/>
        <v>0</v>
      </c>
      <c r="BK52" s="77">
        <f t="shared" si="42"/>
        <v>0</v>
      </c>
      <c r="BL52" s="97">
        <f>IF(Calcs!AW57=TRUE,BK52,0)</f>
        <v>0</v>
      </c>
      <c r="BM52" s="97">
        <f t="shared" si="43"/>
        <v>0</v>
      </c>
      <c r="BN52" s="98">
        <f t="shared" si="44"/>
        <v>0</v>
      </c>
      <c r="BO52" s="77">
        <f t="shared" si="45"/>
        <v>0</v>
      </c>
      <c r="BP52" s="97"/>
      <c r="BQ52" s="97">
        <f t="shared" si="46"/>
        <v>0</v>
      </c>
      <c r="BR52" s="98">
        <f t="shared" si="47"/>
        <v>0</v>
      </c>
      <c r="BS52" s="77">
        <f t="shared" si="48"/>
        <v>0</v>
      </c>
      <c r="BT52" s="97">
        <f>IF(Calcs!BB57=TRUE,'Concentration Limitations'!BS52,0)</f>
        <v>0</v>
      </c>
      <c r="BU52" s="97">
        <f t="shared" si="49"/>
        <v>0</v>
      </c>
      <c r="BV52" s="98">
        <f t="shared" si="50"/>
        <v>0</v>
      </c>
      <c r="BW52" s="77">
        <f t="shared" si="51"/>
        <v>0</v>
      </c>
      <c r="BX52" s="97">
        <f>IF(Calcs!BI57=TRUE,'Concentration Limitations'!BW52,0)</f>
        <v>0</v>
      </c>
      <c r="BY52" s="97">
        <f t="shared" si="52"/>
        <v>0</v>
      </c>
      <c r="BZ52" s="98">
        <f t="shared" si="53"/>
        <v>0</v>
      </c>
      <c r="CA52" s="97">
        <f t="shared" si="54"/>
        <v>0</v>
      </c>
      <c r="CB52" s="97"/>
      <c r="CC52" s="97"/>
      <c r="CD52" s="98">
        <f t="shared" si="55"/>
        <v>0</v>
      </c>
      <c r="CE52" s="97">
        <f t="shared" si="56"/>
        <v>0</v>
      </c>
      <c r="CF52" s="97"/>
      <c r="CG52" s="97"/>
      <c r="CH52" s="98">
        <f t="shared" si="57"/>
        <v>0</v>
      </c>
      <c r="CI52" s="97">
        <f t="shared" si="58"/>
        <v>0</v>
      </c>
      <c r="CJ52" s="97"/>
      <c r="CK52" s="97"/>
      <c r="CL52" s="98">
        <f t="shared" si="59"/>
        <v>0</v>
      </c>
      <c r="CM52" s="97">
        <f t="shared" si="60"/>
        <v>0</v>
      </c>
      <c r="CN52" s="97"/>
      <c r="CO52" s="97"/>
      <c r="CP52" s="98">
        <f t="shared" si="61"/>
        <v>0</v>
      </c>
      <c r="CQ52" s="97">
        <f t="shared" si="62"/>
        <v>0</v>
      </c>
      <c r="CR52" s="97"/>
      <c r="CS52" s="97">
        <f t="shared" si="63"/>
        <v>0</v>
      </c>
      <c r="CT52" s="98">
        <f t="shared" si="64"/>
        <v>0</v>
      </c>
      <c r="CU52" s="97">
        <f t="shared" si="65"/>
        <v>0</v>
      </c>
      <c r="CV52" s="97"/>
      <c r="CW52" s="97">
        <f t="shared" si="66"/>
        <v>0</v>
      </c>
      <c r="CX52" s="98">
        <f t="shared" si="67"/>
        <v>0</v>
      </c>
      <c r="CY52" s="97">
        <f t="shared" si="68"/>
        <v>0</v>
      </c>
      <c r="CZ52" s="97"/>
      <c r="DA52" s="97"/>
      <c r="DB52" s="98">
        <f t="shared" si="69"/>
        <v>0</v>
      </c>
      <c r="DC52" s="75">
        <f t="shared" si="70"/>
        <v>0</v>
      </c>
      <c r="DD52" s="97"/>
      <c r="DE52" s="97"/>
      <c r="DF52" s="98">
        <f t="shared" si="71"/>
        <v>0</v>
      </c>
      <c r="DG52" s="75">
        <f t="shared" si="72"/>
        <v>0</v>
      </c>
      <c r="DH52" s="78" t="str">
        <f>Calcs!F57</f>
        <v>Air Freight &amp; Logistics</v>
      </c>
      <c r="DI52" s="99">
        <f t="shared" ca="1" si="73"/>
        <v>0</v>
      </c>
      <c r="DJ52" s="98">
        <f t="shared" ca="1" si="74"/>
        <v>0</v>
      </c>
      <c r="DK52" s="293">
        <f t="shared" si="75"/>
        <v>19</v>
      </c>
      <c r="DL52" s="532" t="s">
        <v>1204</v>
      </c>
      <c r="DM52" s="36"/>
      <c r="DN52" s="36"/>
      <c r="DO52" s="36"/>
      <c r="DP52" s="36"/>
      <c r="DQ52" s="413" cm="1">
        <f t="array" ref="DQ52">+SUMPRODUCT((DL52=$DH$12:$DH$307)*($DG$12:$DG$307))/$N$6</f>
        <v>0</v>
      </c>
      <c r="DR52" s="414">
        <f t="shared" si="76"/>
        <v>19</v>
      </c>
      <c r="DS52" s="413" cm="1">
        <f t="array" aca="1" ref="DS52" ca="1">+SUMPRODUCT((DL52=$DH$12:$DH$307)*($DJ$12:$DJ$307))/$N$6</f>
        <v>0</v>
      </c>
      <c r="DT52" s="417">
        <f t="shared" ca="1" si="86"/>
        <v>19</v>
      </c>
      <c r="DU52" s="415">
        <f t="shared" si="77"/>
        <v>0.1</v>
      </c>
      <c r="DV52" s="416">
        <f t="shared" si="78"/>
        <v>0.1</v>
      </c>
    </row>
    <row r="53" spans="6:126">
      <c r="F53" s="2">
        <f t="shared" ca="1" si="79"/>
        <v>52</v>
      </c>
      <c r="G53" s="40" t="str">
        <f>Calcs!A58</f>
        <v>Research Now Group, LLC and Dynata, LLC - First Out Term Loan</v>
      </c>
      <c r="H53" s="68">
        <f t="shared" ca="1" si="8"/>
        <v>1576230.82</v>
      </c>
      <c r="I53" s="96"/>
      <c r="J53" s="96"/>
      <c r="K53" s="63">
        <f>+IF(G53="","",IF(COUNTIF(G54:$G$307,G53)=0,1,0))</f>
        <v>1</v>
      </c>
      <c r="L53" s="75">
        <f>Calcs!U58</f>
        <v>1576230.82</v>
      </c>
      <c r="M53">
        <f t="shared" si="82"/>
        <v>52</v>
      </c>
      <c r="N53" s="75">
        <f t="shared" si="85"/>
        <v>1576230.82</v>
      </c>
      <c r="O53" s="75">
        <f t="shared" si="83"/>
        <v>1576230.82</v>
      </c>
      <c r="P53" s="72">
        <f t="shared" si="10"/>
        <v>0.05</v>
      </c>
      <c r="Q53" s="72">
        <f t="shared" si="11"/>
        <v>2.6246626394699178E-3</v>
      </c>
      <c r="R53" s="61">
        <f t="shared" si="12"/>
        <v>0</v>
      </c>
      <c r="S53" s="68">
        <f t="shared" si="13"/>
        <v>1576230.82</v>
      </c>
      <c r="T53" s="68">
        <f t="shared" si="84"/>
        <v>1576230.82</v>
      </c>
      <c r="U53">
        <f t="array" aca="1" ref="U53" ca="1">SUM(1*(S53&lt;$S$12:$S$307))+1+IF(ROW(S53)-ROW($S$12)=0,0,SUM(1*(S53=OFFSET($S$12,0,0,INDEX(ROW(S53)-ROW($S$12)+1,1)-1,1))))</f>
        <v>52</v>
      </c>
      <c r="V53" s="96">
        <f t="shared" si="14"/>
        <v>1576230.82</v>
      </c>
      <c r="W53" s="75">
        <f>Calcs!U58</f>
        <v>1576230.82</v>
      </c>
      <c r="X53" s="78">
        <f>IFERROR(OR(Calcs!BH57,Calcs!BI57)*W53,0)</f>
        <v>0</v>
      </c>
      <c r="Y53" s="97">
        <f t="shared" si="15"/>
        <v>0</v>
      </c>
      <c r="Z53" s="98">
        <f t="shared" si="16"/>
        <v>1576230.82</v>
      </c>
      <c r="AA53" s="77">
        <f t="shared" si="17"/>
        <v>1576230.82</v>
      </c>
      <c r="AB53" s="78">
        <f>IF(AND(Calcs!BM58=TRUE),AA53,0)</f>
        <v>1576230.82</v>
      </c>
      <c r="AC53" s="97">
        <f t="shared" si="18"/>
        <v>0</v>
      </c>
      <c r="AD53" s="98">
        <f t="shared" si="19"/>
        <v>1576230.82</v>
      </c>
      <c r="AE53" s="77">
        <f t="shared" si="20"/>
        <v>1576230.82</v>
      </c>
      <c r="AF53" s="78">
        <f>IF(Calcs!BY58&lt;15,AE53,0)</f>
        <v>0</v>
      </c>
      <c r="AG53" s="97">
        <f t="shared" si="21"/>
        <v>0</v>
      </c>
      <c r="AH53" s="98">
        <f t="shared" si="22"/>
        <v>1576230.82</v>
      </c>
      <c r="AI53" s="77">
        <f t="shared" si="23"/>
        <v>1576230.82</v>
      </c>
      <c r="AJ53" s="78">
        <f>IF(Calcs!BY58&lt;10,AE53,0)</f>
        <v>0</v>
      </c>
      <c r="AK53" s="97">
        <f t="shared" si="24"/>
        <v>0</v>
      </c>
      <c r="AL53" s="98">
        <f t="shared" si="25"/>
        <v>1576230.82</v>
      </c>
      <c r="AM53" s="77">
        <f t="shared" si="26"/>
        <v>1576230.82</v>
      </c>
      <c r="AN53" s="78">
        <f>NOT(Calcs!BD58)*AM53</f>
        <v>0</v>
      </c>
      <c r="AO53" s="97">
        <f t="shared" si="27"/>
        <v>0</v>
      </c>
      <c r="AP53" s="98">
        <f t="shared" si="28"/>
        <v>1576230.82</v>
      </c>
      <c r="AQ53" s="77">
        <f t="shared" si="29"/>
        <v>1576230.82</v>
      </c>
      <c r="AR53" s="78">
        <f>NOT(Calcs!BE58)*AQ53</f>
        <v>0</v>
      </c>
      <c r="AS53" s="97">
        <f t="shared" si="30"/>
        <v>0</v>
      </c>
      <c r="AT53" s="98">
        <f t="shared" si="31"/>
        <v>1576230.82</v>
      </c>
      <c r="AU53" s="77">
        <f t="shared" si="32"/>
        <v>1576230.82</v>
      </c>
      <c r="AV53" s="97">
        <f>IF(Calcs!BC58=TRUE, AU53, 0)</f>
        <v>0</v>
      </c>
      <c r="AW53" s="97">
        <f t="shared" si="33"/>
        <v>0</v>
      </c>
      <c r="AX53" s="98">
        <f t="shared" si="34"/>
        <v>1576230.82</v>
      </c>
      <c r="AY53" s="77">
        <f t="shared" si="35"/>
        <v>1576230.82</v>
      </c>
      <c r="AZ53" s="97">
        <f>Calcs!BK58*AY53</f>
        <v>0</v>
      </c>
      <c r="BA53" s="97">
        <f t="shared" si="36"/>
        <v>0</v>
      </c>
      <c r="BB53" s="98">
        <f t="shared" si="37"/>
        <v>1576230.82</v>
      </c>
      <c r="BC53" s="77">
        <f t="shared" si="38"/>
        <v>1576230.82</v>
      </c>
      <c r="BD53" s="97"/>
      <c r="BE53" s="97"/>
      <c r="BF53" s="98"/>
      <c r="BG53" s="77">
        <f t="shared" si="39"/>
        <v>1576230.82</v>
      </c>
      <c r="BH53" s="97">
        <f>IF(Calcs!BJ58=FALSE,0,BG53)</f>
        <v>0</v>
      </c>
      <c r="BI53" s="97">
        <f t="shared" si="40"/>
        <v>0</v>
      </c>
      <c r="BJ53" s="98">
        <f t="shared" si="41"/>
        <v>1576230.82</v>
      </c>
      <c r="BK53" s="77">
        <f t="shared" si="42"/>
        <v>1576230.82</v>
      </c>
      <c r="BL53" s="97">
        <f>IF(Calcs!AW58=TRUE,BK53,0)</f>
        <v>0</v>
      </c>
      <c r="BM53" s="97">
        <f t="shared" si="43"/>
        <v>0</v>
      </c>
      <c r="BN53" s="98">
        <f t="shared" si="44"/>
        <v>1576230.82</v>
      </c>
      <c r="BO53" s="77">
        <f t="shared" si="45"/>
        <v>1576230.82</v>
      </c>
      <c r="BP53" s="97"/>
      <c r="BQ53" s="97">
        <f t="shared" si="46"/>
        <v>0</v>
      </c>
      <c r="BR53" s="98">
        <f t="shared" si="47"/>
        <v>1576230.82</v>
      </c>
      <c r="BS53" s="77">
        <f t="shared" si="48"/>
        <v>1576230.82</v>
      </c>
      <c r="BT53" s="97">
        <f>IF(Calcs!BB58=TRUE,'Concentration Limitations'!BS53,0)</f>
        <v>0</v>
      </c>
      <c r="BU53" s="97">
        <f t="shared" si="49"/>
        <v>0</v>
      </c>
      <c r="BV53" s="98">
        <f t="shared" si="50"/>
        <v>1576230.82</v>
      </c>
      <c r="BW53" s="77">
        <f t="shared" si="51"/>
        <v>1576230.82</v>
      </c>
      <c r="BX53" s="97">
        <f>IF(Calcs!BI58=TRUE,'Concentration Limitations'!BW53,0)</f>
        <v>0</v>
      </c>
      <c r="BY53" s="97">
        <f t="shared" si="52"/>
        <v>0</v>
      </c>
      <c r="BZ53" s="98">
        <f t="shared" si="53"/>
        <v>1576230.82</v>
      </c>
      <c r="CA53" s="97">
        <f t="shared" si="54"/>
        <v>1576230.82</v>
      </c>
      <c r="CB53" s="97"/>
      <c r="CC53" s="97"/>
      <c r="CD53" s="98">
        <f t="shared" si="55"/>
        <v>1576230.82</v>
      </c>
      <c r="CE53" s="97">
        <f t="shared" si="56"/>
        <v>1576230.82</v>
      </c>
      <c r="CF53" s="97"/>
      <c r="CG53" s="97"/>
      <c r="CH53" s="98">
        <f t="shared" si="57"/>
        <v>1576230.82</v>
      </c>
      <c r="CI53" s="97">
        <f t="shared" si="58"/>
        <v>1576230.82</v>
      </c>
      <c r="CJ53" s="97"/>
      <c r="CK53" s="97"/>
      <c r="CL53" s="98">
        <f t="shared" si="59"/>
        <v>1576230.82</v>
      </c>
      <c r="CM53" s="97">
        <f t="shared" si="60"/>
        <v>1576230.82</v>
      </c>
      <c r="CN53" s="97"/>
      <c r="CO53" s="97"/>
      <c r="CP53" s="98">
        <f t="shared" si="61"/>
        <v>1576230.82</v>
      </c>
      <c r="CQ53" s="97">
        <f t="shared" si="62"/>
        <v>1576230.82</v>
      </c>
      <c r="CR53" s="97"/>
      <c r="CS53" s="97">
        <f t="shared" si="63"/>
        <v>0</v>
      </c>
      <c r="CT53" s="98">
        <f t="shared" si="64"/>
        <v>1576230.82</v>
      </c>
      <c r="CU53" s="97">
        <f t="shared" si="65"/>
        <v>1576230.82</v>
      </c>
      <c r="CV53" s="97"/>
      <c r="CW53" s="97">
        <f t="shared" si="66"/>
        <v>0</v>
      </c>
      <c r="CX53" s="98">
        <f t="shared" si="67"/>
        <v>1576230.82</v>
      </c>
      <c r="CY53" s="97">
        <f t="shared" si="68"/>
        <v>1576230.82</v>
      </c>
      <c r="CZ53" s="97"/>
      <c r="DA53" s="97"/>
      <c r="DB53" s="98">
        <f t="shared" si="69"/>
        <v>1576230.82</v>
      </c>
      <c r="DC53" s="75">
        <f t="shared" si="70"/>
        <v>1576230.82</v>
      </c>
      <c r="DD53" s="97"/>
      <c r="DE53" s="97"/>
      <c r="DF53" s="98">
        <f t="shared" si="71"/>
        <v>1576230.82</v>
      </c>
      <c r="DG53" s="75">
        <f t="shared" si="72"/>
        <v>1576230.82</v>
      </c>
      <c r="DH53" s="78" t="str">
        <f>Calcs!F58</f>
        <v>Diversified Consumer Services</v>
      </c>
      <c r="DI53" s="99">
        <f t="shared" ca="1" si="73"/>
        <v>0</v>
      </c>
      <c r="DJ53" s="98">
        <f t="shared" ca="1" si="74"/>
        <v>1576230.82</v>
      </c>
      <c r="DK53" s="293">
        <f t="shared" si="75"/>
        <v>5</v>
      </c>
      <c r="DL53" s="532" t="s">
        <v>193</v>
      </c>
      <c r="DM53" s="36"/>
      <c r="DN53" s="36"/>
      <c r="DO53" s="36"/>
      <c r="DP53" s="36"/>
      <c r="DQ53" s="413" cm="1">
        <f t="array" ref="DQ53">+SUMPRODUCT((DL53=$DH$12:$DH$307)*($DG$12:$DG$307))/$N$6</f>
        <v>4.4027393987579461E-2</v>
      </c>
      <c r="DR53" s="414">
        <f t="shared" si="76"/>
        <v>5</v>
      </c>
      <c r="DS53" s="413" cm="1">
        <f t="array" aca="1" ref="DS53" ca="1">+SUMPRODUCT((DL53=$DH$12:$DH$307)*($DJ$12:$DJ$307))/$N$6</f>
        <v>4.4027393987579461E-2</v>
      </c>
      <c r="DT53" s="417">
        <f t="shared" ca="1" si="86"/>
        <v>5</v>
      </c>
      <c r="DU53" s="415">
        <f t="shared" si="77"/>
        <v>0.1</v>
      </c>
      <c r="DV53" s="416">
        <f t="shared" si="78"/>
        <v>5.5972606012420545E-2</v>
      </c>
    </row>
    <row r="54" spans="6:126">
      <c r="F54" s="2">
        <f t="shared" ca="1" si="79"/>
        <v>25</v>
      </c>
      <c r="G54" s="40" t="str">
        <f>Calcs!A59</f>
        <v>Research Now Group, LLC and Dynata, LLC-Last Out Term loan</v>
      </c>
      <c r="H54" s="68">
        <f t="shared" ca="1" si="8"/>
        <v>5290652.5518000005</v>
      </c>
      <c r="I54" s="96"/>
      <c r="J54" s="96"/>
      <c r="K54" s="63">
        <f>+IF(G54="","",IF(COUNTIF(G55:$G$307,G54)=0,1,0))</f>
        <v>1</v>
      </c>
      <c r="L54" s="75">
        <f>Calcs!U59</f>
        <v>5290652.5518000005</v>
      </c>
      <c r="M54">
        <f t="shared" si="82"/>
        <v>25</v>
      </c>
      <c r="N54" s="75">
        <f t="shared" si="85"/>
        <v>5290652.5518000005</v>
      </c>
      <c r="O54" s="75">
        <f t="shared" si="83"/>
        <v>5290652.5518000005</v>
      </c>
      <c r="P54" s="72">
        <f t="shared" si="10"/>
        <v>0.05</v>
      </c>
      <c r="Q54" s="72">
        <f t="shared" si="11"/>
        <v>8.8097364389345244E-3</v>
      </c>
      <c r="R54" s="61">
        <f t="shared" si="12"/>
        <v>0</v>
      </c>
      <c r="S54" s="68">
        <f t="shared" si="13"/>
        <v>5290652.5518000005</v>
      </c>
      <c r="T54" s="68">
        <f t="shared" si="84"/>
        <v>5290652.5518000005</v>
      </c>
      <c r="U54">
        <f t="array" aca="1" ref="U54" ca="1">SUM(1*(S54&lt;$S$12:$S$307))+1+IF(ROW(S54)-ROW($S$12)=0,0,SUM(1*(S54=OFFSET($S$12,0,0,INDEX(ROW(S54)-ROW($S$12)+1,1)-1,1))))</f>
        <v>25</v>
      </c>
      <c r="V54" s="96">
        <f t="shared" si="14"/>
        <v>5290652.5518000005</v>
      </c>
      <c r="W54" s="75">
        <f>Calcs!U59</f>
        <v>5290652.5518000005</v>
      </c>
      <c r="X54" s="78">
        <f>IFERROR(OR(Calcs!BH58,Calcs!BI58)*W54,0)</f>
        <v>0</v>
      </c>
      <c r="Y54" s="97">
        <f t="shared" si="15"/>
        <v>0</v>
      </c>
      <c r="Z54" s="98">
        <f t="shared" si="16"/>
        <v>5290652.5518000005</v>
      </c>
      <c r="AA54" s="77">
        <f t="shared" si="17"/>
        <v>5290652.5518000005</v>
      </c>
      <c r="AB54" s="78">
        <f>IF(AND(Calcs!BM59=TRUE),AA54,0)</f>
        <v>5290652.5518000005</v>
      </c>
      <c r="AC54" s="97">
        <f t="shared" si="18"/>
        <v>0</v>
      </c>
      <c r="AD54" s="98">
        <f t="shared" si="19"/>
        <v>5290652.5518000005</v>
      </c>
      <c r="AE54" s="77">
        <f t="shared" si="20"/>
        <v>5290652.5518000005</v>
      </c>
      <c r="AF54" s="78">
        <f>IF(Calcs!BY59&lt;15,AE54,0)</f>
        <v>0</v>
      </c>
      <c r="AG54" s="97">
        <f t="shared" si="21"/>
        <v>0</v>
      </c>
      <c r="AH54" s="98">
        <f t="shared" si="22"/>
        <v>5290652.5518000005</v>
      </c>
      <c r="AI54" s="77">
        <f t="shared" si="23"/>
        <v>5290652.5518000005</v>
      </c>
      <c r="AJ54" s="78">
        <f>IF(Calcs!BY59&lt;10,AE54,0)</f>
        <v>0</v>
      </c>
      <c r="AK54" s="97">
        <f t="shared" si="24"/>
        <v>0</v>
      </c>
      <c r="AL54" s="98">
        <f t="shared" si="25"/>
        <v>5290652.5518000005</v>
      </c>
      <c r="AM54" s="77">
        <f t="shared" si="26"/>
        <v>5290652.5518000005</v>
      </c>
      <c r="AN54" s="78">
        <f>NOT(Calcs!BD59)*AM54</f>
        <v>0</v>
      </c>
      <c r="AO54" s="97">
        <f t="shared" si="27"/>
        <v>0</v>
      </c>
      <c r="AP54" s="98">
        <f t="shared" si="28"/>
        <v>5290652.5518000005</v>
      </c>
      <c r="AQ54" s="77">
        <f t="shared" si="29"/>
        <v>5290652.5518000005</v>
      </c>
      <c r="AR54" s="78">
        <f>NOT(Calcs!BE59)*AQ54</f>
        <v>0</v>
      </c>
      <c r="AS54" s="97">
        <f t="shared" si="30"/>
        <v>0</v>
      </c>
      <c r="AT54" s="98">
        <f t="shared" si="31"/>
        <v>5290652.5518000005</v>
      </c>
      <c r="AU54" s="77">
        <f t="shared" si="32"/>
        <v>5290652.5518000005</v>
      </c>
      <c r="AV54" s="97">
        <f>IF(Calcs!BC59=TRUE, AU54, 0)</f>
        <v>0</v>
      </c>
      <c r="AW54" s="97">
        <f t="shared" si="33"/>
        <v>0</v>
      </c>
      <c r="AX54" s="98">
        <f t="shared" si="34"/>
        <v>5290652.5518000005</v>
      </c>
      <c r="AY54" s="77">
        <f t="shared" si="35"/>
        <v>5290652.5518000005</v>
      </c>
      <c r="AZ54" s="97">
        <f>Calcs!BK59*AY54</f>
        <v>0</v>
      </c>
      <c r="BA54" s="97">
        <f t="shared" si="36"/>
        <v>0</v>
      </c>
      <c r="BB54" s="98">
        <f t="shared" si="37"/>
        <v>5290652.5518000005</v>
      </c>
      <c r="BC54" s="77">
        <f t="shared" si="38"/>
        <v>5290652.5518000005</v>
      </c>
      <c r="BD54" s="97"/>
      <c r="BE54" s="97"/>
      <c r="BF54" s="98"/>
      <c r="BG54" s="77">
        <f t="shared" si="39"/>
        <v>5290652.5518000005</v>
      </c>
      <c r="BH54" s="97">
        <f>IF(Calcs!BJ59=FALSE,0,BG54)</f>
        <v>0</v>
      </c>
      <c r="BI54" s="97">
        <f t="shared" si="40"/>
        <v>0</v>
      </c>
      <c r="BJ54" s="98">
        <f t="shared" si="41"/>
        <v>5290652.5518000005</v>
      </c>
      <c r="BK54" s="77">
        <f t="shared" si="42"/>
        <v>5290652.5518000005</v>
      </c>
      <c r="BL54" s="97">
        <f>IF(Calcs!AW59=TRUE,BK54,0)</f>
        <v>0</v>
      </c>
      <c r="BM54" s="97">
        <f t="shared" si="43"/>
        <v>0</v>
      </c>
      <c r="BN54" s="98">
        <f t="shared" si="44"/>
        <v>5290652.5518000005</v>
      </c>
      <c r="BO54" s="77">
        <f t="shared" si="45"/>
        <v>5290652.5518000005</v>
      </c>
      <c r="BP54" s="97"/>
      <c r="BQ54" s="97">
        <f t="shared" si="46"/>
        <v>0</v>
      </c>
      <c r="BR54" s="98">
        <f t="shared" si="47"/>
        <v>5290652.5518000005</v>
      </c>
      <c r="BS54" s="77">
        <f t="shared" si="48"/>
        <v>5290652.5518000005</v>
      </c>
      <c r="BT54" s="97">
        <f>IF(Calcs!BB59=TRUE,'Concentration Limitations'!BS54,0)</f>
        <v>5290652.5518000005</v>
      </c>
      <c r="BU54" s="97">
        <f t="shared" si="49"/>
        <v>0</v>
      </c>
      <c r="BV54" s="98">
        <f t="shared" si="50"/>
        <v>5290652.5518000005</v>
      </c>
      <c r="BW54" s="77">
        <f t="shared" si="51"/>
        <v>5290652.5518000005</v>
      </c>
      <c r="BX54" s="97">
        <f>IF(Calcs!BI59=TRUE,'Concentration Limitations'!BW54,0)</f>
        <v>0</v>
      </c>
      <c r="BY54" s="97">
        <f t="shared" si="52"/>
        <v>0</v>
      </c>
      <c r="BZ54" s="98">
        <f t="shared" si="53"/>
        <v>5290652.5518000005</v>
      </c>
      <c r="CA54" s="97">
        <f t="shared" si="54"/>
        <v>5290652.5518000005</v>
      </c>
      <c r="CB54" s="97"/>
      <c r="CC54" s="97"/>
      <c r="CD54" s="98">
        <f t="shared" si="55"/>
        <v>5290652.5518000005</v>
      </c>
      <c r="CE54" s="97">
        <f t="shared" si="56"/>
        <v>5290652.5518000005</v>
      </c>
      <c r="CF54" s="97"/>
      <c r="CG54" s="97"/>
      <c r="CH54" s="98">
        <f t="shared" si="57"/>
        <v>5290652.5518000005</v>
      </c>
      <c r="CI54" s="97">
        <f t="shared" si="58"/>
        <v>5290652.5518000005</v>
      </c>
      <c r="CJ54" s="97"/>
      <c r="CK54" s="97"/>
      <c r="CL54" s="98">
        <f t="shared" si="59"/>
        <v>5290652.5518000005</v>
      </c>
      <c r="CM54" s="97">
        <f t="shared" si="60"/>
        <v>5290652.5518000005</v>
      </c>
      <c r="CN54" s="97"/>
      <c r="CO54" s="97"/>
      <c r="CP54" s="98">
        <f t="shared" si="61"/>
        <v>5290652.5518000005</v>
      </c>
      <c r="CQ54" s="97">
        <f t="shared" si="62"/>
        <v>5290652.5518000005</v>
      </c>
      <c r="CR54" s="97"/>
      <c r="CS54" s="97">
        <f t="shared" si="63"/>
        <v>0</v>
      </c>
      <c r="CT54" s="98">
        <f t="shared" si="64"/>
        <v>5290652.5518000005</v>
      </c>
      <c r="CU54" s="97">
        <f t="shared" si="65"/>
        <v>5290652.5518000005</v>
      </c>
      <c r="CV54" s="97"/>
      <c r="CW54" s="97">
        <f t="shared" si="66"/>
        <v>0</v>
      </c>
      <c r="CX54" s="98">
        <f t="shared" si="67"/>
        <v>5290652.5518000005</v>
      </c>
      <c r="CY54" s="97">
        <f t="shared" si="68"/>
        <v>5290652.5518000005</v>
      </c>
      <c r="CZ54" s="97"/>
      <c r="DA54" s="97"/>
      <c r="DB54" s="98">
        <f t="shared" si="69"/>
        <v>5290652.5518000005</v>
      </c>
      <c r="DC54" s="75">
        <f t="shared" si="70"/>
        <v>5290652.5518000005</v>
      </c>
      <c r="DD54" s="97"/>
      <c r="DE54" s="97"/>
      <c r="DF54" s="98">
        <f t="shared" si="71"/>
        <v>5290652.5518000005</v>
      </c>
      <c r="DG54" s="75">
        <f t="shared" si="72"/>
        <v>5290652.5518000005</v>
      </c>
      <c r="DH54" s="78" t="str">
        <f>Calcs!F59</f>
        <v>Diversified Consumer Services</v>
      </c>
      <c r="DI54" s="99">
        <f t="shared" ca="1" si="73"/>
        <v>0</v>
      </c>
      <c r="DJ54" s="98">
        <f t="shared" ca="1" si="74"/>
        <v>5290652.5518000005</v>
      </c>
      <c r="DK54" s="293">
        <f t="shared" si="75"/>
        <v>6</v>
      </c>
      <c r="DL54" s="532" t="s">
        <v>194</v>
      </c>
      <c r="DM54" s="36"/>
      <c r="DN54" s="36"/>
      <c r="DO54" s="36"/>
      <c r="DP54" s="36"/>
      <c r="DQ54" s="413" cm="1">
        <f t="array" ref="DQ54">+SUMPRODUCT((DL54=$DH$12:$DH$307)*($DG$12:$DG$307))/$N$6</f>
        <v>3.8721727651768581E-2</v>
      </c>
      <c r="DR54" s="414">
        <f t="shared" si="76"/>
        <v>6</v>
      </c>
      <c r="DS54" s="413" cm="1">
        <f t="array" aca="1" ref="DS54" ca="1">+SUMPRODUCT((DL54=$DH$12:$DH$307)*($DJ$12:$DJ$307))/$N$6</f>
        <v>3.8721727651768581E-2</v>
      </c>
      <c r="DT54" s="417">
        <f t="shared" ca="1" si="86"/>
        <v>6</v>
      </c>
      <c r="DU54" s="415">
        <f t="shared" si="77"/>
        <v>0.1</v>
      </c>
      <c r="DV54" s="416">
        <f t="shared" si="78"/>
        <v>6.1278272348231425E-2</v>
      </c>
    </row>
    <row r="55" spans="6:126">
      <c r="F55" s="2">
        <f t="shared" ca="1" si="79"/>
        <v>9</v>
      </c>
      <c r="G55" s="40" t="str">
        <f>Calcs!A60</f>
        <v>RTIC subsidiary Holdings, LLC</v>
      </c>
      <c r="H55" s="68">
        <f t="shared" ca="1" si="8"/>
        <v>8862707.1400000006</v>
      </c>
      <c r="I55" s="96"/>
      <c r="J55" s="96"/>
      <c r="K55" s="63">
        <f>+IF(G55="","",IF(COUNTIF(G56:$G$307,G55)=0,1,0))</f>
        <v>1</v>
      </c>
      <c r="L55" s="75">
        <f>Calcs!U60</f>
        <v>8862707.1400000006</v>
      </c>
      <c r="M55">
        <f t="shared" si="82"/>
        <v>9</v>
      </c>
      <c r="N55" s="75">
        <f t="shared" si="85"/>
        <v>8862707.1400000006</v>
      </c>
      <c r="O55" s="75">
        <f t="shared" si="83"/>
        <v>8862707.1400000006</v>
      </c>
      <c r="P55" s="72">
        <f t="shared" si="10"/>
        <v>0.05</v>
      </c>
      <c r="Q55" s="72">
        <f t="shared" si="11"/>
        <v>1.4757747418567342E-2</v>
      </c>
      <c r="R55" s="61">
        <f t="shared" si="12"/>
        <v>0</v>
      </c>
      <c r="S55" s="68">
        <f t="shared" si="13"/>
        <v>8862707.1400000006</v>
      </c>
      <c r="T55" s="68">
        <f t="shared" si="84"/>
        <v>8862707.1400000006</v>
      </c>
      <c r="U55">
        <f t="array" aca="1" ref="U55" ca="1">SUM(1*(S55&lt;$S$12:$S$307))+1+IF(ROW(S55)-ROW($S$12)=0,0,SUM(1*(S55=OFFSET($S$12,0,0,INDEX(ROW(S55)-ROW($S$12)+1,1)-1,1))))</f>
        <v>9</v>
      </c>
      <c r="V55" s="96">
        <f t="shared" si="14"/>
        <v>8862707.1400000006</v>
      </c>
      <c r="W55" s="75">
        <f>Calcs!U60</f>
        <v>8862707.1400000006</v>
      </c>
      <c r="X55" s="78">
        <f>IFERROR(OR(Calcs!BH59,Calcs!BI59)*W55,0)</f>
        <v>0</v>
      </c>
      <c r="Y55" s="97">
        <f t="shared" si="15"/>
        <v>0</v>
      </c>
      <c r="Z55" s="98">
        <f t="shared" si="16"/>
        <v>8862707.1400000006</v>
      </c>
      <c r="AA55" s="77">
        <f t="shared" si="17"/>
        <v>8862707.1400000006</v>
      </c>
      <c r="AB55" s="78">
        <f>IF(AND(Calcs!BM60=TRUE),AA55,0)</f>
        <v>0</v>
      </c>
      <c r="AC55" s="97">
        <f t="shared" si="18"/>
        <v>0</v>
      </c>
      <c r="AD55" s="98">
        <f t="shared" si="19"/>
        <v>8862707.1400000006</v>
      </c>
      <c r="AE55" s="77">
        <f t="shared" si="20"/>
        <v>8862707.1400000006</v>
      </c>
      <c r="AF55" s="78">
        <f>IF(Calcs!BY60&lt;15,AE55,0)</f>
        <v>0</v>
      </c>
      <c r="AG55" s="97">
        <f t="shared" si="21"/>
        <v>0</v>
      </c>
      <c r="AH55" s="98">
        <f t="shared" si="22"/>
        <v>8862707.1400000006</v>
      </c>
      <c r="AI55" s="77">
        <f t="shared" si="23"/>
        <v>8862707.1400000006</v>
      </c>
      <c r="AJ55" s="78">
        <f>IF(Calcs!BY60&lt;10,AE55,0)</f>
        <v>0</v>
      </c>
      <c r="AK55" s="97">
        <f t="shared" si="24"/>
        <v>0</v>
      </c>
      <c r="AL55" s="98">
        <f t="shared" si="25"/>
        <v>8862707.1400000006</v>
      </c>
      <c r="AM55" s="77">
        <f t="shared" si="26"/>
        <v>8862707.1400000006</v>
      </c>
      <c r="AN55" s="78">
        <f>NOT(Calcs!BD60)*AM55</f>
        <v>0</v>
      </c>
      <c r="AO55" s="97">
        <f t="shared" si="27"/>
        <v>0</v>
      </c>
      <c r="AP55" s="98">
        <f t="shared" si="28"/>
        <v>8862707.1400000006</v>
      </c>
      <c r="AQ55" s="77">
        <f t="shared" si="29"/>
        <v>8862707.1400000006</v>
      </c>
      <c r="AR55" s="78">
        <f>NOT(Calcs!BE60)*AQ55</f>
        <v>0</v>
      </c>
      <c r="AS55" s="97">
        <f t="shared" si="30"/>
        <v>0</v>
      </c>
      <c r="AT55" s="98">
        <f t="shared" si="31"/>
        <v>8862707.1400000006</v>
      </c>
      <c r="AU55" s="77">
        <f t="shared" si="32"/>
        <v>8862707.1400000006</v>
      </c>
      <c r="AV55" s="97">
        <f>IF(Calcs!BC60=TRUE, AU55, 0)</f>
        <v>0</v>
      </c>
      <c r="AW55" s="97">
        <f t="shared" si="33"/>
        <v>0</v>
      </c>
      <c r="AX55" s="98">
        <f t="shared" si="34"/>
        <v>8862707.1400000006</v>
      </c>
      <c r="AY55" s="77">
        <f t="shared" si="35"/>
        <v>8862707.1400000006</v>
      </c>
      <c r="AZ55" s="97">
        <f>Calcs!BK60*AY55</f>
        <v>0</v>
      </c>
      <c r="BA55" s="97">
        <f t="shared" si="36"/>
        <v>0</v>
      </c>
      <c r="BB55" s="98">
        <f t="shared" si="37"/>
        <v>8862707.1400000006</v>
      </c>
      <c r="BC55" s="77">
        <f t="shared" si="38"/>
        <v>8862707.1400000006</v>
      </c>
      <c r="BD55" s="97"/>
      <c r="BE55" s="97"/>
      <c r="BF55" s="98"/>
      <c r="BG55" s="77">
        <f t="shared" si="39"/>
        <v>8862707.1400000006</v>
      </c>
      <c r="BH55" s="97">
        <f>IF(Calcs!BJ60=FALSE,0,BG55)</f>
        <v>0</v>
      </c>
      <c r="BI55" s="97">
        <f t="shared" si="40"/>
        <v>0</v>
      </c>
      <c r="BJ55" s="98">
        <f t="shared" si="41"/>
        <v>8862707.1400000006</v>
      </c>
      <c r="BK55" s="77">
        <f t="shared" si="42"/>
        <v>8862707.1400000006</v>
      </c>
      <c r="BL55" s="97">
        <f>IF(Calcs!AW60=TRUE,BK55,0)</f>
        <v>0</v>
      </c>
      <c r="BM55" s="97">
        <f t="shared" si="43"/>
        <v>0</v>
      </c>
      <c r="BN55" s="98">
        <f t="shared" si="44"/>
        <v>8862707.1400000006</v>
      </c>
      <c r="BO55" s="77">
        <f t="shared" si="45"/>
        <v>8862707.1400000006</v>
      </c>
      <c r="BP55" s="97"/>
      <c r="BQ55" s="97">
        <f t="shared" si="46"/>
        <v>0</v>
      </c>
      <c r="BR55" s="98">
        <f t="shared" si="47"/>
        <v>8862707.1400000006</v>
      </c>
      <c r="BS55" s="77">
        <f t="shared" si="48"/>
        <v>8862707.1400000006</v>
      </c>
      <c r="BT55" s="97">
        <f>IF(Calcs!BB60=TRUE,'Concentration Limitations'!BS55,0)</f>
        <v>0</v>
      </c>
      <c r="BU55" s="97">
        <f t="shared" si="49"/>
        <v>0</v>
      </c>
      <c r="BV55" s="98">
        <f t="shared" si="50"/>
        <v>8862707.1400000006</v>
      </c>
      <c r="BW55" s="77">
        <f t="shared" si="51"/>
        <v>8862707.1400000006</v>
      </c>
      <c r="BX55" s="97">
        <f>IF(Calcs!BI60=TRUE,'Concentration Limitations'!BW55,0)</f>
        <v>0</v>
      </c>
      <c r="BY55" s="97">
        <f t="shared" si="52"/>
        <v>0</v>
      </c>
      <c r="BZ55" s="98">
        <f t="shared" si="53"/>
        <v>8862707.1400000006</v>
      </c>
      <c r="CA55" s="97">
        <f t="shared" si="54"/>
        <v>8862707.1400000006</v>
      </c>
      <c r="CB55" s="97"/>
      <c r="CC55" s="97"/>
      <c r="CD55" s="98">
        <f t="shared" si="55"/>
        <v>8862707.1400000006</v>
      </c>
      <c r="CE55" s="97">
        <f t="shared" si="56"/>
        <v>8862707.1400000006</v>
      </c>
      <c r="CF55" s="97"/>
      <c r="CG55" s="97"/>
      <c r="CH55" s="98">
        <f t="shared" si="57"/>
        <v>8862707.1400000006</v>
      </c>
      <c r="CI55" s="97">
        <f t="shared" si="58"/>
        <v>8862707.1400000006</v>
      </c>
      <c r="CJ55" s="97"/>
      <c r="CK55" s="97"/>
      <c r="CL55" s="98">
        <f t="shared" si="59"/>
        <v>8862707.1400000006</v>
      </c>
      <c r="CM55" s="97">
        <f t="shared" si="60"/>
        <v>8862707.1400000006</v>
      </c>
      <c r="CN55" s="97"/>
      <c r="CO55" s="97"/>
      <c r="CP55" s="98">
        <f t="shared" si="61"/>
        <v>8862707.1400000006</v>
      </c>
      <c r="CQ55" s="97">
        <f t="shared" si="62"/>
        <v>8862707.1400000006</v>
      </c>
      <c r="CR55" s="97"/>
      <c r="CS55" s="97">
        <f t="shared" si="63"/>
        <v>0</v>
      </c>
      <c r="CT55" s="98">
        <f t="shared" si="64"/>
        <v>8862707.1400000006</v>
      </c>
      <c r="CU55" s="97">
        <f t="shared" si="65"/>
        <v>8862707.1400000006</v>
      </c>
      <c r="CV55" s="97"/>
      <c r="CW55" s="97">
        <f t="shared" si="66"/>
        <v>0</v>
      </c>
      <c r="CX55" s="98">
        <f t="shared" si="67"/>
        <v>8862707.1400000006</v>
      </c>
      <c r="CY55" s="97">
        <f t="shared" si="68"/>
        <v>8862707.1400000006</v>
      </c>
      <c r="CZ55" s="97"/>
      <c r="DA55" s="97"/>
      <c r="DB55" s="98">
        <f t="shared" si="69"/>
        <v>8862707.1400000006</v>
      </c>
      <c r="DC55" s="75">
        <f t="shared" si="70"/>
        <v>8862707.1400000006</v>
      </c>
      <c r="DD55" s="97"/>
      <c r="DE55" s="97"/>
      <c r="DF55" s="98">
        <f t="shared" si="71"/>
        <v>8862707.1400000006</v>
      </c>
      <c r="DG55" s="75">
        <f t="shared" si="72"/>
        <v>8862707.1400000006</v>
      </c>
      <c r="DH55" s="78" t="str">
        <f>Calcs!F60</f>
        <v>Leisure Products</v>
      </c>
      <c r="DI55" s="99">
        <f t="shared" ca="1" si="73"/>
        <v>0</v>
      </c>
      <c r="DJ55" s="98">
        <f t="shared" ca="1" si="74"/>
        <v>8862707.1400000006</v>
      </c>
      <c r="DK55" s="293">
        <f t="shared" si="75"/>
        <v>19</v>
      </c>
      <c r="DL55" s="532" t="s">
        <v>320</v>
      </c>
      <c r="DM55" s="36"/>
      <c r="DN55" s="36"/>
      <c r="DO55" s="36"/>
      <c r="DP55" s="36"/>
      <c r="DQ55" s="413" cm="1">
        <f t="array" ref="DQ55">+SUMPRODUCT((DL55=$DH$12:$DH$307)*($DG$12:$DG$307))/$N$6</f>
        <v>0</v>
      </c>
      <c r="DR55" s="414">
        <f t="shared" si="76"/>
        <v>19</v>
      </c>
      <c r="DS55" s="413" cm="1">
        <f t="array" aca="1" ref="DS55" ca="1">+SUMPRODUCT((DL55=$DH$12:$DH$307)*($DJ$12:$DJ$307))/$N$6</f>
        <v>0</v>
      </c>
      <c r="DT55" s="417">
        <f t="shared" ca="1" si="86"/>
        <v>19</v>
      </c>
      <c r="DU55" s="415">
        <f t="shared" si="77"/>
        <v>0.1</v>
      </c>
      <c r="DV55" s="416">
        <f t="shared" si="78"/>
        <v>0.1</v>
      </c>
    </row>
    <row r="56" spans="6:126">
      <c r="F56" s="2">
        <f t="shared" ca="1" si="79"/>
        <v>62</v>
      </c>
      <c r="G56" s="40" t="str">
        <f>Calcs!A61</f>
        <v>SV- Aero Holdings, LLC (Aeronix)</v>
      </c>
      <c r="H56" s="68">
        <f t="shared" ca="1" si="8"/>
        <v>790000</v>
      </c>
      <c r="I56" s="96"/>
      <c r="J56" s="96"/>
      <c r="K56" s="63">
        <f>+IF(G56="","",IF(COUNTIF(G57:$G$307,G56)=0,1,0))</f>
        <v>1</v>
      </c>
      <c r="L56" s="75">
        <f>Calcs!U61</f>
        <v>790000</v>
      </c>
      <c r="M56">
        <f t="shared" si="82"/>
        <v>62</v>
      </c>
      <c r="N56" s="75">
        <f t="shared" si="85"/>
        <v>790000</v>
      </c>
      <c r="O56" s="75">
        <f t="shared" si="83"/>
        <v>790000</v>
      </c>
      <c r="P56" s="72">
        <f t="shared" si="10"/>
        <v>0.05</v>
      </c>
      <c r="Q56" s="72">
        <f t="shared" si="11"/>
        <v>1.315469447032659E-3</v>
      </c>
      <c r="R56" s="61">
        <f t="shared" si="12"/>
        <v>0</v>
      </c>
      <c r="S56" s="68">
        <f t="shared" si="13"/>
        <v>790000</v>
      </c>
      <c r="T56" s="68">
        <f t="shared" si="84"/>
        <v>790000</v>
      </c>
      <c r="U56">
        <f t="array" aca="1" ref="U56" ca="1">SUM(1*(S56&lt;$S$12:$S$307))+1+IF(ROW(S56)-ROW($S$12)=0,0,SUM(1*(S56=OFFSET($S$12,0,0,INDEX(ROW(S56)-ROW($S$12)+1,1)-1,1))))</f>
        <v>62</v>
      </c>
      <c r="V56" s="96">
        <f t="shared" si="14"/>
        <v>790000</v>
      </c>
      <c r="W56" s="75">
        <f>Calcs!U61</f>
        <v>790000</v>
      </c>
      <c r="X56" s="78">
        <f>IFERROR(OR(Calcs!BH60,Calcs!BI60)*W56,0)</f>
        <v>0</v>
      </c>
      <c r="Y56" s="97">
        <f t="shared" si="15"/>
        <v>0</v>
      </c>
      <c r="Z56" s="98">
        <f t="shared" si="16"/>
        <v>790000</v>
      </c>
      <c r="AA56" s="77">
        <f t="shared" si="17"/>
        <v>790000</v>
      </c>
      <c r="AB56" s="78">
        <f>IF(AND(Calcs!BM61=TRUE),AA56,0)</f>
        <v>0</v>
      </c>
      <c r="AC56" s="97">
        <f t="shared" si="18"/>
        <v>0</v>
      </c>
      <c r="AD56" s="98">
        <f t="shared" si="19"/>
        <v>790000</v>
      </c>
      <c r="AE56" s="77">
        <f t="shared" si="20"/>
        <v>790000</v>
      </c>
      <c r="AF56" s="78">
        <f>IF(Calcs!BY61&lt;15,AE56,0)</f>
        <v>0</v>
      </c>
      <c r="AG56" s="97">
        <f t="shared" si="21"/>
        <v>0</v>
      </c>
      <c r="AH56" s="98">
        <f t="shared" si="22"/>
        <v>790000</v>
      </c>
      <c r="AI56" s="77">
        <f t="shared" si="23"/>
        <v>790000</v>
      </c>
      <c r="AJ56" s="78">
        <f>IF(Calcs!BY61&lt;10,AE56,0)</f>
        <v>0</v>
      </c>
      <c r="AK56" s="97">
        <f t="shared" si="24"/>
        <v>0</v>
      </c>
      <c r="AL56" s="98">
        <f t="shared" si="25"/>
        <v>790000</v>
      </c>
      <c r="AM56" s="77">
        <f t="shared" si="26"/>
        <v>790000</v>
      </c>
      <c r="AN56" s="78">
        <f>NOT(Calcs!BD61)*AM56</f>
        <v>0</v>
      </c>
      <c r="AO56" s="97">
        <f t="shared" si="27"/>
        <v>0</v>
      </c>
      <c r="AP56" s="98">
        <f t="shared" si="28"/>
        <v>790000</v>
      </c>
      <c r="AQ56" s="77">
        <f t="shared" si="29"/>
        <v>790000</v>
      </c>
      <c r="AR56" s="78">
        <f>NOT(Calcs!BE61)*AQ56</f>
        <v>0</v>
      </c>
      <c r="AS56" s="97">
        <f t="shared" si="30"/>
        <v>0</v>
      </c>
      <c r="AT56" s="98">
        <f t="shared" si="31"/>
        <v>790000</v>
      </c>
      <c r="AU56" s="77">
        <f t="shared" si="32"/>
        <v>790000</v>
      </c>
      <c r="AV56" s="97">
        <f>IF(Calcs!BC61=TRUE, AU56, 0)</f>
        <v>0</v>
      </c>
      <c r="AW56" s="97">
        <f t="shared" si="33"/>
        <v>0</v>
      </c>
      <c r="AX56" s="98">
        <f t="shared" si="34"/>
        <v>790000</v>
      </c>
      <c r="AY56" s="77">
        <f t="shared" si="35"/>
        <v>790000</v>
      </c>
      <c r="AZ56" s="97">
        <f>Calcs!BK61*AY56</f>
        <v>0</v>
      </c>
      <c r="BA56" s="97">
        <f t="shared" si="36"/>
        <v>0</v>
      </c>
      <c r="BB56" s="98">
        <f t="shared" si="37"/>
        <v>790000</v>
      </c>
      <c r="BC56" s="77">
        <f t="shared" si="38"/>
        <v>790000</v>
      </c>
      <c r="BD56" s="97"/>
      <c r="BE56" s="97"/>
      <c r="BF56" s="98"/>
      <c r="BG56" s="77">
        <f t="shared" si="39"/>
        <v>790000</v>
      </c>
      <c r="BH56" s="97">
        <f>IF(Calcs!BJ61=FALSE,0,BG56)</f>
        <v>0</v>
      </c>
      <c r="BI56" s="97">
        <f t="shared" si="40"/>
        <v>0</v>
      </c>
      <c r="BJ56" s="98">
        <f t="shared" si="41"/>
        <v>790000</v>
      </c>
      <c r="BK56" s="77">
        <f t="shared" si="42"/>
        <v>790000</v>
      </c>
      <c r="BL56" s="97">
        <f>IF(Calcs!AW61=TRUE,BK56,0)</f>
        <v>0</v>
      </c>
      <c r="BM56" s="97">
        <f t="shared" si="43"/>
        <v>0</v>
      </c>
      <c r="BN56" s="98">
        <f t="shared" si="44"/>
        <v>790000</v>
      </c>
      <c r="BO56" s="77">
        <f t="shared" si="45"/>
        <v>790000</v>
      </c>
      <c r="BP56" s="97"/>
      <c r="BQ56" s="97">
        <f t="shared" si="46"/>
        <v>0</v>
      </c>
      <c r="BR56" s="98">
        <f t="shared" si="47"/>
        <v>790000</v>
      </c>
      <c r="BS56" s="77">
        <f t="shared" si="48"/>
        <v>790000</v>
      </c>
      <c r="BT56" s="97">
        <f>IF(Calcs!BB61=TRUE,'Concentration Limitations'!BS56,0)</f>
        <v>0</v>
      </c>
      <c r="BU56" s="97">
        <f t="shared" si="49"/>
        <v>0</v>
      </c>
      <c r="BV56" s="98">
        <f t="shared" si="50"/>
        <v>790000</v>
      </c>
      <c r="BW56" s="77">
        <f t="shared" si="51"/>
        <v>790000</v>
      </c>
      <c r="BX56" s="97">
        <f>IF(Calcs!BI61=TRUE,'Concentration Limitations'!BW56,0)</f>
        <v>0</v>
      </c>
      <c r="BY56" s="97">
        <f t="shared" si="52"/>
        <v>0</v>
      </c>
      <c r="BZ56" s="98">
        <f t="shared" si="53"/>
        <v>790000</v>
      </c>
      <c r="CA56" s="97">
        <f t="shared" si="54"/>
        <v>790000</v>
      </c>
      <c r="CB56" s="97"/>
      <c r="CC56" s="97"/>
      <c r="CD56" s="98">
        <f t="shared" si="55"/>
        <v>790000</v>
      </c>
      <c r="CE56" s="97">
        <f t="shared" si="56"/>
        <v>790000</v>
      </c>
      <c r="CF56" s="97"/>
      <c r="CG56" s="97"/>
      <c r="CH56" s="98">
        <f t="shared" si="57"/>
        <v>790000</v>
      </c>
      <c r="CI56" s="97">
        <f t="shared" si="58"/>
        <v>790000</v>
      </c>
      <c r="CJ56" s="97"/>
      <c r="CK56" s="97"/>
      <c r="CL56" s="98">
        <f t="shared" si="59"/>
        <v>790000</v>
      </c>
      <c r="CM56" s="97">
        <f t="shared" si="60"/>
        <v>790000</v>
      </c>
      <c r="CN56" s="97"/>
      <c r="CO56" s="97"/>
      <c r="CP56" s="98">
        <f t="shared" si="61"/>
        <v>790000</v>
      </c>
      <c r="CQ56" s="97">
        <f t="shared" si="62"/>
        <v>790000</v>
      </c>
      <c r="CR56" s="97"/>
      <c r="CS56" s="97">
        <f t="shared" si="63"/>
        <v>0</v>
      </c>
      <c r="CT56" s="98">
        <f t="shared" si="64"/>
        <v>790000</v>
      </c>
      <c r="CU56" s="97">
        <f t="shared" si="65"/>
        <v>790000</v>
      </c>
      <c r="CV56" s="97"/>
      <c r="CW56" s="97">
        <f t="shared" si="66"/>
        <v>0</v>
      </c>
      <c r="CX56" s="98">
        <f t="shared" si="67"/>
        <v>790000</v>
      </c>
      <c r="CY56" s="97">
        <f t="shared" si="68"/>
        <v>790000</v>
      </c>
      <c r="CZ56" s="97"/>
      <c r="DA56" s="97"/>
      <c r="DB56" s="98">
        <f t="shared" si="69"/>
        <v>790000</v>
      </c>
      <c r="DC56" s="75">
        <f t="shared" si="70"/>
        <v>790000</v>
      </c>
      <c r="DD56" s="97"/>
      <c r="DE56" s="97"/>
      <c r="DF56" s="98">
        <f t="shared" si="71"/>
        <v>790000</v>
      </c>
      <c r="DG56" s="75">
        <f t="shared" si="72"/>
        <v>790000</v>
      </c>
      <c r="DH56" s="78" t="str">
        <f>Calcs!F61</f>
        <v>Aerospace &amp; Defense</v>
      </c>
      <c r="DI56" s="99">
        <f t="shared" ca="1" si="73"/>
        <v>0</v>
      </c>
      <c r="DJ56" s="98">
        <f t="shared" ca="1" si="74"/>
        <v>790000</v>
      </c>
      <c r="DK56" s="293">
        <f t="shared" si="75"/>
        <v>19</v>
      </c>
      <c r="DL56" s="532" t="s">
        <v>195</v>
      </c>
      <c r="DM56" s="36"/>
      <c r="DN56" s="36"/>
      <c r="DO56" s="36"/>
      <c r="DP56" s="36"/>
      <c r="DQ56" s="413" cm="1">
        <f t="array" ref="DQ56">+SUMPRODUCT((DL56=$DH$12:$DH$307)*($DG$12:$DG$307))/$N$6</f>
        <v>0</v>
      </c>
      <c r="DR56" s="414">
        <f t="shared" si="76"/>
        <v>19</v>
      </c>
      <c r="DS56" s="413" cm="1">
        <f t="array" aca="1" ref="DS56" ca="1">+SUMPRODUCT((DL56=$DH$12:$DH$307)*($DJ$12:$DJ$307))/$N$6</f>
        <v>0</v>
      </c>
      <c r="DT56" s="417">
        <f t="shared" ca="1" si="86"/>
        <v>19</v>
      </c>
      <c r="DU56" s="415">
        <f t="shared" si="77"/>
        <v>0.1</v>
      </c>
      <c r="DV56" s="416">
        <f t="shared" si="78"/>
        <v>0.1</v>
      </c>
    </row>
    <row r="57" spans="6:126">
      <c r="F57" s="2">
        <f t="shared" ca="1" si="79"/>
        <v>21</v>
      </c>
      <c r="G57" s="40" t="str">
        <f>Calcs!A62</f>
        <v>Sabel Systems Technology Solutions, LLC</v>
      </c>
      <c r="H57" s="68">
        <f t="shared" ca="1" si="8"/>
        <v>5970000</v>
      </c>
      <c r="I57" s="96"/>
      <c r="J57" s="96"/>
      <c r="K57" s="63">
        <f>+IF(G57="","",IF(COUNTIF(G58:$G$307,G57)=0,1,0))</f>
        <v>1</v>
      </c>
      <c r="L57" s="75">
        <f>Calcs!U62</f>
        <v>5970000</v>
      </c>
      <c r="M57">
        <f t="shared" si="82"/>
        <v>21</v>
      </c>
      <c r="N57" s="75">
        <f t="shared" si="85"/>
        <v>5970000</v>
      </c>
      <c r="O57" s="75">
        <f t="shared" si="83"/>
        <v>5970000</v>
      </c>
      <c r="P57" s="72">
        <f t="shared" si="10"/>
        <v>0.05</v>
      </c>
      <c r="Q57" s="72">
        <f t="shared" si="11"/>
        <v>9.9409526566898426E-3</v>
      </c>
      <c r="R57" s="61">
        <f t="shared" si="12"/>
        <v>0</v>
      </c>
      <c r="S57" s="68">
        <f t="shared" si="13"/>
        <v>5970000</v>
      </c>
      <c r="T57" s="68">
        <f t="shared" si="84"/>
        <v>5970000</v>
      </c>
      <c r="U57">
        <f t="array" aca="1" ref="U57" ca="1">SUM(1*(S57&lt;$S$12:$S$307))+1+IF(ROW(S57)-ROW($S$12)=0,0,SUM(1*(S57=OFFSET($S$12,0,0,INDEX(ROW(S57)-ROW($S$12)+1,1)-1,1))))</f>
        <v>21</v>
      </c>
      <c r="V57" s="96">
        <f t="shared" si="14"/>
        <v>5970000</v>
      </c>
      <c r="W57" s="75">
        <f>Calcs!U62</f>
        <v>5970000</v>
      </c>
      <c r="X57" s="78">
        <f>IFERROR(OR(Calcs!BH61,Calcs!BI61)*W57,0)</f>
        <v>0</v>
      </c>
      <c r="Y57" s="97">
        <f t="shared" si="15"/>
        <v>0</v>
      </c>
      <c r="Z57" s="98">
        <f t="shared" si="16"/>
        <v>5970000</v>
      </c>
      <c r="AA57" s="77">
        <f t="shared" si="17"/>
        <v>5970000</v>
      </c>
      <c r="AB57" s="78">
        <f>IF(AND(Calcs!BM62=TRUE),AA57,0)</f>
        <v>0</v>
      </c>
      <c r="AC57" s="97">
        <f t="shared" si="18"/>
        <v>0</v>
      </c>
      <c r="AD57" s="98">
        <f t="shared" si="19"/>
        <v>5970000</v>
      </c>
      <c r="AE57" s="77">
        <f t="shared" si="20"/>
        <v>5970000</v>
      </c>
      <c r="AF57" s="78">
        <f>IF(Calcs!BY62&lt;15,AE57,0)</f>
        <v>0</v>
      </c>
      <c r="AG57" s="97">
        <f t="shared" si="21"/>
        <v>0</v>
      </c>
      <c r="AH57" s="98">
        <f t="shared" si="22"/>
        <v>5970000</v>
      </c>
      <c r="AI57" s="77">
        <f t="shared" si="23"/>
        <v>5970000</v>
      </c>
      <c r="AJ57" s="78">
        <f>IF(Calcs!BY62&lt;10,AE57,0)</f>
        <v>0</v>
      </c>
      <c r="AK57" s="97">
        <f t="shared" si="24"/>
        <v>0</v>
      </c>
      <c r="AL57" s="98">
        <f t="shared" si="25"/>
        <v>5970000</v>
      </c>
      <c r="AM57" s="77">
        <f t="shared" si="26"/>
        <v>5970000</v>
      </c>
      <c r="AN57" s="78">
        <f>NOT(Calcs!BD62)*AM57</f>
        <v>0</v>
      </c>
      <c r="AO57" s="97">
        <f t="shared" si="27"/>
        <v>0</v>
      </c>
      <c r="AP57" s="98">
        <f t="shared" si="28"/>
        <v>5970000</v>
      </c>
      <c r="AQ57" s="77">
        <f t="shared" si="29"/>
        <v>5970000</v>
      </c>
      <c r="AR57" s="78">
        <f>NOT(Calcs!BE62)*AQ57</f>
        <v>0</v>
      </c>
      <c r="AS57" s="97">
        <f t="shared" si="30"/>
        <v>0</v>
      </c>
      <c r="AT57" s="98">
        <f t="shared" si="31"/>
        <v>5970000</v>
      </c>
      <c r="AU57" s="77">
        <f t="shared" si="32"/>
        <v>5970000</v>
      </c>
      <c r="AV57" s="97">
        <f>IF(Calcs!BC62=TRUE, AU57, 0)</f>
        <v>0</v>
      </c>
      <c r="AW57" s="97">
        <f t="shared" si="33"/>
        <v>0</v>
      </c>
      <c r="AX57" s="98">
        <f t="shared" si="34"/>
        <v>5970000</v>
      </c>
      <c r="AY57" s="77">
        <f t="shared" si="35"/>
        <v>5970000</v>
      </c>
      <c r="AZ57" s="97">
        <f>Calcs!BK62*AY57</f>
        <v>0</v>
      </c>
      <c r="BA57" s="97">
        <f t="shared" si="36"/>
        <v>0</v>
      </c>
      <c r="BB57" s="98">
        <f t="shared" si="37"/>
        <v>5970000</v>
      </c>
      <c r="BC57" s="77">
        <f t="shared" si="38"/>
        <v>5970000</v>
      </c>
      <c r="BD57" s="97"/>
      <c r="BE57" s="97"/>
      <c r="BF57" s="98"/>
      <c r="BG57" s="77">
        <f t="shared" si="39"/>
        <v>5970000</v>
      </c>
      <c r="BH57" s="97">
        <f>IF(Calcs!BJ62=FALSE,0,BG57)</f>
        <v>0</v>
      </c>
      <c r="BI57" s="97">
        <f t="shared" si="40"/>
        <v>0</v>
      </c>
      <c r="BJ57" s="98">
        <f t="shared" si="41"/>
        <v>5970000</v>
      </c>
      <c r="BK57" s="77">
        <f t="shared" si="42"/>
        <v>5970000</v>
      </c>
      <c r="BL57" s="97">
        <f>IF(Calcs!AW62=TRUE,BK57,0)</f>
        <v>0</v>
      </c>
      <c r="BM57" s="97">
        <f t="shared" si="43"/>
        <v>0</v>
      </c>
      <c r="BN57" s="98">
        <f t="shared" si="44"/>
        <v>5970000</v>
      </c>
      <c r="BO57" s="77">
        <f t="shared" si="45"/>
        <v>5970000</v>
      </c>
      <c r="BP57" s="97"/>
      <c r="BQ57" s="97">
        <f t="shared" si="46"/>
        <v>0</v>
      </c>
      <c r="BR57" s="98">
        <f t="shared" si="47"/>
        <v>5970000</v>
      </c>
      <c r="BS57" s="77">
        <f t="shared" si="48"/>
        <v>5970000</v>
      </c>
      <c r="BT57" s="97">
        <f>IF(Calcs!BB62=TRUE,'Concentration Limitations'!BS57,0)</f>
        <v>0</v>
      </c>
      <c r="BU57" s="97">
        <f t="shared" si="49"/>
        <v>0</v>
      </c>
      <c r="BV57" s="98">
        <f t="shared" si="50"/>
        <v>5970000</v>
      </c>
      <c r="BW57" s="77">
        <f t="shared" si="51"/>
        <v>5970000</v>
      </c>
      <c r="BX57" s="97">
        <f>IF(Calcs!BI62=TRUE,'Concentration Limitations'!BW57,0)</f>
        <v>0</v>
      </c>
      <c r="BY57" s="97">
        <f t="shared" si="52"/>
        <v>0</v>
      </c>
      <c r="BZ57" s="98">
        <f t="shared" si="53"/>
        <v>5970000</v>
      </c>
      <c r="CA57" s="97">
        <f t="shared" si="54"/>
        <v>5970000</v>
      </c>
      <c r="CB57" s="97"/>
      <c r="CC57" s="97"/>
      <c r="CD57" s="98">
        <f t="shared" si="55"/>
        <v>5970000</v>
      </c>
      <c r="CE57" s="97">
        <f t="shared" si="56"/>
        <v>5970000</v>
      </c>
      <c r="CF57" s="97"/>
      <c r="CG57" s="97"/>
      <c r="CH57" s="98">
        <f t="shared" si="57"/>
        <v>5970000</v>
      </c>
      <c r="CI57" s="97">
        <f t="shared" si="58"/>
        <v>5970000</v>
      </c>
      <c r="CJ57" s="97"/>
      <c r="CK57" s="97"/>
      <c r="CL57" s="98">
        <f t="shared" si="59"/>
        <v>5970000</v>
      </c>
      <c r="CM57" s="97">
        <f t="shared" si="60"/>
        <v>5970000</v>
      </c>
      <c r="CN57" s="97"/>
      <c r="CO57" s="97"/>
      <c r="CP57" s="98">
        <f t="shared" si="61"/>
        <v>5970000</v>
      </c>
      <c r="CQ57" s="97">
        <f t="shared" si="62"/>
        <v>5970000</v>
      </c>
      <c r="CR57" s="97"/>
      <c r="CS57" s="97">
        <f t="shared" si="63"/>
        <v>0</v>
      </c>
      <c r="CT57" s="98">
        <f t="shared" si="64"/>
        <v>5970000</v>
      </c>
      <c r="CU57" s="97">
        <f t="shared" si="65"/>
        <v>5970000</v>
      </c>
      <c r="CV57" s="97"/>
      <c r="CW57" s="97">
        <f t="shared" si="66"/>
        <v>0</v>
      </c>
      <c r="CX57" s="98">
        <f t="shared" si="67"/>
        <v>5970000</v>
      </c>
      <c r="CY57" s="97">
        <f t="shared" si="68"/>
        <v>5970000</v>
      </c>
      <c r="CZ57" s="97"/>
      <c r="DA57" s="97"/>
      <c r="DB57" s="98">
        <f t="shared" si="69"/>
        <v>5970000</v>
      </c>
      <c r="DC57" s="75">
        <f t="shared" si="70"/>
        <v>5970000</v>
      </c>
      <c r="DD57" s="97"/>
      <c r="DE57" s="97"/>
      <c r="DF57" s="98">
        <f t="shared" si="71"/>
        <v>5970000</v>
      </c>
      <c r="DG57" s="75">
        <f t="shared" si="72"/>
        <v>5970000</v>
      </c>
      <c r="DH57" s="78" t="str">
        <f>Calcs!F62</f>
        <v>IT Services</v>
      </c>
      <c r="DI57" s="99">
        <f t="shared" ca="1" si="73"/>
        <v>0</v>
      </c>
      <c r="DJ57" s="98">
        <f t="shared" ca="1" si="74"/>
        <v>5970000</v>
      </c>
      <c r="DK57" s="293">
        <f t="shared" si="75"/>
        <v>19</v>
      </c>
      <c r="DL57" s="532" t="s">
        <v>196</v>
      </c>
      <c r="DM57" s="36"/>
      <c r="DN57" s="36"/>
      <c r="DO57" s="36"/>
      <c r="DP57" s="36"/>
      <c r="DQ57" s="413" cm="1">
        <f t="array" ref="DQ57">+SUMPRODUCT((DL57=$DH$12:$DH$307)*($DG$12:$DG$307))/$N$6</f>
        <v>0</v>
      </c>
      <c r="DR57" s="414">
        <f t="shared" si="76"/>
        <v>19</v>
      </c>
      <c r="DS57" s="413" cm="1">
        <f t="array" aca="1" ref="DS57" ca="1">+SUMPRODUCT((DL57=$DH$12:$DH$307)*($DJ$12:$DJ$307))/$N$6</f>
        <v>0</v>
      </c>
      <c r="DT57" s="417">
        <f t="shared" ca="1" si="86"/>
        <v>19</v>
      </c>
      <c r="DU57" s="415">
        <f t="shared" si="77"/>
        <v>0.1</v>
      </c>
      <c r="DV57" s="416">
        <f t="shared" si="78"/>
        <v>0.1</v>
      </c>
    </row>
    <row r="58" spans="6:126">
      <c r="F58" s="2">
        <f t="shared" ca="1" si="79"/>
        <v>63</v>
      </c>
      <c r="G58" s="40" t="str">
        <f>Calcs!A63</f>
        <v>Seaway Plastics</v>
      </c>
      <c r="H58" s="68">
        <f t="shared" ca="1" si="8"/>
        <v>545882.25599999994</v>
      </c>
      <c r="I58" s="96"/>
      <c r="J58" s="96"/>
      <c r="K58" s="63">
        <f>+IF(G58="","",IF(COUNTIF(G59:$G$307,G58)=0,1,0))</f>
        <v>1</v>
      </c>
      <c r="L58" s="75">
        <f>Calcs!U63</f>
        <v>545882.25599999994</v>
      </c>
      <c r="M58">
        <f t="shared" si="82"/>
        <v>63</v>
      </c>
      <c r="N58" s="75">
        <f t="shared" si="85"/>
        <v>545882.25599999994</v>
      </c>
      <c r="O58" s="75">
        <f t="shared" si="83"/>
        <v>545882.25599999994</v>
      </c>
      <c r="P58" s="72">
        <f t="shared" si="10"/>
        <v>0.05</v>
      </c>
      <c r="Q58" s="72">
        <f t="shared" si="11"/>
        <v>9.0897649296868403E-4</v>
      </c>
      <c r="R58" s="61">
        <f t="shared" si="12"/>
        <v>0</v>
      </c>
      <c r="S58" s="68">
        <f t="shared" si="13"/>
        <v>545882.25599999994</v>
      </c>
      <c r="T58" s="68">
        <f t="shared" si="84"/>
        <v>545882.25599999994</v>
      </c>
      <c r="U58">
        <f t="array" aca="1" ref="U58" ca="1">SUM(1*(S58&lt;$S$12:$S$307))+1+IF(ROW(S58)-ROW($S$12)=0,0,SUM(1*(S58=OFFSET($S$12,0,0,INDEX(ROW(S58)-ROW($S$12)+1,1)-1,1))))</f>
        <v>63</v>
      </c>
      <c r="V58" s="96">
        <f t="shared" si="14"/>
        <v>545882.25599999994</v>
      </c>
      <c r="W58" s="75">
        <f>Calcs!U63</f>
        <v>545882.25599999994</v>
      </c>
      <c r="X58" s="78">
        <f>IFERROR(OR(Calcs!BH62,Calcs!BI62)*W58,0)</f>
        <v>0</v>
      </c>
      <c r="Y58" s="97">
        <f t="shared" si="15"/>
        <v>0</v>
      </c>
      <c r="Z58" s="98">
        <f t="shared" si="16"/>
        <v>545882.25599999994</v>
      </c>
      <c r="AA58" s="77">
        <f t="shared" si="17"/>
        <v>545882.25599999994</v>
      </c>
      <c r="AB58" s="78">
        <f>IF(AND(Calcs!BM63=TRUE),AA58,0)</f>
        <v>0</v>
      </c>
      <c r="AC58" s="97">
        <f t="shared" si="18"/>
        <v>0</v>
      </c>
      <c r="AD58" s="98">
        <f t="shared" si="19"/>
        <v>545882.25599999994</v>
      </c>
      <c r="AE58" s="77">
        <f t="shared" si="20"/>
        <v>545882.25599999994</v>
      </c>
      <c r="AF58" s="78">
        <f>IF(Calcs!BY63&lt;15,AE58,0)</f>
        <v>545882.25599999994</v>
      </c>
      <c r="AG58" s="97">
        <f t="shared" si="21"/>
        <v>0</v>
      </c>
      <c r="AH58" s="98">
        <f t="shared" si="22"/>
        <v>545882.25599999994</v>
      </c>
      <c r="AI58" s="77">
        <f t="shared" si="23"/>
        <v>545882.25599999994</v>
      </c>
      <c r="AJ58" s="78">
        <f>IF(Calcs!BY63&lt;10,AE58,0)</f>
        <v>545882.25599999994</v>
      </c>
      <c r="AK58" s="97">
        <f t="shared" si="24"/>
        <v>0</v>
      </c>
      <c r="AL58" s="98">
        <f t="shared" si="25"/>
        <v>545882.25599999994</v>
      </c>
      <c r="AM58" s="77">
        <f t="shared" si="26"/>
        <v>545882.25599999994</v>
      </c>
      <c r="AN58" s="78">
        <f>NOT(Calcs!BD63)*AM58</f>
        <v>0</v>
      </c>
      <c r="AO58" s="97">
        <f t="shared" si="27"/>
        <v>0</v>
      </c>
      <c r="AP58" s="98">
        <f t="shared" si="28"/>
        <v>545882.25599999994</v>
      </c>
      <c r="AQ58" s="77">
        <f t="shared" si="29"/>
        <v>545882.25599999994</v>
      </c>
      <c r="AR58" s="78">
        <f>NOT(Calcs!BE63)*AQ58</f>
        <v>0</v>
      </c>
      <c r="AS58" s="97">
        <f t="shared" si="30"/>
        <v>0</v>
      </c>
      <c r="AT58" s="98">
        <f t="shared" si="31"/>
        <v>545882.25599999994</v>
      </c>
      <c r="AU58" s="77">
        <f t="shared" si="32"/>
        <v>545882.25599999994</v>
      </c>
      <c r="AV58" s="97">
        <f>IF(Calcs!BC63=TRUE, AU58, 0)</f>
        <v>545882.25599999994</v>
      </c>
      <c r="AW58" s="97">
        <f t="shared" si="33"/>
        <v>0</v>
      </c>
      <c r="AX58" s="98">
        <f t="shared" si="34"/>
        <v>545882.25599999994</v>
      </c>
      <c r="AY58" s="77">
        <f t="shared" si="35"/>
        <v>545882.25599999994</v>
      </c>
      <c r="AZ58" s="97">
        <f>Calcs!BK63*AY58</f>
        <v>0</v>
      </c>
      <c r="BA58" s="97">
        <f t="shared" si="36"/>
        <v>0</v>
      </c>
      <c r="BB58" s="98">
        <f t="shared" si="37"/>
        <v>545882.25599999994</v>
      </c>
      <c r="BC58" s="77">
        <f t="shared" si="38"/>
        <v>545882.25599999994</v>
      </c>
      <c r="BD58" s="97"/>
      <c r="BE58" s="97"/>
      <c r="BF58" s="98"/>
      <c r="BG58" s="77">
        <f t="shared" si="39"/>
        <v>545882.25599999994</v>
      </c>
      <c r="BH58" s="97">
        <f>IF(Calcs!BJ63=FALSE,0,BG58)</f>
        <v>0</v>
      </c>
      <c r="BI58" s="97">
        <f t="shared" si="40"/>
        <v>0</v>
      </c>
      <c r="BJ58" s="98">
        <f t="shared" si="41"/>
        <v>545882.25599999994</v>
      </c>
      <c r="BK58" s="77">
        <f t="shared" si="42"/>
        <v>545882.25599999994</v>
      </c>
      <c r="BL58" s="97">
        <f>IF(Calcs!AW63=TRUE,BK58,0)</f>
        <v>0</v>
      </c>
      <c r="BM58" s="97">
        <f t="shared" si="43"/>
        <v>0</v>
      </c>
      <c r="BN58" s="98">
        <f t="shared" si="44"/>
        <v>545882.25599999994</v>
      </c>
      <c r="BO58" s="77">
        <f t="shared" si="45"/>
        <v>545882.25599999994</v>
      </c>
      <c r="BP58" s="97"/>
      <c r="BQ58" s="97">
        <f t="shared" si="46"/>
        <v>0</v>
      </c>
      <c r="BR58" s="98">
        <f t="shared" si="47"/>
        <v>545882.25599999994</v>
      </c>
      <c r="BS58" s="77">
        <f t="shared" si="48"/>
        <v>545882.25599999994</v>
      </c>
      <c r="BT58" s="97">
        <f>IF(Calcs!BB63=TRUE,'Concentration Limitations'!BS58,0)</f>
        <v>0</v>
      </c>
      <c r="BU58" s="97">
        <f t="shared" si="49"/>
        <v>0</v>
      </c>
      <c r="BV58" s="98">
        <f t="shared" si="50"/>
        <v>545882.25599999994</v>
      </c>
      <c r="BW58" s="77">
        <f t="shared" si="51"/>
        <v>545882.25599999994</v>
      </c>
      <c r="BX58" s="97">
        <f>IF(Calcs!BI63=TRUE,'Concentration Limitations'!BW58,0)</f>
        <v>0</v>
      </c>
      <c r="BY58" s="97">
        <f t="shared" si="52"/>
        <v>0</v>
      </c>
      <c r="BZ58" s="98">
        <f t="shared" si="53"/>
        <v>545882.25599999994</v>
      </c>
      <c r="CA58" s="97">
        <f t="shared" si="54"/>
        <v>545882.25599999994</v>
      </c>
      <c r="CB58" s="97"/>
      <c r="CC58" s="97"/>
      <c r="CD58" s="98">
        <f t="shared" si="55"/>
        <v>545882.25599999994</v>
      </c>
      <c r="CE58" s="97">
        <f t="shared" si="56"/>
        <v>545882.25599999994</v>
      </c>
      <c r="CF58" s="97"/>
      <c r="CG58" s="97"/>
      <c r="CH58" s="98">
        <f t="shared" si="57"/>
        <v>545882.25599999994</v>
      </c>
      <c r="CI58" s="97">
        <f t="shared" si="58"/>
        <v>545882.25599999994</v>
      </c>
      <c r="CJ58" s="97"/>
      <c r="CK58" s="97"/>
      <c r="CL58" s="98">
        <f t="shared" si="59"/>
        <v>545882.25599999994</v>
      </c>
      <c r="CM58" s="97">
        <f t="shared" si="60"/>
        <v>545882.25599999994</v>
      </c>
      <c r="CN58" s="97"/>
      <c r="CO58" s="97"/>
      <c r="CP58" s="98">
        <f t="shared" si="61"/>
        <v>545882.25599999994</v>
      </c>
      <c r="CQ58" s="97">
        <f t="shared" si="62"/>
        <v>545882.25599999994</v>
      </c>
      <c r="CR58" s="97"/>
      <c r="CS58" s="97">
        <f t="shared" si="63"/>
        <v>0</v>
      </c>
      <c r="CT58" s="98">
        <f t="shared" si="64"/>
        <v>545882.25599999994</v>
      </c>
      <c r="CU58" s="97">
        <f t="shared" si="65"/>
        <v>545882.25599999994</v>
      </c>
      <c r="CV58" s="97"/>
      <c r="CW58" s="97">
        <f t="shared" si="66"/>
        <v>0</v>
      </c>
      <c r="CX58" s="98">
        <f t="shared" si="67"/>
        <v>545882.25599999994</v>
      </c>
      <c r="CY58" s="97">
        <f t="shared" si="68"/>
        <v>545882.25599999994</v>
      </c>
      <c r="CZ58" s="97"/>
      <c r="DA58" s="97"/>
      <c r="DB58" s="98">
        <f t="shared" si="69"/>
        <v>545882.25599999994</v>
      </c>
      <c r="DC58" s="75">
        <f t="shared" si="70"/>
        <v>545882.25599999994</v>
      </c>
      <c r="DD58" s="97"/>
      <c r="DE58" s="97"/>
      <c r="DF58" s="98">
        <f t="shared" si="71"/>
        <v>545882.25599999994</v>
      </c>
      <c r="DG58" s="75">
        <f t="shared" si="72"/>
        <v>545882.25599999994</v>
      </c>
      <c r="DH58" s="78" t="str">
        <f>Calcs!F63</f>
        <v>Chemicals</v>
      </c>
      <c r="DI58" s="99">
        <f t="shared" ca="1" si="73"/>
        <v>0</v>
      </c>
      <c r="DJ58" s="98">
        <f t="shared" ca="1" si="74"/>
        <v>545882.25599999994</v>
      </c>
      <c r="DK58" s="293">
        <f t="shared" si="75"/>
        <v>4</v>
      </c>
      <c r="DL58" s="532" t="s">
        <v>197</v>
      </c>
      <c r="DM58" s="36"/>
      <c r="DN58" s="36"/>
      <c r="DO58" s="36"/>
      <c r="DP58" s="36"/>
      <c r="DQ58" s="413" cm="1">
        <f t="array" ref="DQ58">+SUMPRODUCT((DL58=$DH$12:$DH$307)*($DG$12:$DG$307))/$N$6</f>
        <v>7.7790764914185268E-2</v>
      </c>
      <c r="DR58" s="414">
        <f t="shared" si="76"/>
        <v>4</v>
      </c>
      <c r="DS58" s="413" cm="1">
        <f t="array" aca="1" ref="DS58" ca="1">+SUMPRODUCT((DL58=$DH$12:$DH$307)*($DJ$12:$DJ$307))/$N$6</f>
        <v>7.7790764914185268E-2</v>
      </c>
      <c r="DT58" s="417">
        <f t="shared" ca="1" si="86"/>
        <v>4</v>
      </c>
      <c r="DU58" s="415">
        <f t="shared" si="77"/>
        <v>0.1</v>
      </c>
      <c r="DV58" s="416">
        <f t="shared" si="78"/>
        <v>2.2209235085814738E-2</v>
      </c>
    </row>
    <row r="59" spans="6:126">
      <c r="F59" s="2">
        <f t="shared" ca="1" si="79"/>
        <v>2</v>
      </c>
      <c r="G59" s="40" t="str">
        <f>Calcs!A64</f>
        <v>Sigma Defense Systems, LLC</v>
      </c>
      <c r="H59" s="68">
        <f t="shared" ca="1" si="8"/>
        <v>18161284.460000001</v>
      </c>
      <c r="I59" s="96"/>
      <c r="J59" s="96"/>
      <c r="K59" s="63">
        <f>+IF(G59="","",IF(COUNTIF(G60:$G$307,G59)=0,1,0))</f>
        <v>1</v>
      </c>
      <c r="L59" s="75">
        <f>Calcs!U64</f>
        <v>18161284.460000001</v>
      </c>
      <c r="M59">
        <f t="shared" si="82"/>
        <v>2</v>
      </c>
      <c r="N59" s="75">
        <f t="shared" si="85"/>
        <v>18161284.460000001</v>
      </c>
      <c r="O59" s="75">
        <f t="shared" si="83"/>
        <v>18161284.460000001</v>
      </c>
      <c r="P59" s="72">
        <f t="shared" si="10"/>
        <v>7.0000000000000007E-2</v>
      </c>
      <c r="Q59" s="72">
        <f t="shared" si="11"/>
        <v>3.0241284589872186E-2</v>
      </c>
      <c r="R59" s="61">
        <f t="shared" si="12"/>
        <v>0</v>
      </c>
      <c r="S59" s="68">
        <f t="shared" si="13"/>
        <v>18161284.460000001</v>
      </c>
      <c r="T59" s="68">
        <f t="shared" si="84"/>
        <v>18161284.460000001</v>
      </c>
      <c r="U59">
        <f t="array" aca="1" ref="U59" ca="1">SUM(1*(S59&lt;$S$12:$S$307))+1+IF(ROW(S59)-ROW($S$12)=0,0,SUM(1*(S59=OFFSET($S$12,0,0,INDEX(ROW(S59)-ROW($S$12)+1,1)-1,1))))</f>
        <v>2</v>
      </c>
      <c r="V59" s="96">
        <f t="shared" si="14"/>
        <v>18161284.460000001</v>
      </c>
      <c r="W59" s="75">
        <f>Calcs!U64</f>
        <v>18161284.460000001</v>
      </c>
      <c r="X59" s="78">
        <f>IFERROR(OR(Calcs!BH63,Calcs!BI63)*W59,0)</f>
        <v>0</v>
      </c>
      <c r="Y59" s="97">
        <f t="shared" si="15"/>
        <v>0</v>
      </c>
      <c r="Z59" s="98">
        <f t="shared" si="16"/>
        <v>18161284.460000001</v>
      </c>
      <c r="AA59" s="77">
        <f t="shared" si="17"/>
        <v>18161284.460000001</v>
      </c>
      <c r="AB59" s="78">
        <f>IF(AND(Calcs!BM64=TRUE),AA59,0)</f>
        <v>0</v>
      </c>
      <c r="AC59" s="97">
        <f t="shared" si="18"/>
        <v>0</v>
      </c>
      <c r="AD59" s="98">
        <f t="shared" si="19"/>
        <v>18161284.460000001</v>
      </c>
      <c r="AE59" s="77">
        <f t="shared" si="20"/>
        <v>18161284.460000001</v>
      </c>
      <c r="AF59" s="78">
        <f>IF(Calcs!BY64&lt;15,AE59,0)</f>
        <v>0</v>
      </c>
      <c r="AG59" s="97">
        <f t="shared" si="21"/>
        <v>0</v>
      </c>
      <c r="AH59" s="98">
        <f t="shared" si="22"/>
        <v>18161284.460000001</v>
      </c>
      <c r="AI59" s="77">
        <f t="shared" si="23"/>
        <v>18161284.460000001</v>
      </c>
      <c r="AJ59" s="78">
        <f>IF(Calcs!BY64&lt;10,AE59,0)</f>
        <v>0</v>
      </c>
      <c r="AK59" s="97">
        <f t="shared" si="24"/>
        <v>0</v>
      </c>
      <c r="AL59" s="98">
        <f t="shared" si="25"/>
        <v>18161284.460000001</v>
      </c>
      <c r="AM59" s="77">
        <f t="shared" si="26"/>
        <v>18161284.460000001</v>
      </c>
      <c r="AN59" s="78">
        <f>NOT(Calcs!BD64)*AM59</f>
        <v>0</v>
      </c>
      <c r="AO59" s="97">
        <f t="shared" si="27"/>
        <v>0</v>
      </c>
      <c r="AP59" s="98">
        <f t="shared" si="28"/>
        <v>18161284.460000001</v>
      </c>
      <c r="AQ59" s="77">
        <f t="shared" si="29"/>
        <v>18161284.460000001</v>
      </c>
      <c r="AR59" s="78">
        <f>NOT(Calcs!BE64)*AQ59</f>
        <v>0</v>
      </c>
      <c r="AS59" s="97">
        <f t="shared" si="30"/>
        <v>0</v>
      </c>
      <c r="AT59" s="98">
        <f t="shared" si="31"/>
        <v>18161284.460000001</v>
      </c>
      <c r="AU59" s="77">
        <f t="shared" si="32"/>
        <v>18161284.460000001</v>
      </c>
      <c r="AV59" s="97">
        <f>IF(Calcs!BC64=TRUE, AU59, 0)</f>
        <v>0</v>
      </c>
      <c r="AW59" s="97">
        <f t="shared" si="33"/>
        <v>0</v>
      </c>
      <c r="AX59" s="98">
        <f t="shared" si="34"/>
        <v>18161284.460000001</v>
      </c>
      <c r="AY59" s="77">
        <f t="shared" si="35"/>
        <v>18161284.460000001</v>
      </c>
      <c r="AZ59" s="97">
        <f>Calcs!BK64*AY59</f>
        <v>0</v>
      </c>
      <c r="BA59" s="97">
        <f t="shared" si="36"/>
        <v>0</v>
      </c>
      <c r="BB59" s="98">
        <f t="shared" si="37"/>
        <v>18161284.460000001</v>
      </c>
      <c r="BC59" s="77">
        <f t="shared" si="38"/>
        <v>18161284.460000001</v>
      </c>
      <c r="BD59" s="97"/>
      <c r="BE59" s="97"/>
      <c r="BF59" s="98"/>
      <c r="BG59" s="77">
        <f t="shared" si="39"/>
        <v>18161284.460000001</v>
      </c>
      <c r="BH59" s="97">
        <f>IF(Calcs!BJ64=FALSE,0,BG59)</f>
        <v>0</v>
      </c>
      <c r="BI59" s="97">
        <f t="shared" si="40"/>
        <v>0</v>
      </c>
      <c r="BJ59" s="98">
        <f t="shared" si="41"/>
        <v>18161284.460000001</v>
      </c>
      <c r="BK59" s="77">
        <f t="shared" si="42"/>
        <v>18161284.460000001</v>
      </c>
      <c r="BL59" s="97">
        <f>IF(Calcs!AW64=TRUE,BK59,0)</f>
        <v>0</v>
      </c>
      <c r="BM59" s="97">
        <f t="shared" si="43"/>
        <v>0</v>
      </c>
      <c r="BN59" s="98">
        <f t="shared" si="44"/>
        <v>18161284.460000001</v>
      </c>
      <c r="BO59" s="77">
        <f t="shared" si="45"/>
        <v>18161284.460000001</v>
      </c>
      <c r="BP59" s="97"/>
      <c r="BQ59" s="97">
        <f t="shared" si="46"/>
        <v>0</v>
      </c>
      <c r="BR59" s="98">
        <f t="shared" si="47"/>
        <v>18161284.460000001</v>
      </c>
      <c r="BS59" s="77">
        <f t="shared" si="48"/>
        <v>18161284.460000001</v>
      </c>
      <c r="BT59" s="97">
        <f>IF(Calcs!BB64=TRUE,'Concentration Limitations'!BS59,0)</f>
        <v>0</v>
      </c>
      <c r="BU59" s="97">
        <f t="shared" si="49"/>
        <v>0</v>
      </c>
      <c r="BV59" s="98">
        <f t="shared" si="50"/>
        <v>18161284.460000001</v>
      </c>
      <c r="BW59" s="77">
        <f t="shared" si="51"/>
        <v>18161284.460000001</v>
      </c>
      <c r="BX59" s="97">
        <f>IF(Calcs!BI64=TRUE,'Concentration Limitations'!BW59,0)</f>
        <v>0</v>
      </c>
      <c r="BY59" s="97">
        <f t="shared" si="52"/>
        <v>0</v>
      </c>
      <c r="BZ59" s="98">
        <f t="shared" si="53"/>
        <v>18161284.460000001</v>
      </c>
      <c r="CA59" s="97">
        <f t="shared" si="54"/>
        <v>18161284.460000001</v>
      </c>
      <c r="CB59" s="97"/>
      <c r="CC59" s="97"/>
      <c r="CD59" s="98">
        <f t="shared" si="55"/>
        <v>18161284.460000001</v>
      </c>
      <c r="CE59" s="97">
        <f t="shared" si="56"/>
        <v>18161284.460000001</v>
      </c>
      <c r="CF59" s="97"/>
      <c r="CG59" s="97"/>
      <c r="CH59" s="98">
        <f t="shared" si="57"/>
        <v>18161284.460000001</v>
      </c>
      <c r="CI59" s="97">
        <f t="shared" si="58"/>
        <v>18161284.460000001</v>
      </c>
      <c r="CJ59" s="97"/>
      <c r="CK59" s="97"/>
      <c r="CL59" s="98">
        <f t="shared" si="59"/>
        <v>18161284.460000001</v>
      </c>
      <c r="CM59" s="97">
        <f t="shared" si="60"/>
        <v>18161284.460000001</v>
      </c>
      <c r="CN59" s="97"/>
      <c r="CO59" s="97"/>
      <c r="CP59" s="98">
        <f t="shared" si="61"/>
        <v>18161284.460000001</v>
      </c>
      <c r="CQ59" s="97">
        <f t="shared" si="62"/>
        <v>18161284.460000001</v>
      </c>
      <c r="CR59" s="97"/>
      <c r="CS59" s="97">
        <f t="shared" si="63"/>
        <v>0</v>
      </c>
      <c r="CT59" s="98">
        <f t="shared" si="64"/>
        <v>18161284.460000001</v>
      </c>
      <c r="CU59" s="97">
        <f t="shared" si="65"/>
        <v>18161284.460000001</v>
      </c>
      <c r="CV59" s="97"/>
      <c r="CW59" s="97">
        <f t="shared" si="66"/>
        <v>0</v>
      </c>
      <c r="CX59" s="98">
        <f t="shared" si="67"/>
        <v>18161284.460000001</v>
      </c>
      <c r="CY59" s="97">
        <f t="shared" si="68"/>
        <v>18161284.460000001</v>
      </c>
      <c r="CZ59" s="97"/>
      <c r="DA59" s="97"/>
      <c r="DB59" s="98">
        <f t="shared" si="69"/>
        <v>18161284.460000001</v>
      </c>
      <c r="DC59" s="75">
        <f t="shared" si="70"/>
        <v>18161284.460000001</v>
      </c>
      <c r="DD59" s="97"/>
      <c r="DE59" s="97"/>
      <c r="DF59" s="98">
        <f t="shared" si="71"/>
        <v>18161284.460000001</v>
      </c>
      <c r="DG59" s="75">
        <f t="shared" si="72"/>
        <v>18161284.460000001</v>
      </c>
      <c r="DH59" s="78" t="str">
        <f>Calcs!F64</f>
        <v>IT Services</v>
      </c>
      <c r="DI59" s="99">
        <f t="shared" ca="1" si="73"/>
        <v>0</v>
      </c>
      <c r="DJ59" s="98">
        <f t="shared" ca="1" si="74"/>
        <v>18161284.460000001</v>
      </c>
      <c r="DK59" s="293">
        <f t="shared" si="75"/>
        <v>19</v>
      </c>
      <c r="DL59" s="532" t="s">
        <v>1203</v>
      </c>
      <c r="DM59" s="36"/>
      <c r="DN59" s="36"/>
      <c r="DO59" s="36"/>
      <c r="DP59" s="36"/>
      <c r="DQ59" s="413" cm="1">
        <f t="array" ref="DQ59">+SUMPRODUCT((DL59=$DH$12:$DH$307)*($DG$12:$DG$307))/$N$6</f>
        <v>0</v>
      </c>
      <c r="DR59" s="414">
        <f t="shared" si="76"/>
        <v>19</v>
      </c>
      <c r="DS59" s="413" cm="1">
        <f t="array" aca="1" ref="DS59" ca="1">+SUMPRODUCT((DL59=$DH$12:$DH$307)*($DJ$12:$DJ$307))/$N$6</f>
        <v>0</v>
      </c>
      <c r="DT59" s="417">
        <f t="shared" ca="1" si="86"/>
        <v>19</v>
      </c>
      <c r="DU59" s="415">
        <f t="shared" si="77"/>
        <v>0.1</v>
      </c>
      <c r="DV59" s="416">
        <f t="shared" si="78"/>
        <v>0.1</v>
      </c>
    </row>
    <row r="60" spans="6:126">
      <c r="F60" s="2">
        <f t="shared" ca="1" si="79"/>
        <v>55</v>
      </c>
      <c r="G60" s="40" t="str">
        <f>Calcs!A65</f>
        <v xml:space="preserve">System Planning and Analysis, Inc. </v>
      </c>
      <c r="H60" s="68">
        <f t="shared" ca="1" si="8"/>
        <v>1278782.1200000001</v>
      </c>
      <c r="I60" s="96"/>
      <c r="J60" s="96"/>
      <c r="K60" s="63">
        <f>+IF(G60="","",IF(COUNTIF(G61:$G$307,G60)=0,1,0))</f>
        <v>1</v>
      </c>
      <c r="L60" s="75">
        <f>Calcs!U65</f>
        <v>1278782.1200000001</v>
      </c>
      <c r="M60">
        <f t="shared" si="82"/>
        <v>55</v>
      </c>
      <c r="N60" s="75">
        <f t="shared" si="85"/>
        <v>1278782.1200000001</v>
      </c>
      <c r="O60" s="75">
        <f t="shared" si="83"/>
        <v>1278782.1200000001</v>
      </c>
      <c r="P60" s="72">
        <f t="shared" si="10"/>
        <v>0.05</v>
      </c>
      <c r="Q60" s="72">
        <f t="shared" si="11"/>
        <v>2.1293655800906984E-3</v>
      </c>
      <c r="R60" s="61">
        <f t="shared" si="12"/>
        <v>0</v>
      </c>
      <c r="S60" s="68">
        <f t="shared" si="13"/>
        <v>1278782.1200000001</v>
      </c>
      <c r="T60" s="68">
        <f t="shared" si="84"/>
        <v>1278782.1200000001</v>
      </c>
      <c r="U60">
        <f t="array" aca="1" ref="U60" ca="1">SUM(1*(S60&lt;$S$12:$S$307))+1+IF(ROW(S60)-ROW($S$12)=0,0,SUM(1*(S60=OFFSET($S$12,0,0,INDEX(ROW(S60)-ROW($S$12)+1,1)-1,1))))</f>
        <v>55</v>
      </c>
      <c r="V60" s="96">
        <f t="shared" si="14"/>
        <v>1278782.1200000001</v>
      </c>
      <c r="W60" s="75">
        <f>Calcs!U65</f>
        <v>1278782.1200000001</v>
      </c>
      <c r="X60" s="78">
        <f>IFERROR(OR(Calcs!BH64,Calcs!BI64)*W60,0)</f>
        <v>0</v>
      </c>
      <c r="Y60" s="97">
        <f t="shared" si="15"/>
        <v>0</v>
      </c>
      <c r="Z60" s="98">
        <f t="shared" si="16"/>
        <v>1278782.1200000001</v>
      </c>
      <c r="AA60" s="77">
        <f t="shared" si="17"/>
        <v>1278782.1200000001</v>
      </c>
      <c r="AB60" s="78">
        <f>IF(AND(Calcs!BM65=TRUE),AA60,0)</f>
        <v>0</v>
      </c>
      <c r="AC60" s="97">
        <f t="shared" si="18"/>
        <v>0</v>
      </c>
      <c r="AD60" s="98">
        <f t="shared" si="19"/>
        <v>1278782.1200000001</v>
      </c>
      <c r="AE60" s="77">
        <f t="shared" si="20"/>
        <v>1278782.1200000001</v>
      </c>
      <c r="AF60" s="78">
        <f>IF(Calcs!BY65&lt;15,AE60,0)</f>
        <v>0</v>
      </c>
      <c r="AG60" s="97">
        <f t="shared" si="21"/>
        <v>0</v>
      </c>
      <c r="AH60" s="98">
        <f t="shared" si="22"/>
        <v>1278782.1200000001</v>
      </c>
      <c r="AI60" s="77">
        <f t="shared" si="23"/>
        <v>1278782.1200000001</v>
      </c>
      <c r="AJ60" s="78">
        <f>IF(Calcs!BY65&lt;10,AE60,0)</f>
        <v>0</v>
      </c>
      <c r="AK60" s="97">
        <f t="shared" si="24"/>
        <v>0</v>
      </c>
      <c r="AL60" s="98">
        <f t="shared" si="25"/>
        <v>1278782.1200000001</v>
      </c>
      <c r="AM60" s="77">
        <f t="shared" si="26"/>
        <v>1278782.1200000001</v>
      </c>
      <c r="AN60" s="78">
        <f>NOT(Calcs!BD65)*AM60</f>
        <v>0</v>
      </c>
      <c r="AO60" s="97">
        <f t="shared" si="27"/>
        <v>0</v>
      </c>
      <c r="AP60" s="98">
        <f t="shared" si="28"/>
        <v>1278782.1200000001</v>
      </c>
      <c r="AQ60" s="77">
        <f t="shared" si="29"/>
        <v>1278782.1200000001</v>
      </c>
      <c r="AR60" s="78">
        <f>NOT(Calcs!BE65)*AQ60</f>
        <v>0</v>
      </c>
      <c r="AS60" s="97">
        <f t="shared" si="30"/>
        <v>0</v>
      </c>
      <c r="AT60" s="98">
        <f t="shared" si="31"/>
        <v>1278782.1200000001</v>
      </c>
      <c r="AU60" s="77">
        <f t="shared" si="32"/>
        <v>1278782.1200000001</v>
      </c>
      <c r="AV60" s="97">
        <f>IF(Calcs!BC65=TRUE, AU60, 0)</f>
        <v>1278782.1200000001</v>
      </c>
      <c r="AW60" s="97">
        <f t="shared" si="33"/>
        <v>0</v>
      </c>
      <c r="AX60" s="98">
        <f t="shared" si="34"/>
        <v>1278782.1200000001</v>
      </c>
      <c r="AY60" s="77">
        <f t="shared" si="35"/>
        <v>1278782.1200000001</v>
      </c>
      <c r="AZ60" s="97">
        <f>Calcs!BK65*AY60</f>
        <v>0</v>
      </c>
      <c r="BA60" s="97">
        <f t="shared" si="36"/>
        <v>0</v>
      </c>
      <c r="BB60" s="98">
        <f t="shared" si="37"/>
        <v>1278782.1200000001</v>
      </c>
      <c r="BC60" s="77">
        <f t="shared" si="38"/>
        <v>1278782.1200000001</v>
      </c>
      <c r="BD60" s="97"/>
      <c r="BE60" s="97"/>
      <c r="BF60" s="98"/>
      <c r="BG60" s="77">
        <f t="shared" si="39"/>
        <v>1278782.1200000001</v>
      </c>
      <c r="BH60" s="97">
        <f>IF(Calcs!BJ65=FALSE,0,BG60)</f>
        <v>0</v>
      </c>
      <c r="BI60" s="97">
        <f t="shared" si="40"/>
        <v>0</v>
      </c>
      <c r="BJ60" s="98">
        <f t="shared" si="41"/>
        <v>1278782.1200000001</v>
      </c>
      <c r="BK60" s="77">
        <f t="shared" si="42"/>
        <v>1278782.1200000001</v>
      </c>
      <c r="BL60" s="97">
        <f>IF(Calcs!AW65=TRUE,BK60,0)</f>
        <v>0</v>
      </c>
      <c r="BM60" s="97">
        <f t="shared" si="43"/>
        <v>0</v>
      </c>
      <c r="BN60" s="98">
        <f t="shared" si="44"/>
        <v>1278782.1200000001</v>
      </c>
      <c r="BO60" s="77">
        <f t="shared" si="45"/>
        <v>1278782.1200000001</v>
      </c>
      <c r="BP60" s="97"/>
      <c r="BQ60" s="97">
        <f t="shared" si="46"/>
        <v>0</v>
      </c>
      <c r="BR60" s="98">
        <f t="shared" si="47"/>
        <v>1278782.1200000001</v>
      </c>
      <c r="BS60" s="77">
        <f t="shared" si="48"/>
        <v>1278782.1200000001</v>
      </c>
      <c r="BT60" s="97">
        <f>IF(Calcs!BB65=TRUE,'Concentration Limitations'!BS60,0)</f>
        <v>0</v>
      </c>
      <c r="BU60" s="97">
        <f t="shared" si="49"/>
        <v>0</v>
      </c>
      <c r="BV60" s="98">
        <f t="shared" si="50"/>
        <v>1278782.1200000001</v>
      </c>
      <c r="BW60" s="77">
        <f t="shared" si="51"/>
        <v>1278782.1200000001</v>
      </c>
      <c r="BX60" s="97">
        <f>IF(Calcs!BI65=TRUE,'Concentration Limitations'!BW60,0)</f>
        <v>0</v>
      </c>
      <c r="BY60" s="97">
        <f t="shared" si="52"/>
        <v>0</v>
      </c>
      <c r="BZ60" s="98">
        <f t="shared" si="53"/>
        <v>1278782.1200000001</v>
      </c>
      <c r="CA60" s="97">
        <f t="shared" si="54"/>
        <v>1278782.1200000001</v>
      </c>
      <c r="CB60" s="97"/>
      <c r="CC60" s="97"/>
      <c r="CD60" s="98">
        <f t="shared" si="55"/>
        <v>1278782.1200000001</v>
      </c>
      <c r="CE60" s="97">
        <f t="shared" si="56"/>
        <v>1278782.1200000001</v>
      </c>
      <c r="CF60" s="97"/>
      <c r="CG60" s="97"/>
      <c r="CH60" s="98">
        <f t="shared" si="57"/>
        <v>1278782.1200000001</v>
      </c>
      <c r="CI60" s="97">
        <f t="shared" si="58"/>
        <v>1278782.1200000001</v>
      </c>
      <c r="CJ60" s="97"/>
      <c r="CK60" s="97"/>
      <c r="CL60" s="98">
        <f t="shared" si="59"/>
        <v>1278782.1200000001</v>
      </c>
      <c r="CM60" s="97">
        <f t="shared" si="60"/>
        <v>1278782.1200000001</v>
      </c>
      <c r="CN60" s="97"/>
      <c r="CO60" s="97"/>
      <c r="CP60" s="98">
        <f t="shared" si="61"/>
        <v>1278782.1200000001</v>
      </c>
      <c r="CQ60" s="97">
        <f t="shared" si="62"/>
        <v>1278782.1200000001</v>
      </c>
      <c r="CR60" s="97"/>
      <c r="CS60" s="97">
        <f t="shared" si="63"/>
        <v>0</v>
      </c>
      <c r="CT60" s="98">
        <f t="shared" si="64"/>
        <v>1278782.1200000001</v>
      </c>
      <c r="CU60" s="97">
        <f t="shared" si="65"/>
        <v>1278782.1200000001</v>
      </c>
      <c r="CV60" s="97"/>
      <c r="CW60" s="97">
        <f t="shared" si="66"/>
        <v>0</v>
      </c>
      <c r="CX60" s="98">
        <f t="shared" si="67"/>
        <v>1278782.1200000001</v>
      </c>
      <c r="CY60" s="97">
        <f t="shared" si="68"/>
        <v>1278782.1200000001</v>
      </c>
      <c r="CZ60" s="97"/>
      <c r="DA60" s="97"/>
      <c r="DB60" s="98">
        <f t="shared" si="69"/>
        <v>1278782.1200000001</v>
      </c>
      <c r="DC60" s="75">
        <f t="shared" si="70"/>
        <v>1278782.1200000001</v>
      </c>
      <c r="DD60" s="97"/>
      <c r="DE60" s="97"/>
      <c r="DF60" s="98">
        <f t="shared" si="71"/>
        <v>1278782.1200000001</v>
      </c>
      <c r="DG60" s="75">
        <f t="shared" si="72"/>
        <v>1278782.1200000001</v>
      </c>
      <c r="DH60" s="78" t="str">
        <f>Calcs!F65</f>
        <v>Aerospace &amp; Defense</v>
      </c>
      <c r="DI60" s="99">
        <f t="shared" ca="1" si="73"/>
        <v>0</v>
      </c>
      <c r="DJ60" s="98">
        <f t="shared" ca="1" si="74"/>
        <v>1278782.1200000001</v>
      </c>
      <c r="DK60" s="293">
        <f t="shared" si="75"/>
        <v>19</v>
      </c>
      <c r="DL60" s="532" t="s">
        <v>1202</v>
      </c>
      <c r="DM60" s="36"/>
      <c r="DN60" s="36"/>
      <c r="DO60" s="36"/>
      <c r="DP60" s="36"/>
      <c r="DQ60" s="413" cm="1">
        <f t="array" ref="DQ60">+SUMPRODUCT((DL60=$DH$12:$DH$307)*($DG$12:$DG$307))/$N$6</f>
        <v>0</v>
      </c>
      <c r="DR60" s="414">
        <f t="shared" si="76"/>
        <v>19</v>
      </c>
      <c r="DS60" s="413" cm="1">
        <f t="array" aca="1" ref="DS60" ca="1">+SUMPRODUCT((DL60=$DH$12:$DH$307)*($DJ$12:$DJ$307))/$N$6</f>
        <v>0</v>
      </c>
      <c r="DT60" s="417">
        <f t="shared" ca="1" si="86"/>
        <v>19</v>
      </c>
      <c r="DU60" s="415">
        <f t="shared" si="77"/>
        <v>0.1</v>
      </c>
      <c r="DV60" s="416">
        <f t="shared" si="78"/>
        <v>0.1</v>
      </c>
    </row>
    <row r="61" spans="6:126">
      <c r="F61" s="2">
        <f t="shared" ca="1" si="79"/>
        <v>58</v>
      </c>
      <c r="G61" s="40" t="str">
        <f>Calcs!A66</f>
        <v>Team Services Group, LLC</v>
      </c>
      <c r="H61" s="68">
        <f t="shared" ca="1" si="8"/>
        <v>995000</v>
      </c>
      <c r="I61" s="96"/>
      <c r="J61" s="96"/>
      <c r="K61" s="63">
        <f>+IF(G61="","",IF(COUNTIF(G62:$G$307,G61)=0,1,0))</f>
        <v>1</v>
      </c>
      <c r="L61" s="75">
        <f>Calcs!U66</f>
        <v>995000</v>
      </c>
      <c r="M61">
        <f t="shared" si="82"/>
        <v>57</v>
      </c>
      <c r="N61" s="75">
        <f t="shared" si="85"/>
        <v>995000</v>
      </c>
      <c r="O61" s="75">
        <f t="shared" si="83"/>
        <v>995000</v>
      </c>
      <c r="P61" s="72">
        <f t="shared" si="10"/>
        <v>0.05</v>
      </c>
      <c r="Q61" s="72">
        <f t="shared" si="11"/>
        <v>1.6568254427816404E-3</v>
      </c>
      <c r="R61" s="61">
        <f t="shared" si="12"/>
        <v>0</v>
      </c>
      <c r="S61" s="68">
        <f t="shared" si="13"/>
        <v>995000</v>
      </c>
      <c r="T61" s="68">
        <f t="shared" si="84"/>
        <v>995000</v>
      </c>
      <c r="U61">
        <f t="array" aca="1" ref="U61" ca="1">SUM(1*(S61&lt;$S$12:$S$307))+1+IF(ROW(S61)-ROW($S$12)=0,0,SUM(1*(S61=OFFSET($S$12,0,0,INDEX(ROW(S61)-ROW($S$12)+1,1)-1,1))))</f>
        <v>58</v>
      </c>
      <c r="V61" s="96">
        <f t="shared" si="14"/>
        <v>995000</v>
      </c>
      <c r="W61" s="75">
        <f>Calcs!U66</f>
        <v>995000</v>
      </c>
      <c r="X61" s="78">
        <f>IFERROR(OR(Calcs!BH65,Calcs!BI65)*W61,0)</f>
        <v>0</v>
      </c>
      <c r="Y61" s="97">
        <f t="shared" si="15"/>
        <v>0</v>
      </c>
      <c r="Z61" s="98">
        <f t="shared" si="16"/>
        <v>995000</v>
      </c>
      <c r="AA61" s="77">
        <f t="shared" si="17"/>
        <v>995000</v>
      </c>
      <c r="AB61" s="78">
        <f>IF(AND(Calcs!BM66=TRUE),AA61,0)</f>
        <v>995000</v>
      </c>
      <c r="AC61" s="97">
        <f t="shared" si="18"/>
        <v>0</v>
      </c>
      <c r="AD61" s="98">
        <f t="shared" si="19"/>
        <v>995000</v>
      </c>
      <c r="AE61" s="77">
        <f t="shared" si="20"/>
        <v>995000</v>
      </c>
      <c r="AF61" s="78">
        <f>IF(Calcs!BY66&lt;15,AE61,0)</f>
        <v>0</v>
      </c>
      <c r="AG61" s="97">
        <f t="shared" si="21"/>
        <v>0</v>
      </c>
      <c r="AH61" s="98">
        <f t="shared" si="22"/>
        <v>995000</v>
      </c>
      <c r="AI61" s="77">
        <f t="shared" si="23"/>
        <v>995000</v>
      </c>
      <c r="AJ61" s="78">
        <f>IF(Calcs!BY66&lt;10,AE61,0)</f>
        <v>0</v>
      </c>
      <c r="AK61" s="97">
        <f t="shared" si="24"/>
        <v>0</v>
      </c>
      <c r="AL61" s="98">
        <f t="shared" si="25"/>
        <v>995000</v>
      </c>
      <c r="AM61" s="77">
        <f t="shared" si="26"/>
        <v>995000</v>
      </c>
      <c r="AN61" s="78">
        <f>NOT(Calcs!BD66)*AM61</f>
        <v>0</v>
      </c>
      <c r="AO61" s="97">
        <f t="shared" si="27"/>
        <v>0</v>
      </c>
      <c r="AP61" s="98">
        <f t="shared" si="28"/>
        <v>995000</v>
      </c>
      <c r="AQ61" s="77">
        <f t="shared" si="29"/>
        <v>995000</v>
      </c>
      <c r="AR61" s="78">
        <f>NOT(Calcs!BE66)*AQ61</f>
        <v>0</v>
      </c>
      <c r="AS61" s="97">
        <f t="shared" si="30"/>
        <v>0</v>
      </c>
      <c r="AT61" s="98">
        <f t="shared" si="31"/>
        <v>995000</v>
      </c>
      <c r="AU61" s="77">
        <f t="shared" si="32"/>
        <v>995000</v>
      </c>
      <c r="AV61" s="97">
        <f>IF(Calcs!BC66=TRUE, AU61, 0)</f>
        <v>0</v>
      </c>
      <c r="AW61" s="97">
        <f t="shared" si="33"/>
        <v>0</v>
      </c>
      <c r="AX61" s="98">
        <f t="shared" si="34"/>
        <v>995000</v>
      </c>
      <c r="AY61" s="77">
        <f t="shared" si="35"/>
        <v>995000</v>
      </c>
      <c r="AZ61" s="97">
        <f>Calcs!BK66*AY61</f>
        <v>0</v>
      </c>
      <c r="BA61" s="97">
        <f t="shared" si="36"/>
        <v>0</v>
      </c>
      <c r="BB61" s="98">
        <f t="shared" si="37"/>
        <v>995000</v>
      </c>
      <c r="BC61" s="77">
        <f t="shared" si="38"/>
        <v>995000</v>
      </c>
      <c r="BD61" s="97"/>
      <c r="BE61" s="97"/>
      <c r="BF61" s="98"/>
      <c r="BG61" s="77">
        <f t="shared" si="39"/>
        <v>995000</v>
      </c>
      <c r="BH61" s="97">
        <f>IF(Calcs!BJ66=FALSE,0,BG61)</f>
        <v>0</v>
      </c>
      <c r="BI61" s="97">
        <f t="shared" si="40"/>
        <v>0</v>
      </c>
      <c r="BJ61" s="98">
        <f t="shared" si="41"/>
        <v>995000</v>
      </c>
      <c r="BK61" s="77">
        <f t="shared" si="42"/>
        <v>995000</v>
      </c>
      <c r="BL61" s="97">
        <f>IF(Calcs!AW66=TRUE,BK61,0)</f>
        <v>0</v>
      </c>
      <c r="BM61" s="97">
        <f t="shared" si="43"/>
        <v>0</v>
      </c>
      <c r="BN61" s="98">
        <f t="shared" si="44"/>
        <v>995000</v>
      </c>
      <c r="BO61" s="77">
        <f t="shared" si="45"/>
        <v>995000</v>
      </c>
      <c r="BP61" s="97"/>
      <c r="BQ61" s="97">
        <f t="shared" si="46"/>
        <v>0</v>
      </c>
      <c r="BR61" s="98">
        <f t="shared" si="47"/>
        <v>995000</v>
      </c>
      <c r="BS61" s="77">
        <f t="shared" si="48"/>
        <v>995000</v>
      </c>
      <c r="BT61" s="97">
        <f>IF(Calcs!BB66=TRUE,'Concentration Limitations'!BS61,0)</f>
        <v>0</v>
      </c>
      <c r="BU61" s="97">
        <f t="shared" si="49"/>
        <v>0</v>
      </c>
      <c r="BV61" s="98">
        <f t="shared" si="50"/>
        <v>995000</v>
      </c>
      <c r="BW61" s="77">
        <f t="shared" si="51"/>
        <v>995000</v>
      </c>
      <c r="BX61" s="97">
        <f>IF(Calcs!BI66=TRUE,'Concentration Limitations'!BW61,0)</f>
        <v>0</v>
      </c>
      <c r="BY61" s="97">
        <f t="shared" si="52"/>
        <v>0</v>
      </c>
      <c r="BZ61" s="98">
        <f t="shared" si="53"/>
        <v>995000</v>
      </c>
      <c r="CA61" s="97">
        <f t="shared" si="54"/>
        <v>995000</v>
      </c>
      <c r="CB61" s="97"/>
      <c r="CC61" s="97"/>
      <c r="CD61" s="98">
        <f t="shared" si="55"/>
        <v>995000</v>
      </c>
      <c r="CE61" s="97">
        <f t="shared" si="56"/>
        <v>995000</v>
      </c>
      <c r="CF61" s="97"/>
      <c r="CG61" s="97"/>
      <c r="CH61" s="98">
        <f t="shared" si="57"/>
        <v>995000</v>
      </c>
      <c r="CI61" s="97">
        <f t="shared" si="58"/>
        <v>995000</v>
      </c>
      <c r="CJ61" s="97"/>
      <c r="CK61" s="97"/>
      <c r="CL61" s="98">
        <f t="shared" si="59"/>
        <v>995000</v>
      </c>
      <c r="CM61" s="97">
        <f t="shared" si="60"/>
        <v>995000</v>
      </c>
      <c r="CN61" s="97"/>
      <c r="CO61" s="97"/>
      <c r="CP61" s="98">
        <f t="shared" si="61"/>
        <v>995000</v>
      </c>
      <c r="CQ61" s="97">
        <f t="shared" si="62"/>
        <v>995000</v>
      </c>
      <c r="CR61" s="97"/>
      <c r="CS61" s="97">
        <f t="shared" si="63"/>
        <v>0</v>
      </c>
      <c r="CT61" s="98">
        <f t="shared" si="64"/>
        <v>995000</v>
      </c>
      <c r="CU61" s="97">
        <f t="shared" si="65"/>
        <v>995000</v>
      </c>
      <c r="CV61" s="97"/>
      <c r="CW61" s="97">
        <f t="shared" si="66"/>
        <v>0</v>
      </c>
      <c r="CX61" s="98">
        <f t="shared" si="67"/>
        <v>995000</v>
      </c>
      <c r="CY61" s="97">
        <f t="shared" si="68"/>
        <v>995000</v>
      </c>
      <c r="CZ61" s="97"/>
      <c r="DA61" s="97"/>
      <c r="DB61" s="98">
        <f t="shared" si="69"/>
        <v>995000</v>
      </c>
      <c r="DC61" s="75">
        <f t="shared" si="70"/>
        <v>995000</v>
      </c>
      <c r="DD61" s="97"/>
      <c r="DE61" s="97"/>
      <c r="DF61" s="98">
        <f t="shared" si="71"/>
        <v>995000</v>
      </c>
      <c r="DG61" s="75">
        <f t="shared" si="72"/>
        <v>995000</v>
      </c>
      <c r="DH61" s="78" t="str">
        <f>Calcs!F66</f>
        <v>Health Care Providers &amp; Services</v>
      </c>
      <c r="DI61" s="99">
        <f t="shared" ca="1" si="73"/>
        <v>0</v>
      </c>
      <c r="DJ61" s="98">
        <f t="shared" ca="1" si="74"/>
        <v>995000</v>
      </c>
      <c r="DK61" s="293">
        <f t="shared" si="75"/>
        <v>19</v>
      </c>
      <c r="DL61" s="532" t="s">
        <v>1201</v>
      </c>
      <c r="DM61" s="36"/>
      <c r="DN61" s="36"/>
      <c r="DO61" s="36"/>
      <c r="DP61" s="36"/>
      <c r="DQ61" s="413" cm="1">
        <f t="array" ref="DQ61">+SUMPRODUCT((DL61=$DH$12:$DH$307)*($DG$12:$DG$307))/$N$6</f>
        <v>0</v>
      </c>
      <c r="DR61" s="414">
        <f t="shared" si="76"/>
        <v>19</v>
      </c>
      <c r="DS61" s="413" cm="1">
        <f t="array" aca="1" ref="DS61" ca="1">+SUMPRODUCT((DL61=$DH$12:$DH$307)*($DJ$12:$DJ$307))/$N$6</f>
        <v>0</v>
      </c>
      <c r="DT61" s="417">
        <f t="shared" ca="1" si="86"/>
        <v>19</v>
      </c>
      <c r="DU61" s="415">
        <f t="shared" si="77"/>
        <v>0.1</v>
      </c>
      <c r="DV61" s="416">
        <f t="shared" si="78"/>
        <v>0.1</v>
      </c>
    </row>
    <row r="62" spans="6:126">
      <c r="F62" s="2">
        <f t="shared" ca="1" si="79"/>
        <v>36</v>
      </c>
      <c r="G62" s="40" t="str">
        <f>Calcs!A67</f>
        <v>TCD 3.0 Jogger Acquisitionco, Inc. Term Loan</v>
      </c>
      <c r="H62" s="68">
        <f t="shared" ca="1" si="8"/>
        <v>3920226.14</v>
      </c>
      <c r="I62" s="96"/>
      <c r="J62" s="96"/>
      <c r="K62" s="63">
        <f>+IF(G62="","",IF(COUNTIF(G63:$G$307,G62)=0,1,0))</f>
        <v>1</v>
      </c>
      <c r="L62" s="75">
        <f>Calcs!U67</f>
        <v>3920226.14</v>
      </c>
      <c r="M62">
        <f t="shared" si="82"/>
        <v>36</v>
      </c>
      <c r="N62" s="75">
        <f t="shared" si="85"/>
        <v>3920226.14</v>
      </c>
      <c r="O62" s="75">
        <f t="shared" si="83"/>
        <v>3920226.14</v>
      </c>
      <c r="P62" s="72">
        <f t="shared" si="10"/>
        <v>0.05</v>
      </c>
      <c r="Q62" s="72">
        <f t="shared" si="11"/>
        <v>6.5277692564921211E-3</v>
      </c>
      <c r="R62" s="61">
        <f t="shared" si="12"/>
        <v>0</v>
      </c>
      <c r="S62" s="68">
        <f t="shared" si="13"/>
        <v>3920226.14</v>
      </c>
      <c r="T62" s="68">
        <f t="shared" si="84"/>
        <v>3920226.14</v>
      </c>
      <c r="U62">
        <f t="array" aca="1" ref="U62" ca="1">SUM(1*(S62&lt;$S$12:$S$307))+1+IF(ROW(S62)-ROW($S$12)=0,0,SUM(1*(S62=OFFSET($S$12,0,0,INDEX(ROW(S62)-ROW($S$12)+1,1)-1,1))))</f>
        <v>36</v>
      </c>
      <c r="V62" s="96">
        <f t="shared" si="14"/>
        <v>3920226.14</v>
      </c>
      <c r="W62" s="75">
        <f>Calcs!U67</f>
        <v>3920226.14</v>
      </c>
      <c r="X62" s="78">
        <f>IFERROR(OR(Calcs!BH66,Calcs!BI66)*W62,0)</f>
        <v>0</v>
      </c>
      <c r="Y62" s="97">
        <f t="shared" si="15"/>
        <v>0</v>
      </c>
      <c r="Z62" s="98">
        <f t="shared" si="16"/>
        <v>3920226.14</v>
      </c>
      <c r="AA62" s="77">
        <f t="shared" si="17"/>
        <v>3920226.14</v>
      </c>
      <c r="AB62" s="78">
        <f>IF(AND(Calcs!BM67=TRUE),AA62,0)</f>
        <v>3920226.14</v>
      </c>
      <c r="AC62" s="97">
        <f t="shared" si="18"/>
        <v>0</v>
      </c>
      <c r="AD62" s="98">
        <f t="shared" si="19"/>
        <v>3920226.14</v>
      </c>
      <c r="AE62" s="77">
        <f t="shared" si="20"/>
        <v>3920226.14</v>
      </c>
      <c r="AF62" s="78">
        <f>IF(Calcs!BY67&lt;15,AE62,0)</f>
        <v>0</v>
      </c>
      <c r="AG62" s="97">
        <f t="shared" si="21"/>
        <v>0</v>
      </c>
      <c r="AH62" s="98">
        <f t="shared" si="22"/>
        <v>3920226.14</v>
      </c>
      <c r="AI62" s="77">
        <f t="shared" si="23"/>
        <v>3920226.14</v>
      </c>
      <c r="AJ62" s="78">
        <f>IF(Calcs!BY67&lt;10,AE62,0)</f>
        <v>0</v>
      </c>
      <c r="AK62" s="97">
        <f t="shared" si="24"/>
        <v>0</v>
      </c>
      <c r="AL62" s="98">
        <f t="shared" si="25"/>
        <v>3920226.14</v>
      </c>
      <c r="AM62" s="77">
        <f t="shared" si="26"/>
        <v>3920226.14</v>
      </c>
      <c r="AN62" s="78">
        <f>NOT(Calcs!BD67)*AM62</f>
        <v>0</v>
      </c>
      <c r="AO62" s="97">
        <f t="shared" si="27"/>
        <v>0</v>
      </c>
      <c r="AP62" s="98">
        <f t="shared" si="28"/>
        <v>3920226.14</v>
      </c>
      <c r="AQ62" s="77">
        <f t="shared" si="29"/>
        <v>3920226.14</v>
      </c>
      <c r="AR62" s="78">
        <f>NOT(Calcs!BE67)*AQ62</f>
        <v>0</v>
      </c>
      <c r="AS62" s="97">
        <f t="shared" si="30"/>
        <v>0</v>
      </c>
      <c r="AT62" s="98">
        <f t="shared" si="31"/>
        <v>3920226.14</v>
      </c>
      <c r="AU62" s="77">
        <f t="shared" si="32"/>
        <v>3920226.14</v>
      </c>
      <c r="AV62" s="97">
        <f>IF(Calcs!BC67=TRUE, AU62, 0)</f>
        <v>0</v>
      </c>
      <c r="AW62" s="97">
        <f t="shared" si="33"/>
        <v>0</v>
      </c>
      <c r="AX62" s="98">
        <f t="shared" si="34"/>
        <v>3920226.14</v>
      </c>
      <c r="AY62" s="77">
        <f t="shared" si="35"/>
        <v>3920226.14</v>
      </c>
      <c r="AZ62" s="97">
        <f>Calcs!BK67*AY62</f>
        <v>0</v>
      </c>
      <c r="BA62" s="97">
        <f t="shared" si="36"/>
        <v>0</v>
      </c>
      <c r="BB62" s="98">
        <f t="shared" si="37"/>
        <v>3920226.14</v>
      </c>
      <c r="BC62" s="77">
        <f t="shared" si="38"/>
        <v>3920226.14</v>
      </c>
      <c r="BD62" s="97"/>
      <c r="BE62" s="97"/>
      <c r="BF62" s="98"/>
      <c r="BG62" s="77">
        <f t="shared" si="39"/>
        <v>3920226.14</v>
      </c>
      <c r="BH62" s="97">
        <f>IF(Calcs!BJ67=FALSE,0,BG62)</f>
        <v>0</v>
      </c>
      <c r="BI62" s="97">
        <f t="shared" si="40"/>
        <v>0</v>
      </c>
      <c r="BJ62" s="98">
        <f t="shared" si="41"/>
        <v>3920226.14</v>
      </c>
      <c r="BK62" s="77">
        <f t="shared" si="42"/>
        <v>3920226.14</v>
      </c>
      <c r="BL62" s="97">
        <f>IF(Calcs!AW67=TRUE,BK62,0)</f>
        <v>0</v>
      </c>
      <c r="BM62" s="97">
        <f t="shared" si="43"/>
        <v>0</v>
      </c>
      <c r="BN62" s="98">
        <f t="shared" si="44"/>
        <v>3920226.14</v>
      </c>
      <c r="BO62" s="77">
        <f t="shared" si="45"/>
        <v>3920226.14</v>
      </c>
      <c r="BP62" s="97"/>
      <c r="BQ62" s="97">
        <f t="shared" si="46"/>
        <v>0</v>
      </c>
      <c r="BR62" s="98">
        <f t="shared" si="47"/>
        <v>3920226.14</v>
      </c>
      <c r="BS62" s="77">
        <f t="shared" si="48"/>
        <v>3920226.14</v>
      </c>
      <c r="BT62" s="97">
        <f>IF(Calcs!BB67=TRUE,'Concentration Limitations'!BS62,0)</f>
        <v>0</v>
      </c>
      <c r="BU62" s="97">
        <f t="shared" si="49"/>
        <v>0</v>
      </c>
      <c r="BV62" s="98">
        <f t="shared" si="50"/>
        <v>3920226.14</v>
      </c>
      <c r="BW62" s="77">
        <f t="shared" si="51"/>
        <v>3920226.14</v>
      </c>
      <c r="BX62" s="97">
        <f>IF(Calcs!BI67=TRUE,'Concentration Limitations'!BW62,0)</f>
        <v>0</v>
      </c>
      <c r="BY62" s="97">
        <f t="shared" si="52"/>
        <v>0</v>
      </c>
      <c r="BZ62" s="98">
        <f t="shared" si="53"/>
        <v>3920226.14</v>
      </c>
      <c r="CA62" s="97">
        <f t="shared" si="54"/>
        <v>3920226.14</v>
      </c>
      <c r="CB62" s="97"/>
      <c r="CC62" s="97"/>
      <c r="CD62" s="98">
        <f t="shared" si="55"/>
        <v>3920226.14</v>
      </c>
      <c r="CE62" s="97">
        <f t="shared" si="56"/>
        <v>3920226.14</v>
      </c>
      <c r="CF62" s="97"/>
      <c r="CG62" s="97"/>
      <c r="CH62" s="98">
        <f t="shared" si="57"/>
        <v>3920226.14</v>
      </c>
      <c r="CI62" s="97">
        <f t="shared" si="58"/>
        <v>3920226.14</v>
      </c>
      <c r="CJ62" s="97"/>
      <c r="CK62" s="97"/>
      <c r="CL62" s="98">
        <f t="shared" si="59"/>
        <v>3920226.14</v>
      </c>
      <c r="CM62" s="97">
        <f t="shared" si="60"/>
        <v>3920226.14</v>
      </c>
      <c r="CN62" s="97"/>
      <c r="CO62" s="97"/>
      <c r="CP62" s="98">
        <f t="shared" si="61"/>
        <v>3920226.14</v>
      </c>
      <c r="CQ62" s="97">
        <f t="shared" si="62"/>
        <v>3920226.14</v>
      </c>
      <c r="CR62" s="97"/>
      <c r="CS62" s="97">
        <f t="shared" si="63"/>
        <v>0</v>
      </c>
      <c r="CT62" s="98">
        <f t="shared" si="64"/>
        <v>3920226.14</v>
      </c>
      <c r="CU62" s="97">
        <f t="shared" si="65"/>
        <v>3920226.14</v>
      </c>
      <c r="CV62" s="97"/>
      <c r="CW62" s="97">
        <f t="shared" si="66"/>
        <v>0</v>
      </c>
      <c r="CX62" s="98">
        <f t="shared" si="67"/>
        <v>3920226.14</v>
      </c>
      <c r="CY62" s="97">
        <f t="shared" si="68"/>
        <v>3920226.14</v>
      </c>
      <c r="CZ62" s="97"/>
      <c r="DA62" s="97"/>
      <c r="DB62" s="98">
        <f t="shared" si="69"/>
        <v>3920226.14</v>
      </c>
      <c r="DC62" s="75">
        <f t="shared" si="70"/>
        <v>3920226.14</v>
      </c>
      <c r="DD62" s="97"/>
      <c r="DE62" s="97"/>
      <c r="DF62" s="98">
        <f t="shared" si="71"/>
        <v>3920226.14</v>
      </c>
      <c r="DG62" s="75">
        <f t="shared" si="72"/>
        <v>3920226.14</v>
      </c>
      <c r="DH62" s="78" t="str">
        <f>Calcs!F67</f>
        <v>Media</v>
      </c>
      <c r="DI62" s="99">
        <f t="shared" ca="1" si="73"/>
        <v>0</v>
      </c>
      <c r="DJ62" s="98">
        <f t="shared" ca="1" si="74"/>
        <v>3920226.14</v>
      </c>
      <c r="DK62" s="293">
        <f t="shared" si="75"/>
        <v>19</v>
      </c>
      <c r="DL62" s="532" t="s">
        <v>1200</v>
      </c>
      <c r="DM62" s="36"/>
      <c r="DN62" s="36"/>
      <c r="DO62" s="36"/>
      <c r="DP62" s="36"/>
      <c r="DQ62" s="413" cm="1">
        <f t="array" ref="DQ62">+SUMPRODUCT((DL62=$DH$12:$DH$307)*($DG$12:$DG$307))/$N$6</f>
        <v>0</v>
      </c>
      <c r="DR62" s="414">
        <f t="shared" si="76"/>
        <v>19</v>
      </c>
      <c r="DS62" s="413" cm="1">
        <f t="array" aca="1" ref="DS62" ca="1">+SUMPRODUCT((DL62=$DH$12:$DH$307)*($DJ$12:$DJ$307))/$N$6</f>
        <v>0</v>
      </c>
      <c r="DT62" s="417">
        <f t="shared" ca="1" si="86"/>
        <v>19</v>
      </c>
      <c r="DU62" s="415">
        <f t="shared" si="77"/>
        <v>0.1</v>
      </c>
      <c r="DV62" s="416">
        <f t="shared" si="78"/>
        <v>0.1</v>
      </c>
    </row>
    <row r="63" spans="6:126">
      <c r="F63" s="2">
        <f t="shared" ca="1" si="79"/>
        <v>40</v>
      </c>
      <c r="G63" s="40" t="str">
        <f>Calcs!A68</f>
        <v>The Bluebird Group LLC</v>
      </c>
      <c r="H63" s="68">
        <f t="shared" ca="1" si="8"/>
        <v>3610766.51</v>
      </c>
      <c r="I63" s="96"/>
      <c r="J63" s="96"/>
      <c r="K63" s="63">
        <f>+IF(G63="","",IF(COUNTIF(G64:$G$307,G63)=0,1,0))</f>
        <v>1</v>
      </c>
      <c r="L63" s="75">
        <f>Calcs!U68</f>
        <v>3610766.51</v>
      </c>
      <c r="M63">
        <f t="shared" si="82"/>
        <v>40</v>
      </c>
      <c r="N63" s="75">
        <f t="shared" si="85"/>
        <v>3610766.51</v>
      </c>
      <c r="O63" s="75">
        <f t="shared" si="83"/>
        <v>3610766.51</v>
      </c>
      <c r="P63" s="72">
        <f t="shared" si="10"/>
        <v>0.05</v>
      </c>
      <c r="Q63" s="72">
        <f t="shared" si="11"/>
        <v>6.0124721826249929E-3</v>
      </c>
      <c r="R63" s="61">
        <f t="shared" si="12"/>
        <v>0</v>
      </c>
      <c r="S63" s="68">
        <f t="shared" si="13"/>
        <v>3610766.51</v>
      </c>
      <c r="T63" s="68">
        <f t="shared" si="84"/>
        <v>3610766.51</v>
      </c>
      <c r="U63">
        <f t="array" aca="1" ref="U63" ca="1">SUM(1*(S63&lt;$S$12:$S$307))+1+IF(ROW(S63)-ROW($S$12)=0,0,SUM(1*(S63=OFFSET($S$12,0,0,INDEX(ROW(S63)-ROW($S$12)+1,1)-1,1))))</f>
        <v>40</v>
      </c>
      <c r="V63" s="96">
        <f t="shared" si="14"/>
        <v>3610766.51</v>
      </c>
      <c r="W63" s="75">
        <f>Calcs!U68</f>
        <v>3610766.51</v>
      </c>
      <c r="X63" s="78">
        <f>IFERROR(OR(Calcs!BH67,Calcs!BI67)*W63,0)</f>
        <v>0</v>
      </c>
      <c r="Y63" s="97">
        <f t="shared" si="15"/>
        <v>0</v>
      </c>
      <c r="Z63" s="98">
        <f t="shared" si="16"/>
        <v>3610766.51</v>
      </c>
      <c r="AA63" s="77">
        <f t="shared" si="17"/>
        <v>3610766.51</v>
      </c>
      <c r="AB63" s="78">
        <f>IF(AND(Calcs!BM68=TRUE),AA63,0)</f>
        <v>0</v>
      </c>
      <c r="AC63" s="97">
        <f t="shared" si="18"/>
        <v>0</v>
      </c>
      <c r="AD63" s="98">
        <f t="shared" si="19"/>
        <v>3610766.51</v>
      </c>
      <c r="AE63" s="77">
        <f t="shared" si="20"/>
        <v>3610766.51</v>
      </c>
      <c r="AF63" s="78">
        <f>IF(Calcs!BY68&lt;15,AE63,0)</f>
        <v>0</v>
      </c>
      <c r="AG63" s="97">
        <f t="shared" si="21"/>
        <v>0</v>
      </c>
      <c r="AH63" s="98">
        <f t="shared" si="22"/>
        <v>3610766.51</v>
      </c>
      <c r="AI63" s="77">
        <f t="shared" si="23"/>
        <v>3610766.51</v>
      </c>
      <c r="AJ63" s="78">
        <f>IF(Calcs!BY68&lt;10,AE63,0)</f>
        <v>0</v>
      </c>
      <c r="AK63" s="97">
        <f t="shared" si="24"/>
        <v>0</v>
      </c>
      <c r="AL63" s="98">
        <f t="shared" si="25"/>
        <v>3610766.51</v>
      </c>
      <c r="AM63" s="77">
        <f t="shared" si="26"/>
        <v>3610766.51</v>
      </c>
      <c r="AN63" s="78">
        <f>NOT(Calcs!BD68)*AM63</f>
        <v>0</v>
      </c>
      <c r="AO63" s="97">
        <f t="shared" si="27"/>
        <v>0</v>
      </c>
      <c r="AP63" s="98">
        <f t="shared" si="28"/>
        <v>3610766.51</v>
      </c>
      <c r="AQ63" s="77">
        <f t="shared" si="29"/>
        <v>3610766.51</v>
      </c>
      <c r="AR63" s="78">
        <f>NOT(Calcs!BE68)*AQ63</f>
        <v>0</v>
      </c>
      <c r="AS63" s="97">
        <f t="shared" si="30"/>
        <v>0</v>
      </c>
      <c r="AT63" s="98">
        <f t="shared" si="31"/>
        <v>3610766.51</v>
      </c>
      <c r="AU63" s="77">
        <f t="shared" si="32"/>
        <v>3610766.51</v>
      </c>
      <c r="AV63" s="97">
        <f>IF(Calcs!BC68=TRUE, AU63, 0)</f>
        <v>0</v>
      </c>
      <c r="AW63" s="97">
        <f t="shared" si="33"/>
        <v>0</v>
      </c>
      <c r="AX63" s="98">
        <f t="shared" si="34"/>
        <v>3610766.51</v>
      </c>
      <c r="AY63" s="77">
        <f t="shared" si="35"/>
        <v>3610766.51</v>
      </c>
      <c r="AZ63" s="97">
        <f>Calcs!BK68*AY63</f>
        <v>0</v>
      </c>
      <c r="BA63" s="97">
        <f t="shared" si="36"/>
        <v>0</v>
      </c>
      <c r="BB63" s="98">
        <f t="shared" si="37"/>
        <v>3610766.51</v>
      </c>
      <c r="BC63" s="77">
        <f t="shared" si="38"/>
        <v>3610766.51</v>
      </c>
      <c r="BD63" s="97"/>
      <c r="BE63" s="97"/>
      <c r="BF63" s="98"/>
      <c r="BG63" s="77">
        <f t="shared" si="39"/>
        <v>3610766.51</v>
      </c>
      <c r="BH63" s="97">
        <f>IF(Calcs!BJ68=FALSE,0,BG63)</f>
        <v>0</v>
      </c>
      <c r="BI63" s="97">
        <f t="shared" si="40"/>
        <v>0</v>
      </c>
      <c r="BJ63" s="98">
        <f t="shared" si="41"/>
        <v>3610766.51</v>
      </c>
      <c r="BK63" s="77">
        <f t="shared" si="42"/>
        <v>3610766.51</v>
      </c>
      <c r="BL63" s="97">
        <f>IF(Calcs!AW68=TRUE,BK63,0)</f>
        <v>0</v>
      </c>
      <c r="BM63" s="97">
        <f t="shared" si="43"/>
        <v>0</v>
      </c>
      <c r="BN63" s="98">
        <f t="shared" si="44"/>
        <v>3610766.51</v>
      </c>
      <c r="BO63" s="77">
        <f t="shared" si="45"/>
        <v>3610766.51</v>
      </c>
      <c r="BP63" s="97"/>
      <c r="BQ63" s="97">
        <f t="shared" si="46"/>
        <v>0</v>
      </c>
      <c r="BR63" s="98">
        <f t="shared" si="47"/>
        <v>3610766.51</v>
      </c>
      <c r="BS63" s="77">
        <f t="shared" si="48"/>
        <v>3610766.51</v>
      </c>
      <c r="BT63" s="97">
        <f>IF(Calcs!BB68=TRUE,'Concentration Limitations'!BS63,0)</f>
        <v>0</v>
      </c>
      <c r="BU63" s="97">
        <f t="shared" si="49"/>
        <v>0</v>
      </c>
      <c r="BV63" s="98">
        <f t="shared" si="50"/>
        <v>3610766.51</v>
      </c>
      <c r="BW63" s="77">
        <f t="shared" si="51"/>
        <v>3610766.51</v>
      </c>
      <c r="BX63" s="97">
        <f>IF(Calcs!BI68=TRUE,'Concentration Limitations'!BW63,0)</f>
        <v>0</v>
      </c>
      <c r="BY63" s="97">
        <f t="shared" si="52"/>
        <v>0</v>
      </c>
      <c r="BZ63" s="98">
        <f t="shared" si="53"/>
        <v>3610766.51</v>
      </c>
      <c r="CA63" s="97">
        <f t="shared" si="54"/>
        <v>3610766.51</v>
      </c>
      <c r="CB63" s="97"/>
      <c r="CC63" s="97"/>
      <c r="CD63" s="98">
        <f t="shared" si="55"/>
        <v>3610766.51</v>
      </c>
      <c r="CE63" s="97">
        <f t="shared" si="56"/>
        <v>3610766.51</v>
      </c>
      <c r="CF63" s="97"/>
      <c r="CG63" s="97"/>
      <c r="CH63" s="98">
        <f t="shared" si="57"/>
        <v>3610766.51</v>
      </c>
      <c r="CI63" s="97">
        <f t="shared" si="58"/>
        <v>3610766.51</v>
      </c>
      <c r="CJ63" s="97"/>
      <c r="CK63" s="97"/>
      <c r="CL63" s="98">
        <f t="shared" si="59"/>
        <v>3610766.51</v>
      </c>
      <c r="CM63" s="97">
        <f t="shared" si="60"/>
        <v>3610766.51</v>
      </c>
      <c r="CN63" s="97"/>
      <c r="CO63" s="97"/>
      <c r="CP63" s="98">
        <f t="shared" si="61"/>
        <v>3610766.51</v>
      </c>
      <c r="CQ63" s="97">
        <f t="shared" si="62"/>
        <v>3610766.51</v>
      </c>
      <c r="CR63" s="97"/>
      <c r="CS63" s="97">
        <f t="shared" si="63"/>
        <v>0</v>
      </c>
      <c r="CT63" s="98">
        <f t="shared" si="64"/>
        <v>3610766.51</v>
      </c>
      <c r="CU63" s="97">
        <f t="shared" si="65"/>
        <v>3610766.51</v>
      </c>
      <c r="CV63" s="97"/>
      <c r="CW63" s="97">
        <f t="shared" si="66"/>
        <v>0</v>
      </c>
      <c r="CX63" s="98">
        <f t="shared" si="67"/>
        <v>3610766.51</v>
      </c>
      <c r="CY63" s="97">
        <f t="shared" si="68"/>
        <v>3610766.51</v>
      </c>
      <c r="CZ63" s="97"/>
      <c r="DA63" s="97"/>
      <c r="DB63" s="98">
        <f t="shared" si="69"/>
        <v>3610766.51</v>
      </c>
      <c r="DC63" s="75">
        <f t="shared" si="70"/>
        <v>3610766.51</v>
      </c>
      <c r="DD63" s="97"/>
      <c r="DE63" s="97"/>
      <c r="DF63" s="98">
        <f t="shared" si="71"/>
        <v>3610766.51</v>
      </c>
      <c r="DG63" s="75">
        <f t="shared" si="72"/>
        <v>3610766.51</v>
      </c>
      <c r="DH63" s="78" t="str">
        <f>Calcs!F68</f>
        <v>Professional Services</v>
      </c>
      <c r="DI63" s="99">
        <f t="shared" ca="1" si="73"/>
        <v>0</v>
      </c>
      <c r="DJ63" s="98">
        <f t="shared" ca="1" si="74"/>
        <v>3610766.51</v>
      </c>
      <c r="DK63" s="293">
        <f t="shared" si="75"/>
        <v>19</v>
      </c>
      <c r="DL63" s="532" t="s">
        <v>326</v>
      </c>
      <c r="DM63" s="36"/>
      <c r="DN63" s="36"/>
      <c r="DO63" s="36"/>
      <c r="DP63" s="36"/>
      <c r="DQ63" s="413" cm="1">
        <f t="array" ref="DQ63">+SUMPRODUCT((DL63=$DH$12:$DH$307)*($DG$12:$DG$307))/$N$6</f>
        <v>0</v>
      </c>
      <c r="DR63" s="414">
        <f t="shared" si="76"/>
        <v>19</v>
      </c>
      <c r="DS63" s="413" cm="1">
        <f t="array" aca="1" ref="DS63" ca="1">+SUMPRODUCT((DL63=$DH$12:$DH$307)*($DJ$12:$DJ$307))/$N$6</f>
        <v>0</v>
      </c>
      <c r="DT63" s="417">
        <f t="shared" ca="1" si="86"/>
        <v>19</v>
      </c>
      <c r="DU63" s="415">
        <f t="shared" si="77"/>
        <v>0.1</v>
      </c>
      <c r="DV63" s="416">
        <f t="shared" si="78"/>
        <v>0.1</v>
      </c>
    </row>
    <row r="64" spans="6:126">
      <c r="F64" s="2">
        <f t="shared" ca="1" si="79"/>
        <v>14</v>
      </c>
      <c r="G64" s="40" t="str">
        <f>Calcs!A69</f>
        <v>The Vertex Companies, LLC</v>
      </c>
      <c r="H64" s="68">
        <f t="shared" ca="1" si="8"/>
        <v>6965000</v>
      </c>
      <c r="I64" s="96"/>
      <c r="J64" s="96"/>
      <c r="K64" s="63">
        <f>+IF(G64="","",IF(COUNTIF(G65:$G$307,G64)=0,1,0))</f>
        <v>1</v>
      </c>
      <c r="L64" s="75">
        <f>Calcs!U69</f>
        <v>6965000</v>
      </c>
      <c r="M64">
        <f t="shared" si="82"/>
        <v>14</v>
      </c>
      <c r="N64" s="75">
        <f t="shared" si="85"/>
        <v>6965000</v>
      </c>
      <c r="O64" s="75">
        <f t="shared" si="83"/>
        <v>6965000</v>
      </c>
      <c r="P64" s="72">
        <f t="shared" si="10"/>
        <v>0.05</v>
      </c>
      <c r="Q64" s="72">
        <f t="shared" si="11"/>
        <v>1.1597778099471483E-2</v>
      </c>
      <c r="R64" s="61">
        <f t="shared" si="12"/>
        <v>0</v>
      </c>
      <c r="S64" s="68">
        <f t="shared" si="13"/>
        <v>6965000</v>
      </c>
      <c r="T64" s="68">
        <f t="shared" si="84"/>
        <v>6965000</v>
      </c>
      <c r="U64">
        <f t="array" aca="1" ref="U64" ca="1">SUM(1*(S64&lt;$S$12:$S$307))+1+IF(ROW(S64)-ROW($S$12)=0,0,SUM(1*(S64=OFFSET($S$12,0,0,INDEX(ROW(S64)-ROW($S$12)+1,1)-1,1))))</f>
        <v>14</v>
      </c>
      <c r="V64" s="96">
        <f t="shared" si="14"/>
        <v>6965000</v>
      </c>
      <c r="W64" s="75">
        <f>Calcs!U69</f>
        <v>6965000</v>
      </c>
      <c r="X64" s="78">
        <f>IFERROR(OR(Calcs!BH68,Calcs!BI68)*W64,0)</f>
        <v>0</v>
      </c>
      <c r="Y64" s="97">
        <f t="shared" si="15"/>
        <v>0</v>
      </c>
      <c r="Z64" s="98">
        <f t="shared" si="16"/>
        <v>6965000</v>
      </c>
      <c r="AA64" s="77">
        <f t="shared" si="17"/>
        <v>6965000</v>
      </c>
      <c r="AB64" s="78">
        <f>IF(AND(Calcs!BM69=TRUE),AA64,0)</f>
        <v>0</v>
      </c>
      <c r="AC64" s="97">
        <f t="shared" si="18"/>
        <v>0</v>
      </c>
      <c r="AD64" s="98">
        <f t="shared" si="19"/>
        <v>6965000</v>
      </c>
      <c r="AE64" s="77">
        <f t="shared" si="20"/>
        <v>6965000</v>
      </c>
      <c r="AF64" s="78">
        <f>IF(Calcs!BY69&lt;15,AE64,0)</f>
        <v>0</v>
      </c>
      <c r="AG64" s="97">
        <f t="shared" si="21"/>
        <v>0</v>
      </c>
      <c r="AH64" s="98">
        <f t="shared" si="22"/>
        <v>6965000</v>
      </c>
      <c r="AI64" s="77">
        <f t="shared" si="23"/>
        <v>6965000</v>
      </c>
      <c r="AJ64" s="78">
        <f>IF(Calcs!BY69&lt;10,AE64,0)</f>
        <v>0</v>
      </c>
      <c r="AK64" s="97">
        <f t="shared" si="24"/>
        <v>0</v>
      </c>
      <c r="AL64" s="98">
        <f t="shared" si="25"/>
        <v>6965000</v>
      </c>
      <c r="AM64" s="77">
        <f t="shared" si="26"/>
        <v>6965000</v>
      </c>
      <c r="AN64" s="78">
        <f>NOT(Calcs!BD69)*AM64</f>
        <v>0</v>
      </c>
      <c r="AO64" s="97">
        <f t="shared" si="27"/>
        <v>0</v>
      </c>
      <c r="AP64" s="98">
        <f t="shared" si="28"/>
        <v>6965000</v>
      </c>
      <c r="AQ64" s="77">
        <f t="shared" si="29"/>
        <v>6965000</v>
      </c>
      <c r="AR64" s="78">
        <f>NOT(Calcs!BE69)*AQ64</f>
        <v>0</v>
      </c>
      <c r="AS64" s="97">
        <f t="shared" si="30"/>
        <v>0</v>
      </c>
      <c r="AT64" s="98">
        <f t="shared" si="31"/>
        <v>6965000</v>
      </c>
      <c r="AU64" s="77">
        <f t="shared" si="32"/>
        <v>6965000</v>
      </c>
      <c r="AV64" s="97">
        <f>IF(Calcs!BC69=TRUE, AU64, 0)</f>
        <v>0</v>
      </c>
      <c r="AW64" s="97">
        <f t="shared" si="33"/>
        <v>0</v>
      </c>
      <c r="AX64" s="98">
        <f t="shared" si="34"/>
        <v>6965000</v>
      </c>
      <c r="AY64" s="77">
        <f t="shared" si="35"/>
        <v>6965000</v>
      </c>
      <c r="AZ64" s="97">
        <f>Calcs!BK69*AY64</f>
        <v>0</v>
      </c>
      <c r="BA64" s="97">
        <f t="shared" si="36"/>
        <v>0</v>
      </c>
      <c r="BB64" s="98">
        <f t="shared" si="37"/>
        <v>6965000</v>
      </c>
      <c r="BC64" s="77">
        <f t="shared" si="38"/>
        <v>6965000</v>
      </c>
      <c r="BD64" s="97"/>
      <c r="BE64" s="97"/>
      <c r="BF64" s="98"/>
      <c r="BG64" s="77">
        <f t="shared" si="39"/>
        <v>6965000</v>
      </c>
      <c r="BH64" s="97">
        <f>IF(Calcs!BJ69=FALSE,0,BG64)</f>
        <v>0</v>
      </c>
      <c r="BI64" s="97">
        <f t="shared" si="40"/>
        <v>0</v>
      </c>
      <c r="BJ64" s="98">
        <f t="shared" si="41"/>
        <v>6965000</v>
      </c>
      <c r="BK64" s="77">
        <f t="shared" si="42"/>
        <v>6965000</v>
      </c>
      <c r="BL64" s="97">
        <f>IF(Calcs!AW69=TRUE,BK64,0)</f>
        <v>0</v>
      </c>
      <c r="BM64" s="97">
        <f t="shared" si="43"/>
        <v>0</v>
      </c>
      <c r="BN64" s="98">
        <f t="shared" si="44"/>
        <v>6965000</v>
      </c>
      <c r="BO64" s="77">
        <f t="shared" si="45"/>
        <v>6965000</v>
      </c>
      <c r="BP64" s="97"/>
      <c r="BQ64" s="97">
        <f t="shared" si="46"/>
        <v>0</v>
      </c>
      <c r="BR64" s="98">
        <f t="shared" si="47"/>
        <v>6965000</v>
      </c>
      <c r="BS64" s="77">
        <f t="shared" si="48"/>
        <v>6965000</v>
      </c>
      <c r="BT64" s="97">
        <f>IF(Calcs!BB69=TRUE,'Concentration Limitations'!BS64,0)</f>
        <v>0</v>
      </c>
      <c r="BU64" s="97">
        <f t="shared" si="49"/>
        <v>0</v>
      </c>
      <c r="BV64" s="98">
        <f t="shared" si="50"/>
        <v>6965000</v>
      </c>
      <c r="BW64" s="77">
        <f t="shared" si="51"/>
        <v>6965000</v>
      </c>
      <c r="BX64" s="97">
        <f>IF(Calcs!BI69=TRUE,'Concentration Limitations'!BW64,0)</f>
        <v>0</v>
      </c>
      <c r="BY64" s="97">
        <f t="shared" si="52"/>
        <v>0</v>
      </c>
      <c r="BZ64" s="98">
        <f t="shared" si="53"/>
        <v>6965000</v>
      </c>
      <c r="CA64" s="97">
        <f t="shared" si="54"/>
        <v>6965000</v>
      </c>
      <c r="CB64" s="97"/>
      <c r="CC64" s="97"/>
      <c r="CD64" s="98">
        <f t="shared" si="55"/>
        <v>6965000</v>
      </c>
      <c r="CE64" s="97">
        <f t="shared" si="56"/>
        <v>6965000</v>
      </c>
      <c r="CF64" s="97"/>
      <c r="CG64" s="97"/>
      <c r="CH64" s="98">
        <f t="shared" si="57"/>
        <v>6965000</v>
      </c>
      <c r="CI64" s="97">
        <f t="shared" si="58"/>
        <v>6965000</v>
      </c>
      <c r="CJ64" s="97"/>
      <c r="CK64" s="97"/>
      <c r="CL64" s="98">
        <f t="shared" si="59"/>
        <v>6965000</v>
      </c>
      <c r="CM64" s="97">
        <f t="shared" si="60"/>
        <v>6965000</v>
      </c>
      <c r="CN64" s="97"/>
      <c r="CO64" s="97"/>
      <c r="CP64" s="98">
        <f t="shared" si="61"/>
        <v>6965000</v>
      </c>
      <c r="CQ64" s="97">
        <f t="shared" si="62"/>
        <v>6965000</v>
      </c>
      <c r="CR64" s="97"/>
      <c r="CS64" s="97">
        <f t="shared" si="63"/>
        <v>0</v>
      </c>
      <c r="CT64" s="98">
        <f t="shared" si="64"/>
        <v>6965000</v>
      </c>
      <c r="CU64" s="97">
        <f t="shared" si="65"/>
        <v>6965000</v>
      </c>
      <c r="CV64" s="97"/>
      <c r="CW64" s="97">
        <f t="shared" si="66"/>
        <v>0</v>
      </c>
      <c r="CX64" s="98">
        <f t="shared" si="67"/>
        <v>6965000</v>
      </c>
      <c r="CY64" s="97">
        <f t="shared" si="68"/>
        <v>6965000</v>
      </c>
      <c r="CZ64" s="97"/>
      <c r="DA64" s="97"/>
      <c r="DB64" s="98">
        <f t="shared" si="69"/>
        <v>6965000</v>
      </c>
      <c r="DC64" s="75">
        <f t="shared" si="70"/>
        <v>6965000</v>
      </c>
      <c r="DD64" s="97"/>
      <c r="DE64" s="97"/>
      <c r="DF64" s="98">
        <f t="shared" si="71"/>
        <v>6965000</v>
      </c>
      <c r="DG64" s="75">
        <f t="shared" si="72"/>
        <v>6965000</v>
      </c>
      <c r="DH64" s="78" t="str">
        <f>Calcs!F69</f>
        <v>Construction &amp; Engineering</v>
      </c>
      <c r="DI64" s="99">
        <f t="shared" ca="1" si="73"/>
        <v>0</v>
      </c>
      <c r="DJ64" s="98">
        <f t="shared" ca="1" si="74"/>
        <v>6965000</v>
      </c>
      <c r="DK64" s="293">
        <f t="shared" si="75"/>
        <v>19</v>
      </c>
      <c r="DL64" s="532" t="s">
        <v>1199</v>
      </c>
      <c r="DM64" s="36"/>
      <c r="DN64" s="36"/>
      <c r="DO64" s="36"/>
      <c r="DP64" s="36"/>
      <c r="DQ64" s="413" cm="1">
        <f t="array" ref="DQ64">+SUMPRODUCT((DL64=$DH$12:$DH$307)*($DG$12:$DG$307))/$N$6</f>
        <v>0</v>
      </c>
      <c r="DR64" s="414">
        <f t="shared" si="76"/>
        <v>19</v>
      </c>
      <c r="DS64" s="413" cm="1">
        <f t="array" aca="1" ref="DS64" ca="1">+SUMPRODUCT((DL64=$DH$12:$DH$307)*($DJ$12:$DJ$307))/$N$6</f>
        <v>0</v>
      </c>
      <c r="DT64" s="417">
        <f t="shared" ca="1" si="86"/>
        <v>19</v>
      </c>
      <c r="DU64" s="415">
        <f t="shared" si="77"/>
        <v>0.1</v>
      </c>
      <c r="DV64" s="416">
        <f t="shared" si="78"/>
        <v>0.1</v>
      </c>
    </row>
    <row r="65" spans="6:126">
      <c r="F65" s="2">
        <f t="shared" ca="1" si="79"/>
        <v>42</v>
      </c>
      <c r="G65" s="40" t="str">
        <f>Calcs!A70</f>
        <v>Transgo</v>
      </c>
      <c r="H65" s="68">
        <f t="shared" ca="1" si="8"/>
        <v>3040931.77</v>
      </c>
      <c r="I65" s="96"/>
      <c r="J65" s="96"/>
      <c r="K65" s="63">
        <f>+IF(G65="","",IF(COUNTIF(G66:$G$307,G65)=0,1,0))</f>
        <v>1</v>
      </c>
      <c r="L65" s="75">
        <f>Calcs!U70</f>
        <v>3040931.77</v>
      </c>
      <c r="M65">
        <f t="shared" si="82"/>
        <v>42</v>
      </c>
      <c r="N65" s="75">
        <f t="shared" si="85"/>
        <v>3040931.77</v>
      </c>
      <c r="O65" s="75">
        <f t="shared" si="83"/>
        <v>3040931.77</v>
      </c>
      <c r="P65" s="72">
        <f t="shared" si="10"/>
        <v>0.05</v>
      </c>
      <c r="Q65" s="72">
        <f t="shared" si="11"/>
        <v>5.0636111822100578E-3</v>
      </c>
      <c r="R65" s="61">
        <f t="shared" si="12"/>
        <v>0</v>
      </c>
      <c r="S65" s="68">
        <f t="shared" si="13"/>
        <v>3040931.77</v>
      </c>
      <c r="T65" s="68">
        <f t="shared" si="84"/>
        <v>3040931.77</v>
      </c>
      <c r="U65">
        <f t="array" aca="1" ref="U65" ca="1">SUM(1*(S65&lt;$S$12:$S$307))+1+IF(ROW(S65)-ROW($S$12)=0,0,SUM(1*(S65=OFFSET($S$12,0,0,INDEX(ROW(S65)-ROW($S$12)+1,1)-1,1))))</f>
        <v>42</v>
      </c>
      <c r="V65" s="96">
        <f t="shared" si="14"/>
        <v>3040931.7700000005</v>
      </c>
      <c r="W65" s="75">
        <f>Calcs!U70</f>
        <v>3040931.77</v>
      </c>
      <c r="X65" s="78">
        <f>IFERROR(OR(Calcs!BH69,Calcs!BI69)*W65,0)</f>
        <v>0</v>
      </c>
      <c r="Y65" s="97">
        <f t="shared" si="15"/>
        <v>0</v>
      </c>
      <c r="Z65" s="98">
        <f t="shared" si="16"/>
        <v>3040931.77</v>
      </c>
      <c r="AA65" s="77">
        <f t="shared" si="17"/>
        <v>3040931.77</v>
      </c>
      <c r="AB65" s="78">
        <f>IF(AND(Calcs!BM70=TRUE),AA65,0)</f>
        <v>3040931.77</v>
      </c>
      <c r="AC65" s="97">
        <f t="shared" si="18"/>
        <v>0</v>
      </c>
      <c r="AD65" s="98">
        <f t="shared" si="19"/>
        <v>3040931.77</v>
      </c>
      <c r="AE65" s="77">
        <f t="shared" si="20"/>
        <v>3040931.77</v>
      </c>
      <c r="AF65" s="78">
        <f>IF(Calcs!BY70&lt;15,AE65,0)</f>
        <v>0</v>
      </c>
      <c r="AG65" s="97">
        <f t="shared" si="21"/>
        <v>0</v>
      </c>
      <c r="AH65" s="98">
        <f t="shared" si="22"/>
        <v>3040931.77</v>
      </c>
      <c r="AI65" s="77">
        <f t="shared" si="23"/>
        <v>3040931.77</v>
      </c>
      <c r="AJ65" s="78">
        <f>IF(Calcs!BY70&lt;10,AE65,0)</f>
        <v>0</v>
      </c>
      <c r="AK65" s="97">
        <f t="shared" si="24"/>
        <v>0</v>
      </c>
      <c r="AL65" s="98">
        <f t="shared" si="25"/>
        <v>3040931.77</v>
      </c>
      <c r="AM65" s="77">
        <f t="shared" si="26"/>
        <v>3040931.77</v>
      </c>
      <c r="AN65" s="78">
        <f>NOT(Calcs!BD70)*AM65</f>
        <v>0</v>
      </c>
      <c r="AO65" s="97">
        <f t="shared" si="27"/>
        <v>0</v>
      </c>
      <c r="AP65" s="98">
        <f t="shared" si="28"/>
        <v>3040931.77</v>
      </c>
      <c r="AQ65" s="77">
        <f t="shared" si="29"/>
        <v>3040931.77</v>
      </c>
      <c r="AR65" s="78">
        <f>NOT(Calcs!BE70)*AQ65</f>
        <v>0</v>
      </c>
      <c r="AS65" s="97">
        <f t="shared" si="30"/>
        <v>0</v>
      </c>
      <c r="AT65" s="98">
        <f t="shared" si="31"/>
        <v>3040931.77</v>
      </c>
      <c r="AU65" s="77">
        <f t="shared" si="32"/>
        <v>3040931.77</v>
      </c>
      <c r="AV65" s="97">
        <f>IF(Calcs!BC70=TRUE, AU65, 0)</f>
        <v>0</v>
      </c>
      <c r="AW65" s="97">
        <f t="shared" si="33"/>
        <v>0</v>
      </c>
      <c r="AX65" s="98">
        <f t="shared" si="34"/>
        <v>3040931.77</v>
      </c>
      <c r="AY65" s="77">
        <f t="shared" si="35"/>
        <v>3040931.77</v>
      </c>
      <c r="AZ65" s="97">
        <f>Calcs!BK70*AY65</f>
        <v>0</v>
      </c>
      <c r="BA65" s="97">
        <f t="shared" si="36"/>
        <v>0</v>
      </c>
      <c r="BB65" s="98">
        <f t="shared" si="37"/>
        <v>3040931.77</v>
      </c>
      <c r="BC65" s="77">
        <f t="shared" si="38"/>
        <v>3040931.77</v>
      </c>
      <c r="BD65" s="97"/>
      <c r="BE65" s="97"/>
      <c r="BF65" s="98"/>
      <c r="BG65" s="77">
        <f t="shared" si="39"/>
        <v>3040931.77</v>
      </c>
      <c r="BH65" s="97">
        <f>IF(Calcs!BJ70=FALSE,0,BG65)</f>
        <v>0</v>
      </c>
      <c r="BI65" s="97">
        <f t="shared" si="40"/>
        <v>0</v>
      </c>
      <c r="BJ65" s="98">
        <f t="shared" si="41"/>
        <v>3040931.77</v>
      </c>
      <c r="BK65" s="77">
        <f t="shared" si="42"/>
        <v>3040931.77</v>
      </c>
      <c r="BL65" s="97">
        <f>IF(Calcs!AW70=TRUE,BK65,0)</f>
        <v>0</v>
      </c>
      <c r="BM65" s="97">
        <f t="shared" si="43"/>
        <v>0</v>
      </c>
      <c r="BN65" s="98">
        <f t="shared" si="44"/>
        <v>3040931.77</v>
      </c>
      <c r="BO65" s="77">
        <f t="shared" si="45"/>
        <v>3040931.77</v>
      </c>
      <c r="BP65" s="97"/>
      <c r="BQ65" s="97">
        <f t="shared" si="46"/>
        <v>0</v>
      </c>
      <c r="BR65" s="98">
        <f t="shared" si="47"/>
        <v>3040931.77</v>
      </c>
      <c r="BS65" s="77">
        <f t="shared" si="48"/>
        <v>3040931.77</v>
      </c>
      <c r="BT65" s="97">
        <f>IF(Calcs!BB70=TRUE,'Concentration Limitations'!BS65,0)</f>
        <v>0</v>
      </c>
      <c r="BU65" s="97">
        <f t="shared" si="49"/>
        <v>0</v>
      </c>
      <c r="BV65" s="98">
        <f t="shared" si="50"/>
        <v>3040931.77</v>
      </c>
      <c r="BW65" s="77">
        <f t="shared" si="51"/>
        <v>3040931.77</v>
      </c>
      <c r="BX65" s="97">
        <f>IF(Calcs!BI70=TRUE,'Concentration Limitations'!BW65,0)</f>
        <v>0</v>
      </c>
      <c r="BY65" s="97">
        <f t="shared" si="52"/>
        <v>0</v>
      </c>
      <c r="BZ65" s="98">
        <f t="shared" si="53"/>
        <v>3040931.77</v>
      </c>
      <c r="CA65" s="97">
        <f t="shared" si="54"/>
        <v>3040931.77</v>
      </c>
      <c r="CB65" s="97"/>
      <c r="CC65" s="97"/>
      <c r="CD65" s="98">
        <f t="shared" si="55"/>
        <v>3040931.77</v>
      </c>
      <c r="CE65" s="97">
        <f t="shared" si="56"/>
        <v>3040931.77</v>
      </c>
      <c r="CF65" s="97"/>
      <c r="CG65" s="97"/>
      <c r="CH65" s="98">
        <f t="shared" si="57"/>
        <v>3040931.77</v>
      </c>
      <c r="CI65" s="97">
        <f t="shared" si="58"/>
        <v>3040931.77</v>
      </c>
      <c r="CJ65" s="97"/>
      <c r="CK65" s="97"/>
      <c r="CL65" s="98">
        <f t="shared" si="59"/>
        <v>3040931.77</v>
      </c>
      <c r="CM65" s="97">
        <f t="shared" si="60"/>
        <v>3040931.77</v>
      </c>
      <c r="CN65" s="97"/>
      <c r="CO65" s="97"/>
      <c r="CP65" s="98">
        <f t="shared" si="61"/>
        <v>3040931.77</v>
      </c>
      <c r="CQ65" s="97">
        <f t="shared" si="62"/>
        <v>3040931.77</v>
      </c>
      <c r="CR65" s="97"/>
      <c r="CS65" s="97">
        <f t="shared" si="63"/>
        <v>0</v>
      </c>
      <c r="CT65" s="98">
        <f t="shared" si="64"/>
        <v>3040931.77</v>
      </c>
      <c r="CU65" s="97">
        <f t="shared" si="65"/>
        <v>3040931.77</v>
      </c>
      <c r="CV65" s="97"/>
      <c r="CW65" s="97">
        <f t="shared" si="66"/>
        <v>0</v>
      </c>
      <c r="CX65" s="98">
        <f t="shared" si="67"/>
        <v>3040931.77</v>
      </c>
      <c r="CY65" s="97">
        <f t="shared" si="68"/>
        <v>3040931.77</v>
      </c>
      <c r="CZ65" s="97"/>
      <c r="DA65" s="97"/>
      <c r="DB65" s="98">
        <f t="shared" si="69"/>
        <v>3040931.77</v>
      </c>
      <c r="DC65" s="75">
        <f t="shared" si="70"/>
        <v>3040931.77</v>
      </c>
      <c r="DD65" s="97"/>
      <c r="DE65" s="97"/>
      <c r="DF65" s="98">
        <f t="shared" si="71"/>
        <v>3040931.77</v>
      </c>
      <c r="DG65" s="75">
        <f t="shared" si="72"/>
        <v>3040931.77</v>
      </c>
      <c r="DH65" s="78" t="str">
        <f>Calcs!F70</f>
        <v>Automobiles</v>
      </c>
      <c r="DI65" s="99">
        <f t="shared" ca="1" si="73"/>
        <v>0</v>
      </c>
      <c r="DJ65" s="98">
        <f t="shared" ca="1" si="74"/>
        <v>3040931.77</v>
      </c>
      <c r="DK65" s="293">
        <f t="shared" si="75"/>
        <v>17</v>
      </c>
      <c r="DL65" s="532" t="s">
        <v>1099</v>
      </c>
      <c r="DM65" s="36"/>
      <c r="DN65" s="36"/>
      <c r="DO65" s="36"/>
      <c r="DP65" s="36"/>
      <c r="DQ65" s="413" cm="1">
        <f t="array" ref="DQ65">+SUMPRODUCT((DL65=$DH$12:$DH$307)*($DG$12:$DG$307))/$N$6</f>
        <v>2.8057729178395645E-3</v>
      </c>
      <c r="DR65" s="414">
        <f t="shared" si="76"/>
        <v>17</v>
      </c>
      <c r="DS65" s="413" cm="1">
        <f t="array" aca="1" ref="DS65" ca="1">+SUMPRODUCT((DL65=$DH$12:$DH$307)*($DJ$12:$DJ$307))/$N$6</f>
        <v>2.8057729178395645E-3</v>
      </c>
      <c r="DT65" s="417">
        <f t="shared" ca="1" si="86"/>
        <v>17</v>
      </c>
      <c r="DU65" s="415">
        <f t="shared" si="77"/>
        <v>0.1</v>
      </c>
      <c r="DV65" s="416">
        <f t="shared" si="78"/>
        <v>9.7194227082160439E-2</v>
      </c>
    </row>
    <row r="66" spans="6:126">
      <c r="F66" s="2">
        <f t="shared" ca="1" si="79"/>
        <v>43</v>
      </c>
      <c r="G66" s="40" t="str">
        <f>Calcs!A71</f>
        <v>UROLOGY MANAGEMENT HOLDINGS, INC.</v>
      </c>
      <c r="H66" s="68">
        <f t="shared" ca="1" si="8"/>
        <v>2665549.9</v>
      </c>
      <c r="I66" s="96"/>
      <c r="J66" s="96"/>
      <c r="K66" s="63">
        <f>+IF(G66="","",IF(COUNTIF(G67:$G$307,G66)=0,1,0))</f>
        <v>1</v>
      </c>
      <c r="L66" s="75">
        <f>Calcs!U71</f>
        <v>2665549.9</v>
      </c>
      <c r="M66">
        <f t="shared" si="82"/>
        <v>43</v>
      </c>
      <c r="N66" s="75">
        <f t="shared" si="85"/>
        <v>2665549.9</v>
      </c>
      <c r="O66" s="75">
        <f t="shared" si="83"/>
        <v>2665549.9</v>
      </c>
      <c r="P66" s="72">
        <f t="shared" si="10"/>
        <v>0.05</v>
      </c>
      <c r="Q66" s="72">
        <f t="shared" si="11"/>
        <v>4.438543611380962E-3</v>
      </c>
      <c r="R66" s="61">
        <f t="shared" si="12"/>
        <v>0</v>
      </c>
      <c r="S66" s="68">
        <f t="shared" si="13"/>
        <v>2665549.9</v>
      </c>
      <c r="T66" s="68">
        <f t="shared" si="84"/>
        <v>2665549.9</v>
      </c>
      <c r="U66">
        <f t="array" aca="1" ref="U66" ca="1">SUM(1*(S66&lt;$S$12:$S$307))+1+IF(ROW(S66)-ROW($S$12)=0,0,SUM(1*(S66=OFFSET($S$12,0,0,INDEX(ROW(S66)-ROW($S$12)+1,1)-1,1))))</f>
        <v>43</v>
      </c>
      <c r="V66" s="96">
        <f t="shared" si="14"/>
        <v>2665549.9</v>
      </c>
      <c r="W66" s="75">
        <f>Calcs!U71</f>
        <v>2665549.9</v>
      </c>
      <c r="X66" s="78">
        <f>IFERROR(OR(Calcs!BH70,Calcs!BI70)*W66,0)</f>
        <v>0</v>
      </c>
      <c r="Y66" s="97">
        <f t="shared" si="15"/>
        <v>0</v>
      </c>
      <c r="Z66" s="98">
        <f t="shared" si="16"/>
        <v>2665549.9</v>
      </c>
      <c r="AA66" s="77">
        <f t="shared" si="17"/>
        <v>2665549.9</v>
      </c>
      <c r="AB66" s="78">
        <f>IF(AND(Calcs!BM71=TRUE),AA66,0)</f>
        <v>0</v>
      </c>
      <c r="AC66" s="97">
        <f t="shared" si="18"/>
        <v>0</v>
      </c>
      <c r="AD66" s="98">
        <f t="shared" si="19"/>
        <v>2665549.9</v>
      </c>
      <c r="AE66" s="77">
        <f t="shared" si="20"/>
        <v>2665549.9</v>
      </c>
      <c r="AF66" s="78">
        <f>IF(Calcs!BY71&lt;15,AE66,0)</f>
        <v>0</v>
      </c>
      <c r="AG66" s="97">
        <f t="shared" si="21"/>
        <v>0</v>
      </c>
      <c r="AH66" s="98">
        <f t="shared" si="22"/>
        <v>2665549.9</v>
      </c>
      <c r="AI66" s="77">
        <f t="shared" si="23"/>
        <v>2665549.9</v>
      </c>
      <c r="AJ66" s="78">
        <f>IF(Calcs!BY71&lt;10,AE66,0)</f>
        <v>0</v>
      </c>
      <c r="AK66" s="97">
        <f t="shared" si="24"/>
        <v>0</v>
      </c>
      <c r="AL66" s="98">
        <f t="shared" si="25"/>
        <v>2665549.9</v>
      </c>
      <c r="AM66" s="77">
        <f t="shared" si="26"/>
        <v>2665549.9</v>
      </c>
      <c r="AN66" s="78">
        <f>NOT(Calcs!BD71)*AM66</f>
        <v>0</v>
      </c>
      <c r="AO66" s="97">
        <f t="shared" si="27"/>
        <v>0</v>
      </c>
      <c r="AP66" s="98">
        <f t="shared" si="28"/>
        <v>2665549.9</v>
      </c>
      <c r="AQ66" s="77">
        <f t="shared" si="29"/>
        <v>2665549.9</v>
      </c>
      <c r="AR66" s="78">
        <f>NOT(Calcs!BE71)*AQ66</f>
        <v>0</v>
      </c>
      <c r="AS66" s="97">
        <f t="shared" si="30"/>
        <v>0</v>
      </c>
      <c r="AT66" s="98">
        <f t="shared" si="31"/>
        <v>2665549.9</v>
      </c>
      <c r="AU66" s="77">
        <f t="shared" si="32"/>
        <v>2665549.9</v>
      </c>
      <c r="AV66" s="97">
        <f>IF(Calcs!BC71=TRUE, AU66, 0)</f>
        <v>0</v>
      </c>
      <c r="AW66" s="97">
        <f t="shared" si="33"/>
        <v>0</v>
      </c>
      <c r="AX66" s="98">
        <f t="shared" si="34"/>
        <v>2665549.9</v>
      </c>
      <c r="AY66" s="77">
        <f t="shared" si="35"/>
        <v>2665549.9</v>
      </c>
      <c r="AZ66" s="97">
        <f>Calcs!BK71*AY66</f>
        <v>0</v>
      </c>
      <c r="BA66" s="97">
        <f t="shared" si="36"/>
        <v>0</v>
      </c>
      <c r="BB66" s="98">
        <f t="shared" si="37"/>
        <v>2665549.9</v>
      </c>
      <c r="BC66" s="77">
        <f t="shared" si="38"/>
        <v>2665549.9</v>
      </c>
      <c r="BD66" s="97"/>
      <c r="BE66" s="97"/>
      <c r="BF66" s="98"/>
      <c r="BG66" s="77">
        <f t="shared" si="39"/>
        <v>2665549.9</v>
      </c>
      <c r="BH66" s="97">
        <f>IF(Calcs!BJ71=FALSE,0,BG66)</f>
        <v>0</v>
      </c>
      <c r="BI66" s="97">
        <f t="shared" si="40"/>
        <v>0</v>
      </c>
      <c r="BJ66" s="98">
        <f t="shared" si="41"/>
        <v>2665549.9</v>
      </c>
      <c r="BK66" s="77">
        <f t="shared" si="42"/>
        <v>2665549.9</v>
      </c>
      <c r="BL66" s="97">
        <f>IF(Calcs!AW71=TRUE,BK66,0)</f>
        <v>0</v>
      </c>
      <c r="BM66" s="97">
        <f t="shared" si="43"/>
        <v>0</v>
      </c>
      <c r="BN66" s="98">
        <f t="shared" si="44"/>
        <v>2665549.9</v>
      </c>
      <c r="BO66" s="77">
        <f t="shared" si="45"/>
        <v>2665549.9</v>
      </c>
      <c r="BP66" s="97"/>
      <c r="BQ66" s="97">
        <f t="shared" si="46"/>
        <v>0</v>
      </c>
      <c r="BR66" s="98">
        <f t="shared" si="47"/>
        <v>2665549.9</v>
      </c>
      <c r="BS66" s="77">
        <f t="shared" si="48"/>
        <v>2665549.9</v>
      </c>
      <c r="BT66" s="97">
        <f>IF(Calcs!BB71=TRUE,'Concentration Limitations'!BS66,0)</f>
        <v>0</v>
      </c>
      <c r="BU66" s="97">
        <f t="shared" si="49"/>
        <v>0</v>
      </c>
      <c r="BV66" s="98">
        <f t="shared" si="50"/>
        <v>2665549.9</v>
      </c>
      <c r="BW66" s="77">
        <f t="shared" si="51"/>
        <v>2665549.9</v>
      </c>
      <c r="BX66" s="97">
        <f>IF(Calcs!BI71=TRUE,'Concentration Limitations'!BW66,0)</f>
        <v>0</v>
      </c>
      <c r="BY66" s="97">
        <f t="shared" si="52"/>
        <v>0</v>
      </c>
      <c r="BZ66" s="98">
        <f t="shared" si="53"/>
        <v>2665549.9</v>
      </c>
      <c r="CA66" s="97">
        <f t="shared" si="54"/>
        <v>2665549.9</v>
      </c>
      <c r="CB66" s="97"/>
      <c r="CC66" s="97"/>
      <c r="CD66" s="98">
        <f t="shared" si="55"/>
        <v>2665549.9</v>
      </c>
      <c r="CE66" s="97">
        <f t="shared" si="56"/>
        <v>2665549.9</v>
      </c>
      <c r="CF66" s="97"/>
      <c r="CG66" s="97"/>
      <c r="CH66" s="98">
        <f t="shared" si="57"/>
        <v>2665549.9</v>
      </c>
      <c r="CI66" s="97">
        <f t="shared" si="58"/>
        <v>2665549.9</v>
      </c>
      <c r="CJ66" s="97"/>
      <c r="CK66" s="97"/>
      <c r="CL66" s="98">
        <f t="shared" si="59"/>
        <v>2665549.9</v>
      </c>
      <c r="CM66" s="97">
        <f t="shared" si="60"/>
        <v>2665549.9</v>
      </c>
      <c r="CN66" s="97"/>
      <c r="CO66" s="97"/>
      <c r="CP66" s="98">
        <f t="shared" si="61"/>
        <v>2665549.9</v>
      </c>
      <c r="CQ66" s="97">
        <f t="shared" si="62"/>
        <v>2665549.9</v>
      </c>
      <c r="CR66" s="97"/>
      <c r="CS66" s="97">
        <f t="shared" si="63"/>
        <v>0</v>
      </c>
      <c r="CT66" s="98">
        <f t="shared" si="64"/>
        <v>2665549.9</v>
      </c>
      <c r="CU66" s="97">
        <f t="shared" si="65"/>
        <v>2665549.9</v>
      </c>
      <c r="CV66" s="97"/>
      <c r="CW66" s="97">
        <f t="shared" si="66"/>
        <v>0</v>
      </c>
      <c r="CX66" s="98">
        <f t="shared" si="67"/>
        <v>2665549.9</v>
      </c>
      <c r="CY66" s="97">
        <f t="shared" si="68"/>
        <v>2665549.9</v>
      </c>
      <c r="CZ66" s="97"/>
      <c r="DA66" s="97"/>
      <c r="DB66" s="98">
        <f t="shared" si="69"/>
        <v>2665549.9</v>
      </c>
      <c r="DC66" s="75">
        <f t="shared" si="70"/>
        <v>2665549.9</v>
      </c>
      <c r="DD66" s="97"/>
      <c r="DE66" s="97"/>
      <c r="DF66" s="98">
        <f t="shared" si="71"/>
        <v>2665549.9</v>
      </c>
      <c r="DG66" s="75">
        <f t="shared" si="72"/>
        <v>2665549.9</v>
      </c>
      <c r="DH66" s="78" t="str">
        <f>Calcs!F71</f>
        <v>Health Care Providers &amp; Services</v>
      </c>
      <c r="DI66" s="99">
        <f t="shared" ca="1" si="73"/>
        <v>0</v>
      </c>
      <c r="DJ66" s="98">
        <f t="shared" ca="1" si="74"/>
        <v>2665549.9</v>
      </c>
      <c r="DK66" s="293">
        <f t="shared" si="75"/>
        <v>19</v>
      </c>
      <c r="DL66" s="532" t="s">
        <v>198</v>
      </c>
      <c r="DM66" s="36"/>
      <c r="DN66" s="36"/>
      <c r="DO66" s="36"/>
      <c r="DP66" s="36"/>
      <c r="DQ66" s="413" cm="1">
        <f t="array" ref="DQ66">+SUMPRODUCT((DL66=$DH$12:$DH$307)*($DG$12:$DG$307))/$N$6</f>
        <v>0</v>
      </c>
      <c r="DR66" s="414">
        <f t="shared" si="76"/>
        <v>19</v>
      </c>
      <c r="DS66" s="413" cm="1">
        <f t="array" aca="1" ref="DS66" ca="1">+SUMPRODUCT((DL66=$DH$12:$DH$307)*($DJ$12:$DJ$307))/$N$6</f>
        <v>0</v>
      </c>
      <c r="DT66" s="417">
        <f t="shared" ca="1" si="86"/>
        <v>19</v>
      </c>
      <c r="DU66" s="415">
        <f t="shared" si="77"/>
        <v>0.1</v>
      </c>
      <c r="DV66" s="416">
        <f t="shared" si="78"/>
        <v>0.1</v>
      </c>
    </row>
    <row r="67" spans="6:126">
      <c r="F67" s="2">
        <f t="shared" ca="1" si="79"/>
        <v>28</v>
      </c>
      <c r="G67" s="40" t="str">
        <f>Calcs!A72</f>
        <v>US Fertility</v>
      </c>
      <c r="H67" s="68">
        <f t="shared" ca="1" si="8"/>
        <v>4987500</v>
      </c>
      <c r="I67" s="96"/>
      <c r="J67" s="96"/>
      <c r="K67" s="63">
        <f>+IF(G67="","",IF(COUNTIF(G68:$G$307,G67)=0,1,0))</f>
        <v>1</v>
      </c>
      <c r="L67" s="75">
        <f>Calcs!U72</f>
        <v>4987500</v>
      </c>
      <c r="M67">
        <f t="shared" si="82"/>
        <v>28</v>
      </c>
      <c r="N67" s="75">
        <f t="shared" si="85"/>
        <v>4987500</v>
      </c>
      <c r="O67" s="75">
        <f t="shared" si="83"/>
        <v>4987500</v>
      </c>
      <c r="P67" s="72">
        <f t="shared" si="10"/>
        <v>0.05</v>
      </c>
      <c r="Q67" s="72">
        <f t="shared" si="11"/>
        <v>8.3049416038928955E-3</v>
      </c>
      <c r="R67" s="61">
        <f t="shared" si="12"/>
        <v>0</v>
      </c>
      <c r="S67" s="68">
        <f t="shared" si="13"/>
        <v>4987500</v>
      </c>
      <c r="T67" s="68">
        <f t="shared" si="84"/>
        <v>4987500</v>
      </c>
      <c r="U67">
        <f t="array" aca="1" ref="U67" ca="1">SUM(1*(S67&lt;$S$12:$S$307))+1+IF(ROW(S67)-ROW($S$12)=0,0,SUM(1*(S67=OFFSET($S$12,0,0,INDEX(ROW(S67)-ROW($S$12)+1,1)-1,1))))</f>
        <v>28</v>
      </c>
      <c r="V67" s="96">
        <f t="shared" si="14"/>
        <v>4987500</v>
      </c>
      <c r="W67" s="75">
        <f>Calcs!U72</f>
        <v>4987500</v>
      </c>
      <c r="X67" s="78">
        <f>IFERROR(OR(Calcs!BH71,Calcs!BI71)*W67,0)</f>
        <v>0</v>
      </c>
      <c r="Y67" s="97">
        <f t="shared" si="15"/>
        <v>0</v>
      </c>
      <c r="Z67" s="98">
        <f t="shared" si="16"/>
        <v>4987500</v>
      </c>
      <c r="AA67" s="77">
        <f t="shared" si="17"/>
        <v>4987500</v>
      </c>
      <c r="AB67" s="78">
        <f>IF(AND(Calcs!BM72=TRUE),AA67,0)</f>
        <v>0</v>
      </c>
      <c r="AC67" s="97">
        <f t="shared" si="18"/>
        <v>0</v>
      </c>
      <c r="AD67" s="98">
        <f t="shared" si="19"/>
        <v>4987500</v>
      </c>
      <c r="AE67" s="77">
        <f t="shared" si="20"/>
        <v>4987500</v>
      </c>
      <c r="AF67" s="78">
        <f>IF(Calcs!BY72&lt;15,AE67,0)</f>
        <v>0</v>
      </c>
      <c r="AG67" s="97">
        <f t="shared" si="21"/>
        <v>0</v>
      </c>
      <c r="AH67" s="98">
        <f t="shared" si="22"/>
        <v>4987500</v>
      </c>
      <c r="AI67" s="77">
        <f t="shared" si="23"/>
        <v>4987500</v>
      </c>
      <c r="AJ67" s="78">
        <f>IF(Calcs!BY72&lt;10,AE67,0)</f>
        <v>0</v>
      </c>
      <c r="AK67" s="97">
        <f t="shared" si="24"/>
        <v>0</v>
      </c>
      <c r="AL67" s="98">
        <f t="shared" si="25"/>
        <v>4987500</v>
      </c>
      <c r="AM67" s="77">
        <f t="shared" si="26"/>
        <v>4987500</v>
      </c>
      <c r="AN67" s="78">
        <f>NOT(Calcs!BD72)*AM67</f>
        <v>0</v>
      </c>
      <c r="AO67" s="97">
        <f t="shared" si="27"/>
        <v>0</v>
      </c>
      <c r="AP67" s="98">
        <f t="shared" si="28"/>
        <v>4987500</v>
      </c>
      <c r="AQ67" s="77">
        <f t="shared" si="29"/>
        <v>4987500</v>
      </c>
      <c r="AR67" s="78">
        <f>NOT(Calcs!BE72)*AQ67</f>
        <v>0</v>
      </c>
      <c r="AS67" s="97">
        <f t="shared" si="30"/>
        <v>0</v>
      </c>
      <c r="AT67" s="98">
        <f t="shared" si="31"/>
        <v>4987500</v>
      </c>
      <c r="AU67" s="77">
        <f t="shared" si="32"/>
        <v>4987500</v>
      </c>
      <c r="AV67" s="97">
        <f>IF(Calcs!BC72=TRUE, AU67, 0)</f>
        <v>0</v>
      </c>
      <c r="AW67" s="97">
        <f t="shared" si="33"/>
        <v>0</v>
      </c>
      <c r="AX67" s="98">
        <f t="shared" si="34"/>
        <v>4987500</v>
      </c>
      <c r="AY67" s="77">
        <f t="shared" si="35"/>
        <v>4987500</v>
      </c>
      <c r="AZ67" s="97">
        <f>Calcs!BK72*AY67</f>
        <v>0</v>
      </c>
      <c r="BA67" s="97">
        <f t="shared" si="36"/>
        <v>0</v>
      </c>
      <c r="BB67" s="98">
        <f t="shared" si="37"/>
        <v>4987500</v>
      </c>
      <c r="BC67" s="77">
        <f t="shared" si="38"/>
        <v>4987500</v>
      </c>
      <c r="BD67" s="97"/>
      <c r="BE67" s="97"/>
      <c r="BF67" s="98"/>
      <c r="BG67" s="77">
        <f t="shared" si="39"/>
        <v>4987500</v>
      </c>
      <c r="BH67" s="97">
        <f>IF(Calcs!BJ72=FALSE,0,BG67)</f>
        <v>0</v>
      </c>
      <c r="BI67" s="97">
        <f t="shared" si="40"/>
        <v>0</v>
      </c>
      <c r="BJ67" s="98">
        <f t="shared" si="41"/>
        <v>4987500</v>
      </c>
      <c r="BK67" s="77">
        <f t="shared" si="42"/>
        <v>4987500</v>
      </c>
      <c r="BL67" s="97">
        <f>IF(Calcs!AW72=TRUE,BK67,0)</f>
        <v>0</v>
      </c>
      <c r="BM67" s="97">
        <f t="shared" si="43"/>
        <v>0</v>
      </c>
      <c r="BN67" s="98">
        <f t="shared" si="44"/>
        <v>4987500</v>
      </c>
      <c r="BO67" s="77">
        <f t="shared" si="45"/>
        <v>4987500</v>
      </c>
      <c r="BP67" s="97"/>
      <c r="BQ67" s="97">
        <f t="shared" si="46"/>
        <v>0</v>
      </c>
      <c r="BR67" s="98">
        <f t="shared" si="47"/>
        <v>4987500</v>
      </c>
      <c r="BS67" s="77">
        <f t="shared" si="48"/>
        <v>4987500</v>
      </c>
      <c r="BT67" s="97">
        <f>IF(Calcs!BB72=TRUE,'Concentration Limitations'!BS67,0)</f>
        <v>0</v>
      </c>
      <c r="BU67" s="97">
        <f t="shared" si="49"/>
        <v>0</v>
      </c>
      <c r="BV67" s="98">
        <f t="shared" si="50"/>
        <v>4987500</v>
      </c>
      <c r="BW67" s="77">
        <f t="shared" si="51"/>
        <v>4987500</v>
      </c>
      <c r="BX67" s="97">
        <f>IF(Calcs!BI72=TRUE,'Concentration Limitations'!BW67,0)</f>
        <v>0</v>
      </c>
      <c r="BY67" s="97">
        <f t="shared" si="52"/>
        <v>0</v>
      </c>
      <c r="BZ67" s="98">
        <f t="shared" si="53"/>
        <v>4987500</v>
      </c>
      <c r="CA67" s="97">
        <f t="shared" si="54"/>
        <v>4987500</v>
      </c>
      <c r="CB67" s="97"/>
      <c r="CC67" s="97"/>
      <c r="CD67" s="98">
        <f t="shared" si="55"/>
        <v>4987500</v>
      </c>
      <c r="CE67" s="97">
        <f t="shared" si="56"/>
        <v>4987500</v>
      </c>
      <c r="CF67" s="97"/>
      <c r="CG67" s="97"/>
      <c r="CH67" s="98">
        <f t="shared" si="57"/>
        <v>4987500</v>
      </c>
      <c r="CI67" s="97">
        <f t="shared" si="58"/>
        <v>4987500</v>
      </c>
      <c r="CJ67" s="97"/>
      <c r="CK67" s="97"/>
      <c r="CL67" s="98">
        <f t="shared" si="59"/>
        <v>4987500</v>
      </c>
      <c r="CM67" s="97">
        <f t="shared" si="60"/>
        <v>4987500</v>
      </c>
      <c r="CN67" s="97"/>
      <c r="CO67" s="97"/>
      <c r="CP67" s="98">
        <f t="shared" si="61"/>
        <v>4987500</v>
      </c>
      <c r="CQ67" s="97">
        <f t="shared" si="62"/>
        <v>4987500</v>
      </c>
      <c r="CR67" s="97"/>
      <c r="CS67" s="97">
        <f t="shared" si="63"/>
        <v>0</v>
      </c>
      <c r="CT67" s="98">
        <f t="shared" si="64"/>
        <v>4987500</v>
      </c>
      <c r="CU67" s="97">
        <f t="shared" si="65"/>
        <v>4987500</v>
      </c>
      <c r="CV67" s="97"/>
      <c r="CW67" s="97">
        <f t="shared" si="66"/>
        <v>0</v>
      </c>
      <c r="CX67" s="98">
        <f t="shared" si="67"/>
        <v>4987500</v>
      </c>
      <c r="CY67" s="97">
        <f t="shared" si="68"/>
        <v>4987500</v>
      </c>
      <c r="CZ67" s="97"/>
      <c r="DA67" s="97"/>
      <c r="DB67" s="98">
        <f t="shared" si="69"/>
        <v>4987500</v>
      </c>
      <c r="DC67" s="75">
        <f t="shared" si="70"/>
        <v>4987500</v>
      </c>
      <c r="DD67" s="97"/>
      <c r="DE67" s="97"/>
      <c r="DF67" s="98">
        <f t="shared" si="71"/>
        <v>4987500</v>
      </c>
      <c r="DG67" s="75">
        <f t="shared" si="72"/>
        <v>4987500</v>
      </c>
      <c r="DH67" s="78" t="str">
        <f>Calcs!F72</f>
        <v>Health Care Providers &amp; Services</v>
      </c>
      <c r="DI67" s="99">
        <f t="shared" ca="1" si="73"/>
        <v>0</v>
      </c>
      <c r="DJ67" s="98">
        <f t="shared" ca="1" si="74"/>
        <v>4987500</v>
      </c>
      <c r="DK67" s="293">
        <f t="shared" si="75"/>
        <v>1</v>
      </c>
      <c r="DL67" s="532" t="s">
        <v>199</v>
      </c>
      <c r="DM67" s="36"/>
      <c r="DN67" s="36"/>
      <c r="DO67" s="36"/>
      <c r="DP67" s="36"/>
      <c r="DQ67" s="413" cm="1">
        <f t="array" ref="DQ67">+SUMPRODUCT((DL67=$DH$12:$DH$307)*($DG$12:$DG$307))/$N$6</f>
        <v>9.9789906937074513E-2</v>
      </c>
      <c r="DR67" s="414">
        <f t="shared" si="76"/>
        <v>1</v>
      </c>
      <c r="DS67" s="413" cm="1">
        <f t="array" aca="1" ref="DS67" ca="1">+SUMPRODUCT((DL67=$DH$12:$DH$307)*($DJ$12:$DJ$307))/$N$6</f>
        <v>9.9789906937074513E-2</v>
      </c>
      <c r="DT67" s="417">
        <f t="shared" ca="1" si="86"/>
        <v>1</v>
      </c>
      <c r="DU67" s="415">
        <f t="shared" si="77"/>
        <v>0.2</v>
      </c>
      <c r="DV67" s="416">
        <f t="shared" si="78"/>
        <v>0.1002100930629255</v>
      </c>
    </row>
    <row r="68" spans="6:126">
      <c r="F68" s="2">
        <f t="shared" ca="1" si="79"/>
        <v>18</v>
      </c>
      <c r="G68" s="40" t="str">
        <f>Calcs!A73</f>
        <v>Watchtower Buyer, LLC</v>
      </c>
      <c r="H68" s="68">
        <f t="shared" ca="1" si="8"/>
        <v>6427124.3100000005</v>
      </c>
      <c r="I68" s="96"/>
      <c r="J68" s="96"/>
      <c r="K68" s="63">
        <f>+IF(G68="","",IF(COUNTIF(G69:$G$307,G68)=0,1,0))</f>
        <v>1</v>
      </c>
      <c r="L68" s="75">
        <f>Calcs!U73</f>
        <v>6427124.3100000005</v>
      </c>
      <c r="M68">
        <f t="shared" si="82"/>
        <v>18</v>
      </c>
      <c r="N68" s="75">
        <f t="shared" si="85"/>
        <v>6427124.3100000005</v>
      </c>
      <c r="O68" s="75">
        <f t="shared" si="83"/>
        <v>6427124.3100000005</v>
      </c>
      <c r="P68" s="72">
        <f t="shared" si="10"/>
        <v>0.05</v>
      </c>
      <c r="Q68" s="72">
        <f t="shared" si="11"/>
        <v>1.0702133749475774E-2</v>
      </c>
      <c r="R68" s="61">
        <f t="shared" si="12"/>
        <v>0</v>
      </c>
      <c r="S68" s="68">
        <f t="shared" si="13"/>
        <v>6427124.3100000005</v>
      </c>
      <c r="T68" s="68">
        <f t="shared" si="84"/>
        <v>6427124.3100000005</v>
      </c>
      <c r="U68">
        <f t="array" aca="1" ref="U68" ca="1">SUM(1*(S68&lt;$S$12:$S$307))+1+IF(ROW(S68)-ROW($S$12)=0,0,SUM(1*(S68=OFFSET($S$12,0,0,INDEX(ROW(S68)-ROW($S$12)+1,1)-1,1))))</f>
        <v>18</v>
      </c>
      <c r="V68" s="96">
        <f t="shared" si="14"/>
        <v>6427124.3100000005</v>
      </c>
      <c r="W68" s="75">
        <f>Calcs!U73</f>
        <v>6427124.3100000005</v>
      </c>
      <c r="X68" s="78">
        <f>IFERROR(OR(Calcs!BH72,Calcs!BI72)*W68,0)</f>
        <v>0</v>
      </c>
      <c r="Y68" s="97">
        <f t="shared" si="15"/>
        <v>0</v>
      </c>
      <c r="Z68" s="98">
        <f t="shared" si="16"/>
        <v>6427124.3100000005</v>
      </c>
      <c r="AA68" s="77">
        <f t="shared" si="17"/>
        <v>6427124.3100000005</v>
      </c>
      <c r="AB68" s="78">
        <f>IF(AND(Calcs!BM73=TRUE),AA68,0)</f>
        <v>6427124.3100000005</v>
      </c>
      <c r="AC68" s="97">
        <f t="shared" si="18"/>
        <v>0</v>
      </c>
      <c r="AD68" s="98">
        <f t="shared" si="19"/>
        <v>6427124.3100000005</v>
      </c>
      <c r="AE68" s="77">
        <f t="shared" si="20"/>
        <v>6427124.3100000005</v>
      </c>
      <c r="AF68" s="78">
        <f>IF(Calcs!BY73&lt;15,AE68,0)</f>
        <v>6427124.3100000005</v>
      </c>
      <c r="AG68" s="97">
        <f t="shared" si="21"/>
        <v>0</v>
      </c>
      <c r="AH68" s="98">
        <f t="shared" si="22"/>
        <v>6427124.3100000005</v>
      </c>
      <c r="AI68" s="77">
        <f t="shared" si="23"/>
        <v>6427124.3100000005</v>
      </c>
      <c r="AJ68" s="78">
        <f>IF(Calcs!BY73&lt;10,AE68,0)</f>
        <v>0</v>
      </c>
      <c r="AK68" s="97">
        <f t="shared" si="24"/>
        <v>0</v>
      </c>
      <c r="AL68" s="98">
        <f t="shared" si="25"/>
        <v>6427124.3100000005</v>
      </c>
      <c r="AM68" s="77">
        <f t="shared" si="26"/>
        <v>6427124.3100000005</v>
      </c>
      <c r="AN68" s="78">
        <f>NOT(Calcs!BD73)*AM68</f>
        <v>0</v>
      </c>
      <c r="AO68" s="97">
        <f t="shared" si="27"/>
        <v>0</v>
      </c>
      <c r="AP68" s="98">
        <f t="shared" si="28"/>
        <v>6427124.3100000005</v>
      </c>
      <c r="AQ68" s="77">
        <f t="shared" si="29"/>
        <v>6427124.3100000005</v>
      </c>
      <c r="AR68" s="78">
        <f>NOT(Calcs!BE73)*AQ68</f>
        <v>0</v>
      </c>
      <c r="AS68" s="97">
        <f t="shared" si="30"/>
        <v>0</v>
      </c>
      <c r="AT68" s="98">
        <f t="shared" si="31"/>
        <v>6427124.3100000005</v>
      </c>
      <c r="AU68" s="77">
        <f t="shared" si="32"/>
        <v>6427124.3100000005</v>
      </c>
      <c r="AV68" s="97">
        <f>IF(Calcs!BC73=TRUE, AU68, 0)</f>
        <v>0</v>
      </c>
      <c r="AW68" s="97">
        <f t="shared" si="33"/>
        <v>0</v>
      </c>
      <c r="AX68" s="98">
        <f t="shared" si="34"/>
        <v>6427124.3100000005</v>
      </c>
      <c r="AY68" s="77">
        <f t="shared" si="35"/>
        <v>6427124.3100000005</v>
      </c>
      <c r="AZ68" s="97">
        <f>Calcs!BK73*AY68</f>
        <v>0</v>
      </c>
      <c r="BA68" s="97">
        <f t="shared" si="36"/>
        <v>0</v>
      </c>
      <c r="BB68" s="98">
        <f t="shared" si="37"/>
        <v>6427124.3100000005</v>
      </c>
      <c r="BC68" s="77">
        <f t="shared" si="38"/>
        <v>6427124.3100000005</v>
      </c>
      <c r="BD68" s="97"/>
      <c r="BE68" s="97"/>
      <c r="BF68" s="98"/>
      <c r="BG68" s="77">
        <f t="shared" si="39"/>
        <v>6427124.3100000005</v>
      </c>
      <c r="BH68" s="97">
        <f>IF(Calcs!BJ73=FALSE,0,BG68)</f>
        <v>0</v>
      </c>
      <c r="BI68" s="97">
        <f t="shared" si="40"/>
        <v>0</v>
      </c>
      <c r="BJ68" s="98">
        <f t="shared" si="41"/>
        <v>6427124.3100000005</v>
      </c>
      <c r="BK68" s="77">
        <f t="shared" si="42"/>
        <v>6427124.3100000005</v>
      </c>
      <c r="BL68" s="97">
        <f>IF(Calcs!AW73=TRUE,BK68,0)</f>
        <v>0</v>
      </c>
      <c r="BM68" s="97">
        <f t="shared" si="43"/>
        <v>0</v>
      </c>
      <c r="BN68" s="98">
        <f t="shared" si="44"/>
        <v>6427124.3100000005</v>
      </c>
      <c r="BO68" s="77">
        <f t="shared" si="45"/>
        <v>6427124.3100000005</v>
      </c>
      <c r="BP68" s="97"/>
      <c r="BQ68" s="97">
        <f t="shared" si="46"/>
        <v>0</v>
      </c>
      <c r="BR68" s="98">
        <f t="shared" si="47"/>
        <v>6427124.3100000005</v>
      </c>
      <c r="BS68" s="77">
        <f t="shared" si="48"/>
        <v>6427124.3100000005</v>
      </c>
      <c r="BT68" s="97">
        <f>IF(Calcs!BB73=TRUE,'Concentration Limitations'!BS68,0)</f>
        <v>0</v>
      </c>
      <c r="BU68" s="97">
        <f t="shared" si="49"/>
        <v>0</v>
      </c>
      <c r="BV68" s="98">
        <f t="shared" si="50"/>
        <v>6427124.3100000005</v>
      </c>
      <c r="BW68" s="77">
        <f t="shared" si="51"/>
        <v>6427124.3100000005</v>
      </c>
      <c r="BX68" s="97">
        <f>IF(Calcs!BI73=TRUE,'Concentration Limitations'!BW68,0)</f>
        <v>0</v>
      </c>
      <c r="BY68" s="97">
        <f t="shared" si="52"/>
        <v>0</v>
      </c>
      <c r="BZ68" s="98">
        <f t="shared" si="53"/>
        <v>6427124.3100000005</v>
      </c>
      <c r="CA68" s="97">
        <f t="shared" si="54"/>
        <v>6427124.3100000005</v>
      </c>
      <c r="CB68" s="97"/>
      <c r="CC68" s="97"/>
      <c r="CD68" s="98">
        <f t="shared" si="55"/>
        <v>6427124.3100000005</v>
      </c>
      <c r="CE68" s="97">
        <f t="shared" si="56"/>
        <v>6427124.3100000005</v>
      </c>
      <c r="CF68" s="97"/>
      <c r="CG68" s="97"/>
      <c r="CH68" s="98">
        <f t="shared" si="57"/>
        <v>6427124.3100000005</v>
      </c>
      <c r="CI68" s="97">
        <f t="shared" si="58"/>
        <v>6427124.3100000005</v>
      </c>
      <c r="CJ68" s="97"/>
      <c r="CK68" s="97"/>
      <c r="CL68" s="98">
        <f t="shared" si="59"/>
        <v>6427124.3100000005</v>
      </c>
      <c r="CM68" s="97">
        <f t="shared" si="60"/>
        <v>6427124.3100000005</v>
      </c>
      <c r="CN68" s="97"/>
      <c r="CO68" s="97"/>
      <c r="CP68" s="98">
        <f t="shared" si="61"/>
        <v>6427124.3100000005</v>
      </c>
      <c r="CQ68" s="97">
        <f t="shared" si="62"/>
        <v>6427124.3100000005</v>
      </c>
      <c r="CR68" s="97"/>
      <c r="CS68" s="97">
        <f t="shared" si="63"/>
        <v>0</v>
      </c>
      <c r="CT68" s="98">
        <f t="shared" si="64"/>
        <v>6427124.3100000005</v>
      </c>
      <c r="CU68" s="97">
        <f t="shared" si="65"/>
        <v>6427124.3100000005</v>
      </c>
      <c r="CV68" s="97"/>
      <c r="CW68" s="97">
        <f t="shared" si="66"/>
        <v>0</v>
      </c>
      <c r="CX68" s="98">
        <f t="shared" si="67"/>
        <v>6427124.3100000005</v>
      </c>
      <c r="CY68" s="97">
        <f t="shared" si="68"/>
        <v>6427124.3100000005</v>
      </c>
      <c r="CZ68" s="97"/>
      <c r="DA68" s="97"/>
      <c r="DB68" s="98">
        <f t="shared" si="69"/>
        <v>6427124.3100000005</v>
      </c>
      <c r="DC68" s="75">
        <f t="shared" si="70"/>
        <v>6427124.3100000005</v>
      </c>
      <c r="DD68" s="97"/>
      <c r="DE68" s="97"/>
      <c r="DF68" s="98">
        <f t="shared" si="71"/>
        <v>6427124.3100000005</v>
      </c>
      <c r="DG68" s="75">
        <f t="shared" si="72"/>
        <v>6427124.3100000005</v>
      </c>
      <c r="DH68" s="78" t="str">
        <f>Calcs!F73</f>
        <v>Professional Services</v>
      </c>
      <c r="DI68" s="99">
        <f t="shared" ca="1" si="73"/>
        <v>0</v>
      </c>
      <c r="DJ68" s="98">
        <f t="shared" ca="1" si="74"/>
        <v>6427124.3100000005</v>
      </c>
      <c r="DK68" s="293">
        <f t="shared" si="75"/>
        <v>19</v>
      </c>
      <c r="DL68" s="532" t="s">
        <v>1132</v>
      </c>
      <c r="DM68" s="36"/>
      <c r="DN68" s="36"/>
      <c r="DO68" s="36"/>
      <c r="DP68" s="36"/>
      <c r="DQ68" s="413" cm="1">
        <f t="array" ref="DQ68">+SUMPRODUCT((DL68=$DH$12:$DH$307)*($DG$12:$DG$307))/$N$6</f>
        <v>0</v>
      </c>
      <c r="DR68" s="414">
        <f t="shared" si="76"/>
        <v>19</v>
      </c>
      <c r="DS68" s="413" cm="1">
        <f t="array" aca="1" ref="DS68" ca="1">+SUMPRODUCT((DL68=$DH$12:$DH$307)*($DJ$12:$DJ$307))/$N$6</f>
        <v>0</v>
      </c>
      <c r="DT68" s="417">
        <f t="shared" ca="1" si="86"/>
        <v>19</v>
      </c>
      <c r="DU68" s="415">
        <f t="shared" si="77"/>
        <v>0.1</v>
      </c>
      <c r="DV68" s="416">
        <f t="shared" si="78"/>
        <v>0.1</v>
      </c>
    </row>
    <row r="69" spans="6:126">
      <c r="F69" s="2">
        <f t="shared" ca="1" si="79"/>
        <v>34</v>
      </c>
      <c r="G69" s="40" t="str">
        <f>Calcs!A74</f>
        <v>Watterson</v>
      </c>
      <c r="H69" s="68">
        <f t="shared" ca="1" si="8"/>
        <v>4240222.744500001</v>
      </c>
      <c r="I69" s="96"/>
      <c r="J69" s="96"/>
      <c r="K69" s="63">
        <f>+IF(G69="","",IF(COUNTIF(G70:$G$307,G69)=0,1,0))</f>
        <v>1</v>
      </c>
      <c r="L69" s="75">
        <f>Calcs!U74</f>
        <v>4240222.744500001</v>
      </c>
      <c r="M69">
        <f t="shared" si="82"/>
        <v>34</v>
      </c>
      <c r="N69" s="75">
        <f t="shared" si="85"/>
        <v>4240222.744500001</v>
      </c>
      <c r="O69" s="75">
        <f t="shared" si="83"/>
        <v>4240222.744500001</v>
      </c>
      <c r="P69" s="72">
        <f t="shared" si="10"/>
        <v>0.05</v>
      </c>
      <c r="Q69" s="72">
        <f t="shared" si="11"/>
        <v>7.0606119860793931E-3</v>
      </c>
      <c r="R69" s="61">
        <f t="shared" si="12"/>
        <v>0</v>
      </c>
      <c r="S69" s="68">
        <f t="shared" si="13"/>
        <v>4240222.744500001</v>
      </c>
      <c r="T69" s="68">
        <f t="shared" si="84"/>
        <v>4240222.744500001</v>
      </c>
      <c r="U69">
        <f t="array" aca="1" ref="U69" ca="1">SUM(1*(S69&lt;$S$12:$S$307))+1+IF(ROW(S69)-ROW($S$12)=0,0,SUM(1*(S69=OFFSET($S$12,0,0,INDEX(ROW(S69)-ROW($S$12)+1,1)-1,1))))</f>
        <v>34</v>
      </c>
      <c r="V69" s="96">
        <f t="shared" si="14"/>
        <v>4240222.744500001</v>
      </c>
      <c r="W69" s="75">
        <f>Calcs!U74</f>
        <v>4240222.744500001</v>
      </c>
      <c r="X69" s="78">
        <f>IFERROR(OR(Calcs!BH73,Calcs!BI73)*W69,0)</f>
        <v>0</v>
      </c>
      <c r="Y69" s="97">
        <f t="shared" si="15"/>
        <v>0</v>
      </c>
      <c r="Z69" s="98">
        <f t="shared" si="16"/>
        <v>4240222.744500001</v>
      </c>
      <c r="AA69" s="77">
        <f t="shared" si="17"/>
        <v>4240222.744500001</v>
      </c>
      <c r="AB69" s="78">
        <f>IF(AND(Calcs!BM74=TRUE),AA69,0)</f>
        <v>0</v>
      </c>
      <c r="AC69" s="97">
        <f t="shared" si="18"/>
        <v>0</v>
      </c>
      <c r="AD69" s="98">
        <f t="shared" si="19"/>
        <v>4240222.744500001</v>
      </c>
      <c r="AE69" s="77">
        <f t="shared" si="20"/>
        <v>4240222.744500001</v>
      </c>
      <c r="AF69" s="78">
        <f>IF(Calcs!BY74&lt;15,AE69,0)</f>
        <v>4240222.744500001</v>
      </c>
      <c r="AG69" s="97">
        <f t="shared" si="21"/>
        <v>0</v>
      </c>
      <c r="AH69" s="98">
        <f t="shared" si="22"/>
        <v>4240222.744500001</v>
      </c>
      <c r="AI69" s="77">
        <f t="shared" si="23"/>
        <v>4240222.744500001</v>
      </c>
      <c r="AJ69" s="78">
        <f>IF(Calcs!BY74&lt;10,AE69,0)</f>
        <v>4240222.744500001</v>
      </c>
      <c r="AK69" s="97">
        <f t="shared" si="24"/>
        <v>0</v>
      </c>
      <c r="AL69" s="98">
        <f t="shared" si="25"/>
        <v>4240222.744500001</v>
      </c>
      <c r="AM69" s="77">
        <f t="shared" si="26"/>
        <v>4240222.744500001</v>
      </c>
      <c r="AN69" s="78">
        <f>NOT(Calcs!BD74)*AM69</f>
        <v>0</v>
      </c>
      <c r="AO69" s="97">
        <f t="shared" si="27"/>
        <v>0</v>
      </c>
      <c r="AP69" s="98">
        <f t="shared" si="28"/>
        <v>4240222.744500001</v>
      </c>
      <c r="AQ69" s="77">
        <f t="shared" si="29"/>
        <v>4240222.744500001</v>
      </c>
      <c r="AR69" s="78">
        <f>NOT(Calcs!BE74)*AQ69</f>
        <v>0</v>
      </c>
      <c r="AS69" s="97">
        <f t="shared" si="30"/>
        <v>0</v>
      </c>
      <c r="AT69" s="98">
        <f t="shared" si="31"/>
        <v>4240222.744500001</v>
      </c>
      <c r="AU69" s="77">
        <f t="shared" si="32"/>
        <v>4240222.744500001</v>
      </c>
      <c r="AV69" s="97">
        <f>IF(Calcs!BC74=TRUE, AU69, 0)</f>
        <v>4240222.744500001</v>
      </c>
      <c r="AW69" s="97">
        <f t="shared" si="33"/>
        <v>0</v>
      </c>
      <c r="AX69" s="98">
        <f t="shared" si="34"/>
        <v>4240222.744500001</v>
      </c>
      <c r="AY69" s="77">
        <f t="shared" si="35"/>
        <v>4240222.744500001</v>
      </c>
      <c r="AZ69" s="97">
        <f>Calcs!BK74*AY69</f>
        <v>4240222.744500001</v>
      </c>
      <c r="BA69" s="97">
        <f t="shared" si="36"/>
        <v>0</v>
      </c>
      <c r="BB69" s="98">
        <f t="shared" si="37"/>
        <v>4240222.744500001</v>
      </c>
      <c r="BC69" s="77">
        <f t="shared" si="38"/>
        <v>4240222.744500001</v>
      </c>
      <c r="BD69" s="97"/>
      <c r="BE69" s="97"/>
      <c r="BF69" s="98"/>
      <c r="BG69" s="77">
        <f t="shared" si="39"/>
        <v>4240222.744500001</v>
      </c>
      <c r="BH69" s="97">
        <f>IF(Calcs!BJ74=FALSE,0,BG69)</f>
        <v>0</v>
      </c>
      <c r="BI69" s="97">
        <f t="shared" si="40"/>
        <v>0</v>
      </c>
      <c r="BJ69" s="98">
        <f t="shared" si="41"/>
        <v>4240222.744500001</v>
      </c>
      <c r="BK69" s="77">
        <f t="shared" si="42"/>
        <v>4240222.744500001</v>
      </c>
      <c r="BL69" s="97">
        <f>IF(Calcs!AW74=TRUE,BK69,0)</f>
        <v>0</v>
      </c>
      <c r="BM69" s="97">
        <f t="shared" si="43"/>
        <v>0</v>
      </c>
      <c r="BN69" s="98">
        <f t="shared" si="44"/>
        <v>4240222.744500001</v>
      </c>
      <c r="BO69" s="77">
        <f t="shared" si="45"/>
        <v>4240222.744500001</v>
      </c>
      <c r="BP69" s="97"/>
      <c r="BQ69" s="97">
        <f t="shared" si="46"/>
        <v>0</v>
      </c>
      <c r="BR69" s="98">
        <f t="shared" si="47"/>
        <v>4240222.744500001</v>
      </c>
      <c r="BS69" s="77">
        <f t="shared" si="48"/>
        <v>4240222.744500001</v>
      </c>
      <c r="BT69" s="97">
        <f>IF(Calcs!BB74=TRUE,'Concentration Limitations'!BS69,0)</f>
        <v>0</v>
      </c>
      <c r="BU69" s="97">
        <f t="shared" si="49"/>
        <v>0</v>
      </c>
      <c r="BV69" s="98">
        <f t="shared" si="50"/>
        <v>4240222.744500001</v>
      </c>
      <c r="BW69" s="77">
        <f t="shared" si="51"/>
        <v>4240222.744500001</v>
      </c>
      <c r="BX69" s="97">
        <f>IF(Calcs!BI74=TRUE,'Concentration Limitations'!BW69,0)</f>
        <v>0</v>
      </c>
      <c r="BY69" s="97">
        <f t="shared" si="52"/>
        <v>0</v>
      </c>
      <c r="BZ69" s="98">
        <f t="shared" si="53"/>
        <v>4240222.744500001</v>
      </c>
      <c r="CA69" s="97">
        <f t="shared" si="54"/>
        <v>4240222.744500001</v>
      </c>
      <c r="CB69" s="97"/>
      <c r="CC69" s="97"/>
      <c r="CD69" s="98">
        <f t="shared" si="55"/>
        <v>4240222.744500001</v>
      </c>
      <c r="CE69" s="97">
        <f t="shared" si="56"/>
        <v>4240222.744500001</v>
      </c>
      <c r="CF69" s="97"/>
      <c r="CG69" s="97"/>
      <c r="CH69" s="98">
        <f t="shared" si="57"/>
        <v>4240222.744500001</v>
      </c>
      <c r="CI69" s="97">
        <f t="shared" si="58"/>
        <v>4240222.744500001</v>
      </c>
      <c r="CJ69" s="97"/>
      <c r="CK69" s="97"/>
      <c r="CL69" s="98">
        <f t="shared" si="59"/>
        <v>4240222.744500001</v>
      </c>
      <c r="CM69" s="97">
        <f t="shared" si="60"/>
        <v>4240222.744500001</v>
      </c>
      <c r="CN69" s="97"/>
      <c r="CO69" s="97"/>
      <c r="CP69" s="98">
        <f t="shared" si="61"/>
        <v>4240222.744500001</v>
      </c>
      <c r="CQ69" s="97">
        <f t="shared" si="62"/>
        <v>4240222.744500001</v>
      </c>
      <c r="CR69" s="97"/>
      <c r="CS69" s="97">
        <f t="shared" si="63"/>
        <v>0</v>
      </c>
      <c r="CT69" s="98">
        <f t="shared" si="64"/>
        <v>4240222.744500001</v>
      </c>
      <c r="CU69" s="97">
        <f t="shared" si="65"/>
        <v>4240222.744500001</v>
      </c>
      <c r="CV69" s="97"/>
      <c r="CW69" s="97">
        <f t="shared" si="66"/>
        <v>0</v>
      </c>
      <c r="CX69" s="98">
        <f t="shared" si="67"/>
        <v>4240222.744500001</v>
      </c>
      <c r="CY69" s="97">
        <f t="shared" si="68"/>
        <v>4240222.744500001</v>
      </c>
      <c r="CZ69" s="97"/>
      <c r="DA69" s="97"/>
      <c r="DB69" s="98">
        <f t="shared" si="69"/>
        <v>4240222.744500001</v>
      </c>
      <c r="DC69" s="75">
        <f t="shared" si="70"/>
        <v>4240222.744500001</v>
      </c>
      <c r="DD69" s="97"/>
      <c r="DE69" s="97"/>
      <c r="DF69" s="98">
        <f t="shared" si="71"/>
        <v>4240222.744500001</v>
      </c>
      <c r="DG69" s="75">
        <f t="shared" si="72"/>
        <v>4240222.744500001</v>
      </c>
      <c r="DH69" s="78" t="str">
        <f>Calcs!F74</f>
        <v>Professional Services</v>
      </c>
      <c r="DI69" s="99">
        <f t="shared" ca="1" si="73"/>
        <v>0</v>
      </c>
      <c r="DJ69" s="98">
        <f t="shared" ca="1" si="74"/>
        <v>4240222.744500001</v>
      </c>
      <c r="DK69" s="293">
        <f t="shared" si="75"/>
        <v>19</v>
      </c>
      <c r="DL69" s="532" t="s">
        <v>1198</v>
      </c>
      <c r="DM69" s="36"/>
      <c r="DN69" s="36"/>
      <c r="DO69" s="36"/>
      <c r="DP69" s="36"/>
      <c r="DQ69" s="413" cm="1">
        <f t="array" ref="DQ69">+SUMPRODUCT((DL69=$DH$12:$DH$307)*($DG$12:$DG$307))/$N$6</f>
        <v>0</v>
      </c>
      <c r="DR69" s="414">
        <f t="shared" si="76"/>
        <v>19</v>
      </c>
      <c r="DS69" s="413" cm="1">
        <f t="array" aca="1" ref="DS69" ca="1">+SUMPRODUCT((DL69=$DH$12:$DH$307)*($DJ$12:$DJ$307))/$N$6</f>
        <v>0</v>
      </c>
      <c r="DT69" s="417">
        <f t="shared" ca="1" si="86"/>
        <v>19</v>
      </c>
      <c r="DU69" s="415">
        <f t="shared" si="77"/>
        <v>0.1</v>
      </c>
      <c r="DV69" s="416">
        <f t="shared" si="78"/>
        <v>0.1</v>
      </c>
    </row>
    <row r="70" spans="6:126">
      <c r="F70" s="2">
        <f t="shared" ca="1" si="79"/>
        <v>72</v>
      </c>
      <c r="G70" s="40" t="str">
        <f>Calcs!A75</f>
        <v>Zips Car Wash, LLC</v>
      </c>
      <c r="H70" s="68">
        <f t="shared" ca="1" si="8"/>
        <v>0</v>
      </c>
      <c r="I70" s="96"/>
      <c r="J70" s="96"/>
      <c r="K70" s="63">
        <f>+IF(G70="","",IF(COUNTIF(G71:$G$307,G70)=0,1,0))</f>
        <v>1</v>
      </c>
      <c r="L70" s="75">
        <f>Calcs!U75</f>
        <v>0</v>
      </c>
      <c r="M70">
        <f t="shared" si="82"/>
        <v>69</v>
      </c>
      <c r="N70" s="75">
        <f t="shared" si="85"/>
        <v>0</v>
      </c>
      <c r="O70" s="75">
        <f t="shared" si="83"/>
        <v>0</v>
      </c>
      <c r="P70" s="72">
        <f t="shared" si="10"/>
        <v>0.05</v>
      </c>
      <c r="Q70" s="72">
        <f t="shared" si="11"/>
        <v>0</v>
      </c>
      <c r="R70" s="61">
        <f t="shared" si="12"/>
        <v>0</v>
      </c>
      <c r="S70" s="68">
        <f t="shared" si="13"/>
        <v>0</v>
      </c>
      <c r="T70" s="68">
        <f t="shared" si="84"/>
        <v>0</v>
      </c>
      <c r="U70">
        <f t="array" aca="1" ref="U70" ca="1">SUM(1*(S70&lt;$S$12:$S$307))+1+IF(ROW(S70)-ROW($S$12)=0,0,SUM(1*(S70=OFFSET($S$12,0,0,INDEX(ROW(S70)-ROW($S$12)+1,1)-1,1))))</f>
        <v>72</v>
      </c>
      <c r="V70" s="96">
        <f t="shared" si="14"/>
        <v>0</v>
      </c>
      <c r="W70" s="75">
        <f>Calcs!U75</f>
        <v>0</v>
      </c>
      <c r="X70" s="78">
        <f>IFERROR(OR(Calcs!BH74,Calcs!BI74)*W70,0)</f>
        <v>0</v>
      </c>
      <c r="Y70" s="97">
        <f t="shared" si="15"/>
        <v>0</v>
      </c>
      <c r="Z70" s="98">
        <f t="shared" si="16"/>
        <v>0</v>
      </c>
      <c r="AA70" s="77">
        <f t="shared" si="17"/>
        <v>0</v>
      </c>
      <c r="AB70" s="78">
        <f>IF(AND(Calcs!BM75=TRUE),AA70,0)</f>
        <v>0</v>
      </c>
      <c r="AC70" s="97">
        <f t="shared" si="18"/>
        <v>0</v>
      </c>
      <c r="AD70" s="98">
        <f t="shared" si="19"/>
        <v>0</v>
      </c>
      <c r="AE70" s="77">
        <f t="shared" si="20"/>
        <v>0</v>
      </c>
      <c r="AF70" s="78">
        <f>IF(Calcs!BY75&lt;15,AE70,0)</f>
        <v>0</v>
      </c>
      <c r="AG70" s="97">
        <f t="shared" si="21"/>
        <v>0</v>
      </c>
      <c r="AH70" s="98">
        <f t="shared" si="22"/>
        <v>0</v>
      </c>
      <c r="AI70" s="77">
        <f t="shared" si="23"/>
        <v>0</v>
      </c>
      <c r="AJ70" s="78">
        <f>IF(Calcs!BY75&lt;10,AE70,0)</f>
        <v>0</v>
      </c>
      <c r="AK70" s="97">
        <f t="shared" si="24"/>
        <v>0</v>
      </c>
      <c r="AL70" s="98">
        <f t="shared" si="25"/>
        <v>0</v>
      </c>
      <c r="AM70" s="77">
        <f t="shared" si="26"/>
        <v>0</v>
      </c>
      <c r="AN70" s="78">
        <f>NOT(Calcs!BD75)*AM70</f>
        <v>0</v>
      </c>
      <c r="AO70" s="97">
        <f t="shared" si="27"/>
        <v>0</v>
      </c>
      <c r="AP70" s="98">
        <f t="shared" si="28"/>
        <v>0</v>
      </c>
      <c r="AQ70" s="77">
        <f t="shared" si="29"/>
        <v>0</v>
      </c>
      <c r="AR70" s="78">
        <f>NOT(Calcs!BE75)*AQ70</f>
        <v>0</v>
      </c>
      <c r="AS70" s="97">
        <f t="shared" si="30"/>
        <v>0</v>
      </c>
      <c r="AT70" s="98">
        <f t="shared" si="31"/>
        <v>0</v>
      </c>
      <c r="AU70" s="77">
        <f t="shared" si="32"/>
        <v>0</v>
      </c>
      <c r="AV70" s="97">
        <f>IF(Calcs!BC75=TRUE, AU70, 0)</f>
        <v>0</v>
      </c>
      <c r="AW70" s="97">
        <f t="shared" si="33"/>
        <v>0</v>
      </c>
      <c r="AX70" s="98">
        <f t="shared" si="34"/>
        <v>0</v>
      </c>
      <c r="AY70" s="77">
        <f t="shared" si="35"/>
        <v>0</v>
      </c>
      <c r="AZ70" s="97">
        <f>Calcs!BK75*AY70</f>
        <v>0</v>
      </c>
      <c r="BA70" s="97">
        <f t="shared" si="36"/>
        <v>0</v>
      </c>
      <c r="BB70" s="98">
        <f t="shared" si="37"/>
        <v>0</v>
      </c>
      <c r="BC70" s="77">
        <f t="shared" si="38"/>
        <v>0</v>
      </c>
      <c r="BD70" s="97"/>
      <c r="BE70" s="97"/>
      <c r="BF70" s="98"/>
      <c r="BG70" s="77">
        <f t="shared" si="39"/>
        <v>0</v>
      </c>
      <c r="BH70" s="97">
        <f>IF(Calcs!BJ75=FALSE,0,BG70)</f>
        <v>0</v>
      </c>
      <c r="BI70" s="97">
        <f t="shared" si="40"/>
        <v>0</v>
      </c>
      <c r="BJ70" s="98">
        <f t="shared" si="41"/>
        <v>0</v>
      </c>
      <c r="BK70" s="77">
        <f t="shared" si="42"/>
        <v>0</v>
      </c>
      <c r="BL70" s="97">
        <f>IF(Calcs!AW75=TRUE,BK70,0)</f>
        <v>0</v>
      </c>
      <c r="BM70" s="97">
        <f t="shared" si="43"/>
        <v>0</v>
      </c>
      <c r="BN70" s="98">
        <f t="shared" si="44"/>
        <v>0</v>
      </c>
      <c r="BO70" s="77">
        <f t="shared" si="45"/>
        <v>0</v>
      </c>
      <c r="BP70" s="97"/>
      <c r="BQ70" s="97">
        <f t="shared" si="46"/>
        <v>0</v>
      </c>
      <c r="BR70" s="98">
        <f t="shared" si="47"/>
        <v>0</v>
      </c>
      <c r="BS70" s="77">
        <f t="shared" si="48"/>
        <v>0</v>
      </c>
      <c r="BT70" s="97">
        <f>IF(Calcs!BB75=TRUE,'Concentration Limitations'!BS70,0)</f>
        <v>0</v>
      </c>
      <c r="BU70" s="97">
        <f t="shared" si="49"/>
        <v>0</v>
      </c>
      <c r="BV70" s="98">
        <f t="shared" si="50"/>
        <v>0</v>
      </c>
      <c r="BW70" s="77">
        <f t="shared" si="51"/>
        <v>0</v>
      </c>
      <c r="BX70" s="97">
        <f>IF(Calcs!BI75=TRUE,'Concentration Limitations'!BW70,0)</f>
        <v>0</v>
      </c>
      <c r="BY70" s="97">
        <f t="shared" si="52"/>
        <v>0</v>
      </c>
      <c r="BZ70" s="98">
        <f t="shared" si="53"/>
        <v>0</v>
      </c>
      <c r="CA70" s="97">
        <f t="shared" si="54"/>
        <v>0</v>
      </c>
      <c r="CB70" s="97"/>
      <c r="CC70" s="97"/>
      <c r="CD70" s="98">
        <f t="shared" si="55"/>
        <v>0</v>
      </c>
      <c r="CE70" s="97">
        <f t="shared" si="56"/>
        <v>0</v>
      </c>
      <c r="CF70" s="97"/>
      <c r="CG70" s="97"/>
      <c r="CH70" s="98">
        <f t="shared" si="57"/>
        <v>0</v>
      </c>
      <c r="CI70" s="97">
        <f t="shared" si="58"/>
        <v>0</v>
      </c>
      <c r="CJ70" s="97"/>
      <c r="CK70" s="97"/>
      <c r="CL70" s="98">
        <f t="shared" si="59"/>
        <v>0</v>
      </c>
      <c r="CM70" s="97">
        <f t="shared" si="60"/>
        <v>0</v>
      </c>
      <c r="CN70" s="97"/>
      <c r="CO70" s="97"/>
      <c r="CP70" s="98">
        <f t="shared" si="61"/>
        <v>0</v>
      </c>
      <c r="CQ70" s="97">
        <f t="shared" si="62"/>
        <v>0</v>
      </c>
      <c r="CR70" s="97"/>
      <c r="CS70" s="97">
        <f t="shared" si="63"/>
        <v>0</v>
      </c>
      <c r="CT70" s="98">
        <f t="shared" si="64"/>
        <v>0</v>
      </c>
      <c r="CU70" s="97">
        <f t="shared" si="65"/>
        <v>0</v>
      </c>
      <c r="CV70" s="97"/>
      <c r="CW70" s="97">
        <f t="shared" si="66"/>
        <v>0</v>
      </c>
      <c r="CX70" s="98">
        <f t="shared" si="67"/>
        <v>0</v>
      </c>
      <c r="CY70" s="97">
        <f t="shared" si="68"/>
        <v>0</v>
      </c>
      <c r="CZ70" s="97"/>
      <c r="DA70" s="97"/>
      <c r="DB70" s="98">
        <f t="shared" si="69"/>
        <v>0</v>
      </c>
      <c r="DC70" s="75">
        <f t="shared" si="70"/>
        <v>0</v>
      </c>
      <c r="DD70" s="97"/>
      <c r="DE70" s="97"/>
      <c r="DF70" s="98">
        <f t="shared" si="71"/>
        <v>0</v>
      </c>
      <c r="DG70" s="75">
        <f t="shared" si="72"/>
        <v>0</v>
      </c>
      <c r="DH70" s="78" t="str">
        <f>Calcs!F75</f>
        <v>IT Services</v>
      </c>
      <c r="DI70" s="99">
        <f t="shared" ca="1" si="73"/>
        <v>0</v>
      </c>
      <c r="DJ70" s="98">
        <f t="shared" ca="1" si="74"/>
        <v>0</v>
      </c>
      <c r="DK70" s="293">
        <f t="shared" si="75"/>
        <v>19</v>
      </c>
      <c r="DL70" s="532" t="s">
        <v>1197</v>
      </c>
      <c r="DM70" s="36"/>
      <c r="DN70" s="36"/>
      <c r="DO70" s="36"/>
      <c r="DP70" s="36"/>
      <c r="DQ70" s="413" cm="1">
        <f t="array" ref="DQ70">+SUMPRODUCT((DL70=$DH$12:$DH$307)*($DG$12:$DG$307))/$N$6</f>
        <v>0</v>
      </c>
      <c r="DR70" s="414">
        <f t="shared" si="76"/>
        <v>19</v>
      </c>
      <c r="DS70" s="413" cm="1">
        <f t="array" aca="1" ref="DS70" ca="1">+SUMPRODUCT((DL70=$DH$12:$DH$307)*($DJ$12:$DJ$307))/$N$6</f>
        <v>0</v>
      </c>
      <c r="DT70" s="417">
        <f t="shared" ca="1" si="86"/>
        <v>19</v>
      </c>
      <c r="DU70" s="415">
        <f t="shared" si="77"/>
        <v>0.1</v>
      </c>
      <c r="DV70" s="416">
        <f t="shared" si="78"/>
        <v>0.1</v>
      </c>
    </row>
    <row r="71" spans="6:126">
      <c r="F71" s="2">
        <f t="shared" ca="1" si="79"/>
        <v>15</v>
      </c>
      <c r="G71" s="40" t="str">
        <f>Calcs!A76</f>
        <v>Federal Advisory Partners</v>
      </c>
      <c r="H71" s="68">
        <f t="shared" ca="1" si="8"/>
        <v>6963940.1600000001</v>
      </c>
      <c r="I71" s="96"/>
      <c r="J71" s="96"/>
      <c r="K71" s="63">
        <f>+IF(G71="","",IF(COUNTIF(G72:$G$307,G71)=0,1,0))</f>
        <v>1</v>
      </c>
      <c r="L71" s="75">
        <f>Calcs!U76</f>
        <v>6963940.1600000001</v>
      </c>
      <c r="M71">
        <f t="shared" si="82"/>
        <v>15</v>
      </c>
      <c r="N71" s="75">
        <f t="shared" si="85"/>
        <v>6963940.1600000001</v>
      </c>
      <c r="O71" s="75">
        <f t="shared" si="83"/>
        <v>6963940.1600000001</v>
      </c>
      <c r="P71" s="72">
        <f t="shared" si="10"/>
        <v>0.05</v>
      </c>
      <c r="Q71" s="72">
        <f t="shared" si="11"/>
        <v>1.1596013305624972E-2</v>
      </c>
      <c r="R71" s="61">
        <f t="shared" si="12"/>
        <v>0</v>
      </c>
      <c r="S71" s="68">
        <f t="shared" si="13"/>
        <v>6963940.1600000001</v>
      </c>
      <c r="T71" s="68">
        <f t="shared" si="84"/>
        <v>6963940.1600000001</v>
      </c>
      <c r="U71">
        <f t="array" aca="1" ref="U71" ca="1">SUM(1*(S71&lt;$S$12:$S$307))+1+IF(ROW(S71)-ROW($S$12)=0,0,SUM(1*(S71=OFFSET($S$12,0,0,INDEX(ROW(S71)-ROW($S$12)+1,1)-1,1))))</f>
        <v>15</v>
      </c>
      <c r="V71" s="96">
        <f t="shared" si="14"/>
        <v>6963940.1600000001</v>
      </c>
      <c r="W71" s="75">
        <f>Calcs!U76</f>
        <v>6963940.1600000001</v>
      </c>
      <c r="X71" s="78">
        <f>IFERROR(OR(Calcs!BH75,Calcs!BI75)*W71,0)</f>
        <v>0</v>
      </c>
      <c r="Y71" s="97">
        <f t="shared" si="15"/>
        <v>0</v>
      </c>
      <c r="Z71" s="98">
        <f t="shared" si="16"/>
        <v>6963940.1600000001</v>
      </c>
      <c r="AA71" s="77">
        <f t="shared" si="17"/>
        <v>6963940.1600000001</v>
      </c>
      <c r="AB71" s="78">
        <f>IF(AND(Calcs!BM76=TRUE),AA71,0)</f>
        <v>0</v>
      </c>
      <c r="AC71" s="97">
        <f t="shared" si="18"/>
        <v>0</v>
      </c>
      <c r="AD71" s="98">
        <f t="shared" si="19"/>
        <v>6963940.1600000001</v>
      </c>
      <c r="AE71" s="77">
        <f t="shared" si="20"/>
        <v>6963940.1600000001</v>
      </c>
      <c r="AF71" s="78">
        <f>IF(Calcs!BY76&lt;15,AE71,0)</f>
        <v>0</v>
      </c>
      <c r="AG71" s="97">
        <f t="shared" si="21"/>
        <v>0</v>
      </c>
      <c r="AH71" s="98">
        <f t="shared" si="22"/>
        <v>6963940.1600000001</v>
      </c>
      <c r="AI71" s="77">
        <f t="shared" si="23"/>
        <v>6963940.1600000001</v>
      </c>
      <c r="AJ71" s="78">
        <f>IF(Calcs!BY76&lt;10,AE71,0)</f>
        <v>0</v>
      </c>
      <c r="AK71" s="97">
        <f t="shared" si="24"/>
        <v>0</v>
      </c>
      <c r="AL71" s="98">
        <f t="shared" si="25"/>
        <v>6963940.1600000001</v>
      </c>
      <c r="AM71" s="77">
        <f t="shared" si="26"/>
        <v>6963940.1600000001</v>
      </c>
      <c r="AN71" s="78">
        <f>NOT(Calcs!BD76)*AM71</f>
        <v>0</v>
      </c>
      <c r="AO71" s="97">
        <f t="shared" si="27"/>
        <v>0</v>
      </c>
      <c r="AP71" s="98">
        <f t="shared" si="28"/>
        <v>6963940.1600000001</v>
      </c>
      <c r="AQ71" s="77">
        <f t="shared" si="29"/>
        <v>6963940.1600000001</v>
      </c>
      <c r="AR71" s="78">
        <f>NOT(Calcs!BE76)*AQ71</f>
        <v>0</v>
      </c>
      <c r="AS71" s="97">
        <f t="shared" si="30"/>
        <v>0</v>
      </c>
      <c r="AT71" s="98">
        <f t="shared" si="31"/>
        <v>6963940.1600000001</v>
      </c>
      <c r="AU71" s="77">
        <f t="shared" si="32"/>
        <v>6963940.1600000001</v>
      </c>
      <c r="AV71" s="97">
        <f>IF(Calcs!BC76=TRUE, AU71, 0)</f>
        <v>0</v>
      </c>
      <c r="AW71" s="97">
        <f t="shared" si="33"/>
        <v>0</v>
      </c>
      <c r="AX71" s="98">
        <f t="shared" si="34"/>
        <v>6963940.1600000001</v>
      </c>
      <c r="AY71" s="77">
        <f t="shared" si="35"/>
        <v>6963940.1600000001</v>
      </c>
      <c r="AZ71" s="97">
        <f>Calcs!BK76*AY71</f>
        <v>0</v>
      </c>
      <c r="BA71" s="97">
        <f t="shared" si="36"/>
        <v>0</v>
      </c>
      <c r="BB71" s="98">
        <f t="shared" si="37"/>
        <v>6963940.1600000001</v>
      </c>
      <c r="BC71" s="77">
        <f t="shared" si="38"/>
        <v>6963940.1600000001</v>
      </c>
      <c r="BD71" s="97"/>
      <c r="BE71" s="97"/>
      <c r="BF71" s="98"/>
      <c r="BG71" s="77">
        <f t="shared" si="39"/>
        <v>6963940.1600000001</v>
      </c>
      <c r="BH71" s="97">
        <f>IF(Calcs!BJ76=FALSE,0,BG71)</f>
        <v>0</v>
      </c>
      <c r="BI71" s="97">
        <f t="shared" si="40"/>
        <v>0</v>
      </c>
      <c r="BJ71" s="98">
        <f t="shared" si="41"/>
        <v>6963940.1600000001</v>
      </c>
      <c r="BK71" s="77">
        <f t="shared" si="42"/>
        <v>6963940.1600000001</v>
      </c>
      <c r="BL71" s="97">
        <f>IF(Calcs!AW76=TRUE,BK71,0)</f>
        <v>0</v>
      </c>
      <c r="BM71" s="97">
        <f t="shared" si="43"/>
        <v>0</v>
      </c>
      <c r="BN71" s="98">
        <f t="shared" si="44"/>
        <v>6963940.1600000001</v>
      </c>
      <c r="BO71" s="77">
        <f t="shared" si="45"/>
        <v>6963940.1600000001</v>
      </c>
      <c r="BP71" s="97"/>
      <c r="BQ71" s="97">
        <f t="shared" si="46"/>
        <v>0</v>
      </c>
      <c r="BR71" s="98">
        <f t="shared" si="47"/>
        <v>6963940.1600000001</v>
      </c>
      <c r="BS71" s="77">
        <f t="shared" si="48"/>
        <v>6963940.1600000001</v>
      </c>
      <c r="BT71" s="97">
        <f>IF(Calcs!BB76=TRUE,'Concentration Limitations'!BS71,0)</f>
        <v>0</v>
      </c>
      <c r="BU71" s="97">
        <f t="shared" si="49"/>
        <v>0</v>
      </c>
      <c r="BV71" s="98">
        <f t="shared" si="50"/>
        <v>6963940.1600000001</v>
      </c>
      <c r="BW71" s="77">
        <f t="shared" si="51"/>
        <v>6963940.1600000001</v>
      </c>
      <c r="BX71" s="97">
        <f>IF(Calcs!BI76=TRUE,'Concentration Limitations'!BW71,0)</f>
        <v>0</v>
      </c>
      <c r="BY71" s="97">
        <f t="shared" si="52"/>
        <v>0</v>
      </c>
      <c r="BZ71" s="98">
        <f t="shared" si="53"/>
        <v>6963940.1600000001</v>
      </c>
      <c r="CA71" s="97">
        <f t="shared" si="54"/>
        <v>6963940.1600000001</v>
      </c>
      <c r="CB71" s="97"/>
      <c r="CC71" s="97"/>
      <c r="CD71" s="98">
        <f t="shared" si="55"/>
        <v>6963940.1600000001</v>
      </c>
      <c r="CE71" s="97">
        <f t="shared" si="56"/>
        <v>6963940.1600000001</v>
      </c>
      <c r="CF71" s="97"/>
      <c r="CG71" s="97"/>
      <c r="CH71" s="98">
        <f t="shared" si="57"/>
        <v>6963940.1600000001</v>
      </c>
      <c r="CI71" s="97">
        <f t="shared" si="58"/>
        <v>6963940.1600000001</v>
      </c>
      <c r="CJ71" s="97"/>
      <c r="CK71" s="97"/>
      <c r="CL71" s="98">
        <f t="shared" si="59"/>
        <v>6963940.1600000001</v>
      </c>
      <c r="CM71" s="97">
        <f t="shared" si="60"/>
        <v>6963940.1600000001</v>
      </c>
      <c r="CN71" s="97"/>
      <c r="CO71" s="97"/>
      <c r="CP71" s="98">
        <f t="shared" si="61"/>
        <v>6963940.1600000001</v>
      </c>
      <c r="CQ71" s="97">
        <f t="shared" si="62"/>
        <v>6963940.1600000001</v>
      </c>
      <c r="CR71" s="97"/>
      <c r="CS71" s="97">
        <f t="shared" si="63"/>
        <v>0</v>
      </c>
      <c r="CT71" s="98">
        <f t="shared" si="64"/>
        <v>6963940.1600000001</v>
      </c>
      <c r="CU71" s="97">
        <f t="shared" si="65"/>
        <v>6963940.1600000001</v>
      </c>
      <c r="CV71" s="97"/>
      <c r="CW71" s="97">
        <f t="shared" si="66"/>
        <v>0</v>
      </c>
      <c r="CX71" s="98">
        <f t="shared" si="67"/>
        <v>6963940.1600000001</v>
      </c>
      <c r="CY71" s="97">
        <f t="shared" si="68"/>
        <v>6963940.1600000001</v>
      </c>
      <c r="CZ71" s="97"/>
      <c r="DA71" s="97"/>
      <c r="DB71" s="98">
        <f t="shared" si="69"/>
        <v>6963940.1600000001</v>
      </c>
      <c r="DC71" s="75">
        <f t="shared" si="70"/>
        <v>6963940.1600000001</v>
      </c>
      <c r="DD71" s="97"/>
      <c r="DE71" s="97"/>
      <c r="DF71" s="98">
        <f t="shared" si="71"/>
        <v>6963940.1600000001</v>
      </c>
      <c r="DG71" s="75">
        <f t="shared" si="72"/>
        <v>6963940.1600000001</v>
      </c>
      <c r="DH71" s="78" t="str">
        <f>Calcs!F76</f>
        <v>Aerospace &amp; Defense</v>
      </c>
      <c r="DI71" s="99">
        <f t="shared" ca="1" si="73"/>
        <v>0</v>
      </c>
      <c r="DJ71" s="98">
        <f t="shared" ca="1" si="74"/>
        <v>6963940.1600000001</v>
      </c>
      <c r="DK71" s="293">
        <f t="shared" si="75"/>
        <v>19</v>
      </c>
      <c r="DL71" s="532" t="s">
        <v>200</v>
      </c>
      <c r="DM71" s="36"/>
      <c r="DN71" s="36"/>
      <c r="DO71" s="36"/>
      <c r="DP71" s="36"/>
      <c r="DQ71" s="413" cm="1">
        <f t="array" ref="DQ71">+SUMPRODUCT((DL71=$DH$12:$DH$307)*($DG$12:$DG$307))/$N$6</f>
        <v>0</v>
      </c>
      <c r="DR71" s="414">
        <f t="shared" si="76"/>
        <v>19</v>
      </c>
      <c r="DS71" s="413" cm="1">
        <f t="array" aca="1" ref="DS71" ca="1">+SUMPRODUCT((DL71=$DH$12:$DH$307)*($DJ$12:$DJ$307))/$N$6</f>
        <v>0</v>
      </c>
      <c r="DT71" s="417">
        <f t="shared" ca="1" si="86"/>
        <v>19</v>
      </c>
      <c r="DU71" s="415">
        <f t="shared" si="77"/>
        <v>0.1</v>
      </c>
      <c r="DV71" s="416">
        <f t="shared" si="78"/>
        <v>0.1</v>
      </c>
    </row>
    <row r="72" spans="6:126">
      <c r="F72" s="2">
        <f t="shared" ca="1" si="79"/>
        <v>46</v>
      </c>
      <c r="G72" s="40" t="str">
        <f>Calcs!A77</f>
        <v>Arcfield</v>
      </c>
      <c r="H72" s="68">
        <f t="shared" ca="1" si="8"/>
        <v>2315058.27</v>
      </c>
      <c r="I72" s="96"/>
      <c r="J72" s="96"/>
      <c r="K72" s="63">
        <f>+IF(G72="","",IF(COUNTIF(G73:$G$307,G72)=0,1,0))</f>
        <v>1</v>
      </c>
      <c r="L72" s="75">
        <f>Calcs!U77</f>
        <v>2315058.27</v>
      </c>
      <c r="M72">
        <f t="shared" si="82"/>
        <v>46</v>
      </c>
      <c r="N72" s="75">
        <f t="shared" si="85"/>
        <v>2315058.27</v>
      </c>
      <c r="O72" s="75">
        <f t="shared" si="83"/>
        <v>2315058.27</v>
      </c>
      <c r="P72" s="72">
        <f t="shared" si="10"/>
        <v>0.05</v>
      </c>
      <c r="Q72" s="72">
        <f t="shared" si="11"/>
        <v>3.8549220535256767E-3</v>
      </c>
      <c r="R72" s="61">
        <f t="shared" si="12"/>
        <v>0</v>
      </c>
      <c r="S72" s="68">
        <f t="shared" si="13"/>
        <v>2315058.27</v>
      </c>
      <c r="T72" s="68">
        <f t="shared" si="84"/>
        <v>2315058.27</v>
      </c>
      <c r="U72">
        <f t="array" aca="1" ref="U72" ca="1">SUM(1*(S72&lt;$S$12:$S$307))+1+IF(ROW(S72)-ROW($S$12)=0,0,SUM(1*(S72=OFFSET($S$12,0,0,INDEX(ROW(S72)-ROW($S$12)+1,1)-1,1))))</f>
        <v>46</v>
      </c>
      <c r="V72" s="96">
        <f t="shared" si="14"/>
        <v>2315058.27</v>
      </c>
      <c r="W72" s="75">
        <f>Calcs!U77</f>
        <v>2315058.27</v>
      </c>
      <c r="X72" s="78">
        <f>IFERROR(OR(Calcs!#REF!,Calcs!#REF!)*W72,0)</f>
        <v>0</v>
      </c>
      <c r="Y72" s="97">
        <f t="shared" si="15"/>
        <v>0</v>
      </c>
      <c r="Z72" s="98">
        <f t="shared" si="16"/>
        <v>2315058.27</v>
      </c>
      <c r="AA72" s="77">
        <f t="shared" si="17"/>
        <v>2315058.27</v>
      </c>
      <c r="AB72" s="78">
        <f>IF(AND(Calcs!BM77=TRUE),AA72,0)</f>
        <v>0</v>
      </c>
      <c r="AC72" s="97">
        <f t="shared" si="18"/>
        <v>0</v>
      </c>
      <c r="AD72" s="98">
        <f t="shared" si="19"/>
        <v>2315058.27</v>
      </c>
      <c r="AE72" s="77">
        <f t="shared" si="20"/>
        <v>2315058.27</v>
      </c>
      <c r="AF72" s="78">
        <f>IF(Calcs!BY77&lt;15,AE72,0)</f>
        <v>0</v>
      </c>
      <c r="AG72" s="97">
        <f t="shared" si="21"/>
        <v>0</v>
      </c>
      <c r="AH72" s="98">
        <f t="shared" si="22"/>
        <v>2315058.27</v>
      </c>
      <c r="AI72" s="77">
        <f t="shared" si="23"/>
        <v>2315058.27</v>
      </c>
      <c r="AJ72" s="78">
        <f>IF(Calcs!BY77&lt;10,AE72,0)</f>
        <v>0</v>
      </c>
      <c r="AK72" s="97">
        <f t="shared" si="24"/>
        <v>0</v>
      </c>
      <c r="AL72" s="98">
        <f t="shared" si="25"/>
        <v>2315058.27</v>
      </c>
      <c r="AM72" s="77">
        <f t="shared" si="26"/>
        <v>2315058.27</v>
      </c>
      <c r="AN72" s="78">
        <f>NOT(Calcs!BD77)*AM72</f>
        <v>0</v>
      </c>
      <c r="AO72" s="97">
        <f t="shared" si="27"/>
        <v>0</v>
      </c>
      <c r="AP72" s="98">
        <f t="shared" si="28"/>
        <v>2315058.27</v>
      </c>
      <c r="AQ72" s="77">
        <f t="shared" si="29"/>
        <v>2315058.27</v>
      </c>
      <c r="AR72" s="78">
        <f>NOT(Calcs!BE77)*AQ72</f>
        <v>0</v>
      </c>
      <c r="AS72" s="97">
        <f t="shared" si="30"/>
        <v>0</v>
      </c>
      <c r="AT72" s="98">
        <f t="shared" si="31"/>
        <v>2315058.27</v>
      </c>
      <c r="AU72" s="77">
        <f t="shared" si="32"/>
        <v>2315058.27</v>
      </c>
      <c r="AV72" s="97">
        <f>IF(Calcs!BC77=TRUE, AU72, 0)</f>
        <v>0</v>
      </c>
      <c r="AW72" s="97">
        <f t="shared" si="33"/>
        <v>0</v>
      </c>
      <c r="AX72" s="98">
        <f t="shared" si="34"/>
        <v>2315058.27</v>
      </c>
      <c r="AY72" s="77">
        <f t="shared" si="35"/>
        <v>2315058.27</v>
      </c>
      <c r="AZ72" s="97">
        <f>Calcs!BK77*AY72</f>
        <v>0</v>
      </c>
      <c r="BA72" s="97">
        <f t="shared" si="36"/>
        <v>0</v>
      </c>
      <c r="BB72" s="98">
        <f t="shared" si="37"/>
        <v>2315058.27</v>
      </c>
      <c r="BC72" s="77">
        <f t="shared" si="38"/>
        <v>2315058.27</v>
      </c>
      <c r="BD72" s="97"/>
      <c r="BE72" s="97"/>
      <c r="BF72" s="98"/>
      <c r="BG72" s="77">
        <f t="shared" si="39"/>
        <v>2315058.27</v>
      </c>
      <c r="BH72" s="97">
        <f>IF(Calcs!BJ77=FALSE,0,BG72)</f>
        <v>0</v>
      </c>
      <c r="BI72" s="97">
        <f t="shared" si="40"/>
        <v>0</v>
      </c>
      <c r="BJ72" s="98">
        <f t="shared" si="41"/>
        <v>2315058.27</v>
      </c>
      <c r="BK72" s="77">
        <f t="shared" si="42"/>
        <v>2315058.27</v>
      </c>
      <c r="BL72" s="97">
        <f>IF(Calcs!AW77=TRUE,BK72,0)</f>
        <v>0</v>
      </c>
      <c r="BM72" s="97">
        <f t="shared" si="43"/>
        <v>0</v>
      </c>
      <c r="BN72" s="98">
        <f t="shared" si="44"/>
        <v>2315058.27</v>
      </c>
      <c r="BO72" s="77">
        <f t="shared" si="45"/>
        <v>2315058.27</v>
      </c>
      <c r="BP72" s="97"/>
      <c r="BQ72" s="97">
        <f t="shared" si="46"/>
        <v>0</v>
      </c>
      <c r="BR72" s="98">
        <f t="shared" si="47"/>
        <v>2315058.27</v>
      </c>
      <c r="BS72" s="77">
        <f t="shared" si="48"/>
        <v>2315058.27</v>
      </c>
      <c r="BT72" s="97">
        <f>IF(Calcs!BB77=TRUE,'Concentration Limitations'!BS72,0)</f>
        <v>0</v>
      </c>
      <c r="BU72" s="97">
        <f t="shared" si="49"/>
        <v>0</v>
      </c>
      <c r="BV72" s="98">
        <f t="shared" si="50"/>
        <v>2315058.27</v>
      </c>
      <c r="BW72" s="77">
        <f t="shared" si="51"/>
        <v>2315058.27</v>
      </c>
      <c r="BX72" s="97">
        <f>IF(Calcs!BI77=TRUE,'Concentration Limitations'!BW72,0)</f>
        <v>0</v>
      </c>
      <c r="BY72" s="97">
        <f t="shared" si="52"/>
        <v>0</v>
      </c>
      <c r="BZ72" s="98">
        <f t="shared" si="53"/>
        <v>2315058.27</v>
      </c>
      <c r="CA72" s="97">
        <f t="shared" si="54"/>
        <v>2315058.27</v>
      </c>
      <c r="CB72" s="97"/>
      <c r="CC72" s="97"/>
      <c r="CD72" s="98">
        <f t="shared" si="55"/>
        <v>2315058.27</v>
      </c>
      <c r="CE72" s="97">
        <f t="shared" si="56"/>
        <v>2315058.27</v>
      </c>
      <c r="CF72" s="97"/>
      <c r="CG72" s="97"/>
      <c r="CH72" s="98">
        <f t="shared" si="57"/>
        <v>2315058.27</v>
      </c>
      <c r="CI72" s="97">
        <f t="shared" si="58"/>
        <v>2315058.27</v>
      </c>
      <c r="CJ72" s="97"/>
      <c r="CK72" s="97"/>
      <c r="CL72" s="98">
        <f t="shared" si="59"/>
        <v>2315058.27</v>
      </c>
      <c r="CM72" s="97">
        <f t="shared" si="60"/>
        <v>2315058.27</v>
      </c>
      <c r="CN72" s="97"/>
      <c r="CO72" s="97"/>
      <c r="CP72" s="98">
        <f t="shared" si="61"/>
        <v>2315058.27</v>
      </c>
      <c r="CQ72" s="97">
        <f t="shared" si="62"/>
        <v>2315058.27</v>
      </c>
      <c r="CR72" s="97"/>
      <c r="CS72" s="97">
        <f t="shared" si="63"/>
        <v>0</v>
      </c>
      <c r="CT72" s="98">
        <f t="shared" si="64"/>
        <v>2315058.27</v>
      </c>
      <c r="CU72" s="97">
        <f t="shared" si="65"/>
        <v>2315058.27</v>
      </c>
      <c r="CV72" s="97"/>
      <c r="CW72" s="97">
        <f t="shared" si="66"/>
        <v>0</v>
      </c>
      <c r="CX72" s="98">
        <f t="shared" si="67"/>
        <v>2315058.27</v>
      </c>
      <c r="CY72" s="97">
        <f t="shared" si="68"/>
        <v>2315058.27</v>
      </c>
      <c r="CZ72" s="97"/>
      <c r="DA72" s="97"/>
      <c r="DB72" s="98">
        <f t="shared" si="69"/>
        <v>2315058.27</v>
      </c>
      <c r="DC72" s="75">
        <f t="shared" si="70"/>
        <v>2315058.27</v>
      </c>
      <c r="DD72" s="97"/>
      <c r="DE72" s="97"/>
      <c r="DF72" s="98">
        <f t="shared" si="71"/>
        <v>2315058.27</v>
      </c>
      <c r="DG72" s="75">
        <f t="shared" si="72"/>
        <v>2315058.27</v>
      </c>
      <c r="DH72" s="78" t="str">
        <f>Calcs!F77</f>
        <v>Aerospace &amp; Defense</v>
      </c>
      <c r="DI72" s="99">
        <f t="shared" ca="1" si="73"/>
        <v>0</v>
      </c>
      <c r="DJ72" s="98">
        <f t="shared" ca="1" si="74"/>
        <v>2315058.27</v>
      </c>
      <c r="DK72" s="293">
        <f t="shared" si="75"/>
        <v>19</v>
      </c>
      <c r="DL72" s="532" t="s">
        <v>201</v>
      </c>
      <c r="DM72" s="36"/>
      <c r="DN72" s="36"/>
      <c r="DO72" s="36"/>
      <c r="DP72" s="36"/>
      <c r="DQ72" s="413" cm="1">
        <f t="array" ref="DQ72">+SUMPRODUCT((DL72=$DH$12:$DH$307)*($DG$12:$DG$307))/$N$6</f>
        <v>0</v>
      </c>
      <c r="DR72" s="414">
        <f t="shared" si="76"/>
        <v>19</v>
      </c>
      <c r="DS72" s="413" cm="1">
        <f t="array" aca="1" ref="DS72" ca="1">+SUMPRODUCT((DL72=$DH$12:$DH$307)*($DJ$12:$DJ$307))/$N$6</f>
        <v>0</v>
      </c>
      <c r="DT72" s="417">
        <f t="shared" ca="1" si="86"/>
        <v>19</v>
      </c>
      <c r="DU72" s="415">
        <f t="shared" si="77"/>
        <v>0.1</v>
      </c>
      <c r="DV72" s="416">
        <f t="shared" si="78"/>
        <v>0.1</v>
      </c>
    </row>
    <row r="73" spans="6:126">
      <c r="F73" s="2">
        <f t="shared" ca="1" si="79"/>
        <v>47</v>
      </c>
      <c r="G73" s="40" t="str">
        <f>Calcs!A78</f>
        <v>Bland Landscaping</v>
      </c>
      <c r="H73" s="68">
        <f t="shared" ca="1" si="8"/>
        <v>2093291.07</v>
      </c>
      <c r="I73" s="96"/>
      <c r="J73" s="96"/>
      <c r="K73" s="63">
        <f>+IF(G73="","",IF(COUNTIF(G74:$G$307,G73)=0,1,0))</f>
        <v>1</v>
      </c>
      <c r="L73" s="75">
        <f>Calcs!U78</f>
        <v>2093291.07</v>
      </c>
      <c r="M73">
        <f t="shared" si="82"/>
        <v>47</v>
      </c>
      <c r="N73" s="75">
        <f t="shared" si="85"/>
        <v>2093291.07</v>
      </c>
      <c r="O73" s="75">
        <f t="shared" si="83"/>
        <v>2093291.07</v>
      </c>
      <c r="P73" s="72">
        <f t="shared" si="10"/>
        <v>0.05</v>
      </c>
      <c r="Q73" s="72">
        <f t="shared" si="11"/>
        <v>3.4856461345965867E-3</v>
      </c>
      <c r="R73" s="61">
        <f t="shared" si="12"/>
        <v>0</v>
      </c>
      <c r="S73" s="68">
        <f t="shared" si="13"/>
        <v>2093291.07</v>
      </c>
      <c r="T73" s="68">
        <f t="shared" si="84"/>
        <v>2093291.07</v>
      </c>
      <c r="U73">
        <f t="array" aca="1" ref="U73" ca="1">SUM(1*(S73&lt;$S$12:$S$307))+1+IF(ROW(S73)-ROW($S$12)=0,0,SUM(1*(S73=OFFSET($S$12,0,0,INDEX(ROW(S73)-ROW($S$12)+1,1)-1,1))))</f>
        <v>47</v>
      </c>
      <c r="V73" s="96">
        <f t="shared" si="14"/>
        <v>2093291.07</v>
      </c>
      <c r="W73" s="75">
        <f>Calcs!U78</f>
        <v>2093291.07</v>
      </c>
      <c r="X73" s="78">
        <f>IFERROR(OR(Calcs!BH76,Calcs!BI76)*W73,0)</f>
        <v>0</v>
      </c>
      <c r="Y73" s="97">
        <f t="shared" si="15"/>
        <v>0</v>
      </c>
      <c r="Z73" s="98">
        <f t="shared" si="16"/>
        <v>2093291.07</v>
      </c>
      <c r="AA73" s="77">
        <f t="shared" si="17"/>
        <v>2093291.07</v>
      </c>
      <c r="AB73" s="78">
        <f>IF(AND(Calcs!BM78=TRUE),AA73,0)</f>
        <v>0</v>
      </c>
      <c r="AC73" s="97">
        <f t="shared" si="18"/>
        <v>0</v>
      </c>
      <c r="AD73" s="98">
        <f t="shared" si="19"/>
        <v>2093291.07</v>
      </c>
      <c r="AE73" s="77">
        <f t="shared" si="20"/>
        <v>2093291.07</v>
      </c>
      <c r="AF73" s="78">
        <f>IF(Calcs!BY78&lt;15,AE73,0)</f>
        <v>2093291.07</v>
      </c>
      <c r="AG73" s="97">
        <f t="shared" si="21"/>
        <v>0</v>
      </c>
      <c r="AH73" s="98">
        <f t="shared" si="22"/>
        <v>2093291.07</v>
      </c>
      <c r="AI73" s="77">
        <f t="shared" si="23"/>
        <v>2093291.07</v>
      </c>
      <c r="AJ73" s="78">
        <f>IF(Calcs!BY78&lt;10,AE73,0)</f>
        <v>0</v>
      </c>
      <c r="AK73" s="97">
        <f t="shared" si="24"/>
        <v>0</v>
      </c>
      <c r="AL73" s="98">
        <f t="shared" si="25"/>
        <v>2093291.07</v>
      </c>
      <c r="AM73" s="77">
        <f t="shared" si="26"/>
        <v>2093291.07</v>
      </c>
      <c r="AN73" s="78">
        <f>NOT(Calcs!BD78)*AM73</f>
        <v>0</v>
      </c>
      <c r="AO73" s="97">
        <f t="shared" si="27"/>
        <v>0</v>
      </c>
      <c r="AP73" s="98">
        <f t="shared" si="28"/>
        <v>2093291.07</v>
      </c>
      <c r="AQ73" s="77">
        <f t="shared" si="29"/>
        <v>2093291.07</v>
      </c>
      <c r="AR73" s="78">
        <f>NOT(Calcs!BE78)*AQ73</f>
        <v>0</v>
      </c>
      <c r="AS73" s="97">
        <f t="shared" si="30"/>
        <v>0</v>
      </c>
      <c r="AT73" s="98">
        <f t="shared" si="31"/>
        <v>2093291.07</v>
      </c>
      <c r="AU73" s="77">
        <f t="shared" si="32"/>
        <v>2093291.07</v>
      </c>
      <c r="AV73" s="97">
        <f>IF(Calcs!BC78=TRUE, AU73, 0)</f>
        <v>0</v>
      </c>
      <c r="AW73" s="97">
        <f t="shared" si="33"/>
        <v>0</v>
      </c>
      <c r="AX73" s="98">
        <f t="shared" si="34"/>
        <v>2093291.07</v>
      </c>
      <c r="AY73" s="77">
        <f t="shared" si="35"/>
        <v>2093291.07</v>
      </c>
      <c r="AZ73" s="97">
        <f>Calcs!BK78*AY73</f>
        <v>0</v>
      </c>
      <c r="BA73" s="97">
        <f t="shared" si="36"/>
        <v>0</v>
      </c>
      <c r="BB73" s="98">
        <f t="shared" si="37"/>
        <v>2093291.07</v>
      </c>
      <c r="BC73" s="77">
        <f t="shared" si="38"/>
        <v>2093291.07</v>
      </c>
      <c r="BD73" s="97"/>
      <c r="BE73" s="97"/>
      <c r="BF73" s="98"/>
      <c r="BG73" s="77">
        <f t="shared" si="39"/>
        <v>2093291.07</v>
      </c>
      <c r="BH73" s="97">
        <f>IF(Calcs!BJ78=FALSE,0,BG73)</f>
        <v>0</v>
      </c>
      <c r="BI73" s="97">
        <f t="shared" si="40"/>
        <v>0</v>
      </c>
      <c r="BJ73" s="98">
        <f t="shared" si="41"/>
        <v>2093291.07</v>
      </c>
      <c r="BK73" s="77">
        <f t="shared" si="42"/>
        <v>2093291.07</v>
      </c>
      <c r="BL73" s="97">
        <f>IF(Calcs!AW78=TRUE,BK73,0)</f>
        <v>0</v>
      </c>
      <c r="BM73" s="97">
        <f t="shared" si="43"/>
        <v>0</v>
      </c>
      <c r="BN73" s="98">
        <f t="shared" si="44"/>
        <v>2093291.07</v>
      </c>
      <c r="BO73" s="77">
        <f t="shared" si="45"/>
        <v>2093291.07</v>
      </c>
      <c r="BP73" s="97"/>
      <c r="BQ73" s="97">
        <f t="shared" si="46"/>
        <v>0</v>
      </c>
      <c r="BR73" s="98">
        <f t="shared" si="47"/>
        <v>2093291.07</v>
      </c>
      <c r="BS73" s="77">
        <f t="shared" si="48"/>
        <v>2093291.07</v>
      </c>
      <c r="BT73" s="97">
        <f>IF(Calcs!BB78=TRUE,'Concentration Limitations'!BS73,0)</f>
        <v>0</v>
      </c>
      <c r="BU73" s="97">
        <f t="shared" si="49"/>
        <v>0</v>
      </c>
      <c r="BV73" s="98">
        <f t="shared" si="50"/>
        <v>2093291.07</v>
      </c>
      <c r="BW73" s="77">
        <f t="shared" si="51"/>
        <v>2093291.07</v>
      </c>
      <c r="BX73" s="97">
        <f>IF(Calcs!BI78=TRUE,'Concentration Limitations'!BW73,0)</f>
        <v>0</v>
      </c>
      <c r="BY73" s="97">
        <f t="shared" si="52"/>
        <v>0</v>
      </c>
      <c r="BZ73" s="98">
        <f t="shared" si="53"/>
        <v>2093291.07</v>
      </c>
      <c r="CA73" s="97">
        <f t="shared" si="54"/>
        <v>2093291.07</v>
      </c>
      <c r="CB73" s="97"/>
      <c r="CC73" s="97"/>
      <c r="CD73" s="98">
        <f t="shared" si="55"/>
        <v>2093291.07</v>
      </c>
      <c r="CE73" s="97">
        <f t="shared" si="56"/>
        <v>2093291.07</v>
      </c>
      <c r="CF73" s="97"/>
      <c r="CG73" s="97"/>
      <c r="CH73" s="98">
        <f t="shared" si="57"/>
        <v>2093291.07</v>
      </c>
      <c r="CI73" s="97">
        <f t="shared" si="58"/>
        <v>2093291.07</v>
      </c>
      <c r="CJ73" s="97"/>
      <c r="CK73" s="97"/>
      <c r="CL73" s="98">
        <f t="shared" si="59"/>
        <v>2093291.07</v>
      </c>
      <c r="CM73" s="97">
        <f t="shared" si="60"/>
        <v>2093291.07</v>
      </c>
      <c r="CN73" s="97"/>
      <c r="CO73" s="97"/>
      <c r="CP73" s="98">
        <f t="shared" si="61"/>
        <v>2093291.07</v>
      </c>
      <c r="CQ73" s="97">
        <f t="shared" si="62"/>
        <v>2093291.07</v>
      </c>
      <c r="CR73" s="97"/>
      <c r="CS73" s="97">
        <f t="shared" si="63"/>
        <v>0</v>
      </c>
      <c r="CT73" s="98">
        <f t="shared" si="64"/>
        <v>2093291.07</v>
      </c>
      <c r="CU73" s="97">
        <f t="shared" si="65"/>
        <v>2093291.07</v>
      </c>
      <c r="CV73" s="97"/>
      <c r="CW73" s="97">
        <f t="shared" si="66"/>
        <v>0</v>
      </c>
      <c r="CX73" s="98">
        <f t="shared" si="67"/>
        <v>2093291.07</v>
      </c>
      <c r="CY73" s="97">
        <f t="shared" si="68"/>
        <v>2093291.07</v>
      </c>
      <c r="CZ73" s="97"/>
      <c r="DA73" s="97"/>
      <c r="DB73" s="98">
        <f t="shared" si="69"/>
        <v>2093291.07</v>
      </c>
      <c r="DC73" s="75">
        <f t="shared" si="70"/>
        <v>2093291.07</v>
      </c>
      <c r="DD73" s="97"/>
      <c r="DE73" s="97"/>
      <c r="DF73" s="98">
        <f t="shared" si="71"/>
        <v>2093291.07</v>
      </c>
      <c r="DG73" s="75">
        <f t="shared" si="72"/>
        <v>2093291.07</v>
      </c>
      <c r="DH73" s="78" t="str">
        <f>Calcs!F78</f>
        <v>Commercial Services &amp; Supplies</v>
      </c>
      <c r="DI73" s="99">
        <f t="shared" ca="1" si="73"/>
        <v>0</v>
      </c>
      <c r="DJ73" s="98">
        <f t="shared" ca="1" si="74"/>
        <v>2093291.07</v>
      </c>
      <c r="DK73" s="293">
        <f t="shared" si="75"/>
        <v>19</v>
      </c>
      <c r="DL73" s="532" t="s">
        <v>1196</v>
      </c>
      <c r="DM73" s="36"/>
      <c r="DN73" s="36"/>
      <c r="DO73" s="36"/>
      <c r="DP73" s="36"/>
      <c r="DQ73" s="413" cm="1">
        <f t="array" ref="DQ73">+SUMPRODUCT((DL73=$DH$12:$DH$307)*($DG$12:$DG$307))/$N$6</f>
        <v>0</v>
      </c>
      <c r="DR73" s="414">
        <f t="shared" si="76"/>
        <v>19</v>
      </c>
      <c r="DS73" s="413" cm="1">
        <f t="array" aca="1" ref="DS73" ca="1">+SUMPRODUCT((DL73=$DH$12:$DH$307)*($DJ$12:$DJ$307))/$N$6</f>
        <v>0</v>
      </c>
      <c r="DT73" s="417">
        <f t="shared" ca="1" si="86"/>
        <v>19</v>
      </c>
      <c r="DU73" s="415">
        <f t="shared" si="77"/>
        <v>0.1</v>
      </c>
      <c r="DV73" s="416">
        <f t="shared" si="78"/>
        <v>0.1</v>
      </c>
    </row>
    <row r="74" spans="6:126">
      <c r="F74" s="2">
        <f t="shared" ca="1" si="79"/>
        <v>5</v>
      </c>
      <c r="G74" s="40" t="str">
        <f>Calcs!A79</f>
        <v xml:space="preserve">Lynx Technologies </v>
      </c>
      <c r="H74" s="68">
        <f t="shared" ca="1" si="8"/>
        <v>12989293.380000001</v>
      </c>
      <c r="I74" s="96"/>
      <c r="J74" s="96"/>
      <c r="K74" s="63">
        <f>+IF(G74="","",IF(COUNTIF(G75:$G$307,G74)=0,1,0))</f>
        <v>1</v>
      </c>
      <c r="L74" s="75">
        <f>Calcs!U79</f>
        <v>12989293.380000001</v>
      </c>
      <c r="M74">
        <f t="shared" si="82"/>
        <v>5</v>
      </c>
      <c r="N74" s="75">
        <f t="shared" si="85"/>
        <v>12989293.380000001</v>
      </c>
      <c r="O74" s="75">
        <f t="shared" si="83"/>
        <v>12989293.380000001</v>
      </c>
      <c r="P74" s="72">
        <f t="shared" si="10"/>
        <v>0.05</v>
      </c>
      <c r="Q74" s="72">
        <f t="shared" si="11"/>
        <v>2.1629137442953899E-2</v>
      </c>
      <c r="R74" s="61">
        <f t="shared" si="12"/>
        <v>0</v>
      </c>
      <c r="S74" s="68">
        <f t="shared" si="13"/>
        <v>12989293.380000001</v>
      </c>
      <c r="T74" s="68">
        <f t="shared" si="84"/>
        <v>12989293.380000001</v>
      </c>
      <c r="U74">
        <f t="array" aca="1" ref="U74" ca="1">SUM(1*(S74&lt;$S$12:$S$307))+1+IF(ROW(S74)-ROW($S$12)=0,0,SUM(1*(S74=OFFSET($S$12,0,0,INDEX(ROW(S74)-ROW($S$12)+1,1)-1,1))))</f>
        <v>5</v>
      </c>
      <c r="V74" s="96">
        <f t="shared" si="14"/>
        <v>12989293.380000001</v>
      </c>
      <c r="W74" s="75">
        <f>Calcs!U79</f>
        <v>12989293.380000001</v>
      </c>
      <c r="X74" s="78">
        <f>IFERROR(OR(Calcs!BH77,Calcs!BI77)*W74,0)</f>
        <v>0</v>
      </c>
      <c r="Y74" s="97">
        <f t="shared" si="15"/>
        <v>0</v>
      </c>
      <c r="Z74" s="98">
        <f t="shared" si="16"/>
        <v>12989293.380000001</v>
      </c>
      <c r="AA74" s="77">
        <f t="shared" si="17"/>
        <v>12989293.380000001</v>
      </c>
      <c r="AB74" s="78">
        <f>IF(AND(Calcs!BM79=TRUE),AA74,0)</f>
        <v>0</v>
      </c>
      <c r="AC74" s="97">
        <f t="shared" si="18"/>
        <v>0</v>
      </c>
      <c r="AD74" s="98">
        <f t="shared" si="19"/>
        <v>12989293.380000001</v>
      </c>
      <c r="AE74" s="77">
        <f t="shared" si="20"/>
        <v>12989293.380000001</v>
      </c>
      <c r="AF74" s="78">
        <f>IF(Calcs!BY79&lt;15,AE74,0)</f>
        <v>0</v>
      </c>
      <c r="AG74" s="97">
        <f t="shared" si="21"/>
        <v>0</v>
      </c>
      <c r="AH74" s="98">
        <f t="shared" si="22"/>
        <v>12989293.380000001</v>
      </c>
      <c r="AI74" s="77">
        <f t="shared" si="23"/>
        <v>12989293.380000001</v>
      </c>
      <c r="AJ74" s="78">
        <f>IF(Calcs!BY79&lt;10,AE74,0)</f>
        <v>0</v>
      </c>
      <c r="AK74" s="97">
        <f t="shared" si="24"/>
        <v>0</v>
      </c>
      <c r="AL74" s="98">
        <f t="shared" si="25"/>
        <v>12989293.380000001</v>
      </c>
      <c r="AM74" s="77">
        <f t="shared" si="26"/>
        <v>12989293.380000001</v>
      </c>
      <c r="AN74" s="78">
        <f>NOT(Calcs!BD79)*AM74</f>
        <v>0</v>
      </c>
      <c r="AO74" s="97">
        <f t="shared" si="27"/>
        <v>0</v>
      </c>
      <c r="AP74" s="98">
        <f t="shared" si="28"/>
        <v>12989293.380000001</v>
      </c>
      <c r="AQ74" s="77">
        <f t="shared" si="29"/>
        <v>12989293.380000001</v>
      </c>
      <c r="AR74" s="78">
        <f>NOT(Calcs!BE79)*AQ74</f>
        <v>0</v>
      </c>
      <c r="AS74" s="97">
        <f t="shared" si="30"/>
        <v>0</v>
      </c>
      <c r="AT74" s="98">
        <f t="shared" si="31"/>
        <v>12989293.380000001</v>
      </c>
      <c r="AU74" s="77">
        <f t="shared" si="32"/>
        <v>12989293.380000001</v>
      </c>
      <c r="AV74" s="97">
        <f>IF(Calcs!BC79=TRUE, AU74, 0)</f>
        <v>0</v>
      </c>
      <c r="AW74" s="97">
        <f t="shared" si="33"/>
        <v>0</v>
      </c>
      <c r="AX74" s="98">
        <f t="shared" si="34"/>
        <v>12989293.380000001</v>
      </c>
      <c r="AY74" s="77">
        <f t="shared" si="35"/>
        <v>12989293.380000001</v>
      </c>
      <c r="AZ74" s="97">
        <f>Calcs!BK79*AY74</f>
        <v>0</v>
      </c>
      <c r="BA74" s="97">
        <f t="shared" si="36"/>
        <v>0</v>
      </c>
      <c r="BB74" s="98">
        <f t="shared" si="37"/>
        <v>12989293.380000001</v>
      </c>
      <c r="BC74" s="77">
        <f t="shared" si="38"/>
        <v>12989293.380000001</v>
      </c>
      <c r="BD74" s="97"/>
      <c r="BE74" s="97"/>
      <c r="BF74" s="98"/>
      <c r="BG74" s="77">
        <f t="shared" si="39"/>
        <v>12989293.380000001</v>
      </c>
      <c r="BH74" s="97">
        <f>IF(Calcs!BJ79=FALSE,0,BG74)</f>
        <v>0</v>
      </c>
      <c r="BI74" s="97">
        <f t="shared" si="40"/>
        <v>0</v>
      </c>
      <c r="BJ74" s="98">
        <f t="shared" si="41"/>
        <v>12989293.380000001</v>
      </c>
      <c r="BK74" s="77">
        <f t="shared" si="42"/>
        <v>12989293.380000001</v>
      </c>
      <c r="BL74" s="97">
        <f>IF(Calcs!AW79=TRUE,BK74,0)</f>
        <v>0</v>
      </c>
      <c r="BM74" s="97">
        <f t="shared" si="43"/>
        <v>0</v>
      </c>
      <c r="BN74" s="98">
        <f t="shared" si="44"/>
        <v>12989293.380000001</v>
      </c>
      <c r="BO74" s="77">
        <f t="shared" si="45"/>
        <v>12989293.380000001</v>
      </c>
      <c r="BP74" s="97"/>
      <c r="BQ74" s="97">
        <f t="shared" si="46"/>
        <v>0</v>
      </c>
      <c r="BR74" s="98">
        <f t="shared" si="47"/>
        <v>12989293.380000001</v>
      </c>
      <c r="BS74" s="77">
        <f t="shared" si="48"/>
        <v>12989293.380000001</v>
      </c>
      <c r="BT74" s="97">
        <f>IF(Calcs!BB79=TRUE,'Concentration Limitations'!BS74,0)</f>
        <v>0</v>
      </c>
      <c r="BU74" s="97">
        <f t="shared" si="49"/>
        <v>0</v>
      </c>
      <c r="BV74" s="98">
        <f t="shared" si="50"/>
        <v>12989293.380000001</v>
      </c>
      <c r="BW74" s="77">
        <f t="shared" si="51"/>
        <v>12989293.380000001</v>
      </c>
      <c r="BX74" s="97">
        <f>IF(Calcs!BI79=TRUE,'Concentration Limitations'!BW74,0)</f>
        <v>0</v>
      </c>
      <c r="BY74" s="97">
        <f t="shared" si="52"/>
        <v>0</v>
      </c>
      <c r="BZ74" s="98">
        <f t="shared" si="53"/>
        <v>12989293.380000001</v>
      </c>
      <c r="CA74" s="97">
        <f t="shared" si="54"/>
        <v>12989293.380000001</v>
      </c>
      <c r="CB74" s="97"/>
      <c r="CC74" s="97"/>
      <c r="CD74" s="98">
        <f t="shared" si="55"/>
        <v>12989293.380000001</v>
      </c>
      <c r="CE74" s="97">
        <f t="shared" si="56"/>
        <v>12989293.380000001</v>
      </c>
      <c r="CF74" s="97"/>
      <c r="CG74" s="97"/>
      <c r="CH74" s="98">
        <f t="shared" si="57"/>
        <v>12989293.380000001</v>
      </c>
      <c r="CI74" s="97">
        <f t="shared" si="58"/>
        <v>12989293.380000001</v>
      </c>
      <c r="CJ74" s="97"/>
      <c r="CK74" s="97"/>
      <c r="CL74" s="98">
        <f t="shared" si="59"/>
        <v>12989293.380000001</v>
      </c>
      <c r="CM74" s="97">
        <f t="shared" si="60"/>
        <v>12989293.380000001</v>
      </c>
      <c r="CN74" s="97"/>
      <c r="CO74" s="97"/>
      <c r="CP74" s="98">
        <f t="shared" si="61"/>
        <v>12989293.380000001</v>
      </c>
      <c r="CQ74" s="97">
        <f t="shared" si="62"/>
        <v>12989293.380000001</v>
      </c>
      <c r="CR74" s="97"/>
      <c r="CS74" s="97">
        <f t="shared" si="63"/>
        <v>0</v>
      </c>
      <c r="CT74" s="98">
        <f t="shared" si="64"/>
        <v>12989293.380000001</v>
      </c>
      <c r="CU74" s="97">
        <f t="shared" si="65"/>
        <v>12989293.380000001</v>
      </c>
      <c r="CV74" s="97"/>
      <c r="CW74" s="97">
        <f t="shared" si="66"/>
        <v>0</v>
      </c>
      <c r="CX74" s="98">
        <f t="shared" si="67"/>
        <v>12989293.380000001</v>
      </c>
      <c r="CY74" s="97">
        <f t="shared" si="68"/>
        <v>12989293.380000001</v>
      </c>
      <c r="CZ74" s="97"/>
      <c r="DA74" s="97"/>
      <c r="DB74" s="98">
        <f t="shared" si="69"/>
        <v>12989293.380000001</v>
      </c>
      <c r="DC74" s="75">
        <f t="shared" si="70"/>
        <v>12989293.380000001</v>
      </c>
      <c r="DD74" s="97"/>
      <c r="DE74" s="97"/>
      <c r="DF74" s="98">
        <f t="shared" si="71"/>
        <v>12989293.380000001</v>
      </c>
      <c r="DG74" s="75">
        <f t="shared" si="72"/>
        <v>12989293.380000001</v>
      </c>
      <c r="DH74" s="78" t="str">
        <f>Calcs!F79</f>
        <v>Aerospace &amp; Defense</v>
      </c>
      <c r="DI74" s="99">
        <f t="shared" ca="1" si="73"/>
        <v>0</v>
      </c>
      <c r="DJ74" s="98">
        <f t="shared" ca="1" si="74"/>
        <v>12989293.380000001</v>
      </c>
      <c r="DK74" s="293">
        <f t="shared" si="75"/>
        <v>19</v>
      </c>
      <c r="DL74" s="532" t="s">
        <v>243</v>
      </c>
      <c r="DM74" s="36"/>
      <c r="DN74" s="36"/>
      <c r="DO74" s="36"/>
      <c r="DP74" s="36"/>
      <c r="DQ74" s="413" cm="1">
        <f t="array" ref="DQ74">+SUMPRODUCT((DL74=$DH$12:$DH$307)*($DG$12:$DG$307))/$N$6</f>
        <v>0</v>
      </c>
      <c r="DR74" s="414">
        <f t="shared" si="76"/>
        <v>19</v>
      </c>
      <c r="DS74" s="413" cm="1">
        <f t="array" aca="1" ref="DS74" ca="1">+SUMPRODUCT((DL74=$DH$12:$DH$307)*($DJ$12:$DJ$307))/$N$6</f>
        <v>0</v>
      </c>
      <c r="DT74" s="417">
        <f t="shared" ca="1" si="86"/>
        <v>19</v>
      </c>
      <c r="DU74" s="415">
        <f t="shared" si="77"/>
        <v>0.1</v>
      </c>
      <c r="DV74" s="416">
        <f t="shared" si="78"/>
        <v>0.1</v>
      </c>
    </row>
    <row r="75" spans="6:126">
      <c r="F75" s="2">
        <f t="shared" ca="1" si="79"/>
        <v>22</v>
      </c>
      <c r="G75" s="40" t="str">
        <f>Calcs!A80</f>
        <v>RealmOne</v>
      </c>
      <c r="H75" s="68">
        <f t="shared" ca="1" si="8"/>
        <v>5970000</v>
      </c>
      <c r="I75" s="96"/>
      <c r="J75" s="96"/>
      <c r="K75" s="63">
        <f>+IF(G75="","",IF(COUNTIF(G76:$G$307,G75)=0,1,0))</f>
        <v>1</v>
      </c>
      <c r="L75" s="75">
        <f>Calcs!U80</f>
        <v>5970000</v>
      </c>
      <c r="M75">
        <f t="shared" si="82"/>
        <v>21</v>
      </c>
      <c r="N75" s="75">
        <f t="shared" si="85"/>
        <v>5970000</v>
      </c>
      <c r="O75" s="75">
        <f t="shared" si="83"/>
        <v>5970000</v>
      </c>
      <c r="P75" s="72">
        <f t="shared" si="10"/>
        <v>0.05</v>
      </c>
      <c r="Q75" s="72">
        <f t="shared" si="11"/>
        <v>9.9409526566898426E-3</v>
      </c>
      <c r="R75" s="61">
        <f t="shared" si="12"/>
        <v>0</v>
      </c>
      <c r="S75" s="68">
        <f t="shared" si="13"/>
        <v>5970000</v>
      </c>
      <c r="T75" s="68">
        <f t="shared" si="84"/>
        <v>5970000</v>
      </c>
      <c r="U75">
        <f t="array" aca="1" ref="U75" ca="1">SUM(1*(S75&lt;$S$12:$S$307))+1+IF(ROW(S75)-ROW($S$12)=0,0,SUM(1*(S75=OFFSET($S$12,0,0,INDEX(ROW(S75)-ROW($S$12)+1,1)-1,1))))</f>
        <v>22</v>
      </c>
      <c r="V75" s="96">
        <f t="shared" si="14"/>
        <v>5970000</v>
      </c>
      <c r="W75" s="75">
        <f>Calcs!U80</f>
        <v>5970000</v>
      </c>
      <c r="X75" s="78">
        <f>IFERROR(OR(Calcs!BH78,Calcs!BI78)*W75,0)</f>
        <v>0</v>
      </c>
      <c r="Y75" s="97">
        <f t="shared" si="15"/>
        <v>0</v>
      </c>
      <c r="Z75" s="98">
        <f t="shared" si="16"/>
        <v>5970000</v>
      </c>
      <c r="AA75" s="77">
        <f t="shared" si="17"/>
        <v>5970000</v>
      </c>
      <c r="AB75" s="78">
        <f>IF(AND(Calcs!BM80=TRUE),AA75,0)</f>
        <v>0</v>
      </c>
      <c r="AC75" s="97">
        <f t="shared" si="18"/>
        <v>0</v>
      </c>
      <c r="AD75" s="98">
        <f t="shared" si="19"/>
        <v>5970000</v>
      </c>
      <c r="AE75" s="77">
        <f t="shared" si="20"/>
        <v>5970000</v>
      </c>
      <c r="AF75" s="78">
        <f>IF(Calcs!BY80&lt;15,AE75,0)</f>
        <v>0</v>
      </c>
      <c r="AG75" s="97">
        <f t="shared" si="21"/>
        <v>0</v>
      </c>
      <c r="AH75" s="98">
        <f t="shared" si="22"/>
        <v>5970000</v>
      </c>
      <c r="AI75" s="77">
        <f t="shared" si="23"/>
        <v>5970000</v>
      </c>
      <c r="AJ75" s="78">
        <f>IF(Calcs!BY80&lt;10,AE75,0)</f>
        <v>0</v>
      </c>
      <c r="AK75" s="97">
        <f t="shared" si="24"/>
        <v>0</v>
      </c>
      <c r="AL75" s="98">
        <f t="shared" si="25"/>
        <v>5970000</v>
      </c>
      <c r="AM75" s="77">
        <f t="shared" si="26"/>
        <v>5970000</v>
      </c>
      <c r="AN75" s="78">
        <f>NOT(Calcs!BD80)*AM75</f>
        <v>0</v>
      </c>
      <c r="AO75" s="97">
        <f t="shared" si="27"/>
        <v>0</v>
      </c>
      <c r="AP75" s="98">
        <f t="shared" si="28"/>
        <v>5970000</v>
      </c>
      <c r="AQ75" s="77">
        <f t="shared" si="29"/>
        <v>5970000</v>
      </c>
      <c r="AR75" s="78">
        <f>NOT(Calcs!BE80)*AQ75</f>
        <v>0</v>
      </c>
      <c r="AS75" s="97">
        <f t="shared" si="30"/>
        <v>0</v>
      </c>
      <c r="AT75" s="98">
        <f t="shared" si="31"/>
        <v>5970000</v>
      </c>
      <c r="AU75" s="77">
        <f t="shared" si="32"/>
        <v>5970000</v>
      </c>
      <c r="AV75" s="97">
        <f>IF(Calcs!BC80=TRUE, AU75, 0)</f>
        <v>0</v>
      </c>
      <c r="AW75" s="97">
        <f t="shared" si="33"/>
        <v>0</v>
      </c>
      <c r="AX75" s="98">
        <f t="shared" si="34"/>
        <v>5970000</v>
      </c>
      <c r="AY75" s="77">
        <f t="shared" si="35"/>
        <v>5970000</v>
      </c>
      <c r="AZ75" s="97">
        <f>Calcs!BK80*AY75</f>
        <v>0</v>
      </c>
      <c r="BA75" s="97">
        <f t="shared" si="36"/>
        <v>0</v>
      </c>
      <c r="BB75" s="98">
        <f t="shared" si="37"/>
        <v>5970000</v>
      </c>
      <c r="BC75" s="77">
        <f t="shared" si="38"/>
        <v>5970000</v>
      </c>
      <c r="BD75" s="97"/>
      <c r="BE75" s="97"/>
      <c r="BF75" s="98"/>
      <c r="BG75" s="77">
        <f t="shared" si="39"/>
        <v>5970000</v>
      </c>
      <c r="BH75" s="97">
        <f>IF(Calcs!BJ80=FALSE,0,BG75)</f>
        <v>0</v>
      </c>
      <c r="BI75" s="97">
        <f t="shared" si="40"/>
        <v>0</v>
      </c>
      <c r="BJ75" s="98">
        <f t="shared" si="41"/>
        <v>5970000</v>
      </c>
      <c r="BK75" s="77">
        <f t="shared" si="42"/>
        <v>5970000</v>
      </c>
      <c r="BL75" s="97">
        <f>IF(Calcs!AW80=TRUE,BK75,0)</f>
        <v>0</v>
      </c>
      <c r="BM75" s="97">
        <f t="shared" si="43"/>
        <v>0</v>
      </c>
      <c r="BN75" s="98">
        <f t="shared" si="44"/>
        <v>5970000</v>
      </c>
      <c r="BO75" s="77">
        <f t="shared" si="45"/>
        <v>5970000</v>
      </c>
      <c r="BP75" s="97"/>
      <c r="BQ75" s="97">
        <f t="shared" si="46"/>
        <v>0</v>
      </c>
      <c r="BR75" s="98">
        <f t="shared" si="47"/>
        <v>5970000</v>
      </c>
      <c r="BS75" s="77">
        <f t="shared" si="48"/>
        <v>5970000</v>
      </c>
      <c r="BT75" s="97">
        <f>IF(Calcs!BB80=TRUE,'Concentration Limitations'!BS75,0)</f>
        <v>0</v>
      </c>
      <c r="BU75" s="97">
        <f t="shared" si="49"/>
        <v>0</v>
      </c>
      <c r="BV75" s="98">
        <f t="shared" si="50"/>
        <v>5970000</v>
      </c>
      <c r="BW75" s="77">
        <f t="shared" si="51"/>
        <v>5970000</v>
      </c>
      <c r="BX75" s="97">
        <f>IF(Calcs!BI80=TRUE,'Concentration Limitations'!BW75,0)</f>
        <v>0</v>
      </c>
      <c r="BY75" s="97">
        <f t="shared" si="52"/>
        <v>0</v>
      </c>
      <c r="BZ75" s="98">
        <f t="shared" si="53"/>
        <v>5970000</v>
      </c>
      <c r="CA75" s="97">
        <f t="shared" si="54"/>
        <v>5970000</v>
      </c>
      <c r="CB75" s="97"/>
      <c r="CC75" s="97"/>
      <c r="CD75" s="98">
        <f t="shared" si="55"/>
        <v>5970000</v>
      </c>
      <c r="CE75" s="97">
        <f t="shared" si="56"/>
        <v>5970000</v>
      </c>
      <c r="CF75" s="97"/>
      <c r="CG75" s="97"/>
      <c r="CH75" s="98">
        <f t="shared" si="57"/>
        <v>5970000</v>
      </c>
      <c r="CI75" s="97">
        <f t="shared" si="58"/>
        <v>5970000</v>
      </c>
      <c r="CJ75" s="97"/>
      <c r="CK75" s="97"/>
      <c r="CL75" s="98">
        <f t="shared" si="59"/>
        <v>5970000</v>
      </c>
      <c r="CM75" s="97">
        <f t="shared" si="60"/>
        <v>5970000</v>
      </c>
      <c r="CN75" s="97"/>
      <c r="CO75" s="97"/>
      <c r="CP75" s="98">
        <f t="shared" si="61"/>
        <v>5970000</v>
      </c>
      <c r="CQ75" s="97">
        <f t="shared" si="62"/>
        <v>5970000</v>
      </c>
      <c r="CR75" s="97"/>
      <c r="CS75" s="97">
        <f t="shared" si="63"/>
        <v>0</v>
      </c>
      <c r="CT75" s="98">
        <f t="shared" si="64"/>
        <v>5970000</v>
      </c>
      <c r="CU75" s="97">
        <f t="shared" si="65"/>
        <v>5970000</v>
      </c>
      <c r="CV75" s="97"/>
      <c r="CW75" s="97">
        <f t="shared" si="66"/>
        <v>0</v>
      </c>
      <c r="CX75" s="98">
        <f t="shared" si="67"/>
        <v>5970000</v>
      </c>
      <c r="CY75" s="97">
        <f t="shared" si="68"/>
        <v>5970000</v>
      </c>
      <c r="CZ75" s="97"/>
      <c r="DA75" s="97"/>
      <c r="DB75" s="98">
        <f t="shared" si="69"/>
        <v>5970000</v>
      </c>
      <c r="DC75" s="75">
        <f t="shared" si="70"/>
        <v>5970000</v>
      </c>
      <c r="DD75" s="97"/>
      <c r="DE75" s="97"/>
      <c r="DF75" s="98">
        <f t="shared" si="71"/>
        <v>5970000</v>
      </c>
      <c r="DG75" s="75">
        <f t="shared" si="72"/>
        <v>5970000</v>
      </c>
      <c r="DH75" s="78" t="str">
        <f>Calcs!F80</f>
        <v>Aerospace &amp; Defense</v>
      </c>
      <c r="DI75" s="99">
        <f t="shared" ca="1" si="73"/>
        <v>0</v>
      </c>
      <c r="DJ75" s="98">
        <f t="shared" ca="1" si="74"/>
        <v>5970000</v>
      </c>
      <c r="DK75" s="293">
        <f t="shared" si="75"/>
        <v>19</v>
      </c>
      <c r="DL75" s="532" t="s">
        <v>1195</v>
      </c>
      <c r="DM75" s="36"/>
      <c r="DN75" s="36"/>
      <c r="DO75" s="36"/>
      <c r="DP75" s="36"/>
      <c r="DQ75" s="413" cm="1">
        <f t="array" ref="DQ75">+SUMPRODUCT((DL75=$DH$12:$DH$307)*($DG$12:$DG$307))/$N$6</f>
        <v>0</v>
      </c>
      <c r="DR75" s="414">
        <f t="shared" si="76"/>
        <v>19</v>
      </c>
      <c r="DS75" s="413" cm="1">
        <f t="array" aca="1" ref="DS75" ca="1">+SUMPRODUCT((DL75=$DH$12:$DH$307)*($DJ$12:$DJ$307))/$N$6</f>
        <v>0</v>
      </c>
      <c r="DT75" s="417">
        <f t="shared" ca="1" si="86"/>
        <v>19</v>
      </c>
      <c r="DU75" s="415">
        <f t="shared" si="77"/>
        <v>0.1</v>
      </c>
      <c r="DV75" s="416">
        <f t="shared" si="78"/>
        <v>0.1</v>
      </c>
    </row>
    <row r="76" spans="6:126">
      <c r="F76" s="2">
        <f t="shared" ca="1" si="79"/>
        <v>29</v>
      </c>
      <c r="G76" s="40" t="str">
        <f>Calcs!A81</f>
        <v>Seacoast</v>
      </c>
      <c r="H76" s="68">
        <f t="shared" ca="1" si="8"/>
        <v>4975000</v>
      </c>
      <c r="I76" s="96"/>
      <c r="J76" s="96"/>
      <c r="K76" s="63">
        <f>+IF(G76="","",IF(COUNTIF(G77:$G$307,G76)=0,1,0))</f>
        <v>1</v>
      </c>
      <c r="L76" s="75">
        <f>Calcs!U81</f>
        <v>4975000</v>
      </c>
      <c r="M76">
        <f t="shared" ref="M76:M93" si="87">COUNTIF($N$12:$N$307,"&gt;"&amp;N76)+1</f>
        <v>29</v>
      </c>
      <c r="N76" s="75">
        <f t="shared" si="85"/>
        <v>4975000</v>
      </c>
      <c r="O76" s="75">
        <f t="shared" ref="O76:O93" si="88">+SUMPRODUCT((G76=$G$12:$G$307)*($L$12:$L$307))</f>
        <v>4975000</v>
      </c>
      <c r="P76" s="72">
        <f t="shared" ref="P76:P93" si="89">+IF(M76=1,0.1,IF(M76=2,0.07,0.05))</f>
        <v>0.05</v>
      </c>
      <c r="Q76" s="72">
        <f t="shared" ref="Q76:Q93" si="90">+N76/$Q$7</f>
        <v>8.2841272139082007E-3</v>
      </c>
      <c r="R76" s="61">
        <f t="shared" ref="R76:R93" si="91">MAX(0,Q76-P76)*$Q$7</f>
        <v>0</v>
      </c>
      <c r="S76" s="68">
        <f t="shared" ref="S76:S93" si="92">+N76-R76</f>
        <v>4975000</v>
      </c>
      <c r="T76" s="68">
        <f t="shared" ref="T76:T93" si="93">+SUMPRODUCT((G76=$G$12:$G$307)*($S$12:$S$307))</f>
        <v>4975000</v>
      </c>
      <c r="U76">
        <f t="array" aca="1" ref="U76" ca="1">SUM(1*(S76&lt;$S$12:$S$307))+1+IF(ROW(S76)-ROW($S$12)=0,0,SUM(1*(S76=OFFSET($S$12,0,0,INDEX(ROW(S76)-ROW($S$12)+1,1)-1,1))))</f>
        <v>29</v>
      </c>
      <c r="V76" s="96">
        <f t="shared" ref="V76:V93" si="94">+IFERROR(T76*L76/O76,0)</f>
        <v>4975000</v>
      </c>
      <c r="W76" s="75">
        <f>Calcs!U81</f>
        <v>4975000</v>
      </c>
      <c r="X76" s="78">
        <f>IFERROR(OR(Calcs!BH79,Calcs!BI79)*W76,0)</f>
        <v>0</v>
      </c>
      <c r="Y76" s="97">
        <f t="shared" ref="Y76:Y93" si="95">+IFERROR(MAX(0,(X$7-X$6)/X$7*X76),0)</f>
        <v>0</v>
      </c>
      <c r="Z76" s="98">
        <f t="shared" ref="Z76:Z93" si="96">+W76-Y76</f>
        <v>4975000</v>
      </c>
      <c r="AA76" s="77">
        <f t="shared" ref="AA76:AA93" si="97">W76</f>
        <v>4975000</v>
      </c>
      <c r="AB76" s="78">
        <f>IF(AND(Calcs!BM81=TRUE),AA76,0)</f>
        <v>0</v>
      </c>
      <c r="AC76" s="97">
        <f t="shared" ref="AC76:AC93" si="98">+IFERROR(MAX(0,(AB$7-AB$6)/AB$7*AB76),0)</f>
        <v>0</v>
      </c>
      <c r="AD76" s="98">
        <f t="shared" ref="AD76:AD93" si="99">+AA76-AC76</f>
        <v>4975000</v>
      </c>
      <c r="AE76" s="77">
        <f t="shared" si="20"/>
        <v>4975000</v>
      </c>
      <c r="AF76" s="78">
        <f>IF(Calcs!BY81&lt;15,AE76,0)</f>
        <v>4975000</v>
      </c>
      <c r="AG76" s="97">
        <f t="shared" ref="AG76:AG93" si="100">+IFERROR(MAX(0,(AF$7-AF$6)/AF$7*AF76),0)</f>
        <v>0</v>
      </c>
      <c r="AH76" s="98">
        <f t="shared" ref="AH76:AH93" si="101">+AE76-AG76</f>
        <v>4975000</v>
      </c>
      <c r="AI76" s="77">
        <f t="shared" ref="AI76:AI93" si="102">AE76</f>
        <v>4975000</v>
      </c>
      <c r="AJ76" s="78">
        <f>IF(Calcs!BY81&lt;10,AE76,0)</f>
        <v>4975000</v>
      </c>
      <c r="AK76" s="97">
        <f t="shared" ref="AK76:AK93" si="103">+IFERROR(MAX(0,(AJ$7-AJ$6)/AJ$7*AJ76),0)</f>
        <v>0</v>
      </c>
      <c r="AL76" s="98">
        <f t="shared" ref="AL76:AL93" si="104">+AI76-AK76</f>
        <v>4975000</v>
      </c>
      <c r="AM76" s="77">
        <f t="shared" ref="AM76:AM93" si="105">AI76</f>
        <v>4975000</v>
      </c>
      <c r="AN76" s="78">
        <f>NOT(Calcs!BD81)*AM76</f>
        <v>0</v>
      </c>
      <c r="AO76" s="97">
        <f t="shared" ref="AO76:AO93" si="106">IFERROR(0,MAX(0,($AN$7-$AN$6)/$AN$7*AN76))</f>
        <v>0</v>
      </c>
      <c r="AP76" s="98">
        <f t="shared" ref="AP76:AP93" si="107">+AM76-AO76</f>
        <v>4975000</v>
      </c>
      <c r="AQ76" s="77">
        <f t="shared" ref="AQ76:AQ93" si="108">AM76</f>
        <v>4975000</v>
      </c>
      <c r="AR76" s="78">
        <f>NOT(Calcs!BE81)*AQ76</f>
        <v>0</v>
      </c>
      <c r="AS76" s="97">
        <f t="shared" ref="AS76:AS93" si="109">IFERROR(0,MAX(0,($AR$7-$AR$6)/$AR$7*AR76))</f>
        <v>0</v>
      </c>
      <c r="AT76" s="98">
        <f t="shared" ref="AT76:AT93" si="110">+AQ76-AS76</f>
        <v>4975000</v>
      </c>
      <c r="AU76" s="77">
        <f t="shared" ref="AU76:AU93" si="111">AQ76</f>
        <v>4975000</v>
      </c>
      <c r="AV76" s="97">
        <f>IF(Calcs!BC81=TRUE, AU76, 0)</f>
        <v>0</v>
      </c>
      <c r="AW76" s="97">
        <f t="shared" ref="AW76:AW93" si="112">+IFERROR(MAX(0,($AV$7-$AV$6)/$AV$7*AV76),0)</f>
        <v>0</v>
      </c>
      <c r="AX76" s="98">
        <f t="shared" ref="AX76:AX93" si="113">+AU76-AW76</f>
        <v>4975000</v>
      </c>
      <c r="AY76" s="77">
        <f t="shared" ref="AY76:AY93" si="114">AU76</f>
        <v>4975000</v>
      </c>
      <c r="AZ76" s="97">
        <f>Calcs!BK81*AY76</f>
        <v>0</v>
      </c>
      <c r="BA76" s="97">
        <f t="shared" ref="BA76:BA93" si="115">+IFERROR(MAX(0,($AZ$7-$AZ$6)/$AZ$7*AZ76),0)</f>
        <v>0</v>
      </c>
      <c r="BB76" s="98">
        <f t="shared" ref="BB76:BB93" si="116">+AY76-BA76</f>
        <v>4975000</v>
      </c>
      <c r="BC76" s="77">
        <f t="shared" ref="BC76:BC93" si="117">AY76</f>
        <v>4975000</v>
      </c>
      <c r="BD76" s="97"/>
      <c r="BE76" s="97"/>
      <c r="BF76" s="98"/>
      <c r="BG76" s="77">
        <f t="shared" ref="BG76:BG93" si="118">BC76</f>
        <v>4975000</v>
      </c>
      <c r="BH76" s="97">
        <f>IF(Calcs!BJ81=FALSE,0,BG76)</f>
        <v>0</v>
      </c>
      <c r="BI76" s="97">
        <f t="shared" ref="BI76:BI93" si="119">+IFERROR(MAX(0,($BH$7-$BH$6)/$BH$7*BH76),0)</f>
        <v>0</v>
      </c>
      <c r="BJ76" s="98">
        <f t="shared" ref="BJ76:BJ93" si="120">+BG76-BI76</f>
        <v>4975000</v>
      </c>
      <c r="BK76" s="77">
        <f t="shared" ref="BK76:BK93" si="121">BG76</f>
        <v>4975000</v>
      </c>
      <c r="BL76" s="97">
        <f>IF(Calcs!AW81=TRUE,BK76,0)</f>
        <v>0</v>
      </c>
      <c r="BM76" s="97">
        <f t="shared" ref="BM76:BM93" si="122">+IFERROR(MAX(0,($BL$7-$BL$6)/$BL$7*BL76),0)</f>
        <v>0</v>
      </c>
      <c r="BN76" s="98">
        <f t="shared" ref="BN76:BN93" si="123">+BK76-BM76</f>
        <v>4975000</v>
      </c>
      <c r="BO76" s="77">
        <f t="shared" ref="BO76:BO93" si="124">BK76</f>
        <v>4975000</v>
      </c>
      <c r="BP76" s="97"/>
      <c r="BQ76" s="97">
        <f t="shared" ref="BQ76:BQ93" si="125">+IFERROR(MAX(0,($BP$7-$BP$6)/$BP$7*BP76),0)</f>
        <v>0</v>
      </c>
      <c r="BR76" s="98">
        <f t="shared" ref="BR76:BR93" si="126">+BO76-BQ76</f>
        <v>4975000</v>
      </c>
      <c r="BS76" s="77">
        <f t="shared" ref="BS76:BS93" si="127">BO76</f>
        <v>4975000</v>
      </c>
      <c r="BT76" s="97">
        <f>IF(Calcs!BB81=TRUE,'Concentration Limitations'!BS76,0)</f>
        <v>0</v>
      </c>
      <c r="BU76" s="97">
        <f t="shared" ref="BU76:BU93" si="128">+IFERROR(MAX(0,($BT$7-$BT$6)/$BT$7*BT76),0)</f>
        <v>0</v>
      </c>
      <c r="BV76" s="98">
        <f t="shared" ref="BV76:BV93" si="129">+BS76-BU76</f>
        <v>4975000</v>
      </c>
      <c r="BW76" s="77">
        <f t="shared" ref="BW76:BW93" si="130">BS76</f>
        <v>4975000</v>
      </c>
      <c r="BX76" s="97">
        <f>IF(Calcs!BI81=TRUE,'Concentration Limitations'!BW76,0)</f>
        <v>0</v>
      </c>
      <c r="BY76" s="97">
        <f t="shared" ref="BY76:BY93" si="131">+IFERROR(MAX(0,($BT$7-$BT$6)/$BT$7*BX76),0)</f>
        <v>0</v>
      </c>
      <c r="BZ76" s="98">
        <f t="shared" ref="BZ76:BZ93" si="132">+BW76-BY76</f>
        <v>4975000</v>
      </c>
      <c r="CA76" s="97">
        <f t="shared" ref="CA76:CA93" si="133">AU76</f>
        <v>4975000</v>
      </c>
      <c r="CB76" s="97"/>
      <c r="CC76" s="97"/>
      <c r="CD76" s="98">
        <f t="shared" ref="CD76:CD93" si="134">+CA76-CC76</f>
        <v>4975000</v>
      </c>
      <c r="CE76" s="97">
        <f t="shared" ref="CE76:CE93" si="135">CA76</f>
        <v>4975000</v>
      </c>
      <c r="CF76" s="97"/>
      <c r="CG76" s="97"/>
      <c r="CH76" s="98">
        <f t="shared" ref="CH76:CH93" si="136">+CE76-CG76</f>
        <v>4975000</v>
      </c>
      <c r="CI76" s="97">
        <f t="shared" ref="CI76:CI93" si="137">CE76</f>
        <v>4975000</v>
      </c>
      <c r="CJ76" s="97"/>
      <c r="CK76" s="97"/>
      <c r="CL76" s="98">
        <f t="shared" ref="CL76:CL93" si="138">+CI76-CK76</f>
        <v>4975000</v>
      </c>
      <c r="CM76" s="97">
        <f t="shared" ref="CM76:CM93" si="139">CI76</f>
        <v>4975000</v>
      </c>
      <c r="CN76" s="97"/>
      <c r="CO76" s="97"/>
      <c r="CP76" s="98">
        <f t="shared" ref="CP76:CP93" si="140">+CM76-CO76</f>
        <v>4975000</v>
      </c>
      <c r="CQ76" s="97">
        <f t="shared" ref="CQ76:CQ93" si="141">CM76</f>
        <v>4975000</v>
      </c>
      <c r="CR76" s="97"/>
      <c r="CS76" s="97">
        <f t="shared" ref="CS76:CS93" si="142">+IFERROR(MAX(0,(CR$7-CR$6)/CR$7*CR76),0)</f>
        <v>0</v>
      </c>
      <c r="CT76" s="98">
        <f t="shared" ref="CT76:CT93" si="143">+CQ76-CS76</f>
        <v>4975000</v>
      </c>
      <c r="CU76" s="97">
        <f t="shared" ref="CU76:CU93" si="144">CQ76</f>
        <v>4975000</v>
      </c>
      <c r="CV76" s="97"/>
      <c r="CW76" s="97">
        <f t="shared" ref="CW76:CW93" si="145">+IFERROR(MAX(0,(CV$7-CV$6)/CV$7*CV76),0)</f>
        <v>0</v>
      </c>
      <c r="CX76" s="98">
        <f t="shared" ref="CX76:CX93" si="146">+CU76-CW76</f>
        <v>4975000</v>
      </c>
      <c r="CY76" s="97">
        <f t="shared" ref="CY76:CY93" si="147">CU76</f>
        <v>4975000</v>
      </c>
      <c r="CZ76" s="97"/>
      <c r="DA76" s="97"/>
      <c r="DB76" s="98">
        <f t="shared" ref="DB76:DB93" si="148">+CY76-DA76</f>
        <v>4975000</v>
      </c>
      <c r="DC76" s="75">
        <f t="shared" ref="DC76:DC93" si="149">CY76</f>
        <v>4975000</v>
      </c>
      <c r="DD76" s="97"/>
      <c r="DE76" s="97"/>
      <c r="DF76" s="98">
        <f t="shared" ref="DF76:DF93" si="150">+DC76-DE76</f>
        <v>4975000</v>
      </c>
      <c r="DG76" s="75">
        <f t="shared" ref="DG76:DG93" si="151">DF76</f>
        <v>4975000</v>
      </c>
      <c r="DH76" s="78" t="str">
        <f>Calcs!F81</f>
        <v>Professional Services</v>
      </c>
      <c r="DI76" s="99">
        <f t="shared" ref="DI76:DI93" ca="1" si="152">+IFERROR(MAX(0,OFFSET($DQ$11,MATCH(DH76,$DL$12:$DL$106,0),0)-OFFSET($DU$11,MATCH(DH76,$DL$12:$DL$106,0),0))/OFFSET($DQ$11,MATCH(DH76,$DL$12:$DL$106,0),0)*DG76,0)</f>
        <v>0</v>
      </c>
      <c r="DJ76" s="98">
        <f t="shared" ref="DJ76:DJ93" ca="1" si="153">(+DG76-DI76)</f>
        <v>4975000</v>
      </c>
      <c r="DK76" s="293">
        <f t="shared" si="75"/>
        <v>19</v>
      </c>
      <c r="DL76" s="532" t="s">
        <v>1194</v>
      </c>
      <c r="DM76" s="36"/>
      <c r="DN76" s="36"/>
      <c r="DO76" s="36"/>
      <c r="DP76" s="36"/>
      <c r="DQ76" s="413" cm="1">
        <f t="array" ref="DQ76">+SUMPRODUCT((DL76=$DH$12:$DH$307)*($DG$12:$DG$307))/$N$6</f>
        <v>0</v>
      </c>
      <c r="DR76" s="414">
        <f t="shared" si="76"/>
        <v>19</v>
      </c>
      <c r="DS76" s="413" cm="1">
        <f t="array" aca="1" ref="DS76" ca="1">+SUMPRODUCT((DL76=$DH$12:$DH$307)*($DJ$12:$DJ$307))/$N$6</f>
        <v>0</v>
      </c>
      <c r="DT76" s="417">
        <f t="shared" ref="DT76:DT86" ca="1" si="154">COUNTIF($DS$12:$DS$106,"&gt;"&amp;DS76)+1</f>
        <v>19</v>
      </c>
      <c r="DU76" s="415">
        <f t="shared" si="77"/>
        <v>0.1</v>
      </c>
      <c r="DV76" s="416">
        <f t="shared" si="78"/>
        <v>0.1</v>
      </c>
    </row>
    <row r="77" spans="6:126">
      <c r="F77" s="2">
        <f t="shared" ca="1" si="79"/>
        <v>1</v>
      </c>
      <c r="G77" s="40" t="str">
        <f>Calcs!A82</f>
        <v>Marketplace</v>
      </c>
      <c r="H77" s="68">
        <f t="shared" ref="H77:H93" ca="1" si="155">MIN(V77,Z77,AD77,AH77,AL77,AP77,AT77,AX77,BB77,BF77,BJ77,DJ77,BN77,BR77,BV77,BZ77)</f>
        <v>19950000</v>
      </c>
      <c r="I77" s="96"/>
      <c r="J77" s="96"/>
      <c r="K77" s="63">
        <f>+IF(G77="","",IF(COUNTIF(G78:$G$307,G77)=0,1,0))</f>
        <v>1</v>
      </c>
      <c r="L77" s="75">
        <f>Calcs!U82</f>
        <v>19950000</v>
      </c>
      <c r="M77">
        <f t="shared" si="87"/>
        <v>1</v>
      </c>
      <c r="N77" s="75">
        <f t="shared" ref="N77:N93" si="156">+SUMPRODUCT((G77=$G$12:$G$307)*($L$12:$L$307))*K77</f>
        <v>19950000</v>
      </c>
      <c r="O77" s="75">
        <f t="shared" si="88"/>
        <v>19950000</v>
      </c>
      <c r="P77" s="72">
        <f t="shared" si="89"/>
        <v>0.1</v>
      </c>
      <c r="Q77" s="72">
        <f t="shared" si="90"/>
        <v>3.3219766415571582E-2</v>
      </c>
      <c r="R77" s="61">
        <f t="shared" si="91"/>
        <v>0</v>
      </c>
      <c r="S77" s="68">
        <f t="shared" si="92"/>
        <v>19950000</v>
      </c>
      <c r="T77" s="68">
        <f t="shared" si="93"/>
        <v>19950000</v>
      </c>
      <c r="U77">
        <f t="array" aca="1" ref="U77" ca="1">SUM(1*(S77&lt;$S$12:$S$307))+1+IF(ROW(S77)-ROW($S$12)=0,0,SUM(1*(S77=OFFSET($S$12,0,0,INDEX(ROW(S77)-ROW($S$12)+1,1)-1,1))))</f>
        <v>1</v>
      </c>
      <c r="V77" s="96">
        <f t="shared" si="94"/>
        <v>19950000</v>
      </c>
      <c r="W77" s="75">
        <f>Calcs!U82</f>
        <v>19950000</v>
      </c>
      <c r="X77" s="78">
        <f>IFERROR(OR(Calcs!#REF!,Calcs!#REF!)*W77,0)</f>
        <v>0</v>
      </c>
      <c r="Y77" s="97">
        <f t="shared" si="95"/>
        <v>0</v>
      </c>
      <c r="Z77" s="98">
        <f t="shared" si="96"/>
        <v>19950000</v>
      </c>
      <c r="AA77" s="77">
        <f t="shared" si="97"/>
        <v>19950000</v>
      </c>
      <c r="AB77" s="78">
        <f>IF(AND(Calcs!BM82=TRUE),AA77,0)</f>
        <v>0</v>
      </c>
      <c r="AC77" s="97">
        <f t="shared" si="98"/>
        <v>0</v>
      </c>
      <c r="AD77" s="98">
        <f t="shared" si="99"/>
        <v>19950000</v>
      </c>
      <c r="AE77" s="77">
        <f t="shared" ref="AE77:AE93" si="157">AA77</f>
        <v>19950000</v>
      </c>
      <c r="AF77" s="78">
        <f>IF(Calcs!BY82&lt;15,AE77,0)</f>
        <v>0</v>
      </c>
      <c r="AG77" s="97">
        <f t="shared" si="100"/>
        <v>0</v>
      </c>
      <c r="AH77" s="98">
        <f t="shared" si="101"/>
        <v>19950000</v>
      </c>
      <c r="AI77" s="77">
        <f t="shared" si="102"/>
        <v>19950000</v>
      </c>
      <c r="AJ77" s="78">
        <f>IF(Calcs!BY82&lt;10,AE77,0)</f>
        <v>0</v>
      </c>
      <c r="AK77" s="97">
        <f t="shared" si="103"/>
        <v>0</v>
      </c>
      <c r="AL77" s="98">
        <f t="shared" si="104"/>
        <v>19950000</v>
      </c>
      <c r="AM77" s="77">
        <f t="shared" si="105"/>
        <v>19950000</v>
      </c>
      <c r="AN77" s="78">
        <f>NOT(Calcs!BD82)*AM77</f>
        <v>0</v>
      </c>
      <c r="AO77" s="97">
        <f t="shared" si="106"/>
        <v>0</v>
      </c>
      <c r="AP77" s="98">
        <f t="shared" si="107"/>
        <v>19950000</v>
      </c>
      <c r="AQ77" s="77">
        <f t="shared" si="108"/>
        <v>19950000</v>
      </c>
      <c r="AR77" s="78">
        <f>NOT(Calcs!BE82)*AQ77</f>
        <v>0</v>
      </c>
      <c r="AS77" s="97">
        <f t="shared" si="109"/>
        <v>0</v>
      </c>
      <c r="AT77" s="98">
        <f t="shared" si="110"/>
        <v>19950000</v>
      </c>
      <c r="AU77" s="77">
        <f t="shared" si="111"/>
        <v>19950000</v>
      </c>
      <c r="AV77" s="97">
        <f>IF(Calcs!BC82=TRUE, AU77, 0)</f>
        <v>0</v>
      </c>
      <c r="AW77" s="97">
        <f t="shared" si="112"/>
        <v>0</v>
      </c>
      <c r="AX77" s="98">
        <f t="shared" si="113"/>
        <v>19950000</v>
      </c>
      <c r="AY77" s="77">
        <f t="shared" si="114"/>
        <v>19950000</v>
      </c>
      <c r="AZ77" s="97">
        <f>Calcs!BK82*AY77</f>
        <v>0</v>
      </c>
      <c r="BA77" s="97">
        <f t="shared" si="115"/>
        <v>0</v>
      </c>
      <c r="BB77" s="98">
        <f t="shared" si="116"/>
        <v>19950000</v>
      </c>
      <c r="BC77" s="77">
        <f t="shared" si="117"/>
        <v>19950000</v>
      </c>
      <c r="BD77" s="97"/>
      <c r="BE77" s="97"/>
      <c r="BF77" s="98"/>
      <c r="BG77" s="77">
        <f t="shared" si="118"/>
        <v>19950000</v>
      </c>
      <c r="BH77" s="97">
        <f>IF(Calcs!BJ82=FALSE,0,BG77)</f>
        <v>0</v>
      </c>
      <c r="BI77" s="97">
        <f t="shared" si="119"/>
        <v>0</v>
      </c>
      <c r="BJ77" s="98">
        <f t="shared" si="120"/>
        <v>19950000</v>
      </c>
      <c r="BK77" s="77">
        <f t="shared" si="121"/>
        <v>19950000</v>
      </c>
      <c r="BL77" s="97">
        <f>IF(Calcs!AW82=TRUE,BK77,0)</f>
        <v>0</v>
      </c>
      <c r="BM77" s="97">
        <f t="shared" si="122"/>
        <v>0</v>
      </c>
      <c r="BN77" s="98">
        <f t="shared" si="123"/>
        <v>19950000</v>
      </c>
      <c r="BO77" s="77">
        <f t="shared" si="124"/>
        <v>19950000</v>
      </c>
      <c r="BP77" s="97"/>
      <c r="BQ77" s="97">
        <f t="shared" si="125"/>
        <v>0</v>
      </c>
      <c r="BR77" s="98">
        <f t="shared" si="126"/>
        <v>19950000</v>
      </c>
      <c r="BS77" s="77">
        <f t="shared" si="127"/>
        <v>19950000</v>
      </c>
      <c r="BT77" s="97">
        <f>IF(Calcs!BB82=TRUE,'Concentration Limitations'!BS77,0)</f>
        <v>0</v>
      </c>
      <c r="BU77" s="97">
        <f t="shared" si="128"/>
        <v>0</v>
      </c>
      <c r="BV77" s="98">
        <f t="shared" si="129"/>
        <v>19950000</v>
      </c>
      <c r="BW77" s="77">
        <f t="shared" si="130"/>
        <v>19950000</v>
      </c>
      <c r="BX77" s="97">
        <f>IF(Calcs!BI82=TRUE,'Concentration Limitations'!BW77,0)</f>
        <v>0</v>
      </c>
      <c r="BY77" s="97">
        <f t="shared" si="131"/>
        <v>0</v>
      </c>
      <c r="BZ77" s="98">
        <f t="shared" si="132"/>
        <v>19950000</v>
      </c>
      <c r="CA77" s="97">
        <f t="shared" si="133"/>
        <v>19950000</v>
      </c>
      <c r="CB77" s="97"/>
      <c r="CC77" s="97"/>
      <c r="CD77" s="98">
        <f t="shared" si="134"/>
        <v>19950000</v>
      </c>
      <c r="CE77" s="97">
        <f t="shared" si="135"/>
        <v>19950000</v>
      </c>
      <c r="CF77" s="97"/>
      <c r="CG77" s="97"/>
      <c r="CH77" s="98">
        <f t="shared" si="136"/>
        <v>19950000</v>
      </c>
      <c r="CI77" s="97">
        <f t="shared" si="137"/>
        <v>19950000</v>
      </c>
      <c r="CJ77" s="97"/>
      <c r="CK77" s="97"/>
      <c r="CL77" s="98">
        <f t="shared" si="138"/>
        <v>19950000</v>
      </c>
      <c r="CM77" s="97">
        <f t="shared" si="139"/>
        <v>19950000</v>
      </c>
      <c r="CN77" s="97"/>
      <c r="CO77" s="97"/>
      <c r="CP77" s="98">
        <f t="shared" si="140"/>
        <v>19950000</v>
      </c>
      <c r="CQ77" s="97">
        <f t="shared" si="141"/>
        <v>19950000</v>
      </c>
      <c r="CR77" s="97"/>
      <c r="CS77" s="97">
        <f t="shared" si="142"/>
        <v>0</v>
      </c>
      <c r="CT77" s="98">
        <f t="shared" si="143"/>
        <v>19950000</v>
      </c>
      <c r="CU77" s="97">
        <f t="shared" si="144"/>
        <v>19950000</v>
      </c>
      <c r="CV77" s="97"/>
      <c r="CW77" s="97">
        <f t="shared" si="145"/>
        <v>0</v>
      </c>
      <c r="CX77" s="98">
        <f t="shared" si="146"/>
        <v>19950000</v>
      </c>
      <c r="CY77" s="97">
        <f t="shared" si="147"/>
        <v>19950000</v>
      </c>
      <c r="CZ77" s="97"/>
      <c r="DA77" s="97"/>
      <c r="DB77" s="98">
        <f t="shared" si="148"/>
        <v>19950000</v>
      </c>
      <c r="DC77" s="75">
        <f t="shared" si="149"/>
        <v>19950000</v>
      </c>
      <c r="DD77" s="97"/>
      <c r="DE77" s="97"/>
      <c r="DF77" s="98">
        <f t="shared" si="150"/>
        <v>19950000</v>
      </c>
      <c r="DG77" s="75">
        <f t="shared" si="151"/>
        <v>19950000</v>
      </c>
      <c r="DH77" s="78" t="str">
        <f>Calcs!F82</f>
        <v>Media</v>
      </c>
      <c r="DI77" s="99">
        <f t="shared" ca="1" si="152"/>
        <v>0</v>
      </c>
      <c r="DJ77" s="98">
        <f t="shared" ca="1" si="153"/>
        <v>19950000</v>
      </c>
      <c r="DK77" s="293">
        <f t="shared" ref="DK77:DK80" si="158">DR77</f>
        <v>19</v>
      </c>
      <c r="DL77" s="532" t="s">
        <v>318</v>
      </c>
      <c r="DM77" s="36"/>
      <c r="DN77" s="36"/>
      <c r="DO77" s="36"/>
      <c r="DP77" s="36"/>
      <c r="DQ77" s="413" cm="1">
        <f t="array" ref="DQ77">+SUMPRODUCT((DL77=$DH$12:$DH$307)*($DG$12:$DG$307))/$N$6</f>
        <v>0</v>
      </c>
      <c r="DR77" s="414">
        <f t="shared" ref="DR77:DR86" si="159">COUNTIF($DQ$12:$DQ$300,"&gt;"&amp;DQ77)+1</f>
        <v>19</v>
      </c>
      <c r="DS77" s="413" cm="1">
        <f t="array" aca="1" ref="DS77" ca="1">+SUMPRODUCT((DL77=$DH$12:$DH$307)*($DJ$12:$DJ$307))/$N$6</f>
        <v>0</v>
      </c>
      <c r="DT77" s="417">
        <f t="shared" ca="1" si="154"/>
        <v>19</v>
      </c>
      <c r="DU77" s="415">
        <f t="shared" ref="DU77:DU86" si="160">+IF(DR77=1,0.2,IF(DR77=2,0.15, IF(DR77=3, 0.12, 0.1)))</f>
        <v>0.1</v>
      </c>
      <c r="DV77" s="416">
        <f t="shared" ref="DV77:DV86" si="161">DU77-DQ77</f>
        <v>0.1</v>
      </c>
    </row>
    <row r="78" spans="6:126">
      <c r="F78" s="2">
        <f t="shared" ca="1" si="79"/>
        <v>60</v>
      </c>
      <c r="G78" s="40" t="str">
        <f>Calcs!A83</f>
        <v>Emergency Care Partners LLC</v>
      </c>
      <c r="H78" s="68">
        <f t="shared" ca="1" si="155"/>
        <v>992500</v>
      </c>
      <c r="I78" s="96"/>
      <c r="J78" s="96"/>
      <c r="K78" s="63">
        <f>+IF(G78="","",IF(COUNTIF(G79:$G$307,G78)=0,1,0))</f>
        <v>1</v>
      </c>
      <c r="L78" s="75">
        <f>Calcs!U83</f>
        <v>992500</v>
      </c>
      <c r="M78">
        <f t="shared" si="87"/>
        <v>59</v>
      </c>
      <c r="N78" s="75">
        <f t="shared" si="156"/>
        <v>992500</v>
      </c>
      <c r="O78" s="75">
        <f t="shared" si="88"/>
        <v>992500</v>
      </c>
      <c r="P78" s="72">
        <f t="shared" si="89"/>
        <v>0.05</v>
      </c>
      <c r="Q78" s="72">
        <f t="shared" si="90"/>
        <v>1.6526625647847015E-3</v>
      </c>
      <c r="R78" s="61">
        <f t="shared" si="91"/>
        <v>0</v>
      </c>
      <c r="S78" s="68">
        <f t="shared" si="92"/>
        <v>992500</v>
      </c>
      <c r="T78" s="68">
        <f t="shared" si="93"/>
        <v>992500</v>
      </c>
      <c r="U78">
        <f t="array" aca="1" ref="U78" ca="1">SUM(1*(S78&lt;$S$12:$S$307))+1+IF(ROW(S78)-ROW($S$12)=0,0,SUM(1*(S78=OFFSET($S$12,0,0,INDEX(ROW(S78)-ROW($S$12)+1,1)-1,1))))</f>
        <v>60</v>
      </c>
      <c r="V78" s="96">
        <f t="shared" si="94"/>
        <v>992500</v>
      </c>
      <c r="W78" s="75">
        <f>Calcs!U83</f>
        <v>992500</v>
      </c>
      <c r="X78" s="78">
        <f>IFERROR(OR(Calcs!BH80,Calcs!BI80)*W78,0)</f>
        <v>0</v>
      </c>
      <c r="Y78" s="97">
        <f t="shared" si="95"/>
        <v>0</v>
      </c>
      <c r="Z78" s="98">
        <f t="shared" si="96"/>
        <v>992500</v>
      </c>
      <c r="AA78" s="77">
        <f t="shared" si="97"/>
        <v>992500</v>
      </c>
      <c r="AB78" s="78">
        <f>IF(AND(Calcs!BM83=TRUE),AA78,0)</f>
        <v>0</v>
      </c>
      <c r="AC78" s="97">
        <f t="shared" si="98"/>
        <v>0</v>
      </c>
      <c r="AD78" s="98">
        <f t="shared" si="99"/>
        <v>992500</v>
      </c>
      <c r="AE78" s="77">
        <f t="shared" si="157"/>
        <v>992500</v>
      </c>
      <c r="AF78" s="78">
        <f>IF(Calcs!BY83&lt;15,AE78,0)</f>
        <v>0</v>
      </c>
      <c r="AG78" s="97">
        <f t="shared" si="100"/>
        <v>0</v>
      </c>
      <c r="AH78" s="98">
        <f t="shared" si="101"/>
        <v>992500</v>
      </c>
      <c r="AI78" s="77">
        <f t="shared" si="102"/>
        <v>992500</v>
      </c>
      <c r="AJ78" s="78">
        <f>IF(Calcs!BY83&lt;10,AE78,0)</f>
        <v>0</v>
      </c>
      <c r="AK78" s="97">
        <f t="shared" si="103"/>
        <v>0</v>
      </c>
      <c r="AL78" s="98">
        <f t="shared" si="104"/>
        <v>992500</v>
      </c>
      <c r="AM78" s="77">
        <f t="shared" si="105"/>
        <v>992500</v>
      </c>
      <c r="AN78" s="78">
        <f>NOT(Calcs!BD83)*AM78</f>
        <v>0</v>
      </c>
      <c r="AO78" s="97">
        <f t="shared" si="106"/>
        <v>0</v>
      </c>
      <c r="AP78" s="98">
        <f t="shared" si="107"/>
        <v>992500</v>
      </c>
      <c r="AQ78" s="77">
        <f t="shared" si="108"/>
        <v>992500</v>
      </c>
      <c r="AR78" s="78">
        <f>NOT(Calcs!BE83)*AQ78</f>
        <v>0</v>
      </c>
      <c r="AS78" s="97">
        <f t="shared" si="109"/>
        <v>0</v>
      </c>
      <c r="AT78" s="98">
        <f t="shared" si="110"/>
        <v>992500</v>
      </c>
      <c r="AU78" s="77">
        <f t="shared" si="111"/>
        <v>992500</v>
      </c>
      <c r="AV78" s="97">
        <f>IF(Calcs!BC83=TRUE, AU78, 0)</f>
        <v>0</v>
      </c>
      <c r="AW78" s="97">
        <f t="shared" si="112"/>
        <v>0</v>
      </c>
      <c r="AX78" s="98">
        <f t="shared" si="113"/>
        <v>992500</v>
      </c>
      <c r="AY78" s="77">
        <f t="shared" si="114"/>
        <v>992500</v>
      </c>
      <c r="AZ78" s="97">
        <f>Calcs!BK83*AY78</f>
        <v>0</v>
      </c>
      <c r="BA78" s="97">
        <f t="shared" si="115"/>
        <v>0</v>
      </c>
      <c r="BB78" s="98">
        <f t="shared" si="116"/>
        <v>992500</v>
      </c>
      <c r="BC78" s="77">
        <f t="shared" si="117"/>
        <v>992500</v>
      </c>
      <c r="BD78" s="97"/>
      <c r="BE78" s="97"/>
      <c r="BF78" s="98"/>
      <c r="BG78" s="77">
        <f t="shared" si="118"/>
        <v>992500</v>
      </c>
      <c r="BH78" s="97">
        <f>IF(Calcs!BJ83=FALSE,0,BG78)</f>
        <v>0</v>
      </c>
      <c r="BI78" s="97">
        <f t="shared" si="119"/>
        <v>0</v>
      </c>
      <c r="BJ78" s="98">
        <f t="shared" si="120"/>
        <v>992500</v>
      </c>
      <c r="BK78" s="77">
        <f t="shared" si="121"/>
        <v>992500</v>
      </c>
      <c r="BL78" s="97">
        <f>IF(Calcs!AW83=TRUE,BK78,0)</f>
        <v>0</v>
      </c>
      <c r="BM78" s="97">
        <f t="shared" si="122"/>
        <v>0</v>
      </c>
      <c r="BN78" s="98">
        <f t="shared" si="123"/>
        <v>992500</v>
      </c>
      <c r="BO78" s="77">
        <f t="shared" si="124"/>
        <v>992500</v>
      </c>
      <c r="BP78" s="97"/>
      <c r="BQ78" s="97">
        <f t="shared" si="125"/>
        <v>0</v>
      </c>
      <c r="BR78" s="98">
        <f t="shared" si="126"/>
        <v>992500</v>
      </c>
      <c r="BS78" s="77">
        <f t="shared" si="127"/>
        <v>992500</v>
      </c>
      <c r="BT78" s="97">
        <f>IF(Calcs!BB83=TRUE,'Concentration Limitations'!BS78,0)</f>
        <v>0</v>
      </c>
      <c r="BU78" s="97">
        <f t="shared" si="128"/>
        <v>0</v>
      </c>
      <c r="BV78" s="98">
        <f t="shared" si="129"/>
        <v>992500</v>
      </c>
      <c r="BW78" s="77">
        <f t="shared" si="130"/>
        <v>992500</v>
      </c>
      <c r="BX78" s="97">
        <f>IF(Calcs!BI83=TRUE,'Concentration Limitations'!BW78,0)</f>
        <v>0</v>
      </c>
      <c r="BY78" s="97">
        <f t="shared" si="131"/>
        <v>0</v>
      </c>
      <c r="BZ78" s="98">
        <f t="shared" si="132"/>
        <v>992500</v>
      </c>
      <c r="CA78" s="97">
        <f t="shared" si="133"/>
        <v>992500</v>
      </c>
      <c r="CB78" s="97"/>
      <c r="CC78" s="97"/>
      <c r="CD78" s="98">
        <f t="shared" si="134"/>
        <v>992500</v>
      </c>
      <c r="CE78" s="97">
        <f t="shared" si="135"/>
        <v>992500</v>
      </c>
      <c r="CF78" s="97"/>
      <c r="CG78" s="97"/>
      <c r="CH78" s="98">
        <f t="shared" si="136"/>
        <v>992500</v>
      </c>
      <c r="CI78" s="97">
        <f t="shared" si="137"/>
        <v>992500</v>
      </c>
      <c r="CJ78" s="97"/>
      <c r="CK78" s="97"/>
      <c r="CL78" s="98">
        <f t="shared" si="138"/>
        <v>992500</v>
      </c>
      <c r="CM78" s="97">
        <f t="shared" si="139"/>
        <v>992500</v>
      </c>
      <c r="CN78" s="97"/>
      <c r="CO78" s="97"/>
      <c r="CP78" s="98">
        <f t="shared" si="140"/>
        <v>992500</v>
      </c>
      <c r="CQ78" s="97">
        <f t="shared" si="141"/>
        <v>992500</v>
      </c>
      <c r="CR78" s="97"/>
      <c r="CS78" s="97">
        <f t="shared" si="142"/>
        <v>0</v>
      </c>
      <c r="CT78" s="98">
        <f t="shared" si="143"/>
        <v>992500</v>
      </c>
      <c r="CU78" s="97">
        <f t="shared" si="144"/>
        <v>992500</v>
      </c>
      <c r="CV78" s="97"/>
      <c r="CW78" s="97">
        <f t="shared" si="145"/>
        <v>0</v>
      </c>
      <c r="CX78" s="98">
        <f t="shared" si="146"/>
        <v>992500</v>
      </c>
      <c r="CY78" s="97">
        <f t="shared" si="147"/>
        <v>992500</v>
      </c>
      <c r="CZ78" s="97"/>
      <c r="DA78" s="97"/>
      <c r="DB78" s="98">
        <f t="shared" si="148"/>
        <v>992500</v>
      </c>
      <c r="DC78" s="75">
        <f t="shared" si="149"/>
        <v>992500</v>
      </c>
      <c r="DD78" s="97"/>
      <c r="DE78" s="97"/>
      <c r="DF78" s="98">
        <f t="shared" si="150"/>
        <v>992500</v>
      </c>
      <c r="DG78" s="75">
        <f t="shared" si="151"/>
        <v>992500</v>
      </c>
      <c r="DH78" s="78" t="str">
        <f>Calcs!F83</f>
        <v>Health Care Providers &amp; Services</v>
      </c>
      <c r="DI78" s="99">
        <f t="shared" ca="1" si="152"/>
        <v>0</v>
      </c>
      <c r="DJ78" s="98">
        <f t="shared" ca="1" si="153"/>
        <v>992500</v>
      </c>
      <c r="DK78" s="293">
        <f t="shared" si="158"/>
        <v>19</v>
      </c>
      <c r="DL78" s="532" t="s">
        <v>1193</v>
      </c>
      <c r="DM78" s="36"/>
      <c r="DN78" s="36"/>
      <c r="DO78" s="36"/>
      <c r="DP78" s="36"/>
      <c r="DQ78" s="413" cm="1">
        <f t="array" ref="DQ78">+SUMPRODUCT((DL78=$DH$12:$DH$307)*($DG$12:$DG$307))/$N$6</f>
        <v>0</v>
      </c>
      <c r="DR78" s="414">
        <f t="shared" si="159"/>
        <v>19</v>
      </c>
      <c r="DS78" s="413" cm="1">
        <f t="array" aca="1" ref="DS78" ca="1">+SUMPRODUCT((DL78=$DH$12:$DH$307)*($DJ$12:$DJ$307))/$N$6</f>
        <v>0</v>
      </c>
      <c r="DT78" s="417">
        <f t="shared" ca="1" si="154"/>
        <v>19</v>
      </c>
      <c r="DU78" s="415">
        <f t="shared" si="160"/>
        <v>0.1</v>
      </c>
      <c r="DV78" s="416">
        <f t="shared" si="161"/>
        <v>0.1</v>
      </c>
    </row>
    <row r="79" spans="6:126">
      <c r="F79" s="2">
        <f t="shared" ref="F79:F85" ca="1" si="162">U79</f>
        <v>68</v>
      </c>
      <c r="G79" s="40" t="str">
        <f>Calcs!A84</f>
        <v>Amsive Holding Corporation</v>
      </c>
      <c r="H79" s="68">
        <f t="shared" ca="1" si="155"/>
        <v>15121.31</v>
      </c>
      <c r="I79" s="96"/>
      <c r="J79" s="96"/>
      <c r="K79" s="63">
        <f>+IF(G79="","",IF(COUNTIF(G80:$G$307,G79)=0,1,0))</f>
        <v>1</v>
      </c>
      <c r="L79" s="75">
        <f>Calcs!U84</f>
        <v>15121.31</v>
      </c>
      <c r="M79">
        <f t="shared" si="87"/>
        <v>68</v>
      </c>
      <c r="N79" s="75">
        <f t="shared" si="156"/>
        <v>15121.31</v>
      </c>
      <c r="O79" s="75">
        <f t="shared" si="88"/>
        <v>15121.31</v>
      </c>
      <c r="P79" s="72">
        <f t="shared" si="89"/>
        <v>0.05</v>
      </c>
      <c r="Q79" s="72">
        <f t="shared" si="90"/>
        <v>2.5179267473556227E-5</v>
      </c>
      <c r="R79" s="61">
        <f t="shared" si="91"/>
        <v>0</v>
      </c>
      <c r="S79" s="68">
        <f t="shared" si="92"/>
        <v>15121.31</v>
      </c>
      <c r="T79" s="68">
        <f t="shared" si="93"/>
        <v>15121.31</v>
      </c>
      <c r="U79">
        <f t="array" aca="1" ref="U79" ca="1">SUM(1*(S79&lt;$S$12:$S$307))+1+IF(ROW(S79)-ROW($S$12)=0,0,SUM(1*(S79=OFFSET($S$12,0,0,INDEX(ROW(S79)-ROW($S$12)+1,1)-1,1))))</f>
        <v>68</v>
      </c>
      <c r="V79" s="96">
        <f t="shared" si="94"/>
        <v>15121.31</v>
      </c>
      <c r="W79" s="75">
        <f>Calcs!U84</f>
        <v>15121.31</v>
      </c>
      <c r="X79" s="78">
        <f>IFERROR(OR(Calcs!BH81,Calcs!BI81)*W79,0)</f>
        <v>0</v>
      </c>
      <c r="Y79" s="97">
        <f t="shared" si="95"/>
        <v>0</v>
      </c>
      <c r="Z79" s="98">
        <f t="shared" si="96"/>
        <v>15121.31</v>
      </c>
      <c r="AA79" s="77">
        <f t="shared" si="97"/>
        <v>15121.31</v>
      </c>
      <c r="AB79" s="78">
        <f>IF(AND(Calcs!BM84=TRUE),AA79,0)</f>
        <v>0</v>
      </c>
      <c r="AC79" s="97">
        <f t="shared" si="98"/>
        <v>0</v>
      </c>
      <c r="AD79" s="98">
        <f t="shared" si="99"/>
        <v>15121.31</v>
      </c>
      <c r="AE79" s="77">
        <f t="shared" si="157"/>
        <v>15121.31</v>
      </c>
      <c r="AF79" s="78">
        <f>IF(Calcs!BY84&lt;15,AE79,0)</f>
        <v>0</v>
      </c>
      <c r="AG79" s="97">
        <f t="shared" si="100"/>
        <v>0</v>
      </c>
      <c r="AH79" s="98">
        <f t="shared" si="101"/>
        <v>15121.31</v>
      </c>
      <c r="AI79" s="77">
        <f t="shared" si="102"/>
        <v>15121.31</v>
      </c>
      <c r="AJ79" s="78">
        <f>IF(Calcs!BY84&lt;10,AE79,0)</f>
        <v>0</v>
      </c>
      <c r="AK79" s="97">
        <f t="shared" si="103"/>
        <v>0</v>
      </c>
      <c r="AL79" s="98">
        <f t="shared" si="104"/>
        <v>15121.31</v>
      </c>
      <c r="AM79" s="77">
        <f t="shared" si="105"/>
        <v>15121.31</v>
      </c>
      <c r="AN79" s="78">
        <f>NOT(Calcs!BD84)*AM79</f>
        <v>0</v>
      </c>
      <c r="AO79" s="97">
        <f t="shared" si="106"/>
        <v>0</v>
      </c>
      <c r="AP79" s="98">
        <f t="shared" si="107"/>
        <v>15121.31</v>
      </c>
      <c r="AQ79" s="77">
        <f t="shared" si="108"/>
        <v>15121.31</v>
      </c>
      <c r="AR79" s="78">
        <f>NOT(Calcs!BE84)*AQ79</f>
        <v>0</v>
      </c>
      <c r="AS79" s="97">
        <f t="shared" si="109"/>
        <v>0</v>
      </c>
      <c r="AT79" s="98">
        <f t="shared" si="110"/>
        <v>15121.31</v>
      </c>
      <c r="AU79" s="77">
        <f t="shared" si="111"/>
        <v>15121.31</v>
      </c>
      <c r="AV79" s="97">
        <f>IF(Calcs!BC84=TRUE, AU79, 0)</f>
        <v>0</v>
      </c>
      <c r="AW79" s="97">
        <f t="shared" si="112"/>
        <v>0</v>
      </c>
      <c r="AX79" s="98">
        <f t="shared" si="113"/>
        <v>15121.31</v>
      </c>
      <c r="AY79" s="77">
        <f t="shared" si="114"/>
        <v>15121.31</v>
      </c>
      <c r="AZ79" s="97">
        <f>Calcs!BK84*AY79</f>
        <v>0</v>
      </c>
      <c r="BA79" s="97">
        <f t="shared" si="115"/>
        <v>0</v>
      </c>
      <c r="BB79" s="98">
        <f t="shared" si="116"/>
        <v>15121.31</v>
      </c>
      <c r="BC79" s="77">
        <f t="shared" si="117"/>
        <v>15121.31</v>
      </c>
      <c r="BD79" s="97"/>
      <c r="BE79" s="97"/>
      <c r="BF79" s="98"/>
      <c r="BG79" s="77">
        <f t="shared" si="118"/>
        <v>15121.31</v>
      </c>
      <c r="BH79" s="97">
        <f>IF(Calcs!BJ84=FALSE,0,BG79)</f>
        <v>0</v>
      </c>
      <c r="BI79" s="97">
        <f t="shared" si="119"/>
        <v>0</v>
      </c>
      <c r="BJ79" s="98">
        <f t="shared" si="120"/>
        <v>15121.31</v>
      </c>
      <c r="BK79" s="77">
        <f t="shared" si="121"/>
        <v>15121.31</v>
      </c>
      <c r="BL79" s="97">
        <f>IF(Calcs!AW84=TRUE,BK79,0)</f>
        <v>0</v>
      </c>
      <c r="BM79" s="97">
        <f t="shared" si="122"/>
        <v>0</v>
      </c>
      <c r="BN79" s="98">
        <f t="shared" si="123"/>
        <v>15121.31</v>
      </c>
      <c r="BO79" s="77">
        <f t="shared" si="124"/>
        <v>15121.31</v>
      </c>
      <c r="BP79" s="97"/>
      <c r="BQ79" s="97">
        <f t="shared" si="125"/>
        <v>0</v>
      </c>
      <c r="BR79" s="98">
        <f t="shared" si="126"/>
        <v>15121.31</v>
      </c>
      <c r="BS79" s="77">
        <f t="shared" si="127"/>
        <v>15121.31</v>
      </c>
      <c r="BT79" s="97">
        <f>IF(Calcs!BB84=TRUE,'Concentration Limitations'!BS79,0)</f>
        <v>0</v>
      </c>
      <c r="BU79" s="97">
        <f t="shared" si="128"/>
        <v>0</v>
      </c>
      <c r="BV79" s="98">
        <f t="shared" si="129"/>
        <v>15121.31</v>
      </c>
      <c r="BW79" s="77">
        <f t="shared" si="130"/>
        <v>15121.31</v>
      </c>
      <c r="BX79" s="97">
        <f>IF(Calcs!BI84=TRUE,'Concentration Limitations'!BW79,0)</f>
        <v>0</v>
      </c>
      <c r="BY79" s="97">
        <f t="shared" si="131"/>
        <v>0</v>
      </c>
      <c r="BZ79" s="98">
        <f t="shared" si="132"/>
        <v>15121.31</v>
      </c>
      <c r="CA79" s="97">
        <f t="shared" si="133"/>
        <v>15121.31</v>
      </c>
      <c r="CB79" s="97"/>
      <c r="CC79" s="97"/>
      <c r="CD79" s="98">
        <f t="shared" si="134"/>
        <v>15121.31</v>
      </c>
      <c r="CE79" s="97">
        <f t="shared" si="135"/>
        <v>15121.31</v>
      </c>
      <c r="CF79" s="97"/>
      <c r="CG79" s="97"/>
      <c r="CH79" s="98">
        <f t="shared" si="136"/>
        <v>15121.31</v>
      </c>
      <c r="CI79" s="97">
        <f t="shared" si="137"/>
        <v>15121.31</v>
      </c>
      <c r="CJ79" s="97"/>
      <c r="CK79" s="97"/>
      <c r="CL79" s="98">
        <f t="shared" si="138"/>
        <v>15121.31</v>
      </c>
      <c r="CM79" s="97">
        <f t="shared" si="139"/>
        <v>15121.31</v>
      </c>
      <c r="CN79" s="97"/>
      <c r="CO79" s="97"/>
      <c r="CP79" s="98">
        <f t="shared" si="140"/>
        <v>15121.31</v>
      </c>
      <c r="CQ79" s="97">
        <f t="shared" si="141"/>
        <v>15121.31</v>
      </c>
      <c r="CR79" s="97"/>
      <c r="CS79" s="97">
        <f t="shared" si="142"/>
        <v>0</v>
      </c>
      <c r="CT79" s="98">
        <f t="shared" si="143"/>
        <v>15121.31</v>
      </c>
      <c r="CU79" s="97">
        <f t="shared" si="144"/>
        <v>15121.31</v>
      </c>
      <c r="CV79" s="97"/>
      <c r="CW79" s="97">
        <f t="shared" si="145"/>
        <v>0</v>
      </c>
      <c r="CX79" s="98">
        <f t="shared" si="146"/>
        <v>15121.31</v>
      </c>
      <c r="CY79" s="97">
        <f t="shared" si="147"/>
        <v>15121.31</v>
      </c>
      <c r="CZ79" s="97"/>
      <c r="DA79" s="97"/>
      <c r="DB79" s="98">
        <f t="shared" si="148"/>
        <v>15121.31</v>
      </c>
      <c r="DC79" s="75">
        <f t="shared" si="149"/>
        <v>15121.31</v>
      </c>
      <c r="DD79" s="97"/>
      <c r="DE79" s="97"/>
      <c r="DF79" s="98">
        <f t="shared" si="150"/>
        <v>15121.31</v>
      </c>
      <c r="DG79" s="75">
        <f t="shared" si="151"/>
        <v>15121.31</v>
      </c>
      <c r="DH79" s="78" t="str">
        <f>Calcs!F84</f>
        <v>Media</v>
      </c>
      <c r="DI79" s="99">
        <f t="shared" ca="1" si="152"/>
        <v>0</v>
      </c>
      <c r="DJ79" s="98">
        <f t="shared" ca="1" si="153"/>
        <v>15121.31</v>
      </c>
      <c r="DK79" s="293">
        <f t="shared" si="158"/>
        <v>19</v>
      </c>
      <c r="DL79" s="532" t="s">
        <v>1192</v>
      </c>
      <c r="DM79" s="36"/>
      <c r="DN79" s="36"/>
      <c r="DO79" s="36"/>
      <c r="DP79" s="36"/>
      <c r="DQ79" s="413" cm="1">
        <f t="array" ref="DQ79">+SUMPRODUCT((DL79=$DH$12:$DH$307)*($DG$12:$DG$307))/$N$6</f>
        <v>0</v>
      </c>
      <c r="DR79" s="414">
        <f t="shared" si="159"/>
        <v>19</v>
      </c>
      <c r="DS79" s="413" cm="1">
        <f t="array" aca="1" ref="DS79" ca="1">+SUMPRODUCT((DL79=$DH$12:$DH$307)*($DJ$12:$DJ$307))/$N$6</f>
        <v>0</v>
      </c>
      <c r="DT79" s="417">
        <f t="shared" ca="1" si="154"/>
        <v>19</v>
      </c>
      <c r="DU79" s="415">
        <f t="shared" si="160"/>
        <v>0.1</v>
      </c>
      <c r="DV79" s="416">
        <f t="shared" si="161"/>
        <v>0.1</v>
      </c>
    </row>
    <row r="80" spans="6:126">
      <c r="F80" s="2">
        <f t="shared" ca="1" si="162"/>
        <v>65</v>
      </c>
      <c r="G80" s="40" t="str">
        <f>Calcs!A85</f>
        <v>LAV Gear Holdings, Inc.</v>
      </c>
      <c r="H80" s="68">
        <f t="shared" ca="1" si="155"/>
        <v>308218.27</v>
      </c>
      <c r="I80" s="96"/>
      <c r="J80" s="96"/>
      <c r="K80" s="63">
        <f>+IF(G80="","",IF(COUNTIF(G81:$G$307,G80)=0,1,0))</f>
        <v>1</v>
      </c>
      <c r="L80" s="75">
        <f>Calcs!U85</f>
        <v>308218.27</v>
      </c>
      <c r="M80">
        <f t="shared" si="87"/>
        <v>65</v>
      </c>
      <c r="N80" s="75">
        <f t="shared" si="156"/>
        <v>308218.27</v>
      </c>
      <c r="O80" s="75">
        <f t="shared" si="88"/>
        <v>308218.27</v>
      </c>
      <c r="P80" s="72">
        <f t="shared" si="89"/>
        <v>0.05</v>
      </c>
      <c r="Q80" s="72">
        <f t="shared" si="90"/>
        <v>5.132300217750163E-4</v>
      </c>
      <c r="R80" s="61">
        <f t="shared" si="91"/>
        <v>0</v>
      </c>
      <c r="S80" s="68">
        <f t="shared" si="92"/>
        <v>308218.27</v>
      </c>
      <c r="T80" s="68">
        <f t="shared" si="93"/>
        <v>308218.27</v>
      </c>
      <c r="U80">
        <f t="array" aca="1" ref="U80" ca="1">SUM(1*(S80&lt;$S$12:$S$307))+1+IF(ROW(S80)-ROW($S$12)=0,0,SUM(1*(S80=OFFSET($S$12,0,0,INDEX(ROW(S80)-ROW($S$12)+1,1)-1,1))))</f>
        <v>65</v>
      </c>
      <c r="V80" s="96">
        <f t="shared" si="94"/>
        <v>308218.27</v>
      </c>
      <c r="W80" s="75">
        <f>Calcs!U85</f>
        <v>308218.27</v>
      </c>
      <c r="X80" s="78">
        <f>IFERROR(OR(Calcs!BH82,Calcs!BI82)*W80,0)</f>
        <v>0</v>
      </c>
      <c r="Y80" s="97">
        <f t="shared" si="95"/>
        <v>0</v>
      </c>
      <c r="Z80" s="98">
        <f t="shared" si="96"/>
        <v>308218.27</v>
      </c>
      <c r="AA80" s="77">
        <f t="shared" si="97"/>
        <v>308218.27</v>
      </c>
      <c r="AB80" s="78">
        <f>IF(AND(Calcs!BM85=TRUE),AA80,0)</f>
        <v>0</v>
      </c>
      <c r="AC80" s="97">
        <f t="shared" si="98"/>
        <v>0</v>
      </c>
      <c r="AD80" s="98">
        <f t="shared" si="99"/>
        <v>308218.27</v>
      </c>
      <c r="AE80" s="77">
        <f t="shared" si="157"/>
        <v>308218.27</v>
      </c>
      <c r="AF80" s="78">
        <f>IF(Calcs!BY85&lt;15,AE80,0)</f>
        <v>0</v>
      </c>
      <c r="AG80" s="97">
        <f t="shared" si="100"/>
        <v>0</v>
      </c>
      <c r="AH80" s="98">
        <f t="shared" si="101"/>
        <v>308218.27</v>
      </c>
      <c r="AI80" s="77">
        <f t="shared" si="102"/>
        <v>308218.27</v>
      </c>
      <c r="AJ80" s="78">
        <f>IF(Calcs!BY85&lt;10,AE80,0)</f>
        <v>0</v>
      </c>
      <c r="AK80" s="97">
        <f t="shared" si="103"/>
        <v>0</v>
      </c>
      <c r="AL80" s="98">
        <f t="shared" si="104"/>
        <v>308218.27</v>
      </c>
      <c r="AM80" s="77">
        <f t="shared" si="105"/>
        <v>308218.27</v>
      </c>
      <c r="AN80" s="78">
        <f>NOT(Calcs!BD85)*AM80</f>
        <v>0</v>
      </c>
      <c r="AO80" s="97">
        <f t="shared" si="106"/>
        <v>0</v>
      </c>
      <c r="AP80" s="98">
        <f t="shared" si="107"/>
        <v>308218.27</v>
      </c>
      <c r="AQ80" s="77">
        <f t="shared" si="108"/>
        <v>308218.27</v>
      </c>
      <c r="AR80" s="78">
        <f>NOT(Calcs!BE85)*AQ80</f>
        <v>0</v>
      </c>
      <c r="AS80" s="97">
        <f t="shared" si="109"/>
        <v>0</v>
      </c>
      <c r="AT80" s="98">
        <f t="shared" si="110"/>
        <v>308218.27</v>
      </c>
      <c r="AU80" s="77">
        <f t="shared" si="111"/>
        <v>308218.27</v>
      </c>
      <c r="AV80" s="97">
        <f>IF(Calcs!BC85=TRUE, AU80, 0)</f>
        <v>308218.27</v>
      </c>
      <c r="AW80" s="97">
        <f t="shared" si="112"/>
        <v>0</v>
      </c>
      <c r="AX80" s="98">
        <f t="shared" si="113"/>
        <v>308218.27</v>
      </c>
      <c r="AY80" s="77">
        <f t="shared" si="114"/>
        <v>308218.27</v>
      </c>
      <c r="AZ80" s="97">
        <f>Calcs!BK85*AY80</f>
        <v>0</v>
      </c>
      <c r="BA80" s="97">
        <f t="shared" si="115"/>
        <v>0</v>
      </c>
      <c r="BB80" s="98">
        <f t="shared" si="116"/>
        <v>308218.27</v>
      </c>
      <c r="BC80" s="77">
        <f t="shared" si="117"/>
        <v>308218.27</v>
      </c>
      <c r="BD80" s="97"/>
      <c r="BE80" s="97"/>
      <c r="BF80" s="98"/>
      <c r="BG80" s="77">
        <f t="shared" si="118"/>
        <v>308218.27</v>
      </c>
      <c r="BH80" s="97">
        <f>IF(Calcs!BJ85=FALSE,0,BG80)</f>
        <v>0</v>
      </c>
      <c r="BI80" s="97">
        <f t="shared" si="119"/>
        <v>0</v>
      </c>
      <c r="BJ80" s="98">
        <f t="shared" si="120"/>
        <v>308218.27</v>
      </c>
      <c r="BK80" s="77">
        <f t="shared" si="121"/>
        <v>308218.27</v>
      </c>
      <c r="BL80" s="97">
        <f>IF(Calcs!AW85=TRUE,BK80,0)</f>
        <v>0</v>
      </c>
      <c r="BM80" s="97">
        <f t="shared" si="122"/>
        <v>0</v>
      </c>
      <c r="BN80" s="98">
        <f t="shared" si="123"/>
        <v>308218.27</v>
      </c>
      <c r="BO80" s="77">
        <f t="shared" si="124"/>
        <v>308218.27</v>
      </c>
      <c r="BP80" s="97"/>
      <c r="BQ80" s="97">
        <f t="shared" si="125"/>
        <v>0</v>
      </c>
      <c r="BR80" s="98">
        <f t="shared" si="126"/>
        <v>308218.27</v>
      </c>
      <c r="BS80" s="77">
        <f t="shared" si="127"/>
        <v>308218.27</v>
      </c>
      <c r="BT80" s="97">
        <f>IF(Calcs!BB85=TRUE,'Concentration Limitations'!BS80,0)</f>
        <v>0</v>
      </c>
      <c r="BU80" s="97">
        <f t="shared" si="128"/>
        <v>0</v>
      </c>
      <c r="BV80" s="98">
        <f t="shared" si="129"/>
        <v>308218.27</v>
      </c>
      <c r="BW80" s="77">
        <f t="shared" si="130"/>
        <v>308218.27</v>
      </c>
      <c r="BX80" s="97">
        <f>IF(Calcs!BI85=TRUE,'Concentration Limitations'!BW80,0)</f>
        <v>0</v>
      </c>
      <c r="BY80" s="97">
        <f t="shared" si="131"/>
        <v>0</v>
      </c>
      <c r="BZ80" s="98">
        <f t="shared" si="132"/>
        <v>308218.27</v>
      </c>
      <c r="CA80" s="97">
        <f t="shared" si="133"/>
        <v>308218.27</v>
      </c>
      <c r="CB80" s="97"/>
      <c r="CC80" s="97"/>
      <c r="CD80" s="98">
        <f t="shared" si="134"/>
        <v>308218.27</v>
      </c>
      <c r="CE80" s="97">
        <f t="shared" si="135"/>
        <v>308218.27</v>
      </c>
      <c r="CF80" s="97"/>
      <c r="CG80" s="97"/>
      <c r="CH80" s="98">
        <f t="shared" si="136"/>
        <v>308218.27</v>
      </c>
      <c r="CI80" s="97">
        <f t="shared" si="137"/>
        <v>308218.27</v>
      </c>
      <c r="CJ80" s="97"/>
      <c r="CK80" s="97"/>
      <c r="CL80" s="98">
        <f t="shared" si="138"/>
        <v>308218.27</v>
      </c>
      <c r="CM80" s="97">
        <f t="shared" si="139"/>
        <v>308218.27</v>
      </c>
      <c r="CN80" s="97"/>
      <c r="CO80" s="97"/>
      <c r="CP80" s="98">
        <f t="shared" si="140"/>
        <v>308218.27</v>
      </c>
      <c r="CQ80" s="97">
        <f t="shared" si="141"/>
        <v>308218.27</v>
      </c>
      <c r="CR80" s="97"/>
      <c r="CS80" s="97">
        <f t="shared" si="142"/>
        <v>0</v>
      </c>
      <c r="CT80" s="98">
        <f t="shared" si="143"/>
        <v>308218.27</v>
      </c>
      <c r="CU80" s="97">
        <f t="shared" si="144"/>
        <v>308218.27</v>
      </c>
      <c r="CV80" s="97"/>
      <c r="CW80" s="97">
        <f t="shared" si="145"/>
        <v>0</v>
      </c>
      <c r="CX80" s="98">
        <f t="shared" si="146"/>
        <v>308218.27</v>
      </c>
      <c r="CY80" s="97">
        <f t="shared" si="147"/>
        <v>308218.27</v>
      </c>
      <c r="CZ80" s="97"/>
      <c r="DA80" s="97"/>
      <c r="DB80" s="98">
        <f t="shared" si="148"/>
        <v>308218.27</v>
      </c>
      <c r="DC80" s="75">
        <f t="shared" si="149"/>
        <v>308218.27</v>
      </c>
      <c r="DD80" s="97"/>
      <c r="DE80" s="97"/>
      <c r="DF80" s="98">
        <f t="shared" si="150"/>
        <v>308218.27</v>
      </c>
      <c r="DG80" s="75">
        <f t="shared" si="151"/>
        <v>308218.27</v>
      </c>
      <c r="DH80" s="78" t="str">
        <f>Calcs!F85</f>
        <v>Professional Services</v>
      </c>
      <c r="DI80" s="99">
        <f t="shared" ca="1" si="152"/>
        <v>0</v>
      </c>
      <c r="DJ80" s="98">
        <f t="shared" ca="1" si="153"/>
        <v>308218.27</v>
      </c>
      <c r="DK80" s="293">
        <f t="shared" si="158"/>
        <v>19</v>
      </c>
      <c r="DL80" s="532" t="s">
        <v>1131</v>
      </c>
      <c r="DM80" s="36"/>
      <c r="DN80" s="36"/>
      <c r="DO80" s="36"/>
      <c r="DP80" s="36"/>
      <c r="DQ80" s="413" cm="1">
        <f t="array" ref="DQ80">+SUMPRODUCT((DL80=$DH$12:$DH$307)*($DG$12:$DG$307))/$N$6</f>
        <v>0</v>
      </c>
      <c r="DR80" s="414">
        <f t="shared" si="159"/>
        <v>19</v>
      </c>
      <c r="DS80" s="413" cm="1">
        <f t="array" aca="1" ref="DS80" ca="1">+SUMPRODUCT((DL80=$DH$12:$DH$307)*($DJ$12:$DJ$307))/$N$6</f>
        <v>0</v>
      </c>
      <c r="DT80" s="417">
        <f t="shared" ca="1" si="154"/>
        <v>19</v>
      </c>
      <c r="DU80" s="415">
        <f t="shared" si="160"/>
        <v>0.1</v>
      </c>
      <c r="DV80" s="416">
        <f t="shared" si="161"/>
        <v>0.1</v>
      </c>
    </row>
    <row r="81" spans="6:126">
      <c r="F81" s="2">
        <f t="shared" ca="1" si="162"/>
        <v>23</v>
      </c>
      <c r="G81" s="40" t="str">
        <f>Calcs!A86</f>
        <v>Boss Industries</v>
      </c>
      <c r="H81" s="68">
        <f t="shared" ca="1" si="155"/>
        <v>5970000</v>
      </c>
      <c r="I81" s="96"/>
      <c r="J81" s="96"/>
      <c r="K81" s="63">
        <f>+IF(G81="","",IF(COUNTIF(G82:$G$307,G81)=0,1,0))</f>
        <v>1</v>
      </c>
      <c r="L81" s="75">
        <f>Calcs!U86</f>
        <v>5970000</v>
      </c>
      <c r="M81">
        <f t="shared" si="87"/>
        <v>21</v>
      </c>
      <c r="N81" s="75">
        <f t="shared" si="156"/>
        <v>5970000</v>
      </c>
      <c r="O81" s="75">
        <f t="shared" si="88"/>
        <v>5970000</v>
      </c>
      <c r="P81" s="72">
        <f t="shared" si="89"/>
        <v>0.05</v>
      </c>
      <c r="Q81" s="72">
        <f t="shared" si="90"/>
        <v>9.9409526566898426E-3</v>
      </c>
      <c r="R81" s="61">
        <f t="shared" si="91"/>
        <v>0</v>
      </c>
      <c r="S81" s="68">
        <f t="shared" si="92"/>
        <v>5970000</v>
      </c>
      <c r="T81" s="68">
        <f t="shared" si="93"/>
        <v>5970000</v>
      </c>
      <c r="U81">
        <f t="array" aca="1" ref="U81" ca="1">SUM(1*(S81&lt;$S$12:$S$307))+1+IF(ROW(S81)-ROW($S$12)=0,0,SUM(1*(S81=OFFSET($S$12,0,0,INDEX(ROW(S81)-ROW($S$12)+1,1)-1,1))))</f>
        <v>23</v>
      </c>
      <c r="V81" s="96">
        <f t="shared" si="94"/>
        <v>5970000</v>
      </c>
      <c r="W81" s="75">
        <f>Calcs!U86</f>
        <v>5970000</v>
      </c>
      <c r="X81" s="78">
        <f>IFERROR(OR(Calcs!BH83,Calcs!BI83)*W81,0)</f>
        <v>0</v>
      </c>
      <c r="Y81" s="97">
        <f t="shared" si="95"/>
        <v>0</v>
      </c>
      <c r="Z81" s="98">
        <f t="shared" si="96"/>
        <v>5970000</v>
      </c>
      <c r="AA81" s="77">
        <f t="shared" si="97"/>
        <v>5970000</v>
      </c>
      <c r="AB81" s="78">
        <f>IF(AND(Calcs!BM86=TRUE),AA81,0)</f>
        <v>0</v>
      </c>
      <c r="AC81" s="97">
        <f t="shared" si="98"/>
        <v>0</v>
      </c>
      <c r="AD81" s="98">
        <f t="shared" si="99"/>
        <v>5970000</v>
      </c>
      <c r="AE81" s="77">
        <f t="shared" si="157"/>
        <v>5970000</v>
      </c>
      <c r="AF81" s="78">
        <f>IF(Calcs!BY86&lt;15,AE81,0)</f>
        <v>5970000</v>
      </c>
      <c r="AG81" s="97">
        <f t="shared" si="100"/>
        <v>0</v>
      </c>
      <c r="AH81" s="98">
        <f t="shared" si="101"/>
        <v>5970000</v>
      </c>
      <c r="AI81" s="77">
        <f t="shared" si="102"/>
        <v>5970000</v>
      </c>
      <c r="AJ81" s="78">
        <f>IF(Calcs!BY86&lt;10,AE81,0)</f>
        <v>0</v>
      </c>
      <c r="AK81" s="97">
        <f t="shared" si="103"/>
        <v>0</v>
      </c>
      <c r="AL81" s="98">
        <f t="shared" si="104"/>
        <v>5970000</v>
      </c>
      <c r="AM81" s="77">
        <f t="shared" si="105"/>
        <v>5970000</v>
      </c>
      <c r="AN81" s="78">
        <f>NOT(Calcs!BD86)*AM81</f>
        <v>0</v>
      </c>
      <c r="AO81" s="97">
        <f t="shared" si="106"/>
        <v>0</v>
      </c>
      <c r="AP81" s="98">
        <f t="shared" si="107"/>
        <v>5970000</v>
      </c>
      <c r="AQ81" s="77">
        <f t="shared" si="108"/>
        <v>5970000</v>
      </c>
      <c r="AR81" s="78">
        <f>NOT(Calcs!BE86)*AQ81</f>
        <v>0</v>
      </c>
      <c r="AS81" s="97">
        <f t="shared" si="109"/>
        <v>0</v>
      </c>
      <c r="AT81" s="98">
        <f t="shared" si="110"/>
        <v>5970000</v>
      </c>
      <c r="AU81" s="77">
        <f t="shared" si="111"/>
        <v>5970000</v>
      </c>
      <c r="AV81" s="97">
        <f>IF(Calcs!BC86=TRUE, AU81, 0)</f>
        <v>0</v>
      </c>
      <c r="AW81" s="97">
        <f t="shared" si="112"/>
        <v>0</v>
      </c>
      <c r="AX81" s="98">
        <f t="shared" si="113"/>
        <v>5970000</v>
      </c>
      <c r="AY81" s="77">
        <f t="shared" si="114"/>
        <v>5970000</v>
      </c>
      <c r="AZ81" s="97">
        <f>Calcs!BK86*AY81</f>
        <v>0</v>
      </c>
      <c r="BA81" s="97">
        <f t="shared" si="115"/>
        <v>0</v>
      </c>
      <c r="BB81" s="98">
        <f t="shared" si="116"/>
        <v>5970000</v>
      </c>
      <c r="BC81" s="77">
        <f t="shared" si="117"/>
        <v>5970000</v>
      </c>
      <c r="BD81" s="97"/>
      <c r="BE81" s="97"/>
      <c r="BF81" s="98"/>
      <c r="BG81" s="77">
        <f t="shared" si="118"/>
        <v>5970000</v>
      </c>
      <c r="BH81" s="97">
        <f>IF(Calcs!BJ86=FALSE,0,BG81)</f>
        <v>0</v>
      </c>
      <c r="BI81" s="97">
        <f t="shared" si="119"/>
        <v>0</v>
      </c>
      <c r="BJ81" s="98">
        <f t="shared" si="120"/>
        <v>5970000</v>
      </c>
      <c r="BK81" s="77">
        <f t="shared" si="121"/>
        <v>5970000</v>
      </c>
      <c r="BL81" s="97">
        <f>IF(Calcs!AW86=TRUE,BK81,0)</f>
        <v>0</v>
      </c>
      <c r="BM81" s="97">
        <f t="shared" si="122"/>
        <v>0</v>
      </c>
      <c r="BN81" s="98">
        <f t="shared" si="123"/>
        <v>5970000</v>
      </c>
      <c r="BO81" s="77">
        <f t="shared" si="124"/>
        <v>5970000</v>
      </c>
      <c r="BP81" s="97"/>
      <c r="BQ81" s="97">
        <f t="shared" si="125"/>
        <v>0</v>
      </c>
      <c r="BR81" s="98">
        <f t="shared" si="126"/>
        <v>5970000</v>
      </c>
      <c r="BS81" s="77">
        <f t="shared" si="127"/>
        <v>5970000</v>
      </c>
      <c r="BT81" s="97">
        <f>IF(Calcs!BB86=TRUE,'Concentration Limitations'!BS81,0)</f>
        <v>0</v>
      </c>
      <c r="BU81" s="97">
        <f t="shared" si="128"/>
        <v>0</v>
      </c>
      <c r="BV81" s="98">
        <f t="shared" si="129"/>
        <v>5970000</v>
      </c>
      <c r="BW81" s="77">
        <f t="shared" si="130"/>
        <v>5970000</v>
      </c>
      <c r="BX81" s="97">
        <f>IF(Calcs!BI86=TRUE,'Concentration Limitations'!BW81,0)</f>
        <v>0</v>
      </c>
      <c r="BY81" s="97">
        <f t="shared" si="131"/>
        <v>0</v>
      </c>
      <c r="BZ81" s="98">
        <f t="shared" si="132"/>
        <v>5970000</v>
      </c>
      <c r="CA81" s="97">
        <f t="shared" si="133"/>
        <v>5970000</v>
      </c>
      <c r="CB81" s="97"/>
      <c r="CC81" s="97"/>
      <c r="CD81" s="98">
        <f t="shared" si="134"/>
        <v>5970000</v>
      </c>
      <c r="CE81" s="97">
        <f t="shared" si="135"/>
        <v>5970000</v>
      </c>
      <c r="CF81" s="97"/>
      <c r="CG81" s="97"/>
      <c r="CH81" s="98">
        <f t="shared" si="136"/>
        <v>5970000</v>
      </c>
      <c r="CI81" s="97">
        <f t="shared" si="137"/>
        <v>5970000</v>
      </c>
      <c r="CJ81" s="97"/>
      <c r="CK81" s="97"/>
      <c r="CL81" s="98">
        <f t="shared" si="138"/>
        <v>5970000</v>
      </c>
      <c r="CM81" s="97">
        <f t="shared" si="139"/>
        <v>5970000</v>
      </c>
      <c r="CN81" s="97"/>
      <c r="CO81" s="97"/>
      <c r="CP81" s="98">
        <f t="shared" si="140"/>
        <v>5970000</v>
      </c>
      <c r="CQ81" s="97">
        <f t="shared" si="141"/>
        <v>5970000</v>
      </c>
      <c r="CR81" s="97"/>
      <c r="CS81" s="97">
        <f t="shared" si="142"/>
        <v>0</v>
      </c>
      <c r="CT81" s="98">
        <f t="shared" si="143"/>
        <v>5970000</v>
      </c>
      <c r="CU81" s="97">
        <f t="shared" si="144"/>
        <v>5970000</v>
      </c>
      <c r="CV81" s="97"/>
      <c r="CW81" s="97">
        <f t="shared" si="145"/>
        <v>0</v>
      </c>
      <c r="CX81" s="98">
        <f t="shared" si="146"/>
        <v>5970000</v>
      </c>
      <c r="CY81" s="97">
        <f t="shared" si="147"/>
        <v>5970000</v>
      </c>
      <c r="CZ81" s="97"/>
      <c r="DA81" s="97"/>
      <c r="DB81" s="98">
        <f t="shared" si="148"/>
        <v>5970000</v>
      </c>
      <c r="DC81" s="75">
        <f t="shared" si="149"/>
        <v>5970000</v>
      </c>
      <c r="DD81" s="97"/>
      <c r="DE81" s="97"/>
      <c r="DF81" s="98">
        <f t="shared" si="150"/>
        <v>5970000</v>
      </c>
      <c r="DG81" s="75">
        <f t="shared" si="151"/>
        <v>5970000</v>
      </c>
      <c r="DH81" s="78" t="str">
        <f>Calcs!F86</f>
        <v>Diversified Consumer Services</v>
      </c>
      <c r="DI81" s="99">
        <f t="shared" ca="1" si="152"/>
        <v>0</v>
      </c>
      <c r="DJ81" s="98">
        <f t="shared" ca="1" si="153"/>
        <v>5970000</v>
      </c>
      <c r="DK81" s="293"/>
      <c r="DL81" s="114"/>
      <c r="DM81" s="36"/>
      <c r="DN81" s="36"/>
      <c r="DO81" s="36"/>
      <c r="DP81" s="36"/>
      <c r="DQ81" s="413" cm="1">
        <f t="array" ref="DQ81">+SUMPRODUCT((DL81=$DH$12:$DH$307)*($DG$12:$DG$307))/$N$6</f>
        <v>0</v>
      </c>
      <c r="DR81" s="414">
        <f t="shared" si="159"/>
        <v>19</v>
      </c>
      <c r="DS81" s="413" cm="1">
        <f t="array" aca="1" ref="DS81" ca="1">+SUMPRODUCT((DL81=$DH$12:$DH$307)*($DJ$12:$DJ$307))/$N$6</f>
        <v>0</v>
      </c>
      <c r="DT81" s="417">
        <f t="shared" ca="1" si="154"/>
        <v>19</v>
      </c>
      <c r="DU81" s="415">
        <f t="shared" si="160"/>
        <v>0.1</v>
      </c>
      <c r="DV81" s="416">
        <f t="shared" si="161"/>
        <v>0.1</v>
      </c>
    </row>
    <row r="82" spans="6:126">
      <c r="F82" s="2">
        <f t="shared" ca="1" si="162"/>
        <v>20</v>
      </c>
      <c r="G82" s="40" t="str">
        <f>Calcs!A87</f>
        <v>Tranzact</v>
      </c>
      <c r="H82" s="68">
        <f t="shared" ca="1" si="155"/>
        <v>5985000</v>
      </c>
      <c r="I82" s="96"/>
      <c r="J82" s="96"/>
      <c r="K82" s="63">
        <f>+IF(G82="","",IF(COUNTIF(G83:$G$307,G82)=0,1,0))</f>
        <v>1</v>
      </c>
      <c r="L82" s="75">
        <f>Calcs!U87</f>
        <v>5985000</v>
      </c>
      <c r="M82">
        <f t="shared" si="87"/>
        <v>20</v>
      </c>
      <c r="N82" s="75">
        <f t="shared" si="156"/>
        <v>5985000</v>
      </c>
      <c r="O82" s="75">
        <f t="shared" si="88"/>
        <v>5985000</v>
      </c>
      <c r="P82" s="72">
        <f t="shared" si="89"/>
        <v>0.05</v>
      </c>
      <c r="Q82" s="72">
        <f t="shared" si="90"/>
        <v>9.9659299246714749E-3</v>
      </c>
      <c r="R82" s="61">
        <f t="shared" si="91"/>
        <v>0</v>
      </c>
      <c r="S82" s="68">
        <f t="shared" si="92"/>
        <v>5985000</v>
      </c>
      <c r="T82" s="68">
        <f t="shared" si="93"/>
        <v>5985000</v>
      </c>
      <c r="U82">
        <f t="array" aca="1" ref="U82" ca="1">SUM(1*(S82&lt;$S$12:$S$307))+1+IF(ROW(S82)-ROW($S$12)=0,0,SUM(1*(S82=OFFSET($S$12,0,0,INDEX(ROW(S82)-ROW($S$12)+1,1)-1,1))))</f>
        <v>20</v>
      </c>
      <c r="V82" s="96">
        <f t="shared" si="94"/>
        <v>5985000</v>
      </c>
      <c r="W82" s="75">
        <f>Calcs!U87</f>
        <v>5985000</v>
      </c>
      <c r="X82" s="78">
        <f>IFERROR(OR(Calcs!BH84,Calcs!BI84)*W82,0)</f>
        <v>0</v>
      </c>
      <c r="Y82" s="97">
        <f t="shared" si="95"/>
        <v>0</v>
      </c>
      <c r="Z82" s="98">
        <f t="shared" si="96"/>
        <v>5985000</v>
      </c>
      <c r="AA82" s="77">
        <f t="shared" si="97"/>
        <v>5985000</v>
      </c>
      <c r="AB82" s="78">
        <f>IF(AND(Calcs!BM87=TRUE),AA82,0)</f>
        <v>0</v>
      </c>
      <c r="AC82" s="97">
        <f t="shared" si="98"/>
        <v>0</v>
      </c>
      <c r="AD82" s="98">
        <f t="shared" si="99"/>
        <v>5985000</v>
      </c>
      <c r="AE82" s="77">
        <f t="shared" si="157"/>
        <v>5985000</v>
      </c>
      <c r="AF82" s="78">
        <f>IF(Calcs!BY87&lt;15,AE82,0)</f>
        <v>0</v>
      </c>
      <c r="AG82" s="97">
        <f t="shared" si="100"/>
        <v>0</v>
      </c>
      <c r="AH82" s="98">
        <f t="shared" si="101"/>
        <v>5985000</v>
      </c>
      <c r="AI82" s="77">
        <f t="shared" si="102"/>
        <v>5985000</v>
      </c>
      <c r="AJ82" s="78">
        <f>IF(Calcs!BY87&lt;10,AE82,0)</f>
        <v>0</v>
      </c>
      <c r="AK82" s="97">
        <f t="shared" si="103"/>
        <v>0</v>
      </c>
      <c r="AL82" s="98">
        <f t="shared" si="104"/>
        <v>5985000</v>
      </c>
      <c r="AM82" s="77">
        <f t="shared" si="105"/>
        <v>5985000</v>
      </c>
      <c r="AN82" s="78">
        <f>NOT(Calcs!BD87)*AM82</f>
        <v>0</v>
      </c>
      <c r="AO82" s="97">
        <f t="shared" si="106"/>
        <v>0</v>
      </c>
      <c r="AP82" s="98">
        <f t="shared" si="107"/>
        <v>5985000</v>
      </c>
      <c r="AQ82" s="77">
        <f t="shared" si="108"/>
        <v>5985000</v>
      </c>
      <c r="AR82" s="78">
        <f>NOT(Calcs!BE87)*AQ82</f>
        <v>0</v>
      </c>
      <c r="AS82" s="97">
        <f t="shared" si="109"/>
        <v>0</v>
      </c>
      <c r="AT82" s="98">
        <f t="shared" si="110"/>
        <v>5985000</v>
      </c>
      <c r="AU82" s="77">
        <f t="shared" si="111"/>
        <v>5985000</v>
      </c>
      <c r="AV82" s="97">
        <f>IF(Calcs!BC87=TRUE, AU82, 0)</f>
        <v>0</v>
      </c>
      <c r="AW82" s="97">
        <f t="shared" si="112"/>
        <v>0</v>
      </c>
      <c r="AX82" s="98">
        <f t="shared" si="113"/>
        <v>5985000</v>
      </c>
      <c r="AY82" s="77">
        <f t="shared" si="114"/>
        <v>5985000</v>
      </c>
      <c r="AZ82" s="97">
        <f>Calcs!BK87*AY82</f>
        <v>0</v>
      </c>
      <c r="BA82" s="97">
        <f t="shared" si="115"/>
        <v>0</v>
      </c>
      <c r="BB82" s="98">
        <f t="shared" si="116"/>
        <v>5985000</v>
      </c>
      <c r="BC82" s="77">
        <f t="shared" si="117"/>
        <v>5985000</v>
      </c>
      <c r="BD82" s="97"/>
      <c r="BE82" s="97"/>
      <c r="BF82" s="98"/>
      <c r="BG82" s="77">
        <f t="shared" si="118"/>
        <v>5985000</v>
      </c>
      <c r="BH82" s="97">
        <f>IF(Calcs!BJ87=FALSE,0,BG82)</f>
        <v>0</v>
      </c>
      <c r="BI82" s="97">
        <f t="shared" si="119"/>
        <v>0</v>
      </c>
      <c r="BJ82" s="98">
        <f t="shared" si="120"/>
        <v>5985000</v>
      </c>
      <c r="BK82" s="77">
        <f t="shared" si="121"/>
        <v>5985000</v>
      </c>
      <c r="BL82" s="97">
        <f>IF(Calcs!AW87=TRUE,BK82,0)</f>
        <v>0</v>
      </c>
      <c r="BM82" s="97">
        <f t="shared" si="122"/>
        <v>0</v>
      </c>
      <c r="BN82" s="98">
        <f t="shared" si="123"/>
        <v>5985000</v>
      </c>
      <c r="BO82" s="77">
        <f t="shared" si="124"/>
        <v>5985000</v>
      </c>
      <c r="BP82" s="97"/>
      <c r="BQ82" s="97">
        <f t="shared" si="125"/>
        <v>0</v>
      </c>
      <c r="BR82" s="98">
        <f t="shared" si="126"/>
        <v>5985000</v>
      </c>
      <c r="BS82" s="77">
        <f t="shared" si="127"/>
        <v>5985000</v>
      </c>
      <c r="BT82" s="97">
        <f>IF(Calcs!BB87=TRUE,'Concentration Limitations'!BS82,0)</f>
        <v>0</v>
      </c>
      <c r="BU82" s="97">
        <f t="shared" si="128"/>
        <v>0</v>
      </c>
      <c r="BV82" s="98">
        <f t="shared" si="129"/>
        <v>5985000</v>
      </c>
      <c r="BW82" s="77">
        <f t="shared" si="130"/>
        <v>5985000</v>
      </c>
      <c r="BX82" s="97">
        <f>IF(Calcs!BI87=TRUE,'Concentration Limitations'!BW82,0)</f>
        <v>0</v>
      </c>
      <c r="BY82" s="97">
        <f t="shared" si="131"/>
        <v>0</v>
      </c>
      <c r="BZ82" s="98">
        <f t="shared" si="132"/>
        <v>5985000</v>
      </c>
      <c r="CA82" s="97">
        <f t="shared" si="133"/>
        <v>5985000</v>
      </c>
      <c r="CB82" s="97"/>
      <c r="CC82" s="97"/>
      <c r="CD82" s="98">
        <f t="shared" si="134"/>
        <v>5985000</v>
      </c>
      <c r="CE82" s="97">
        <f t="shared" si="135"/>
        <v>5985000</v>
      </c>
      <c r="CF82" s="97"/>
      <c r="CG82" s="97"/>
      <c r="CH82" s="98">
        <f t="shared" si="136"/>
        <v>5985000</v>
      </c>
      <c r="CI82" s="97">
        <f t="shared" si="137"/>
        <v>5985000</v>
      </c>
      <c r="CJ82" s="97"/>
      <c r="CK82" s="97"/>
      <c r="CL82" s="98">
        <f t="shared" si="138"/>
        <v>5985000</v>
      </c>
      <c r="CM82" s="97">
        <f t="shared" si="139"/>
        <v>5985000</v>
      </c>
      <c r="CN82" s="97"/>
      <c r="CO82" s="97"/>
      <c r="CP82" s="98">
        <f t="shared" si="140"/>
        <v>5985000</v>
      </c>
      <c r="CQ82" s="97">
        <f t="shared" si="141"/>
        <v>5985000</v>
      </c>
      <c r="CR82" s="97"/>
      <c r="CS82" s="97">
        <f t="shared" si="142"/>
        <v>0</v>
      </c>
      <c r="CT82" s="98">
        <f t="shared" si="143"/>
        <v>5985000</v>
      </c>
      <c r="CU82" s="97">
        <f t="shared" si="144"/>
        <v>5985000</v>
      </c>
      <c r="CV82" s="97"/>
      <c r="CW82" s="97">
        <f t="shared" si="145"/>
        <v>0</v>
      </c>
      <c r="CX82" s="98">
        <f t="shared" si="146"/>
        <v>5985000</v>
      </c>
      <c r="CY82" s="97">
        <f t="shared" si="147"/>
        <v>5985000</v>
      </c>
      <c r="CZ82" s="97"/>
      <c r="DA82" s="97"/>
      <c r="DB82" s="98">
        <f t="shared" si="148"/>
        <v>5985000</v>
      </c>
      <c r="DC82" s="75">
        <f t="shared" si="149"/>
        <v>5985000</v>
      </c>
      <c r="DD82" s="97"/>
      <c r="DE82" s="97"/>
      <c r="DF82" s="98">
        <f t="shared" si="150"/>
        <v>5985000</v>
      </c>
      <c r="DG82" s="75">
        <f t="shared" si="151"/>
        <v>5985000</v>
      </c>
      <c r="DH82" s="78" t="str">
        <f>Calcs!F87</f>
        <v>Professional Services</v>
      </c>
      <c r="DI82" s="99">
        <f t="shared" ca="1" si="152"/>
        <v>0</v>
      </c>
      <c r="DJ82" s="98">
        <f t="shared" ca="1" si="153"/>
        <v>5985000</v>
      </c>
      <c r="DK82" s="293"/>
      <c r="DL82" s="114"/>
      <c r="DM82" s="36"/>
      <c r="DN82" s="36"/>
      <c r="DO82" s="36"/>
      <c r="DP82" s="36"/>
      <c r="DQ82" s="413" cm="1">
        <f t="array" ref="DQ82">+SUMPRODUCT((DL82=$DH$12:$DH$307)*($DG$12:$DG$307))/$N$6</f>
        <v>0</v>
      </c>
      <c r="DR82" s="414">
        <f t="shared" si="159"/>
        <v>19</v>
      </c>
      <c r="DS82" s="413" cm="1">
        <f t="array" aca="1" ref="DS82" ca="1">+SUMPRODUCT((DL82=$DH$12:$DH$307)*($DJ$12:$DJ$307))/$N$6</f>
        <v>0</v>
      </c>
      <c r="DT82" s="417">
        <f t="shared" ca="1" si="154"/>
        <v>19</v>
      </c>
      <c r="DU82" s="415">
        <f t="shared" si="160"/>
        <v>0.1</v>
      </c>
      <c r="DV82" s="416">
        <f t="shared" si="161"/>
        <v>0.1</v>
      </c>
    </row>
    <row r="83" spans="6:126">
      <c r="F83" s="2">
        <f t="shared" ca="1" si="162"/>
        <v>8</v>
      </c>
      <c r="G83" s="40" t="str">
        <f>Calcs!A88</f>
        <v xml:space="preserve">Ro Health </v>
      </c>
      <c r="H83" s="68">
        <f t="shared" ca="1" si="155"/>
        <v>10000000</v>
      </c>
      <c r="I83" s="96"/>
      <c r="J83" s="96"/>
      <c r="K83" s="63">
        <f>+IF(G83="","",IF(COUNTIF(G84:$G$307,G83)=0,1,0))</f>
        <v>1</v>
      </c>
      <c r="L83" s="75">
        <f>Calcs!U88</f>
        <v>10000000</v>
      </c>
      <c r="M83">
        <f t="shared" si="87"/>
        <v>8</v>
      </c>
      <c r="N83" s="75">
        <f t="shared" si="156"/>
        <v>10000000</v>
      </c>
      <c r="O83" s="75">
        <f t="shared" si="88"/>
        <v>10000000</v>
      </c>
      <c r="P83" s="72">
        <f t="shared" si="89"/>
        <v>0.05</v>
      </c>
      <c r="Q83" s="72">
        <f t="shared" si="90"/>
        <v>1.6651511987755181E-2</v>
      </c>
      <c r="R83" s="61">
        <f t="shared" si="91"/>
        <v>0</v>
      </c>
      <c r="S83" s="68">
        <f t="shared" si="92"/>
        <v>10000000</v>
      </c>
      <c r="T83" s="68">
        <f t="shared" si="93"/>
        <v>10000000</v>
      </c>
      <c r="U83">
        <f t="array" aca="1" ref="U83" ca="1">SUM(1*(S83&lt;$S$12:$S$307))+1+IF(ROW(S83)-ROW($S$12)=0,0,SUM(1*(S83=OFFSET($S$12,0,0,INDEX(ROW(S83)-ROW($S$12)+1,1)-1,1))))</f>
        <v>8</v>
      </c>
      <c r="V83" s="96">
        <f t="shared" si="94"/>
        <v>10000000</v>
      </c>
      <c r="W83" s="75">
        <f>Calcs!U88</f>
        <v>10000000</v>
      </c>
      <c r="X83" s="78">
        <f>IFERROR(OR(Calcs!BH85,Calcs!BI85)*W83,0)</f>
        <v>0</v>
      </c>
      <c r="Y83" s="97">
        <f t="shared" si="95"/>
        <v>0</v>
      </c>
      <c r="Z83" s="98">
        <f t="shared" si="96"/>
        <v>10000000</v>
      </c>
      <c r="AA83" s="77">
        <f t="shared" si="97"/>
        <v>10000000</v>
      </c>
      <c r="AB83" s="78">
        <f>IF(AND(Calcs!BM88=TRUE),AA83,0)</f>
        <v>0</v>
      </c>
      <c r="AC83" s="97">
        <f t="shared" si="98"/>
        <v>0</v>
      </c>
      <c r="AD83" s="98">
        <f t="shared" si="99"/>
        <v>10000000</v>
      </c>
      <c r="AE83" s="77">
        <f t="shared" si="157"/>
        <v>10000000</v>
      </c>
      <c r="AF83" s="78">
        <f>IF(Calcs!BY88&lt;15,AE83,0)</f>
        <v>0</v>
      </c>
      <c r="AG83" s="97">
        <f t="shared" si="100"/>
        <v>0</v>
      </c>
      <c r="AH83" s="98">
        <f t="shared" si="101"/>
        <v>10000000</v>
      </c>
      <c r="AI83" s="77">
        <f t="shared" si="102"/>
        <v>10000000</v>
      </c>
      <c r="AJ83" s="78">
        <f>IF(Calcs!BY88&lt;10,AE83,0)</f>
        <v>0</v>
      </c>
      <c r="AK83" s="97">
        <f t="shared" si="103"/>
        <v>0</v>
      </c>
      <c r="AL83" s="98">
        <f t="shared" si="104"/>
        <v>10000000</v>
      </c>
      <c r="AM83" s="77">
        <f t="shared" si="105"/>
        <v>10000000</v>
      </c>
      <c r="AN83" s="78">
        <f>NOT(Calcs!BD88)*AM83</f>
        <v>0</v>
      </c>
      <c r="AO83" s="97">
        <f t="shared" si="106"/>
        <v>0</v>
      </c>
      <c r="AP83" s="98">
        <f t="shared" si="107"/>
        <v>10000000</v>
      </c>
      <c r="AQ83" s="77">
        <f t="shared" si="108"/>
        <v>10000000</v>
      </c>
      <c r="AR83" s="78">
        <f>NOT(Calcs!BE88)*AQ83</f>
        <v>0</v>
      </c>
      <c r="AS83" s="97">
        <f t="shared" si="109"/>
        <v>0</v>
      </c>
      <c r="AT83" s="98">
        <f t="shared" si="110"/>
        <v>10000000</v>
      </c>
      <c r="AU83" s="77">
        <f t="shared" si="111"/>
        <v>10000000</v>
      </c>
      <c r="AV83" s="97">
        <f>IF(Calcs!BC88=TRUE, AU83, 0)</f>
        <v>0</v>
      </c>
      <c r="AW83" s="97">
        <f t="shared" si="112"/>
        <v>0</v>
      </c>
      <c r="AX83" s="98">
        <f t="shared" si="113"/>
        <v>10000000</v>
      </c>
      <c r="AY83" s="77">
        <f t="shared" si="114"/>
        <v>10000000</v>
      </c>
      <c r="AZ83" s="97">
        <f>Calcs!BK88*AY83</f>
        <v>0</v>
      </c>
      <c r="BA83" s="97">
        <f t="shared" si="115"/>
        <v>0</v>
      </c>
      <c r="BB83" s="98">
        <f t="shared" si="116"/>
        <v>10000000</v>
      </c>
      <c r="BC83" s="77">
        <f t="shared" si="117"/>
        <v>10000000</v>
      </c>
      <c r="BD83" s="97"/>
      <c r="BE83" s="97"/>
      <c r="BF83" s="98"/>
      <c r="BG83" s="77">
        <f t="shared" si="118"/>
        <v>10000000</v>
      </c>
      <c r="BH83" s="97">
        <f>IF(Calcs!BJ88=FALSE,0,BG83)</f>
        <v>0</v>
      </c>
      <c r="BI83" s="97">
        <f t="shared" si="119"/>
        <v>0</v>
      </c>
      <c r="BJ83" s="98">
        <f t="shared" si="120"/>
        <v>10000000</v>
      </c>
      <c r="BK83" s="77">
        <f t="shared" si="121"/>
        <v>10000000</v>
      </c>
      <c r="BL83" s="97">
        <f>IF(Calcs!AW88=TRUE,BK83,0)</f>
        <v>0</v>
      </c>
      <c r="BM83" s="97">
        <f t="shared" si="122"/>
        <v>0</v>
      </c>
      <c r="BN83" s="98">
        <f t="shared" si="123"/>
        <v>10000000</v>
      </c>
      <c r="BO83" s="77">
        <f t="shared" si="124"/>
        <v>10000000</v>
      </c>
      <c r="BP83" s="97"/>
      <c r="BQ83" s="97">
        <f t="shared" si="125"/>
        <v>0</v>
      </c>
      <c r="BR83" s="98">
        <f t="shared" si="126"/>
        <v>10000000</v>
      </c>
      <c r="BS83" s="77">
        <f t="shared" si="127"/>
        <v>10000000</v>
      </c>
      <c r="BT83" s="97">
        <f>IF(Calcs!BB88=TRUE,'Concentration Limitations'!BS83,0)</f>
        <v>0</v>
      </c>
      <c r="BU83" s="97">
        <f t="shared" si="128"/>
        <v>0</v>
      </c>
      <c r="BV83" s="98">
        <f t="shared" si="129"/>
        <v>10000000</v>
      </c>
      <c r="BW83" s="77">
        <f t="shared" si="130"/>
        <v>10000000</v>
      </c>
      <c r="BX83" s="97">
        <f>IF(Calcs!BI88=TRUE,'Concentration Limitations'!BW83,0)</f>
        <v>0</v>
      </c>
      <c r="BY83" s="97">
        <f t="shared" si="131"/>
        <v>0</v>
      </c>
      <c r="BZ83" s="98">
        <f t="shared" si="132"/>
        <v>10000000</v>
      </c>
      <c r="CA83" s="97">
        <f t="shared" si="133"/>
        <v>10000000</v>
      </c>
      <c r="CB83" s="97"/>
      <c r="CC83" s="97"/>
      <c r="CD83" s="98">
        <f t="shared" si="134"/>
        <v>10000000</v>
      </c>
      <c r="CE83" s="97">
        <f t="shared" si="135"/>
        <v>10000000</v>
      </c>
      <c r="CF83" s="97"/>
      <c r="CG83" s="97"/>
      <c r="CH83" s="98">
        <f t="shared" si="136"/>
        <v>10000000</v>
      </c>
      <c r="CI83" s="97">
        <f t="shared" si="137"/>
        <v>10000000</v>
      </c>
      <c r="CJ83" s="97"/>
      <c r="CK83" s="97"/>
      <c r="CL83" s="98">
        <f t="shared" si="138"/>
        <v>10000000</v>
      </c>
      <c r="CM83" s="97">
        <f t="shared" si="139"/>
        <v>10000000</v>
      </c>
      <c r="CN83" s="97"/>
      <c r="CO83" s="97"/>
      <c r="CP83" s="98">
        <f t="shared" si="140"/>
        <v>10000000</v>
      </c>
      <c r="CQ83" s="97">
        <f t="shared" si="141"/>
        <v>10000000</v>
      </c>
      <c r="CR83" s="97"/>
      <c r="CS83" s="97">
        <f t="shared" si="142"/>
        <v>0</v>
      </c>
      <c r="CT83" s="98">
        <f t="shared" si="143"/>
        <v>10000000</v>
      </c>
      <c r="CU83" s="97">
        <f t="shared" si="144"/>
        <v>10000000</v>
      </c>
      <c r="CV83" s="97"/>
      <c r="CW83" s="97">
        <f t="shared" si="145"/>
        <v>0</v>
      </c>
      <c r="CX83" s="98">
        <f t="shared" si="146"/>
        <v>10000000</v>
      </c>
      <c r="CY83" s="97">
        <f t="shared" si="147"/>
        <v>10000000</v>
      </c>
      <c r="CZ83" s="97"/>
      <c r="DA83" s="97"/>
      <c r="DB83" s="98">
        <f t="shared" si="148"/>
        <v>10000000</v>
      </c>
      <c r="DC83" s="75">
        <f t="shared" si="149"/>
        <v>10000000</v>
      </c>
      <c r="DD83" s="97"/>
      <c r="DE83" s="97"/>
      <c r="DF83" s="98">
        <f t="shared" si="150"/>
        <v>10000000</v>
      </c>
      <c r="DG83" s="75">
        <f t="shared" si="151"/>
        <v>10000000</v>
      </c>
      <c r="DH83" s="78" t="str">
        <f>Calcs!F88</f>
        <v>Professional Services</v>
      </c>
      <c r="DI83" s="99">
        <f t="shared" ca="1" si="152"/>
        <v>0</v>
      </c>
      <c r="DJ83" s="98">
        <f t="shared" ca="1" si="153"/>
        <v>10000000</v>
      </c>
      <c r="DK83" s="293"/>
      <c r="DL83" s="114"/>
      <c r="DM83" s="36"/>
      <c r="DN83" s="36"/>
      <c r="DO83" s="36"/>
      <c r="DP83" s="36"/>
      <c r="DQ83" s="413" cm="1">
        <f t="array" ref="DQ83">+SUMPRODUCT((DL83=$DH$12:$DH$307)*($DG$12:$DG$307))/$N$6</f>
        <v>0</v>
      </c>
      <c r="DR83" s="414">
        <f t="shared" si="159"/>
        <v>19</v>
      </c>
      <c r="DS83" s="413" cm="1">
        <f t="array" aca="1" ref="DS83" ca="1">+SUMPRODUCT((DL83=$DH$12:$DH$307)*($DJ$12:$DJ$307))/$N$6</f>
        <v>0</v>
      </c>
      <c r="DT83" s="417">
        <f t="shared" ca="1" si="154"/>
        <v>19</v>
      </c>
      <c r="DU83" s="415">
        <f t="shared" si="160"/>
        <v>0.1</v>
      </c>
      <c r="DV83" s="416">
        <f t="shared" si="161"/>
        <v>0.1</v>
      </c>
    </row>
    <row r="84" spans="6:126">
      <c r="F84" s="2">
        <f t="shared" ca="1" si="162"/>
        <v>73</v>
      </c>
      <c r="G84" s="40">
        <f>Calcs!A89</f>
        <v>0</v>
      </c>
      <c r="H84" s="68">
        <f t="shared" ca="1" si="155"/>
        <v>0</v>
      </c>
      <c r="I84" s="96"/>
      <c r="J84" s="96"/>
      <c r="K84" s="63">
        <f>+IF(G84="","",IF(COUNTIF(G85:$G$307,G84)=0,1,0))</f>
        <v>0</v>
      </c>
      <c r="L84" s="75">
        <f>Calcs!U89</f>
        <v>0</v>
      </c>
      <c r="M84">
        <f t="shared" si="87"/>
        <v>69</v>
      </c>
      <c r="N84" s="75">
        <f t="shared" si="156"/>
        <v>0</v>
      </c>
      <c r="O84" s="75">
        <f t="shared" si="88"/>
        <v>0</v>
      </c>
      <c r="P84" s="72">
        <f t="shared" si="89"/>
        <v>0.05</v>
      </c>
      <c r="Q84" s="72">
        <f t="shared" si="90"/>
        <v>0</v>
      </c>
      <c r="R84" s="61">
        <f t="shared" si="91"/>
        <v>0</v>
      </c>
      <c r="S84" s="68">
        <f t="shared" si="92"/>
        <v>0</v>
      </c>
      <c r="T84" s="68">
        <f t="shared" si="93"/>
        <v>0</v>
      </c>
      <c r="U84">
        <f t="array" aca="1" ref="U84" ca="1">SUM(1*(S84&lt;$S$12:$S$307))+1+IF(ROW(S84)-ROW($S$12)=0,0,SUM(1*(S84=OFFSET($S$12,0,0,INDEX(ROW(S84)-ROW($S$12)+1,1)-1,1))))</f>
        <v>73</v>
      </c>
      <c r="V84" s="96">
        <f t="shared" si="94"/>
        <v>0</v>
      </c>
      <c r="W84" s="75">
        <f>Calcs!U89</f>
        <v>0</v>
      </c>
      <c r="X84" s="78">
        <f>IFERROR(OR(Calcs!BH86,Calcs!BI86)*W84,0)</f>
        <v>0</v>
      </c>
      <c r="Y84" s="97">
        <f t="shared" si="95"/>
        <v>0</v>
      </c>
      <c r="Z84" s="98">
        <f t="shared" si="96"/>
        <v>0</v>
      </c>
      <c r="AA84" s="77">
        <f t="shared" si="97"/>
        <v>0</v>
      </c>
      <c r="AB84" s="78">
        <f>IF(AND(Calcs!BM89=TRUE),AA84,0)</f>
        <v>0</v>
      </c>
      <c r="AC84" s="97">
        <f t="shared" si="98"/>
        <v>0</v>
      </c>
      <c r="AD84" s="98">
        <f t="shared" si="99"/>
        <v>0</v>
      </c>
      <c r="AE84" s="77">
        <f t="shared" si="157"/>
        <v>0</v>
      </c>
      <c r="AF84" s="78">
        <f>IF(Calcs!BY89&lt;15,AE84,0)</f>
        <v>0</v>
      </c>
      <c r="AG84" s="97">
        <f t="shared" si="100"/>
        <v>0</v>
      </c>
      <c r="AH84" s="98">
        <f t="shared" si="101"/>
        <v>0</v>
      </c>
      <c r="AI84" s="77">
        <f t="shared" si="102"/>
        <v>0</v>
      </c>
      <c r="AJ84" s="78">
        <f>IF(Calcs!BY89&lt;10,AE84,0)</f>
        <v>0</v>
      </c>
      <c r="AK84" s="97">
        <f t="shared" si="103"/>
        <v>0</v>
      </c>
      <c r="AL84" s="98">
        <f t="shared" si="104"/>
        <v>0</v>
      </c>
      <c r="AM84" s="77">
        <f t="shared" si="105"/>
        <v>0</v>
      </c>
      <c r="AN84" s="78">
        <f>NOT(Calcs!BD89)*AM84</f>
        <v>0</v>
      </c>
      <c r="AO84" s="97">
        <f t="shared" si="106"/>
        <v>0</v>
      </c>
      <c r="AP84" s="98">
        <f t="shared" si="107"/>
        <v>0</v>
      </c>
      <c r="AQ84" s="77">
        <f t="shared" si="108"/>
        <v>0</v>
      </c>
      <c r="AR84" s="78">
        <f>NOT(Calcs!BE89)*AQ84</f>
        <v>0</v>
      </c>
      <c r="AS84" s="97">
        <f t="shared" si="109"/>
        <v>0</v>
      </c>
      <c r="AT84" s="98">
        <f t="shared" si="110"/>
        <v>0</v>
      </c>
      <c r="AU84" s="77">
        <f t="shared" si="111"/>
        <v>0</v>
      </c>
      <c r="AV84" s="97">
        <f>IF(Calcs!BC89=TRUE, AU84, 0)</f>
        <v>0</v>
      </c>
      <c r="AW84" s="97">
        <f t="shared" si="112"/>
        <v>0</v>
      </c>
      <c r="AX84" s="98">
        <f t="shared" si="113"/>
        <v>0</v>
      </c>
      <c r="AY84" s="77">
        <f t="shared" si="114"/>
        <v>0</v>
      </c>
      <c r="AZ84" s="97">
        <f>Calcs!BK89*AY84</f>
        <v>0</v>
      </c>
      <c r="BA84" s="97">
        <f t="shared" si="115"/>
        <v>0</v>
      </c>
      <c r="BB84" s="98">
        <f t="shared" si="116"/>
        <v>0</v>
      </c>
      <c r="BC84" s="77">
        <f t="shared" si="117"/>
        <v>0</v>
      </c>
      <c r="BD84" s="97"/>
      <c r="BE84" s="97"/>
      <c r="BF84" s="98"/>
      <c r="BG84" s="77">
        <f t="shared" si="118"/>
        <v>0</v>
      </c>
      <c r="BH84" s="97">
        <f>IF(Calcs!BJ89=FALSE,0,BG84)</f>
        <v>0</v>
      </c>
      <c r="BI84" s="97">
        <f t="shared" si="119"/>
        <v>0</v>
      </c>
      <c r="BJ84" s="98">
        <f t="shared" si="120"/>
        <v>0</v>
      </c>
      <c r="BK84" s="77">
        <f t="shared" si="121"/>
        <v>0</v>
      </c>
      <c r="BL84" s="97">
        <f>IF(Calcs!AW89=TRUE,BK84,0)</f>
        <v>0</v>
      </c>
      <c r="BM84" s="97">
        <f t="shared" si="122"/>
        <v>0</v>
      </c>
      <c r="BN84" s="98">
        <f t="shared" si="123"/>
        <v>0</v>
      </c>
      <c r="BO84" s="77">
        <f t="shared" si="124"/>
        <v>0</v>
      </c>
      <c r="BP84" s="97"/>
      <c r="BQ84" s="97">
        <f t="shared" si="125"/>
        <v>0</v>
      </c>
      <c r="BR84" s="98">
        <f t="shared" si="126"/>
        <v>0</v>
      </c>
      <c r="BS84" s="77">
        <f t="shared" si="127"/>
        <v>0</v>
      </c>
      <c r="BT84" s="97">
        <f>IF(Calcs!BB89=TRUE,'Concentration Limitations'!BS84,0)</f>
        <v>0</v>
      </c>
      <c r="BU84" s="97">
        <f t="shared" si="128"/>
        <v>0</v>
      </c>
      <c r="BV84" s="98">
        <f t="shared" si="129"/>
        <v>0</v>
      </c>
      <c r="BW84" s="77">
        <f t="shared" si="130"/>
        <v>0</v>
      </c>
      <c r="BX84" s="97">
        <f>IF(Calcs!BI89=TRUE,'Concentration Limitations'!BW84,0)</f>
        <v>0</v>
      </c>
      <c r="BY84" s="97">
        <f t="shared" si="131"/>
        <v>0</v>
      </c>
      <c r="BZ84" s="98">
        <f t="shared" si="132"/>
        <v>0</v>
      </c>
      <c r="CA84" s="97">
        <f t="shared" si="133"/>
        <v>0</v>
      </c>
      <c r="CB84" s="97"/>
      <c r="CC84" s="97"/>
      <c r="CD84" s="98">
        <f t="shared" si="134"/>
        <v>0</v>
      </c>
      <c r="CE84" s="97">
        <f t="shared" si="135"/>
        <v>0</v>
      </c>
      <c r="CF84" s="97"/>
      <c r="CG84" s="97"/>
      <c r="CH84" s="98">
        <f t="shared" si="136"/>
        <v>0</v>
      </c>
      <c r="CI84" s="97">
        <f t="shared" si="137"/>
        <v>0</v>
      </c>
      <c r="CJ84" s="97"/>
      <c r="CK84" s="97"/>
      <c r="CL84" s="98">
        <f t="shared" si="138"/>
        <v>0</v>
      </c>
      <c r="CM84" s="97">
        <f t="shared" si="139"/>
        <v>0</v>
      </c>
      <c r="CN84" s="97"/>
      <c r="CO84" s="97"/>
      <c r="CP84" s="98">
        <f t="shared" si="140"/>
        <v>0</v>
      </c>
      <c r="CQ84" s="97">
        <f t="shared" si="141"/>
        <v>0</v>
      </c>
      <c r="CR84" s="97"/>
      <c r="CS84" s="97">
        <f t="shared" si="142"/>
        <v>0</v>
      </c>
      <c r="CT84" s="98">
        <f t="shared" si="143"/>
        <v>0</v>
      </c>
      <c r="CU84" s="97">
        <f t="shared" si="144"/>
        <v>0</v>
      </c>
      <c r="CV84" s="97"/>
      <c r="CW84" s="97">
        <f t="shared" si="145"/>
        <v>0</v>
      </c>
      <c r="CX84" s="98">
        <f t="shared" si="146"/>
        <v>0</v>
      </c>
      <c r="CY84" s="97">
        <f t="shared" si="147"/>
        <v>0</v>
      </c>
      <c r="CZ84" s="97"/>
      <c r="DA84" s="97"/>
      <c r="DB84" s="98">
        <f t="shared" si="148"/>
        <v>0</v>
      </c>
      <c r="DC84" s="75">
        <f t="shared" si="149"/>
        <v>0</v>
      </c>
      <c r="DD84" s="97"/>
      <c r="DE84" s="97"/>
      <c r="DF84" s="98">
        <f t="shared" si="150"/>
        <v>0</v>
      </c>
      <c r="DG84" s="75">
        <f t="shared" si="151"/>
        <v>0</v>
      </c>
      <c r="DH84" s="78">
        <f>Calcs!F89</f>
        <v>0</v>
      </c>
      <c r="DI84" s="99">
        <f t="shared" ca="1" si="152"/>
        <v>0</v>
      </c>
      <c r="DJ84" s="98">
        <f t="shared" ca="1" si="153"/>
        <v>0</v>
      </c>
      <c r="DK84" s="293"/>
      <c r="DL84" s="114"/>
      <c r="DM84" s="36"/>
      <c r="DN84" s="36"/>
      <c r="DO84" s="36"/>
      <c r="DP84" s="36"/>
      <c r="DQ84" s="413" cm="1">
        <f t="array" ref="DQ84">+SUMPRODUCT((DL84=$DH$12:$DH$307)*($DG$12:$DG$307))/$N$6</f>
        <v>0</v>
      </c>
      <c r="DR84" s="414">
        <f t="shared" si="159"/>
        <v>19</v>
      </c>
      <c r="DS84" s="413" cm="1">
        <f t="array" aca="1" ref="DS84" ca="1">+SUMPRODUCT((DL84=$DH$12:$DH$307)*($DJ$12:$DJ$307))/$N$6</f>
        <v>0</v>
      </c>
      <c r="DT84" s="417">
        <f t="shared" ca="1" si="154"/>
        <v>19</v>
      </c>
      <c r="DU84" s="415">
        <f t="shared" si="160"/>
        <v>0.1</v>
      </c>
      <c r="DV84" s="416">
        <f t="shared" si="161"/>
        <v>0.1</v>
      </c>
    </row>
    <row r="85" spans="6:126">
      <c r="F85" s="2">
        <f t="shared" ca="1" si="162"/>
        <v>74</v>
      </c>
      <c r="G85" s="40">
        <f>Calcs!A90</f>
        <v>0</v>
      </c>
      <c r="H85" s="68">
        <f t="shared" ca="1" si="155"/>
        <v>0</v>
      </c>
      <c r="I85" s="96"/>
      <c r="J85" s="96"/>
      <c r="K85" s="63">
        <f>+IF(G85="","",IF(COUNTIF(G86:$G$307,G85)=0,1,0))</f>
        <v>0</v>
      </c>
      <c r="L85" s="75">
        <f>Calcs!U90</f>
        <v>0</v>
      </c>
      <c r="M85">
        <f t="shared" si="87"/>
        <v>69</v>
      </c>
      <c r="N85" s="75">
        <f t="shared" si="156"/>
        <v>0</v>
      </c>
      <c r="O85" s="75">
        <f t="shared" si="88"/>
        <v>0</v>
      </c>
      <c r="P85" s="72">
        <f t="shared" si="89"/>
        <v>0.05</v>
      </c>
      <c r="Q85" s="72">
        <f t="shared" si="90"/>
        <v>0</v>
      </c>
      <c r="R85" s="61">
        <f t="shared" si="91"/>
        <v>0</v>
      </c>
      <c r="S85" s="68">
        <f t="shared" si="92"/>
        <v>0</v>
      </c>
      <c r="T85" s="68">
        <f t="shared" si="93"/>
        <v>0</v>
      </c>
      <c r="U85">
        <f t="array" aca="1" ref="U85" ca="1">SUM(1*(S85&lt;$S$12:$S$307))+1+IF(ROW(S85)-ROW($S$12)=0,0,SUM(1*(S85=OFFSET($S$12,0,0,INDEX(ROW(S85)-ROW($S$12)+1,1)-1,1))))</f>
        <v>74</v>
      </c>
      <c r="V85" s="96">
        <f t="shared" si="94"/>
        <v>0</v>
      </c>
      <c r="W85" s="75">
        <f>Calcs!U90</f>
        <v>0</v>
      </c>
      <c r="X85" s="78">
        <f>IFERROR(OR(Calcs!BH87,Calcs!BI87)*W85,0)</f>
        <v>0</v>
      </c>
      <c r="Y85" s="97">
        <f t="shared" si="95"/>
        <v>0</v>
      </c>
      <c r="Z85" s="98">
        <f t="shared" si="96"/>
        <v>0</v>
      </c>
      <c r="AA85" s="77">
        <f t="shared" si="97"/>
        <v>0</v>
      </c>
      <c r="AB85" s="78">
        <f>IF(AND(Calcs!BM90=TRUE),AA85,0)</f>
        <v>0</v>
      </c>
      <c r="AC85" s="97">
        <f t="shared" si="98"/>
        <v>0</v>
      </c>
      <c r="AD85" s="98">
        <f t="shared" si="99"/>
        <v>0</v>
      </c>
      <c r="AE85" s="77">
        <f t="shared" si="157"/>
        <v>0</v>
      </c>
      <c r="AF85" s="78">
        <f>IF(Calcs!BY90&lt;15,AE85,0)</f>
        <v>0</v>
      </c>
      <c r="AG85" s="97">
        <f t="shared" si="100"/>
        <v>0</v>
      </c>
      <c r="AH85" s="98">
        <f t="shared" si="101"/>
        <v>0</v>
      </c>
      <c r="AI85" s="77">
        <f t="shared" si="102"/>
        <v>0</v>
      </c>
      <c r="AJ85" s="78">
        <f>IF(Calcs!BY90&lt;10,AE85,0)</f>
        <v>0</v>
      </c>
      <c r="AK85" s="97">
        <f t="shared" si="103"/>
        <v>0</v>
      </c>
      <c r="AL85" s="98">
        <f t="shared" si="104"/>
        <v>0</v>
      </c>
      <c r="AM85" s="77">
        <f t="shared" si="105"/>
        <v>0</v>
      </c>
      <c r="AN85" s="78">
        <f>NOT(Calcs!BD90)*AM85</f>
        <v>0</v>
      </c>
      <c r="AO85" s="97">
        <f t="shared" si="106"/>
        <v>0</v>
      </c>
      <c r="AP85" s="98">
        <f t="shared" si="107"/>
        <v>0</v>
      </c>
      <c r="AQ85" s="77">
        <f t="shared" si="108"/>
        <v>0</v>
      </c>
      <c r="AR85" s="78">
        <f>NOT(Calcs!BE90)*AQ85</f>
        <v>0</v>
      </c>
      <c r="AS85" s="97">
        <f t="shared" si="109"/>
        <v>0</v>
      </c>
      <c r="AT85" s="98">
        <f t="shared" si="110"/>
        <v>0</v>
      </c>
      <c r="AU85" s="77">
        <f t="shared" si="111"/>
        <v>0</v>
      </c>
      <c r="AV85" s="97">
        <f>IF(Calcs!BC90=TRUE, AU85, 0)</f>
        <v>0</v>
      </c>
      <c r="AW85" s="97">
        <f t="shared" si="112"/>
        <v>0</v>
      </c>
      <c r="AX85" s="98">
        <f t="shared" si="113"/>
        <v>0</v>
      </c>
      <c r="AY85" s="77">
        <f t="shared" si="114"/>
        <v>0</v>
      </c>
      <c r="AZ85" s="97">
        <f>Calcs!BK90*AY85</f>
        <v>0</v>
      </c>
      <c r="BA85" s="97">
        <f t="shared" si="115"/>
        <v>0</v>
      </c>
      <c r="BB85" s="98">
        <f t="shared" si="116"/>
        <v>0</v>
      </c>
      <c r="BC85" s="77">
        <f t="shared" si="117"/>
        <v>0</v>
      </c>
      <c r="BD85" s="97"/>
      <c r="BE85" s="97"/>
      <c r="BF85" s="98"/>
      <c r="BG85" s="77">
        <f t="shared" si="118"/>
        <v>0</v>
      </c>
      <c r="BH85" s="97">
        <f>IF(Calcs!BJ90=FALSE,0,BG85)</f>
        <v>0</v>
      </c>
      <c r="BI85" s="97">
        <f t="shared" si="119"/>
        <v>0</v>
      </c>
      <c r="BJ85" s="98">
        <f t="shared" si="120"/>
        <v>0</v>
      </c>
      <c r="BK85" s="77">
        <f t="shared" si="121"/>
        <v>0</v>
      </c>
      <c r="BL85" s="97">
        <f>IF(Calcs!AW90=TRUE,BK85,0)</f>
        <v>0</v>
      </c>
      <c r="BM85" s="97">
        <f t="shared" si="122"/>
        <v>0</v>
      </c>
      <c r="BN85" s="98">
        <f t="shared" si="123"/>
        <v>0</v>
      </c>
      <c r="BO85" s="77">
        <f t="shared" si="124"/>
        <v>0</v>
      </c>
      <c r="BP85" s="97"/>
      <c r="BQ85" s="97">
        <f t="shared" si="125"/>
        <v>0</v>
      </c>
      <c r="BR85" s="98">
        <f t="shared" si="126"/>
        <v>0</v>
      </c>
      <c r="BS85" s="77">
        <f t="shared" si="127"/>
        <v>0</v>
      </c>
      <c r="BT85" s="97">
        <f>IF(Calcs!BB90=TRUE,'Concentration Limitations'!BS85,0)</f>
        <v>0</v>
      </c>
      <c r="BU85" s="97">
        <f t="shared" si="128"/>
        <v>0</v>
      </c>
      <c r="BV85" s="98">
        <f t="shared" si="129"/>
        <v>0</v>
      </c>
      <c r="BW85" s="77">
        <f t="shared" si="130"/>
        <v>0</v>
      </c>
      <c r="BX85" s="97">
        <f>IF(Calcs!BI90=TRUE,'Concentration Limitations'!BW85,0)</f>
        <v>0</v>
      </c>
      <c r="BY85" s="97">
        <f t="shared" si="131"/>
        <v>0</v>
      </c>
      <c r="BZ85" s="98">
        <f t="shared" si="132"/>
        <v>0</v>
      </c>
      <c r="CA85" s="97">
        <f t="shared" si="133"/>
        <v>0</v>
      </c>
      <c r="CB85" s="97"/>
      <c r="CC85" s="97"/>
      <c r="CD85" s="98">
        <f t="shared" si="134"/>
        <v>0</v>
      </c>
      <c r="CE85" s="97">
        <f t="shared" si="135"/>
        <v>0</v>
      </c>
      <c r="CF85" s="97"/>
      <c r="CG85" s="97"/>
      <c r="CH85" s="98">
        <f t="shared" si="136"/>
        <v>0</v>
      </c>
      <c r="CI85" s="97">
        <f t="shared" si="137"/>
        <v>0</v>
      </c>
      <c r="CJ85" s="97"/>
      <c r="CK85" s="97"/>
      <c r="CL85" s="98">
        <f t="shared" si="138"/>
        <v>0</v>
      </c>
      <c r="CM85" s="97">
        <f t="shared" si="139"/>
        <v>0</v>
      </c>
      <c r="CN85" s="97"/>
      <c r="CO85" s="97"/>
      <c r="CP85" s="98">
        <f t="shared" si="140"/>
        <v>0</v>
      </c>
      <c r="CQ85" s="97">
        <f t="shared" si="141"/>
        <v>0</v>
      </c>
      <c r="CR85" s="97"/>
      <c r="CS85" s="97">
        <f t="shared" si="142"/>
        <v>0</v>
      </c>
      <c r="CT85" s="98">
        <f t="shared" si="143"/>
        <v>0</v>
      </c>
      <c r="CU85" s="97">
        <f t="shared" si="144"/>
        <v>0</v>
      </c>
      <c r="CV85" s="97"/>
      <c r="CW85" s="97">
        <f t="shared" si="145"/>
        <v>0</v>
      </c>
      <c r="CX85" s="98">
        <f t="shared" si="146"/>
        <v>0</v>
      </c>
      <c r="CY85" s="97">
        <f t="shared" si="147"/>
        <v>0</v>
      </c>
      <c r="CZ85" s="97"/>
      <c r="DA85" s="97"/>
      <c r="DB85" s="98">
        <f t="shared" si="148"/>
        <v>0</v>
      </c>
      <c r="DC85" s="75">
        <f t="shared" si="149"/>
        <v>0</v>
      </c>
      <c r="DD85" s="97"/>
      <c r="DE85" s="97"/>
      <c r="DF85" s="98">
        <f t="shared" si="150"/>
        <v>0</v>
      </c>
      <c r="DG85" s="75">
        <f t="shared" si="151"/>
        <v>0</v>
      </c>
      <c r="DH85" s="78">
        <f>Calcs!F90</f>
        <v>0</v>
      </c>
      <c r="DI85" s="99">
        <f t="shared" ca="1" si="152"/>
        <v>0</v>
      </c>
      <c r="DJ85" s="98">
        <f t="shared" ca="1" si="153"/>
        <v>0</v>
      </c>
      <c r="DK85" s="293"/>
      <c r="DL85" s="114"/>
      <c r="DM85" s="36"/>
      <c r="DN85" s="36"/>
      <c r="DO85" s="36"/>
      <c r="DP85" s="36"/>
      <c r="DQ85" s="413" cm="1">
        <f t="array" ref="DQ85">+SUMPRODUCT((DL85=$DH$12:$DH$307)*($DG$12:$DG$307))/$N$6</f>
        <v>0</v>
      </c>
      <c r="DR85" s="414">
        <f t="shared" si="159"/>
        <v>19</v>
      </c>
      <c r="DS85" s="413" cm="1">
        <f t="array" aca="1" ref="DS85" ca="1">+SUMPRODUCT((DL85=$DH$12:$DH$307)*($DJ$12:$DJ$307))/$N$6</f>
        <v>0</v>
      </c>
      <c r="DT85" s="417">
        <f t="shared" ca="1" si="154"/>
        <v>19</v>
      </c>
      <c r="DU85" s="415">
        <f t="shared" si="160"/>
        <v>0.1</v>
      </c>
      <c r="DV85" s="416">
        <f t="shared" si="161"/>
        <v>0.1</v>
      </c>
    </row>
    <row r="86" spans="6:126">
      <c r="F86" s="2">
        <f t="shared" ref="F86:F91" ca="1" si="163">U86</f>
        <v>75</v>
      </c>
      <c r="G86" s="40">
        <f>Calcs!A91</f>
        <v>0</v>
      </c>
      <c r="H86" s="68">
        <f t="shared" ca="1" si="155"/>
        <v>0</v>
      </c>
      <c r="I86" s="96"/>
      <c r="J86" s="96"/>
      <c r="K86" s="63">
        <f>+IF(G86="","",IF(COUNTIF(G87:$G$307,G86)=0,1,0))</f>
        <v>0</v>
      </c>
      <c r="L86" s="75">
        <f>Calcs!U91</f>
        <v>0</v>
      </c>
      <c r="M86">
        <f t="shared" si="87"/>
        <v>69</v>
      </c>
      <c r="N86" s="75">
        <f t="shared" si="156"/>
        <v>0</v>
      </c>
      <c r="O86" s="75">
        <f t="shared" si="88"/>
        <v>0</v>
      </c>
      <c r="P86" s="72">
        <f t="shared" si="89"/>
        <v>0.05</v>
      </c>
      <c r="Q86" s="72">
        <f t="shared" si="90"/>
        <v>0</v>
      </c>
      <c r="R86" s="61">
        <f t="shared" si="91"/>
        <v>0</v>
      </c>
      <c r="S86" s="68">
        <f t="shared" si="92"/>
        <v>0</v>
      </c>
      <c r="T86" s="68">
        <f t="shared" si="93"/>
        <v>0</v>
      </c>
      <c r="U86">
        <f t="array" aca="1" ref="U86" ca="1">SUM(1*(S86&lt;$S$12:$S$307))+1+IF(ROW(S86)-ROW($S$12)=0,0,SUM(1*(S86=OFFSET($S$12,0,0,INDEX(ROW(S86)-ROW($S$12)+1,1)-1,1))))</f>
        <v>75</v>
      </c>
      <c r="V86" s="96">
        <f t="shared" si="94"/>
        <v>0</v>
      </c>
      <c r="W86" s="75">
        <f>Calcs!U91</f>
        <v>0</v>
      </c>
      <c r="X86" s="78">
        <f>IFERROR(OR(Calcs!BH88,Calcs!BI88)*W86,0)</f>
        <v>0</v>
      </c>
      <c r="Y86" s="97">
        <f t="shared" si="95"/>
        <v>0</v>
      </c>
      <c r="Z86" s="98">
        <f t="shared" si="96"/>
        <v>0</v>
      </c>
      <c r="AA86" s="77">
        <f t="shared" si="97"/>
        <v>0</v>
      </c>
      <c r="AB86" s="78">
        <f>IF(AND(Calcs!BM91=TRUE),AA86,0)</f>
        <v>0</v>
      </c>
      <c r="AC86" s="97">
        <f t="shared" si="98"/>
        <v>0</v>
      </c>
      <c r="AD86" s="98">
        <f t="shared" si="99"/>
        <v>0</v>
      </c>
      <c r="AE86" s="77">
        <f t="shared" si="157"/>
        <v>0</v>
      </c>
      <c r="AF86" s="78">
        <f>IF(Calcs!BY91&lt;15,AE86,0)</f>
        <v>0</v>
      </c>
      <c r="AG86" s="97">
        <f t="shared" si="100"/>
        <v>0</v>
      </c>
      <c r="AH86" s="98">
        <f t="shared" si="101"/>
        <v>0</v>
      </c>
      <c r="AI86" s="77">
        <f t="shared" si="102"/>
        <v>0</v>
      </c>
      <c r="AJ86" s="78">
        <f>IF(Calcs!BY91&lt;10,AE86,0)</f>
        <v>0</v>
      </c>
      <c r="AK86" s="97">
        <f t="shared" si="103"/>
        <v>0</v>
      </c>
      <c r="AL86" s="98">
        <f t="shared" si="104"/>
        <v>0</v>
      </c>
      <c r="AM86" s="77">
        <f t="shared" si="105"/>
        <v>0</v>
      </c>
      <c r="AN86" s="78">
        <f>NOT(Calcs!BD91)*AM86</f>
        <v>0</v>
      </c>
      <c r="AO86" s="97">
        <f t="shared" si="106"/>
        <v>0</v>
      </c>
      <c r="AP86" s="98">
        <f t="shared" si="107"/>
        <v>0</v>
      </c>
      <c r="AQ86" s="77">
        <f t="shared" si="108"/>
        <v>0</v>
      </c>
      <c r="AR86" s="78">
        <f>NOT(Calcs!BE91)*AQ86</f>
        <v>0</v>
      </c>
      <c r="AS86" s="97">
        <f t="shared" si="109"/>
        <v>0</v>
      </c>
      <c r="AT86" s="98">
        <f t="shared" si="110"/>
        <v>0</v>
      </c>
      <c r="AU86" s="77">
        <f t="shared" si="111"/>
        <v>0</v>
      </c>
      <c r="AV86" s="97">
        <f>IF(Calcs!BC91=TRUE, AU86, 0)</f>
        <v>0</v>
      </c>
      <c r="AW86" s="97">
        <f t="shared" si="112"/>
        <v>0</v>
      </c>
      <c r="AX86" s="98">
        <f t="shared" si="113"/>
        <v>0</v>
      </c>
      <c r="AY86" s="77">
        <f t="shared" si="114"/>
        <v>0</v>
      </c>
      <c r="AZ86" s="97">
        <f>Calcs!BK91*AY86</f>
        <v>0</v>
      </c>
      <c r="BA86" s="97">
        <f t="shared" si="115"/>
        <v>0</v>
      </c>
      <c r="BB86" s="98">
        <f t="shared" si="116"/>
        <v>0</v>
      </c>
      <c r="BC86" s="77">
        <f t="shared" si="117"/>
        <v>0</v>
      </c>
      <c r="BD86" s="97"/>
      <c r="BE86" s="97"/>
      <c r="BF86" s="98"/>
      <c r="BG86" s="77">
        <f t="shared" si="118"/>
        <v>0</v>
      </c>
      <c r="BH86" s="97">
        <f>IF(Calcs!BJ91=FALSE,0,BG86)</f>
        <v>0</v>
      </c>
      <c r="BI86" s="97">
        <f t="shared" si="119"/>
        <v>0</v>
      </c>
      <c r="BJ86" s="98">
        <f t="shared" si="120"/>
        <v>0</v>
      </c>
      <c r="BK86" s="77">
        <f t="shared" si="121"/>
        <v>0</v>
      </c>
      <c r="BL86" s="97">
        <f>IF(Calcs!AW91=TRUE,BK86,0)</f>
        <v>0</v>
      </c>
      <c r="BM86" s="97">
        <f t="shared" si="122"/>
        <v>0</v>
      </c>
      <c r="BN86" s="98">
        <f t="shared" si="123"/>
        <v>0</v>
      </c>
      <c r="BO86" s="77">
        <f t="shared" si="124"/>
        <v>0</v>
      </c>
      <c r="BP86" s="97"/>
      <c r="BQ86" s="97">
        <f t="shared" si="125"/>
        <v>0</v>
      </c>
      <c r="BR86" s="98">
        <f t="shared" si="126"/>
        <v>0</v>
      </c>
      <c r="BS86" s="77">
        <f t="shared" si="127"/>
        <v>0</v>
      </c>
      <c r="BT86" s="97">
        <f>IF(Calcs!BB91=TRUE,'Concentration Limitations'!BS86,0)</f>
        <v>0</v>
      </c>
      <c r="BU86" s="97">
        <f t="shared" si="128"/>
        <v>0</v>
      </c>
      <c r="BV86" s="98">
        <f t="shared" si="129"/>
        <v>0</v>
      </c>
      <c r="BW86" s="77">
        <f t="shared" si="130"/>
        <v>0</v>
      </c>
      <c r="BX86" s="97">
        <f>IF(Calcs!BI91=TRUE,'Concentration Limitations'!BW86,0)</f>
        <v>0</v>
      </c>
      <c r="BY86" s="97">
        <f t="shared" si="131"/>
        <v>0</v>
      </c>
      <c r="BZ86" s="98">
        <f t="shared" si="132"/>
        <v>0</v>
      </c>
      <c r="CA86" s="97">
        <f t="shared" si="133"/>
        <v>0</v>
      </c>
      <c r="CB86" s="97"/>
      <c r="CC86" s="97"/>
      <c r="CD86" s="98">
        <f t="shared" si="134"/>
        <v>0</v>
      </c>
      <c r="CE86" s="97">
        <f t="shared" si="135"/>
        <v>0</v>
      </c>
      <c r="CF86" s="97"/>
      <c r="CG86" s="97"/>
      <c r="CH86" s="98">
        <f t="shared" si="136"/>
        <v>0</v>
      </c>
      <c r="CI86" s="97">
        <f t="shared" si="137"/>
        <v>0</v>
      </c>
      <c r="CJ86" s="97"/>
      <c r="CK86" s="97"/>
      <c r="CL86" s="98">
        <f t="shared" si="138"/>
        <v>0</v>
      </c>
      <c r="CM86" s="97">
        <f t="shared" si="139"/>
        <v>0</v>
      </c>
      <c r="CN86" s="97"/>
      <c r="CO86" s="97"/>
      <c r="CP86" s="98">
        <f t="shared" si="140"/>
        <v>0</v>
      </c>
      <c r="CQ86" s="97">
        <f t="shared" si="141"/>
        <v>0</v>
      </c>
      <c r="CR86" s="97"/>
      <c r="CS86" s="97">
        <f t="shared" si="142"/>
        <v>0</v>
      </c>
      <c r="CT86" s="98">
        <f t="shared" si="143"/>
        <v>0</v>
      </c>
      <c r="CU86" s="97">
        <f t="shared" si="144"/>
        <v>0</v>
      </c>
      <c r="CV86" s="97"/>
      <c r="CW86" s="97">
        <f t="shared" si="145"/>
        <v>0</v>
      </c>
      <c r="CX86" s="98">
        <f t="shared" si="146"/>
        <v>0</v>
      </c>
      <c r="CY86" s="97">
        <f t="shared" si="147"/>
        <v>0</v>
      </c>
      <c r="CZ86" s="97"/>
      <c r="DA86" s="97"/>
      <c r="DB86" s="98">
        <f t="shared" si="148"/>
        <v>0</v>
      </c>
      <c r="DC86" s="75">
        <f t="shared" si="149"/>
        <v>0</v>
      </c>
      <c r="DD86" s="97"/>
      <c r="DE86" s="97"/>
      <c r="DF86" s="98">
        <f t="shared" si="150"/>
        <v>0</v>
      </c>
      <c r="DG86" s="75">
        <f t="shared" si="151"/>
        <v>0</v>
      </c>
      <c r="DH86" s="78">
        <f>Calcs!F91</f>
        <v>0</v>
      </c>
      <c r="DI86" s="99">
        <f t="shared" ca="1" si="152"/>
        <v>0</v>
      </c>
      <c r="DJ86" s="98">
        <f t="shared" ca="1" si="153"/>
        <v>0</v>
      </c>
      <c r="DK86" s="293"/>
      <c r="DL86" s="114"/>
      <c r="DM86" s="36"/>
      <c r="DN86" s="36"/>
      <c r="DO86" s="36"/>
      <c r="DP86" s="36"/>
      <c r="DQ86" s="413" cm="1">
        <f t="array" ref="DQ86">+SUMPRODUCT((DL86=$DH$12:$DH$307)*($DG$12:$DG$307))/$N$6</f>
        <v>0</v>
      </c>
      <c r="DR86" s="414">
        <f t="shared" si="159"/>
        <v>19</v>
      </c>
      <c r="DS86" s="413" cm="1">
        <f t="array" aca="1" ref="DS86" ca="1">+SUMPRODUCT((DL86=$DH$12:$DH$307)*($DJ$12:$DJ$307))/$N$6</f>
        <v>0</v>
      </c>
      <c r="DT86" s="417">
        <f t="shared" ca="1" si="154"/>
        <v>19</v>
      </c>
      <c r="DU86" s="415">
        <f t="shared" si="160"/>
        <v>0.1</v>
      </c>
      <c r="DV86" s="416">
        <f t="shared" si="161"/>
        <v>0.1</v>
      </c>
    </row>
    <row r="87" spans="6:126">
      <c r="F87" s="2">
        <f t="shared" ca="1" si="163"/>
        <v>76</v>
      </c>
      <c r="G87" s="40">
        <f>Calcs!A89</f>
        <v>0</v>
      </c>
      <c r="H87" s="68">
        <f t="shared" ca="1" si="155"/>
        <v>0</v>
      </c>
      <c r="I87" s="96"/>
      <c r="J87" s="96"/>
      <c r="K87" s="63">
        <f>+IF(G87="","",IF(COUNTIF(G88:$G$307,G87)=0,1,0))</f>
        <v>0</v>
      </c>
      <c r="L87" s="75">
        <f>Calcs!U92</f>
        <v>0</v>
      </c>
      <c r="M87">
        <f t="shared" si="87"/>
        <v>69</v>
      </c>
      <c r="N87" s="75">
        <f t="shared" si="156"/>
        <v>0</v>
      </c>
      <c r="O87" s="75">
        <f t="shared" si="88"/>
        <v>0</v>
      </c>
      <c r="P87" s="72">
        <f t="shared" si="89"/>
        <v>0.05</v>
      </c>
      <c r="Q87" s="72">
        <f t="shared" si="90"/>
        <v>0</v>
      </c>
      <c r="R87" s="61">
        <f t="shared" si="91"/>
        <v>0</v>
      </c>
      <c r="S87" s="68">
        <f t="shared" si="92"/>
        <v>0</v>
      </c>
      <c r="T87" s="68">
        <f t="shared" si="93"/>
        <v>0</v>
      </c>
      <c r="U87">
        <f t="array" aca="1" ref="U87" ca="1">SUM(1*(S87&lt;$S$12:$S$307))+1+IF(ROW(S87)-ROW($S$12)=0,0,SUM(1*(S87=OFFSET($S$12,0,0,INDEX(ROW(S87)-ROW($S$12)+1,1)-1,1))))</f>
        <v>76</v>
      </c>
      <c r="V87" s="96">
        <f t="shared" si="94"/>
        <v>0</v>
      </c>
      <c r="W87" s="75">
        <f>Calcs!U92</f>
        <v>0</v>
      </c>
      <c r="X87" s="78">
        <f>IFERROR(OR(Calcs!BH89,Calcs!BI89)*W87,0)</f>
        <v>0</v>
      </c>
      <c r="Y87" s="97">
        <f t="shared" si="95"/>
        <v>0</v>
      </c>
      <c r="Z87" s="98">
        <f t="shared" si="96"/>
        <v>0</v>
      </c>
      <c r="AA87" s="77">
        <f t="shared" si="97"/>
        <v>0</v>
      </c>
      <c r="AB87" s="78">
        <f>IF(AND(Calcs!BM92=TRUE),AA87,0)</f>
        <v>0</v>
      </c>
      <c r="AC87" s="97">
        <f t="shared" si="98"/>
        <v>0</v>
      </c>
      <c r="AD87" s="98">
        <f t="shared" si="99"/>
        <v>0</v>
      </c>
      <c r="AE87" s="77">
        <f t="shared" si="157"/>
        <v>0</v>
      </c>
      <c r="AF87" s="78">
        <f>IF(Calcs!BY92&lt;15,AE87,0)</f>
        <v>0</v>
      </c>
      <c r="AG87" s="97">
        <f t="shared" si="100"/>
        <v>0</v>
      </c>
      <c r="AH87" s="98">
        <f t="shared" si="101"/>
        <v>0</v>
      </c>
      <c r="AI87" s="77">
        <f t="shared" si="102"/>
        <v>0</v>
      </c>
      <c r="AJ87" s="78">
        <f>IF(Calcs!BY92&lt;10,AE87,0)</f>
        <v>0</v>
      </c>
      <c r="AK87" s="97">
        <f t="shared" si="103"/>
        <v>0</v>
      </c>
      <c r="AL87" s="98">
        <f t="shared" si="104"/>
        <v>0</v>
      </c>
      <c r="AM87" s="77">
        <f t="shared" si="105"/>
        <v>0</v>
      </c>
      <c r="AN87" s="78">
        <f>NOT(Calcs!BD92)*AM87</f>
        <v>0</v>
      </c>
      <c r="AO87" s="97">
        <f t="shared" si="106"/>
        <v>0</v>
      </c>
      <c r="AP87" s="98">
        <f t="shared" si="107"/>
        <v>0</v>
      </c>
      <c r="AQ87" s="77">
        <f t="shared" si="108"/>
        <v>0</v>
      </c>
      <c r="AR87" s="78">
        <f>NOT(Calcs!BE92)*AQ87</f>
        <v>0</v>
      </c>
      <c r="AS87" s="97">
        <f t="shared" si="109"/>
        <v>0</v>
      </c>
      <c r="AT87" s="98">
        <f t="shared" si="110"/>
        <v>0</v>
      </c>
      <c r="AU87" s="77">
        <f t="shared" si="111"/>
        <v>0</v>
      </c>
      <c r="AV87" s="97">
        <f>IF(Calcs!BC92=TRUE, AU87, 0)</f>
        <v>0</v>
      </c>
      <c r="AW87" s="97">
        <f t="shared" si="112"/>
        <v>0</v>
      </c>
      <c r="AX87" s="98">
        <f t="shared" si="113"/>
        <v>0</v>
      </c>
      <c r="AY87" s="77">
        <f t="shared" si="114"/>
        <v>0</v>
      </c>
      <c r="AZ87" s="97">
        <f>Calcs!BK92*AY87</f>
        <v>0</v>
      </c>
      <c r="BA87" s="97">
        <f t="shared" si="115"/>
        <v>0</v>
      </c>
      <c r="BB87" s="98">
        <f t="shared" si="116"/>
        <v>0</v>
      </c>
      <c r="BC87" s="77">
        <f t="shared" si="117"/>
        <v>0</v>
      </c>
      <c r="BD87" s="97"/>
      <c r="BE87" s="97"/>
      <c r="BF87" s="98"/>
      <c r="BG87" s="77">
        <f t="shared" si="118"/>
        <v>0</v>
      </c>
      <c r="BH87" s="97">
        <f>IF(Calcs!BJ92=FALSE,0,BG87)</f>
        <v>0</v>
      </c>
      <c r="BI87" s="97">
        <f t="shared" si="119"/>
        <v>0</v>
      </c>
      <c r="BJ87" s="98">
        <f t="shared" si="120"/>
        <v>0</v>
      </c>
      <c r="BK87" s="77">
        <f t="shared" si="121"/>
        <v>0</v>
      </c>
      <c r="BL87" s="97">
        <f>IF(Calcs!AW92=TRUE,BK87,0)</f>
        <v>0</v>
      </c>
      <c r="BM87" s="97">
        <f t="shared" si="122"/>
        <v>0</v>
      </c>
      <c r="BN87" s="98">
        <f t="shared" si="123"/>
        <v>0</v>
      </c>
      <c r="BO87" s="77">
        <f t="shared" si="124"/>
        <v>0</v>
      </c>
      <c r="BP87" s="97"/>
      <c r="BQ87" s="97">
        <f t="shared" si="125"/>
        <v>0</v>
      </c>
      <c r="BR87" s="98">
        <f t="shared" si="126"/>
        <v>0</v>
      </c>
      <c r="BS87" s="77">
        <f t="shared" si="127"/>
        <v>0</v>
      </c>
      <c r="BT87" s="97">
        <f>IF(Calcs!BB92=TRUE,'Concentration Limitations'!BS87,0)</f>
        <v>0</v>
      </c>
      <c r="BU87" s="97">
        <f t="shared" si="128"/>
        <v>0</v>
      </c>
      <c r="BV87" s="98">
        <f t="shared" si="129"/>
        <v>0</v>
      </c>
      <c r="BW87" s="77">
        <f t="shared" si="130"/>
        <v>0</v>
      </c>
      <c r="BX87" s="97">
        <f>IF(Calcs!BI92=TRUE,'Concentration Limitations'!BW87,0)</f>
        <v>0</v>
      </c>
      <c r="BY87" s="97">
        <f t="shared" si="131"/>
        <v>0</v>
      </c>
      <c r="BZ87" s="98">
        <f t="shared" si="132"/>
        <v>0</v>
      </c>
      <c r="CA87" s="97">
        <f t="shared" si="133"/>
        <v>0</v>
      </c>
      <c r="CB87" s="97"/>
      <c r="CC87" s="97"/>
      <c r="CD87" s="98">
        <f t="shared" si="134"/>
        <v>0</v>
      </c>
      <c r="CE87" s="97">
        <f t="shared" si="135"/>
        <v>0</v>
      </c>
      <c r="CF87" s="97"/>
      <c r="CG87" s="97"/>
      <c r="CH87" s="98">
        <f t="shared" si="136"/>
        <v>0</v>
      </c>
      <c r="CI87" s="97">
        <f t="shared" si="137"/>
        <v>0</v>
      </c>
      <c r="CJ87" s="97"/>
      <c r="CK87" s="97"/>
      <c r="CL87" s="98">
        <f t="shared" si="138"/>
        <v>0</v>
      </c>
      <c r="CM87" s="97">
        <f t="shared" si="139"/>
        <v>0</v>
      </c>
      <c r="CN87" s="97"/>
      <c r="CO87" s="97"/>
      <c r="CP87" s="98">
        <f t="shared" si="140"/>
        <v>0</v>
      </c>
      <c r="CQ87" s="97">
        <f t="shared" si="141"/>
        <v>0</v>
      </c>
      <c r="CR87" s="97"/>
      <c r="CS87" s="97">
        <f t="shared" si="142"/>
        <v>0</v>
      </c>
      <c r="CT87" s="98">
        <f t="shared" si="143"/>
        <v>0</v>
      </c>
      <c r="CU87" s="97">
        <f t="shared" si="144"/>
        <v>0</v>
      </c>
      <c r="CV87" s="97"/>
      <c r="CW87" s="97">
        <f t="shared" si="145"/>
        <v>0</v>
      </c>
      <c r="CX87" s="98">
        <f t="shared" si="146"/>
        <v>0</v>
      </c>
      <c r="CY87" s="97">
        <f t="shared" si="147"/>
        <v>0</v>
      </c>
      <c r="CZ87" s="97"/>
      <c r="DA87" s="97"/>
      <c r="DB87" s="98">
        <f t="shared" si="148"/>
        <v>0</v>
      </c>
      <c r="DC87" s="75">
        <f t="shared" si="149"/>
        <v>0</v>
      </c>
      <c r="DD87" s="97"/>
      <c r="DE87" s="97"/>
      <c r="DF87" s="98">
        <f t="shared" si="150"/>
        <v>0</v>
      </c>
      <c r="DG87" s="75">
        <f t="shared" si="151"/>
        <v>0</v>
      </c>
      <c r="DH87" s="78">
        <f>Calcs!F92</f>
        <v>0</v>
      </c>
      <c r="DI87" s="99">
        <f t="shared" ca="1" si="152"/>
        <v>0</v>
      </c>
      <c r="DJ87" s="98">
        <f t="shared" ca="1" si="153"/>
        <v>0</v>
      </c>
      <c r="DK87" s="293"/>
      <c r="DL87" s="114"/>
      <c r="DM87" s="36"/>
      <c r="DN87" s="36"/>
      <c r="DO87" s="36"/>
      <c r="DP87" s="36"/>
      <c r="DQ87" s="413" cm="1">
        <f t="array" ref="DQ87">+SUMPRODUCT((DL87=$DH$12:$DH$307)*($DG$12:$DG$307))/$N$6</f>
        <v>0</v>
      </c>
      <c r="DR87" s="414">
        <f t="shared" ref="DR87:DR92" si="164">COUNTIF($DQ$12:$DQ$300,"&gt;"&amp;DQ87)+1</f>
        <v>19</v>
      </c>
      <c r="DS87" s="413" cm="1">
        <f t="array" aca="1" ref="DS87" ca="1">+SUMPRODUCT((DL87=$DH$12:$DH$307)*($DJ$12:$DJ$307))/$N$6</f>
        <v>0</v>
      </c>
      <c r="DT87" s="417">
        <f t="shared" ref="DT87:DT92" ca="1" si="165">COUNTIF($DS$12:$DS$106,"&gt;"&amp;DS87)+1</f>
        <v>19</v>
      </c>
      <c r="DU87" s="415">
        <f t="shared" ref="DU87:DU92" si="166">+IF(DR87=1,0.2,IF(DR87=2,0.15, IF(DR87=3, 0.12, 0.1)))</f>
        <v>0.1</v>
      </c>
      <c r="DV87" s="416">
        <f t="shared" ref="DV87:DV92" si="167">DU87-DQ87</f>
        <v>0.1</v>
      </c>
    </row>
    <row r="88" spans="6:126">
      <c r="F88" s="2">
        <f t="shared" ca="1" si="163"/>
        <v>77</v>
      </c>
      <c r="G88" s="40">
        <f>Calcs!A90</f>
        <v>0</v>
      </c>
      <c r="H88" s="68">
        <f t="shared" ca="1" si="155"/>
        <v>0</v>
      </c>
      <c r="I88" s="96"/>
      <c r="J88" s="96"/>
      <c r="K88" s="63">
        <f>+IF(G88="","",IF(COUNTIF(G89:$G$307,G88)=0,1,0))</f>
        <v>0</v>
      </c>
      <c r="L88" s="75">
        <f>Calcs!U93</f>
        <v>0</v>
      </c>
      <c r="M88">
        <f t="shared" si="87"/>
        <v>69</v>
      </c>
      <c r="N88" s="75">
        <f t="shared" si="156"/>
        <v>0</v>
      </c>
      <c r="O88" s="75">
        <f t="shared" si="88"/>
        <v>0</v>
      </c>
      <c r="P88" s="72">
        <f t="shared" si="89"/>
        <v>0.05</v>
      </c>
      <c r="Q88" s="72">
        <f t="shared" si="90"/>
        <v>0</v>
      </c>
      <c r="R88" s="61">
        <f t="shared" si="91"/>
        <v>0</v>
      </c>
      <c r="S88" s="68">
        <f t="shared" si="92"/>
        <v>0</v>
      </c>
      <c r="T88" s="68">
        <f t="shared" si="93"/>
        <v>0</v>
      </c>
      <c r="U88">
        <f t="array" aca="1" ref="U88" ca="1">SUM(1*(S88&lt;$S$12:$S$307))+1+IF(ROW(S88)-ROW($S$12)=0,0,SUM(1*(S88=OFFSET($S$12,0,0,INDEX(ROW(S88)-ROW($S$12)+1,1)-1,1))))</f>
        <v>77</v>
      </c>
      <c r="V88" s="96">
        <f t="shared" si="94"/>
        <v>0</v>
      </c>
      <c r="W88" s="75">
        <f>Calcs!U93</f>
        <v>0</v>
      </c>
      <c r="X88" s="78">
        <f>IFERROR(OR(Calcs!BH90,Calcs!BI90)*W88,0)</f>
        <v>0</v>
      </c>
      <c r="Y88" s="97">
        <f t="shared" si="95"/>
        <v>0</v>
      </c>
      <c r="Z88" s="98">
        <f t="shared" si="96"/>
        <v>0</v>
      </c>
      <c r="AA88" s="77">
        <f t="shared" si="97"/>
        <v>0</v>
      </c>
      <c r="AB88" s="78">
        <f>IF(AND(Calcs!BM93=TRUE),AA88,0)</f>
        <v>0</v>
      </c>
      <c r="AC88" s="97">
        <f t="shared" si="98"/>
        <v>0</v>
      </c>
      <c r="AD88" s="98">
        <f t="shared" si="99"/>
        <v>0</v>
      </c>
      <c r="AE88" s="77">
        <f t="shared" si="157"/>
        <v>0</v>
      </c>
      <c r="AF88" s="78">
        <f>IF(Calcs!BY93&lt;15,AE88,0)</f>
        <v>0</v>
      </c>
      <c r="AG88" s="97">
        <f t="shared" si="100"/>
        <v>0</v>
      </c>
      <c r="AH88" s="98">
        <f t="shared" si="101"/>
        <v>0</v>
      </c>
      <c r="AI88" s="77">
        <f t="shared" si="102"/>
        <v>0</v>
      </c>
      <c r="AJ88" s="78">
        <f>IF(Calcs!BY93&lt;10,AE88,0)</f>
        <v>0</v>
      </c>
      <c r="AK88" s="97">
        <f t="shared" si="103"/>
        <v>0</v>
      </c>
      <c r="AL88" s="98">
        <f t="shared" si="104"/>
        <v>0</v>
      </c>
      <c r="AM88" s="77">
        <f t="shared" si="105"/>
        <v>0</v>
      </c>
      <c r="AN88" s="78">
        <f>NOT(Calcs!BD93)*AM88</f>
        <v>0</v>
      </c>
      <c r="AO88" s="97">
        <f t="shared" si="106"/>
        <v>0</v>
      </c>
      <c r="AP88" s="98">
        <f t="shared" si="107"/>
        <v>0</v>
      </c>
      <c r="AQ88" s="77">
        <f t="shared" si="108"/>
        <v>0</v>
      </c>
      <c r="AR88" s="78">
        <f>NOT(Calcs!BE93)*AQ88</f>
        <v>0</v>
      </c>
      <c r="AS88" s="97">
        <f t="shared" si="109"/>
        <v>0</v>
      </c>
      <c r="AT88" s="98">
        <f t="shared" si="110"/>
        <v>0</v>
      </c>
      <c r="AU88" s="77">
        <f t="shared" si="111"/>
        <v>0</v>
      </c>
      <c r="AV88" s="97">
        <f>IF(Calcs!BC93=TRUE, AU88, 0)</f>
        <v>0</v>
      </c>
      <c r="AW88" s="97">
        <f t="shared" si="112"/>
        <v>0</v>
      </c>
      <c r="AX88" s="98">
        <f t="shared" si="113"/>
        <v>0</v>
      </c>
      <c r="AY88" s="77">
        <f t="shared" si="114"/>
        <v>0</v>
      </c>
      <c r="AZ88" s="97">
        <f>Calcs!BK93*AY88</f>
        <v>0</v>
      </c>
      <c r="BA88" s="97">
        <f t="shared" si="115"/>
        <v>0</v>
      </c>
      <c r="BB88" s="98">
        <f t="shared" si="116"/>
        <v>0</v>
      </c>
      <c r="BC88" s="77">
        <f t="shared" si="117"/>
        <v>0</v>
      </c>
      <c r="BD88" s="97"/>
      <c r="BE88" s="97"/>
      <c r="BF88" s="98"/>
      <c r="BG88" s="77">
        <f t="shared" si="118"/>
        <v>0</v>
      </c>
      <c r="BH88" s="97">
        <f>IF(Calcs!BJ93=FALSE,0,BG88)</f>
        <v>0</v>
      </c>
      <c r="BI88" s="97">
        <f t="shared" si="119"/>
        <v>0</v>
      </c>
      <c r="BJ88" s="98">
        <f t="shared" si="120"/>
        <v>0</v>
      </c>
      <c r="BK88" s="77">
        <f t="shared" si="121"/>
        <v>0</v>
      </c>
      <c r="BL88" s="97">
        <f>IF(Calcs!AW93=TRUE,BK88,0)</f>
        <v>0</v>
      </c>
      <c r="BM88" s="97">
        <f t="shared" si="122"/>
        <v>0</v>
      </c>
      <c r="BN88" s="98">
        <f t="shared" si="123"/>
        <v>0</v>
      </c>
      <c r="BO88" s="77">
        <f t="shared" si="124"/>
        <v>0</v>
      </c>
      <c r="BP88" s="97"/>
      <c r="BQ88" s="97">
        <f t="shared" si="125"/>
        <v>0</v>
      </c>
      <c r="BR88" s="98">
        <f t="shared" si="126"/>
        <v>0</v>
      </c>
      <c r="BS88" s="77">
        <f t="shared" si="127"/>
        <v>0</v>
      </c>
      <c r="BT88" s="97">
        <f>IF(Calcs!BB93=TRUE,'Concentration Limitations'!BS88,0)</f>
        <v>0</v>
      </c>
      <c r="BU88" s="97">
        <f t="shared" si="128"/>
        <v>0</v>
      </c>
      <c r="BV88" s="98">
        <f t="shared" si="129"/>
        <v>0</v>
      </c>
      <c r="BW88" s="77">
        <f t="shared" si="130"/>
        <v>0</v>
      </c>
      <c r="BX88" s="97">
        <f>IF(Calcs!BI93=TRUE,'Concentration Limitations'!BW88,0)</f>
        <v>0</v>
      </c>
      <c r="BY88" s="97">
        <f t="shared" si="131"/>
        <v>0</v>
      </c>
      <c r="BZ88" s="98">
        <f t="shared" si="132"/>
        <v>0</v>
      </c>
      <c r="CA88" s="97">
        <f t="shared" si="133"/>
        <v>0</v>
      </c>
      <c r="CB88" s="97"/>
      <c r="CC88" s="97"/>
      <c r="CD88" s="98">
        <f t="shared" si="134"/>
        <v>0</v>
      </c>
      <c r="CE88" s="97">
        <f t="shared" si="135"/>
        <v>0</v>
      </c>
      <c r="CF88" s="97"/>
      <c r="CG88" s="97"/>
      <c r="CH88" s="98">
        <f t="shared" si="136"/>
        <v>0</v>
      </c>
      <c r="CI88" s="97">
        <f t="shared" si="137"/>
        <v>0</v>
      </c>
      <c r="CJ88" s="97"/>
      <c r="CK88" s="97"/>
      <c r="CL88" s="98">
        <f t="shared" si="138"/>
        <v>0</v>
      </c>
      <c r="CM88" s="97">
        <f t="shared" si="139"/>
        <v>0</v>
      </c>
      <c r="CN88" s="97"/>
      <c r="CO88" s="97"/>
      <c r="CP88" s="98">
        <f t="shared" si="140"/>
        <v>0</v>
      </c>
      <c r="CQ88" s="97">
        <f t="shared" si="141"/>
        <v>0</v>
      </c>
      <c r="CR88" s="97"/>
      <c r="CS88" s="97">
        <f t="shared" si="142"/>
        <v>0</v>
      </c>
      <c r="CT88" s="98">
        <f t="shared" si="143"/>
        <v>0</v>
      </c>
      <c r="CU88" s="97">
        <f t="shared" si="144"/>
        <v>0</v>
      </c>
      <c r="CV88" s="97"/>
      <c r="CW88" s="97">
        <f t="shared" si="145"/>
        <v>0</v>
      </c>
      <c r="CX88" s="98">
        <f t="shared" si="146"/>
        <v>0</v>
      </c>
      <c r="CY88" s="97">
        <f t="shared" si="147"/>
        <v>0</v>
      </c>
      <c r="CZ88" s="97"/>
      <c r="DA88" s="97"/>
      <c r="DB88" s="98">
        <f t="shared" si="148"/>
        <v>0</v>
      </c>
      <c r="DC88" s="75">
        <f t="shared" si="149"/>
        <v>0</v>
      </c>
      <c r="DD88" s="97"/>
      <c r="DE88" s="97"/>
      <c r="DF88" s="98">
        <f t="shared" si="150"/>
        <v>0</v>
      </c>
      <c r="DG88" s="75">
        <f t="shared" si="151"/>
        <v>0</v>
      </c>
      <c r="DH88" s="78">
        <f>Calcs!F93</f>
        <v>0</v>
      </c>
      <c r="DI88" s="99">
        <f t="shared" ca="1" si="152"/>
        <v>0</v>
      </c>
      <c r="DJ88" s="98">
        <f t="shared" ca="1" si="153"/>
        <v>0</v>
      </c>
      <c r="DK88" s="293"/>
      <c r="DL88" s="114"/>
      <c r="DM88" s="36"/>
      <c r="DN88" s="36"/>
      <c r="DO88" s="36"/>
      <c r="DP88" s="36"/>
      <c r="DQ88" s="413" cm="1">
        <f t="array" ref="DQ88">+SUMPRODUCT((DL88=$DH$12:$DH$307)*($DG$12:$DG$307))/$N$6</f>
        <v>0</v>
      </c>
      <c r="DR88" s="414">
        <f t="shared" si="164"/>
        <v>19</v>
      </c>
      <c r="DS88" s="413" cm="1">
        <f t="array" aca="1" ref="DS88" ca="1">+SUMPRODUCT((DL88=$DH$12:$DH$307)*($DJ$12:$DJ$307))/$N$6</f>
        <v>0</v>
      </c>
      <c r="DT88" s="417">
        <f t="shared" ca="1" si="165"/>
        <v>19</v>
      </c>
      <c r="DU88" s="415">
        <f t="shared" si="166"/>
        <v>0.1</v>
      </c>
      <c r="DV88" s="416">
        <f t="shared" si="167"/>
        <v>0.1</v>
      </c>
    </row>
    <row r="89" spans="6:126">
      <c r="F89" s="2">
        <f t="shared" ca="1" si="163"/>
        <v>78</v>
      </c>
      <c r="G89" s="40">
        <f>Calcs!A91</f>
        <v>0</v>
      </c>
      <c r="H89" s="68">
        <f t="shared" ca="1" si="155"/>
        <v>0</v>
      </c>
      <c r="I89" s="96"/>
      <c r="J89" s="96"/>
      <c r="K89" s="63">
        <f>+IF(G89="","",IF(COUNTIF(G90:$G$307,G89)=0,1,0))</f>
        <v>0</v>
      </c>
      <c r="L89" s="75">
        <f>Calcs!U94</f>
        <v>0</v>
      </c>
      <c r="M89">
        <f t="shared" si="87"/>
        <v>69</v>
      </c>
      <c r="N89" s="75">
        <f t="shared" si="156"/>
        <v>0</v>
      </c>
      <c r="O89" s="75">
        <f t="shared" si="88"/>
        <v>0</v>
      </c>
      <c r="P89" s="72">
        <f t="shared" si="89"/>
        <v>0.05</v>
      </c>
      <c r="Q89" s="72">
        <f t="shared" si="90"/>
        <v>0</v>
      </c>
      <c r="R89" s="61">
        <f t="shared" si="91"/>
        <v>0</v>
      </c>
      <c r="S89" s="68">
        <f t="shared" si="92"/>
        <v>0</v>
      </c>
      <c r="T89" s="68">
        <f t="shared" si="93"/>
        <v>0</v>
      </c>
      <c r="U89">
        <f t="array" aca="1" ref="U89" ca="1">SUM(1*(S89&lt;$S$12:$S$307))+1+IF(ROW(S89)-ROW($S$12)=0,0,SUM(1*(S89=OFFSET($S$12,0,0,INDEX(ROW(S89)-ROW($S$12)+1,1)-1,1))))</f>
        <v>78</v>
      </c>
      <c r="V89" s="96">
        <f t="shared" si="94"/>
        <v>0</v>
      </c>
      <c r="W89" s="75">
        <f>Calcs!U94</f>
        <v>0</v>
      </c>
      <c r="X89" s="78">
        <f>IFERROR(OR(Calcs!BH91,Calcs!BI91)*W89,0)</f>
        <v>0</v>
      </c>
      <c r="Y89" s="97">
        <f t="shared" si="95"/>
        <v>0</v>
      </c>
      <c r="Z89" s="98">
        <f t="shared" si="96"/>
        <v>0</v>
      </c>
      <c r="AA89" s="77">
        <f t="shared" si="97"/>
        <v>0</v>
      </c>
      <c r="AB89" s="78">
        <f>IF(AND(Calcs!BM94=TRUE),AA89,0)</f>
        <v>0</v>
      </c>
      <c r="AC89" s="97">
        <f t="shared" si="98"/>
        <v>0</v>
      </c>
      <c r="AD89" s="98">
        <f t="shared" si="99"/>
        <v>0</v>
      </c>
      <c r="AE89" s="77">
        <f t="shared" si="157"/>
        <v>0</v>
      </c>
      <c r="AF89" s="78">
        <f>IF(Calcs!BY94&lt;15,AE89,0)</f>
        <v>0</v>
      </c>
      <c r="AG89" s="97">
        <f t="shared" si="100"/>
        <v>0</v>
      </c>
      <c r="AH89" s="98">
        <f t="shared" si="101"/>
        <v>0</v>
      </c>
      <c r="AI89" s="77">
        <f t="shared" si="102"/>
        <v>0</v>
      </c>
      <c r="AJ89" s="78">
        <f>IF(Calcs!BY94&lt;10,AE89,0)</f>
        <v>0</v>
      </c>
      <c r="AK89" s="97">
        <f t="shared" si="103"/>
        <v>0</v>
      </c>
      <c r="AL89" s="98">
        <f t="shared" si="104"/>
        <v>0</v>
      </c>
      <c r="AM89" s="77">
        <f t="shared" si="105"/>
        <v>0</v>
      </c>
      <c r="AN89" s="78">
        <f>NOT(Calcs!BD94)*AM89</f>
        <v>0</v>
      </c>
      <c r="AO89" s="97">
        <f t="shared" si="106"/>
        <v>0</v>
      </c>
      <c r="AP89" s="98">
        <f t="shared" si="107"/>
        <v>0</v>
      </c>
      <c r="AQ89" s="77">
        <f t="shared" si="108"/>
        <v>0</v>
      </c>
      <c r="AR89" s="78">
        <f>NOT(Calcs!BE94)*AQ89</f>
        <v>0</v>
      </c>
      <c r="AS89" s="97">
        <f t="shared" si="109"/>
        <v>0</v>
      </c>
      <c r="AT89" s="98">
        <f t="shared" si="110"/>
        <v>0</v>
      </c>
      <c r="AU89" s="77">
        <f t="shared" si="111"/>
        <v>0</v>
      </c>
      <c r="AV89" s="97">
        <f>IF(Calcs!BC94=TRUE, AU89, 0)</f>
        <v>0</v>
      </c>
      <c r="AW89" s="97">
        <f t="shared" si="112"/>
        <v>0</v>
      </c>
      <c r="AX89" s="98">
        <f t="shared" si="113"/>
        <v>0</v>
      </c>
      <c r="AY89" s="77">
        <f t="shared" si="114"/>
        <v>0</v>
      </c>
      <c r="AZ89" s="97">
        <f>Calcs!BK94*AY89</f>
        <v>0</v>
      </c>
      <c r="BA89" s="97">
        <f t="shared" si="115"/>
        <v>0</v>
      </c>
      <c r="BB89" s="98">
        <f t="shared" si="116"/>
        <v>0</v>
      </c>
      <c r="BC89" s="77">
        <f t="shared" si="117"/>
        <v>0</v>
      </c>
      <c r="BD89" s="97"/>
      <c r="BE89" s="97"/>
      <c r="BF89" s="98"/>
      <c r="BG89" s="77">
        <f t="shared" si="118"/>
        <v>0</v>
      </c>
      <c r="BH89" s="97">
        <f>IF(Calcs!BJ94=FALSE,0,BG89)</f>
        <v>0</v>
      </c>
      <c r="BI89" s="97">
        <f t="shared" si="119"/>
        <v>0</v>
      </c>
      <c r="BJ89" s="98">
        <f t="shared" si="120"/>
        <v>0</v>
      </c>
      <c r="BK89" s="77">
        <f t="shared" si="121"/>
        <v>0</v>
      </c>
      <c r="BL89" s="97">
        <f>IF(Calcs!AW94=TRUE,BK89,0)</f>
        <v>0</v>
      </c>
      <c r="BM89" s="97">
        <f t="shared" si="122"/>
        <v>0</v>
      </c>
      <c r="BN89" s="98">
        <f t="shared" si="123"/>
        <v>0</v>
      </c>
      <c r="BO89" s="77">
        <f t="shared" si="124"/>
        <v>0</v>
      </c>
      <c r="BP89" s="97"/>
      <c r="BQ89" s="97">
        <f t="shared" si="125"/>
        <v>0</v>
      </c>
      <c r="BR89" s="98">
        <f t="shared" si="126"/>
        <v>0</v>
      </c>
      <c r="BS89" s="77">
        <f t="shared" si="127"/>
        <v>0</v>
      </c>
      <c r="BT89" s="97">
        <f>IF(Calcs!BB94=TRUE,'Concentration Limitations'!BS89,0)</f>
        <v>0</v>
      </c>
      <c r="BU89" s="97">
        <f t="shared" si="128"/>
        <v>0</v>
      </c>
      <c r="BV89" s="98">
        <f t="shared" si="129"/>
        <v>0</v>
      </c>
      <c r="BW89" s="77">
        <f t="shared" si="130"/>
        <v>0</v>
      </c>
      <c r="BX89" s="97">
        <f>IF(Calcs!BI94=TRUE,'Concentration Limitations'!BW89,0)</f>
        <v>0</v>
      </c>
      <c r="BY89" s="97">
        <f t="shared" si="131"/>
        <v>0</v>
      </c>
      <c r="BZ89" s="98">
        <f t="shared" si="132"/>
        <v>0</v>
      </c>
      <c r="CA89" s="97">
        <f t="shared" si="133"/>
        <v>0</v>
      </c>
      <c r="CB89" s="97"/>
      <c r="CC89" s="97"/>
      <c r="CD89" s="98">
        <f t="shared" si="134"/>
        <v>0</v>
      </c>
      <c r="CE89" s="97">
        <f t="shared" si="135"/>
        <v>0</v>
      </c>
      <c r="CF89" s="97"/>
      <c r="CG89" s="97"/>
      <c r="CH89" s="98">
        <f t="shared" si="136"/>
        <v>0</v>
      </c>
      <c r="CI89" s="97">
        <f t="shared" si="137"/>
        <v>0</v>
      </c>
      <c r="CJ89" s="97"/>
      <c r="CK89" s="97"/>
      <c r="CL89" s="98">
        <f t="shared" si="138"/>
        <v>0</v>
      </c>
      <c r="CM89" s="97">
        <f t="shared" si="139"/>
        <v>0</v>
      </c>
      <c r="CN89" s="97"/>
      <c r="CO89" s="97"/>
      <c r="CP89" s="98">
        <f t="shared" si="140"/>
        <v>0</v>
      </c>
      <c r="CQ89" s="97">
        <f t="shared" si="141"/>
        <v>0</v>
      </c>
      <c r="CR89" s="97"/>
      <c r="CS89" s="97">
        <f t="shared" si="142"/>
        <v>0</v>
      </c>
      <c r="CT89" s="98">
        <f t="shared" si="143"/>
        <v>0</v>
      </c>
      <c r="CU89" s="97">
        <f t="shared" si="144"/>
        <v>0</v>
      </c>
      <c r="CV89" s="97"/>
      <c r="CW89" s="97">
        <f t="shared" si="145"/>
        <v>0</v>
      </c>
      <c r="CX89" s="98">
        <f t="shared" si="146"/>
        <v>0</v>
      </c>
      <c r="CY89" s="97">
        <f t="shared" si="147"/>
        <v>0</v>
      </c>
      <c r="CZ89" s="97"/>
      <c r="DA89" s="97"/>
      <c r="DB89" s="98">
        <f t="shared" si="148"/>
        <v>0</v>
      </c>
      <c r="DC89" s="75">
        <f t="shared" si="149"/>
        <v>0</v>
      </c>
      <c r="DD89" s="97"/>
      <c r="DE89" s="97"/>
      <c r="DF89" s="98">
        <f t="shared" si="150"/>
        <v>0</v>
      </c>
      <c r="DG89" s="75">
        <f t="shared" si="151"/>
        <v>0</v>
      </c>
      <c r="DH89" s="78">
        <f>Calcs!F94</f>
        <v>0</v>
      </c>
      <c r="DI89" s="99">
        <f t="shared" ca="1" si="152"/>
        <v>0</v>
      </c>
      <c r="DJ89" s="98">
        <f t="shared" ca="1" si="153"/>
        <v>0</v>
      </c>
      <c r="DK89" s="293"/>
      <c r="DL89" s="114"/>
      <c r="DM89" s="36"/>
      <c r="DN89" s="36"/>
      <c r="DO89" s="36"/>
      <c r="DP89" s="36"/>
      <c r="DQ89" s="413" cm="1">
        <f t="array" ref="DQ89">+SUMPRODUCT((DL89=$DH$12:$DH$307)*($DG$12:$DG$307))/$N$6</f>
        <v>0</v>
      </c>
      <c r="DR89" s="414">
        <f t="shared" si="164"/>
        <v>19</v>
      </c>
      <c r="DS89" s="413" cm="1">
        <f t="array" aca="1" ref="DS89" ca="1">+SUMPRODUCT((DL89=$DH$12:$DH$307)*($DJ$12:$DJ$307))/$N$6</f>
        <v>0</v>
      </c>
      <c r="DT89" s="417">
        <f t="shared" ca="1" si="165"/>
        <v>19</v>
      </c>
      <c r="DU89" s="415">
        <f t="shared" si="166"/>
        <v>0.1</v>
      </c>
      <c r="DV89" s="416">
        <f t="shared" si="167"/>
        <v>0.1</v>
      </c>
    </row>
    <row r="90" spans="6:126">
      <c r="F90" s="2">
        <f t="shared" ca="1" si="163"/>
        <v>79</v>
      </c>
      <c r="G90" s="40">
        <f>Calcs!A92</f>
        <v>0</v>
      </c>
      <c r="H90" s="68">
        <f t="shared" ca="1" si="155"/>
        <v>0</v>
      </c>
      <c r="I90" s="96"/>
      <c r="J90" s="96"/>
      <c r="K90" s="63">
        <f>+IF(G90="","",IF(COUNTIF(G91:$G$307,G90)=0,1,0))</f>
        <v>0</v>
      </c>
      <c r="L90" s="75">
        <f>Calcs!U95</f>
        <v>0</v>
      </c>
      <c r="M90">
        <f t="shared" si="87"/>
        <v>69</v>
      </c>
      <c r="N90" s="75">
        <f t="shared" si="156"/>
        <v>0</v>
      </c>
      <c r="O90" s="75">
        <f t="shared" si="88"/>
        <v>0</v>
      </c>
      <c r="P90" s="72">
        <f t="shared" si="89"/>
        <v>0.05</v>
      </c>
      <c r="Q90" s="72">
        <f t="shared" si="90"/>
        <v>0</v>
      </c>
      <c r="R90" s="61">
        <f t="shared" si="91"/>
        <v>0</v>
      </c>
      <c r="S90" s="68">
        <f t="shared" si="92"/>
        <v>0</v>
      </c>
      <c r="T90" s="68">
        <f t="shared" si="93"/>
        <v>0</v>
      </c>
      <c r="U90">
        <f t="array" aca="1" ref="U90" ca="1">SUM(1*(S90&lt;$S$12:$S$307))+1+IF(ROW(S90)-ROW($S$12)=0,0,SUM(1*(S90=OFFSET($S$12,0,0,INDEX(ROW(S90)-ROW($S$12)+1,1)-1,1))))</f>
        <v>79</v>
      </c>
      <c r="V90" s="96">
        <f t="shared" si="94"/>
        <v>0</v>
      </c>
      <c r="W90" s="75">
        <f>Calcs!U95</f>
        <v>0</v>
      </c>
      <c r="X90" s="78">
        <f>IFERROR(OR(Calcs!BH92,Calcs!BI92)*W90,0)</f>
        <v>0</v>
      </c>
      <c r="Y90" s="97">
        <f t="shared" si="95"/>
        <v>0</v>
      </c>
      <c r="Z90" s="98">
        <f t="shared" si="96"/>
        <v>0</v>
      </c>
      <c r="AA90" s="77">
        <f t="shared" si="97"/>
        <v>0</v>
      </c>
      <c r="AB90" s="78">
        <f>IF(AND(Calcs!BM95=TRUE),AA90,0)</f>
        <v>0</v>
      </c>
      <c r="AC90" s="97">
        <f t="shared" si="98"/>
        <v>0</v>
      </c>
      <c r="AD90" s="98">
        <f t="shared" si="99"/>
        <v>0</v>
      </c>
      <c r="AE90" s="77">
        <f t="shared" si="157"/>
        <v>0</v>
      </c>
      <c r="AF90" s="78">
        <f>IF(Calcs!BY95&lt;15,AE90,0)</f>
        <v>0</v>
      </c>
      <c r="AG90" s="97">
        <f t="shared" si="100"/>
        <v>0</v>
      </c>
      <c r="AH90" s="98">
        <f t="shared" si="101"/>
        <v>0</v>
      </c>
      <c r="AI90" s="77">
        <f t="shared" si="102"/>
        <v>0</v>
      </c>
      <c r="AJ90" s="78">
        <f>IF(Calcs!BY95&lt;10,AE90,0)</f>
        <v>0</v>
      </c>
      <c r="AK90" s="97">
        <f t="shared" si="103"/>
        <v>0</v>
      </c>
      <c r="AL90" s="98">
        <f t="shared" si="104"/>
        <v>0</v>
      </c>
      <c r="AM90" s="77">
        <f t="shared" si="105"/>
        <v>0</v>
      </c>
      <c r="AN90" s="78">
        <f>NOT(Calcs!BD95)*AM90</f>
        <v>0</v>
      </c>
      <c r="AO90" s="97">
        <f t="shared" si="106"/>
        <v>0</v>
      </c>
      <c r="AP90" s="98">
        <f t="shared" si="107"/>
        <v>0</v>
      </c>
      <c r="AQ90" s="77">
        <f t="shared" si="108"/>
        <v>0</v>
      </c>
      <c r="AR90" s="78">
        <f>NOT(Calcs!BE95)*AQ90</f>
        <v>0</v>
      </c>
      <c r="AS90" s="97">
        <f t="shared" si="109"/>
        <v>0</v>
      </c>
      <c r="AT90" s="98">
        <f t="shared" si="110"/>
        <v>0</v>
      </c>
      <c r="AU90" s="77">
        <f t="shared" si="111"/>
        <v>0</v>
      </c>
      <c r="AV90" s="97">
        <f>IF(Calcs!BC95=TRUE, AU90, 0)</f>
        <v>0</v>
      </c>
      <c r="AW90" s="97">
        <f t="shared" si="112"/>
        <v>0</v>
      </c>
      <c r="AX90" s="98">
        <f t="shared" si="113"/>
        <v>0</v>
      </c>
      <c r="AY90" s="77">
        <f t="shared" si="114"/>
        <v>0</v>
      </c>
      <c r="AZ90" s="97">
        <f>Calcs!BK95*AY90</f>
        <v>0</v>
      </c>
      <c r="BA90" s="97">
        <f t="shared" si="115"/>
        <v>0</v>
      </c>
      <c r="BB90" s="98">
        <f t="shared" si="116"/>
        <v>0</v>
      </c>
      <c r="BC90" s="77">
        <f t="shared" si="117"/>
        <v>0</v>
      </c>
      <c r="BD90" s="97"/>
      <c r="BE90" s="97"/>
      <c r="BF90" s="98"/>
      <c r="BG90" s="77">
        <f t="shared" si="118"/>
        <v>0</v>
      </c>
      <c r="BH90" s="97">
        <f>IF(Calcs!BJ95=FALSE,0,BG90)</f>
        <v>0</v>
      </c>
      <c r="BI90" s="97">
        <f t="shared" si="119"/>
        <v>0</v>
      </c>
      <c r="BJ90" s="98">
        <f t="shared" si="120"/>
        <v>0</v>
      </c>
      <c r="BK90" s="77">
        <f t="shared" si="121"/>
        <v>0</v>
      </c>
      <c r="BL90" s="97">
        <f>IF(Calcs!AW95=TRUE,BK90,0)</f>
        <v>0</v>
      </c>
      <c r="BM90" s="97">
        <f t="shared" si="122"/>
        <v>0</v>
      </c>
      <c r="BN90" s="98">
        <f t="shared" si="123"/>
        <v>0</v>
      </c>
      <c r="BO90" s="77">
        <f t="shared" si="124"/>
        <v>0</v>
      </c>
      <c r="BP90" s="97"/>
      <c r="BQ90" s="97">
        <f t="shared" si="125"/>
        <v>0</v>
      </c>
      <c r="BR90" s="98">
        <f t="shared" si="126"/>
        <v>0</v>
      </c>
      <c r="BS90" s="77">
        <f t="shared" si="127"/>
        <v>0</v>
      </c>
      <c r="BT90" s="97">
        <f>IF(Calcs!BB95=TRUE,'Concentration Limitations'!BS90,0)</f>
        <v>0</v>
      </c>
      <c r="BU90" s="97">
        <f t="shared" si="128"/>
        <v>0</v>
      </c>
      <c r="BV90" s="98">
        <f t="shared" si="129"/>
        <v>0</v>
      </c>
      <c r="BW90" s="77">
        <f t="shared" si="130"/>
        <v>0</v>
      </c>
      <c r="BX90" s="97">
        <f>IF(Calcs!BI95=TRUE,'Concentration Limitations'!BW90,0)</f>
        <v>0</v>
      </c>
      <c r="BY90" s="97">
        <f t="shared" si="131"/>
        <v>0</v>
      </c>
      <c r="BZ90" s="98">
        <f t="shared" si="132"/>
        <v>0</v>
      </c>
      <c r="CA90" s="97">
        <f t="shared" si="133"/>
        <v>0</v>
      </c>
      <c r="CB90" s="97"/>
      <c r="CC90" s="97"/>
      <c r="CD90" s="98">
        <f t="shared" si="134"/>
        <v>0</v>
      </c>
      <c r="CE90" s="97">
        <f t="shared" si="135"/>
        <v>0</v>
      </c>
      <c r="CF90" s="97"/>
      <c r="CG90" s="97"/>
      <c r="CH90" s="98">
        <f t="shared" si="136"/>
        <v>0</v>
      </c>
      <c r="CI90" s="97">
        <f t="shared" si="137"/>
        <v>0</v>
      </c>
      <c r="CJ90" s="97"/>
      <c r="CK90" s="97"/>
      <c r="CL90" s="98">
        <f t="shared" si="138"/>
        <v>0</v>
      </c>
      <c r="CM90" s="97">
        <f t="shared" si="139"/>
        <v>0</v>
      </c>
      <c r="CN90" s="97"/>
      <c r="CO90" s="97"/>
      <c r="CP90" s="98">
        <f t="shared" si="140"/>
        <v>0</v>
      </c>
      <c r="CQ90" s="97">
        <f t="shared" si="141"/>
        <v>0</v>
      </c>
      <c r="CR90" s="97"/>
      <c r="CS90" s="97">
        <f t="shared" si="142"/>
        <v>0</v>
      </c>
      <c r="CT90" s="98">
        <f t="shared" si="143"/>
        <v>0</v>
      </c>
      <c r="CU90" s="97">
        <f t="shared" si="144"/>
        <v>0</v>
      </c>
      <c r="CV90" s="97"/>
      <c r="CW90" s="97">
        <f t="shared" si="145"/>
        <v>0</v>
      </c>
      <c r="CX90" s="98">
        <f t="shared" si="146"/>
        <v>0</v>
      </c>
      <c r="CY90" s="97">
        <f t="shared" si="147"/>
        <v>0</v>
      </c>
      <c r="CZ90" s="97"/>
      <c r="DA90" s="97"/>
      <c r="DB90" s="98">
        <f t="shared" si="148"/>
        <v>0</v>
      </c>
      <c r="DC90" s="75">
        <f t="shared" si="149"/>
        <v>0</v>
      </c>
      <c r="DD90" s="97"/>
      <c r="DE90" s="97"/>
      <c r="DF90" s="98">
        <f t="shared" si="150"/>
        <v>0</v>
      </c>
      <c r="DG90" s="75">
        <f t="shared" si="151"/>
        <v>0</v>
      </c>
      <c r="DH90" s="78">
        <f>Calcs!F95</f>
        <v>0</v>
      </c>
      <c r="DI90" s="99">
        <f t="shared" ca="1" si="152"/>
        <v>0</v>
      </c>
      <c r="DJ90" s="98">
        <f t="shared" ca="1" si="153"/>
        <v>0</v>
      </c>
      <c r="DK90" s="293"/>
      <c r="DL90" s="114"/>
      <c r="DM90" s="36"/>
      <c r="DN90" s="36"/>
      <c r="DO90" s="36"/>
      <c r="DP90" s="36"/>
      <c r="DQ90" s="413" cm="1">
        <f t="array" ref="DQ90">+SUMPRODUCT((DL90=$DH$12:$DH$307)*($DG$12:$DG$307))/$N$6</f>
        <v>0</v>
      </c>
      <c r="DR90" s="414">
        <f t="shared" si="164"/>
        <v>19</v>
      </c>
      <c r="DS90" s="413" cm="1">
        <f t="array" aca="1" ref="DS90" ca="1">+SUMPRODUCT((DL90=$DH$12:$DH$307)*($DJ$12:$DJ$307))/$N$6</f>
        <v>0</v>
      </c>
      <c r="DT90" s="417">
        <f t="shared" ca="1" si="165"/>
        <v>19</v>
      </c>
      <c r="DU90" s="415">
        <f t="shared" si="166"/>
        <v>0.1</v>
      </c>
      <c r="DV90" s="416">
        <f t="shared" si="167"/>
        <v>0.1</v>
      </c>
    </row>
    <row r="91" spans="6:126">
      <c r="F91" s="2">
        <f t="shared" ca="1" si="163"/>
        <v>80</v>
      </c>
      <c r="G91" s="40">
        <f>Calcs!A93</f>
        <v>0</v>
      </c>
      <c r="H91" s="68">
        <f t="shared" ca="1" si="155"/>
        <v>0</v>
      </c>
      <c r="I91" s="96"/>
      <c r="J91" s="96"/>
      <c r="K91" s="63">
        <f>+IF(G91="","",IF(COUNTIF(G92:$G$307,G91)=0,1,0))</f>
        <v>0</v>
      </c>
      <c r="L91" s="75">
        <f>Calcs!U96</f>
        <v>0</v>
      </c>
      <c r="M91">
        <f t="shared" si="87"/>
        <v>69</v>
      </c>
      <c r="N91" s="75">
        <f t="shared" si="156"/>
        <v>0</v>
      </c>
      <c r="O91" s="75">
        <f t="shared" si="88"/>
        <v>0</v>
      </c>
      <c r="P91" s="72">
        <f t="shared" si="89"/>
        <v>0.05</v>
      </c>
      <c r="Q91" s="72">
        <f t="shared" si="90"/>
        <v>0</v>
      </c>
      <c r="R91" s="61">
        <f t="shared" si="91"/>
        <v>0</v>
      </c>
      <c r="S91" s="68">
        <f t="shared" si="92"/>
        <v>0</v>
      </c>
      <c r="T91" s="68">
        <f t="shared" si="93"/>
        <v>0</v>
      </c>
      <c r="U91">
        <f t="array" aca="1" ref="U91" ca="1">SUM(1*(S91&lt;$S$12:$S$307))+1+IF(ROW(S91)-ROW($S$12)=0,0,SUM(1*(S91=OFFSET($S$12,0,0,INDEX(ROW(S91)-ROW($S$12)+1,1)-1,1))))</f>
        <v>80</v>
      </c>
      <c r="V91" s="96">
        <f t="shared" si="94"/>
        <v>0</v>
      </c>
      <c r="W91" s="75">
        <f>Calcs!U96</f>
        <v>0</v>
      </c>
      <c r="X91" s="78">
        <f>IFERROR(OR(Calcs!BH93,Calcs!BI93)*W91,0)</f>
        <v>0</v>
      </c>
      <c r="Y91" s="97">
        <f t="shared" si="95"/>
        <v>0</v>
      </c>
      <c r="Z91" s="98">
        <f t="shared" si="96"/>
        <v>0</v>
      </c>
      <c r="AA91" s="77">
        <f t="shared" si="97"/>
        <v>0</v>
      </c>
      <c r="AB91" s="78">
        <f>IF(AND(Calcs!BM96=TRUE),AA91,0)</f>
        <v>0</v>
      </c>
      <c r="AC91" s="97">
        <f t="shared" si="98"/>
        <v>0</v>
      </c>
      <c r="AD91" s="98">
        <f t="shared" si="99"/>
        <v>0</v>
      </c>
      <c r="AE91" s="77">
        <f t="shared" si="157"/>
        <v>0</v>
      </c>
      <c r="AF91" s="78">
        <f>IF(Calcs!BY96&lt;15,AE91,0)</f>
        <v>0</v>
      </c>
      <c r="AG91" s="97">
        <f t="shared" si="100"/>
        <v>0</v>
      </c>
      <c r="AH91" s="98">
        <f t="shared" si="101"/>
        <v>0</v>
      </c>
      <c r="AI91" s="77">
        <f t="shared" si="102"/>
        <v>0</v>
      </c>
      <c r="AJ91" s="78">
        <f>IF(Calcs!BY96&lt;10,AE91,0)</f>
        <v>0</v>
      </c>
      <c r="AK91" s="97">
        <f t="shared" si="103"/>
        <v>0</v>
      </c>
      <c r="AL91" s="98">
        <f t="shared" si="104"/>
        <v>0</v>
      </c>
      <c r="AM91" s="77">
        <f t="shared" si="105"/>
        <v>0</v>
      </c>
      <c r="AN91" s="78">
        <f>NOT(Calcs!BD96)*AM91</f>
        <v>0</v>
      </c>
      <c r="AO91" s="97">
        <f t="shared" si="106"/>
        <v>0</v>
      </c>
      <c r="AP91" s="98">
        <f t="shared" si="107"/>
        <v>0</v>
      </c>
      <c r="AQ91" s="77">
        <f t="shared" si="108"/>
        <v>0</v>
      </c>
      <c r="AR91" s="78">
        <f>NOT(Calcs!BE96)*AQ91</f>
        <v>0</v>
      </c>
      <c r="AS91" s="97">
        <f t="shared" si="109"/>
        <v>0</v>
      </c>
      <c r="AT91" s="98">
        <f t="shared" si="110"/>
        <v>0</v>
      </c>
      <c r="AU91" s="77">
        <f t="shared" si="111"/>
        <v>0</v>
      </c>
      <c r="AV91" s="97">
        <f>IF(Calcs!BC96=TRUE, AU91, 0)</f>
        <v>0</v>
      </c>
      <c r="AW91" s="97">
        <f t="shared" si="112"/>
        <v>0</v>
      </c>
      <c r="AX91" s="98">
        <f t="shared" si="113"/>
        <v>0</v>
      </c>
      <c r="AY91" s="77">
        <f t="shared" si="114"/>
        <v>0</v>
      </c>
      <c r="AZ91" s="97">
        <f>Calcs!BK96*AY91</f>
        <v>0</v>
      </c>
      <c r="BA91" s="97">
        <f t="shared" si="115"/>
        <v>0</v>
      </c>
      <c r="BB91" s="98">
        <f t="shared" si="116"/>
        <v>0</v>
      </c>
      <c r="BC91" s="77">
        <f t="shared" si="117"/>
        <v>0</v>
      </c>
      <c r="BD91" s="97"/>
      <c r="BE91" s="97"/>
      <c r="BF91" s="98"/>
      <c r="BG91" s="77">
        <f t="shared" si="118"/>
        <v>0</v>
      </c>
      <c r="BH91" s="97">
        <f>IF(Calcs!BJ96=FALSE,0,BG91)</f>
        <v>0</v>
      </c>
      <c r="BI91" s="97">
        <f t="shared" si="119"/>
        <v>0</v>
      </c>
      <c r="BJ91" s="98">
        <f t="shared" si="120"/>
        <v>0</v>
      </c>
      <c r="BK91" s="77">
        <f t="shared" si="121"/>
        <v>0</v>
      </c>
      <c r="BL91" s="97">
        <f>IF(Calcs!AW96=TRUE,BK91,0)</f>
        <v>0</v>
      </c>
      <c r="BM91" s="97">
        <f t="shared" si="122"/>
        <v>0</v>
      </c>
      <c r="BN91" s="98">
        <f t="shared" si="123"/>
        <v>0</v>
      </c>
      <c r="BO91" s="77">
        <f t="shared" si="124"/>
        <v>0</v>
      </c>
      <c r="BP91" s="97"/>
      <c r="BQ91" s="97">
        <f t="shared" si="125"/>
        <v>0</v>
      </c>
      <c r="BR91" s="98">
        <f t="shared" si="126"/>
        <v>0</v>
      </c>
      <c r="BS91" s="77">
        <f t="shared" si="127"/>
        <v>0</v>
      </c>
      <c r="BT91" s="97">
        <f>IF(Calcs!BB96=TRUE,'Concentration Limitations'!BS91,0)</f>
        <v>0</v>
      </c>
      <c r="BU91" s="97">
        <f t="shared" si="128"/>
        <v>0</v>
      </c>
      <c r="BV91" s="98">
        <f t="shared" si="129"/>
        <v>0</v>
      </c>
      <c r="BW91" s="77">
        <f t="shared" si="130"/>
        <v>0</v>
      </c>
      <c r="BX91" s="97">
        <f>IF(Calcs!BI96=TRUE,'Concentration Limitations'!BW91,0)</f>
        <v>0</v>
      </c>
      <c r="BY91" s="97">
        <f t="shared" si="131"/>
        <v>0</v>
      </c>
      <c r="BZ91" s="98">
        <f t="shared" si="132"/>
        <v>0</v>
      </c>
      <c r="CA91" s="97">
        <f t="shared" si="133"/>
        <v>0</v>
      </c>
      <c r="CB91" s="97"/>
      <c r="CC91" s="97"/>
      <c r="CD91" s="98">
        <f t="shared" si="134"/>
        <v>0</v>
      </c>
      <c r="CE91" s="97">
        <f t="shared" si="135"/>
        <v>0</v>
      </c>
      <c r="CF91" s="97"/>
      <c r="CG91" s="97"/>
      <c r="CH91" s="98">
        <f t="shared" si="136"/>
        <v>0</v>
      </c>
      <c r="CI91" s="97">
        <f t="shared" si="137"/>
        <v>0</v>
      </c>
      <c r="CJ91" s="97"/>
      <c r="CK91" s="97"/>
      <c r="CL91" s="98">
        <f t="shared" si="138"/>
        <v>0</v>
      </c>
      <c r="CM91" s="97">
        <f t="shared" si="139"/>
        <v>0</v>
      </c>
      <c r="CN91" s="97"/>
      <c r="CO91" s="97"/>
      <c r="CP91" s="98">
        <f t="shared" si="140"/>
        <v>0</v>
      </c>
      <c r="CQ91" s="97">
        <f t="shared" si="141"/>
        <v>0</v>
      </c>
      <c r="CR91" s="97"/>
      <c r="CS91" s="97">
        <f t="shared" si="142"/>
        <v>0</v>
      </c>
      <c r="CT91" s="98">
        <f t="shared" si="143"/>
        <v>0</v>
      </c>
      <c r="CU91" s="97">
        <f t="shared" si="144"/>
        <v>0</v>
      </c>
      <c r="CV91" s="97"/>
      <c r="CW91" s="97">
        <f t="shared" si="145"/>
        <v>0</v>
      </c>
      <c r="CX91" s="98">
        <f t="shared" si="146"/>
        <v>0</v>
      </c>
      <c r="CY91" s="97">
        <f t="shared" si="147"/>
        <v>0</v>
      </c>
      <c r="CZ91" s="97"/>
      <c r="DA91" s="97"/>
      <c r="DB91" s="98">
        <f t="shared" si="148"/>
        <v>0</v>
      </c>
      <c r="DC91" s="75">
        <f t="shared" si="149"/>
        <v>0</v>
      </c>
      <c r="DD91" s="97"/>
      <c r="DE91" s="97"/>
      <c r="DF91" s="98">
        <f t="shared" si="150"/>
        <v>0</v>
      </c>
      <c r="DG91" s="75">
        <f t="shared" si="151"/>
        <v>0</v>
      </c>
      <c r="DH91" s="78">
        <f>Calcs!F96</f>
        <v>0</v>
      </c>
      <c r="DI91" s="99">
        <f t="shared" ca="1" si="152"/>
        <v>0</v>
      </c>
      <c r="DJ91" s="98">
        <f t="shared" ca="1" si="153"/>
        <v>0</v>
      </c>
      <c r="DK91" s="293"/>
      <c r="DL91" s="114"/>
      <c r="DM91" s="36"/>
      <c r="DN91" s="36"/>
      <c r="DO91" s="36"/>
      <c r="DP91" s="36"/>
      <c r="DQ91" s="413" cm="1">
        <f t="array" ref="DQ91">+SUMPRODUCT((DL91=$DH$12:$DH$307)*($DG$12:$DG$307))/$N$6</f>
        <v>0</v>
      </c>
      <c r="DR91" s="414">
        <f t="shared" si="164"/>
        <v>19</v>
      </c>
      <c r="DS91" s="413" cm="1">
        <f t="array" aca="1" ref="DS91" ca="1">+SUMPRODUCT((DL91=$DH$12:$DH$307)*($DJ$12:$DJ$307))/$N$6</f>
        <v>0</v>
      </c>
      <c r="DT91" s="417">
        <f t="shared" ca="1" si="165"/>
        <v>19</v>
      </c>
      <c r="DU91" s="415">
        <f t="shared" si="166"/>
        <v>0.1</v>
      </c>
      <c r="DV91" s="416">
        <f t="shared" si="167"/>
        <v>0.1</v>
      </c>
    </row>
    <row r="92" spans="6:126">
      <c r="F92" s="2">
        <f t="shared" ref="F92:F93" ca="1" si="168">U92</f>
        <v>81</v>
      </c>
      <c r="G92" s="40">
        <f>Calcs!A94</f>
        <v>0</v>
      </c>
      <c r="H92" s="68">
        <f t="shared" ca="1" si="155"/>
        <v>0</v>
      </c>
      <c r="I92" s="96"/>
      <c r="J92" s="96"/>
      <c r="K92" s="63">
        <f>+IF(G92="","",IF(COUNTIF(G93:$G$307,G92)=0,1,0))</f>
        <v>0</v>
      </c>
      <c r="L92" s="75">
        <f>Calcs!U97</f>
        <v>0</v>
      </c>
      <c r="M92">
        <f t="shared" si="87"/>
        <v>69</v>
      </c>
      <c r="N92" s="75">
        <f t="shared" si="156"/>
        <v>0</v>
      </c>
      <c r="O92" s="75">
        <f t="shared" si="88"/>
        <v>0</v>
      </c>
      <c r="P92" s="72">
        <f t="shared" si="89"/>
        <v>0.05</v>
      </c>
      <c r="Q92" s="72">
        <f t="shared" si="90"/>
        <v>0</v>
      </c>
      <c r="R92" s="61">
        <f t="shared" si="91"/>
        <v>0</v>
      </c>
      <c r="S92" s="68">
        <f t="shared" si="92"/>
        <v>0</v>
      </c>
      <c r="T92" s="68">
        <f t="shared" si="93"/>
        <v>0</v>
      </c>
      <c r="U92">
        <f t="array" aca="1" ref="U92" ca="1">SUM(1*(S92&lt;$S$12:$S$307))+1+IF(ROW(S92)-ROW($S$12)=0,0,SUM(1*(S92=OFFSET($S$12,0,0,INDEX(ROW(S92)-ROW($S$12)+1,1)-1,1))))</f>
        <v>81</v>
      </c>
      <c r="V92" s="96">
        <f t="shared" si="94"/>
        <v>0</v>
      </c>
      <c r="W92" s="75">
        <f>Calcs!U97</f>
        <v>0</v>
      </c>
      <c r="X92" s="78">
        <f>IFERROR(OR(Calcs!BH94,Calcs!BI94)*W92,0)</f>
        <v>0</v>
      </c>
      <c r="Y92" s="97">
        <f t="shared" si="95"/>
        <v>0</v>
      </c>
      <c r="Z92" s="98">
        <f t="shared" si="96"/>
        <v>0</v>
      </c>
      <c r="AA92" s="77">
        <f t="shared" si="97"/>
        <v>0</v>
      </c>
      <c r="AB92" s="78">
        <f>IF(AND(Calcs!BM97=TRUE),AA92,0)</f>
        <v>0</v>
      </c>
      <c r="AC92" s="97">
        <f t="shared" si="98"/>
        <v>0</v>
      </c>
      <c r="AD92" s="98">
        <f t="shared" si="99"/>
        <v>0</v>
      </c>
      <c r="AE92" s="77">
        <f t="shared" si="157"/>
        <v>0</v>
      </c>
      <c r="AF92" s="78">
        <f>IF(Calcs!BY97&lt;15,AE92,0)</f>
        <v>0</v>
      </c>
      <c r="AG92" s="97">
        <f t="shared" si="100"/>
        <v>0</v>
      </c>
      <c r="AH92" s="98">
        <f t="shared" si="101"/>
        <v>0</v>
      </c>
      <c r="AI92" s="77">
        <f t="shared" si="102"/>
        <v>0</v>
      </c>
      <c r="AJ92" s="78">
        <f>IF(Calcs!BY97&lt;10,AE92,0)</f>
        <v>0</v>
      </c>
      <c r="AK92" s="97">
        <f t="shared" si="103"/>
        <v>0</v>
      </c>
      <c r="AL92" s="98">
        <f t="shared" si="104"/>
        <v>0</v>
      </c>
      <c r="AM92" s="77">
        <f t="shared" si="105"/>
        <v>0</v>
      </c>
      <c r="AN92" s="78">
        <f>NOT(Calcs!BD97)*AM92</f>
        <v>0</v>
      </c>
      <c r="AO92" s="97">
        <f t="shared" si="106"/>
        <v>0</v>
      </c>
      <c r="AP92" s="98">
        <f t="shared" si="107"/>
        <v>0</v>
      </c>
      <c r="AQ92" s="77">
        <f t="shared" si="108"/>
        <v>0</v>
      </c>
      <c r="AR92" s="78">
        <f>NOT(Calcs!BE97)*AQ92</f>
        <v>0</v>
      </c>
      <c r="AS92" s="97">
        <f t="shared" si="109"/>
        <v>0</v>
      </c>
      <c r="AT92" s="98">
        <f t="shared" si="110"/>
        <v>0</v>
      </c>
      <c r="AU92" s="77">
        <f t="shared" si="111"/>
        <v>0</v>
      </c>
      <c r="AV92" s="97">
        <f>IF(Calcs!BC97=TRUE, AU92, 0)</f>
        <v>0</v>
      </c>
      <c r="AW92" s="97">
        <f t="shared" si="112"/>
        <v>0</v>
      </c>
      <c r="AX92" s="98">
        <f t="shared" si="113"/>
        <v>0</v>
      </c>
      <c r="AY92" s="77">
        <f t="shared" si="114"/>
        <v>0</v>
      </c>
      <c r="AZ92" s="97">
        <f>Calcs!BK97*AY92</f>
        <v>0</v>
      </c>
      <c r="BA92" s="97">
        <f t="shared" si="115"/>
        <v>0</v>
      </c>
      <c r="BB92" s="98">
        <f t="shared" si="116"/>
        <v>0</v>
      </c>
      <c r="BC92" s="77">
        <f t="shared" si="117"/>
        <v>0</v>
      </c>
      <c r="BD92" s="97"/>
      <c r="BE92" s="97"/>
      <c r="BF92" s="98"/>
      <c r="BG92" s="77">
        <f t="shared" si="118"/>
        <v>0</v>
      </c>
      <c r="BH92" s="97">
        <f>IF(Calcs!BJ97=FALSE,0,BG92)</f>
        <v>0</v>
      </c>
      <c r="BI92" s="97">
        <f t="shared" si="119"/>
        <v>0</v>
      </c>
      <c r="BJ92" s="98">
        <f t="shared" si="120"/>
        <v>0</v>
      </c>
      <c r="BK92" s="77">
        <f t="shared" si="121"/>
        <v>0</v>
      </c>
      <c r="BL92" s="97">
        <f>IF(Calcs!AW97=TRUE,BK92,0)</f>
        <v>0</v>
      </c>
      <c r="BM92" s="97">
        <f t="shared" si="122"/>
        <v>0</v>
      </c>
      <c r="BN92" s="98">
        <f t="shared" si="123"/>
        <v>0</v>
      </c>
      <c r="BO92" s="77">
        <f t="shared" si="124"/>
        <v>0</v>
      </c>
      <c r="BP92" s="97"/>
      <c r="BQ92" s="97">
        <f t="shared" si="125"/>
        <v>0</v>
      </c>
      <c r="BR92" s="98">
        <f t="shared" si="126"/>
        <v>0</v>
      </c>
      <c r="BS92" s="77">
        <f t="shared" si="127"/>
        <v>0</v>
      </c>
      <c r="BT92" s="97">
        <f>IF(Calcs!BB97=TRUE,'Concentration Limitations'!BS92,0)</f>
        <v>0</v>
      </c>
      <c r="BU92" s="97">
        <f t="shared" si="128"/>
        <v>0</v>
      </c>
      <c r="BV92" s="98">
        <f t="shared" si="129"/>
        <v>0</v>
      </c>
      <c r="BW92" s="77">
        <f t="shared" si="130"/>
        <v>0</v>
      </c>
      <c r="BX92" s="97">
        <f>IF(Calcs!BI97=TRUE,'Concentration Limitations'!BW92,0)</f>
        <v>0</v>
      </c>
      <c r="BY92" s="97">
        <f t="shared" si="131"/>
        <v>0</v>
      </c>
      <c r="BZ92" s="98">
        <f t="shared" si="132"/>
        <v>0</v>
      </c>
      <c r="CA92" s="97">
        <f t="shared" si="133"/>
        <v>0</v>
      </c>
      <c r="CB92" s="97"/>
      <c r="CC92" s="97"/>
      <c r="CD92" s="98">
        <f t="shared" si="134"/>
        <v>0</v>
      </c>
      <c r="CE92" s="97">
        <f t="shared" si="135"/>
        <v>0</v>
      </c>
      <c r="CF92" s="97"/>
      <c r="CG92" s="97"/>
      <c r="CH92" s="98">
        <f t="shared" si="136"/>
        <v>0</v>
      </c>
      <c r="CI92" s="97">
        <f t="shared" si="137"/>
        <v>0</v>
      </c>
      <c r="CJ92" s="97"/>
      <c r="CK92" s="97"/>
      <c r="CL92" s="98">
        <f t="shared" si="138"/>
        <v>0</v>
      </c>
      <c r="CM92" s="97">
        <f t="shared" si="139"/>
        <v>0</v>
      </c>
      <c r="CN92" s="97"/>
      <c r="CO92" s="97"/>
      <c r="CP92" s="98">
        <f t="shared" si="140"/>
        <v>0</v>
      </c>
      <c r="CQ92" s="97">
        <f t="shared" si="141"/>
        <v>0</v>
      </c>
      <c r="CR92" s="97"/>
      <c r="CS92" s="97">
        <f t="shared" si="142"/>
        <v>0</v>
      </c>
      <c r="CT92" s="98">
        <f t="shared" si="143"/>
        <v>0</v>
      </c>
      <c r="CU92" s="97">
        <f t="shared" si="144"/>
        <v>0</v>
      </c>
      <c r="CV92" s="97"/>
      <c r="CW92" s="97">
        <f t="shared" si="145"/>
        <v>0</v>
      </c>
      <c r="CX92" s="98">
        <f t="shared" si="146"/>
        <v>0</v>
      </c>
      <c r="CY92" s="97">
        <f t="shared" si="147"/>
        <v>0</v>
      </c>
      <c r="CZ92" s="97"/>
      <c r="DA92" s="97"/>
      <c r="DB92" s="98">
        <f t="shared" si="148"/>
        <v>0</v>
      </c>
      <c r="DC92" s="75">
        <f t="shared" si="149"/>
        <v>0</v>
      </c>
      <c r="DD92" s="97"/>
      <c r="DE92" s="97"/>
      <c r="DF92" s="98">
        <f t="shared" si="150"/>
        <v>0</v>
      </c>
      <c r="DG92" s="75">
        <f t="shared" si="151"/>
        <v>0</v>
      </c>
      <c r="DH92" s="78">
        <f>Calcs!F97</f>
        <v>0</v>
      </c>
      <c r="DI92" s="99">
        <f t="shared" ca="1" si="152"/>
        <v>0</v>
      </c>
      <c r="DJ92" s="98">
        <f t="shared" ca="1" si="153"/>
        <v>0</v>
      </c>
      <c r="DK92" s="293"/>
      <c r="DL92" s="114"/>
      <c r="DM92" s="36"/>
      <c r="DN92" s="36"/>
      <c r="DO92" s="36"/>
      <c r="DP92" s="36"/>
      <c r="DQ92" s="413" cm="1">
        <f t="array" ref="DQ92">+SUMPRODUCT((DL92=$DH$12:$DH$307)*($DG$12:$DG$307))/$N$6</f>
        <v>0</v>
      </c>
      <c r="DR92" s="414">
        <f t="shared" si="164"/>
        <v>19</v>
      </c>
      <c r="DS92" s="413" cm="1">
        <f t="array" aca="1" ref="DS92" ca="1">+SUMPRODUCT((DL92=$DH$12:$DH$307)*($DJ$12:$DJ$307))/$N$6</f>
        <v>0</v>
      </c>
      <c r="DT92" s="417">
        <f t="shared" ca="1" si="165"/>
        <v>19</v>
      </c>
      <c r="DU92" s="415">
        <f t="shared" si="166"/>
        <v>0.1</v>
      </c>
      <c r="DV92" s="416">
        <f t="shared" si="167"/>
        <v>0.1</v>
      </c>
    </row>
    <row r="93" spans="6:126">
      <c r="F93" s="2">
        <f t="shared" ca="1" si="168"/>
        <v>82</v>
      </c>
      <c r="G93" s="40">
        <f>Calcs!A95</f>
        <v>0</v>
      </c>
      <c r="H93" s="68">
        <f t="shared" ca="1" si="155"/>
        <v>0</v>
      </c>
      <c r="I93" s="96"/>
      <c r="J93" s="96"/>
      <c r="K93" s="63">
        <f>+IF(G93="","",IF(COUNTIF(G94:$G$307,G93)=0,1,0))</f>
        <v>1</v>
      </c>
      <c r="L93" s="75">
        <f>Calcs!U98</f>
        <v>0</v>
      </c>
      <c r="M93">
        <f t="shared" si="87"/>
        <v>69</v>
      </c>
      <c r="N93" s="75">
        <f t="shared" si="156"/>
        <v>0</v>
      </c>
      <c r="O93" s="75">
        <f t="shared" si="88"/>
        <v>0</v>
      </c>
      <c r="P93" s="72">
        <f t="shared" si="89"/>
        <v>0.05</v>
      </c>
      <c r="Q93" s="72">
        <f t="shared" si="90"/>
        <v>0</v>
      </c>
      <c r="R93" s="61">
        <f t="shared" si="91"/>
        <v>0</v>
      </c>
      <c r="S93" s="68">
        <f t="shared" si="92"/>
        <v>0</v>
      </c>
      <c r="T93" s="68">
        <f t="shared" si="93"/>
        <v>0</v>
      </c>
      <c r="U93">
        <f t="array" aca="1" ref="U93" ca="1">SUM(1*(S93&lt;$S$12:$S$307))+1+IF(ROW(S93)-ROW($S$12)=0,0,SUM(1*(S93=OFFSET($S$12,0,0,INDEX(ROW(S93)-ROW($S$12)+1,1)-1,1))))</f>
        <v>82</v>
      </c>
      <c r="V93" s="96">
        <f t="shared" si="94"/>
        <v>0</v>
      </c>
      <c r="W93" s="75">
        <f>Calcs!U98</f>
        <v>0</v>
      </c>
      <c r="X93" s="78">
        <f>IFERROR(OR(Calcs!BH95,Calcs!BI95)*W93,0)</f>
        <v>0</v>
      </c>
      <c r="Y93" s="97">
        <f t="shared" si="95"/>
        <v>0</v>
      </c>
      <c r="Z93" s="98">
        <f t="shared" si="96"/>
        <v>0</v>
      </c>
      <c r="AA93" s="77">
        <f t="shared" si="97"/>
        <v>0</v>
      </c>
      <c r="AB93" s="78">
        <f>IF(AND(Calcs!BM98=TRUE),AA93,0)</f>
        <v>0</v>
      </c>
      <c r="AC93" s="97">
        <f t="shared" si="98"/>
        <v>0</v>
      </c>
      <c r="AD93" s="98">
        <f t="shared" si="99"/>
        <v>0</v>
      </c>
      <c r="AE93" s="77">
        <f t="shared" si="157"/>
        <v>0</v>
      </c>
      <c r="AF93" s="78">
        <f>IF(Calcs!BY98&lt;15,AE93,0)</f>
        <v>0</v>
      </c>
      <c r="AG93" s="97">
        <f t="shared" si="100"/>
        <v>0</v>
      </c>
      <c r="AH93" s="98">
        <f t="shared" si="101"/>
        <v>0</v>
      </c>
      <c r="AI93" s="77">
        <f t="shared" si="102"/>
        <v>0</v>
      </c>
      <c r="AJ93" s="78">
        <f>IF(Calcs!BY98&lt;10,AE93,0)</f>
        <v>0</v>
      </c>
      <c r="AK93" s="97">
        <f t="shared" si="103"/>
        <v>0</v>
      </c>
      <c r="AL93" s="98">
        <f t="shared" si="104"/>
        <v>0</v>
      </c>
      <c r="AM93" s="77">
        <f t="shared" si="105"/>
        <v>0</v>
      </c>
      <c r="AN93" s="78">
        <f>NOT(Calcs!BD98)*AM93</f>
        <v>0</v>
      </c>
      <c r="AO93" s="97">
        <f t="shared" si="106"/>
        <v>0</v>
      </c>
      <c r="AP93" s="98">
        <f t="shared" si="107"/>
        <v>0</v>
      </c>
      <c r="AQ93" s="77">
        <f t="shared" si="108"/>
        <v>0</v>
      </c>
      <c r="AR93" s="78">
        <f>NOT(Calcs!BE98)*AQ93</f>
        <v>0</v>
      </c>
      <c r="AS93" s="97">
        <f t="shared" si="109"/>
        <v>0</v>
      </c>
      <c r="AT93" s="98">
        <f t="shared" si="110"/>
        <v>0</v>
      </c>
      <c r="AU93" s="77">
        <f t="shared" si="111"/>
        <v>0</v>
      </c>
      <c r="AV93" s="97">
        <f>IF(Calcs!BC98=TRUE, AU93, 0)</f>
        <v>0</v>
      </c>
      <c r="AW93" s="97">
        <f t="shared" si="112"/>
        <v>0</v>
      </c>
      <c r="AX93" s="98">
        <f t="shared" si="113"/>
        <v>0</v>
      </c>
      <c r="AY93" s="77">
        <f t="shared" si="114"/>
        <v>0</v>
      </c>
      <c r="AZ93" s="97">
        <f>Calcs!BK98*AY93</f>
        <v>0</v>
      </c>
      <c r="BA93" s="97">
        <f t="shared" si="115"/>
        <v>0</v>
      </c>
      <c r="BB93" s="98">
        <f t="shared" si="116"/>
        <v>0</v>
      </c>
      <c r="BC93" s="77">
        <f t="shared" si="117"/>
        <v>0</v>
      </c>
      <c r="BD93" s="97"/>
      <c r="BE93" s="97"/>
      <c r="BF93" s="98"/>
      <c r="BG93" s="77">
        <f t="shared" si="118"/>
        <v>0</v>
      </c>
      <c r="BH93" s="97">
        <f>IF(Calcs!BJ98=FALSE,0,BG93)</f>
        <v>0</v>
      </c>
      <c r="BI93" s="97">
        <f t="shared" si="119"/>
        <v>0</v>
      </c>
      <c r="BJ93" s="98">
        <f t="shared" si="120"/>
        <v>0</v>
      </c>
      <c r="BK93" s="77">
        <f t="shared" si="121"/>
        <v>0</v>
      </c>
      <c r="BL93" s="97">
        <f>IF(Calcs!AW98=TRUE,BK93,0)</f>
        <v>0</v>
      </c>
      <c r="BM93" s="97">
        <f t="shared" si="122"/>
        <v>0</v>
      </c>
      <c r="BN93" s="98">
        <f t="shared" si="123"/>
        <v>0</v>
      </c>
      <c r="BO93" s="77">
        <f t="shared" si="124"/>
        <v>0</v>
      </c>
      <c r="BP93" s="97"/>
      <c r="BQ93" s="97">
        <f t="shared" si="125"/>
        <v>0</v>
      </c>
      <c r="BR93" s="98">
        <f t="shared" si="126"/>
        <v>0</v>
      </c>
      <c r="BS93" s="77">
        <f t="shared" si="127"/>
        <v>0</v>
      </c>
      <c r="BT93" s="97">
        <f>IF(Calcs!BB98=TRUE,'Concentration Limitations'!BS93,0)</f>
        <v>0</v>
      </c>
      <c r="BU93" s="97">
        <f t="shared" si="128"/>
        <v>0</v>
      </c>
      <c r="BV93" s="98">
        <f t="shared" si="129"/>
        <v>0</v>
      </c>
      <c r="BW93" s="77">
        <f t="shared" si="130"/>
        <v>0</v>
      </c>
      <c r="BX93" s="97">
        <f>IF(Calcs!BI98=TRUE,'Concentration Limitations'!BW93,0)</f>
        <v>0</v>
      </c>
      <c r="BY93" s="97">
        <f t="shared" si="131"/>
        <v>0</v>
      </c>
      <c r="BZ93" s="98">
        <f t="shared" si="132"/>
        <v>0</v>
      </c>
      <c r="CA93" s="97">
        <f t="shared" si="133"/>
        <v>0</v>
      </c>
      <c r="CB93" s="97"/>
      <c r="CC93" s="97"/>
      <c r="CD93" s="98">
        <f t="shared" si="134"/>
        <v>0</v>
      </c>
      <c r="CE93" s="97">
        <f t="shared" si="135"/>
        <v>0</v>
      </c>
      <c r="CF93" s="97"/>
      <c r="CG93" s="97"/>
      <c r="CH93" s="98">
        <f t="shared" si="136"/>
        <v>0</v>
      </c>
      <c r="CI93" s="97">
        <f t="shared" si="137"/>
        <v>0</v>
      </c>
      <c r="CJ93" s="97"/>
      <c r="CK93" s="97"/>
      <c r="CL93" s="98">
        <f t="shared" si="138"/>
        <v>0</v>
      </c>
      <c r="CM93" s="97">
        <f t="shared" si="139"/>
        <v>0</v>
      </c>
      <c r="CN93" s="97"/>
      <c r="CO93" s="97"/>
      <c r="CP93" s="98">
        <f t="shared" si="140"/>
        <v>0</v>
      </c>
      <c r="CQ93" s="97">
        <f t="shared" si="141"/>
        <v>0</v>
      </c>
      <c r="CR93" s="97"/>
      <c r="CS93" s="97">
        <f t="shared" si="142"/>
        <v>0</v>
      </c>
      <c r="CT93" s="98">
        <f t="shared" si="143"/>
        <v>0</v>
      </c>
      <c r="CU93" s="97">
        <f t="shared" si="144"/>
        <v>0</v>
      </c>
      <c r="CV93" s="97"/>
      <c r="CW93" s="97">
        <f t="shared" si="145"/>
        <v>0</v>
      </c>
      <c r="CX93" s="98">
        <f t="shared" si="146"/>
        <v>0</v>
      </c>
      <c r="CY93" s="97">
        <f t="shared" si="147"/>
        <v>0</v>
      </c>
      <c r="CZ93" s="97"/>
      <c r="DA93" s="97"/>
      <c r="DB93" s="98">
        <f t="shared" si="148"/>
        <v>0</v>
      </c>
      <c r="DC93" s="75">
        <f t="shared" si="149"/>
        <v>0</v>
      </c>
      <c r="DD93" s="97"/>
      <c r="DE93" s="97"/>
      <c r="DF93" s="98">
        <f t="shared" si="150"/>
        <v>0</v>
      </c>
      <c r="DG93" s="75">
        <f t="shared" si="151"/>
        <v>0</v>
      </c>
      <c r="DH93" s="78">
        <f>Calcs!F98</f>
        <v>0</v>
      </c>
      <c r="DI93" s="99">
        <f t="shared" ca="1" si="152"/>
        <v>0</v>
      </c>
      <c r="DJ93" s="98">
        <f t="shared" ca="1" si="153"/>
        <v>0</v>
      </c>
      <c r="DK93" s="293"/>
      <c r="DL93" s="114"/>
      <c r="DM93" s="36"/>
      <c r="DN93" s="36"/>
      <c r="DO93" s="36"/>
      <c r="DP93" s="36"/>
      <c r="DQ93" s="413" cm="1">
        <f t="array" ref="DQ93">+SUMPRODUCT((DL93=$DH$12:$DH$307)*($DG$12:$DG$307))/$N$6</f>
        <v>0</v>
      </c>
      <c r="DR93" s="414">
        <f t="shared" ref="DR93:DR94" si="169">COUNTIF($DQ$12:$DQ$300,"&gt;"&amp;DQ93)+1</f>
        <v>19</v>
      </c>
      <c r="DS93" s="413" cm="1">
        <f t="array" aca="1" ref="DS93" ca="1">+SUMPRODUCT((DL93=$DH$12:$DH$307)*($DJ$12:$DJ$307))/$N$6</f>
        <v>0</v>
      </c>
      <c r="DT93" s="417">
        <f t="shared" ref="DT93:DT94" ca="1" si="170">COUNTIF($DS$12:$DS$106,"&gt;"&amp;DS93)+1</f>
        <v>19</v>
      </c>
      <c r="DU93" s="415">
        <f t="shared" ref="DU93:DU94" si="171">+IF(DR93=1,0.2,IF(DR93=2,0.15, IF(DR93=3, 0.12, 0.1)))</f>
        <v>0.1</v>
      </c>
      <c r="DV93" s="416">
        <f t="shared" ref="DV93:DV94" si="172">DU93-DQ93</f>
        <v>0.1</v>
      </c>
    </row>
    <row r="94" spans="6:126">
      <c r="F94" s="2"/>
      <c r="H94" s="68"/>
      <c r="I94" s="96"/>
      <c r="J94" s="96"/>
      <c r="L94" s="75"/>
      <c r="N94" s="75"/>
      <c r="O94" s="75"/>
      <c r="P94" s="72"/>
      <c r="Q94" s="72"/>
      <c r="S94" s="68"/>
      <c r="T94" s="68"/>
      <c r="V94" s="96"/>
      <c r="W94" s="75"/>
      <c r="X94" s="78"/>
      <c r="Y94" s="97"/>
      <c r="Z94" s="98"/>
      <c r="AA94" s="77"/>
      <c r="AB94" s="78"/>
      <c r="AC94" s="97"/>
      <c r="AD94" s="98"/>
      <c r="AE94" s="77"/>
      <c r="AF94" s="78"/>
      <c r="AG94" s="97"/>
      <c r="AH94" s="98"/>
      <c r="AI94" s="77"/>
      <c r="AJ94" s="78"/>
      <c r="AK94" s="97"/>
      <c r="AL94" s="98"/>
      <c r="AM94" s="77"/>
      <c r="AN94" s="78"/>
      <c r="AO94" s="97"/>
      <c r="AP94" s="98"/>
      <c r="AQ94" s="77"/>
      <c r="AR94" s="78"/>
      <c r="AS94" s="97"/>
      <c r="AT94" s="98"/>
      <c r="AU94" s="77"/>
      <c r="AV94" s="97"/>
      <c r="AW94" s="97"/>
      <c r="AX94" s="98"/>
      <c r="AY94" s="77"/>
      <c r="AZ94" s="97"/>
      <c r="BA94" s="97"/>
      <c r="BB94" s="98"/>
      <c r="BC94" s="77"/>
      <c r="BD94" s="97"/>
      <c r="BE94" s="97"/>
      <c r="BF94" s="98"/>
      <c r="BG94" s="77"/>
      <c r="BH94" s="97"/>
      <c r="BI94" s="97"/>
      <c r="BJ94" s="98"/>
      <c r="BK94" s="77"/>
      <c r="BL94" s="97"/>
      <c r="BM94" s="97"/>
      <c r="BN94" s="98"/>
      <c r="BO94" s="77"/>
      <c r="BP94" s="97"/>
      <c r="BQ94" s="97"/>
      <c r="BR94" s="98"/>
      <c r="BS94" s="77"/>
      <c r="BT94" s="97"/>
      <c r="BU94" s="97"/>
      <c r="BV94" s="98"/>
      <c r="BW94" s="77"/>
      <c r="BX94" s="97"/>
      <c r="BY94" s="97"/>
      <c r="BZ94" s="98"/>
      <c r="CA94" s="97"/>
      <c r="CB94" s="97"/>
      <c r="CC94" s="97"/>
      <c r="CD94" s="98"/>
      <c r="CE94" s="97"/>
      <c r="CF94" s="97"/>
      <c r="CG94" s="97"/>
      <c r="CH94" s="98"/>
      <c r="CI94" s="97"/>
      <c r="CJ94" s="97"/>
      <c r="CK94" s="97"/>
      <c r="CL94" s="98"/>
      <c r="CM94" s="97"/>
      <c r="CN94" s="97"/>
      <c r="CO94" s="97"/>
      <c r="CP94" s="98"/>
      <c r="CQ94" s="97"/>
      <c r="CR94" s="97"/>
      <c r="CS94" s="97"/>
      <c r="CT94" s="98"/>
      <c r="CU94" s="97"/>
      <c r="CV94" s="97"/>
      <c r="CW94" s="97"/>
      <c r="CX94" s="98"/>
      <c r="CY94" s="97"/>
      <c r="CZ94" s="97"/>
      <c r="DA94" s="97"/>
      <c r="DB94" s="98"/>
      <c r="DC94" s="75"/>
      <c r="DD94" s="97"/>
      <c r="DE94" s="97"/>
      <c r="DF94" s="98"/>
      <c r="DG94" s="75"/>
      <c r="DH94" s="78"/>
      <c r="DI94" s="99"/>
      <c r="DJ94" s="98"/>
      <c r="DK94" s="293"/>
      <c r="DL94" s="114"/>
      <c r="DM94" s="36"/>
      <c r="DN94" s="36"/>
      <c r="DO94" s="36"/>
      <c r="DP94" s="36"/>
      <c r="DQ94" s="413" cm="1">
        <f t="array" ref="DQ94">+SUMPRODUCT((DL94=$DH$12:$DH$307)*($DG$12:$DG$307))/$N$6</f>
        <v>0</v>
      </c>
      <c r="DR94" s="414">
        <f t="shared" si="169"/>
        <v>19</v>
      </c>
      <c r="DS94" s="413" cm="1">
        <f t="array" aca="1" ref="DS94" ca="1">+SUMPRODUCT((DL94=$DH$12:$DH$307)*($DJ$12:$DJ$307))/$N$6</f>
        <v>0</v>
      </c>
      <c r="DT94" s="417">
        <f t="shared" ca="1" si="170"/>
        <v>19</v>
      </c>
      <c r="DU94" s="415">
        <f t="shared" si="171"/>
        <v>0.1</v>
      </c>
      <c r="DV94" s="416">
        <f t="shared" si="172"/>
        <v>0.1</v>
      </c>
    </row>
    <row r="95" spans="6:126">
      <c r="F95" s="2"/>
      <c r="H95" s="68"/>
      <c r="I95" s="96"/>
      <c r="J95" s="96"/>
      <c r="L95" s="75"/>
      <c r="N95" s="75"/>
      <c r="O95" s="75"/>
      <c r="P95" s="72"/>
      <c r="Q95" s="72"/>
      <c r="S95" s="68"/>
      <c r="T95" s="68"/>
      <c r="V95" s="96"/>
      <c r="W95" s="75"/>
      <c r="X95" s="78"/>
      <c r="Y95" s="97"/>
      <c r="Z95" s="98"/>
      <c r="AA95" s="77"/>
      <c r="AB95" s="78"/>
      <c r="AC95" s="97"/>
      <c r="AD95" s="98"/>
      <c r="AE95" s="77"/>
      <c r="AF95" s="78"/>
      <c r="AG95" s="97"/>
      <c r="AH95" s="98"/>
      <c r="AI95" s="77"/>
      <c r="AJ95" s="78"/>
      <c r="AK95" s="97"/>
      <c r="AL95" s="98"/>
      <c r="AM95" s="77"/>
      <c r="AN95" s="78"/>
      <c r="AO95" s="97"/>
      <c r="AP95" s="98"/>
      <c r="AQ95" s="77"/>
      <c r="AR95" s="78"/>
      <c r="AS95" s="97"/>
      <c r="AT95" s="98"/>
      <c r="AU95" s="77"/>
      <c r="AV95" s="97"/>
      <c r="AW95" s="97"/>
      <c r="AX95" s="98"/>
      <c r="AY95" s="77"/>
      <c r="AZ95" s="97"/>
      <c r="BA95" s="97"/>
      <c r="BB95" s="98"/>
      <c r="BC95" s="77"/>
      <c r="BD95" s="97"/>
      <c r="BE95" s="97"/>
      <c r="BF95" s="98"/>
      <c r="BG95" s="77"/>
      <c r="BH95" s="97"/>
      <c r="BI95" s="97"/>
      <c r="BJ95" s="98"/>
      <c r="BK95" s="77"/>
      <c r="BL95" s="97"/>
      <c r="BM95" s="97"/>
      <c r="BN95" s="98"/>
      <c r="BO95" s="77"/>
      <c r="BP95" s="97"/>
      <c r="BQ95" s="97"/>
      <c r="BR95" s="98"/>
      <c r="BS95" s="77"/>
      <c r="BT95" s="97"/>
      <c r="BU95" s="97"/>
      <c r="BV95" s="98"/>
      <c r="BW95" s="77"/>
      <c r="BX95" s="97"/>
      <c r="BY95" s="97"/>
      <c r="BZ95" s="98"/>
      <c r="CA95" s="97"/>
      <c r="CB95" s="97"/>
      <c r="CC95" s="97"/>
      <c r="CD95" s="98"/>
      <c r="CE95" s="97"/>
      <c r="CF95" s="97"/>
      <c r="CG95" s="97"/>
      <c r="CH95" s="98"/>
      <c r="CI95" s="97"/>
      <c r="CJ95" s="97"/>
      <c r="CK95" s="97"/>
      <c r="CL95" s="98"/>
      <c r="CM95" s="97"/>
      <c r="CN95" s="97"/>
      <c r="CO95" s="97"/>
      <c r="CP95" s="98"/>
      <c r="CQ95" s="97"/>
      <c r="CR95" s="97"/>
      <c r="CS95" s="97"/>
      <c r="CT95" s="98"/>
      <c r="CU95" s="97"/>
      <c r="CV95" s="97"/>
      <c r="CW95" s="97"/>
      <c r="CX95" s="98"/>
      <c r="CY95" s="97"/>
      <c r="CZ95" s="97"/>
      <c r="DA95" s="97"/>
      <c r="DB95" s="98"/>
      <c r="DC95" s="75"/>
      <c r="DD95" s="97"/>
      <c r="DE95" s="97"/>
      <c r="DF95" s="98"/>
      <c r="DG95" s="75"/>
      <c r="DH95" s="78"/>
      <c r="DI95" s="99"/>
      <c r="DJ95" s="98"/>
      <c r="DK95" s="293"/>
      <c r="DL95" s="114"/>
      <c r="DM95" s="36"/>
      <c r="DN95" s="36"/>
      <c r="DO95" s="36"/>
      <c r="DP95" s="36"/>
      <c r="DQ95" s="413"/>
      <c r="DR95" s="414"/>
      <c r="DS95" s="413"/>
      <c r="DT95" s="417"/>
      <c r="DU95" s="415"/>
      <c r="DV95" s="416"/>
    </row>
    <row r="96" spans="6:126">
      <c r="F96" s="2"/>
      <c r="H96" s="68"/>
      <c r="I96" s="96"/>
      <c r="J96" s="96"/>
      <c r="L96" s="75"/>
      <c r="N96" s="75"/>
      <c r="O96" s="75"/>
      <c r="P96" s="72"/>
      <c r="Q96" s="72"/>
      <c r="S96" s="68"/>
      <c r="T96" s="68"/>
      <c r="V96" s="96"/>
      <c r="W96" s="75"/>
      <c r="X96" s="78"/>
      <c r="Y96" s="97"/>
      <c r="Z96" s="98"/>
      <c r="AA96" s="77"/>
      <c r="AB96" s="78"/>
      <c r="AC96" s="97"/>
      <c r="AD96" s="98"/>
      <c r="AE96" s="77"/>
      <c r="AF96" s="78"/>
      <c r="AG96" s="97"/>
      <c r="AH96" s="98"/>
      <c r="AI96" s="77"/>
      <c r="AJ96" s="78"/>
      <c r="AK96" s="97"/>
      <c r="AL96" s="98"/>
      <c r="AM96" s="77"/>
      <c r="AN96" s="78"/>
      <c r="AO96" s="97"/>
      <c r="AP96" s="98"/>
      <c r="AQ96" s="77"/>
      <c r="AR96" s="78"/>
      <c r="AS96" s="97"/>
      <c r="AT96" s="98"/>
      <c r="AU96" s="77"/>
      <c r="AV96" s="97"/>
      <c r="AW96" s="97"/>
      <c r="AX96" s="98"/>
      <c r="AY96" s="77"/>
      <c r="AZ96" s="97"/>
      <c r="BA96" s="97"/>
      <c r="BB96" s="98"/>
      <c r="BC96" s="77"/>
      <c r="BD96" s="97"/>
      <c r="BE96" s="97"/>
      <c r="BF96" s="98"/>
      <c r="BG96" s="77"/>
      <c r="BH96" s="97"/>
      <c r="BI96" s="97"/>
      <c r="BJ96" s="98"/>
      <c r="BK96" s="77"/>
      <c r="BL96" s="97"/>
      <c r="BM96" s="97"/>
      <c r="BN96" s="98"/>
      <c r="BO96" s="77"/>
      <c r="BP96" s="97"/>
      <c r="BQ96" s="97"/>
      <c r="BR96" s="98"/>
      <c r="BS96" s="77"/>
      <c r="BT96" s="97"/>
      <c r="BU96" s="97"/>
      <c r="BV96" s="98"/>
      <c r="BW96" s="77"/>
      <c r="BX96" s="97"/>
      <c r="BY96" s="97"/>
      <c r="BZ96" s="98"/>
      <c r="CA96" s="97"/>
      <c r="CB96" s="97"/>
      <c r="CC96" s="97"/>
      <c r="CD96" s="98"/>
      <c r="CE96" s="97"/>
      <c r="CF96" s="97"/>
      <c r="CG96" s="97"/>
      <c r="CH96" s="98"/>
      <c r="CI96" s="97"/>
      <c r="CJ96" s="97"/>
      <c r="CK96" s="97"/>
      <c r="CL96" s="98"/>
      <c r="CM96" s="97"/>
      <c r="CN96" s="97"/>
      <c r="CO96" s="97"/>
      <c r="CP96" s="98"/>
      <c r="CQ96" s="97"/>
      <c r="CR96" s="97"/>
      <c r="CS96" s="97"/>
      <c r="CT96" s="98"/>
      <c r="CU96" s="97"/>
      <c r="CV96" s="97"/>
      <c r="CW96" s="97"/>
      <c r="CX96" s="98"/>
      <c r="CY96" s="97"/>
      <c r="CZ96" s="97"/>
      <c r="DA96" s="97"/>
      <c r="DB96" s="98"/>
      <c r="DC96" s="75"/>
      <c r="DD96" s="97"/>
      <c r="DE96" s="97"/>
      <c r="DF96" s="98"/>
      <c r="DG96" s="75"/>
      <c r="DH96" s="78"/>
      <c r="DI96" s="99"/>
      <c r="DJ96" s="98"/>
      <c r="DK96" s="293"/>
      <c r="DL96" s="114"/>
      <c r="DM96" s="36"/>
      <c r="DN96" s="36"/>
      <c r="DO96" s="36"/>
      <c r="DP96" s="36"/>
      <c r="DQ96" s="413"/>
      <c r="DR96" s="414"/>
      <c r="DS96" s="413"/>
      <c r="DT96" s="417"/>
      <c r="DU96" s="415"/>
      <c r="DV96" s="416"/>
    </row>
    <row r="97" spans="6:126">
      <c r="F97" s="2"/>
      <c r="H97" s="68"/>
      <c r="I97" s="96"/>
      <c r="J97" s="96"/>
      <c r="L97" s="75"/>
      <c r="N97" s="75"/>
      <c r="O97" s="75"/>
      <c r="P97" s="72"/>
      <c r="Q97" s="72"/>
      <c r="S97" s="68"/>
      <c r="T97" s="68"/>
      <c r="V97" s="96"/>
      <c r="W97" s="75"/>
      <c r="X97" s="78"/>
      <c r="Y97" s="97"/>
      <c r="Z97" s="98"/>
      <c r="AA97" s="77"/>
      <c r="AB97" s="78"/>
      <c r="AC97" s="97"/>
      <c r="AD97" s="98"/>
      <c r="AE97" s="77"/>
      <c r="AF97" s="78"/>
      <c r="AG97" s="97"/>
      <c r="AH97" s="98"/>
      <c r="AI97" s="77"/>
      <c r="AJ97" s="78"/>
      <c r="AK97" s="97"/>
      <c r="AL97" s="98"/>
      <c r="AM97" s="77"/>
      <c r="AN97" s="78"/>
      <c r="AO97" s="97"/>
      <c r="AP97" s="98"/>
      <c r="AQ97" s="77"/>
      <c r="AR97" s="78"/>
      <c r="AS97" s="97"/>
      <c r="AT97" s="98"/>
      <c r="AU97" s="77"/>
      <c r="AV97" s="97"/>
      <c r="AW97" s="97"/>
      <c r="AX97" s="98"/>
      <c r="AY97" s="77"/>
      <c r="AZ97" s="97"/>
      <c r="BA97" s="97"/>
      <c r="BB97" s="98"/>
      <c r="BC97" s="77"/>
      <c r="BD97" s="97"/>
      <c r="BE97" s="97"/>
      <c r="BF97" s="98"/>
      <c r="BG97" s="77"/>
      <c r="BH97" s="97"/>
      <c r="BI97" s="97"/>
      <c r="BJ97" s="98"/>
      <c r="BK97" s="77"/>
      <c r="BL97" s="97"/>
      <c r="BM97" s="97"/>
      <c r="BN97" s="98"/>
      <c r="BO97" s="77"/>
      <c r="BP97" s="97"/>
      <c r="BQ97" s="97"/>
      <c r="BR97" s="98"/>
      <c r="BS97" s="77"/>
      <c r="BT97" s="97"/>
      <c r="BU97" s="97"/>
      <c r="BV97" s="98"/>
      <c r="BW97" s="77"/>
      <c r="BX97" s="97"/>
      <c r="BY97" s="97"/>
      <c r="BZ97" s="98"/>
      <c r="CA97" s="97"/>
      <c r="CB97" s="97"/>
      <c r="CC97" s="97"/>
      <c r="CD97" s="98"/>
      <c r="CE97" s="97"/>
      <c r="CF97" s="97"/>
      <c r="CG97" s="97"/>
      <c r="CH97" s="98"/>
      <c r="CI97" s="97"/>
      <c r="CJ97" s="97"/>
      <c r="CK97" s="97"/>
      <c r="CL97" s="98"/>
      <c r="CM97" s="97"/>
      <c r="CN97" s="97"/>
      <c r="CO97" s="97"/>
      <c r="CP97" s="98"/>
      <c r="CQ97" s="97"/>
      <c r="CR97" s="97"/>
      <c r="CS97" s="97"/>
      <c r="CT97" s="98"/>
      <c r="CU97" s="97"/>
      <c r="CV97" s="97"/>
      <c r="CW97" s="97"/>
      <c r="CX97" s="98"/>
      <c r="CY97" s="97"/>
      <c r="CZ97" s="97"/>
      <c r="DA97" s="97"/>
      <c r="DB97" s="98"/>
      <c r="DC97" s="75"/>
      <c r="DD97" s="97"/>
      <c r="DE97" s="97"/>
      <c r="DF97" s="98"/>
      <c r="DG97" s="75"/>
      <c r="DH97" s="78"/>
      <c r="DI97" s="99"/>
      <c r="DJ97" s="98"/>
      <c r="DK97" s="293"/>
      <c r="DL97" s="114"/>
      <c r="DM97" s="36"/>
      <c r="DN97" s="36"/>
      <c r="DO97" s="36"/>
      <c r="DP97" s="36"/>
      <c r="DQ97" s="413"/>
      <c r="DR97" s="414"/>
      <c r="DS97" s="413"/>
      <c r="DT97" s="417"/>
      <c r="DU97" s="415"/>
      <c r="DV97" s="416"/>
    </row>
    <row r="98" spans="6:126">
      <c r="F98" s="2"/>
      <c r="H98" s="68"/>
      <c r="I98" s="96"/>
      <c r="J98" s="96"/>
      <c r="L98" s="75"/>
      <c r="N98" s="75"/>
      <c r="O98" s="75"/>
      <c r="P98" s="72"/>
      <c r="Q98" s="72"/>
      <c r="S98" s="68"/>
      <c r="T98" s="68"/>
      <c r="V98" s="96"/>
      <c r="W98" s="75"/>
      <c r="X98" s="78"/>
      <c r="Y98" s="97"/>
      <c r="Z98" s="98"/>
      <c r="AA98" s="77"/>
      <c r="AB98" s="78"/>
      <c r="AC98" s="97"/>
      <c r="AD98" s="98"/>
      <c r="AE98" s="77"/>
      <c r="AF98" s="78"/>
      <c r="AG98" s="97"/>
      <c r="AH98" s="98"/>
      <c r="AI98" s="77"/>
      <c r="AJ98" s="78"/>
      <c r="AK98" s="97"/>
      <c r="AL98" s="98"/>
      <c r="AM98" s="77"/>
      <c r="AN98" s="78"/>
      <c r="AO98" s="97"/>
      <c r="AP98" s="98"/>
      <c r="AQ98" s="77"/>
      <c r="AR98" s="78"/>
      <c r="AS98" s="97"/>
      <c r="AT98" s="98"/>
      <c r="AU98" s="77"/>
      <c r="AV98" s="97"/>
      <c r="AW98" s="97"/>
      <c r="AX98" s="98"/>
      <c r="AY98" s="77"/>
      <c r="AZ98" s="97"/>
      <c r="BA98" s="97"/>
      <c r="BB98" s="98"/>
      <c r="BC98" s="77"/>
      <c r="BD98" s="97"/>
      <c r="BE98" s="97"/>
      <c r="BF98" s="98"/>
      <c r="BG98" s="77"/>
      <c r="BH98" s="97"/>
      <c r="BI98" s="97"/>
      <c r="BJ98" s="98"/>
      <c r="BK98" s="77"/>
      <c r="BL98" s="97"/>
      <c r="BM98" s="97"/>
      <c r="BN98" s="98"/>
      <c r="BO98" s="77"/>
      <c r="BP98" s="97"/>
      <c r="BQ98" s="97"/>
      <c r="BR98" s="98"/>
      <c r="BS98" s="77"/>
      <c r="BT98" s="97"/>
      <c r="BU98" s="97"/>
      <c r="BV98" s="98"/>
      <c r="BW98" s="77"/>
      <c r="BX98" s="97"/>
      <c r="BY98" s="97"/>
      <c r="BZ98" s="98"/>
      <c r="CA98" s="97"/>
      <c r="CB98" s="97"/>
      <c r="CC98" s="97"/>
      <c r="CD98" s="98"/>
      <c r="CE98" s="97"/>
      <c r="CF98" s="97"/>
      <c r="CG98" s="97"/>
      <c r="CH98" s="98"/>
      <c r="CI98" s="97"/>
      <c r="CJ98" s="97"/>
      <c r="CK98" s="97"/>
      <c r="CL98" s="98"/>
      <c r="CM98" s="97"/>
      <c r="CN98" s="97"/>
      <c r="CO98" s="97"/>
      <c r="CP98" s="98"/>
      <c r="CQ98" s="97"/>
      <c r="CR98" s="97"/>
      <c r="CS98" s="97"/>
      <c r="CT98" s="98"/>
      <c r="CU98" s="97"/>
      <c r="CV98" s="97"/>
      <c r="CW98" s="97"/>
      <c r="CX98" s="98"/>
      <c r="CY98" s="97"/>
      <c r="CZ98" s="97"/>
      <c r="DA98" s="97"/>
      <c r="DB98" s="98"/>
      <c r="DC98" s="75"/>
      <c r="DD98" s="97"/>
      <c r="DE98" s="97"/>
      <c r="DF98" s="98"/>
      <c r="DG98" s="75"/>
      <c r="DH98" s="78"/>
      <c r="DI98" s="99"/>
      <c r="DJ98" s="98"/>
      <c r="DK98" s="293"/>
      <c r="DL98" s="114"/>
      <c r="DM98" s="36"/>
      <c r="DN98" s="36"/>
      <c r="DO98" s="36"/>
      <c r="DP98" s="36"/>
      <c r="DQ98" s="413"/>
      <c r="DR98" s="414"/>
      <c r="DS98" s="413"/>
      <c r="DT98" s="417"/>
      <c r="DU98" s="415"/>
      <c r="DV98" s="416"/>
    </row>
    <row r="99" spans="6:126">
      <c r="F99" s="2"/>
      <c r="H99" s="68"/>
      <c r="I99" s="96"/>
      <c r="J99" s="96"/>
      <c r="L99" s="75"/>
      <c r="N99" s="75"/>
      <c r="O99" s="75"/>
      <c r="P99" s="72"/>
      <c r="Q99" s="72"/>
      <c r="S99" s="68"/>
      <c r="T99" s="68"/>
      <c r="V99" s="96"/>
      <c r="W99" s="75"/>
      <c r="X99" s="78"/>
      <c r="Y99" s="97"/>
      <c r="Z99" s="98"/>
      <c r="AA99" s="77"/>
      <c r="AB99" s="78"/>
      <c r="AC99" s="97"/>
      <c r="AD99" s="98"/>
      <c r="AE99" s="77"/>
      <c r="AF99" s="78"/>
      <c r="AG99" s="97"/>
      <c r="AH99" s="98"/>
      <c r="AI99" s="77"/>
      <c r="AJ99" s="78"/>
      <c r="AK99" s="97"/>
      <c r="AL99" s="98"/>
      <c r="AM99" s="77"/>
      <c r="AN99" s="78"/>
      <c r="AO99" s="97"/>
      <c r="AP99" s="98"/>
      <c r="AQ99" s="77"/>
      <c r="AR99" s="78"/>
      <c r="AS99" s="97"/>
      <c r="AT99" s="98"/>
      <c r="AU99" s="77"/>
      <c r="AV99" s="97"/>
      <c r="AW99" s="97"/>
      <c r="AX99" s="98"/>
      <c r="AY99" s="77"/>
      <c r="AZ99" s="97"/>
      <c r="BA99" s="97"/>
      <c r="BB99" s="98"/>
      <c r="BC99" s="77"/>
      <c r="BD99" s="97"/>
      <c r="BE99" s="97"/>
      <c r="BF99" s="98"/>
      <c r="BG99" s="77"/>
      <c r="BH99" s="97"/>
      <c r="BI99" s="97"/>
      <c r="BJ99" s="98"/>
      <c r="BK99" s="77"/>
      <c r="BL99" s="97"/>
      <c r="BM99" s="97"/>
      <c r="BN99" s="98"/>
      <c r="BO99" s="77"/>
      <c r="BP99" s="97"/>
      <c r="BQ99" s="97"/>
      <c r="BR99" s="98"/>
      <c r="BS99" s="77"/>
      <c r="BT99" s="97"/>
      <c r="BU99" s="97"/>
      <c r="BV99" s="98"/>
      <c r="BW99" s="77"/>
      <c r="BX99" s="97"/>
      <c r="BY99" s="97"/>
      <c r="BZ99" s="98"/>
      <c r="CA99" s="97"/>
      <c r="CB99" s="97"/>
      <c r="CC99" s="97"/>
      <c r="CD99" s="98"/>
      <c r="CE99" s="97"/>
      <c r="CF99" s="97"/>
      <c r="CG99" s="97"/>
      <c r="CH99" s="98"/>
      <c r="CI99" s="97"/>
      <c r="CJ99" s="97"/>
      <c r="CK99" s="97"/>
      <c r="CL99" s="98"/>
      <c r="CM99" s="97"/>
      <c r="CN99" s="97"/>
      <c r="CO99" s="97"/>
      <c r="CP99" s="98"/>
      <c r="CQ99" s="97"/>
      <c r="CR99" s="97"/>
      <c r="CS99" s="97"/>
      <c r="CT99" s="98"/>
      <c r="CU99" s="97"/>
      <c r="CV99" s="97"/>
      <c r="CW99" s="97"/>
      <c r="CX99" s="98"/>
      <c r="CY99" s="97"/>
      <c r="CZ99" s="97"/>
      <c r="DA99" s="97"/>
      <c r="DB99" s="98"/>
      <c r="DC99" s="75"/>
      <c r="DD99" s="97"/>
      <c r="DE99" s="97"/>
      <c r="DF99" s="98"/>
      <c r="DG99" s="75"/>
      <c r="DH99" s="78"/>
      <c r="DI99" s="99"/>
      <c r="DJ99" s="98"/>
      <c r="DK99" s="293"/>
      <c r="DL99" s="114"/>
      <c r="DM99" s="36"/>
      <c r="DN99" s="36"/>
      <c r="DO99" s="36"/>
      <c r="DP99" s="36"/>
      <c r="DQ99" s="413"/>
      <c r="DR99" s="414"/>
      <c r="DS99" s="413"/>
      <c r="DT99" s="417"/>
      <c r="DU99" s="415"/>
      <c r="DV99" s="416"/>
    </row>
    <row r="100" spans="6:126">
      <c r="F100" s="2"/>
      <c r="H100" s="68"/>
      <c r="I100" s="96"/>
      <c r="J100" s="96"/>
      <c r="L100" s="75"/>
      <c r="N100" s="75"/>
      <c r="O100" s="75"/>
      <c r="P100" s="72"/>
      <c r="Q100" s="72"/>
      <c r="S100" s="68"/>
      <c r="T100" s="68"/>
      <c r="V100" s="96"/>
      <c r="W100" s="75"/>
      <c r="X100" s="78"/>
      <c r="Y100" s="97"/>
      <c r="Z100" s="98"/>
      <c r="AA100" s="77"/>
      <c r="AB100" s="78"/>
      <c r="AC100" s="97"/>
      <c r="AD100" s="98"/>
      <c r="AE100" s="77"/>
      <c r="AF100" s="78"/>
      <c r="AG100" s="97"/>
      <c r="AH100" s="98"/>
      <c r="AI100" s="77"/>
      <c r="AJ100" s="78"/>
      <c r="AK100" s="97"/>
      <c r="AL100" s="98"/>
      <c r="AM100" s="77"/>
      <c r="AN100" s="78"/>
      <c r="AO100" s="97"/>
      <c r="AP100" s="98"/>
      <c r="AQ100" s="77"/>
      <c r="AR100" s="78"/>
      <c r="AS100" s="97"/>
      <c r="AT100" s="98"/>
      <c r="AU100" s="77"/>
      <c r="AV100" s="97"/>
      <c r="AW100" s="97"/>
      <c r="AX100" s="98"/>
      <c r="AY100" s="77"/>
      <c r="AZ100" s="97"/>
      <c r="BA100" s="97"/>
      <c r="BB100" s="98"/>
      <c r="BC100" s="77"/>
      <c r="BD100" s="97"/>
      <c r="BE100" s="97"/>
      <c r="BF100" s="98"/>
      <c r="BG100" s="77"/>
      <c r="BH100" s="97"/>
      <c r="BI100" s="97"/>
      <c r="BJ100" s="98"/>
      <c r="BK100" s="77"/>
      <c r="BL100" s="97"/>
      <c r="BM100" s="97"/>
      <c r="BN100" s="98"/>
      <c r="BO100" s="77"/>
      <c r="BP100" s="97"/>
      <c r="BQ100" s="97"/>
      <c r="BR100" s="98"/>
      <c r="BS100" s="77"/>
      <c r="BT100" s="97"/>
      <c r="BU100" s="97"/>
      <c r="BV100" s="98"/>
      <c r="BW100" s="77"/>
      <c r="BX100" s="97"/>
      <c r="BY100" s="97"/>
      <c r="BZ100" s="98"/>
      <c r="CA100" s="97"/>
      <c r="CB100" s="97"/>
      <c r="CC100" s="97"/>
      <c r="CD100" s="98"/>
      <c r="CE100" s="97"/>
      <c r="CF100" s="97"/>
      <c r="CG100" s="97"/>
      <c r="CH100" s="98"/>
      <c r="CI100" s="97"/>
      <c r="CJ100" s="97"/>
      <c r="CK100" s="97"/>
      <c r="CL100" s="98"/>
      <c r="CM100" s="97"/>
      <c r="CN100" s="97"/>
      <c r="CO100" s="97"/>
      <c r="CP100" s="98"/>
      <c r="CQ100" s="97"/>
      <c r="CR100" s="97"/>
      <c r="CS100" s="97"/>
      <c r="CT100" s="98"/>
      <c r="CU100" s="97"/>
      <c r="CV100" s="97"/>
      <c r="CW100" s="97"/>
      <c r="CX100" s="98"/>
      <c r="CY100" s="97"/>
      <c r="CZ100" s="97"/>
      <c r="DA100" s="97"/>
      <c r="DB100" s="98"/>
      <c r="DC100" s="75"/>
      <c r="DD100" s="97"/>
      <c r="DE100" s="97"/>
      <c r="DF100" s="98"/>
      <c r="DG100" s="75"/>
      <c r="DH100" s="78"/>
      <c r="DI100" s="99"/>
      <c r="DJ100" s="98"/>
      <c r="DK100" s="293"/>
      <c r="DL100" s="114"/>
      <c r="DM100" s="36"/>
      <c r="DN100" s="36"/>
      <c r="DO100" s="36"/>
      <c r="DP100" s="36"/>
      <c r="DQ100" s="413"/>
      <c r="DR100" s="414"/>
      <c r="DS100" s="413"/>
      <c r="DT100" s="417"/>
      <c r="DU100" s="415"/>
      <c r="DV100" s="416"/>
    </row>
    <row r="101" spans="6:126">
      <c r="F101" s="2"/>
      <c r="H101" s="68"/>
      <c r="I101" s="96"/>
      <c r="J101" s="96"/>
      <c r="L101" s="75"/>
      <c r="N101" s="75"/>
      <c r="O101" s="75"/>
      <c r="P101" s="72"/>
      <c r="Q101" s="72"/>
      <c r="S101" s="68"/>
      <c r="T101" s="68"/>
      <c r="V101" s="96"/>
      <c r="W101" s="75"/>
      <c r="X101" s="78"/>
      <c r="Y101" s="97"/>
      <c r="Z101" s="98"/>
      <c r="AA101" s="77"/>
      <c r="AB101" s="78"/>
      <c r="AC101" s="97"/>
      <c r="AD101" s="98"/>
      <c r="AE101" s="77"/>
      <c r="AF101" s="78"/>
      <c r="AG101" s="97"/>
      <c r="AH101" s="98"/>
      <c r="AI101" s="77"/>
      <c r="AJ101" s="78"/>
      <c r="AK101" s="97"/>
      <c r="AL101" s="98"/>
      <c r="AM101" s="77"/>
      <c r="AN101" s="78"/>
      <c r="AO101" s="97"/>
      <c r="AP101" s="98"/>
      <c r="AQ101" s="77"/>
      <c r="AR101" s="78"/>
      <c r="AS101" s="97"/>
      <c r="AT101" s="98"/>
      <c r="AU101" s="77"/>
      <c r="AV101" s="97"/>
      <c r="AW101" s="97"/>
      <c r="AX101" s="98"/>
      <c r="AY101" s="77"/>
      <c r="AZ101" s="97"/>
      <c r="BA101" s="97"/>
      <c r="BB101" s="98"/>
      <c r="BC101" s="77"/>
      <c r="BD101" s="97"/>
      <c r="BE101" s="97"/>
      <c r="BF101" s="98"/>
      <c r="BG101" s="77"/>
      <c r="BH101" s="97"/>
      <c r="BI101" s="97"/>
      <c r="BJ101" s="98"/>
      <c r="BK101" s="77"/>
      <c r="BL101" s="97"/>
      <c r="BM101" s="97"/>
      <c r="BN101" s="98"/>
      <c r="BO101" s="77"/>
      <c r="BP101" s="97"/>
      <c r="BQ101" s="97"/>
      <c r="BR101" s="98"/>
      <c r="BS101" s="77"/>
      <c r="BT101" s="97"/>
      <c r="BU101" s="97"/>
      <c r="BV101" s="98"/>
      <c r="BW101" s="77"/>
      <c r="BX101" s="97"/>
      <c r="BY101" s="97"/>
      <c r="BZ101" s="98"/>
      <c r="CA101" s="97"/>
      <c r="CB101" s="97"/>
      <c r="CC101" s="97"/>
      <c r="CD101" s="98"/>
      <c r="CE101" s="97"/>
      <c r="CF101" s="97"/>
      <c r="CG101" s="97"/>
      <c r="CH101" s="98"/>
      <c r="CI101" s="97"/>
      <c r="CJ101" s="97"/>
      <c r="CK101" s="97"/>
      <c r="CL101" s="98"/>
      <c r="CM101" s="97"/>
      <c r="CN101" s="97"/>
      <c r="CO101" s="97"/>
      <c r="CP101" s="98"/>
      <c r="CQ101" s="97"/>
      <c r="CR101" s="97"/>
      <c r="CS101" s="97"/>
      <c r="CT101" s="98"/>
      <c r="CU101" s="97"/>
      <c r="CV101" s="97"/>
      <c r="CW101" s="97"/>
      <c r="CX101" s="98"/>
      <c r="CY101" s="97"/>
      <c r="CZ101" s="97"/>
      <c r="DA101" s="97"/>
      <c r="DB101" s="98"/>
      <c r="DC101" s="75"/>
      <c r="DD101" s="97"/>
      <c r="DE101" s="97"/>
      <c r="DF101" s="98"/>
      <c r="DG101" s="75"/>
      <c r="DH101" s="78"/>
      <c r="DI101" s="99"/>
      <c r="DJ101" s="98"/>
      <c r="DK101" s="293"/>
      <c r="DL101" s="114"/>
      <c r="DM101" s="36"/>
      <c r="DN101" s="36"/>
      <c r="DO101" s="36"/>
      <c r="DP101" s="36"/>
      <c r="DQ101" s="413"/>
      <c r="DR101" s="414"/>
      <c r="DS101" s="413"/>
      <c r="DT101" s="417"/>
      <c r="DU101" s="415"/>
      <c r="DV101" s="416"/>
    </row>
    <row r="102" spans="6:126">
      <c r="F102" s="2"/>
      <c r="H102" s="68"/>
      <c r="I102" s="96"/>
      <c r="J102" s="96"/>
      <c r="L102" s="75"/>
      <c r="N102" s="75"/>
      <c r="O102" s="75"/>
      <c r="P102" s="72"/>
      <c r="Q102" s="72"/>
      <c r="S102" s="68"/>
      <c r="T102" s="68"/>
      <c r="V102" s="96"/>
      <c r="W102" s="75"/>
      <c r="X102" s="78"/>
      <c r="Y102" s="97"/>
      <c r="Z102" s="98"/>
      <c r="AA102" s="77"/>
      <c r="AB102" s="78"/>
      <c r="AC102" s="97"/>
      <c r="AD102" s="98"/>
      <c r="AE102" s="77"/>
      <c r="AF102" s="78"/>
      <c r="AG102" s="97"/>
      <c r="AH102" s="98"/>
      <c r="AI102" s="77"/>
      <c r="AJ102" s="78"/>
      <c r="AK102" s="97"/>
      <c r="AL102" s="98"/>
      <c r="AM102" s="77"/>
      <c r="AN102" s="78"/>
      <c r="AO102" s="97"/>
      <c r="AP102" s="98"/>
      <c r="AQ102" s="77"/>
      <c r="AR102" s="78"/>
      <c r="AS102" s="97"/>
      <c r="AT102" s="98"/>
      <c r="AU102" s="77"/>
      <c r="AV102" s="97"/>
      <c r="AW102" s="97"/>
      <c r="AX102" s="98"/>
      <c r="AY102" s="77"/>
      <c r="AZ102" s="97"/>
      <c r="BA102" s="97"/>
      <c r="BB102" s="98"/>
      <c r="BC102" s="77"/>
      <c r="BD102" s="97"/>
      <c r="BE102" s="97"/>
      <c r="BF102" s="98"/>
      <c r="BG102" s="77"/>
      <c r="BH102" s="97"/>
      <c r="BI102" s="97"/>
      <c r="BJ102" s="98"/>
      <c r="BK102" s="77"/>
      <c r="BL102" s="97"/>
      <c r="BM102" s="97"/>
      <c r="BN102" s="98"/>
      <c r="BO102" s="77"/>
      <c r="BP102" s="97"/>
      <c r="BQ102" s="97"/>
      <c r="BR102" s="98"/>
      <c r="BS102" s="77"/>
      <c r="BT102" s="97"/>
      <c r="BU102" s="97"/>
      <c r="BV102" s="98"/>
      <c r="BW102" s="77"/>
      <c r="BX102" s="97"/>
      <c r="BY102" s="97"/>
      <c r="BZ102" s="98"/>
      <c r="CA102" s="97"/>
      <c r="CB102" s="97"/>
      <c r="CC102" s="97"/>
      <c r="CD102" s="98"/>
      <c r="CE102" s="97"/>
      <c r="CF102" s="97"/>
      <c r="CG102" s="97"/>
      <c r="CH102" s="98"/>
      <c r="CI102" s="97"/>
      <c r="CJ102" s="97"/>
      <c r="CK102" s="97"/>
      <c r="CL102" s="98"/>
      <c r="CM102" s="97"/>
      <c r="CN102" s="97"/>
      <c r="CO102" s="97"/>
      <c r="CP102" s="98"/>
      <c r="CQ102" s="97"/>
      <c r="CR102" s="97"/>
      <c r="CS102" s="97"/>
      <c r="CT102" s="98"/>
      <c r="CU102" s="97"/>
      <c r="CV102" s="97"/>
      <c r="CW102" s="97"/>
      <c r="CX102" s="98"/>
      <c r="CY102" s="97"/>
      <c r="CZ102" s="97"/>
      <c r="DA102" s="97"/>
      <c r="DB102" s="98"/>
      <c r="DC102" s="75"/>
      <c r="DD102" s="97"/>
      <c r="DE102" s="97"/>
      <c r="DF102" s="98"/>
      <c r="DG102" s="75"/>
      <c r="DH102" s="78"/>
      <c r="DI102" s="99"/>
      <c r="DJ102" s="98"/>
      <c r="DK102" s="293"/>
      <c r="DL102" s="114"/>
      <c r="DM102" s="36"/>
      <c r="DN102" s="36"/>
      <c r="DO102" s="36"/>
      <c r="DP102" s="36"/>
      <c r="DQ102" s="413"/>
      <c r="DR102" s="414"/>
      <c r="DS102" s="413"/>
      <c r="DT102" s="417"/>
      <c r="DU102" s="415"/>
      <c r="DV102" s="416"/>
    </row>
    <row r="103" spans="6:126">
      <c r="F103" s="2"/>
      <c r="H103" s="68"/>
      <c r="I103" s="96"/>
      <c r="J103" s="96"/>
      <c r="L103" s="75"/>
      <c r="N103" s="75"/>
      <c r="O103" s="75"/>
      <c r="P103" s="72"/>
      <c r="Q103" s="72"/>
      <c r="S103" s="68"/>
      <c r="T103" s="68"/>
      <c r="V103" s="96"/>
      <c r="W103" s="75"/>
      <c r="X103" s="78"/>
      <c r="Y103" s="97"/>
      <c r="Z103" s="98"/>
      <c r="AA103" s="77"/>
      <c r="AB103" s="78"/>
      <c r="AC103" s="97"/>
      <c r="AD103" s="98"/>
      <c r="AE103" s="77"/>
      <c r="AF103" s="78"/>
      <c r="AG103" s="97"/>
      <c r="AH103" s="98"/>
      <c r="AI103" s="77"/>
      <c r="AJ103" s="78"/>
      <c r="AK103" s="97"/>
      <c r="AL103" s="98"/>
      <c r="AM103" s="77"/>
      <c r="AN103" s="78"/>
      <c r="AO103" s="97"/>
      <c r="AP103" s="98"/>
      <c r="AQ103" s="77"/>
      <c r="AR103" s="78"/>
      <c r="AS103" s="97"/>
      <c r="AT103" s="98"/>
      <c r="AU103" s="77"/>
      <c r="AV103" s="97"/>
      <c r="AW103" s="97"/>
      <c r="AX103" s="98"/>
      <c r="AY103" s="77"/>
      <c r="AZ103" s="97"/>
      <c r="BA103" s="97"/>
      <c r="BB103" s="98"/>
      <c r="BC103" s="77"/>
      <c r="BD103" s="97"/>
      <c r="BE103" s="97"/>
      <c r="BF103" s="98"/>
      <c r="BG103" s="77"/>
      <c r="BH103" s="97"/>
      <c r="BI103" s="97"/>
      <c r="BJ103" s="98"/>
      <c r="BK103" s="77"/>
      <c r="BL103" s="97"/>
      <c r="BM103" s="97"/>
      <c r="BN103" s="98"/>
      <c r="BO103" s="77"/>
      <c r="BP103" s="97"/>
      <c r="BQ103" s="97"/>
      <c r="BR103" s="98"/>
      <c r="BS103" s="77"/>
      <c r="BT103" s="97"/>
      <c r="BU103" s="97"/>
      <c r="BV103" s="98"/>
      <c r="BW103" s="77"/>
      <c r="BX103" s="97"/>
      <c r="BY103" s="97"/>
      <c r="BZ103" s="98"/>
      <c r="CA103" s="97"/>
      <c r="CB103" s="97"/>
      <c r="CC103" s="97"/>
      <c r="CD103" s="98"/>
      <c r="CE103" s="97"/>
      <c r="CF103" s="97"/>
      <c r="CG103" s="97"/>
      <c r="CH103" s="98"/>
      <c r="CI103" s="97"/>
      <c r="CJ103" s="97"/>
      <c r="CK103" s="97"/>
      <c r="CL103" s="98"/>
      <c r="CM103" s="97"/>
      <c r="CN103" s="97"/>
      <c r="CO103" s="97"/>
      <c r="CP103" s="98"/>
      <c r="CQ103" s="97"/>
      <c r="CR103" s="97"/>
      <c r="CS103" s="97"/>
      <c r="CT103" s="98"/>
      <c r="CU103" s="97"/>
      <c r="CV103" s="97"/>
      <c r="CW103" s="97"/>
      <c r="CX103" s="98"/>
      <c r="CY103" s="97"/>
      <c r="CZ103" s="97"/>
      <c r="DA103" s="97"/>
      <c r="DB103" s="98"/>
      <c r="DC103" s="75"/>
      <c r="DD103" s="97"/>
      <c r="DE103" s="97"/>
      <c r="DF103" s="98"/>
      <c r="DG103" s="75"/>
      <c r="DH103" s="78"/>
      <c r="DI103" s="99"/>
      <c r="DJ103" s="98"/>
      <c r="DK103" s="293"/>
      <c r="DL103" s="114"/>
      <c r="DM103" s="36"/>
      <c r="DN103" s="36"/>
      <c r="DO103" s="36"/>
      <c r="DP103" s="36"/>
      <c r="DQ103" s="413"/>
      <c r="DR103" s="414"/>
      <c r="DS103" s="413"/>
      <c r="DT103" s="417"/>
      <c r="DU103" s="415"/>
      <c r="DV103" s="416"/>
    </row>
    <row r="104" spans="6:126">
      <c r="F104" s="2"/>
      <c r="H104" s="68"/>
      <c r="I104" s="96"/>
      <c r="J104" s="96"/>
      <c r="L104" s="75"/>
      <c r="N104" s="75"/>
      <c r="O104" s="75"/>
      <c r="P104" s="72"/>
      <c r="Q104" s="72"/>
      <c r="S104" s="68"/>
      <c r="T104" s="68"/>
      <c r="V104" s="96"/>
      <c r="W104" s="75"/>
      <c r="X104" s="78"/>
      <c r="Y104" s="97"/>
      <c r="Z104" s="98"/>
      <c r="AA104" s="77"/>
      <c r="AB104" s="78"/>
      <c r="AC104" s="97"/>
      <c r="AD104" s="98"/>
      <c r="AE104" s="77"/>
      <c r="AF104" s="78"/>
      <c r="AG104" s="97"/>
      <c r="AH104" s="98"/>
      <c r="AI104" s="77"/>
      <c r="AJ104" s="78"/>
      <c r="AK104" s="97"/>
      <c r="AL104" s="98"/>
      <c r="AM104" s="77"/>
      <c r="AN104" s="78"/>
      <c r="AO104" s="97"/>
      <c r="AP104" s="98"/>
      <c r="AQ104" s="77"/>
      <c r="AR104" s="78"/>
      <c r="AS104" s="97"/>
      <c r="AT104" s="98"/>
      <c r="AU104" s="77"/>
      <c r="AV104" s="97"/>
      <c r="AW104" s="97"/>
      <c r="AX104" s="98"/>
      <c r="AY104" s="77"/>
      <c r="AZ104" s="97"/>
      <c r="BA104" s="97"/>
      <c r="BB104" s="98"/>
      <c r="BC104" s="77"/>
      <c r="BD104" s="97"/>
      <c r="BE104" s="97"/>
      <c r="BF104" s="98"/>
      <c r="BG104" s="77"/>
      <c r="BH104" s="97"/>
      <c r="BI104" s="97"/>
      <c r="BJ104" s="98"/>
      <c r="BK104" s="77"/>
      <c r="BL104" s="97"/>
      <c r="BM104" s="97"/>
      <c r="BN104" s="98"/>
      <c r="BO104" s="77"/>
      <c r="BP104" s="97"/>
      <c r="BQ104" s="97"/>
      <c r="BR104" s="98"/>
      <c r="BS104" s="77"/>
      <c r="BT104" s="97"/>
      <c r="BU104" s="97"/>
      <c r="BV104" s="98"/>
      <c r="BW104" s="77"/>
      <c r="BX104" s="97"/>
      <c r="BY104" s="97"/>
      <c r="BZ104" s="98"/>
      <c r="CA104" s="97"/>
      <c r="CB104" s="97"/>
      <c r="CC104" s="97"/>
      <c r="CD104" s="98"/>
      <c r="CE104" s="97"/>
      <c r="CF104" s="97"/>
      <c r="CG104" s="97"/>
      <c r="CH104" s="98"/>
      <c r="CI104" s="97"/>
      <c r="CJ104" s="97"/>
      <c r="CK104" s="97"/>
      <c r="CL104" s="98"/>
      <c r="CM104" s="97"/>
      <c r="CN104" s="97"/>
      <c r="CO104" s="97"/>
      <c r="CP104" s="98"/>
      <c r="CQ104" s="97"/>
      <c r="CR104" s="97"/>
      <c r="CS104" s="97"/>
      <c r="CT104" s="98"/>
      <c r="CU104" s="97"/>
      <c r="CV104" s="97"/>
      <c r="CW104" s="97"/>
      <c r="CX104" s="98"/>
      <c r="CY104" s="97"/>
      <c r="CZ104" s="97"/>
      <c r="DA104" s="97"/>
      <c r="DB104" s="98"/>
      <c r="DC104" s="75"/>
      <c r="DD104" s="97"/>
      <c r="DE104" s="97"/>
      <c r="DF104" s="98"/>
      <c r="DG104" s="75"/>
      <c r="DH104" s="78"/>
      <c r="DI104" s="99"/>
      <c r="DJ104" s="98"/>
      <c r="DK104" s="293"/>
      <c r="DL104" s="114"/>
      <c r="DM104" s="36"/>
      <c r="DN104" s="36"/>
      <c r="DO104" s="36"/>
      <c r="DP104" s="36"/>
      <c r="DQ104" s="413"/>
      <c r="DR104" s="414"/>
      <c r="DS104" s="413"/>
      <c r="DT104" s="417"/>
      <c r="DU104" s="415"/>
      <c r="DV104" s="416"/>
    </row>
    <row r="105" spans="6:126">
      <c r="F105" s="2"/>
      <c r="H105" s="68"/>
      <c r="I105" s="96"/>
      <c r="J105" s="96"/>
      <c r="L105" s="75"/>
      <c r="N105" s="75"/>
      <c r="O105" s="75"/>
      <c r="P105" s="72"/>
      <c r="Q105" s="72"/>
      <c r="S105" s="68"/>
      <c r="T105" s="68"/>
      <c r="V105" s="96"/>
      <c r="W105" s="75"/>
      <c r="X105" s="78"/>
      <c r="Y105" s="97"/>
      <c r="Z105" s="98"/>
      <c r="AA105" s="77"/>
      <c r="AB105" s="78"/>
      <c r="AC105" s="97"/>
      <c r="AD105" s="98"/>
      <c r="AE105" s="77"/>
      <c r="AF105" s="78"/>
      <c r="AG105" s="97"/>
      <c r="AH105" s="98"/>
      <c r="AI105" s="77"/>
      <c r="AJ105" s="78"/>
      <c r="AK105" s="97"/>
      <c r="AL105" s="98"/>
      <c r="AM105" s="77"/>
      <c r="AN105" s="78"/>
      <c r="AO105" s="97"/>
      <c r="AP105" s="98"/>
      <c r="AQ105" s="77"/>
      <c r="AR105" s="78"/>
      <c r="AS105" s="97"/>
      <c r="AT105" s="98"/>
      <c r="AU105" s="77"/>
      <c r="AV105" s="97"/>
      <c r="AW105" s="97"/>
      <c r="AX105" s="98"/>
      <c r="AY105" s="77"/>
      <c r="AZ105" s="97"/>
      <c r="BA105" s="97"/>
      <c r="BB105" s="98"/>
      <c r="BC105" s="77"/>
      <c r="BD105" s="97"/>
      <c r="BE105" s="97"/>
      <c r="BF105" s="98"/>
      <c r="BG105" s="77"/>
      <c r="BH105" s="97"/>
      <c r="BI105" s="97"/>
      <c r="BJ105" s="98"/>
      <c r="BK105" s="77"/>
      <c r="BL105" s="97"/>
      <c r="BM105" s="97"/>
      <c r="BN105" s="98"/>
      <c r="BO105" s="77"/>
      <c r="BP105" s="97"/>
      <c r="BQ105" s="97"/>
      <c r="BR105" s="98"/>
      <c r="BS105" s="77"/>
      <c r="BT105" s="97"/>
      <c r="BU105" s="97"/>
      <c r="BV105" s="98"/>
      <c r="BW105" s="77"/>
      <c r="BX105" s="97"/>
      <c r="BY105" s="97"/>
      <c r="BZ105" s="98"/>
      <c r="CA105" s="97"/>
      <c r="CB105" s="97"/>
      <c r="CC105" s="97"/>
      <c r="CD105" s="98"/>
      <c r="CE105" s="97"/>
      <c r="CF105" s="97"/>
      <c r="CG105" s="97"/>
      <c r="CH105" s="98"/>
      <c r="CI105" s="97"/>
      <c r="CJ105" s="97"/>
      <c r="CK105" s="97"/>
      <c r="CL105" s="98"/>
      <c r="CM105" s="97"/>
      <c r="CN105" s="97"/>
      <c r="CO105" s="97"/>
      <c r="CP105" s="98"/>
      <c r="CQ105" s="97"/>
      <c r="CR105" s="97"/>
      <c r="CS105" s="97"/>
      <c r="CT105" s="98"/>
      <c r="CU105" s="97"/>
      <c r="CV105" s="97"/>
      <c r="CW105" s="97"/>
      <c r="CX105" s="98"/>
      <c r="CY105" s="97"/>
      <c r="CZ105" s="97"/>
      <c r="DA105" s="97"/>
      <c r="DB105" s="98"/>
      <c r="DC105" s="75"/>
      <c r="DD105" s="97"/>
      <c r="DE105" s="97"/>
      <c r="DF105" s="98"/>
      <c r="DG105" s="75"/>
      <c r="DH105" s="78"/>
      <c r="DI105" s="99"/>
      <c r="DJ105" s="98"/>
      <c r="DK105" s="293"/>
      <c r="DL105" s="114"/>
      <c r="DM105" s="36"/>
      <c r="DN105" s="36"/>
      <c r="DO105" s="36"/>
      <c r="DP105" s="36"/>
      <c r="DQ105" s="413"/>
      <c r="DR105" s="414"/>
      <c r="DS105" s="413"/>
      <c r="DT105" s="417"/>
      <c r="DU105" s="415"/>
      <c r="DV105" s="416"/>
    </row>
    <row r="106" spans="6:126">
      <c r="F106" s="2"/>
      <c r="H106" s="68"/>
      <c r="I106" s="96"/>
      <c r="J106" s="96"/>
      <c r="L106" s="75"/>
      <c r="N106" s="75"/>
      <c r="O106" s="75"/>
      <c r="P106" s="72"/>
      <c r="Q106" s="72"/>
      <c r="S106" s="68"/>
      <c r="T106" s="68"/>
      <c r="V106" s="96"/>
      <c r="W106" s="75"/>
      <c r="X106" s="78"/>
      <c r="Y106" s="97"/>
      <c r="Z106" s="98"/>
      <c r="AA106" s="77"/>
      <c r="AB106" s="78"/>
      <c r="AC106" s="97"/>
      <c r="AD106" s="98"/>
      <c r="AE106" s="77"/>
      <c r="AF106" s="78"/>
      <c r="AG106" s="97"/>
      <c r="AH106" s="98"/>
      <c r="AI106" s="77"/>
      <c r="AJ106" s="78"/>
      <c r="AK106" s="97"/>
      <c r="AL106" s="98"/>
      <c r="AM106" s="77"/>
      <c r="AN106" s="78"/>
      <c r="AO106" s="97"/>
      <c r="AP106" s="98"/>
      <c r="AQ106" s="77"/>
      <c r="AR106" s="78"/>
      <c r="AS106" s="97"/>
      <c r="AT106" s="98"/>
      <c r="AU106" s="77"/>
      <c r="AV106" s="97"/>
      <c r="AW106" s="97"/>
      <c r="AX106" s="98"/>
      <c r="AY106" s="77"/>
      <c r="AZ106" s="97"/>
      <c r="BA106" s="97"/>
      <c r="BB106" s="98"/>
      <c r="BC106" s="77"/>
      <c r="BD106" s="97"/>
      <c r="BE106" s="97"/>
      <c r="BF106" s="98"/>
      <c r="BG106" s="77"/>
      <c r="BH106" s="97"/>
      <c r="BI106" s="97"/>
      <c r="BJ106" s="98"/>
      <c r="BK106" s="77"/>
      <c r="BL106" s="97"/>
      <c r="BM106" s="97"/>
      <c r="BN106" s="98"/>
      <c r="BO106" s="77"/>
      <c r="BP106" s="97"/>
      <c r="BQ106" s="97"/>
      <c r="BR106" s="98"/>
      <c r="BS106" s="77"/>
      <c r="BT106" s="97"/>
      <c r="BU106" s="97"/>
      <c r="BV106" s="98"/>
      <c r="BW106" s="77"/>
      <c r="BX106" s="97"/>
      <c r="BY106" s="97"/>
      <c r="BZ106" s="98"/>
      <c r="CA106" s="97"/>
      <c r="CB106" s="97"/>
      <c r="CC106" s="97"/>
      <c r="CD106" s="98"/>
      <c r="CE106" s="97"/>
      <c r="CF106" s="97"/>
      <c r="CG106" s="97"/>
      <c r="CH106" s="98"/>
      <c r="CI106" s="97"/>
      <c r="CJ106" s="97"/>
      <c r="CK106" s="97"/>
      <c r="CL106" s="98"/>
      <c r="CM106" s="97"/>
      <c r="CN106" s="97"/>
      <c r="CO106" s="97"/>
      <c r="CP106" s="98"/>
      <c r="CQ106" s="97"/>
      <c r="CR106" s="97"/>
      <c r="CS106" s="97"/>
      <c r="CT106" s="98"/>
      <c r="CU106" s="97"/>
      <c r="CV106" s="97"/>
      <c r="CW106" s="97"/>
      <c r="CX106" s="98"/>
      <c r="CY106" s="97"/>
      <c r="CZ106" s="97"/>
      <c r="DA106" s="97"/>
      <c r="DB106" s="98"/>
      <c r="DC106" s="75"/>
      <c r="DD106" s="97"/>
      <c r="DE106" s="97"/>
      <c r="DF106" s="98"/>
      <c r="DG106" s="75"/>
      <c r="DH106" s="78"/>
      <c r="DI106" s="99"/>
      <c r="DJ106" s="98"/>
      <c r="DK106" s="293"/>
      <c r="DL106" s="114"/>
      <c r="DM106" s="36"/>
      <c r="DN106" s="36"/>
      <c r="DO106" s="36"/>
      <c r="DP106" s="36"/>
      <c r="DQ106" s="413"/>
      <c r="DR106" s="414"/>
      <c r="DS106" s="413"/>
      <c r="DT106" s="417"/>
      <c r="DU106" s="415"/>
      <c r="DV106" s="416"/>
    </row>
    <row r="107" spans="6:126">
      <c r="F107" s="2"/>
      <c r="H107" s="68"/>
      <c r="I107" s="96"/>
      <c r="J107" s="96"/>
      <c r="L107" s="75"/>
      <c r="N107" s="75"/>
      <c r="O107" s="75"/>
      <c r="P107" s="72"/>
      <c r="Q107" s="72"/>
      <c r="S107" s="68"/>
      <c r="T107" s="68"/>
      <c r="V107" s="96"/>
      <c r="W107" s="75"/>
      <c r="X107" s="78"/>
      <c r="Y107" s="97"/>
      <c r="Z107" s="98"/>
      <c r="AA107" s="77"/>
      <c r="AB107" s="78"/>
      <c r="AC107" s="97"/>
      <c r="AD107" s="98"/>
      <c r="AE107" s="77"/>
      <c r="AF107" s="78"/>
      <c r="AG107" s="97"/>
      <c r="AH107" s="98"/>
      <c r="AI107" s="77"/>
      <c r="AJ107" s="78"/>
      <c r="AK107" s="97"/>
      <c r="AL107" s="98"/>
      <c r="AM107" s="77"/>
      <c r="AN107" s="78"/>
      <c r="AO107" s="97"/>
      <c r="AP107" s="98"/>
      <c r="AQ107" s="77"/>
      <c r="AR107" s="78"/>
      <c r="AS107" s="97"/>
      <c r="AT107" s="98"/>
      <c r="AU107" s="77"/>
      <c r="AV107" s="97"/>
      <c r="AW107" s="97"/>
      <c r="AX107" s="98"/>
      <c r="AY107" s="77"/>
      <c r="AZ107" s="97"/>
      <c r="BA107" s="97"/>
      <c r="BB107" s="98"/>
      <c r="BC107" s="77"/>
      <c r="BD107" s="97"/>
      <c r="BE107" s="97"/>
      <c r="BF107" s="98"/>
      <c r="BG107" s="77"/>
      <c r="BH107" s="97"/>
      <c r="BI107" s="97"/>
      <c r="BJ107" s="98"/>
      <c r="BK107" s="77"/>
      <c r="BL107" s="97"/>
      <c r="BM107" s="97"/>
      <c r="BN107" s="98"/>
      <c r="BO107" s="77"/>
      <c r="BP107" s="97"/>
      <c r="BQ107" s="97"/>
      <c r="BR107" s="98"/>
      <c r="BS107" s="77"/>
      <c r="BT107" s="97"/>
      <c r="BU107" s="97"/>
      <c r="BV107" s="98"/>
      <c r="BW107" s="77"/>
      <c r="BX107" s="97"/>
      <c r="BY107" s="97"/>
      <c r="BZ107" s="98"/>
      <c r="CA107" s="97"/>
      <c r="CB107" s="97"/>
      <c r="CC107" s="97"/>
      <c r="CD107" s="98"/>
      <c r="CE107" s="97"/>
      <c r="CF107" s="97"/>
      <c r="CG107" s="97"/>
      <c r="CH107" s="98"/>
      <c r="CI107" s="97"/>
      <c r="CJ107" s="97"/>
      <c r="CK107" s="97"/>
      <c r="CL107" s="98"/>
      <c r="CM107" s="97"/>
      <c r="CN107" s="97"/>
      <c r="CO107" s="97"/>
      <c r="CP107" s="98"/>
      <c r="CQ107" s="97"/>
      <c r="CR107" s="97"/>
      <c r="CS107" s="97"/>
      <c r="CT107" s="98"/>
      <c r="CU107" s="97"/>
      <c r="CV107" s="97"/>
      <c r="CW107" s="97"/>
      <c r="CX107" s="98"/>
      <c r="CY107" s="97"/>
      <c r="CZ107" s="97"/>
      <c r="DA107" s="97"/>
      <c r="DB107" s="98"/>
      <c r="DC107" s="75"/>
      <c r="DD107" s="97"/>
      <c r="DE107" s="97"/>
      <c r="DF107" s="98"/>
      <c r="DG107" s="75"/>
      <c r="DH107" s="78"/>
      <c r="DI107" s="99"/>
      <c r="DJ107" s="98"/>
      <c r="DK107" s="293"/>
      <c r="DL107" s="114"/>
      <c r="DM107" s="36"/>
      <c r="DN107" s="36"/>
      <c r="DO107" s="36"/>
      <c r="DP107" s="36"/>
      <c r="DQ107" s="413"/>
      <c r="DR107" s="414"/>
      <c r="DS107" s="413"/>
      <c r="DT107" s="417"/>
      <c r="DU107" s="415"/>
      <c r="DV107" s="416"/>
    </row>
    <row r="108" spans="6:126">
      <c r="F108" s="2"/>
      <c r="H108" s="68"/>
      <c r="I108" s="96"/>
      <c r="J108" s="96"/>
      <c r="L108" s="75"/>
      <c r="N108" s="75"/>
      <c r="O108" s="75"/>
      <c r="P108" s="72"/>
      <c r="Q108" s="72"/>
      <c r="S108" s="68"/>
      <c r="T108" s="68"/>
      <c r="V108" s="96"/>
      <c r="W108" s="75"/>
      <c r="X108" s="78"/>
      <c r="Y108" s="97"/>
      <c r="Z108" s="98"/>
      <c r="AA108" s="77"/>
      <c r="AB108" s="78"/>
      <c r="AC108" s="97"/>
      <c r="AD108" s="98"/>
      <c r="AE108" s="77"/>
      <c r="AF108" s="78"/>
      <c r="AG108" s="97"/>
      <c r="AH108" s="98"/>
      <c r="AI108" s="77"/>
      <c r="AJ108" s="78"/>
      <c r="AK108" s="97"/>
      <c r="AL108" s="98"/>
      <c r="AM108" s="77"/>
      <c r="AN108" s="78"/>
      <c r="AO108" s="97"/>
      <c r="AP108" s="98"/>
      <c r="AQ108" s="77"/>
      <c r="AR108" s="78"/>
      <c r="AS108" s="97"/>
      <c r="AT108" s="98"/>
      <c r="AU108" s="77"/>
      <c r="AV108" s="97"/>
      <c r="AW108" s="97"/>
      <c r="AX108" s="98"/>
      <c r="AY108" s="77"/>
      <c r="AZ108" s="97"/>
      <c r="BA108" s="97"/>
      <c r="BB108" s="98"/>
      <c r="BC108" s="77"/>
      <c r="BD108" s="97"/>
      <c r="BE108" s="97"/>
      <c r="BF108" s="98"/>
      <c r="BG108" s="77"/>
      <c r="BH108" s="97"/>
      <c r="BI108" s="97"/>
      <c r="BJ108" s="98"/>
      <c r="BK108" s="77"/>
      <c r="BL108" s="97"/>
      <c r="BM108" s="97"/>
      <c r="BN108" s="98"/>
      <c r="BO108" s="77"/>
      <c r="BP108" s="97"/>
      <c r="BQ108" s="97"/>
      <c r="BR108" s="98"/>
      <c r="BS108" s="77"/>
      <c r="BT108" s="97"/>
      <c r="BU108" s="97"/>
      <c r="BV108" s="98"/>
      <c r="BW108" s="77"/>
      <c r="BX108" s="97"/>
      <c r="BY108" s="97"/>
      <c r="BZ108" s="98"/>
      <c r="CA108" s="97"/>
      <c r="CB108" s="97"/>
      <c r="CC108" s="97"/>
      <c r="CD108" s="98"/>
      <c r="CE108" s="97"/>
      <c r="CF108" s="97"/>
      <c r="CG108" s="97"/>
      <c r="CH108" s="98"/>
      <c r="CI108" s="97"/>
      <c r="CJ108" s="97"/>
      <c r="CK108" s="97"/>
      <c r="CL108" s="98"/>
      <c r="CM108" s="97"/>
      <c r="CN108" s="97"/>
      <c r="CO108" s="97"/>
      <c r="CP108" s="98"/>
      <c r="CQ108" s="97"/>
      <c r="CR108" s="97"/>
      <c r="CS108" s="97"/>
      <c r="CT108" s="98"/>
      <c r="CU108" s="97"/>
      <c r="CV108" s="97"/>
      <c r="CW108" s="97"/>
      <c r="CX108" s="98"/>
      <c r="CY108" s="97"/>
      <c r="CZ108" s="97"/>
      <c r="DA108" s="97"/>
      <c r="DB108" s="98"/>
      <c r="DC108" s="75"/>
      <c r="DD108" s="97"/>
      <c r="DE108" s="97"/>
      <c r="DF108" s="98"/>
      <c r="DG108" s="75"/>
      <c r="DH108" s="78"/>
      <c r="DI108" s="99"/>
      <c r="DJ108" s="98"/>
      <c r="DK108" s="293"/>
      <c r="DL108" s="114"/>
      <c r="DM108" s="36"/>
      <c r="DN108" s="36"/>
      <c r="DO108" s="36"/>
      <c r="DP108" s="36"/>
      <c r="DQ108" s="413"/>
      <c r="DR108" s="414"/>
      <c r="DS108" s="413"/>
      <c r="DT108" s="417"/>
      <c r="DU108" s="415"/>
      <c r="DV108" s="416"/>
    </row>
    <row r="109" spans="6:126">
      <c r="F109" s="2"/>
      <c r="H109" s="68"/>
      <c r="I109" s="96"/>
      <c r="J109" s="96"/>
      <c r="L109" s="75"/>
      <c r="N109" s="75"/>
      <c r="O109" s="75"/>
      <c r="P109" s="72"/>
      <c r="Q109" s="72"/>
      <c r="S109" s="68"/>
      <c r="T109" s="68"/>
      <c r="V109" s="96"/>
      <c r="W109" s="75"/>
      <c r="X109" s="78"/>
      <c r="Y109" s="97"/>
      <c r="Z109" s="98"/>
      <c r="AA109" s="77"/>
      <c r="AB109" s="78"/>
      <c r="AC109" s="97"/>
      <c r="AD109" s="98"/>
      <c r="AE109" s="77"/>
      <c r="AF109" s="78"/>
      <c r="AG109" s="97"/>
      <c r="AH109" s="98"/>
      <c r="AI109" s="77"/>
      <c r="AJ109" s="78"/>
      <c r="AK109" s="97"/>
      <c r="AL109" s="98"/>
      <c r="AM109" s="77"/>
      <c r="AN109" s="78"/>
      <c r="AO109" s="97"/>
      <c r="AP109" s="98"/>
      <c r="AQ109" s="77"/>
      <c r="AR109" s="78"/>
      <c r="AS109" s="97"/>
      <c r="AT109" s="98"/>
      <c r="AU109" s="77"/>
      <c r="AV109" s="97"/>
      <c r="AW109" s="97"/>
      <c r="AX109" s="98"/>
      <c r="AY109" s="77"/>
      <c r="AZ109" s="97"/>
      <c r="BA109" s="97"/>
      <c r="BB109" s="98"/>
      <c r="BC109" s="77"/>
      <c r="BD109" s="97"/>
      <c r="BE109" s="97"/>
      <c r="BF109" s="98"/>
      <c r="BG109" s="77"/>
      <c r="BH109" s="97"/>
      <c r="BI109" s="97"/>
      <c r="BJ109" s="98"/>
      <c r="BK109" s="77"/>
      <c r="BL109" s="97"/>
      <c r="BM109" s="97"/>
      <c r="BN109" s="98"/>
      <c r="BO109" s="77"/>
      <c r="BP109" s="97"/>
      <c r="BQ109" s="97"/>
      <c r="BR109" s="98"/>
      <c r="BS109" s="77"/>
      <c r="BT109" s="97"/>
      <c r="BU109" s="97"/>
      <c r="BV109" s="98"/>
      <c r="BW109" s="77"/>
      <c r="BX109" s="97"/>
      <c r="BY109" s="97"/>
      <c r="BZ109" s="98"/>
      <c r="CA109" s="97"/>
      <c r="CB109" s="97"/>
      <c r="CC109" s="97"/>
      <c r="CD109" s="98"/>
      <c r="CE109" s="97"/>
      <c r="CF109" s="97"/>
      <c r="CG109" s="97"/>
      <c r="CH109" s="98"/>
      <c r="CI109" s="97"/>
      <c r="CJ109" s="97"/>
      <c r="CK109" s="97"/>
      <c r="CL109" s="98"/>
      <c r="CM109" s="97"/>
      <c r="CN109" s="97"/>
      <c r="CO109" s="97"/>
      <c r="CP109" s="98"/>
      <c r="CQ109" s="97"/>
      <c r="CR109" s="97"/>
      <c r="CS109" s="97"/>
      <c r="CT109" s="98"/>
      <c r="CU109" s="97"/>
      <c r="CV109" s="97"/>
      <c r="CW109" s="97"/>
      <c r="CX109" s="98"/>
      <c r="CY109" s="97"/>
      <c r="CZ109" s="97"/>
      <c r="DA109" s="97"/>
      <c r="DB109" s="98"/>
      <c r="DC109" s="75"/>
      <c r="DD109" s="97"/>
      <c r="DE109" s="97"/>
      <c r="DF109" s="98"/>
      <c r="DG109" s="75"/>
      <c r="DH109" s="78"/>
      <c r="DI109" s="99"/>
      <c r="DJ109" s="98"/>
      <c r="DK109" s="293"/>
      <c r="DL109" s="114"/>
      <c r="DM109" s="36"/>
      <c r="DN109" s="36"/>
      <c r="DO109" s="36"/>
      <c r="DP109" s="36"/>
      <c r="DQ109" s="413"/>
      <c r="DR109" s="414"/>
      <c r="DS109" s="413"/>
      <c r="DT109" s="417"/>
      <c r="DU109" s="415"/>
      <c r="DV109" s="416"/>
    </row>
    <row r="110" spans="6:126">
      <c r="F110" s="2"/>
      <c r="H110" s="68"/>
      <c r="I110" s="96"/>
      <c r="J110" s="96"/>
      <c r="L110" s="75"/>
      <c r="N110" s="75"/>
      <c r="O110" s="75"/>
      <c r="P110" s="72"/>
      <c r="Q110" s="72"/>
      <c r="S110" s="68"/>
      <c r="T110" s="68"/>
      <c r="V110" s="96"/>
      <c r="W110" s="75"/>
      <c r="X110" s="78"/>
      <c r="Y110" s="97"/>
      <c r="Z110" s="98"/>
      <c r="AA110" s="77"/>
      <c r="AB110" s="78"/>
      <c r="AC110" s="97"/>
      <c r="AD110" s="98"/>
      <c r="AE110" s="77"/>
      <c r="AF110" s="78"/>
      <c r="AG110" s="97"/>
      <c r="AH110" s="98"/>
      <c r="AI110" s="77"/>
      <c r="AJ110" s="78"/>
      <c r="AK110" s="97"/>
      <c r="AL110" s="98"/>
      <c r="AM110" s="77"/>
      <c r="AN110" s="78"/>
      <c r="AO110" s="97"/>
      <c r="AP110" s="98"/>
      <c r="AQ110" s="77"/>
      <c r="AR110" s="78"/>
      <c r="AS110" s="97"/>
      <c r="AT110" s="98"/>
      <c r="AU110" s="77"/>
      <c r="AV110" s="97"/>
      <c r="AW110" s="97"/>
      <c r="AX110" s="98"/>
      <c r="AY110" s="77"/>
      <c r="AZ110" s="97"/>
      <c r="BA110" s="97"/>
      <c r="BB110" s="98"/>
      <c r="BC110" s="77"/>
      <c r="BD110" s="97"/>
      <c r="BE110" s="97"/>
      <c r="BF110" s="98"/>
      <c r="BG110" s="77"/>
      <c r="BH110" s="97"/>
      <c r="BI110" s="97"/>
      <c r="BJ110" s="98"/>
      <c r="BK110" s="77"/>
      <c r="BL110" s="97"/>
      <c r="BM110" s="97"/>
      <c r="BN110" s="98"/>
      <c r="BO110" s="77"/>
      <c r="BP110" s="97"/>
      <c r="BQ110" s="97"/>
      <c r="BR110" s="98"/>
      <c r="BS110" s="77"/>
      <c r="BT110" s="97"/>
      <c r="BU110" s="97"/>
      <c r="BV110" s="98"/>
      <c r="BW110" s="77"/>
      <c r="BX110" s="97"/>
      <c r="BY110" s="97"/>
      <c r="BZ110" s="98"/>
      <c r="CA110" s="97"/>
      <c r="CB110" s="97"/>
      <c r="CC110" s="97"/>
      <c r="CD110" s="98"/>
      <c r="CE110" s="97"/>
      <c r="CF110" s="97"/>
      <c r="CG110" s="97"/>
      <c r="CH110" s="98"/>
      <c r="CI110" s="97"/>
      <c r="CJ110" s="97"/>
      <c r="CK110" s="97"/>
      <c r="CL110" s="98"/>
      <c r="CM110" s="97"/>
      <c r="CN110" s="97"/>
      <c r="CO110" s="97"/>
      <c r="CP110" s="98"/>
      <c r="CQ110" s="97"/>
      <c r="CR110" s="97"/>
      <c r="CS110" s="97"/>
      <c r="CT110" s="98"/>
      <c r="CU110" s="97"/>
      <c r="CV110" s="97"/>
      <c r="CW110" s="97"/>
      <c r="CX110" s="98"/>
      <c r="CY110" s="97"/>
      <c r="CZ110" s="97"/>
      <c r="DA110" s="97"/>
      <c r="DB110" s="98"/>
      <c r="DC110" s="75"/>
      <c r="DD110" s="97"/>
      <c r="DE110" s="97"/>
      <c r="DF110" s="98"/>
      <c r="DG110" s="75"/>
      <c r="DH110" s="78"/>
      <c r="DI110" s="99"/>
      <c r="DJ110" s="98"/>
      <c r="DK110" s="293"/>
      <c r="DL110" s="114"/>
      <c r="DM110" s="36"/>
      <c r="DN110" s="36"/>
      <c r="DO110" s="36"/>
      <c r="DP110" s="36"/>
      <c r="DQ110" s="413"/>
      <c r="DR110" s="414"/>
      <c r="DS110" s="413"/>
      <c r="DT110" s="417"/>
      <c r="DU110" s="415"/>
      <c r="DV110" s="416"/>
    </row>
    <row r="111" spans="6:126">
      <c r="F111" s="2"/>
      <c r="H111" s="68"/>
      <c r="I111" s="96"/>
      <c r="J111" s="96"/>
      <c r="L111" s="75"/>
      <c r="N111" s="75"/>
      <c r="O111" s="75"/>
      <c r="P111" s="72"/>
      <c r="Q111" s="72"/>
      <c r="S111" s="68"/>
      <c r="T111" s="68"/>
      <c r="V111" s="96"/>
      <c r="W111" s="75"/>
      <c r="X111" s="78"/>
      <c r="Y111" s="97"/>
      <c r="Z111" s="98"/>
      <c r="AA111" s="77"/>
      <c r="AB111" s="78"/>
      <c r="AC111" s="97"/>
      <c r="AD111" s="98"/>
      <c r="AE111" s="77"/>
      <c r="AF111" s="78"/>
      <c r="AG111" s="97"/>
      <c r="AH111" s="98"/>
      <c r="AI111" s="77"/>
      <c r="AJ111" s="78"/>
      <c r="AK111" s="97"/>
      <c r="AL111" s="98"/>
      <c r="AM111" s="77"/>
      <c r="AN111" s="78"/>
      <c r="AO111" s="97"/>
      <c r="AP111" s="98"/>
      <c r="AQ111" s="77"/>
      <c r="AR111" s="78"/>
      <c r="AS111" s="97"/>
      <c r="AT111" s="98"/>
      <c r="AU111" s="77"/>
      <c r="AV111" s="97"/>
      <c r="AW111" s="97"/>
      <c r="AX111" s="98"/>
      <c r="AY111" s="77"/>
      <c r="AZ111" s="97"/>
      <c r="BA111" s="97"/>
      <c r="BB111" s="98"/>
      <c r="BC111" s="77"/>
      <c r="BD111" s="97"/>
      <c r="BE111" s="97"/>
      <c r="BF111" s="98"/>
      <c r="BG111" s="77"/>
      <c r="BH111" s="97"/>
      <c r="BI111" s="97"/>
      <c r="BJ111" s="98"/>
      <c r="BK111" s="77"/>
      <c r="BL111" s="97"/>
      <c r="BM111" s="97"/>
      <c r="BN111" s="98"/>
      <c r="BO111" s="77"/>
      <c r="BP111" s="97"/>
      <c r="BQ111" s="97"/>
      <c r="BR111" s="98"/>
      <c r="BS111" s="77"/>
      <c r="BT111" s="97"/>
      <c r="BU111" s="97"/>
      <c r="BV111" s="98"/>
      <c r="BW111" s="77"/>
      <c r="BX111" s="97"/>
      <c r="BY111" s="97"/>
      <c r="BZ111" s="98"/>
      <c r="CA111" s="97"/>
      <c r="CB111" s="97"/>
      <c r="CC111" s="97"/>
      <c r="CD111" s="98"/>
      <c r="CE111" s="97"/>
      <c r="CF111" s="97"/>
      <c r="CG111" s="97"/>
      <c r="CH111" s="98"/>
      <c r="CI111" s="97"/>
      <c r="CJ111" s="97"/>
      <c r="CK111" s="97"/>
      <c r="CL111" s="98"/>
      <c r="CM111" s="97"/>
      <c r="CN111" s="97"/>
      <c r="CO111" s="97"/>
      <c r="CP111" s="98"/>
      <c r="CQ111" s="97"/>
      <c r="CR111" s="97"/>
      <c r="CS111" s="97"/>
      <c r="CT111" s="98"/>
      <c r="CU111" s="97"/>
      <c r="CV111" s="97"/>
      <c r="CW111" s="97"/>
      <c r="CX111" s="98"/>
      <c r="CY111" s="97"/>
      <c r="CZ111" s="97"/>
      <c r="DA111" s="97"/>
      <c r="DB111" s="98"/>
      <c r="DC111" s="75"/>
      <c r="DD111" s="97"/>
      <c r="DE111" s="97"/>
      <c r="DF111" s="98"/>
      <c r="DG111" s="75"/>
      <c r="DH111" s="78"/>
      <c r="DI111" s="99"/>
      <c r="DJ111" s="98"/>
      <c r="DK111" s="293"/>
      <c r="DL111" s="114"/>
      <c r="DM111" s="36"/>
      <c r="DN111" s="36"/>
      <c r="DO111" s="36"/>
      <c r="DP111" s="36"/>
      <c r="DQ111" s="413"/>
      <c r="DR111" s="414"/>
      <c r="DS111" s="413"/>
      <c r="DT111" s="417"/>
      <c r="DU111" s="415"/>
      <c r="DV111" s="416"/>
    </row>
    <row r="112" spans="6:126">
      <c r="F112" s="2"/>
      <c r="H112" s="68"/>
      <c r="I112" s="96"/>
      <c r="J112" s="96"/>
      <c r="L112" s="75"/>
      <c r="N112" s="75"/>
      <c r="O112" s="75"/>
      <c r="P112" s="72"/>
      <c r="Q112" s="72"/>
      <c r="S112" s="68"/>
      <c r="T112" s="68"/>
      <c r="V112" s="96"/>
      <c r="W112" s="75"/>
      <c r="X112" s="78"/>
      <c r="Y112" s="97"/>
      <c r="Z112" s="98"/>
      <c r="AA112" s="77"/>
      <c r="AB112" s="78"/>
      <c r="AC112" s="97"/>
      <c r="AD112" s="98"/>
      <c r="AE112" s="77"/>
      <c r="AF112" s="78"/>
      <c r="AG112" s="97"/>
      <c r="AH112" s="98"/>
      <c r="AI112" s="77"/>
      <c r="AJ112" s="78"/>
      <c r="AK112" s="97"/>
      <c r="AL112" s="98"/>
      <c r="AM112" s="77"/>
      <c r="AN112" s="78"/>
      <c r="AO112" s="97"/>
      <c r="AP112" s="98"/>
      <c r="AQ112" s="77"/>
      <c r="AR112" s="78"/>
      <c r="AS112" s="97"/>
      <c r="AT112" s="98"/>
      <c r="AU112" s="77"/>
      <c r="AV112" s="97"/>
      <c r="AW112" s="97"/>
      <c r="AX112" s="98"/>
      <c r="AY112" s="77"/>
      <c r="AZ112" s="97"/>
      <c r="BA112" s="97"/>
      <c r="BB112" s="98"/>
      <c r="BC112" s="77"/>
      <c r="BD112" s="97"/>
      <c r="BE112" s="97"/>
      <c r="BF112" s="98"/>
      <c r="BG112" s="77"/>
      <c r="BH112" s="97"/>
      <c r="BI112" s="97"/>
      <c r="BJ112" s="98"/>
      <c r="BK112" s="77"/>
      <c r="BL112" s="97"/>
      <c r="BM112" s="97"/>
      <c r="BN112" s="98"/>
      <c r="BO112" s="77"/>
      <c r="BP112" s="97"/>
      <c r="BQ112" s="97"/>
      <c r="BR112" s="98"/>
      <c r="BS112" s="77"/>
      <c r="BT112" s="97"/>
      <c r="BU112" s="97"/>
      <c r="BV112" s="98"/>
      <c r="BW112" s="77"/>
      <c r="BX112" s="97"/>
      <c r="BY112" s="97"/>
      <c r="BZ112" s="98"/>
      <c r="CA112" s="97"/>
      <c r="CB112" s="97"/>
      <c r="CC112" s="97"/>
      <c r="CD112" s="98"/>
      <c r="CE112" s="97"/>
      <c r="CF112" s="97"/>
      <c r="CG112" s="97"/>
      <c r="CH112" s="98"/>
      <c r="CI112" s="97"/>
      <c r="CJ112" s="97"/>
      <c r="CK112" s="97"/>
      <c r="CL112" s="98"/>
      <c r="CM112" s="97"/>
      <c r="CN112" s="97"/>
      <c r="CO112" s="97"/>
      <c r="CP112" s="98"/>
      <c r="CQ112" s="97"/>
      <c r="CR112" s="97"/>
      <c r="CS112" s="97"/>
      <c r="CT112" s="98"/>
      <c r="CU112" s="97"/>
      <c r="CV112" s="97"/>
      <c r="CW112" s="97"/>
      <c r="CX112" s="98"/>
      <c r="CY112" s="97"/>
      <c r="CZ112" s="97"/>
      <c r="DA112" s="97"/>
      <c r="DB112" s="98"/>
      <c r="DC112" s="75"/>
      <c r="DD112" s="97"/>
      <c r="DE112" s="97"/>
      <c r="DF112" s="98"/>
      <c r="DG112" s="75"/>
      <c r="DH112" s="78"/>
      <c r="DI112" s="99"/>
      <c r="DJ112" s="98"/>
      <c r="DK112" s="293"/>
      <c r="DL112" s="114"/>
      <c r="DM112" s="36"/>
      <c r="DN112" s="36"/>
      <c r="DO112" s="36"/>
      <c r="DP112" s="36"/>
      <c r="DQ112" s="413"/>
      <c r="DR112" s="414"/>
      <c r="DS112" s="413"/>
      <c r="DT112" s="417"/>
      <c r="DU112" s="415"/>
      <c r="DV112" s="416"/>
    </row>
    <row r="113" spans="6:126">
      <c r="F113" s="2"/>
      <c r="H113" s="68"/>
      <c r="I113" s="96"/>
      <c r="J113" s="96"/>
      <c r="L113" s="75"/>
      <c r="N113" s="75"/>
      <c r="O113" s="75"/>
      <c r="P113" s="72"/>
      <c r="Q113" s="72"/>
      <c r="S113" s="68"/>
      <c r="T113" s="68"/>
      <c r="V113" s="96"/>
      <c r="W113" s="75"/>
      <c r="X113" s="78"/>
      <c r="Y113" s="97"/>
      <c r="Z113" s="98"/>
      <c r="AA113" s="77"/>
      <c r="AB113" s="78"/>
      <c r="AC113" s="97"/>
      <c r="AD113" s="98"/>
      <c r="AE113" s="77"/>
      <c r="AF113" s="78"/>
      <c r="AG113" s="97"/>
      <c r="AH113" s="98"/>
      <c r="AI113" s="77"/>
      <c r="AJ113" s="78"/>
      <c r="AK113" s="97"/>
      <c r="AL113" s="98"/>
      <c r="AM113" s="77"/>
      <c r="AN113" s="78"/>
      <c r="AO113" s="97"/>
      <c r="AP113" s="98"/>
      <c r="AQ113" s="77"/>
      <c r="AR113" s="78"/>
      <c r="AS113" s="97"/>
      <c r="AT113" s="98"/>
      <c r="AU113" s="77"/>
      <c r="AV113" s="97"/>
      <c r="AW113" s="97"/>
      <c r="AX113" s="98"/>
      <c r="AY113" s="77"/>
      <c r="AZ113" s="97"/>
      <c r="BA113" s="97"/>
      <c r="BB113" s="98"/>
      <c r="BC113" s="77"/>
      <c r="BD113" s="97"/>
      <c r="BE113" s="97"/>
      <c r="BF113" s="98"/>
      <c r="BG113" s="77"/>
      <c r="BH113" s="97"/>
      <c r="BI113" s="97"/>
      <c r="BJ113" s="98"/>
      <c r="BK113" s="77"/>
      <c r="BL113" s="97"/>
      <c r="BM113" s="97"/>
      <c r="BN113" s="98"/>
      <c r="BO113" s="77"/>
      <c r="BP113" s="97"/>
      <c r="BQ113" s="97"/>
      <c r="BR113" s="98"/>
      <c r="BS113" s="77"/>
      <c r="BT113" s="97"/>
      <c r="BU113" s="97"/>
      <c r="BV113" s="98"/>
      <c r="BW113" s="77"/>
      <c r="BX113" s="97"/>
      <c r="BY113" s="97"/>
      <c r="BZ113" s="98"/>
      <c r="CA113" s="97"/>
      <c r="CB113" s="97"/>
      <c r="CC113" s="97"/>
      <c r="CD113" s="98"/>
      <c r="CE113" s="97"/>
      <c r="CF113" s="97"/>
      <c r="CG113" s="97"/>
      <c r="CH113" s="98"/>
      <c r="CI113" s="97"/>
      <c r="CJ113" s="97"/>
      <c r="CK113" s="97"/>
      <c r="CL113" s="98"/>
      <c r="CM113" s="97"/>
      <c r="CN113" s="97"/>
      <c r="CO113" s="97"/>
      <c r="CP113" s="98"/>
      <c r="CQ113" s="97"/>
      <c r="CR113" s="97"/>
      <c r="CS113" s="97"/>
      <c r="CT113" s="98"/>
      <c r="CU113" s="97"/>
      <c r="CV113" s="97"/>
      <c r="CW113" s="97"/>
      <c r="CX113" s="98"/>
      <c r="CY113" s="97"/>
      <c r="CZ113" s="97"/>
      <c r="DA113" s="97"/>
      <c r="DB113" s="98"/>
      <c r="DC113" s="75"/>
      <c r="DD113" s="97"/>
      <c r="DE113" s="97"/>
      <c r="DF113" s="98"/>
      <c r="DG113" s="75"/>
      <c r="DH113" s="78"/>
      <c r="DI113" s="99"/>
      <c r="DJ113" s="98"/>
      <c r="DK113" s="293"/>
      <c r="DL113" s="114"/>
      <c r="DM113" s="36"/>
      <c r="DN113" s="36"/>
      <c r="DO113" s="36"/>
      <c r="DP113" s="36"/>
      <c r="DQ113" s="413"/>
      <c r="DR113" s="414"/>
      <c r="DS113" s="413"/>
      <c r="DT113" s="417"/>
      <c r="DU113" s="415"/>
      <c r="DV113" s="416"/>
    </row>
    <row r="114" spans="6:126">
      <c r="F114" s="2"/>
      <c r="H114" s="68"/>
      <c r="I114" s="96"/>
      <c r="J114" s="96"/>
      <c r="L114" s="75"/>
      <c r="N114" s="75"/>
      <c r="O114" s="75"/>
      <c r="P114" s="72"/>
      <c r="Q114" s="72"/>
      <c r="S114" s="68"/>
      <c r="T114" s="68"/>
      <c r="V114" s="96"/>
      <c r="W114" s="75"/>
      <c r="X114" s="78"/>
      <c r="Y114" s="97"/>
      <c r="Z114" s="98"/>
      <c r="AA114" s="77"/>
      <c r="AB114" s="78"/>
      <c r="AC114" s="97"/>
      <c r="AD114" s="98"/>
      <c r="AE114" s="77"/>
      <c r="AF114" s="78"/>
      <c r="AG114" s="97"/>
      <c r="AH114" s="98"/>
      <c r="AI114" s="77"/>
      <c r="AJ114" s="78"/>
      <c r="AK114" s="97"/>
      <c r="AL114" s="98"/>
      <c r="AM114" s="77"/>
      <c r="AN114" s="78"/>
      <c r="AO114" s="97"/>
      <c r="AP114" s="98"/>
      <c r="AQ114" s="77"/>
      <c r="AR114" s="78"/>
      <c r="AS114" s="97"/>
      <c r="AT114" s="98"/>
      <c r="AU114" s="77"/>
      <c r="AV114" s="97"/>
      <c r="AW114" s="97"/>
      <c r="AX114" s="98"/>
      <c r="AY114" s="77"/>
      <c r="AZ114" s="97"/>
      <c r="BA114" s="97"/>
      <c r="BB114" s="98"/>
      <c r="BC114" s="77"/>
      <c r="BD114" s="97"/>
      <c r="BE114" s="97"/>
      <c r="BF114" s="98"/>
      <c r="BG114" s="77"/>
      <c r="BH114" s="97"/>
      <c r="BI114" s="97"/>
      <c r="BJ114" s="98"/>
      <c r="BK114" s="77"/>
      <c r="BL114" s="97"/>
      <c r="BM114" s="97"/>
      <c r="BN114" s="98"/>
      <c r="BO114" s="77"/>
      <c r="BP114" s="97"/>
      <c r="BQ114" s="97"/>
      <c r="BR114" s="98"/>
      <c r="BS114" s="77"/>
      <c r="BT114" s="97"/>
      <c r="BU114" s="97"/>
      <c r="BV114" s="98"/>
      <c r="BW114" s="77"/>
      <c r="BX114" s="97"/>
      <c r="BY114" s="97"/>
      <c r="BZ114" s="98"/>
      <c r="CA114" s="97"/>
      <c r="CB114" s="97"/>
      <c r="CC114" s="97"/>
      <c r="CD114" s="98"/>
      <c r="CE114" s="97"/>
      <c r="CF114" s="97"/>
      <c r="CG114" s="97"/>
      <c r="CH114" s="98"/>
      <c r="CI114" s="97"/>
      <c r="CJ114" s="97"/>
      <c r="CK114" s="97"/>
      <c r="CL114" s="98"/>
      <c r="CM114" s="97"/>
      <c r="CN114" s="97"/>
      <c r="CO114" s="97"/>
      <c r="CP114" s="98"/>
      <c r="CQ114" s="97"/>
      <c r="CR114" s="97"/>
      <c r="CS114" s="97"/>
      <c r="CT114" s="98"/>
      <c r="CU114" s="97"/>
      <c r="CV114" s="97"/>
      <c r="CW114" s="97"/>
      <c r="CX114" s="98"/>
      <c r="CY114" s="97"/>
      <c r="CZ114" s="97"/>
      <c r="DA114" s="97"/>
      <c r="DB114" s="98"/>
      <c r="DC114" s="75"/>
      <c r="DD114" s="97"/>
      <c r="DE114" s="97"/>
      <c r="DF114" s="98"/>
      <c r="DG114" s="75"/>
      <c r="DH114" s="78"/>
      <c r="DI114" s="99"/>
      <c r="DJ114" s="98"/>
      <c r="DK114" s="293"/>
      <c r="DL114" s="114"/>
      <c r="DM114" s="36"/>
      <c r="DN114" s="36"/>
      <c r="DO114" s="36"/>
      <c r="DP114" s="36"/>
      <c r="DQ114" s="413"/>
      <c r="DR114" s="414"/>
      <c r="DS114" s="413"/>
      <c r="DT114" s="417"/>
      <c r="DU114" s="415"/>
      <c r="DV114" s="416"/>
    </row>
    <row r="115" spans="6:126">
      <c r="F115" s="2"/>
      <c r="H115" s="68"/>
      <c r="I115" s="96"/>
      <c r="J115" s="96"/>
      <c r="L115" s="75"/>
      <c r="N115" s="75"/>
      <c r="O115" s="75"/>
      <c r="P115" s="72"/>
      <c r="Q115" s="72"/>
      <c r="S115" s="68"/>
      <c r="T115" s="68"/>
      <c r="V115" s="96"/>
      <c r="W115" s="75"/>
      <c r="X115" s="78"/>
      <c r="Y115" s="97"/>
      <c r="Z115" s="98"/>
      <c r="AA115" s="77"/>
      <c r="AB115" s="78"/>
      <c r="AC115" s="97"/>
      <c r="AD115" s="98"/>
      <c r="AE115" s="77"/>
      <c r="AF115" s="78"/>
      <c r="AG115" s="97"/>
      <c r="AH115" s="98"/>
      <c r="AI115" s="77"/>
      <c r="AJ115" s="78"/>
      <c r="AK115" s="97"/>
      <c r="AL115" s="98"/>
      <c r="AM115" s="77"/>
      <c r="AN115" s="78"/>
      <c r="AO115" s="97"/>
      <c r="AP115" s="98"/>
      <c r="AQ115" s="77"/>
      <c r="AR115" s="78"/>
      <c r="AS115" s="97"/>
      <c r="AT115" s="98"/>
      <c r="AU115" s="77"/>
      <c r="AV115" s="97"/>
      <c r="AW115" s="97"/>
      <c r="AX115" s="98"/>
      <c r="AY115" s="77"/>
      <c r="AZ115" s="97"/>
      <c r="BA115" s="97"/>
      <c r="BB115" s="98"/>
      <c r="BC115" s="77"/>
      <c r="BD115" s="97"/>
      <c r="BE115" s="97"/>
      <c r="BF115" s="98"/>
      <c r="BG115" s="77"/>
      <c r="BH115" s="97"/>
      <c r="BI115" s="97"/>
      <c r="BJ115" s="98"/>
      <c r="BK115" s="77"/>
      <c r="BL115" s="97"/>
      <c r="BM115" s="97"/>
      <c r="BN115" s="98"/>
      <c r="BO115" s="77"/>
      <c r="BP115" s="97"/>
      <c r="BQ115" s="97"/>
      <c r="BR115" s="98"/>
      <c r="BS115" s="77"/>
      <c r="BT115" s="97"/>
      <c r="BU115" s="97"/>
      <c r="BV115" s="98"/>
      <c r="BW115" s="77"/>
      <c r="BX115" s="97"/>
      <c r="BY115" s="97"/>
      <c r="BZ115" s="98"/>
      <c r="CA115" s="97"/>
      <c r="CB115" s="97"/>
      <c r="CC115" s="97"/>
      <c r="CD115" s="98"/>
      <c r="CE115" s="97"/>
      <c r="CF115" s="97"/>
      <c r="CG115" s="97"/>
      <c r="CH115" s="98"/>
      <c r="CI115" s="97"/>
      <c r="CJ115" s="97"/>
      <c r="CK115" s="97"/>
      <c r="CL115" s="98"/>
      <c r="CM115" s="97"/>
      <c r="CN115" s="97"/>
      <c r="CO115" s="97"/>
      <c r="CP115" s="98"/>
      <c r="CQ115" s="97"/>
      <c r="CR115" s="97"/>
      <c r="CS115" s="97"/>
      <c r="CT115" s="98"/>
      <c r="CU115" s="97"/>
      <c r="CV115" s="97"/>
      <c r="CW115" s="97"/>
      <c r="CX115" s="98"/>
      <c r="CY115" s="97"/>
      <c r="CZ115" s="97"/>
      <c r="DA115" s="97"/>
      <c r="DB115" s="98"/>
      <c r="DC115" s="75"/>
      <c r="DD115" s="97"/>
      <c r="DE115" s="97"/>
      <c r="DF115" s="98"/>
      <c r="DG115" s="75"/>
      <c r="DH115" s="78"/>
      <c r="DI115" s="99"/>
      <c r="DJ115" s="98"/>
      <c r="DK115" s="293"/>
      <c r="DL115" s="114"/>
      <c r="DM115" s="36"/>
      <c r="DN115" s="36"/>
      <c r="DO115" s="36"/>
      <c r="DP115" s="36"/>
      <c r="DQ115" s="413"/>
      <c r="DR115" s="414"/>
      <c r="DS115" s="413"/>
      <c r="DT115" s="417"/>
      <c r="DU115" s="415"/>
      <c r="DV115" s="416"/>
    </row>
    <row r="116" spans="6:126">
      <c r="F116" s="2"/>
      <c r="H116" s="68"/>
      <c r="I116" s="96"/>
      <c r="J116" s="96"/>
      <c r="L116" s="75"/>
      <c r="N116" s="75"/>
      <c r="O116" s="75"/>
      <c r="P116" s="72"/>
      <c r="Q116" s="72"/>
      <c r="S116" s="68"/>
      <c r="T116" s="68"/>
      <c r="V116" s="96"/>
      <c r="W116" s="75"/>
      <c r="X116" s="78"/>
      <c r="Y116" s="97"/>
      <c r="Z116" s="98"/>
      <c r="AA116" s="77"/>
      <c r="AB116" s="78"/>
      <c r="AC116" s="97"/>
      <c r="AD116" s="98"/>
      <c r="AE116" s="77"/>
      <c r="AF116" s="78"/>
      <c r="AG116" s="97"/>
      <c r="AH116" s="98"/>
      <c r="AI116" s="77"/>
      <c r="AJ116" s="78"/>
      <c r="AK116" s="97"/>
      <c r="AL116" s="98"/>
      <c r="AM116" s="77"/>
      <c r="AN116" s="78"/>
      <c r="AO116" s="97"/>
      <c r="AP116" s="98"/>
      <c r="AQ116" s="77"/>
      <c r="AR116" s="78"/>
      <c r="AS116" s="97"/>
      <c r="AT116" s="98"/>
      <c r="AU116" s="77"/>
      <c r="AV116" s="97"/>
      <c r="AW116" s="97"/>
      <c r="AX116" s="98"/>
      <c r="AY116" s="77"/>
      <c r="AZ116" s="97"/>
      <c r="BA116" s="97"/>
      <c r="BB116" s="98"/>
      <c r="BC116" s="77"/>
      <c r="BD116" s="97"/>
      <c r="BE116" s="97"/>
      <c r="BF116" s="98"/>
      <c r="BG116" s="77"/>
      <c r="BH116" s="97"/>
      <c r="BI116" s="97"/>
      <c r="BJ116" s="98"/>
      <c r="BK116" s="77"/>
      <c r="BL116" s="97"/>
      <c r="BM116" s="97"/>
      <c r="BN116" s="98"/>
      <c r="BO116" s="77"/>
      <c r="BP116" s="97"/>
      <c r="BQ116" s="97"/>
      <c r="BR116" s="98"/>
      <c r="BS116" s="77"/>
      <c r="BT116" s="97"/>
      <c r="BU116" s="97"/>
      <c r="BV116" s="98"/>
      <c r="BW116" s="77"/>
      <c r="BX116" s="97"/>
      <c r="BY116" s="97"/>
      <c r="BZ116" s="98"/>
      <c r="CA116" s="97"/>
      <c r="CB116" s="97"/>
      <c r="CC116" s="97"/>
      <c r="CD116" s="98"/>
      <c r="CE116" s="97"/>
      <c r="CF116" s="97"/>
      <c r="CG116" s="97"/>
      <c r="CH116" s="98"/>
      <c r="CI116" s="97"/>
      <c r="CJ116" s="97"/>
      <c r="CK116" s="97"/>
      <c r="CL116" s="98"/>
      <c r="CM116" s="97"/>
      <c r="CN116" s="97"/>
      <c r="CO116" s="97"/>
      <c r="CP116" s="98"/>
      <c r="CQ116" s="97"/>
      <c r="CR116" s="97"/>
      <c r="CS116" s="97"/>
      <c r="CT116" s="98"/>
      <c r="CU116" s="97"/>
      <c r="CV116" s="97"/>
      <c r="CW116" s="97"/>
      <c r="CX116" s="98"/>
      <c r="CY116" s="97"/>
      <c r="CZ116" s="97"/>
      <c r="DA116" s="97"/>
      <c r="DB116" s="98"/>
      <c r="DC116" s="75"/>
      <c r="DD116" s="97"/>
      <c r="DE116" s="97"/>
      <c r="DF116" s="98"/>
      <c r="DG116" s="75"/>
      <c r="DH116" s="78"/>
      <c r="DI116" s="99"/>
      <c r="DJ116" s="98"/>
      <c r="DK116" s="293"/>
      <c r="DL116" s="114"/>
      <c r="DM116" s="36"/>
      <c r="DN116" s="36"/>
      <c r="DO116" s="36"/>
      <c r="DP116" s="36"/>
      <c r="DQ116" s="413"/>
      <c r="DR116" s="414"/>
      <c r="DS116" s="413"/>
      <c r="DT116" s="417"/>
      <c r="DU116" s="415"/>
      <c r="DV116" s="416"/>
    </row>
    <row r="117" spans="6:126">
      <c r="F117" s="2"/>
      <c r="H117" s="68"/>
      <c r="I117" s="96"/>
      <c r="J117" s="96"/>
      <c r="L117" s="75"/>
      <c r="N117" s="75"/>
      <c r="O117" s="75"/>
      <c r="P117" s="72"/>
      <c r="Q117" s="72"/>
      <c r="S117" s="68"/>
      <c r="T117" s="68"/>
      <c r="V117" s="96"/>
      <c r="W117" s="75"/>
      <c r="X117" s="78"/>
      <c r="Y117" s="97"/>
      <c r="Z117" s="98"/>
      <c r="AA117" s="77"/>
      <c r="AB117" s="78"/>
      <c r="AC117" s="97"/>
      <c r="AD117" s="98"/>
      <c r="AE117" s="77"/>
      <c r="AF117" s="78"/>
      <c r="AG117" s="97"/>
      <c r="AH117" s="98"/>
      <c r="AI117" s="77"/>
      <c r="AJ117" s="78"/>
      <c r="AK117" s="97"/>
      <c r="AL117" s="98"/>
      <c r="AM117" s="77"/>
      <c r="AN117" s="78"/>
      <c r="AO117" s="97"/>
      <c r="AP117" s="98"/>
      <c r="AQ117" s="77"/>
      <c r="AR117" s="78"/>
      <c r="AS117" s="97"/>
      <c r="AT117" s="98"/>
      <c r="AU117" s="77"/>
      <c r="AV117" s="97"/>
      <c r="AW117" s="97"/>
      <c r="AX117" s="98"/>
      <c r="AY117" s="77"/>
      <c r="AZ117" s="97"/>
      <c r="BA117" s="97"/>
      <c r="BB117" s="98"/>
      <c r="BC117" s="77"/>
      <c r="BD117" s="97"/>
      <c r="BE117" s="97"/>
      <c r="BF117" s="98"/>
      <c r="BG117" s="77"/>
      <c r="BH117" s="97"/>
      <c r="BI117" s="97"/>
      <c r="BJ117" s="98"/>
      <c r="BK117" s="77"/>
      <c r="BL117" s="97"/>
      <c r="BM117" s="97"/>
      <c r="BN117" s="98"/>
      <c r="BO117" s="77"/>
      <c r="BP117" s="97"/>
      <c r="BQ117" s="97"/>
      <c r="BR117" s="98"/>
      <c r="BS117" s="77"/>
      <c r="BT117" s="97"/>
      <c r="BU117" s="97"/>
      <c r="BV117" s="98"/>
      <c r="BW117" s="77"/>
      <c r="BX117" s="97"/>
      <c r="BY117" s="97"/>
      <c r="BZ117" s="98"/>
      <c r="CA117" s="97"/>
      <c r="CB117" s="97"/>
      <c r="CC117" s="97"/>
      <c r="CD117" s="98"/>
      <c r="CE117" s="97"/>
      <c r="CF117" s="97"/>
      <c r="CG117" s="97"/>
      <c r="CH117" s="98"/>
      <c r="CI117" s="97"/>
      <c r="CJ117" s="97"/>
      <c r="CK117" s="97"/>
      <c r="CL117" s="98"/>
      <c r="CM117" s="97"/>
      <c r="CN117" s="97"/>
      <c r="CO117" s="97"/>
      <c r="CP117" s="98"/>
      <c r="CQ117" s="97"/>
      <c r="CR117" s="97"/>
      <c r="CS117" s="97"/>
      <c r="CT117" s="98"/>
      <c r="CU117" s="97"/>
      <c r="CV117" s="97"/>
      <c r="CW117" s="97"/>
      <c r="CX117" s="98"/>
      <c r="CY117" s="97"/>
      <c r="CZ117" s="97"/>
      <c r="DA117" s="97"/>
      <c r="DB117" s="98"/>
      <c r="DC117" s="75"/>
      <c r="DD117" s="97"/>
      <c r="DE117" s="97"/>
      <c r="DF117" s="98"/>
      <c r="DG117" s="75"/>
      <c r="DH117" s="78"/>
      <c r="DI117" s="99"/>
      <c r="DJ117" s="98"/>
      <c r="DK117" s="293"/>
      <c r="DL117" s="114"/>
      <c r="DM117" s="36"/>
      <c r="DN117" s="36"/>
      <c r="DO117" s="36"/>
      <c r="DP117" s="36"/>
      <c r="DQ117" s="413"/>
      <c r="DR117" s="414"/>
      <c r="DS117" s="413"/>
      <c r="DT117" s="417"/>
      <c r="DU117" s="415"/>
      <c r="DV117" s="416"/>
    </row>
    <row r="118" spans="6:126">
      <c r="F118" s="2"/>
      <c r="H118" s="68"/>
      <c r="I118" s="96"/>
      <c r="J118" s="96"/>
      <c r="L118" s="75"/>
      <c r="N118" s="75"/>
      <c r="O118" s="75"/>
      <c r="P118" s="72"/>
      <c r="Q118" s="72"/>
      <c r="S118" s="68"/>
      <c r="T118" s="68"/>
      <c r="V118" s="96"/>
      <c r="W118" s="75"/>
      <c r="X118" s="78"/>
      <c r="Y118" s="97"/>
      <c r="Z118" s="98"/>
      <c r="AA118" s="77"/>
      <c r="AB118" s="78"/>
      <c r="AC118" s="97"/>
      <c r="AD118" s="98"/>
      <c r="AE118" s="77"/>
      <c r="AF118" s="78"/>
      <c r="AG118" s="97"/>
      <c r="AH118" s="98"/>
      <c r="AI118" s="77"/>
      <c r="AJ118" s="78"/>
      <c r="AK118" s="97"/>
      <c r="AL118" s="98"/>
      <c r="AM118" s="77"/>
      <c r="AN118" s="78"/>
      <c r="AO118" s="97"/>
      <c r="AP118" s="98"/>
      <c r="AQ118" s="77"/>
      <c r="AR118" s="78"/>
      <c r="AS118" s="97"/>
      <c r="AT118" s="98"/>
      <c r="AU118" s="77"/>
      <c r="AV118" s="97"/>
      <c r="AW118" s="97"/>
      <c r="AX118" s="98"/>
      <c r="AY118" s="77"/>
      <c r="AZ118" s="97"/>
      <c r="BA118" s="97"/>
      <c r="BB118" s="98"/>
      <c r="BC118" s="77"/>
      <c r="BD118" s="97"/>
      <c r="BE118" s="97"/>
      <c r="BF118" s="98"/>
      <c r="BG118" s="77"/>
      <c r="BH118" s="97"/>
      <c r="BI118" s="97"/>
      <c r="BJ118" s="98"/>
      <c r="BK118" s="77"/>
      <c r="BL118" s="97"/>
      <c r="BM118" s="97"/>
      <c r="BN118" s="98"/>
      <c r="BO118" s="77"/>
      <c r="BP118" s="97"/>
      <c r="BQ118" s="97"/>
      <c r="BR118" s="98"/>
      <c r="BS118" s="77"/>
      <c r="BT118" s="97"/>
      <c r="BU118" s="97"/>
      <c r="BV118" s="98"/>
      <c r="BW118" s="77"/>
      <c r="BX118" s="97"/>
      <c r="BY118" s="97"/>
      <c r="BZ118" s="98"/>
      <c r="CA118" s="97"/>
      <c r="CB118" s="97"/>
      <c r="CC118" s="97"/>
      <c r="CD118" s="98"/>
      <c r="CE118" s="97"/>
      <c r="CF118" s="97"/>
      <c r="CG118" s="97"/>
      <c r="CH118" s="98"/>
      <c r="CI118" s="97"/>
      <c r="CJ118" s="97"/>
      <c r="CK118" s="97"/>
      <c r="CL118" s="98"/>
      <c r="CM118" s="97"/>
      <c r="CN118" s="97"/>
      <c r="CO118" s="97"/>
      <c r="CP118" s="98"/>
      <c r="CQ118" s="97"/>
      <c r="CR118" s="97"/>
      <c r="CS118" s="97"/>
      <c r="CT118" s="98"/>
      <c r="CU118" s="97"/>
      <c r="CV118" s="97"/>
      <c r="CW118" s="97"/>
      <c r="CX118" s="98"/>
      <c r="CY118" s="97"/>
      <c r="CZ118" s="97"/>
      <c r="DA118" s="97"/>
      <c r="DB118" s="98"/>
      <c r="DC118" s="75"/>
      <c r="DD118" s="97"/>
      <c r="DE118" s="97"/>
      <c r="DF118" s="98"/>
      <c r="DG118" s="75"/>
      <c r="DH118" s="78"/>
      <c r="DI118" s="99"/>
      <c r="DJ118" s="98"/>
      <c r="DK118" s="293"/>
      <c r="DL118" s="114"/>
      <c r="DM118" s="36"/>
      <c r="DN118" s="36"/>
      <c r="DO118" s="36"/>
      <c r="DP118" s="36"/>
      <c r="DQ118" s="413"/>
      <c r="DR118" s="414"/>
      <c r="DS118" s="413"/>
      <c r="DT118" s="417"/>
      <c r="DU118" s="415"/>
      <c r="DV118" s="416"/>
    </row>
    <row r="119" spans="6:126">
      <c r="F119" s="2"/>
      <c r="H119" s="68"/>
      <c r="I119" s="96"/>
      <c r="J119" s="96"/>
      <c r="L119" s="75"/>
      <c r="N119" s="75"/>
      <c r="O119" s="75"/>
      <c r="P119" s="72"/>
      <c r="Q119" s="72"/>
      <c r="S119" s="68"/>
      <c r="T119" s="68"/>
      <c r="V119" s="96"/>
      <c r="W119" s="75"/>
      <c r="X119" s="78"/>
      <c r="Y119" s="97"/>
      <c r="Z119" s="98"/>
      <c r="AA119" s="77"/>
      <c r="AB119" s="78"/>
      <c r="AC119" s="97"/>
      <c r="AD119" s="98"/>
      <c r="AE119" s="77"/>
      <c r="AF119" s="78"/>
      <c r="AG119" s="97"/>
      <c r="AH119" s="98"/>
      <c r="AI119" s="77"/>
      <c r="AJ119" s="78"/>
      <c r="AK119" s="97"/>
      <c r="AL119" s="98"/>
      <c r="AM119" s="77"/>
      <c r="AN119" s="78"/>
      <c r="AO119" s="97"/>
      <c r="AP119" s="98"/>
      <c r="AQ119" s="77"/>
      <c r="AR119" s="78"/>
      <c r="AS119" s="97"/>
      <c r="AT119" s="98"/>
      <c r="AU119" s="77"/>
      <c r="AV119" s="97"/>
      <c r="AW119" s="97"/>
      <c r="AX119" s="98"/>
      <c r="AY119" s="77"/>
      <c r="AZ119" s="97"/>
      <c r="BA119" s="97"/>
      <c r="BB119" s="98"/>
      <c r="BC119" s="77"/>
      <c r="BD119" s="97"/>
      <c r="BE119" s="97"/>
      <c r="BF119" s="98"/>
      <c r="BG119" s="77"/>
      <c r="BH119" s="97"/>
      <c r="BI119" s="97"/>
      <c r="BJ119" s="98"/>
      <c r="BK119" s="77"/>
      <c r="BL119" s="97"/>
      <c r="BM119" s="97"/>
      <c r="BN119" s="98"/>
      <c r="BO119" s="77"/>
      <c r="BP119" s="97"/>
      <c r="BQ119" s="97"/>
      <c r="BR119" s="98"/>
      <c r="BS119" s="77"/>
      <c r="BT119" s="97"/>
      <c r="BU119" s="97"/>
      <c r="BV119" s="98"/>
      <c r="BW119" s="77"/>
      <c r="BX119" s="97"/>
      <c r="BY119" s="97"/>
      <c r="BZ119" s="98"/>
      <c r="CA119" s="97"/>
      <c r="CB119" s="97"/>
      <c r="CC119" s="97"/>
      <c r="CD119" s="98"/>
      <c r="CE119" s="97"/>
      <c r="CF119" s="97"/>
      <c r="CG119" s="97"/>
      <c r="CH119" s="98"/>
      <c r="CI119" s="97"/>
      <c r="CJ119" s="97"/>
      <c r="CK119" s="97"/>
      <c r="CL119" s="98"/>
      <c r="CM119" s="97"/>
      <c r="CN119" s="97"/>
      <c r="CO119" s="97"/>
      <c r="CP119" s="98"/>
      <c r="CQ119" s="97"/>
      <c r="CR119" s="97"/>
      <c r="CS119" s="97"/>
      <c r="CT119" s="98"/>
      <c r="CU119" s="97"/>
      <c r="CV119" s="97"/>
      <c r="CW119" s="97"/>
      <c r="CX119" s="98"/>
      <c r="CY119" s="97"/>
      <c r="CZ119" s="97"/>
      <c r="DA119" s="97"/>
      <c r="DB119" s="98"/>
      <c r="DC119" s="75"/>
      <c r="DD119" s="97"/>
      <c r="DE119" s="97"/>
      <c r="DF119" s="98"/>
      <c r="DG119" s="75"/>
      <c r="DH119" s="78"/>
      <c r="DI119" s="99"/>
      <c r="DJ119" s="98"/>
      <c r="DK119" s="293"/>
      <c r="DL119" s="114"/>
      <c r="DM119" s="36"/>
      <c r="DN119" s="36"/>
      <c r="DO119" s="36"/>
      <c r="DP119" s="36"/>
      <c r="DQ119" s="413"/>
      <c r="DR119" s="414"/>
      <c r="DS119" s="413"/>
      <c r="DT119" s="417"/>
      <c r="DU119" s="415"/>
      <c r="DV119" s="416"/>
    </row>
    <row r="120" spans="6:126">
      <c r="F120" s="2"/>
      <c r="H120" s="68"/>
      <c r="I120" s="96"/>
      <c r="J120" s="96"/>
      <c r="L120" s="75"/>
      <c r="N120" s="75"/>
      <c r="O120" s="75"/>
      <c r="P120" s="72"/>
      <c r="Q120" s="72"/>
      <c r="S120" s="68"/>
      <c r="T120" s="68"/>
      <c r="V120" s="96"/>
      <c r="W120" s="75"/>
      <c r="X120" s="78"/>
      <c r="Y120" s="97"/>
      <c r="Z120" s="98"/>
      <c r="AA120" s="77"/>
      <c r="AB120" s="78"/>
      <c r="AC120" s="97"/>
      <c r="AD120" s="98"/>
      <c r="AE120" s="77"/>
      <c r="AF120" s="78"/>
      <c r="AG120" s="97"/>
      <c r="AH120" s="98"/>
      <c r="AI120" s="77"/>
      <c r="AJ120" s="78"/>
      <c r="AK120" s="97"/>
      <c r="AL120" s="98"/>
      <c r="AM120" s="77"/>
      <c r="AN120" s="78"/>
      <c r="AO120" s="97"/>
      <c r="AP120" s="98"/>
      <c r="AQ120" s="77"/>
      <c r="AR120" s="78"/>
      <c r="AS120" s="97"/>
      <c r="AT120" s="98"/>
      <c r="AU120" s="77"/>
      <c r="AV120" s="97"/>
      <c r="AW120" s="97"/>
      <c r="AX120" s="98"/>
      <c r="AY120" s="77"/>
      <c r="AZ120" s="97"/>
      <c r="BA120" s="97"/>
      <c r="BB120" s="98"/>
      <c r="BC120" s="77"/>
      <c r="BD120" s="97"/>
      <c r="BE120" s="97"/>
      <c r="BF120" s="98"/>
      <c r="BG120" s="77"/>
      <c r="BH120" s="97"/>
      <c r="BI120" s="97"/>
      <c r="BJ120" s="98"/>
      <c r="BK120" s="77"/>
      <c r="BL120" s="97"/>
      <c r="BM120" s="97"/>
      <c r="BN120" s="98"/>
      <c r="BO120" s="77"/>
      <c r="BP120" s="97"/>
      <c r="BQ120" s="97"/>
      <c r="BR120" s="98"/>
      <c r="BS120" s="77"/>
      <c r="BT120" s="97"/>
      <c r="BU120" s="97"/>
      <c r="BV120" s="98"/>
      <c r="BW120" s="77"/>
      <c r="BX120" s="97"/>
      <c r="BY120" s="97"/>
      <c r="BZ120" s="98"/>
      <c r="CA120" s="97"/>
      <c r="CB120" s="97"/>
      <c r="CC120" s="97"/>
      <c r="CD120" s="98"/>
      <c r="CE120" s="97"/>
      <c r="CF120" s="97"/>
      <c r="CG120" s="97"/>
      <c r="CH120" s="98"/>
      <c r="CI120" s="97"/>
      <c r="CJ120" s="97"/>
      <c r="CK120" s="97"/>
      <c r="CL120" s="98"/>
      <c r="CM120" s="97"/>
      <c r="CN120" s="97"/>
      <c r="CO120" s="97"/>
      <c r="CP120" s="98"/>
      <c r="CQ120" s="97"/>
      <c r="CR120" s="97"/>
      <c r="CS120" s="97"/>
      <c r="CT120" s="98"/>
      <c r="CU120" s="97"/>
      <c r="CV120" s="97"/>
      <c r="CW120" s="97"/>
      <c r="CX120" s="98"/>
      <c r="CY120" s="97"/>
      <c r="CZ120" s="97"/>
      <c r="DA120" s="97"/>
      <c r="DB120" s="98"/>
      <c r="DC120" s="75"/>
      <c r="DD120" s="97"/>
      <c r="DE120" s="97"/>
      <c r="DF120" s="98"/>
      <c r="DG120" s="75"/>
      <c r="DH120" s="78"/>
      <c r="DI120" s="99"/>
      <c r="DJ120" s="98"/>
      <c r="DK120" s="293"/>
      <c r="DL120" s="114"/>
      <c r="DM120" s="36"/>
      <c r="DN120" s="36"/>
      <c r="DO120" s="36"/>
      <c r="DP120" s="36"/>
      <c r="DQ120" s="413"/>
      <c r="DR120" s="414"/>
      <c r="DS120" s="413"/>
      <c r="DT120" s="417"/>
      <c r="DU120" s="415"/>
      <c r="DV120" s="416"/>
    </row>
    <row r="121" spans="6:126">
      <c r="F121" s="2"/>
      <c r="H121" s="68"/>
      <c r="I121" s="96"/>
      <c r="J121" s="96"/>
      <c r="L121" s="75"/>
      <c r="N121" s="75"/>
      <c r="O121" s="75"/>
      <c r="P121" s="72"/>
      <c r="Q121" s="72"/>
      <c r="S121" s="68"/>
      <c r="T121" s="68"/>
      <c r="V121" s="96"/>
      <c r="W121" s="75"/>
      <c r="X121" s="78"/>
      <c r="Y121" s="97"/>
      <c r="Z121" s="98"/>
      <c r="AA121" s="77"/>
      <c r="AB121" s="78"/>
      <c r="AC121" s="97"/>
      <c r="AD121" s="98"/>
      <c r="AE121" s="77"/>
      <c r="AF121" s="78"/>
      <c r="AG121" s="97"/>
      <c r="AH121" s="98"/>
      <c r="AI121" s="77"/>
      <c r="AJ121" s="78"/>
      <c r="AK121" s="97"/>
      <c r="AL121" s="98"/>
      <c r="AM121" s="77"/>
      <c r="AN121" s="78"/>
      <c r="AO121" s="97"/>
      <c r="AP121" s="98"/>
      <c r="AQ121" s="77"/>
      <c r="AR121" s="78"/>
      <c r="AS121" s="97"/>
      <c r="AT121" s="98"/>
      <c r="AU121" s="77"/>
      <c r="AV121" s="97"/>
      <c r="AW121" s="97"/>
      <c r="AX121" s="98"/>
      <c r="AY121" s="77"/>
      <c r="AZ121" s="97"/>
      <c r="BA121" s="97"/>
      <c r="BB121" s="98"/>
      <c r="BC121" s="77"/>
      <c r="BD121" s="97"/>
      <c r="BE121" s="97"/>
      <c r="BF121" s="98"/>
      <c r="BG121" s="77"/>
      <c r="BH121" s="97"/>
      <c r="BI121" s="97"/>
      <c r="BJ121" s="98"/>
      <c r="BK121" s="77"/>
      <c r="BL121" s="97"/>
      <c r="BM121" s="97"/>
      <c r="BN121" s="98"/>
      <c r="BO121" s="77"/>
      <c r="BP121" s="97"/>
      <c r="BQ121" s="97"/>
      <c r="BR121" s="98"/>
      <c r="BS121" s="77"/>
      <c r="BT121" s="97"/>
      <c r="BU121" s="97"/>
      <c r="BV121" s="98"/>
      <c r="BW121" s="77"/>
      <c r="BX121" s="97"/>
      <c r="BY121" s="97"/>
      <c r="BZ121" s="98"/>
      <c r="CA121" s="97"/>
      <c r="CB121" s="97"/>
      <c r="CC121" s="97"/>
      <c r="CD121" s="98"/>
      <c r="CE121" s="97"/>
      <c r="CF121" s="97"/>
      <c r="CG121" s="97"/>
      <c r="CH121" s="98"/>
      <c r="CI121" s="97"/>
      <c r="CJ121" s="97"/>
      <c r="CK121" s="97"/>
      <c r="CL121" s="98"/>
      <c r="CM121" s="97"/>
      <c r="CN121" s="97"/>
      <c r="CO121" s="97"/>
      <c r="CP121" s="98"/>
      <c r="CQ121" s="97"/>
      <c r="CR121" s="97"/>
      <c r="CS121" s="97"/>
      <c r="CT121" s="98"/>
      <c r="CU121" s="97"/>
      <c r="CV121" s="97"/>
      <c r="CW121" s="97"/>
      <c r="CX121" s="98"/>
      <c r="CY121" s="97"/>
      <c r="CZ121" s="97"/>
      <c r="DA121" s="97"/>
      <c r="DB121" s="98"/>
      <c r="DC121" s="75"/>
      <c r="DD121" s="97"/>
      <c r="DE121" s="97"/>
      <c r="DF121" s="98"/>
      <c r="DG121" s="75"/>
      <c r="DH121" s="78"/>
      <c r="DI121" s="99"/>
      <c r="DJ121" s="98"/>
      <c r="DK121" s="293"/>
      <c r="DL121" s="114"/>
      <c r="DM121" s="36"/>
      <c r="DN121" s="36"/>
      <c r="DO121" s="36"/>
      <c r="DP121" s="36"/>
      <c r="DQ121" s="413"/>
      <c r="DR121" s="414"/>
      <c r="DS121" s="413"/>
      <c r="DT121" s="417"/>
      <c r="DU121" s="415"/>
      <c r="DV121" s="416"/>
    </row>
    <row r="122" spans="6:126">
      <c r="F122" s="2"/>
      <c r="H122" s="68"/>
      <c r="I122" s="96"/>
      <c r="J122" s="96"/>
      <c r="L122" s="75"/>
      <c r="N122" s="75"/>
      <c r="O122" s="75"/>
      <c r="P122" s="72"/>
      <c r="Q122" s="72"/>
      <c r="S122" s="68"/>
      <c r="T122" s="68"/>
      <c r="V122" s="96"/>
      <c r="W122" s="75"/>
      <c r="X122" s="78"/>
      <c r="Y122" s="97"/>
      <c r="Z122" s="98"/>
      <c r="AA122" s="77"/>
      <c r="AB122" s="78"/>
      <c r="AC122" s="97"/>
      <c r="AD122" s="98"/>
      <c r="AE122" s="77"/>
      <c r="AF122" s="78"/>
      <c r="AG122" s="97"/>
      <c r="AH122" s="98"/>
      <c r="AI122" s="77"/>
      <c r="AJ122" s="78"/>
      <c r="AK122" s="97"/>
      <c r="AL122" s="98"/>
      <c r="AM122" s="77"/>
      <c r="AN122" s="78"/>
      <c r="AO122" s="97"/>
      <c r="AP122" s="98"/>
      <c r="AQ122" s="77"/>
      <c r="AR122" s="78"/>
      <c r="AS122" s="97"/>
      <c r="AT122" s="98"/>
      <c r="AU122" s="77"/>
      <c r="AV122" s="97"/>
      <c r="AW122" s="97"/>
      <c r="AX122" s="98"/>
      <c r="AY122" s="77"/>
      <c r="AZ122" s="97"/>
      <c r="BA122" s="97"/>
      <c r="BB122" s="98"/>
      <c r="BC122" s="77"/>
      <c r="BD122" s="97"/>
      <c r="BE122" s="97"/>
      <c r="BF122" s="98"/>
      <c r="BG122" s="77"/>
      <c r="BH122" s="97"/>
      <c r="BI122" s="97"/>
      <c r="BJ122" s="98"/>
      <c r="BK122" s="77"/>
      <c r="BL122" s="97"/>
      <c r="BM122" s="97"/>
      <c r="BN122" s="98"/>
      <c r="BO122" s="77"/>
      <c r="BP122" s="97"/>
      <c r="BQ122" s="97"/>
      <c r="BR122" s="98"/>
      <c r="BS122" s="77"/>
      <c r="BT122" s="97"/>
      <c r="BU122" s="97"/>
      <c r="BV122" s="98"/>
      <c r="BW122" s="77"/>
      <c r="BX122" s="97"/>
      <c r="BY122" s="97"/>
      <c r="BZ122" s="98"/>
      <c r="CA122" s="97"/>
      <c r="CB122" s="97"/>
      <c r="CC122" s="97"/>
      <c r="CD122" s="98"/>
      <c r="CE122" s="97"/>
      <c r="CF122" s="97"/>
      <c r="CG122" s="97"/>
      <c r="CH122" s="98"/>
      <c r="CI122" s="97"/>
      <c r="CJ122" s="97"/>
      <c r="CK122" s="97"/>
      <c r="CL122" s="98"/>
      <c r="CM122" s="97"/>
      <c r="CN122" s="97"/>
      <c r="CO122" s="97"/>
      <c r="CP122" s="98"/>
      <c r="CQ122" s="97"/>
      <c r="CR122" s="97"/>
      <c r="CS122" s="97"/>
      <c r="CT122" s="98"/>
      <c r="CU122" s="97"/>
      <c r="CV122" s="97"/>
      <c r="CW122" s="97"/>
      <c r="CX122" s="98"/>
      <c r="CY122" s="97"/>
      <c r="CZ122" s="97"/>
      <c r="DA122" s="97"/>
      <c r="DB122" s="98"/>
      <c r="DC122" s="75"/>
      <c r="DD122" s="97"/>
      <c r="DE122" s="97"/>
      <c r="DF122" s="98"/>
      <c r="DG122" s="75"/>
      <c r="DH122" s="78"/>
      <c r="DI122" s="99"/>
      <c r="DJ122" s="98"/>
      <c r="DK122" s="293"/>
      <c r="DL122" s="114"/>
      <c r="DM122" s="36"/>
      <c r="DN122" s="36"/>
      <c r="DO122" s="36"/>
      <c r="DP122" s="36"/>
      <c r="DQ122" s="413"/>
      <c r="DR122" s="414"/>
      <c r="DS122" s="413"/>
      <c r="DT122" s="417"/>
      <c r="DU122" s="415"/>
      <c r="DV122" s="416"/>
    </row>
    <row r="123" spans="6:126">
      <c r="F123" s="2"/>
      <c r="H123" s="68"/>
      <c r="I123" s="96"/>
      <c r="J123" s="96"/>
      <c r="L123" s="75"/>
      <c r="N123" s="75"/>
      <c r="O123" s="75"/>
      <c r="P123" s="72"/>
      <c r="Q123" s="72"/>
      <c r="S123" s="68"/>
      <c r="T123" s="68"/>
      <c r="V123" s="96"/>
      <c r="W123" s="75"/>
      <c r="X123" s="78"/>
      <c r="Y123" s="97"/>
      <c r="Z123" s="98"/>
      <c r="AA123" s="77"/>
      <c r="AB123" s="78"/>
      <c r="AC123" s="97"/>
      <c r="AD123" s="98"/>
      <c r="AE123" s="77"/>
      <c r="AF123" s="78"/>
      <c r="AG123" s="97"/>
      <c r="AH123" s="98"/>
      <c r="AI123" s="77"/>
      <c r="AJ123" s="78"/>
      <c r="AK123" s="97"/>
      <c r="AL123" s="98"/>
      <c r="AM123" s="77"/>
      <c r="AN123" s="78"/>
      <c r="AO123" s="97"/>
      <c r="AP123" s="98"/>
      <c r="AQ123" s="77"/>
      <c r="AR123" s="78"/>
      <c r="AS123" s="97"/>
      <c r="AT123" s="98"/>
      <c r="AU123" s="77"/>
      <c r="AV123" s="97"/>
      <c r="AW123" s="97"/>
      <c r="AX123" s="98"/>
      <c r="AY123" s="77"/>
      <c r="AZ123" s="97"/>
      <c r="BA123" s="97"/>
      <c r="BB123" s="98"/>
      <c r="BC123" s="77"/>
      <c r="BD123" s="97"/>
      <c r="BE123" s="97"/>
      <c r="BF123" s="98"/>
      <c r="BG123" s="77"/>
      <c r="BH123" s="97"/>
      <c r="BI123" s="97"/>
      <c r="BJ123" s="98"/>
      <c r="BK123" s="77"/>
      <c r="BL123" s="97"/>
      <c r="BM123" s="97"/>
      <c r="BN123" s="98"/>
      <c r="BO123" s="77"/>
      <c r="BP123" s="97"/>
      <c r="BQ123" s="97"/>
      <c r="BR123" s="98"/>
      <c r="BS123" s="77"/>
      <c r="BT123" s="97"/>
      <c r="BU123" s="97"/>
      <c r="BV123" s="98"/>
      <c r="BW123" s="77"/>
      <c r="BX123" s="97"/>
      <c r="BY123" s="97"/>
      <c r="BZ123" s="98"/>
      <c r="CA123" s="97"/>
      <c r="CB123" s="97"/>
      <c r="CC123" s="97"/>
      <c r="CD123" s="98"/>
      <c r="CE123" s="97"/>
      <c r="CF123" s="97"/>
      <c r="CG123" s="97"/>
      <c r="CH123" s="98"/>
      <c r="CI123" s="97"/>
      <c r="CJ123" s="97"/>
      <c r="CK123" s="97"/>
      <c r="CL123" s="98"/>
      <c r="CM123" s="97"/>
      <c r="CN123" s="97"/>
      <c r="CO123" s="97"/>
      <c r="CP123" s="98"/>
      <c r="CQ123" s="97"/>
      <c r="CR123" s="97"/>
      <c r="CS123" s="97"/>
      <c r="CT123" s="98"/>
      <c r="CU123" s="97"/>
      <c r="CV123" s="97"/>
      <c r="CW123" s="97"/>
      <c r="CX123" s="98"/>
      <c r="CY123" s="97"/>
      <c r="CZ123" s="97"/>
      <c r="DA123" s="97"/>
      <c r="DB123" s="98"/>
      <c r="DC123" s="75"/>
      <c r="DD123" s="97"/>
      <c r="DE123" s="97"/>
      <c r="DF123" s="98"/>
      <c r="DG123" s="75"/>
      <c r="DH123" s="78"/>
      <c r="DI123" s="99"/>
      <c r="DJ123" s="98"/>
      <c r="DK123" s="293"/>
      <c r="DL123" s="114"/>
      <c r="DM123" s="36"/>
      <c r="DN123" s="36"/>
      <c r="DO123" s="36"/>
      <c r="DP123" s="36"/>
      <c r="DQ123" s="413"/>
      <c r="DR123" s="414"/>
      <c r="DS123" s="413"/>
      <c r="DT123" s="417"/>
      <c r="DU123" s="415"/>
      <c r="DV123" s="416"/>
    </row>
    <row r="124" spans="6:126">
      <c r="F124" s="2"/>
      <c r="H124" s="68"/>
      <c r="I124" s="96"/>
      <c r="J124" s="96"/>
      <c r="L124" s="75"/>
      <c r="N124" s="75"/>
      <c r="O124" s="75"/>
      <c r="P124" s="72"/>
      <c r="Q124" s="72"/>
      <c r="S124" s="68"/>
      <c r="T124" s="68"/>
      <c r="V124" s="96"/>
      <c r="W124" s="75"/>
      <c r="X124" s="78"/>
      <c r="Y124" s="97"/>
      <c r="Z124" s="98"/>
      <c r="AA124" s="77"/>
      <c r="AB124" s="78"/>
      <c r="AC124" s="97"/>
      <c r="AD124" s="98"/>
      <c r="AE124" s="77"/>
      <c r="AF124" s="78"/>
      <c r="AG124" s="97"/>
      <c r="AH124" s="98"/>
      <c r="AI124" s="77"/>
      <c r="AJ124" s="78"/>
      <c r="AK124" s="97"/>
      <c r="AL124" s="98"/>
      <c r="AM124" s="77"/>
      <c r="AN124" s="78"/>
      <c r="AO124" s="97"/>
      <c r="AP124" s="98"/>
      <c r="AQ124" s="77"/>
      <c r="AR124" s="78"/>
      <c r="AS124" s="97"/>
      <c r="AT124" s="98"/>
      <c r="AU124" s="77"/>
      <c r="AV124" s="97"/>
      <c r="AW124" s="97"/>
      <c r="AX124" s="98"/>
      <c r="AY124" s="77"/>
      <c r="AZ124" s="97"/>
      <c r="BA124" s="97"/>
      <c r="BB124" s="98"/>
      <c r="BC124" s="77"/>
      <c r="BD124" s="97"/>
      <c r="BE124" s="97"/>
      <c r="BF124" s="98"/>
      <c r="BG124" s="77"/>
      <c r="BH124" s="97"/>
      <c r="BI124" s="97"/>
      <c r="BJ124" s="98"/>
      <c r="BK124" s="77"/>
      <c r="BL124" s="97"/>
      <c r="BM124" s="97"/>
      <c r="BN124" s="98"/>
      <c r="BO124" s="77"/>
      <c r="BP124" s="97"/>
      <c r="BQ124" s="97"/>
      <c r="BR124" s="98"/>
      <c r="BS124" s="77"/>
      <c r="BT124" s="97"/>
      <c r="BU124" s="97"/>
      <c r="BV124" s="98"/>
      <c r="BW124" s="77"/>
      <c r="BX124" s="97"/>
      <c r="BY124" s="97"/>
      <c r="BZ124" s="98"/>
      <c r="CA124" s="97"/>
      <c r="CB124" s="97"/>
      <c r="CC124" s="97"/>
      <c r="CD124" s="98"/>
      <c r="CE124" s="97"/>
      <c r="CF124" s="97"/>
      <c r="CG124" s="97"/>
      <c r="CH124" s="98"/>
      <c r="CI124" s="97"/>
      <c r="CJ124" s="97"/>
      <c r="CK124" s="97"/>
      <c r="CL124" s="98"/>
      <c r="CM124" s="97"/>
      <c r="CN124" s="97"/>
      <c r="CO124" s="97"/>
      <c r="CP124" s="98"/>
      <c r="CQ124" s="97"/>
      <c r="CR124" s="97"/>
      <c r="CS124" s="97"/>
      <c r="CT124" s="98"/>
      <c r="CU124" s="97"/>
      <c r="CV124" s="97"/>
      <c r="CW124" s="97"/>
      <c r="CX124" s="98"/>
      <c r="CY124" s="97"/>
      <c r="CZ124" s="97"/>
      <c r="DA124" s="97"/>
      <c r="DB124" s="98"/>
      <c r="DC124" s="75"/>
      <c r="DD124" s="97"/>
      <c r="DE124" s="97"/>
      <c r="DF124" s="98"/>
      <c r="DG124" s="75"/>
      <c r="DH124" s="78"/>
      <c r="DI124" s="99"/>
      <c r="DJ124" s="98"/>
      <c r="DK124" s="293"/>
      <c r="DL124" s="114"/>
      <c r="DM124" s="36"/>
      <c r="DN124" s="36"/>
      <c r="DO124" s="36"/>
      <c r="DP124" s="36"/>
      <c r="DQ124" s="413"/>
      <c r="DR124" s="414"/>
      <c r="DS124" s="413"/>
      <c r="DT124" s="417"/>
      <c r="DU124" s="415"/>
      <c r="DV124" s="416"/>
    </row>
    <row r="125" spans="6:126">
      <c r="F125" s="2"/>
      <c r="H125" s="68"/>
      <c r="I125" s="96"/>
      <c r="J125" s="96"/>
      <c r="L125" s="75"/>
      <c r="N125" s="75"/>
      <c r="O125" s="75"/>
      <c r="P125" s="72"/>
      <c r="Q125" s="72"/>
      <c r="S125" s="68"/>
      <c r="T125" s="68"/>
      <c r="V125" s="96"/>
      <c r="W125" s="75"/>
      <c r="X125" s="78"/>
      <c r="Y125" s="97"/>
      <c r="Z125" s="98"/>
      <c r="AA125" s="77"/>
      <c r="AB125" s="78"/>
      <c r="AC125" s="97"/>
      <c r="AD125" s="98"/>
      <c r="AE125" s="77"/>
      <c r="AF125" s="78"/>
      <c r="AG125" s="97"/>
      <c r="AH125" s="98"/>
      <c r="AI125" s="77"/>
      <c r="AJ125" s="78"/>
      <c r="AK125" s="97"/>
      <c r="AL125" s="98"/>
      <c r="AM125" s="77"/>
      <c r="AN125" s="78"/>
      <c r="AO125" s="97"/>
      <c r="AP125" s="98"/>
      <c r="AQ125" s="77"/>
      <c r="AR125" s="78"/>
      <c r="AS125" s="97"/>
      <c r="AT125" s="98"/>
      <c r="AU125" s="77"/>
      <c r="AV125" s="97"/>
      <c r="AW125" s="97"/>
      <c r="AX125" s="98"/>
      <c r="AY125" s="77"/>
      <c r="AZ125" s="97"/>
      <c r="BA125" s="97"/>
      <c r="BB125" s="98"/>
      <c r="BC125" s="77"/>
      <c r="BD125" s="97"/>
      <c r="BE125" s="97"/>
      <c r="BF125" s="98"/>
      <c r="BG125" s="77"/>
      <c r="BH125" s="97"/>
      <c r="BI125" s="97"/>
      <c r="BJ125" s="98"/>
      <c r="BK125" s="77"/>
      <c r="BL125" s="97"/>
      <c r="BM125" s="97"/>
      <c r="BN125" s="98"/>
      <c r="BO125" s="77"/>
      <c r="BP125" s="97"/>
      <c r="BQ125" s="97"/>
      <c r="BR125" s="98"/>
      <c r="BS125" s="77"/>
      <c r="BT125" s="97"/>
      <c r="BU125" s="97"/>
      <c r="BV125" s="98"/>
      <c r="BW125" s="77"/>
      <c r="BX125" s="97"/>
      <c r="BY125" s="97"/>
      <c r="BZ125" s="98"/>
      <c r="CA125" s="97"/>
      <c r="CB125" s="97"/>
      <c r="CC125" s="97"/>
      <c r="CD125" s="98"/>
      <c r="CE125" s="97"/>
      <c r="CF125" s="97"/>
      <c r="CG125" s="97"/>
      <c r="CH125" s="98"/>
      <c r="CI125" s="97"/>
      <c r="CJ125" s="97"/>
      <c r="CK125" s="97"/>
      <c r="CL125" s="98"/>
      <c r="CM125" s="97"/>
      <c r="CN125" s="97"/>
      <c r="CO125" s="97"/>
      <c r="CP125" s="98"/>
      <c r="CQ125" s="97"/>
      <c r="CR125" s="97"/>
      <c r="CS125" s="97"/>
      <c r="CT125" s="98"/>
      <c r="CU125" s="97"/>
      <c r="CV125" s="97"/>
      <c r="CW125" s="97"/>
      <c r="CX125" s="98"/>
      <c r="CY125" s="97"/>
      <c r="CZ125" s="97"/>
      <c r="DA125" s="97"/>
      <c r="DB125" s="98"/>
      <c r="DC125" s="75"/>
      <c r="DD125" s="97"/>
      <c r="DE125" s="97"/>
      <c r="DF125" s="98"/>
      <c r="DG125" s="75"/>
      <c r="DH125" s="78"/>
      <c r="DI125" s="99"/>
      <c r="DJ125" s="98"/>
      <c r="DK125" s="293"/>
      <c r="DL125" s="114"/>
      <c r="DM125" s="36"/>
      <c r="DN125" s="36"/>
      <c r="DO125" s="36"/>
      <c r="DP125" s="36"/>
      <c r="DQ125" s="413"/>
      <c r="DR125" s="414"/>
      <c r="DS125" s="413"/>
      <c r="DT125" s="417"/>
      <c r="DU125" s="415"/>
      <c r="DV125" s="416"/>
    </row>
    <row r="126" spans="6:126">
      <c r="F126" s="2"/>
      <c r="H126" s="68"/>
      <c r="I126" s="96"/>
      <c r="J126" s="96"/>
      <c r="L126" s="75"/>
      <c r="N126" s="75"/>
      <c r="O126" s="75"/>
      <c r="P126" s="72"/>
      <c r="Q126" s="72"/>
      <c r="S126" s="68"/>
      <c r="T126" s="68"/>
      <c r="V126" s="96"/>
      <c r="W126" s="75"/>
      <c r="X126" s="78"/>
      <c r="Y126" s="97"/>
      <c r="Z126" s="98"/>
      <c r="AA126" s="77"/>
      <c r="AB126" s="78"/>
      <c r="AC126" s="97"/>
      <c r="AD126" s="98"/>
      <c r="AE126" s="77"/>
      <c r="AF126" s="78"/>
      <c r="AG126" s="97"/>
      <c r="AH126" s="98"/>
      <c r="AI126" s="77"/>
      <c r="AJ126" s="78"/>
      <c r="AK126" s="97"/>
      <c r="AL126" s="98"/>
      <c r="AM126" s="77"/>
      <c r="AN126" s="78"/>
      <c r="AO126" s="97"/>
      <c r="AP126" s="98"/>
      <c r="AQ126" s="77"/>
      <c r="AR126" s="78"/>
      <c r="AS126" s="97"/>
      <c r="AT126" s="98"/>
      <c r="AU126" s="77"/>
      <c r="AV126" s="97"/>
      <c r="AW126" s="97"/>
      <c r="AX126" s="98"/>
      <c r="AY126" s="77"/>
      <c r="AZ126" s="97"/>
      <c r="BA126" s="97"/>
      <c r="BB126" s="98"/>
      <c r="BC126" s="77"/>
      <c r="BD126" s="97"/>
      <c r="BE126" s="97"/>
      <c r="BF126" s="98"/>
      <c r="BG126" s="77"/>
      <c r="BH126" s="97"/>
      <c r="BI126" s="97"/>
      <c r="BJ126" s="98"/>
      <c r="BK126" s="77"/>
      <c r="BL126" s="97"/>
      <c r="BM126" s="97"/>
      <c r="BN126" s="98"/>
      <c r="BO126" s="77"/>
      <c r="BP126" s="97"/>
      <c r="BQ126" s="97"/>
      <c r="BR126" s="98"/>
      <c r="BS126" s="77"/>
      <c r="BT126" s="97"/>
      <c r="BU126" s="97"/>
      <c r="BV126" s="98"/>
      <c r="BW126" s="77"/>
      <c r="BX126" s="97"/>
      <c r="BY126" s="97"/>
      <c r="BZ126" s="98"/>
      <c r="CA126" s="97"/>
      <c r="CB126" s="97"/>
      <c r="CC126" s="97"/>
      <c r="CD126" s="98"/>
      <c r="CE126" s="97"/>
      <c r="CF126" s="97"/>
      <c r="CG126" s="97"/>
      <c r="CH126" s="98"/>
      <c r="CI126" s="97"/>
      <c r="CJ126" s="97"/>
      <c r="CK126" s="97"/>
      <c r="CL126" s="98"/>
      <c r="CM126" s="97"/>
      <c r="CN126" s="97"/>
      <c r="CO126" s="97"/>
      <c r="CP126" s="98"/>
      <c r="CQ126" s="97"/>
      <c r="CR126" s="97"/>
      <c r="CS126" s="97"/>
      <c r="CT126" s="98"/>
      <c r="CU126" s="97"/>
      <c r="CV126" s="97"/>
      <c r="CW126" s="97"/>
      <c r="CX126" s="98"/>
      <c r="CY126" s="97"/>
      <c r="CZ126" s="97"/>
      <c r="DA126" s="97"/>
      <c r="DB126" s="98"/>
      <c r="DC126" s="75"/>
      <c r="DD126" s="97"/>
      <c r="DE126" s="97"/>
      <c r="DF126" s="98"/>
      <c r="DG126" s="75"/>
      <c r="DH126" s="78"/>
      <c r="DI126" s="99"/>
      <c r="DJ126" s="98"/>
      <c r="DK126" s="293"/>
      <c r="DL126" s="114"/>
      <c r="DM126" s="36"/>
      <c r="DN126" s="36"/>
      <c r="DO126" s="36"/>
      <c r="DP126" s="36"/>
      <c r="DQ126" s="413"/>
      <c r="DR126" s="414"/>
      <c r="DS126" s="413"/>
      <c r="DT126" s="417"/>
      <c r="DU126" s="415"/>
      <c r="DV126" s="416"/>
    </row>
    <row r="127" spans="6:126">
      <c r="F127" s="2"/>
      <c r="H127" s="68"/>
      <c r="I127" s="96"/>
      <c r="J127" s="96"/>
      <c r="L127" s="75"/>
      <c r="N127" s="75"/>
      <c r="O127" s="75"/>
      <c r="P127" s="72"/>
      <c r="Q127" s="72"/>
      <c r="S127" s="68"/>
      <c r="T127" s="68"/>
      <c r="V127" s="96"/>
      <c r="W127" s="75"/>
      <c r="X127" s="78"/>
      <c r="Y127" s="97"/>
      <c r="Z127" s="98"/>
      <c r="AA127" s="77"/>
      <c r="AB127" s="78"/>
      <c r="AC127" s="97"/>
      <c r="AD127" s="98"/>
      <c r="AE127" s="77"/>
      <c r="AF127" s="78"/>
      <c r="AG127" s="97"/>
      <c r="AH127" s="98"/>
      <c r="AI127" s="77"/>
      <c r="AJ127" s="78"/>
      <c r="AK127" s="97"/>
      <c r="AL127" s="98"/>
      <c r="AM127" s="77"/>
      <c r="AN127" s="78"/>
      <c r="AO127" s="97"/>
      <c r="AP127" s="98"/>
      <c r="AQ127" s="77"/>
      <c r="AR127" s="78"/>
      <c r="AS127" s="97"/>
      <c r="AT127" s="98"/>
      <c r="AU127" s="77"/>
      <c r="AV127" s="97"/>
      <c r="AW127" s="97"/>
      <c r="AX127" s="98"/>
      <c r="AY127" s="77"/>
      <c r="AZ127" s="97"/>
      <c r="BA127" s="97"/>
      <c r="BB127" s="98"/>
      <c r="BC127" s="77"/>
      <c r="BD127" s="97"/>
      <c r="BE127" s="97"/>
      <c r="BF127" s="98"/>
      <c r="BG127" s="77"/>
      <c r="BH127" s="97"/>
      <c r="BI127" s="97"/>
      <c r="BJ127" s="98"/>
      <c r="BK127" s="77"/>
      <c r="BL127" s="97"/>
      <c r="BM127" s="97"/>
      <c r="BN127" s="98"/>
      <c r="BO127" s="77"/>
      <c r="BP127" s="97"/>
      <c r="BQ127" s="97"/>
      <c r="BR127" s="98"/>
      <c r="BS127" s="77"/>
      <c r="BT127" s="97"/>
      <c r="BU127" s="97"/>
      <c r="BV127" s="98"/>
      <c r="BW127" s="77"/>
      <c r="BX127" s="97"/>
      <c r="BY127" s="97"/>
      <c r="BZ127" s="98"/>
      <c r="CA127" s="97"/>
      <c r="CB127" s="97"/>
      <c r="CC127" s="97"/>
      <c r="CD127" s="98"/>
      <c r="CE127" s="97"/>
      <c r="CF127" s="97"/>
      <c r="CG127" s="97"/>
      <c r="CH127" s="98"/>
      <c r="CI127" s="97"/>
      <c r="CJ127" s="97"/>
      <c r="CK127" s="97"/>
      <c r="CL127" s="98"/>
      <c r="CM127" s="97"/>
      <c r="CN127" s="97"/>
      <c r="CO127" s="97"/>
      <c r="CP127" s="98"/>
      <c r="CQ127" s="97"/>
      <c r="CR127" s="97"/>
      <c r="CS127" s="97"/>
      <c r="CT127" s="98"/>
      <c r="CU127" s="97"/>
      <c r="CV127" s="97"/>
      <c r="CW127" s="97"/>
      <c r="CX127" s="98"/>
      <c r="CY127" s="97"/>
      <c r="CZ127" s="97"/>
      <c r="DA127" s="97"/>
      <c r="DB127" s="98"/>
      <c r="DC127" s="75"/>
      <c r="DD127" s="97"/>
      <c r="DE127" s="97"/>
      <c r="DF127" s="98"/>
      <c r="DG127" s="75"/>
      <c r="DH127" s="78"/>
      <c r="DI127" s="99"/>
      <c r="DJ127" s="98"/>
      <c r="DK127" s="293"/>
      <c r="DL127" s="114"/>
      <c r="DM127" s="36"/>
      <c r="DN127" s="36"/>
      <c r="DO127" s="36"/>
      <c r="DP127" s="36"/>
      <c r="DQ127" s="413"/>
      <c r="DR127" s="414"/>
      <c r="DS127" s="413"/>
      <c r="DT127" s="417"/>
      <c r="DU127" s="415"/>
      <c r="DV127" s="416"/>
    </row>
    <row r="128" spans="6:126">
      <c r="F128" s="2"/>
      <c r="H128" s="68"/>
      <c r="I128" s="96"/>
      <c r="J128" s="96"/>
      <c r="L128" s="75"/>
      <c r="N128" s="75"/>
      <c r="O128" s="75"/>
      <c r="P128" s="72"/>
      <c r="Q128" s="72"/>
      <c r="S128" s="68"/>
      <c r="T128" s="68"/>
      <c r="V128" s="96"/>
      <c r="W128" s="75"/>
      <c r="X128" s="78"/>
      <c r="Y128" s="97"/>
      <c r="Z128" s="98"/>
      <c r="AA128" s="77"/>
      <c r="AB128" s="78"/>
      <c r="AC128" s="97"/>
      <c r="AD128" s="98"/>
      <c r="AE128" s="77"/>
      <c r="AF128" s="78"/>
      <c r="AG128" s="97"/>
      <c r="AH128" s="98"/>
      <c r="AI128" s="77"/>
      <c r="AJ128" s="78"/>
      <c r="AK128" s="97"/>
      <c r="AL128" s="98"/>
      <c r="AM128" s="77"/>
      <c r="AN128" s="78"/>
      <c r="AO128" s="97"/>
      <c r="AP128" s="98"/>
      <c r="AQ128" s="77"/>
      <c r="AR128" s="78"/>
      <c r="AS128" s="97"/>
      <c r="AT128" s="98"/>
      <c r="AU128" s="77"/>
      <c r="AV128" s="97"/>
      <c r="AW128" s="97"/>
      <c r="AX128" s="98"/>
      <c r="AY128" s="77"/>
      <c r="AZ128" s="97"/>
      <c r="BA128" s="97"/>
      <c r="BB128" s="98"/>
      <c r="BC128" s="77"/>
      <c r="BD128" s="97"/>
      <c r="BE128" s="97"/>
      <c r="BF128" s="98"/>
      <c r="BG128" s="77"/>
      <c r="BH128" s="97"/>
      <c r="BI128" s="97"/>
      <c r="BJ128" s="98"/>
      <c r="BK128" s="77"/>
      <c r="BL128" s="97"/>
      <c r="BM128" s="97"/>
      <c r="BN128" s="98"/>
      <c r="BO128" s="77"/>
      <c r="BP128" s="97"/>
      <c r="BQ128" s="97"/>
      <c r="BR128" s="98"/>
      <c r="BS128" s="77"/>
      <c r="BT128" s="97"/>
      <c r="BU128" s="97"/>
      <c r="BV128" s="98"/>
      <c r="BW128" s="77"/>
      <c r="BX128" s="97"/>
      <c r="BY128" s="97"/>
      <c r="BZ128" s="98"/>
      <c r="CA128" s="97"/>
      <c r="CB128" s="97"/>
      <c r="CC128" s="97"/>
      <c r="CD128" s="98"/>
      <c r="CE128" s="97"/>
      <c r="CF128" s="97"/>
      <c r="CG128" s="97"/>
      <c r="CH128" s="98"/>
      <c r="CI128" s="97"/>
      <c r="CJ128" s="97"/>
      <c r="CK128" s="97"/>
      <c r="CL128" s="98"/>
      <c r="CM128" s="97"/>
      <c r="CN128" s="97"/>
      <c r="CO128" s="97"/>
      <c r="CP128" s="98"/>
      <c r="CQ128" s="97"/>
      <c r="CR128" s="97"/>
      <c r="CS128" s="97"/>
      <c r="CT128" s="98"/>
      <c r="CU128" s="97"/>
      <c r="CV128" s="97"/>
      <c r="CW128" s="97"/>
      <c r="CX128" s="98"/>
      <c r="CY128" s="97"/>
      <c r="CZ128" s="97"/>
      <c r="DA128" s="97"/>
      <c r="DB128" s="98"/>
      <c r="DC128" s="75"/>
      <c r="DD128" s="97"/>
      <c r="DE128" s="97"/>
      <c r="DF128" s="98"/>
      <c r="DG128" s="75"/>
      <c r="DH128" s="78"/>
      <c r="DI128" s="99"/>
      <c r="DJ128" s="98"/>
      <c r="DK128" s="293"/>
      <c r="DL128" s="114"/>
      <c r="DM128" s="36"/>
      <c r="DN128" s="36"/>
      <c r="DO128" s="36"/>
      <c r="DP128" s="36"/>
      <c r="DQ128" s="413"/>
      <c r="DR128" s="414"/>
      <c r="DS128" s="413"/>
      <c r="DT128" s="417"/>
      <c r="DU128" s="415"/>
      <c r="DV128" s="416"/>
    </row>
    <row r="129" spans="6:126">
      <c r="F129" s="2"/>
      <c r="H129" s="68"/>
      <c r="I129" s="96"/>
      <c r="J129" s="96"/>
      <c r="L129" s="75"/>
      <c r="N129" s="75"/>
      <c r="O129" s="75"/>
      <c r="P129" s="72"/>
      <c r="Q129" s="72"/>
      <c r="S129" s="68"/>
      <c r="T129" s="68"/>
      <c r="V129" s="96"/>
      <c r="W129" s="75"/>
      <c r="X129" s="78"/>
      <c r="Y129" s="97"/>
      <c r="Z129" s="98"/>
      <c r="AA129" s="77"/>
      <c r="AB129" s="78"/>
      <c r="AC129" s="97"/>
      <c r="AD129" s="98"/>
      <c r="AE129" s="77"/>
      <c r="AF129" s="78"/>
      <c r="AG129" s="97"/>
      <c r="AH129" s="98"/>
      <c r="AI129" s="77"/>
      <c r="AJ129" s="78"/>
      <c r="AK129" s="97"/>
      <c r="AL129" s="98"/>
      <c r="AM129" s="77"/>
      <c r="AN129" s="78"/>
      <c r="AO129" s="97"/>
      <c r="AP129" s="98"/>
      <c r="AQ129" s="77"/>
      <c r="AR129" s="78"/>
      <c r="AS129" s="97"/>
      <c r="AT129" s="98"/>
      <c r="AU129" s="77"/>
      <c r="AV129" s="97"/>
      <c r="AW129" s="97"/>
      <c r="AX129" s="98"/>
      <c r="AY129" s="77"/>
      <c r="AZ129" s="97"/>
      <c r="BA129" s="97"/>
      <c r="BB129" s="98"/>
      <c r="BC129" s="77"/>
      <c r="BD129" s="97"/>
      <c r="BE129" s="97"/>
      <c r="BF129" s="98"/>
      <c r="BG129" s="77"/>
      <c r="BH129" s="97"/>
      <c r="BI129" s="97"/>
      <c r="BJ129" s="98"/>
      <c r="BK129" s="77"/>
      <c r="BL129" s="97"/>
      <c r="BM129" s="97"/>
      <c r="BN129" s="98"/>
      <c r="BO129" s="77"/>
      <c r="BP129" s="97"/>
      <c r="BQ129" s="97"/>
      <c r="BR129" s="98"/>
      <c r="BS129" s="77"/>
      <c r="BT129" s="97"/>
      <c r="BU129" s="97"/>
      <c r="BV129" s="98"/>
      <c r="BW129" s="77"/>
      <c r="BX129" s="97"/>
      <c r="BY129" s="97"/>
      <c r="BZ129" s="98"/>
      <c r="CA129" s="97"/>
      <c r="CB129" s="97"/>
      <c r="CC129" s="97"/>
      <c r="CD129" s="98"/>
      <c r="CE129" s="97"/>
      <c r="CF129" s="97"/>
      <c r="CG129" s="97"/>
      <c r="CH129" s="98"/>
      <c r="CI129" s="97"/>
      <c r="CJ129" s="97"/>
      <c r="CK129" s="97"/>
      <c r="CL129" s="98"/>
      <c r="CM129" s="97"/>
      <c r="CN129" s="97"/>
      <c r="CO129" s="97"/>
      <c r="CP129" s="98"/>
      <c r="CQ129" s="97"/>
      <c r="CR129" s="97"/>
      <c r="CS129" s="97"/>
      <c r="CT129" s="98"/>
      <c r="CU129" s="97"/>
      <c r="CV129" s="97"/>
      <c r="CW129" s="97"/>
      <c r="CX129" s="98"/>
      <c r="CY129" s="97"/>
      <c r="CZ129" s="97"/>
      <c r="DA129" s="97"/>
      <c r="DB129" s="98"/>
      <c r="DC129" s="75"/>
      <c r="DD129" s="97"/>
      <c r="DE129" s="97"/>
      <c r="DF129" s="98"/>
      <c r="DG129" s="75"/>
      <c r="DH129" s="78"/>
      <c r="DI129" s="99"/>
      <c r="DJ129" s="98"/>
      <c r="DK129" s="293"/>
      <c r="DL129" s="114"/>
      <c r="DM129" s="36"/>
      <c r="DN129" s="36"/>
      <c r="DO129" s="36"/>
      <c r="DP129" s="36"/>
      <c r="DQ129" s="413"/>
      <c r="DR129" s="414"/>
      <c r="DS129" s="413"/>
      <c r="DT129" s="417"/>
      <c r="DU129" s="415"/>
      <c r="DV129" s="416"/>
    </row>
    <row r="130" spans="6:126">
      <c r="F130" s="2"/>
      <c r="H130" s="68"/>
      <c r="I130" s="96"/>
      <c r="J130" s="96"/>
      <c r="L130" s="75"/>
      <c r="N130" s="75"/>
      <c r="O130" s="75"/>
      <c r="P130" s="72"/>
      <c r="Q130" s="72"/>
      <c r="S130" s="68"/>
      <c r="T130" s="68"/>
      <c r="V130" s="96"/>
      <c r="W130" s="75"/>
      <c r="X130" s="78"/>
      <c r="Y130" s="97"/>
      <c r="Z130" s="98"/>
      <c r="AA130" s="77"/>
      <c r="AB130" s="78"/>
      <c r="AC130" s="97"/>
      <c r="AD130" s="98"/>
      <c r="AE130" s="77"/>
      <c r="AF130" s="78"/>
      <c r="AG130" s="97"/>
      <c r="AH130" s="98"/>
      <c r="AI130" s="77"/>
      <c r="AJ130" s="78"/>
      <c r="AK130" s="97"/>
      <c r="AL130" s="98"/>
      <c r="AM130" s="77"/>
      <c r="AN130" s="78"/>
      <c r="AO130" s="97"/>
      <c r="AP130" s="98"/>
      <c r="AQ130" s="77"/>
      <c r="AR130" s="78"/>
      <c r="AS130" s="97"/>
      <c r="AT130" s="98"/>
      <c r="AU130" s="77"/>
      <c r="AV130" s="97"/>
      <c r="AW130" s="97"/>
      <c r="AX130" s="98"/>
      <c r="AY130" s="77"/>
      <c r="AZ130" s="97"/>
      <c r="BA130" s="97"/>
      <c r="BB130" s="98"/>
      <c r="BC130" s="77"/>
      <c r="BD130" s="97"/>
      <c r="BE130" s="97"/>
      <c r="BF130" s="98"/>
      <c r="BG130" s="77"/>
      <c r="BH130" s="97"/>
      <c r="BI130" s="97"/>
      <c r="BJ130" s="98"/>
      <c r="BK130" s="77"/>
      <c r="BL130" s="97"/>
      <c r="BM130" s="97"/>
      <c r="BN130" s="98"/>
      <c r="BO130" s="77"/>
      <c r="BP130" s="97"/>
      <c r="BQ130" s="97"/>
      <c r="BR130" s="98"/>
      <c r="BS130" s="77"/>
      <c r="BT130" s="97"/>
      <c r="BU130" s="97"/>
      <c r="BV130" s="98"/>
      <c r="BW130" s="77"/>
      <c r="BX130" s="97"/>
      <c r="BY130" s="97"/>
      <c r="BZ130" s="98"/>
      <c r="CA130" s="97"/>
      <c r="CB130" s="97"/>
      <c r="CC130" s="97"/>
      <c r="CD130" s="98"/>
      <c r="CE130" s="97"/>
      <c r="CF130" s="97"/>
      <c r="CG130" s="97"/>
      <c r="CH130" s="98"/>
      <c r="CI130" s="97"/>
      <c r="CJ130" s="97"/>
      <c r="CK130" s="97"/>
      <c r="CL130" s="98"/>
      <c r="CM130" s="97"/>
      <c r="CN130" s="97"/>
      <c r="CO130" s="97"/>
      <c r="CP130" s="98"/>
      <c r="CQ130" s="97"/>
      <c r="CR130" s="97"/>
      <c r="CS130" s="97"/>
      <c r="CT130" s="98"/>
      <c r="CU130" s="97"/>
      <c r="CV130" s="97"/>
      <c r="CW130" s="97"/>
      <c r="CX130" s="98"/>
      <c r="CY130" s="97"/>
      <c r="CZ130" s="97"/>
      <c r="DA130" s="97"/>
      <c r="DB130" s="98"/>
      <c r="DC130" s="75"/>
      <c r="DD130" s="97"/>
      <c r="DE130" s="97"/>
      <c r="DF130" s="98"/>
      <c r="DG130" s="75"/>
      <c r="DH130" s="78"/>
      <c r="DI130" s="99"/>
      <c r="DJ130" s="98"/>
      <c r="DK130" s="293"/>
      <c r="DL130" s="114"/>
      <c r="DM130" s="36"/>
      <c r="DN130" s="36"/>
      <c r="DO130" s="36"/>
      <c r="DP130" s="36"/>
      <c r="DQ130" s="413"/>
      <c r="DR130" s="414"/>
      <c r="DS130" s="413"/>
      <c r="DT130" s="417"/>
      <c r="DU130" s="415"/>
      <c r="DV130" s="416"/>
    </row>
    <row r="131" spans="6:126">
      <c r="H131" s="68"/>
      <c r="I131" s="96"/>
      <c r="J131" s="96"/>
      <c r="L131" s="75"/>
      <c r="N131" s="75"/>
      <c r="O131" s="75"/>
      <c r="P131" s="72"/>
      <c r="Q131" s="72"/>
      <c r="S131" s="68"/>
      <c r="T131" s="68"/>
      <c r="V131" s="96"/>
      <c r="W131" s="75"/>
      <c r="X131" s="78"/>
      <c r="Y131" s="97"/>
      <c r="Z131" s="98"/>
      <c r="AA131" s="77"/>
      <c r="AB131" s="78"/>
      <c r="AC131" s="97"/>
      <c r="AD131" s="98"/>
      <c r="AE131" s="77"/>
      <c r="AF131" s="78"/>
      <c r="AG131" s="97"/>
      <c r="AH131" s="98"/>
      <c r="AI131" s="77"/>
      <c r="AJ131" s="78"/>
      <c r="AK131" s="97"/>
      <c r="AL131" s="98"/>
      <c r="AM131" s="77"/>
      <c r="AN131" s="78"/>
      <c r="AO131" s="97"/>
      <c r="AP131" s="98"/>
      <c r="AQ131" s="77"/>
      <c r="AR131" s="78"/>
      <c r="AS131" s="97"/>
      <c r="AT131" s="98"/>
      <c r="AU131" s="77"/>
      <c r="AV131" s="97"/>
      <c r="AW131" s="97"/>
      <c r="AX131" s="98"/>
      <c r="AY131" s="77"/>
      <c r="AZ131" s="97"/>
      <c r="BA131" s="97"/>
      <c r="BB131" s="98"/>
      <c r="BC131" s="77"/>
      <c r="BD131" s="97"/>
      <c r="BE131" s="97"/>
      <c r="BF131" s="98"/>
      <c r="BG131" s="77"/>
      <c r="BH131" s="97"/>
      <c r="BI131" s="97"/>
      <c r="BJ131" s="98"/>
      <c r="BK131" s="77"/>
      <c r="BL131" s="97"/>
      <c r="BM131" s="97"/>
      <c r="BN131" s="98"/>
      <c r="BO131" s="77"/>
      <c r="BP131" s="97"/>
      <c r="BQ131" s="97"/>
      <c r="BR131" s="98"/>
      <c r="BS131" s="77"/>
      <c r="BT131" s="97"/>
      <c r="BU131" s="97"/>
      <c r="BV131" s="98"/>
      <c r="BW131" s="77"/>
      <c r="BX131" s="97"/>
      <c r="BY131" s="97"/>
      <c r="BZ131" s="98"/>
      <c r="CA131" s="97"/>
      <c r="CB131" s="97"/>
      <c r="CC131" s="97"/>
      <c r="CD131" s="98"/>
      <c r="CE131" s="97"/>
      <c r="CF131" s="97"/>
      <c r="CG131" s="97"/>
      <c r="CH131" s="98"/>
      <c r="CI131" s="97"/>
      <c r="CJ131" s="97"/>
      <c r="CK131" s="97"/>
      <c r="CL131" s="98"/>
      <c r="CM131" s="97"/>
      <c r="CN131" s="97"/>
      <c r="CO131" s="97"/>
      <c r="CP131" s="98"/>
      <c r="CQ131" s="97"/>
      <c r="CR131" s="97"/>
      <c r="CS131" s="97"/>
      <c r="CT131" s="98"/>
      <c r="CU131" s="97"/>
      <c r="CV131" s="97"/>
      <c r="CW131" s="97"/>
      <c r="CX131" s="98"/>
      <c r="CY131" s="97"/>
      <c r="CZ131" s="97"/>
      <c r="DA131" s="97"/>
      <c r="DB131" s="98"/>
      <c r="DC131" s="75"/>
      <c r="DD131" s="97"/>
      <c r="DE131" s="97"/>
      <c r="DF131" s="98"/>
      <c r="DG131" s="75"/>
      <c r="DH131" s="78"/>
      <c r="DI131" s="99"/>
      <c r="DJ131" s="98"/>
      <c r="DK131" s="293"/>
      <c r="DL131" s="114"/>
      <c r="DM131" s="36"/>
      <c r="DN131" s="36"/>
      <c r="DO131" s="36"/>
      <c r="DP131" s="36"/>
      <c r="DQ131" s="413"/>
      <c r="DR131" s="414"/>
      <c r="DS131" s="413"/>
      <c r="DT131" s="417"/>
      <c r="DU131" s="415"/>
      <c r="DV131" s="416"/>
    </row>
    <row r="132" spans="6:126">
      <c r="J132" s="96"/>
      <c r="L132" s="75"/>
      <c r="N132" s="75"/>
      <c r="O132" s="75"/>
      <c r="P132" s="72"/>
      <c r="Q132" s="72"/>
      <c r="S132" s="68"/>
      <c r="T132" s="68"/>
      <c r="V132" s="96"/>
      <c r="W132" s="75"/>
      <c r="X132" s="78"/>
      <c r="Y132" s="97"/>
      <c r="Z132" s="98"/>
      <c r="AA132" s="77"/>
      <c r="AB132" s="78"/>
      <c r="AC132" s="97"/>
      <c r="AD132" s="98"/>
      <c r="AE132" s="77"/>
      <c r="AF132" s="78"/>
      <c r="AG132" s="97"/>
      <c r="AH132" s="98"/>
      <c r="AI132" s="77"/>
      <c r="AJ132" s="78"/>
      <c r="AK132" s="97"/>
      <c r="AL132" s="98"/>
      <c r="AM132" s="77"/>
      <c r="AN132" s="78"/>
      <c r="AO132" s="97"/>
      <c r="AP132" s="98"/>
      <c r="AQ132" s="77"/>
      <c r="AR132" s="78"/>
      <c r="AS132" s="97"/>
      <c r="AT132" s="98"/>
      <c r="AU132" s="77"/>
      <c r="AV132" s="97"/>
      <c r="AW132" s="97"/>
      <c r="AX132" s="98"/>
      <c r="AY132" s="77"/>
      <c r="AZ132" s="97"/>
      <c r="BA132" s="97"/>
      <c r="BB132" s="98"/>
      <c r="BC132" s="77"/>
      <c r="BD132" s="97"/>
      <c r="BE132" s="97"/>
      <c r="BF132" s="98"/>
      <c r="BG132" s="77"/>
      <c r="BH132" s="97"/>
      <c r="BI132" s="97"/>
      <c r="BJ132" s="98"/>
      <c r="BK132" s="77"/>
      <c r="BL132" s="97"/>
      <c r="BM132" s="97"/>
      <c r="BN132" s="98"/>
      <c r="BO132" s="77"/>
      <c r="BP132" s="97"/>
      <c r="BQ132" s="97"/>
      <c r="BR132" s="98"/>
      <c r="BS132" s="77"/>
      <c r="BT132" s="97"/>
      <c r="BU132" s="97"/>
      <c r="BV132" s="98"/>
      <c r="BW132" s="77"/>
      <c r="BX132" s="97"/>
      <c r="BY132" s="97"/>
      <c r="BZ132" s="98"/>
      <c r="CA132" s="97"/>
      <c r="CB132" s="97"/>
      <c r="CC132" s="97"/>
      <c r="CD132" s="98"/>
      <c r="CE132" s="97"/>
      <c r="CF132" s="97"/>
      <c r="CG132" s="97"/>
      <c r="CH132" s="98"/>
      <c r="CI132" s="97"/>
      <c r="CJ132" s="97"/>
      <c r="CK132" s="97"/>
      <c r="CL132" s="98"/>
      <c r="CM132" s="97"/>
      <c r="CN132" s="97"/>
      <c r="CO132" s="97"/>
      <c r="CP132" s="98"/>
      <c r="CQ132" s="97"/>
      <c r="CR132" s="97"/>
      <c r="CS132" s="97"/>
      <c r="CT132" s="98"/>
      <c r="CU132" s="97"/>
      <c r="CV132" s="97"/>
      <c r="CW132" s="97"/>
      <c r="CX132" s="98"/>
      <c r="CY132" s="97"/>
      <c r="CZ132" s="97"/>
      <c r="DA132" s="97"/>
      <c r="DB132" s="98"/>
      <c r="DC132" s="75"/>
      <c r="DD132" s="97"/>
      <c r="DE132" s="97"/>
      <c r="DF132" s="98"/>
      <c r="DG132" s="75"/>
      <c r="DH132" s="78"/>
      <c r="DI132" s="99"/>
      <c r="DJ132" s="98"/>
      <c r="DL132" s="40"/>
      <c r="DM132" s="36"/>
      <c r="DN132" s="36"/>
      <c r="DO132" s="36"/>
      <c r="DP132" s="36"/>
      <c r="DQ132" s="100"/>
      <c r="DR132" s="36"/>
      <c r="DS132" s="100"/>
      <c r="DT132" s="36"/>
      <c r="DU132" s="36"/>
      <c r="DV132" s="41"/>
    </row>
    <row r="133" spans="6:126">
      <c r="J133" s="96"/>
      <c r="L133" s="75"/>
      <c r="N133" s="75"/>
      <c r="O133" s="75"/>
      <c r="P133" s="72"/>
      <c r="Q133" s="72"/>
      <c r="S133" s="68"/>
      <c r="T133" s="68"/>
      <c r="V133" s="96"/>
      <c r="W133" s="75"/>
      <c r="X133" s="78"/>
      <c r="Y133" s="97"/>
      <c r="Z133" s="98"/>
      <c r="AA133" s="77"/>
      <c r="AB133" s="78"/>
      <c r="AC133" s="97"/>
      <c r="AD133" s="98"/>
      <c r="AE133" s="77"/>
      <c r="AF133" s="78"/>
      <c r="AG133" s="97"/>
      <c r="AH133" s="98"/>
      <c r="AI133" s="77"/>
      <c r="AJ133" s="78"/>
      <c r="AK133" s="97"/>
      <c r="AL133" s="98"/>
      <c r="AM133" s="77"/>
      <c r="AN133" s="78"/>
      <c r="AO133" s="97"/>
      <c r="AP133" s="98"/>
      <c r="AQ133" s="77"/>
      <c r="AR133" s="78"/>
      <c r="AS133" s="97"/>
      <c r="AT133" s="98"/>
      <c r="AU133" s="77"/>
      <c r="AV133" s="97"/>
      <c r="AW133" s="97"/>
      <c r="AX133" s="98"/>
      <c r="AY133" s="77"/>
      <c r="AZ133" s="97"/>
      <c r="BA133" s="97"/>
      <c r="BB133" s="98"/>
      <c r="BC133" s="77"/>
      <c r="BD133" s="97"/>
      <c r="BE133" s="97"/>
      <c r="BF133" s="98"/>
      <c r="BG133" s="77"/>
      <c r="BH133" s="97"/>
      <c r="BI133" s="97"/>
      <c r="BJ133" s="98"/>
      <c r="BK133" s="77"/>
      <c r="BL133" s="97"/>
      <c r="BM133" s="97"/>
      <c r="BN133" s="98"/>
      <c r="BO133" s="77"/>
      <c r="BP133" s="97"/>
      <c r="BQ133" s="97"/>
      <c r="BR133" s="98"/>
      <c r="BS133" s="77"/>
      <c r="BT133" s="97"/>
      <c r="BU133" s="97"/>
      <c r="BV133" s="98"/>
      <c r="BW133" s="77"/>
      <c r="BX133" s="97"/>
      <c r="BY133" s="97"/>
      <c r="BZ133" s="98"/>
      <c r="CA133" s="97"/>
      <c r="CB133" s="97"/>
      <c r="CC133" s="97"/>
      <c r="CD133" s="98"/>
      <c r="CE133" s="97"/>
      <c r="CF133" s="97"/>
      <c r="CG133" s="97"/>
      <c r="CH133" s="98"/>
      <c r="CI133" s="97"/>
      <c r="CJ133" s="97"/>
      <c r="CK133" s="97"/>
      <c r="CL133" s="98"/>
      <c r="CM133" s="97"/>
      <c r="CN133" s="97"/>
      <c r="CO133" s="97"/>
      <c r="CP133" s="98"/>
      <c r="CQ133" s="97"/>
      <c r="CR133" s="97"/>
      <c r="CS133" s="97"/>
      <c r="CT133" s="98"/>
      <c r="CU133" s="97"/>
      <c r="CV133" s="97"/>
      <c r="CW133" s="97"/>
      <c r="CX133" s="98"/>
      <c r="CY133" s="97"/>
      <c r="CZ133" s="97"/>
      <c r="DA133" s="97"/>
      <c r="DB133" s="98"/>
      <c r="DC133" s="75"/>
      <c r="DD133" s="97"/>
      <c r="DE133" s="97"/>
      <c r="DF133" s="98"/>
      <c r="DG133" s="75"/>
      <c r="DH133" s="78"/>
      <c r="DI133" s="99"/>
      <c r="DJ133" s="98"/>
      <c r="DL133" s="40"/>
      <c r="DM133" s="36"/>
      <c r="DN133" s="36"/>
      <c r="DO133" s="36"/>
      <c r="DP133" s="36"/>
      <c r="DQ133" s="100"/>
      <c r="DR133" s="36"/>
      <c r="DS133" s="100"/>
      <c r="DT133" s="36"/>
      <c r="DU133" s="36"/>
      <c r="DV133" s="41"/>
    </row>
    <row r="134" spans="6:126">
      <c r="J134" s="96"/>
      <c r="L134" s="75"/>
      <c r="N134" s="75"/>
      <c r="O134" s="75"/>
      <c r="P134" s="72"/>
      <c r="Q134" s="72"/>
      <c r="S134" s="68"/>
      <c r="T134" s="68"/>
      <c r="V134" s="96"/>
      <c r="W134" s="75"/>
      <c r="X134" s="78"/>
      <c r="Y134" s="97"/>
      <c r="Z134" s="98"/>
      <c r="AA134" s="77"/>
      <c r="AB134" s="78"/>
      <c r="AC134" s="97"/>
      <c r="AD134" s="98"/>
      <c r="AE134" s="77"/>
      <c r="AF134" s="78"/>
      <c r="AG134" s="97"/>
      <c r="AH134" s="98"/>
      <c r="AI134" s="77"/>
      <c r="AJ134" s="78"/>
      <c r="AK134" s="97"/>
      <c r="AL134" s="98"/>
      <c r="AM134" s="77"/>
      <c r="AN134" s="78"/>
      <c r="AO134" s="97"/>
      <c r="AP134" s="98"/>
      <c r="AQ134" s="77"/>
      <c r="AR134" s="78"/>
      <c r="AS134" s="97"/>
      <c r="AT134" s="98"/>
      <c r="AU134" s="77"/>
      <c r="AV134" s="97"/>
      <c r="AW134" s="97"/>
      <c r="AX134" s="98"/>
      <c r="AY134" s="77"/>
      <c r="AZ134" s="97"/>
      <c r="BA134" s="97"/>
      <c r="BB134" s="98"/>
      <c r="BC134" s="77"/>
      <c r="BD134" s="97"/>
      <c r="BE134" s="97"/>
      <c r="BF134" s="98"/>
      <c r="BG134" s="77"/>
      <c r="BH134" s="97"/>
      <c r="BI134" s="97"/>
      <c r="BJ134" s="98"/>
      <c r="BK134" s="77"/>
      <c r="BL134" s="97"/>
      <c r="BM134" s="97"/>
      <c r="BN134" s="98"/>
      <c r="BO134" s="77"/>
      <c r="BP134" s="97"/>
      <c r="BQ134" s="97"/>
      <c r="BR134" s="98"/>
      <c r="BS134" s="77"/>
      <c r="BT134" s="97"/>
      <c r="BU134" s="97"/>
      <c r="BV134" s="98"/>
      <c r="BW134" s="77"/>
      <c r="BX134" s="97"/>
      <c r="BY134" s="97"/>
      <c r="BZ134" s="98"/>
      <c r="CA134" s="97"/>
      <c r="CB134" s="97"/>
      <c r="CC134" s="97"/>
      <c r="CD134" s="98"/>
      <c r="CE134" s="97"/>
      <c r="CF134" s="97"/>
      <c r="CG134" s="97"/>
      <c r="CH134" s="98"/>
      <c r="CI134" s="97"/>
      <c r="CJ134" s="97"/>
      <c r="CK134" s="97"/>
      <c r="CL134" s="98"/>
      <c r="CM134" s="97"/>
      <c r="CN134" s="97"/>
      <c r="CO134" s="97"/>
      <c r="CP134" s="98"/>
      <c r="CQ134" s="97"/>
      <c r="CR134" s="97"/>
      <c r="CS134" s="97"/>
      <c r="CT134" s="98"/>
      <c r="CU134" s="97"/>
      <c r="CV134" s="97"/>
      <c r="CW134" s="97"/>
      <c r="CX134" s="98"/>
      <c r="CY134" s="97"/>
      <c r="CZ134" s="97"/>
      <c r="DA134" s="97"/>
      <c r="DB134" s="98"/>
      <c r="DC134" s="75"/>
      <c r="DD134" s="97"/>
      <c r="DE134" s="97"/>
      <c r="DF134" s="98"/>
      <c r="DG134" s="75"/>
      <c r="DH134" s="78"/>
      <c r="DI134" s="99"/>
      <c r="DJ134" s="98"/>
      <c r="DL134" s="40"/>
      <c r="DM134" s="36"/>
      <c r="DN134" s="36"/>
      <c r="DO134" s="36"/>
      <c r="DP134" s="36"/>
      <c r="DQ134" s="100"/>
      <c r="DR134" s="36"/>
      <c r="DS134" s="100"/>
      <c r="DT134" s="36"/>
      <c r="DU134" s="36"/>
      <c r="DV134" s="41"/>
    </row>
    <row r="135" spans="6:126">
      <c r="J135" s="96"/>
      <c r="L135" s="75"/>
      <c r="N135" s="75"/>
      <c r="O135" s="75"/>
      <c r="P135" s="72"/>
      <c r="Q135" s="72"/>
      <c r="S135" s="68"/>
      <c r="T135" s="68"/>
      <c r="V135" s="96"/>
      <c r="W135" s="75"/>
      <c r="X135" s="78"/>
      <c r="Y135" s="97"/>
      <c r="Z135" s="98"/>
      <c r="AA135" s="77"/>
      <c r="AB135" s="78"/>
      <c r="AC135" s="97"/>
      <c r="AD135" s="98"/>
      <c r="AE135" s="77"/>
      <c r="AF135" s="78"/>
      <c r="AG135" s="97"/>
      <c r="AH135" s="98"/>
      <c r="AI135" s="77"/>
      <c r="AJ135" s="78"/>
      <c r="AK135" s="97"/>
      <c r="AL135" s="98"/>
      <c r="AM135" s="77"/>
      <c r="AN135" s="78"/>
      <c r="AO135" s="97"/>
      <c r="AP135" s="98"/>
      <c r="AQ135" s="77"/>
      <c r="AR135" s="78"/>
      <c r="AS135" s="97"/>
      <c r="AT135" s="98"/>
      <c r="AU135" s="77"/>
      <c r="AV135" s="97"/>
      <c r="AW135" s="97"/>
      <c r="AX135" s="98"/>
      <c r="AY135" s="77"/>
      <c r="AZ135" s="97"/>
      <c r="BA135" s="97"/>
      <c r="BB135" s="98"/>
      <c r="BC135" s="77"/>
      <c r="BD135" s="97"/>
      <c r="BE135" s="97"/>
      <c r="BF135" s="98"/>
      <c r="BG135" s="77"/>
      <c r="BH135" s="97"/>
      <c r="BI135" s="97"/>
      <c r="BJ135" s="98"/>
      <c r="BK135" s="77"/>
      <c r="BL135" s="97"/>
      <c r="BM135" s="97"/>
      <c r="BN135" s="98"/>
      <c r="BO135" s="77"/>
      <c r="BP135" s="97"/>
      <c r="BQ135" s="97"/>
      <c r="BR135" s="98"/>
      <c r="BS135" s="77"/>
      <c r="BT135" s="97"/>
      <c r="BU135" s="97"/>
      <c r="BV135" s="98"/>
      <c r="BW135" s="77"/>
      <c r="BX135" s="97"/>
      <c r="BY135" s="97"/>
      <c r="BZ135" s="98"/>
      <c r="CA135" s="97"/>
      <c r="CB135" s="97"/>
      <c r="CC135" s="97"/>
      <c r="CD135" s="98"/>
      <c r="CE135" s="97"/>
      <c r="CF135" s="97"/>
      <c r="CG135" s="97"/>
      <c r="CH135" s="98"/>
      <c r="CI135" s="97"/>
      <c r="CJ135" s="97"/>
      <c r="CK135" s="97"/>
      <c r="CL135" s="98"/>
      <c r="CM135" s="97"/>
      <c r="CN135" s="97"/>
      <c r="CO135" s="97"/>
      <c r="CP135" s="98"/>
      <c r="CQ135" s="97"/>
      <c r="CR135" s="97"/>
      <c r="CS135" s="97"/>
      <c r="CT135" s="98"/>
      <c r="CU135" s="97"/>
      <c r="CV135" s="97"/>
      <c r="CW135" s="97"/>
      <c r="CX135" s="98"/>
      <c r="CY135" s="97"/>
      <c r="CZ135" s="97"/>
      <c r="DA135" s="97"/>
      <c r="DB135" s="98"/>
      <c r="DC135" s="75"/>
      <c r="DD135" s="97"/>
      <c r="DE135" s="97"/>
      <c r="DF135" s="98"/>
      <c r="DG135" s="75"/>
      <c r="DH135" s="78"/>
      <c r="DI135" s="99"/>
      <c r="DJ135" s="98"/>
      <c r="DL135" s="40"/>
      <c r="DM135" s="36"/>
      <c r="DN135" s="36"/>
      <c r="DO135" s="36"/>
      <c r="DP135" s="36"/>
      <c r="DQ135" s="100"/>
      <c r="DR135" s="36"/>
      <c r="DS135" s="100"/>
      <c r="DT135" s="36"/>
      <c r="DU135" s="36"/>
      <c r="DV135" s="41"/>
    </row>
    <row r="136" spans="6:126">
      <c r="J136" s="96"/>
      <c r="L136" s="75"/>
      <c r="N136" s="75"/>
      <c r="O136" s="75"/>
      <c r="P136" s="72"/>
      <c r="Q136" s="72"/>
      <c r="S136" s="68"/>
      <c r="T136" s="68"/>
      <c r="V136" s="96"/>
      <c r="W136" s="75"/>
      <c r="X136" s="78"/>
      <c r="Y136" s="97"/>
      <c r="Z136" s="98"/>
      <c r="AA136" s="77"/>
      <c r="AB136" s="78"/>
      <c r="AC136" s="97"/>
      <c r="AD136" s="98"/>
      <c r="AE136" s="77"/>
      <c r="AF136" s="78"/>
      <c r="AG136" s="97"/>
      <c r="AH136" s="98"/>
      <c r="AI136" s="77"/>
      <c r="AJ136" s="78"/>
      <c r="AK136" s="97"/>
      <c r="AL136" s="98"/>
      <c r="AM136" s="77"/>
      <c r="AN136" s="78"/>
      <c r="AO136" s="97"/>
      <c r="AP136" s="98"/>
      <c r="AQ136" s="77"/>
      <c r="AR136" s="78"/>
      <c r="AS136" s="97"/>
      <c r="AT136" s="98"/>
      <c r="AU136" s="77"/>
      <c r="AV136" s="97"/>
      <c r="AW136" s="97"/>
      <c r="AX136" s="98"/>
      <c r="AY136" s="77"/>
      <c r="AZ136" s="97"/>
      <c r="BA136" s="97"/>
      <c r="BB136" s="98"/>
      <c r="BC136" s="77"/>
      <c r="BD136" s="97"/>
      <c r="BE136" s="97"/>
      <c r="BF136" s="98"/>
      <c r="BG136" s="77"/>
      <c r="BH136" s="97"/>
      <c r="BI136" s="97"/>
      <c r="BJ136" s="98"/>
      <c r="BK136" s="77"/>
      <c r="BL136" s="97"/>
      <c r="BM136" s="97"/>
      <c r="BN136" s="98"/>
      <c r="BO136" s="77"/>
      <c r="BP136" s="97"/>
      <c r="BQ136" s="97"/>
      <c r="BR136" s="98"/>
      <c r="BS136" s="77"/>
      <c r="BT136" s="97"/>
      <c r="BU136" s="97"/>
      <c r="BV136" s="98"/>
      <c r="BW136" s="77"/>
      <c r="BX136" s="97"/>
      <c r="BY136" s="97"/>
      <c r="BZ136" s="98"/>
      <c r="CA136" s="97"/>
      <c r="CB136" s="97"/>
      <c r="CC136" s="97"/>
      <c r="CD136" s="98"/>
      <c r="CE136" s="97"/>
      <c r="CF136" s="97"/>
      <c r="CG136" s="97"/>
      <c r="CH136" s="98"/>
      <c r="CI136" s="97"/>
      <c r="CJ136" s="97"/>
      <c r="CK136" s="97"/>
      <c r="CL136" s="98"/>
      <c r="CM136" s="97"/>
      <c r="CN136" s="97"/>
      <c r="CO136" s="97"/>
      <c r="CP136" s="98"/>
      <c r="CQ136" s="97"/>
      <c r="CR136" s="97"/>
      <c r="CS136" s="97"/>
      <c r="CT136" s="98"/>
      <c r="CU136" s="97"/>
      <c r="CV136" s="97"/>
      <c r="CW136" s="97"/>
      <c r="CX136" s="98"/>
      <c r="CY136" s="97"/>
      <c r="CZ136" s="97"/>
      <c r="DA136" s="97"/>
      <c r="DB136" s="98"/>
      <c r="DC136" s="75"/>
      <c r="DD136" s="97"/>
      <c r="DE136" s="97"/>
      <c r="DF136" s="98"/>
      <c r="DG136" s="75"/>
      <c r="DH136" s="78"/>
      <c r="DI136" s="99"/>
      <c r="DJ136" s="98"/>
      <c r="DL136" s="40"/>
      <c r="DM136" s="36"/>
      <c r="DN136" s="36"/>
      <c r="DO136" s="36"/>
      <c r="DP136" s="36"/>
      <c r="DQ136" s="100"/>
      <c r="DR136" s="36"/>
      <c r="DS136" s="100"/>
      <c r="DT136" s="36"/>
      <c r="DU136" s="36"/>
      <c r="DV136" s="41"/>
    </row>
    <row r="137" spans="6:126">
      <c r="J137" s="96"/>
      <c r="L137" s="75"/>
      <c r="N137" s="75"/>
      <c r="O137" s="75"/>
      <c r="P137" s="72"/>
      <c r="Q137" s="72"/>
      <c r="S137" s="68"/>
      <c r="T137" s="68"/>
      <c r="V137" s="96"/>
      <c r="W137" s="75"/>
      <c r="X137" s="78"/>
      <c r="Y137" s="97"/>
      <c r="Z137" s="98"/>
      <c r="AA137" s="77"/>
      <c r="AB137" s="78"/>
      <c r="AC137" s="97"/>
      <c r="AD137" s="98"/>
      <c r="AE137" s="77"/>
      <c r="AF137" s="78"/>
      <c r="AG137" s="97"/>
      <c r="AH137" s="98"/>
      <c r="AI137" s="77"/>
      <c r="AJ137" s="78"/>
      <c r="AK137" s="97"/>
      <c r="AL137" s="98"/>
      <c r="AM137" s="77"/>
      <c r="AN137" s="78"/>
      <c r="AO137" s="97"/>
      <c r="AP137" s="98"/>
      <c r="AQ137" s="77"/>
      <c r="AR137" s="78"/>
      <c r="AS137" s="97"/>
      <c r="AT137" s="98"/>
      <c r="AU137" s="77"/>
      <c r="AV137" s="97"/>
      <c r="AW137" s="97"/>
      <c r="AX137" s="98"/>
      <c r="AY137" s="77"/>
      <c r="AZ137" s="97"/>
      <c r="BA137" s="97"/>
      <c r="BB137" s="98"/>
      <c r="BC137" s="77"/>
      <c r="BD137" s="97"/>
      <c r="BE137" s="97"/>
      <c r="BF137" s="98"/>
      <c r="BG137" s="77"/>
      <c r="BH137" s="97"/>
      <c r="BI137" s="97"/>
      <c r="BJ137" s="98"/>
      <c r="BK137" s="77"/>
      <c r="BL137" s="97"/>
      <c r="BM137" s="97"/>
      <c r="BN137" s="98"/>
      <c r="BO137" s="77"/>
      <c r="BP137" s="97"/>
      <c r="BQ137" s="97"/>
      <c r="BR137" s="98"/>
      <c r="BS137" s="77"/>
      <c r="BT137" s="97"/>
      <c r="BU137" s="97"/>
      <c r="BV137" s="98"/>
      <c r="BW137" s="77"/>
      <c r="BX137" s="97"/>
      <c r="BY137" s="97"/>
      <c r="BZ137" s="98"/>
      <c r="CA137" s="97"/>
      <c r="CB137" s="97"/>
      <c r="CC137" s="97"/>
      <c r="CD137" s="98"/>
      <c r="CE137" s="97"/>
      <c r="CF137" s="97"/>
      <c r="CG137" s="97"/>
      <c r="CH137" s="98"/>
      <c r="CI137" s="97"/>
      <c r="CJ137" s="97"/>
      <c r="CK137" s="97"/>
      <c r="CL137" s="98"/>
      <c r="CM137" s="97"/>
      <c r="CN137" s="97"/>
      <c r="CO137" s="97"/>
      <c r="CP137" s="98"/>
      <c r="CQ137" s="97"/>
      <c r="CR137" s="97"/>
      <c r="CS137" s="97"/>
      <c r="CT137" s="98"/>
      <c r="CU137" s="97"/>
      <c r="CV137" s="97"/>
      <c r="CW137" s="97"/>
      <c r="CX137" s="98"/>
      <c r="CY137" s="97"/>
      <c r="CZ137" s="97"/>
      <c r="DA137" s="97"/>
      <c r="DB137" s="98"/>
      <c r="DC137" s="75"/>
      <c r="DD137" s="97"/>
      <c r="DE137" s="97"/>
      <c r="DF137" s="98"/>
      <c r="DG137" s="75"/>
      <c r="DH137" s="78"/>
      <c r="DI137" s="99"/>
      <c r="DJ137" s="98"/>
      <c r="DL137" s="40"/>
      <c r="DM137" s="36"/>
      <c r="DN137" s="36"/>
      <c r="DO137" s="36"/>
      <c r="DP137" s="36"/>
      <c r="DQ137" s="100"/>
      <c r="DR137" s="36"/>
      <c r="DS137" s="100"/>
      <c r="DT137" s="36"/>
      <c r="DU137" s="36"/>
      <c r="DV137" s="41"/>
    </row>
    <row r="138" spans="6:126">
      <c r="J138" s="96"/>
      <c r="L138" s="75"/>
      <c r="N138" s="75"/>
      <c r="O138" s="75"/>
      <c r="P138" s="72"/>
      <c r="Q138" s="72"/>
      <c r="S138" s="68"/>
      <c r="T138" s="68"/>
      <c r="V138" s="96"/>
      <c r="W138" s="75"/>
      <c r="X138" s="78"/>
      <c r="Y138" s="97"/>
      <c r="Z138" s="98"/>
      <c r="AA138" s="77"/>
      <c r="AB138" s="78"/>
      <c r="AC138" s="97"/>
      <c r="AD138" s="98"/>
      <c r="AE138" s="77"/>
      <c r="AF138" s="78"/>
      <c r="AG138" s="97"/>
      <c r="AH138" s="98"/>
      <c r="AI138" s="77"/>
      <c r="AJ138" s="78"/>
      <c r="AK138" s="97"/>
      <c r="AL138" s="98"/>
      <c r="AM138" s="77"/>
      <c r="AN138" s="78"/>
      <c r="AO138" s="97"/>
      <c r="AP138" s="98"/>
      <c r="AQ138" s="77"/>
      <c r="AR138" s="78"/>
      <c r="AS138" s="97"/>
      <c r="AT138" s="98"/>
      <c r="AU138" s="77"/>
      <c r="AV138" s="97"/>
      <c r="AW138" s="97"/>
      <c r="AX138" s="98"/>
      <c r="AY138" s="77"/>
      <c r="AZ138" s="97"/>
      <c r="BA138" s="97"/>
      <c r="BB138" s="98"/>
      <c r="BC138" s="77"/>
      <c r="BD138" s="97"/>
      <c r="BE138" s="97"/>
      <c r="BF138" s="98"/>
      <c r="BG138" s="77"/>
      <c r="BH138" s="97"/>
      <c r="BI138" s="97"/>
      <c r="BJ138" s="98"/>
      <c r="BK138" s="77"/>
      <c r="BL138" s="97"/>
      <c r="BM138" s="97"/>
      <c r="BN138" s="98"/>
      <c r="BO138" s="77"/>
      <c r="BP138" s="97"/>
      <c r="BQ138" s="97"/>
      <c r="BR138" s="98"/>
      <c r="BS138" s="77"/>
      <c r="BT138" s="97"/>
      <c r="BU138" s="97"/>
      <c r="BV138" s="98"/>
      <c r="BW138" s="77"/>
      <c r="BX138" s="97"/>
      <c r="BY138" s="97"/>
      <c r="BZ138" s="98"/>
      <c r="CA138" s="97"/>
      <c r="CB138" s="97"/>
      <c r="CC138" s="97"/>
      <c r="CD138" s="98"/>
      <c r="CE138" s="97"/>
      <c r="CF138" s="97"/>
      <c r="CG138" s="97"/>
      <c r="CH138" s="98"/>
      <c r="CI138" s="97"/>
      <c r="CJ138" s="97"/>
      <c r="CK138" s="97"/>
      <c r="CL138" s="98"/>
      <c r="CM138" s="97"/>
      <c r="CN138" s="97"/>
      <c r="CO138" s="97"/>
      <c r="CP138" s="98"/>
      <c r="CQ138" s="97"/>
      <c r="CR138" s="97"/>
      <c r="CS138" s="97"/>
      <c r="CT138" s="98"/>
      <c r="CU138" s="97"/>
      <c r="CV138" s="97"/>
      <c r="CW138" s="97"/>
      <c r="CX138" s="98"/>
      <c r="CY138" s="97"/>
      <c r="CZ138" s="97"/>
      <c r="DA138" s="97"/>
      <c r="DB138" s="98"/>
      <c r="DC138" s="75"/>
      <c r="DD138" s="97"/>
      <c r="DE138" s="97"/>
      <c r="DF138" s="98"/>
      <c r="DG138" s="75"/>
      <c r="DH138" s="78"/>
      <c r="DI138" s="99"/>
      <c r="DJ138" s="98"/>
      <c r="DL138" s="40"/>
      <c r="DM138" s="36"/>
      <c r="DN138" s="36"/>
      <c r="DO138" s="36"/>
      <c r="DP138" s="36"/>
      <c r="DQ138" s="100"/>
      <c r="DR138" s="36"/>
      <c r="DS138" s="100"/>
      <c r="DT138" s="36"/>
      <c r="DU138" s="36"/>
      <c r="DV138" s="41"/>
    </row>
    <row r="139" spans="6:126">
      <c r="J139" s="96"/>
      <c r="L139" s="75"/>
      <c r="N139" s="75"/>
      <c r="O139" s="75"/>
      <c r="P139" s="72"/>
      <c r="Q139" s="72"/>
      <c r="S139" s="68"/>
      <c r="T139" s="68"/>
      <c r="V139" s="96"/>
      <c r="W139" s="75"/>
      <c r="X139" s="78"/>
      <c r="Y139" s="97"/>
      <c r="Z139" s="98"/>
      <c r="AA139" s="77"/>
      <c r="AB139" s="78"/>
      <c r="AC139" s="97"/>
      <c r="AD139" s="98"/>
      <c r="AE139" s="77"/>
      <c r="AF139" s="78"/>
      <c r="AG139" s="97"/>
      <c r="AH139" s="98"/>
      <c r="AI139" s="77"/>
      <c r="AJ139" s="78"/>
      <c r="AK139" s="97"/>
      <c r="AL139" s="98"/>
      <c r="AM139" s="77"/>
      <c r="AN139" s="78"/>
      <c r="AO139" s="97"/>
      <c r="AP139" s="98"/>
      <c r="AQ139" s="77"/>
      <c r="AR139" s="78"/>
      <c r="AS139" s="97"/>
      <c r="AT139" s="98"/>
      <c r="AU139" s="77"/>
      <c r="AV139" s="97"/>
      <c r="AW139" s="97"/>
      <c r="AX139" s="98"/>
      <c r="AY139" s="77"/>
      <c r="AZ139" s="97"/>
      <c r="BA139" s="97"/>
      <c r="BB139" s="98"/>
      <c r="BC139" s="77"/>
      <c r="BD139" s="97"/>
      <c r="BE139" s="97"/>
      <c r="BF139" s="98"/>
      <c r="BG139" s="77"/>
      <c r="BH139" s="97"/>
      <c r="BI139" s="97"/>
      <c r="BJ139" s="98"/>
      <c r="BK139" s="77"/>
      <c r="BL139" s="97"/>
      <c r="BM139" s="97"/>
      <c r="BN139" s="98"/>
      <c r="BO139" s="77"/>
      <c r="BP139" s="97"/>
      <c r="BQ139" s="97"/>
      <c r="BR139" s="98"/>
      <c r="BS139" s="77"/>
      <c r="BT139" s="97"/>
      <c r="BU139" s="97"/>
      <c r="BV139" s="98"/>
      <c r="BW139" s="77"/>
      <c r="BX139" s="97"/>
      <c r="BY139" s="97"/>
      <c r="BZ139" s="98"/>
      <c r="CA139" s="97"/>
      <c r="CB139" s="97"/>
      <c r="CC139" s="97"/>
      <c r="CD139" s="98"/>
      <c r="CE139" s="97"/>
      <c r="CF139" s="97"/>
      <c r="CG139" s="97"/>
      <c r="CH139" s="98"/>
      <c r="CI139" s="97"/>
      <c r="CJ139" s="97"/>
      <c r="CK139" s="97"/>
      <c r="CL139" s="98"/>
      <c r="CM139" s="97"/>
      <c r="CN139" s="97"/>
      <c r="CO139" s="97"/>
      <c r="CP139" s="98"/>
      <c r="CQ139" s="97"/>
      <c r="CR139" s="97"/>
      <c r="CS139" s="97"/>
      <c r="CT139" s="98"/>
      <c r="CU139" s="97"/>
      <c r="CV139" s="97"/>
      <c r="CW139" s="97"/>
      <c r="CX139" s="98"/>
      <c r="CY139" s="97"/>
      <c r="CZ139" s="97"/>
      <c r="DA139" s="97"/>
      <c r="DB139" s="98"/>
      <c r="DC139" s="75"/>
      <c r="DD139" s="97"/>
      <c r="DE139" s="97"/>
      <c r="DF139" s="98"/>
      <c r="DG139" s="75"/>
      <c r="DH139" s="78"/>
      <c r="DI139" s="99"/>
      <c r="DJ139" s="98"/>
      <c r="DL139" s="40"/>
      <c r="DM139" s="36"/>
      <c r="DN139" s="36"/>
      <c r="DO139" s="36"/>
      <c r="DP139" s="36"/>
      <c r="DQ139" s="100"/>
      <c r="DR139" s="36"/>
      <c r="DS139" s="100"/>
      <c r="DT139" s="36"/>
      <c r="DU139" s="36"/>
      <c r="DV139" s="41"/>
    </row>
    <row r="140" spans="6:126">
      <c r="J140" s="96"/>
      <c r="L140" s="75"/>
      <c r="N140" s="75"/>
      <c r="O140" s="75"/>
      <c r="P140" s="72"/>
      <c r="Q140" s="72"/>
      <c r="S140" s="68"/>
      <c r="T140" s="68"/>
      <c r="V140" s="96"/>
      <c r="W140" s="75"/>
      <c r="X140" s="78"/>
      <c r="Y140" s="97"/>
      <c r="Z140" s="98"/>
      <c r="AA140" s="77"/>
      <c r="AB140" s="78"/>
      <c r="AC140" s="97"/>
      <c r="AD140" s="98"/>
      <c r="AE140" s="77"/>
      <c r="AF140" s="78"/>
      <c r="AG140" s="97"/>
      <c r="AH140" s="98"/>
      <c r="AI140" s="77"/>
      <c r="AJ140" s="78"/>
      <c r="AK140" s="97"/>
      <c r="AL140" s="98"/>
      <c r="AM140" s="77"/>
      <c r="AN140" s="78"/>
      <c r="AO140" s="97"/>
      <c r="AP140" s="98"/>
      <c r="AQ140" s="77"/>
      <c r="AR140" s="78"/>
      <c r="AS140" s="97"/>
      <c r="AT140" s="98"/>
      <c r="AU140" s="77"/>
      <c r="AV140" s="97"/>
      <c r="AW140" s="97"/>
      <c r="AX140" s="98"/>
      <c r="AY140" s="77"/>
      <c r="AZ140" s="97"/>
      <c r="BA140" s="97"/>
      <c r="BB140" s="98"/>
      <c r="BC140" s="77"/>
      <c r="BD140" s="97"/>
      <c r="BE140" s="97"/>
      <c r="BF140" s="98"/>
      <c r="BG140" s="77"/>
      <c r="BH140" s="97"/>
      <c r="BI140" s="97"/>
      <c r="BJ140" s="98"/>
      <c r="BK140" s="77"/>
      <c r="BL140" s="97"/>
      <c r="BM140" s="97"/>
      <c r="BN140" s="98"/>
      <c r="BO140" s="77"/>
      <c r="BP140" s="97"/>
      <c r="BQ140" s="97"/>
      <c r="BR140" s="98"/>
      <c r="BS140" s="77"/>
      <c r="BT140" s="97"/>
      <c r="BU140" s="97"/>
      <c r="BV140" s="98"/>
      <c r="BW140" s="77"/>
      <c r="BX140" s="97"/>
      <c r="BY140" s="97"/>
      <c r="BZ140" s="98"/>
      <c r="CA140" s="97"/>
      <c r="CB140" s="97"/>
      <c r="CC140" s="97"/>
      <c r="CD140" s="98"/>
      <c r="CE140" s="97"/>
      <c r="CF140" s="97"/>
      <c r="CG140" s="97"/>
      <c r="CH140" s="98"/>
      <c r="CI140" s="97"/>
      <c r="CJ140" s="97"/>
      <c r="CK140" s="97"/>
      <c r="CL140" s="98"/>
      <c r="CM140" s="97"/>
      <c r="CN140" s="97"/>
      <c r="CO140" s="97"/>
      <c r="CP140" s="98"/>
      <c r="CQ140" s="97"/>
      <c r="CR140" s="97"/>
      <c r="CS140" s="97"/>
      <c r="CT140" s="98"/>
      <c r="CU140" s="97"/>
      <c r="CV140" s="97"/>
      <c r="CW140" s="97"/>
      <c r="CX140" s="98"/>
      <c r="CY140" s="97"/>
      <c r="CZ140" s="97"/>
      <c r="DA140" s="97"/>
      <c r="DB140" s="98"/>
      <c r="DC140" s="75"/>
      <c r="DD140" s="97"/>
      <c r="DE140" s="97"/>
      <c r="DF140" s="98"/>
      <c r="DG140" s="75"/>
      <c r="DH140" s="78"/>
      <c r="DI140" s="99"/>
      <c r="DJ140" s="98"/>
      <c r="DL140" s="40"/>
      <c r="DM140" s="36"/>
      <c r="DN140" s="36"/>
      <c r="DO140" s="36"/>
      <c r="DP140" s="36"/>
      <c r="DQ140" s="100"/>
      <c r="DR140" s="36"/>
      <c r="DS140" s="100"/>
      <c r="DT140" s="36"/>
      <c r="DU140" s="36"/>
      <c r="DV140" s="41"/>
    </row>
    <row r="141" spans="6:126">
      <c r="J141" s="96"/>
      <c r="L141" s="75"/>
      <c r="N141" s="75"/>
      <c r="O141" s="75"/>
      <c r="P141" s="72"/>
      <c r="Q141" s="72"/>
      <c r="S141" s="68"/>
      <c r="T141" s="68"/>
      <c r="V141" s="96"/>
      <c r="W141" s="75"/>
      <c r="X141" s="78"/>
      <c r="Y141" s="97"/>
      <c r="Z141" s="98"/>
      <c r="AA141" s="77"/>
      <c r="AB141" s="78"/>
      <c r="AC141" s="97"/>
      <c r="AD141" s="98"/>
      <c r="AE141" s="77"/>
      <c r="AF141" s="78"/>
      <c r="AG141" s="97"/>
      <c r="AH141" s="98"/>
      <c r="AI141" s="77"/>
      <c r="AJ141" s="78"/>
      <c r="AK141" s="97"/>
      <c r="AL141" s="98"/>
      <c r="AM141" s="77"/>
      <c r="AN141" s="78"/>
      <c r="AO141" s="97"/>
      <c r="AP141" s="98"/>
      <c r="AQ141" s="77"/>
      <c r="AR141" s="78"/>
      <c r="AS141" s="97"/>
      <c r="AT141" s="98"/>
      <c r="AU141" s="77"/>
      <c r="AV141" s="97"/>
      <c r="AW141" s="97"/>
      <c r="AX141" s="98"/>
      <c r="AY141" s="77"/>
      <c r="AZ141" s="97"/>
      <c r="BA141" s="97"/>
      <c r="BB141" s="98"/>
      <c r="BC141" s="77"/>
      <c r="BD141" s="97"/>
      <c r="BE141" s="97"/>
      <c r="BF141" s="98"/>
      <c r="BG141" s="77"/>
      <c r="BH141" s="97"/>
      <c r="BI141" s="97"/>
      <c r="BJ141" s="98"/>
      <c r="BK141" s="77"/>
      <c r="BL141" s="97"/>
      <c r="BM141" s="97"/>
      <c r="BN141" s="98"/>
      <c r="BO141" s="77"/>
      <c r="BP141" s="97"/>
      <c r="BQ141" s="97"/>
      <c r="BR141" s="98"/>
      <c r="BS141" s="77"/>
      <c r="BT141" s="97"/>
      <c r="BU141" s="97"/>
      <c r="BV141" s="98"/>
      <c r="BW141" s="77"/>
      <c r="BX141" s="97"/>
      <c r="BY141" s="97"/>
      <c r="BZ141" s="98"/>
      <c r="CA141" s="97"/>
      <c r="CB141" s="97"/>
      <c r="CC141" s="97"/>
      <c r="CD141" s="98"/>
      <c r="CE141" s="97"/>
      <c r="CF141" s="97"/>
      <c r="CG141" s="97"/>
      <c r="CH141" s="98"/>
      <c r="CI141" s="97"/>
      <c r="CJ141" s="97"/>
      <c r="CK141" s="97"/>
      <c r="CL141" s="98"/>
      <c r="CM141" s="97"/>
      <c r="CN141" s="97"/>
      <c r="CO141" s="97"/>
      <c r="CP141" s="98"/>
      <c r="CQ141" s="97"/>
      <c r="CR141" s="97"/>
      <c r="CS141" s="97"/>
      <c r="CT141" s="98"/>
      <c r="CU141" s="97"/>
      <c r="CV141" s="97"/>
      <c r="CW141" s="97"/>
      <c r="CX141" s="98"/>
      <c r="CY141" s="97"/>
      <c r="CZ141" s="97"/>
      <c r="DA141" s="97"/>
      <c r="DB141" s="98"/>
      <c r="DC141" s="75"/>
      <c r="DD141" s="97"/>
      <c r="DE141" s="97"/>
      <c r="DF141" s="98"/>
      <c r="DG141" s="75"/>
      <c r="DH141" s="78"/>
      <c r="DI141" s="99"/>
      <c r="DJ141" s="98"/>
      <c r="DL141" s="40"/>
      <c r="DM141" s="36"/>
      <c r="DN141" s="36"/>
      <c r="DO141" s="36"/>
      <c r="DP141" s="36"/>
      <c r="DQ141" s="100"/>
      <c r="DR141" s="36"/>
      <c r="DS141" s="100"/>
      <c r="DT141" s="36"/>
      <c r="DU141" s="36"/>
      <c r="DV141" s="41"/>
    </row>
    <row r="142" spans="6:126">
      <c r="J142" s="96"/>
      <c r="L142" s="75"/>
      <c r="N142" s="75"/>
      <c r="O142" s="75"/>
      <c r="P142" s="72"/>
      <c r="Q142" s="72"/>
      <c r="S142" s="68"/>
      <c r="T142" s="68"/>
      <c r="V142" s="96"/>
      <c r="W142" s="75"/>
      <c r="X142" s="78"/>
      <c r="Y142" s="97"/>
      <c r="Z142" s="98"/>
      <c r="AA142" s="77"/>
      <c r="AB142" s="78"/>
      <c r="AC142" s="97"/>
      <c r="AD142" s="98"/>
      <c r="AE142" s="77"/>
      <c r="AF142" s="78"/>
      <c r="AG142" s="97"/>
      <c r="AH142" s="98"/>
      <c r="AI142" s="77"/>
      <c r="AJ142" s="78"/>
      <c r="AK142" s="97"/>
      <c r="AL142" s="98"/>
      <c r="AM142" s="77"/>
      <c r="AN142" s="78"/>
      <c r="AO142" s="97"/>
      <c r="AP142" s="98"/>
      <c r="AQ142" s="77"/>
      <c r="AR142" s="78"/>
      <c r="AS142" s="97"/>
      <c r="AT142" s="98"/>
      <c r="AU142" s="77"/>
      <c r="AV142" s="97"/>
      <c r="AW142" s="97"/>
      <c r="AX142" s="98"/>
      <c r="AY142" s="77"/>
      <c r="AZ142" s="97"/>
      <c r="BA142" s="97"/>
      <c r="BB142" s="98"/>
      <c r="BC142" s="77"/>
      <c r="BD142" s="97"/>
      <c r="BE142" s="97"/>
      <c r="BF142" s="98"/>
      <c r="BG142" s="77"/>
      <c r="BH142" s="97"/>
      <c r="BI142" s="97"/>
      <c r="BJ142" s="98"/>
      <c r="BK142" s="77"/>
      <c r="BL142" s="97"/>
      <c r="BM142" s="97"/>
      <c r="BN142" s="98"/>
      <c r="BO142" s="77"/>
      <c r="BP142" s="97"/>
      <c r="BQ142" s="97"/>
      <c r="BR142" s="98"/>
      <c r="BS142" s="77"/>
      <c r="BT142" s="97"/>
      <c r="BU142" s="97"/>
      <c r="BV142" s="98"/>
      <c r="BW142" s="77"/>
      <c r="BX142" s="97"/>
      <c r="BY142" s="97"/>
      <c r="BZ142" s="98"/>
      <c r="CA142" s="97"/>
      <c r="CB142" s="97"/>
      <c r="CC142" s="97"/>
      <c r="CD142" s="98"/>
      <c r="CE142" s="97"/>
      <c r="CF142" s="97"/>
      <c r="CG142" s="97"/>
      <c r="CH142" s="98"/>
      <c r="CI142" s="97"/>
      <c r="CJ142" s="97"/>
      <c r="CK142" s="97"/>
      <c r="CL142" s="98"/>
      <c r="CM142" s="97"/>
      <c r="CN142" s="97"/>
      <c r="CO142" s="97"/>
      <c r="CP142" s="98"/>
      <c r="CQ142" s="97"/>
      <c r="CR142" s="97"/>
      <c r="CS142" s="97"/>
      <c r="CT142" s="98"/>
      <c r="CU142" s="97"/>
      <c r="CV142" s="97"/>
      <c r="CW142" s="97"/>
      <c r="CX142" s="98"/>
      <c r="CY142" s="97"/>
      <c r="CZ142" s="97"/>
      <c r="DA142" s="97"/>
      <c r="DB142" s="98"/>
      <c r="DC142" s="75"/>
      <c r="DD142" s="97"/>
      <c r="DE142" s="97"/>
      <c r="DF142" s="98"/>
      <c r="DG142" s="75"/>
      <c r="DH142" s="78"/>
      <c r="DI142" s="99"/>
      <c r="DJ142" s="98"/>
      <c r="DL142" s="40"/>
      <c r="DM142" s="36"/>
      <c r="DN142" s="36"/>
      <c r="DO142" s="36"/>
      <c r="DP142" s="36"/>
      <c r="DQ142" s="100"/>
      <c r="DR142" s="36"/>
      <c r="DS142" s="100"/>
      <c r="DT142" s="36"/>
      <c r="DU142" s="36"/>
      <c r="DV142" s="41"/>
    </row>
    <row r="143" spans="6:126">
      <c r="J143" s="96"/>
      <c r="L143" s="75"/>
      <c r="N143" s="75"/>
      <c r="O143" s="75"/>
      <c r="P143" s="72"/>
      <c r="Q143" s="72"/>
      <c r="S143" s="68"/>
      <c r="T143" s="68"/>
      <c r="V143" s="96"/>
      <c r="W143" s="75"/>
      <c r="X143" s="78"/>
      <c r="Y143" s="97"/>
      <c r="Z143" s="98"/>
      <c r="AA143" s="77"/>
      <c r="AB143" s="78"/>
      <c r="AC143" s="97"/>
      <c r="AD143" s="98"/>
      <c r="AE143" s="77"/>
      <c r="AF143" s="78"/>
      <c r="AG143" s="97"/>
      <c r="AH143" s="98"/>
      <c r="AI143" s="77"/>
      <c r="AJ143" s="78"/>
      <c r="AK143" s="97"/>
      <c r="AL143" s="98"/>
      <c r="AM143" s="77"/>
      <c r="AN143" s="78"/>
      <c r="AO143" s="97"/>
      <c r="AP143" s="98"/>
      <c r="AQ143" s="77"/>
      <c r="AR143" s="78"/>
      <c r="AS143" s="97"/>
      <c r="AT143" s="98"/>
      <c r="AU143" s="77"/>
      <c r="AV143" s="97"/>
      <c r="AW143" s="97"/>
      <c r="AX143" s="98"/>
      <c r="AY143" s="77"/>
      <c r="AZ143" s="97"/>
      <c r="BA143" s="97"/>
      <c r="BB143" s="98"/>
      <c r="BC143" s="77"/>
      <c r="BD143" s="97"/>
      <c r="BE143" s="97"/>
      <c r="BF143" s="98"/>
      <c r="BG143" s="77"/>
      <c r="BH143" s="97"/>
      <c r="BI143" s="97"/>
      <c r="BJ143" s="98"/>
      <c r="BK143" s="77"/>
      <c r="BL143" s="97"/>
      <c r="BM143" s="97"/>
      <c r="BN143" s="98"/>
      <c r="BO143" s="77"/>
      <c r="BP143" s="97"/>
      <c r="BQ143" s="97"/>
      <c r="BR143" s="98"/>
      <c r="BS143" s="77"/>
      <c r="BT143" s="97"/>
      <c r="BU143" s="97"/>
      <c r="BV143" s="98"/>
      <c r="BW143" s="77"/>
      <c r="BX143" s="97"/>
      <c r="BY143" s="97"/>
      <c r="BZ143" s="98"/>
      <c r="CA143" s="97"/>
      <c r="CB143" s="97"/>
      <c r="CC143" s="97"/>
      <c r="CD143" s="98"/>
      <c r="CE143" s="97"/>
      <c r="CF143" s="97"/>
      <c r="CG143" s="97"/>
      <c r="CH143" s="98"/>
      <c r="CI143" s="97"/>
      <c r="CJ143" s="97"/>
      <c r="CK143" s="97"/>
      <c r="CL143" s="98"/>
      <c r="CM143" s="97"/>
      <c r="CN143" s="97"/>
      <c r="CO143" s="97"/>
      <c r="CP143" s="98"/>
      <c r="CQ143" s="97"/>
      <c r="CR143" s="97"/>
      <c r="CS143" s="97"/>
      <c r="CT143" s="98"/>
      <c r="CU143" s="97"/>
      <c r="CV143" s="97"/>
      <c r="CW143" s="97"/>
      <c r="CX143" s="98"/>
      <c r="CY143" s="97"/>
      <c r="CZ143" s="97"/>
      <c r="DA143" s="97"/>
      <c r="DB143" s="98"/>
      <c r="DC143" s="75"/>
      <c r="DD143" s="97"/>
      <c r="DE143" s="97"/>
      <c r="DF143" s="98"/>
      <c r="DG143" s="75"/>
      <c r="DH143" s="78"/>
      <c r="DI143" s="99"/>
      <c r="DJ143" s="98"/>
      <c r="DL143" s="40"/>
      <c r="DM143" s="36"/>
      <c r="DN143" s="36"/>
      <c r="DO143" s="36"/>
      <c r="DP143" s="36"/>
      <c r="DQ143" s="100"/>
      <c r="DR143" s="36"/>
      <c r="DS143" s="100"/>
      <c r="DT143" s="36"/>
      <c r="DU143" s="36"/>
      <c r="DV143" s="41"/>
    </row>
    <row r="144" spans="6:126">
      <c r="J144" s="96"/>
      <c r="L144" s="75"/>
      <c r="N144" s="75"/>
      <c r="O144" s="75"/>
      <c r="P144" s="72"/>
      <c r="Q144" s="72"/>
      <c r="S144" s="68"/>
      <c r="T144" s="68"/>
      <c r="V144" s="96"/>
      <c r="W144" s="75"/>
      <c r="X144" s="78"/>
      <c r="Y144" s="97"/>
      <c r="Z144" s="98"/>
      <c r="AA144" s="77"/>
      <c r="AB144" s="78"/>
      <c r="AC144" s="97"/>
      <c r="AD144" s="98"/>
      <c r="AE144" s="77"/>
      <c r="AF144" s="78"/>
      <c r="AG144" s="97"/>
      <c r="AH144" s="98"/>
      <c r="AI144" s="77"/>
      <c r="AJ144" s="78"/>
      <c r="AK144" s="97"/>
      <c r="AL144" s="98"/>
      <c r="AM144" s="77"/>
      <c r="AN144" s="78"/>
      <c r="AO144" s="97"/>
      <c r="AP144" s="98"/>
      <c r="AQ144" s="77"/>
      <c r="AR144" s="78"/>
      <c r="AS144" s="97"/>
      <c r="AT144" s="98"/>
      <c r="AU144" s="77"/>
      <c r="AV144" s="97"/>
      <c r="AW144" s="97"/>
      <c r="AX144" s="98"/>
      <c r="AY144" s="77"/>
      <c r="AZ144" s="97"/>
      <c r="BA144" s="97"/>
      <c r="BB144" s="98"/>
      <c r="BC144" s="77"/>
      <c r="BD144" s="97"/>
      <c r="BE144" s="97"/>
      <c r="BF144" s="98"/>
      <c r="BG144" s="77"/>
      <c r="BH144" s="97"/>
      <c r="BI144" s="97"/>
      <c r="BJ144" s="98"/>
      <c r="BK144" s="77"/>
      <c r="BL144" s="97"/>
      <c r="BM144" s="97"/>
      <c r="BN144" s="98"/>
      <c r="BO144" s="77"/>
      <c r="BP144" s="97"/>
      <c r="BQ144" s="97"/>
      <c r="BR144" s="98"/>
      <c r="BS144" s="77"/>
      <c r="BT144" s="97"/>
      <c r="BU144" s="97"/>
      <c r="BV144" s="98"/>
      <c r="BW144" s="77"/>
      <c r="BX144" s="97"/>
      <c r="BY144" s="97"/>
      <c r="BZ144" s="98"/>
      <c r="CA144" s="97"/>
      <c r="CB144" s="97"/>
      <c r="CC144" s="97"/>
      <c r="CD144" s="98"/>
      <c r="CE144" s="97"/>
      <c r="CF144" s="97"/>
      <c r="CG144" s="97"/>
      <c r="CH144" s="98"/>
      <c r="CI144" s="97"/>
      <c r="CJ144" s="97"/>
      <c r="CK144" s="97"/>
      <c r="CL144" s="98"/>
      <c r="CM144" s="97"/>
      <c r="CN144" s="97"/>
      <c r="CO144" s="97"/>
      <c r="CP144" s="98"/>
      <c r="CQ144" s="97"/>
      <c r="CR144" s="97"/>
      <c r="CS144" s="97"/>
      <c r="CT144" s="98"/>
      <c r="CU144" s="97"/>
      <c r="CV144" s="97"/>
      <c r="CW144" s="97"/>
      <c r="CX144" s="98"/>
      <c r="CY144" s="97"/>
      <c r="CZ144" s="97"/>
      <c r="DA144" s="97"/>
      <c r="DB144" s="98"/>
      <c r="DC144" s="75"/>
      <c r="DD144" s="97"/>
      <c r="DE144" s="97"/>
      <c r="DF144" s="98"/>
      <c r="DG144" s="75"/>
      <c r="DH144" s="78"/>
      <c r="DI144" s="99"/>
      <c r="DJ144" s="98"/>
      <c r="DL144" s="40"/>
      <c r="DM144" s="36"/>
      <c r="DN144" s="36"/>
      <c r="DO144" s="36"/>
      <c r="DP144" s="36"/>
      <c r="DQ144" s="100"/>
      <c r="DR144" s="36"/>
      <c r="DS144" s="100"/>
      <c r="DT144" s="36"/>
      <c r="DU144" s="36"/>
      <c r="DV144" s="41"/>
    </row>
    <row r="145" spans="10:126">
      <c r="J145" s="96"/>
      <c r="L145" s="75"/>
      <c r="N145" s="75"/>
      <c r="O145" s="75"/>
      <c r="P145" s="72"/>
      <c r="Q145" s="72"/>
      <c r="S145" s="68"/>
      <c r="T145" s="68"/>
      <c r="V145" s="96"/>
      <c r="W145" s="75"/>
      <c r="X145" s="78"/>
      <c r="Y145" s="97"/>
      <c r="Z145" s="98"/>
      <c r="AA145" s="77"/>
      <c r="AB145" s="78"/>
      <c r="AC145" s="97"/>
      <c r="AD145" s="98"/>
      <c r="AE145" s="77"/>
      <c r="AF145" s="78"/>
      <c r="AG145" s="97"/>
      <c r="AH145" s="98"/>
      <c r="AI145" s="77"/>
      <c r="AJ145" s="78"/>
      <c r="AK145" s="97"/>
      <c r="AL145" s="98"/>
      <c r="AM145" s="77"/>
      <c r="AN145" s="78"/>
      <c r="AO145" s="97"/>
      <c r="AP145" s="98"/>
      <c r="AQ145" s="77"/>
      <c r="AR145" s="78"/>
      <c r="AS145" s="97"/>
      <c r="AT145" s="98"/>
      <c r="AU145" s="77"/>
      <c r="AV145" s="97"/>
      <c r="AW145" s="97"/>
      <c r="AX145" s="98"/>
      <c r="AY145" s="77"/>
      <c r="AZ145" s="97"/>
      <c r="BA145" s="97"/>
      <c r="BB145" s="98"/>
      <c r="BC145" s="77"/>
      <c r="BD145" s="97"/>
      <c r="BE145" s="97"/>
      <c r="BF145" s="98"/>
      <c r="BG145" s="77"/>
      <c r="BH145" s="97"/>
      <c r="BI145" s="97"/>
      <c r="BJ145" s="98"/>
      <c r="BK145" s="77"/>
      <c r="BL145" s="97"/>
      <c r="BM145" s="97"/>
      <c r="BN145" s="98"/>
      <c r="BO145" s="77"/>
      <c r="BP145" s="97"/>
      <c r="BQ145" s="97"/>
      <c r="BR145" s="98"/>
      <c r="BS145" s="77"/>
      <c r="BT145" s="97"/>
      <c r="BU145" s="97"/>
      <c r="BV145" s="98"/>
      <c r="BW145" s="77"/>
      <c r="BX145" s="97"/>
      <c r="BY145" s="97"/>
      <c r="BZ145" s="98"/>
      <c r="CA145" s="97"/>
      <c r="CB145" s="97"/>
      <c r="CC145" s="97"/>
      <c r="CD145" s="98"/>
      <c r="CE145" s="97"/>
      <c r="CF145" s="97"/>
      <c r="CG145" s="97"/>
      <c r="CH145" s="98"/>
      <c r="CI145" s="97"/>
      <c r="CJ145" s="97"/>
      <c r="CK145" s="97"/>
      <c r="CL145" s="98"/>
      <c r="CM145" s="97"/>
      <c r="CN145" s="97"/>
      <c r="CO145" s="97"/>
      <c r="CP145" s="98"/>
      <c r="CQ145" s="97"/>
      <c r="CR145" s="97"/>
      <c r="CS145" s="97"/>
      <c r="CT145" s="98"/>
      <c r="CU145" s="97"/>
      <c r="CV145" s="97"/>
      <c r="CW145" s="97"/>
      <c r="CX145" s="98"/>
      <c r="CY145" s="97"/>
      <c r="CZ145" s="97"/>
      <c r="DA145" s="97"/>
      <c r="DB145" s="98"/>
      <c r="DC145" s="75"/>
      <c r="DD145" s="97"/>
      <c r="DE145" s="97"/>
      <c r="DF145" s="98"/>
      <c r="DG145" s="75"/>
      <c r="DH145" s="78"/>
      <c r="DI145" s="99"/>
      <c r="DJ145" s="98"/>
      <c r="DL145" s="40"/>
      <c r="DM145" s="36"/>
      <c r="DN145" s="36"/>
      <c r="DO145" s="36"/>
      <c r="DP145" s="36"/>
      <c r="DQ145" s="100"/>
      <c r="DR145" s="36"/>
      <c r="DS145" s="100"/>
      <c r="DT145" s="36"/>
      <c r="DU145" s="36"/>
      <c r="DV145" s="41"/>
    </row>
    <row r="146" spans="10:126">
      <c r="J146" s="96"/>
      <c r="L146" s="75"/>
      <c r="N146" s="75"/>
      <c r="O146" s="75"/>
      <c r="P146" s="72"/>
      <c r="Q146" s="72"/>
      <c r="S146" s="68"/>
      <c r="T146" s="68"/>
      <c r="V146" s="96"/>
      <c r="W146" s="75"/>
      <c r="X146" s="78"/>
      <c r="Y146" s="97"/>
      <c r="Z146" s="98"/>
      <c r="AA146" s="77"/>
      <c r="AB146" s="78"/>
      <c r="AC146" s="97"/>
      <c r="AD146" s="98"/>
      <c r="AE146" s="77"/>
      <c r="AF146" s="78"/>
      <c r="AG146" s="97"/>
      <c r="AH146" s="98"/>
      <c r="AI146" s="77"/>
      <c r="AJ146" s="78"/>
      <c r="AK146" s="97"/>
      <c r="AL146" s="98"/>
      <c r="AM146" s="77"/>
      <c r="AN146" s="78"/>
      <c r="AO146" s="97"/>
      <c r="AP146" s="98"/>
      <c r="AQ146" s="77"/>
      <c r="AR146" s="78"/>
      <c r="AS146" s="97"/>
      <c r="AT146" s="98"/>
      <c r="AU146" s="77"/>
      <c r="AV146" s="97"/>
      <c r="AW146" s="97"/>
      <c r="AX146" s="98"/>
      <c r="AY146" s="77"/>
      <c r="AZ146" s="97"/>
      <c r="BA146" s="97"/>
      <c r="BB146" s="98"/>
      <c r="BC146" s="77"/>
      <c r="BD146" s="97"/>
      <c r="BE146" s="97"/>
      <c r="BF146" s="98"/>
      <c r="BG146" s="77"/>
      <c r="BH146" s="97"/>
      <c r="BI146" s="97"/>
      <c r="BJ146" s="98"/>
      <c r="BK146" s="77"/>
      <c r="BL146" s="97"/>
      <c r="BM146" s="97"/>
      <c r="BN146" s="98"/>
      <c r="BO146" s="77"/>
      <c r="BP146" s="97"/>
      <c r="BQ146" s="97"/>
      <c r="BR146" s="98"/>
      <c r="BS146" s="77"/>
      <c r="BT146" s="97"/>
      <c r="BU146" s="97"/>
      <c r="BV146" s="98"/>
      <c r="BW146" s="77"/>
      <c r="BX146" s="97"/>
      <c r="BY146" s="97"/>
      <c r="BZ146" s="98"/>
      <c r="CA146" s="97"/>
      <c r="CB146" s="97"/>
      <c r="CC146" s="97"/>
      <c r="CD146" s="98"/>
      <c r="CE146" s="97"/>
      <c r="CF146" s="97"/>
      <c r="CG146" s="97"/>
      <c r="CH146" s="98"/>
      <c r="CI146" s="97"/>
      <c r="CJ146" s="97"/>
      <c r="CK146" s="97"/>
      <c r="CL146" s="98"/>
      <c r="CM146" s="97"/>
      <c r="CN146" s="97"/>
      <c r="CO146" s="97"/>
      <c r="CP146" s="98"/>
      <c r="CQ146" s="97"/>
      <c r="CR146" s="97"/>
      <c r="CS146" s="97"/>
      <c r="CT146" s="98"/>
      <c r="CU146" s="97"/>
      <c r="CV146" s="97"/>
      <c r="CW146" s="97"/>
      <c r="CX146" s="98"/>
      <c r="CY146" s="97"/>
      <c r="CZ146" s="97"/>
      <c r="DA146" s="97"/>
      <c r="DB146" s="98"/>
      <c r="DC146" s="75"/>
      <c r="DD146" s="97"/>
      <c r="DE146" s="97"/>
      <c r="DF146" s="98"/>
      <c r="DG146" s="75"/>
      <c r="DH146" s="78"/>
      <c r="DI146" s="99"/>
      <c r="DJ146" s="98"/>
      <c r="DL146" s="40"/>
      <c r="DM146" s="36"/>
      <c r="DN146" s="36"/>
      <c r="DO146" s="36"/>
      <c r="DP146" s="36"/>
      <c r="DQ146" s="100"/>
      <c r="DR146" s="36"/>
      <c r="DS146" s="100"/>
      <c r="DT146" s="36"/>
      <c r="DU146" s="36"/>
      <c r="DV146" s="41"/>
    </row>
    <row r="147" spans="10:126">
      <c r="J147" s="96"/>
      <c r="L147" s="75"/>
      <c r="N147" s="75"/>
      <c r="O147" s="75"/>
      <c r="P147" s="72"/>
      <c r="Q147" s="72"/>
      <c r="S147" s="68"/>
      <c r="T147" s="68"/>
      <c r="V147" s="96"/>
      <c r="W147" s="75"/>
      <c r="X147" s="78"/>
      <c r="Y147" s="97"/>
      <c r="Z147" s="98"/>
      <c r="AA147" s="77"/>
      <c r="AB147" s="78"/>
      <c r="AC147" s="97"/>
      <c r="AD147" s="98"/>
      <c r="AE147" s="77"/>
      <c r="AF147" s="78"/>
      <c r="AG147" s="97"/>
      <c r="AH147" s="98"/>
      <c r="AI147" s="77"/>
      <c r="AJ147" s="78"/>
      <c r="AK147" s="97"/>
      <c r="AL147" s="98"/>
      <c r="AM147" s="77"/>
      <c r="AN147" s="78"/>
      <c r="AO147" s="97"/>
      <c r="AP147" s="98"/>
      <c r="AQ147" s="77"/>
      <c r="AR147" s="78"/>
      <c r="AS147" s="97"/>
      <c r="AT147" s="98"/>
      <c r="AU147" s="77"/>
      <c r="AV147" s="97"/>
      <c r="AW147" s="97"/>
      <c r="AX147" s="98"/>
      <c r="AY147" s="77"/>
      <c r="AZ147" s="97"/>
      <c r="BA147" s="97"/>
      <c r="BB147" s="98"/>
      <c r="BC147" s="77"/>
      <c r="BD147" s="97"/>
      <c r="BE147" s="97"/>
      <c r="BF147" s="98"/>
      <c r="BG147" s="77"/>
      <c r="BH147" s="97"/>
      <c r="BI147" s="97"/>
      <c r="BJ147" s="98"/>
      <c r="BK147" s="77"/>
      <c r="BL147" s="97"/>
      <c r="BM147" s="97"/>
      <c r="BN147" s="98"/>
      <c r="BO147" s="77"/>
      <c r="BP147" s="97"/>
      <c r="BQ147" s="97"/>
      <c r="BR147" s="98"/>
      <c r="BS147" s="77"/>
      <c r="BT147" s="97"/>
      <c r="BU147" s="97"/>
      <c r="BV147" s="98"/>
      <c r="BW147" s="77"/>
      <c r="BX147" s="97"/>
      <c r="BY147" s="97"/>
      <c r="BZ147" s="98"/>
      <c r="CA147" s="97"/>
      <c r="CB147" s="97"/>
      <c r="CC147" s="97"/>
      <c r="CD147" s="98"/>
      <c r="CE147" s="97"/>
      <c r="CF147" s="97"/>
      <c r="CG147" s="97"/>
      <c r="CH147" s="98"/>
      <c r="CI147" s="97"/>
      <c r="CJ147" s="97"/>
      <c r="CK147" s="97"/>
      <c r="CL147" s="98"/>
      <c r="CM147" s="97"/>
      <c r="CN147" s="97"/>
      <c r="CO147" s="97"/>
      <c r="CP147" s="98"/>
      <c r="CQ147" s="97"/>
      <c r="CR147" s="97"/>
      <c r="CS147" s="97"/>
      <c r="CT147" s="98"/>
      <c r="CU147" s="97"/>
      <c r="CV147" s="97"/>
      <c r="CW147" s="97"/>
      <c r="CX147" s="98"/>
      <c r="CY147" s="97"/>
      <c r="CZ147" s="97"/>
      <c r="DA147" s="97"/>
      <c r="DB147" s="98"/>
      <c r="DC147" s="75"/>
      <c r="DD147" s="97"/>
      <c r="DE147" s="97"/>
      <c r="DF147" s="98"/>
      <c r="DG147" s="75"/>
      <c r="DH147" s="78"/>
      <c r="DI147" s="99"/>
      <c r="DJ147" s="98"/>
      <c r="DL147" s="40"/>
      <c r="DM147" s="36"/>
      <c r="DN147" s="36"/>
      <c r="DO147" s="36"/>
      <c r="DP147" s="36"/>
      <c r="DQ147" s="100"/>
      <c r="DR147" s="36"/>
      <c r="DS147" s="100"/>
      <c r="DT147" s="36"/>
      <c r="DU147" s="36"/>
      <c r="DV147" s="41"/>
    </row>
    <row r="148" spans="10:126">
      <c r="J148" s="96"/>
      <c r="L148" s="75"/>
      <c r="N148" s="75"/>
      <c r="O148" s="75"/>
      <c r="P148" s="72"/>
      <c r="Q148" s="72"/>
      <c r="S148" s="68"/>
      <c r="T148" s="68"/>
      <c r="V148" s="96"/>
      <c r="W148" s="75"/>
      <c r="X148" s="78"/>
      <c r="Y148" s="97"/>
      <c r="Z148" s="98"/>
      <c r="AA148" s="77"/>
      <c r="AB148" s="78"/>
      <c r="AC148" s="97"/>
      <c r="AD148" s="98"/>
      <c r="AE148" s="77"/>
      <c r="AF148" s="78"/>
      <c r="AG148" s="97"/>
      <c r="AH148" s="98"/>
      <c r="AI148" s="77"/>
      <c r="AJ148" s="78"/>
      <c r="AK148" s="97"/>
      <c r="AL148" s="98"/>
      <c r="AM148" s="77"/>
      <c r="AN148" s="78"/>
      <c r="AO148" s="97"/>
      <c r="AP148" s="98"/>
      <c r="AQ148" s="77"/>
      <c r="AR148" s="78"/>
      <c r="AS148" s="97"/>
      <c r="AT148" s="98"/>
      <c r="AU148" s="77"/>
      <c r="AV148" s="97"/>
      <c r="AW148" s="97"/>
      <c r="AX148" s="98"/>
      <c r="AY148" s="77"/>
      <c r="AZ148" s="97"/>
      <c r="BA148" s="97"/>
      <c r="BB148" s="98"/>
      <c r="BC148" s="77"/>
      <c r="BD148" s="97"/>
      <c r="BE148" s="97"/>
      <c r="BF148" s="98"/>
      <c r="BG148" s="77"/>
      <c r="BH148" s="97"/>
      <c r="BI148" s="97"/>
      <c r="BJ148" s="98"/>
      <c r="BK148" s="77"/>
      <c r="BL148" s="97"/>
      <c r="BM148" s="97"/>
      <c r="BN148" s="98"/>
      <c r="BO148" s="77"/>
      <c r="BP148" s="97"/>
      <c r="BQ148" s="97"/>
      <c r="BR148" s="98"/>
      <c r="BS148" s="77"/>
      <c r="BT148" s="97"/>
      <c r="BU148" s="97"/>
      <c r="BV148" s="98"/>
      <c r="BW148" s="77"/>
      <c r="BX148" s="97"/>
      <c r="BY148" s="97"/>
      <c r="BZ148" s="98"/>
      <c r="CA148" s="97"/>
      <c r="CB148" s="97"/>
      <c r="CC148" s="97"/>
      <c r="CD148" s="98"/>
      <c r="CE148" s="97"/>
      <c r="CF148" s="97"/>
      <c r="CG148" s="97"/>
      <c r="CH148" s="98"/>
      <c r="CI148" s="97"/>
      <c r="CJ148" s="97"/>
      <c r="CK148" s="97"/>
      <c r="CL148" s="98"/>
      <c r="CM148" s="97"/>
      <c r="CN148" s="97"/>
      <c r="CO148" s="97"/>
      <c r="CP148" s="98"/>
      <c r="CQ148" s="97"/>
      <c r="CR148" s="97"/>
      <c r="CS148" s="97"/>
      <c r="CT148" s="98"/>
      <c r="CU148" s="97"/>
      <c r="CV148" s="97"/>
      <c r="CW148" s="97"/>
      <c r="CX148" s="98"/>
      <c r="CY148" s="97"/>
      <c r="CZ148" s="97"/>
      <c r="DA148" s="97"/>
      <c r="DB148" s="98"/>
      <c r="DC148" s="75"/>
      <c r="DD148" s="97"/>
      <c r="DE148" s="97"/>
      <c r="DF148" s="98"/>
      <c r="DG148" s="75"/>
      <c r="DH148" s="78"/>
      <c r="DI148" s="99"/>
      <c r="DJ148" s="98"/>
      <c r="DL148" s="40"/>
      <c r="DM148" s="36"/>
      <c r="DN148" s="36"/>
      <c r="DO148" s="36"/>
      <c r="DP148" s="36"/>
      <c r="DQ148" s="100"/>
      <c r="DR148" s="36"/>
      <c r="DS148" s="100"/>
      <c r="DT148" s="36"/>
      <c r="DU148" s="36"/>
      <c r="DV148" s="41"/>
    </row>
    <row r="149" spans="10:126">
      <c r="J149" s="96"/>
      <c r="L149" s="75"/>
      <c r="N149" s="75"/>
      <c r="O149" s="75"/>
      <c r="P149" s="72"/>
      <c r="Q149" s="72"/>
      <c r="S149" s="68"/>
      <c r="T149" s="68"/>
      <c r="V149" s="96"/>
      <c r="W149" s="75"/>
      <c r="X149" s="78"/>
      <c r="Y149" s="97"/>
      <c r="Z149" s="98"/>
      <c r="AA149" s="77"/>
      <c r="AB149" s="78"/>
      <c r="AC149" s="97"/>
      <c r="AD149" s="98"/>
      <c r="AE149" s="77"/>
      <c r="AF149" s="78"/>
      <c r="AG149" s="97"/>
      <c r="AH149" s="98"/>
      <c r="AI149" s="77"/>
      <c r="AJ149" s="78"/>
      <c r="AK149" s="97"/>
      <c r="AL149" s="98"/>
      <c r="AM149" s="77"/>
      <c r="AN149" s="78"/>
      <c r="AO149" s="97"/>
      <c r="AP149" s="98"/>
      <c r="AQ149" s="77"/>
      <c r="AR149" s="78"/>
      <c r="AS149" s="97"/>
      <c r="AT149" s="98"/>
      <c r="AU149" s="77"/>
      <c r="AV149" s="97"/>
      <c r="AW149" s="97"/>
      <c r="AX149" s="98"/>
      <c r="AY149" s="77"/>
      <c r="AZ149" s="97"/>
      <c r="BA149" s="97"/>
      <c r="BB149" s="98"/>
      <c r="BC149" s="77"/>
      <c r="BD149" s="97"/>
      <c r="BE149" s="97"/>
      <c r="BF149" s="98"/>
      <c r="BG149" s="77"/>
      <c r="BH149" s="97"/>
      <c r="BI149" s="97"/>
      <c r="BJ149" s="98"/>
      <c r="BK149" s="77"/>
      <c r="BL149" s="97"/>
      <c r="BM149" s="97"/>
      <c r="BN149" s="98"/>
      <c r="BO149" s="77"/>
      <c r="BP149" s="97"/>
      <c r="BQ149" s="97"/>
      <c r="BR149" s="98"/>
      <c r="BS149" s="77"/>
      <c r="BT149" s="97"/>
      <c r="BU149" s="97"/>
      <c r="BV149" s="98"/>
      <c r="BW149" s="77"/>
      <c r="BX149" s="97"/>
      <c r="BY149" s="97"/>
      <c r="BZ149" s="98"/>
      <c r="CA149" s="97"/>
      <c r="CB149" s="97"/>
      <c r="CC149" s="97"/>
      <c r="CD149" s="98"/>
      <c r="CE149" s="97"/>
      <c r="CF149" s="97"/>
      <c r="CG149" s="97"/>
      <c r="CH149" s="98"/>
      <c r="CI149" s="97"/>
      <c r="CJ149" s="97"/>
      <c r="CK149" s="97"/>
      <c r="CL149" s="98"/>
      <c r="CM149" s="97"/>
      <c r="CN149" s="97"/>
      <c r="CO149" s="97"/>
      <c r="CP149" s="98"/>
      <c r="CQ149" s="97"/>
      <c r="CR149" s="97"/>
      <c r="CS149" s="97"/>
      <c r="CT149" s="98"/>
      <c r="CU149" s="97"/>
      <c r="CV149" s="97"/>
      <c r="CW149" s="97"/>
      <c r="CX149" s="98"/>
      <c r="CY149" s="97"/>
      <c r="CZ149" s="97"/>
      <c r="DA149" s="97"/>
      <c r="DB149" s="98"/>
      <c r="DC149" s="75"/>
      <c r="DD149" s="97"/>
      <c r="DE149" s="97"/>
      <c r="DF149" s="98"/>
      <c r="DG149" s="75"/>
      <c r="DH149" s="78"/>
      <c r="DI149" s="99"/>
      <c r="DJ149" s="98"/>
      <c r="DL149" s="40"/>
      <c r="DM149" s="36"/>
      <c r="DN149" s="36"/>
      <c r="DO149" s="36"/>
      <c r="DP149" s="36"/>
      <c r="DQ149" s="100"/>
      <c r="DR149" s="36"/>
      <c r="DS149" s="100"/>
      <c r="DT149" s="36"/>
      <c r="DU149" s="36"/>
      <c r="DV149" s="41"/>
    </row>
    <row r="150" spans="10:126">
      <c r="J150" s="96"/>
      <c r="L150" s="75"/>
      <c r="N150" s="75"/>
      <c r="O150" s="75"/>
      <c r="P150" s="72"/>
      <c r="Q150" s="72"/>
      <c r="S150" s="68"/>
      <c r="T150" s="68"/>
      <c r="V150" s="96"/>
      <c r="W150" s="75"/>
      <c r="X150" s="78"/>
      <c r="Y150" s="97"/>
      <c r="Z150" s="98"/>
      <c r="AA150" s="77"/>
      <c r="AB150" s="78"/>
      <c r="AC150" s="97"/>
      <c r="AD150" s="98"/>
      <c r="AE150" s="77"/>
      <c r="AF150" s="78"/>
      <c r="AG150" s="97"/>
      <c r="AH150" s="98"/>
      <c r="AI150" s="77"/>
      <c r="AJ150" s="78"/>
      <c r="AK150" s="97"/>
      <c r="AL150" s="98"/>
      <c r="AM150" s="77"/>
      <c r="AN150" s="78"/>
      <c r="AO150" s="97"/>
      <c r="AP150" s="98"/>
      <c r="AQ150" s="77"/>
      <c r="AR150" s="78"/>
      <c r="AS150" s="97"/>
      <c r="AT150" s="98"/>
      <c r="AU150" s="77"/>
      <c r="AV150" s="97"/>
      <c r="AW150" s="97"/>
      <c r="AX150" s="98"/>
      <c r="AY150" s="77"/>
      <c r="AZ150" s="97"/>
      <c r="BA150" s="97"/>
      <c r="BB150" s="98"/>
      <c r="BC150" s="77"/>
      <c r="BD150" s="97"/>
      <c r="BE150" s="97"/>
      <c r="BF150" s="98"/>
      <c r="BG150" s="77"/>
      <c r="BH150" s="97"/>
      <c r="BI150" s="97"/>
      <c r="BJ150" s="98"/>
      <c r="BK150" s="77"/>
      <c r="BL150" s="97"/>
      <c r="BM150" s="97"/>
      <c r="BN150" s="98"/>
      <c r="BO150" s="77"/>
      <c r="BP150" s="97"/>
      <c r="BQ150" s="97"/>
      <c r="BR150" s="98"/>
      <c r="BS150" s="77"/>
      <c r="BT150" s="97"/>
      <c r="BU150" s="97"/>
      <c r="BV150" s="98"/>
      <c r="BW150" s="77"/>
      <c r="BX150" s="97"/>
      <c r="BY150" s="97"/>
      <c r="BZ150" s="98"/>
      <c r="CA150" s="97"/>
      <c r="CB150" s="97"/>
      <c r="CC150" s="97"/>
      <c r="CD150" s="98"/>
      <c r="CE150" s="97"/>
      <c r="CF150" s="97"/>
      <c r="CG150" s="97"/>
      <c r="CH150" s="98"/>
      <c r="CI150" s="97"/>
      <c r="CJ150" s="97"/>
      <c r="CK150" s="97"/>
      <c r="CL150" s="98"/>
      <c r="CM150" s="97"/>
      <c r="CN150" s="97"/>
      <c r="CO150" s="97"/>
      <c r="CP150" s="98"/>
      <c r="CQ150" s="97"/>
      <c r="CR150" s="97"/>
      <c r="CS150" s="97"/>
      <c r="CT150" s="98"/>
      <c r="CU150" s="97"/>
      <c r="CV150" s="97"/>
      <c r="CW150" s="97"/>
      <c r="CX150" s="98"/>
      <c r="CY150" s="97"/>
      <c r="CZ150" s="97"/>
      <c r="DA150" s="97"/>
      <c r="DB150" s="98"/>
      <c r="DC150" s="75"/>
      <c r="DD150" s="97"/>
      <c r="DE150" s="97"/>
      <c r="DF150" s="98"/>
      <c r="DG150" s="75"/>
      <c r="DH150" s="78"/>
      <c r="DI150" s="99"/>
      <c r="DJ150" s="98"/>
      <c r="DL150" s="40"/>
      <c r="DM150" s="36"/>
      <c r="DN150" s="36"/>
      <c r="DO150" s="36"/>
      <c r="DP150" s="36"/>
      <c r="DQ150" s="100"/>
      <c r="DR150" s="36"/>
      <c r="DS150" s="100"/>
      <c r="DT150" s="36"/>
      <c r="DU150" s="36"/>
      <c r="DV150" s="41"/>
    </row>
    <row r="151" spans="10:126">
      <c r="J151" s="96"/>
      <c r="L151" s="75"/>
      <c r="N151" s="75"/>
      <c r="O151" s="75"/>
      <c r="P151" s="72"/>
      <c r="Q151" s="72"/>
      <c r="S151" s="68"/>
      <c r="T151" s="68"/>
      <c r="V151" s="96"/>
      <c r="W151" s="75"/>
      <c r="X151" s="78"/>
      <c r="Y151" s="97"/>
      <c r="Z151" s="98"/>
      <c r="AA151" s="77"/>
      <c r="AB151" s="78"/>
      <c r="AC151" s="97"/>
      <c r="AD151" s="98"/>
      <c r="AE151" s="77"/>
      <c r="AF151" s="78"/>
      <c r="AG151" s="97"/>
      <c r="AH151" s="98"/>
      <c r="AI151" s="77"/>
      <c r="AJ151" s="78"/>
      <c r="AK151" s="97"/>
      <c r="AL151" s="98"/>
      <c r="AM151" s="77"/>
      <c r="AN151" s="78"/>
      <c r="AO151" s="97"/>
      <c r="AP151" s="98"/>
      <c r="AQ151" s="77"/>
      <c r="AR151" s="78"/>
      <c r="AS151" s="97"/>
      <c r="AT151" s="98"/>
      <c r="AU151" s="77"/>
      <c r="AV151" s="97"/>
      <c r="AW151" s="97"/>
      <c r="AX151" s="98"/>
      <c r="AY151" s="77"/>
      <c r="AZ151" s="97"/>
      <c r="BA151" s="97"/>
      <c r="BB151" s="98"/>
      <c r="BC151" s="77"/>
      <c r="BD151" s="97"/>
      <c r="BE151" s="97"/>
      <c r="BF151" s="98"/>
      <c r="BG151" s="77"/>
      <c r="BH151" s="97"/>
      <c r="BI151" s="97"/>
      <c r="BJ151" s="98"/>
      <c r="BK151" s="77"/>
      <c r="BL151" s="97"/>
      <c r="BM151" s="97"/>
      <c r="BN151" s="98"/>
      <c r="BO151" s="77"/>
      <c r="BP151" s="97"/>
      <c r="BQ151" s="97"/>
      <c r="BR151" s="98"/>
      <c r="BS151" s="77"/>
      <c r="BT151" s="97"/>
      <c r="BU151" s="97"/>
      <c r="BV151" s="98"/>
      <c r="BW151" s="77"/>
      <c r="BX151" s="97"/>
      <c r="BY151" s="97"/>
      <c r="BZ151" s="98"/>
      <c r="CA151" s="97"/>
      <c r="CB151" s="97"/>
      <c r="CC151" s="97"/>
      <c r="CD151" s="98"/>
      <c r="CE151" s="97"/>
      <c r="CF151" s="97"/>
      <c r="CG151" s="97"/>
      <c r="CH151" s="98"/>
      <c r="CI151" s="97"/>
      <c r="CJ151" s="97"/>
      <c r="CK151" s="97"/>
      <c r="CL151" s="98"/>
      <c r="CM151" s="97"/>
      <c r="CN151" s="97"/>
      <c r="CO151" s="97"/>
      <c r="CP151" s="98"/>
      <c r="CQ151" s="97"/>
      <c r="CR151" s="97"/>
      <c r="CS151" s="97"/>
      <c r="CT151" s="98"/>
      <c r="CU151" s="97"/>
      <c r="CV151" s="97"/>
      <c r="CW151" s="97"/>
      <c r="CX151" s="98"/>
      <c r="CY151" s="97"/>
      <c r="CZ151" s="97"/>
      <c r="DA151" s="97"/>
      <c r="DB151" s="98"/>
      <c r="DC151" s="75"/>
      <c r="DD151" s="97"/>
      <c r="DE151" s="97"/>
      <c r="DF151" s="98"/>
      <c r="DG151" s="75"/>
      <c r="DH151" s="78"/>
      <c r="DI151" s="99"/>
      <c r="DJ151" s="98"/>
      <c r="DL151" s="40"/>
      <c r="DM151" s="36"/>
      <c r="DN151" s="36"/>
      <c r="DO151" s="36"/>
      <c r="DP151" s="36"/>
      <c r="DQ151" s="100"/>
      <c r="DR151" s="36"/>
      <c r="DS151" s="100"/>
      <c r="DT151" s="36"/>
      <c r="DU151" s="36"/>
      <c r="DV151" s="41"/>
    </row>
    <row r="152" spans="10:126">
      <c r="J152" s="96"/>
      <c r="L152" s="75"/>
      <c r="N152" s="75"/>
      <c r="O152" s="75"/>
      <c r="P152" s="72"/>
      <c r="Q152" s="72"/>
      <c r="S152" s="68"/>
      <c r="T152" s="68"/>
      <c r="V152" s="96"/>
      <c r="W152" s="75"/>
      <c r="X152" s="78"/>
      <c r="Y152" s="97"/>
      <c r="Z152" s="98"/>
      <c r="AA152" s="77"/>
      <c r="AB152" s="78"/>
      <c r="AC152" s="97"/>
      <c r="AD152" s="98"/>
      <c r="AE152" s="77"/>
      <c r="AF152" s="78"/>
      <c r="AG152" s="97"/>
      <c r="AH152" s="98"/>
      <c r="AI152" s="77"/>
      <c r="AJ152" s="78"/>
      <c r="AK152" s="97"/>
      <c r="AL152" s="98"/>
      <c r="AM152" s="77"/>
      <c r="AN152" s="78"/>
      <c r="AO152" s="97"/>
      <c r="AP152" s="98"/>
      <c r="AQ152" s="77"/>
      <c r="AR152" s="78"/>
      <c r="AS152" s="97"/>
      <c r="AT152" s="98"/>
      <c r="AU152" s="77"/>
      <c r="AV152" s="97"/>
      <c r="AW152" s="97"/>
      <c r="AX152" s="98"/>
      <c r="AY152" s="77"/>
      <c r="AZ152" s="97"/>
      <c r="BA152" s="97"/>
      <c r="BB152" s="98"/>
      <c r="BC152" s="77"/>
      <c r="BD152" s="97"/>
      <c r="BE152" s="97"/>
      <c r="BF152" s="98"/>
      <c r="BG152" s="77"/>
      <c r="BH152" s="97"/>
      <c r="BI152" s="97"/>
      <c r="BJ152" s="98"/>
      <c r="BK152" s="77"/>
      <c r="BL152" s="97"/>
      <c r="BM152" s="97"/>
      <c r="BN152" s="98"/>
      <c r="BO152" s="77"/>
      <c r="BP152" s="97"/>
      <c r="BQ152" s="97"/>
      <c r="BR152" s="98"/>
      <c r="BS152" s="77"/>
      <c r="BT152" s="97"/>
      <c r="BU152" s="97"/>
      <c r="BV152" s="98"/>
      <c r="BW152" s="77"/>
      <c r="BX152" s="97"/>
      <c r="BY152" s="97"/>
      <c r="BZ152" s="98"/>
      <c r="CA152" s="97"/>
      <c r="CB152" s="97"/>
      <c r="CC152" s="97"/>
      <c r="CD152" s="98"/>
      <c r="CE152" s="97"/>
      <c r="CF152" s="97"/>
      <c r="CG152" s="97"/>
      <c r="CH152" s="98"/>
      <c r="CI152" s="97"/>
      <c r="CJ152" s="97"/>
      <c r="CK152" s="97"/>
      <c r="CL152" s="98"/>
      <c r="CM152" s="97"/>
      <c r="CN152" s="97"/>
      <c r="CO152" s="97"/>
      <c r="CP152" s="98"/>
      <c r="CQ152" s="97"/>
      <c r="CR152" s="97"/>
      <c r="CS152" s="97"/>
      <c r="CT152" s="98"/>
      <c r="CU152" s="97"/>
      <c r="CV152" s="97"/>
      <c r="CW152" s="97"/>
      <c r="CX152" s="98"/>
      <c r="CY152" s="97"/>
      <c r="CZ152" s="97"/>
      <c r="DA152" s="97"/>
      <c r="DB152" s="98"/>
      <c r="DC152" s="75"/>
      <c r="DD152" s="97"/>
      <c r="DE152" s="97"/>
      <c r="DF152" s="98"/>
      <c r="DG152" s="75"/>
      <c r="DH152" s="78"/>
      <c r="DI152" s="99"/>
      <c r="DJ152" s="98"/>
      <c r="DL152" s="40"/>
      <c r="DM152" s="36"/>
      <c r="DN152" s="36"/>
      <c r="DO152" s="36"/>
      <c r="DP152" s="36"/>
      <c r="DQ152" s="100"/>
      <c r="DR152" s="36"/>
      <c r="DS152" s="100"/>
      <c r="DT152" s="36"/>
      <c r="DU152" s="36"/>
      <c r="DV152" s="41"/>
    </row>
    <row r="153" spans="10:126">
      <c r="J153" s="96"/>
      <c r="L153" s="75"/>
      <c r="N153" s="75"/>
      <c r="O153" s="75"/>
      <c r="P153" s="72"/>
      <c r="Q153" s="72"/>
      <c r="S153" s="68"/>
      <c r="T153" s="68"/>
      <c r="V153" s="96"/>
      <c r="W153" s="75"/>
      <c r="X153" s="78"/>
      <c r="Y153" s="97"/>
      <c r="Z153" s="98"/>
      <c r="AA153" s="77"/>
      <c r="AB153" s="78"/>
      <c r="AC153" s="97"/>
      <c r="AD153" s="98"/>
      <c r="AE153" s="77"/>
      <c r="AF153" s="78"/>
      <c r="AG153" s="97"/>
      <c r="AH153" s="98"/>
      <c r="AI153" s="77"/>
      <c r="AJ153" s="78"/>
      <c r="AK153" s="97"/>
      <c r="AL153" s="98"/>
      <c r="AM153" s="77"/>
      <c r="AN153" s="78"/>
      <c r="AO153" s="97"/>
      <c r="AP153" s="98"/>
      <c r="AQ153" s="77"/>
      <c r="AR153" s="78"/>
      <c r="AS153" s="97"/>
      <c r="AT153" s="98"/>
      <c r="AU153" s="77"/>
      <c r="AV153" s="97"/>
      <c r="AW153" s="97"/>
      <c r="AX153" s="98"/>
      <c r="AY153" s="77"/>
      <c r="AZ153" s="97"/>
      <c r="BA153" s="97"/>
      <c r="BB153" s="98"/>
      <c r="BC153" s="77"/>
      <c r="BD153" s="97"/>
      <c r="BE153" s="97"/>
      <c r="BF153" s="98"/>
      <c r="BG153" s="77"/>
      <c r="BH153" s="97"/>
      <c r="BI153" s="97"/>
      <c r="BJ153" s="98"/>
      <c r="BK153" s="77"/>
      <c r="BL153" s="97"/>
      <c r="BM153" s="97"/>
      <c r="BN153" s="98"/>
      <c r="BO153" s="77"/>
      <c r="BP153" s="97"/>
      <c r="BQ153" s="97"/>
      <c r="BR153" s="98"/>
      <c r="BS153" s="77"/>
      <c r="BT153" s="97"/>
      <c r="BU153" s="97"/>
      <c r="BV153" s="98"/>
      <c r="BW153" s="77"/>
      <c r="BX153" s="97"/>
      <c r="BY153" s="97"/>
      <c r="BZ153" s="98"/>
      <c r="CA153" s="97"/>
      <c r="CB153" s="97"/>
      <c r="CC153" s="97"/>
      <c r="CD153" s="98"/>
      <c r="CE153" s="97"/>
      <c r="CF153" s="97"/>
      <c r="CG153" s="97"/>
      <c r="CH153" s="98"/>
      <c r="CI153" s="97"/>
      <c r="CJ153" s="97"/>
      <c r="CK153" s="97"/>
      <c r="CL153" s="98"/>
      <c r="CM153" s="97"/>
      <c r="CN153" s="97"/>
      <c r="CO153" s="97"/>
      <c r="CP153" s="98"/>
      <c r="CQ153" s="97"/>
      <c r="CR153" s="97"/>
      <c r="CS153" s="97"/>
      <c r="CT153" s="98"/>
      <c r="CU153" s="97"/>
      <c r="CV153" s="97"/>
      <c r="CW153" s="97"/>
      <c r="CX153" s="98"/>
      <c r="CY153" s="97"/>
      <c r="CZ153" s="97"/>
      <c r="DA153" s="97"/>
      <c r="DB153" s="98"/>
      <c r="DC153" s="75"/>
      <c r="DD153" s="97"/>
      <c r="DE153" s="97"/>
      <c r="DF153" s="98"/>
      <c r="DG153" s="75"/>
      <c r="DH153" s="78"/>
      <c r="DI153" s="99"/>
      <c r="DJ153" s="98"/>
      <c r="DL153" s="40"/>
      <c r="DM153" s="36"/>
      <c r="DN153" s="36"/>
      <c r="DO153" s="36"/>
      <c r="DP153" s="36"/>
      <c r="DQ153" s="100"/>
      <c r="DR153" s="36"/>
      <c r="DS153" s="100"/>
      <c r="DT153" s="36"/>
      <c r="DU153" s="36"/>
      <c r="DV153" s="41"/>
    </row>
    <row r="154" spans="10:126">
      <c r="J154" s="96"/>
      <c r="L154" s="75"/>
      <c r="N154" s="75"/>
      <c r="O154" s="75"/>
      <c r="P154" s="72"/>
      <c r="Q154" s="72"/>
      <c r="S154" s="68"/>
      <c r="T154" s="68"/>
      <c r="V154" s="96"/>
      <c r="W154" s="75"/>
      <c r="X154" s="78"/>
      <c r="Y154" s="97"/>
      <c r="Z154" s="98"/>
      <c r="AA154" s="77"/>
      <c r="AB154" s="78"/>
      <c r="AC154" s="97"/>
      <c r="AD154" s="98"/>
      <c r="AE154" s="77"/>
      <c r="AF154" s="78"/>
      <c r="AG154" s="97"/>
      <c r="AH154" s="98"/>
      <c r="AI154" s="77"/>
      <c r="AJ154" s="78"/>
      <c r="AK154" s="97"/>
      <c r="AL154" s="98"/>
      <c r="AM154" s="77"/>
      <c r="AN154" s="78"/>
      <c r="AO154" s="97"/>
      <c r="AP154" s="98"/>
      <c r="AQ154" s="77"/>
      <c r="AR154" s="78"/>
      <c r="AS154" s="97"/>
      <c r="AT154" s="98"/>
      <c r="AU154" s="77"/>
      <c r="AV154" s="97"/>
      <c r="AW154" s="97"/>
      <c r="AX154" s="98"/>
      <c r="AY154" s="77"/>
      <c r="AZ154" s="97"/>
      <c r="BA154" s="97"/>
      <c r="BB154" s="98"/>
      <c r="BC154" s="77"/>
      <c r="BD154" s="97"/>
      <c r="BE154" s="97"/>
      <c r="BF154" s="98"/>
      <c r="BG154" s="77"/>
      <c r="BH154" s="97"/>
      <c r="BI154" s="97"/>
      <c r="BJ154" s="98"/>
      <c r="BK154" s="77"/>
      <c r="BL154" s="97"/>
      <c r="BM154" s="97"/>
      <c r="BN154" s="98"/>
      <c r="BO154" s="77"/>
      <c r="BP154" s="97"/>
      <c r="BQ154" s="97"/>
      <c r="BR154" s="98"/>
      <c r="BS154" s="77"/>
      <c r="BT154" s="97"/>
      <c r="BU154" s="97"/>
      <c r="BV154" s="98"/>
      <c r="BW154" s="77"/>
      <c r="BX154" s="97"/>
      <c r="BY154" s="97"/>
      <c r="BZ154" s="98"/>
      <c r="CA154" s="97"/>
      <c r="CB154" s="97"/>
      <c r="CC154" s="97"/>
      <c r="CD154" s="98"/>
      <c r="CE154" s="97"/>
      <c r="CF154" s="97"/>
      <c r="CG154" s="97"/>
      <c r="CH154" s="98"/>
      <c r="CI154" s="97"/>
      <c r="CJ154" s="97"/>
      <c r="CK154" s="97"/>
      <c r="CL154" s="98"/>
      <c r="CM154" s="97"/>
      <c r="CN154" s="97"/>
      <c r="CO154" s="97"/>
      <c r="CP154" s="98"/>
      <c r="CQ154" s="97"/>
      <c r="CR154" s="97"/>
      <c r="CS154" s="97"/>
      <c r="CT154" s="98"/>
      <c r="CU154" s="97"/>
      <c r="CV154" s="97"/>
      <c r="CW154" s="97"/>
      <c r="CX154" s="98"/>
      <c r="CY154" s="97"/>
      <c r="CZ154" s="97"/>
      <c r="DA154" s="97"/>
      <c r="DB154" s="98"/>
      <c r="DC154" s="75"/>
      <c r="DD154" s="97"/>
      <c r="DE154" s="97"/>
      <c r="DF154" s="98"/>
      <c r="DG154" s="75"/>
      <c r="DH154" s="78"/>
      <c r="DI154" s="99"/>
      <c r="DJ154" s="98"/>
      <c r="DL154" s="40"/>
      <c r="DM154" s="36"/>
      <c r="DN154" s="36"/>
      <c r="DO154" s="36"/>
      <c r="DP154" s="36"/>
      <c r="DQ154" s="100"/>
      <c r="DR154" s="36"/>
      <c r="DS154" s="100"/>
      <c r="DT154" s="36"/>
      <c r="DU154" s="36"/>
      <c r="DV154" s="41"/>
    </row>
    <row r="155" spans="10:126">
      <c r="J155" s="96"/>
      <c r="L155" s="75"/>
      <c r="N155" s="75"/>
      <c r="O155" s="75"/>
      <c r="P155" s="72"/>
      <c r="Q155" s="72"/>
      <c r="S155" s="68"/>
      <c r="T155" s="68"/>
      <c r="V155" s="96"/>
      <c r="W155" s="75"/>
      <c r="X155" s="78"/>
      <c r="Y155" s="97"/>
      <c r="Z155" s="98"/>
      <c r="AA155" s="77"/>
      <c r="AB155" s="78"/>
      <c r="AC155" s="97"/>
      <c r="AD155" s="98"/>
      <c r="AE155" s="77"/>
      <c r="AF155" s="78"/>
      <c r="AG155" s="97"/>
      <c r="AH155" s="98"/>
      <c r="AI155" s="77"/>
      <c r="AJ155" s="78"/>
      <c r="AK155" s="97"/>
      <c r="AL155" s="98"/>
      <c r="AM155" s="77"/>
      <c r="AN155" s="78"/>
      <c r="AO155" s="97"/>
      <c r="AP155" s="98"/>
      <c r="AQ155" s="77"/>
      <c r="AR155" s="78"/>
      <c r="AS155" s="97"/>
      <c r="AT155" s="98"/>
      <c r="AU155" s="77"/>
      <c r="AV155" s="97"/>
      <c r="AW155" s="97"/>
      <c r="AX155" s="98"/>
      <c r="AY155" s="77"/>
      <c r="AZ155" s="97"/>
      <c r="BA155" s="97"/>
      <c r="BB155" s="98"/>
      <c r="BC155" s="77"/>
      <c r="BD155" s="97"/>
      <c r="BE155" s="97"/>
      <c r="BF155" s="98"/>
      <c r="BG155" s="77"/>
      <c r="BH155" s="97"/>
      <c r="BI155" s="97"/>
      <c r="BJ155" s="98"/>
      <c r="BK155" s="77"/>
      <c r="BL155" s="97"/>
      <c r="BM155" s="97"/>
      <c r="BN155" s="98"/>
      <c r="BO155" s="77"/>
      <c r="BP155" s="97"/>
      <c r="BQ155" s="97"/>
      <c r="BR155" s="98"/>
      <c r="BS155" s="77"/>
      <c r="BT155" s="97"/>
      <c r="BU155" s="97"/>
      <c r="BV155" s="98"/>
      <c r="BW155" s="77"/>
      <c r="BX155" s="97"/>
      <c r="BY155" s="97"/>
      <c r="BZ155" s="98"/>
      <c r="CA155" s="97"/>
      <c r="CB155" s="97"/>
      <c r="CC155" s="97"/>
      <c r="CD155" s="98"/>
      <c r="CE155" s="97"/>
      <c r="CF155" s="97"/>
      <c r="CG155" s="97"/>
      <c r="CH155" s="98"/>
      <c r="CI155" s="97"/>
      <c r="CJ155" s="97"/>
      <c r="CK155" s="97"/>
      <c r="CL155" s="98"/>
      <c r="CM155" s="97"/>
      <c r="CN155" s="97"/>
      <c r="CO155" s="97"/>
      <c r="CP155" s="98"/>
      <c r="CQ155" s="97"/>
      <c r="CR155" s="97"/>
      <c r="CS155" s="97"/>
      <c r="CT155" s="98"/>
      <c r="CU155" s="97"/>
      <c r="CV155" s="97"/>
      <c r="CW155" s="97"/>
      <c r="CX155" s="98"/>
      <c r="CY155" s="97"/>
      <c r="CZ155" s="97"/>
      <c r="DA155" s="97"/>
      <c r="DB155" s="98"/>
      <c r="DC155" s="75"/>
      <c r="DD155" s="97"/>
      <c r="DE155" s="97"/>
      <c r="DF155" s="98"/>
      <c r="DG155" s="75"/>
      <c r="DH155" s="78"/>
      <c r="DI155" s="99"/>
      <c r="DJ155" s="98"/>
      <c r="DL155" s="40"/>
      <c r="DM155" s="36"/>
      <c r="DN155" s="36"/>
      <c r="DO155" s="36"/>
      <c r="DP155" s="36"/>
      <c r="DQ155" s="100"/>
      <c r="DR155" s="36"/>
      <c r="DS155" s="100"/>
      <c r="DT155" s="36"/>
      <c r="DU155" s="36"/>
      <c r="DV155" s="41"/>
    </row>
    <row r="156" spans="10:126">
      <c r="J156" s="96"/>
      <c r="L156" s="75"/>
      <c r="N156" s="75"/>
      <c r="O156" s="75"/>
      <c r="P156" s="72"/>
      <c r="Q156" s="72"/>
      <c r="S156" s="68"/>
      <c r="T156" s="68"/>
      <c r="V156" s="96"/>
      <c r="W156" s="75"/>
      <c r="X156" s="78"/>
      <c r="Y156" s="97"/>
      <c r="Z156" s="98"/>
      <c r="AA156" s="77"/>
      <c r="AB156" s="78"/>
      <c r="AC156" s="97"/>
      <c r="AD156" s="98"/>
      <c r="AE156" s="77"/>
      <c r="AF156" s="78"/>
      <c r="AG156" s="97"/>
      <c r="AH156" s="98"/>
      <c r="AI156" s="77"/>
      <c r="AJ156" s="78"/>
      <c r="AK156" s="97"/>
      <c r="AL156" s="98"/>
      <c r="AM156" s="77"/>
      <c r="AN156" s="78"/>
      <c r="AO156" s="97"/>
      <c r="AP156" s="98"/>
      <c r="AQ156" s="77"/>
      <c r="AR156" s="78"/>
      <c r="AS156" s="97"/>
      <c r="AT156" s="98"/>
      <c r="AU156" s="77"/>
      <c r="AV156" s="97"/>
      <c r="AW156" s="97"/>
      <c r="AX156" s="98"/>
      <c r="AY156" s="77"/>
      <c r="AZ156" s="97"/>
      <c r="BA156" s="97"/>
      <c r="BB156" s="98"/>
      <c r="BC156" s="77"/>
      <c r="BD156" s="97"/>
      <c r="BE156" s="97"/>
      <c r="BF156" s="98"/>
      <c r="BG156" s="77"/>
      <c r="BH156" s="97"/>
      <c r="BI156" s="97"/>
      <c r="BJ156" s="98"/>
      <c r="BK156" s="77"/>
      <c r="BL156" s="97"/>
      <c r="BM156" s="97"/>
      <c r="BN156" s="98"/>
      <c r="BO156" s="77"/>
      <c r="BP156" s="97"/>
      <c r="BQ156" s="97"/>
      <c r="BR156" s="98"/>
      <c r="BS156" s="77"/>
      <c r="BT156" s="97"/>
      <c r="BU156" s="97"/>
      <c r="BV156" s="98"/>
      <c r="BW156" s="77"/>
      <c r="BX156" s="97"/>
      <c r="BY156" s="97"/>
      <c r="BZ156" s="98"/>
      <c r="CA156" s="97"/>
      <c r="CB156" s="97"/>
      <c r="CC156" s="97"/>
      <c r="CD156" s="98"/>
      <c r="CE156" s="97"/>
      <c r="CF156" s="97"/>
      <c r="CG156" s="97"/>
      <c r="CH156" s="98"/>
      <c r="CI156" s="97"/>
      <c r="CJ156" s="97"/>
      <c r="CK156" s="97"/>
      <c r="CL156" s="98"/>
      <c r="CM156" s="97"/>
      <c r="CN156" s="97"/>
      <c r="CO156" s="97"/>
      <c r="CP156" s="98"/>
      <c r="CQ156" s="97"/>
      <c r="CR156" s="97"/>
      <c r="CS156" s="97"/>
      <c r="CT156" s="98"/>
      <c r="CU156" s="97"/>
      <c r="CV156" s="97"/>
      <c r="CW156" s="97"/>
      <c r="CX156" s="98"/>
      <c r="CY156" s="97"/>
      <c r="CZ156" s="97"/>
      <c r="DA156" s="97"/>
      <c r="DB156" s="98"/>
      <c r="DC156" s="75"/>
      <c r="DD156" s="97"/>
      <c r="DE156" s="97"/>
      <c r="DF156" s="98"/>
      <c r="DG156" s="75"/>
      <c r="DH156" s="78"/>
      <c r="DI156" s="99"/>
      <c r="DJ156" s="98"/>
      <c r="DL156" s="40"/>
      <c r="DM156" s="36"/>
      <c r="DN156" s="36"/>
      <c r="DO156" s="36"/>
      <c r="DP156" s="36"/>
      <c r="DQ156" s="100"/>
      <c r="DR156" s="36"/>
      <c r="DS156" s="100"/>
      <c r="DT156" s="36"/>
      <c r="DU156" s="36"/>
      <c r="DV156" s="41"/>
    </row>
    <row r="157" spans="10:126">
      <c r="J157" s="96"/>
      <c r="L157" s="75"/>
      <c r="N157" s="75"/>
      <c r="O157" s="75"/>
      <c r="P157" s="72"/>
      <c r="Q157" s="72"/>
      <c r="S157" s="68"/>
      <c r="T157" s="68"/>
      <c r="V157" s="96"/>
      <c r="W157" s="75"/>
      <c r="X157" s="78"/>
      <c r="Y157" s="97"/>
      <c r="Z157" s="98"/>
      <c r="AA157" s="77"/>
      <c r="AB157" s="78"/>
      <c r="AC157" s="97"/>
      <c r="AD157" s="98"/>
      <c r="AE157" s="77"/>
      <c r="AF157" s="78"/>
      <c r="AG157" s="97"/>
      <c r="AH157" s="98"/>
      <c r="AI157" s="77"/>
      <c r="AJ157" s="78"/>
      <c r="AK157" s="97"/>
      <c r="AL157" s="98"/>
      <c r="AM157" s="77"/>
      <c r="AN157" s="78"/>
      <c r="AO157" s="97"/>
      <c r="AP157" s="98"/>
      <c r="AQ157" s="77"/>
      <c r="AR157" s="78"/>
      <c r="AS157" s="97"/>
      <c r="AT157" s="98"/>
      <c r="AU157" s="77"/>
      <c r="AV157" s="97"/>
      <c r="AW157" s="97"/>
      <c r="AX157" s="98"/>
      <c r="AY157" s="77"/>
      <c r="AZ157" s="97"/>
      <c r="BA157" s="97"/>
      <c r="BB157" s="98"/>
      <c r="BC157" s="77"/>
      <c r="BD157" s="97"/>
      <c r="BE157" s="97"/>
      <c r="BF157" s="98"/>
      <c r="BG157" s="77"/>
      <c r="BH157" s="97"/>
      <c r="BI157" s="97"/>
      <c r="BJ157" s="98"/>
      <c r="BK157" s="77"/>
      <c r="BL157" s="97"/>
      <c r="BM157" s="97"/>
      <c r="BN157" s="98"/>
      <c r="BO157" s="77"/>
      <c r="BP157" s="97"/>
      <c r="BQ157" s="97"/>
      <c r="BR157" s="98"/>
      <c r="BS157" s="77"/>
      <c r="BT157" s="97"/>
      <c r="BU157" s="97"/>
      <c r="BV157" s="98"/>
      <c r="BW157" s="77"/>
      <c r="BX157" s="97"/>
      <c r="BY157" s="97"/>
      <c r="BZ157" s="98"/>
      <c r="CA157" s="97"/>
      <c r="CB157" s="97"/>
      <c r="CC157" s="97"/>
      <c r="CD157" s="98"/>
      <c r="CE157" s="97"/>
      <c r="CF157" s="97"/>
      <c r="CG157" s="97"/>
      <c r="CH157" s="98"/>
      <c r="CI157" s="97"/>
      <c r="CJ157" s="97"/>
      <c r="CK157" s="97"/>
      <c r="CL157" s="98"/>
      <c r="CM157" s="97"/>
      <c r="CN157" s="97"/>
      <c r="CO157" s="97"/>
      <c r="CP157" s="98"/>
      <c r="CQ157" s="97"/>
      <c r="CR157" s="97"/>
      <c r="CS157" s="97"/>
      <c r="CT157" s="98"/>
      <c r="CU157" s="97"/>
      <c r="CV157" s="97"/>
      <c r="CW157" s="97"/>
      <c r="CX157" s="98"/>
      <c r="CY157" s="97"/>
      <c r="CZ157" s="97"/>
      <c r="DA157" s="97"/>
      <c r="DB157" s="98"/>
      <c r="DC157" s="75"/>
      <c r="DD157" s="97"/>
      <c r="DE157" s="97"/>
      <c r="DF157" s="98"/>
      <c r="DG157" s="75"/>
      <c r="DH157" s="78"/>
      <c r="DI157" s="99"/>
      <c r="DJ157" s="98"/>
      <c r="DL157" s="40"/>
      <c r="DM157" s="36"/>
      <c r="DN157" s="36"/>
      <c r="DO157" s="36"/>
      <c r="DP157" s="36"/>
      <c r="DQ157" s="100"/>
      <c r="DR157" s="36"/>
      <c r="DS157" s="100"/>
      <c r="DT157" s="36"/>
      <c r="DU157" s="36"/>
      <c r="DV157" s="41"/>
    </row>
    <row r="158" spans="10:126">
      <c r="J158" s="96"/>
      <c r="L158" s="75"/>
      <c r="N158" s="75"/>
      <c r="O158" s="75"/>
      <c r="P158" s="72"/>
      <c r="Q158" s="72"/>
      <c r="S158" s="68"/>
      <c r="T158" s="68"/>
      <c r="V158" s="96"/>
      <c r="W158" s="75"/>
      <c r="X158" s="78"/>
      <c r="Y158" s="97"/>
      <c r="Z158" s="98"/>
      <c r="AA158" s="77"/>
      <c r="AB158" s="78"/>
      <c r="AC158" s="97"/>
      <c r="AD158" s="98"/>
      <c r="AE158" s="77"/>
      <c r="AF158" s="78"/>
      <c r="AG158" s="97"/>
      <c r="AH158" s="98"/>
      <c r="AI158" s="77"/>
      <c r="AJ158" s="78"/>
      <c r="AK158" s="97"/>
      <c r="AL158" s="98"/>
      <c r="AM158" s="77"/>
      <c r="AN158" s="78"/>
      <c r="AO158" s="97"/>
      <c r="AP158" s="98"/>
      <c r="AQ158" s="77"/>
      <c r="AR158" s="78"/>
      <c r="AS158" s="97"/>
      <c r="AT158" s="98"/>
      <c r="AU158" s="77"/>
      <c r="AV158" s="97"/>
      <c r="AW158" s="97"/>
      <c r="AX158" s="98"/>
      <c r="AY158" s="77"/>
      <c r="AZ158" s="97"/>
      <c r="BA158" s="97"/>
      <c r="BB158" s="98"/>
      <c r="BC158" s="77"/>
      <c r="BD158" s="97"/>
      <c r="BE158" s="97"/>
      <c r="BF158" s="98"/>
      <c r="BG158" s="77"/>
      <c r="BH158" s="97"/>
      <c r="BI158" s="97"/>
      <c r="BJ158" s="98"/>
      <c r="BK158" s="77"/>
      <c r="BL158" s="97"/>
      <c r="BM158" s="97"/>
      <c r="BN158" s="98"/>
      <c r="BO158" s="77"/>
      <c r="BP158" s="97"/>
      <c r="BQ158" s="97"/>
      <c r="BR158" s="98"/>
      <c r="BS158" s="77"/>
      <c r="BT158" s="97"/>
      <c r="BU158" s="97"/>
      <c r="BV158" s="98"/>
      <c r="BW158" s="77"/>
      <c r="BX158" s="97"/>
      <c r="BY158" s="97"/>
      <c r="BZ158" s="98"/>
      <c r="CA158" s="97"/>
      <c r="CB158" s="97"/>
      <c r="CC158" s="97"/>
      <c r="CD158" s="98"/>
      <c r="CE158" s="97"/>
      <c r="CF158" s="97"/>
      <c r="CG158" s="97"/>
      <c r="CH158" s="98"/>
      <c r="CI158" s="97"/>
      <c r="CJ158" s="97"/>
      <c r="CK158" s="97"/>
      <c r="CL158" s="98"/>
      <c r="CM158" s="97"/>
      <c r="CN158" s="97"/>
      <c r="CO158" s="97"/>
      <c r="CP158" s="98"/>
      <c r="CQ158" s="97"/>
      <c r="CR158" s="97"/>
      <c r="CS158" s="97"/>
      <c r="CT158" s="98"/>
      <c r="CU158" s="97"/>
      <c r="CV158" s="97"/>
      <c r="CW158" s="97"/>
      <c r="CX158" s="98"/>
      <c r="CY158" s="97"/>
      <c r="CZ158" s="97"/>
      <c r="DA158" s="97"/>
      <c r="DB158" s="98"/>
      <c r="DC158" s="75"/>
      <c r="DD158" s="97"/>
      <c r="DE158" s="97"/>
      <c r="DF158" s="98"/>
      <c r="DG158" s="75"/>
      <c r="DH158" s="78"/>
      <c r="DI158" s="99"/>
      <c r="DJ158" s="98"/>
      <c r="DL158" s="40"/>
      <c r="DM158" s="36"/>
      <c r="DN158" s="36"/>
      <c r="DO158" s="36"/>
      <c r="DP158" s="36"/>
      <c r="DQ158" s="100"/>
      <c r="DR158" s="36"/>
      <c r="DS158" s="100"/>
      <c r="DT158" s="36"/>
      <c r="DU158" s="36"/>
      <c r="DV158" s="41"/>
    </row>
    <row r="159" spans="10:126">
      <c r="J159" s="96"/>
      <c r="L159" s="75"/>
      <c r="N159" s="75"/>
      <c r="O159" s="75"/>
      <c r="P159" s="72"/>
      <c r="Q159" s="72"/>
      <c r="S159" s="68"/>
      <c r="T159" s="68"/>
      <c r="V159" s="96"/>
      <c r="W159" s="75"/>
      <c r="X159" s="78"/>
      <c r="Y159" s="97"/>
      <c r="Z159" s="98"/>
      <c r="AA159" s="77"/>
      <c r="AB159" s="78"/>
      <c r="AC159" s="97"/>
      <c r="AD159" s="98"/>
      <c r="AE159" s="77"/>
      <c r="AF159" s="78"/>
      <c r="AG159" s="97"/>
      <c r="AH159" s="98"/>
      <c r="AI159" s="77"/>
      <c r="AJ159" s="78"/>
      <c r="AK159" s="97"/>
      <c r="AL159" s="98"/>
      <c r="AM159" s="77"/>
      <c r="AN159" s="78"/>
      <c r="AO159" s="97"/>
      <c r="AP159" s="98"/>
      <c r="AQ159" s="77"/>
      <c r="AR159" s="78"/>
      <c r="AS159" s="97"/>
      <c r="AT159" s="98"/>
      <c r="AU159" s="77"/>
      <c r="AV159" s="97"/>
      <c r="AW159" s="97"/>
      <c r="AX159" s="98"/>
      <c r="AY159" s="77"/>
      <c r="AZ159" s="97"/>
      <c r="BA159" s="97"/>
      <c r="BB159" s="98"/>
      <c r="BC159" s="77"/>
      <c r="BD159" s="97"/>
      <c r="BE159" s="97"/>
      <c r="BF159" s="98"/>
      <c r="BG159" s="77"/>
      <c r="BH159" s="97"/>
      <c r="BI159" s="97"/>
      <c r="BJ159" s="98"/>
      <c r="BK159" s="77"/>
      <c r="BL159" s="97"/>
      <c r="BM159" s="97"/>
      <c r="BN159" s="98"/>
      <c r="BO159" s="77"/>
      <c r="BP159" s="97"/>
      <c r="BQ159" s="97"/>
      <c r="BR159" s="98"/>
      <c r="BS159" s="77"/>
      <c r="BT159" s="97"/>
      <c r="BU159" s="97"/>
      <c r="BV159" s="98"/>
      <c r="BW159" s="77"/>
      <c r="BX159" s="97"/>
      <c r="BY159" s="97"/>
      <c r="BZ159" s="98"/>
      <c r="CA159" s="97"/>
      <c r="CB159" s="97"/>
      <c r="CC159" s="97"/>
      <c r="CD159" s="98"/>
      <c r="CE159" s="97"/>
      <c r="CF159" s="97"/>
      <c r="CG159" s="97"/>
      <c r="CH159" s="98"/>
      <c r="CI159" s="97"/>
      <c r="CJ159" s="97"/>
      <c r="CK159" s="97"/>
      <c r="CL159" s="98"/>
      <c r="CM159" s="97"/>
      <c r="CN159" s="97"/>
      <c r="CO159" s="97"/>
      <c r="CP159" s="98"/>
      <c r="CQ159" s="97"/>
      <c r="CR159" s="97"/>
      <c r="CS159" s="97"/>
      <c r="CT159" s="98"/>
      <c r="CU159" s="97"/>
      <c r="CV159" s="97"/>
      <c r="CW159" s="97"/>
      <c r="CX159" s="98"/>
      <c r="CY159" s="97"/>
      <c r="CZ159" s="97"/>
      <c r="DA159" s="97"/>
      <c r="DB159" s="98"/>
      <c r="DC159" s="75"/>
      <c r="DD159" s="97"/>
      <c r="DE159" s="97"/>
      <c r="DF159" s="98"/>
      <c r="DG159" s="75"/>
      <c r="DH159" s="78"/>
      <c r="DI159" s="99"/>
      <c r="DJ159" s="98"/>
      <c r="DL159" s="40"/>
      <c r="DM159" s="36"/>
      <c r="DN159" s="36"/>
      <c r="DO159" s="36"/>
      <c r="DP159" s="36"/>
      <c r="DQ159" s="100"/>
      <c r="DR159" s="36"/>
      <c r="DS159" s="100"/>
      <c r="DT159" s="36"/>
      <c r="DU159" s="36"/>
      <c r="DV159" s="41"/>
    </row>
    <row r="160" spans="10:126">
      <c r="J160" s="96"/>
      <c r="L160" s="75"/>
      <c r="N160" s="75"/>
      <c r="O160" s="75"/>
      <c r="P160" s="72"/>
      <c r="Q160" s="72"/>
      <c r="S160" s="68"/>
      <c r="T160" s="68"/>
      <c r="V160" s="96"/>
      <c r="W160" s="75"/>
      <c r="X160" s="78"/>
      <c r="Y160" s="97"/>
      <c r="Z160" s="98"/>
      <c r="AA160" s="77"/>
      <c r="AB160" s="78"/>
      <c r="AC160" s="97"/>
      <c r="AD160" s="98"/>
      <c r="AE160" s="77"/>
      <c r="AF160" s="78"/>
      <c r="AG160" s="97"/>
      <c r="AH160" s="98"/>
      <c r="AI160" s="77"/>
      <c r="AJ160" s="78"/>
      <c r="AK160" s="97"/>
      <c r="AL160" s="98"/>
      <c r="AM160" s="77"/>
      <c r="AN160" s="78"/>
      <c r="AO160" s="97"/>
      <c r="AP160" s="98"/>
      <c r="AQ160" s="77"/>
      <c r="AR160" s="78"/>
      <c r="AS160" s="97"/>
      <c r="AT160" s="98"/>
      <c r="AU160" s="77"/>
      <c r="AV160" s="97"/>
      <c r="AW160" s="97"/>
      <c r="AX160" s="98"/>
      <c r="AY160" s="77"/>
      <c r="AZ160" s="97"/>
      <c r="BA160" s="97"/>
      <c r="BB160" s="98"/>
      <c r="BC160" s="77"/>
      <c r="BD160" s="97"/>
      <c r="BE160" s="97"/>
      <c r="BF160" s="98"/>
      <c r="BG160" s="77"/>
      <c r="BH160" s="97"/>
      <c r="BI160" s="97"/>
      <c r="BJ160" s="98"/>
      <c r="BK160" s="77"/>
      <c r="BL160" s="97"/>
      <c r="BM160" s="97"/>
      <c r="BN160" s="98"/>
      <c r="BO160" s="77"/>
      <c r="BP160" s="97"/>
      <c r="BQ160" s="97"/>
      <c r="BR160" s="98"/>
      <c r="BS160" s="77"/>
      <c r="BT160" s="97"/>
      <c r="BU160" s="97"/>
      <c r="BV160" s="98"/>
      <c r="BW160" s="77"/>
      <c r="BX160" s="97"/>
      <c r="BY160" s="97"/>
      <c r="BZ160" s="98"/>
      <c r="CA160" s="97"/>
      <c r="CB160" s="97"/>
      <c r="CC160" s="97"/>
      <c r="CD160" s="98"/>
      <c r="CE160" s="97"/>
      <c r="CF160" s="97"/>
      <c r="CG160" s="97"/>
      <c r="CH160" s="98"/>
      <c r="CI160" s="97"/>
      <c r="CJ160" s="97"/>
      <c r="CK160" s="97"/>
      <c r="CL160" s="98"/>
      <c r="CM160" s="97"/>
      <c r="CN160" s="97"/>
      <c r="CO160" s="97"/>
      <c r="CP160" s="98"/>
      <c r="CQ160" s="97"/>
      <c r="CR160" s="97"/>
      <c r="CS160" s="97"/>
      <c r="CT160" s="98"/>
      <c r="CU160" s="97"/>
      <c r="CV160" s="97"/>
      <c r="CW160" s="97"/>
      <c r="CX160" s="98"/>
      <c r="CY160" s="97"/>
      <c r="CZ160" s="97"/>
      <c r="DA160" s="97"/>
      <c r="DB160" s="98"/>
      <c r="DC160" s="75"/>
      <c r="DD160" s="97"/>
      <c r="DE160" s="97"/>
      <c r="DF160" s="98"/>
      <c r="DG160" s="75"/>
      <c r="DH160" s="78"/>
      <c r="DI160" s="99"/>
      <c r="DJ160" s="98"/>
      <c r="DL160" s="40"/>
      <c r="DM160" s="36"/>
      <c r="DN160" s="36"/>
      <c r="DO160" s="36"/>
      <c r="DP160" s="36"/>
      <c r="DQ160" s="100"/>
      <c r="DR160" s="36"/>
      <c r="DS160" s="100"/>
      <c r="DT160" s="36"/>
      <c r="DU160" s="36"/>
      <c r="DV160" s="41"/>
    </row>
    <row r="161" spans="10:126">
      <c r="J161" s="96"/>
      <c r="L161" s="75"/>
      <c r="N161" s="75"/>
      <c r="O161" s="75"/>
      <c r="P161" s="72"/>
      <c r="Q161" s="72"/>
      <c r="S161" s="68"/>
      <c r="T161" s="68"/>
      <c r="V161" s="96"/>
      <c r="W161" s="75"/>
      <c r="X161" s="78"/>
      <c r="Y161" s="97"/>
      <c r="Z161" s="98"/>
      <c r="AA161" s="77"/>
      <c r="AB161" s="78"/>
      <c r="AC161" s="97"/>
      <c r="AD161" s="98"/>
      <c r="AE161" s="77"/>
      <c r="AF161" s="78"/>
      <c r="AG161" s="97"/>
      <c r="AH161" s="98"/>
      <c r="AI161" s="77"/>
      <c r="AJ161" s="78"/>
      <c r="AK161" s="97"/>
      <c r="AL161" s="98"/>
      <c r="AM161" s="77"/>
      <c r="AN161" s="78"/>
      <c r="AO161" s="97"/>
      <c r="AP161" s="98"/>
      <c r="AQ161" s="77"/>
      <c r="AR161" s="78"/>
      <c r="AS161" s="97"/>
      <c r="AT161" s="98"/>
      <c r="AU161" s="77"/>
      <c r="AV161" s="97"/>
      <c r="AW161" s="97"/>
      <c r="AX161" s="98"/>
      <c r="AY161" s="77"/>
      <c r="AZ161" s="97"/>
      <c r="BA161" s="97"/>
      <c r="BB161" s="98"/>
      <c r="BC161" s="77"/>
      <c r="BD161" s="97"/>
      <c r="BE161" s="97"/>
      <c r="BF161" s="98"/>
      <c r="BG161" s="77"/>
      <c r="BH161" s="97"/>
      <c r="BI161" s="97"/>
      <c r="BJ161" s="98"/>
      <c r="BK161" s="77"/>
      <c r="BL161" s="97"/>
      <c r="BM161" s="97"/>
      <c r="BN161" s="98"/>
      <c r="BO161" s="77"/>
      <c r="BP161" s="97"/>
      <c r="BQ161" s="97"/>
      <c r="BR161" s="98"/>
      <c r="BS161" s="77"/>
      <c r="BT161" s="97"/>
      <c r="BU161" s="97"/>
      <c r="BV161" s="98"/>
      <c r="BW161" s="77"/>
      <c r="BX161" s="97"/>
      <c r="BY161" s="97"/>
      <c r="BZ161" s="98"/>
      <c r="CA161" s="97"/>
      <c r="CB161" s="97"/>
      <c r="CC161" s="97"/>
      <c r="CD161" s="98"/>
      <c r="CE161" s="97"/>
      <c r="CF161" s="97"/>
      <c r="CG161" s="97"/>
      <c r="CH161" s="98"/>
      <c r="CI161" s="97"/>
      <c r="CJ161" s="97"/>
      <c r="CK161" s="97"/>
      <c r="CL161" s="98"/>
      <c r="CM161" s="97"/>
      <c r="CN161" s="97"/>
      <c r="CO161" s="97"/>
      <c r="CP161" s="98"/>
      <c r="CQ161" s="97"/>
      <c r="CR161" s="97"/>
      <c r="CS161" s="97"/>
      <c r="CT161" s="98"/>
      <c r="CU161" s="97"/>
      <c r="CV161" s="97"/>
      <c r="CW161" s="97"/>
      <c r="CX161" s="98"/>
      <c r="CY161" s="97"/>
      <c r="CZ161" s="97"/>
      <c r="DA161" s="97"/>
      <c r="DB161" s="98"/>
      <c r="DC161" s="75"/>
      <c r="DD161" s="97"/>
      <c r="DE161" s="97"/>
      <c r="DF161" s="98"/>
      <c r="DG161" s="75"/>
      <c r="DH161" s="78"/>
      <c r="DI161" s="99"/>
      <c r="DJ161" s="98"/>
      <c r="DL161" s="40"/>
      <c r="DM161" s="36"/>
      <c r="DN161" s="36"/>
      <c r="DO161" s="36"/>
      <c r="DP161" s="36"/>
      <c r="DQ161" s="100"/>
      <c r="DR161" s="36"/>
      <c r="DS161" s="100"/>
      <c r="DT161" s="36"/>
      <c r="DU161" s="36"/>
      <c r="DV161" s="41"/>
    </row>
    <row r="162" spans="10:126">
      <c r="J162" s="96"/>
      <c r="L162" s="75"/>
      <c r="N162" s="75"/>
      <c r="O162" s="75"/>
      <c r="P162" s="72"/>
      <c r="Q162" s="72"/>
      <c r="S162" s="68"/>
      <c r="T162" s="68"/>
      <c r="V162" s="96"/>
      <c r="W162" s="75"/>
      <c r="X162" s="78"/>
      <c r="Y162" s="97"/>
      <c r="Z162" s="98"/>
      <c r="AA162" s="77"/>
      <c r="AB162" s="78"/>
      <c r="AC162" s="97"/>
      <c r="AD162" s="98"/>
      <c r="AE162" s="77"/>
      <c r="AF162" s="78"/>
      <c r="AG162" s="97"/>
      <c r="AH162" s="98"/>
      <c r="AI162" s="77"/>
      <c r="AJ162" s="78"/>
      <c r="AK162" s="97"/>
      <c r="AL162" s="98"/>
      <c r="AM162" s="77"/>
      <c r="AN162" s="78"/>
      <c r="AO162" s="97"/>
      <c r="AP162" s="98"/>
      <c r="AQ162" s="77"/>
      <c r="AR162" s="78"/>
      <c r="AS162" s="97"/>
      <c r="AT162" s="98"/>
      <c r="AU162" s="77"/>
      <c r="AV162" s="97"/>
      <c r="AW162" s="97"/>
      <c r="AX162" s="98"/>
      <c r="AY162" s="77"/>
      <c r="AZ162" s="97"/>
      <c r="BA162" s="97"/>
      <c r="BB162" s="98"/>
      <c r="BC162" s="77"/>
      <c r="BD162" s="97"/>
      <c r="BE162" s="97"/>
      <c r="BF162" s="98"/>
      <c r="BG162" s="77"/>
      <c r="BH162" s="97"/>
      <c r="BI162" s="97"/>
      <c r="BJ162" s="98"/>
      <c r="BK162" s="77"/>
      <c r="BL162" s="97"/>
      <c r="BM162" s="97"/>
      <c r="BN162" s="98"/>
      <c r="BO162" s="77"/>
      <c r="BP162" s="97"/>
      <c r="BQ162" s="97"/>
      <c r="BR162" s="98"/>
      <c r="BS162" s="77"/>
      <c r="BT162" s="97"/>
      <c r="BU162" s="97"/>
      <c r="BV162" s="98"/>
      <c r="BW162" s="77"/>
      <c r="BX162" s="97"/>
      <c r="BY162" s="97"/>
      <c r="BZ162" s="98"/>
      <c r="CA162" s="97"/>
      <c r="CB162" s="97"/>
      <c r="CC162" s="97"/>
      <c r="CD162" s="98"/>
      <c r="CE162" s="97"/>
      <c r="CF162" s="97"/>
      <c r="CG162" s="97"/>
      <c r="CH162" s="98"/>
      <c r="CI162" s="97"/>
      <c r="CJ162" s="97"/>
      <c r="CK162" s="97"/>
      <c r="CL162" s="98"/>
      <c r="CM162" s="97"/>
      <c r="CN162" s="97"/>
      <c r="CO162" s="97"/>
      <c r="CP162" s="98"/>
      <c r="CQ162" s="97"/>
      <c r="CR162" s="97"/>
      <c r="CS162" s="97"/>
      <c r="CT162" s="98"/>
      <c r="CU162" s="97"/>
      <c r="CV162" s="97"/>
      <c r="CW162" s="97"/>
      <c r="CX162" s="98"/>
      <c r="CY162" s="97"/>
      <c r="CZ162" s="97"/>
      <c r="DA162" s="97"/>
      <c r="DB162" s="98"/>
      <c r="DC162" s="75"/>
      <c r="DD162" s="97"/>
      <c r="DE162" s="97"/>
      <c r="DF162" s="98"/>
      <c r="DG162" s="75"/>
      <c r="DH162" s="78"/>
      <c r="DI162" s="99"/>
      <c r="DJ162" s="98"/>
      <c r="DL162" s="40"/>
      <c r="DM162" s="36"/>
      <c r="DN162" s="36"/>
      <c r="DO162" s="36"/>
      <c r="DP162" s="36"/>
      <c r="DQ162" s="100"/>
      <c r="DR162" s="36"/>
      <c r="DS162" s="100"/>
      <c r="DT162" s="36"/>
      <c r="DU162" s="36"/>
      <c r="DV162" s="41"/>
    </row>
    <row r="163" spans="10:126">
      <c r="J163" s="96"/>
      <c r="L163" s="75"/>
      <c r="N163" s="75"/>
      <c r="O163" s="75"/>
      <c r="P163" s="72"/>
      <c r="Q163" s="72"/>
      <c r="S163" s="68"/>
      <c r="T163" s="68"/>
      <c r="V163" s="96"/>
      <c r="W163" s="75"/>
      <c r="X163" s="78"/>
      <c r="Y163" s="97"/>
      <c r="Z163" s="98"/>
      <c r="AA163" s="77"/>
      <c r="AB163" s="78"/>
      <c r="AC163" s="97"/>
      <c r="AD163" s="98"/>
      <c r="AE163" s="77"/>
      <c r="AF163" s="78"/>
      <c r="AG163" s="97"/>
      <c r="AH163" s="98"/>
      <c r="AI163" s="77"/>
      <c r="AJ163" s="78"/>
      <c r="AK163" s="97"/>
      <c r="AL163" s="98"/>
      <c r="AM163" s="77"/>
      <c r="AN163" s="78"/>
      <c r="AO163" s="97"/>
      <c r="AP163" s="98"/>
      <c r="AQ163" s="77"/>
      <c r="AR163" s="78"/>
      <c r="AS163" s="97"/>
      <c r="AT163" s="98"/>
      <c r="AU163" s="77"/>
      <c r="AV163" s="97"/>
      <c r="AW163" s="97"/>
      <c r="AX163" s="98"/>
      <c r="AY163" s="77"/>
      <c r="AZ163" s="97"/>
      <c r="BA163" s="97"/>
      <c r="BB163" s="98"/>
      <c r="BC163" s="77"/>
      <c r="BD163" s="97"/>
      <c r="BE163" s="97"/>
      <c r="BF163" s="98"/>
      <c r="BG163" s="77"/>
      <c r="BH163" s="97"/>
      <c r="BI163" s="97"/>
      <c r="BJ163" s="98"/>
      <c r="BK163" s="77"/>
      <c r="BL163" s="97"/>
      <c r="BM163" s="97"/>
      <c r="BN163" s="98"/>
      <c r="BO163" s="77"/>
      <c r="BP163" s="97"/>
      <c r="BQ163" s="97"/>
      <c r="BR163" s="98"/>
      <c r="BS163" s="77"/>
      <c r="BT163" s="97"/>
      <c r="BU163" s="97"/>
      <c r="BV163" s="98"/>
      <c r="BW163" s="77"/>
      <c r="BX163" s="97"/>
      <c r="BY163" s="97"/>
      <c r="BZ163" s="98"/>
      <c r="CA163" s="97"/>
      <c r="CB163" s="97"/>
      <c r="CC163" s="97"/>
      <c r="CD163" s="98"/>
      <c r="CE163" s="97"/>
      <c r="CF163" s="97"/>
      <c r="CG163" s="97"/>
      <c r="CH163" s="98"/>
      <c r="CI163" s="97"/>
      <c r="CJ163" s="97"/>
      <c r="CK163" s="97"/>
      <c r="CL163" s="98"/>
      <c r="CM163" s="97"/>
      <c r="CN163" s="97"/>
      <c r="CO163" s="97"/>
      <c r="CP163" s="98"/>
      <c r="CQ163" s="97"/>
      <c r="CR163" s="97"/>
      <c r="CS163" s="97"/>
      <c r="CT163" s="98"/>
      <c r="CU163" s="97"/>
      <c r="CV163" s="97"/>
      <c r="CW163" s="97"/>
      <c r="CX163" s="98"/>
      <c r="CY163" s="97"/>
      <c r="CZ163" s="97"/>
      <c r="DA163" s="97"/>
      <c r="DB163" s="98"/>
      <c r="DC163" s="75"/>
      <c r="DD163" s="97"/>
      <c r="DE163" s="97"/>
      <c r="DF163" s="98"/>
      <c r="DG163" s="75"/>
      <c r="DH163" s="78"/>
      <c r="DI163" s="99"/>
      <c r="DJ163" s="98"/>
      <c r="DL163" s="40"/>
      <c r="DM163" s="36"/>
      <c r="DN163" s="36"/>
      <c r="DO163" s="36"/>
      <c r="DP163" s="36"/>
      <c r="DQ163" s="100"/>
      <c r="DR163" s="36"/>
      <c r="DS163" s="100"/>
      <c r="DT163" s="36"/>
      <c r="DU163" s="36"/>
      <c r="DV163" s="41"/>
    </row>
    <row r="164" spans="10:126">
      <c r="J164" s="96"/>
      <c r="L164" s="75"/>
      <c r="N164" s="75"/>
      <c r="O164" s="75"/>
      <c r="P164" s="72"/>
      <c r="Q164" s="72"/>
      <c r="S164" s="68"/>
      <c r="T164" s="68"/>
      <c r="V164" s="96"/>
      <c r="W164" s="75"/>
      <c r="X164" s="78"/>
      <c r="Y164" s="97"/>
      <c r="Z164" s="98"/>
      <c r="AA164" s="77"/>
      <c r="AB164" s="78"/>
      <c r="AC164" s="97"/>
      <c r="AD164" s="98"/>
      <c r="AE164" s="77"/>
      <c r="AF164" s="78"/>
      <c r="AG164" s="97"/>
      <c r="AH164" s="98"/>
      <c r="AI164" s="77"/>
      <c r="AJ164" s="78"/>
      <c r="AK164" s="97"/>
      <c r="AL164" s="98"/>
      <c r="AM164" s="77"/>
      <c r="AN164" s="78"/>
      <c r="AO164" s="97"/>
      <c r="AP164" s="98"/>
      <c r="AQ164" s="77"/>
      <c r="AR164" s="78"/>
      <c r="AS164" s="97"/>
      <c r="AT164" s="98"/>
      <c r="AU164" s="77"/>
      <c r="AV164" s="97"/>
      <c r="AW164" s="97"/>
      <c r="AX164" s="98"/>
      <c r="AY164" s="77"/>
      <c r="AZ164" s="97"/>
      <c r="BA164" s="97"/>
      <c r="BB164" s="98"/>
      <c r="BC164" s="77"/>
      <c r="BD164" s="97"/>
      <c r="BE164" s="97"/>
      <c r="BF164" s="98"/>
      <c r="BG164" s="77"/>
      <c r="BH164" s="97"/>
      <c r="BI164" s="97"/>
      <c r="BJ164" s="98"/>
      <c r="BK164" s="77"/>
      <c r="BL164" s="97"/>
      <c r="BM164" s="97"/>
      <c r="BN164" s="98"/>
      <c r="BO164" s="77"/>
      <c r="BP164" s="97"/>
      <c r="BQ164" s="97"/>
      <c r="BR164" s="98"/>
      <c r="BS164" s="77"/>
      <c r="BT164" s="97"/>
      <c r="BU164" s="97"/>
      <c r="BV164" s="98"/>
      <c r="BW164" s="77"/>
      <c r="BX164" s="97"/>
      <c r="BY164" s="97"/>
      <c r="BZ164" s="98"/>
      <c r="CA164" s="97"/>
      <c r="CB164" s="97"/>
      <c r="CC164" s="97"/>
      <c r="CD164" s="98"/>
      <c r="CE164" s="97"/>
      <c r="CF164" s="97"/>
      <c r="CG164" s="97"/>
      <c r="CH164" s="98"/>
      <c r="CI164" s="97"/>
      <c r="CJ164" s="97"/>
      <c r="CK164" s="97"/>
      <c r="CL164" s="98"/>
      <c r="CM164" s="97"/>
      <c r="CN164" s="97"/>
      <c r="CO164" s="97"/>
      <c r="CP164" s="98"/>
      <c r="CQ164" s="97"/>
      <c r="CR164" s="97"/>
      <c r="CS164" s="97"/>
      <c r="CT164" s="98"/>
      <c r="CU164" s="97"/>
      <c r="CV164" s="97"/>
      <c r="CW164" s="97"/>
      <c r="CX164" s="98"/>
      <c r="CY164" s="97"/>
      <c r="CZ164" s="97"/>
      <c r="DA164" s="97"/>
      <c r="DB164" s="98"/>
      <c r="DC164" s="75"/>
      <c r="DD164" s="97"/>
      <c r="DE164" s="97"/>
      <c r="DF164" s="98"/>
      <c r="DG164" s="75"/>
      <c r="DH164" s="78"/>
      <c r="DI164" s="99"/>
      <c r="DJ164" s="98"/>
      <c r="DL164" s="40"/>
      <c r="DM164" s="36"/>
      <c r="DN164" s="36"/>
      <c r="DO164" s="36"/>
      <c r="DP164" s="36"/>
      <c r="DQ164" s="100"/>
      <c r="DR164" s="36"/>
      <c r="DS164" s="100"/>
      <c r="DT164" s="36"/>
      <c r="DU164" s="36"/>
      <c r="DV164" s="41"/>
    </row>
    <row r="165" spans="10:126">
      <c r="J165" s="96"/>
      <c r="L165" s="75"/>
      <c r="N165" s="75"/>
      <c r="O165" s="75"/>
      <c r="P165" s="72"/>
      <c r="Q165" s="72"/>
      <c r="S165" s="68"/>
      <c r="T165" s="68"/>
      <c r="V165" s="96"/>
      <c r="W165" s="75"/>
      <c r="X165" s="78"/>
      <c r="Y165" s="97"/>
      <c r="Z165" s="98"/>
      <c r="AA165" s="77"/>
      <c r="AB165" s="78"/>
      <c r="AC165" s="97"/>
      <c r="AD165" s="98"/>
      <c r="AE165" s="77"/>
      <c r="AF165" s="78"/>
      <c r="AG165" s="97"/>
      <c r="AH165" s="98"/>
      <c r="AI165" s="77"/>
      <c r="AJ165" s="78"/>
      <c r="AK165" s="97"/>
      <c r="AL165" s="98"/>
      <c r="AM165" s="77"/>
      <c r="AN165" s="78"/>
      <c r="AO165" s="97"/>
      <c r="AP165" s="98"/>
      <c r="AQ165" s="77"/>
      <c r="AR165" s="78"/>
      <c r="AS165" s="97"/>
      <c r="AT165" s="98"/>
      <c r="AU165" s="77"/>
      <c r="AV165" s="97"/>
      <c r="AW165" s="97"/>
      <c r="AX165" s="98"/>
      <c r="AY165" s="77"/>
      <c r="AZ165" s="97"/>
      <c r="BA165" s="97"/>
      <c r="BB165" s="98"/>
      <c r="BC165" s="77"/>
      <c r="BD165" s="97"/>
      <c r="BE165" s="97"/>
      <c r="BF165" s="98"/>
      <c r="BG165" s="77"/>
      <c r="BH165" s="97"/>
      <c r="BI165" s="97"/>
      <c r="BJ165" s="98"/>
      <c r="BK165" s="77"/>
      <c r="BL165" s="97"/>
      <c r="BM165" s="97"/>
      <c r="BN165" s="98"/>
      <c r="BO165" s="77"/>
      <c r="BP165" s="97"/>
      <c r="BQ165" s="97"/>
      <c r="BR165" s="98"/>
      <c r="BS165" s="77"/>
      <c r="BT165" s="97"/>
      <c r="BU165" s="97"/>
      <c r="BV165" s="98"/>
      <c r="BW165" s="77"/>
      <c r="BX165" s="97"/>
      <c r="BY165" s="97"/>
      <c r="BZ165" s="98"/>
      <c r="CA165" s="97"/>
      <c r="CB165" s="97"/>
      <c r="CC165" s="97"/>
      <c r="CD165" s="98"/>
      <c r="CE165" s="97"/>
      <c r="CF165" s="97"/>
      <c r="CG165" s="97"/>
      <c r="CH165" s="98"/>
      <c r="CI165" s="97"/>
      <c r="CJ165" s="97"/>
      <c r="CK165" s="97"/>
      <c r="CL165" s="98"/>
      <c r="CM165" s="97"/>
      <c r="CN165" s="97"/>
      <c r="CO165" s="97"/>
      <c r="CP165" s="98"/>
      <c r="CQ165" s="97"/>
      <c r="CR165" s="97"/>
      <c r="CS165" s="97"/>
      <c r="CT165" s="98"/>
      <c r="CU165" s="97"/>
      <c r="CV165" s="97"/>
      <c r="CW165" s="97"/>
      <c r="CX165" s="98"/>
      <c r="CY165" s="97"/>
      <c r="CZ165" s="97"/>
      <c r="DA165" s="97"/>
      <c r="DB165" s="98"/>
      <c r="DC165" s="75"/>
      <c r="DD165" s="97"/>
      <c r="DE165" s="97"/>
      <c r="DF165" s="98"/>
      <c r="DG165" s="75"/>
      <c r="DH165" s="78"/>
      <c r="DI165" s="99"/>
      <c r="DJ165" s="98"/>
      <c r="DL165" s="40"/>
      <c r="DM165" s="36"/>
      <c r="DN165" s="36"/>
      <c r="DO165" s="36"/>
      <c r="DP165" s="36"/>
      <c r="DQ165" s="100"/>
      <c r="DR165" s="36"/>
      <c r="DS165" s="100"/>
      <c r="DT165" s="36"/>
      <c r="DU165" s="36"/>
      <c r="DV165" s="41"/>
    </row>
    <row r="166" spans="10:126">
      <c r="J166" s="96"/>
      <c r="L166" s="75"/>
      <c r="N166" s="75"/>
      <c r="O166" s="75"/>
      <c r="P166" s="72"/>
      <c r="Q166" s="72"/>
      <c r="S166" s="68"/>
      <c r="T166" s="68"/>
      <c r="V166" s="96"/>
      <c r="W166" s="75"/>
      <c r="X166" s="78"/>
      <c r="Y166" s="97"/>
      <c r="Z166" s="98"/>
      <c r="AA166" s="77"/>
      <c r="AB166" s="78"/>
      <c r="AC166" s="97"/>
      <c r="AD166" s="98"/>
      <c r="AE166" s="77"/>
      <c r="AF166" s="78"/>
      <c r="AG166" s="97"/>
      <c r="AH166" s="98"/>
      <c r="AI166" s="77"/>
      <c r="AJ166" s="78"/>
      <c r="AK166" s="97"/>
      <c r="AL166" s="98"/>
      <c r="AM166" s="77"/>
      <c r="AN166" s="78"/>
      <c r="AO166" s="97"/>
      <c r="AP166" s="98"/>
      <c r="AQ166" s="77"/>
      <c r="AR166" s="78"/>
      <c r="AS166" s="97"/>
      <c r="AT166" s="98"/>
      <c r="AU166" s="77"/>
      <c r="AV166" s="97"/>
      <c r="AW166" s="97"/>
      <c r="AX166" s="98"/>
      <c r="AY166" s="77"/>
      <c r="AZ166" s="97"/>
      <c r="BA166" s="97"/>
      <c r="BB166" s="98"/>
      <c r="BC166" s="77"/>
      <c r="BD166" s="97"/>
      <c r="BE166" s="97"/>
      <c r="BF166" s="98"/>
      <c r="BG166" s="77"/>
      <c r="BH166" s="97"/>
      <c r="BI166" s="97"/>
      <c r="BJ166" s="98"/>
      <c r="BK166" s="77"/>
      <c r="BL166" s="97"/>
      <c r="BM166" s="97"/>
      <c r="BN166" s="98"/>
      <c r="BO166" s="77"/>
      <c r="BP166" s="97"/>
      <c r="BQ166" s="97"/>
      <c r="BR166" s="98"/>
      <c r="BS166" s="77"/>
      <c r="BT166" s="97"/>
      <c r="BU166" s="97"/>
      <c r="BV166" s="98"/>
      <c r="BW166" s="77"/>
      <c r="BX166" s="97"/>
      <c r="BY166" s="97"/>
      <c r="BZ166" s="98"/>
      <c r="CA166" s="97"/>
      <c r="CB166" s="97"/>
      <c r="CC166" s="97"/>
      <c r="CD166" s="98"/>
      <c r="CE166" s="97"/>
      <c r="CF166" s="97"/>
      <c r="CG166" s="97"/>
      <c r="CH166" s="98"/>
      <c r="CI166" s="97"/>
      <c r="CJ166" s="97"/>
      <c r="CK166" s="97"/>
      <c r="CL166" s="98"/>
      <c r="CM166" s="97"/>
      <c r="CN166" s="97"/>
      <c r="CO166" s="97"/>
      <c r="CP166" s="98"/>
      <c r="CQ166" s="97"/>
      <c r="CR166" s="97"/>
      <c r="CS166" s="97"/>
      <c r="CT166" s="98"/>
      <c r="CU166" s="97"/>
      <c r="CV166" s="97"/>
      <c r="CW166" s="97"/>
      <c r="CX166" s="98"/>
      <c r="CY166" s="97"/>
      <c r="CZ166" s="97"/>
      <c r="DA166" s="97"/>
      <c r="DB166" s="98"/>
      <c r="DC166" s="75"/>
      <c r="DD166" s="97"/>
      <c r="DE166" s="97"/>
      <c r="DF166" s="98"/>
      <c r="DG166" s="75"/>
      <c r="DH166" s="78"/>
      <c r="DI166" s="99"/>
      <c r="DJ166" s="98"/>
      <c r="DL166" s="40"/>
      <c r="DM166" s="36"/>
      <c r="DN166" s="36"/>
      <c r="DO166" s="36"/>
      <c r="DP166" s="36"/>
      <c r="DQ166" s="100"/>
      <c r="DR166" s="36"/>
      <c r="DS166" s="100"/>
      <c r="DT166" s="36"/>
      <c r="DU166" s="36"/>
      <c r="DV166" s="41"/>
    </row>
    <row r="167" spans="10:126">
      <c r="J167" s="96"/>
      <c r="L167" s="75"/>
      <c r="N167" s="75"/>
      <c r="O167" s="75"/>
      <c r="P167" s="72"/>
      <c r="Q167" s="72"/>
      <c r="S167" s="68"/>
      <c r="T167" s="68"/>
      <c r="V167" s="96"/>
      <c r="W167" s="75"/>
      <c r="X167" s="78"/>
      <c r="Y167" s="97"/>
      <c r="Z167" s="98"/>
      <c r="AA167" s="77"/>
      <c r="AB167" s="78"/>
      <c r="AC167" s="97"/>
      <c r="AD167" s="98"/>
      <c r="AE167" s="77"/>
      <c r="AF167" s="78"/>
      <c r="AG167" s="97"/>
      <c r="AH167" s="98"/>
      <c r="AI167" s="77"/>
      <c r="AJ167" s="78"/>
      <c r="AK167" s="97"/>
      <c r="AL167" s="98"/>
      <c r="AM167" s="77"/>
      <c r="AN167" s="78"/>
      <c r="AO167" s="97"/>
      <c r="AP167" s="98"/>
      <c r="AQ167" s="77"/>
      <c r="AR167" s="78"/>
      <c r="AS167" s="97"/>
      <c r="AT167" s="98"/>
      <c r="AU167" s="77"/>
      <c r="AV167" s="97"/>
      <c r="AW167" s="97"/>
      <c r="AX167" s="98"/>
      <c r="AY167" s="77"/>
      <c r="AZ167" s="97"/>
      <c r="BA167" s="97"/>
      <c r="BB167" s="98"/>
      <c r="BC167" s="77"/>
      <c r="BD167" s="97"/>
      <c r="BE167" s="97"/>
      <c r="BF167" s="98"/>
      <c r="BG167" s="77"/>
      <c r="BH167" s="97"/>
      <c r="BI167" s="97"/>
      <c r="BJ167" s="98"/>
      <c r="BK167" s="77"/>
      <c r="BL167" s="97"/>
      <c r="BM167" s="97"/>
      <c r="BN167" s="98"/>
      <c r="BO167" s="77"/>
      <c r="BP167" s="97"/>
      <c r="BQ167" s="97"/>
      <c r="BR167" s="98"/>
      <c r="BS167" s="77"/>
      <c r="BT167" s="97"/>
      <c r="BU167" s="97"/>
      <c r="BV167" s="98"/>
      <c r="BW167" s="77"/>
      <c r="BX167" s="97"/>
      <c r="BY167" s="97"/>
      <c r="BZ167" s="98"/>
      <c r="CA167" s="97"/>
      <c r="CB167" s="97"/>
      <c r="CC167" s="97"/>
      <c r="CD167" s="98"/>
      <c r="CE167" s="97"/>
      <c r="CF167" s="97"/>
      <c r="CG167" s="97"/>
      <c r="CH167" s="98"/>
      <c r="CI167" s="97"/>
      <c r="CJ167" s="97"/>
      <c r="CK167" s="97"/>
      <c r="CL167" s="98"/>
      <c r="CM167" s="97"/>
      <c r="CN167" s="97"/>
      <c r="CO167" s="97"/>
      <c r="CP167" s="98"/>
      <c r="CQ167" s="97"/>
      <c r="CR167" s="97"/>
      <c r="CS167" s="97"/>
      <c r="CT167" s="98"/>
      <c r="CU167" s="97"/>
      <c r="CV167" s="97"/>
      <c r="CW167" s="97"/>
      <c r="CX167" s="98"/>
      <c r="CY167" s="97"/>
      <c r="CZ167" s="97"/>
      <c r="DA167" s="97"/>
      <c r="DB167" s="98"/>
      <c r="DC167" s="75"/>
      <c r="DD167" s="97"/>
      <c r="DE167" s="97"/>
      <c r="DF167" s="98"/>
      <c r="DG167" s="75"/>
      <c r="DH167" s="78"/>
      <c r="DI167" s="99"/>
      <c r="DJ167" s="98"/>
      <c r="DL167" s="40"/>
      <c r="DM167" s="36"/>
      <c r="DN167" s="36"/>
      <c r="DO167" s="36"/>
      <c r="DP167" s="36"/>
      <c r="DQ167" s="100"/>
      <c r="DR167" s="36"/>
      <c r="DS167" s="100"/>
      <c r="DT167" s="36"/>
      <c r="DU167" s="36"/>
      <c r="DV167" s="41"/>
    </row>
    <row r="168" spans="10:126">
      <c r="J168" s="96"/>
      <c r="L168" s="75"/>
      <c r="N168" s="75"/>
      <c r="O168" s="75"/>
      <c r="P168" s="72"/>
      <c r="Q168" s="72"/>
      <c r="S168" s="68"/>
      <c r="T168" s="68"/>
      <c r="V168" s="96"/>
      <c r="W168" s="75"/>
      <c r="X168" s="78"/>
      <c r="Y168" s="97"/>
      <c r="Z168" s="98"/>
      <c r="AA168" s="77"/>
      <c r="AB168" s="78"/>
      <c r="AC168" s="97"/>
      <c r="AD168" s="98"/>
      <c r="AE168" s="77"/>
      <c r="AF168" s="78"/>
      <c r="AG168" s="97"/>
      <c r="AH168" s="98"/>
      <c r="AI168" s="77"/>
      <c r="AJ168" s="78"/>
      <c r="AK168" s="97"/>
      <c r="AL168" s="98"/>
      <c r="AM168" s="77"/>
      <c r="AN168" s="78"/>
      <c r="AO168" s="97"/>
      <c r="AP168" s="98"/>
      <c r="AQ168" s="77"/>
      <c r="AR168" s="78"/>
      <c r="AS168" s="97"/>
      <c r="AT168" s="98"/>
      <c r="AU168" s="77"/>
      <c r="AV168" s="97"/>
      <c r="AW168" s="97"/>
      <c r="AX168" s="98"/>
      <c r="AY168" s="77"/>
      <c r="AZ168" s="97"/>
      <c r="BA168" s="97"/>
      <c r="BB168" s="98"/>
      <c r="BC168" s="77"/>
      <c r="BD168" s="97"/>
      <c r="BE168" s="97"/>
      <c r="BF168" s="98"/>
      <c r="BG168" s="77"/>
      <c r="BH168" s="97"/>
      <c r="BI168" s="97"/>
      <c r="BJ168" s="98"/>
      <c r="BK168" s="77"/>
      <c r="BL168" s="97"/>
      <c r="BM168" s="97"/>
      <c r="BN168" s="98"/>
      <c r="BO168" s="77"/>
      <c r="BP168" s="97"/>
      <c r="BQ168" s="97"/>
      <c r="BR168" s="98"/>
      <c r="BS168" s="77"/>
      <c r="BT168" s="97"/>
      <c r="BU168" s="97"/>
      <c r="BV168" s="98"/>
      <c r="BW168" s="77"/>
      <c r="BX168" s="97"/>
      <c r="BY168" s="97"/>
      <c r="BZ168" s="98"/>
      <c r="CA168" s="97"/>
      <c r="CB168" s="97"/>
      <c r="CC168" s="97"/>
      <c r="CD168" s="98"/>
      <c r="CE168" s="97"/>
      <c r="CF168" s="97"/>
      <c r="CG168" s="97"/>
      <c r="CH168" s="98"/>
      <c r="CI168" s="97"/>
      <c r="CJ168" s="97"/>
      <c r="CK168" s="97"/>
      <c r="CL168" s="98"/>
      <c r="CM168" s="97"/>
      <c r="CN168" s="97"/>
      <c r="CO168" s="97"/>
      <c r="CP168" s="98"/>
      <c r="CQ168" s="97"/>
      <c r="CR168" s="97"/>
      <c r="CS168" s="97"/>
      <c r="CT168" s="98"/>
      <c r="CU168" s="97"/>
      <c r="CV168" s="97"/>
      <c r="CW168" s="97"/>
      <c r="CX168" s="98"/>
      <c r="CY168" s="97"/>
      <c r="CZ168" s="97"/>
      <c r="DA168" s="97"/>
      <c r="DB168" s="98"/>
      <c r="DC168" s="75"/>
      <c r="DD168" s="97"/>
      <c r="DE168" s="97"/>
      <c r="DF168" s="98"/>
      <c r="DG168" s="75"/>
      <c r="DH168" s="78"/>
      <c r="DI168" s="99"/>
      <c r="DJ168" s="98"/>
      <c r="DL168" s="40"/>
      <c r="DM168" s="36"/>
      <c r="DN168" s="36"/>
      <c r="DO168" s="36"/>
      <c r="DP168" s="36"/>
      <c r="DQ168" s="100"/>
      <c r="DR168" s="36"/>
      <c r="DS168" s="100"/>
      <c r="DT168" s="36"/>
      <c r="DU168" s="36"/>
      <c r="DV168" s="41"/>
    </row>
    <row r="169" spans="10:126">
      <c r="J169" s="96"/>
      <c r="L169" s="75"/>
      <c r="N169" s="75"/>
      <c r="O169" s="75"/>
      <c r="P169" s="72"/>
      <c r="Q169" s="72"/>
      <c r="S169" s="68"/>
      <c r="T169" s="68"/>
      <c r="V169" s="96"/>
      <c r="W169" s="75"/>
      <c r="X169" s="78"/>
      <c r="Y169" s="97"/>
      <c r="Z169" s="98"/>
      <c r="AA169" s="77"/>
      <c r="AB169" s="78"/>
      <c r="AC169" s="97"/>
      <c r="AD169" s="98"/>
      <c r="AE169" s="77"/>
      <c r="AF169" s="78"/>
      <c r="AG169" s="97"/>
      <c r="AH169" s="98"/>
      <c r="AI169" s="77"/>
      <c r="AJ169" s="78"/>
      <c r="AK169" s="97"/>
      <c r="AL169" s="98"/>
      <c r="AM169" s="77"/>
      <c r="AN169" s="78"/>
      <c r="AO169" s="97"/>
      <c r="AP169" s="98"/>
      <c r="AQ169" s="77"/>
      <c r="AR169" s="78"/>
      <c r="AS169" s="97"/>
      <c r="AT169" s="98"/>
      <c r="AU169" s="77"/>
      <c r="AV169" s="97"/>
      <c r="AW169" s="97"/>
      <c r="AX169" s="98"/>
      <c r="AY169" s="77"/>
      <c r="AZ169" s="97"/>
      <c r="BA169" s="97"/>
      <c r="BB169" s="98"/>
      <c r="BC169" s="77"/>
      <c r="BD169" s="97"/>
      <c r="BE169" s="97"/>
      <c r="BF169" s="98"/>
      <c r="BG169" s="77"/>
      <c r="BH169" s="97"/>
      <c r="BI169" s="97"/>
      <c r="BJ169" s="98"/>
      <c r="BK169" s="77"/>
      <c r="BL169" s="97"/>
      <c r="BM169" s="97"/>
      <c r="BN169" s="98"/>
      <c r="BO169" s="77"/>
      <c r="BP169" s="97"/>
      <c r="BQ169" s="97"/>
      <c r="BR169" s="98"/>
      <c r="BS169" s="77"/>
      <c r="BT169" s="97"/>
      <c r="BU169" s="97"/>
      <c r="BV169" s="98"/>
      <c r="BW169" s="77"/>
      <c r="BX169" s="97"/>
      <c r="BY169" s="97"/>
      <c r="BZ169" s="98"/>
      <c r="CA169" s="97"/>
      <c r="CB169" s="97"/>
      <c r="CC169" s="97"/>
      <c r="CD169" s="98"/>
      <c r="CE169" s="97"/>
      <c r="CF169" s="97"/>
      <c r="CG169" s="97"/>
      <c r="CH169" s="98"/>
      <c r="CI169" s="97"/>
      <c r="CJ169" s="97"/>
      <c r="CK169" s="97"/>
      <c r="CL169" s="98"/>
      <c r="CM169" s="97"/>
      <c r="CN169" s="97"/>
      <c r="CO169" s="97"/>
      <c r="CP169" s="98"/>
      <c r="CQ169" s="97"/>
      <c r="CR169" s="97"/>
      <c r="CS169" s="97"/>
      <c r="CT169" s="98"/>
      <c r="CU169" s="97"/>
      <c r="CV169" s="97"/>
      <c r="CW169" s="97"/>
      <c r="CX169" s="98"/>
      <c r="CY169" s="97"/>
      <c r="CZ169" s="97"/>
      <c r="DA169" s="97"/>
      <c r="DB169" s="98"/>
      <c r="DC169" s="75"/>
      <c r="DD169" s="97"/>
      <c r="DE169" s="97"/>
      <c r="DF169" s="98"/>
      <c r="DG169" s="75"/>
      <c r="DH169" s="78"/>
      <c r="DI169" s="99"/>
      <c r="DJ169" s="98"/>
      <c r="DL169" s="40"/>
      <c r="DM169" s="36"/>
      <c r="DN169" s="36"/>
      <c r="DO169" s="36"/>
      <c r="DP169" s="36"/>
      <c r="DQ169" s="100"/>
      <c r="DR169" s="36"/>
      <c r="DS169" s="100"/>
      <c r="DT169" s="36"/>
      <c r="DU169" s="36"/>
      <c r="DV169" s="41"/>
    </row>
    <row r="170" spans="10:126">
      <c r="J170" s="96"/>
      <c r="L170" s="75"/>
      <c r="N170" s="75"/>
      <c r="O170" s="75"/>
      <c r="P170" s="72"/>
      <c r="Q170" s="72"/>
      <c r="S170" s="68"/>
      <c r="T170" s="68"/>
      <c r="V170" s="96"/>
      <c r="W170" s="75"/>
      <c r="X170" s="78"/>
      <c r="Y170" s="97"/>
      <c r="Z170" s="98"/>
      <c r="AA170" s="77"/>
      <c r="AB170" s="78"/>
      <c r="AC170" s="97"/>
      <c r="AD170" s="98"/>
      <c r="AE170" s="77"/>
      <c r="AF170" s="78"/>
      <c r="AG170" s="97"/>
      <c r="AH170" s="98"/>
      <c r="AI170" s="77"/>
      <c r="AJ170" s="78"/>
      <c r="AK170" s="97"/>
      <c r="AL170" s="98"/>
      <c r="AM170" s="77"/>
      <c r="AN170" s="78"/>
      <c r="AO170" s="97"/>
      <c r="AP170" s="98"/>
      <c r="AQ170" s="77"/>
      <c r="AR170" s="78"/>
      <c r="AS170" s="97"/>
      <c r="AT170" s="98"/>
      <c r="AU170" s="77"/>
      <c r="AV170" s="97"/>
      <c r="AW170" s="97"/>
      <c r="AX170" s="98"/>
      <c r="AY170" s="77"/>
      <c r="AZ170" s="97"/>
      <c r="BA170" s="97"/>
      <c r="BB170" s="98"/>
      <c r="BC170" s="77"/>
      <c r="BD170" s="97"/>
      <c r="BE170" s="97"/>
      <c r="BF170" s="98"/>
      <c r="BG170" s="77"/>
      <c r="BH170" s="97"/>
      <c r="BI170" s="97"/>
      <c r="BJ170" s="98"/>
      <c r="BK170" s="77"/>
      <c r="BL170" s="97"/>
      <c r="BM170" s="97"/>
      <c r="BN170" s="98"/>
      <c r="BO170" s="77"/>
      <c r="BP170" s="97"/>
      <c r="BQ170" s="97"/>
      <c r="BR170" s="98"/>
      <c r="BS170" s="77"/>
      <c r="BT170" s="97"/>
      <c r="BU170" s="97"/>
      <c r="BV170" s="98"/>
      <c r="BW170" s="77"/>
      <c r="BX170" s="97"/>
      <c r="BY170" s="97"/>
      <c r="BZ170" s="98"/>
      <c r="CA170" s="97"/>
      <c r="CB170" s="97"/>
      <c r="CC170" s="97"/>
      <c r="CD170" s="98"/>
      <c r="CE170" s="97"/>
      <c r="CF170" s="97"/>
      <c r="CG170" s="97"/>
      <c r="CH170" s="98"/>
      <c r="CI170" s="97"/>
      <c r="CJ170" s="97"/>
      <c r="CK170" s="97"/>
      <c r="CL170" s="98"/>
      <c r="CM170" s="97"/>
      <c r="CN170" s="97"/>
      <c r="CO170" s="97"/>
      <c r="CP170" s="98"/>
      <c r="CQ170" s="97"/>
      <c r="CR170" s="97"/>
      <c r="CS170" s="97"/>
      <c r="CT170" s="98"/>
      <c r="CU170" s="97"/>
      <c r="CV170" s="97"/>
      <c r="CW170" s="97"/>
      <c r="CX170" s="98"/>
      <c r="CY170" s="97"/>
      <c r="CZ170" s="97"/>
      <c r="DA170" s="97"/>
      <c r="DB170" s="98"/>
      <c r="DC170" s="75"/>
      <c r="DD170" s="97"/>
      <c r="DE170" s="97"/>
      <c r="DF170" s="98"/>
      <c r="DG170" s="75"/>
      <c r="DH170" s="78"/>
      <c r="DI170" s="99"/>
      <c r="DJ170" s="98"/>
      <c r="DL170" s="40"/>
      <c r="DM170" s="36"/>
      <c r="DN170" s="36"/>
      <c r="DO170" s="36"/>
      <c r="DP170" s="36"/>
      <c r="DQ170" s="100"/>
      <c r="DR170" s="36"/>
      <c r="DS170" s="100"/>
      <c r="DT170" s="36"/>
      <c r="DU170" s="36"/>
      <c r="DV170" s="41"/>
    </row>
    <row r="171" spans="10:126">
      <c r="J171" s="96"/>
      <c r="L171" s="75"/>
      <c r="N171" s="75"/>
      <c r="O171" s="75"/>
      <c r="P171" s="72"/>
      <c r="Q171" s="72"/>
      <c r="S171" s="68"/>
      <c r="T171" s="68"/>
      <c r="V171" s="96"/>
      <c r="W171" s="75"/>
      <c r="X171" s="78"/>
      <c r="Y171" s="97"/>
      <c r="Z171" s="98"/>
      <c r="AA171" s="77"/>
      <c r="AB171" s="78"/>
      <c r="AC171" s="97"/>
      <c r="AD171" s="98"/>
      <c r="AE171" s="77"/>
      <c r="AF171" s="78"/>
      <c r="AG171" s="97"/>
      <c r="AH171" s="98"/>
      <c r="AI171" s="77"/>
      <c r="AJ171" s="78"/>
      <c r="AK171" s="97"/>
      <c r="AL171" s="98"/>
      <c r="AM171" s="77"/>
      <c r="AN171" s="78"/>
      <c r="AO171" s="97"/>
      <c r="AP171" s="98"/>
      <c r="AQ171" s="77"/>
      <c r="AR171" s="78"/>
      <c r="AS171" s="97"/>
      <c r="AT171" s="98"/>
      <c r="AU171" s="77"/>
      <c r="AV171" s="97"/>
      <c r="AW171" s="97"/>
      <c r="AX171" s="98"/>
      <c r="AY171" s="77"/>
      <c r="AZ171" s="97"/>
      <c r="BA171" s="97"/>
      <c r="BB171" s="98"/>
      <c r="BC171" s="77"/>
      <c r="BD171" s="97"/>
      <c r="BE171" s="97"/>
      <c r="BF171" s="98"/>
      <c r="BG171" s="77"/>
      <c r="BH171" s="97"/>
      <c r="BI171" s="97"/>
      <c r="BJ171" s="98"/>
      <c r="BK171" s="77"/>
      <c r="BL171" s="97"/>
      <c r="BM171" s="97"/>
      <c r="BN171" s="98"/>
      <c r="BO171" s="77"/>
      <c r="BP171" s="97"/>
      <c r="BQ171" s="97"/>
      <c r="BR171" s="98"/>
      <c r="BS171" s="77"/>
      <c r="BT171" s="97"/>
      <c r="BU171" s="97"/>
      <c r="BV171" s="98"/>
      <c r="BW171" s="77"/>
      <c r="BX171" s="97"/>
      <c r="BY171" s="97"/>
      <c r="BZ171" s="98"/>
      <c r="CA171" s="97"/>
      <c r="CB171" s="97"/>
      <c r="CC171" s="97"/>
      <c r="CD171" s="98"/>
      <c r="CE171" s="97"/>
      <c r="CF171" s="97"/>
      <c r="CG171" s="97"/>
      <c r="CH171" s="98"/>
      <c r="CI171" s="97"/>
      <c r="CJ171" s="97"/>
      <c r="CK171" s="97"/>
      <c r="CL171" s="98"/>
      <c r="CM171" s="97"/>
      <c r="CN171" s="97"/>
      <c r="CO171" s="97"/>
      <c r="CP171" s="98"/>
      <c r="CQ171" s="97"/>
      <c r="CR171" s="97"/>
      <c r="CS171" s="97"/>
      <c r="CT171" s="98"/>
      <c r="CU171" s="97"/>
      <c r="CV171" s="97"/>
      <c r="CW171" s="97"/>
      <c r="CX171" s="98"/>
      <c r="CY171" s="97"/>
      <c r="CZ171" s="97"/>
      <c r="DA171" s="97"/>
      <c r="DB171" s="98"/>
      <c r="DC171" s="75"/>
      <c r="DD171" s="97"/>
      <c r="DE171" s="97"/>
      <c r="DF171" s="98"/>
      <c r="DG171" s="75"/>
      <c r="DH171" s="78"/>
      <c r="DI171" s="99"/>
      <c r="DJ171" s="98"/>
      <c r="DL171" s="40"/>
      <c r="DM171" s="36"/>
      <c r="DN171" s="36"/>
      <c r="DO171" s="36"/>
      <c r="DP171" s="36"/>
      <c r="DQ171" s="100"/>
      <c r="DR171" s="36"/>
      <c r="DS171" s="100"/>
      <c r="DT171" s="36"/>
      <c r="DU171" s="36"/>
      <c r="DV171" s="41"/>
    </row>
    <row r="172" spans="10:126">
      <c r="J172" s="96"/>
      <c r="L172" s="75"/>
      <c r="N172" s="75"/>
      <c r="O172" s="75"/>
      <c r="P172" s="72"/>
      <c r="Q172" s="72"/>
      <c r="S172" s="68"/>
      <c r="T172" s="68"/>
      <c r="V172" s="96"/>
      <c r="W172" s="75"/>
      <c r="X172" s="78"/>
      <c r="Y172" s="97"/>
      <c r="Z172" s="98"/>
      <c r="AA172" s="77"/>
      <c r="AB172" s="78"/>
      <c r="AC172" s="97"/>
      <c r="AD172" s="98"/>
      <c r="AE172" s="77"/>
      <c r="AF172" s="78"/>
      <c r="AG172" s="97"/>
      <c r="AH172" s="98"/>
      <c r="AI172" s="77"/>
      <c r="AJ172" s="78"/>
      <c r="AK172" s="97"/>
      <c r="AL172" s="98"/>
      <c r="AM172" s="77"/>
      <c r="AN172" s="78"/>
      <c r="AO172" s="97"/>
      <c r="AP172" s="98"/>
      <c r="AQ172" s="77"/>
      <c r="AR172" s="78"/>
      <c r="AS172" s="97"/>
      <c r="AT172" s="98"/>
      <c r="AU172" s="77"/>
      <c r="AV172" s="97"/>
      <c r="AW172" s="97"/>
      <c r="AX172" s="98"/>
      <c r="AY172" s="77"/>
      <c r="AZ172" s="97"/>
      <c r="BA172" s="97"/>
      <c r="BB172" s="98"/>
      <c r="BC172" s="77"/>
      <c r="BD172" s="97"/>
      <c r="BE172" s="97"/>
      <c r="BF172" s="98"/>
      <c r="BG172" s="77"/>
      <c r="BH172" s="97"/>
      <c r="BI172" s="97"/>
      <c r="BJ172" s="98"/>
      <c r="BK172" s="77"/>
      <c r="BL172" s="97"/>
      <c r="BM172" s="97"/>
      <c r="BN172" s="98"/>
      <c r="BO172" s="77"/>
      <c r="BP172" s="97"/>
      <c r="BQ172" s="97"/>
      <c r="BR172" s="98"/>
      <c r="BS172" s="77"/>
      <c r="BT172" s="97"/>
      <c r="BU172" s="97"/>
      <c r="BV172" s="98"/>
      <c r="BW172" s="77"/>
      <c r="BX172" s="97"/>
      <c r="BY172" s="97"/>
      <c r="BZ172" s="98"/>
      <c r="CA172" s="97"/>
      <c r="CB172" s="97"/>
      <c r="CC172" s="97"/>
      <c r="CD172" s="98"/>
      <c r="CE172" s="97"/>
      <c r="CF172" s="97"/>
      <c r="CG172" s="97"/>
      <c r="CH172" s="98"/>
      <c r="CI172" s="97"/>
      <c r="CJ172" s="97"/>
      <c r="CK172" s="97"/>
      <c r="CL172" s="98"/>
      <c r="CM172" s="97"/>
      <c r="CN172" s="97"/>
      <c r="CO172" s="97"/>
      <c r="CP172" s="98"/>
      <c r="CQ172" s="97"/>
      <c r="CR172" s="97"/>
      <c r="CS172" s="97"/>
      <c r="CT172" s="98"/>
      <c r="CU172" s="97"/>
      <c r="CV172" s="97"/>
      <c r="CW172" s="97"/>
      <c r="CX172" s="98"/>
      <c r="CY172" s="97"/>
      <c r="CZ172" s="97"/>
      <c r="DA172" s="97"/>
      <c r="DB172" s="98"/>
      <c r="DC172" s="75"/>
      <c r="DD172" s="97"/>
      <c r="DE172" s="97"/>
      <c r="DF172" s="98"/>
      <c r="DG172" s="75"/>
      <c r="DH172" s="78"/>
      <c r="DI172" s="99"/>
      <c r="DJ172" s="98"/>
      <c r="DL172" s="40"/>
      <c r="DM172" s="36"/>
      <c r="DN172" s="36"/>
      <c r="DO172" s="36"/>
      <c r="DP172" s="36"/>
      <c r="DQ172" s="100"/>
      <c r="DR172" s="36"/>
      <c r="DS172" s="100"/>
      <c r="DT172" s="36"/>
      <c r="DU172" s="36"/>
      <c r="DV172" s="41"/>
    </row>
    <row r="173" spans="10:126">
      <c r="J173" s="96"/>
      <c r="L173" s="75"/>
      <c r="N173" s="75"/>
      <c r="O173" s="75"/>
      <c r="P173" s="72"/>
      <c r="Q173" s="72"/>
      <c r="S173" s="68"/>
      <c r="T173" s="68"/>
      <c r="V173" s="96"/>
      <c r="W173" s="75"/>
      <c r="X173" s="78"/>
      <c r="Y173" s="97"/>
      <c r="Z173" s="98"/>
      <c r="AA173" s="77"/>
      <c r="AB173" s="78"/>
      <c r="AC173" s="97"/>
      <c r="AD173" s="98"/>
      <c r="AE173" s="77"/>
      <c r="AF173" s="78"/>
      <c r="AG173" s="97"/>
      <c r="AH173" s="98"/>
      <c r="AI173" s="77"/>
      <c r="AJ173" s="78"/>
      <c r="AK173" s="97"/>
      <c r="AL173" s="98"/>
      <c r="AM173" s="77"/>
      <c r="AN173" s="78"/>
      <c r="AO173" s="97"/>
      <c r="AP173" s="98"/>
      <c r="AQ173" s="77"/>
      <c r="AR173" s="78"/>
      <c r="AS173" s="97"/>
      <c r="AT173" s="98"/>
      <c r="AU173" s="77"/>
      <c r="AV173" s="97"/>
      <c r="AW173" s="97"/>
      <c r="AX173" s="98"/>
      <c r="AY173" s="77"/>
      <c r="AZ173" s="97"/>
      <c r="BA173" s="97"/>
      <c r="BB173" s="98"/>
      <c r="BC173" s="77"/>
      <c r="BD173" s="97"/>
      <c r="BE173" s="97"/>
      <c r="BF173" s="98"/>
      <c r="BG173" s="77"/>
      <c r="BH173" s="97"/>
      <c r="BI173" s="97"/>
      <c r="BJ173" s="98"/>
      <c r="BK173" s="77"/>
      <c r="BL173" s="97"/>
      <c r="BM173" s="97"/>
      <c r="BN173" s="98"/>
      <c r="BO173" s="77"/>
      <c r="BP173" s="97"/>
      <c r="BQ173" s="97"/>
      <c r="BR173" s="98"/>
      <c r="BS173" s="77"/>
      <c r="BT173" s="97"/>
      <c r="BU173" s="97"/>
      <c r="BV173" s="98"/>
      <c r="BW173" s="77"/>
      <c r="BX173" s="97"/>
      <c r="BY173" s="97"/>
      <c r="BZ173" s="98"/>
      <c r="CA173" s="97"/>
      <c r="CB173" s="97"/>
      <c r="CC173" s="97"/>
      <c r="CD173" s="98"/>
      <c r="CE173" s="97"/>
      <c r="CF173" s="97"/>
      <c r="CG173" s="97"/>
      <c r="CH173" s="98"/>
      <c r="CI173" s="97"/>
      <c r="CJ173" s="97"/>
      <c r="CK173" s="97"/>
      <c r="CL173" s="98"/>
      <c r="CM173" s="97"/>
      <c r="CN173" s="97"/>
      <c r="CO173" s="97"/>
      <c r="CP173" s="98"/>
      <c r="CQ173" s="97"/>
      <c r="CR173" s="97"/>
      <c r="CS173" s="97"/>
      <c r="CT173" s="98"/>
      <c r="CU173" s="97"/>
      <c r="CV173" s="97"/>
      <c r="CW173" s="97"/>
      <c r="CX173" s="98"/>
      <c r="CY173" s="97"/>
      <c r="CZ173" s="97"/>
      <c r="DA173" s="97"/>
      <c r="DB173" s="98"/>
      <c r="DC173" s="75"/>
      <c r="DD173" s="97"/>
      <c r="DE173" s="97"/>
      <c r="DF173" s="98"/>
      <c r="DG173" s="75"/>
      <c r="DH173" s="78"/>
      <c r="DI173" s="99"/>
      <c r="DJ173" s="98"/>
      <c r="DL173" s="40"/>
      <c r="DM173" s="36"/>
      <c r="DN173" s="36"/>
      <c r="DO173" s="36"/>
      <c r="DP173" s="36"/>
      <c r="DQ173" s="100"/>
      <c r="DR173" s="36"/>
      <c r="DS173" s="100"/>
      <c r="DT173" s="36"/>
      <c r="DU173" s="36"/>
      <c r="DV173" s="41"/>
    </row>
    <row r="174" spans="10:126">
      <c r="J174" s="96"/>
      <c r="L174" s="75"/>
      <c r="N174" s="75"/>
      <c r="O174" s="75"/>
      <c r="P174" s="72"/>
      <c r="Q174" s="72"/>
      <c r="S174" s="68"/>
      <c r="T174" s="68"/>
      <c r="V174" s="96"/>
      <c r="W174" s="75"/>
      <c r="X174" s="78"/>
      <c r="Y174" s="97"/>
      <c r="Z174" s="98"/>
      <c r="AA174" s="77"/>
      <c r="AB174" s="78"/>
      <c r="AC174" s="97"/>
      <c r="AD174" s="98"/>
      <c r="AE174" s="77"/>
      <c r="AF174" s="78"/>
      <c r="AG174" s="97"/>
      <c r="AH174" s="98"/>
      <c r="AI174" s="77"/>
      <c r="AJ174" s="78"/>
      <c r="AK174" s="97"/>
      <c r="AL174" s="98"/>
      <c r="AM174" s="77"/>
      <c r="AN174" s="78"/>
      <c r="AO174" s="97"/>
      <c r="AP174" s="98"/>
      <c r="AQ174" s="77"/>
      <c r="AR174" s="78"/>
      <c r="AS174" s="97"/>
      <c r="AT174" s="98"/>
      <c r="AU174" s="77"/>
      <c r="AV174" s="97"/>
      <c r="AW174" s="97"/>
      <c r="AX174" s="98"/>
      <c r="AY174" s="77"/>
      <c r="AZ174" s="97"/>
      <c r="BA174" s="97"/>
      <c r="BB174" s="98"/>
      <c r="BC174" s="77"/>
      <c r="BD174" s="97"/>
      <c r="BE174" s="97"/>
      <c r="BF174" s="98"/>
      <c r="BG174" s="77"/>
      <c r="BH174" s="97"/>
      <c r="BI174" s="97"/>
      <c r="BJ174" s="98"/>
      <c r="BK174" s="77"/>
      <c r="BL174" s="97"/>
      <c r="BM174" s="97"/>
      <c r="BN174" s="98"/>
      <c r="BO174" s="77"/>
      <c r="BP174" s="97"/>
      <c r="BQ174" s="97"/>
      <c r="BR174" s="98"/>
      <c r="BS174" s="77"/>
      <c r="BT174" s="97"/>
      <c r="BU174" s="97"/>
      <c r="BV174" s="98"/>
      <c r="BW174" s="77"/>
      <c r="BX174" s="97"/>
      <c r="BY174" s="97"/>
      <c r="BZ174" s="98"/>
      <c r="CA174" s="97"/>
      <c r="CB174" s="97"/>
      <c r="CC174" s="97"/>
      <c r="CD174" s="98"/>
      <c r="CE174" s="97"/>
      <c r="CF174" s="97"/>
      <c r="CG174" s="97"/>
      <c r="CH174" s="98"/>
      <c r="CI174" s="97"/>
      <c r="CJ174" s="97"/>
      <c r="CK174" s="97"/>
      <c r="CL174" s="98"/>
      <c r="CM174" s="97"/>
      <c r="CN174" s="97"/>
      <c r="CO174" s="97"/>
      <c r="CP174" s="98"/>
      <c r="CQ174" s="97"/>
      <c r="CR174" s="97"/>
      <c r="CS174" s="97"/>
      <c r="CT174" s="98"/>
      <c r="CU174" s="97"/>
      <c r="CV174" s="97"/>
      <c r="CW174" s="97"/>
      <c r="CX174" s="98"/>
      <c r="CY174" s="97"/>
      <c r="CZ174" s="97"/>
      <c r="DA174" s="97"/>
      <c r="DB174" s="98"/>
      <c r="DC174" s="75"/>
      <c r="DD174" s="97"/>
      <c r="DE174" s="97"/>
      <c r="DF174" s="98"/>
      <c r="DG174" s="75"/>
      <c r="DH174" s="78"/>
      <c r="DI174" s="99"/>
      <c r="DJ174" s="98"/>
      <c r="DL174" s="40"/>
      <c r="DM174" s="36"/>
      <c r="DN174" s="36"/>
      <c r="DO174" s="36"/>
      <c r="DP174" s="36"/>
      <c r="DQ174" s="100"/>
      <c r="DR174" s="36"/>
      <c r="DS174" s="100"/>
      <c r="DT174" s="36"/>
      <c r="DU174" s="36"/>
      <c r="DV174" s="41"/>
    </row>
    <row r="175" spans="10:126">
      <c r="J175" s="96"/>
      <c r="L175" s="75"/>
      <c r="N175" s="75"/>
      <c r="O175" s="75"/>
      <c r="P175" s="72"/>
      <c r="Q175" s="72"/>
      <c r="S175" s="68"/>
      <c r="T175" s="68"/>
      <c r="V175" s="96"/>
      <c r="W175" s="75"/>
      <c r="X175" s="78"/>
      <c r="Y175" s="97"/>
      <c r="Z175" s="98"/>
      <c r="AA175" s="77"/>
      <c r="AB175" s="78"/>
      <c r="AC175" s="97"/>
      <c r="AD175" s="98"/>
      <c r="AE175" s="77"/>
      <c r="AF175" s="78"/>
      <c r="AG175" s="97"/>
      <c r="AH175" s="98"/>
      <c r="AI175" s="77"/>
      <c r="AJ175" s="78"/>
      <c r="AK175" s="97"/>
      <c r="AL175" s="98"/>
      <c r="AM175" s="77"/>
      <c r="AN175" s="78"/>
      <c r="AO175" s="97"/>
      <c r="AP175" s="98"/>
      <c r="AQ175" s="77"/>
      <c r="AR175" s="78"/>
      <c r="AS175" s="97"/>
      <c r="AT175" s="98"/>
      <c r="AU175" s="77"/>
      <c r="AV175" s="97"/>
      <c r="AW175" s="97"/>
      <c r="AX175" s="98"/>
      <c r="AY175" s="77"/>
      <c r="AZ175" s="97"/>
      <c r="BA175" s="97"/>
      <c r="BB175" s="98"/>
      <c r="BC175" s="77"/>
      <c r="BD175" s="97"/>
      <c r="BE175" s="97"/>
      <c r="BF175" s="98"/>
      <c r="BG175" s="77"/>
      <c r="BH175" s="97"/>
      <c r="BI175" s="97"/>
      <c r="BJ175" s="98"/>
      <c r="BK175" s="77"/>
      <c r="BL175" s="97"/>
      <c r="BM175" s="97"/>
      <c r="BN175" s="98"/>
      <c r="BO175" s="77"/>
      <c r="BP175" s="97"/>
      <c r="BQ175" s="97"/>
      <c r="BR175" s="98"/>
      <c r="BS175" s="77"/>
      <c r="BT175" s="97"/>
      <c r="BU175" s="97"/>
      <c r="BV175" s="98"/>
      <c r="BW175" s="77"/>
      <c r="BX175" s="97"/>
      <c r="BY175" s="97"/>
      <c r="BZ175" s="98"/>
      <c r="CA175" s="97"/>
      <c r="CB175" s="97"/>
      <c r="CC175" s="97"/>
      <c r="CD175" s="98"/>
      <c r="CE175" s="97"/>
      <c r="CF175" s="97"/>
      <c r="CG175" s="97"/>
      <c r="CH175" s="98"/>
      <c r="CI175" s="97"/>
      <c r="CJ175" s="97"/>
      <c r="CK175" s="97"/>
      <c r="CL175" s="98"/>
      <c r="CM175" s="97"/>
      <c r="CN175" s="97"/>
      <c r="CO175" s="97"/>
      <c r="CP175" s="98"/>
      <c r="CQ175" s="97"/>
      <c r="CR175" s="97"/>
      <c r="CS175" s="97"/>
      <c r="CT175" s="98"/>
      <c r="CU175" s="97"/>
      <c r="CV175" s="97"/>
      <c r="CW175" s="97"/>
      <c r="CX175" s="98"/>
      <c r="CY175" s="97"/>
      <c r="CZ175" s="97"/>
      <c r="DA175" s="97"/>
      <c r="DB175" s="98"/>
      <c r="DC175" s="75"/>
      <c r="DD175" s="97"/>
      <c r="DE175" s="97"/>
      <c r="DF175" s="98"/>
      <c r="DG175" s="75"/>
      <c r="DH175" s="78"/>
      <c r="DI175" s="99"/>
      <c r="DJ175" s="98"/>
      <c r="DL175" s="40"/>
      <c r="DM175" s="36"/>
      <c r="DN175" s="36"/>
      <c r="DO175" s="36"/>
      <c r="DP175" s="36"/>
      <c r="DQ175" s="100"/>
      <c r="DR175" s="36"/>
      <c r="DS175" s="100"/>
      <c r="DT175" s="36"/>
      <c r="DU175" s="36"/>
      <c r="DV175" s="41"/>
    </row>
    <row r="176" spans="10:126">
      <c r="J176" s="96"/>
      <c r="L176" s="75"/>
      <c r="N176" s="75"/>
      <c r="O176" s="75"/>
      <c r="P176" s="72"/>
      <c r="Q176" s="72"/>
      <c r="S176" s="68"/>
      <c r="T176" s="68"/>
      <c r="V176" s="96"/>
      <c r="W176" s="75"/>
      <c r="X176" s="78"/>
      <c r="Y176" s="97"/>
      <c r="Z176" s="98"/>
      <c r="AA176" s="77"/>
      <c r="AB176" s="78"/>
      <c r="AC176" s="97"/>
      <c r="AD176" s="98"/>
      <c r="AE176" s="77"/>
      <c r="AF176" s="78"/>
      <c r="AG176" s="97"/>
      <c r="AH176" s="98"/>
      <c r="AI176" s="77"/>
      <c r="AJ176" s="78"/>
      <c r="AK176" s="97"/>
      <c r="AL176" s="98"/>
      <c r="AM176" s="77"/>
      <c r="AN176" s="78"/>
      <c r="AO176" s="97"/>
      <c r="AP176" s="98"/>
      <c r="AQ176" s="77"/>
      <c r="AR176" s="78"/>
      <c r="AS176" s="97"/>
      <c r="AT176" s="98"/>
      <c r="AU176" s="77"/>
      <c r="AV176" s="97"/>
      <c r="AW176" s="97"/>
      <c r="AX176" s="98"/>
      <c r="AY176" s="77"/>
      <c r="AZ176" s="97"/>
      <c r="BA176" s="97"/>
      <c r="BB176" s="98"/>
      <c r="BC176" s="77"/>
      <c r="BD176" s="97"/>
      <c r="BE176" s="97"/>
      <c r="BF176" s="98"/>
      <c r="BG176" s="77"/>
      <c r="BH176" s="97"/>
      <c r="BI176" s="97"/>
      <c r="BJ176" s="98"/>
      <c r="BK176" s="77"/>
      <c r="BL176" s="97"/>
      <c r="BM176" s="97"/>
      <c r="BN176" s="98"/>
      <c r="BO176" s="77"/>
      <c r="BP176" s="97"/>
      <c r="BQ176" s="97"/>
      <c r="BR176" s="98"/>
      <c r="BS176" s="77"/>
      <c r="BT176" s="97"/>
      <c r="BU176" s="97"/>
      <c r="BV176" s="98"/>
      <c r="BW176" s="77"/>
      <c r="BX176" s="97"/>
      <c r="BY176" s="97"/>
      <c r="BZ176" s="98"/>
      <c r="CA176" s="97"/>
      <c r="CB176" s="97"/>
      <c r="CC176" s="97"/>
      <c r="CD176" s="98"/>
      <c r="CE176" s="97"/>
      <c r="CF176" s="97"/>
      <c r="CG176" s="97"/>
      <c r="CH176" s="98"/>
      <c r="CI176" s="97"/>
      <c r="CJ176" s="97"/>
      <c r="CK176" s="97"/>
      <c r="CL176" s="98"/>
      <c r="CM176" s="97"/>
      <c r="CN176" s="97"/>
      <c r="CO176" s="97"/>
      <c r="CP176" s="98"/>
      <c r="CQ176" s="97"/>
      <c r="CR176" s="97"/>
      <c r="CS176" s="97"/>
      <c r="CT176" s="98"/>
      <c r="CU176" s="97"/>
      <c r="CV176" s="97"/>
      <c r="CW176" s="97"/>
      <c r="CX176" s="98"/>
      <c r="CY176" s="97"/>
      <c r="CZ176" s="97"/>
      <c r="DA176" s="97"/>
      <c r="DB176" s="98"/>
      <c r="DC176" s="75"/>
      <c r="DD176" s="97"/>
      <c r="DE176" s="97"/>
      <c r="DF176" s="98"/>
      <c r="DG176" s="75"/>
      <c r="DH176" s="78"/>
      <c r="DI176" s="99"/>
      <c r="DJ176" s="98"/>
      <c r="DL176" s="40"/>
      <c r="DM176" s="36"/>
      <c r="DN176" s="36"/>
      <c r="DO176" s="36"/>
      <c r="DP176" s="36"/>
      <c r="DQ176" s="100"/>
      <c r="DR176" s="36"/>
      <c r="DS176" s="100"/>
      <c r="DT176" s="36"/>
      <c r="DU176" s="36"/>
      <c r="DV176" s="41"/>
    </row>
    <row r="177" spans="10:126">
      <c r="J177" s="96"/>
      <c r="L177" s="75"/>
      <c r="N177" s="75"/>
      <c r="O177" s="75"/>
      <c r="P177" s="72"/>
      <c r="Q177" s="72"/>
      <c r="S177" s="68"/>
      <c r="T177" s="68"/>
      <c r="V177" s="96"/>
      <c r="W177" s="75"/>
      <c r="X177" s="78"/>
      <c r="Y177" s="97"/>
      <c r="Z177" s="98"/>
      <c r="AA177" s="77"/>
      <c r="AB177" s="78"/>
      <c r="AC177" s="97"/>
      <c r="AD177" s="98"/>
      <c r="AE177" s="77"/>
      <c r="AF177" s="78"/>
      <c r="AG177" s="97"/>
      <c r="AH177" s="98"/>
      <c r="AI177" s="77"/>
      <c r="AJ177" s="78"/>
      <c r="AK177" s="97"/>
      <c r="AL177" s="98"/>
      <c r="AM177" s="77"/>
      <c r="AN177" s="78"/>
      <c r="AO177" s="97"/>
      <c r="AP177" s="98"/>
      <c r="AQ177" s="77"/>
      <c r="AR177" s="78"/>
      <c r="AS177" s="97"/>
      <c r="AT177" s="98"/>
      <c r="AU177" s="77"/>
      <c r="AV177" s="97"/>
      <c r="AW177" s="97"/>
      <c r="AX177" s="98"/>
      <c r="AY177" s="77"/>
      <c r="AZ177" s="97"/>
      <c r="BA177" s="97"/>
      <c r="BB177" s="98"/>
      <c r="BC177" s="77"/>
      <c r="BD177" s="97"/>
      <c r="BE177" s="97"/>
      <c r="BF177" s="98"/>
      <c r="BG177" s="77"/>
      <c r="BH177" s="97"/>
      <c r="BI177" s="97"/>
      <c r="BJ177" s="98"/>
      <c r="BK177" s="77"/>
      <c r="BL177" s="97"/>
      <c r="BM177" s="97"/>
      <c r="BN177" s="98"/>
      <c r="BO177" s="77"/>
      <c r="BP177" s="97"/>
      <c r="BQ177" s="97"/>
      <c r="BR177" s="98"/>
      <c r="BS177" s="77"/>
      <c r="BT177" s="97"/>
      <c r="BU177" s="97"/>
      <c r="BV177" s="98"/>
      <c r="BW177" s="77"/>
      <c r="BX177" s="97"/>
      <c r="BY177" s="97"/>
      <c r="BZ177" s="98"/>
      <c r="CA177" s="97"/>
      <c r="CB177" s="97"/>
      <c r="CC177" s="97"/>
      <c r="CD177" s="98"/>
      <c r="CE177" s="97"/>
      <c r="CF177" s="97"/>
      <c r="CG177" s="97"/>
      <c r="CH177" s="98"/>
      <c r="CI177" s="97"/>
      <c r="CJ177" s="97"/>
      <c r="CK177" s="97"/>
      <c r="CL177" s="98"/>
      <c r="CM177" s="97"/>
      <c r="CN177" s="97"/>
      <c r="CO177" s="97"/>
      <c r="CP177" s="98"/>
      <c r="CQ177" s="97"/>
      <c r="CR177" s="97"/>
      <c r="CS177" s="97"/>
      <c r="CT177" s="98"/>
      <c r="CU177" s="97"/>
      <c r="CV177" s="97"/>
      <c r="CW177" s="97"/>
      <c r="CX177" s="98"/>
      <c r="CY177" s="97"/>
      <c r="CZ177" s="97"/>
      <c r="DA177" s="97"/>
      <c r="DB177" s="98"/>
      <c r="DC177" s="75"/>
      <c r="DD177" s="97"/>
      <c r="DE177" s="97"/>
      <c r="DF177" s="98"/>
      <c r="DG177" s="75"/>
      <c r="DH177" s="78"/>
      <c r="DI177" s="99"/>
      <c r="DJ177" s="98"/>
      <c r="DL177" s="40"/>
      <c r="DM177" s="36"/>
      <c r="DN177" s="36"/>
      <c r="DO177" s="36"/>
      <c r="DP177" s="36"/>
      <c r="DQ177" s="100"/>
      <c r="DR177" s="36"/>
      <c r="DS177" s="100"/>
      <c r="DT177" s="36"/>
      <c r="DU177" s="36"/>
      <c r="DV177" s="41"/>
    </row>
    <row r="178" spans="10:126">
      <c r="J178" s="96"/>
      <c r="L178" s="75"/>
      <c r="N178" s="75"/>
      <c r="O178" s="75"/>
      <c r="P178" s="72"/>
      <c r="Q178" s="72"/>
      <c r="S178" s="68"/>
      <c r="T178" s="68"/>
      <c r="V178" s="96"/>
      <c r="W178" s="75"/>
      <c r="X178" s="78"/>
      <c r="Y178" s="97"/>
      <c r="Z178" s="98"/>
      <c r="AA178" s="77"/>
      <c r="AB178" s="78"/>
      <c r="AC178" s="97"/>
      <c r="AD178" s="98"/>
      <c r="AE178" s="77"/>
      <c r="AF178" s="78"/>
      <c r="AG178" s="97"/>
      <c r="AH178" s="98"/>
      <c r="AI178" s="77"/>
      <c r="AJ178" s="78"/>
      <c r="AK178" s="97"/>
      <c r="AL178" s="98"/>
      <c r="AM178" s="77"/>
      <c r="AN178" s="78"/>
      <c r="AO178" s="97"/>
      <c r="AP178" s="98"/>
      <c r="AQ178" s="77"/>
      <c r="AR178" s="78"/>
      <c r="AS178" s="97"/>
      <c r="AT178" s="98"/>
      <c r="AU178" s="77"/>
      <c r="AV178" s="97"/>
      <c r="AW178" s="97"/>
      <c r="AX178" s="98"/>
      <c r="AY178" s="77"/>
      <c r="AZ178" s="97"/>
      <c r="BA178" s="97"/>
      <c r="BB178" s="98"/>
      <c r="BC178" s="77"/>
      <c r="BD178" s="97"/>
      <c r="BE178" s="97"/>
      <c r="BF178" s="98"/>
      <c r="BG178" s="77"/>
      <c r="BH178" s="97"/>
      <c r="BI178" s="97"/>
      <c r="BJ178" s="98"/>
      <c r="BK178" s="77"/>
      <c r="BL178" s="97"/>
      <c r="BM178" s="97"/>
      <c r="BN178" s="98"/>
      <c r="BO178" s="77"/>
      <c r="BP178" s="97"/>
      <c r="BQ178" s="97"/>
      <c r="BR178" s="98"/>
      <c r="BS178" s="77"/>
      <c r="BT178" s="97"/>
      <c r="BU178" s="97"/>
      <c r="BV178" s="98"/>
      <c r="BW178" s="77"/>
      <c r="BX178" s="97"/>
      <c r="BY178" s="97"/>
      <c r="BZ178" s="98"/>
      <c r="CA178" s="97"/>
      <c r="CB178" s="97"/>
      <c r="CC178" s="97"/>
      <c r="CD178" s="98"/>
      <c r="CE178" s="97"/>
      <c r="CF178" s="97"/>
      <c r="CG178" s="97"/>
      <c r="CH178" s="98"/>
      <c r="CI178" s="97"/>
      <c r="CJ178" s="97"/>
      <c r="CK178" s="97"/>
      <c r="CL178" s="98"/>
      <c r="CM178" s="97"/>
      <c r="CN178" s="97"/>
      <c r="CO178" s="97"/>
      <c r="CP178" s="98"/>
      <c r="CQ178" s="97"/>
      <c r="CR178" s="97"/>
      <c r="CS178" s="97"/>
      <c r="CT178" s="98"/>
      <c r="CU178" s="97"/>
      <c r="CV178" s="97"/>
      <c r="CW178" s="97"/>
      <c r="CX178" s="98"/>
      <c r="CY178" s="97"/>
      <c r="CZ178" s="97"/>
      <c r="DA178" s="97"/>
      <c r="DB178" s="98"/>
      <c r="DC178" s="75"/>
      <c r="DD178" s="97"/>
      <c r="DE178" s="97"/>
      <c r="DF178" s="98"/>
      <c r="DG178" s="75"/>
      <c r="DH178" s="78"/>
      <c r="DI178" s="99"/>
      <c r="DJ178" s="98"/>
      <c r="DL178" s="40"/>
      <c r="DM178" s="36"/>
      <c r="DN178" s="36"/>
      <c r="DO178" s="36"/>
      <c r="DP178" s="36"/>
      <c r="DQ178" s="100"/>
      <c r="DR178" s="36"/>
      <c r="DS178" s="100"/>
      <c r="DT178" s="36"/>
      <c r="DU178" s="36"/>
      <c r="DV178" s="41"/>
    </row>
    <row r="179" spans="10:126">
      <c r="J179" s="96"/>
      <c r="L179" s="75"/>
      <c r="N179" s="75"/>
      <c r="O179" s="75"/>
      <c r="P179" s="72"/>
      <c r="Q179" s="72"/>
      <c r="S179" s="68"/>
      <c r="T179" s="68"/>
      <c r="V179" s="96"/>
      <c r="W179" s="75"/>
      <c r="X179" s="78"/>
      <c r="Y179" s="97"/>
      <c r="Z179" s="98"/>
      <c r="AA179" s="77"/>
      <c r="AB179" s="78"/>
      <c r="AC179" s="97"/>
      <c r="AD179" s="98"/>
      <c r="AE179" s="77"/>
      <c r="AF179" s="78"/>
      <c r="AG179" s="97"/>
      <c r="AH179" s="98"/>
      <c r="AI179" s="77"/>
      <c r="AJ179" s="78"/>
      <c r="AK179" s="97"/>
      <c r="AL179" s="98"/>
      <c r="AM179" s="77"/>
      <c r="AN179" s="78"/>
      <c r="AO179" s="97"/>
      <c r="AP179" s="98"/>
      <c r="AQ179" s="77"/>
      <c r="AR179" s="78"/>
      <c r="AS179" s="97"/>
      <c r="AT179" s="98"/>
      <c r="AU179" s="77"/>
      <c r="AV179" s="97"/>
      <c r="AW179" s="97"/>
      <c r="AX179" s="98"/>
      <c r="AY179" s="77"/>
      <c r="AZ179" s="97"/>
      <c r="BA179" s="97"/>
      <c r="BB179" s="98"/>
      <c r="BC179" s="77"/>
      <c r="BD179" s="97"/>
      <c r="BE179" s="97"/>
      <c r="BF179" s="98"/>
      <c r="BG179" s="77"/>
      <c r="BH179" s="97"/>
      <c r="BI179" s="97"/>
      <c r="BJ179" s="98"/>
      <c r="BK179" s="77"/>
      <c r="BL179" s="97"/>
      <c r="BM179" s="97"/>
      <c r="BN179" s="98"/>
      <c r="BO179" s="77"/>
      <c r="BP179" s="97"/>
      <c r="BQ179" s="97"/>
      <c r="BR179" s="98"/>
      <c r="BS179" s="77"/>
      <c r="BT179" s="97"/>
      <c r="BU179" s="97"/>
      <c r="BV179" s="98"/>
      <c r="BW179" s="77"/>
      <c r="BX179" s="97"/>
      <c r="BY179" s="97"/>
      <c r="BZ179" s="98"/>
      <c r="CA179" s="97"/>
      <c r="CB179" s="97"/>
      <c r="CC179" s="97"/>
      <c r="CD179" s="98"/>
      <c r="CE179" s="97"/>
      <c r="CF179" s="97"/>
      <c r="CG179" s="97"/>
      <c r="CH179" s="98"/>
      <c r="CI179" s="97"/>
      <c r="CJ179" s="97"/>
      <c r="CK179" s="97"/>
      <c r="CL179" s="98"/>
      <c r="CM179" s="97"/>
      <c r="CN179" s="97"/>
      <c r="CO179" s="97"/>
      <c r="CP179" s="98"/>
      <c r="CQ179" s="97"/>
      <c r="CR179" s="97"/>
      <c r="CS179" s="97"/>
      <c r="CT179" s="98"/>
      <c r="CU179" s="97"/>
      <c r="CV179" s="97"/>
      <c r="CW179" s="97"/>
      <c r="CX179" s="98"/>
      <c r="CY179" s="97"/>
      <c r="CZ179" s="97"/>
      <c r="DA179" s="97"/>
      <c r="DB179" s="98"/>
      <c r="DC179" s="75"/>
      <c r="DD179" s="97"/>
      <c r="DE179" s="97"/>
      <c r="DF179" s="98"/>
      <c r="DG179" s="75"/>
      <c r="DH179" s="78"/>
      <c r="DI179" s="99"/>
      <c r="DJ179" s="98"/>
      <c r="DL179" s="40"/>
      <c r="DM179" s="36"/>
      <c r="DN179" s="36"/>
      <c r="DO179" s="36"/>
      <c r="DP179" s="36"/>
      <c r="DQ179" s="100"/>
      <c r="DR179" s="36"/>
      <c r="DS179" s="100"/>
      <c r="DT179" s="36"/>
      <c r="DU179" s="36"/>
      <c r="DV179" s="41"/>
    </row>
    <row r="180" spans="10:126">
      <c r="J180" s="96"/>
      <c r="L180" s="75"/>
      <c r="N180" s="75"/>
      <c r="O180" s="75"/>
      <c r="P180" s="72"/>
      <c r="Q180" s="72"/>
      <c r="S180" s="68"/>
      <c r="T180" s="68"/>
      <c r="V180" s="96"/>
      <c r="W180" s="75"/>
      <c r="X180" s="78"/>
      <c r="Y180" s="97"/>
      <c r="Z180" s="98"/>
      <c r="AA180" s="77"/>
      <c r="AB180" s="78"/>
      <c r="AC180" s="97"/>
      <c r="AD180" s="98"/>
      <c r="AE180" s="77"/>
      <c r="AF180" s="78"/>
      <c r="AG180" s="97"/>
      <c r="AH180" s="98"/>
      <c r="AI180" s="77"/>
      <c r="AJ180" s="78"/>
      <c r="AK180" s="97"/>
      <c r="AL180" s="98"/>
      <c r="AM180" s="77"/>
      <c r="AN180" s="78"/>
      <c r="AO180" s="97"/>
      <c r="AP180" s="98"/>
      <c r="AQ180" s="77"/>
      <c r="AR180" s="78"/>
      <c r="AS180" s="97"/>
      <c r="AT180" s="98"/>
      <c r="AU180" s="77"/>
      <c r="AV180" s="97"/>
      <c r="AW180" s="97"/>
      <c r="AX180" s="98"/>
      <c r="AY180" s="77"/>
      <c r="AZ180" s="97"/>
      <c r="BA180" s="97"/>
      <c r="BB180" s="98"/>
      <c r="BC180" s="77"/>
      <c r="BD180" s="97"/>
      <c r="BE180" s="97"/>
      <c r="BF180" s="98"/>
      <c r="BG180" s="77"/>
      <c r="BH180" s="97"/>
      <c r="BI180" s="97"/>
      <c r="BJ180" s="98"/>
      <c r="BK180" s="77"/>
      <c r="BL180" s="97"/>
      <c r="BM180" s="97"/>
      <c r="BN180" s="98"/>
      <c r="BO180" s="77"/>
      <c r="BP180" s="97"/>
      <c r="BQ180" s="97"/>
      <c r="BR180" s="98"/>
      <c r="BS180" s="77"/>
      <c r="BT180" s="97"/>
      <c r="BU180" s="97"/>
      <c r="BV180" s="98"/>
      <c r="BW180" s="77"/>
      <c r="BX180" s="97"/>
      <c r="BY180" s="97"/>
      <c r="BZ180" s="98"/>
      <c r="CA180" s="97"/>
      <c r="CB180" s="97"/>
      <c r="CC180" s="97"/>
      <c r="CD180" s="98"/>
      <c r="CE180" s="97"/>
      <c r="CF180" s="97"/>
      <c r="CG180" s="97"/>
      <c r="CH180" s="98"/>
      <c r="CI180" s="97"/>
      <c r="CJ180" s="97"/>
      <c r="CK180" s="97"/>
      <c r="CL180" s="98"/>
      <c r="CM180" s="97"/>
      <c r="CN180" s="97"/>
      <c r="CO180" s="97"/>
      <c r="CP180" s="98"/>
      <c r="CQ180" s="97"/>
      <c r="CR180" s="97"/>
      <c r="CS180" s="97"/>
      <c r="CT180" s="98"/>
      <c r="CU180" s="97"/>
      <c r="CV180" s="97"/>
      <c r="CW180" s="97"/>
      <c r="CX180" s="98"/>
      <c r="CY180" s="97"/>
      <c r="CZ180" s="97"/>
      <c r="DA180" s="97"/>
      <c r="DB180" s="98"/>
      <c r="DC180" s="75"/>
      <c r="DD180" s="97"/>
      <c r="DE180" s="97"/>
      <c r="DF180" s="98"/>
      <c r="DG180" s="75"/>
      <c r="DH180" s="78"/>
      <c r="DI180" s="99"/>
      <c r="DJ180" s="98"/>
      <c r="DL180" s="40"/>
      <c r="DM180" s="36"/>
      <c r="DN180" s="36"/>
      <c r="DO180" s="36"/>
      <c r="DP180" s="36"/>
      <c r="DQ180" s="100"/>
      <c r="DR180" s="36"/>
      <c r="DS180" s="100"/>
      <c r="DT180" s="36"/>
      <c r="DU180" s="36"/>
      <c r="DV180" s="41"/>
    </row>
    <row r="181" spans="10:126">
      <c r="J181" s="96"/>
      <c r="L181" s="75"/>
      <c r="N181" s="75"/>
      <c r="O181" s="75"/>
      <c r="P181" s="72"/>
      <c r="Q181" s="72"/>
      <c r="S181" s="68"/>
      <c r="T181" s="68"/>
      <c r="V181" s="96"/>
      <c r="W181" s="75"/>
      <c r="X181" s="78"/>
      <c r="Y181" s="97"/>
      <c r="Z181" s="98"/>
      <c r="AA181" s="77"/>
      <c r="AB181" s="78"/>
      <c r="AC181" s="97"/>
      <c r="AD181" s="98"/>
      <c r="AE181" s="77"/>
      <c r="AF181" s="78"/>
      <c r="AG181" s="97"/>
      <c r="AH181" s="98"/>
      <c r="AI181" s="77"/>
      <c r="AJ181" s="78"/>
      <c r="AK181" s="97"/>
      <c r="AL181" s="98"/>
      <c r="AM181" s="77"/>
      <c r="AN181" s="78"/>
      <c r="AO181" s="97"/>
      <c r="AP181" s="98"/>
      <c r="AQ181" s="77"/>
      <c r="AR181" s="78"/>
      <c r="AS181" s="97"/>
      <c r="AT181" s="98"/>
      <c r="AU181" s="77"/>
      <c r="AV181" s="97"/>
      <c r="AW181" s="97"/>
      <c r="AX181" s="98"/>
      <c r="AY181" s="77"/>
      <c r="AZ181" s="97"/>
      <c r="BA181" s="97"/>
      <c r="BB181" s="98"/>
      <c r="BC181" s="77"/>
      <c r="BD181" s="97"/>
      <c r="BE181" s="97"/>
      <c r="BF181" s="98"/>
      <c r="BG181" s="77"/>
      <c r="BH181" s="97"/>
      <c r="BI181" s="97"/>
      <c r="BJ181" s="98"/>
      <c r="BK181" s="77"/>
      <c r="BL181" s="97"/>
      <c r="BM181" s="97"/>
      <c r="BN181" s="98"/>
      <c r="BO181" s="77"/>
      <c r="BP181" s="97"/>
      <c r="BQ181" s="97"/>
      <c r="BR181" s="98"/>
      <c r="BS181" s="77"/>
      <c r="BT181" s="97"/>
      <c r="BU181" s="97"/>
      <c r="BV181" s="98"/>
      <c r="BW181" s="77"/>
      <c r="BX181" s="97"/>
      <c r="BY181" s="97"/>
      <c r="BZ181" s="98"/>
      <c r="CA181" s="97"/>
      <c r="CB181" s="97"/>
      <c r="CC181" s="97"/>
      <c r="CD181" s="98"/>
      <c r="CE181" s="97"/>
      <c r="CF181" s="97"/>
      <c r="CG181" s="97"/>
      <c r="CH181" s="98"/>
      <c r="CI181" s="97"/>
      <c r="CJ181" s="97"/>
      <c r="CK181" s="97"/>
      <c r="CL181" s="98"/>
      <c r="CM181" s="97"/>
      <c r="CN181" s="97"/>
      <c r="CO181" s="97"/>
      <c r="CP181" s="98"/>
      <c r="CQ181" s="97"/>
      <c r="CR181" s="97"/>
      <c r="CS181" s="97"/>
      <c r="CT181" s="98"/>
      <c r="CU181" s="97"/>
      <c r="CV181" s="97"/>
      <c r="CW181" s="97"/>
      <c r="CX181" s="98"/>
      <c r="CY181" s="97"/>
      <c r="CZ181" s="97"/>
      <c r="DA181" s="97"/>
      <c r="DB181" s="98"/>
      <c r="DC181" s="75"/>
      <c r="DD181" s="97"/>
      <c r="DE181" s="97"/>
      <c r="DF181" s="98"/>
      <c r="DG181" s="75"/>
      <c r="DH181" s="78"/>
      <c r="DI181" s="99"/>
      <c r="DJ181" s="98"/>
      <c r="DL181" s="40"/>
      <c r="DM181" s="36"/>
      <c r="DN181" s="36"/>
      <c r="DO181" s="36"/>
      <c r="DP181" s="36"/>
      <c r="DQ181" s="100"/>
      <c r="DR181" s="36"/>
      <c r="DS181" s="100"/>
      <c r="DT181" s="36"/>
      <c r="DU181" s="36"/>
      <c r="DV181" s="41"/>
    </row>
    <row r="182" spans="10:126">
      <c r="J182" s="96"/>
      <c r="L182" s="75"/>
      <c r="N182" s="75"/>
      <c r="O182" s="75"/>
      <c r="P182" s="72"/>
      <c r="Q182" s="72"/>
      <c r="S182" s="68"/>
      <c r="T182" s="68"/>
      <c r="V182" s="96"/>
      <c r="W182" s="75"/>
      <c r="X182" s="78"/>
      <c r="Y182" s="97"/>
      <c r="Z182" s="98"/>
      <c r="AA182" s="77"/>
      <c r="AB182" s="78"/>
      <c r="AC182" s="97"/>
      <c r="AD182" s="98"/>
      <c r="AE182" s="77"/>
      <c r="AF182" s="78"/>
      <c r="AG182" s="97"/>
      <c r="AH182" s="98"/>
      <c r="AI182" s="77"/>
      <c r="AJ182" s="78"/>
      <c r="AK182" s="97"/>
      <c r="AL182" s="98"/>
      <c r="AM182" s="77"/>
      <c r="AN182" s="78"/>
      <c r="AO182" s="97"/>
      <c r="AP182" s="98"/>
      <c r="AQ182" s="77"/>
      <c r="AR182" s="78"/>
      <c r="AS182" s="97"/>
      <c r="AT182" s="98"/>
      <c r="AU182" s="77"/>
      <c r="AV182" s="97"/>
      <c r="AW182" s="97"/>
      <c r="AX182" s="98"/>
      <c r="AY182" s="77"/>
      <c r="AZ182" s="97"/>
      <c r="BA182" s="97"/>
      <c r="BB182" s="98"/>
      <c r="BC182" s="77"/>
      <c r="BD182" s="97"/>
      <c r="BE182" s="97"/>
      <c r="BF182" s="98"/>
      <c r="BG182" s="77"/>
      <c r="BH182" s="97"/>
      <c r="BI182" s="97"/>
      <c r="BJ182" s="98"/>
      <c r="BK182" s="77"/>
      <c r="BL182" s="97"/>
      <c r="BM182" s="97"/>
      <c r="BN182" s="98"/>
      <c r="BO182" s="77"/>
      <c r="BP182" s="97"/>
      <c r="BQ182" s="97"/>
      <c r="BR182" s="98"/>
      <c r="BS182" s="77"/>
      <c r="BT182" s="97"/>
      <c r="BU182" s="97"/>
      <c r="BV182" s="98"/>
      <c r="BW182" s="77"/>
      <c r="BX182" s="97"/>
      <c r="BY182" s="97"/>
      <c r="BZ182" s="98"/>
      <c r="CA182" s="97"/>
      <c r="CB182" s="97"/>
      <c r="CC182" s="97"/>
      <c r="CD182" s="98"/>
      <c r="CE182" s="97"/>
      <c r="CF182" s="97"/>
      <c r="CG182" s="97"/>
      <c r="CH182" s="98"/>
      <c r="CI182" s="97"/>
      <c r="CJ182" s="97"/>
      <c r="CK182" s="97"/>
      <c r="CL182" s="98"/>
      <c r="CM182" s="97"/>
      <c r="CN182" s="97"/>
      <c r="CO182" s="97"/>
      <c r="CP182" s="98"/>
      <c r="CQ182" s="97"/>
      <c r="CR182" s="97"/>
      <c r="CS182" s="97"/>
      <c r="CT182" s="98"/>
      <c r="CU182" s="97"/>
      <c r="CV182" s="97"/>
      <c r="CW182" s="97"/>
      <c r="CX182" s="98"/>
      <c r="CY182" s="97"/>
      <c r="CZ182" s="97"/>
      <c r="DA182" s="97"/>
      <c r="DB182" s="98"/>
      <c r="DC182" s="75"/>
      <c r="DD182" s="97"/>
      <c r="DE182" s="97"/>
      <c r="DF182" s="98"/>
      <c r="DG182" s="75"/>
      <c r="DH182" s="78"/>
      <c r="DI182" s="99"/>
      <c r="DJ182" s="98"/>
      <c r="DL182" s="40"/>
      <c r="DM182" s="36"/>
      <c r="DN182" s="36"/>
      <c r="DO182" s="36"/>
      <c r="DP182" s="36"/>
      <c r="DQ182" s="100"/>
      <c r="DR182" s="36"/>
      <c r="DS182" s="100"/>
      <c r="DT182" s="36"/>
      <c r="DU182" s="36"/>
      <c r="DV182" s="41"/>
    </row>
    <row r="183" spans="10:126">
      <c r="J183" s="96"/>
      <c r="L183" s="75"/>
      <c r="N183" s="75"/>
      <c r="O183" s="75"/>
      <c r="P183" s="72"/>
      <c r="Q183" s="72"/>
      <c r="S183" s="68"/>
      <c r="T183" s="68"/>
      <c r="V183" s="96"/>
      <c r="W183" s="75"/>
      <c r="X183" s="78"/>
      <c r="Y183" s="97"/>
      <c r="Z183" s="98"/>
      <c r="AA183" s="77"/>
      <c r="AB183" s="78"/>
      <c r="AC183" s="97"/>
      <c r="AD183" s="98"/>
      <c r="AE183" s="77"/>
      <c r="AF183" s="78"/>
      <c r="AG183" s="97"/>
      <c r="AH183" s="98"/>
      <c r="AI183" s="77"/>
      <c r="AJ183" s="78"/>
      <c r="AK183" s="97"/>
      <c r="AL183" s="98"/>
      <c r="AM183" s="77"/>
      <c r="AN183" s="78"/>
      <c r="AO183" s="97"/>
      <c r="AP183" s="98"/>
      <c r="AQ183" s="77"/>
      <c r="AR183" s="78"/>
      <c r="AS183" s="97"/>
      <c r="AT183" s="98"/>
      <c r="AU183" s="77"/>
      <c r="AV183" s="97"/>
      <c r="AW183" s="97"/>
      <c r="AX183" s="98"/>
      <c r="AY183" s="77"/>
      <c r="AZ183" s="97"/>
      <c r="BA183" s="97"/>
      <c r="BB183" s="98"/>
      <c r="BC183" s="77"/>
      <c r="BD183" s="97"/>
      <c r="BE183" s="97"/>
      <c r="BF183" s="98"/>
      <c r="BG183" s="77"/>
      <c r="BH183" s="97"/>
      <c r="BI183" s="97"/>
      <c r="BJ183" s="98"/>
      <c r="BK183" s="77"/>
      <c r="BL183" s="97"/>
      <c r="BM183" s="97"/>
      <c r="BN183" s="98"/>
      <c r="BO183" s="77"/>
      <c r="BP183" s="97"/>
      <c r="BQ183" s="97"/>
      <c r="BR183" s="98"/>
      <c r="BS183" s="77"/>
      <c r="BT183" s="97"/>
      <c r="BU183" s="97"/>
      <c r="BV183" s="98"/>
      <c r="BW183" s="77"/>
      <c r="BX183" s="97"/>
      <c r="BY183" s="97"/>
      <c r="BZ183" s="98"/>
      <c r="CA183" s="97"/>
      <c r="CB183" s="97"/>
      <c r="CC183" s="97"/>
      <c r="CD183" s="98"/>
      <c r="CE183" s="97"/>
      <c r="CF183" s="97"/>
      <c r="CG183" s="97"/>
      <c r="CH183" s="98"/>
      <c r="CI183" s="97"/>
      <c r="CJ183" s="97"/>
      <c r="CK183" s="97"/>
      <c r="CL183" s="98"/>
      <c r="CM183" s="97"/>
      <c r="CN183" s="97"/>
      <c r="CO183" s="97"/>
      <c r="CP183" s="98"/>
      <c r="CQ183" s="97"/>
      <c r="CR183" s="97"/>
      <c r="CS183" s="97"/>
      <c r="CT183" s="98"/>
      <c r="CU183" s="97"/>
      <c r="CV183" s="97"/>
      <c r="CW183" s="97"/>
      <c r="CX183" s="98"/>
      <c r="CY183" s="97"/>
      <c r="CZ183" s="97"/>
      <c r="DA183" s="97"/>
      <c r="DB183" s="98"/>
      <c r="DC183" s="75"/>
      <c r="DD183" s="97"/>
      <c r="DE183" s="97"/>
      <c r="DF183" s="98"/>
      <c r="DG183" s="75"/>
      <c r="DH183" s="78"/>
      <c r="DI183" s="99"/>
      <c r="DJ183" s="98"/>
      <c r="DL183" s="40"/>
      <c r="DM183" s="36"/>
      <c r="DN183" s="36"/>
      <c r="DO183" s="36"/>
      <c r="DP183" s="36"/>
      <c r="DQ183" s="100"/>
      <c r="DR183" s="36"/>
      <c r="DS183" s="100"/>
      <c r="DT183" s="36"/>
      <c r="DU183" s="36"/>
      <c r="DV183" s="41"/>
    </row>
    <row r="184" spans="10:126">
      <c r="J184" s="96"/>
      <c r="L184" s="75"/>
      <c r="N184" s="75"/>
      <c r="O184" s="75"/>
      <c r="P184" s="72"/>
      <c r="Q184" s="72"/>
      <c r="S184" s="68"/>
      <c r="T184" s="68"/>
      <c r="V184" s="96"/>
      <c r="W184" s="75"/>
      <c r="X184" s="78"/>
      <c r="Y184" s="97"/>
      <c r="Z184" s="98"/>
      <c r="AA184" s="77"/>
      <c r="AB184" s="78"/>
      <c r="AC184" s="97"/>
      <c r="AD184" s="98"/>
      <c r="AE184" s="77"/>
      <c r="AF184" s="78"/>
      <c r="AG184" s="97"/>
      <c r="AH184" s="98"/>
      <c r="AI184" s="77"/>
      <c r="AJ184" s="78"/>
      <c r="AK184" s="97"/>
      <c r="AL184" s="98"/>
      <c r="AM184" s="77"/>
      <c r="AN184" s="78"/>
      <c r="AO184" s="97"/>
      <c r="AP184" s="98"/>
      <c r="AQ184" s="77"/>
      <c r="AR184" s="78"/>
      <c r="AS184" s="97"/>
      <c r="AT184" s="98"/>
      <c r="AU184" s="77"/>
      <c r="AV184" s="97"/>
      <c r="AW184" s="97"/>
      <c r="AX184" s="98"/>
      <c r="AY184" s="77"/>
      <c r="AZ184" s="97"/>
      <c r="BA184" s="97"/>
      <c r="BB184" s="98"/>
      <c r="BC184" s="77"/>
      <c r="BD184" s="97"/>
      <c r="BE184" s="97"/>
      <c r="BF184" s="98"/>
      <c r="BG184" s="77"/>
      <c r="BH184" s="97"/>
      <c r="BI184" s="97"/>
      <c r="BJ184" s="98"/>
      <c r="BK184" s="77"/>
      <c r="BL184" s="97"/>
      <c r="BM184" s="97"/>
      <c r="BN184" s="98"/>
      <c r="BO184" s="77"/>
      <c r="BP184" s="97"/>
      <c r="BQ184" s="97"/>
      <c r="BR184" s="98"/>
      <c r="BS184" s="77"/>
      <c r="BT184" s="97"/>
      <c r="BU184" s="97"/>
      <c r="BV184" s="98"/>
      <c r="BW184" s="77"/>
      <c r="BX184" s="97"/>
      <c r="BY184" s="97"/>
      <c r="BZ184" s="98"/>
      <c r="CA184" s="97"/>
      <c r="CB184" s="97"/>
      <c r="CC184" s="97"/>
      <c r="CD184" s="98"/>
      <c r="CE184" s="97"/>
      <c r="CF184" s="97"/>
      <c r="CG184" s="97"/>
      <c r="CH184" s="98"/>
      <c r="CI184" s="97"/>
      <c r="CJ184" s="97"/>
      <c r="CK184" s="97"/>
      <c r="CL184" s="98"/>
      <c r="CM184" s="97"/>
      <c r="CN184" s="97"/>
      <c r="CO184" s="97"/>
      <c r="CP184" s="98"/>
      <c r="CQ184" s="97"/>
      <c r="CR184" s="97"/>
      <c r="CS184" s="97"/>
      <c r="CT184" s="98"/>
      <c r="CU184" s="97"/>
      <c r="CV184" s="97"/>
      <c r="CW184" s="97"/>
      <c r="CX184" s="98"/>
      <c r="CY184" s="97"/>
      <c r="CZ184" s="97"/>
      <c r="DA184" s="97"/>
      <c r="DB184" s="98"/>
      <c r="DC184" s="75"/>
      <c r="DD184" s="97"/>
      <c r="DE184" s="97"/>
      <c r="DF184" s="98"/>
      <c r="DG184" s="75"/>
      <c r="DH184" s="78"/>
      <c r="DI184" s="99"/>
      <c r="DJ184" s="98"/>
      <c r="DL184" s="40"/>
      <c r="DM184" s="36"/>
      <c r="DN184" s="36"/>
      <c r="DO184" s="36"/>
      <c r="DP184" s="36"/>
      <c r="DQ184" s="100"/>
      <c r="DR184" s="36"/>
      <c r="DS184" s="100"/>
      <c r="DT184" s="36"/>
      <c r="DU184" s="36"/>
      <c r="DV184" s="41"/>
    </row>
    <row r="185" spans="10:126">
      <c r="J185" s="96"/>
      <c r="L185" s="75"/>
      <c r="N185" s="75"/>
      <c r="O185" s="75"/>
      <c r="P185" s="72"/>
      <c r="Q185" s="72"/>
      <c r="S185" s="68"/>
      <c r="T185" s="68"/>
      <c r="V185" s="96"/>
      <c r="W185" s="75"/>
      <c r="X185" s="78"/>
      <c r="Y185" s="97"/>
      <c r="Z185" s="98"/>
      <c r="AA185" s="77"/>
      <c r="AB185" s="78"/>
      <c r="AC185" s="97"/>
      <c r="AD185" s="98"/>
      <c r="AE185" s="77"/>
      <c r="AF185" s="78"/>
      <c r="AG185" s="97"/>
      <c r="AH185" s="98"/>
      <c r="AI185" s="77"/>
      <c r="AJ185" s="78"/>
      <c r="AK185" s="97"/>
      <c r="AL185" s="98"/>
      <c r="AM185" s="77"/>
      <c r="AN185" s="78"/>
      <c r="AO185" s="97"/>
      <c r="AP185" s="98"/>
      <c r="AQ185" s="77"/>
      <c r="AR185" s="78"/>
      <c r="AS185" s="97"/>
      <c r="AT185" s="98"/>
      <c r="AU185" s="77"/>
      <c r="AV185" s="97"/>
      <c r="AW185" s="97"/>
      <c r="AX185" s="98"/>
      <c r="AY185" s="77"/>
      <c r="AZ185" s="97"/>
      <c r="BA185" s="97"/>
      <c r="BB185" s="98"/>
      <c r="BC185" s="77"/>
      <c r="BD185" s="97"/>
      <c r="BE185" s="97"/>
      <c r="BF185" s="98"/>
      <c r="BG185" s="77"/>
      <c r="BH185" s="97"/>
      <c r="BI185" s="97"/>
      <c r="BJ185" s="98"/>
      <c r="BK185" s="77"/>
      <c r="BL185" s="97"/>
      <c r="BM185" s="97"/>
      <c r="BN185" s="98"/>
      <c r="BO185" s="77"/>
      <c r="BP185" s="97"/>
      <c r="BQ185" s="97"/>
      <c r="BR185" s="98"/>
      <c r="BS185" s="77"/>
      <c r="BT185" s="97"/>
      <c r="BU185" s="97"/>
      <c r="BV185" s="98"/>
      <c r="BW185" s="77"/>
      <c r="BX185" s="97"/>
      <c r="BY185" s="97"/>
      <c r="BZ185" s="98"/>
      <c r="CA185" s="97"/>
      <c r="CB185" s="97"/>
      <c r="CC185" s="97"/>
      <c r="CD185" s="98"/>
      <c r="CE185" s="97"/>
      <c r="CF185" s="97"/>
      <c r="CG185" s="97"/>
      <c r="CH185" s="98"/>
      <c r="CI185" s="97"/>
      <c r="CJ185" s="97"/>
      <c r="CK185" s="97"/>
      <c r="CL185" s="98"/>
      <c r="CM185" s="97"/>
      <c r="CN185" s="97"/>
      <c r="CO185" s="97"/>
      <c r="CP185" s="98"/>
      <c r="CQ185" s="97"/>
      <c r="CR185" s="97"/>
      <c r="CS185" s="97"/>
      <c r="CT185" s="98"/>
      <c r="CU185" s="97"/>
      <c r="CV185" s="97"/>
      <c r="CW185" s="97"/>
      <c r="CX185" s="98"/>
      <c r="CY185" s="97"/>
      <c r="CZ185" s="97"/>
      <c r="DA185" s="97"/>
      <c r="DB185" s="98"/>
      <c r="DC185" s="75"/>
      <c r="DD185" s="97"/>
      <c r="DE185" s="97"/>
      <c r="DF185" s="98"/>
      <c r="DG185" s="75"/>
      <c r="DH185" s="78"/>
      <c r="DI185" s="99"/>
      <c r="DJ185" s="98"/>
      <c r="DL185" s="40"/>
      <c r="DM185" s="36"/>
      <c r="DN185" s="36"/>
      <c r="DO185" s="36"/>
      <c r="DP185" s="36"/>
      <c r="DQ185" s="100"/>
      <c r="DR185" s="36"/>
      <c r="DS185" s="100"/>
      <c r="DT185" s="36"/>
      <c r="DU185" s="36"/>
      <c r="DV185" s="41"/>
    </row>
    <row r="186" spans="10:126">
      <c r="J186" s="96"/>
      <c r="L186" s="75"/>
      <c r="N186" s="75"/>
      <c r="O186" s="75"/>
      <c r="P186" s="72"/>
      <c r="Q186" s="72"/>
      <c r="S186" s="68"/>
      <c r="T186" s="68"/>
      <c r="V186" s="96"/>
      <c r="W186" s="75"/>
      <c r="X186" s="78"/>
      <c r="Y186" s="97"/>
      <c r="Z186" s="98"/>
      <c r="AA186" s="77"/>
      <c r="AB186" s="78"/>
      <c r="AC186" s="97"/>
      <c r="AD186" s="98"/>
      <c r="AE186" s="77"/>
      <c r="AF186" s="78"/>
      <c r="AG186" s="97"/>
      <c r="AH186" s="98"/>
      <c r="AI186" s="77"/>
      <c r="AJ186" s="78"/>
      <c r="AK186" s="97"/>
      <c r="AL186" s="98"/>
      <c r="AM186" s="77"/>
      <c r="AN186" s="78"/>
      <c r="AO186" s="97"/>
      <c r="AP186" s="98"/>
      <c r="AQ186" s="77"/>
      <c r="AR186" s="78"/>
      <c r="AS186" s="97"/>
      <c r="AT186" s="98"/>
      <c r="AU186" s="77"/>
      <c r="AV186" s="97"/>
      <c r="AW186" s="97"/>
      <c r="AX186" s="98"/>
      <c r="AY186" s="77"/>
      <c r="AZ186" s="97"/>
      <c r="BA186" s="97"/>
      <c r="BB186" s="98"/>
      <c r="BC186" s="77"/>
      <c r="BD186" s="97"/>
      <c r="BE186" s="97"/>
      <c r="BF186" s="98"/>
      <c r="BG186" s="77"/>
      <c r="BH186" s="97"/>
      <c r="BI186" s="97"/>
      <c r="BJ186" s="98"/>
      <c r="BK186" s="77"/>
      <c r="BL186" s="97"/>
      <c r="BM186" s="97"/>
      <c r="BN186" s="98"/>
      <c r="BO186" s="77"/>
      <c r="BP186" s="97"/>
      <c r="BQ186" s="97"/>
      <c r="BR186" s="98"/>
      <c r="BS186" s="77"/>
      <c r="BT186" s="97"/>
      <c r="BU186" s="97"/>
      <c r="BV186" s="98"/>
      <c r="BW186" s="77"/>
      <c r="BX186" s="97"/>
      <c r="BY186" s="97"/>
      <c r="BZ186" s="98"/>
      <c r="CA186" s="97"/>
      <c r="CB186" s="97"/>
      <c r="CC186" s="97"/>
      <c r="CD186" s="98"/>
      <c r="CE186" s="97"/>
      <c r="CF186" s="97"/>
      <c r="CG186" s="97"/>
      <c r="CH186" s="98"/>
      <c r="CI186" s="97"/>
      <c r="CJ186" s="97"/>
      <c r="CK186" s="97"/>
      <c r="CL186" s="98"/>
      <c r="CM186" s="97"/>
      <c r="CN186" s="97"/>
      <c r="CO186" s="97"/>
      <c r="CP186" s="98"/>
      <c r="CQ186" s="97"/>
      <c r="CR186" s="97"/>
      <c r="CS186" s="97"/>
      <c r="CT186" s="98"/>
      <c r="CU186" s="97"/>
      <c r="CV186" s="97"/>
      <c r="CW186" s="97"/>
      <c r="CX186" s="98"/>
      <c r="CY186" s="97"/>
      <c r="CZ186" s="97"/>
      <c r="DA186" s="97"/>
      <c r="DB186" s="98"/>
      <c r="DC186" s="75"/>
      <c r="DD186" s="97"/>
      <c r="DE186" s="97"/>
      <c r="DF186" s="98"/>
      <c r="DG186" s="75"/>
      <c r="DH186" s="78"/>
      <c r="DI186" s="99"/>
      <c r="DJ186" s="98"/>
      <c r="DL186" s="40"/>
      <c r="DM186" s="36"/>
      <c r="DN186" s="36"/>
      <c r="DO186" s="36"/>
      <c r="DP186" s="36"/>
      <c r="DQ186" s="100"/>
      <c r="DR186" s="36"/>
      <c r="DS186" s="100"/>
      <c r="DT186" s="36"/>
      <c r="DU186" s="36"/>
      <c r="DV186" s="41"/>
    </row>
    <row r="187" spans="10:126">
      <c r="J187" s="96"/>
      <c r="L187" s="75"/>
      <c r="N187" s="75"/>
      <c r="O187" s="75"/>
      <c r="P187" s="72"/>
      <c r="Q187" s="72"/>
      <c r="S187" s="68"/>
      <c r="T187" s="68"/>
      <c r="V187" s="96"/>
      <c r="W187" s="75"/>
      <c r="X187" s="78"/>
      <c r="Y187" s="97"/>
      <c r="Z187" s="98"/>
      <c r="AA187" s="77"/>
      <c r="AB187" s="78"/>
      <c r="AC187" s="97"/>
      <c r="AD187" s="98"/>
      <c r="AE187" s="77"/>
      <c r="AF187" s="78"/>
      <c r="AG187" s="97"/>
      <c r="AH187" s="98"/>
      <c r="AI187" s="77"/>
      <c r="AJ187" s="78"/>
      <c r="AK187" s="97"/>
      <c r="AL187" s="98"/>
      <c r="AM187" s="77"/>
      <c r="AN187" s="78"/>
      <c r="AO187" s="97"/>
      <c r="AP187" s="98"/>
      <c r="AQ187" s="77"/>
      <c r="AR187" s="78"/>
      <c r="AS187" s="97"/>
      <c r="AT187" s="98"/>
      <c r="AU187" s="77"/>
      <c r="AV187" s="97"/>
      <c r="AW187" s="97"/>
      <c r="AX187" s="98"/>
      <c r="AY187" s="77"/>
      <c r="AZ187" s="97"/>
      <c r="BA187" s="97"/>
      <c r="BB187" s="98"/>
      <c r="BC187" s="77"/>
      <c r="BD187" s="97"/>
      <c r="BE187" s="97"/>
      <c r="BF187" s="98"/>
      <c r="BG187" s="77"/>
      <c r="BH187" s="97"/>
      <c r="BI187" s="97"/>
      <c r="BJ187" s="98"/>
      <c r="BK187" s="77"/>
      <c r="BL187" s="97"/>
      <c r="BM187" s="97"/>
      <c r="BN187" s="98"/>
      <c r="BO187" s="77"/>
      <c r="BP187" s="97"/>
      <c r="BQ187" s="97"/>
      <c r="BR187" s="98"/>
      <c r="BS187" s="77"/>
      <c r="BT187" s="97"/>
      <c r="BU187" s="97"/>
      <c r="BV187" s="98"/>
      <c r="BW187" s="77"/>
      <c r="BX187" s="97"/>
      <c r="BY187" s="97"/>
      <c r="BZ187" s="98"/>
      <c r="CA187" s="97"/>
      <c r="CB187" s="97"/>
      <c r="CC187" s="97"/>
      <c r="CD187" s="98"/>
      <c r="CE187" s="97"/>
      <c r="CF187" s="97"/>
      <c r="CG187" s="97"/>
      <c r="CH187" s="98"/>
      <c r="CI187" s="97"/>
      <c r="CJ187" s="97"/>
      <c r="CK187" s="97"/>
      <c r="CL187" s="98"/>
      <c r="CM187" s="97"/>
      <c r="CN187" s="97"/>
      <c r="CO187" s="97"/>
      <c r="CP187" s="98"/>
      <c r="CQ187" s="97"/>
      <c r="CR187" s="97"/>
      <c r="CS187" s="97"/>
      <c r="CT187" s="98"/>
      <c r="CU187" s="97"/>
      <c r="CV187" s="97"/>
      <c r="CW187" s="97"/>
      <c r="CX187" s="98"/>
      <c r="CY187" s="97"/>
      <c r="CZ187" s="97"/>
      <c r="DA187" s="97"/>
      <c r="DB187" s="98"/>
      <c r="DC187" s="75"/>
      <c r="DD187" s="97"/>
      <c r="DE187" s="97"/>
      <c r="DF187" s="98"/>
      <c r="DG187" s="75"/>
      <c r="DH187" s="78"/>
      <c r="DI187" s="99"/>
      <c r="DJ187" s="98"/>
      <c r="DL187" s="40"/>
      <c r="DM187" s="36"/>
      <c r="DN187" s="36"/>
      <c r="DO187" s="36"/>
      <c r="DP187" s="36"/>
      <c r="DQ187" s="100"/>
      <c r="DR187" s="36"/>
      <c r="DS187" s="100"/>
      <c r="DT187" s="36"/>
      <c r="DU187" s="36"/>
      <c r="DV187" s="41"/>
    </row>
    <row r="188" spans="10:126">
      <c r="J188" s="96"/>
      <c r="L188" s="75"/>
      <c r="N188" s="75"/>
      <c r="O188" s="75"/>
      <c r="P188" s="72"/>
      <c r="Q188" s="72"/>
      <c r="S188" s="68"/>
      <c r="T188" s="68"/>
      <c r="V188" s="96"/>
      <c r="W188" s="75"/>
      <c r="X188" s="78"/>
      <c r="Y188" s="97"/>
      <c r="Z188" s="98"/>
      <c r="AA188" s="77"/>
      <c r="AB188" s="78"/>
      <c r="AC188" s="97"/>
      <c r="AD188" s="98"/>
      <c r="AE188" s="77"/>
      <c r="AF188" s="78"/>
      <c r="AG188" s="97"/>
      <c r="AH188" s="98"/>
      <c r="AI188" s="77"/>
      <c r="AJ188" s="78"/>
      <c r="AK188" s="97"/>
      <c r="AL188" s="98"/>
      <c r="AM188" s="77"/>
      <c r="AN188" s="78"/>
      <c r="AO188" s="97"/>
      <c r="AP188" s="98"/>
      <c r="AQ188" s="77"/>
      <c r="AR188" s="78"/>
      <c r="AS188" s="97"/>
      <c r="AT188" s="98"/>
      <c r="AU188" s="77"/>
      <c r="AV188" s="97"/>
      <c r="AW188" s="97"/>
      <c r="AX188" s="98"/>
      <c r="AY188" s="77"/>
      <c r="AZ188" s="97"/>
      <c r="BA188" s="97"/>
      <c r="BB188" s="98"/>
      <c r="BC188" s="77"/>
      <c r="BD188" s="97"/>
      <c r="BE188" s="97"/>
      <c r="BF188" s="98"/>
      <c r="BG188" s="77"/>
      <c r="BH188" s="97"/>
      <c r="BI188" s="97"/>
      <c r="BJ188" s="98"/>
      <c r="BK188" s="77"/>
      <c r="BL188" s="97"/>
      <c r="BM188" s="97"/>
      <c r="BN188" s="98"/>
      <c r="BO188" s="77"/>
      <c r="BP188" s="97"/>
      <c r="BQ188" s="97"/>
      <c r="BR188" s="98"/>
      <c r="BS188" s="77"/>
      <c r="BT188" s="97"/>
      <c r="BU188" s="97"/>
      <c r="BV188" s="98"/>
      <c r="BW188" s="77"/>
      <c r="BX188" s="97"/>
      <c r="BY188" s="97"/>
      <c r="BZ188" s="98"/>
      <c r="CA188" s="97"/>
      <c r="CB188" s="97"/>
      <c r="CC188" s="97"/>
      <c r="CD188" s="98"/>
      <c r="CE188" s="97"/>
      <c r="CF188" s="97"/>
      <c r="CG188" s="97"/>
      <c r="CH188" s="98"/>
      <c r="CI188" s="97"/>
      <c r="CJ188" s="97"/>
      <c r="CK188" s="97"/>
      <c r="CL188" s="98"/>
      <c r="CM188" s="97"/>
      <c r="CN188" s="97"/>
      <c r="CO188" s="97"/>
      <c r="CP188" s="98"/>
      <c r="CQ188" s="97"/>
      <c r="CR188" s="97"/>
      <c r="CS188" s="97"/>
      <c r="CT188" s="98"/>
      <c r="CU188" s="97"/>
      <c r="CV188" s="97"/>
      <c r="CW188" s="97"/>
      <c r="CX188" s="98"/>
      <c r="CY188" s="97"/>
      <c r="CZ188" s="97"/>
      <c r="DA188" s="97"/>
      <c r="DB188" s="98"/>
      <c r="DC188" s="75"/>
      <c r="DD188" s="97"/>
      <c r="DE188" s="97"/>
      <c r="DF188" s="98"/>
      <c r="DG188" s="75"/>
      <c r="DH188" s="78"/>
      <c r="DI188" s="99"/>
      <c r="DJ188" s="98"/>
      <c r="DL188" s="40"/>
      <c r="DM188" s="36"/>
      <c r="DN188" s="36"/>
      <c r="DO188" s="36"/>
      <c r="DP188" s="36"/>
      <c r="DQ188" s="100"/>
      <c r="DR188" s="36"/>
      <c r="DS188" s="100"/>
      <c r="DT188" s="36"/>
      <c r="DU188" s="36"/>
      <c r="DV188" s="41"/>
    </row>
    <row r="189" spans="10:126">
      <c r="J189" s="96"/>
      <c r="L189" s="75"/>
      <c r="N189" s="75"/>
      <c r="O189" s="75"/>
      <c r="P189" s="72"/>
      <c r="Q189" s="72"/>
      <c r="S189" s="68"/>
      <c r="T189" s="68"/>
      <c r="V189" s="96"/>
      <c r="W189" s="75"/>
      <c r="X189" s="78"/>
      <c r="Y189" s="97"/>
      <c r="Z189" s="98"/>
      <c r="AA189" s="77"/>
      <c r="AB189" s="78"/>
      <c r="AC189" s="97"/>
      <c r="AD189" s="98"/>
      <c r="AE189" s="77"/>
      <c r="AF189" s="78"/>
      <c r="AG189" s="97"/>
      <c r="AH189" s="98"/>
      <c r="AI189" s="77"/>
      <c r="AJ189" s="78"/>
      <c r="AK189" s="97"/>
      <c r="AL189" s="98"/>
      <c r="AM189" s="77"/>
      <c r="AN189" s="78"/>
      <c r="AO189" s="97"/>
      <c r="AP189" s="98"/>
      <c r="AQ189" s="77"/>
      <c r="AR189" s="78"/>
      <c r="AS189" s="97"/>
      <c r="AT189" s="98"/>
      <c r="AU189" s="77"/>
      <c r="AV189" s="97"/>
      <c r="AW189" s="97"/>
      <c r="AX189" s="98"/>
      <c r="AY189" s="77"/>
      <c r="AZ189" s="97"/>
      <c r="BA189" s="97"/>
      <c r="BB189" s="98"/>
      <c r="BC189" s="77"/>
      <c r="BD189" s="97"/>
      <c r="BE189" s="97"/>
      <c r="BF189" s="98"/>
      <c r="BG189" s="77"/>
      <c r="BH189" s="97"/>
      <c r="BI189" s="97"/>
      <c r="BJ189" s="98"/>
      <c r="BK189" s="77"/>
      <c r="BL189" s="97"/>
      <c r="BM189" s="97"/>
      <c r="BN189" s="98"/>
      <c r="BO189" s="77"/>
      <c r="BP189" s="97"/>
      <c r="BQ189" s="97"/>
      <c r="BR189" s="98"/>
      <c r="BS189" s="77"/>
      <c r="BT189" s="97"/>
      <c r="BU189" s="97"/>
      <c r="BV189" s="98"/>
      <c r="BW189" s="77"/>
      <c r="BX189" s="97"/>
      <c r="BY189" s="97"/>
      <c r="BZ189" s="98"/>
      <c r="CA189" s="97"/>
      <c r="CB189" s="97"/>
      <c r="CC189" s="97"/>
      <c r="CD189" s="98"/>
      <c r="CE189" s="97"/>
      <c r="CF189" s="97"/>
      <c r="CG189" s="97"/>
      <c r="CH189" s="98"/>
      <c r="CI189" s="97"/>
      <c r="CJ189" s="97"/>
      <c r="CK189" s="97"/>
      <c r="CL189" s="98"/>
      <c r="CM189" s="97"/>
      <c r="CN189" s="97"/>
      <c r="CO189" s="97"/>
      <c r="CP189" s="98"/>
      <c r="CQ189" s="97"/>
      <c r="CR189" s="97"/>
      <c r="CS189" s="97"/>
      <c r="CT189" s="98"/>
      <c r="CU189" s="97"/>
      <c r="CV189" s="97"/>
      <c r="CW189" s="97"/>
      <c r="CX189" s="98"/>
      <c r="CY189" s="97"/>
      <c r="CZ189" s="97"/>
      <c r="DA189" s="97"/>
      <c r="DB189" s="98"/>
      <c r="DC189" s="75"/>
      <c r="DD189" s="97"/>
      <c r="DE189" s="97"/>
      <c r="DF189" s="98"/>
      <c r="DG189" s="75"/>
      <c r="DH189" s="78"/>
      <c r="DI189" s="99"/>
      <c r="DJ189" s="98"/>
      <c r="DL189" s="40"/>
      <c r="DM189" s="36"/>
      <c r="DN189" s="36"/>
      <c r="DO189" s="36"/>
      <c r="DP189" s="36"/>
      <c r="DQ189" s="100"/>
      <c r="DR189" s="36"/>
      <c r="DS189" s="100"/>
      <c r="DT189" s="36"/>
      <c r="DU189" s="36"/>
      <c r="DV189" s="41"/>
    </row>
    <row r="190" spans="10:126">
      <c r="J190" s="96"/>
      <c r="L190" s="75"/>
      <c r="N190" s="75"/>
      <c r="O190" s="75"/>
      <c r="P190" s="72"/>
      <c r="Q190" s="72"/>
      <c r="S190" s="68"/>
      <c r="T190" s="68"/>
      <c r="V190" s="96"/>
      <c r="W190" s="75"/>
      <c r="X190" s="78"/>
      <c r="Y190" s="97"/>
      <c r="Z190" s="98"/>
      <c r="AA190" s="77"/>
      <c r="AB190" s="78"/>
      <c r="AC190" s="97"/>
      <c r="AD190" s="98"/>
      <c r="AE190" s="77"/>
      <c r="AF190" s="78"/>
      <c r="AG190" s="97"/>
      <c r="AH190" s="98"/>
      <c r="AI190" s="77"/>
      <c r="AJ190" s="78"/>
      <c r="AK190" s="97"/>
      <c r="AL190" s="98"/>
      <c r="AM190" s="77"/>
      <c r="AN190" s="78"/>
      <c r="AO190" s="97"/>
      <c r="AP190" s="98"/>
      <c r="AQ190" s="77"/>
      <c r="AR190" s="78"/>
      <c r="AS190" s="97"/>
      <c r="AT190" s="98"/>
      <c r="AU190" s="77"/>
      <c r="AV190" s="97"/>
      <c r="AW190" s="97"/>
      <c r="AX190" s="98"/>
      <c r="AY190" s="77"/>
      <c r="AZ190" s="97"/>
      <c r="BA190" s="97"/>
      <c r="BB190" s="98"/>
      <c r="BC190" s="77"/>
      <c r="BD190" s="97"/>
      <c r="BE190" s="97"/>
      <c r="BF190" s="98"/>
      <c r="BG190" s="77"/>
      <c r="BH190" s="97"/>
      <c r="BI190" s="97"/>
      <c r="BJ190" s="98"/>
      <c r="BK190" s="77"/>
      <c r="BL190" s="97"/>
      <c r="BM190" s="97"/>
      <c r="BN190" s="98"/>
      <c r="BO190" s="77"/>
      <c r="BP190" s="97"/>
      <c r="BQ190" s="97"/>
      <c r="BR190" s="98"/>
      <c r="BS190" s="77"/>
      <c r="BT190" s="97"/>
      <c r="BU190" s="97"/>
      <c r="BV190" s="98"/>
      <c r="BW190" s="77"/>
      <c r="BX190" s="97"/>
      <c r="BY190" s="97"/>
      <c r="BZ190" s="98"/>
      <c r="CA190" s="97"/>
      <c r="CB190" s="97"/>
      <c r="CC190" s="97"/>
      <c r="CD190" s="98"/>
      <c r="CE190" s="97"/>
      <c r="CF190" s="97"/>
      <c r="CG190" s="97"/>
      <c r="CH190" s="98"/>
      <c r="CI190" s="97"/>
      <c r="CJ190" s="97"/>
      <c r="CK190" s="97"/>
      <c r="CL190" s="98"/>
      <c r="CM190" s="97"/>
      <c r="CN190" s="97"/>
      <c r="CO190" s="97"/>
      <c r="CP190" s="98"/>
      <c r="CQ190" s="97"/>
      <c r="CR190" s="97"/>
      <c r="CS190" s="97"/>
      <c r="CT190" s="98"/>
      <c r="CU190" s="97"/>
      <c r="CV190" s="97"/>
      <c r="CW190" s="97"/>
      <c r="CX190" s="98"/>
      <c r="CY190" s="97"/>
      <c r="CZ190" s="97"/>
      <c r="DA190" s="97"/>
      <c r="DB190" s="98"/>
      <c r="DC190" s="75"/>
      <c r="DD190" s="97"/>
      <c r="DE190" s="97"/>
      <c r="DF190" s="98"/>
      <c r="DG190" s="75"/>
      <c r="DH190" s="78"/>
      <c r="DI190" s="99"/>
      <c r="DJ190" s="98"/>
      <c r="DL190" s="40"/>
      <c r="DM190" s="36"/>
      <c r="DN190" s="36"/>
      <c r="DO190" s="36"/>
      <c r="DP190" s="36"/>
      <c r="DQ190" s="100"/>
      <c r="DR190" s="36"/>
      <c r="DS190" s="100"/>
      <c r="DT190" s="36"/>
      <c r="DU190" s="36"/>
      <c r="DV190" s="41"/>
    </row>
    <row r="191" spans="10:126">
      <c r="J191" s="96"/>
      <c r="L191" s="75"/>
      <c r="N191" s="75"/>
      <c r="O191" s="75"/>
      <c r="P191" s="72"/>
      <c r="Q191" s="72"/>
      <c r="S191" s="68"/>
      <c r="T191" s="68"/>
      <c r="V191" s="96"/>
      <c r="W191" s="75"/>
      <c r="X191" s="78"/>
      <c r="Y191" s="97"/>
      <c r="Z191" s="98"/>
      <c r="AA191" s="77"/>
      <c r="AB191" s="78"/>
      <c r="AC191" s="97"/>
      <c r="AD191" s="98"/>
      <c r="AE191" s="77"/>
      <c r="AF191" s="78"/>
      <c r="AG191" s="97"/>
      <c r="AH191" s="98"/>
      <c r="AI191" s="77"/>
      <c r="AJ191" s="78"/>
      <c r="AK191" s="97"/>
      <c r="AL191" s="98"/>
      <c r="AM191" s="77"/>
      <c r="AN191" s="78"/>
      <c r="AO191" s="97"/>
      <c r="AP191" s="98"/>
      <c r="AQ191" s="77"/>
      <c r="AR191" s="78"/>
      <c r="AS191" s="97"/>
      <c r="AT191" s="98"/>
      <c r="AU191" s="77"/>
      <c r="AV191" s="97"/>
      <c r="AW191" s="97"/>
      <c r="AX191" s="98"/>
      <c r="AY191" s="77"/>
      <c r="AZ191" s="97"/>
      <c r="BA191" s="97"/>
      <c r="BB191" s="98"/>
      <c r="BC191" s="77"/>
      <c r="BD191" s="97"/>
      <c r="BE191" s="97"/>
      <c r="BF191" s="98"/>
      <c r="BG191" s="77"/>
      <c r="BH191" s="97"/>
      <c r="BI191" s="97"/>
      <c r="BJ191" s="98"/>
      <c r="BK191" s="77"/>
      <c r="BL191" s="97"/>
      <c r="BM191" s="97"/>
      <c r="BN191" s="98"/>
      <c r="BO191" s="77"/>
      <c r="BP191" s="97"/>
      <c r="BQ191" s="97"/>
      <c r="BR191" s="98"/>
      <c r="BS191" s="77"/>
      <c r="BT191" s="97"/>
      <c r="BU191" s="97"/>
      <c r="BV191" s="98"/>
      <c r="BW191" s="77"/>
      <c r="BX191" s="97"/>
      <c r="BY191" s="97"/>
      <c r="BZ191" s="98"/>
      <c r="CA191" s="97"/>
      <c r="CB191" s="97"/>
      <c r="CC191" s="97"/>
      <c r="CD191" s="98"/>
      <c r="CE191" s="97"/>
      <c r="CF191" s="97"/>
      <c r="CG191" s="97"/>
      <c r="CH191" s="98"/>
      <c r="CI191" s="97"/>
      <c r="CJ191" s="97"/>
      <c r="CK191" s="97"/>
      <c r="CL191" s="98"/>
      <c r="CM191" s="97"/>
      <c r="CN191" s="97"/>
      <c r="CO191" s="97"/>
      <c r="CP191" s="98"/>
      <c r="CQ191" s="97"/>
      <c r="CR191" s="97"/>
      <c r="CS191" s="97"/>
      <c r="CT191" s="98"/>
      <c r="CU191" s="97"/>
      <c r="CV191" s="97"/>
      <c r="CW191" s="97"/>
      <c r="CX191" s="98"/>
      <c r="CY191" s="97"/>
      <c r="CZ191" s="97"/>
      <c r="DA191" s="97"/>
      <c r="DB191" s="98"/>
      <c r="DC191" s="75"/>
      <c r="DD191" s="97"/>
      <c r="DE191" s="97"/>
      <c r="DF191" s="98"/>
      <c r="DG191" s="75"/>
      <c r="DH191" s="78"/>
      <c r="DI191" s="99"/>
      <c r="DJ191" s="98"/>
      <c r="DL191" s="40"/>
      <c r="DM191" s="36"/>
      <c r="DN191" s="36"/>
      <c r="DO191" s="36"/>
      <c r="DP191" s="36"/>
      <c r="DQ191" s="100"/>
      <c r="DR191" s="36"/>
      <c r="DS191" s="100"/>
      <c r="DT191" s="36"/>
      <c r="DU191" s="36"/>
      <c r="DV191" s="41"/>
    </row>
    <row r="192" spans="10:126">
      <c r="J192" s="96"/>
      <c r="L192" s="75"/>
      <c r="N192" s="75"/>
      <c r="O192" s="75"/>
      <c r="P192" s="72"/>
      <c r="Q192" s="72"/>
      <c r="S192" s="68"/>
      <c r="T192" s="68"/>
      <c r="V192" s="96"/>
      <c r="W192" s="75"/>
      <c r="X192" s="78"/>
      <c r="Y192" s="97"/>
      <c r="Z192" s="98"/>
      <c r="AA192" s="77"/>
      <c r="AB192" s="78"/>
      <c r="AC192" s="97"/>
      <c r="AD192" s="98"/>
      <c r="AE192" s="77"/>
      <c r="AF192" s="78"/>
      <c r="AG192" s="97"/>
      <c r="AH192" s="98"/>
      <c r="AI192" s="77"/>
      <c r="AJ192" s="78"/>
      <c r="AK192" s="97"/>
      <c r="AL192" s="98"/>
      <c r="AM192" s="77"/>
      <c r="AN192" s="78"/>
      <c r="AO192" s="97"/>
      <c r="AP192" s="98"/>
      <c r="AQ192" s="77"/>
      <c r="AR192" s="78"/>
      <c r="AS192" s="97"/>
      <c r="AT192" s="98"/>
      <c r="AU192" s="77"/>
      <c r="AV192" s="97"/>
      <c r="AW192" s="97"/>
      <c r="AX192" s="98"/>
      <c r="AY192" s="77"/>
      <c r="AZ192" s="97"/>
      <c r="BA192" s="97"/>
      <c r="BB192" s="98"/>
      <c r="BC192" s="77"/>
      <c r="BD192" s="97"/>
      <c r="BE192" s="97"/>
      <c r="BF192" s="98"/>
      <c r="BG192" s="77"/>
      <c r="BH192" s="97"/>
      <c r="BI192" s="97"/>
      <c r="BJ192" s="98"/>
      <c r="BK192" s="77"/>
      <c r="BL192" s="97"/>
      <c r="BM192" s="97"/>
      <c r="BN192" s="98"/>
      <c r="BO192" s="77"/>
      <c r="BP192" s="97"/>
      <c r="BQ192" s="97"/>
      <c r="BR192" s="98"/>
      <c r="BS192" s="77"/>
      <c r="BT192" s="97"/>
      <c r="BU192" s="97"/>
      <c r="BV192" s="98"/>
      <c r="BW192" s="77"/>
      <c r="BX192" s="97"/>
      <c r="BY192" s="97"/>
      <c r="BZ192" s="98"/>
      <c r="CA192" s="97"/>
      <c r="CB192" s="97"/>
      <c r="CC192" s="97"/>
      <c r="CD192" s="98"/>
      <c r="CE192" s="97"/>
      <c r="CF192" s="97"/>
      <c r="CG192" s="97"/>
      <c r="CH192" s="98"/>
      <c r="CI192" s="97"/>
      <c r="CJ192" s="97"/>
      <c r="CK192" s="97"/>
      <c r="CL192" s="98"/>
      <c r="CM192" s="97"/>
      <c r="CN192" s="97"/>
      <c r="CO192" s="97"/>
      <c r="CP192" s="98"/>
      <c r="CQ192" s="97"/>
      <c r="CR192" s="97"/>
      <c r="CS192" s="97"/>
      <c r="CT192" s="98"/>
      <c r="CU192" s="97"/>
      <c r="CV192" s="97"/>
      <c r="CW192" s="97"/>
      <c r="CX192" s="98"/>
      <c r="CY192" s="97"/>
      <c r="CZ192" s="97"/>
      <c r="DA192" s="97"/>
      <c r="DB192" s="98"/>
      <c r="DC192" s="75"/>
      <c r="DD192" s="97"/>
      <c r="DE192" s="97"/>
      <c r="DF192" s="98"/>
      <c r="DG192" s="75"/>
      <c r="DH192" s="78"/>
      <c r="DI192" s="99"/>
      <c r="DJ192" s="98"/>
      <c r="DL192" s="40"/>
      <c r="DM192" s="36"/>
      <c r="DN192" s="36"/>
      <c r="DO192" s="36"/>
      <c r="DP192" s="36"/>
      <c r="DQ192" s="100"/>
      <c r="DR192" s="36"/>
      <c r="DS192" s="100"/>
      <c r="DT192" s="36"/>
      <c r="DU192" s="36"/>
      <c r="DV192" s="41"/>
    </row>
    <row r="193" spans="10:126">
      <c r="J193" s="96"/>
      <c r="L193" s="75"/>
      <c r="N193" s="75"/>
      <c r="O193" s="75"/>
      <c r="P193" s="72"/>
      <c r="Q193" s="72"/>
      <c r="S193" s="68"/>
      <c r="T193" s="68"/>
      <c r="V193" s="96"/>
      <c r="W193" s="75"/>
      <c r="X193" s="78"/>
      <c r="Y193" s="97"/>
      <c r="Z193" s="98"/>
      <c r="AA193" s="77"/>
      <c r="AB193" s="78"/>
      <c r="AC193" s="97"/>
      <c r="AD193" s="98"/>
      <c r="AE193" s="77"/>
      <c r="AF193" s="78"/>
      <c r="AG193" s="97"/>
      <c r="AH193" s="98"/>
      <c r="AI193" s="77"/>
      <c r="AJ193" s="78"/>
      <c r="AK193" s="97"/>
      <c r="AL193" s="98"/>
      <c r="AM193" s="77"/>
      <c r="AN193" s="78"/>
      <c r="AO193" s="97"/>
      <c r="AP193" s="98"/>
      <c r="AQ193" s="77"/>
      <c r="AR193" s="78"/>
      <c r="AS193" s="97"/>
      <c r="AT193" s="98"/>
      <c r="AU193" s="77"/>
      <c r="AV193" s="97"/>
      <c r="AW193" s="97"/>
      <c r="AX193" s="98"/>
      <c r="AY193" s="77"/>
      <c r="AZ193" s="97"/>
      <c r="BA193" s="97"/>
      <c r="BB193" s="98"/>
      <c r="BC193" s="77"/>
      <c r="BD193" s="97"/>
      <c r="BE193" s="97"/>
      <c r="BF193" s="98"/>
      <c r="BG193" s="77"/>
      <c r="BH193" s="97"/>
      <c r="BI193" s="97"/>
      <c r="BJ193" s="98"/>
      <c r="BK193" s="77"/>
      <c r="BL193" s="97"/>
      <c r="BM193" s="97"/>
      <c r="BN193" s="98"/>
      <c r="BO193" s="77"/>
      <c r="BP193" s="97"/>
      <c r="BQ193" s="97"/>
      <c r="BR193" s="98"/>
      <c r="BS193" s="77"/>
      <c r="BT193" s="97"/>
      <c r="BU193" s="97"/>
      <c r="BV193" s="98"/>
      <c r="BW193" s="77"/>
      <c r="BX193" s="97"/>
      <c r="BY193" s="97"/>
      <c r="BZ193" s="98"/>
      <c r="CA193" s="97"/>
      <c r="CB193" s="97"/>
      <c r="CC193" s="97"/>
      <c r="CD193" s="98"/>
      <c r="CE193" s="97"/>
      <c r="CF193" s="97"/>
      <c r="CG193" s="97"/>
      <c r="CH193" s="98"/>
      <c r="CI193" s="97"/>
      <c r="CJ193" s="97"/>
      <c r="CK193" s="97"/>
      <c r="CL193" s="98"/>
      <c r="CM193" s="97"/>
      <c r="CN193" s="97"/>
      <c r="CO193" s="97"/>
      <c r="CP193" s="98"/>
      <c r="CQ193" s="97"/>
      <c r="CR193" s="97"/>
      <c r="CS193" s="97"/>
      <c r="CT193" s="98"/>
      <c r="CU193" s="97"/>
      <c r="CV193" s="97"/>
      <c r="CW193" s="97"/>
      <c r="CX193" s="98"/>
      <c r="CY193" s="97"/>
      <c r="CZ193" s="97"/>
      <c r="DA193" s="97"/>
      <c r="DB193" s="98"/>
      <c r="DC193" s="75"/>
      <c r="DD193" s="97"/>
      <c r="DE193" s="97"/>
      <c r="DF193" s="98"/>
      <c r="DG193" s="75"/>
      <c r="DH193" s="78"/>
      <c r="DI193" s="99"/>
      <c r="DJ193" s="98"/>
      <c r="DL193" s="40"/>
      <c r="DM193" s="36"/>
      <c r="DN193" s="36"/>
      <c r="DO193" s="36"/>
      <c r="DP193" s="36"/>
      <c r="DQ193" s="100"/>
      <c r="DR193" s="36"/>
      <c r="DS193" s="100"/>
      <c r="DT193" s="36"/>
      <c r="DU193" s="36"/>
      <c r="DV193" s="41"/>
    </row>
    <row r="194" spans="10:126">
      <c r="J194" s="96"/>
      <c r="L194" s="75"/>
      <c r="N194" s="75"/>
      <c r="O194" s="75"/>
      <c r="P194" s="72"/>
      <c r="Q194" s="72"/>
      <c r="S194" s="68"/>
      <c r="T194" s="68"/>
      <c r="V194" s="96"/>
      <c r="W194" s="75"/>
      <c r="X194" s="78"/>
      <c r="Y194" s="97"/>
      <c r="Z194" s="98"/>
      <c r="AA194" s="77"/>
      <c r="AB194" s="78"/>
      <c r="AC194" s="97"/>
      <c r="AD194" s="98"/>
      <c r="AE194" s="77"/>
      <c r="AF194" s="78"/>
      <c r="AG194" s="97"/>
      <c r="AH194" s="98"/>
      <c r="AI194" s="77"/>
      <c r="AJ194" s="78"/>
      <c r="AK194" s="97"/>
      <c r="AL194" s="98"/>
      <c r="AM194" s="77"/>
      <c r="AN194" s="78"/>
      <c r="AO194" s="97"/>
      <c r="AP194" s="98"/>
      <c r="AQ194" s="77"/>
      <c r="AR194" s="78"/>
      <c r="AS194" s="97"/>
      <c r="AT194" s="98"/>
      <c r="AU194" s="77"/>
      <c r="AV194" s="97"/>
      <c r="AW194" s="97"/>
      <c r="AX194" s="98"/>
      <c r="AY194" s="77"/>
      <c r="AZ194" s="97"/>
      <c r="BA194" s="97"/>
      <c r="BB194" s="98"/>
      <c r="BC194" s="77"/>
      <c r="BD194" s="97"/>
      <c r="BE194" s="97"/>
      <c r="BF194" s="98"/>
      <c r="BG194" s="77"/>
      <c r="BH194" s="97"/>
      <c r="BI194" s="97"/>
      <c r="BJ194" s="98"/>
      <c r="BK194" s="77"/>
      <c r="BL194" s="97"/>
      <c r="BM194" s="97"/>
      <c r="BN194" s="98"/>
      <c r="BO194" s="77"/>
      <c r="BP194" s="97"/>
      <c r="BQ194" s="97"/>
      <c r="BR194" s="98"/>
      <c r="BS194" s="77"/>
      <c r="BT194" s="97"/>
      <c r="BU194" s="97"/>
      <c r="BV194" s="98"/>
      <c r="BW194" s="77"/>
      <c r="BX194" s="97"/>
      <c r="BY194" s="97"/>
      <c r="BZ194" s="98"/>
      <c r="CA194" s="97"/>
      <c r="CB194" s="97"/>
      <c r="CC194" s="97"/>
      <c r="CD194" s="98"/>
      <c r="CE194" s="97"/>
      <c r="CF194" s="97"/>
      <c r="CG194" s="97"/>
      <c r="CH194" s="98"/>
      <c r="CI194" s="97"/>
      <c r="CJ194" s="97"/>
      <c r="CK194" s="97"/>
      <c r="CL194" s="98"/>
      <c r="CM194" s="97"/>
      <c r="CN194" s="97"/>
      <c r="CO194" s="97"/>
      <c r="CP194" s="98"/>
      <c r="CQ194" s="97"/>
      <c r="CR194" s="97"/>
      <c r="CS194" s="97"/>
      <c r="CT194" s="98"/>
      <c r="CU194" s="97"/>
      <c r="CV194" s="97"/>
      <c r="CW194" s="97"/>
      <c r="CX194" s="98"/>
      <c r="CY194" s="97"/>
      <c r="CZ194" s="97"/>
      <c r="DA194" s="97"/>
      <c r="DB194" s="98"/>
      <c r="DC194" s="75"/>
      <c r="DD194" s="97"/>
      <c r="DE194" s="97"/>
      <c r="DF194" s="98"/>
      <c r="DG194" s="75"/>
      <c r="DH194" s="78"/>
      <c r="DI194" s="99"/>
      <c r="DJ194" s="98"/>
      <c r="DL194" s="40"/>
      <c r="DM194" s="36"/>
      <c r="DN194" s="36"/>
      <c r="DO194" s="36"/>
      <c r="DP194" s="36"/>
      <c r="DQ194" s="100"/>
      <c r="DR194" s="36"/>
      <c r="DS194" s="100"/>
      <c r="DT194" s="36"/>
      <c r="DU194" s="36"/>
      <c r="DV194" s="41"/>
    </row>
    <row r="195" spans="10:126">
      <c r="J195" s="96"/>
      <c r="L195" s="75"/>
      <c r="N195" s="75"/>
      <c r="O195" s="75"/>
      <c r="P195" s="72"/>
      <c r="Q195" s="72"/>
      <c r="S195" s="68"/>
      <c r="T195" s="68"/>
      <c r="V195" s="96"/>
      <c r="W195" s="75"/>
      <c r="X195" s="78"/>
      <c r="Y195" s="97"/>
      <c r="Z195" s="98"/>
      <c r="AA195" s="77"/>
      <c r="AB195" s="78"/>
      <c r="AC195" s="97"/>
      <c r="AD195" s="98"/>
      <c r="AE195" s="77"/>
      <c r="AF195" s="78"/>
      <c r="AG195" s="97"/>
      <c r="AH195" s="98"/>
      <c r="AI195" s="77"/>
      <c r="AJ195" s="78"/>
      <c r="AK195" s="97"/>
      <c r="AL195" s="98"/>
      <c r="AM195" s="77"/>
      <c r="AN195" s="78"/>
      <c r="AO195" s="97"/>
      <c r="AP195" s="98"/>
      <c r="AQ195" s="77"/>
      <c r="AR195" s="78"/>
      <c r="AS195" s="97"/>
      <c r="AT195" s="98"/>
      <c r="AU195" s="77"/>
      <c r="AV195" s="97"/>
      <c r="AW195" s="97"/>
      <c r="AX195" s="98"/>
      <c r="AY195" s="77"/>
      <c r="AZ195" s="97"/>
      <c r="BA195" s="97"/>
      <c r="BB195" s="98"/>
      <c r="BC195" s="77"/>
      <c r="BD195" s="97"/>
      <c r="BE195" s="97"/>
      <c r="BF195" s="98"/>
      <c r="BG195" s="77"/>
      <c r="BH195" s="97"/>
      <c r="BI195" s="97"/>
      <c r="BJ195" s="98"/>
      <c r="BK195" s="77"/>
      <c r="BL195" s="97"/>
      <c r="BM195" s="97"/>
      <c r="BN195" s="98"/>
      <c r="BO195" s="77"/>
      <c r="BP195" s="97"/>
      <c r="BQ195" s="97"/>
      <c r="BR195" s="98"/>
      <c r="BS195" s="77"/>
      <c r="BT195" s="97"/>
      <c r="BU195" s="97"/>
      <c r="BV195" s="98"/>
      <c r="BW195" s="77"/>
      <c r="BX195" s="97"/>
      <c r="BY195" s="97"/>
      <c r="BZ195" s="98"/>
      <c r="CA195" s="97"/>
      <c r="CB195" s="97"/>
      <c r="CC195" s="97"/>
      <c r="CD195" s="98"/>
      <c r="CE195" s="97"/>
      <c r="CF195" s="97"/>
      <c r="CG195" s="97"/>
      <c r="CH195" s="98"/>
      <c r="CI195" s="97"/>
      <c r="CJ195" s="97"/>
      <c r="CK195" s="97"/>
      <c r="CL195" s="98"/>
      <c r="CM195" s="97"/>
      <c r="CN195" s="97"/>
      <c r="CO195" s="97"/>
      <c r="CP195" s="98"/>
      <c r="CQ195" s="97"/>
      <c r="CR195" s="97"/>
      <c r="CS195" s="97"/>
      <c r="CT195" s="98"/>
      <c r="CU195" s="97"/>
      <c r="CV195" s="97"/>
      <c r="CW195" s="97"/>
      <c r="CX195" s="98"/>
      <c r="CY195" s="97"/>
      <c r="CZ195" s="97"/>
      <c r="DA195" s="97"/>
      <c r="DB195" s="98"/>
      <c r="DC195" s="75"/>
      <c r="DD195" s="97"/>
      <c r="DE195" s="97"/>
      <c r="DF195" s="98"/>
      <c r="DG195" s="75"/>
      <c r="DH195" s="78"/>
      <c r="DI195" s="99"/>
      <c r="DJ195" s="98"/>
      <c r="DL195" s="40"/>
      <c r="DM195" s="36"/>
      <c r="DN195" s="36"/>
      <c r="DO195" s="36"/>
      <c r="DP195" s="36"/>
      <c r="DQ195" s="100"/>
      <c r="DR195" s="36"/>
      <c r="DS195" s="100"/>
      <c r="DT195" s="36"/>
      <c r="DU195" s="36"/>
      <c r="DV195" s="41"/>
    </row>
    <row r="196" spans="10:126">
      <c r="J196" s="96"/>
      <c r="L196" s="75"/>
      <c r="N196" s="75"/>
      <c r="O196" s="75"/>
      <c r="P196" s="72"/>
      <c r="Q196" s="72"/>
      <c r="S196" s="68"/>
      <c r="T196" s="68"/>
      <c r="V196" s="96"/>
      <c r="W196" s="75"/>
      <c r="X196" s="78"/>
      <c r="Y196" s="97"/>
      <c r="Z196" s="98"/>
      <c r="AA196" s="77"/>
      <c r="AB196" s="78"/>
      <c r="AC196" s="97"/>
      <c r="AD196" s="98"/>
      <c r="AE196" s="77"/>
      <c r="AF196" s="78"/>
      <c r="AG196" s="97"/>
      <c r="AH196" s="98"/>
      <c r="AI196" s="77"/>
      <c r="AJ196" s="78"/>
      <c r="AK196" s="97"/>
      <c r="AL196" s="98"/>
      <c r="AM196" s="77"/>
      <c r="AN196" s="78"/>
      <c r="AO196" s="97"/>
      <c r="AP196" s="98"/>
      <c r="AQ196" s="77"/>
      <c r="AR196" s="78"/>
      <c r="AS196" s="97"/>
      <c r="AT196" s="98"/>
      <c r="AU196" s="77"/>
      <c r="AV196" s="97"/>
      <c r="AW196" s="97"/>
      <c r="AX196" s="98"/>
      <c r="AY196" s="77"/>
      <c r="AZ196" s="97"/>
      <c r="BA196" s="97"/>
      <c r="BB196" s="98"/>
      <c r="BC196" s="77"/>
      <c r="BD196" s="97"/>
      <c r="BE196" s="97"/>
      <c r="BF196" s="98"/>
      <c r="BG196" s="77"/>
      <c r="BH196" s="97"/>
      <c r="BI196" s="97"/>
      <c r="BJ196" s="98"/>
      <c r="BK196" s="77"/>
      <c r="BL196" s="97"/>
      <c r="BM196" s="97"/>
      <c r="BN196" s="98"/>
      <c r="BO196" s="77"/>
      <c r="BP196" s="97"/>
      <c r="BQ196" s="97"/>
      <c r="BR196" s="98"/>
      <c r="BS196" s="77"/>
      <c r="BT196" s="97"/>
      <c r="BU196" s="97"/>
      <c r="BV196" s="98"/>
      <c r="BW196" s="77"/>
      <c r="BX196" s="97"/>
      <c r="BY196" s="97"/>
      <c r="BZ196" s="98"/>
      <c r="CA196" s="97"/>
      <c r="CB196" s="97"/>
      <c r="CC196" s="97"/>
      <c r="CD196" s="98"/>
      <c r="CE196" s="97"/>
      <c r="CF196" s="97"/>
      <c r="CG196" s="97"/>
      <c r="CH196" s="98"/>
      <c r="CI196" s="97"/>
      <c r="CJ196" s="97"/>
      <c r="CK196" s="97"/>
      <c r="CL196" s="98"/>
      <c r="CM196" s="97"/>
      <c r="CN196" s="97"/>
      <c r="CO196" s="97"/>
      <c r="CP196" s="98"/>
      <c r="CQ196" s="97"/>
      <c r="CR196" s="97"/>
      <c r="CS196" s="97"/>
      <c r="CT196" s="98"/>
      <c r="CU196" s="97"/>
      <c r="CV196" s="97"/>
      <c r="CW196" s="97"/>
      <c r="CX196" s="98"/>
      <c r="CY196" s="97"/>
      <c r="CZ196" s="97"/>
      <c r="DA196" s="97"/>
      <c r="DB196" s="98"/>
      <c r="DC196" s="75"/>
      <c r="DD196" s="97"/>
      <c r="DE196" s="97"/>
      <c r="DF196" s="98"/>
      <c r="DG196" s="75"/>
      <c r="DH196" s="78"/>
      <c r="DI196" s="99"/>
      <c r="DJ196" s="98"/>
      <c r="DL196" s="40"/>
      <c r="DM196" s="36"/>
      <c r="DN196" s="36"/>
      <c r="DO196" s="36"/>
      <c r="DP196" s="36"/>
      <c r="DQ196" s="100"/>
      <c r="DR196" s="36"/>
      <c r="DS196" s="100"/>
      <c r="DT196" s="36"/>
      <c r="DU196" s="36"/>
      <c r="DV196" s="41"/>
    </row>
    <row r="197" spans="10:126">
      <c r="J197" s="96"/>
      <c r="L197" s="75"/>
      <c r="N197" s="75"/>
      <c r="O197" s="75"/>
      <c r="P197" s="72"/>
      <c r="Q197" s="72"/>
      <c r="S197" s="68"/>
      <c r="T197" s="68"/>
      <c r="V197" s="96"/>
      <c r="W197" s="75"/>
      <c r="X197" s="78"/>
      <c r="Y197" s="97"/>
      <c r="Z197" s="98"/>
      <c r="AA197" s="77"/>
      <c r="AB197" s="78"/>
      <c r="AC197" s="97"/>
      <c r="AD197" s="98"/>
      <c r="AE197" s="77"/>
      <c r="AF197" s="78"/>
      <c r="AG197" s="97"/>
      <c r="AH197" s="98"/>
      <c r="AI197" s="77"/>
      <c r="AJ197" s="78"/>
      <c r="AK197" s="97"/>
      <c r="AL197" s="98"/>
      <c r="AM197" s="77"/>
      <c r="AN197" s="78"/>
      <c r="AO197" s="97"/>
      <c r="AP197" s="98"/>
      <c r="AQ197" s="77"/>
      <c r="AR197" s="78"/>
      <c r="AS197" s="97"/>
      <c r="AT197" s="98"/>
      <c r="AU197" s="77"/>
      <c r="AV197" s="97"/>
      <c r="AW197" s="97"/>
      <c r="AX197" s="98"/>
      <c r="AY197" s="77"/>
      <c r="AZ197" s="97"/>
      <c r="BA197" s="97"/>
      <c r="BB197" s="98"/>
      <c r="BC197" s="77"/>
      <c r="BD197" s="97"/>
      <c r="BE197" s="97"/>
      <c r="BF197" s="98"/>
      <c r="BG197" s="77"/>
      <c r="BH197" s="97"/>
      <c r="BI197" s="97"/>
      <c r="BJ197" s="98"/>
      <c r="BK197" s="77"/>
      <c r="BL197" s="97"/>
      <c r="BM197" s="97"/>
      <c r="BN197" s="98"/>
      <c r="BO197" s="77"/>
      <c r="BP197" s="97"/>
      <c r="BQ197" s="97"/>
      <c r="BR197" s="98"/>
      <c r="BS197" s="77"/>
      <c r="BT197" s="97"/>
      <c r="BU197" s="97"/>
      <c r="BV197" s="98"/>
      <c r="BW197" s="77"/>
      <c r="BX197" s="97"/>
      <c r="BY197" s="97"/>
      <c r="BZ197" s="98"/>
      <c r="CA197" s="97"/>
      <c r="CB197" s="97"/>
      <c r="CC197" s="97"/>
      <c r="CD197" s="98"/>
      <c r="CE197" s="97"/>
      <c r="CF197" s="97"/>
      <c r="CG197" s="97"/>
      <c r="CH197" s="98"/>
      <c r="CI197" s="97"/>
      <c r="CJ197" s="97"/>
      <c r="CK197" s="97"/>
      <c r="CL197" s="98"/>
      <c r="CM197" s="97"/>
      <c r="CN197" s="97"/>
      <c r="CO197" s="97"/>
      <c r="CP197" s="98"/>
      <c r="CQ197" s="97"/>
      <c r="CR197" s="97"/>
      <c r="CS197" s="97"/>
      <c r="CT197" s="98"/>
      <c r="CU197" s="97"/>
      <c r="CV197" s="97"/>
      <c r="CW197" s="97"/>
      <c r="CX197" s="98"/>
      <c r="CY197" s="97"/>
      <c r="CZ197" s="97"/>
      <c r="DA197" s="97"/>
      <c r="DB197" s="98"/>
      <c r="DC197" s="75"/>
      <c r="DD197" s="97"/>
      <c r="DE197" s="97"/>
      <c r="DF197" s="98"/>
      <c r="DG197" s="75"/>
      <c r="DH197" s="78"/>
      <c r="DI197" s="99"/>
      <c r="DJ197" s="98"/>
      <c r="DL197" s="40"/>
      <c r="DM197" s="36"/>
      <c r="DN197" s="36"/>
      <c r="DO197" s="36"/>
      <c r="DP197" s="36"/>
      <c r="DQ197" s="100"/>
      <c r="DR197" s="36"/>
      <c r="DS197" s="100"/>
      <c r="DT197" s="36"/>
      <c r="DU197" s="36"/>
      <c r="DV197" s="41"/>
    </row>
    <row r="198" spans="10:126">
      <c r="J198" s="96"/>
      <c r="L198" s="75"/>
      <c r="N198" s="75"/>
      <c r="O198" s="75"/>
      <c r="P198" s="72"/>
      <c r="Q198" s="72"/>
      <c r="S198" s="68"/>
      <c r="T198" s="68"/>
      <c r="V198" s="96"/>
      <c r="W198" s="75"/>
      <c r="X198" s="78"/>
      <c r="Y198" s="97"/>
      <c r="Z198" s="98"/>
      <c r="AA198" s="77"/>
      <c r="AB198" s="78"/>
      <c r="AC198" s="97"/>
      <c r="AD198" s="98"/>
      <c r="AE198" s="77"/>
      <c r="AF198" s="78"/>
      <c r="AG198" s="97"/>
      <c r="AH198" s="98"/>
      <c r="AI198" s="77"/>
      <c r="AJ198" s="78"/>
      <c r="AK198" s="97"/>
      <c r="AL198" s="98"/>
      <c r="AM198" s="77"/>
      <c r="AN198" s="78"/>
      <c r="AO198" s="97"/>
      <c r="AP198" s="98"/>
      <c r="AQ198" s="77"/>
      <c r="AR198" s="78"/>
      <c r="AS198" s="97"/>
      <c r="AT198" s="98"/>
      <c r="AU198" s="77"/>
      <c r="AV198" s="97"/>
      <c r="AW198" s="97"/>
      <c r="AX198" s="98"/>
      <c r="AY198" s="77"/>
      <c r="AZ198" s="97"/>
      <c r="BA198" s="97"/>
      <c r="BB198" s="98"/>
      <c r="BC198" s="77"/>
      <c r="BD198" s="97"/>
      <c r="BE198" s="97"/>
      <c r="BF198" s="98"/>
      <c r="BG198" s="77"/>
      <c r="BH198" s="97"/>
      <c r="BI198" s="97"/>
      <c r="BJ198" s="98"/>
      <c r="BK198" s="77"/>
      <c r="BL198" s="97"/>
      <c r="BM198" s="97"/>
      <c r="BN198" s="98"/>
      <c r="BO198" s="77"/>
      <c r="BP198" s="97"/>
      <c r="BQ198" s="97"/>
      <c r="BR198" s="98"/>
      <c r="BS198" s="77"/>
      <c r="BT198" s="97"/>
      <c r="BU198" s="97"/>
      <c r="BV198" s="98"/>
      <c r="BW198" s="77"/>
      <c r="BX198" s="97"/>
      <c r="BY198" s="97"/>
      <c r="BZ198" s="98"/>
      <c r="CA198" s="97"/>
      <c r="CB198" s="97"/>
      <c r="CC198" s="97"/>
      <c r="CD198" s="98"/>
      <c r="CE198" s="97"/>
      <c r="CF198" s="97"/>
      <c r="CG198" s="97"/>
      <c r="CH198" s="98"/>
      <c r="CI198" s="97"/>
      <c r="CJ198" s="97"/>
      <c r="CK198" s="97"/>
      <c r="CL198" s="98"/>
      <c r="CM198" s="97"/>
      <c r="CN198" s="97"/>
      <c r="CO198" s="97"/>
      <c r="CP198" s="98"/>
      <c r="CQ198" s="97"/>
      <c r="CR198" s="97"/>
      <c r="CS198" s="97"/>
      <c r="CT198" s="98"/>
      <c r="CU198" s="97"/>
      <c r="CV198" s="97"/>
      <c r="CW198" s="97"/>
      <c r="CX198" s="98"/>
      <c r="CY198" s="97"/>
      <c r="CZ198" s="97"/>
      <c r="DA198" s="97"/>
      <c r="DB198" s="98"/>
      <c r="DC198" s="75"/>
      <c r="DD198" s="97"/>
      <c r="DE198" s="97"/>
      <c r="DF198" s="98"/>
      <c r="DG198" s="75"/>
      <c r="DH198" s="78"/>
      <c r="DI198" s="99"/>
      <c r="DJ198" s="98"/>
      <c r="DL198" s="40"/>
      <c r="DM198" s="36"/>
      <c r="DN198" s="36"/>
      <c r="DO198" s="36"/>
      <c r="DP198" s="36"/>
      <c r="DQ198" s="100"/>
      <c r="DR198" s="36"/>
      <c r="DS198" s="100"/>
      <c r="DT198" s="36"/>
      <c r="DU198" s="36"/>
      <c r="DV198" s="41"/>
    </row>
    <row r="199" spans="10:126">
      <c r="J199" s="96"/>
      <c r="L199" s="75"/>
      <c r="N199" s="75"/>
      <c r="O199" s="75"/>
      <c r="P199" s="72"/>
      <c r="Q199" s="72"/>
      <c r="S199" s="68"/>
      <c r="T199" s="68"/>
      <c r="V199" s="96"/>
      <c r="W199" s="75"/>
      <c r="X199" s="78"/>
      <c r="Y199" s="97"/>
      <c r="Z199" s="98"/>
      <c r="AA199" s="77"/>
      <c r="AB199" s="78"/>
      <c r="AC199" s="97"/>
      <c r="AD199" s="98"/>
      <c r="AE199" s="77"/>
      <c r="AF199" s="78"/>
      <c r="AG199" s="97"/>
      <c r="AH199" s="98"/>
      <c r="AI199" s="77"/>
      <c r="AJ199" s="78"/>
      <c r="AK199" s="97"/>
      <c r="AL199" s="98"/>
      <c r="AM199" s="77"/>
      <c r="AN199" s="78"/>
      <c r="AO199" s="97"/>
      <c r="AP199" s="98"/>
      <c r="AQ199" s="77"/>
      <c r="AR199" s="78"/>
      <c r="AS199" s="97"/>
      <c r="AT199" s="98"/>
      <c r="AU199" s="77"/>
      <c r="AV199" s="97"/>
      <c r="AW199" s="97"/>
      <c r="AX199" s="98"/>
      <c r="AY199" s="77"/>
      <c r="AZ199" s="97"/>
      <c r="BA199" s="97"/>
      <c r="BB199" s="98"/>
      <c r="BC199" s="77"/>
      <c r="BD199" s="97"/>
      <c r="BE199" s="97"/>
      <c r="BF199" s="98"/>
      <c r="BG199" s="77"/>
      <c r="BH199" s="97"/>
      <c r="BI199" s="97"/>
      <c r="BJ199" s="98"/>
      <c r="BK199" s="77"/>
      <c r="BL199" s="97"/>
      <c r="BM199" s="97"/>
      <c r="BN199" s="98"/>
      <c r="BO199" s="77"/>
      <c r="BP199" s="97"/>
      <c r="BQ199" s="97"/>
      <c r="BR199" s="98"/>
      <c r="BS199" s="77"/>
      <c r="BT199" s="97"/>
      <c r="BU199" s="97"/>
      <c r="BV199" s="98"/>
      <c r="BW199" s="77"/>
      <c r="BX199" s="97"/>
      <c r="BY199" s="97"/>
      <c r="BZ199" s="98"/>
      <c r="CA199" s="97"/>
      <c r="CB199" s="97"/>
      <c r="CC199" s="97"/>
      <c r="CD199" s="98"/>
      <c r="CE199" s="97"/>
      <c r="CF199" s="97"/>
      <c r="CG199" s="97"/>
      <c r="CH199" s="98"/>
      <c r="CI199" s="97"/>
      <c r="CJ199" s="97"/>
      <c r="CK199" s="97"/>
      <c r="CL199" s="98"/>
      <c r="CM199" s="97"/>
      <c r="CN199" s="97"/>
      <c r="CO199" s="97"/>
      <c r="CP199" s="98"/>
      <c r="CQ199" s="97"/>
      <c r="CR199" s="97"/>
      <c r="CS199" s="97"/>
      <c r="CT199" s="98"/>
      <c r="CU199" s="97"/>
      <c r="CV199" s="97"/>
      <c r="CW199" s="97"/>
      <c r="CX199" s="98"/>
      <c r="CY199" s="97"/>
      <c r="CZ199" s="97"/>
      <c r="DA199" s="97"/>
      <c r="DB199" s="98"/>
      <c r="DC199" s="75"/>
      <c r="DD199" s="97"/>
      <c r="DE199" s="97"/>
      <c r="DF199" s="98"/>
      <c r="DG199" s="75"/>
      <c r="DH199" s="78"/>
      <c r="DI199" s="99"/>
      <c r="DJ199" s="98"/>
      <c r="DL199" s="40"/>
      <c r="DM199" s="36"/>
      <c r="DN199" s="36"/>
      <c r="DO199" s="36"/>
      <c r="DP199" s="36"/>
      <c r="DQ199" s="100"/>
      <c r="DR199" s="36"/>
      <c r="DS199" s="100"/>
      <c r="DT199" s="36"/>
      <c r="DU199" s="36"/>
      <c r="DV199" s="41"/>
    </row>
    <row r="200" spans="10:126">
      <c r="J200" s="96"/>
      <c r="L200" s="75"/>
      <c r="N200" s="75"/>
      <c r="O200" s="75"/>
      <c r="P200" s="72"/>
      <c r="Q200" s="72"/>
      <c r="S200" s="68"/>
      <c r="T200" s="68"/>
      <c r="V200" s="96"/>
      <c r="W200" s="75"/>
      <c r="X200" s="78"/>
      <c r="Y200" s="97"/>
      <c r="Z200" s="98"/>
      <c r="AA200" s="77"/>
      <c r="AB200" s="78"/>
      <c r="AC200" s="97"/>
      <c r="AD200" s="98"/>
      <c r="AE200" s="77"/>
      <c r="AF200" s="78"/>
      <c r="AG200" s="97"/>
      <c r="AH200" s="98"/>
      <c r="AI200" s="77"/>
      <c r="AJ200" s="78"/>
      <c r="AK200" s="97"/>
      <c r="AL200" s="98"/>
      <c r="AM200" s="77"/>
      <c r="AN200" s="78"/>
      <c r="AO200" s="97"/>
      <c r="AP200" s="98"/>
      <c r="AQ200" s="77"/>
      <c r="AR200" s="78"/>
      <c r="AS200" s="97"/>
      <c r="AT200" s="98"/>
      <c r="AU200" s="77"/>
      <c r="AV200" s="97"/>
      <c r="AW200" s="97"/>
      <c r="AX200" s="98"/>
      <c r="AY200" s="77"/>
      <c r="AZ200" s="97"/>
      <c r="BA200" s="97"/>
      <c r="BB200" s="98"/>
      <c r="BC200" s="77"/>
      <c r="BD200" s="97"/>
      <c r="BE200" s="97"/>
      <c r="BF200" s="98"/>
      <c r="BG200" s="77"/>
      <c r="BH200" s="97"/>
      <c r="BI200" s="97"/>
      <c r="BJ200" s="98"/>
      <c r="BK200" s="77"/>
      <c r="BL200" s="97"/>
      <c r="BM200" s="97"/>
      <c r="BN200" s="98"/>
      <c r="BO200" s="77"/>
      <c r="BP200" s="97"/>
      <c r="BQ200" s="97"/>
      <c r="BR200" s="98"/>
      <c r="BS200" s="77"/>
      <c r="BT200" s="97"/>
      <c r="BU200" s="97"/>
      <c r="BV200" s="98"/>
      <c r="BW200" s="77"/>
      <c r="BX200" s="97"/>
      <c r="BY200" s="97"/>
      <c r="BZ200" s="98"/>
      <c r="CA200" s="97"/>
      <c r="CB200" s="97"/>
      <c r="CC200" s="97"/>
      <c r="CD200" s="98"/>
      <c r="CE200" s="97"/>
      <c r="CF200" s="97"/>
      <c r="CG200" s="97"/>
      <c r="CH200" s="98"/>
      <c r="CI200" s="97"/>
      <c r="CJ200" s="97"/>
      <c r="CK200" s="97"/>
      <c r="CL200" s="98"/>
      <c r="CM200" s="97"/>
      <c r="CN200" s="97"/>
      <c r="CO200" s="97"/>
      <c r="CP200" s="98"/>
      <c r="CQ200" s="97"/>
      <c r="CR200" s="97"/>
      <c r="CS200" s="97"/>
      <c r="CT200" s="98"/>
      <c r="CU200" s="97"/>
      <c r="CV200" s="97"/>
      <c r="CW200" s="97"/>
      <c r="CX200" s="98"/>
      <c r="CY200" s="97"/>
      <c r="CZ200" s="97"/>
      <c r="DA200" s="97"/>
      <c r="DB200" s="98"/>
      <c r="DC200" s="75"/>
      <c r="DD200" s="97"/>
      <c r="DE200" s="97"/>
      <c r="DF200" s="98"/>
      <c r="DG200" s="75"/>
      <c r="DH200" s="78"/>
      <c r="DI200" s="99"/>
      <c r="DJ200" s="98"/>
      <c r="DL200" s="40"/>
      <c r="DM200" s="36"/>
      <c r="DN200" s="36"/>
      <c r="DO200" s="36"/>
      <c r="DP200" s="36"/>
      <c r="DQ200" s="100"/>
      <c r="DR200" s="36"/>
      <c r="DS200" s="100"/>
      <c r="DT200" s="36"/>
      <c r="DU200" s="36"/>
      <c r="DV200" s="41"/>
    </row>
    <row r="201" spans="10:126">
      <c r="J201" s="96"/>
      <c r="L201" s="75"/>
      <c r="N201" s="75"/>
      <c r="O201" s="75"/>
      <c r="P201" s="72"/>
      <c r="Q201" s="72"/>
      <c r="S201" s="68"/>
      <c r="T201" s="68"/>
      <c r="V201" s="96"/>
      <c r="W201" s="75"/>
      <c r="X201" s="78"/>
      <c r="Y201" s="97"/>
      <c r="Z201" s="98"/>
      <c r="AA201" s="77"/>
      <c r="AB201" s="78"/>
      <c r="AC201" s="97"/>
      <c r="AD201" s="98"/>
      <c r="AE201" s="77"/>
      <c r="AF201" s="78"/>
      <c r="AG201" s="97"/>
      <c r="AH201" s="98"/>
      <c r="AI201" s="77"/>
      <c r="AJ201" s="78"/>
      <c r="AK201" s="97"/>
      <c r="AL201" s="98"/>
      <c r="AM201" s="77"/>
      <c r="AN201" s="78"/>
      <c r="AO201" s="97"/>
      <c r="AP201" s="98"/>
      <c r="AQ201" s="77"/>
      <c r="AR201" s="78"/>
      <c r="AS201" s="97"/>
      <c r="AT201" s="98"/>
      <c r="AU201" s="77"/>
      <c r="AV201" s="97"/>
      <c r="AW201" s="97"/>
      <c r="AX201" s="98"/>
      <c r="AY201" s="77"/>
      <c r="AZ201" s="97"/>
      <c r="BA201" s="97"/>
      <c r="BB201" s="98"/>
      <c r="BC201" s="77"/>
      <c r="BD201" s="97"/>
      <c r="BE201" s="97"/>
      <c r="BF201" s="98"/>
      <c r="BG201" s="77"/>
      <c r="BH201" s="97"/>
      <c r="BI201" s="97"/>
      <c r="BJ201" s="98"/>
      <c r="BK201" s="77"/>
      <c r="BL201" s="97"/>
      <c r="BM201" s="97"/>
      <c r="BN201" s="98"/>
      <c r="BO201" s="77"/>
      <c r="BP201" s="97"/>
      <c r="BQ201" s="97"/>
      <c r="BR201" s="98"/>
      <c r="BS201" s="77"/>
      <c r="BT201" s="97"/>
      <c r="BU201" s="97"/>
      <c r="BV201" s="98"/>
      <c r="BW201" s="77"/>
      <c r="BX201" s="97"/>
      <c r="BY201" s="97"/>
      <c r="BZ201" s="98"/>
      <c r="CA201" s="97"/>
      <c r="CB201" s="97"/>
      <c r="CC201" s="97"/>
      <c r="CD201" s="98"/>
      <c r="CE201" s="97"/>
      <c r="CF201" s="97"/>
      <c r="CG201" s="97"/>
      <c r="CH201" s="98"/>
      <c r="CI201" s="97"/>
      <c r="CJ201" s="97"/>
      <c r="CK201" s="97"/>
      <c r="CL201" s="98"/>
      <c r="CM201" s="97"/>
      <c r="CN201" s="97"/>
      <c r="CO201" s="97"/>
      <c r="CP201" s="98"/>
      <c r="CQ201" s="97"/>
      <c r="CR201" s="97"/>
      <c r="CS201" s="97"/>
      <c r="CT201" s="98"/>
      <c r="CU201" s="97"/>
      <c r="CV201" s="97"/>
      <c r="CW201" s="97"/>
      <c r="CX201" s="98"/>
      <c r="CY201" s="97"/>
      <c r="CZ201" s="97"/>
      <c r="DA201" s="97"/>
      <c r="DB201" s="98"/>
      <c r="DC201" s="75"/>
      <c r="DD201" s="97"/>
      <c r="DE201" s="97"/>
      <c r="DF201" s="98"/>
      <c r="DG201" s="75"/>
      <c r="DH201" s="78"/>
      <c r="DI201" s="99"/>
      <c r="DJ201" s="98"/>
      <c r="DL201" s="40"/>
      <c r="DM201" s="36"/>
      <c r="DN201" s="36"/>
      <c r="DO201" s="36"/>
      <c r="DP201" s="36"/>
      <c r="DQ201" s="100"/>
      <c r="DR201" s="36"/>
      <c r="DS201" s="100"/>
      <c r="DT201" s="36"/>
      <c r="DU201" s="36"/>
      <c r="DV201" s="41"/>
    </row>
    <row r="202" spans="10:126">
      <c r="J202" s="96"/>
      <c r="L202" s="75"/>
      <c r="N202" s="75"/>
      <c r="O202" s="75"/>
      <c r="P202" s="72"/>
      <c r="Q202" s="72"/>
      <c r="S202" s="68"/>
      <c r="T202" s="68"/>
      <c r="V202" s="96"/>
      <c r="W202" s="75"/>
      <c r="X202" s="78"/>
      <c r="Y202" s="97"/>
      <c r="Z202" s="98"/>
      <c r="AA202" s="77"/>
      <c r="AB202" s="78"/>
      <c r="AC202" s="97"/>
      <c r="AD202" s="98"/>
      <c r="AE202" s="77"/>
      <c r="AF202" s="78"/>
      <c r="AG202" s="97"/>
      <c r="AH202" s="98"/>
      <c r="AI202" s="77"/>
      <c r="AJ202" s="78"/>
      <c r="AK202" s="97"/>
      <c r="AL202" s="98"/>
      <c r="AM202" s="77"/>
      <c r="AN202" s="78"/>
      <c r="AO202" s="97"/>
      <c r="AP202" s="98"/>
      <c r="AQ202" s="77"/>
      <c r="AR202" s="78"/>
      <c r="AS202" s="97"/>
      <c r="AT202" s="98"/>
      <c r="AU202" s="77"/>
      <c r="AV202" s="97"/>
      <c r="AW202" s="97"/>
      <c r="AX202" s="98"/>
      <c r="AY202" s="77"/>
      <c r="AZ202" s="97"/>
      <c r="BA202" s="97"/>
      <c r="BB202" s="98"/>
      <c r="BC202" s="77"/>
      <c r="BD202" s="97"/>
      <c r="BE202" s="97"/>
      <c r="BF202" s="98"/>
      <c r="BG202" s="77"/>
      <c r="BH202" s="97"/>
      <c r="BI202" s="97"/>
      <c r="BJ202" s="98"/>
      <c r="BK202" s="77"/>
      <c r="BL202" s="97"/>
      <c r="BM202" s="97"/>
      <c r="BN202" s="98"/>
      <c r="BO202" s="77"/>
      <c r="BP202" s="97"/>
      <c r="BQ202" s="97"/>
      <c r="BR202" s="98"/>
      <c r="BS202" s="77"/>
      <c r="BT202" s="97"/>
      <c r="BU202" s="97"/>
      <c r="BV202" s="98"/>
      <c r="BW202" s="77"/>
      <c r="BX202" s="97"/>
      <c r="BY202" s="97"/>
      <c r="BZ202" s="98"/>
      <c r="CA202" s="97"/>
      <c r="CB202" s="97"/>
      <c r="CC202" s="97"/>
      <c r="CD202" s="98"/>
      <c r="CE202" s="97"/>
      <c r="CF202" s="97"/>
      <c r="CG202" s="97"/>
      <c r="CH202" s="98"/>
      <c r="CI202" s="97"/>
      <c r="CJ202" s="97"/>
      <c r="CK202" s="97"/>
      <c r="CL202" s="98"/>
      <c r="CM202" s="97"/>
      <c r="CN202" s="97"/>
      <c r="CO202" s="97"/>
      <c r="CP202" s="98"/>
      <c r="CQ202" s="97"/>
      <c r="CR202" s="97"/>
      <c r="CS202" s="97"/>
      <c r="CT202" s="98"/>
      <c r="CU202" s="97"/>
      <c r="CV202" s="97"/>
      <c r="CW202" s="97"/>
      <c r="CX202" s="98"/>
      <c r="CY202" s="97"/>
      <c r="CZ202" s="97"/>
      <c r="DA202" s="97"/>
      <c r="DB202" s="98"/>
      <c r="DC202" s="75"/>
      <c r="DD202" s="97"/>
      <c r="DE202" s="97"/>
      <c r="DF202" s="98"/>
      <c r="DG202" s="75"/>
      <c r="DH202" s="78"/>
      <c r="DI202" s="99"/>
      <c r="DJ202" s="98"/>
      <c r="DL202" s="40"/>
      <c r="DM202" s="36"/>
      <c r="DN202" s="36"/>
      <c r="DO202" s="36"/>
      <c r="DP202" s="36"/>
      <c r="DQ202" s="100"/>
      <c r="DR202" s="36"/>
      <c r="DS202" s="100"/>
      <c r="DT202" s="36"/>
      <c r="DU202" s="36"/>
      <c r="DV202" s="41"/>
    </row>
    <row r="203" spans="10:126">
      <c r="J203" s="96"/>
      <c r="L203" s="75"/>
      <c r="N203" s="75"/>
      <c r="O203" s="75"/>
      <c r="P203" s="72"/>
      <c r="Q203" s="72"/>
      <c r="S203" s="68"/>
      <c r="T203" s="68"/>
      <c r="V203" s="96"/>
      <c r="W203" s="75"/>
      <c r="X203" s="78"/>
      <c r="Y203" s="97"/>
      <c r="Z203" s="98"/>
      <c r="AA203" s="77"/>
      <c r="AB203" s="78"/>
      <c r="AC203" s="97"/>
      <c r="AD203" s="98"/>
      <c r="AE203" s="77"/>
      <c r="AF203" s="78"/>
      <c r="AG203" s="97"/>
      <c r="AH203" s="98"/>
      <c r="AI203" s="77"/>
      <c r="AJ203" s="78"/>
      <c r="AK203" s="97"/>
      <c r="AL203" s="98"/>
      <c r="AM203" s="77"/>
      <c r="AN203" s="78"/>
      <c r="AO203" s="97"/>
      <c r="AP203" s="98"/>
      <c r="AQ203" s="77"/>
      <c r="AR203" s="78"/>
      <c r="AS203" s="97"/>
      <c r="AT203" s="98"/>
      <c r="AU203" s="77"/>
      <c r="AV203" s="97"/>
      <c r="AW203" s="97"/>
      <c r="AX203" s="98"/>
      <c r="AY203" s="77"/>
      <c r="AZ203" s="97"/>
      <c r="BA203" s="97"/>
      <c r="BB203" s="98"/>
      <c r="BC203" s="77"/>
      <c r="BD203" s="97"/>
      <c r="BE203" s="97"/>
      <c r="BF203" s="98"/>
      <c r="BG203" s="77"/>
      <c r="BH203" s="97"/>
      <c r="BI203" s="97"/>
      <c r="BJ203" s="98"/>
      <c r="BK203" s="77"/>
      <c r="BL203" s="97"/>
      <c r="BM203" s="97"/>
      <c r="BN203" s="98"/>
      <c r="BO203" s="77"/>
      <c r="BP203" s="97"/>
      <c r="BQ203" s="97"/>
      <c r="BR203" s="98"/>
      <c r="BS203" s="77"/>
      <c r="BT203" s="97"/>
      <c r="BU203" s="97"/>
      <c r="BV203" s="98"/>
      <c r="BW203" s="77"/>
      <c r="BX203" s="97"/>
      <c r="BY203" s="97"/>
      <c r="BZ203" s="98"/>
      <c r="CA203" s="97"/>
      <c r="CB203" s="97"/>
      <c r="CC203" s="97"/>
      <c r="CD203" s="98"/>
      <c r="CE203" s="97"/>
      <c r="CF203" s="97"/>
      <c r="CG203" s="97"/>
      <c r="CH203" s="98"/>
      <c r="CI203" s="97"/>
      <c r="CJ203" s="97"/>
      <c r="CK203" s="97"/>
      <c r="CL203" s="98"/>
      <c r="CM203" s="97"/>
      <c r="CN203" s="97"/>
      <c r="CO203" s="97"/>
      <c r="CP203" s="98"/>
      <c r="CQ203" s="97"/>
      <c r="CR203" s="97"/>
      <c r="CS203" s="97"/>
      <c r="CT203" s="98"/>
      <c r="CU203" s="97"/>
      <c r="CV203" s="97"/>
      <c r="CW203" s="97"/>
      <c r="CX203" s="98"/>
      <c r="CY203" s="97"/>
      <c r="CZ203" s="97"/>
      <c r="DA203" s="97"/>
      <c r="DB203" s="98"/>
      <c r="DC203" s="75"/>
      <c r="DD203" s="97"/>
      <c r="DE203" s="97"/>
      <c r="DF203" s="98"/>
      <c r="DG203" s="75"/>
      <c r="DH203" s="78"/>
      <c r="DI203" s="99"/>
      <c r="DJ203" s="98"/>
      <c r="DL203" s="40"/>
      <c r="DM203" s="36"/>
      <c r="DN203" s="36"/>
      <c r="DO203" s="36"/>
      <c r="DP203" s="36"/>
      <c r="DQ203" s="100"/>
      <c r="DR203" s="36"/>
      <c r="DS203" s="100"/>
      <c r="DT203" s="36"/>
      <c r="DU203" s="36"/>
      <c r="DV203" s="41"/>
    </row>
    <row r="204" spans="10:126">
      <c r="J204" s="96"/>
      <c r="L204" s="75"/>
      <c r="N204" s="75"/>
      <c r="O204" s="75"/>
      <c r="P204" s="72"/>
      <c r="Q204" s="72"/>
      <c r="S204" s="68"/>
      <c r="T204" s="68"/>
      <c r="V204" s="96"/>
      <c r="W204" s="75"/>
      <c r="X204" s="78"/>
      <c r="Y204" s="97"/>
      <c r="Z204" s="98"/>
      <c r="AA204" s="77"/>
      <c r="AB204" s="78"/>
      <c r="AC204" s="97"/>
      <c r="AD204" s="98"/>
      <c r="AE204" s="77"/>
      <c r="AF204" s="78"/>
      <c r="AG204" s="97"/>
      <c r="AH204" s="98"/>
      <c r="AI204" s="77"/>
      <c r="AJ204" s="78"/>
      <c r="AK204" s="97"/>
      <c r="AL204" s="98"/>
      <c r="AM204" s="77"/>
      <c r="AN204" s="78"/>
      <c r="AO204" s="97"/>
      <c r="AP204" s="98"/>
      <c r="AQ204" s="77"/>
      <c r="AR204" s="78"/>
      <c r="AS204" s="97"/>
      <c r="AT204" s="98"/>
      <c r="AU204" s="77"/>
      <c r="AV204" s="97"/>
      <c r="AW204" s="97"/>
      <c r="AX204" s="98"/>
      <c r="AY204" s="77"/>
      <c r="AZ204" s="97"/>
      <c r="BA204" s="97"/>
      <c r="BB204" s="98"/>
      <c r="BC204" s="77"/>
      <c r="BD204" s="97"/>
      <c r="BE204" s="97"/>
      <c r="BF204" s="98"/>
      <c r="BG204" s="77"/>
      <c r="BH204" s="97"/>
      <c r="BI204" s="97"/>
      <c r="BJ204" s="98"/>
      <c r="BK204" s="77"/>
      <c r="BL204" s="97"/>
      <c r="BM204" s="97"/>
      <c r="BN204" s="98"/>
      <c r="BO204" s="77"/>
      <c r="BP204" s="97"/>
      <c r="BQ204" s="97"/>
      <c r="BR204" s="98"/>
      <c r="BS204" s="77"/>
      <c r="BT204" s="97"/>
      <c r="BU204" s="97"/>
      <c r="BV204" s="98"/>
      <c r="BW204" s="77"/>
      <c r="BX204" s="97"/>
      <c r="BY204" s="97"/>
      <c r="BZ204" s="98"/>
      <c r="CA204" s="97"/>
      <c r="CB204" s="97"/>
      <c r="CC204" s="97"/>
      <c r="CD204" s="98"/>
      <c r="CE204" s="97"/>
      <c r="CF204" s="97"/>
      <c r="CG204" s="97"/>
      <c r="CH204" s="98"/>
      <c r="CI204" s="97"/>
      <c r="CJ204" s="97"/>
      <c r="CK204" s="97"/>
      <c r="CL204" s="98"/>
      <c r="CM204" s="97"/>
      <c r="CN204" s="97"/>
      <c r="CO204" s="97"/>
      <c r="CP204" s="98"/>
      <c r="CQ204" s="97"/>
      <c r="CR204" s="97"/>
      <c r="CS204" s="97"/>
      <c r="CT204" s="98"/>
      <c r="CU204" s="97"/>
      <c r="CV204" s="97"/>
      <c r="CW204" s="97"/>
      <c r="CX204" s="98"/>
      <c r="CY204" s="97"/>
      <c r="CZ204" s="97"/>
      <c r="DA204" s="97"/>
      <c r="DB204" s="98"/>
      <c r="DC204" s="75"/>
      <c r="DD204" s="97"/>
      <c r="DE204" s="97"/>
      <c r="DF204" s="98"/>
      <c r="DG204" s="75"/>
      <c r="DH204" s="78"/>
      <c r="DI204" s="99"/>
      <c r="DJ204" s="98"/>
      <c r="DL204" s="40"/>
      <c r="DM204" s="36"/>
      <c r="DN204" s="36"/>
      <c r="DO204" s="36"/>
      <c r="DP204" s="36"/>
      <c r="DQ204" s="100"/>
      <c r="DR204" s="36"/>
      <c r="DS204" s="100"/>
      <c r="DT204" s="36"/>
      <c r="DU204" s="36"/>
      <c r="DV204" s="41"/>
    </row>
    <row r="205" spans="10:126">
      <c r="J205" s="96"/>
      <c r="L205" s="75"/>
      <c r="N205" s="75"/>
      <c r="O205" s="75"/>
      <c r="P205" s="72"/>
      <c r="Q205" s="72"/>
      <c r="S205" s="68"/>
      <c r="T205" s="68"/>
      <c r="V205" s="96"/>
      <c r="W205" s="75"/>
      <c r="X205" s="78"/>
      <c r="Y205" s="97"/>
      <c r="Z205" s="98"/>
      <c r="AA205" s="77"/>
      <c r="AB205" s="78"/>
      <c r="AC205" s="97"/>
      <c r="AD205" s="98"/>
      <c r="AE205" s="77"/>
      <c r="AF205" s="78"/>
      <c r="AG205" s="97"/>
      <c r="AH205" s="98"/>
      <c r="AI205" s="77"/>
      <c r="AJ205" s="78"/>
      <c r="AK205" s="97"/>
      <c r="AL205" s="98"/>
      <c r="AM205" s="77"/>
      <c r="AN205" s="78"/>
      <c r="AO205" s="97"/>
      <c r="AP205" s="98"/>
      <c r="AQ205" s="77"/>
      <c r="AR205" s="78"/>
      <c r="AS205" s="97"/>
      <c r="AT205" s="98"/>
      <c r="AU205" s="77"/>
      <c r="AV205" s="97"/>
      <c r="AW205" s="97"/>
      <c r="AX205" s="98"/>
      <c r="AY205" s="77"/>
      <c r="AZ205" s="97"/>
      <c r="BA205" s="97"/>
      <c r="BB205" s="98"/>
      <c r="BC205" s="77"/>
      <c r="BD205" s="97"/>
      <c r="BE205" s="97"/>
      <c r="BF205" s="98"/>
      <c r="BG205" s="77"/>
      <c r="BH205" s="97"/>
      <c r="BI205" s="97"/>
      <c r="BJ205" s="98"/>
      <c r="BK205" s="77"/>
      <c r="BL205" s="97"/>
      <c r="BM205" s="97"/>
      <c r="BN205" s="98"/>
      <c r="BO205" s="77"/>
      <c r="BP205" s="97"/>
      <c r="BQ205" s="97"/>
      <c r="BR205" s="98"/>
      <c r="BS205" s="77"/>
      <c r="BT205" s="97"/>
      <c r="BU205" s="97"/>
      <c r="BV205" s="98"/>
      <c r="BW205" s="77"/>
      <c r="BX205" s="97"/>
      <c r="BY205" s="97"/>
      <c r="BZ205" s="98"/>
      <c r="CA205" s="97"/>
      <c r="CB205" s="97"/>
      <c r="CC205" s="97"/>
      <c r="CD205" s="98"/>
      <c r="CE205" s="97"/>
      <c r="CF205" s="97"/>
      <c r="CG205" s="97"/>
      <c r="CH205" s="98"/>
      <c r="CI205" s="97"/>
      <c r="CJ205" s="97"/>
      <c r="CK205" s="97"/>
      <c r="CL205" s="98"/>
      <c r="CM205" s="97"/>
      <c r="CN205" s="97"/>
      <c r="CO205" s="97"/>
      <c r="CP205" s="98"/>
      <c r="CQ205" s="97"/>
      <c r="CR205" s="97"/>
      <c r="CS205" s="97"/>
      <c r="CT205" s="98"/>
      <c r="CU205" s="97"/>
      <c r="CV205" s="97"/>
      <c r="CW205" s="97"/>
      <c r="CX205" s="98"/>
      <c r="CY205" s="97"/>
      <c r="CZ205" s="97"/>
      <c r="DA205" s="97"/>
      <c r="DB205" s="98"/>
      <c r="DC205" s="75"/>
      <c r="DD205" s="97"/>
      <c r="DE205" s="97"/>
      <c r="DF205" s="98"/>
      <c r="DG205" s="75"/>
      <c r="DH205" s="78"/>
      <c r="DI205" s="99"/>
      <c r="DJ205" s="98"/>
      <c r="DL205" s="40"/>
      <c r="DM205" s="36"/>
      <c r="DN205" s="36"/>
      <c r="DO205" s="36"/>
      <c r="DP205" s="36"/>
      <c r="DQ205" s="100"/>
      <c r="DR205" s="36"/>
      <c r="DS205" s="100"/>
      <c r="DT205" s="36"/>
      <c r="DU205" s="36"/>
      <c r="DV205" s="41"/>
    </row>
    <row r="206" spans="10:126">
      <c r="J206" s="96"/>
      <c r="L206" s="75"/>
      <c r="N206" s="75"/>
      <c r="O206" s="75"/>
      <c r="P206" s="72"/>
      <c r="Q206" s="72"/>
      <c r="S206" s="68"/>
      <c r="T206" s="68"/>
      <c r="V206" s="96"/>
      <c r="W206" s="75"/>
      <c r="X206" s="78"/>
      <c r="Y206" s="97"/>
      <c r="Z206" s="98"/>
      <c r="AA206" s="77"/>
      <c r="AB206" s="78"/>
      <c r="AC206" s="97"/>
      <c r="AD206" s="98"/>
      <c r="AE206" s="77"/>
      <c r="AF206" s="78"/>
      <c r="AG206" s="97"/>
      <c r="AH206" s="98"/>
      <c r="AI206" s="77"/>
      <c r="AJ206" s="78"/>
      <c r="AK206" s="97"/>
      <c r="AL206" s="98"/>
      <c r="AM206" s="77"/>
      <c r="AN206" s="78"/>
      <c r="AO206" s="97"/>
      <c r="AP206" s="98"/>
      <c r="AQ206" s="77"/>
      <c r="AR206" s="78"/>
      <c r="AS206" s="97"/>
      <c r="AT206" s="98"/>
      <c r="AU206" s="77"/>
      <c r="AV206" s="97"/>
      <c r="AW206" s="97"/>
      <c r="AX206" s="98"/>
      <c r="AY206" s="77"/>
      <c r="AZ206" s="97"/>
      <c r="BA206" s="97"/>
      <c r="BB206" s="98"/>
      <c r="BC206" s="77"/>
      <c r="BD206" s="97"/>
      <c r="BE206" s="97"/>
      <c r="BF206" s="98"/>
      <c r="BG206" s="77"/>
      <c r="BH206" s="97"/>
      <c r="BI206" s="97"/>
      <c r="BJ206" s="98"/>
      <c r="BK206" s="77"/>
      <c r="BL206" s="97"/>
      <c r="BM206" s="97"/>
      <c r="BN206" s="98"/>
      <c r="BO206" s="77"/>
      <c r="BP206" s="97"/>
      <c r="BQ206" s="97"/>
      <c r="BR206" s="98"/>
      <c r="BS206" s="77"/>
      <c r="BT206" s="97"/>
      <c r="BU206" s="97"/>
      <c r="BV206" s="98"/>
      <c r="BW206" s="77"/>
      <c r="BX206" s="97"/>
      <c r="BY206" s="97"/>
      <c r="BZ206" s="98"/>
      <c r="CA206" s="97"/>
      <c r="CB206" s="97"/>
      <c r="CC206" s="97"/>
      <c r="CD206" s="98"/>
      <c r="CE206" s="97"/>
      <c r="CF206" s="97"/>
      <c r="CG206" s="97"/>
      <c r="CH206" s="98"/>
      <c r="CI206" s="97"/>
      <c r="CJ206" s="97"/>
      <c r="CK206" s="97"/>
      <c r="CL206" s="98"/>
      <c r="CM206" s="97"/>
      <c r="CN206" s="97"/>
      <c r="CO206" s="97"/>
      <c r="CP206" s="98"/>
      <c r="CQ206" s="97"/>
      <c r="CR206" s="97"/>
      <c r="CS206" s="97"/>
      <c r="CT206" s="98"/>
      <c r="CU206" s="97"/>
      <c r="CV206" s="97"/>
      <c r="CW206" s="97"/>
      <c r="CX206" s="98"/>
      <c r="CY206" s="97"/>
      <c r="CZ206" s="97"/>
      <c r="DA206" s="97"/>
      <c r="DB206" s="98"/>
      <c r="DC206" s="75"/>
      <c r="DD206" s="97"/>
      <c r="DE206" s="97"/>
      <c r="DF206" s="98"/>
      <c r="DG206" s="75"/>
      <c r="DH206" s="78"/>
      <c r="DI206" s="99"/>
      <c r="DJ206" s="98"/>
      <c r="DL206" s="40"/>
      <c r="DM206" s="36"/>
      <c r="DN206" s="36"/>
      <c r="DO206" s="36"/>
      <c r="DP206" s="36"/>
      <c r="DQ206" s="100"/>
      <c r="DR206" s="36"/>
      <c r="DS206" s="100"/>
      <c r="DT206" s="36"/>
      <c r="DU206" s="36"/>
      <c r="DV206" s="41"/>
    </row>
    <row r="207" spans="10:126">
      <c r="J207" s="96"/>
      <c r="L207" s="75"/>
      <c r="N207" s="75"/>
      <c r="O207" s="75"/>
      <c r="P207" s="72"/>
      <c r="Q207" s="72"/>
      <c r="S207" s="68"/>
      <c r="T207" s="68"/>
      <c r="V207" s="96"/>
      <c r="W207" s="75"/>
      <c r="X207" s="78"/>
      <c r="Y207" s="97"/>
      <c r="Z207" s="98"/>
      <c r="AA207" s="77"/>
      <c r="AB207" s="78"/>
      <c r="AC207" s="97"/>
      <c r="AD207" s="98"/>
      <c r="AE207" s="77"/>
      <c r="AF207" s="78"/>
      <c r="AG207" s="97"/>
      <c r="AH207" s="98"/>
      <c r="AI207" s="77"/>
      <c r="AJ207" s="78"/>
      <c r="AK207" s="97"/>
      <c r="AL207" s="98"/>
      <c r="AM207" s="77"/>
      <c r="AN207" s="78"/>
      <c r="AO207" s="97"/>
      <c r="AP207" s="98"/>
      <c r="AQ207" s="77"/>
      <c r="AR207" s="78"/>
      <c r="AS207" s="97"/>
      <c r="AT207" s="98"/>
      <c r="AU207" s="77"/>
      <c r="AV207" s="97"/>
      <c r="AW207" s="97"/>
      <c r="AX207" s="98"/>
      <c r="AY207" s="77"/>
      <c r="AZ207" s="97"/>
      <c r="BA207" s="97"/>
      <c r="BB207" s="98"/>
      <c r="BC207" s="77"/>
      <c r="BD207" s="97"/>
      <c r="BE207" s="97"/>
      <c r="BF207" s="98"/>
      <c r="BG207" s="77"/>
      <c r="BH207" s="97"/>
      <c r="BI207" s="97"/>
      <c r="BJ207" s="98"/>
      <c r="BK207" s="77"/>
      <c r="BL207" s="97"/>
      <c r="BM207" s="97"/>
      <c r="BN207" s="98"/>
      <c r="BO207" s="77"/>
      <c r="BP207" s="97"/>
      <c r="BQ207" s="97"/>
      <c r="BR207" s="98"/>
      <c r="BS207" s="77"/>
      <c r="BT207" s="97"/>
      <c r="BU207" s="97"/>
      <c r="BV207" s="98"/>
      <c r="BW207" s="77"/>
      <c r="BX207" s="97"/>
      <c r="BY207" s="97"/>
      <c r="BZ207" s="98"/>
      <c r="CA207" s="97"/>
      <c r="CB207" s="97"/>
      <c r="CC207" s="97"/>
      <c r="CD207" s="98"/>
      <c r="CE207" s="97"/>
      <c r="CF207" s="97"/>
      <c r="CG207" s="97"/>
      <c r="CH207" s="98"/>
      <c r="CI207" s="97"/>
      <c r="CJ207" s="97"/>
      <c r="CK207" s="97"/>
      <c r="CL207" s="98"/>
      <c r="CM207" s="97"/>
      <c r="CN207" s="97"/>
      <c r="CO207" s="97"/>
      <c r="CP207" s="98"/>
      <c r="CQ207" s="97"/>
      <c r="CR207" s="97"/>
      <c r="CS207" s="97"/>
      <c r="CT207" s="98"/>
      <c r="CU207" s="97"/>
      <c r="CV207" s="97"/>
      <c r="CW207" s="97"/>
      <c r="CX207" s="98"/>
      <c r="CY207" s="97"/>
      <c r="CZ207" s="97"/>
      <c r="DA207" s="97"/>
      <c r="DB207" s="98"/>
      <c r="DC207" s="75"/>
      <c r="DD207" s="97"/>
      <c r="DE207" s="97"/>
      <c r="DF207" s="98"/>
      <c r="DG207" s="75"/>
      <c r="DH207" s="78"/>
      <c r="DI207" s="99"/>
      <c r="DJ207" s="98"/>
      <c r="DL207" s="40"/>
      <c r="DM207" s="36"/>
      <c r="DN207" s="36"/>
      <c r="DO207" s="36"/>
      <c r="DP207" s="36"/>
      <c r="DQ207" s="100"/>
      <c r="DR207" s="36"/>
      <c r="DS207" s="100"/>
      <c r="DT207" s="36"/>
      <c r="DU207" s="36"/>
      <c r="DV207" s="41"/>
    </row>
    <row r="208" spans="10:126">
      <c r="J208" s="96"/>
      <c r="L208" s="75"/>
      <c r="N208" s="75"/>
      <c r="O208" s="75"/>
      <c r="P208" s="72"/>
      <c r="Q208" s="72"/>
      <c r="S208" s="68"/>
      <c r="T208" s="68"/>
      <c r="V208" s="96"/>
      <c r="W208" s="75"/>
      <c r="X208" s="78"/>
      <c r="Y208" s="97"/>
      <c r="Z208" s="98"/>
      <c r="AA208" s="77"/>
      <c r="AB208" s="78"/>
      <c r="AC208" s="97"/>
      <c r="AD208" s="98"/>
      <c r="AE208" s="77"/>
      <c r="AF208" s="78"/>
      <c r="AG208" s="97"/>
      <c r="AH208" s="98"/>
      <c r="AI208" s="77"/>
      <c r="AJ208" s="78"/>
      <c r="AK208" s="97"/>
      <c r="AL208" s="98"/>
      <c r="AM208" s="77"/>
      <c r="AN208" s="78"/>
      <c r="AO208" s="97"/>
      <c r="AP208" s="98"/>
      <c r="AQ208" s="77"/>
      <c r="AR208" s="78"/>
      <c r="AS208" s="97"/>
      <c r="AT208" s="98"/>
      <c r="AU208" s="77"/>
      <c r="AV208" s="97"/>
      <c r="AW208" s="97"/>
      <c r="AX208" s="98"/>
      <c r="AY208" s="77"/>
      <c r="AZ208" s="97"/>
      <c r="BA208" s="97"/>
      <c r="BB208" s="98"/>
      <c r="BC208" s="77"/>
      <c r="BD208" s="97"/>
      <c r="BE208" s="97"/>
      <c r="BF208" s="98"/>
      <c r="BG208" s="77"/>
      <c r="BH208" s="97"/>
      <c r="BI208" s="97"/>
      <c r="BJ208" s="98"/>
      <c r="BK208" s="77"/>
      <c r="BL208" s="97"/>
      <c r="BM208" s="97"/>
      <c r="BN208" s="98"/>
      <c r="BO208" s="77"/>
      <c r="BP208" s="97"/>
      <c r="BQ208" s="97"/>
      <c r="BR208" s="98"/>
      <c r="BS208" s="77"/>
      <c r="BT208" s="97"/>
      <c r="BU208" s="97"/>
      <c r="BV208" s="98"/>
      <c r="BW208" s="77"/>
      <c r="BX208" s="97"/>
      <c r="BY208" s="97"/>
      <c r="BZ208" s="98"/>
      <c r="CA208" s="97"/>
      <c r="CB208" s="97"/>
      <c r="CC208" s="97"/>
      <c r="CD208" s="98"/>
      <c r="CE208" s="97"/>
      <c r="CF208" s="97"/>
      <c r="CG208" s="97"/>
      <c r="CH208" s="98"/>
      <c r="CI208" s="97"/>
      <c r="CJ208" s="97"/>
      <c r="CK208" s="97"/>
      <c r="CL208" s="98"/>
      <c r="CM208" s="97"/>
      <c r="CN208" s="97"/>
      <c r="CO208" s="97"/>
      <c r="CP208" s="98"/>
      <c r="CQ208" s="97"/>
      <c r="CR208" s="97"/>
      <c r="CS208" s="97"/>
      <c r="CT208" s="98"/>
      <c r="CU208" s="97"/>
      <c r="CV208" s="97"/>
      <c r="CW208" s="97"/>
      <c r="CX208" s="98"/>
      <c r="CY208" s="97"/>
      <c r="CZ208" s="97"/>
      <c r="DA208" s="97"/>
      <c r="DB208" s="98"/>
      <c r="DC208" s="75"/>
      <c r="DD208" s="97"/>
      <c r="DE208" s="97"/>
      <c r="DF208" s="98"/>
      <c r="DG208" s="75"/>
      <c r="DH208" s="78"/>
      <c r="DI208" s="99"/>
      <c r="DJ208" s="98"/>
      <c r="DL208" s="40"/>
      <c r="DM208" s="36"/>
      <c r="DN208" s="36"/>
      <c r="DO208" s="36"/>
      <c r="DP208" s="36"/>
      <c r="DQ208" s="100"/>
      <c r="DR208" s="36"/>
      <c r="DS208" s="100"/>
      <c r="DT208" s="36"/>
      <c r="DU208" s="36"/>
      <c r="DV208" s="41"/>
    </row>
    <row r="209" spans="10:126">
      <c r="J209" s="96"/>
      <c r="L209" s="75"/>
      <c r="N209" s="75"/>
      <c r="O209" s="75"/>
      <c r="P209" s="72"/>
      <c r="Q209" s="72"/>
      <c r="S209" s="68"/>
      <c r="T209" s="68"/>
      <c r="V209" s="96"/>
      <c r="W209" s="75"/>
      <c r="X209" s="78"/>
      <c r="Y209" s="97"/>
      <c r="Z209" s="98"/>
      <c r="AA209" s="77"/>
      <c r="AB209" s="78"/>
      <c r="AC209" s="97"/>
      <c r="AD209" s="98"/>
      <c r="AE209" s="77"/>
      <c r="AF209" s="78"/>
      <c r="AG209" s="97"/>
      <c r="AH209" s="98"/>
      <c r="AI209" s="77"/>
      <c r="AJ209" s="78"/>
      <c r="AK209" s="97"/>
      <c r="AL209" s="98"/>
      <c r="AM209" s="77"/>
      <c r="AN209" s="78"/>
      <c r="AO209" s="97"/>
      <c r="AP209" s="98"/>
      <c r="AQ209" s="77"/>
      <c r="AR209" s="78"/>
      <c r="AS209" s="97"/>
      <c r="AT209" s="98"/>
      <c r="AU209" s="77"/>
      <c r="AV209" s="97"/>
      <c r="AW209" s="97"/>
      <c r="AX209" s="98"/>
      <c r="AY209" s="77"/>
      <c r="AZ209" s="97"/>
      <c r="BA209" s="97"/>
      <c r="BB209" s="98"/>
      <c r="BC209" s="77"/>
      <c r="BD209" s="97"/>
      <c r="BE209" s="97"/>
      <c r="BF209" s="98"/>
      <c r="BG209" s="77"/>
      <c r="BH209" s="97"/>
      <c r="BI209" s="97"/>
      <c r="BJ209" s="98"/>
      <c r="BK209" s="77"/>
      <c r="BL209" s="97"/>
      <c r="BM209" s="97"/>
      <c r="BN209" s="98"/>
      <c r="BO209" s="77"/>
      <c r="BP209" s="97"/>
      <c r="BQ209" s="97"/>
      <c r="BR209" s="98"/>
      <c r="BS209" s="77"/>
      <c r="BT209" s="97"/>
      <c r="BU209" s="97"/>
      <c r="BV209" s="98"/>
      <c r="BW209" s="77"/>
      <c r="BX209" s="97"/>
      <c r="BY209" s="97"/>
      <c r="BZ209" s="98"/>
      <c r="CA209" s="97"/>
      <c r="CB209" s="97"/>
      <c r="CC209" s="97"/>
      <c r="CD209" s="98"/>
      <c r="CE209" s="97"/>
      <c r="CF209" s="97"/>
      <c r="CG209" s="97"/>
      <c r="CH209" s="98"/>
      <c r="CI209" s="97"/>
      <c r="CJ209" s="97"/>
      <c r="CK209" s="97"/>
      <c r="CL209" s="98"/>
      <c r="CM209" s="97"/>
      <c r="CN209" s="97"/>
      <c r="CO209" s="97"/>
      <c r="CP209" s="98"/>
      <c r="CQ209" s="97"/>
      <c r="CR209" s="97"/>
      <c r="CS209" s="97"/>
      <c r="CT209" s="98"/>
      <c r="CU209" s="97"/>
      <c r="CV209" s="97"/>
      <c r="CW209" s="97"/>
      <c r="CX209" s="98"/>
      <c r="CY209" s="97"/>
      <c r="CZ209" s="97"/>
      <c r="DA209" s="97"/>
      <c r="DB209" s="98"/>
      <c r="DC209" s="75"/>
      <c r="DD209" s="97"/>
      <c r="DE209" s="97"/>
      <c r="DF209" s="98"/>
      <c r="DG209" s="75"/>
      <c r="DH209" s="78"/>
      <c r="DI209" s="99"/>
      <c r="DJ209" s="98"/>
      <c r="DL209" s="40"/>
      <c r="DM209" s="36"/>
      <c r="DN209" s="36"/>
      <c r="DO209" s="36"/>
      <c r="DP209" s="36"/>
      <c r="DQ209" s="100"/>
      <c r="DR209" s="36"/>
      <c r="DS209" s="100"/>
      <c r="DT209" s="36"/>
      <c r="DU209" s="36"/>
      <c r="DV209" s="41"/>
    </row>
    <row r="210" spans="10:126">
      <c r="J210" s="96"/>
      <c r="L210" s="75"/>
      <c r="N210" s="75"/>
      <c r="O210" s="75"/>
      <c r="P210" s="72"/>
      <c r="Q210" s="72"/>
      <c r="S210" s="68"/>
      <c r="T210" s="68"/>
      <c r="V210" s="96"/>
      <c r="W210" s="75"/>
      <c r="X210" s="78"/>
      <c r="Y210" s="97"/>
      <c r="Z210" s="98"/>
      <c r="AA210" s="77"/>
      <c r="AB210" s="78"/>
      <c r="AC210" s="97"/>
      <c r="AD210" s="98"/>
      <c r="AE210" s="77"/>
      <c r="AF210" s="78"/>
      <c r="AG210" s="97"/>
      <c r="AH210" s="98"/>
      <c r="AI210" s="77"/>
      <c r="AJ210" s="78"/>
      <c r="AK210" s="97"/>
      <c r="AL210" s="98"/>
      <c r="AM210" s="77"/>
      <c r="AN210" s="78"/>
      <c r="AO210" s="97"/>
      <c r="AP210" s="98"/>
      <c r="AQ210" s="77"/>
      <c r="AR210" s="78"/>
      <c r="AS210" s="97"/>
      <c r="AT210" s="98"/>
      <c r="AU210" s="77"/>
      <c r="AV210" s="97"/>
      <c r="AW210" s="97"/>
      <c r="AX210" s="98"/>
      <c r="AY210" s="77"/>
      <c r="AZ210" s="97"/>
      <c r="BA210" s="97"/>
      <c r="BB210" s="98"/>
      <c r="BC210" s="77"/>
      <c r="BD210" s="97"/>
      <c r="BE210" s="97"/>
      <c r="BF210" s="98"/>
      <c r="BG210" s="77"/>
      <c r="BH210" s="97"/>
      <c r="BI210" s="97"/>
      <c r="BJ210" s="98"/>
      <c r="BK210" s="77"/>
      <c r="BL210" s="97"/>
      <c r="BM210" s="97"/>
      <c r="BN210" s="98"/>
      <c r="BO210" s="77"/>
      <c r="BP210" s="97"/>
      <c r="BQ210" s="97"/>
      <c r="BR210" s="98"/>
      <c r="BS210" s="77"/>
      <c r="BT210" s="97"/>
      <c r="BU210" s="97"/>
      <c r="BV210" s="98"/>
      <c r="BW210" s="77"/>
      <c r="BX210" s="97"/>
      <c r="BY210" s="97"/>
      <c r="BZ210" s="98"/>
      <c r="CA210" s="97"/>
      <c r="CB210" s="97"/>
      <c r="CC210" s="97"/>
      <c r="CD210" s="98"/>
      <c r="CE210" s="97"/>
      <c r="CF210" s="97"/>
      <c r="CG210" s="97"/>
      <c r="CH210" s="98"/>
      <c r="CI210" s="97"/>
      <c r="CJ210" s="97"/>
      <c r="CK210" s="97"/>
      <c r="CL210" s="98"/>
      <c r="CM210" s="97"/>
      <c r="CN210" s="97"/>
      <c r="CO210" s="97"/>
      <c r="CP210" s="98"/>
      <c r="CQ210" s="97"/>
      <c r="CR210" s="97"/>
      <c r="CS210" s="97"/>
      <c r="CT210" s="98"/>
      <c r="CU210" s="97"/>
      <c r="CV210" s="97"/>
      <c r="CW210" s="97"/>
      <c r="CX210" s="98"/>
      <c r="CY210" s="97"/>
      <c r="CZ210" s="97"/>
      <c r="DA210" s="97"/>
      <c r="DB210" s="98"/>
      <c r="DC210" s="75"/>
      <c r="DD210" s="97"/>
      <c r="DE210" s="97"/>
      <c r="DF210" s="98"/>
      <c r="DG210" s="75"/>
      <c r="DH210" s="78"/>
      <c r="DI210" s="99"/>
      <c r="DJ210" s="98"/>
      <c r="DL210" s="40"/>
      <c r="DM210" s="36"/>
      <c r="DN210" s="36"/>
      <c r="DO210" s="36"/>
      <c r="DP210" s="36"/>
      <c r="DQ210" s="100"/>
      <c r="DR210" s="36"/>
      <c r="DS210" s="100"/>
      <c r="DT210" s="36"/>
      <c r="DU210" s="36"/>
      <c r="DV210" s="41"/>
    </row>
    <row r="211" spans="10:126">
      <c r="J211" s="96"/>
      <c r="L211" s="75"/>
      <c r="N211" s="75"/>
      <c r="O211" s="75"/>
      <c r="P211" s="72"/>
      <c r="Q211" s="72"/>
      <c r="S211" s="68"/>
      <c r="T211" s="68"/>
      <c r="V211" s="96"/>
      <c r="W211" s="75"/>
      <c r="X211" s="78"/>
      <c r="Y211" s="97"/>
      <c r="Z211" s="98"/>
      <c r="AA211" s="77"/>
      <c r="AB211" s="78"/>
      <c r="AC211" s="97"/>
      <c r="AD211" s="98"/>
      <c r="AE211" s="77"/>
      <c r="AF211" s="78"/>
      <c r="AG211" s="97"/>
      <c r="AH211" s="98"/>
      <c r="AI211" s="77"/>
      <c r="AJ211" s="78"/>
      <c r="AK211" s="97"/>
      <c r="AL211" s="98"/>
      <c r="AM211" s="77"/>
      <c r="AN211" s="78"/>
      <c r="AO211" s="97"/>
      <c r="AP211" s="98"/>
      <c r="AQ211" s="77"/>
      <c r="AR211" s="78"/>
      <c r="AS211" s="97"/>
      <c r="AT211" s="98"/>
      <c r="AU211" s="77"/>
      <c r="AV211" s="97"/>
      <c r="AW211" s="97"/>
      <c r="AX211" s="98"/>
      <c r="AY211" s="77"/>
      <c r="AZ211" s="97"/>
      <c r="BA211" s="97"/>
      <c r="BB211" s="98"/>
      <c r="BC211" s="77"/>
      <c r="BD211" s="97"/>
      <c r="BE211" s="97"/>
      <c r="BF211" s="98"/>
      <c r="BG211" s="77"/>
      <c r="BH211" s="97"/>
      <c r="BI211" s="97"/>
      <c r="BJ211" s="98"/>
      <c r="BK211" s="77"/>
      <c r="BL211" s="97"/>
      <c r="BM211" s="97"/>
      <c r="BN211" s="98"/>
      <c r="BO211" s="77"/>
      <c r="BP211" s="97"/>
      <c r="BQ211" s="97"/>
      <c r="BR211" s="98"/>
      <c r="BS211" s="77"/>
      <c r="BT211" s="97"/>
      <c r="BU211" s="97"/>
      <c r="BV211" s="98"/>
      <c r="BW211" s="77"/>
      <c r="BX211" s="97"/>
      <c r="BY211" s="97"/>
      <c r="BZ211" s="98"/>
      <c r="CA211" s="97"/>
      <c r="CB211" s="97"/>
      <c r="CC211" s="97"/>
      <c r="CD211" s="98"/>
      <c r="CE211" s="97"/>
      <c r="CF211" s="97"/>
      <c r="CG211" s="97"/>
      <c r="CH211" s="98"/>
      <c r="CI211" s="97"/>
      <c r="CJ211" s="97"/>
      <c r="CK211" s="97"/>
      <c r="CL211" s="98"/>
      <c r="CM211" s="97"/>
      <c r="CN211" s="97"/>
      <c r="CO211" s="97"/>
      <c r="CP211" s="98"/>
      <c r="CQ211" s="97"/>
      <c r="CR211" s="97"/>
      <c r="CS211" s="97"/>
      <c r="CT211" s="98"/>
      <c r="CU211" s="97"/>
      <c r="CV211" s="97"/>
      <c r="CW211" s="97"/>
      <c r="CX211" s="98"/>
      <c r="CY211" s="97"/>
      <c r="CZ211" s="97"/>
      <c r="DA211" s="97"/>
      <c r="DB211" s="98"/>
      <c r="DC211" s="75"/>
      <c r="DD211" s="97"/>
      <c r="DE211" s="97"/>
      <c r="DF211" s="98"/>
      <c r="DG211" s="75"/>
      <c r="DH211" s="78"/>
      <c r="DI211" s="99"/>
      <c r="DJ211" s="98"/>
      <c r="DL211" s="40"/>
      <c r="DM211" s="36"/>
      <c r="DN211" s="36"/>
      <c r="DO211" s="36"/>
      <c r="DP211" s="36"/>
      <c r="DQ211" s="100"/>
      <c r="DR211" s="36"/>
      <c r="DS211" s="100"/>
      <c r="DT211" s="36"/>
      <c r="DU211" s="36"/>
      <c r="DV211" s="41"/>
    </row>
    <row r="212" spans="10:126">
      <c r="J212" s="96"/>
      <c r="L212" s="75"/>
      <c r="N212" s="75"/>
      <c r="O212" s="75"/>
      <c r="P212" s="72"/>
      <c r="Q212" s="72"/>
      <c r="S212" s="68"/>
      <c r="T212" s="68"/>
      <c r="V212" s="96"/>
      <c r="W212" s="75"/>
      <c r="X212" s="78"/>
      <c r="Y212" s="97"/>
      <c r="Z212" s="98"/>
      <c r="AA212" s="77"/>
      <c r="AB212" s="78"/>
      <c r="AC212" s="97"/>
      <c r="AD212" s="98"/>
      <c r="AE212" s="77"/>
      <c r="AF212" s="78"/>
      <c r="AG212" s="97"/>
      <c r="AH212" s="98"/>
      <c r="AI212" s="77"/>
      <c r="AJ212" s="78"/>
      <c r="AK212" s="97"/>
      <c r="AL212" s="98"/>
      <c r="AM212" s="77"/>
      <c r="AN212" s="78"/>
      <c r="AO212" s="97"/>
      <c r="AP212" s="98"/>
      <c r="AQ212" s="77"/>
      <c r="AR212" s="78"/>
      <c r="AS212" s="97"/>
      <c r="AT212" s="98"/>
      <c r="AU212" s="77"/>
      <c r="AV212" s="97"/>
      <c r="AW212" s="97"/>
      <c r="AX212" s="98"/>
      <c r="AY212" s="77"/>
      <c r="AZ212" s="97"/>
      <c r="BA212" s="97"/>
      <c r="BB212" s="98"/>
      <c r="BC212" s="77"/>
      <c r="BD212" s="97"/>
      <c r="BE212" s="97"/>
      <c r="BF212" s="98"/>
      <c r="BG212" s="77"/>
      <c r="BH212" s="97"/>
      <c r="BI212" s="97"/>
      <c r="BJ212" s="98"/>
      <c r="BK212" s="77"/>
      <c r="BL212" s="97"/>
      <c r="BM212" s="97"/>
      <c r="BN212" s="98"/>
      <c r="BO212" s="77"/>
      <c r="BP212" s="97"/>
      <c r="BQ212" s="97"/>
      <c r="BR212" s="98"/>
      <c r="BS212" s="77"/>
      <c r="BT212" s="97"/>
      <c r="BU212" s="97"/>
      <c r="BV212" s="98"/>
      <c r="BW212" s="77"/>
      <c r="BX212" s="97"/>
      <c r="BY212" s="97"/>
      <c r="BZ212" s="98"/>
      <c r="CA212" s="97"/>
      <c r="CB212" s="97"/>
      <c r="CC212" s="97"/>
      <c r="CD212" s="98"/>
      <c r="CE212" s="97"/>
      <c r="CF212" s="97"/>
      <c r="CG212" s="97"/>
      <c r="CH212" s="98"/>
      <c r="CI212" s="97"/>
      <c r="CJ212" s="97"/>
      <c r="CK212" s="97"/>
      <c r="CL212" s="98"/>
      <c r="CM212" s="97"/>
      <c r="CN212" s="97"/>
      <c r="CO212" s="97"/>
      <c r="CP212" s="98"/>
      <c r="CQ212" s="97"/>
      <c r="CR212" s="97"/>
      <c r="CS212" s="97"/>
      <c r="CT212" s="98"/>
      <c r="CU212" s="97"/>
      <c r="CV212" s="97"/>
      <c r="CW212" s="97"/>
      <c r="CX212" s="98"/>
      <c r="CY212" s="97"/>
      <c r="CZ212" s="97"/>
      <c r="DA212" s="97"/>
      <c r="DB212" s="98"/>
      <c r="DC212" s="75"/>
      <c r="DD212" s="97"/>
      <c r="DE212" s="97"/>
      <c r="DF212" s="98"/>
      <c r="DG212" s="75"/>
      <c r="DH212" s="78"/>
      <c r="DI212" s="99"/>
      <c r="DJ212" s="98"/>
      <c r="DL212" s="40"/>
      <c r="DM212" s="36"/>
      <c r="DN212" s="36"/>
      <c r="DO212" s="36"/>
      <c r="DP212" s="36"/>
      <c r="DQ212" s="100"/>
      <c r="DR212" s="36"/>
      <c r="DS212" s="100"/>
      <c r="DT212" s="36"/>
      <c r="DU212" s="36"/>
      <c r="DV212" s="41"/>
    </row>
    <row r="213" spans="10:126">
      <c r="J213" s="96"/>
      <c r="L213" s="75"/>
      <c r="N213" s="75"/>
      <c r="O213" s="75"/>
      <c r="P213" s="72"/>
      <c r="Q213" s="72"/>
      <c r="S213" s="68"/>
      <c r="T213" s="68"/>
      <c r="V213" s="96"/>
      <c r="W213" s="75"/>
      <c r="X213" s="78"/>
      <c r="Y213" s="97"/>
      <c r="Z213" s="98"/>
      <c r="AA213" s="77"/>
      <c r="AB213" s="78"/>
      <c r="AC213" s="97"/>
      <c r="AD213" s="98"/>
      <c r="AE213" s="77"/>
      <c r="AF213" s="78"/>
      <c r="AG213" s="97"/>
      <c r="AH213" s="98"/>
      <c r="AI213" s="77"/>
      <c r="AJ213" s="78"/>
      <c r="AK213" s="97"/>
      <c r="AL213" s="98"/>
      <c r="AM213" s="77"/>
      <c r="AN213" s="78"/>
      <c r="AO213" s="97"/>
      <c r="AP213" s="98"/>
      <c r="AQ213" s="77"/>
      <c r="AR213" s="78"/>
      <c r="AS213" s="97"/>
      <c r="AT213" s="98"/>
      <c r="AU213" s="77"/>
      <c r="AV213" s="97"/>
      <c r="AW213" s="97"/>
      <c r="AX213" s="98"/>
      <c r="AY213" s="77"/>
      <c r="AZ213" s="97"/>
      <c r="BA213" s="97"/>
      <c r="BB213" s="98"/>
      <c r="BC213" s="77"/>
      <c r="BD213" s="97"/>
      <c r="BE213" s="97"/>
      <c r="BF213" s="98"/>
      <c r="BG213" s="77"/>
      <c r="BH213" s="97"/>
      <c r="BI213" s="97"/>
      <c r="BJ213" s="98"/>
      <c r="BK213" s="77"/>
      <c r="BL213" s="97"/>
      <c r="BM213" s="97"/>
      <c r="BN213" s="98"/>
      <c r="BO213" s="77"/>
      <c r="BP213" s="97"/>
      <c r="BQ213" s="97"/>
      <c r="BR213" s="98"/>
      <c r="BS213" s="77"/>
      <c r="BT213" s="97"/>
      <c r="BU213" s="97"/>
      <c r="BV213" s="98"/>
      <c r="BW213" s="77"/>
      <c r="BX213" s="97"/>
      <c r="BY213" s="97"/>
      <c r="BZ213" s="98"/>
      <c r="CA213" s="97"/>
      <c r="CB213" s="97"/>
      <c r="CC213" s="97"/>
      <c r="CD213" s="98"/>
      <c r="CE213" s="97"/>
      <c r="CF213" s="97"/>
      <c r="CG213" s="97"/>
      <c r="CH213" s="98"/>
      <c r="CI213" s="97"/>
      <c r="CJ213" s="97"/>
      <c r="CK213" s="97"/>
      <c r="CL213" s="98"/>
      <c r="CM213" s="97"/>
      <c r="CN213" s="97"/>
      <c r="CO213" s="97"/>
      <c r="CP213" s="98"/>
      <c r="CQ213" s="97"/>
      <c r="CR213" s="97"/>
      <c r="CS213" s="97"/>
      <c r="CT213" s="98"/>
      <c r="CU213" s="97"/>
      <c r="CV213" s="97"/>
      <c r="CW213" s="97"/>
      <c r="CX213" s="98"/>
      <c r="CY213" s="97"/>
      <c r="CZ213" s="97"/>
      <c r="DA213" s="97"/>
      <c r="DB213" s="98"/>
      <c r="DC213" s="75"/>
      <c r="DD213" s="97"/>
      <c r="DE213" s="97"/>
      <c r="DF213" s="98"/>
      <c r="DG213" s="75"/>
      <c r="DH213" s="78"/>
      <c r="DI213" s="99"/>
      <c r="DJ213" s="98"/>
      <c r="DL213" s="40"/>
      <c r="DM213" s="36"/>
      <c r="DN213" s="36"/>
      <c r="DO213" s="36"/>
      <c r="DP213" s="36"/>
      <c r="DQ213" s="100"/>
      <c r="DR213" s="36"/>
      <c r="DS213" s="100"/>
      <c r="DT213" s="36"/>
      <c r="DU213" s="36"/>
      <c r="DV213" s="41"/>
    </row>
    <row r="214" spans="10:126">
      <c r="J214" s="96"/>
      <c r="L214" s="75"/>
      <c r="N214" s="75"/>
      <c r="O214" s="75"/>
      <c r="P214" s="72"/>
      <c r="Q214" s="72"/>
      <c r="S214" s="68"/>
      <c r="T214" s="68"/>
      <c r="V214" s="96"/>
      <c r="W214" s="75"/>
      <c r="X214" s="78"/>
      <c r="Y214" s="97"/>
      <c r="Z214" s="98"/>
      <c r="AA214" s="77"/>
      <c r="AB214" s="78"/>
      <c r="AC214" s="97"/>
      <c r="AD214" s="98"/>
      <c r="AE214" s="77"/>
      <c r="AF214" s="78"/>
      <c r="AG214" s="97"/>
      <c r="AH214" s="98"/>
      <c r="AI214" s="77"/>
      <c r="AJ214" s="78"/>
      <c r="AK214" s="97"/>
      <c r="AL214" s="98"/>
      <c r="AM214" s="77"/>
      <c r="AN214" s="78"/>
      <c r="AO214" s="97"/>
      <c r="AP214" s="98"/>
      <c r="AQ214" s="77"/>
      <c r="AR214" s="78"/>
      <c r="AS214" s="97"/>
      <c r="AT214" s="98"/>
      <c r="AU214" s="77"/>
      <c r="AV214" s="97"/>
      <c r="AW214" s="97"/>
      <c r="AX214" s="98"/>
      <c r="AY214" s="77"/>
      <c r="AZ214" s="97"/>
      <c r="BA214" s="97"/>
      <c r="BB214" s="98"/>
      <c r="BC214" s="77"/>
      <c r="BD214" s="97"/>
      <c r="BE214" s="97"/>
      <c r="BF214" s="98"/>
      <c r="BG214" s="77"/>
      <c r="BH214" s="97"/>
      <c r="BI214" s="97"/>
      <c r="BJ214" s="98"/>
      <c r="BK214" s="77"/>
      <c r="BL214" s="97"/>
      <c r="BM214" s="97"/>
      <c r="BN214" s="98"/>
      <c r="BO214" s="77"/>
      <c r="BP214" s="97"/>
      <c r="BQ214" s="97"/>
      <c r="BR214" s="98"/>
      <c r="BS214" s="77"/>
      <c r="BT214" s="97"/>
      <c r="BU214" s="97"/>
      <c r="BV214" s="98"/>
      <c r="BW214" s="77"/>
      <c r="BX214" s="97"/>
      <c r="BY214" s="97"/>
      <c r="BZ214" s="98"/>
      <c r="CA214" s="97"/>
      <c r="CB214" s="97"/>
      <c r="CC214" s="97"/>
      <c r="CD214" s="98"/>
      <c r="CE214" s="97"/>
      <c r="CF214" s="97"/>
      <c r="CG214" s="97"/>
      <c r="CH214" s="98"/>
      <c r="CI214" s="97"/>
      <c r="CJ214" s="97"/>
      <c r="CK214" s="97"/>
      <c r="CL214" s="98"/>
      <c r="CM214" s="97"/>
      <c r="CN214" s="97"/>
      <c r="CO214" s="97"/>
      <c r="CP214" s="98"/>
      <c r="CQ214" s="97"/>
      <c r="CR214" s="97"/>
      <c r="CS214" s="97"/>
      <c r="CT214" s="98"/>
      <c r="CU214" s="97"/>
      <c r="CV214" s="97"/>
      <c r="CW214" s="97"/>
      <c r="CX214" s="98"/>
      <c r="CY214" s="97"/>
      <c r="CZ214" s="97"/>
      <c r="DA214" s="97"/>
      <c r="DB214" s="98"/>
      <c r="DC214" s="75"/>
      <c r="DD214" s="97"/>
      <c r="DE214" s="97"/>
      <c r="DF214" s="98"/>
      <c r="DG214" s="75"/>
      <c r="DH214" s="78"/>
      <c r="DI214" s="99"/>
      <c r="DJ214" s="98"/>
      <c r="DL214" s="40"/>
      <c r="DM214" s="36"/>
      <c r="DN214" s="36"/>
      <c r="DO214" s="36"/>
      <c r="DP214" s="36"/>
      <c r="DQ214" s="100"/>
      <c r="DR214" s="36"/>
      <c r="DS214" s="100"/>
      <c r="DT214" s="36"/>
      <c r="DU214" s="36"/>
      <c r="DV214" s="41"/>
    </row>
    <row r="215" spans="10:126">
      <c r="J215" s="96"/>
      <c r="L215" s="75"/>
      <c r="N215" s="75"/>
      <c r="O215" s="75"/>
      <c r="P215" s="72"/>
      <c r="Q215" s="72"/>
      <c r="S215" s="68"/>
      <c r="T215" s="68"/>
      <c r="V215" s="96"/>
      <c r="W215" s="75"/>
      <c r="X215" s="78"/>
      <c r="Y215" s="97"/>
      <c r="Z215" s="98"/>
      <c r="AA215" s="77"/>
      <c r="AB215" s="78"/>
      <c r="AC215" s="97"/>
      <c r="AD215" s="98"/>
      <c r="AE215" s="77"/>
      <c r="AF215" s="78"/>
      <c r="AG215" s="97"/>
      <c r="AH215" s="98"/>
      <c r="AI215" s="77"/>
      <c r="AJ215" s="78"/>
      <c r="AK215" s="97"/>
      <c r="AL215" s="98"/>
      <c r="AM215" s="77"/>
      <c r="AN215" s="78"/>
      <c r="AO215" s="97"/>
      <c r="AP215" s="98"/>
      <c r="AQ215" s="77"/>
      <c r="AR215" s="78"/>
      <c r="AS215" s="97"/>
      <c r="AT215" s="98"/>
      <c r="AU215" s="77"/>
      <c r="AV215" s="97"/>
      <c r="AW215" s="97"/>
      <c r="AX215" s="98"/>
      <c r="AY215" s="77"/>
      <c r="AZ215" s="97"/>
      <c r="BA215" s="97"/>
      <c r="BB215" s="98"/>
      <c r="BC215" s="77"/>
      <c r="BD215" s="97"/>
      <c r="BE215" s="97"/>
      <c r="BF215" s="98"/>
      <c r="BG215" s="77"/>
      <c r="BH215" s="97"/>
      <c r="BI215" s="97"/>
      <c r="BJ215" s="98"/>
      <c r="BK215" s="77"/>
      <c r="BL215" s="97"/>
      <c r="BM215" s="97"/>
      <c r="BN215" s="98"/>
      <c r="BO215" s="77"/>
      <c r="BP215" s="97"/>
      <c r="BQ215" s="97"/>
      <c r="BR215" s="98"/>
      <c r="BS215" s="77"/>
      <c r="BT215" s="97"/>
      <c r="BU215" s="97"/>
      <c r="BV215" s="98"/>
      <c r="BW215" s="77"/>
      <c r="BX215" s="97"/>
      <c r="BY215" s="97"/>
      <c r="BZ215" s="98"/>
      <c r="CA215" s="97"/>
      <c r="CB215" s="97"/>
      <c r="CC215" s="97"/>
      <c r="CD215" s="98"/>
      <c r="CE215" s="97"/>
      <c r="CF215" s="97"/>
      <c r="CG215" s="97"/>
      <c r="CH215" s="98"/>
      <c r="CI215" s="97"/>
      <c r="CJ215" s="97"/>
      <c r="CK215" s="97"/>
      <c r="CL215" s="98"/>
      <c r="CM215" s="97"/>
      <c r="CN215" s="97"/>
      <c r="CO215" s="97"/>
      <c r="CP215" s="98"/>
      <c r="CQ215" s="97"/>
      <c r="CR215" s="97"/>
      <c r="CS215" s="97"/>
      <c r="CT215" s="98"/>
      <c r="CU215" s="97"/>
      <c r="CV215" s="97"/>
      <c r="CW215" s="97"/>
      <c r="CX215" s="98"/>
      <c r="CY215" s="97"/>
      <c r="CZ215" s="97"/>
      <c r="DA215" s="97"/>
      <c r="DB215" s="98"/>
      <c r="DC215" s="75"/>
      <c r="DD215" s="97"/>
      <c r="DE215" s="97"/>
      <c r="DF215" s="98"/>
      <c r="DG215" s="75"/>
      <c r="DH215" s="78"/>
      <c r="DI215" s="99"/>
      <c r="DJ215" s="98"/>
      <c r="DL215" s="40"/>
      <c r="DM215" s="36"/>
      <c r="DN215" s="36"/>
      <c r="DO215" s="36"/>
      <c r="DP215" s="36"/>
      <c r="DQ215" s="100"/>
      <c r="DR215" s="36"/>
      <c r="DS215" s="100"/>
      <c r="DT215" s="36"/>
      <c r="DU215" s="36"/>
      <c r="DV215" s="41"/>
    </row>
    <row r="216" spans="10:126">
      <c r="J216" s="96"/>
      <c r="L216" s="75"/>
      <c r="N216" s="75"/>
      <c r="O216" s="75"/>
      <c r="P216" s="72"/>
      <c r="Q216" s="72"/>
      <c r="S216" s="68"/>
      <c r="T216" s="68"/>
      <c r="V216" s="96"/>
      <c r="W216" s="75"/>
      <c r="X216" s="78"/>
      <c r="Y216" s="97"/>
      <c r="Z216" s="98"/>
      <c r="AA216" s="77"/>
      <c r="AB216" s="78"/>
      <c r="AC216" s="97"/>
      <c r="AD216" s="98"/>
      <c r="AE216" s="77"/>
      <c r="AF216" s="78"/>
      <c r="AG216" s="97"/>
      <c r="AH216" s="98"/>
      <c r="AI216" s="77"/>
      <c r="AJ216" s="78"/>
      <c r="AK216" s="97"/>
      <c r="AL216" s="98"/>
      <c r="AM216" s="77"/>
      <c r="AN216" s="78"/>
      <c r="AO216" s="97"/>
      <c r="AP216" s="98"/>
      <c r="AQ216" s="77"/>
      <c r="AR216" s="78"/>
      <c r="AS216" s="97"/>
      <c r="AT216" s="98"/>
      <c r="AU216" s="77"/>
      <c r="AV216" s="97"/>
      <c r="AW216" s="97"/>
      <c r="AX216" s="98"/>
      <c r="AY216" s="77"/>
      <c r="AZ216" s="97"/>
      <c r="BA216" s="97"/>
      <c r="BB216" s="98"/>
      <c r="BC216" s="77"/>
      <c r="BD216" s="97"/>
      <c r="BE216" s="97"/>
      <c r="BF216" s="98"/>
      <c r="BG216" s="77"/>
      <c r="BH216" s="97"/>
      <c r="BI216" s="97"/>
      <c r="BJ216" s="98"/>
      <c r="BK216" s="77"/>
      <c r="BL216" s="97"/>
      <c r="BM216" s="97"/>
      <c r="BN216" s="98"/>
      <c r="BO216" s="77"/>
      <c r="BP216" s="97"/>
      <c r="BQ216" s="97"/>
      <c r="BR216" s="98"/>
      <c r="BS216" s="77"/>
      <c r="BT216" s="97"/>
      <c r="BU216" s="97"/>
      <c r="BV216" s="98"/>
      <c r="BW216" s="77"/>
      <c r="BX216" s="97"/>
      <c r="BY216" s="97"/>
      <c r="BZ216" s="98"/>
      <c r="CA216" s="97"/>
      <c r="CB216" s="97"/>
      <c r="CC216" s="97"/>
      <c r="CD216" s="98"/>
      <c r="CE216" s="97"/>
      <c r="CF216" s="97"/>
      <c r="CG216" s="97"/>
      <c r="CH216" s="98"/>
      <c r="CI216" s="97"/>
      <c r="CJ216" s="97"/>
      <c r="CK216" s="97"/>
      <c r="CL216" s="98"/>
      <c r="CM216" s="97"/>
      <c r="CN216" s="97"/>
      <c r="CO216" s="97"/>
      <c r="CP216" s="98"/>
      <c r="CQ216" s="97"/>
      <c r="CR216" s="97"/>
      <c r="CS216" s="97"/>
      <c r="CT216" s="98"/>
      <c r="CU216" s="97"/>
      <c r="CV216" s="97"/>
      <c r="CW216" s="97"/>
      <c r="CX216" s="98"/>
      <c r="CY216" s="97"/>
      <c r="CZ216" s="97"/>
      <c r="DA216" s="97"/>
      <c r="DB216" s="98"/>
      <c r="DC216" s="75"/>
      <c r="DD216" s="97"/>
      <c r="DE216" s="97"/>
      <c r="DF216" s="98"/>
      <c r="DG216" s="75"/>
      <c r="DH216" s="78"/>
      <c r="DI216" s="99"/>
      <c r="DJ216" s="98"/>
      <c r="DL216" s="40"/>
      <c r="DM216" s="36"/>
      <c r="DN216" s="36"/>
      <c r="DO216" s="36"/>
      <c r="DP216" s="36"/>
      <c r="DQ216" s="100"/>
      <c r="DR216" s="36"/>
      <c r="DS216" s="100"/>
      <c r="DT216" s="36"/>
      <c r="DU216" s="36"/>
      <c r="DV216" s="41"/>
    </row>
    <row r="217" spans="10:126">
      <c r="J217" s="96"/>
      <c r="L217" s="75"/>
      <c r="N217" s="75"/>
      <c r="O217" s="75"/>
      <c r="P217" s="72"/>
      <c r="Q217" s="72"/>
      <c r="S217" s="68"/>
      <c r="T217" s="68"/>
      <c r="V217" s="96"/>
      <c r="W217" s="75"/>
      <c r="X217" s="78"/>
      <c r="Y217" s="97"/>
      <c r="Z217" s="98"/>
      <c r="AA217" s="77"/>
      <c r="AB217" s="78"/>
      <c r="AC217" s="97"/>
      <c r="AD217" s="98"/>
      <c r="AE217" s="77"/>
      <c r="AF217" s="78"/>
      <c r="AG217" s="97"/>
      <c r="AH217" s="98"/>
      <c r="AI217" s="77"/>
      <c r="AJ217" s="78"/>
      <c r="AK217" s="97"/>
      <c r="AL217" s="98"/>
      <c r="AM217" s="77"/>
      <c r="AN217" s="78"/>
      <c r="AO217" s="97"/>
      <c r="AP217" s="98"/>
      <c r="AQ217" s="77"/>
      <c r="AR217" s="78"/>
      <c r="AS217" s="97"/>
      <c r="AT217" s="98"/>
      <c r="AU217" s="77"/>
      <c r="AV217" s="97"/>
      <c r="AW217" s="97"/>
      <c r="AX217" s="98"/>
      <c r="AY217" s="77"/>
      <c r="AZ217" s="97"/>
      <c r="BA217" s="97"/>
      <c r="BB217" s="98"/>
      <c r="BC217" s="77"/>
      <c r="BD217" s="97"/>
      <c r="BE217" s="97"/>
      <c r="BF217" s="98"/>
      <c r="BG217" s="77"/>
      <c r="BH217" s="97"/>
      <c r="BI217" s="97"/>
      <c r="BJ217" s="98"/>
      <c r="BK217" s="77"/>
      <c r="BL217" s="97"/>
      <c r="BM217" s="97"/>
      <c r="BN217" s="98"/>
      <c r="BO217" s="77"/>
      <c r="BP217" s="97"/>
      <c r="BQ217" s="97"/>
      <c r="BR217" s="98"/>
      <c r="BS217" s="77"/>
      <c r="BT217" s="97"/>
      <c r="BU217" s="97"/>
      <c r="BV217" s="98"/>
      <c r="BW217" s="77"/>
      <c r="BX217" s="97"/>
      <c r="BY217" s="97"/>
      <c r="BZ217" s="98"/>
      <c r="CA217" s="97"/>
      <c r="CB217" s="97"/>
      <c r="CC217" s="97"/>
      <c r="CD217" s="98"/>
      <c r="CE217" s="97"/>
      <c r="CF217" s="97"/>
      <c r="CG217" s="97"/>
      <c r="CH217" s="98"/>
      <c r="CI217" s="97"/>
      <c r="CJ217" s="97"/>
      <c r="CK217" s="97"/>
      <c r="CL217" s="98"/>
      <c r="CM217" s="97"/>
      <c r="CN217" s="97"/>
      <c r="CO217" s="97"/>
      <c r="CP217" s="98"/>
      <c r="CQ217" s="97"/>
      <c r="CR217" s="97"/>
      <c r="CS217" s="97"/>
      <c r="CT217" s="98"/>
      <c r="CU217" s="97"/>
      <c r="CV217" s="97"/>
      <c r="CW217" s="97"/>
      <c r="CX217" s="98"/>
      <c r="CY217" s="97"/>
      <c r="CZ217" s="97"/>
      <c r="DA217" s="97"/>
      <c r="DB217" s="98"/>
      <c r="DC217" s="75"/>
      <c r="DD217" s="97"/>
      <c r="DE217" s="97"/>
      <c r="DF217" s="98"/>
      <c r="DG217" s="75"/>
      <c r="DH217" s="78"/>
      <c r="DI217" s="99"/>
      <c r="DJ217" s="98"/>
      <c r="DL217" s="40"/>
      <c r="DM217" s="36"/>
      <c r="DN217" s="36"/>
      <c r="DO217" s="36"/>
      <c r="DP217" s="36"/>
      <c r="DQ217" s="100"/>
      <c r="DR217" s="36"/>
      <c r="DS217" s="100"/>
      <c r="DT217" s="36"/>
      <c r="DU217" s="36"/>
      <c r="DV217" s="41"/>
    </row>
    <row r="218" spans="10:126">
      <c r="J218" s="96"/>
      <c r="L218" s="75"/>
      <c r="N218" s="75"/>
      <c r="O218" s="75"/>
      <c r="P218" s="72"/>
      <c r="Q218" s="72"/>
      <c r="S218" s="68"/>
      <c r="T218" s="68"/>
      <c r="V218" s="96"/>
      <c r="W218" s="75"/>
      <c r="X218" s="78"/>
      <c r="Y218" s="97"/>
      <c r="Z218" s="98"/>
      <c r="AA218" s="77"/>
      <c r="AB218" s="78"/>
      <c r="AC218" s="97"/>
      <c r="AD218" s="98"/>
      <c r="AE218" s="77"/>
      <c r="AF218" s="78"/>
      <c r="AG218" s="97"/>
      <c r="AH218" s="98"/>
      <c r="AI218" s="77"/>
      <c r="AJ218" s="78"/>
      <c r="AK218" s="97"/>
      <c r="AL218" s="98"/>
      <c r="AM218" s="77"/>
      <c r="AN218" s="78"/>
      <c r="AO218" s="97"/>
      <c r="AP218" s="98"/>
      <c r="AQ218" s="77"/>
      <c r="AR218" s="78"/>
      <c r="AS218" s="97"/>
      <c r="AT218" s="98"/>
      <c r="AU218" s="77"/>
      <c r="AV218" s="97"/>
      <c r="AW218" s="97"/>
      <c r="AX218" s="98"/>
      <c r="AY218" s="77"/>
      <c r="AZ218" s="97"/>
      <c r="BA218" s="97"/>
      <c r="BB218" s="98"/>
      <c r="BC218" s="77"/>
      <c r="BD218" s="97"/>
      <c r="BE218" s="97"/>
      <c r="BF218" s="98"/>
      <c r="BG218" s="77"/>
      <c r="BH218" s="97"/>
      <c r="BI218" s="97"/>
      <c r="BJ218" s="98"/>
      <c r="BK218" s="77"/>
      <c r="BL218" s="97"/>
      <c r="BM218" s="97"/>
      <c r="BN218" s="98"/>
      <c r="BO218" s="77"/>
      <c r="BP218" s="97"/>
      <c r="BQ218" s="97"/>
      <c r="BR218" s="98"/>
      <c r="BS218" s="77"/>
      <c r="BT218" s="97"/>
      <c r="BU218" s="97"/>
      <c r="BV218" s="98"/>
      <c r="BW218" s="77"/>
      <c r="BX218" s="97"/>
      <c r="BY218" s="97"/>
      <c r="BZ218" s="98"/>
      <c r="CA218" s="97"/>
      <c r="CB218" s="97"/>
      <c r="CC218" s="97"/>
      <c r="CD218" s="98"/>
      <c r="CE218" s="97"/>
      <c r="CF218" s="97"/>
      <c r="CG218" s="97"/>
      <c r="CH218" s="98"/>
      <c r="CI218" s="97"/>
      <c r="CJ218" s="97"/>
      <c r="CK218" s="97"/>
      <c r="CL218" s="98"/>
      <c r="CM218" s="97"/>
      <c r="CN218" s="97"/>
      <c r="CO218" s="97"/>
      <c r="CP218" s="98"/>
      <c r="CQ218" s="97"/>
      <c r="CR218" s="97"/>
      <c r="CS218" s="97"/>
      <c r="CT218" s="98"/>
      <c r="CU218" s="97"/>
      <c r="CV218" s="97"/>
      <c r="CW218" s="97"/>
      <c r="CX218" s="98"/>
      <c r="CY218" s="97"/>
      <c r="CZ218" s="97"/>
      <c r="DA218" s="97"/>
      <c r="DB218" s="98"/>
      <c r="DC218" s="75"/>
      <c r="DD218" s="97"/>
      <c r="DE218" s="97"/>
      <c r="DF218" s="98"/>
      <c r="DG218" s="75"/>
      <c r="DH218" s="78"/>
      <c r="DI218" s="99"/>
      <c r="DJ218" s="98"/>
      <c r="DL218" s="40"/>
      <c r="DM218" s="36"/>
      <c r="DN218" s="36"/>
      <c r="DO218" s="36"/>
      <c r="DP218" s="36"/>
      <c r="DQ218" s="100"/>
      <c r="DR218" s="36"/>
      <c r="DS218" s="100"/>
      <c r="DT218" s="36"/>
      <c r="DU218" s="36"/>
      <c r="DV218" s="41"/>
    </row>
    <row r="219" spans="10:126">
      <c r="J219" s="96"/>
      <c r="L219" s="75"/>
      <c r="N219" s="75"/>
      <c r="O219" s="75"/>
      <c r="P219" s="72"/>
      <c r="Q219" s="72"/>
      <c r="S219" s="68"/>
      <c r="T219" s="68"/>
      <c r="V219" s="96"/>
      <c r="W219" s="75"/>
      <c r="X219" s="78"/>
      <c r="Y219" s="97"/>
      <c r="Z219" s="98"/>
      <c r="AA219" s="77"/>
      <c r="AB219" s="78"/>
      <c r="AC219" s="97"/>
      <c r="AD219" s="98"/>
      <c r="AE219" s="77"/>
      <c r="AF219" s="78"/>
      <c r="AG219" s="97"/>
      <c r="AH219" s="98"/>
      <c r="AI219" s="77"/>
      <c r="AJ219" s="78"/>
      <c r="AK219" s="97"/>
      <c r="AL219" s="98"/>
      <c r="AM219" s="77"/>
      <c r="AN219" s="78"/>
      <c r="AO219" s="97"/>
      <c r="AP219" s="98"/>
      <c r="AQ219" s="77"/>
      <c r="AR219" s="78"/>
      <c r="AS219" s="97"/>
      <c r="AT219" s="98"/>
      <c r="AU219" s="77"/>
      <c r="AV219" s="97"/>
      <c r="AW219" s="97"/>
      <c r="AX219" s="98"/>
      <c r="AY219" s="77"/>
      <c r="AZ219" s="97"/>
      <c r="BA219" s="97"/>
      <c r="BB219" s="98"/>
      <c r="BC219" s="77"/>
      <c r="BD219" s="97"/>
      <c r="BE219" s="97"/>
      <c r="BF219" s="98"/>
      <c r="BG219" s="77"/>
      <c r="BH219" s="97"/>
      <c r="BI219" s="97"/>
      <c r="BJ219" s="98"/>
      <c r="BK219" s="77"/>
      <c r="BL219" s="97"/>
      <c r="BM219" s="97"/>
      <c r="BN219" s="98"/>
      <c r="BO219" s="77"/>
      <c r="BP219" s="97"/>
      <c r="BQ219" s="97"/>
      <c r="BR219" s="98"/>
      <c r="BS219" s="77"/>
      <c r="BT219" s="97"/>
      <c r="BU219" s="97"/>
      <c r="BV219" s="98"/>
      <c r="BW219" s="77"/>
      <c r="BX219" s="97"/>
      <c r="BY219" s="97"/>
      <c r="BZ219" s="98"/>
      <c r="CA219" s="97"/>
      <c r="CB219" s="97"/>
      <c r="CC219" s="97"/>
      <c r="CD219" s="98"/>
      <c r="CE219" s="97"/>
      <c r="CF219" s="97"/>
      <c r="CG219" s="97"/>
      <c r="CH219" s="98"/>
      <c r="CI219" s="97"/>
      <c r="CJ219" s="97"/>
      <c r="CK219" s="97"/>
      <c r="CL219" s="98"/>
      <c r="CM219" s="97"/>
      <c r="CN219" s="97"/>
      <c r="CO219" s="97"/>
      <c r="CP219" s="98"/>
      <c r="CQ219" s="97"/>
      <c r="CR219" s="97"/>
      <c r="CS219" s="97"/>
      <c r="CT219" s="98"/>
      <c r="CU219" s="97"/>
      <c r="CV219" s="97"/>
      <c r="CW219" s="97"/>
      <c r="CX219" s="98"/>
      <c r="CY219" s="97"/>
      <c r="CZ219" s="97"/>
      <c r="DA219" s="97"/>
      <c r="DB219" s="98"/>
      <c r="DC219" s="75"/>
      <c r="DD219" s="97"/>
      <c r="DE219" s="97"/>
      <c r="DF219" s="98"/>
      <c r="DG219" s="75"/>
      <c r="DH219" s="78"/>
      <c r="DI219" s="99"/>
      <c r="DJ219" s="98"/>
      <c r="DL219" s="40"/>
      <c r="DM219" s="36"/>
      <c r="DN219" s="36"/>
      <c r="DO219" s="36"/>
      <c r="DP219" s="36"/>
      <c r="DQ219" s="100"/>
      <c r="DR219" s="36"/>
      <c r="DS219" s="100"/>
      <c r="DT219" s="36"/>
      <c r="DU219" s="36"/>
      <c r="DV219" s="41"/>
    </row>
    <row r="220" spans="10:126">
      <c r="J220" s="96"/>
      <c r="L220" s="75"/>
      <c r="N220" s="75"/>
      <c r="O220" s="75"/>
      <c r="P220" s="72"/>
      <c r="Q220" s="72"/>
      <c r="S220" s="68"/>
      <c r="T220" s="68"/>
      <c r="V220" s="96"/>
      <c r="W220" s="75"/>
      <c r="X220" s="78"/>
      <c r="Y220" s="97"/>
      <c r="Z220" s="98"/>
      <c r="AA220" s="77"/>
      <c r="AB220" s="78"/>
      <c r="AC220" s="97"/>
      <c r="AD220" s="98"/>
      <c r="AE220" s="77"/>
      <c r="AF220" s="78"/>
      <c r="AG220" s="97"/>
      <c r="AH220" s="98"/>
      <c r="AI220" s="77"/>
      <c r="AJ220" s="78"/>
      <c r="AK220" s="97"/>
      <c r="AL220" s="98"/>
      <c r="AM220" s="77"/>
      <c r="AN220" s="78"/>
      <c r="AO220" s="97"/>
      <c r="AP220" s="98"/>
      <c r="AQ220" s="77"/>
      <c r="AR220" s="78"/>
      <c r="AS220" s="97"/>
      <c r="AT220" s="98"/>
      <c r="AU220" s="77"/>
      <c r="AV220" s="97"/>
      <c r="AW220" s="97"/>
      <c r="AX220" s="98"/>
      <c r="AY220" s="77"/>
      <c r="AZ220" s="97"/>
      <c r="BA220" s="97"/>
      <c r="BB220" s="98"/>
      <c r="BC220" s="77"/>
      <c r="BD220" s="97"/>
      <c r="BE220" s="97"/>
      <c r="BF220" s="98"/>
      <c r="BG220" s="77"/>
      <c r="BH220" s="97"/>
      <c r="BI220" s="97"/>
      <c r="BJ220" s="98"/>
      <c r="BK220" s="77"/>
      <c r="BL220" s="97"/>
      <c r="BM220" s="97"/>
      <c r="BN220" s="98"/>
      <c r="BO220" s="77"/>
      <c r="BP220" s="97"/>
      <c r="BQ220" s="97"/>
      <c r="BR220" s="98"/>
      <c r="BS220" s="77"/>
      <c r="BT220" s="97"/>
      <c r="BU220" s="97"/>
      <c r="BV220" s="98"/>
      <c r="BW220" s="77"/>
      <c r="BX220" s="97"/>
      <c r="BY220" s="97"/>
      <c r="BZ220" s="98"/>
      <c r="CA220" s="97"/>
      <c r="CB220" s="97"/>
      <c r="CC220" s="97"/>
      <c r="CD220" s="98"/>
      <c r="CE220" s="97"/>
      <c r="CF220" s="97"/>
      <c r="CG220" s="97"/>
      <c r="CH220" s="98"/>
      <c r="CI220" s="97"/>
      <c r="CJ220" s="97"/>
      <c r="CK220" s="97"/>
      <c r="CL220" s="98"/>
      <c r="CM220" s="97"/>
      <c r="CN220" s="97"/>
      <c r="CO220" s="97"/>
      <c r="CP220" s="98"/>
      <c r="CQ220" s="97"/>
      <c r="CR220" s="97"/>
      <c r="CS220" s="97"/>
      <c r="CT220" s="98"/>
      <c r="CU220" s="97"/>
      <c r="CV220" s="97"/>
      <c r="CW220" s="97"/>
      <c r="CX220" s="98"/>
      <c r="CY220" s="97"/>
      <c r="CZ220" s="97"/>
      <c r="DA220" s="97"/>
      <c r="DB220" s="98"/>
      <c r="DC220" s="75"/>
      <c r="DD220" s="97"/>
      <c r="DE220" s="97"/>
      <c r="DF220" s="98"/>
      <c r="DG220" s="75"/>
      <c r="DH220" s="78"/>
      <c r="DI220" s="99"/>
      <c r="DJ220" s="98"/>
      <c r="DL220" s="40"/>
      <c r="DM220" s="36"/>
      <c r="DN220" s="36"/>
      <c r="DO220" s="36"/>
      <c r="DP220" s="36"/>
      <c r="DQ220" s="100"/>
      <c r="DR220" s="36"/>
      <c r="DS220" s="100"/>
      <c r="DT220" s="36"/>
      <c r="DU220" s="36"/>
      <c r="DV220" s="41"/>
    </row>
    <row r="221" spans="10:126">
      <c r="J221" s="96"/>
      <c r="L221" s="75"/>
      <c r="N221" s="75"/>
      <c r="O221" s="75"/>
      <c r="P221" s="72"/>
      <c r="Q221" s="72"/>
      <c r="S221" s="68"/>
      <c r="T221" s="68"/>
      <c r="V221" s="96"/>
      <c r="W221" s="75"/>
      <c r="X221" s="78"/>
      <c r="Y221" s="97"/>
      <c r="Z221" s="98"/>
      <c r="AA221" s="77"/>
      <c r="AB221" s="78"/>
      <c r="AC221" s="97"/>
      <c r="AD221" s="98"/>
      <c r="AE221" s="77"/>
      <c r="AF221" s="78"/>
      <c r="AG221" s="97"/>
      <c r="AH221" s="98"/>
      <c r="AI221" s="77"/>
      <c r="AJ221" s="78"/>
      <c r="AK221" s="97"/>
      <c r="AL221" s="98"/>
      <c r="AM221" s="77"/>
      <c r="AN221" s="78"/>
      <c r="AO221" s="97"/>
      <c r="AP221" s="98"/>
      <c r="AQ221" s="77"/>
      <c r="AR221" s="78"/>
      <c r="AS221" s="97"/>
      <c r="AT221" s="98"/>
      <c r="AU221" s="77"/>
      <c r="AV221" s="97"/>
      <c r="AW221" s="97"/>
      <c r="AX221" s="98"/>
      <c r="AY221" s="77"/>
      <c r="AZ221" s="97"/>
      <c r="BA221" s="97"/>
      <c r="BB221" s="98"/>
      <c r="BC221" s="77"/>
      <c r="BD221" s="97"/>
      <c r="BE221" s="97"/>
      <c r="BF221" s="98"/>
      <c r="BG221" s="77"/>
      <c r="BH221" s="97"/>
      <c r="BI221" s="97"/>
      <c r="BJ221" s="98"/>
      <c r="BK221" s="77"/>
      <c r="BL221" s="97"/>
      <c r="BM221" s="97"/>
      <c r="BN221" s="98"/>
      <c r="BO221" s="77"/>
      <c r="BP221" s="97"/>
      <c r="BQ221" s="97"/>
      <c r="BR221" s="98"/>
      <c r="BS221" s="77"/>
      <c r="BT221" s="97"/>
      <c r="BU221" s="97"/>
      <c r="BV221" s="98"/>
      <c r="BW221" s="77"/>
      <c r="BX221" s="97"/>
      <c r="BY221" s="97"/>
      <c r="BZ221" s="98"/>
      <c r="CA221" s="97"/>
      <c r="CB221" s="97"/>
      <c r="CC221" s="97"/>
      <c r="CD221" s="98"/>
      <c r="CE221" s="97"/>
      <c r="CF221" s="97"/>
      <c r="CG221" s="97"/>
      <c r="CH221" s="98"/>
      <c r="CI221" s="97"/>
      <c r="CJ221" s="97"/>
      <c r="CK221" s="97"/>
      <c r="CL221" s="98"/>
      <c r="CM221" s="97"/>
      <c r="CN221" s="97"/>
      <c r="CO221" s="97"/>
      <c r="CP221" s="98"/>
      <c r="CQ221" s="97"/>
      <c r="CR221" s="97"/>
      <c r="CS221" s="97"/>
      <c r="CT221" s="98"/>
      <c r="CU221" s="97"/>
      <c r="CV221" s="97"/>
      <c r="CW221" s="97"/>
      <c r="CX221" s="98"/>
      <c r="CY221" s="97"/>
      <c r="CZ221" s="97"/>
      <c r="DA221" s="97"/>
      <c r="DB221" s="98"/>
      <c r="DC221" s="75"/>
      <c r="DD221" s="97"/>
      <c r="DE221" s="97"/>
      <c r="DF221" s="98"/>
      <c r="DG221" s="75"/>
      <c r="DH221" s="78"/>
      <c r="DI221" s="99"/>
      <c r="DJ221" s="98"/>
      <c r="DL221" s="40"/>
      <c r="DM221" s="36"/>
      <c r="DN221" s="36"/>
      <c r="DO221" s="36"/>
      <c r="DP221" s="36"/>
      <c r="DQ221" s="100"/>
      <c r="DR221" s="36"/>
      <c r="DS221" s="100"/>
      <c r="DT221" s="36"/>
      <c r="DU221" s="36"/>
      <c r="DV221" s="41"/>
    </row>
    <row r="222" spans="10:126">
      <c r="J222" s="96"/>
      <c r="L222" s="75"/>
      <c r="N222" s="75"/>
      <c r="O222" s="75"/>
      <c r="P222" s="72"/>
      <c r="Q222" s="72"/>
      <c r="S222" s="68"/>
      <c r="T222" s="68"/>
      <c r="V222" s="96"/>
      <c r="W222" s="75"/>
      <c r="X222" s="78"/>
      <c r="Y222" s="97"/>
      <c r="Z222" s="98"/>
      <c r="AA222" s="77"/>
      <c r="AB222" s="78"/>
      <c r="AC222" s="97"/>
      <c r="AD222" s="98"/>
      <c r="AE222" s="77"/>
      <c r="AF222" s="78"/>
      <c r="AG222" s="97"/>
      <c r="AH222" s="98"/>
      <c r="AI222" s="77"/>
      <c r="AJ222" s="78"/>
      <c r="AK222" s="97"/>
      <c r="AL222" s="98"/>
      <c r="AM222" s="77"/>
      <c r="AN222" s="78"/>
      <c r="AO222" s="97"/>
      <c r="AP222" s="98"/>
      <c r="AQ222" s="77"/>
      <c r="AR222" s="78"/>
      <c r="AS222" s="97"/>
      <c r="AT222" s="98"/>
      <c r="AU222" s="77"/>
      <c r="AV222" s="97"/>
      <c r="AW222" s="97"/>
      <c r="AX222" s="98"/>
      <c r="AY222" s="77"/>
      <c r="AZ222" s="97"/>
      <c r="BA222" s="97"/>
      <c r="BB222" s="98"/>
      <c r="BC222" s="77"/>
      <c r="BD222" s="97"/>
      <c r="BE222" s="97"/>
      <c r="BF222" s="98"/>
      <c r="BG222" s="77"/>
      <c r="BH222" s="97"/>
      <c r="BI222" s="97"/>
      <c r="BJ222" s="98"/>
      <c r="BK222" s="77"/>
      <c r="BL222" s="97"/>
      <c r="BM222" s="97"/>
      <c r="BN222" s="98"/>
      <c r="BO222" s="77"/>
      <c r="BP222" s="97"/>
      <c r="BQ222" s="97"/>
      <c r="BR222" s="98"/>
      <c r="BS222" s="77"/>
      <c r="BT222" s="97"/>
      <c r="BU222" s="97"/>
      <c r="BV222" s="98"/>
      <c r="BW222" s="77"/>
      <c r="BX222" s="97"/>
      <c r="BY222" s="97"/>
      <c r="BZ222" s="98"/>
      <c r="CA222" s="97"/>
      <c r="CB222" s="97"/>
      <c r="CC222" s="97"/>
      <c r="CD222" s="98"/>
      <c r="CE222" s="97"/>
      <c r="CF222" s="97"/>
      <c r="CG222" s="97"/>
      <c r="CH222" s="98"/>
      <c r="CI222" s="97"/>
      <c r="CJ222" s="97"/>
      <c r="CK222" s="97"/>
      <c r="CL222" s="98"/>
      <c r="CM222" s="97"/>
      <c r="CN222" s="97"/>
      <c r="CO222" s="97"/>
      <c r="CP222" s="98"/>
      <c r="CQ222" s="97"/>
      <c r="CR222" s="97"/>
      <c r="CS222" s="97"/>
      <c r="CT222" s="98"/>
      <c r="CU222" s="97"/>
      <c r="CV222" s="97"/>
      <c r="CW222" s="97"/>
      <c r="CX222" s="98"/>
      <c r="CY222" s="97"/>
      <c r="CZ222" s="97"/>
      <c r="DA222" s="97"/>
      <c r="DB222" s="98"/>
      <c r="DC222" s="75"/>
      <c r="DD222" s="97"/>
      <c r="DE222" s="97"/>
      <c r="DF222" s="98"/>
      <c r="DG222" s="75"/>
      <c r="DH222" s="78"/>
      <c r="DI222" s="99"/>
      <c r="DJ222" s="98"/>
      <c r="DL222" s="40"/>
      <c r="DM222" s="36"/>
      <c r="DN222" s="36"/>
      <c r="DO222" s="36"/>
      <c r="DP222" s="36"/>
      <c r="DQ222" s="100"/>
      <c r="DR222" s="36"/>
      <c r="DS222" s="100"/>
      <c r="DT222" s="36"/>
      <c r="DU222" s="36"/>
      <c r="DV222" s="41"/>
    </row>
    <row r="223" spans="10:126">
      <c r="J223" s="96"/>
      <c r="L223" s="75"/>
      <c r="N223" s="75"/>
      <c r="O223" s="75"/>
      <c r="P223" s="72"/>
      <c r="Q223" s="72"/>
      <c r="S223" s="68"/>
      <c r="T223" s="68"/>
      <c r="V223" s="96"/>
      <c r="W223" s="75"/>
      <c r="X223" s="78"/>
      <c r="Y223" s="97"/>
      <c r="Z223" s="98"/>
      <c r="AA223" s="77"/>
      <c r="AB223" s="78"/>
      <c r="AC223" s="97"/>
      <c r="AD223" s="98"/>
      <c r="AE223" s="77"/>
      <c r="AF223" s="78"/>
      <c r="AG223" s="97"/>
      <c r="AH223" s="98"/>
      <c r="AI223" s="77"/>
      <c r="AJ223" s="78"/>
      <c r="AK223" s="97"/>
      <c r="AL223" s="98"/>
      <c r="AM223" s="77"/>
      <c r="AN223" s="78"/>
      <c r="AO223" s="97"/>
      <c r="AP223" s="98"/>
      <c r="AQ223" s="77"/>
      <c r="AR223" s="78"/>
      <c r="AS223" s="97"/>
      <c r="AT223" s="98"/>
      <c r="AU223" s="77"/>
      <c r="AV223" s="97"/>
      <c r="AW223" s="97"/>
      <c r="AX223" s="98"/>
      <c r="AY223" s="77"/>
      <c r="AZ223" s="97"/>
      <c r="BA223" s="97"/>
      <c r="BB223" s="98"/>
      <c r="BC223" s="77"/>
      <c r="BD223" s="97"/>
      <c r="BE223" s="97"/>
      <c r="BF223" s="98"/>
      <c r="BG223" s="77"/>
      <c r="BH223" s="97"/>
      <c r="BI223" s="97"/>
      <c r="BJ223" s="98"/>
      <c r="BK223" s="77"/>
      <c r="BL223" s="97"/>
      <c r="BM223" s="97"/>
      <c r="BN223" s="98"/>
      <c r="BO223" s="77"/>
      <c r="BP223" s="97"/>
      <c r="BQ223" s="97"/>
      <c r="BR223" s="98"/>
      <c r="BS223" s="77"/>
      <c r="BT223" s="97"/>
      <c r="BU223" s="97"/>
      <c r="BV223" s="98"/>
      <c r="BW223" s="77"/>
      <c r="BX223" s="97"/>
      <c r="BY223" s="97"/>
      <c r="BZ223" s="98"/>
      <c r="CA223" s="97"/>
      <c r="CB223" s="97"/>
      <c r="CC223" s="97"/>
      <c r="CD223" s="98"/>
      <c r="CE223" s="97"/>
      <c r="CF223" s="97"/>
      <c r="CG223" s="97"/>
      <c r="CH223" s="98"/>
      <c r="CI223" s="97"/>
      <c r="CJ223" s="97"/>
      <c r="CK223" s="97"/>
      <c r="CL223" s="98"/>
      <c r="CM223" s="97"/>
      <c r="CN223" s="97"/>
      <c r="CO223" s="97"/>
      <c r="CP223" s="98"/>
      <c r="CQ223" s="97"/>
      <c r="CR223" s="97"/>
      <c r="CS223" s="97"/>
      <c r="CT223" s="98"/>
      <c r="CU223" s="97"/>
      <c r="CV223" s="97"/>
      <c r="CW223" s="97"/>
      <c r="CX223" s="98"/>
      <c r="CY223" s="97"/>
      <c r="CZ223" s="97"/>
      <c r="DA223" s="97"/>
      <c r="DB223" s="98"/>
      <c r="DC223" s="75"/>
      <c r="DD223" s="97"/>
      <c r="DE223" s="97"/>
      <c r="DF223" s="98"/>
      <c r="DG223" s="75"/>
      <c r="DH223" s="78"/>
      <c r="DI223" s="99"/>
      <c r="DJ223" s="98"/>
      <c r="DL223" s="40"/>
      <c r="DM223" s="36"/>
      <c r="DN223" s="36"/>
      <c r="DO223" s="36"/>
      <c r="DP223" s="36"/>
      <c r="DQ223" s="100"/>
      <c r="DR223" s="36"/>
      <c r="DS223" s="100"/>
      <c r="DT223" s="36"/>
      <c r="DU223" s="36"/>
      <c r="DV223" s="41"/>
    </row>
    <row r="224" spans="10:126">
      <c r="J224" s="96"/>
      <c r="L224" s="75"/>
      <c r="N224" s="75"/>
      <c r="O224" s="75"/>
      <c r="P224" s="72"/>
      <c r="Q224" s="72"/>
      <c r="S224" s="68"/>
      <c r="T224" s="68"/>
      <c r="V224" s="96"/>
      <c r="W224" s="75"/>
      <c r="X224" s="78"/>
      <c r="Y224" s="97"/>
      <c r="Z224" s="98"/>
      <c r="AA224" s="77"/>
      <c r="AB224" s="78"/>
      <c r="AC224" s="97"/>
      <c r="AD224" s="98"/>
      <c r="AE224" s="77"/>
      <c r="AF224" s="78"/>
      <c r="AG224" s="97"/>
      <c r="AH224" s="98"/>
      <c r="AI224" s="77"/>
      <c r="AJ224" s="78"/>
      <c r="AK224" s="97"/>
      <c r="AL224" s="98"/>
      <c r="AM224" s="77"/>
      <c r="AN224" s="78"/>
      <c r="AO224" s="97"/>
      <c r="AP224" s="98"/>
      <c r="AQ224" s="77"/>
      <c r="AR224" s="78"/>
      <c r="AS224" s="97"/>
      <c r="AT224" s="98"/>
      <c r="AU224" s="77"/>
      <c r="AV224" s="97"/>
      <c r="AW224" s="97"/>
      <c r="AX224" s="98"/>
      <c r="AY224" s="77"/>
      <c r="AZ224" s="97"/>
      <c r="BA224" s="97"/>
      <c r="BB224" s="98"/>
      <c r="BC224" s="77"/>
      <c r="BD224" s="97"/>
      <c r="BE224" s="97"/>
      <c r="BF224" s="98"/>
      <c r="BG224" s="77"/>
      <c r="BH224" s="97"/>
      <c r="BI224" s="97"/>
      <c r="BJ224" s="98"/>
      <c r="BK224" s="77"/>
      <c r="BL224" s="97"/>
      <c r="BM224" s="97"/>
      <c r="BN224" s="98"/>
      <c r="BO224" s="77"/>
      <c r="BP224" s="97"/>
      <c r="BQ224" s="97"/>
      <c r="BR224" s="98"/>
      <c r="BS224" s="77"/>
      <c r="BT224" s="97"/>
      <c r="BU224" s="97"/>
      <c r="BV224" s="98"/>
      <c r="BW224" s="77"/>
      <c r="BX224" s="97"/>
      <c r="BY224" s="97"/>
      <c r="BZ224" s="98"/>
      <c r="CA224" s="97"/>
      <c r="CB224" s="97"/>
      <c r="CC224" s="97"/>
      <c r="CD224" s="98"/>
      <c r="CE224" s="97"/>
      <c r="CF224" s="97"/>
      <c r="CG224" s="97"/>
      <c r="CH224" s="98"/>
      <c r="CI224" s="97"/>
      <c r="CJ224" s="97"/>
      <c r="CK224" s="97"/>
      <c r="CL224" s="98"/>
      <c r="CM224" s="97"/>
      <c r="CN224" s="97"/>
      <c r="CO224" s="97"/>
      <c r="CP224" s="98"/>
      <c r="CQ224" s="97"/>
      <c r="CR224" s="97"/>
      <c r="CS224" s="97"/>
      <c r="CT224" s="98"/>
      <c r="CU224" s="97"/>
      <c r="CV224" s="97"/>
      <c r="CW224" s="97"/>
      <c r="CX224" s="98"/>
      <c r="CY224" s="97"/>
      <c r="CZ224" s="97"/>
      <c r="DA224" s="97"/>
      <c r="DB224" s="98"/>
      <c r="DC224" s="75"/>
      <c r="DD224" s="97"/>
      <c r="DE224" s="97"/>
      <c r="DF224" s="98"/>
      <c r="DG224" s="75"/>
      <c r="DH224" s="78"/>
      <c r="DI224" s="99"/>
      <c r="DJ224" s="98"/>
      <c r="DL224" s="40"/>
      <c r="DM224" s="36"/>
      <c r="DN224" s="36"/>
      <c r="DO224" s="36"/>
      <c r="DP224" s="36"/>
      <c r="DQ224" s="100"/>
      <c r="DR224" s="36"/>
      <c r="DS224" s="100"/>
      <c r="DT224" s="36"/>
      <c r="DU224" s="36"/>
      <c r="DV224" s="41"/>
    </row>
    <row r="225" spans="10:126">
      <c r="J225" s="96"/>
      <c r="L225" s="75"/>
      <c r="N225" s="75"/>
      <c r="O225" s="75"/>
      <c r="P225" s="72"/>
      <c r="Q225" s="72"/>
      <c r="S225" s="68"/>
      <c r="T225" s="68"/>
      <c r="V225" s="96"/>
      <c r="W225" s="75"/>
      <c r="X225" s="78"/>
      <c r="Y225" s="97"/>
      <c r="Z225" s="98"/>
      <c r="AA225" s="77"/>
      <c r="AB225" s="78"/>
      <c r="AC225" s="97"/>
      <c r="AD225" s="98"/>
      <c r="AE225" s="77"/>
      <c r="AF225" s="78"/>
      <c r="AG225" s="97"/>
      <c r="AH225" s="98"/>
      <c r="AI225" s="77"/>
      <c r="AJ225" s="78"/>
      <c r="AK225" s="97"/>
      <c r="AL225" s="98"/>
      <c r="AM225" s="77"/>
      <c r="AN225" s="78"/>
      <c r="AO225" s="97"/>
      <c r="AP225" s="98"/>
      <c r="AQ225" s="77"/>
      <c r="AR225" s="78"/>
      <c r="AS225" s="97"/>
      <c r="AT225" s="98"/>
      <c r="AU225" s="77"/>
      <c r="AV225" s="97"/>
      <c r="AW225" s="97"/>
      <c r="AX225" s="98"/>
      <c r="AY225" s="77"/>
      <c r="AZ225" s="97"/>
      <c r="BA225" s="97"/>
      <c r="BB225" s="98"/>
      <c r="BC225" s="77"/>
      <c r="BD225" s="97"/>
      <c r="BE225" s="97"/>
      <c r="BF225" s="98"/>
      <c r="BG225" s="77"/>
      <c r="BH225" s="97"/>
      <c r="BI225" s="97"/>
      <c r="BJ225" s="98"/>
      <c r="BK225" s="77"/>
      <c r="BL225" s="97"/>
      <c r="BM225" s="97"/>
      <c r="BN225" s="98"/>
      <c r="BO225" s="77"/>
      <c r="BP225" s="97"/>
      <c r="BQ225" s="97"/>
      <c r="BR225" s="98"/>
      <c r="BS225" s="77"/>
      <c r="BT225" s="97"/>
      <c r="BU225" s="97"/>
      <c r="BV225" s="98"/>
      <c r="BW225" s="77"/>
      <c r="BX225" s="97"/>
      <c r="BY225" s="97"/>
      <c r="BZ225" s="98"/>
      <c r="CA225" s="97"/>
      <c r="CB225" s="97"/>
      <c r="CC225" s="97"/>
      <c r="CD225" s="98"/>
      <c r="CE225" s="97"/>
      <c r="CF225" s="97"/>
      <c r="CG225" s="97"/>
      <c r="CH225" s="98"/>
      <c r="CI225" s="97"/>
      <c r="CJ225" s="97"/>
      <c r="CK225" s="97"/>
      <c r="CL225" s="98"/>
      <c r="CM225" s="97"/>
      <c r="CN225" s="97"/>
      <c r="CO225" s="97"/>
      <c r="CP225" s="98"/>
      <c r="CQ225" s="97"/>
      <c r="CR225" s="97"/>
      <c r="CS225" s="97"/>
      <c r="CT225" s="98"/>
      <c r="CU225" s="97"/>
      <c r="CV225" s="97"/>
      <c r="CW225" s="97"/>
      <c r="CX225" s="98"/>
      <c r="CY225" s="97"/>
      <c r="CZ225" s="97"/>
      <c r="DA225" s="97"/>
      <c r="DB225" s="98"/>
      <c r="DC225" s="75"/>
      <c r="DD225" s="97"/>
      <c r="DE225" s="97"/>
      <c r="DF225" s="98"/>
      <c r="DG225" s="75"/>
      <c r="DH225" s="78"/>
      <c r="DI225" s="99"/>
      <c r="DJ225" s="98"/>
      <c r="DL225" s="40"/>
      <c r="DM225" s="36"/>
      <c r="DN225" s="36"/>
      <c r="DO225" s="36"/>
      <c r="DP225" s="36"/>
      <c r="DQ225" s="100"/>
      <c r="DR225" s="36"/>
      <c r="DS225" s="100"/>
      <c r="DT225" s="36"/>
      <c r="DU225" s="36"/>
      <c r="DV225" s="41"/>
    </row>
    <row r="226" spans="10:126">
      <c r="J226" s="96"/>
      <c r="L226" s="75"/>
      <c r="N226" s="75"/>
      <c r="O226" s="75"/>
      <c r="P226" s="72"/>
      <c r="Q226" s="72"/>
      <c r="S226" s="68"/>
      <c r="T226" s="68"/>
      <c r="V226" s="96"/>
      <c r="W226" s="75"/>
      <c r="X226" s="78"/>
      <c r="Y226" s="97"/>
      <c r="Z226" s="98"/>
      <c r="AA226" s="77"/>
      <c r="AB226" s="78"/>
      <c r="AC226" s="97"/>
      <c r="AD226" s="98"/>
      <c r="AE226" s="77"/>
      <c r="AF226" s="78"/>
      <c r="AG226" s="97"/>
      <c r="AH226" s="98"/>
      <c r="AI226" s="77"/>
      <c r="AJ226" s="78"/>
      <c r="AK226" s="97"/>
      <c r="AL226" s="98"/>
      <c r="AM226" s="77"/>
      <c r="AN226" s="78"/>
      <c r="AO226" s="97"/>
      <c r="AP226" s="98"/>
      <c r="AQ226" s="77"/>
      <c r="AR226" s="78"/>
      <c r="AS226" s="97"/>
      <c r="AT226" s="98"/>
      <c r="AU226" s="77"/>
      <c r="AV226" s="97"/>
      <c r="AW226" s="97"/>
      <c r="AX226" s="98"/>
      <c r="AY226" s="77"/>
      <c r="AZ226" s="97"/>
      <c r="BA226" s="97"/>
      <c r="BB226" s="98"/>
      <c r="BC226" s="77"/>
      <c r="BD226" s="97"/>
      <c r="BE226" s="97"/>
      <c r="BF226" s="98"/>
      <c r="BG226" s="77"/>
      <c r="BH226" s="97"/>
      <c r="BI226" s="97"/>
      <c r="BJ226" s="98"/>
      <c r="BK226" s="77"/>
      <c r="BL226" s="97"/>
      <c r="BM226" s="97"/>
      <c r="BN226" s="98"/>
      <c r="BO226" s="77"/>
      <c r="BP226" s="97"/>
      <c r="BQ226" s="97"/>
      <c r="BR226" s="98"/>
      <c r="BS226" s="77"/>
      <c r="BT226" s="97"/>
      <c r="BU226" s="97"/>
      <c r="BV226" s="98"/>
      <c r="BW226" s="77"/>
      <c r="BX226" s="97"/>
      <c r="BY226" s="97"/>
      <c r="BZ226" s="98"/>
      <c r="CA226" s="97"/>
      <c r="CB226" s="97"/>
      <c r="CC226" s="97"/>
      <c r="CD226" s="98"/>
      <c r="CE226" s="97"/>
      <c r="CF226" s="97"/>
      <c r="CG226" s="97"/>
      <c r="CH226" s="98"/>
      <c r="CI226" s="97"/>
      <c r="CJ226" s="97"/>
      <c r="CK226" s="97"/>
      <c r="CL226" s="98"/>
      <c r="CM226" s="97"/>
      <c r="CN226" s="97"/>
      <c r="CO226" s="97"/>
      <c r="CP226" s="98"/>
      <c r="CQ226" s="97"/>
      <c r="CR226" s="97"/>
      <c r="CS226" s="97"/>
      <c r="CT226" s="98"/>
      <c r="CU226" s="97"/>
      <c r="CV226" s="97"/>
      <c r="CW226" s="97"/>
      <c r="CX226" s="98"/>
      <c r="CY226" s="97"/>
      <c r="CZ226" s="97"/>
      <c r="DA226" s="97"/>
      <c r="DB226" s="98"/>
      <c r="DC226" s="75"/>
      <c r="DD226" s="97"/>
      <c r="DE226" s="97"/>
      <c r="DF226" s="98"/>
      <c r="DG226" s="75"/>
      <c r="DH226" s="78"/>
      <c r="DI226" s="99"/>
      <c r="DJ226" s="98"/>
      <c r="DL226" s="40"/>
      <c r="DM226" s="36"/>
      <c r="DN226" s="36"/>
      <c r="DO226" s="36"/>
      <c r="DP226" s="36"/>
      <c r="DQ226" s="100"/>
      <c r="DR226" s="36"/>
      <c r="DS226" s="100"/>
      <c r="DT226" s="36"/>
      <c r="DU226" s="36"/>
      <c r="DV226" s="41"/>
    </row>
    <row r="227" spans="10:126">
      <c r="J227" s="96"/>
      <c r="L227" s="75"/>
      <c r="N227" s="75"/>
      <c r="O227" s="75"/>
      <c r="P227" s="72"/>
      <c r="Q227" s="72"/>
      <c r="S227" s="68"/>
      <c r="T227" s="68"/>
      <c r="V227" s="96"/>
      <c r="W227" s="75"/>
      <c r="X227" s="78"/>
      <c r="Y227" s="97"/>
      <c r="Z227" s="98"/>
      <c r="AA227" s="77"/>
      <c r="AB227" s="78"/>
      <c r="AC227" s="97"/>
      <c r="AD227" s="98"/>
      <c r="AE227" s="77"/>
      <c r="AF227" s="78"/>
      <c r="AG227" s="97"/>
      <c r="AH227" s="98"/>
      <c r="AI227" s="77"/>
      <c r="AJ227" s="78"/>
      <c r="AK227" s="97"/>
      <c r="AL227" s="98"/>
      <c r="AM227" s="77"/>
      <c r="AN227" s="78"/>
      <c r="AO227" s="97"/>
      <c r="AP227" s="98"/>
      <c r="AQ227" s="77"/>
      <c r="AR227" s="78"/>
      <c r="AS227" s="97"/>
      <c r="AT227" s="98"/>
      <c r="AU227" s="77"/>
      <c r="AV227" s="97"/>
      <c r="AW227" s="97"/>
      <c r="AX227" s="98"/>
      <c r="AY227" s="77"/>
      <c r="AZ227" s="97"/>
      <c r="BA227" s="97"/>
      <c r="BB227" s="98"/>
      <c r="BC227" s="77"/>
      <c r="BD227" s="97"/>
      <c r="BE227" s="97"/>
      <c r="BF227" s="98"/>
      <c r="BG227" s="77"/>
      <c r="BH227" s="97"/>
      <c r="BI227" s="97"/>
      <c r="BJ227" s="98"/>
      <c r="BK227" s="77"/>
      <c r="BL227" s="97"/>
      <c r="BM227" s="97"/>
      <c r="BN227" s="98"/>
      <c r="BO227" s="77"/>
      <c r="BP227" s="97"/>
      <c r="BQ227" s="97"/>
      <c r="BR227" s="98"/>
      <c r="BS227" s="77"/>
      <c r="BT227" s="97"/>
      <c r="BU227" s="97"/>
      <c r="BV227" s="98"/>
      <c r="BW227" s="77"/>
      <c r="BX227" s="97"/>
      <c r="BY227" s="97"/>
      <c r="BZ227" s="98"/>
      <c r="CA227" s="97"/>
      <c r="CB227" s="97"/>
      <c r="CC227" s="97"/>
      <c r="CD227" s="98"/>
      <c r="CE227" s="97"/>
      <c r="CF227" s="97"/>
      <c r="CG227" s="97"/>
      <c r="CH227" s="98"/>
      <c r="CI227" s="97"/>
      <c r="CJ227" s="97"/>
      <c r="CK227" s="97"/>
      <c r="CL227" s="98"/>
      <c r="CM227" s="97"/>
      <c r="CN227" s="97"/>
      <c r="CO227" s="97"/>
      <c r="CP227" s="98"/>
      <c r="CQ227" s="97"/>
      <c r="CR227" s="97"/>
      <c r="CS227" s="97"/>
      <c r="CT227" s="98"/>
      <c r="CU227" s="97"/>
      <c r="CV227" s="97"/>
      <c r="CW227" s="97"/>
      <c r="CX227" s="98"/>
      <c r="CY227" s="97"/>
      <c r="CZ227" s="97"/>
      <c r="DA227" s="97"/>
      <c r="DB227" s="98"/>
      <c r="DC227" s="75"/>
      <c r="DD227" s="97"/>
      <c r="DE227" s="97"/>
      <c r="DF227" s="98"/>
      <c r="DG227" s="75"/>
      <c r="DH227" s="78"/>
      <c r="DI227" s="99"/>
      <c r="DJ227" s="98"/>
      <c r="DL227" s="40"/>
      <c r="DM227" s="36"/>
      <c r="DN227" s="36"/>
      <c r="DO227" s="36"/>
      <c r="DP227" s="36"/>
      <c r="DQ227" s="100"/>
      <c r="DR227" s="36"/>
      <c r="DS227" s="100"/>
      <c r="DT227" s="36"/>
      <c r="DU227" s="36"/>
      <c r="DV227" s="41"/>
    </row>
    <row r="228" spans="10:126">
      <c r="J228" s="96"/>
      <c r="L228" s="75"/>
      <c r="N228" s="75"/>
      <c r="O228" s="75"/>
      <c r="P228" s="72"/>
      <c r="Q228" s="72"/>
      <c r="S228" s="68"/>
      <c r="T228" s="68"/>
      <c r="V228" s="96"/>
      <c r="W228" s="75"/>
      <c r="X228" s="78"/>
      <c r="Y228" s="97"/>
      <c r="Z228" s="98"/>
      <c r="AA228" s="77"/>
      <c r="AB228" s="78"/>
      <c r="AC228" s="97"/>
      <c r="AD228" s="98"/>
      <c r="AE228" s="77"/>
      <c r="AF228" s="78"/>
      <c r="AG228" s="97"/>
      <c r="AH228" s="98"/>
      <c r="AI228" s="77"/>
      <c r="AJ228" s="78"/>
      <c r="AK228" s="97"/>
      <c r="AL228" s="98"/>
      <c r="AM228" s="77"/>
      <c r="AN228" s="78"/>
      <c r="AO228" s="97"/>
      <c r="AP228" s="98"/>
      <c r="AQ228" s="77"/>
      <c r="AR228" s="78"/>
      <c r="AS228" s="97"/>
      <c r="AT228" s="98"/>
      <c r="AU228" s="77"/>
      <c r="AV228" s="97"/>
      <c r="AW228" s="97"/>
      <c r="AX228" s="98"/>
      <c r="AY228" s="77"/>
      <c r="AZ228" s="97"/>
      <c r="BA228" s="97"/>
      <c r="BB228" s="98"/>
      <c r="BC228" s="77"/>
      <c r="BD228" s="97"/>
      <c r="BE228" s="97"/>
      <c r="BF228" s="98"/>
      <c r="BG228" s="77"/>
      <c r="BH228" s="97"/>
      <c r="BI228" s="97"/>
      <c r="BJ228" s="98"/>
      <c r="BK228" s="77"/>
      <c r="BL228" s="97"/>
      <c r="BM228" s="97"/>
      <c r="BN228" s="98"/>
      <c r="BO228" s="77"/>
      <c r="BP228" s="97"/>
      <c r="BQ228" s="97"/>
      <c r="BR228" s="98"/>
      <c r="BS228" s="77"/>
      <c r="BT228" s="97"/>
      <c r="BU228" s="97"/>
      <c r="BV228" s="98"/>
      <c r="BW228" s="77"/>
      <c r="BX228" s="97"/>
      <c r="BY228" s="97"/>
      <c r="BZ228" s="98"/>
      <c r="CA228" s="97"/>
      <c r="CB228" s="97"/>
      <c r="CC228" s="97"/>
      <c r="CD228" s="98"/>
      <c r="CE228" s="97"/>
      <c r="CF228" s="97"/>
      <c r="CG228" s="97"/>
      <c r="CH228" s="98"/>
      <c r="CI228" s="97"/>
      <c r="CJ228" s="97"/>
      <c r="CK228" s="97"/>
      <c r="CL228" s="98"/>
      <c r="CM228" s="97"/>
      <c r="CN228" s="97"/>
      <c r="CO228" s="97"/>
      <c r="CP228" s="98"/>
      <c r="CQ228" s="97"/>
      <c r="CR228" s="97"/>
      <c r="CS228" s="97"/>
      <c r="CT228" s="98"/>
      <c r="CU228" s="97"/>
      <c r="CV228" s="97"/>
      <c r="CW228" s="97"/>
      <c r="CX228" s="98"/>
      <c r="CY228" s="97"/>
      <c r="CZ228" s="97"/>
      <c r="DA228" s="97"/>
      <c r="DB228" s="98"/>
      <c r="DC228" s="75"/>
      <c r="DD228" s="97"/>
      <c r="DE228" s="97"/>
      <c r="DF228" s="98"/>
      <c r="DG228" s="75"/>
      <c r="DH228" s="78"/>
      <c r="DI228" s="99"/>
      <c r="DJ228" s="98"/>
      <c r="DL228" s="40"/>
      <c r="DM228" s="36"/>
      <c r="DN228" s="36"/>
      <c r="DO228" s="36"/>
      <c r="DP228" s="36"/>
      <c r="DQ228" s="100"/>
      <c r="DR228" s="36"/>
      <c r="DS228" s="100"/>
      <c r="DT228" s="36"/>
      <c r="DU228" s="36"/>
      <c r="DV228" s="41"/>
    </row>
    <row r="229" spans="10:126">
      <c r="J229" s="96"/>
      <c r="L229" s="75"/>
      <c r="N229" s="75"/>
      <c r="O229" s="75"/>
      <c r="P229" s="72"/>
      <c r="Q229" s="72"/>
      <c r="S229" s="68"/>
      <c r="T229" s="68"/>
      <c r="V229" s="96"/>
      <c r="W229" s="75"/>
      <c r="X229" s="78"/>
      <c r="Y229" s="97"/>
      <c r="Z229" s="98"/>
      <c r="AA229" s="77"/>
      <c r="AB229" s="78"/>
      <c r="AC229" s="97"/>
      <c r="AD229" s="98"/>
      <c r="AE229" s="77"/>
      <c r="AF229" s="78"/>
      <c r="AG229" s="97"/>
      <c r="AH229" s="98"/>
      <c r="AI229" s="77"/>
      <c r="AJ229" s="78"/>
      <c r="AK229" s="97"/>
      <c r="AL229" s="98"/>
      <c r="AM229" s="77"/>
      <c r="AN229" s="78"/>
      <c r="AO229" s="97"/>
      <c r="AP229" s="98"/>
      <c r="AQ229" s="77"/>
      <c r="AR229" s="78"/>
      <c r="AS229" s="97"/>
      <c r="AT229" s="98"/>
      <c r="AU229" s="77"/>
      <c r="AV229" s="97"/>
      <c r="AW229" s="97"/>
      <c r="AX229" s="98"/>
      <c r="AY229" s="77"/>
      <c r="AZ229" s="97"/>
      <c r="BA229" s="97"/>
      <c r="BB229" s="98"/>
      <c r="BC229" s="77"/>
      <c r="BD229" s="97"/>
      <c r="BE229" s="97"/>
      <c r="BF229" s="98"/>
      <c r="BG229" s="77"/>
      <c r="BH229" s="97"/>
      <c r="BI229" s="97"/>
      <c r="BJ229" s="98"/>
      <c r="BK229" s="77"/>
      <c r="BL229" s="97"/>
      <c r="BM229" s="97"/>
      <c r="BN229" s="98"/>
      <c r="BO229" s="77"/>
      <c r="BP229" s="97"/>
      <c r="BQ229" s="97"/>
      <c r="BR229" s="98"/>
      <c r="BS229" s="77"/>
      <c r="BT229" s="97"/>
      <c r="BU229" s="97"/>
      <c r="BV229" s="98"/>
      <c r="BW229" s="77"/>
      <c r="BX229" s="97"/>
      <c r="BY229" s="97"/>
      <c r="BZ229" s="98"/>
      <c r="CA229" s="97"/>
      <c r="CB229" s="97"/>
      <c r="CC229" s="97"/>
      <c r="CD229" s="98"/>
      <c r="CE229" s="97"/>
      <c r="CF229" s="97"/>
      <c r="CG229" s="97"/>
      <c r="CH229" s="98"/>
      <c r="CI229" s="97"/>
      <c r="CJ229" s="97"/>
      <c r="CK229" s="97"/>
      <c r="CL229" s="98"/>
      <c r="CM229" s="97"/>
      <c r="CN229" s="97"/>
      <c r="CO229" s="97"/>
      <c r="CP229" s="98"/>
      <c r="CQ229" s="97"/>
      <c r="CR229" s="97"/>
      <c r="CS229" s="97"/>
      <c r="CT229" s="98"/>
      <c r="CU229" s="97"/>
      <c r="CV229" s="97"/>
      <c r="CW229" s="97"/>
      <c r="CX229" s="98"/>
      <c r="CY229" s="97"/>
      <c r="CZ229" s="97"/>
      <c r="DA229" s="97"/>
      <c r="DB229" s="98"/>
      <c r="DC229" s="75"/>
      <c r="DD229" s="97"/>
      <c r="DE229" s="97"/>
      <c r="DF229" s="98"/>
      <c r="DG229" s="75"/>
      <c r="DH229" s="78"/>
      <c r="DI229" s="99"/>
      <c r="DJ229" s="98"/>
      <c r="DL229" s="40"/>
      <c r="DM229" s="36"/>
      <c r="DN229" s="36"/>
      <c r="DO229" s="36"/>
      <c r="DP229" s="36"/>
      <c r="DQ229" s="100"/>
      <c r="DR229" s="36"/>
      <c r="DS229" s="100"/>
      <c r="DT229" s="36"/>
      <c r="DU229" s="36"/>
      <c r="DV229" s="41"/>
    </row>
    <row r="230" spans="10:126">
      <c r="J230" s="96"/>
      <c r="L230" s="75"/>
      <c r="N230" s="75"/>
      <c r="O230" s="75"/>
      <c r="P230" s="72"/>
      <c r="Q230" s="72"/>
      <c r="S230" s="68"/>
      <c r="T230" s="68"/>
      <c r="V230" s="96"/>
      <c r="W230" s="75"/>
      <c r="X230" s="78"/>
      <c r="Y230" s="97"/>
      <c r="Z230" s="98"/>
      <c r="AA230" s="77"/>
      <c r="AB230" s="78"/>
      <c r="AC230" s="97"/>
      <c r="AD230" s="98"/>
      <c r="AE230" s="77"/>
      <c r="AF230" s="78"/>
      <c r="AG230" s="97"/>
      <c r="AH230" s="98"/>
      <c r="AI230" s="77"/>
      <c r="AJ230" s="78"/>
      <c r="AK230" s="97"/>
      <c r="AL230" s="98"/>
      <c r="AM230" s="77"/>
      <c r="AN230" s="78"/>
      <c r="AO230" s="97"/>
      <c r="AP230" s="98"/>
      <c r="AQ230" s="77"/>
      <c r="AR230" s="78"/>
      <c r="AS230" s="97"/>
      <c r="AT230" s="98"/>
      <c r="AU230" s="77"/>
      <c r="AV230" s="97"/>
      <c r="AW230" s="97"/>
      <c r="AX230" s="98"/>
      <c r="AY230" s="77"/>
      <c r="AZ230" s="97"/>
      <c r="BA230" s="97"/>
      <c r="BB230" s="98"/>
      <c r="BC230" s="77"/>
      <c r="BD230" s="97"/>
      <c r="BE230" s="97"/>
      <c r="BF230" s="98"/>
      <c r="BG230" s="77"/>
      <c r="BH230" s="97"/>
      <c r="BI230" s="97"/>
      <c r="BJ230" s="98"/>
      <c r="BK230" s="77"/>
      <c r="BL230" s="97"/>
      <c r="BM230" s="97"/>
      <c r="BN230" s="98"/>
      <c r="BO230" s="77"/>
      <c r="BP230" s="97"/>
      <c r="BQ230" s="97"/>
      <c r="BR230" s="98"/>
      <c r="BS230" s="77"/>
      <c r="BT230" s="97"/>
      <c r="BU230" s="97"/>
      <c r="BV230" s="98"/>
      <c r="BW230" s="77"/>
      <c r="BX230" s="97"/>
      <c r="BY230" s="97"/>
      <c r="BZ230" s="98"/>
      <c r="CA230" s="97"/>
      <c r="CB230" s="97"/>
      <c r="CC230" s="97"/>
      <c r="CD230" s="98"/>
      <c r="CE230" s="97"/>
      <c r="CF230" s="97"/>
      <c r="CG230" s="97"/>
      <c r="CH230" s="98"/>
      <c r="CI230" s="97"/>
      <c r="CJ230" s="97"/>
      <c r="CK230" s="97"/>
      <c r="CL230" s="98"/>
      <c r="CM230" s="97"/>
      <c r="CN230" s="97"/>
      <c r="CO230" s="97"/>
      <c r="CP230" s="98"/>
      <c r="CQ230" s="97"/>
      <c r="CR230" s="97"/>
      <c r="CS230" s="97"/>
      <c r="CT230" s="98"/>
      <c r="CU230" s="97"/>
      <c r="CV230" s="97"/>
      <c r="CW230" s="97"/>
      <c r="CX230" s="98"/>
      <c r="CY230" s="97"/>
      <c r="CZ230" s="97"/>
      <c r="DA230" s="97"/>
      <c r="DB230" s="98"/>
      <c r="DC230" s="75"/>
      <c r="DD230" s="97"/>
      <c r="DE230" s="97"/>
      <c r="DF230" s="98"/>
      <c r="DG230" s="75"/>
      <c r="DH230" s="78"/>
      <c r="DI230" s="99"/>
      <c r="DJ230" s="98"/>
      <c r="DL230" s="40"/>
      <c r="DM230" s="36"/>
      <c r="DN230" s="36"/>
      <c r="DO230" s="36"/>
      <c r="DP230" s="36"/>
      <c r="DQ230" s="100"/>
      <c r="DR230" s="36"/>
      <c r="DS230" s="100"/>
      <c r="DT230" s="36"/>
      <c r="DU230" s="36"/>
      <c r="DV230" s="41"/>
    </row>
    <row r="231" spans="10:126">
      <c r="J231" s="96"/>
      <c r="L231" s="75"/>
      <c r="N231" s="75"/>
      <c r="O231" s="75"/>
      <c r="P231" s="72"/>
      <c r="Q231" s="72"/>
      <c r="S231" s="68"/>
      <c r="T231" s="68"/>
      <c r="V231" s="96"/>
      <c r="W231" s="75"/>
      <c r="X231" s="78"/>
      <c r="Y231" s="97"/>
      <c r="Z231" s="98"/>
      <c r="AA231" s="77"/>
      <c r="AB231" s="78"/>
      <c r="AC231" s="97"/>
      <c r="AD231" s="98"/>
      <c r="AE231" s="77"/>
      <c r="AF231" s="78"/>
      <c r="AG231" s="97"/>
      <c r="AH231" s="98"/>
      <c r="AI231" s="77"/>
      <c r="AJ231" s="78"/>
      <c r="AK231" s="97"/>
      <c r="AL231" s="98"/>
      <c r="AM231" s="77"/>
      <c r="AN231" s="78"/>
      <c r="AO231" s="97"/>
      <c r="AP231" s="98"/>
      <c r="AQ231" s="77"/>
      <c r="AR231" s="78"/>
      <c r="AS231" s="97"/>
      <c r="AT231" s="98"/>
      <c r="AU231" s="77"/>
      <c r="AV231" s="97"/>
      <c r="AW231" s="97"/>
      <c r="AX231" s="98"/>
      <c r="AY231" s="77"/>
      <c r="AZ231" s="97"/>
      <c r="BA231" s="97"/>
      <c r="BB231" s="98"/>
      <c r="BC231" s="77"/>
      <c r="BD231" s="97"/>
      <c r="BE231" s="97"/>
      <c r="BF231" s="98"/>
      <c r="BG231" s="77"/>
      <c r="BH231" s="97"/>
      <c r="BI231" s="97"/>
      <c r="BJ231" s="98"/>
      <c r="BK231" s="77"/>
      <c r="BL231" s="97"/>
      <c r="BM231" s="97"/>
      <c r="BN231" s="98"/>
      <c r="BO231" s="77"/>
      <c r="BP231" s="97"/>
      <c r="BQ231" s="97"/>
      <c r="BR231" s="98"/>
      <c r="BS231" s="77"/>
      <c r="BT231" s="97"/>
      <c r="BU231" s="97"/>
      <c r="BV231" s="98"/>
      <c r="BW231" s="77"/>
      <c r="BX231" s="97"/>
      <c r="BY231" s="97"/>
      <c r="BZ231" s="98"/>
      <c r="CA231" s="97"/>
      <c r="CB231" s="97"/>
      <c r="CC231" s="97"/>
      <c r="CD231" s="98"/>
      <c r="CE231" s="97"/>
      <c r="CF231" s="97"/>
      <c r="CG231" s="97"/>
      <c r="CH231" s="98"/>
      <c r="CI231" s="97"/>
      <c r="CJ231" s="97"/>
      <c r="CK231" s="97"/>
      <c r="CL231" s="98"/>
      <c r="CM231" s="97"/>
      <c r="CN231" s="97"/>
      <c r="CO231" s="97"/>
      <c r="CP231" s="98"/>
      <c r="CQ231" s="97"/>
      <c r="CR231" s="97"/>
      <c r="CS231" s="97"/>
      <c r="CT231" s="98"/>
      <c r="CU231" s="97"/>
      <c r="CV231" s="97"/>
      <c r="CW231" s="97"/>
      <c r="CX231" s="98"/>
      <c r="CY231" s="97"/>
      <c r="CZ231" s="97"/>
      <c r="DA231" s="97"/>
      <c r="DB231" s="98"/>
      <c r="DC231" s="75"/>
      <c r="DD231" s="97"/>
      <c r="DE231" s="97"/>
      <c r="DF231" s="98"/>
      <c r="DG231" s="75"/>
      <c r="DH231" s="78"/>
      <c r="DI231" s="99"/>
      <c r="DJ231" s="98"/>
      <c r="DL231" s="40"/>
      <c r="DM231" s="36"/>
      <c r="DN231" s="36"/>
      <c r="DO231" s="36"/>
      <c r="DP231" s="36"/>
      <c r="DQ231" s="100"/>
      <c r="DR231" s="36"/>
      <c r="DS231" s="100"/>
      <c r="DT231" s="36"/>
      <c r="DU231" s="36"/>
      <c r="DV231" s="41"/>
    </row>
    <row r="232" spans="10:126">
      <c r="J232" s="96"/>
      <c r="L232" s="75"/>
      <c r="N232" s="75"/>
      <c r="O232" s="75"/>
      <c r="P232" s="72"/>
      <c r="Q232" s="72"/>
      <c r="S232" s="68"/>
      <c r="T232" s="68"/>
      <c r="V232" s="96"/>
      <c r="W232" s="75"/>
      <c r="X232" s="78"/>
      <c r="Y232" s="97"/>
      <c r="Z232" s="98"/>
      <c r="AA232" s="77"/>
      <c r="AB232" s="78"/>
      <c r="AC232" s="97"/>
      <c r="AD232" s="98"/>
      <c r="AE232" s="77"/>
      <c r="AF232" s="78"/>
      <c r="AG232" s="97"/>
      <c r="AH232" s="98"/>
      <c r="AI232" s="77"/>
      <c r="AJ232" s="78"/>
      <c r="AK232" s="97"/>
      <c r="AL232" s="98"/>
      <c r="AM232" s="77"/>
      <c r="AN232" s="78"/>
      <c r="AO232" s="97"/>
      <c r="AP232" s="98"/>
      <c r="AQ232" s="77"/>
      <c r="AR232" s="78"/>
      <c r="AS232" s="97"/>
      <c r="AT232" s="98"/>
      <c r="AU232" s="77"/>
      <c r="AV232" s="97"/>
      <c r="AW232" s="97"/>
      <c r="AX232" s="98"/>
      <c r="AY232" s="77"/>
      <c r="AZ232" s="97"/>
      <c r="BA232" s="97"/>
      <c r="BB232" s="98"/>
      <c r="BC232" s="77"/>
      <c r="BD232" s="97"/>
      <c r="BE232" s="97"/>
      <c r="BF232" s="98"/>
      <c r="BG232" s="77"/>
      <c r="BH232" s="97"/>
      <c r="BI232" s="97"/>
      <c r="BJ232" s="98"/>
      <c r="BK232" s="77"/>
      <c r="BL232" s="97"/>
      <c r="BM232" s="97"/>
      <c r="BN232" s="98"/>
      <c r="BO232" s="77"/>
      <c r="BP232" s="97"/>
      <c r="BQ232" s="97"/>
      <c r="BR232" s="98"/>
      <c r="BS232" s="77"/>
      <c r="BT232" s="97"/>
      <c r="BU232" s="97"/>
      <c r="BV232" s="98"/>
      <c r="BW232" s="77"/>
      <c r="BX232" s="97"/>
      <c r="BY232" s="97"/>
      <c r="BZ232" s="98"/>
      <c r="CA232" s="97"/>
      <c r="CB232" s="97"/>
      <c r="CC232" s="97"/>
      <c r="CD232" s="98"/>
      <c r="CE232" s="97"/>
      <c r="CF232" s="97"/>
      <c r="CG232" s="97"/>
      <c r="CH232" s="98"/>
      <c r="CI232" s="97"/>
      <c r="CJ232" s="97"/>
      <c r="CK232" s="97"/>
      <c r="CL232" s="98"/>
      <c r="CM232" s="97"/>
      <c r="CN232" s="97"/>
      <c r="CO232" s="97"/>
      <c r="CP232" s="98"/>
      <c r="CQ232" s="97"/>
      <c r="CR232" s="97"/>
      <c r="CS232" s="97"/>
      <c r="CT232" s="98"/>
      <c r="CU232" s="97"/>
      <c r="CV232" s="97"/>
      <c r="CW232" s="97"/>
      <c r="CX232" s="98"/>
      <c r="CY232" s="97"/>
      <c r="CZ232" s="97"/>
      <c r="DA232" s="97"/>
      <c r="DB232" s="98"/>
      <c r="DC232" s="75"/>
      <c r="DD232" s="97"/>
      <c r="DE232" s="97"/>
      <c r="DF232" s="98"/>
      <c r="DG232" s="75"/>
      <c r="DH232" s="78"/>
      <c r="DI232" s="99"/>
      <c r="DJ232" s="98"/>
      <c r="DL232" s="40"/>
      <c r="DM232" s="36"/>
      <c r="DN232" s="36"/>
      <c r="DO232" s="36"/>
      <c r="DP232" s="36"/>
      <c r="DQ232" s="100"/>
      <c r="DR232" s="36"/>
      <c r="DS232" s="100"/>
      <c r="DT232" s="36"/>
      <c r="DU232" s="36"/>
      <c r="DV232" s="41"/>
    </row>
    <row r="233" spans="10:126">
      <c r="J233" s="96"/>
      <c r="L233" s="75"/>
      <c r="N233" s="75"/>
      <c r="O233" s="75"/>
      <c r="P233" s="72"/>
      <c r="Q233" s="72"/>
      <c r="S233" s="68"/>
      <c r="T233" s="68"/>
      <c r="V233" s="96"/>
      <c r="W233" s="75"/>
      <c r="X233" s="78"/>
      <c r="Y233" s="97"/>
      <c r="Z233" s="98"/>
      <c r="AA233" s="77"/>
      <c r="AB233" s="78"/>
      <c r="AC233" s="97"/>
      <c r="AD233" s="98"/>
      <c r="AE233" s="77"/>
      <c r="AF233" s="78"/>
      <c r="AG233" s="97"/>
      <c r="AH233" s="98"/>
      <c r="AI233" s="77"/>
      <c r="AJ233" s="78"/>
      <c r="AK233" s="97"/>
      <c r="AL233" s="98"/>
      <c r="AM233" s="77"/>
      <c r="AN233" s="78"/>
      <c r="AO233" s="97"/>
      <c r="AP233" s="98"/>
      <c r="AQ233" s="77"/>
      <c r="AR233" s="78"/>
      <c r="AS233" s="97"/>
      <c r="AT233" s="98"/>
      <c r="AU233" s="77"/>
      <c r="AV233" s="97"/>
      <c r="AW233" s="97"/>
      <c r="AX233" s="98"/>
      <c r="AY233" s="77"/>
      <c r="AZ233" s="97"/>
      <c r="BA233" s="97"/>
      <c r="BB233" s="98"/>
      <c r="BC233" s="77"/>
      <c r="BD233" s="97"/>
      <c r="BE233" s="97"/>
      <c r="BF233" s="98"/>
      <c r="BG233" s="77"/>
      <c r="BH233" s="97"/>
      <c r="BI233" s="97"/>
      <c r="BJ233" s="98"/>
      <c r="BK233" s="77"/>
      <c r="BL233" s="97"/>
      <c r="BM233" s="97"/>
      <c r="BN233" s="98"/>
      <c r="BO233" s="77"/>
      <c r="BP233" s="97"/>
      <c r="BQ233" s="97"/>
      <c r="BR233" s="98"/>
      <c r="BS233" s="77"/>
      <c r="BT233" s="97"/>
      <c r="BU233" s="97"/>
      <c r="BV233" s="98"/>
      <c r="BW233" s="77"/>
      <c r="BX233" s="97"/>
      <c r="BY233" s="97"/>
      <c r="BZ233" s="98"/>
      <c r="CA233" s="97"/>
      <c r="CB233" s="97"/>
      <c r="CC233" s="97"/>
      <c r="CD233" s="98"/>
      <c r="CE233" s="97"/>
      <c r="CF233" s="97"/>
      <c r="CG233" s="97"/>
      <c r="CH233" s="98"/>
      <c r="CI233" s="97"/>
      <c r="CJ233" s="97"/>
      <c r="CK233" s="97"/>
      <c r="CL233" s="98"/>
      <c r="CM233" s="97"/>
      <c r="CN233" s="97"/>
      <c r="CO233" s="97"/>
      <c r="CP233" s="98"/>
      <c r="CQ233" s="97"/>
      <c r="CR233" s="97"/>
      <c r="CS233" s="97"/>
      <c r="CT233" s="98"/>
      <c r="CU233" s="97"/>
      <c r="CV233" s="97"/>
      <c r="CW233" s="97"/>
      <c r="CX233" s="98"/>
      <c r="CY233" s="97"/>
      <c r="CZ233" s="97"/>
      <c r="DA233" s="97"/>
      <c r="DB233" s="98"/>
      <c r="DC233" s="75"/>
      <c r="DD233" s="97"/>
      <c r="DE233" s="97"/>
      <c r="DF233" s="98"/>
      <c r="DG233" s="75"/>
      <c r="DH233" s="78"/>
      <c r="DI233" s="99"/>
      <c r="DJ233" s="98"/>
      <c r="DL233" s="40"/>
      <c r="DM233" s="36"/>
      <c r="DN233" s="36"/>
      <c r="DO233" s="36"/>
      <c r="DP233" s="36"/>
      <c r="DQ233" s="100"/>
      <c r="DR233" s="36"/>
      <c r="DS233" s="100"/>
      <c r="DT233" s="36"/>
      <c r="DU233" s="36"/>
      <c r="DV233" s="41"/>
    </row>
    <row r="234" spans="10:126">
      <c r="J234" s="96"/>
      <c r="L234" s="75"/>
      <c r="N234" s="75"/>
      <c r="O234" s="75"/>
      <c r="P234" s="72"/>
      <c r="Q234" s="72"/>
      <c r="S234" s="68"/>
      <c r="T234" s="68"/>
      <c r="V234" s="96"/>
      <c r="W234" s="75"/>
      <c r="X234" s="78"/>
      <c r="Y234" s="97"/>
      <c r="Z234" s="98"/>
      <c r="AA234" s="77"/>
      <c r="AB234" s="78"/>
      <c r="AC234" s="97"/>
      <c r="AD234" s="98"/>
      <c r="AE234" s="77"/>
      <c r="AF234" s="78"/>
      <c r="AG234" s="97"/>
      <c r="AH234" s="98"/>
      <c r="AI234" s="77"/>
      <c r="AJ234" s="78"/>
      <c r="AK234" s="97"/>
      <c r="AL234" s="98"/>
      <c r="AM234" s="77"/>
      <c r="AN234" s="78"/>
      <c r="AO234" s="97"/>
      <c r="AP234" s="98"/>
      <c r="AQ234" s="77"/>
      <c r="AR234" s="78"/>
      <c r="AS234" s="97"/>
      <c r="AT234" s="98"/>
      <c r="AU234" s="77"/>
      <c r="AV234" s="97"/>
      <c r="AW234" s="97"/>
      <c r="AX234" s="98"/>
      <c r="AY234" s="77"/>
      <c r="AZ234" s="97"/>
      <c r="BA234" s="97"/>
      <c r="BB234" s="98"/>
      <c r="BC234" s="77"/>
      <c r="BD234" s="97"/>
      <c r="BE234" s="97"/>
      <c r="BF234" s="98"/>
      <c r="BG234" s="77"/>
      <c r="BH234" s="97"/>
      <c r="BI234" s="97"/>
      <c r="BJ234" s="98"/>
      <c r="BK234" s="77"/>
      <c r="BL234" s="97"/>
      <c r="BM234" s="97"/>
      <c r="BN234" s="98"/>
      <c r="BO234" s="77"/>
      <c r="BP234" s="97"/>
      <c r="BQ234" s="97"/>
      <c r="BR234" s="98"/>
      <c r="BS234" s="77"/>
      <c r="BT234" s="97"/>
      <c r="BU234" s="97"/>
      <c r="BV234" s="98"/>
      <c r="BW234" s="77"/>
      <c r="BX234" s="97"/>
      <c r="BY234" s="97"/>
      <c r="BZ234" s="98"/>
      <c r="CA234" s="97"/>
      <c r="CB234" s="97"/>
      <c r="CC234" s="97"/>
      <c r="CD234" s="98"/>
      <c r="CE234" s="97"/>
      <c r="CF234" s="97"/>
      <c r="CG234" s="97"/>
      <c r="CH234" s="98"/>
      <c r="CI234" s="97"/>
      <c r="CJ234" s="97"/>
      <c r="CK234" s="97"/>
      <c r="CL234" s="98"/>
      <c r="CM234" s="97"/>
      <c r="CN234" s="97"/>
      <c r="CO234" s="97"/>
      <c r="CP234" s="98"/>
      <c r="CQ234" s="97"/>
      <c r="CR234" s="97"/>
      <c r="CS234" s="97"/>
      <c r="CT234" s="98"/>
      <c r="CU234" s="97"/>
      <c r="CV234" s="97"/>
      <c r="CW234" s="97"/>
      <c r="CX234" s="98"/>
      <c r="CY234" s="97"/>
      <c r="CZ234" s="97"/>
      <c r="DA234" s="97"/>
      <c r="DB234" s="98"/>
      <c r="DC234" s="75"/>
      <c r="DD234" s="97"/>
      <c r="DE234" s="97"/>
      <c r="DF234" s="98"/>
      <c r="DG234" s="75"/>
      <c r="DH234" s="78"/>
      <c r="DI234" s="99"/>
      <c r="DJ234" s="98"/>
      <c r="DL234" s="40"/>
      <c r="DM234" s="36"/>
      <c r="DN234" s="36"/>
      <c r="DO234" s="36"/>
      <c r="DP234" s="36"/>
      <c r="DQ234" s="100"/>
      <c r="DR234" s="36"/>
      <c r="DS234" s="100"/>
      <c r="DT234" s="36"/>
      <c r="DU234" s="36"/>
      <c r="DV234" s="41"/>
    </row>
    <row r="235" spans="10:126">
      <c r="J235" s="96"/>
      <c r="L235" s="75"/>
      <c r="N235" s="75"/>
      <c r="O235" s="75"/>
      <c r="P235" s="72"/>
      <c r="Q235" s="72"/>
      <c r="S235" s="68"/>
      <c r="T235" s="68"/>
      <c r="V235" s="96"/>
      <c r="W235" s="75"/>
      <c r="X235" s="78"/>
      <c r="Y235" s="97"/>
      <c r="Z235" s="98"/>
      <c r="AA235" s="77"/>
      <c r="AB235" s="78"/>
      <c r="AC235" s="97"/>
      <c r="AD235" s="98"/>
      <c r="AE235" s="77"/>
      <c r="AF235" s="78"/>
      <c r="AG235" s="97"/>
      <c r="AH235" s="98"/>
      <c r="AI235" s="77"/>
      <c r="AJ235" s="78"/>
      <c r="AK235" s="97"/>
      <c r="AL235" s="98"/>
      <c r="AM235" s="77"/>
      <c r="AN235" s="78"/>
      <c r="AO235" s="97"/>
      <c r="AP235" s="98"/>
      <c r="AQ235" s="77"/>
      <c r="AR235" s="78"/>
      <c r="AS235" s="97"/>
      <c r="AT235" s="98"/>
      <c r="AU235" s="77"/>
      <c r="AV235" s="97"/>
      <c r="AW235" s="97"/>
      <c r="AX235" s="98"/>
      <c r="AY235" s="77"/>
      <c r="AZ235" s="97"/>
      <c r="BA235" s="97"/>
      <c r="BB235" s="98"/>
      <c r="BC235" s="77"/>
      <c r="BD235" s="97"/>
      <c r="BE235" s="97"/>
      <c r="BF235" s="98"/>
      <c r="BG235" s="77"/>
      <c r="BH235" s="97"/>
      <c r="BI235" s="97"/>
      <c r="BJ235" s="98"/>
      <c r="BK235" s="77"/>
      <c r="BL235" s="97"/>
      <c r="BM235" s="97"/>
      <c r="BN235" s="98"/>
      <c r="BO235" s="77"/>
      <c r="BP235" s="97"/>
      <c r="BQ235" s="97"/>
      <c r="BR235" s="98"/>
      <c r="BS235" s="77"/>
      <c r="BT235" s="97"/>
      <c r="BU235" s="97"/>
      <c r="BV235" s="98"/>
      <c r="BW235" s="77"/>
      <c r="BX235" s="97"/>
      <c r="BY235" s="97"/>
      <c r="BZ235" s="98"/>
      <c r="CA235" s="97"/>
      <c r="CB235" s="97"/>
      <c r="CC235" s="97"/>
      <c r="CD235" s="98"/>
      <c r="CE235" s="97"/>
      <c r="CF235" s="97"/>
      <c r="CG235" s="97"/>
      <c r="CH235" s="98"/>
      <c r="CI235" s="97"/>
      <c r="CJ235" s="97"/>
      <c r="CK235" s="97"/>
      <c r="CL235" s="98"/>
      <c r="CM235" s="97"/>
      <c r="CN235" s="97"/>
      <c r="CO235" s="97"/>
      <c r="CP235" s="98"/>
      <c r="CQ235" s="97"/>
      <c r="CR235" s="97"/>
      <c r="CS235" s="97"/>
      <c r="CT235" s="98"/>
      <c r="CU235" s="97"/>
      <c r="CV235" s="97"/>
      <c r="CW235" s="97"/>
      <c r="CX235" s="98"/>
      <c r="CY235" s="97"/>
      <c r="CZ235" s="97"/>
      <c r="DA235" s="97"/>
      <c r="DB235" s="98"/>
      <c r="DC235" s="75"/>
      <c r="DD235" s="97"/>
      <c r="DE235" s="97"/>
      <c r="DF235" s="98"/>
      <c r="DG235" s="75"/>
      <c r="DH235" s="78"/>
      <c r="DI235" s="99"/>
      <c r="DJ235" s="98"/>
      <c r="DL235" s="40"/>
      <c r="DM235" s="36"/>
      <c r="DN235" s="36"/>
      <c r="DO235" s="36"/>
      <c r="DP235" s="36"/>
      <c r="DQ235" s="100"/>
      <c r="DR235" s="36"/>
      <c r="DS235" s="100"/>
      <c r="DT235" s="36"/>
      <c r="DU235" s="36"/>
      <c r="DV235" s="41"/>
    </row>
    <row r="236" spans="10:126">
      <c r="J236" s="96"/>
      <c r="L236" s="75"/>
      <c r="N236" s="75"/>
      <c r="O236" s="75"/>
      <c r="P236" s="72"/>
      <c r="Q236" s="72"/>
      <c r="S236" s="68"/>
      <c r="T236" s="68"/>
      <c r="V236" s="96"/>
      <c r="W236" s="75"/>
      <c r="X236" s="78"/>
      <c r="Y236" s="97"/>
      <c r="Z236" s="98"/>
      <c r="AA236" s="77"/>
      <c r="AB236" s="78"/>
      <c r="AC236" s="97"/>
      <c r="AD236" s="98"/>
      <c r="AE236" s="77"/>
      <c r="AF236" s="78"/>
      <c r="AG236" s="97"/>
      <c r="AH236" s="98"/>
      <c r="AI236" s="77"/>
      <c r="AJ236" s="78"/>
      <c r="AK236" s="97"/>
      <c r="AL236" s="98"/>
      <c r="AM236" s="77"/>
      <c r="AN236" s="78"/>
      <c r="AO236" s="97"/>
      <c r="AP236" s="98"/>
      <c r="AQ236" s="77"/>
      <c r="AR236" s="78"/>
      <c r="AS236" s="97"/>
      <c r="AT236" s="98"/>
      <c r="AU236" s="77"/>
      <c r="AV236" s="97"/>
      <c r="AW236" s="97"/>
      <c r="AX236" s="98"/>
      <c r="AY236" s="77"/>
      <c r="AZ236" s="97"/>
      <c r="BA236" s="97"/>
      <c r="BB236" s="98"/>
      <c r="BC236" s="77"/>
      <c r="BD236" s="97"/>
      <c r="BE236" s="97"/>
      <c r="BF236" s="98"/>
      <c r="BG236" s="77"/>
      <c r="BH236" s="97"/>
      <c r="BI236" s="97"/>
      <c r="BJ236" s="98"/>
      <c r="BK236" s="77"/>
      <c r="BL236" s="97"/>
      <c r="BM236" s="97"/>
      <c r="BN236" s="98"/>
      <c r="BO236" s="77"/>
      <c r="BP236" s="97"/>
      <c r="BQ236" s="97"/>
      <c r="BR236" s="98"/>
      <c r="BS236" s="77"/>
      <c r="BT236" s="97"/>
      <c r="BU236" s="97"/>
      <c r="BV236" s="98"/>
      <c r="BW236" s="77"/>
      <c r="BX236" s="97"/>
      <c r="BY236" s="97"/>
      <c r="BZ236" s="98"/>
      <c r="CA236" s="97"/>
      <c r="CB236" s="97"/>
      <c r="CC236" s="97"/>
      <c r="CD236" s="98"/>
      <c r="CE236" s="97"/>
      <c r="CF236" s="97"/>
      <c r="CG236" s="97"/>
      <c r="CH236" s="98"/>
      <c r="CI236" s="97"/>
      <c r="CJ236" s="97"/>
      <c r="CK236" s="97"/>
      <c r="CL236" s="98"/>
      <c r="CM236" s="97"/>
      <c r="CN236" s="97"/>
      <c r="CO236" s="97"/>
      <c r="CP236" s="98"/>
      <c r="CQ236" s="97"/>
      <c r="CR236" s="97"/>
      <c r="CS236" s="97"/>
      <c r="CT236" s="98"/>
      <c r="CU236" s="97"/>
      <c r="CV236" s="97"/>
      <c r="CW236" s="97"/>
      <c r="CX236" s="98"/>
      <c r="CY236" s="97"/>
      <c r="CZ236" s="97"/>
      <c r="DA236" s="97"/>
      <c r="DB236" s="98"/>
      <c r="DC236" s="75"/>
      <c r="DD236" s="97"/>
      <c r="DE236" s="97"/>
      <c r="DF236" s="98"/>
      <c r="DG236" s="75"/>
      <c r="DH236" s="78"/>
      <c r="DI236" s="99"/>
      <c r="DJ236" s="98"/>
      <c r="DL236" s="40"/>
      <c r="DM236" s="36"/>
      <c r="DN236" s="36"/>
      <c r="DO236" s="36"/>
      <c r="DP236" s="36"/>
      <c r="DQ236" s="100"/>
      <c r="DR236" s="36"/>
      <c r="DS236" s="100"/>
      <c r="DT236" s="36"/>
      <c r="DU236" s="36"/>
      <c r="DV236" s="41"/>
    </row>
    <row r="237" spans="10:126">
      <c r="J237" s="96"/>
      <c r="L237" s="75"/>
      <c r="N237" s="75"/>
      <c r="O237" s="75"/>
      <c r="P237" s="72"/>
      <c r="Q237" s="72"/>
      <c r="S237" s="68"/>
      <c r="T237" s="68"/>
      <c r="V237" s="96"/>
      <c r="W237" s="75"/>
      <c r="X237" s="78"/>
      <c r="Y237" s="97"/>
      <c r="Z237" s="98"/>
      <c r="AA237" s="77"/>
      <c r="AB237" s="78"/>
      <c r="AC237" s="97"/>
      <c r="AD237" s="98"/>
      <c r="AE237" s="77"/>
      <c r="AF237" s="78"/>
      <c r="AG237" s="97"/>
      <c r="AH237" s="98"/>
      <c r="AI237" s="77"/>
      <c r="AJ237" s="78"/>
      <c r="AK237" s="97"/>
      <c r="AL237" s="98"/>
      <c r="AM237" s="77"/>
      <c r="AN237" s="78"/>
      <c r="AO237" s="97"/>
      <c r="AP237" s="98"/>
      <c r="AQ237" s="77"/>
      <c r="AR237" s="78"/>
      <c r="AS237" s="97"/>
      <c r="AT237" s="98"/>
      <c r="AU237" s="77"/>
      <c r="AV237" s="97"/>
      <c r="AW237" s="97"/>
      <c r="AX237" s="98"/>
      <c r="AY237" s="77"/>
      <c r="AZ237" s="97"/>
      <c r="BA237" s="97"/>
      <c r="BB237" s="98"/>
      <c r="BC237" s="77"/>
      <c r="BD237" s="97"/>
      <c r="BE237" s="97"/>
      <c r="BF237" s="98"/>
      <c r="BG237" s="77"/>
      <c r="BH237" s="97"/>
      <c r="BI237" s="97"/>
      <c r="BJ237" s="98"/>
      <c r="BK237" s="77"/>
      <c r="BL237" s="97"/>
      <c r="BM237" s="97"/>
      <c r="BN237" s="98"/>
      <c r="BO237" s="77"/>
      <c r="BP237" s="97"/>
      <c r="BQ237" s="97"/>
      <c r="BR237" s="98"/>
      <c r="BS237" s="77"/>
      <c r="BT237" s="97"/>
      <c r="BU237" s="97"/>
      <c r="BV237" s="98"/>
      <c r="BW237" s="77"/>
      <c r="BX237" s="97"/>
      <c r="BY237" s="97"/>
      <c r="BZ237" s="98"/>
      <c r="CA237" s="97"/>
      <c r="CB237" s="97"/>
      <c r="CC237" s="97"/>
      <c r="CD237" s="98"/>
      <c r="CE237" s="97"/>
      <c r="CF237" s="97"/>
      <c r="CG237" s="97"/>
      <c r="CH237" s="98"/>
      <c r="CI237" s="97"/>
      <c r="CJ237" s="97"/>
      <c r="CK237" s="97"/>
      <c r="CL237" s="98"/>
      <c r="CM237" s="97"/>
      <c r="CN237" s="97"/>
      <c r="CO237" s="97"/>
      <c r="CP237" s="98"/>
      <c r="CQ237" s="97"/>
      <c r="CR237" s="97"/>
      <c r="CS237" s="97"/>
      <c r="CT237" s="98"/>
      <c r="CU237" s="97"/>
      <c r="CV237" s="97"/>
      <c r="CW237" s="97"/>
      <c r="CX237" s="98"/>
      <c r="CY237" s="97"/>
      <c r="CZ237" s="97"/>
      <c r="DA237" s="97"/>
      <c r="DB237" s="98"/>
      <c r="DC237" s="75"/>
      <c r="DD237" s="97"/>
      <c r="DE237" s="97"/>
      <c r="DF237" s="98"/>
      <c r="DG237" s="75"/>
      <c r="DH237" s="78"/>
      <c r="DI237" s="99"/>
      <c r="DJ237" s="98"/>
      <c r="DL237" s="40"/>
      <c r="DM237" s="36"/>
      <c r="DN237" s="36"/>
      <c r="DO237" s="36"/>
      <c r="DP237" s="36"/>
      <c r="DQ237" s="100"/>
      <c r="DR237" s="36"/>
      <c r="DS237" s="100"/>
      <c r="DT237" s="36"/>
      <c r="DU237" s="36"/>
      <c r="DV237" s="41"/>
    </row>
    <row r="238" spans="10:126">
      <c r="J238" s="96"/>
      <c r="L238" s="75"/>
      <c r="N238" s="75"/>
      <c r="O238" s="75"/>
      <c r="P238" s="72"/>
      <c r="Q238" s="72"/>
      <c r="S238" s="68"/>
      <c r="T238" s="68"/>
      <c r="V238" s="96"/>
      <c r="W238" s="75"/>
      <c r="X238" s="78"/>
      <c r="Y238" s="97"/>
      <c r="Z238" s="98"/>
      <c r="AA238" s="77"/>
      <c r="AB238" s="78"/>
      <c r="AC238" s="97"/>
      <c r="AD238" s="98"/>
      <c r="AE238" s="77"/>
      <c r="AF238" s="78"/>
      <c r="AG238" s="97"/>
      <c r="AH238" s="98"/>
      <c r="AI238" s="77"/>
      <c r="AJ238" s="78"/>
      <c r="AK238" s="97"/>
      <c r="AL238" s="98"/>
      <c r="AM238" s="77"/>
      <c r="AN238" s="78"/>
      <c r="AO238" s="97"/>
      <c r="AP238" s="98"/>
      <c r="AQ238" s="77"/>
      <c r="AR238" s="78"/>
      <c r="AS238" s="97"/>
      <c r="AT238" s="98"/>
      <c r="AU238" s="77"/>
      <c r="AV238" s="97"/>
      <c r="AW238" s="97"/>
      <c r="AX238" s="98"/>
      <c r="AY238" s="77"/>
      <c r="AZ238" s="97"/>
      <c r="BA238" s="97"/>
      <c r="BB238" s="98"/>
      <c r="BC238" s="77"/>
      <c r="BD238" s="97"/>
      <c r="BE238" s="97"/>
      <c r="BF238" s="98"/>
      <c r="BG238" s="77"/>
      <c r="BH238" s="97"/>
      <c r="BI238" s="97"/>
      <c r="BJ238" s="98"/>
      <c r="BK238" s="77"/>
      <c r="BL238" s="97"/>
      <c r="BM238" s="97"/>
      <c r="BN238" s="98"/>
      <c r="BO238" s="77"/>
      <c r="BP238" s="97"/>
      <c r="BQ238" s="97"/>
      <c r="BR238" s="98"/>
      <c r="BS238" s="77"/>
      <c r="BT238" s="97"/>
      <c r="BU238" s="97"/>
      <c r="BV238" s="98"/>
      <c r="BW238" s="77"/>
      <c r="BX238" s="97"/>
      <c r="BY238" s="97"/>
      <c r="BZ238" s="98"/>
      <c r="CA238" s="97"/>
      <c r="CB238" s="97"/>
      <c r="CC238" s="97"/>
      <c r="CD238" s="98"/>
      <c r="CE238" s="97"/>
      <c r="CF238" s="97"/>
      <c r="CG238" s="97"/>
      <c r="CH238" s="98"/>
      <c r="CI238" s="97"/>
      <c r="CJ238" s="97"/>
      <c r="CK238" s="97"/>
      <c r="CL238" s="98"/>
      <c r="CM238" s="97"/>
      <c r="CN238" s="97"/>
      <c r="CO238" s="97"/>
      <c r="CP238" s="98"/>
      <c r="CQ238" s="97"/>
      <c r="CR238" s="97"/>
      <c r="CS238" s="97"/>
      <c r="CT238" s="98"/>
      <c r="CU238" s="97"/>
      <c r="CV238" s="97"/>
      <c r="CW238" s="97"/>
      <c r="CX238" s="98"/>
      <c r="CY238" s="97"/>
      <c r="CZ238" s="97"/>
      <c r="DA238" s="97"/>
      <c r="DB238" s="98"/>
      <c r="DC238" s="75"/>
      <c r="DD238" s="97"/>
      <c r="DE238" s="97"/>
      <c r="DF238" s="98"/>
      <c r="DG238" s="75"/>
      <c r="DH238" s="78"/>
      <c r="DI238" s="99"/>
      <c r="DJ238" s="98"/>
      <c r="DL238" s="40"/>
      <c r="DM238" s="36"/>
      <c r="DN238" s="36"/>
      <c r="DO238" s="36"/>
      <c r="DP238" s="36"/>
      <c r="DQ238" s="100"/>
      <c r="DR238" s="36"/>
      <c r="DS238" s="100"/>
      <c r="DT238" s="36"/>
      <c r="DU238" s="36"/>
      <c r="DV238" s="41"/>
    </row>
    <row r="239" spans="10:126">
      <c r="J239" s="96"/>
      <c r="L239" s="75"/>
      <c r="N239" s="75"/>
      <c r="O239" s="75"/>
      <c r="P239" s="72"/>
      <c r="Q239" s="72"/>
      <c r="S239" s="68"/>
      <c r="T239" s="68"/>
      <c r="V239" s="96"/>
      <c r="W239" s="75"/>
      <c r="X239" s="78"/>
      <c r="Y239" s="97"/>
      <c r="Z239" s="98"/>
      <c r="AA239" s="77"/>
      <c r="AB239" s="78"/>
      <c r="AC239" s="97"/>
      <c r="AD239" s="98"/>
      <c r="AE239" s="77"/>
      <c r="AF239" s="78"/>
      <c r="AG239" s="97"/>
      <c r="AH239" s="98"/>
      <c r="AI239" s="77"/>
      <c r="AJ239" s="78"/>
      <c r="AK239" s="97"/>
      <c r="AL239" s="98"/>
      <c r="AM239" s="77"/>
      <c r="AN239" s="78"/>
      <c r="AO239" s="97"/>
      <c r="AP239" s="98"/>
      <c r="AQ239" s="77"/>
      <c r="AR239" s="78"/>
      <c r="AS239" s="97"/>
      <c r="AT239" s="98"/>
      <c r="AU239" s="77"/>
      <c r="AV239" s="97"/>
      <c r="AW239" s="97"/>
      <c r="AX239" s="98"/>
      <c r="AY239" s="77"/>
      <c r="AZ239" s="97"/>
      <c r="BA239" s="97"/>
      <c r="BB239" s="98"/>
      <c r="BC239" s="77"/>
      <c r="BD239" s="97"/>
      <c r="BE239" s="97"/>
      <c r="BF239" s="98"/>
      <c r="BG239" s="77"/>
      <c r="BH239" s="97"/>
      <c r="BI239" s="97"/>
      <c r="BJ239" s="98"/>
      <c r="BK239" s="77"/>
      <c r="BL239" s="97"/>
      <c r="BM239" s="97"/>
      <c r="BN239" s="98"/>
      <c r="BO239" s="77"/>
      <c r="BP239" s="97"/>
      <c r="BQ239" s="97"/>
      <c r="BR239" s="98"/>
      <c r="BS239" s="77"/>
      <c r="BT239" s="97"/>
      <c r="BU239" s="97"/>
      <c r="BV239" s="98"/>
      <c r="BW239" s="77"/>
      <c r="BX239" s="97"/>
      <c r="BY239" s="97"/>
      <c r="BZ239" s="98"/>
      <c r="CA239" s="97"/>
      <c r="CB239" s="97"/>
      <c r="CC239" s="97"/>
      <c r="CD239" s="98"/>
      <c r="CE239" s="97"/>
      <c r="CF239" s="97"/>
      <c r="CG239" s="97"/>
      <c r="CH239" s="98"/>
      <c r="CI239" s="97"/>
      <c r="CJ239" s="97"/>
      <c r="CK239" s="97"/>
      <c r="CL239" s="98"/>
      <c r="CM239" s="97"/>
      <c r="CN239" s="97"/>
      <c r="CO239" s="97"/>
      <c r="CP239" s="98"/>
      <c r="CQ239" s="97"/>
      <c r="CR239" s="97"/>
      <c r="CS239" s="97"/>
      <c r="CT239" s="98"/>
      <c r="CU239" s="97"/>
      <c r="CV239" s="97"/>
      <c r="CW239" s="97"/>
      <c r="CX239" s="98"/>
      <c r="CY239" s="97"/>
      <c r="CZ239" s="97"/>
      <c r="DA239" s="97"/>
      <c r="DB239" s="98"/>
      <c r="DC239" s="75"/>
      <c r="DD239" s="97"/>
      <c r="DE239" s="97"/>
      <c r="DF239" s="98"/>
      <c r="DG239" s="75"/>
      <c r="DH239" s="78"/>
      <c r="DI239" s="99"/>
      <c r="DJ239" s="98"/>
      <c r="DL239" s="40"/>
      <c r="DM239" s="36"/>
      <c r="DN239" s="36"/>
      <c r="DO239" s="36"/>
      <c r="DP239" s="36"/>
      <c r="DQ239" s="100"/>
      <c r="DR239" s="36"/>
      <c r="DS239" s="100"/>
      <c r="DT239" s="36"/>
      <c r="DU239" s="36"/>
      <c r="DV239" s="41"/>
    </row>
    <row r="240" spans="10:126">
      <c r="J240" s="96"/>
      <c r="L240" s="75"/>
      <c r="N240" s="75"/>
      <c r="O240" s="75"/>
      <c r="P240" s="72"/>
      <c r="Q240" s="72"/>
      <c r="S240" s="68"/>
      <c r="T240" s="68"/>
      <c r="V240" s="96"/>
      <c r="W240" s="75"/>
      <c r="X240" s="78"/>
      <c r="Y240" s="97"/>
      <c r="Z240" s="98"/>
      <c r="AA240" s="77"/>
      <c r="AB240" s="78"/>
      <c r="AC240" s="97"/>
      <c r="AD240" s="98"/>
      <c r="AE240" s="77"/>
      <c r="AF240" s="78"/>
      <c r="AG240" s="97"/>
      <c r="AH240" s="98"/>
      <c r="AI240" s="77"/>
      <c r="AJ240" s="78"/>
      <c r="AK240" s="97"/>
      <c r="AL240" s="98"/>
      <c r="AM240" s="77"/>
      <c r="AN240" s="78"/>
      <c r="AO240" s="97"/>
      <c r="AP240" s="98"/>
      <c r="AQ240" s="77"/>
      <c r="AR240" s="78"/>
      <c r="AS240" s="97"/>
      <c r="AT240" s="98"/>
      <c r="AU240" s="77"/>
      <c r="AV240" s="97"/>
      <c r="AW240" s="97"/>
      <c r="AX240" s="98"/>
      <c r="AY240" s="77"/>
      <c r="AZ240" s="97"/>
      <c r="BA240" s="97"/>
      <c r="BB240" s="98"/>
      <c r="BC240" s="77"/>
      <c r="BD240" s="97"/>
      <c r="BE240" s="97"/>
      <c r="BF240" s="98"/>
      <c r="BG240" s="77"/>
      <c r="BH240" s="97"/>
      <c r="BI240" s="97"/>
      <c r="BJ240" s="98"/>
      <c r="BK240" s="77"/>
      <c r="BL240" s="97"/>
      <c r="BM240" s="97"/>
      <c r="BN240" s="98"/>
      <c r="BO240" s="77"/>
      <c r="BP240" s="97"/>
      <c r="BQ240" s="97"/>
      <c r="BR240" s="98"/>
      <c r="BS240" s="77"/>
      <c r="BT240" s="97"/>
      <c r="BU240" s="97"/>
      <c r="BV240" s="98"/>
      <c r="BW240" s="77"/>
      <c r="BX240" s="97"/>
      <c r="BY240" s="97"/>
      <c r="BZ240" s="98"/>
      <c r="CA240" s="97"/>
      <c r="CB240" s="97"/>
      <c r="CC240" s="97"/>
      <c r="CD240" s="98"/>
      <c r="CE240" s="97"/>
      <c r="CF240" s="97"/>
      <c r="CG240" s="97"/>
      <c r="CH240" s="98"/>
      <c r="CI240" s="97"/>
      <c r="CJ240" s="97"/>
      <c r="CK240" s="97"/>
      <c r="CL240" s="98"/>
      <c r="CM240" s="97"/>
      <c r="CN240" s="97"/>
      <c r="CO240" s="97"/>
      <c r="CP240" s="98"/>
      <c r="CQ240" s="97"/>
      <c r="CR240" s="97"/>
      <c r="CS240" s="97"/>
      <c r="CT240" s="98"/>
      <c r="CU240" s="97"/>
      <c r="CV240" s="97"/>
      <c r="CW240" s="97"/>
      <c r="CX240" s="98"/>
      <c r="CY240" s="97"/>
      <c r="CZ240" s="97"/>
      <c r="DA240" s="97"/>
      <c r="DB240" s="98"/>
      <c r="DC240" s="75"/>
      <c r="DD240" s="97"/>
      <c r="DE240" s="97"/>
      <c r="DF240" s="98"/>
      <c r="DG240" s="75"/>
      <c r="DH240" s="78"/>
      <c r="DI240" s="99"/>
      <c r="DJ240" s="98"/>
      <c r="DL240" s="40"/>
      <c r="DM240" s="36"/>
      <c r="DN240" s="36"/>
      <c r="DO240" s="36"/>
      <c r="DP240" s="36"/>
      <c r="DQ240" s="100"/>
      <c r="DR240" s="36"/>
      <c r="DS240" s="100"/>
      <c r="DT240" s="36"/>
      <c r="DU240" s="36"/>
      <c r="DV240" s="41"/>
    </row>
    <row r="241" spans="10:126">
      <c r="J241" s="96"/>
      <c r="L241" s="75"/>
      <c r="N241" s="75"/>
      <c r="O241" s="75"/>
      <c r="P241" s="72"/>
      <c r="Q241" s="72"/>
      <c r="S241" s="68"/>
      <c r="T241" s="68"/>
      <c r="V241" s="96"/>
      <c r="W241" s="75"/>
      <c r="X241" s="78"/>
      <c r="Y241" s="97"/>
      <c r="Z241" s="98"/>
      <c r="AA241" s="77"/>
      <c r="AB241" s="78"/>
      <c r="AC241" s="97"/>
      <c r="AD241" s="98"/>
      <c r="AE241" s="77"/>
      <c r="AF241" s="78"/>
      <c r="AG241" s="97"/>
      <c r="AH241" s="98"/>
      <c r="AI241" s="77"/>
      <c r="AJ241" s="78"/>
      <c r="AK241" s="97"/>
      <c r="AL241" s="98"/>
      <c r="AM241" s="77"/>
      <c r="AN241" s="78"/>
      <c r="AO241" s="97"/>
      <c r="AP241" s="98"/>
      <c r="AQ241" s="77"/>
      <c r="AR241" s="78"/>
      <c r="AS241" s="97"/>
      <c r="AT241" s="98"/>
      <c r="AU241" s="77"/>
      <c r="AV241" s="97"/>
      <c r="AW241" s="97"/>
      <c r="AX241" s="98"/>
      <c r="AY241" s="77"/>
      <c r="AZ241" s="97"/>
      <c r="BA241" s="97"/>
      <c r="BB241" s="98"/>
      <c r="BC241" s="77"/>
      <c r="BD241" s="97"/>
      <c r="BE241" s="97"/>
      <c r="BF241" s="98"/>
      <c r="BG241" s="77"/>
      <c r="BH241" s="97"/>
      <c r="BI241" s="97"/>
      <c r="BJ241" s="98"/>
      <c r="BK241" s="77"/>
      <c r="BL241" s="97"/>
      <c r="BM241" s="97"/>
      <c r="BN241" s="98"/>
      <c r="BO241" s="77"/>
      <c r="BP241" s="97"/>
      <c r="BQ241" s="97"/>
      <c r="BR241" s="98"/>
      <c r="BS241" s="77"/>
      <c r="BT241" s="97"/>
      <c r="BU241" s="97"/>
      <c r="BV241" s="98"/>
      <c r="BW241" s="77"/>
      <c r="BX241" s="97"/>
      <c r="BY241" s="97"/>
      <c r="BZ241" s="98"/>
      <c r="CA241" s="97"/>
      <c r="CB241" s="97"/>
      <c r="CC241" s="97"/>
      <c r="CD241" s="98"/>
      <c r="CE241" s="97"/>
      <c r="CF241" s="97"/>
      <c r="CG241" s="97"/>
      <c r="CH241" s="98"/>
      <c r="CI241" s="97"/>
      <c r="CJ241" s="97"/>
      <c r="CK241" s="97"/>
      <c r="CL241" s="98"/>
      <c r="CM241" s="97"/>
      <c r="CN241" s="97"/>
      <c r="CO241" s="97"/>
      <c r="CP241" s="98"/>
      <c r="CQ241" s="97"/>
      <c r="CR241" s="97"/>
      <c r="CS241" s="97"/>
      <c r="CT241" s="98"/>
      <c r="CU241" s="97"/>
      <c r="CV241" s="97"/>
      <c r="CW241" s="97"/>
      <c r="CX241" s="98"/>
      <c r="CY241" s="97"/>
      <c r="CZ241" s="97"/>
      <c r="DA241" s="97"/>
      <c r="DB241" s="98"/>
      <c r="DC241" s="75"/>
      <c r="DD241" s="97"/>
      <c r="DE241" s="97"/>
      <c r="DF241" s="98"/>
      <c r="DG241" s="75"/>
      <c r="DH241" s="78"/>
      <c r="DI241" s="99"/>
      <c r="DJ241" s="98"/>
      <c r="DL241" s="40"/>
      <c r="DM241" s="36"/>
      <c r="DN241" s="36"/>
      <c r="DO241" s="36"/>
      <c r="DP241" s="36"/>
      <c r="DQ241" s="100"/>
      <c r="DR241" s="36"/>
      <c r="DS241" s="100"/>
      <c r="DT241" s="36"/>
      <c r="DU241" s="36"/>
      <c r="DV241" s="41"/>
    </row>
    <row r="242" spans="10:126">
      <c r="J242" s="96"/>
      <c r="L242" s="75"/>
      <c r="N242" s="75"/>
      <c r="O242" s="75"/>
      <c r="P242" s="72"/>
      <c r="Q242" s="72"/>
      <c r="S242" s="68"/>
      <c r="T242" s="68"/>
      <c r="V242" s="96"/>
      <c r="W242" s="75"/>
      <c r="X242" s="78"/>
      <c r="Y242" s="97"/>
      <c r="Z242" s="98"/>
      <c r="AA242" s="77"/>
      <c r="AB242" s="78"/>
      <c r="AC242" s="97"/>
      <c r="AD242" s="98"/>
      <c r="AE242" s="77"/>
      <c r="AF242" s="78"/>
      <c r="AG242" s="97"/>
      <c r="AH242" s="98"/>
      <c r="AI242" s="77"/>
      <c r="AJ242" s="78"/>
      <c r="AK242" s="97"/>
      <c r="AL242" s="98"/>
      <c r="AM242" s="77"/>
      <c r="AN242" s="78"/>
      <c r="AO242" s="97"/>
      <c r="AP242" s="98"/>
      <c r="AQ242" s="77"/>
      <c r="AR242" s="78"/>
      <c r="AS242" s="97"/>
      <c r="AT242" s="98"/>
      <c r="AU242" s="77"/>
      <c r="AV242" s="97"/>
      <c r="AW242" s="97"/>
      <c r="AX242" s="98"/>
      <c r="AY242" s="77"/>
      <c r="AZ242" s="97"/>
      <c r="BA242" s="97"/>
      <c r="BB242" s="98"/>
      <c r="BC242" s="77"/>
      <c r="BD242" s="97"/>
      <c r="BE242" s="97"/>
      <c r="BF242" s="98"/>
      <c r="BG242" s="77"/>
      <c r="BH242" s="97"/>
      <c r="BI242" s="97"/>
      <c r="BJ242" s="98"/>
      <c r="BK242" s="77"/>
      <c r="BL242" s="97"/>
      <c r="BM242" s="97"/>
      <c r="BN242" s="98"/>
      <c r="BO242" s="77"/>
      <c r="BP242" s="97"/>
      <c r="BQ242" s="97"/>
      <c r="BR242" s="98"/>
      <c r="BS242" s="77"/>
      <c r="BT242" s="97"/>
      <c r="BU242" s="97"/>
      <c r="BV242" s="98"/>
      <c r="BW242" s="77"/>
      <c r="BX242" s="97"/>
      <c r="BY242" s="97"/>
      <c r="BZ242" s="98"/>
      <c r="CA242" s="97"/>
      <c r="CB242" s="97"/>
      <c r="CC242" s="97"/>
      <c r="CD242" s="98"/>
      <c r="CE242" s="97"/>
      <c r="CF242" s="97"/>
      <c r="CG242" s="97"/>
      <c r="CH242" s="98"/>
      <c r="CI242" s="97"/>
      <c r="CJ242" s="97"/>
      <c r="CK242" s="97"/>
      <c r="CL242" s="98"/>
      <c r="CM242" s="97"/>
      <c r="CN242" s="97"/>
      <c r="CO242" s="97"/>
      <c r="CP242" s="98"/>
      <c r="CQ242" s="97"/>
      <c r="CR242" s="97"/>
      <c r="CS242" s="97"/>
      <c r="CT242" s="98"/>
      <c r="CU242" s="97"/>
      <c r="CV242" s="97"/>
      <c r="CW242" s="97"/>
      <c r="CX242" s="98"/>
      <c r="CY242" s="97"/>
      <c r="CZ242" s="97"/>
      <c r="DA242" s="97"/>
      <c r="DB242" s="98"/>
      <c r="DC242" s="75"/>
      <c r="DD242" s="97"/>
      <c r="DE242" s="97"/>
      <c r="DF242" s="98"/>
      <c r="DG242" s="75"/>
      <c r="DH242" s="78"/>
      <c r="DI242" s="99"/>
      <c r="DJ242" s="98"/>
      <c r="DL242" s="40"/>
      <c r="DM242" s="36"/>
      <c r="DN242" s="36"/>
      <c r="DO242" s="36"/>
      <c r="DP242" s="36"/>
      <c r="DQ242" s="100"/>
      <c r="DR242" s="36"/>
      <c r="DS242" s="100"/>
      <c r="DT242" s="36"/>
      <c r="DU242" s="36"/>
      <c r="DV242" s="41"/>
    </row>
    <row r="243" spans="10:126">
      <c r="J243" s="96"/>
      <c r="L243" s="75"/>
      <c r="N243" s="75"/>
      <c r="O243" s="75"/>
      <c r="P243" s="72"/>
      <c r="Q243" s="72"/>
      <c r="S243" s="68"/>
      <c r="T243" s="68"/>
      <c r="V243" s="96"/>
      <c r="W243" s="75"/>
      <c r="X243" s="78"/>
      <c r="Y243" s="97"/>
      <c r="Z243" s="98"/>
      <c r="AA243" s="77"/>
      <c r="AB243" s="78"/>
      <c r="AC243" s="97"/>
      <c r="AD243" s="98"/>
      <c r="AE243" s="77"/>
      <c r="AF243" s="78"/>
      <c r="AG243" s="97"/>
      <c r="AH243" s="98"/>
      <c r="AI243" s="77"/>
      <c r="AJ243" s="78"/>
      <c r="AK243" s="97"/>
      <c r="AL243" s="98"/>
      <c r="AM243" s="77"/>
      <c r="AN243" s="78"/>
      <c r="AO243" s="97"/>
      <c r="AP243" s="98"/>
      <c r="AQ243" s="77"/>
      <c r="AR243" s="78"/>
      <c r="AS243" s="97"/>
      <c r="AT243" s="98"/>
      <c r="AU243" s="77"/>
      <c r="AV243" s="97"/>
      <c r="AW243" s="97"/>
      <c r="AX243" s="98"/>
      <c r="AY243" s="77"/>
      <c r="AZ243" s="97"/>
      <c r="BA243" s="97"/>
      <c r="BB243" s="98"/>
      <c r="BC243" s="77"/>
      <c r="BD243" s="97"/>
      <c r="BE243" s="97"/>
      <c r="BF243" s="98"/>
      <c r="BG243" s="77"/>
      <c r="BH243" s="97"/>
      <c r="BI243" s="97"/>
      <c r="BJ243" s="98"/>
      <c r="BK243" s="77"/>
      <c r="BL243" s="97"/>
      <c r="BM243" s="97"/>
      <c r="BN243" s="98"/>
      <c r="BO243" s="77"/>
      <c r="BP243" s="97"/>
      <c r="BQ243" s="97"/>
      <c r="BR243" s="98"/>
      <c r="BS243" s="77"/>
      <c r="BT243" s="97"/>
      <c r="BU243" s="97"/>
      <c r="BV243" s="98"/>
      <c r="BW243" s="77"/>
      <c r="BX243" s="97"/>
      <c r="BY243" s="97"/>
      <c r="BZ243" s="98"/>
      <c r="CA243" s="97"/>
      <c r="CB243" s="97"/>
      <c r="CC243" s="97"/>
      <c r="CD243" s="98"/>
      <c r="CE243" s="97"/>
      <c r="CF243" s="97"/>
      <c r="CG243" s="97"/>
      <c r="CH243" s="98"/>
      <c r="CI243" s="97"/>
      <c r="CJ243" s="97"/>
      <c r="CK243" s="97"/>
      <c r="CL243" s="98"/>
      <c r="CM243" s="97"/>
      <c r="CN243" s="97"/>
      <c r="CO243" s="97"/>
      <c r="CP243" s="98"/>
      <c r="CQ243" s="97"/>
      <c r="CR243" s="97"/>
      <c r="CS243" s="97"/>
      <c r="CT243" s="98"/>
      <c r="CU243" s="97"/>
      <c r="CV243" s="97"/>
      <c r="CW243" s="97"/>
      <c r="CX243" s="98"/>
      <c r="CY243" s="97"/>
      <c r="CZ243" s="97"/>
      <c r="DA243" s="97"/>
      <c r="DB243" s="98"/>
      <c r="DC243" s="75"/>
      <c r="DD243" s="97"/>
      <c r="DE243" s="97"/>
      <c r="DF243" s="98"/>
      <c r="DG243" s="75"/>
      <c r="DH243" s="78"/>
      <c r="DI243" s="99"/>
      <c r="DJ243" s="98"/>
      <c r="DL243" s="40"/>
      <c r="DM243" s="36"/>
      <c r="DN243" s="36"/>
      <c r="DO243" s="36"/>
      <c r="DP243" s="36"/>
      <c r="DQ243" s="100"/>
      <c r="DR243" s="36"/>
      <c r="DS243" s="100"/>
      <c r="DT243" s="36"/>
      <c r="DU243" s="36"/>
      <c r="DV243" s="41"/>
    </row>
    <row r="244" spans="10:126">
      <c r="J244" s="96"/>
      <c r="L244" s="75"/>
      <c r="N244" s="75"/>
      <c r="O244" s="75"/>
      <c r="P244" s="72"/>
      <c r="Q244" s="72"/>
      <c r="S244" s="68"/>
      <c r="T244" s="68"/>
      <c r="V244" s="96"/>
      <c r="W244" s="75"/>
      <c r="X244" s="78"/>
      <c r="Y244" s="97"/>
      <c r="Z244" s="98"/>
      <c r="AA244" s="77"/>
      <c r="AB244" s="78"/>
      <c r="AC244" s="97"/>
      <c r="AD244" s="98"/>
      <c r="AE244" s="77"/>
      <c r="AF244" s="78"/>
      <c r="AG244" s="97"/>
      <c r="AH244" s="98"/>
      <c r="AI244" s="77"/>
      <c r="AJ244" s="78"/>
      <c r="AK244" s="97"/>
      <c r="AL244" s="98"/>
      <c r="AM244" s="77"/>
      <c r="AN244" s="78"/>
      <c r="AO244" s="97"/>
      <c r="AP244" s="98"/>
      <c r="AQ244" s="77"/>
      <c r="AR244" s="78"/>
      <c r="AS244" s="97"/>
      <c r="AT244" s="98"/>
      <c r="AU244" s="77"/>
      <c r="AV244" s="97"/>
      <c r="AW244" s="97"/>
      <c r="AX244" s="98"/>
      <c r="AY244" s="77"/>
      <c r="AZ244" s="97"/>
      <c r="BA244" s="97"/>
      <c r="BB244" s="98"/>
      <c r="BC244" s="77"/>
      <c r="BD244" s="97"/>
      <c r="BE244" s="97"/>
      <c r="BF244" s="98"/>
      <c r="BG244" s="77"/>
      <c r="BH244" s="97"/>
      <c r="BI244" s="97"/>
      <c r="BJ244" s="98"/>
      <c r="BK244" s="77"/>
      <c r="BL244" s="97"/>
      <c r="BM244" s="97"/>
      <c r="BN244" s="98"/>
      <c r="BO244" s="77"/>
      <c r="BP244" s="97"/>
      <c r="BQ244" s="97"/>
      <c r="BR244" s="98"/>
      <c r="BS244" s="77"/>
      <c r="BT244" s="97"/>
      <c r="BU244" s="97"/>
      <c r="BV244" s="98"/>
      <c r="BW244" s="77"/>
      <c r="BX244" s="97"/>
      <c r="BY244" s="97"/>
      <c r="BZ244" s="98"/>
      <c r="CA244" s="97"/>
      <c r="CB244" s="97"/>
      <c r="CC244" s="97"/>
      <c r="CD244" s="98"/>
      <c r="CE244" s="97"/>
      <c r="CF244" s="97"/>
      <c r="CG244" s="97"/>
      <c r="CH244" s="98"/>
      <c r="CI244" s="97"/>
      <c r="CJ244" s="97"/>
      <c r="CK244" s="97"/>
      <c r="CL244" s="98"/>
      <c r="CM244" s="97"/>
      <c r="CN244" s="97"/>
      <c r="CO244" s="97"/>
      <c r="CP244" s="98"/>
      <c r="CQ244" s="97"/>
      <c r="CR244" s="97"/>
      <c r="CS244" s="97"/>
      <c r="CT244" s="98"/>
      <c r="CU244" s="97"/>
      <c r="CV244" s="97"/>
      <c r="CW244" s="97"/>
      <c r="CX244" s="98"/>
      <c r="CY244" s="97"/>
      <c r="CZ244" s="97"/>
      <c r="DA244" s="97"/>
      <c r="DB244" s="98"/>
      <c r="DC244" s="75"/>
      <c r="DD244" s="97"/>
      <c r="DE244" s="97"/>
      <c r="DF244" s="98"/>
      <c r="DG244" s="75"/>
      <c r="DH244" s="78"/>
      <c r="DI244" s="99"/>
      <c r="DJ244" s="98"/>
      <c r="DL244" s="40"/>
      <c r="DM244" s="36"/>
      <c r="DN244" s="36"/>
      <c r="DO244" s="36"/>
      <c r="DP244" s="36"/>
      <c r="DQ244" s="100"/>
      <c r="DR244" s="36"/>
      <c r="DS244" s="100"/>
      <c r="DT244" s="36"/>
      <c r="DU244" s="36"/>
      <c r="DV244" s="41"/>
    </row>
    <row r="245" spans="10:126">
      <c r="J245" s="96"/>
      <c r="L245" s="75"/>
      <c r="N245" s="75"/>
      <c r="O245" s="75"/>
      <c r="P245" s="72"/>
      <c r="Q245" s="72"/>
      <c r="S245" s="68"/>
      <c r="T245" s="68"/>
      <c r="V245" s="96"/>
      <c r="W245" s="75"/>
      <c r="X245" s="78"/>
      <c r="Y245" s="97"/>
      <c r="Z245" s="98"/>
      <c r="AA245" s="77"/>
      <c r="AB245" s="78"/>
      <c r="AC245" s="97"/>
      <c r="AD245" s="98"/>
      <c r="AE245" s="77"/>
      <c r="AF245" s="78"/>
      <c r="AG245" s="97"/>
      <c r="AH245" s="98"/>
      <c r="AI245" s="77"/>
      <c r="AJ245" s="78"/>
      <c r="AK245" s="97"/>
      <c r="AL245" s="98"/>
      <c r="AM245" s="77"/>
      <c r="AN245" s="78"/>
      <c r="AO245" s="97"/>
      <c r="AP245" s="98"/>
      <c r="AQ245" s="77"/>
      <c r="AR245" s="78"/>
      <c r="AS245" s="97"/>
      <c r="AT245" s="98"/>
      <c r="AU245" s="77"/>
      <c r="AV245" s="97"/>
      <c r="AW245" s="97"/>
      <c r="AX245" s="98"/>
      <c r="AY245" s="77"/>
      <c r="AZ245" s="97"/>
      <c r="BA245" s="97"/>
      <c r="BB245" s="98"/>
      <c r="BC245" s="77"/>
      <c r="BD245" s="97"/>
      <c r="BE245" s="97"/>
      <c r="BF245" s="98"/>
      <c r="BG245" s="77"/>
      <c r="BH245" s="97"/>
      <c r="BI245" s="97"/>
      <c r="BJ245" s="98"/>
      <c r="BK245" s="77"/>
      <c r="BL245" s="97"/>
      <c r="BM245" s="97"/>
      <c r="BN245" s="98"/>
      <c r="BO245" s="77"/>
      <c r="BP245" s="97"/>
      <c r="BQ245" s="97"/>
      <c r="BR245" s="98"/>
      <c r="BS245" s="77"/>
      <c r="BT245" s="97"/>
      <c r="BU245" s="97"/>
      <c r="BV245" s="98"/>
      <c r="BW245" s="77"/>
      <c r="BX245" s="97"/>
      <c r="BY245" s="97"/>
      <c r="BZ245" s="98"/>
      <c r="CA245" s="97"/>
      <c r="CB245" s="97"/>
      <c r="CC245" s="97"/>
      <c r="CD245" s="98"/>
      <c r="CE245" s="97"/>
      <c r="CF245" s="97"/>
      <c r="CG245" s="97"/>
      <c r="CH245" s="98"/>
      <c r="CI245" s="97"/>
      <c r="CJ245" s="97"/>
      <c r="CK245" s="97"/>
      <c r="CL245" s="98"/>
      <c r="CM245" s="97"/>
      <c r="CN245" s="97"/>
      <c r="CO245" s="97"/>
      <c r="CP245" s="98"/>
      <c r="CQ245" s="97"/>
      <c r="CR245" s="97"/>
      <c r="CS245" s="97"/>
      <c r="CT245" s="98"/>
      <c r="CU245" s="97"/>
      <c r="CV245" s="97"/>
      <c r="CW245" s="97"/>
      <c r="CX245" s="98"/>
      <c r="CY245" s="97"/>
      <c r="CZ245" s="97"/>
      <c r="DA245" s="97"/>
      <c r="DB245" s="98"/>
      <c r="DC245" s="75"/>
      <c r="DD245" s="97"/>
      <c r="DE245" s="97"/>
      <c r="DF245" s="98"/>
      <c r="DG245" s="75"/>
      <c r="DH245" s="78"/>
      <c r="DI245" s="99"/>
      <c r="DJ245" s="98"/>
      <c r="DL245" s="40"/>
      <c r="DM245" s="36"/>
      <c r="DN245" s="36"/>
      <c r="DO245" s="36"/>
      <c r="DP245" s="36"/>
      <c r="DQ245" s="100"/>
      <c r="DR245" s="36"/>
      <c r="DS245" s="100"/>
      <c r="DT245" s="36"/>
      <c r="DU245" s="36"/>
      <c r="DV245" s="41"/>
    </row>
    <row r="246" spans="10:126">
      <c r="J246" s="96"/>
      <c r="L246" s="75"/>
      <c r="N246" s="75"/>
      <c r="O246" s="75"/>
      <c r="P246" s="72"/>
      <c r="Q246" s="72"/>
      <c r="S246" s="68"/>
      <c r="T246" s="68"/>
      <c r="V246" s="96"/>
      <c r="W246" s="75"/>
      <c r="X246" s="78"/>
      <c r="Y246" s="97"/>
      <c r="Z246" s="98"/>
      <c r="AA246" s="77"/>
      <c r="AB246" s="78"/>
      <c r="AC246" s="97"/>
      <c r="AD246" s="98"/>
      <c r="AE246" s="77"/>
      <c r="AF246" s="78"/>
      <c r="AG246" s="97"/>
      <c r="AH246" s="98"/>
      <c r="AI246" s="77"/>
      <c r="AJ246" s="78"/>
      <c r="AK246" s="97"/>
      <c r="AL246" s="98"/>
      <c r="AM246" s="77"/>
      <c r="AN246" s="78"/>
      <c r="AO246" s="97"/>
      <c r="AP246" s="98"/>
      <c r="AQ246" s="77"/>
      <c r="AR246" s="78"/>
      <c r="AS246" s="97"/>
      <c r="AT246" s="98"/>
      <c r="AU246" s="77"/>
      <c r="AV246" s="97"/>
      <c r="AW246" s="97"/>
      <c r="AX246" s="98"/>
      <c r="AY246" s="77"/>
      <c r="AZ246" s="97"/>
      <c r="BA246" s="97"/>
      <c r="BB246" s="98"/>
      <c r="BC246" s="77"/>
      <c r="BD246" s="97"/>
      <c r="BE246" s="97"/>
      <c r="BF246" s="98"/>
      <c r="BG246" s="77"/>
      <c r="BH246" s="97"/>
      <c r="BI246" s="97"/>
      <c r="BJ246" s="98"/>
      <c r="BK246" s="77"/>
      <c r="BL246" s="97"/>
      <c r="BM246" s="97"/>
      <c r="BN246" s="98"/>
      <c r="BO246" s="77"/>
      <c r="BP246" s="97"/>
      <c r="BQ246" s="97"/>
      <c r="BR246" s="98"/>
      <c r="BS246" s="77"/>
      <c r="BT246" s="97"/>
      <c r="BU246" s="97"/>
      <c r="BV246" s="98"/>
      <c r="BW246" s="77"/>
      <c r="BX246" s="97"/>
      <c r="BY246" s="97"/>
      <c r="BZ246" s="98"/>
      <c r="CA246" s="97"/>
      <c r="CB246" s="97"/>
      <c r="CC246" s="97"/>
      <c r="CD246" s="98"/>
      <c r="CE246" s="97"/>
      <c r="CF246" s="97"/>
      <c r="CG246" s="97"/>
      <c r="CH246" s="98"/>
      <c r="CI246" s="97"/>
      <c r="CJ246" s="97"/>
      <c r="CK246" s="97"/>
      <c r="CL246" s="98"/>
      <c r="CM246" s="97"/>
      <c r="CN246" s="97"/>
      <c r="CO246" s="97"/>
      <c r="CP246" s="98"/>
      <c r="CQ246" s="97"/>
      <c r="CR246" s="97"/>
      <c r="CS246" s="97"/>
      <c r="CT246" s="98"/>
      <c r="CU246" s="97"/>
      <c r="CV246" s="97"/>
      <c r="CW246" s="97"/>
      <c r="CX246" s="98"/>
      <c r="CY246" s="97"/>
      <c r="CZ246" s="97"/>
      <c r="DA246" s="97"/>
      <c r="DB246" s="98"/>
      <c r="DC246" s="75"/>
      <c r="DD246" s="97"/>
      <c r="DE246" s="97"/>
      <c r="DF246" s="98"/>
      <c r="DG246" s="75"/>
      <c r="DH246" s="78"/>
      <c r="DI246" s="99"/>
      <c r="DJ246" s="98"/>
      <c r="DL246" s="40"/>
      <c r="DM246" s="36"/>
      <c r="DN246" s="36"/>
      <c r="DO246" s="36"/>
      <c r="DP246" s="36"/>
      <c r="DQ246" s="100"/>
      <c r="DR246" s="36"/>
      <c r="DS246" s="100"/>
      <c r="DT246" s="36"/>
      <c r="DU246" s="36"/>
      <c r="DV246" s="41"/>
    </row>
    <row r="247" spans="10:126">
      <c r="J247" s="96"/>
      <c r="L247" s="75"/>
      <c r="N247" s="75"/>
      <c r="O247" s="75"/>
      <c r="P247" s="72"/>
      <c r="Q247" s="72"/>
      <c r="S247" s="68"/>
      <c r="T247" s="68"/>
      <c r="V247" s="96"/>
      <c r="W247" s="75"/>
      <c r="X247" s="78"/>
      <c r="Y247" s="97"/>
      <c r="Z247" s="98"/>
      <c r="AA247" s="77"/>
      <c r="AB247" s="78"/>
      <c r="AC247" s="97"/>
      <c r="AD247" s="98"/>
      <c r="AE247" s="77"/>
      <c r="AF247" s="78"/>
      <c r="AG247" s="97"/>
      <c r="AH247" s="98"/>
      <c r="AI247" s="77"/>
      <c r="AJ247" s="78"/>
      <c r="AK247" s="97"/>
      <c r="AL247" s="98"/>
      <c r="AM247" s="77"/>
      <c r="AN247" s="78"/>
      <c r="AO247" s="97"/>
      <c r="AP247" s="98"/>
      <c r="AQ247" s="77"/>
      <c r="AR247" s="78"/>
      <c r="AS247" s="97"/>
      <c r="AT247" s="98"/>
      <c r="AU247" s="77"/>
      <c r="AV247" s="97"/>
      <c r="AW247" s="97"/>
      <c r="AX247" s="98"/>
      <c r="AY247" s="77"/>
      <c r="AZ247" s="97"/>
      <c r="BA247" s="97"/>
      <c r="BB247" s="98"/>
      <c r="BC247" s="77"/>
      <c r="BD247" s="97"/>
      <c r="BE247" s="97"/>
      <c r="BF247" s="98"/>
      <c r="BG247" s="77"/>
      <c r="BH247" s="97"/>
      <c r="BI247" s="97"/>
      <c r="BJ247" s="98"/>
      <c r="BK247" s="77"/>
      <c r="BL247" s="97"/>
      <c r="BM247" s="97"/>
      <c r="BN247" s="98"/>
      <c r="BO247" s="77"/>
      <c r="BP247" s="97"/>
      <c r="BQ247" s="97"/>
      <c r="BR247" s="98"/>
      <c r="BS247" s="77"/>
      <c r="BT247" s="97"/>
      <c r="BU247" s="97"/>
      <c r="BV247" s="98"/>
      <c r="BW247" s="77"/>
      <c r="BX247" s="97"/>
      <c r="BY247" s="97"/>
      <c r="BZ247" s="98"/>
      <c r="CA247" s="97"/>
      <c r="CB247" s="97"/>
      <c r="CC247" s="97"/>
      <c r="CD247" s="98"/>
      <c r="CE247" s="97"/>
      <c r="CF247" s="97"/>
      <c r="CG247" s="97"/>
      <c r="CH247" s="98"/>
      <c r="CI247" s="97"/>
      <c r="CJ247" s="97"/>
      <c r="CK247" s="97"/>
      <c r="CL247" s="98"/>
      <c r="CM247" s="97"/>
      <c r="CN247" s="97"/>
      <c r="CO247" s="97"/>
      <c r="CP247" s="98"/>
      <c r="CQ247" s="97"/>
      <c r="CR247" s="97"/>
      <c r="CS247" s="97"/>
      <c r="CT247" s="98"/>
      <c r="CU247" s="97"/>
      <c r="CV247" s="97"/>
      <c r="CW247" s="97"/>
      <c r="CX247" s="98"/>
      <c r="CY247" s="97"/>
      <c r="CZ247" s="97"/>
      <c r="DA247" s="97"/>
      <c r="DB247" s="98"/>
      <c r="DC247" s="75"/>
      <c r="DD247" s="97"/>
      <c r="DE247" s="97"/>
      <c r="DF247" s="98"/>
      <c r="DG247" s="75"/>
      <c r="DH247" s="78"/>
      <c r="DI247" s="99"/>
      <c r="DJ247" s="98"/>
      <c r="DL247" s="40"/>
      <c r="DM247" s="36"/>
      <c r="DN247" s="36"/>
      <c r="DO247" s="36"/>
      <c r="DP247" s="36"/>
      <c r="DQ247" s="100"/>
      <c r="DR247" s="36"/>
      <c r="DS247" s="100"/>
      <c r="DT247" s="36"/>
      <c r="DU247" s="36"/>
      <c r="DV247" s="41"/>
    </row>
    <row r="248" spans="10:126">
      <c r="J248" s="96"/>
      <c r="L248" s="75"/>
      <c r="N248" s="75"/>
      <c r="O248" s="75"/>
      <c r="P248" s="72"/>
      <c r="Q248" s="72"/>
      <c r="S248" s="68"/>
      <c r="T248" s="68"/>
      <c r="V248" s="96"/>
      <c r="W248" s="75"/>
      <c r="X248" s="78"/>
      <c r="Y248" s="97"/>
      <c r="Z248" s="98"/>
      <c r="AA248" s="77"/>
      <c r="AB248" s="78"/>
      <c r="AC248" s="97"/>
      <c r="AD248" s="98"/>
      <c r="AE248" s="77"/>
      <c r="AF248" s="78"/>
      <c r="AG248" s="97"/>
      <c r="AH248" s="98"/>
      <c r="AI248" s="77"/>
      <c r="AJ248" s="78"/>
      <c r="AK248" s="97"/>
      <c r="AL248" s="98"/>
      <c r="AM248" s="77"/>
      <c r="AN248" s="78"/>
      <c r="AO248" s="97"/>
      <c r="AP248" s="98"/>
      <c r="AQ248" s="77"/>
      <c r="AR248" s="78"/>
      <c r="AS248" s="97"/>
      <c r="AT248" s="98"/>
      <c r="AU248" s="77"/>
      <c r="AV248" s="97"/>
      <c r="AW248" s="97"/>
      <c r="AX248" s="98"/>
      <c r="AY248" s="77"/>
      <c r="AZ248" s="97"/>
      <c r="BA248" s="97"/>
      <c r="BB248" s="98"/>
      <c r="BC248" s="77"/>
      <c r="BD248" s="97"/>
      <c r="BE248" s="97"/>
      <c r="BF248" s="98"/>
      <c r="BG248" s="77"/>
      <c r="BH248" s="97"/>
      <c r="BI248" s="97"/>
      <c r="BJ248" s="98"/>
      <c r="BK248" s="77"/>
      <c r="BL248" s="97"/>
      <c r="BM248" s="97"/>
      <c r="BN248" s="98"/>
      <c r="BO248" s="77"/>
      <c r="BP248" s="97"/>
      <c r="BQ248" s="97"/>
      <c r="BR248" s="98"/>
      <c r="BS248" s="77"/>
      <c r="BT248" s="97"/>
      <c r="BU248" s="97"/>
      <c r="BV248" s="98"/>
      <c r="BW248" s="77"/>
      <c r="BX248" s="97"/>
      <c r="BY248" s="97"/>
      <c r="BZ248" s="98"/>
      <c r="CA248" s="97"/>
      <c r="CB248" s="97"/>
      <c r="CC248" s="97"/>
      <c r="CD248" s="98"/>
      <c r="CE248" s="97"/>
      <c r="CF248" s="97"/>
      <c r="CG248" s="97"/>
      <c r="CH248" s="98"/>
      <c r="CI248" s="97"/>
      <c r="CJ248" s="97"/>
      <c r="CK248" s="97"/>
      <c r="CL248" s="98"/>
      <c r="CM248" s="97"/>
      <c r="CN248" s="97"/>
      <c r="CO248" s="97"/>
      <c r="CP248" s="98"/>
      <c r="CQ248" s="97"/>
      <c r="CR248" s="97"/>
      <c r="CS248" s="97"/>
      <c r="CT248" s="98"/>
      <c r="CU248" s="97"/>
      <c r="CV248" s="97"/>
      <c r="CW248" s="97"/>
      <c r="CX248" s="98"/>
      <c r="CY248" s="97"/>
      <c r="CZ248" s="97"/>
      <c r="DA248" s="97"/>
      <c r="DB248" s="98"/>
      <c r="DC248" s="75"/>
      <c r="DD248" s="97"/>
      <c r="DE248" s="97"/>
      <c r="DF248" s="98"/>
      <c r="DG248" s="75"/>
      <c r="DH248" s="78"/>
      <c r="DI248" s="99"/>
      <c r="DJ248" s="98"/>
      <c r="DL248" s="40"/>
      <c r="DM248" s="36"/>
      <c r="DN248" s="36"/>
      <c r="DO248" s="36"/>
      <c r="DP248" s="36"/>
      <c r="DQ248" s="100"/>
      <c r="DR248" s="36"/>
      <c r="DS248" s="100"/>
      <c r="DT248" s="36"/>
      <c r="DU248" s="36"/>
      <c r="DV248" s="41"/>
    </row>
    <row r="249" spans="10:126">
      <c r="J249" s="96"/>
      <c r="L249" s="75"/>
      <c r="N249" s="75"/>
      <c r="O249" s="75"/>
      <c r="P249" s="72"/>
      <c r="Q249" s="72"/>
      <c r="S249" s="68"/>
      <c r="T249" s="68"/>
      <c r="V249" s="96"/>
      <c r="W249" s="75"/>
      <c r="X249" s="78"/>
      <c r="Y249" s="97"/>
      <c r="Z249" s="98"/>
      <c r="AA249" s="77"/>
      <c r="AB249" s="78"/>
      <c r="AC249" s="97"/>
      <c r="AD249" s="98"/>
      <c r="AE249" s="77"/>
      <c r="AF249" s="78"/>
      <c r="AG249" s="97"/>
      <c r="AH249" s="98"/>
      <c r="AI249" s="77"/>
      <c r="AJ249" s="78"/>
      <c r="AK249" s="97"/>
      <c r="AL249" s="98"/>
      <c r="AM249" s="77"/>
      <c r="AN249" s="78"/>
      <c r="AO249" s="97"/>
      <c r="AP249" s="98"/>
      <c r="AQ249" s="77"/>
      <c r="AR249" s="78"/>
      <c r="AS249" s="97"/>
      <c r="AT249" s="98"/>
      <c r="AU249" s="77"/>
      <c r="AV249" s="97"/>
      <c r="AW249" s="97"/>
      <c r="AX249" s="98"/>
      <c r="AY249" s="77"/>
      <c r="AZ249" s="97"/>
      <c r="BA249" s="97"/>
      <c r="BB249" s="98"/>
      <c r="BC249" s="77"/>
      <c r="BD249" s="97"/>
      <c r="BE249" s="97"/>
      <c r="BF249" s="98"/>
      <c r="BG249" s="77"/>
      <c r="BH249" s="97"/>
      <c r="BI249" s="97"/>
      <c r="BJ249" s="98"/>
      <c r="BK249" s="77"/>
      <c r="BL249" s="97"/>
      <c r="BM249" s="97"/>
      <c r="BN249" s="98"/>
      <c r="BO249" s="77"/>
      <c r="BP249" s="97"/>
      <c r="BQ249" s="97"/>
      <c r="BR249" s="98"/>
      <c r="BS249" s="77"/>
      <c r="BT249" s="97"/>
      <c r="BU249" s="97"/>
      <c r="BV249" s="98"/>
      <c r="BW249" s="77"/>
      <c r="BX249" s="97"/>
      <c r="BY249" s="97"/>
      <c r="BZ249" s="98"/>
      <c r="CA249" s="97"/>
      <c r="CB249" s="97"/>
      <c r="CC249" s="97"/>
      <c r="CD249" s="98"/>
      <c r="CE249" s="97"/>
      <c r="CF249" s="97"/>
      <c r="CG249" s="97"/>
      <c r="CH249" s="98"/>
      <c r="CI249" s="97"/>
      <c r="CJ249" s="97"/>
      <c r="CK249" s="97"/>
      <c r="CL249" s="98"/>
      <c r="CM249" s="97"/>
      <c r="CN249" s="97"/>
      <c r="CO249" s="97"/>
      <c r="CP249" s="98"/>
      <c r="CQ249" s="97"/>
      <c r="CR249" s="97"/>
      <c r="CS249" s="97"/>
      <c r="CT249" s="98"/>
      <c r="CU249" s="97"/>
      <c r="CV249" s="97"/>
      <c r="CW249" s="97"/>
      <c r="CX249" s="98"/>
      <c r="CY249" s="97"/>
      <c r="CZ249" s="97"/>
      <c r="DA249" s="97"/>
      <c r="DB249" s="98"/>
      <c r="DC249" s="75"/>
      <c r="DD249" s="97"/>
      <c r="DE249" s="97"/>
      <c r="DF249" s="98"/>
      <c r="DG249" s="75"/>
      <c r="DH249" s="78"/>
      <c r="DI249" s="99"/>
      <c r="DJ249" s="98"/>
      <c r="DL249" s="40"/>
      <c r="DM249" s="36"/>
      <c r="DN249" s="36"/>
      <c r="DO249" s="36"/>
      <c r="DP249" s="36"/>
      <c r="DQ249" s="100"/>
      <c r="DR249" s="36"/>
      <c r="DS249" s="100"/>
      <c r="DT249" s="36"/>
      <c r="DU249" s="36"/>
      <c r="DV249" s="41"/>
    </row>
    <row r="250" spans="10:126">
      <c r="J250" s="96"/>
      <c r="L250" s="75"/>
      <c r="N250" s="75"/>
      <c r="O250" s="75"/>
      <c r="P250" s="72"/>
      <c r="Q250" s="72"/>
      <c r="S250" s="68"/>
      <c r="T250" s="68"/>
      <c r="V250" s="96"/>
      <c r="W250" s="75"/>
      <c r="X250" s="78"/>
      <c r="Y250" s="97"/>
      <c r="Z250" s="98"/>
      <c r="AA250" s="77"/>
      <c r="AB250" s="78"/>
      <c r="AC250" s="97"/>
      <c r="AD250" s="98"/>
      <c r="AE250" s="77"/>
      <c r="AF250" s="78"/>
      <c r="AG250" s="97"/>
      <c r="AH250" s="98"/>
      <c r="AI250" s="77"/>
      <c r="AJ250" s="78"/>
      <c r="AK250" s="97"/>
      <c r="AL250" s="98"/>
      <c r="AM250" s="77"/>
      <c r="AN250" s="78"/>
      <c r="AO250" s="97"/>
      <c r="AP250" s="98"/>
      <c r="AQ250" s="77"/>
      <c r="AR250" s="78"/>
      <c r="AS250" s="97"/>
      <c r="AT250" s="98"/>
      <c r="AU250" s="77"/>
      <c r="AV250" s="97"/>
      <c r="AW250" s="97"/>
      <c r="AX250" s="98"/>
      <c r="AY250" s="77"/>
      <c r="AZ250" s="97"/>
      <c r="BA250" s="97"/>
      <c r="BB250" s="98"/>
      <c r="BC250" s="77"/>
      <c r="BD250" s="97"/>
      <c r="BE250" s="97"/>
      <c r="BF250" s="98"/>
      <c r="BG250" s="77"/>
      <c r="BH250" s="97"/>
      <c r="BI250" s="97"/>
      <c r="BJ250" s="98"/>
      <c r="BK250" s="77"/>
      <c r="BL250" s="97"/>
      <c r="BM250" s="97"/>
      <c r="BN250" s="98"/>
      <c r="BO250" s="77"/>
      <c r="BP250" s="97"/>
      <c r="BQ250" s="97"/>
      <c r="BR250" s="98"/>
      <c r="BS250" s="77"/>
      <c r="BT250" s="97"/>
      <c r="BU250" s="97"/>
      <c r="BV250" s="98"/>
      <c r="BW250" s="77"/>
      <c r="BX250" s="97"/>
      <c r="BY250" s="97"/>
      <c r="BZ250" s="98"/>
      <c r="CA250" s="97"/>
      <c r="CB250" s="97"/>
      <c r="CC250" s="97"/>
      <c r="CD250" s="98"/>
      <c r="CE250" s="97"/>
      <c r="CF250" s="97"/>
      <c r="CG250" s="97"/>
      <c r="CH250" s="98"/>
      <c r="CI250" s="97"/>
      <c r="CJ250" s="97"/>
      <c r="CK250" s="97"/>
      <c r="CL250" s="98"/>
      <c r="CM250" s="97"/>
      <c r="CN250" s="97"/>
      <c r="CO250" s="97"/>
      <c r="CP250" s="98"/>
      <c r="CQ250" s="97"/>
      <c r="CR250" s="97"/>
      <c r="CS250" s="97"/>
      <c r="CT250" s="98"/>
      <c r="CU250" s="97"/>
      <c r="CV250" s="97"/>
      <c r="CW250" s="97"/>
      <c r="CX250" s="98"/>
      <c r="CY250" s="97"/>
      <c r="CZ250" s="97"/>
      <c r="DA250" s="97"/>
      <c r="DB250" s="98"/>
      <c r="DC250" s="75"/>
      <c r="DD250" s="97"/>
      <c r="DE250" s="97"/>
      <c r="DF250" s="98"/>
      <c r="DG250" s="75"/>
      <c r="DH250" s="78"/>
      <c r="DI250" s="99"/>
      <c r="DJ250" s="98"/>
      <c r="DL250" s="40"/>
      <c r="DM250" s="36"/>
      <c r="DN250" s="36"/>
      <c r="DO250" s="36"/>
      <c r="DP250" s="36"/>
      <c r="DQ250" s="100"/>
      <c r="DR250" s="36"/>
      <c r="DS250" s="100"/>
      <c r="DT250" s="36"/>
      <c r="DU250" s="36"/>
      <c r="DV250" s="41"/>
    </row>
    <row r="251" spans="10:126">
      <c r="J251" s="96"/>
      <c r="L251" s="75"/>
      <c r="N251" s="75"/>
      <c r="O251" s="75"/>
      <c r="P251" s="72"/>
      <c r="Q251" s="72"/>
      <c r="S251" s="68"/>
      <c r="T251" s="68"/>
      <c r="V251" s="96"/>
      <c r="W251" s="75"/>
      <c r="X251" s="78"/>
      <c r="Y251" s="97"/>
      <c r="Z251" s="98"/>
      <c r="AA251" s="77"/>
      <c r="AB251" s="78"/>
      <c r="AC251" s="97"/>
      <c r="AD251" s="98"/>
      <c r="AE251" s="77"/>
      <c r="AF251" s="78"/>
      <c r="AG251" s="97"/>
      <c r="AH251" s="98"/>
      <c r="AI251" s="77"/>
      <c r="AJ251" s="78"/>
      <c r="AK251" s="97"/>
      <c r="AL251" s="98"/>
      <c r="AM251" s="77"/>
      <c r="AN251" s="78"/>
      <c r="AO251" s="97"/>
      <c r="AP251" s="98"/>
      <c r="AQ251" s="77"/>
      <c r="AR251" s="78"/>
      <c r="AS251" s="97"/>
      <c r="AT251" s="98"/>
      <c r="AU251" s="77"/>
      <c r="AV251" s="97"/>
      <c r="AW251" s="97"/>
      <c r="AX251" s="98"/>
      <c r="AY251" s="77"/>
      <c r="AZ251" s="97"/>
      <c r="BA251" s="97"/>
      <c r="BB251" s="98"/>
      <c r="BC251" s="77"/>
      <c r="BD251" s="97"/>
      <c r="BE251" s="97"/>
      <c r="BF251" s="98"/>
      <c r="BG251" s="77"/>
      <c r="BH251" s="97"/>
      <c r="BI251" s="97"/>
      <c r="BJ251" s="98"/>
      <c r="BK251" s="77"/>
      <c r="BL251" s="97"/>
      <c r="BM251" s="97"/>
      <c r="BN251" s="98"/>
      <c r="BO251" s="77"/>
      <c r="BP251" s="97"/>
      <c r="BQ251" s="97"/>
      <c r="BR251" s="98"/>
      <c r="BS251" s="77"/>
      <c r="BT251" s="97"/>
      <c r="BU251" s="97"/>
      <c r="BV251" s="98"/>
      <c r="BW251" s="77"/>
      <c r="BX251" s="97"/>
      <c r="BY251" s="97"/>
      <c r="BZ251" s="98"/>
      <c r="CA251" s="97"/>
      <c r="CB251" s="97"/>
      <c r="CC251" s="97"/>
      <c r="CD251" s="98"/>
      <c r="CE251" s="97"/>
      <c r="CF251" s="97"/>
      <c r="CG251" s="97"/>
      <c r="CH251" s="98"/>
      <c r="CI251" s="97"/>
      <c r="CJ251" s="97"/>
      <c r="CK251" s="97"/>
      <c r="CL251" s="98"/>
      <c r="CM251" s="97"/>
      <c r="CN251" s="97"/>
      <c r="CO251" s="97"/>
      <c r="CP251" s="98"/>
      <c r="CQ251" s="97"/>
      <c r="CR251" s="97"/>
      <c r="CS251" s="97"/>
      <c r="CT251" s="98"/>
      <c r="CU251" s="97"/>
      <c r="CV251" s="97"/>
      <c r="CW251" s="97"/>
      <c r="CX251" s="98"/>
      <c r="CY251" s="97"/>
      <c r="CZ251" s="97"/>
      <c r="DA251" s="97"/>
      <c r="DB251" s="98"/>
      <c r="DC251" s="75"/>
      <c r="DD251" s="97"/>
      <c r="DE251" s="97"/>
      <c r="DF251" s="98"/>
      <c r="DG251" s="75"/>
      <c r="DH251" s="78"/>
      <c r="DI251" s="99"/>
      <c r="DJ251" s="98"/>
      <c r="DL251" s="40"/>
      <c r="DM251" s="36"/>
      <c r="DN251" s="36"/>
      <c r="DO251" s="36"/>
      <c r="DP251" s="36"/>
      <c r="DQ251" s="100"/>
      <c r="DR251" s="36"/>
      <c r="DS251" s="100"/>
      <c r="DT251" s="36"/>
      <c r="DU251" s="36"/>
      <c r="DV251" s="41"/>
    </row>
    <row r="252" spans="10:126">
      <c r="J252" s="96"/>
      <c r="L252" s="75"/>
      <c r="N252" s="75"/>
      <c r="O252" s="75"/>
      <c r="P252" s="72"/>
      <c r="Q252" s="72"/>
      <c r="S252" s="68"/>
      <c r="T252" s="68"/>
      <c r="V252" s="96"/>
      <c r="W252" s="75"/>
      <c r="X252" s="78"/>
      <c r="Y252" s="97"/>
      <c r="Z252" s="98"/>
      <c r="AA252" s="77"/>
      <c r="AB252" s="78"/>
      <c r="AC252" s="97"/>
      <c r="AD252" s="98"/>
      <c r="AE252" s="77"/>
      <c r="AF252" s="78"/>
      <c r="AG252" s="97"/>
      <c r="AH252" s="98"/>
      <c r="AI252" s="77"/>
      <c r="AJ252" s="78"/>
      <c r="AK252" s="97"/>
      <c r="AL252" s="98"/>
      <c r="AM252" s="77"/>
      <c r="AN252" s="78"/>
      <c r="AO252" s="97"/>
      <c r="AP252" s="98"/>
      <c r="AQ252" s="77"/>
      <c r="AR252" s="78"/>
      <c r="AS252" s="97"/>
      <c r="AT252" s="98"/>
      <c r="AU252" s="77"/>
      <c r="AV252" s="97"/>
      <c r="AW252" s="97"/>
      <c r="AX252" s="98"/>
      <c r="AY252" s="77"/>
      <c r="AZ252" s="97"/>
      <c r="BA252" s="97"/>
      <c r="BB252" s="98"/>
      <c r="BC252" s="77"/>
      <c r="BD252" s="97"/>
      <c r="BE252" s="97"/>
      <c r="BF252" s="98"/>
      <c r="BG252" s="77"/>
      <c r="BH252" s="97"/>
      <c r="BI252" s="97"/>
      <c r="BJ252" s="98"/>
      <c r="BK252" s="77"/>
      <c r="BL252" s="97"/>
      <c r="BM252" s="97"/>
      <c r="BN252" s="98"/>
      <c r="BO252" s="77"/>
      <c r="BP252" s="97"/>
      <c r="BQ252" s="97"/>
      <c r="BR252" s="98"/>
      <c r="BS252" s="77"/>
      <c r="BT252" s="97"/>
      <c r="BU252" s="97"/>
      <c r="BV252" s="98"/>
      <c r="BW252" s="77"/>
      <c r="BX252" s="97"/>
      <c r="BY252" s="97"/>
      <c r="BZ252" s="98"/>
      <c r="CA252" s="97"/>
      <c r="CB252" s="97"/>
      <c r="CC252" s="97"/>
      <c r="CD252" s="98"/>
      <c r="CE252" s="97"/>
      <c r="CF252" s="97"/>
      <c r="CG252" s="97"/>
      <c r="CH252" s="98"/>
      <c r="CI252" s="97"/>
      <c r="CJ252" s="97"/>
      <c r="CK252" s="97"/>
      <c r="CL252" s="98"/>
      <c r="CM252" s="97"/>
      <c r="CN252" s="97"/>
      <c r="CO252" s="97"/>
      <c r="CP252" s="98"/>
      <c r="CQ252" s="97"/>
      <c r="CR252" s="97"/>
      <c r="CS252" s="97"/>
      <c r="CT252" s="98"/>
      <c r="CU252" s="97"/>
      <c r="CV252" s="97"/>
      <c r="CW252" s="97"/>
      <c r="CX252" s="98"/>
      <c r="CY252" s="97"/>
      <c r="CZ252" s="97"/>
      <c r="DA252" s="97"/>
      <c r="DB252" s="98"/>
      <c r="DC252" s="75"/>
      <c r="DD252" s="97"/>
      <c r="DE252" s="97"/>
      <c r="DF252" s="98"/>
      <c r="DG252" s="75"/>
      <c r="DH252" s="78"/>
      <c r="DI252" s="99"/>
      <c r="DJ252" s="98"/>
      <c r="DL252" s="40"/>
      <c r="DM252" s="36"/>
      <c r="DN252" s="36"/>
      <c r="DO252" s="36"/>
      <c r="DP252" s="36"/>
      <c r="DQ252" s="100"/>
      <c r="DR252" s="36"/>
      <c r="DS252" s="100"/>
      <c r="DT252" s="36"/>
      <c r="DU252" s="36"/>
      <c r="DV252" s="41"/>
    </row>
    <row r="253" spans="10:126">
      <c r="J253" s="96"/>
      <c r="L253" s="75"/>
      <c r="N253" s="75"/>
      <c r="O253" s="75"/>
      <c r="P253" s="72"/>
      <c r="Q253" s="72"/>
      <c r="S253" s="68"/>
      <c r="T253" s="68"/>
      <c r="V253" s="96"/>
      <c r="W253" s="75"/>
      <c r="X253" s="78"/>
      <c r="Y253" s="97"/>
      <c r="Z253" s="98"/>
      <c r="AA253" s="77"/>
      <c r="AB253" s="78"/>
      <c r="AC253" s="97"/>
      <c r="AD253" s="98"/>
      <c r="AE253" s="77"/>
      <c r="AF253" s="78"/>
      <c r="AG253" s="97"/>
      <c r="AH253" s="98"/>
      <c r="AI253" s="77"/>
      <c r="AJ253" s="78"/>
      <c r="AK253" s="97"/>
      <c r="AL253" s="98"/>
      <c r="AM253" s="77"/>
      <c r="AN253" s="78"/>
      <c r="AO253" s="97"/>
      <c r="AP253" s="98"/>
      <c r="AQ253" s="77"/>
      <c r="AR253" s="78"/>
      <c r="AS253" s="97"/>
      <c r="AT253" s="98"/>
      <c r="AU253" s="77"/>
      <c r="AV253" s="97"/>
      <c r="AW253" s="97"/>
      <c r="AX253" s="98"/>
      <c r="AY253" s="77"/>
      <c r="AZ253" s="97"/>
      <c r="BA253" s="97"/>
      <c r="BB253" s="98"/>
      <c r="BC253" s="77"/>
      <c r="BD253" s="97"/>
      <c r="BE253" s="97"/>
      <c r="BF253" s="98"/>
      <c r="BG253" s="77"/>
      <c r="BH253" s="97"/>
      <c r="BI253" s="97"/>
      <c r="BJ253" s="98"/>
      <c r="BK253" s="77"/>
      <c r="BL253" s="97"/>
      <c r="BM253" s="97"/>
      <c r="BN253" s="98"/>
      <c r="BO253" s="77"/>
      <c r="BP253" s="97"/>
      <c r="BQ253" s="97"/>
      <c r="BR253" s="98"/>
      <c r="BS253" s="77"/>
      <c r="BT253" s="97"/>
      <c r="BU253" s="97"/>
      <c r="BV253" s="98"/>
      <c r="BW253" s="77"/>
      <c r="BX253" s="97"/>
      <c r="BY253" s="97"/>
      <c r="BZ253" s="98"/>
      <c r="CA253" s="97"/>
      <c r="CB253" s="97"/>
      <c r="CC253" s="97"/>
      <c r="CD253" s="98"/>
      <c r="CE253" s="97"/>
      <c r="CF253" s="97"/>
      <c r="CG253" s="97"/>
      <c r="CH253" s="98"/>
      <c r="CI253" s="97"/>
      <c r="CJ253" s="97"/>
      <c r="CK253" s="97"/>
      <c r="CL253" s="98"/>
      <c r="CM253" s="97"/>
      <c r="CN253" s="97"/>
      <c r="CO253" s="97"/>
      <c r="CP253" s="98"/>
      <c r="CQ253" s="97"/>
      <c r="CR253" s="97"/>
      <c r="CS253" s="97"/>
      <c r="CT253" s="98"/>
      <c r="CU253" s="97"/>
      <c r="CV253" s="97"/>
      <c r="CW253" s="97"/>
      <c r="CX253" s="98"/>
      <c r="CY253" s="97"/>
      <c r="CZ253" s="97"/>
      <c r="DA253" s="97"/>
      <c r="DB253" s="98"/>
      <c r="DC253" s="75"/>
      <c r="DD253" s="97"/>
      <c r="DE253" s="97"/>
      <c r="DF253" s="98"/>
      <c r="DG253" s="75"/>
      <c r="DH253" s="78"/>
      <c r="DI253" s="99"/>
      <c r="DJ253" s="98"/>
      <c r="DL253" s="40"/>
      <c r="DM253" s="36"/>
      <c r="DN253" s="36"/>
      <c r="DO253" s="36"/>
      <c r="DP253" s="36"/>
      <c r="DQ253" s="100"/>
      <c r="DR253" s="36"/>
      <c r="DS253" s="100"/>
      <c r="DT253" s="36"/>
      <c r="DU253" s="36"/>
      <c r="DV253" s="41"/>
    </row>
    <row r="254" spans="10:126">
      <c r="J254" s="96"/>
      <c r="L254" s="75"/>
      <c r="N254" s="75"/>
      <c r="O254" s="75"/>
      <c r="P254" s="72"/>
      <c r="Q254" s="72"/>
      <c r="S254" s="68"/>
      <c r="T254" s="68"/>
      <c r="V254" s="96"/>
      <c r="W254" s="75"/>
      <c r="X254" s="78"/>
      <c r="Y254" s="97"/>
      <c r="Z254" s="98"/>
      <c r="AA254" s="77"/>
      <c r="AB254" s="78"/>
      <c r="AC254" s="97"/>
      <c r="AD254" s="98"/>
      <c r="AE254" s="77"/>
      <c r="AF254" s="78"/>
      <c r="AG254" s="97"/>
      <c r="AH254" s="98"/>
      <c r="AI254" s="77"/>
      <c r="AJ254" s="78"/>
      <c r="AK254" s="97"/>
      <c r="AL254" s="98"/>
      <c r="AM254" s="77"/>
      <c r="AN254" s="78"/>
      <c r="AO254" s="97"/>
      <c r="AP254" s="98"/>
      <c r="AQ254" s="77"/>
      <c r="AR254" s="78"/>
      <c r="AS254" s="97"/>
      <c r="AT254" s="98"/>
      <c r="AU254" s="77"/>
      <c r="AV254" s="97"/>
      <c r="AW254" s="97"/>
      <c r="AX254" s="98"/>
      <c r="AY254" s="77"/>
      <c r="AZ254" s="97"/>
      <c r="BA254" s="97"/>
      <c r="BB254" s="98"/>
      <c r="BC254" s="77"/>
      <c r="BD254" s="97"/>
      <c r="BE254" s="97"/>
      <c r="BF254" s="98"/>
      <c r="BG254" s="77"/>
      <c r="BH254" s="97"/>
      <c r="BI254" s="97"/>
      <c r="BJ254" s="98"/>
      <c r="BK254" s="77"/>
      <c r="BL254" s="97"/>
      <c r="BM254" s="97"/>
      <c r="BN254" s="98"/>
      <c r="BO254" s="77"/>
      <c r="BP254" s="97"/>
      <c r="BQ254" s="97"/>
      <c r="BR254" s="98"/>
      <c r="BS254" s="77"/>
      <c r="BT254" s="97"/>
      <c r="BU254" s="97"/>
      <c r="BV254" s="98"/>
      <c r="BW254" s="77"/>
      <c r="BX254" s="97"/>
      <c r="BY254" s="97"/>
      <c r="BZ254" s="98"/>
      <c r="CA254" s="97"/>
      <c r="CB254" s="97"/>
      <c r="CC254" s="97"/>
      <c r="CD254" s="98"/>
      <c r="CE254" s="97"/>
      <c r="CF254" s="97"/>
      <c r="CG254" s="97"/>
      <c r="CH254" s="98"/>
      <c r="CI254" s="97"/>
      <c r="CJ254" s="97"/>
      <c r="CK254" s="97"/>
      <c r="CL254" s="98"/>
      <c r="CM254" s="97"/>
      <c r="CN254" s="97"/>
      <c r="CO254" s="97"/>
      <c r="CP254" s="98"/>
      <c r="CQ254" s="97"/>
      <c r="CR254" s="97"/>
      <c r="CS254" s="97"/>
      <c r="CT254" s="98"/>
      <c r="CU254" s="97"/>
      <c r="CV254" s="97"/>
      <c r="CW254" s="97"/>
      <c r="CX254" s="98"/>
      <c r="CY254" s="97"/>
      <c r="CZ254" s="97"/>
      <c r="DA254" s="97"/>
      <c r="DB254" s="98"/>
      <c r="DC254" s="75"/>
      <c r="DD254" s="97"/>
      <c r="DE254" s="97"/>
      <c r="DF254" s="98"/>
      <c r="DG254" s="75"/>
      <c r="DH254" s="78"/>
      <c r="DI254" s="99"/>
      <c r="DJ254" s="98"/>
      <c r="DL254" s="40"/>
      <c r="DM254" s="36"/>
      <c r="DN254" s="36"/>
      <c r="DO254" s="36"/>
      <c r="DP254" s="36"/>
      <c r="DQ254" s="100"/>
      <c r="DR254" s="36"/>
      <c r="DS254" s="100"/>
      <c r="DT254" s="36"/>
      <c r="DU254" s="36"/>
      <c r="DV254" s="41"/>
    </row>
    <row r="255" spans="10:126">
      <c r="J255" s="96"/>
      <c r="L255" s="75"/>
      <c r="N255" s="75"/>
      <c r="O255" s="75"/>
      <c r="P255" s="72"/>
      <c r="Q255" s="72"/>
      <c r="S255" s="68"/>
      <c r="T255" s="68"/>
      <c r="V255" s="96"/>
      <c r="W255" s="75"/>
      <c r="X255" s="78"/>
      <c r="Y255" s="97"/>
      <c r="Z255" s="98"/>
      <c r="AA255" s="77"/>
      <c r="AB255" s="78"/>
      <c r="AC255" s="97"/>
      <c r="AD255" s="98"/>
      <c r="AE255" s="77"/>
      <c r="AF255" s="78"/>
      <c r="AG255" s="97"/>
      <c r="AH255" s="98"/>
      <c r="AI255" s="77"/>
      <c r="AJ255" s="78"/>
      <c r="AK255" s="97"/>
      <c r="AL255" s="98"/>
      <c r="AM255" s="77"/>
      <c r="AN255" s="78"/>
      <c r="AO255" s="97"/>
      <c r="AP255" s="98"/>
      <c r="AQ255" s="77"/>
      <c r="AR255" s="78"/>
      <c r="AS255" s="97"/>
      <c r="AT255" s="98"/>
      <c r="AU255" s="77"/>
      <c r="AV255" s="97"/>
      <c r="AW255" s="97"/>
      <c r="AX255" s="98"/>
      <c r="AY255" s="77"/>
      <c r="AZ255" s="97"/>
      <c r="BA255" s="97"/>
      <c r="BB255" s="98"/>
      <c r="BC255" s="77"/>
      <c r="BD255" s="97"/>
      <c r="BE255" s="97"/>
      <c r="BF255" s="98"/>
      <c r="BG255" s="77"/>
      <c r="BH255" s="97"/>
      <c r="BI255" s="97"/>
      <c r="BJ255" s="98"/>
      <c r="BK255" s="77"/>
      <c r="BL255" s="97"/>
      <c r="BM255" s="97"/>
      <c r="BN255" s="98"/>
      <c r="BO255" s="77"/>
      <c r="BP255" s="97"/>
      <c r="BQ255" s="97"/>
      <c r="BR255" s="98"/>
      <c r="BS255" s="77"/>
      <c r="BT255" s="97"/>
      <c r="BU255" s="97"/>
      <c r="BV255" s="98"/>
      <c r="BW255" s="77"/>
      <c r="BX255" s="97"/>
      <c r="BY255" s="97"/>
      <c r="BZ255" s="98"/>
      <c r="CA255" s="97"/>
      <c r="CB255" s="97"/>
      <c r="CC255" s="97"/>
      <c r="CD255" s="98"/>
      <c r="CE255" s="97"/>
      <c r="CF255" s="97"/>
      <c r="CG255" s="97"/>
      <c r="CH255" s="98"/>
      <c r="CI255" s="97"/>
      <c r="CJ255" s="97"/>
      <c r="CK255" s="97"/>
      <c r="CL255" s="98"/>
      <c r="CM255" s="97"/>
      <c r="CN255" s="97"/>
      <c r="CO255" s="97"/>
      <c r="CP255" s="98"/>
      <c r="CQ255" s="97"/>
      <c r="CR255" s="97"/>
      <c r="CS255" s="97"/>
      <c r="CT255" s="98"/>
      <c r="CU255" s="97"/>
      <c r="CV255" s="97"/>
      <c r="CW255" s="97"/>
      <c r="CX255" s="98"/>
      <c r="CY255" s="97"/>
      <c r="CZ255" s="97"/>
      <c r="DA255" s="97"/>
      <c r="DB255" s="98"/>
      <c r="DC255" s="75"/>
      <c r="DD255" s="97"/>
      <c r="DE255" s="97"/>
      <c r="DF255" s="98"/>
      <c r="DG255" s="75"/>
      <c r="DH255" s="78"/>
      <c r="DI255" s="99"/>
      <c r="DJ255" s="98"/>
      <c r="DL255" s="40"/>
      <c r="DM255" s="36"/>
      <c r="DN255" s="36"/>
      <c r="DO255" s="36"/>
      <c r="DP255" s="36"/>
      <c r="DQ255" s="100"/>
      <c r="DR255" s="36"/>
      <c r="DS255" s="100"/>
      <c r="DT255" s="36"/>
      <c r="DU255" s="36"/>
      <c r="DV255" s="41"/>
    </row>
    <row r="256" spans="10:126">
      <c r="J256" s="96"/>
      <c r="L256" s="75"/>
      <c r="N256" s="75"/>
      <c r="O256" s="75"/>
      <c r="P256" s="72"/>
      <c r="Q256" s="72"/>
      <c r="S256" s="68"/>
      <c r="T256" s="68"/>
      <c r="V256" s="96"/>
      <c r="W256" s="75"/>
      <c r="X256" s="78"/>
      <c r="Y256" s="97"/>
      <c r="Z256" s="98"/>
      <c r="AA256" s="77"/>
      <c r="AB256" s="78"/>
      <c r="AC256" s="97"/>
      <c r="AD256" s="98"/>
      <c r="AE256" s="77"/>
      <c r="AF256" s="78"/>
      <c r="AG256" s="97"/>
      <c r="AH256" s="98"/>
      <c r="AI256" s="77"/>
      <c r="AJ256" s="78"/>
      <c r="AK256" s="97"/>
      <c r="AL256" s="98"/>
      <c r="AM256" s="77"/>
      <c r="AN256" s="78"/>
      <c r="AO256" s="97"/>
      <c r="AP256" s="98"/>
      <c r="AQ256" s="77"/>
      <c r="AR256" s="78"/>
      <c r="AS256" s="97"/>
      <c r="AT256" s="98"/>
      <c r="AU256" s="77"/>
      <c r="AV256" s="97"/>
      <c r="AW256" s="97"/>
      <c r="AX256" s="98"/>
      <c r="AY256" s="77"/>
      <c r="AZ256" s="97"/>
      <c r="BA256" s="97"/>
      <c r="BB256" s="98"/>
      <c r="BC256" s="77"/>
      <c r="BD256" s="97"/>
      <c r="BE256" s="97"/>
      <c r="BF256" s="98"/>
      <c r="BG256" s="77"/>
      <c r="BH256" s="97"/>
      <c r="BI256" s="97"/>
      <c r="BJ256" s="98"/>
      <c r="BK256" s="77"/>
      <c r="BL256" s="97"/>
      <c r="BM256" s="97"/>
      <c r="BN256" s="98"/>
      <c r="BO256" s="77"/>
      <c r="BP256" s="97"/>
      <c r="BQ256" s="97"/>
      <c r="BR256" s="98"/>
      <c r="BS256" s="77"/>
      <c r="BT256" s="97"/>
      <c r="BU256" s="97"/>
      <c r="BV256" s="98"/>
      <c r="BW256" s="77"/>
      <c r="BX256" s="97"/>
      <c r="BY256" s="97"/>
      <c r="BZ256" s="98"/>
      <c r="CA256" s="97"/>
      <c r="CB256" s="97"/>
      <c r="CC256" s="97"/>
      <c r="CD256" s="98"/>
      <c r="CE256" s="97"/>
      <c r="CF256" s="97"/>
      <c r="CG256" s="97"/>
      <c r="CH256" s="98"/>
      <c r="CI256" s="97"/>
      <c r="CJ256" s="97"/>
      <c r="CK256" s="97"/>
      <c r="CL256" s="98"/>
      <c r="CM256" s="97"/>
      <c r="CN256" s="97"/>
      <c r="CO256" s="97"/>
      <c r="CP256" s="98"/>
      <c r="CQ256" s="97"/>
      <c r="CR256" s="97"/>
      <c r="CS256" s="97"/>
      <c r="CT256" s="98"/>
      <c r="CU256" s="97"/>
      <c r="CV256" s="97"/>
      <c r="CW256" s="97"/>
      <c r="CX256" s="98"/>
      <c r="CY256" s="97"/>
      <c r="CZ256" s="97"/>
      <c r="DA256" s="97"/>
      <c r="DB256" s="98"/>
      <c r="DC256" s="75"/>
      <c r="DD256" s="97"/>
      <c r="DE256" s="97"/>
      <c r="DF256" s="98"/>
      <c r="DG256" s="75"/>
      <c r="DH256" s="78"/>
      <c r="DI256" s="99"/>
      <c r="DJ256" s="98"/>
      <c r="DL256" s="40"/>
      <c r="DM256" s="36"/>
      <c r="DN256" s="36"/>
      <c r="DO256" s="36"/>
      <c r="DP256" s="36"/>
      <c r="DQ256" s="100"/>
      <c r="DR256" s="36"/>
      <c r="DS256" s="100"/>
      <c r="DT256" s="36"/>
      <c r="DU256" s="36"/>
      <c r="DV256" s="41"/>
    </row>
    <row r="257" spans="10:126">
      <c r="J257" s="96"/>
      <c r="L257" s="75"/>
      <c r="N257" s="75"/>
      <c r="O257" s="75"/>
      <c r="P257" s="72"/>
      <c r="Q257" s="72"/>
      <c r="S257" s="68"/>
      <c r="T257" s="68"/>
      <c r="V257" s="96"/>
      <c r="W257" s="75"/>
      <c r="X257" s="78"/>
      <c r="Y257" s="97"/>
      <c r="Z257" s="98"/>
      <c r="AA257" s="77"/>
      <c r="AB257" s="78"/>
      <c r="AC257" s="97"/>
      <c r="AD257" s="98"/>
      <c r="AE257" s="77"/>
      <c r="AF257" s="78"/>
      <c r="AG257" s="97"/>
      <c r="AH257" s="98"/>
      <c r="AI257" s="77"/>
      <c r="AJ257" s="78"/>
      <c r="AK257" s="97"/>
      <c r="AL257" s="98"/>
      <c r="AM257" s="77"/>
      <c r="AN257" s="78"/>
      <c r="AO257" s="97"/>
      <c r="AP257" s="98"/>
      <c r="AQ257" s="77"/>
      <c r="AR257" s="78"/>
      <c r="AS257" s="97"/>
      <c r="AT257" s="98"/>
      <c r="AU257" s="77"/>
      <c r="AV257" s="97"/>
      <c r="AW257" s="97"/>
      <c r="AX257" s="98"/>
      <c r="AY257" s="77"/>
      <c r="AZ257" s="97"/>
      <c r="BA257" s="97"/>
      <c r="BB257" s="98"/>
      <c r="BC257" s="77"/>
      <c r="BD257" s="97"/>
      <c r="BE257" s="97"/>
      <c r="BF257" s="98"/>
      <c r="BG257" s="77"/>
      <c r="BH257" s="97"/>
      <c r="BI257" s="97"/>
      <c r="BJ257" s="98"/>
      <c r="BK257" s="77"/>
      <c r="BL257" s="97"/>
      <c r="BM257" s="97"/>
      <c r="BN257" s="98"/>
      <c r="BO257" s="77"/>
      <c r="BP257" s="97"/>
      <c r="BQ257" s="97"/>
      <c r="BR257" s="98"/>
      <c r="BS257" s="77"/>
      <c r="BT257" s="97"/>
      <c r="BU257" s="97"/>
      <c r="BV257" s="98"/>
      <c r="BW257" s="77"/>
      <c r="BX257" s="97"/>
      <c r="BY257" s="97"/>
      <c r="BZ257" s="98"/>
      <c r="CA257" s="97"/>
      <c r="CB257" s="97"/>
      <c r="CC257" s="97"/>
      <c r="CD257" s="98"/>
      <c r="CE257" s="97"/>
      <c r="CF257" s="97"/>
      <c r="CG257" s="97"/>
      <c r="CH257" s="98"/>
      <c r="CI257" s="97"/>
      <c r="CJ257" s="97"/>
      <c r="CK257" s="97"/>
      <c r="CL257" s="98"/>
      <c r="CM257" s="97"/>
      <c r="CN257" s="97"/>
      <c r="CO257" s="97"/>
      <c r="CP257" s="98"/>
      <c r="CQ257" s="97"/>
      <c r="CR257" s="97"/>
      <c r="CS257" s="97"/>
      <c r="CT257" s="98"/>
      <c r="CU257" s="97"/>
      <c r="CV257" s="97"/>
      <c r="CW257" s="97"/>
      <c r="CX257" s="98"/>
      <c r="CY257" s="97"/>
      <c r="CZ257" s="97"/>
      <c r="DA257" s="97"/>
      <c r="DB257" s="98"/>
      <c r="DC257" s="75"/>
      <c r="DD257" s="97"/>
      <c r="DE257" s="97"/>
      <c r="DF257" s="98"/>
      <c r="DG257" s="75"/>
      <c r="DH257" s="78"/>
      <c r="DI257" s="99"/>
      <c r="DJ257" s="98"/>
      <c r="DL257" s="40"/>
      <c r="DM257" s="36"/>
      <c r="DN257" s="36"/>
      <c r="DO257" s="36"/>
      <c r="DP257" s="36"/>
      <c r="DQ257" s="100"/>
      <c r="DR257" s="36"/>
      <c r="DS257" s="100"/>
      <c r="DT257" s="36"/>
      <c r="DU257" s="36"/>
      <c r="DV257" s="41"/>
    </row>
    <row r="258" spans="10:126">
      <c r="J258" s="96"/>
      <c r="L258" s="75"/>
      <c r="N258" s="75"/>
      <c r="O258" s="75"/>
      <c r="P258" s="72"/>
      <c r="Q258" s="72"/>
      <c r="S258" s="68"/>
      <c r="T258" s="68"/>
      <c r="V258" s="96"/>
      <c r="W258" s="75"/>
      <c r="X258" s="78"/>
      <c r="Y258" s="97"/>
      <c r="Z258" s="98"/>
      <c r="AA258" s="77"/>
      <c r="AB258" s="78"/>
      <c r="AC258" s="97"/>
      <c r="AD258" s="98"/>
      <c r="AE258" s="77"/>
      <c r="AF258" s="78"/>
      <c r="AG258" s="97"/>
      <c r="AH258" s="98"/>
      <c r="AI258" s="77"/>
      <c r="AJ258" s="78"/>
      <c r="AK258" s="97"/>
      <c r="AL258" s="98"/>
      <c r="AM258" s="77"/>
      <c r="AN258" s="78"/>
      <c r="AO258" s="97"/>
      <c r="AP258" s="98"/>
      <c r="AQ258" s="77"/>
      <c r="AR258" s="78"/>
      <c r="AS258" s="97"/>
      <c r="AT258" s="98"/>
      <c r="AU258" s="77"/>
      <c r="AV258" s="97"/>
      <c r="AW258" s="97"/>
      <c r="AX258" s="98"/>
      <c r="AY258" s="77"/>
      <c r="AZ258" s="97"/>
      <c r="BA258" s="97"/>
      <c r="BB258" s="98"/>
      <c r="BC258" s="77"/>
      <c r="BD258" s="97"/>
      <c r="BE258" s="97"/>
      <c r="BF258" s="98"/>
      <c r="BG258" s="77"/>
      <c r="BH258" s="97"/>
      <c r="BI258" s="97"/>
      <c r="BJ258" s="98"/>
      <c r="BK258" s="77"/>
      <c r="BL258" s="97"/>
      <c r="BM258" s="97"/>
      <c r="BN258" s="98"/>
      <c r="BO258" s="77"/>
      <c r="BP258" s="97"/>
      <c r="BQ258" s="97"/>
      <c r="BR258" s="98"/>
      <c r="BS258" s="77"/>
      <c r="BT258" s="97"/>
      <c r="BU258" s="97"/>
      <c r="BV258" s="98"/>
      <c r="BW258" s="77"/>
      <c r="BX258" s="97"/>
      <c r="BY258" s="97"/>
      <c r="BZ258" s="98"/>
      <c r="CA258" s="97"/>
      <c r="CB258" s="97"/>
      <c r="CC258" s="97"/>
      <c r="CD258" s="98"/>
      <c r="CE258" s="97"/>
      <c r="CF258" s="97"/>
      <c r="CG258" s="97"/>
      <c r="CH258" s="98"/>
      <c r="CI258" s="97"/>
      <c r="CJ258" s="97"/>
      <c r="CK258" s="97"/>
      <c r="CL258" s="98"/>
      <c r="CM258" s="97"/>
      <c r="CN258" s="97"/>
      <c r="CO258" s="97"/>
      <c r="CP258" s="98"/>
      <c r="CQ258" s="97"/>
      <c r="CR258" s="97"/>
      <c r="CS258" s="97"/>
      <c r="CT258" s="98"/>
      <c r="CU258" s="97"/>
      <c r="CV258" s="97"/>
      <c r="CW258" s="97"/>
      <c r="CX258" s="98"/>
      <c r="CY258" s="97"/>
      <c r="CZ258" s="97"/>
      <c r="DA258" s="97"/>
      <c r="DB258" s="98"/>
      <c r="DC258" s="75"/>
      <c r="DD258" s="97"/>
      <c r="DE258" s="97"/>
      <c r="DF258" s="98"/>
      <c r="DG258" s="75"/>
      <c r="DH258" s="78"/>
      <c r="DI258" s="99"/>
      <c r="DJ258" s="98"/>
      <c r="DL258" s="40"/>
      <c r="DM258" s="36"/>
      <c r="DN258" s="36"/>
      <c r="DO258" s="36"/>
      <c r="DP258" s="36"/>
      <c r="DQ258" s="100"/>
      <c r="DR258" s="36"/>
      <c r="DS258" s="100"/>
      <c r="DT258" s="36"/>
      <c r="DU258" s="36"/>
      <c r="DV258" s="41"/>
    </row>
    <row r="259" spans="10:126">
      <c r="J259" s="96"/>
      <c r="L259" s="75"/>
      <c r="N259" s="75"/>
      <c r="O259" s="75"/>
      <c r="P259" s="72"/>
      <c r="Q259" s="72"/>
      <c r="S259" s="68"/>
      <c r="T259" s="68"/>
      <c r="V259" s="96"/>
      <c r="W259" s="75"/>
      <c r="X259" s="78"/>
      <c r="Y259" s="97"/>
      <c r="Z259" s="98"/>
      <c r="AA259" s="77"/>
      <c r="AB259" s="78"/>
      <c r="AC259" s="97"/>
      <c r="AD259" s="98"/>
      <c r="AE259" s="77"/>
      <c r="AF259" s="78"/>
      <c r="AG259" s="97"/>
      <c r="AH259" s="98"/>
      <c r="AI259" s="77"/>
      <c r="AJ259" s="78"/>
      <c r="AK259" s="97"/>
      <c r="AL259" s="98"/>
      <c r="AM259" s="77"/>
      <c r="AN259" s="78"/>
      <c r="AO259" s="97"/>
      <c r="AP259" s="98"/>
      <c r="AQ259" s="77"/>
      <c r="AR259" s="78"/>
      <c r="AS259" s="97"/>
      <c r="AT259" s="98"/>
      <c r="AU259" s="77"/>
      <c r="AV259" s="97"/>
      <c r="AW259" s="97"/>
      <c r="AX259" s="98"/>
      <c r="AY259" s="77"/>
      <c r="AZ259" s="97"/>
      <c r="BA259" s="97"/>
      <c r="BB259" s="98"/>
      <c r="BC259" s="77"/>
      <c r="BD259" s="97"/>
      <c r="BE259" s="97"/>
      <c r="BF259" s="98"/>
      <c r="BG259" s="77"/>
      <c r="BH259" s="97"/>
      <c r="BI259" s="97"/>
      <c r="BJ259" s="98"/>
      <c r="BK259" s="77"/>
      <c r="BL259" s="97"/>
      <c r="BM259" s="97"/>
      <c r="BN259" s="98"/>
      <c r="BO259" s="77"/>
      <c r="BP259" s="97"/>
      <c r="BQ259" s="97"/>
      <c r="BR259" s="98"/>
      <c r="BS259" s="77"/>
      <c r="BT259" s="97"/>
      <c r="BU259" s="97"/>
      <c r="BV259" s="98"/>
      <c r="BW259" s="77"/>
      <c r="BX259" s="97"/>
      <c r="BY259" s="97"/>
      <c r="BZ259" s="98"/>
      <c r="CA259" s="97"/>
      <c r="CB259" s="97"/>
      <c r="CC259" s="97"/>
      <c r="CD259" s="98"/>
      <c r="CE259" s="97"/>
      <c r="CF259" s="97"/>
      <c r="CG259" s="97"/>
      <c r="CH259" s="98"/>
      <c r="CI259" s="97"/>
      <c r="CJ259" s="97"/>
      <c r="CK259" s="97"/>
      <c r="CL259" s="98"/>
      <c r="CM259" s="97"/>
      <c r="CN259" s="97"/>
      <c r="CO259" s="97"/>
      <c r="CP259" s="98"/>
      <c r="CQ259" s="97"/>
      <c r="CR259" s="97"/>
      <c r="CS259" s="97"/>
      <c r="CT259" s="98"/>
      <c r="CU259" s="97"/>
      <c r="CV259" s="97"/>
      <c r="CW259" s="97"/>
      <c r="CX259" s="98"/>
      <c r="CY259" s="97"/>
      <c r="CZ259" s="97"/>
      <c r="DA259" s="97"/>
      <c r="DB259" s="98"/>
      <c r="DC259" s="75"/>
      <c r="DD259" s="97"/>
      <c r="DE259" s="97"/>
      <c r="DF259" s="98"/>
      <c r="DG259" s="75"/>
      <c r="DH259" s="78"/>
      <c r="DI259" s="99"/>
      <c r="DJ259" s="98"/>
      <c r="DL259" s="40"/>
      <c r="DM259" s="36"/>
      <c r="DN259" s="36"/>
      <c r="DO259" s="36"/>
      <c r="DP259" s="36"/>
      <c r="DQ259" s="100"/>
      <c r="DR259" s="36"/>
      <c r="DS259" s="100"/>
      <c r="DT259" s="36"/>
      <c r="DU259" s="36"/>
      <c r="DV259" s="41"/>
    </row>
    <row r="260" spans="10:126">
      <c r="J260" s="96"/>
      <c r="L260" s="75"/>
      <c r="N260" s="75"/>
      <c r="O260" s="75"/>
      <c r="P260" s="72"/>
      <c r="Q260" s="72"/>
      <c r="S260" s="68"/>
      <c r="T260" s="68"/>
      <c r="V260" s="96"/>
      <c r="W260" s="75"/>
      <c r="X260" s="78"/>
      <c r="Y260" s="97"/>
      <c r="Z260" s="98"/>
      <c r="AA260" s="77"/>
      <c r="AB260" s="78"/>
      <c r="AC260" s="97"/>
      <c r="AD260" s="98"/>
      <c r="AE260" s="77"/>
      <c r="AF260" s="78"/>
      <c r="AG260" s="97"/>
      <c r="AH260" s="98"/>
      <c r="AI260" s="77"/>
      <c r="AJ260" s="78"/>
      <c r="AK260" s="97"/>
      <c r="AL260" s="98"/>
      <c r="AM260" s="77"/>
      <c r="AN260" s="78"/>
      <c r="AO260" s="97"/>
      <c r="AP260" s="98"/>
      <c r="AQ260" s="77"/>
      <c r="AR260" s="78"/>
      <c r="AS260" s="97"/>
      <c r="AT260" s="98"/>
      <c r="AU260" s="77"/>
      <c r="AV260" s="97"/>
      <c r="AW260" s="97"/>
      <c r="AX260" s="98"/>
      <c r="AY260" s="77"/>
      <c r="AZ260" s="97"/>
      <c r="BA260" s="97"/>
      <c r="BB260" s="98"/>
      <c r="BC260" s="77"/>
      <c r="BD260" s="97"/>
      <c r="BE260" s="97"/>
      <c r="BF260" s="98"/>
      <c r="BG260" s="77"/>
      <c r="BH260" s="97"/>
      <c r="BI260" s="97"/>
      <c r="BJ260" s="98"/>
      <c r="BK260" s="77"/>
      <c r="BL260" s="97"/>
      <c r="BM260" s="97"/>
      <c r="BN260" s="98"/>
      <c r="BO260" s="77"/>
      <c r="BP260" s="97"/>
      <c r="BQ260" s="97"/>
      <c r="BR260" s="98"/>
      <c r="BS260" s="77"/>
      <c r="BT260" s="97"/>
      <c r="BU260" s="97"/>
      <c r="BV260" s="98"/>
      <c r="BW260" s="77"/>
      <c r="BX260" s="97"/>
      <c r="BY260" s="97"/>
      <c r="BZ260" s="98"/>
      <c r="CA260" s="97"/>
      <c r="CB260" s="97"/>
      <c r="CC260" s="97"/>
      <c r="CD260" s="98"/>
      <c r="CE260" s="97"/>
      <c r="CF260" s="97"/>
      <c r="CG260" s="97"/>
      <c r="CH260" s="98"/>
      <c r="CI260" s="97"/>
      <c r="CJ260" s="97"/>
      <c r="CK260" s="97"/>
      <c r="CL260" s="98"/>
      <c r="CM260" s="97"/>
      <c r="CN260" s="97"/>
      <c r="CO260" s="97"/>
      <c r="CP260" s="98"/>
      <c r="CQ260" s="97"/>
      <c r="CR260" s="97"/>
      <c r="CS260" s="97"/>
      <c r="CT260" s="98"/>
      <c r="CU260" s="97"/>
      <c r="CV260" s="97"/>
      <c r="CW260" s="97"/>
      <c r="CX260" s="98"/>
      <c r="CY260" s="97"/>
      <c r="CZ260" s="97"/>
      <c r="DA260" s="97"/>
      <c r="DB260" s="98"/>
      <c r="DC260" s="75"/>
      <c r="DD260" s="97"/>
      <c r="DE260" s="97"/>
      <c r="DF260" s="98"/>
      <c r="DG260" s="75"/>
      <c r="DH260" s="78"/>
      <c r="DI260" s="99"/>
      <c r="DJ260" s="98"/>
      <c r="DL260" s="40"/>
      <c r="DM260" s="36"/>
      <c r="DN260" s="36"/>
      <c r="DO260" s="36"/>
      <c r="DP260" s="36"/>
      <c r="DQ260" s="100"/>
      <c r="DR260" s="36"/>
      <c r="DS260" s="100"/>
      <c r="DT260" s="36"/>
      <c r="DU260" s="36"/>
      <c r="DV260" s="41"/>
    </row>
    <row r="261" spans="10:126">
      <c r="J261" s="96"/>
      <c r="L261" s="75"/>
      <c r="N261" s="75"/>
      <c r="O261" s="75"/>
      <c r="P261" s="72"/>
      <c r="Q261" s="72"/>
      <c r="S261" s="68"/>
      <c r="T261" s="68"/>
      <c r="V261" s="96"/>
      <c r="W261" s="75"/>
      <c r="X261" s="78"/>
      <c r="Y261" s="97"/>
      <c r="Z261" s="98"/>
      <c r="AA261" s="77"/>
      <c r="AB261" s="78"/>
      <c r="AC261" s="97"/>
      <c r="AD261" s="98"/>
      <c r="AE261" s="77"/>
      <c r="AF261" s="78"/>
      <c r="AG261" s="97"/>
      <c r="AH261" s="98"/>
      <c r="AI261" s="77"/>
      <c r="AJ261" s="78"/>
      <c r="AK261" s="97"/>
      <c r="AL261" s="98"/>
      <c r="AM261" s="77"/>
      <c r="AN261" s="78"/>
      <c r="AO261" s="97"/>
      <c r="AP261" s="98"/>
      <c r="AQ261" s="77"/>
      <c r="AR261" s="78"/>
      <c r="AS261" s="97"/>
      <c r="AT261" s="98"/>
      <c r="AU261" s="77"/>
      <c r="AV261" s="97"/>
      <c r="AW261" s="97"/>
      <c r="AX261" s="98"/>
      <c r="AY261" s="77"/>
      <c r="AZ261" s="97"/>
      <c r="BA261" s="97"/>
      <c r="BB261" s="98"/>
      <c r="BC261" s="77"/>
      <c r="BD261" s="97"/>
      <c r="BE261" s="97"/>
      <c r="BF261" s="98"/>
      <c r="BG261" s="77"/>
      <c r="BH261" s="97"/>
      <c r="BI261" s="97"/>
      <c r="BJ261" s="98"/>
      <c r="BK261" s="77"/>
      <c r="BL261" s="97"/>
      <c r="BM261" s="97"/>
      <c r="BN261" s="98"/>
      <c r="BO261" s="77"/>
      <c r="BP261" s="97"/>
      <c r="BQ261" s="97"/>
      <c r="BR261" s="98"/>
      <c r="BS261" s="77"/>
      <c r="BT261" s="97"/>
      <c r="BU261" s="97"/>
      <c r="BV261" s="98"/>
      <c r="BW261" s="77"/>
      <c r="BX261" s="97"/>
      <c r="BY261" s="97"/>
      <c r="BZ261" s="98"/>
      <c r="CA261" s="97"/>
      <c r="CB261" s="97"/>
      <c r="CC261" s="97"/>
      <c r="CD261" s="98"/>
      <c r="CE261" s="97"/>
      <c r="CF261" s="97"/>
      <c r="CG261" s="97"/>
      <c r="CH261" s="98"/>
      <c r="CI261" s="97"/>
      <c r="CJ261" s="97"/>
      <c r="CK261" s="97"/>
      <c r="CL261" s="98"/>
      <c r="CM261" s="97"/>
      <c r="CN261" s="97"/>
      <c r="CO261" s="97"/>
      <c r="CP261" s="98"/>
      <c r="CQ261" s="97"/>
      <c r="CR261" s="97"/>
      <c r="CS261" s="97"/>
      <c r="CT261" s="98"/>
      <c r="CU261" s="97"/>
      <c r="CV261" s="97"/>
      <c r="CW261" s="97"/>
      <c r="CX261" s="98"/>
      <c r="CY261" s="97"/>
      <c r="CZ261" s="97"/>
      <c r="DA261" s="97"/>
      <c r="DB261" s="98"/>
      <c r="DC261" s="75"/>
      <c r="DD261" s="97"/>
      <c r="DE261" s="97"/>
      <c r="DF261" s="98"/>
      <c r="DG261" s="75"/>
      <c r="DH261" s="78"/>
      <c r="DI261" s="99"/>
      <c r="DJ261" s="98"/>
      <c r="DL261" s="40"/>
      <c r="DM261" s="36"/>
      <c r="DN261" s="36"/>
      <c r="DO261" s="36"/>
      <c r="DP261" s="36"/>
      <c r="DQ261" s="100"/>
      <c r="DR261" s="36"/>
      <c r="DS261" s="100"/>
      <c r="DT261" s="36"/>
      <c r="DU261" s="36"/>
      <c r="DV261" s="41"/>
    </row>
    <row r="262" spans="10:126">
      <c r="J262" s="96"/>
      <c r="L262" s="75"/>
      <c r="N262" s="75"/>
      <c r="O262" s="75"/>
      <c r="P262" s="72"/>
      <c r="Q262" s="72"/>
      <c r="S262" s="68"/>
      <c r="T262" s="68"/>
      <c r="V262" s="96"/>
      <c r="W262" s="75"/>
      <c r="X262" s="78"/>
      <c r="Y262" s="97"/>
      <c r="Z262" s="98"/>
      <c r="AA262" s="77"/>
      <c r="AB262" s="78"/>
      <c r="AC262" s="97"/>
      <c r="AD262" s="98"/>
      <c r="AE262" s="77"/>
      <c r="AF262" s="78"/>
      <c r="AG262" s="97"/>
      <c r="AH262" s="98"/>
      <c r="AI262" s="77"/>
      <c r="AJ262" s="78"/>
      <c r="AK262" s="97"/>
      <c r="AL262" s="98"/>
      <c r="AM262" s="77"/>
      <c r="AN262" s="78"/>
      <c r="AO262" s="97"/>
      <c r="AP262" s="98"/>
      <c r="AQ262" s="77"/>
      <c r="AR262" s="78"/>
      <c r="AS262" s="97"/>
      <c r="AT262" s="98"/>
      <c r="AU262" s="77"/>
      <c r="AV262" s="97"/>
      <c r="AW262" s="97"/>
      <c r="AX262" s="98"/>
      <c r="AY262" s="77"/>
      <c r="AZ262" s="97"/>
      <c r="BA262" s="97"/>
      <c r="BB262" s="98"/>
      <c r="BC262" s="77"/>
      <c r="BD262" s="97"/>
      <c r="BE262" s="97"/>
      <c r="BF262" s="98"/>
      <c r="BG262" s="77"/>
      <c r="BH262" s="97"/>
      <c r="BI262" s="97"/>
      <c r="BJ262" s="98"/>
      <c r="BK262" s="77"/>
      <c r="BL262" s="97"/>
      <c r="BM262" s="97"/>
      <c r="BN262" s="98"/>
      <c r="BO262" s="77"/>
      <c r="BP262" s="97"/>
      <c r="BQ262" s="97"/>
      <c r="BR262" s="98"/>
      <c r="BS262" s="77"/>
      <c r="BT262" s="97"/>
      <c r="BU262" s="97"/>
      <c r="BV262" s="98"/>
      <c r="BW262" s="77"/>
      <c r="BX262" s="97"/>
      <c r="BY262" s="97"/>
      <c r="BZ262" s="98"/>
      <c r="CA262" s="97"/>
      <c r="CB262" s="97"/>
      <c r="CC262" s="97"/>
      <c r="CD262" s="98"/>
      <c r="CE262" s="97"/>
      <c r="CF262" s="97"/>
      <c r="CG262" s="97"/>
      <c r="CH262" s="98"/>
      <c r="CI262" s="97"/>
      <c r="CJ262" s="97"/>
      <c r="CK262" s="97"/>
      <c r="CL262" s="98"/>
      <c r="CM262" s="97"/>
      <c r="CN262" s="97"/>
      <c r="CO262" s="97"/>
      <c r="CP262" s="98"/>
      <c r="CQ262" s="97"/>
      <c r="CR262" s="97"/>
      <c r="CS262" s="97"/>
      <c r="CT262" s="98"/>
      <c r="CU262" s="97"/>
      <c r="CV262" s="97"/>
      <c r="CW262" s="97"/>
      <c r="CX262" s="98"/>
      <c r="CY262" s="97"/>
      <c r="CZ262" s="97"/>
      <c r="DA262" s="97"/>
      <c r="DB262" s="98"/>
      <c r="DC262" s="75"/>
      <c r="DD262" s="97"/>
      <c r="DE262" s="97"/>
      <c r="DF262" s="98"/>
      <c r="DG262" s="75"/>
      <c r="DH262" s="78"/>
      <c r="DI262" s="99"/>
      <c r="DJ262" s="98"/>
      <c r="DL262" s="40"/>
      <c r="DM262" s="36"/>
      <c r="DN262" s="36"/>
      <c r="DO262" s="36"/>
      <c r="DP262" s="36"/>
      <c r="DQ262" s="100"/>
      <c r="DR262" s="36"/>
      <c r="DS262" s="100"/>
      <c r="DT262" s="36"/>
      <c r="DU262" s="36"/>
      <c r="DV262" s="41"/>
    </row>
    <row r="263" spans="10:126">
      <c r="J263" s="96"/>
      <c r="L263" s="75"/>
      <c r="N263" s="75"/>
      <c r="O263" s="75"/>
      <c r="P263" s="72"/>
      <c r="Q263" s="72"/>
      <c r="S263" s="68"/>
      <c r="T263" s="68"/>
      <c r="V263" s="96"/>
      <c r="W263" s="75"/>
      <c r="X263" s="78"/>
      <c r="Y263" s="97"/>
      <c r="Z263" s="98"/>
      <c r="AA263" s="77"/>
      <c r="AB263" s="78"/>
      <c r="AC263" s="97"/>
      <c r="AD263" s="98"/>
      <c r="AE263" s="77"/>
      <c r="AF263" s="78"/>
      <c r="AG263" s="97"/>
      <c r="AH263" s="98"/>
      <c r="AI263" s="77"/>
      <c r="AJ263" s="78"/>
      <c r="AK263" s="97"/>
      <c r="AL263" s="98"/>
      <c r="AM263" s="77"/>
      <c r="AN263" s="78"/>
      <c r="AO263" s="97"/>
      <c r="AP263" s="98"/>
      <c r="AQ263" s="77"/>
      <c r="AR263" s="78"/>
      <c r="AS263" s="97"/>
      <c r="AT263" s="98"/>
      <c r="AU263" s="77"/>
      <c r="AV263" s="97"/>
      <c r="AW263" s="97"/>
      <c r="AX263" s="98"/>
      <c r="AY263" s="77"/>
      <c r="AZ263" s="97"/>
      <c r="BA263" s="97"/>
      <c r="BB263" s="98"/>
      <c r="BC263" s="77"/>
      <c r="BD263" s="97"/>
      <c r="BE263" s="97"/>
      <c r="BF263" s="98"/>
      <c r="BG263" s="77"/>
      <c r="BH263" s="97"/>
      <c r="BI263" s="97"/>
      <c r="BJ263" s="98"/>
      <c r="BK263" s="77"/>
      <c r="BL263" s="97"/>
      <c r="BM263" s="97"/>
      <c r="BN263" s="98"/>
      <c r="BO263" s="77"/>
      <c r="BP263" s="97"/>
      <c r="BQ263" s="97"/>
      <c r="BR263" s="98"/>
      <c r="BS263" s="77"/>
      <c r="BT263" s="97"/>
      <c r="BU263" s="97"/>
      <c r="BV263" s="98"/>
      <c r="BW263" s="77"/>
      <c r="BX263" s="97"/>
      <c r="BY263" s="97"/>
      <c r="BZ263" s="98"/>
      <c r="CA263" s="97"/>
      <c r="CB263" s="97"/>
      <c r="CC263" s="97"/>
      <c r="CD263" s="98"/>
      <c r="CE263" s="97"/>
      <c r="CF263" s="97"/>
      <c r="CG263" s="97"/>
      <c r="CH263" s="98"/>
      <c r="CI263" s="97"/>
      <c r="CJ263" s="97"/>
      <c r="CK263" s="97"/>
      <c r="CL263" s="98"/>
      <c r="CM263" s="97"/>
      <c r="CN263" s="97"/>
      <c r="CO263" s="97"/>
      <c r="CP263" s="98"/>
      <c r="CQ263" s="97"/>
      <c r="CR263" s="97"/>
      <c r="CS263" s="97"/>
      <c r="CT263" s="98"/>
      <c r="CU263" s="97"/>
      <c r="CV263" s="97"/>
      <c r="CW263" s="97"/>
      <c r="CX263" s="98"/>
      <c r="CY263" s="97"/>
      <c r="CZ263" s="97"/>
      <c r="DA263" s="97"/>
      <c r="DB263" s="98"/>
      <c r="DC263" s="75"/>
      <c r="DD263" s="97"/>
      <c r="DE263" s="97"/>
      <c r="DF263" s="98"/>
      <c r="DG263" s="75"/>
      <c r="DH263" s="78"/>
      <c r="DI263" s="99"/>
      <c r="DJ263" s="98"/>
      <c r="DL263" s="40"/>
      <c r="DM263" s="36"/>
      <c r="DN263" s="36"/>
      <c r="DO263" s="36"/>
      <c r="DP263" s="36"/>
      <c r="DQ263" s="100"/>
      <c r="DR263" s="36"/>
      <c r="DS263" s="100"/>
      <c r="DT263" s="36"/>
      <c r="DU263" s="36"/>
      <c r="DV263" s="41"/>
    </row>
    <row r="264" spans="10:126">
      <c r="J264" s="96"/>
      <c r="L264" s="75"/>
      <c r="N264" s="75"/>
      <c r="O264" s="75"/>
      <c r="P264" s="72"/>
      <c r="Q264" s="72"/>
      <c r="S264" s="68"/>
      <c r="T264" s="68"/>
      <c r="V264" s="96"/>
      <c r="W264" s="75"/>
      <c r="X264" s="78"/>
      <c r="Y264" s="97"/>
      <c r="Z264" s="98"/>
      <c r="AA264" s="77"/>
      <c r="AB264" s="78"/>
      <c r="AC264" s="97"/>
      <c r="AD264" s="98"/>
      <c r="AE264" s="77"/>
      <c r="AF264" s="78"/>
      <c r="AG264" s="97"/>
      <c r="AH264" s="98"/>
      <c r="AI264" s="77"/>
      <c r="AJ264" s="78"/>
      <c r="AK264" s="97"/>
      <c r="AL264" s="98"/>
      <c r="AM264" s="77"/>
      <c r="AN264" s="78"/>
      <c r="AO264" s="97"/>
      <c r="AP264" s="98"/>
      <c r="AQ264" s="77"/>
      <c r="AR264" s="78"/>
      <c r="AS264" s="97"/>
      <c r="AT264" s="98"/>
      <c r="AU264" s="77"/>
      <c r="AV264" s="97"/>
      <c r="AW264" s="97"/>
      <c r="AX264" s="98"/>
      <c r="AY264" s="77"/>
      <c r="AZ264" s="97"/>
      <c r="BA264" s="97"/>
      <c r="BB264" s="98"/>
      <c r="BC264" s="77"/>
      <c r="BD264" s="97"/>
      <c r="BE264" s="97"/>
      <c r="BF264" s="98"/>
      <c r="BG264" s="77"/>
      <c r="BH264" s="97"/>
      <c r="BI264" s="97"/>
      <c r="BJ264" s="98"/>
      <c r="BK264" s="77"/>
      <c r="BL264" s="97"/>
      <c r="BM264" s="97"/>
      <c r="BN264" s="98"/>
      <c r="BO264" s="77"/>
      <c r="BP264" s="97"/>
      <c r="BQ264" s="97"/>
      <c r="BR264" s="98"/>
      <c r="BS264" s="77"/>
      <c r="BT264" s="97"/>
      <c r="BU264" s="97"/>
      <c r="BV264" s="98"/>
      <c r="BW264" s="77"/>
      <c r="BX264" s="97"/>
      <c r="BY264" s="97"/>
      <c r="BZ264" s="98"/>
      <c r="CA264" s="97"/>
      <c r="CB264" s="97"/>
      <c r="CC264" s="97"/>
      <c r="CD264" s="98"/>
      <c r="CE264" s="97"/>
      <c r="CF264" s="97"/>
      <c r="CG264" s="97"/>
      <c r="CH264" s="98"/>
      <c r="CI264" s="97"/>
      <c r="CJ264" s="97"/>
      <c r="CK264" s="97"/>
      <c r="CL264" s="98"/>
      <c r="CM264" s="97"/>
      <c r="CN264" s="97"/>
      <c r="CO264" s="97"/>
      <c r="CP264" s="98"/>
      <c r="CQ264" s="97"/>
      <c r="CR264" s="97"/>
      <c r="CS264" s="97"/>
      <c r="CT264" s="98"/>
      <c r="CU264" s="97"/>
      <c r="CV264" s="97"/>
      <c r="CW264" s="97"/>
      <c r="CX264" s="98"/>
      <c r="CY264" s="97"/>
      <c r="CZ264" s="97"/>
      <c r="DA264" s="97"/>
      <c r="DB264" s="98"/>
      <c r="DC264" s="75"/>
      <c r="DD264" s="97"/>
      <c r="DE264" s="97"/>
      <c r="DF264" s="98"/>
      <c r="DG264" s="75"/>
      <c r="DH264" s="78"/>
      <c r="DI264" s="99"/>
      <c r="DJ264" s="98"/>
      <c r="DL264" s="40"/>
      <c r="DM264" s="36"/>
      <c r="DN264" s="36"/>
      <c r="DO264" s="36"/>
      <c r="DP264" s="36"/>
      <c r="DQ264" s="100"/>
      <c r="DR264" s="36"/>
      <c r="DS264" s="100"/>
      <c r="DT264" s="36"/>
      <c r="DU264" s="36"/>
      <c r="DV264" s="41"/>
    </row>
    <row r="265" spans="10:126">
      <c r="J265" s="96"/>
      <c r="L265" s="75"/>
      <c r="N265" s="75"/>
      <c r="O265" s="75"/>
      <c r="P265" s="72"/>
      <c r="Q265" s="72"/>
      <c r="S265" s="68"/>
      <c r="T265" s="68"/>
      <c r="V265" s="96"/>
      <c r="W265" s="75"/>
      <c r="X265" s="78"/>
      <c r="Y265" s="97"/>
      <c r="Z265" s="98"/>
      <c r="AA265" s="77"/>
      <c r="AB265" s="78"/>
      <c r="AC265" s="97"/>
      <c r="AD265" s="98"/>
      <c r="AE265" s="77"/>
      <c r="AF265" s="78"/>
      <c r="AG265" s="97"/>
      <c r="AH265" s="98"/>
      <c r="AI265" s="77"/>
      <c r="AJ265" s="78"/>
      <c r="AK265" s="97"/>
      <c r="AL265" s="98"/>
      <c r="AM265" s="77"/>
      <c r="AN265" s="78"/>
      <c r="AO265" s="97"/>
      <c r="AP265" s="98"/>
      <c r="AQ265" s="77"/>
      <c r="AR265" s="78"/>
      <c r="AS265" s="97"/>
      <c r="AT265" s="98"/>
      <c r="AU265" s="77"/>
      <c r="AV265" s="97"/>
      <c r="AW265" s="97"/>
      <c r="AX265" s="98"/>
      <c r="AY265" s="77"/>
      <c r="AZ265" s="97"/>
      <c r="BA265" s="97"/>
      <c r="BB265" s="98"/>
      <c r="BC265" s="77"/>
      <c r="BD265" s="97"/>
      <c r="BE265" s="97"/>
      <c r="BF265" s="98"/>
      <c r="BG265" s="77"/>
      <c r="BH265" s="97"/>
      <c r="BI265" s="97"/>
      <c r="BJ265" s="98"/>
      <c r="BK265" s="77"/>
      <c r="BL265" s="97"/>
      <c r="BM265" s="97"/>
      <c r="BN265" s="98"/>
      <c r="BO265" s="77"/>
      <c r="BP265" s="97"/>
      <c r="BQ265" s="97"/>
      <c r="BR265" s="98"/>
      <c r="BS265" s="77"/>
      <c r="BT265" s="97"/>
      <c r="BU265" s="97"/>
      <c r="BV265" s="98"/>
      <c r="BW265" s="77"/>
      <c r="BX265" s="97"/>
      <c r="BY265" s="97"/>
      <c r="BZ265" s="98"/>
      <c r="CA265" s="97"/>
      <c r="CB265" s="97"/>
      <c r="CC265" s="97"/>
      <c r="CD265" s="98"/>
      <c r="CE265" s="97"/>
      <c r="CF265" s="97"/>
      <c r="CG265" s="97"/>
      <c r="CH265" s="98"/>
      <c r="CI265" s="97"/>
      <c r="CJ265" s="97"/>
      <c r="CK265" s="97"/>
      <c r="CL265" s="98"/>
      <c r="CM265" s="97"/>
      <c r="CN265" s="97"/>
      <c r="CO265" s="97"/>
      <c r="CP265" s="98"/>
      <c r="CQ265" s="97"/>
      <c r="CR265" s="97"/>
      <c r="CS265" s="97"/>
      <c r="CT265" s="98"/>
      <c r="CU265" s="97"/>
      <c r="CV265" s="97"/>
      <c r="CW265" s="97"/>
      <c r="CX265" s="98"/>
      <c r="CY265" s="97"/>
      <c r="CZ265" s="97"/>
      <c r="DA265" s="97"/>
      <c r="DB265" s="98"/>
      <c r="DC265" s="75"/>
      <c r="DD265" s="97"/>
      <c r="DE265" s="97"/>
      <c r="DF265" s="98"/>
      <c r="DG265" s="75"/>
      <c r="DH265" s="78"/>
      <c r="DI265" s="99"/>
      <c r="DJ265" s="98"/>
      <c r="DL265" s="40"/>
      <c r="DM265" s="36"/>
      <c r="DN265" s="36"/>
      <c r="DO265" s="36"/>
      <c r="DP265" s="36"/>
      <c r="DQ265" s="100"/>
      <c r="DR265" s="36"/>
      <c r="DS265" s="100"/>
      <c r="DT265" s="36"/>
      <c r="DU265" s="36"/>
      <c r="DV265" s="41"/>
    </row>
    <row r="266" spans="10:126">
      <c r="J266" s="96"/>
      <c r="L266" s="75"/>
      <c r="N266" s="75"/>
      <c r="O266" s="75"/>
      <c r="P266" s="72"/>
      <c r="Q266" s="72"/>
      <c r="S266" s="68"/>
      <c r="T266" s="68"/>
      <c r="V266" s="96"/>
      <c r="W266" s="75"/>
      <c r="X266" s="78"/>
      <c r="Y266" s="97"/>
      <c r="Z266" s="98"/>
      <c r="AA266" s="77"/>
      <c r="AB266" s="78"/>
      <c r="AC266" s="97"/>
      <c r="AD266" s="98"/>
      <c r="AE266" s="77"/>
      <c r="AF266" s="78"/>
      <c r="AG266" s="97"/>
      <c r="AH266" s="98"/>
      <c r="AI266" s="77"/>
      <c r="AJ266" s="78"/>
      <c r="AK266" s="97"/>
      <c r="AL266" s="98"/>
      <c r="AM266" s="77"/>
      <c r="AN266" s="78"/>
      <c r="AO266" s="97"/>
      <c r="AP266" s="98"/>
      <c r="AQ266" s="77"/>
      <c r="AR266" s="78"/>
      <c r="AS266" s="97"/>
      <c r="AT266" s="98"/>
      <c r="AU266" s="77"/>
      <c r="AV266" s="97"/>
      <c r="AW266" s="97"/>
      <c r="AX266" s="98"/>
      <c r="AY266" s="77"/>
      <c r="AZ266" s="97"/>
      <c r="BA266" s="97"/>
      <c r="BB266" s="98"/>
      <c r="BC266" s="77"/>
      <c r="BD266" s="97"/>
      <c r="BE266" s="97"/>
      <c r="BF266" s="98"/>
      <c r="BG266" s="77"/>
      <c r="BH266" s="97"/>
      <c r="BI266" s="97"/>
      <c r="BJ266" s="98"/>
      <c r="BK266" s="77"/>
      <c r="BL266" s="97"/>
      <c r="BM266" s="97"/>
      <c r="BN266" s="98"/>
      <c r="BO266" s="77"/>
      <c r="BP266" s="97"/>
      <c r="BQ266" s="97"/>
      <c r="BR266" s="98"/>
      <c r="BS266" s="77"/>
      <c r="BT266" s="97"/>
      <c r="BU266" s="97"/>
      <c r="BV266" s="98"/>
      <c r="BW266" s="77"/>
      <c r="BX266" s="97"/>
      <c r="BY266" s="97"/>
      <c r="BZ266" s="98"/>
      <c r="CA266" s="97"/>
      <c r="CB266" s="97"/>
      <c r="CC266" s="97"/>
      <c r="CD266" s="98"/>
      <c r="CE266" s="97"/>
      <c r="CF266" s="97"/>
      <c r="CG266" s="97"/>
      <c r="CH266" s="98"/>
      <c r="CI266" s="97"/>
      <c r="CJ266" s="97"/>
      <c r="CK266" s="97"/>
      <c r="CL266" s="98"/>
      <c r="CM266" s="97"/>
      <c r="CN266" s="97"/>
      <c r="CO266" s="97"/>
      <c r="CP266" s="98"/>
      <c r="CQ266" s="97"/>
      <c r="CR266" s="97"/>
      <c r="CS266" s="97"/>
      <c r="CT266" s="98"/>
      <c r="CU266" s="97"/>
      <c r="CV266" s="97"/>
      <c r="CW266" s="97"/>
      <c r="CX266" s="98"/>
      <c r="CY266" s="97"/>
      <c r="CZ266" s="97"/>
      <c r="DA266" s="97"/>
      <c r="DB266" s="98"/>
      <c r="DC266" s="75"/>
      <c r="DD266" s="97"/>
      <c r="DE266" s="97"/>
      <c r="DF266" s="98"/>
      <c r="DG266" s="75"/>
      <c r="DH266" s="78"/>
      <c r="DI266" s="99"/>
      <c r="DJ266" s="98"/>
      <c r="DL266" s="40"/>
      <c r="DM266" s="36"/>
      <c r="DN266" s="36"/>
      <c r="DO266" s="36"/>
      <c r="DP266" s="36"/>
      <c r="DQ266" s="100"/>
      <c r="DR266" s="36"/>
      <c r="DS266" s="100"/>
      <c r="DT266" s="36"/>
      <c r="DU266" s="36"/>
      <c r="DV266" s="41"/>
    </row>
    <row r="267" spans="10:126">
      <c r="J267" s="96"/>
      <c r="L267" s="75"/>
      <c r="N267" s="75"/>
      <c r="O267" s="75"/>
      <c r="P267" s="72"/>
      <c r="Q267" s="72"/>
      <c r="S267" s="68"/>
      <c r="T267" s="68"/>
      <c r="V267" s="96"/>
      <c r="W267" s="75"/>
      <c r="X267" s="78"/>
      <c r="Y267" s="97"/>
      <c r="Z267" s="98"/>
      <c r="AA267" s="77"/>
      <c r="AB267" s="78"/>
      <c r="AC267" s="97"/>
      <c r="AD267" s="98"/>
      <c r="AE267" s="77"/>
      <c r="AF267" s="78"/>
      <c r="AG267" s="97"/>
      <c r="AH267" s="98"/>
      <c r="AI267" s="77"/>
      <c r="AJ267" s="78"/>
      <c r="AK267" s="97"/>
      <c r="AL267" s="98"/>
      <c r="AM267" s="77"/>
      <c r="AN267" s="78"/>
      <c r="AO267" s="97"/>
      <c r="AP267" s="98"/>
      <c r="AQ267" s="77"/>
      <c r="AR267" s="78"/>
      <c r="AS267" s="97"/>
      <c r="AT267" s="98"/>
      <c r="AU267" s="77"/>
      <c r="AV267" s="97"/>
      <c r="AW267" s="97"/>
      <c r="AX267" s="98"/>
      <c r="AY267" s="77"/>
      <c r="AZ267" s="97"/>
      <c r="BA267" s="97"/>
      <c r="BB267" s="98"/>
      <c r="BC267" s="77"/>
      <c r="BD267" s="97"/>
      <c r="BE267" s="97"/>
      <c r="BF267" s="98"/>
      <c r="BG267" s="77"/>
      <c r="BH267" s="97"/>
      <c r="BI267" s="97"/>
      <c r="BJ267" s="98"/>
      <c r="BK267" s="77"/>
      <c r="BL267" s="97"/>
      <c r="BM267" s="97"/>
      <c r="BN267" s="98"/>
      <c r="BO267" s="77"/>
      <c r="BP267" s="97"/>
      <c r="BQ267" s="97"/>
      <c r="BR267" s="98"/>
      <c r="BS267" s="77"/>
      <c r="BT267" s="97"/>
      <c r="BU267" s="97"/>
      <c r="BV267" s="98"/>
      <c r="BW267" s="77"/>
      <c r="BX267" s="97"/>
      <c r="BY267" s="97"/>
      <c r="BZ267" s="98"/>
      <c r="CA267" s="97"/>
      <c r="CB267" s="97"/>
      <c r="CC267" s="97"/>
      <c r="CD267" s="98"/>
      <c r="CE267" s="97"/>
      <c r="CF267" s="97"/>
      <c r="CG267" s="97"/>
      <c r="CH267" s="98"/>
      <c r="CI267" s="97"/>
      <c r="CJ267" s="97"/>
      <c r="CK267" s="97"/>
      <c r="CL267" s="98"/>
      <c r="CM267" s="97"/>
      <c r="CN267" s="97"/>
      <c r="CO267" s="97"/>
      <c r="CP267" s="98"/>
      <c r="CQ267" s="97"/>
      <c r="CR267" s="97"/>
      <c r="CS267" s="97"/>
      <c r="CT267" s="98"/>
      <c r="CU267" s="97"/>
      <c r="CV267" s="97"/>
      <c r="CW267" s="97"/>
      <c r="CX267" s="98"/>
      <c r="CY267" s="97"/>
      <c r="CZ267" s="97"/>
      <c r="DA267" s="97"/>
      <c r="DB267" s="98"/>
      <c r="DC267" s="75"/>
      <c r="DD267" s="97"/>
      <c r="DE267" s="97"/>
      <c r="DF267" s="98"/>
      <c r="DG267" s="75"/>
      <c r="DH267" s="78"/>
      <c r="DI267" s="99"/>
      <c r="DJ267" s="98"/>
      <c r="DL267" s="40"/>
      <c r="DM267" s="36"/>
      <c r="DN267" s="36"/>
      <c r="DO267" s="36"/>
      <c r="DP267" s="36"/>
      <c r="DQ267" s="100"/>
      <c r="DR267" s="36"/>
      <c r="DS267" s="100"/>
      <c r="DT267" s="36"/>
      <c r="DU267" s="36"/>
      <c r="DV267" s="41"/>
    </row>
    <row r="268" spans="10:126">
      <c r="J268" s="96"/>
      <c r="L268" s="75"/>
      <c r="N268" s="75"/>
      <c r="O268" s="75"/>
      <c r="P268" s="72"/>
      <c r="Q268" s="72"/>
      <c r="S268" s="68"/>
      <c r="T268" s="68"/>
      <c r="V268" s="96"/>
      <c r="W268" s="75"/>
      <c r="X268" s="78"/>
      <c r="Y268" s="97"/>
      <c r="Z268" s="98"/>
      <c r="AA268" s="77"/>
      <c r="AB268" s="78"/>
      <c r="AC268" s="97"/>
      <c r="AD268" s="98"/>
      <c r="AE268" s="77"/>
      <c r="AF268" s="78"/>
      <c r="AG268" s="97"/>
      <c r="AH268" s="98"/>
      <c r="AI268" s="77"/>
      <c r="AJ268" s="78"/>
      <c r="AK268" s="97"/>
      <c r="AL268" s="98"/>
      <c r="AM268" s="77"/>
      <c r="AN268" s="78"/>
      <c r="AO268" s="97"/>
      <c r="AP268" s="98"/>
      <c r="AQ268" s="77"/>
      <c r="AR268" s="78"/>
      <c r="AS268" s="97"/>
      <c r="AT268" s="98"/>
      <c r="AU268" s="77"/>
      <c r="AV268" s="97"/>
      <c r="AW268" s="97"/>
      <c r="AX268" s="98"/>
      <c r="AY268" s="77"/>
      <c r="AZ268" s="97"/>
      <c r="BA268" s="97"/>
      <c r="BB268" s="98"/>
      <c r="BC268" s="77"/>
      <c r="BD268" s="97"/>
      <c r="BE268" s="97"/>
      <c r="BF268" s="98"/>
      <c r="BG268" s="77"/>
      <c r="BH268" s="97"/>
      <c r="BI268" s="97"/>
      <c r="BJ268" s="98"/>
      <c r="BK268" s="77"/>
      <c r="BL268" s="97"/>
      <c r="BM268" s="97"/>
      <c r="BN268" s="98"/>
      <c r="BO268" s="77"/>
      <c r="BP268" s="97"/>
      <c r="BQ268" s="97"/>
      <c r="BR268" s="98"/>
      <c r="BS268" s="77"/>
      <c r="BT268" s="97"/>
      <c r="BU268" s="97"/>
      <c r="BV268" s="98"/>
      <c r="BW268" s="77"/>
      <c r="BX268" s="97"/>
      <c r="BY268" s="97"/>
      <c r="BZ268" s="98"/>
      <c r="CA268" s="97"/>
      <c r="CB268" s="97"/>
      <c r="CC268" s="97"/>
      <c r="CD268" s="98"/>
      <c r="CE268" s="97"/>
      <c r="CF268" s="97"/>
      <c r="CG268" s="97"/>
      <c r="CH268" s="98"/>
      <c r="CI268" s="97"/>
      <c r="CJ268" s="97"/>
      <c r="CK268" s="97"/>
      <c r="CL268" s="98"/>
      <c r="CM268" s="97"/>
      <c r="CN268" s="97"/>
      <c r="CO268" s="97"/>
      <c r="CP268" s="98"/>
      <c r="CQ268" s="97"/>
      <c r="CR268" s="97"/>
      <c r="CS268" s="97"/>
      <c r="CT268" s="98"/>
      <c r="CU268" s="97"/>
      <c r="CV268" s="97"/>
      <c r="CW268" s="97"/>
      <c r="CX268" s="98"/>
      <c r="CY268" s="97"/>
      <c r="CZ268" s="97"/>
      <c r="DA268" s="97"/>
      <c r="DB268" s="98"/>
      <c r="DC268" s="75"/>
      <c r="DD268" s="97"/>
      <c r="DE268" s="97"/>
      <c r="DF268" s="98"/>
      <c r="DG268" s="75"/>
      <c r="DH268" s="78"/>
      <c r="DI268" s="99"/>
      <c r="DJ268" s="98"/>
      <c r="DL268" s="40"/>
      <c r="DM268" s="36"/>
      <c r="DN268" s="36"/>
      <c r="DO268" s="36"/>
      <c r="DP268" s="36"/>
      <c r="DQ268" s="100"/>
      <c r="DR268" s="36"/>
      <c r="DS268" s="100"/>
      <c r="DT268" s="36"/>
      <c r="DU268" s="36"/>
      <c r="DV268" s="41"/>
    </row>
    <row r="269" spans="10:126">
      <c r="J269" s="96"/>
      <c r="L269" s="75"/>
      <c r="N269" s="75"/>
      <c r="O269" s="75"/>
      <c r="P269" s="72"/>
      <c r="Q269" s="72"/>
      <c r="S269" s="68"/>
      <c r="T269" s="68"/>
      <c r="V269" s="96"/>
      <c r="W269" s="75"/>
      <c r="X269" s="78"/>
      <c r="Y269" s="97"/>
      <c r="Z269" s="98"/>
      <c r="AA269" s="77"/>
      <c r="AB269" s="78"/>
      <c r="AC269" s="97"/>
      <c r="AD269" s="98"/>
      <c r="AE269" s="77"/>
      <c r="AF269" s="78"/>
      <c r="AG269" s="97"/>
      <c r="AH269" s="98"/>
      <c r="AI269" s="77"/>
      <c r="AJ269" s="78"/>
      <c r="AK269" s="97"/>
      <c r="AL269" s="98"/>
      <c r="AM269" s="77"/>
      <c r="AN269" s="78"/>
      <c r="AO269" s="97"/>
      <c r="AP269" s="98"/>
      <c r="AQ269" s="77"/>
      <c r="AR269" s="78"/>
      <c r="AS269" s="97"/>
      <c r="AT269" s="98"/>
      <c r="AU269" s="77"/>
      <c r="AV269" s="97"/>
      <c r="AW269" s="97"/>
      <c r="AX269" s="98"/>
      <c r="AY269" s="77"/>
      <c r="AZ269" s="97"/>
      <c r="BA269" s="97"/>
      <c r="BB269" s="98"/>
      <c r="BC269" s="77"/>
      <c r="BD269" s="97"/>
      <c r="BE269" s="97"/>
      <c r="BF269" s="98"/>
      <c r="BG269" s="77"/>
      <c r="BH269" s="97"/>
      <c r="BI269" s="97"/>
      <c r="BJ269" s="98"/>
      <c r="BK269" s="77"/>
      <c r="BL269" s="97"/>
      <c r="BM269" s="97"/>
      <c r="BN269" s="98"/>
      <c r="BO269" s="77"/>
      <c r="BP269" s="97"/>
      <c r="BQ269" s="97"/>
      <c r="BR269" s="98"/>
      <c r="BS269" s="77"/>
      <c r="BT269" s="97"/>
      <c r="BU269" s="97"/>
      <c r="BV269" s="98"/>
      <c r="BW269" s="77"/>
      <c r="BX269" s="97"/>
      <c r="BY269" s="97"/>
      <c r="BZ269" s="98"/>
      <c r="CA269" s="97"/>
      <c r="CB269" s="97"/>
      <c r="CC269" s="97"/>
      <c r="CD269" s="98"/>
      <c r="CE269" s="97"/>
      <c r="CF269" s="97"/>
      <c r="CG269" s="97"/>
      <c r="CH269" s="98"/>
      <c r="CI269" s="97"/>
      <c r="CJ269" s="97"/>
      <c r="CK269" s="97"/>
      <c r="CL269" s="98"/>
      <c r="CM269" s="97"/>
      <c r="CN269" s="97"/>
      <c r="CO269" s="97"/>
      <c r="CP269" s="98"/>
      <c r="CQ269" s="97"/>
      <c r="CR269" s="97"/>
      <c r="CS269" s="97"/>
      <c r="CT269" s="98"/>
      <c r="CU269" s="97"/>
      <c r="CV269" s="97"/>
      <c r="CW269" s="97"/>
      <c r="CX269" s="98"/>
      <c r="CY269" s="97"/>
      <c r="CZ269" s="97"/>
      <c r="DA269" s="97"/>
      <c r="DB269" s="98"/>
      <c r="DC269" s="75"/>
      <c r="DD269" s="97"/>
      <c r="DE269" s="97"/>
      <c r="DF269" s="98"/>
      <c r="DG269" s="75"/>
      <c r="DH269" s="78"/>
      <c r="DI269" s="99"/>
      <c r="DJ269" s="98"/>
      <c r="DL269" s="40"/>
      <c r="DM269" s="36"/>
      <c r="DN269" s="36"/>
      <c r="DO269" s="36"/>
      <c r="DP269" s="36"/>
      <c r="DQ269" s="100"/>
      <c r="DR269" s="36"/>
      <c r="DS269" s="100"/>
      <c r="DT269" s="36"/>
      <c r="DU269" s="36"/>
      <c r="DV269" s="41"/>
    </row>
    <row r="270" spans="10:126">
      <c r="J270" s="96"/>
      <c r="L270" s="75"/>
      <c r="N270" s="75"/>
      <c r="O270" s="75"/>
      <c r="P270" s="72"/>
      <c r="Q270" s="72"/>
      <c r="S270" s="68"/>
      <c r="T270" s="68"/>
      <c r="V270" s="96"/>
      <c r="W270" s="75"/>
      <c r="X270" s="78"/>
      <c r="Y270" s="97"/>
      <c r="Z270" s="98"/>
      <c r="AA270" s="77"/>
      <c r="AB270" s="78"/>
      <c r="AC270" s="97"/>
      <c r="AD270" s="98"/>
      <c r="AE270" s="77"/>
      <c r="AF270" s="78"/>
      <c r="AG270" s="97"/>
      <c r="AH270" s="98"/>
      <c r="AI270" s="77"/>
      <c r="AJ270" s="78"/>
      <c r="AK270" s="97"/>
      <c r="AL270" s="98"/>
      <c r="AM270" s="77"/>
      <c r="AN270" s="78"/>
      <c r="AO270" s="97"/>
      <c r="AP270" s="98"/>
      <c r="AQ270" s="77"/>
      <c r="AR270" s="78"/>
      <c r="AS270" s="97"/>
      <c r="AT270" s="98"/>
      <c r="AU270" s="77"/>
      <c r="AV270" s="97"/>
      <c r="AW270" s="97"/>
      <c r="AX270" s="98"/>
      <c r="AY270" s="77"/>
      <c r="AZ270" s="97"/>
      <c r="BA270" s="97"/>
      <c r="BB270" s="98"/>
      <c r="BC270" s="77"/>
      <c r="BD270" s="97"/>
      <c r="BE270" s="97"/>
      <c r="BF270" s="98"/>
      <c r="BG270" s="77"/>
      <c r="BH270" s="97"/>
      <c r="BI270" s="97"/>
      <c r="BJ270" s="98"/>
      <c r="BK270" s="77"/>
      <c r="BL270" s="97"/>
      <c r="BM270" s="97"/>
      <c r="BN270" s="98"/>
      <c r="BO270" s="77"/>
      <c r="BP270" s="97"/>
      <c r="BQ270" s="97"/>
      <c r="BR270" s="98"/>
      <c r="BS270" s="77"/>
      <c r="BT270" s="97"/>
      <c r="BU270" s="97"/>
      <c r="BV270" s="98"/>
      <c r="BW270" s="77"/>
      <c r="BX270" s="97"/>
      <c r="BY270" s="97"/>
      <c r="BZ270" s="98"/>
      <c r="CA270" s="97"/>
      <c r="CB270" s="97"/>
      <c r="CC270" s="97"/>
      <c r="CD270" s="98"/>
      <c r="CE270" s="97"/>
      <c r="CF270" s="97"/>
      <c r="CG270" s="97"/>
      <c r="CH270" s="98"/>
      <c r="CI270" s="97"/>
      <c r="CJ270" s="97"/>
      <c r="CK270" s="97"/>
      <c r="CL270" s="98"/>
      <c r="CM270" s="97"/>
      <c r="CN270" s="97"/>
      <c r="CO270" s="97"/>
      <c r="CP270" s="98"/>
      <c r="CQ270" s="97"/>
      <c r="CR270" s="97"/>
      <c r="CS270" s="97"/>
      <c r="CT270" s="98"/>
      <c r="CU270" s="97"/>
      <c r="CV270" s="97"/>
      <c r="CW270" s="97"/>
      <c r="CX270" s="98"/>
      <c r="CY270" s="97"/>
      <c r="CZ270" s="97"/>
      <c r="DA270" s="97"/>
      <c r="DB270" s="98"/>
      <c r="DC270" s="75"/>
      <c r="DD270" s="97"/>
      <c r="DE270" s="97"/>
      <c r="DF270" s="98"/>
      <c r="DG270" s="75"/>
      <c r="DH270" s="78"/>
      <c r="DI270" s="99"/>
      <c r="DJ270" s="98"/>
      <c r="DL270" s="40"/>
      <c r="DM270" s="36"/>
      <c r="DN270" s="36"/>
      <c r="DO270" s="36"/>
      <c r="DP270" s="36"/>
      <c r="DQ270" s="100"/>
      <c r="DR270" s="36"/>
      <c r="DS270" s="100"/>
      <c r="DT270" s="36"/>
      <c r="DU270" s="36"/>
      <c r="DV270" s="41"/>
    </row>
    <row r="271" spans="10:126">
      <c r="J271" s="96"/>
      <c r="L271" s="75"/>
      <c r="N271" s="75"/>
      <c r="O271" s="75"/>
      <c r="P271" s="72"/>
      <c r="Q271" s="72"/>
      <c r="S271" s="68"/>
      <c r="T271" s="68"/>
      <c r="V271" s="96"/>
      <c r="W271" s="75"/>
      <c r="X271" s="78"/>
      <c r="Y271" s="97"/>
      <c r="Z271" s="98"/>
      <c r="AA271" s="77"/>
      <c r="AB271" s="78"/>
      <c r="AC271" s="97"/>
      <c r="AD271" s="98"/>
      <c r="AE271" s="77"/>
      <c r="AF271" s="78"/>
      <c r="AG271" s="97"/>
      <c r="AH271" s="98"/>
      <c r="AI271" s="77"/>
      <c r="AJ271" s="78"/>
      <c r="AK271" s="97"/>
      <c r="AL271" s="98"/>
      <c r="AM271" s="77"/>
      <c r="AN271" s="78"/>
      <c r="AO271" s="97"/>
      <c r="AP271" s="98"/>
      <c r="AQ271" s="77"/>
      <c r="AR271" s="78"/>
      <c r="AS271" s="97"/>
      <c r="AT271" s="98"/>
      <c r="AU271" s="77"/>
      <c r="AV271" s="97"/>
      <c r="AW271" s="97"/>
      <c r="AX271" s="98"/>
      <c r="AY271" s="77"/>
      <c r="AZ271" s="97"/>
      <c r="BA271" s="97"/>
      <c r="BB271" s="98"/>
      <c r="BC271" s="77"/>
      <c r="BD271" s="97"/>
      <c r="BE271" s="97"/>
      <c r="BF271" s="98"/>
      <c r="BG271" s="77"/>
      <c r="BH271" s="97"/>
      <c r="BI271" s="97"/>
      <c r="BJ271" s="98"/>
      <c r="BK271" s="77"/>
      <c r="BL271" s="97"/>
      <c r="BM271" s="97"/>
      <c r="BN271" s="98"/>
      <c r="BO271" s="77"/>
      <c r="BP271" s="97"/>
      <c r="BQ271" s="97"/>
      <c r="BR271" s="98"/>
      <c r="BS271" s="77"/>
      <c r="BT271" s="97"/>
      <c r="BU271" s="97"/>
      <c r="BV271" s="98"/>
      <c r="BW271" s="77"/>
      <c r="BX271" s="97"/>
      <c r="BY271" s="97"/>
      <c r="BZ271" s="98"/>
      <c r="CA271" s="97"/>
      <c r="CB271" s="97"/>
      <c r="CC271" s="97"/>
      <c r="CD271" s="98"/>
      <c r="CE271" s="97"/>
      <c r="CF271" s="97"/>
      <c r="CG271" s="97"/>
      <c r="CH271" s="98"/>
      <c r="CI271" s="97"/>
      <c r="CJ271" s="97"/>
      <c r="CK271" s="97"/>
      <c r="CL271" s="98"/>
      <c r="CM271" s="97"/>
      <c r="CN271" s="97"/>
      <c r="CO271" s="97"/>
      <c r="CP271" s="98"/>
      <c r="CQ271" s="97"/>
      <c r="CR271" s="97"/>
      <c r="CS271" s="97"/>
      <c r="CT271" s="98"/>
      <c r="CU271" s="97"/>
      <c r="CV271" s="97"/>
      <c r="CW271" s="97"/>
      <c r="CX271" s="98"/>
      <c r="CY271" s="97"/>
      <c r="CZ271" s="97"/>
      <c r="DA271" s="97"/>
      <c r="DB271" s="98"/>
      <c r="DC271" s="75"/>
      <c r="DD271" s="97"/>
      <c r="DE271" s="97"/>
      <c r="DF271" s="98"/>
      <c r="DG271" s="75"/>
      <c r="DH271" s="78"/>
      <c r="DI271" s="99"/>
      <c r="DJ271" s="98"/>
      <c r="DL271" s="40"/>
      <c r="DM271" s="36"/>
      <c r="DN271" s="36"/>
      <c r="DO271" s="36"/>
      <c r="DP271" s="36"/>
      <c r="DQ271" s="100"/>
      <c r="DR271" s="36"/>
      <c r="DS271" s="100"/>
      <c r="DT271" s="36"/>
      <c r="DU271" s="36"/>
      <c r="DV271" s="41"/>
    </row>
    <row r="272" spans="10:126">
      <c r="J272" s="96"/>
      <c r="L272" s="75"/>
      <c r="N272" s="75"/>
      <c r="O272" s="75"/>
      <c r="P272" s="72"/>
      <c r="Q272" s="72"/>
      <c r="S272" s="68"/>
      <c r="T272" s="68"/>
      <c r="V272" s="96"/>
      <c r="W272" s="75"/>
      <c r="X272" s="78"/>
      <c r="Y272" s="97"/>
      <c r="Z272" s="98"/>
      <c r="AA272" s="77"/>
      <c r="AB272" s="78"/>
      <c r="AC272" s="97"/>
      <c r="AD272" s="98"/>
      <c r="AE272" s="77"/>
      <c r="AF272" s="78"/>
      <c r="AG272" s="97"/>
      <c r="AH272" s="98"/>
      <c r="AI272" s="77"/>
      <c r="AJ272" s="78"/>
      <c r="AK272" s="97"/>
      <c r="AL272" s="98"/>
      <c r="AM272" s="77"/>
      <c r="AN272" s="78"/>
      <c r="AO272" s="97"/>
      <c r="AP272" s="98"/>
      <c r="AQ272" s="77"/>
      <c r="AR272" s="78"/>
      <c r="AS272" s="97"/>
      <c r="AT272" s="98"/>
      <c r="AU272" s="77"/>
      <c r="AV272" s="97"/>
      <c r="AW272" s="97"/>
      <c r="AX272" s="98"/>
      <c r="AY272" s="77"/>
      <c r="AZ272" s="97"/>
      <c r="BA272" s="97"/>
      <c r="BB272" s="98"/>
      <c r="BC272" s="77"/>
      <c r="BD272" s="97"/>
      <c r="BE272" s="97"/>
      <c r="BF272" s="98"/>
      <c r="BG272" s="77"/>
      <c r="BH272" s="97"/>
      <c r="BI272" s="97"/>
      <c r="BJ272" s="98"/>
      <c r="BK272" s="77"/>
      <c r="BL272" s="97"/>
      <c r="BM272" s="97"/>
      <c r="BN272" s="98"/>
      <c r="BO272" s="77"/>
      <c r="BP272" s="97"/>
      <c r="BQ272" s="97"/>
      <c r="BR272" s="98"/>
      <c r="BS272" s="77"/>
      <c r="BT272" s="97"/>
      <c r="BU272" s="97"/>
      <c r="BV272" s="98"/>
      <c r="BW272" s="77"/>
      <c r="BX272" s="97"/>
      <c r="BY272" s="97"/>
      <c r="BZ272" s="98"/>
      <c r="CA272" s="97"/>
      <c r="CB272" s="97"/>
      <c r="CC272" s="97"/>
      <c r="CD272" s="98"/>
      <c r="CE272" s="97"/>
      <c r="CF272" s="97"/>
      <c r="CG272" s="97"/>
      <c r="CH272" s="98"/>
      <c r="CI272" s="97"/>
      <c r="CJ272" s="97"/>
      <c r="CK272" s="97"/>
      <c r="CL272" s="98"/>
      <c r="CM272" s="97"/>
      <c r="CN272" s="97"/>
      <c r="CO272" s="97"/>
      <c r="CP272" s="98"/>
      <c r="CQ272" s="97"/>
      <c r="CR272" s="97"/>
      <c r="CS272" s="97"/>
      <c r="CT272" s="98"/>
      <c r="CU272" s="97"/>
      <c r="CV272" s="97"/>
      <c r="CW272" s="97"/>
      <c r="CX272" s="98"/>
      <c r="CY272" s="97"/>
      <c r="CZ272" s="97"/>
      <c r="DA272" s="97"/>
      <c r="DB272" s="98"/>
      <c r="DC272" s="75"/>
      <c r="DD272" s="97"/>
      <c r="DE272" s="97"/>
      <c r="DF272" s="98"/>
      <c r="DG272" s="75"/>
      <c r="DH272" s="78"/>
      <c r="DI272" s="99"/>
      <c r="DJ272" s="98"/>
      <c r="DL272" s="40"/>
      <c r="DM272" s="36"/>
      <c r="DN272" s="36"/>
      <c r="DO272" s="36"/>
      <c r="DP272" s="36"/>
      <c r="DQ272" s="100"/>
      <c r="DR272" s="36"/>
      <c r="DS272" s="100"/>
      <c r="DT272" s="36"/>
      <c r="DU272" s="36"/>
      <c r="DV272" s="41"/>
    </row>
    <row r="273" spans="10:126">
      <c r="J273" s="96"/>
      <c r="L273" s="75"/>
      <c r="N273" s="75"/>
      <c r="O273" s="75"/>
      <c r="P273" s="72"/>
      <c r="Q273" s="72"/>
      <c r="S273" s="68"/>
      <c r="T273" s="68"/>
      <c r="V273" s="96"/>
      <c r="W273" s="75"/>
      <c r="X273" s="78"/>
      <c r="Y273" s="97"/>
      <c r="Z273" s="98"/>
      <c r="AA273" s="77"/>
      <c r="AB273" s="78"/>
      <c r="AC273" s="97"/>
      <c r="AD273" s="98"/>
      <c r="AE273" s="77"/>
      <c r="AF273" s="78"/>
      <c r="AG273" s="97"/>
      <c r="AH273" s="98"/>
      <c r="AI273" s="77"/>
      <c r="AJ273" s="78"/>
      <c r="AK273" s="97"/>
      <c r="AL273" s="98"/>
      <c r="AM273" s="77"/>
      <c r="AN273" s="78"/>
      <c r="AO273" s="97"/>
      <c r="AP273" s="98"/>
      <c r="AQ273" s="77"/>
      <c r="AR273" s="78"/>
      <c r="AS273" s="97"/>
      <c r="AT273" s="98"/>
      <c r="AU273" s="77"/>
      <c r="AV273" s="97"/>
      <c r="AW273" s="97"/>
      <c r="AX273" s="98"/>
      <c r="AY273" s="77"/>
      <c r="AZ273" s="97"/>
      <c r="BA273" s="97"/>
      <c r="BB273" s="98"/>
      <c r="BC273" s="77"/>
      <c r="BD273" s="97"/>
      <c r="BE273" s="97"/>
      <c r="BF273" s="98"/>
      <c r="BG273" s="77"/>
      <c r="BH273" s="97"/>
      <c r="BI273" s="97"/>
      <c r="BJ273" s="98"/>
      <c r="BK273" s="77"/>
      <c r="BL273" s="97"/>
      <c r="BM273" s="97"/>
      <c r="BN273" s="98"/>
      <c r="BO273" s="77"/>
      <c r="BP273" s="97"/>
      <c r="BQ273" s="97"/>
      <c r="BR273" s="98"/>
      <c r="BS273" s="77"/>
      <c r="BT273" s="97"/>
      <c r="BU273" s="97"/>
      <c r="BV273" s="98"/>
      <c r="BW273" s="77"/>
      <c r="BX273" s="97"/>
      <c r="BY273" s="97"/>
      <c r="BZ273" s="98"/>
      <c r="CA273" s="97"/>
      <c r="CB273" s="97"/>
      <c r="CC273" s="97"/>
      <c r="CD273" s="98"/>
      <c r="CE273" s="97"/>
      <c r="CF273" s="97"/>
      <c r="CG273" s="97"/>
      <c r="CH273" s="98"/>
      <c r="CI273" s="97"/>
      <c r="CJ273" s="97"/>
      <c r="CK273" s="97"/>
      <c r="CL273" s="98"/>
      <c r="CM273" s="97"/>
      <c r="CN273" s="97"/>
      <c r="CO273" s="97"/>
      <c r="CP273" s="98"/>
      <c r="CQ273" s="97"/>
      <c r="CR273" s="97"/>
      <c r="CS273" s="97"/>
      <c r="CT273" s="98"/>
      <c r="CU273" s="97"/>
      <c r="CV273" s="97"/>
      <c r="CW273" s="97"/>
      <c r="CX273" s="98"/>
      <c r="CY273" s="97"/>
      <c r="CZ273" s="97"/>
      <c r="DA273" s="97"/>
      <c r="DB273" s="98"/>
      <c r="DC273" s="75"/>
      <c r="DD273" s="97"/>
      <c r="DE273" s="97"/>
      <c r="DF273" s="98"/>
      <c r="DG273" s="75"/>
      <c r="DH273" s="78"/>
      <c r="DI273" s="99"/>
      <c r="DJ273" s="98"/>
      <c r="DL273" s="40"/>
      <c r="DM273" s="36"/>
      <c r="DN273" s="36"/>
      <c r="DO273" s="36"/>
      <c r="DP273" s="36"/>
      <c r="DQ273" s="100"/>
      <c r="DR273" s="36"/>
      <c r="DS273" s="100"/>
      <c r="DT273" s="36"/>
      <c r="DU273" s="36"/>
      <c r="DV273" s="41"/>
    </row>
    <row r="274" spans="10:126">
      <c r="J274" s="96"/>
      <c r="L274" s="75"/>
      <c r="N274" s="75"/>
      <c r="O274" s="75"/>
      <c r="P274" s="72"/>
      <c r="Q274" s="72"/>
      <c r="S274" s="68"/>
      <c r="T274" s="68"/>
      <c r="V274" s="96"/>
      <c r="W274" s="75"/>
      <c r="X274" s="78"/>
      <c r="Y274" s="97"/>
      <c r="Z274" s="98"/>
      <c r="AA274" s="77"/>
      <c r="AB274" s="78"/>
      <c r="AC274" s="97"/>
      <c r="AD274" s="98"/>
      <c r="AE274" s="77"/>
      <c r="AF274" s="78"/>
      <c r="AG274" s="97"/>
      <c r="AH274" s="98"/>
      <c r="AI274" s="77"/>
      <c r="AJ274" s="78"/>
      <c r="AK274" s="97"/>
      <c r="AL274" s="98"/>
      <c r="AM274" s="77"/>
      <c r="AN274" s="78"/>
      <c r="AO274" s="97"/>
      <c r="AP274" s="98"/>
      <c r="AQ274" s="77"/>
      <c r="AR274" s="78"/>
      <c r="AS274" s="97"/>
      <c r="AT274" s="98"/>
      <c r="AU274" s="77"/>
      <c r="AV274" s="97"/>
      <c r="AW274" s="97"/>
      <c r="AX274" s="98"/>
      <c r="AY274" s="77"/>
      <c r="AZ274" s="97"/>
      <c r="BA274" s="97"/>
      <c r="BB274" s="98"/>
      <c r="BC274" s="77"/>
      <c r="BD274" s="97"/>
      <c r="BE274" s="97"/>
      <c r="BF274" s="98"/>
      <c r="BG274" s="77"/>
      <c r="BH274" s="97"/>
      <c r="BI274" s="97"/>
      <c r="BJ274" s="98"/>
      <c r="BK274" s="77"/>
      <c r="BL274" s="97"/>
      <c r="BM274" s="97"/>
      <c r="BN274" s="98"/>
      <c r="BO274" s="77"/>
      <c r="BP274" s="97"/>
      <c r="BQ274" s="97"/>
      <c r="BR274" s="98"/>
      <c r="BS274" s="77"/>
      <c r="BT274" s="97"/>
      <c r="BU274" s="97"/>
      <c r="BV274" s="98"/>
      <c r="BW274" s="77"/>
      <c r="BX274" s="97"/>
      <c r="BY274" s="97"/>
      <c r="BZ274" s="98"/>
      <c r="CA274" s="97"/>
      <c r="CB274" s="97"/>
      <c r="CC274" s="97"/>
      <c r="CD274" s="98"/>
      <c r="CE274" s="97"/>
      <c r="CF274" s="97"/>
      <c r="CG274" s="97"/>
      <c r="CH274" s="98"/>
      <c r="CI274" s="97"/>
      <c r="CJ274" s="97"/>
      <c r="CK274" s="97"/>
      <c r="CL274" s="98"/>
      <c r="CM274" s="97"/>
      <c r="CN274" s="97"/>
      <c r="CO274" s="97"/>
      <c r="CP274" s="98"/>
      <c r="CQ274" s="97"/>
      <c r="CR274" s="97"/>
      <c r="CS274" s="97"/>
      <c r="CT274" s="98"/>
      <c r="CU274" s="97"/>
      <c r="CV274" s="97"/>
      <c r="CW274" s="97"/>
      <c r="CX274" s="98"/>
      <c r="CY274" s="97"/>
      <c r="CZ274" s="97"/>
      <c r="DA274" s="97"/>
      <c r="DB274" s="98"/>
      <c r="DC274" s="75"/>
      <c r="DD274" s="97"/>
      <c r="DE274" s="97"/>
      <c r="DF274" s="98"/>
      <c r="DG274" s="75"/>
      <c r="DH274" s="78"/>
      <c r="DI274" s="99"/>
      <c r="DJ274" s="98"/>
      <c r="DL274" s="40"/>
      <c r="DM274" s="36"/>
      <c r="DN274" s="36"/>
      <c r="DO274" s="36"/>
      <c r="DP274" s="36"/>
      <c r="DQ274" s="100"/>
      <c r="DR274" s="36"/>
      <c r="DS274" s="100"/>
      <c r="DT274" s="36"/>
      <c r="DU274" s="36"/>
      <c r="DV274" s="41"/>
    </row>
    <row r="275" spans="10:126">
      <c r="J275" s="96"/>
      <c r="L275" s="75"/>
      <c r="N275" s="75"/>
      <c r="O275" s="75"/>
      <c r="P275" s="72"/>
      <c r="Q275" s="72"/>
      <c r="S275" s="68"/>
      <c r="T275" s="68"/>
      <c r="V275" s="96"/>
      <c r="W275" s="75"/>
      <c r="X275" s="78"/>
      <c r="Y275" s="97"/>
      <c r="Z275" s="98"/>
      <c r="AA275" s="77"/>
      <c r="AB275" s="78"/>
      <c r="AC275" s="97"/>
      <c r="AD275" s="98"/>
      <c r="AE275" s="77"/>
      <c r="AF275" s="78"/>
      <c r="AG275" s="97"/>
      <c r="AH275" s="98"/>
      <c r="AI275" s="77"/>
      <c r="AJ275" s="78"/>
      <c r="AK275" s="97"/>
      <c r="AL275" s="98"/>
      <c r="AM275" s="77"/>
      <c r="AN275" s="78"/>
      <c r="AO275" s="97"/>
      <c r="AP275" s="98"/>
      <c r="AQ275" s="77"/>
      <c r="AR275" s="78"/>
      <c r="AS275" s="97"/>
      <c r="AT275" s="98"/>
      <c r="AU275" s="77"/>
      <c r="AV275" s="97"/>
      <c r="AW275" s="97"/>
      <c r="AX275" s="98"/>
      <c r="AY275" s="77"/>
      <c r="AZ275" s="97"/>
      <c r="BA275" s="97"/>
      <c r="BB275" s="98"/>
      <c r="BC275" s="77"/>
      <c r="BD275" s="97"/>
      <c r="BE275" s="97"/>
      <c r="BF275" s="98"/>
      <c r="BG275" s="77"/>
      <c r="BH275" s="97"/>
      <c r="BI275" s="97"/>
      <c r="BJ275" s="98"/>
      <c r="BK275" s="77"/>
      <c r="BL275" s="97"/>
      <c r="BM275" s="97"/>
      <c r="BN275" s="98"/>
      <c r="BO275" s="77"/>
      <c r="BP275" s="97"/>
      <c r="BQ275" s="97"/>
      <c r="BR275" s="98"/>
      <c r="BS275" s="77"/>
      <c r="BT275" s="97"/>
      <c r="BU275" s="97"/>
      <c r="BV275" s="98"/>
      <c r="BW275" s="77"/>
      <c r="BX275" s="97"/>
      <c r="BY275" s="97"/>
      <c r="BZ275" s="98"/>
      <c r="CA275" s="97"/>
      <c r="CB275" s="97"/>
      <c r="CC275" s="97"/>
      <c r="CD275" s="98"/>
      <c r="CE275" s="97"/>
      <c r="CF275" s="97"/>
      <c r="CG275" s="97"/>
      <c r="CH275" s="98"/>
      <c r="CI275" s="97"/>
      <c r="CJ275" s="97"/>
      <c r="CK275" s="97"/>
      <c r="CL275" s="98"/>
      <c r="CM275" s="97"/>
      <c r="CN275" s="97"/>
      <c r="CO275" s="97"/>
      <c r="CP275" s="98"/>
      <c r="CQ275" s="97"/>
      <c r="CR275" s="97"/>
      <c r="CS275" s="97"/>
      <c r="CT275" s="98"/>
      <c r="CU275" s="97"/>
      <c r="CV275" s="97"/>
      <c r="CW275" s="97"/>
      <c r="CX275" s="98"/>
      <c r="CY275" s="97"/>
      <c r="CZ275" s="97"/>
      <c r="DA275" s="97"/>
      <c r="DB275" s="98"/>
      <c r="DC275" s="75"/>
      <c r="DD275" s="97"/>
      <c r="DE275" s="97"/>
      <c r="DF275" s="98"/>
      <c r="DG275" s="75"/>
      <c r="DH275" s="78"/>
      <c r="DI275" s="99"/>
      <c r="DJ275" s="98"/>
      <c r="DL275" s="40"/>
      <c r="DM275" s="36"/>
      <c r="DN275" s="36"/>
      <c r="DO275" s="36"/>
      <c r="DP275" s="36"/>
      <c r="DQ275" s="100"/>
      <c r="DR275" s="36"/>
      <c r="DS275" s="100"/>
      <c r="DT275" s="36"/>
      <c r="DU275" s="36"/>
      <c r="DV275" s="41"/>
    </row>
    <row r="276" spans="10:126">
      <c r="J276" s="96"/>
      <c r="L276" s="75"/>
      <c r="N276" s="75"/>
      <c r="O276" s="75"/>
      <c r="P276" s="72"/>
      <c r="Q276" s="72"/>
      <c r="S276" s="68"/>
      <c r="T276" s="68"/>
      <c r="V276" s="96"/>
      <c r="W276" s="75"/>
      <c r="X276" s="78"/>
      <c r="Y276" s="97"/>
      <c r="Z276" s="98"/>
      <c r="AA276" s="77"/>
      <c r="AB276" s="78"/>
      <c r="AC276" s="97"/>
      <c r="AD276" s="98"/>
      <c r="AE276" s="77"/>
      <c r="AF276" s="78"/>
      <c r="AG276" s="97"/>
      <c r="AH276" s="98"/>
      <c r="AI276" s="77"/>
      <c r="AJ276" s="78"/>
      <c r="AK276" s="97"/>
      <c r="AL276" s="98"/>
      <c r="AM276" s="77"/>
      <c r="AN276" s="78"/>
      <c r="AO276" s="97"/>
      <c r="AP276" s="98"/>
      <c r="AQ276" s="77"/>
      <c r="AR276" s="78"/>
      <c r="AS276" s="97"/>
      <c r="AT276" s="98"/>
      <c r="AU276" s="77"/>
      <c r="AV276" s="97"/>
      <c r="AW276" s="97"/>
      <c r="AX276" s="98"/>
      <c r="AY276" s="77"/>
      <c r="AZ276" s="97"/>
      <c r="BA276" s="97"/>
      <c r="BB276" s="98"/>
      <c r="BC276" s="77"/>
      <c r="BD276" s="97"/>
      <c r="BE276" s="97"/>
      <c r="BF276" s="98"/>
      <c r="BG276" s="77"/>
      <c r="BH276" s="97"/>
      <c r="BI276" s="97"/>
      <c r="BJ276" s="98"/>
      <c r="BK276" s="77"/>
      <c r="BL276" s="97"/>
      <c r="BM276" s="97"/>
      <c r="BN276" s="98"/>
      <c r="BO276" s="77"/>
      <c r="BP276" s="97"/>
      <c r="BQ276" s="97"/>
      <c r="BR276" s="98"/>
      <c r="BS276" s="77"/>
      <c r="BT276" s="97"/>
      <c r="BU276" s="97"/>
      <c r="BV276" s="98"/>
      <c r="BW276" s="77"/>
      <c r="BX276" s="97"/>
      <c r="BY276" s="97"/>
      <c r="BZ276" s="98"/>
      <c r="CA276" s="97"/>
      <c r="CB276" s="97"/>
      <c r="CC276" s="97"/>
      <c r="CD276" s="98"/>
      <c r="CE276" s="97"/>
      <c r="CF276" s="97"/>
      <c r="CG276" s="97"/>
      <c r="CH276" s="98"/>
      <c r="CI276" s="97"/>
      <c r="CJ276" s="97"/>
      <c r="CK276" s="97"/>
      <c r="CL276" s="98"/>
      <c r="CM276" s="97"/>
      <c r="CN276" s="97"/>
      <c r="CO276" s="97"/>
      <c r="CP276" s="98"/>
      <c r="CQ276" s="97"/>
      <c r="CR276" s="97"/>
      <c r="CS276" s="97"/>
      <c r="CT276" s="98"/>
      <c r="CU276" s="97"/>
      <c r="CV276" s="97"/>
      <c r="CW276" s="97"/>
      <c r="CX276" s="98"/>
      <c r="CY276" s="97"/>
      <c r="CZ276" s="97"/>
      <c r="DA276" s="97"/>
      <c r="DB276" s="98"/>
      <c r="DC276" s="75"/>
      <c r="DD276" s="97"/>
      <c r="DE276" s="97"/>
      <c r="DF276" s="98"/>
      <c r="DG276" s="75"/>
      <c r="DH276" s="78"/>
      <c r="DI276" s="99"/>
      <c r="DJ276" s="98"/>
      <c r="DL276" s="40"/>
      <c r="DM276" s="36"/>
      <c r="DN276" s="36"/>
      <c r="DO276" s="36"/>
      <c r="DP276" s="36"/>
      <c r="DQ276" s="100"/>
      <c r="DR276" s="36"/>
      <c r="DS276" s="100"/>
      <c r="DT276" s="36"/>
      <c r="DU276" s="36"/>
      <c r="DV276" s="41"/>
    </row>
    <row r="277" spans="10:126">
      <c r="J277" s="96"/>
      <c r="L277" s="75"/>
      <c r="N277" s="75"/>
      <c r="O277" s="75"/>
      <c r="P277" s="72"/>
      <c r="Q277" s="72"/>
      <c r="S277" s="68"/>
      <c r="T277" s="68"/>
      <c r="V277" s="96"/>
      <c r="W277" s="75"/>
      <c r="X277" s="78"/>
      <c r="Y277" s="97"/>
      <c r="Z277" s="98"/>
      <c r="AA277" s="77"/>
      <c r="AB277" s="78"/>
      <c r="AC277" s="97"/>
      <c r="AD277" s="98"/>
      <c r="AE277" s="77"/>
      <c r="AF277" s="78"/>
      <c r="AG277" s="97"/>
      <c r="AH277" s="98"/>
      <c r="AI277" s="77"/>
      <c r="AJ277" s="78"/>
      <c r="AK277" s="97"/>
      <c r="AL277" s="98"/>
      <c r="AM277" s="77"/>
      <c r="AN277" s="78"/>
      <c r="AO277" s="97"/>
      <c r="AP277" s="98"/>
      <c r="AQ277" s="77"/>
      <c r="AR277" s="78"/>
      <c r="AS277" s="97"/>
      <c r="AT277" s="98"/>
      <c r="AU277" s="77"/>
      <c r="AV277" s="97"/>
      <c r="AW277" s="97"/>
      <c r="AX277" s="98"/>
      <c r="AY277" s="77"/>
      <c r="AZ277" s="97"/>
      <c r="BA277" s="97"/>
      <c r="BB277" s="98"/>
      <c r="BC277" s="77"/>
      <c r="BD277" s="97"/>
      <c r="BE277" s="97"/>
      <c r="BF277" s="98"/>
      <c r="BG277" s="77"/>
      <c r="BH277" s="97"/>
      <c r="BI277" s="97"/>
      <c r="BJ277" s="98"/>
      <c r="BK277" s="77"/>
      <c r="BL277" s="97"/>
      <c r="BM277" s="97"/>
      <c r="BN277" s="98"/>
      <c r="BO277" s="77"/>
      <c r="BP277" s="97"/>
      <c r="BQ277" s="97"/>
      <c r="BR277" s="98"/>
      <c r="BS277" s="77"/>
      <c r="BT277" s="97"/>
      <c r="BU277" s="97"/>
      <c r="BV277" s="98"/>
      <c r="BW277" s="77"/>
      <c r="BX277" s="97"/>
      <c r="BY277" s="97"/>
      <c r="BZ277" s="98"/>
      <c r="CA277" s="97"/>
      <c r="CB277" s="97"/>
      <c r="CC277" s="97"/>
      <c r="CD277" s="98"/>
      <c r="CE277" s="97"/>
      <c r="CF277" s="97"/>
      <c r="CG277" s="97"/>
      <c r="CH277" s="98"/>
      <c r="CI277" s="97"/>
      <c r="CJ277" s="97"/>
      <c r="CK277" s="97"/>
      <c r="CL277" s="98"/>
      <c r="CM277" s="97"/>
      <c r="CN277" s="97"/>
      <c r="CO277" s="97"/>
      <c r="CP277" s="98"/>
      <c r="CQ277" s="97"/>
      <c r="CR277" s="97"/>
      <c r="CS277" s="97"/>
      <c r="CT277" s="98"/>
      <c r="CU277" s="97"/>
      <c r="CV277" s="97"/>
      <c r="CW277" s="97"/>
      <c r="CX277" s="98"/>
      <c r="CY277" s="97"/>
      <c r="CZ277" s="97"/>
      <c r="DA277" s="97"/>
      <c r="DB277" s="98"/>
      <c r="DC277" s="75"/>
      <c r="DD277" s="97"/>
      <c r="DE277" s="97"/>
      <c r="DF277" s="98"/>
      <c r="DG277" s="75"/>
      <c r="DH277" s="78"/>
      <c r="DI277" s="99"/>
      <c r="DJ277" s="98"/>
      <c r="DL277" s="40"/>
      <c r="DM277" s="36"/>
      <c r="DN277" s="36"/>
      <c r="DO277" s="36"/>
      <c r="DP277" s="36"/>
      <c r="DQ277" s="100"/>
      <c r="DR277" s="36"/>
      <c r="DS277" s="100"/>
      <c r="DT277" s="36"/>
      <c r="DU277" s="36"/>
      <c r="DV277" s="41"/>
    </row>
    <row r="278" spans="10:126">
      <c r="J278" s="96"/>
      <c r="L278" s="75"/>
      <c r="N278" s="75"/>
      <c r="O278" s="75"/>
      <c r="P278" s="72"/>
      <c r="Q278" s="72"/>
      <c r="S278" s="68"/>
      <c r="T278" s="68"/>
      <c r="V278" s="96"/>
      <c r="W278" s="75"/>
      <c r="X278" s="78"/>
      <c r="Y278" s="97"/>
      <c r="Z278" s="98"/>
      <c r="AA278" s="77"/>
      <c r="AB278" s="78"/>
      <c r="AC278" s="97"/>
      <c r="AD278" s="98"/>
      <c r="AE278" s="77"/>
      <c r="AF278" s="78"/>
      <c r="AG278" s="97"/>
      <c r="AH278" s="98"/>
      <c r="AI278" s="77"/>
      <c r="AJ278" s="78"/>
      <c r="AK278" s="97"/>
      <c r="AL278" s="98"/>
      <c r="AM278" s="77"/>
      <c r="AN278" s="78"/>
      <c r="AO278" s="97"/>
      <c r="AP278" s="98"/>
      <c r="AQ278" s="77"/>
      <c r="AR278" s="78"/>
      <c r="AS278" s="97"/>
      <c r="AT278" s="98"/>
      <c r="AU278" s="77"/>
      <c r="AV278" s="97"/>
      <c r="AW278" s="97"/>
      <c r="AX278" s="98"/>
      <c r="AY278" s="77"/>
      <c r="AZ278" s="97"/>
      <c r="BA278" s="97"/>
      <c r="BB278" s="98"/>
      <c r="BC278" s="77"/>
      <c r="BD278" s="97"/>
      <c r="BE278" s="97"/>
      <c r="BF278" s="98"/>
      <c r="BG278" s="77"/>
      <c r="BH278" s="97"/>
      <c r="BI278" s="97"/>
      <c r="BJ278" s="98"/>
      <c r="BK278" s="77"/>
      <c r="BL278" s="97"/>
      <c r="BM278" s="97"/>
      <c r="BN278" s="98"/>
      <c r="BO278" s="77"/>
      <c r="BP278" s="97"/>
      <c r="BQ278" s="97"/>
      <c r="BR278" s="98"/>
      <c r="BS278" s="77"/>
      <c r="BT278" s="97"/>
      <c r="BU278" s="97"/>
      <c r="BV278" s="98"/>
      <c r="BW278" s="77"/>
      <c r="BX278" s="97"/>
      <c r="BY278" s="97"/>
      <c r="BZ278" s="98"/>
      <c r="CA278" s="97"/>
      <c r="CB278" s="97"/>
      <c r="CC278" s="97"/>
      <c r="CD278" s="98"/>
      <c r="CE278" s="97"/>
      <c r="CF278" s="97"/>
      <c r="CG278" s="97"/>
      <c r="CH278" s="98"/>
      <c r="CI278" s="97"/>
      <c r="CJ278" s="97"/>
      <c r="CK278" s="97"/>
      <c r="CL278" s="98"/>
      <c r="CM278" s="97"/>
      <c r="CN278" s="97"/>
      <c r="CO278" s="97"/>
      <c r="CP278" s="98"/>
      <c r="CQ278" s="97"/>
      <c r="CR278" s="97"/>
      <c r="CS278" s="97"/>
      <c r="CT278" s="98"/>
      <c r="CU278" s="97"/>
      <c r="CV278" s="97"/>
      <c r="CW278" s="97"/>
      <c r="CX278" s="98"/>
      <c r="CY278" s="97"/>
      <c r="CZ278" s="97"/>
      <c r="DA278" s="97"/>
      <c r="DB278" s="98"/>
      <c r="DC278" s="75"/>
      <c r="DD278" s="97"/>
      <c r="DE278" s="97"/>
      <c r="DF278" s="98"/>
      <c r="DG278" s="75"/>
      <c r="DH278" s="78"/>
      <c r="DI278" s="99"/>
      <c r="DJ278" s="98"/>
      <c r="DL278" s="40"/>
      <c r="DM278" s="36"/>
      <c r="DN278" s="36"/>
      <c r="DO278" s="36"/>
      <c r="DP278" s="36"/>
      <c r="DQ278" s="100"/>
      <c r="DR278" s="36"/>
      <c r="DS278" s="100"/>
      <c r="DT278" s="36"/>
      <c r="DU278" s="36"/>
      <c r="DV278" s="41"/>
    </row>
    <row r="279" spans="10:126">
      <c r="J279" s="96"/>
      <c r="L279" s="75"/>
      <c r="N279" s="75"/>
      <c r="O279" s="75"/>
      <c r="P279" s="72"/>
      <c r="Q279" s="72"/>
      <c r="S279" s="68"/>
      <c r="T279" s="68"/>
      <c r="V279" s="96"/>
      <c r="W279" s="75"/>
      <c r="X279" s="78"/>
      <c r="Y279" s="97"/>
      <c r="Z279" s="98"/>
      <c r="AA279" s="77"/>
      <c r="AB279" s="78"/>
      <c r="AC279" s="97"/>
      <c r="AD279" s="98"/>
      <c r="AE279" s="77"/>
      <c r="AF279" s="78"/>
      <c r="AG279" s="97"/>
      <c r="AH279" s="98"/>
      <c r="AI279" s="77"/>
      <c r="AJ279" s="78"/>
      <c r="AK279" s="97"/>
      <c r="AL279" s="98"/>
      <c r="AM279" s="77"/>
      <c r="AN279" s="78"/>
      <c r="AO279" s="97"/>
      <c r="AP279" s="98"/>
      <c r="AQ279" s="77"/>
      <c r="AR279" s="78"/>
      <c r="AS279" s="97"/>
      <c r="AT279" s="98"/>
      <c r="AU279" s="77"/>
      <c r="AV279" s="97"/>
      <c r="AW279" s="97"/>
      <c r="AX279" s="98"/>
      <c r="AY279" s="77"/>
      <c r="AZ279" s="97"/>
      <c r="BA279" s="97"/>
      <c r="BB279" s="98"/>
      <c r="BC279" s="77"/>
      <c r="BD279" s="97"/>
      <c r="BE279" s="97"/>
      <c r="BF279" s="98"/>
      <c r="BG279" s="77"/>
      <c r="BH279" s="97"/>
      <c r="BI279" s="97"/>
      <c r="BJ279" s="98"/>
      <c r="BK279" s="77"/>
      <c r="BL279" s="97"/>
      <c r="BM279" s="97"/>
      <c r="BN279" s="98"/>
      <c r="BO279" s="77"/>
      <c r="BP279" s="97"/>
      <c r="BQ279" s="97"/>
      <c r="BR279" s="98"/>
      <c r="BS279" s="77"/>
      <c r="BT279" s="97"/>
      <c r="BU279" s="97"/>
      <c r="BV279" s="98"/>
      <c r="BW279" s="77"/>
      <c r="BX279" s="97"/>
      <c r="BY279" s="97"/>
      <c r="BZ279" s="98"/>
      <c r="CA279" s="97"/>
      <c r="CB279" s="97"/>
      <c r="CC279" s="97"/>
      <c r="CD279" s="98"/>
      <c r="CE279" s="97"/>
      <c r="CF279" s="97"/>
      <c r="CG279" s="97"/>
      <c r="CH279" s="98"/>
      <c r="CI279" s="97"/>
      <c r="CJ279" s="97"/>
      <c r="CK279" s="97"/>
      <c r="CL279" s="98"/>
      <c r="CM279" s="97"/>
      <c r="CN279" s="97"/>
      <c r="CO279" s="97"/>
      <c r="CP279" s="98"/>
      <c r="CQ279" s="97"/>
      <c r="CR279" s="97"/>
      <c r="CS279" s="97"/>
      <c r="CT279" s="98"/>
      <c r="CU279" s="97"/>
      <c r="CV279" s="97"/>
      <c r="CW279" s="97"/>
      <c r="CX279" s="98"/>
      <c r="CY279" s="97"/>
      <c r="CZ279" s="97"/>
      <c r="DA279" s="97"/>
      <c r="DB279" s="98"/>
      <c r="DC279" s="75"/>
      <c r="DD279" s="97"/>
      <c r="DE279" s="97"/>
      <c r="DF279" s="98"/>
      <c r="DG279" s="75"/>
      <c r="DH279" s="78"/>
      <c r="DI279" s="99"/>
      <c r="DJ279" s="98"/>
      <c r="DL279" s="40"/>
      <c r="DM279" s="36"/>
      <c r="DN279" s="36"/>
      <c r="DO279" s="36"/>
      <c r="DP279" s="36"/>
      <c r="DQ279" s="100"/>
      <c r="DR279" s="36"/>
      <c r="DS279" s="100"/>
      <c r="DT279" s="36"/>
      <c r="DU279" s="36"/>
      <c r="DV279" s="41"/>
    </row>
    <row r="280" spans="10:126">
      <c r="J280" s="96"/>
      <c r="L280" s="75"/>
      <c r="N280" s="75"/>
      <c r="O280" s="75"/>
      <c r="P280" s="72"/>
      <c r="Q280" s="72"/>
      <c r="S280" s="68"/>
      <c r="T280" s="68"/>
      <c r="V280" s="96"/>
      <c r="W280" s="75"/>
      <c r="X280" s="78"/>
      <c r="Y280" s="97"/>
      <c r="Z280" s="98"/>
      <c r="AA280" s="77"/>
      <c r="AB280" s="78"/>
      <c r="AC280" s="97"/>
      <c r="AD280" s="98"/>
      <c r="AE280" s="77"/>
      <c r="AF280" s="78"/>
      <c r="AG280" s="97"/>
      <c r="AH280" s="98"/>
      <c r="AI280" s="77"/>
      <c r="AJ280" s="78"/>
      <c r="AK280" s="97"/>
      <c r="AL280" s="98"/>
      <c r="AM280" s="77"/>
      <c r="AN280" s="78"/>
      <c r="AO280" s="97"/>
      <c r="AP280" s="98"/>
      <c r="AQ280" s="77"/>
      <c r="AR280" s="78"/>
      <c r="AS280" s="97"/>
      <c r="AT280" s="98"/>
      <c r="AU280" s="77"/>
      <c r="AV280" s="97"/>
      <c r="AW280" s="97"/>
      <c r="AX280" s="98"/>
      <c r="AY280" s="77"/>
      <c r="AZ280" s="97"/>
      <c r="BA280" s="97"/>
      <c r="BB280" s="98"/>
      <c r="BC280" s="77"/>
      <c r="BD280" s="97"/>
      <c r="BE280" s="97"/>
      <c r="BF280" s="98"/>
      <c r="BG280" s="77"/>
      <c r="BH280" s="97"/>
      <c r="BI280" s="97"/>
      <c r="BJ280" s="98"/>
      <c r="BK280" s="77"/>
      <c r="BL280" s="97"/>
      <c r="BM280" s="97"/>
      <c r="BN280" s="98"/>
      <c r="BO280" s="77"/>
      <c r="BP280" s="97"/>
      <c r="BQ280" s="97"/>
      <c r="BR280" s="98"/>
      <c r="BS280" s="77"/>
      <c r="BT280" s="97"/>
      <c r="BU280" s="97"/>
      <c r="BV280" s="98"/>
      <c r="BW280" s="77"/>
      <c r="BX280" s="97"/>
      <c r="BY280" s="97"/>
      <c r="BZ280" s="98"/>
      <c r="CA280" s="97"/>
      <c r="CB280" s="97"/>
      <c r="CC280" s="97"/>
      <c r="CD280" s="98"/>
      <c r="CE280" s="97"/>
      <c r="CF280" s="97"/>
      <c r="CG280" s="97"/>
      <c r="CH280" s="98"/>
      <c r="CI280" s="97"/>
      <c r="CJ280" s="97"/>
      <c r="CK280" s="97"/>
      <c r="CL280" s="98"/>
      <c r="CM280" s="97"/>
      <c r="CN280" s="97"/>
      <c r="CO280" s="97"/>
      <c r="CP280" s="98"/>
      <c r="CQ280" s="97"/>
      <c r="CR280" s="97"/>
      <c r="CS280" s="97"/>
      <c r="CT280" s="98"/>
      <c r="CU280" s="97"/>
      <c r="CV280" s="97"/>
      <c r="CW280" s="97"/>
      <c r="CX280" s="98"/>
      <c r="CY280" s="97"/>
      <c r="CZ280" s="97"/>
      <c r="DA280" s="97"/>
      <c r="DB280" s="98"/>
      <c r="DC280" s="75"/>
      <c r="DD280" s="97"/>
      <c r="DE280" s="97"/>
      <c r="DF280" s="98"/>
      <c r="DG280" s="75"/>
      <c r="DH280" s="78"/>
      <c r="DI280" s="99"/>
      <c r="DJ280" s="98"/>
      <c r="DL280" s="40"/>
      <c r="DM280" s="36"/>
      <c r="DN280" s="36"/>
      <c r="DO280" s="36"/>
      <c r="DP280" s="36"/>
      <c r="DQ280" s="100"/>
      <c r="DR280" s="36"/>
      <c r="DS280" s="100"/>
      <c r="DT280" s="36"/>
      <c r="DU280" s="36"/>
      <c r="DV280" s="41"/>
    </row>
    <row r="281" spans="10:126">
      <c r="J281" s="96"/>
      <c r="L281" s="75"/>
      <c r="N281" s="75"/>
      <c r="O281" s="75"/>
      <c r="P281" s="72"/>
      <c r="Q281" s="72"/>
      <c r="S281" s="68"/>
      <c r="T281" s="68"/>
      <c r="V281" s="96"/>
      <c r="W281" s="75"/>
      <c r="X281" s="78"/>
      <c r="Y281" s="97"/>
      <c r="Z281" s="98"/>
      <c r="AA281" s="77"/>
      <c r="AB281" s="78"/>
      <c r="AC281" s="97"/>
      <c r="AD281" s="98"/>
      <c r="AE281" s="77"/>
      <c r="AF281" s="78"/>
      <c r="AG281" s="97"/>
      <c r="AH281" s="98"/>
      <c r="AI281" s="77"/>
      <c r="AJ281" s="78"/>
      <c r="AK281" s="97"/>
      <c r="AL281" s="98"/>
      <c r="AM281" s="77"/>
      <c r="AN281" s="78"/>
      <c r="AO281" s="97"/>
      <c r="AP281" s="98"/>
      <c r="AQ281" s="77"/>
      <c r="AR281" s="78"/>
      <c r="AS281" s="97"/>
      <c r="AT281" s="98"/>
      <c r="AU281" s="77"/>
      <c r="AV281" s="97"/>
      <c r="AW281" s="97"/>
      <c r="AX281" s="98"/>
      <c r="AY281" s="77"/>
      <c r="AZ281" s="97"/>
      <c r="BA281" s="97"/>
      <c r="BB281" s="98"/>
      <c r="BC281" s="77"/>
      <c r="BD281" s="97"/>
      <c r="BE281" s="97"/>
      <c r="BF281" s="98"/>
      <c r="BG281" s="77"/>
      <c r="BH281" s="97"/>
      <c r="BI281" s="97"/>
      <c r="BJ281" s="98"/>
      <c r="BK281" s="77"/>
      <c r="BL281" s="97"/>
      <c r="BM281" s="97"/>
      <c r="BN281" s="98"/>
      <c r="BO281" s="77"/>
      <c r="BP281" s="97"/>
      <c r="BQ281" s="97"/>
      <c r="BR281" s="98"/>
      <c r="BS281" s="77"/>
      <c r="BT281" s="97"/>
      <c r="BU281" s="97"/>
      <c r="BV281" s="98"/>
      <c r="BW281" s="77"/>
      <c r="BX281" s="97"/>
      <c r="BY281" s="97"/>
      <c r="BZ281" s="98"/>
      <c r="CA281" s="97"/>
      <c r="CB281" s="97"/>
      <c r="CC281" s="97"/>
      <c r="CD281" s="98"/>
      <c r="CE281" s="97"/>
      <c r="CF281" s="97"/>
      <c r="CG281" s="97"/>
      <c r="CH281" s="98"/>
      <c r="CI281" s="97"/>
      <c r="CJ281" s="97"/>
      <c r="CK281" s="97"/>
      <c r="CL281" s="98"/>
      <c r="CM281" s="97"/>
      <c r="CN281" s="97"/>
      <c r="CO281" s="97"/>
      <c r="CP281" s="98"/>
      <c r="CQ281" s="97"/>
      <c r="CR281" s="97"/>
      <c r="CS281" s="97"/>
      <c r="CT281" s="98"/>
      <c r="CU281" s="97"/>
      <c r="CV281" s="97"/>
      <c r="CW281" s="97"/>
      <c r="CX281" s="98"/>
      <c r="CY281" s="97"/>
      <c r="CZ281" s="97"/>
      <c r="DA281" s="97"/>
      <c r="DB281" s="98"/>
      <c r="DC281" s="75"/>
      <c r="DD281" s="97"/>
      <c r="DE281" s="97"/>
      <c r="DF281" s="98"/>
      <c r="DG281" s="75"/>
      <c r="DH281" s="78"/>
      <c r="DI281" s="99"/>
      <c r="DJ281" s="98"/>
      <c r="DL281" s="40"/>
      <c r="DM281" s="36"/>
      <c r="DN281" s="36"/>
      <c r="DO281" s="36"/>
      <c r="DP281" s="36"/>
      <c r="DQ281" s="100"/>
      <c r="DR281" s="36"/>
      <c r="DS281" s="100"/>
      <c r="DT281" s="36"/>
      <c r="DU281" s="36"/>
      <c r="DV281" s="41"/>
    </row>
    <row r="282" spans="10:126">
      <c r="J282" s="96"/>
      <c r="L282" s="75"/>
      <c r="N282" s="75"/>
      <c r="O282" s="75"/>
      <c r="P282" s="72"/>
      <c r="Q282" s="72"/>
      <c r="S282" s="68"/>
      <c r="T282" s="68"/>
      <c r="V282" s="96"/>
      <c r="W282" s="75"/>
      <c r="X282" s="78"/>
      <c r="Y282" s="97"/>
      <c r="Z282" s="98"/>
      <c r="AA282" s="77"/>
      <c r="AB282" s="78"/>
      <c r="AC282" s="97"/>
      <c r="AD282" s="98"/>
      <c r="AE282" s="77"/>
      <c r="AF282" s="78"/>
      <c r="AG282" s="97"/>
      <c r="AH282" s="98"/>
      <c r="AI282" s="77"/>
      <c r="AJ282" s="78"/>
      <c r="AK282" s="97"/>
      <c r="AL282" s="98"/>
      <c r="AM282" s="77"/>
      <c r="AN282" s="78"/>
      <c r="AO282" s="97"/>
      <c r="AP282" s="98"/>
      <c r="AQ282" s="77"/>
      <c r="AR282" s="78"/>
      <c r="AS282" s="97"/>
      <c r="AT282" s="98"/>
      <c r="AU282" s="77"/>
      <c r="AV282" s="97"/>
      <c r="AW282" s="97"/>
      <c r="AX282" s="98"/>
      <c r="AY282" s="77"/>
      <c r="AZ282" s="97"/>
      <c r="BA282" s="97"/>
      <c r="BB282" s="98"/>
      <c r="BC282" s="77"/>
      <c r="BD282" s="97"/>
      <c r="BE282" s="97"/>
      <c r="BF282" s="98"/>
      <c r="BG282" s="77"/>
      <c r="BH282" s="97"/>
      <c r="BI282" s="97"/>
      <c r="BJ282" s="98"/>
      <c r="BK282" s="77"/>
      <c r="BL282" s="97"/>
      <c r="BM282" s="97"/>
      <c r="BN282" s="98"/>
      <c r="BO282" s="77"/>
      <c r="BP282" s="97"/>
      <c r="BQ282" s="97"/>
      <c r="BR282" s="98"/>
      <c r="BS282" s="77"/>
      <c r="BT282" s="97"/>
      <c r="BU282" s="97"/>
      <c r="BV282" s="98"/>
      <c r="BW282" s="77"/>
      <c r="BX282" s="97"/>
      <c r="BY282" s="97"/>
      <c r="BZ282" s="98"/>
      <c r="CA282" s="97"/>
      <c r="CB282" s="97"/>
      <c r="CC282" s="97"/>
      <c r="CD282" s="98"/>
      <c r="CE282" s="97"/>
      <c r="CF282" s="97"/>
      <c r="CG282" s="97"/>
      <c r="CH282" s="98"/>
      <c r="CI282" s="97"/>
      <c r="CJ282" s="97"/>
      <c r="CK282" s="97"/>
      <c r="CL282" s="98"/>
      <c r="CM282" s="97"/>
      <c r="CN282" s="97"/>
      <c r="CO282" s="97"/>
      <c r="CP282" s="98"/>
      <c r="CQ282" s="97"/>
      <c r="CR282" s="97"/>
      <c r="CS282" s="97"/>
      <c r="CT282" s="98"/>
      <c r="CU282" s="97"/>
      <c r="CV282" s="97"/>
      <c r="CW282" s="97"/>
      <c r="CX282" s="98"/>
      <c r="CY282" s="97"/>
      <c r="CZ282" s="97"/>
      <c r="DA282" s="97"/>
      <c r="DB282" s="98"/>
      <c r="DC282" s="75"/>
      <c r="DD282" s="97"/>
      <c r="DE282" s="97"/>
      <c r="DF282" s="98"/>
      <c r="DG282" s="75"/>
      <c r="DH282" s="78"/>
      <c r="DI282" s="99"/>
      <c r="DJ282" s="98"/>
      <c r="DL282" s="40"/>
      <c r="DM282" s="36"/>
      <c r="DN282" s="36"/>
      <c r="DO282" s="36"/>
      <c r="DP282" s="36"/>
      <c r="DQ282" s="100"/>
      <c r="DR282" s="36"/>
      <c r="DS282" s="100"/>
      <c r="DT282" s="36"/>
      <c r="DU282" s="36"/>
      <c r="DV282" s="41"/>
    </row>
    <row r="283" spans="10:126">
      <c r="J283" s="96"/>
      <c r="L283" s="75"/>
      <c r="N283" s="75"/>
      <c r="O283" s="75"/>
      <c r="P283" s="72"/>
      <c r="Q283" s="72"/>
      <c r="S283" s="68"/>
      <c r="T283" s="68"/>
      <c r="V283" s="96"/>
      <c r="W283" s="75"/>
      <c r="X283" s="78"/>
      <c r="Y283" s="97"/>
      <c r="Z283" s="98"/>
      <c r="AA283" s="77"/>
      <c r="AB283" s="78"/>
      <c r="AC283" s="97"/>
      <c r="AD283" s="98"/>
      <c r="AE283" s="77"/>
      <c r="AF283" s="78"/>
      <c r="AG283" s="97"/>
      <c r="AH283" s="98"/>
      <c r="AI283" s="77"/>
      <c r="AJ283" s="78"/>
      <c r="AK283" s="97"/>
      <c r="AL283" s="98"/>
      <c r="AM283" s="77"/>
      <c r="AN283" s="78"/>
      <c r="AO283" s="97"/>
      <c r="AP283" s="98"/>
      <c r="AQ283" s="77"/>
      <c r="AR283" s="78"/>
      <c r="AS283" s="97"/>
      <c r="AT283" s="98"/>
      <c r="AU283" s="77"/>
      <c r="AV283" s="97"/>
      <c r="AW283" s="97"/>
      <c r="AX283" s="98"/>
      <c r="AY283" s="77"/>
      <c r="AZ283" s="97"/>
      <c r="BA283" s="97"/>
      <c r="BB283" s="98"/>
      <c r="BC283" s="77"/>
      <c r="BD283" s="97"/>
      <c r="BE283" s="97"/>
      <c r="BF283" s="98"/>
      <c r="BG283" s="77"/>
      <c r="BH283" s="97"/>
      <c r="BI283" s="97"/>
      <c r="BJ283" s="98"/>
      <c r="BK283" s="77"/>
      <c r="BL283" s="97"/>
      <c r="BM283" s="97"/>
      <c r="BN283" s="98"/>
      <c r="BO283" s="77"/>
      <c r="BP283" s="97"/>
      <c r="BQ283" s="97"/>
      <c r="BR283" s="98"/>
      <c r="BS283" s="77"/>
      <c r="BT283" s="97"/>
      <c r="BU283" s="97"/>
      <c r="BV283" s="98"/>
      <c r="BW283" s="77"/>
      <c r="BX283" s="97"/>
      <c r="BY283" s="97"/>
      <c r="BZ283" s="98"/>
      <c r="CA283" s="97"/>
      <c r="CB283" s="97"/>
      <c r="CC283" s="97"/>
      <c r="CD283" s="98"/>
      <c r="CE283" s="97"/>
      <c r="CF283" s="97"/>
      <c r="CG283" s="97"/>
      <c r="CH283" s="98"/>
      <c r="CI283" s="97"/>
      <c r="CJ283" s="97"/>
      <c r="CK283" s="97"/>
      <c r="CL283" s="98"/>
      <c r="CM283" s="97"/>
      <c r="CN283" s="97"/>
      <c r="CO283" s="97"/>
      <c r="CP283" s="98"/>
      <c r="CQ283" s="97"/>
      <c r="CR283" s="97"/>
      <c r="CS283" s="97"/>
      <c r="CT283" s="98"/>
      <c r="CU283" s="97"/>
      <c r="CV283" s="97"/>
      <c r="CW283" s="97"/>
      <c r="CX283" s="98"/>
      <c r="CY283" s="97"/>
      <c r="CZ283" s="97"/>
      <c r="DA283" s="97"/>
      <c r="DB283" s="98"/>
      <c r="DC283" s="75"/>
      <c r="DD283" s="97"/>
      <c r="DE283" s="97"/>
      <c r="DF283" s="98"/>
      <c r="DG283" s="75"/>
      <c r="DH283" s="78"/>
      <c r="DI283" s="99"/>
      <c r="DJ283" s="98"/>
      <c r="DL283" s="40"/>
      <c r="DM283" s="36"/>
      <c r="DN283" s="36"/>
      <c r="DO283" s="36"/>
      <c r="DP283" s="36"/>
      <c r="DQ283" s="100"/>
      <c r="DR283" s="36"/>
      <c r="DS283" s="100"/>
      <c r="DT283" s="36"/>
      <c r="DU283" s="36"/>
      <c r="DV283" s="41"/>
    </row>
    <row r="284" spans="10:126">
      <c r="J284" s="96"/>
      <c r="L284" s="75"/>
      <c r="N284" s="75"/>
      <c r="O284" s="75"/>
      <c r="P284" s="72"/>
      <c r="Q284" s="72"/>
      <c r="S284" s="68"/>
      <c r="T284" s="68"/>
      <c r="V284" s="96"/>
      <c r="W284" s="75"/>
      <c r="X284" s="78"/>
      <c r="Y284" s="97"/>
      <c r="Z284" s="98"/>
      <c r="AA284" s="77"/>
      <c r="AB284" s="78"/>
      <c r="AC284" s="97"/>
      <c r="AD284" s="98"/>
      <c r="AE284" s="77"/>
      <c r="AF284" s="78"/>
      <c r="AG284" s="97"/>
      <c r="AH284" s="98"/>
      <c r="AI284" s="77"/>
      <c r="AJ284" s="78"/>
      <c r="AK284" s="97"/>
      <c r="AL284" s="98"/>
      <c r="AM284" s="77"/>
      <c r="AN284" s="78"/>
      <c r="AO284" s="97"/>
      <c r="AP284" s="98"/>
      <c r="AQ284" s="77"/>
      <c r="AR284" s="78"/>
      <c r="AS284" s="97"/>
      <c r="AT284" s="98"/>
      <c r="AU284" s="77"/>
      <c r="AV284" s="97"/>
      <c r="AW284" s="97"/>
      <c r="AX284" s="98"/>
      <c r="AY284" s="77"/>
      <c r="AZ284" s="97"/>
      <c r="BA284" s="97"/>
      <c r="BB284" s="98"/>
      <c r="BC284" s="77"/>
      <c r="BD284" s="97"/>
      <c r="BE284" s="97"/>
      <c r="BF284" s="98"/>
      <c r="BG284" s="77"/>
      <c r="BH284" s="97"/>
      <c r="BI284" s="97"/>
      <c r="BJ284" s="98"/>
      <c r="BK284" s="77"/>
      <c r="BL284" s="97"/>
      <c r="BM284" s="97"/>
      <c r="BN284" s="98"/>
      <c r="BO284" s="77"/>
      <c r="BP284" s="97"/>
      <c r="BQ284" s="97"/>
      <c r="BR284" s="98"/>
      <c r="BS284" s="77"/>
      <c r="BT284" s="97"/>
      <c r="BU284" s="97"/>
      <c r="BV284" s="98"/>
      <c r="BW284" s="77"/>
      <c r="BX284" s="97"/>
      <c r="BY284" s="97"/>
      <c r="BZ284" s="98"/>
      <c r="CA284" s="97"/>
      <c r="CB284" s="97"/>
      <c r="CC284" s="97"/>
      <c r="CD284" s="98"/>
      <c r="CE284" s="97"/>
      <c r="CF284" s="97"/>
      <c r="CG284" s="97"/>
      <c r="CH284" s="98"/>
      <c r="CI284" s="97"/>
      <c r="CJ284" s="97"/>
      <c r="CK284" s="97"/>
      <c r="CL284" s="98"/>
      <c r="CM284" s="97"/>
      <c r="CN284" s="97"/>
      <c r="CO284" s="97"/>
      <c r="CP284" s="98"/>
      <c r="CQ284" s="97"/>
      <c r="CR284" s="97"/>
      <c r="CS284" s="97"/>
      <c r="CT284" s="98"/>
      <c r="CU284" s="97"/>
      <c r="CV284" s="97"/>
      <c r="CW284" s="97"/>
      <c r="CX284" s="98"/>
      <c r="CY284" s="97"/>
      <c r="CZ284" s="97"/>
      <c r="DA284" s="97"/>
      <c r="DB284" s="98"/>
      <c r="DC284" s="75"/>
      <c r="DD284" s="97"/>
      <c r="DE284" s="97"/>
      <c r="DF284" s="98"/>
      <c r="DG284" s="75"/>
      <c r="DH284" s="78"/>
      <c r="DI284" s="99"/>
      <c r="DJ284" s="98"/>
      <c r="DL284" s="40"/>
      <c r="DM284" s="36"/>
      <c r="DN284" s="36"/>
      <c r="DO284" s="36"/>
      <c r="DP284" s="36"/>
      <c r="DQ284" s="100"/>
      <c r="DR284" s="36"/>
      <c r="DS284" s="100"/>
      <c r="DT284" s="36"/>
      <c r="DU284" s="36"/>
      <c r="DV284" s="41"/>
    </row>
    <row r="285" spans="10:126">
      <c r="J285" s="96"/>
      <c r="L285" s="75"/>
      <c r="N285" s="75"/>
      <c r="O285" s="75"/>
      <c r="P285" s="72"/>
      <c r="Q285" s="72"/>
      <c r="S285" s="68"/>
      <c r="T285" s="68"/>
      <c r="V285" s="96"/>
      <c r="W285" s="75"/>
      <c r="X285" s="78"/>
      <c r="Y285" s="97"/>
      <c r="Z285" s="98"/>
      <c r="AA285" s="77"/>
      <c r="AB285" s="78"/>
      <c r="AC285" s="97"/>
      <c r="AD285" s="98"/>
      <c r="AE285" s="77"/>
      <c r="AF285" s="78"/>
      <c r="AG285" s="97"/>
      <c r="AH285" s="98"/>
      <c r="AI285" s="77"/>
      <c r="AJ285" s="78"/>
      <c r="AK285" s="97"/>
      <c r="AL285" s="98"/>
      <c r="AM285" s="77"/>
      <c r="AN285" s="78"/>
      <c r="AO285" s="97"/>
      <c r="AP285" s="98"/>
      <c r="AQ285" s="77"/>
      <c r="AR285" s="78"/>
      <c r="AS285" s="97"/>
      <c r="AT285" s="98"/>
      <c r="AU285" s="77"/>
      <c r="AV285" s="97"/>
      <c r="AW285" s="97"/>
      <c r="AX285" s="98"/>
      <c r="AY285" s="77"/>
      <c r="AZ285" s="97"/>
      <c r="BA285" s="97"/>
      <c r="BB285" s="98"/>
      <c r="BC285" s="77"/>
      <c r="BD285" s="97"/>
      <c r="BE285" s="97"/>
      <c r="BF285" s="98"/>
      <c r="BG285" s="77"/>
      <c r="BH285" s="97"/>
      <c r="BI285" s="97"/>
      <c r="BJ285" s="98"/>
      <c r="BK285" s="77"/>
      <c r="BL285" s="97"/>
      <c r="BM285" s="97"/>
      <c r="BN285" s="98"/>
      <c r="BO285" s="77"/>
      <c r="BP285" s="97"/>
      <c r="BQ285" s="97"/>
      <c r="BR285" s="98"/>
      <c r="BS285" s="77"/>
      <c r="BT285" s="97"/>
      <c r="BU285" s="97"/>
      <c r="BV285" s="98"/>
      <c r="BW285" s="77"/>
      <c r="BX285" s="97"/>
      <c r="BY285" s="97"/>
      <c r="BZ285" s="98"/>
      <c r="CA285" s="97"/>
      <c r="CB285" s="97"/>
      <c r="CC285" s="97"/>
      <c r="CD285" s="98"/>
      <c r="CE285" s="97"/>
      <c r="CF285" s="97"/>
      <c r="CG285" s="97"/>
      <c r="CH285" s="98"/>
      <c r="CI285" s="97"/>
      <c r="CJ285" s="97"/>
      <c r="CK285" s="97"/>
      <c r="CL285" s="98"/>
      <c r="CM285" s="97"/>
      <c r="CN285" s="97"/>
      <c r="CO285" s="97"/>
      <c r="CP285" s="98"/>
      <c r="CQ285" s="97"/>
      <c r="CR285" s="97"/>
      <c r="CS285" s="97"/>
      <c r="CT285" s="98"/>
      <c r="CU285" s="97"/>
      <c r="CV285" s="97"/>
      <c r="CW285" s="97"/>
      <c r="CX285" s="98"/>
      <c r="CY285" s="97"/>
      <c r="CZ285" s="97"/>
      <c r="DA285" s="97"/>
      <c r="DB285" s="98"/>
      <c r="DC285" s="75"/>
      <c r="DD285" s="97"/>
      <c r="DE285" s="97"/>
      <c r="DF285" s="98"/>
      <c r="DG285" s="75"/>
      <c r="DH285" s="78"/>
      <c r="DI285" s="99"/>
      <c r="DJ285" s="98"/>
      <c r="DL285" s="40"/>
      <c r="DM285" s="36"/>
      <c r="DN285" s="36"/>
      <c r="DO285" s="36"/>
      <c r="DP285" s="36"/>
      <c r="DQ285" s="100"/>
      <c r="DR285" s="36"/>
      <c r="DS285" s="100"/>
      <c r="DT285" s="36"/>
      <c r="DU285" s="36"/>
      <c r="DV285" s="41"/>
    </row>
    <row r="286" spans="10:126">
      <c r="J286" s="96"/>
      <c r="L286" s="75"/>
      <c r="N286" s="75"/>
      <c r="O286" s="75"/>
      <c r="P286" s="72"/>
      <c r="Q286" s="72"/>
      <c r="S286" s="68"/>
      <c r="T286" s="68"/>
      <c r="V286" s="96"/>
      <c r="W286" s="75"/>
      <c r="X286" s="78"/>
      <c r="Y286" s="97"/>
      <c r="Z286" s="98"/>
      <c r="AA286" s="77"/>
      <c r="AB286" s="78"/>
      <c r="AC286" s="97"/>
      <c r="AD286" s="98"/>
      <c r="AE286" s="77"/>
      <c r="AF286" s="78"/>
      <c r="AG286" s="97"/>
      <c r="AH286" s="98"/>
      <c r="AI286" s="77"/>
      <c r="AJ286" s="78"/>
      <c r="AK286" s="97"/>
      <c r="AL286" s="98"/>
      <c r="AM286" s="77"/>
      <c r="AN286" s="78"/>
      <c r="AO286" s="97"/>
      <c r="AP286" s="98"/>
      <c r="AQ286" s="77"/>
      <c r="AR286" s="78"/>
      <c r="AS286" s="97"/>
      <c r="AT286" s="98"/>
      <c r="AU286" s="77"/>
      <c r="AV286" s="97"/>
      <c r="AW286" s="97"/>
      <c r="AX286" s="98"/>
      <c r="AY286" s="77"/>
      <c r="AZ286" s="97"/>
      <c r="BA286" s="97"/>
      <c r="BB286" s="98"/>
      <c r="BC286" s="77"/>
      <c r="BD286" s="97"/>
      <c r="BE286" s="97"/>
      <c r="BF286" s="98"/>
      <c r="BG286" s="77"/>
      <c r="BH286" s="97"/>
      <c r="BI286" s="97"/>
      <c r="BJ286" s="98"/>
      <c r="BK286" s="77"/>
      <c r="BL286" s="97"/>
      <c r="BM286" s="97"/>
      <c r="BN286" s="98"/>
      <c r="BO286" s="77"/>
      <c r="BP286" s="97"/>
      <c r="BQ286" s="97"/>
      <c r="BR286" s="98"/>
      <c r="BS286" s="77"/>
      <c r="BT286" s="97"/>
      <c r="BU286" s="97"/>
      <c r="BV286" s="98"/>
      <c r="BW286" s="77"/>
      <c r="BX286" s="97"/>
      <c r="BY286" s="97"/>
      <c r="BZ286" s="98"/>
      <c r="CA286" s="97"/>
      <c r="CB286" s="97"/>
      <c r="CC286" s="97"/>
      <c r="CD286" s="98"/>
      <c r="CE286" s="97"/>
      <c r="CF286" s="97"/>
      <c r="CG286" s="97"/>
      <c r="CH286" s="98"/>
      <c r="CI286" s="97"/>
      <c r="CJ286" s="97"/>
      <c r="CK286" s="97"/>
      <c r="CL286" s="98"/>
      <c r="CM286" s="97"/>
      <c r="CN286" s="97"/>
      <c r="CO286" s="97"/>
      <c r="CP286" s="98"/>
      <c r="CQ286" s="97"/>
      <c r="CR286" s="97"/>
      <c r="CS286" s="97"/>
      <c r="CT286" s="98"/>
      <c r="CU286" s="97"/>
      <c r="CV286" s="97"/>
      <c r="CW286" s="97"/>
      <c r="CX286" s="98"/>
      <c r="CY286" s="97"/>
      <c r="CZ286" s="97"/>
      <c r="DA286" s="97"/>
      <c r="DB286" s="98"/>
      <c r="DC286" s="75"/>
      <c r="DD286" s="97"/>
      <c r="DE286" s="97"/>
      <c r="DF286" s="98"/>
      <c r="DG286" s="75"/>
      <c r="DH286" s="78"/>
      <c r="DI286" s="99"/>
      <c r="DJ286" s="98"/>
      <c r="DL286" s="40"/>
      <c r="DM286" s="36"/>
      <c r="DN286" s="36"/>
      <c r="DO286" s="36"/>
      <c r="DP286" s="36"/>
      <c r="DQ286" s="100"/>
      <c r="DR286" s="36"/>
      <c r="DS286" s="100"/>
      <c r="DT286" s="36"/>
      <c r="DU286" s="36"/>
      <c r="DV286" s="41"/>
    </row>
    <row r="287" spans="10:126">
      <c r="J287" s="96"/>
      <c r="L287" s="75"/>
      <c r="N287" s="75"/>
      <c r="O287" s="75"/>
      <c r="P287" s="72"/>
      <c r="Q287" s="72"/>
      <c r="S287" s="68"/>
      <c r="T287" s="68"/>
      <c r="V287" s="96"/>
      <c r="W287" s="75"/>
      <c r="X287" s="78"/>
      <c r="Y287" s="97"/>
      <c r="Z287" s="98"/>
      <c r="AA287" s="77"/>
      <c r="AB287" s="78"/>
      <c r="AC287" s="97"/>
      <c r="AD287" s="98"/>
      <c r="AE287" s="77"/>
      <c r="AF287" s="78"/>
      <c r="AG287" s="97"/>
      <c r="AH287" s="98"/>
      <c r="AI287" s="77"/>
      <c r="AJ287" s="78"/>
      <c r="AK287" s="97"/>
      <c r="AL287" s="98"/>
      <c r="AM287" s="77"/>
      <c r="AN287" s="78"/>
      <c r="AO287" s="97"/>
      <c r="AP287" s="98"/>
      <c r="AQ287" s="77"/>
      <c r="AR287" s="78"/>
      <c r="AS287" s="97"/>
      <c r="AT287" s="98"/>
      <c r="AU287" s="77"/>
      <c r="AV287" s="97"/>
      <c r="AW287" s="97"/>
      <c r="AX287" s="98"/>
      <c r="AY287" s="77"/>
      <c r="AZ287" s="97"/>
      <c r="BA287" s="97"/>
      <c r="BB287" s="98"/>
      <c r="BC287" s="77"/>
      <c r="BD287" s="97"/>
      <c r="BE287" s="97"/>
      <c r="BF287" s="98"/>
      <c r="BG287" s="77"/>
      <c r="BH287" s="97"/>
      <c r="BI287" s="97"/>
      <c r="BJ287" s="98"/>
      <c r="BK287" s="77"/>
      <c r="BL287" s="97"/>
      <c r="BM287" s="97"/>
      <c r="BN287" s="98"/>
      <c r="BO287" s="77"/>
      <c r="BP287" s="97"/>
      <c r="BQ287" s="97"/>
      <c r="BR287" s="98"/>
      <c r="BS287" s="77"/>
      <c r="BT287" s="97"/>
      <c r="BU287" s="97"/>
      <c r="BV287" s="98"/>
      <c r="BW287" s="77"/>
      <c r="BX287" s="97"/>
      <c r="BY287" s="97"/>
      <c r="BZ287" s="98"/>
      <c r="CA287" s="97"/>
      <c r="CB287" s="97"/>
      <c r="CC287" s="97"/>
      <c r="CD287" s="98"/>
      <c r="CE287" s="97"/>
      <c r="CF287" s="97"/>
      <c r="CG287" s="97"/>
      <c r="CH287" s="98"/>
      <c r="CI287" s="97"/>
      <c r="CJ287" s="97"/>
      <c r="CK287" s="97"/>
      <c r="CL287" s="98"/>
      <c r="CM287" s="97"/>
      <c r="CN287" s="97"/>
      <c r="CO287" s="97"/>
      <c r="CP287" s="98"/>
      <c r="CQ287" s="97"/>
      <c r="CR287" s="97"/>
      <c r="CS287" s="97"/>
      <c r="CT287" s="98"/>
      <c r="CU287" s="97"/>
      <c r="CV287" s="97"/>
      <c r="CW287" s="97"/>
      <c r="CX287" s="98"/>
      <c r="CY287" s="97"/>
      <c r="CZ287" s="97"/>
      <c r="DA287" s="97"/>
      <c r="DB287" s="98"/>
      <c r="DC287" s="75"/>
      <c r="DD287" s="97"/>
      <c r="DE287" s="97"/>
      <c r="DF287" s="98"/>
      <c r="DG287" s="75"/>
      <c r="DH287" s="78"/>
      <c r="DI287" s="99"/>
      <c r="DJ287" s="98"/>
      <c r="DL287" s="40"/>
      <c r="DM287" s="36"/>
      <c r="DN287" s="36"/>
      <c r="DO287" s="36"/>
      <c r="DP287" s="36"/>
      <c r="DQ287" s="100"/>
      <c r="DR287" s="36"/>
      <c r="DS287" s="100"/>
      <c r="DT287" s="36"/>
      <c r="DU287" s="36"/>
      <c r="DV287" s="41"/>
    </row>
    <row r="288" spans="10:126">
      <c r="J288" s="96"/>
      <c r="L288" s="75"/>
      <c r="N288" s="75"/>
      <c r="O288" s="75"/>
      <c r="P288" s="72"/>
      <c r="Q288" s="72"/>
      <c r="S288" s="68"/>
      <c r="T288" s="68"/>
      <c r="V288" s="96"/>
      <c r="W288" s="75"/>
      <c r="X288" s="78"/>
      <c r="Y288" s="97"/>
      <c r="Z288" s="98"/>
      <c r="AA288" s="77"/>
      <c r="AB288" s="78"/>
      <c r="AC288" s="97"/>
      <c r="AD288" s="98"/>
      <c r="AE288" s="77"/>
      <c r="AF288" s="78"/>
      <c r="AG288" s="97"/>
      <c r="AH288" s="98"/>
      <c r="AI288" s="77"/>
      <c r="AJ288" s="78"/>
      <c r="AK288" s="97"/>
      <c r="AL288" s="98"/>
      <c r="AM288" s="77"/>
      <c r="AN288" s="78"/>
      <c r="AO288" s="97"/>
      <c r="AP288" s="98"/>
      <c r="AQ288" s="77"/>
      <c r="AR288" s="78"/>
      <c r="AS288" s="97"/>
      <c r="AT288" s="98"/>
      <c r="AU288" s="77"/>
      <c r="AV288" s="97"/>
      <c r="AW288" s="97"/>
      <c r="AX288" s="98"/>
      <c r="AY288" s="77"/>
      <c r="AZ288" s="97"/>
      <c r="BA288" s="97"/>
      <c r="BB288" s="98"/>
      <c r="BC288" s="77"/>
      <c r="BD288" s="97"/>
      <c r="BE288" s="97"/>
      <c r="BF288" s="98"/>
      <c r="BG288" s="77"/>
      <c r="BH288" s="97"/>
      <c r="BI288" s="97"/>
      <c r="BJ288" s="98"/>
      <c r="BK288" s="77"/>
      <c r="BL288" s="97"/>
      <c r="BM288" s="97"/>
      <c r="BN288" s="98"/>
      <c r="BO288" s="77"/>
      <c r="BP288" s="97"/>
      <c r="BQ288" s="97"/>
      <c r="BR288" s="98"/>
      <c r="BS288" s="77"/>
      <c r="BT288" s="97"/>
      <c r="BU288" s="97"/>
      <c r="BV288" s="98"/>
      <c r="BW288" s="77"/>
      <c r="BX288" s="97"/>
      <c r="BY288" s="97"/>
      <c r="BZ288" s="98"/>
      <c r="CA288" s="97"/>
      <c r="CB288" s="97"/>
      <c r="CC288" s="97"/>
      <c r="CD288" s="98"/>
      <c r="CE288" s="97"/>
      <c r="CF288" s="97"/>
      <c r="CG288" s="97"/>
      <c r="CH288" s="98"/>
      <c r="CI288" s="97"/>
      <c r="CJ288" s="97"/>
      <c r="CK288" s="97"/>
      <c r="CL288" s="98"/>
      <c r="CM288" s="97"/>
      <c r="CN288" s="97"/>
      <c r="CO288" s="97"/>
      <c r="CP288" s="98"/>
      <c r="CQ288" s="97"/>
      <c r="CR288" s="97"/>
      <c r="CS288" s="97"/>
      <c r="CT288" s="98"/>
      <c r="CU288" s="97"/>
      <c r="CV288" s="97"/>
      <c r="CW288" s="97"/>
      <c r="CX288" s="98"/>
      <c r="CY288" s="97"/>
      <c r="CZ288" s="97"/>
      <c r="DA288" s="97"/>
      <c r="DB288" s="98"/>
      <c r="DC288" s="75"/>
      <c r="DD288" s="97"/>
      <c r="DE288" s="97"/>
      <c r="DF288" s="98"/>
      <c r="DG288" s="75"/>
      <c r="DH288" s="78"/>
      <c r="DI288" s="99"/>
      <c r="DJ288" s="98"/>
      <c r="DL288" s="40"/>
      <c r="DM288" s="36"/>
      <c r="DN288" s="36"/>
      <c r="DO288" s="36"/>
      <c r="DP288" s="36"/>
      <c r="DQ288" s="100"/>
      <c r="DR288" s="36"/>
      <c r="DS288" s="100"/>
      <c r="DT288" s="36"/>
      <c r="DU288" s="36"/>
      <c r="DV288" s="41"/>
    </row>
    <row r="289" spans="10:126">
      <c r="J289" s="96"/>
      <c r="L289" s="75"/>
      <c r="N289" s="75"/>
      <c r="O289" s="75"/>
      <c r="P289" s="72"/>
      <c r="Q289" s="72"/>
      <c r="S289" s="68"/>
      <c r="T289" s="68"/>
      <c r="V289" s="96"/>
      <c r="W289" s="75"/>
      <c r="X289" s="78"/>
      <c r="Y289" s="97"/>
      <c r="Z289" s="98"/>
      <c r="AA289" s="77"/>
      <c r="AB289" s="78"/>
      <c r="AC289" s="97"/>
      <c r="AD289" s="98"/>
      <c r="AE289" s="77"/>
      <c r="AF289" s="78"/>
      <c r="AG289" s="97"/>
      <c r="AH289" s="98"/>
      <c r="AI289" s="77"/>
      <c r="AJ289" s="78"/>
      <c r="AK289" s="97"/>
      <c r="AL289" s="98"/>
      <c r="AM289" s="77"/>
      <c r="AN289" s="78"/>
      <c r="AO289" s="97"/>
      <c r="AP289" s="98"/>
      <c r="AQ289" s="77"/>
      <c r="AR289" s="78"/>
      <c r="AS289" s="97"/>
      <c r="AT289" s="98"/>
      <c r="AU289" s="77"/>
      <c r="AV289" s="97"/>
      <c r="AW289" s="97"/>
      <c r="AX289" s="98"/>
      <c r="AY289" s="77"/>
      <c r="AZ289" s="97"/>
      <c r="BA289" s="97"/>
      <c r="BB289" s="98"/>
      <c r="BC289" s="77"/>
      <c r="BD289" s="97"/>
      <c r="BE289" s="97"/>
      <c r="BF289" s="98"/>
      <c r="BG289" s="77"/>
      <c r="BH289" s="97"/>
      <c r="BI289" s="97"/>
      <c r="BJ289" s="98"/>
      <c r="BK289" s="77"/>
      <c r="BL289" s="97"/>
      <c r="BM289" s="97"/>
      <c r="BN289" s="98"/>
      <c r="BO289" s="77"/>
      <c r="BP289" s="97"/>
      <c r="BQ289" s="97"/>
      <c r="BR289" s="98"/>
      <c r="BS289" s="77"/>
      <c r="BT289" s="97"/>
      <c r="BU289" s="97"/>
      <c r="BV289" s="98"/>
      <c r="BW289" s="77"/>
      <c r="BX289" s="97"/>
      <c r="BY289" s="97"/>
      <c r="BZ289" s="98"/>
      <c r="CA289" s="97"/>
      <c r="CB289" s="97"/>
      <c r="CC289" s="97"/>
      <c r="CD289" s="98"/>
      <c r="CE289" s="97"/>
      <c r="CF289" s="97"/>
      <c r="CG289" s="97"/>
      <c r="CH289" s="98"/>
      <c r="CI289" s="97"/>
      <c r="CJ289" s="97"/>
      <c r="CK289" s="97"/>
      <c r="CL289" s="98"/>
      <c r="CM289" s="97"/>
      <c r="CN289" s="97"/>
      <c r="CO289" s="97"/>
      <c r="CP289" s="98"/>
      <c r="CQ289" s="97"/>
      <c r="CR289" s="97"/>
      <c r="CS289" s="97"/>
      <c r="CT289" s="98"/>
      <c r="CU289" s="97"/>
      <c r="CV289" s="97"/>
      <c r="CW289" s="97"/>
      <c r="CX289" s="98"/>
      <c r="CY289" s="97"/>
      <c r="CZ289" s="97"/>
      <c r="DA289" s="97"/>
      <c r="DB289" s="98"/>
      <c r="DC289" s="75"/>
      <c r="DD289" s="97"/>
      <c r="DE289" s="97"/>
      <c r="DF289" s="98"/>
      <c r="DG289" s="75"/>
      <c r="DH289" s="78"/>
      <c r="DI289" s="99"/>
      <c r="DJ289" s="98"/>
      <c r="DL289" s="40"/>
      <c r="DM289" s="36"/>
      <c r="DN289" s="36"/>
      <c r="DO289" s="36"/>
      <c r="DP289" s="36"/>
      <c r="DQ289" s="100"/>
      <c r="DR289" s="36"/>
      <c r="DS289" s="100"/>
      <c r="DT289" s="36"/>
      <c r="DU289" s="36"/>
      <c r="DV289" s="41"/>
    </row>
    <row r="290" spans="10:126">
      <c r="J290" s="96"/>
      <c r="L290" s="75"/>
      <c r="N290" s="75"/>
      <c r="O290" s="75"/>
      <c r="P290" s="72"/>
      <c r="Q290" s="72"/>
      <c r="S290" s="68"/>
      <c r="T290" s="68"/>
      <c r="V290" s="96"/>
      <c r="W290" s="75"/>
      <c r="X290" s="78"/>
      <c r="Y290" s="97"/>
      <c r="Z290" s="98"/>
      <c r="AA290" s="77"/>
      <c r="AB290" s="78"/>
      <c r="AC290" s="97"/>
      <c r="AD290" s="98"/>
      <c r="AE290" s="77"/>
      <c r="AF290" s="78"/>
      <c r="AG290" s="97"/>
      <c r="AH290" s="98"/>
      <c r="AI290" s="77"/>
      <c r="AJ290" s="78"/>
      <c r="AK290" s="97"/>
      <c r="AL290" s="98"/>
      <c r="AM290" s="77"/>
      <c r="AN290" s="78"/>
      <c r="AO290" s="97"/>
      <c r="AP290" s="98"/>
      <c r="AQ290" s="77"/>
      <c r="AR290" s="78"/>
      <c r="AS290" s="97"/>
      <c r="AT290" s="98"/>
      <c r="AU290" s="77"/>
      <c r="AV290" s="97"/>
      <c r="AW290" s="97"/>
      <c r="AX290" s="98"/>
      <c r="AY290" s="77"/>
      <c r="AZ290" s="97"/>
      <c r="BA290" s="97"/>
      <c r="BB290" s="98"/>
      <c r="BC290" s="77"/>
      <c r="BD290" s="97"/>
      <c r="BE290" s="97"/>
      <c r="BF290" s="98"/>
      <c r="BG290" s="77"/>
      <c r="BH290" s="97"/>
      <c r="BI290" s="97"/>
      <c r="BJ290" s="98"/>
      <c r="BK290" s="77"/>
      <c r="BL290" s="97"/>
      <c r="BM290" s="97"/>
      <c r="BN290" s="98"/>
      <c r="BO290" s="77"/>
      <c r="BP290" s="97"/>
      <c r="BQ290" s="97"/>
      <c r="BR290" s="98"/>
      <c r="BS290" s="77"/>
      <c r="BT290" s="97"/>
      <c r="BU290" s="97"/>
      <c r="BV290" s="98"/>
      <c r="BW290" s="77"/>
      <c r="BX290" s="97"/>
      <c r="BY290" s="97"/>
      <c r="BZ290" s="98"/>
      <c r="CA290" s="97"/>
      <c r="CB290" s="97"/>
      <c r="CC290" s="97"/>
      <c r="CD290" s="98"/>
      <c r="CE290" s="97"/>
      <c r="CF290" s="97"/>
      <c r="CG290" s="97"/>
      <c r="CH290" s="98"/>
      <c r="CI290" s="97"/>
      <c r="CJ290" s="97"/>
      <c r="CK290" s="97"/>
      <c r="CL290" s="98"/>
      <c r="CM290" s="97"/>
      <c r="CN290" s="97"/>
      <c r="CO290" s="97"/>
      <c r="CP290" s="98"/>
      <c r="CQ290" s="97"/>
      <c r="CR290" s="97"/>
      <c r="CS290" s="97"/>
      <c r="CT290" s="98"/>
      <c r="CU290" s="97"/>
      <c r="CV290" s="97"/>
      <c r="CW290" s="97"/>
      <c r="CX290" s="98"/>
      <c r="CY290" s="97"/>
      <c r="CZ290" s="97"/>
      <c r="DA290" s="97"/>
      <c r="DB290" s="98"/>
      <c r="DC290" s="75"/>
      <c r="DD290" s="97"/>
      <c r="DE290" s="97"/>
      <c r="DF290" s="98"/>
      <c r="DG290" s="75"/>
      <c r="DH290" s="78"/>
      <c r="DI290" s="99"/>
      <c r="DJ290" s="98"/>
      <c r="DL290" s="40"/>
      <c r="DM290" s="36"/>
      <c r="DN290" s="36"/>
      <c r="DO290" s="36"/>
      <c r="DP290" s="36"/>
      <c r="DQ290" s="100"/>
      <c r="DR290" s="36"/>
      <c r="DS290" s="100"/>
      <c r="DT290" s="36"/>
      <c r="DU290" s="36"/>
      <c r="DV290" s="41"/>
    </row>
    <row r="291" spans="10:126">
      <c r="J291" s="96"/>
      <c r="L291" s="75"/>
      <c r="N291" s="75"/>
      <c r="O291" s="75"/>
      <c r="P291" s="72"/>
      <c r="Q291" s="72"/>
      <c r="S291" s="68"/>
      <c r="T291" s="68"/>
      <c r="V291" s="96"/>
      <c r="W291" s="75"/>
      <c r="X291" s="78"/>
      <c r="Y291" s="97"/>
      <c r="Z291" s="98"/>
      <c r="AA291" s="77"/>
      <c r="AB291" s="78"/>
      <c r="AC291" s="97"/>
      <c r="AD291" s="98"/>
      <c r="AE291" s="77"/>
      <c r="AF291" s="78"/>
      <c r="AG291" s="97"/>
      <c r="AH291" s="98"/>
      <c r="AI291" s="77"/>
      <c r="AJ291" s="78"/>
      <c r="AK291" s="97"/>
      <c r="AL291" s="98"/>
      <c r="AM291" s="77"/>
      <c r="AN291" s="78"/>
      <c r="AO291" s="97"/>
      <c r="AP291" s="98"/>
      <c r="AQ291" s="77"/>
      <c r="AR291" s="78"/>
      <c r="AS291" s="97"/>
      <c r="AT291" s="98"/>
      <c r="AU291" s="77"/>
      <c r="AV291" s="97"/>
      <c r="AW291" s="97"/>
      <c r="AX291" s="98"/>
      <c r="AY291" s="77"/>
      <c r="AZ291" s="97"/>
      <c r="BA291" s="97"/>
      <c r="BB291" s="98"/>
      <c r="BC291" s="77"/>
      <c r="BD291" s="97"/>
      <c r="BE291" s="97"/>
      <c r="BF291" s="98"/>
      <c r="BG291" s="77"/>
      <c r="BH291" s="97"/>
      <c r="BI291" s="97"/>
      <c r="BJ291" s="98"/>
      <c r="BK291" s="77"/>
      <c r="BL291" s="97"/>
      <c r="BM291" s="97"/>
      <c r="BN291" s="98"/>
      <c r="BO291" s="77"/>
      <c r="BP291" s="97"/>
      <c r="BQ291" s="97"/>
      <c r="BR291" s="98"/>
      <c r="BS291" s="77"/>
      <c r="BT291" s="97"/>
      <c r="BU291" s="97"/>
      <c r="BV291" s="98"/>
      <c r="BW291" s="77"/>
      <c r="BX291" s="97"/>
      <c r="BY291" s="97"/>
      <c r="BZ291" s="98"/>
      <c r="CA291" s="97"/>
      <c r="CB291" s="97"/>
      <c r="CC291" s="97"/>
      <c r="CD291" s="98"/>
      <c r="CE291" s="97"/>
      <c r="CF291" s="97"/>
      <c r="CG291" s="97"/>
      <c r="CH291" s="98"/>
      <c r="CI291" s="97"/>
      <c r="CJ291" s="97"/>
      <c r="CK291" s="97"/>
      <c r="CL291" s="98"/>
      <c r="CM291" s="97"/>
      <c r="CN291" s="97"/>
      <c r="CO291" s="97"/>
      <c r="CP291" s="98"/>
      <c r="CQ291" s="97"/>
      <c r="CR291" s="97"/>
      <c r="CS291" s="97"/>
      <c r="CT291" s="98"/>
      <c r="CU291" s="97"/>
      <c r="CV291" s="97"/>
      <c r="CW291" s="97"/>
      <c r="CX291" s="98"/>
      <c r="CY291" s="97"/>
      <c r="CZ291" s="97"/>
      <c r="DA291" s="97"/>
      <c r="DB291" s="98"/>
      <c r="DC291" s="75"/>
      <c r="DD291" s="97"/>
      <c r="DE291" s="97"/>
      <c r="DF291" s="98"/>
      <c r="DG291" s="75"/>
      <c r="DH291" s="78"/>
      <c r="DI291" s="99"/>
      <c r="DJ291" s="98"/>
      <c r="DL291" s="40"/>
      <c r="DM291" s="36"/>
      <c r="DN291" s="36"/>
      <c r="DO291" s="36"/>
      <c r="DP291" s="36"/>
      <c r="DQ291" s="100"/>
      <c r="DR291" s="36"/>
      <c r="DS291" s="100"/>
      <c r="DT291" s="36"/>
      <c r="DU291" s="36"/>
      <c r="DV291" s="41"/>
    </row>
    <row r="292" spans="10:126">
      <c r="J292" s="96"/>
      <c r="L292" s="75"/>
      <c r="N292" s="75"/>
      <c r="O292" s="75"/>
      <c r="P292" s="72"/>
      <c r="Q292" s="72"/>
      <c r="S292" s="68"/>
      <c r="T292" s="68"/>
      <c r="V292" s="96"/>
      <c r="W292" s="75"/>
      <c r="X292" s="78"/>
      <c r="Y292" s="97"/>
      <c r="Z292" s="98"/>
      <c r="AA292" s="77"/>
      <c r="AB292" s="78"/>
      <c r="AC292" s="97"/>
      <c r="AD292" s="98"/>
      <c r="AE292" s="77"/>
      <c r="AF292" s="78"/>
      <c r="AG292" s="97"/>
      <c r="AH292" s="98"/>
      <c r="AI292" s="77"/>
      <c r="AJ292" s="78"/>
      <c r="AK292" s="97"/>
      <c r="AL292" s="98"/>
      <c r="AM292" s="77"/>
      <c r="AN292" s="78"/>
      <c r="AO292" s="97"/>
      <c r="AP292" s="98"/>
      <c r="AQ292" s="77"/>
      <c r="AR292" s="78"/>
      <c r="AS292" s="97"/>
      <c r="AT292" s="98"/>
      <c r="AU292" s="77"/>
      <c r="AV292" s="97"/>
      <c r="AW292" s="97"/>
      <c r="AX292" s="98"/>
      <c r="AY292" s="77"/>
      <c r="AZ292" s="97"/>
      <c r="BA292" s="97"/>
      <c r="BB292" s="98"/>
      <c r="BC292" s="77"/>
      <c r="BD292" s="97"/>
      <c r="BE292" s="97"/>
      <c r="BF292" s="98"/>
      <c r="BG292" s="77"/>
      <c r="BH292" s="97"/>
      <c r="BI292" s="97"/>
      <c r="BJ292" s="98"/>
      <c r="BK292" s="77"/>
      <c r="BL292" s="97"/>
      <c r="BM292" s="97"/>
      <c r="BN292" s="98"/>
      <c r="BO292" s="77"/>
      <c r="BP292" s="97"/>
      <c r="BQ292" s="97"/>
      <c r="BR292" s="98"/>
      <c r="BS292" s="77"/>
      <c r="BT292" s="97"/>
      <c r="BU292" s="97"/>
      <c r="BV292" s="98"/>
      <c r="BW292" s="77"/>
      <c r="BX292" s="97"/>
      <c r="BY292" s="97"/>
      <c r="BZ292" s="98"/>
      <c r="CA292" s="97"/>
      <c r="CB292" s="97"/>
      <c r="CC292" s="97"/>
      <c r="CD292" s="98"/>
      <c r="CE292" s="97"/>
      <c r="CF292" s="97"/>
      <c r="CG292" s="97"/>
      <c r="CH292" s="98"/>
      <c r="CI292" s="97"/>
      <c r="CJ292" s="97"/>
      <c r="CK292" s="97"/>
      <c r="CL292" s="98"/>
      <c r="CM292" s="97"/>
      <c r="CN292" s="97"/>
      <c r="CO292" s="97"/>
      <c r="CP292" s="98"/>
      <c r="CQ292" s="97"/>
      <c r="CR292" s="97"/>
      <c r="CS292" s="97"/>
      <c r="CT292" s="98"/>
      <c r="CU292" s="97"/>
      <c r="CV292" s="97"/>
      <c r="CW292" s="97"/>
      <c r="CX292" s="98"/>
      <c r="CY292" s="97"/>
      <c r="CZ292" s="97"/>
      <c r="DA292" s="97"/>
      <c r="DB292" s="98"/>
      <c r="DC292" s="75"/>
      <c r="DD292" s="97"/>
      <c r="DE292" s="97"/>
      <c r="DF292" s="98"/>
      <c r="DG292" s="75"/>
      <c r="DH292" s="78"/>
      <c r="DI292" s="99"/>
      <c r="DJ292" s="98"/>
      <c r="DL292" s="40"/>
      <c r="DM292" s="36"/>
      <c r="DN292" s="36"/>
      <c r="DO292" s="36"/>
      <c r="DP292" s="36"/>
      <c r="DQ292" s="100"/>
      <c r="DR292" s="36"/>
      <c r="DS292" s="100"/>
      <c r="DT292" s="36"/>
      <c r="DU292" s="36"/>
      <c r="DV292" s="41"/>
    </row>
    <row r="293" spans="10:126">
      <c r="J293" s="96"/>
      <c r="L293" s="75"/>
      <c r="N293" s="75"/>
      <c r="O293" s="75"/>
      <c r="P293" s="72"/>
      <c r="Q293" s="72"/>
      <c r="S293" s="68"/>
      <c r="T293" s="68"/>
      <c r="V293" s="96"/>
      <c r="W293" s="75"/>
      <c r="X293" s="78"/>
      <c r="Y293" s="97"/>
      <c r="Z293" s="98"/>
      <c r="AA293" s="77"/>
      <c r="AB293" s="78"/>
      <c r="AC293" s="97"/>
      <c r="AD293" s="98"/>
      <c r="AE293" s="77"/>
      <c r="AF293" s="78"/>
      <c r="AG293" s="97"/>
      <c r="AH293" s="98"/>
      <c r="AI293" s="77"/>
      <c r="AJ293" s="78"/>
      <c r="AK293" s="97"/>
      <c r="AL293" s="98"/>
      <c r="AM293" s="77"/>
      <c r="AN293" s="78"/>
      <c r="AO293" s="97"/>
      <c r="AP293" s="98"/>
      <c r="AQ293" s="77"/>
      <c r="AR293" s="78"/>
      <c r="AS293" s="97"/>
      <c r="AT293" s="98"/>
      <c r="AU293" s="77"/>
      <c r="AV293" s="97"/>
      <c r="AW293" s="97"/>
      <c r="AX293" s="98"/>
      <c r="AY293" s="77"/>
      <c r="AZ293" s="97"/>
      <c r="BA293" s="97"/>
      <c r="BB293" s="98"/>
      <c r="BC293" s="77"/>
      <c r="BD293" s="97"/>
      <c r="BE293" s="97"/>
      <c r="BF293" s="98"/>
      <c r="BG293" s="77"/>
      <c r="BH293" s="97"/>
      <c r="BI293" s="97"/>
      <c r="BJ293" s="98"/>
      <c r="BK293" s="77"/>
      <c r="BL293" s="97"/>
      <c r="BM293" s="97"/>
      <c r="BN293" s="98"/>
      <c r="BO293" s="77"/>
      <c r="BP293" s="97"/>
      <c r="BQ293" s="97"/>
      <c r="BR293" s="98"/>
      <c r="BS293" s="77"/>
      <c r="BT293" s="97"/>
      <c r="BU293" s="97"/>
      <c r="BV293" s="98"/>
      <c r="BW293" s="77"/>
      <c r="BX293" s="97"/>
      <c r="BY293" s="97"/>
      <c r="BZ293" s="98"/>
      <c r="CA293" s="97"/>
      <c r="CB293" s="97"/>
      <c r="CC293" s="97"/>
      <c r="CD293" s="98"/>
      <c r="CE293" s="97"/>
      <c r="CF293" s="97"/>
      <c r="CG293" s="97"/>
      <c r="CH293" s="98"/>
      <c r="CI293" s="97"/>
      <c r="CJ293" s="97"/>
      <c r="CK293" s="97"/>
      <c r="CL293" s="98"/>
      <c r="CM293" s="97"/>
      <c r="CN293" s="97"/>
      <c r="CO293" s="97"/>
      <c r="CP293" s="98"/>
      <c r="CQ293" s="97"/>
      <c r="CR293" s="97"/>
      <c r="CS293" s="97"/>
      <c r="CT293" s="98"/>
      <c r="CU293" s="97"/>
      <c r="CV293" s="97"/>
      <c r="CW293" s="97"/>
      <c r="CX293" s="98"/>
      <c r="CY293" s="97"/>
      <c r="CZ293" s="97"/>
      <c r="DA293" s="97"/>
      <c r="DB293" s="98"/>
      <c r="DC293" s="75"/>
      <c r="DD293" s="97"/>
      <c r="DE293" s="97"/>
      <c r="DF293" s="98"/>
      <c r="DG293" s="75"/>
      <c r="DH293" s="78"/>
      <c r="DI293" s="99"/>
      <c r="DJ293" s="98"/>
      <c r="DL293" s="40"/>
      <c r="DM293" s="36"/>
      <c r="DN293" s="36"/>
      <c r="DO293" s="36"/>
      <c r="DP293" s="36"/>
      <c r="DQ293" s="100"/>
      <c r="DR293" s="36"/>
      <c r="DS293" s="100"/>
      <c r="DT293" s="36"/>
      <c r="DU293" s="36"/>
      <c r="DV293" s="41"/>
    </row>
    <row r="294" spans="10:126">
      <c r="J294" s="96"/>
      <c r="L294" s="75"/>
      <c r="N294" s="75"/>
      <c r="O294" s="75"/>
      <c r="P294" s="72"/>
      <c r="Q294" s="72"/>
      <c r="S294" s="68"/>
      <c r="T294" s="68"/>
      <c r="V294" s="96"/>
      <c r="W294" s="75"/>
      <c r="X294" s="78"/>
      <c r="Y294" s="97"/>
      <c r="Z294" s="98"/>
      <c r="AA294" s="77"/>
      <c r="AB294" s="78"/>
      <c r="AC294" s="97"/>
      <c r="AD294" s="98"/>
      <c r="AE294" s="77"/>
      <c r="AF294" s="78"/>
      <c r="AG294" s="97"/>
      <c r="AH294" s="98"/>
      <c r="AI294" s="77"/>
      <c r="AJ294" s="78"/>
      <c r="AK294" s="97"/>
      <c r="AL294" s="98"/>
      <c r="AM294" s="77"/>
      <c r="AN294" s="78"/>
      <c r="AO294" s="97"/>
      <c r="AP294" s="98"/>
      <c r="AQ294" s="77"/>
      <c r="AR294" s="78"/>
      <c r="AS294" s="97"/>
      <c r="AT294" s="98"/>
      <c r="AU294" s="77"/>
      <c r="AV294" s="97"/>
      <c r="AW294" s="97"/>
      <c r="AX294" s="98"/>
      <c r="AY294" s="77"/>
      <c r="AZ294" s="97"/>
      <c r="BA294" s="97"/>
      <c r="BB294" s="98"/>
      <c r="BC294" s="77"/>
      <c r="BD294" s="97"/>
      <c r="BE294" s="97"/>
      <c r="BF294" s="98"/>
      <c r="BG294" s="77"/>
      <c r="BH294" s="97"/>
      <c r="BI294" s="97"/>
      <c r="BJ294" s="98"/>
      <c r="BK294" s="77"/>
      <c r="BL294" s="97"/>
      <c r="BM294" s="97"/>
      <c r="BN294" s="98"/>
      <c r="BO294" s="77"/>
      <c r="BP294" s="97"/>
      <c r="BQ294" s="97"/>
      <c r="BR294" s="98"/>
      <c r="BS294" s="77"/>
      <c r="BT294" s="97"/>
      <c r="BU294" s="97"/>
      <c r="BV294" s="98"/>
      <c r="BW294" s="77"/>
      <c r="BX294" s="97"/>
      <c r="BY294" s="97"/>
      <c r="BZ294" s="98"/>
      <c r="CA294" s="97"/>
      <c r="CB294" s="97"/>
      <c r="CC294" s="97"/>
      <c r="CD294" s="98"/>
      <c r="CE294" s="97"/>
      <c r="CF294" s="97"/>
      <c r="CG294" s="97"/>
      <c r="CH294" s="98"/>
      <c r="CI294" s="97"/>
      <c r="CJ294" s="97"/>
      <c r="CK294" s="97"/>
      <c r="CL294" s="98"/>
      <c r="CM294" s="97"/>
      <c r="CN294" s="97"/>
      <c r="CO294" s="97"/>
      <c r="CP294" s="98"/>
      <c r="CQ294" s="97"/>
      <c r="CR294" s="97"/>
      <c r="CS294" s="97"/>
      <c r="CT294" s="98"/>
      <c r="CU294" s="97"/>
      <c r="CV294" s="97"/>
      <c r="CW294" s="97"/>
      <c r="CX294" s="98"/>
      <c r="CY294" s="97"/>
      <c r="CZ294" s="97"/>
      <c r="DA294" s="97"/>
      <c r="DB294" s="98"/>
      <c r="DC294" s="75"/>
      <c r="DD294" s="97"/>
      <c r="DE294" s="97"/>
      <c r="DF294" s="98"/>
      <c r="DG294" s="75"/>
      <c r="DH294" s="78"/>
      <c r="DI294" s="99"/>
      <c r="DJ294" s="98"/>
      <c r="DL294" s="40"/>
      <c r="DM294" s="36"/>
      <c r="DN294" s="36"/>
      <c r="DO294" s="36"/>
      <c r="DP294" s="36"/>
      <c r="DQ294" s="100"/>
      <c r="DR294" s="36"/>
      <c r="DS294" s="100"/>
      <c r="DT294" s="36"/>
      <c r="DU294" s="36"/>
      <c r="DV294" s="41"/>
    </row>
    <row r="295" spans="10:126">
      <c r="J295" s="96"/>
      <c r="L295" s="75"/>
      <c r="N295" s="75"/>
      <c r="O295" s="75"/>
      <c r="P295" s="72"/>
      <c r="Q295" s="72"/>
      <c r="S295" s="68"/>
      <c r="T295" s="68"/>
      <c r="V295" s="96"/>
      <c r="W295" s="75"/>
      <c r="X295" s="78"/>
      <c r="Y295" s="97"/>
      <c r="Z295" s="98"/>
      <c r="AA295" s="77"/>
      <c r="AB295" s="78"/>
      <c r="AC295" s="97"/>
      <c r="AD295" s="98"/>
      <c r="AE295" s="77"/>
      <c r="AF295" s="78"/>
      <c r="AG295" s="97"/>
      <c r="AH295" s="98"/>
      <c r="AI295" s="77"/>
      <c r="AJ295" s="78"/>
      <c r="AK295" s="97"/>
      <c r="AL295" s="98"/>
      <c r="AM295" s="77"/>
      <c r="AN295" s="78"/>
      <c r="AO295" s="97"/>
      <c r="AP295" s="98"/>
      <c r="AQ295" s="77"/>
      <c r="AR295" s="78"/>
      <c r="AS295" s="97"/>
      <c r="AT295" s="98"/>
      <c r="AU295" s="77"/>
      <c r="AV295" s="97"/>
      <c r="AW295" s="97"/>
      <c r="AX295" s="98"/>
      <c r="AY295" s="77"/>
      <c r="AZ295" s="97"/>
      <c r="BA295" s="97"/>
      <c r="BB295" s="98"/>
      <c r="BC295" s="77"/>
      <c r="BD295" s="97"/>
      <c r="BE295" s="97"/>
      <c r="BF295" s="98"/>
      <c r="BG295" s="77"/>
      <c r="BH295" s="97"/>
      <c r="BI295" s="97"/>
      <c r="BJ295" s="98"/>
      <c r="BK295" s="77"/>
      <c r="BL295" s="97"/>
      <c r="BM295" s="97"/>
      <c r="BN295" s="98"/>
      <c r="BO295" s="77"/>
      <c r="BP295" s="97"/>
      <c r="BQ295" s="97"/>
      <c r="BR295" s="98"/>
      <c r="BS295" s="77"/>
      <c r="BT295" s="97"/>
      <c r="BU295" s="97"/>
      <c r="BV295" s="98"/>
      <c r="BW295" s="77"/>
      <c r="BX295" s="97"/>
      <c r="BY295" s="97"/>
      <c r="BZ295" s="98"/>
      <c r="CA295" s="97"/>
      <c r="CB295" s="97"/>
      <c r="CC295" s="97"/>
      <c r="CD295" s="98"/>
      <c r="CE295" s="97"/>
      <c r="CF295" s="97"/>
      <c r="CG295" s="97"/>
      <c r="CH295" s="98"/>
      <c r="CI295" s="97"/>
      <c r="CJ295" s="97"/>
      <c r="CK295" s="97"/>
      <c r="CL295" s="98"/>
      <c r="CM295" s="97"/>
      <c r="CN295" s="97"/>
      <c r="CO295" s="97"/>
      <c r="CP295" s="98"/>
      <c r="CQ295" s="97"/>
      <c r="CR295" s="97"/>
      <c r="CS295" s="97"/>
      <c r="CT295" s="98"/>
      <c r="CU295" s="97"/>
      <c r="CV295" s="97"/>
      <c r="CW295" s="97"/>
      <c r="CX295" s="98"/>
      <c r="CY295" s="97"/>
      <c r="CZ295" s="97"/>
      <c r="DA295" s="97"/>
      <c r="DB295" s="98"/>
      <c r="DC295" s="75"/>
      <c r="DD295" s="97"/>
      <c r="DE295" s="97"/>
      <c r="DF295" s="98"/>
      <c r="DG295" s="75"/>
      <c r="DH295" s="78"/>
      <c r="DI295" s="99"/>
      <c r="DJ295" s="98"/>
      <c r="DL295" s="40"/>
      <c r="DM295" s="36"/>
      <c r="DN295" s="36"/>
      <c r="DO295" s="36"/>
      <c r="DP295" s="36"/>
      <c r="DQ295" s="100"/>
      <c r="DR295" s="36"/>
      <c r="DS295" s="100"/>
      <c r="DT295" s="36"/>
      <c r="DU295" s="36"/>
      <c r="DV295" s="41"/>
    </row>
    <row r="296" spans="10:126">
      <c r="J296" s="96"/>
      <c r="L296" s="75"/>
      <c r="N296" s="75"/>
      <c r="O296" s="75"/>
      <c r="P296" s="72"/>
      <c r="Q296" s="72"/>
      <c r="S296" s="68"/>
      <c r="T296" s="68"/>
      <c r="V296" s="96"/>
      <c r="W296" s="75"/>
      <c r="X296" s="78"/>
      <c r="Y296" s="97"/>
      <c r="Z296" s="98"/>
      <c r="AA296" s="77"/>
      <c r="AB296" s="78"/>
      <c r="AC296" s="97"/>
      <c r="AD296" s="98"/>
      <c r="AE296" s="77"/>
      <c r="AF296" s="78"/>
      <c r="AG296" s="97"/>
      <c r="AH296" s="98"/>
      <c r="AI296" s="77"/>
      <c r="AJ296" s="78"/>
      <c r="AK296" s="97"/>
      <c r="AL296" s="98"/>
      <c r="AM296" s="77"/>
      <c r="AN296" s="78"/>
      <c r="AO296" s="97"/>
      <c r="AP296" s="98"/>
      <c r="AQ296" s="77"/>
      <c r="AR296" s="78"/>
      <c r="AS296" s="97"/>
      <c r="AT296" s="98"/>
      <c r="AU296" s="77"/>
      <c r="AV296" s="97"/>
      <c r="AW296" s="97"/>
      <c r="AX296" s="98"/>
      <c r="AY296" s="77"/>
      <c r="AZ296" s="97"/>
      <c r="BA296" s="97"/>
      <c r="BB296" s="98"/>
      <c r="BC296" s="77"/>
      <c r="BD296" s="97"/>
      <c r="BE296" s="97"/>
      <c r="BF296" s="98"/>
      <c r="BG296" s="77"/>
      <c r="BH296" s="97"/>
      <c r="BI296" s="97"/>
      <c r="BJ296" s="98"/>
      <c r="BK296" s="77"/>
      <c r="BL296" s="97"/>
      <c r="BM296" s="97"/>
      <c r="BN296" s="98"/>
      <c r="BO296" s="77"/>
      <c r="BP296" s="97"/>
      <c r="BQ296" s="97"/>
      <c r="BR296" s="98"/>
      <c r="BS296" s="77"/>
      <c r="BT296" s="97"/>
      <c r="BU296" s="97"/>
      <c r="BV296" s="98"/>
      <c r="BW296" s="77"/>
      <c r="BX296" s="97"/>
      <c r="BY296" s="97"/>
      <c r="BZ296" s="98"/>
      <c r="CA296" s="97"/>
      <c r="CB296" s="97"/>
      <c r="CC296" s="97"/>
      <c r="CD296" s="98"/>
      <c r="CE296" s="97"/>
      <c r="CF296" s="97"/>
      <c r="CG296" s="97"/>
      <c r="CH296" s="98"/>
      <c r="CI296" s="97"/>
      <c r="CJ296" s="97"/>
      <c r="CK296" s="97"/>
      <c r="CL296" s="98"/>
      <c r="CM296" s="97"/>
      <c r="CN296" s="97"/>
      <c r="CO296" s="97"/>
      <c r="CP296" s="98"/>
      <c r="CQ296" s="97"/>
      <c r="CR296" s="97"/>
      <c r="CS296" s="97"/>
      <c r="CT296" s="98"/>
      <c r="CU296" s="97"/>
      <c r="CV296" s="97"/>
      <c r="CW296" s="97"/>
      <c r="CX296" s="98"/>
      <c r="CY296" s="97"/>
      <c r="CZ296" s="97"/>
      <c r="DA296" s="97"/>
      <c r="DB296" s="98"/>
      <c r="DC296" s="75"/>
      <c r="DD296" s="97"/>
      <c r="DE296" s="97"/>
      <c r="DF296" s="98"/>
      <c r="DG296" s="75"/>
      <c r="DH296" s="78"/>
      <c r="DI296" s="99"/>
      <c r="DJ296" s="98"/>
      <c r="DL296" s="40"/>
      <c r="DM296" s="36"/>
      <c r="DN296" s="36"/>
      <c r="DO296" s="36"/>
      <c r="DP296" s="36"/>
      <c r="DQ296" s="100"/>
      <c r="DR296" s="36"/>
      <c r="DS296" s="100"/>
      <c r="DT296" s="36"/>
      <c r="DU296" s="36"/>
      <c r="DV296" s="41"/>
    </row>
    <row r="297" spans="10:126">
      <c r="J297" s="96"/>
      <c r="L297" s="75"/>
      <c r="N297" s="75"/>
      <c r="O297" s="75"/>
      <c r="P297" s="72"/>
      <c r="Q297" s="72"/>
      <c r="S297" s="68"/>
      <c r="T297" s="68"/>
      <c r="V297" s="96"/>
      <c r="W297" s="75"/>
      <c r="X297" s="78"/>
      <c r="Y297" s="97"/>
      <c r="Z297" s="98"/>
      <c r="AA297" s="77"/>
      <c r="AB297" s="78"/>
      <c r="AC297" s="97"/>
      <c r="AD297" s="98"/>
      <c r="AE297" s="77"/>
      <c r="AF297" s="78"/>
      <c r="AG297" s="97"/>
      <c r="AH297" s="98"/>
      <c r="AI297" s="77"/>
      <c r="AJ297" s="78"/>
      <c r="AK297" s="97"/>
      <c r="AL297" s="98"/>
      <c r="AM297" s="77"/>
      <c r="AN297" s="78"/>
      <c r="AO297" s="97"/>
      <c r="AP297" s="98"/>
      <c r="AQ297" s="77"/>
      <c r="AR297" s="78"/>
      <c r="AS297" s="97"/>
      <c r="AT297" s="98"/>
      <c r="AU297" s="77"/>
      <c r="AV297" s="97"/>
      <c r="AW297" s="97"/>
      <c r="AX297" s="98"/>
      <c r="AY297" s="77"/>
      <c r="AZ297" s="97"/>
      <c r="BA297" s="97"/>
      <c r="BB297" s="98"/>
      <c r="BC297" s="77"/>
      <c r="BD297" s="97"/>
      <c r="BE297" s="97"/>
      <c r="BF297" s="98"/>
      <c r="BG297" s="77"/>
      <c r="BH297" s="97"/>
      <c r="BI297" s="97"/>
      <c r="BJ297" s="98"/>
      <c r="BK297" s="77"/>
      <c r="BL297" s="97"/>
      <c r="BM297" s="97"/>
      <c r="BN297" s="98"/>
      <c r="BO297" s="77"/>
      <c r="BP297" s="97"/>
      <c r="BQ297" s="97"/>
      <c r="BR297" s="98"/>
      <c r="BS297" s="77"/>
      <c r="BT297" s="97"/>
      <c r="BU297" s="97"/>
      <c r="BV297" s="98"/>
      <c r="BW297" s="77"/>
      <c r="BX297" s="97"/>
      <c r="BY297" s="97"/>
      <c r="BZ297" s="98"/>
      <c r="CA297" s="97"/>
      <c r="CB297" s="97"/>
      <c r="CC297" s="97"/>
      <c r="CD297" s="98"/>
      <c r="CE297" s="97"/>
      <c r="CF297" s="97"/>
      <c r="CG297" s="97"/>
      <c r="CH297" s="98"/>
      <c r="CI297" s="97"/>
      <c r="CJ297" s="97"/>
      <c r="CK297" s="97"/>
      <c r="CL297" s="98"/>
      <c r="CM297" s="97"/>
      <c r="CN297" s="97"/>
      <c r="CO297" s="97"/>
      <c r="CP297" s="98"/>
      <c r="CQ297" s="97"/>
      <c r="CR297" s="97"/>
      <c r="CS297" s="97"/>
      <c r="CT297" s="98"/>
      <c r="CU297" s="97"/>
      <c r="CV297" s="97"/>
      <c r="CW297" s="97"/>
      <c r="CX297" s="98"/>
      <c r="CY297" s="97"/>
      <c r="CZ297" s="97"/>
      <c r="DA297" s="97"/>
      <c r="DB297" s="98"/>
      <c r="DC297" s="75"/>
      <c r="DD297" s="97"/>
      <c r="DE297" s="97"/>
      <c r="DF297" s="98"/>
      <c r="DG297" s="75"/>
      <c r="DH297" s="78"/>
      <c r="DI297" s="99"/>
      <c r="DJ297" s="98"/>
      <c r="DL297" s="40"/>
      <c r="DM297" s="36"/>
      <c r="DN297" s="36"/>
      <c r="DO297" s="36"/>
      <c r="DP297" s="36"/>
      <c r="DQ297" s="100"/>
      <c r="DR297" s="36"/>
      <c r="DS297" s="100"/>
      <c r="DT297" s="36"/>
      <c r="DU297" s="36"/>
      <c r="DV297" s="41"/>
    </row>
    <row r="298" spans="10:126">
      <c r="J298" s="96"/>
      <c r="L298" s="75"/>
      <c r="N298" s="75"/>
      <c r="O298" s="75"/>
      <c r="P298" s="72"/>
      <c r="Q298" s="72"/>
      <c r="S298" s="68"/>
      <c r="T298" s="68"/>
      <c r="V298" s="96"/>
      <c r="W298" s="75"/>
      <c r="X298" s="78"/>
      <c r="Y298" s="97"/>
      <c r="Z298" s="98"/>
      <c r="AA298" s="77"/>
      <c r="AB298" s="78"/>
      <c r="AC298" s="97"/>
      <c r="AD298" s="98"/>
      <c r="AE298" s="77"/>
      <c r="AF298" s="78"/>
      <c r="AG298" s="97"/>
      <c r="AH298" s="98"/>
      <c r="AI298" s="77"/>
      <c r="AJ298" s="78"/>
      <c r="AK298" s="97"/>
      <c r="AL298" s="98"/>
      <c r="AM298" s="77"/>
      <c r="AN298" s="78"/>
      <c r="AO298" s="97"/>
      <c r="AP298" s="98"/>
      <c r="AQ298" s="77"/>
      <c r="AR298" s="78"/>
      <c r="AS298" s="97"/>
      <c r="AT298" s="98"/>
      <c r="AU298" s="77"/>
      <c r="AV298" s="97"/>
      <c r="AW298" s="97"/>
      <c r="AX298" s="98"/>
      <c r="AY298" s="77"/>
      <c r="AZ298" s="97"/>
      <c r="BA298" s="97"/>
      <c r="BB298" s="98"/>
      <c r="BC298" s="77"/>
      <c r="BD298" s="97"/>
      <c r="BE298" s="97"/>
      <c r="BF298" s="98"/>
      <c r="BG298" s="77"/>
      <c r="BH298" s="97"/>
      <c r="BI298" s="97"/>
      <c r="BJ298" s="98"/>
      <c r="BK298" s="77"/>
      <c r="BL298" s="97"/>
      <c r="BM298" s="97"/>
      <c r="BN298" s="98"/>
      <c r="BO298" s="77"/>
      <c r="BP298" s="97"/>
      <c r="BQ298" s="97"/>
      <c r="BR298" s="98"/>
      <c r="BS298" s="77"/>
      <c r="BT298" s="97"/>
      <c r="BU298" s="97"/>
      <c r="BV298" s="98"/>
      <c r="BW298" s="77"/>
      <c r="BX298" s="97"/>
      <c r="BY298" s="97"/>
      <c r="BZ298" s="98"/>
      <c r="CA298" s="97"/>
      <c r="CB298" s="97"/>
      <c r="CC298" s="97"/>
      <c r="CD298" s="98"/>
      <c r="CE298" s="97"/>
      <c r="CF298" s="97"/>
      <c r="CG298" s="97"/>
      <c r="CH298" s="98"/>
      <c r="CI298" s="97"/>
      <c r="CJ298" s="97"/>
      <c r="CK298" s="97"/>
      <c r="CL298" s="98"/>
      <c r="CM298" s="97"/>
      <c r="CN298" s="97"/>
      <c r="CO298" s="97"/>
      <c r="CP298" s="98"/>
      <c r="CQ298" s="97"/>
      <c r="CR298" s="97"/>
      <c r="CS298" s="97"/>
      <c r="CT298" s="98"/>
      <c r="CU298" s="97"/>
      <c r="CV298" s="97"/>
      <c r="CW298" s="97"/>
      <c r="CX298" s="98"/>
      <c r="CY298" s="97"/>
      <c r="CZ298" s="97"/>
      <c r="DA298" s="97"/>
      <c r="DB298" s="98"/>
      <c r="DC298" s="75"/>
      <c r="DD298" s="97"/>
      <c r="DE298" s="97"/>
      <c r="DF298" s="98"/>
      <c r="DG298" s="75"/>
      <c r="DH298" s="78"/>
      <c r="DI298" s="99"/>
      <c r="DJ298" s="98"/>
      <c r="DL298" s="40"/>
      <c r="DM298" s="36"/>
      <c r="DN298" s="36"/>
      <c r="DO298" s="36"/>
      <c r="DP298" s="36"/>
      <c r="DQ298" s="100"/>
      <c r="DR298" s="36"/>
      <c r="DS298" s="100"/>
      <c r="DT298" s="36"/>
      <c r="DU298" s="36"/>
      <c r="DV298" s="41"/>
    </row>
    <row r="299" spans="10:126">
      <c r="J299" s="96"/>
      <c r="L299" s="75"/>
      <c r="N299" s="75"/>
      <c r="O299" s="75"/>
      <c r="P299" s="72"/>
      <c r="Q299" s="72"/>
      <c r="S299" s="68"/>
      <c r="T299" s="68"/>
      <c r="V299" s="96"/>
      <c r="W299" s="75"/>
      <c r="X299" s="78"/>
      <c r="Y299" s="97"/>
      <c r="Z299" s="98"/>
      <c r="AA299" s="77"/>
      <c r="AB299" s="78"/>
      <c r="AC299" s="97"/>
      <c r="AD299" s="98"/>
      <c r="AE299" s="77"/>
      <c r="AF299" s="78"/>
      <c r="AG299" s="97"/>
      <c r="AH299" s="98"/>
      <c r="AI299" s="77"/>
      <c r="AJ299" s="78"/>
      <c r="AK299" s="97"/>
      <c r="AL299" s="98"/>
      <c r="AM299" s="77"/>
      <c r="AN299" s="78"/>
      <c r="AO299" s="97"/>
      <c r="AP299" s="98"/>
      <c r="AQ299" s="77"/>
      <c r="AR299" s="78"/>
      <c r="AS299" s="97"/>
      <c r="AT299" s="98"/>
      <c r="AU299" s="77"/>
      <c r="AV299" s="97"/>
      <c r="AW299" s="97"/>
      <c r="AX299" s="98"/>
      <c r="AY299" s="77"/>
      <c r="AZ299" s="97"/>
      <c r="BA299" s="97"/>
      <c r="BB299" s="98"/>
      <c r="BC299" s="77"/>
      <c r="BD299" s="97"/>
      <c r="BE299" s="97"/>
      <c r="BF299" s="98"/>
      <c r="BG299" s="77"/>
      <c r="BH299" s="97"/>
      <c r="BI299" s="97"/>
      <c r="BJ299" s="98"/>
      <c r="BK299" s="77"/>
      <c r="BL299" s="97"/>
      <c r="BM299" s="97"/>
      <c r="BN299" s="98"/>
      <c r="BO299" s="77"/>
      <c r="BP299" s="97"/>
      <c r="BQ299" s="97"/>
      <c r="BR299" s="98"/>
      <c r="BS299" s="77"/>
      <c r="BT299" s="97"/>
      <c r="BU299" s="97"/>
      <c r="BV299" s="98"/>
      <c r="BW299" s="77"/>
      <c r="BX299" s="97"/>
      <c r="BY299" s="97"/>
      <c r="BZ299" s="98"/>
      <c r="CA299" s="97"/>
      <c r="CB299" s="97"/>
      <c r="CC299" s="97"/>
      <c r="CD299" s="98"/>
      <c r="CE299" s="97"/>
      <c r="CF299" s="97"/>
      <c r="CG299" s="97"/>
      <c r="CH299" s="98"/>
      <c r="CI299" s="97"/>
      <c r="CJ299" s="97"/>
      <c r="CK299" s="97"/>
      <c r="CL299" s="98"/>
      <c r="CM299" s="97"/>
      <c r="CN299" s="97"/>
      <c r="CO299" s="97"/>
      <c r="CP299" s="98"/>
      <c r="CQ299" s="97"/>
      <c r="CR299" s="97"/>
      <c r="CS299" s="97"/>
      <c r="CT299" s="98"/>
      <c r="CU299" s="97"/>
      <c r="CV299" s="97"/>
      <c r="CW299" s="97"/>
      <c r="CX299" s="98"/>
      <c r="CY299" s="97"/>
      <c r="CZ299" s="97"/>
      <c r="DA299" s="97"/>
      <c r="DB299" s="98"/>
      <c r="DC299" s="75"/>
      <c r="DD299" s="97"/>
      <c r="DE299" s="97"/>
      <c r="DF299" s="98"/>
      <c r="DG299" s="75"/>
      <c r="DH299" s="78"/>
      <c r="DI299" s="99"/>
      <c r="DJ299" s="98"/>
      <c r="DL299" s="40"/>
      <c r="DM299" s="36"/>
      <c r="DN299" s="36"/>
      <c r="DO299" s="36"/>
      <c r="DP299" s="36"/>
      <c r="DQ299" s="100"/>
      <c r="DR299" s="36"/>
      <c r="DS299" s="100"/>
      <c r="DT299" s="36"/>
      <c r="DU299" s="36"/>
      <c r="DV299" s="41"/>
    </row>
    <row r="300" spans="10:126">
      <c r="J300" s="96"/>
      <c r="L300" s="75"/>
      <c r="N300" s="75"/>
      <c r="O300" s="75"/>
      <c r="P300" s="72"/>
      <c r="Q300" s="72"/>
      <c r="S300" s="68"/>
      <c r="T300" s="68"/>
      <c r="V300" s="96"/>
      <c r="W300" s="75"/>
      <c r="X300" s="78"/>
      <c r="Y300" s="97"/>
      <c r="Z300" s="98"/>
      <c r="AA300" s="77"/>
      <c r="AB300" s="78"/>
      <c r="AC300" s="97"/>
      <c r="AD300" s="98"/>
      <c r="AE300" s="77"/>
      <c r="AF300" s="78"/>
      <c r="AG300" s="97"/>
      <c r="AH300" s="98"/>
      <c r="AI300" s="77"/>
      <c r="AJ300" s="78"/>
      <c r="AK300" s="97"/>
      <c r="AL300" s="98"/>
      <c r="AM300" s="77"/>
      <c r="AN300" s="78"/>
      <c r="AO300" s="97"/>
      <c r="AP300" s="98"/>
      <c r="AQ300" s="77"/>
      <c r="AR300" s="78"/>
      <c r="AS300" s="97"/>
      <c r="AT300" s="98"/>
      <c r="AU300" s="77"/>
      <c r="AV300" s="97"/>
      <c r="AW300" s="97"/>
      <c r="AX300" s="98"/>
      <c r="AY300" s="77"/>
      <c r="AZ300" s="97"/>
      <c r="BA300" s="97"/>
      <c r="BB300" s="98"/>
      <c r="BC300" s="77"/>
      <c r="BD300" s="97"/>
      <c r="BE300" s="97"/>
      <c r="BF300" s="98"/>
      <c r="BG300" s="77"/>
      <c r="BH300" s="97"/>
      <c r="BI300" s="97"/>
      <c r="BJ300" s="98"/>
      <c r="BK300" s="77"/>
      <c r="BL300" s="97"/>
      <c r="BM300" s="97"/>
      <c r="BN300" s="98"/>
      <c r="BO300" s="77"/>
      <c r="BP300" s="97"/>
      <c r="BQ300" s="97"/>
      <c r="BR300" s="98"/>
      <c r="BS300" s="77"/>
      <c r="BT300" s="97"/>
      <c r="BU300" s="97"/>
      <c r="BV300" s="98"/>
      <c r="BW300" s="77"/>
      <c r="BX300" s="97"/>
      <c r="BY300" s="97"/>
      <c r="BZ300" s="98"/>
      <c r="CA300" s="97"/>
      <c r="CB300" s="97"/>
      <c r="CC300" s="97"/>
      <c r="CD300" s="98"/>
      <c r="CE300" s="97"/>
      <c r="CF300" s="97"/>
      <c r="CG300" s="97"/>
      <c r="CH300" s="98"/>
      <c r="CI300" s="97"/>
      <c r="CJ300" s="97"/>
      <c r="CK300" s="97"/>
      <c r="CL300" s="98"/>
      <c r="CM300" s="97"/>
      <c r="CN300" s="97"/>
      <c r="CO300" s="97"/>
      <c r="CP300" s="98"/>
      <c r="CQ300" s="97"/>
      <c r="CR300" s="97"/>
      <c r="CS300" s="97"/>
      <c r="CT300" s="98"/>
      <c r="CU300" s="97"/>
      <c r="CV300" s="97"/>
      <c r="CW300" s="97"/>
      <c r="CX300" s="98"/>
      <c r="CY300" s="97"/>
      <c r="CZ300" s="97"/>
      <c r="DA300" s="97"/>
      <c r="DB300" s="98"/>
      <c r="DC300" s="75"/>
      <c r="DD300" s="97"/>
      <c r="DE300" s="97"/>
      <c r="DF300" s="98"/>
      <c r="DG300" s="75"/>
      <c r="DH300" s="78"/>
      <c r="DI300" s="99"/>
      <c r="DJ300" s="98"/>
      <c r="DL300" s="40"/>
      <c r="DM300" s="36"/>
      <c r="DN300" s="36"/>
      <c r="DO300" s="36"/>
      <c r="DP300" s="36"/>
      <c r="DQ300" s="100"/>
      <c r="DR300" s="36"/>
      <c r="DS300" s="100"/>
      <c r="DT300" s="36"/>
      <c r="DU300" s="36"/>
      <c r="DV300" s="41"/>
    </row>
    <row r="301" spans="10:126">
      <c r="J301" s="96"/>
      <c r="L301" s="75"/>
      <c r="N301" s="75"/>
      <c r="O301" s="75"/>
      <c r="P301" s="72"/>
      <c r="Q301" s="72"/>
      <c r="S301" s="68"/>
      <c r="T301" s="68"/>
      <c r="V301" s="96"/>
      <c r="W301" s="75"/>
      <c r="X301" s="78"/>
      <c r="Y301" s="97"/>
      <c r="Z301" s="98"/>
      <c r="AA301" s="77"/>
      <c r="AB301" s="78"/>
      <c r="AC301" s="97"/>
      <c r="AD301" s="98"/>
      <c r="AE301" s="77"/>
      <c r="AF301" s="78"/>
      <c r="AG301" s="97"/>
      <c r="AH301" s="98"/>
      <c r="AI301" s="77"/>
      <c r="AJ301" s="78"/>
      <c r="AK301" s="97"/>
      <c r="AL301" s="98"/>
      <c r="AM301" s="77"/>
      <c r="AN301" s="78"/>
      <c r="AO301" s="97"/>
      <c r="AP301" s="98"/>
      <c r="AQ301" s="77"/>
      <c r="AR301" s="78"/>
      <c r="AS301" s="97"/>
      <c r="AT301" s="98"/>
      <c r="AU301" s="77"/>
      <c r="AV301" s="97"/>
      <c r="AW301" s="97"/>
      <c r="AX301" s="98"/>
      <c r="AY301" s="77"/>
      <c r="AZ301" s="97"/>
      <c r="BA301" s="97"/>
      <c r="BB301" s="98"/>
      <c r="BC301" s="77"/>
      <c r="BD301" s="97"/>
      <c r="BE301" s="97"/>
      <c r="BF301" s="98"/>
      <c r="BG301" s="77"/>
      <c r="BH301" s="97"/>
      <c r="BI301" s="97"/>
      <c r="BJ301" s="98"/>
      <c r="BK301" s="77"/>
      <c r="BL301" s="97"/>
      <c r="BM301" s="97"/>
      <c r="BN301" s="98"/>
      <c r="BO301" s="77"/>
      <c r="BP301" s="97"/>
      <c r="BQ301" s="97"/>
      <c r="BR301" s="98"/>
      <c r="BS301" s="77"/>
      <c r="BT301" s="97"/>
      <c r="BU301" s="97"/>
      <c r="BV301" s="98"/>
      <c r="BW301" s="77"/>
      <c r="BX301" s="97"/>
      <c r="BY301" s="97"/>
      <c r="BZ301" s="98"/>
      <c r="CA301" s="97"/>
      <c r="CB301" s="97"/>
      <c r="CC301" s="97"/>
      <c r="CD301" s="98"/>
      <c r="CE301" s="97"/>
      <c r="CF301" s="97"/>
      <c r="CG301" s="97"/>
      <c r="CH301" s="98"/>
      <c r="CI301" s="97"/>
      <c r="CJ301" s="97"/>
      <c r="CK301" s="97"/>
      <c r="CL301" s="98"/>
      <c r="CM301" s="97"/>
      <c r="CN301" s="97"/>
      <c r="CO301" s="97"/>
      <c r="CP301" s="98"/>
      <c r="CQ301" s="97"/>
      <c r="CR301" s="97"/>
      <c r="CS301" s="97"/>
      <c r="CT301" s="98"/>
      <c r="CU301" s="97"/>
      <c r="CV301" s="97"/>
      <c r="CW301" s="97"/>
      <c r="CX301" s="98"/>
      <c r="CY301" s="97"/>
      <c r="CZ301" s="97"/>
      <c r="DA301" s="97"/>
      <c r="DB301" s="98"/>
      <c r="DC301" s="75"/>
      <c r="DD301" s="97"/>
      <c r="DE301" s="97"/>
      <c r="DF301" s="98"/>
      <c r="DG301" s="75"/>
      <c r="DH301" s="78"/>
      <c r="DI301" s="99"/>
      <c r="DJ301" s="98"/>
      <c r="DL301" s="40"/>
      <c r="DM301" s="36"/>
      <c r="DN301" s="36"/>
      <c r="DO301" s="36"/>
      <c r="DP301" s="36"/>
      <c r="DQ301" s="100"/>
      <c r="DR301" s="36"/>
      <c r="DS301" s="100"/>
      <c r="DT301" s="36"/>
      <c r="DU301" s="36"/>
      <c r="DV301" s="41"/>
    </row>
    <row r="302" spans="10:126">
      <c r="J302" s="96"/>
      <c r="L302" s="75"/>
      <c r="N302" s="75"/>
      <c r="O302" s="75"/>
      <c r="P302" s="72"/>
      <c r="Q302" s="72"/>
      <c r="S302" s="68"/>
      <c r="T302" s="68"/>
      <c r="V302" s="96"/>
      <c r="W302" s="75"/>
      <c r="X302" s="78"/>
      <c r="Y302" s="97"/>
      <c r="Z302" s="98"/>
      <c r="AA302" s="77"/>
      <c r="AB302" s="78"/>
      <c r="AC302" s="97"/>
      <c r="AD302" s="98"/>
      <c r="AE302" s="77"/>
      <c r="AF302" s="78"/>
      <c r="AG302" s="97"/>
      <c r="AH302" s="98"/>
      <c r="AI302" s="77"/>
      <c r="AJ302" s="78"/>
      <c r="AK302" s="97"/>
      <c r="AL302" s="98"/>
      <c r="AM302" s="77"/>
      <c r="AN302" s="78"/>
      <c r="AO302" s="97"/>
      <c r="AP302" s="98"/>
      <c r="AQ302" s="77"/>
      <c r="AR302" s="78"/>
      <c r="AS302" s="97"/>
      <c r="AT302" s="98"/>
      <c r="AU302" s="77"/>
      <c r="AV302" s="97"/>
      <c r="AW302" s="97"/>
      <c r="AX302" s="98"/>
      <c r="AY302" s="77"/>
      <c r="AZ302" s="97"/>
      <c r="BA302" s="97"/>
      <c r="BB302" s="98"/>
      <c r="BC302" s="77"/>
      <c r="BD302" s="97"/>
      <c r="BE302" s="97"/>
      <c r="BF302" s="98"/>
      <c r="BG302" s="77"/>
      <c r="BH302" s="97"/>
      <c r="BI302" s="97"/>
      <c r="BJ302" s="98"/>
      <c r="BK302" s="77"/>
      <c r="BL302" s="97"/>
      <c r="BM302" s="97"/>
      <c r="BN302" s="98"/>
      <c r="BO302" s="77"/>
      <c r="BP302" s="97"/>
      <c r="BQ302" s="97"/>
      <c r="BR302" s="98"/>
      <c r="BS302" s="77"/>
      <c r="BT302" s="97"/>
      <c r="BU302" s="97"/>
      <c r="BV302" s="98"/>
      <c r="BW302" s="77"/>
      <c r="BX302" s="97"/>
      <c r="BY302" s="97"/>
      <c r="BZ302" s="98"/>
      <c r="CA302" s="97"/>
      <c r="CB302" s="97"/>
      <c r="CC302" s="97"/>
      <c r="CD302" s="98"/>
      <c r="CE302" s="97"/>
      <c r="CF302" s="97"/>
      <c r="CG302" s="97"/>
      <c r="CH302" s="98"/>
      <c r="CI302" s="97"/>
      <c r="CJ302" s="97"/>
      <c r="CK302" s="97"/>
      <c r="CL302" s="98"/>
      <c r="CM302" s="97"/>
      <c r="CN302" s="97"/>
      <c r="CO302" s="97"/>
      <c r="CP302" s="98"/>
      <c r="CQ302" s="97"/>
      <c r="CR302" s="97"/>
      <c r="CS302" s="97"/>
      <c r="CT302" s="98"/>
      <c r="CU302" s="97"/>
      <c r="CV302" s="97"/>
      <c r="CW302" s="97"/>
      <c r="CX302" s="98"/>
      <c r="CY302" s="97"/>
      <c r="CZ302" s="97"/>
      <c r="DA302" s="97"/>
      <c r="DB302" s="98"/>
      <c r="DC302" s="75"/>
      <c r="DD302" s="97"/>
      <c r="DE302" s="97"/>
      <c r="DF302" s="98"/>
      <c r="DG302" s="75"/>
      <c r="DH302" s="78"/>
      <c r="DI302" s="99"/>
      <c r="DJ302" s="98"/>
      <c r="DL302" s="40"/>
      <c r="DM302" s="36"/>
      <c r="DN302" s="36"/>
      <c r="DO302" s="36"/>
      <c r="DP302" s="36"/>
      <c r="DQ302" s="100"/>
      <c r="DR302" s="36"/>
      <c r="DS302" s="100"/>
      <c r="DT302" s="36"/>
      <c r="DU302" s="36"/>
      <c r="DV302" s="41"/>
    </row>
    <row r="303" spans="10:126">
      <c r="J303" s="96"/>
      <c r="L303" s="75"/>
      <c r="N303" s="75"/>
      <c r="O303" s="75"/>
      <c r="P303" s="72"/>
      <c r="Q303" s="72"/>
      <c r="S303" s="68"/>
      <c r="T303" s="68"/>
      <c r="V303" s="96"/>
      <c r="W303" s="75"/>
      <c r="X303" s="78"/>
      <c r="Y303" s="97"/>
      <c r="Z303" s="98"/>
      <c r="AA303" s="77"/>
      <c r="AB303" s="78"/>
      <c r="AC303" s="97"/>
      <c r="AD303" s="98"/>
      <c r="AE303" s="77"/>
      <c r="AF303" s="78"/>
      <c r="AG303" s="97"/>
      <c r="AH303" s="98"/>
      <c r="AI303" s="77"/>
      <c r="AJ303" s="78"/>
      <c r="AK303" s="97"/>
      <c r="AL303" s="98"/>
      <c r="AM303" s="77"/>
      <c r="AN303" s="78"/>
      <c r="AO303" s="97"/>
      <c r="AP303" s="98"/>
      <c r="AQ303" s="77"/>
      <c r="AR303" s="78"/>
      <c r="AS303" s="97"/>
      <c r="AT303" s="98"/>
      <c r="AU303" s="77"/>
      <c r="AV303" s="97"/>
      <c r="AW303" s="97"/>
      <c r="AX303" s="98"/>
      <c r="AY303" s="77"/>
      <c r="AZ303" s="97"/>
      <c r="BA303" s="97"/>
      <c r="BB303" s="98"/>
      <c r="BC303" s="77"/>
      <c r="BD303" s="97"/>
      <c r="BE303" s="97"/>
      <c r="BF303" s="98"/>
      <c r="BG303" s="77"/>
      <c r="BH303" s="97"/>
      <c r="BI303" s="97"/>
      <c r="BJ303" s="98"/>
      <c r="BK303" s="77"/>
      <c r="BL303" s="97"/>
      <c r="BM303" s="97"/>
      <c r="BN303" s="98"/>
      <c r="BO303" s="77"/>
      <c r="BP303" s="97"/>
      <c r="BQ303" s="97"/>
      <c r="BR303" s="98"/>
      <c r="BS303" s="77"/>
      <c r="BT303" s="97"/>
      <c r="BU303" s="97"/>
      <c r="BV303" s="98"/>
      <c r="BW303" s="77"/>
      <c r="BX303" s="97"/>
      <c r="BY303" s="97"/>
      <c r="BZ303" s="98"/>
      <c r="CA303" s="97"/>
      <c r="CB303" s="97"/>
      <c r="CC303" s="97"/>
      <c r="CD303" s="98"/>
      <c r="CE303" s="97"/>
      <c r="CF303" s="97"/>
      <c r="CG303" s="97"/>
      <c r="CH303" s="98"/>
      <c r="CI303" s="97"/>
      <c r="CJ303" s="97"/>
      <c r="CK303" s="97"/>
      <c r="CL303" s="98"/>
      <c r="CM303" s="97"/>
      <c r="CN303" s="97"/>
      <c r="CO303" s="97"/>
      <c r="CP303" s="98"/>
      <c r="CQ303" s="97"/>
      <c r="CR303" s="97"/>
      <c r="CS303" s="97"/>
      <c r="CT303" s="98"/>
      <c r="CU303" s="97"/>
      <c r="CV303" s="97"/>
      <c r="CW303" s="97"/>
      <c r="CX303" s="98"/>
      <c r="CY303" s="97"/>
      <c r="CZ303" s="97"/>
      <c r="DA303" s="97"/>
      <c r="DB303" s="98"/>
      <c r="DC303" s="75"/>
      <c r="DD303" s="97"/>
      <c r="DE303" s="97"/>
      <c r="DF303" s="98"/>
      <c r="DG303" s="75"/>
      <c r="DH303" s="78"/>
      <c r="DI303" s="99"/>
      <c r="DJ303" s="98"/>
      <c r="DL303" s="40"/>
      <c r="DM303" s="36"/>
      <c r="DN303" s="36"/>
      <c r="DO303" s="36"/>
      <c r="DP303" s="36"/>
      <c r="DQ303" s="100"/>
      <c r="DR303" s="36"/>
      <c r="DS303" s="100"/>
      <c r="DT303" s="36"/>
      <c r="DU303" s="36"/>
      <c r="DV303" s="41"/>
    </row>
    <row r="304" spans="10:126">
      <c r="J304" s="96"/>
      <c r="L304" s="75"/>
      <c r="N304" s="75"/>
      <c r="O304" s="75"/>
      <c r="P304" s="72"/>
      <c r="Q304" s="72"/>
      <c r="S304" s="68"/>
      <c r="T304" s="68"/>
      <c r="V304" s="96"/>
      <c r="W304" s="75"/>
      <c r="X304" s="78"/>
      <c r="Y304" s="97"/>
      <c r="Z304" s="98"/>
      <c r="AA304" s="77"/>
      <c r="AB304" s="78"/>
      <c r="AC304" s="97"/>
      <c r="AD304" s="98"/>
      <c r="AE304" s="77"/>
      <c r="AF304" s="78"/>
      <c r="AG304" s="97"/>
      <c r="AH304" s="98"/>
      <c r="AI304" s="77"/>
      <c r="AJ304" s="78"/>
      <c r="AK304" s="97"/>
      <c r="AL304" s="98"/>
      <c r="AM304" s="77"/>
      <c r="AN304" s="78"/>
      <c r="AO304" s="97"/>
      <c r="AP304" s="98"/>
      <c r="AQ304" s="77"/>
      <c r="AR304" s="78"/>
      <c r="AS304" s="97"/>
      <c r="AT304" s="98"/>
      <c r="AU304" s="77"/>
      <c r="AV304" s="97"/>
      <c r="AW304" s="97"/>
      <c r="AX304" s="98"/>
      <c r="AY304" s="77"/>
      <c r="AZ304" s="97"/>
      <c r="BA304" s="97"/>
      <c r="BB304" s="98"/>
      <c r="BC304" s="77"/>
      <c r="BD304" s="97"/>
      <c r="BE304" s="97"/>
      <c r="BF304" s="98"/>
      <c r="BG304" s="77"/>
      <c r="BH304" s="97"/>
      <c r="BI304" s="97"/>
      <c r="BJ304" s="98"/>
      <c r="BK304" s="77"/>
      <c r="BL304" s="97"/>
      <c r="BM304" s="97"/>
      <c r="BN304" s="98"/>
      <c r="BO304" s="77"/>
      <c r="BP304" s="97"/>
      <c r="BQ304" s="97"/>
      <c r="BR304" s="98"/>
      <c r="BS304" s="77"/>
      <c r="BT304" s="97"/>
      <c r="BU304" s="97"/>
      <c r="BV304" s="98"/>
      <c r="BW304" s="77"/>
      <c r="BX304" s="97"/>
      <c r="BY304" s="97"/>
      <c r="BZ304" s="98"/>
      <c r="CA304" s="97"/>
      <c r="CB304" s="97"/>
      <c r="CC304" s="97"/>
      <c r="CD304" s="98"/>
      <c r="CE304" s="97"/>
      <c r="CF304" s="97"/>
      <c r="CG304" s="97"/>
      <c r="CH304" s="98"/>
      <c r="CI304" s="97"/>
      <c r="CJ304" s="97"/>
      <c r="CK304" s="97"/>
      <c r="CL304" s="98"/>
      <c r="CM304" s="97"/>
      <c r="CN304" s="97"/>
      <c r="CO304" s="97"/>
      <c r="CP304" s="98"/>
      <c r="CQ304" s="97"/>
      <c r="CR304" s="97"/>
      <c r="CS304" s="97"/>
      <c r="CT304" s="98"/>
      <c r="CU304" s="97"/>
      <c r="CV304" s="97"/>
      <c r="CW304" s="97"/>
      <c r="CX304" s="98"/>
      <c r="CY304" s="97"/>
      <c r="CZ304" s="97"/>
      <c r="DA304" s="97"/>
      <c r="DB304" s="98"/>
      <c r="DC304" s="75"/>
      <c r="DD304" s="97"/>
      <c r="DE304" s="97"/>
      <c r="DF304" s="98"/>
      <c r="DG304" s="75"/>
      <c r="DH304" s="78"/>
      <c r="DI304" s="99"/>
      <c r="DJ304" s="98"/>
      <c r="DL304" s="40"/>
      <c r="DM304" s="36"/>
      <c r="DN304" s="36"/>
      <c r="DO304" s="36"/>
      <c r="DP304" s="36"/>
      <c r="DQ304" s="100"/>
      <c r="DR304" s="36"/>
      <c r="DS304" s="100"/>
      <c r="DT304" s="36"/>
      <c r="DU304" s="36"/>
      <c r="DV304" s="41"/>
    </row>
    <row r="305" spans="10:126">
      <c r="J305" s="96"/>
      <c r="L305" s="75"/>
      <c r="N305" s="75"/>
      <c r="O305" s="75"/>
      <c r="P305" s="72"/>
      <c r="Q305" s="72"/>
      <c r="S305" s="68"/>
      <c r="T305" s="68"/>
      <c r="V305" s="96"/>
      <c r="W305" s="75"/>
      <c r="X305" s="78"/>
      <c r="Y305" s="97"/>
      <c r="Z305" s="98"/>
      <c r="AA305" s="77"/>
      <c r="AB305" s="78"/>
      <c r="AC305" s="97"/>
      <c r="AD305" s="98"/>
      <c r="AE305" s="77"/>
      <c r="AF305" s="78"/>
      <c r="AG305" s="97"/>
      <c r="AH305" s="98"/>
      <c r="AI305" s="77"/>
      <c r="AJ305" s="78"/>
      <c r="AK305" s="97"/>
      <c r="AL305" s="98"/>
      <c r="AM305" s="77"/>
      <c r="AN305" s="78"/>
      <c r="AO305" s="97"/>
      <c r="AP305" s="98"/>
      <c r="AQ305" s="77"/>
      <c r="AR305" s="78"/>
      <c r="AS305" s="97"/>
      <c r="AT305" s="98"/>
      <c r="AU305" s="77"/>
      <c r="AV305" s="97"/>
      <c r="AW305" s="97"/>
      <c r="AX305" s="98"/>
      <c r="AY305" s="77"/>
      <c r="AZ305" s="97"/>
      <c r="BA305" s="97"/>
      <c r="BB305" s="98"/>
      <c r="BC305" s="77"/>
      <c r="BD305" s="97"/>
      <c r="BE305" s="97"/>
      <c r="BF305" s="98"/>
      <c r="BG305" s="77"/>
      <c r="BH305" s="97"/>
      <c r="BI305" s="97"/>
      <c r="BJ305" s="98"/>
      <c r="BK305" s="77"/>
      <c r="BL305" s="97"/>
      <c r="BM305" s="97"/>
      <c r="BN305" s="98"/>
      <c r="BO305" s="77"/>
      <c r="BP305" s="97"/>
      <c r="BQ305" s="97"/>
      <c r="BR305" s="98"/>
      <c r="BS305" s="77"/>
      <c r="BT305" s="97"/>
      <c r="BU305" s="97"/>
      <c r="BV305" s="98"/>
      <c r="BW305" s="77"/>
      <c r="BX305" s="97"/>
      <c r="BY305" s="97"/>
      <c r="BZ305" s="98"/>
      <c r="CA305" s="97"/>
      <c r="CB305" s="97"/>
      <c r="CC305" s="97"/>
      <c r="CD305" s="98"/>
      <c r="CE305" s="97"/>
      <c r="CF305" s="97"/>
      <c r="CG305" s="97"/>
      <c r="CH305" s="98"/>
      <c r="CI305" s="97"/>
      <c r="CJ305" s="97"/>
      <c r="CK305" s="97"/>
      <c r="CL305" s="98"/>
      <c r="CM305" s="97"/>
      <c r="CN305" s="97"/>
      <c r="CO305" s="97"/>
      <c r="CP305" s="98"/>
      <c r="CQ305" s="97"/>
      <c r="CR305" s="97"/>
      <c r="CS305" s="97"/>
      <c r="CT305" s="98"/>
      <c r="CU305" s="97"/>
      <c r="CV305" s="97"/>
      <c r="CW305" s="97"/>
      <c r="CX305" s="98"/>
      <c r="CY305" s="97"/>
      <c r="CZ305" s="97"/>
      <c r="DA305" s="97"/>
      <c r="DB305" s="98"/>
      <c r="DC305" s="75"/>
      <c r="DD305" s="97"/>
      <c r="DE305" s="97"/>
      <c r="DF305" s="98"/>
      <c r="DG305" s="75"/>
      <c r="DH305" s="78"/>
      <c r="DI305" s="99"/>
      <c r="DJ305" s="98"/>
      <c r="DL305" s="40"/>
      <c r="DM305" s="36"/>
      <c r="DN305" s="36"/>
      <c r="DO305" s="36"/>
      <c r="DP305" s="36"/>
      <c r="DQ305" s="100"/>
      <c r="DR305" s="36"/>
      <c r="DS305" s="100"/>
      <c r="DT305" s="36"/>
      <c r="DU305" s="36"/>
      <c r="DV305" s="41"/>
    </row>
    <row r="306" spans="10:126">
      <c r="J306" s="96"/>
      <c r="L306" s="75"/>
      <c r="N306" s="75"/>
      <c r="O306" s="75"/>
      <c r="P306" s="72"/>
      <c r="Q306" s="72"/>
      <c r="S306" s="68"/>
      <c r="T306" s="68"/>
      <c r="V306" s="96"/>
      <c r="W306" s="75"/>
      <c r="X306" s="78"/>
      <c r="Y306" s="97"/>
      <c r="Z306" s="98"/>
      <c r="AA306" s="77"/>
      <c r="AB306" s="78"/>
      <c r="AC306" s="97"/>
      <c r="AD306" s="98"/>
      <c r="AE306" s="77"/>
      <c r="AF306" s="78"/>
      <c r="AG306" s="97"/>
      <c r="AH306" s="98"/>
      <c r="AI306" s="77"/>
      <c r="AJ306" s="78"/>
      <c r="AK306" s="97"/>
      <c r="AL306" s="98"/>
      <c r="AM306" s="77"/>
      <c r="AN306" s="78"/>
      <c r="AO306" s="97"/>
      <c r="AP306" s="98"/>
      <c r="AQ306" s="77"/>
      <c r="AR306" s="78"/>
      <c r="AS306" s="97"/>
      <c r="AT306" s="98"/>
      <c r="AU306" s="77"/>
      <c r="AV306" s="97"/>
      <c r="AW306" s="97"/>
      <c r="AX306" s="98"/>
      <c r="AY306" s="77"/>
      <c r="AZ306" s="97"/>
      <c r="BA306" s="97"/>
      <c r="BB306" s="98"/>
      <c r="BC306" s="77"/>
      <c r="BD306" s="97"/>
      <c r="BE306" s="97"/>
      <c r="BF306" s="98"/>
      <c r="BG306" s="77"/>
      <c r="BH306" s="97"/>
      <c r="BI306" s="97"/>
      <c r="BJ306" s="98"/>
      <c r="BK306" s="77"/>
      <c r="BL306" s="97"/>
      <c r="BM306" s="97"/>
      <c r="BN306" s="98"/>
      <c r="BO306" s="77"/>
      <c r="BP306" s="97"/>
      <c r="BQ306" s="97"/>
      <c r="BR306" s="98"/>
      <c r="BS306" s="77"/>
      <c r="BT306" s="97"/>
      <c r="BU306" s="97"/>
      <c r="BV306" s="98"/>
      <c r="BW306" s="77"/>
      <c r="BX306" s="97"/>
      <c r="BY306" s="97"/>
      <c r="BZ306" s="98"/>
      <c r="CA306" s="97"/>
      <c r="CB306" s="97"/>
      <c r="CC306" s="97"/>
      <c r="CD306" s="98"/>
      <c r="CE306" s="97"/>
      <c r="CF306" s="97"/>
      <c r="CG306" s="97"/>
      <c r="CH306" s="98"/>
      <c r="CI306" s="97"/>
      <c r="CJ306" s="97"/>
      <c r="CK306" s="97"/>
      <c r="CL306" s="98"/>
      <c r="CM306" s="97"/>
      <c r="CN306" s="97"/>
      <c r="CO306" s="97"/>
      <c r="CP306" s="98"/>
      <c r="CQ306" s="97"/>
      <c r="CR306" s="97"/>
      <c r="CS306" s="97"/>
      <c r="CT306" s="98"/>
      <c r="CU306" s="97"/>
      <c r="CV306" s="97"/>
      <c r="CW306" s="97"/>
      <c r="CX306" s="98"/>
      <c r="CY306" s="97"/>
      <c r="CZ306" s="97"/>
      <c r="DA306" s="97"/>
      <c r="DB306" s="98"/>
      <c r="DC306" s="75"/>
      <c r="DD306" s="97"/>
      <c r="DE306" s="97"/>
      <c r="DF306" s="98"/>
      <c r="DG306" s="75"/>
      <c r="DH306" s="78"/>
      <c r="DI306" s="99"/>
      <c r="DJ306" s="98"/>
      <c r="DL306" s="40"/>
      <c r="DM306" s="36"/>
      <c r="DN306" s="36"/>
      <c r="DO306" s="36"/>
      <c r="DP306" s="36"/>
      <c r="DQ306" s="100"/>
      <c r="DR306" s="36"/>
      <c r="DS306" s="100"/>
      <c r="DT306" s="36"/>
      <c r="DU306" s="36"/>
      <c r="DV306" s="41"/>
    </row>
    <row r="307" spans="10:126">
      <c r="J307" s="96"/>
      <c r="L307" s="75"/>
      <c r="N307" s="75"/>
      <c r="O307" s="75"/>
      <c r="P307" s="72"/>
      <c r="Q307" s="72"/>
      <c r="S307" s="68"/>
      <c r="T307" s="68"/>
      <c r="V307" s="96"/>
      <c r="W307" s="75"/>
      <c r="X307" s="78"/>
      <c r="Y307" s="97"/>
      <c r="Z307" s="98"/>
      <c r="AA307" s="77"/>
      <c r="AB307" s="78"/>
      <c r="AC307" s="97"/>
      <c r="AD307" s="98"/>
      <c r="AE307" s="77"/>
      <c r="AF307" s="78"/>
      <c r="AG307" s="97"/>
      <c r="AH307" s="98"/>
      <c r="AI307" s="77"/>
      <c r="AJ307" s="78"/>
      <c r="AK307" s="97"/>
      <c r="AL307" s="98"/>
      <c r="AM307" s="77"/>
      <c r="AN307" s="78"/>
      <c r="AO307" s="97"/>
      <c r="AP307" s="98"/>
      <c r="AQ307" s="77"/>
      <c r="AR307" s="78"/>
      <c r="AS307" s="97"/>
      <c r="AT307" s="98"/>
      <c r="AU307" s="77"/>
      <c r="AV307" s="97"/>
      <c r="AW307" s="97"/>
      <c r="AX307" s="98"/>
      <c r="AY307" s="77"/>
      <c r="AZ307" s="97"/>
      <c r="BA307" s="97"/>
      <c r="BB307" s="98"/>
      <c r="BC307" s="77"/>
      <c r="BD307" s="97"/>
      <c r="BE307" s="97"/>
      <c r="BF307" s="98"/>
      <c r="BG307" s="77"/>
      <c r="BH307" s="97"/>
      <c r="BI307" s="97"/>
      <c r="BJ307" s="98"/>
      <c r="BK307" s="77"/>
      <c r="BL307" s="97"/>
      <c r="BM307" s="97"/>
      <c r="BN307" s="98"/>
      <c r="BO307" s="77"/>
      <c r="BP307" s="97"/>
      <c r="BQ307" s="97"/>
      <c r="BR307" s="98"/>
      <c r="BS307" s="77"/>
      <c r="BT307" s="97"/>
      <c r="BU307" s="97"/>
      <c r="BV307" s="98"/>
      <c r="BW307" s="77"/>
      <c r="BX307" s="97"/>
      <c r="BY307" s="97"/>
      <c r="BZ307" s="98"/>
      <c r="CA307" s="97"/>
      <c r="CB307" s="97"/>
      <c r="CC307" s="97"/>
      <c r="CD307" s="98"/>
      <c r="CE307" s="97"/>
      <c r="CF307" s="97"/>
      <c r="CG307" s="97"/>
      <c r="CH307" s="98"/>
      <c r="CI307" s="97"/>
      <c r="CJ307" s="97"/>
      <c r="CK307" s="97"/>
      <c r="CL307" s="98"/>
      <c r="CM307" s="97"/>
      <c r="CN307" s="97"/>
      <c r="CO307" s="97"/>
      <c r="CP307" s="98"/>
      <c r="CQ307" s="97"/>
      <c r="CR307" s="97"/>
      <c r="CS307" s="97"/>
      <c r="CT307" s="98"/>
      <c r="CU307" s="97"/>
      <c r="CV307" s="97"/>
      <c r="CW307" s="97"/>
      <c r="CX307" s="98"/>
      <c r="CY307" s="97"/>
      <c r="CZ307" s="97"/>
      <c r="DA307" s="97"/>
      <c r="DB307" s="98"/>
      <c r="DC307" s="75"/>
      <c r="DD307" s="97"/>
      <c r="DE307" s="97"/>
      <c r="DF307" s="98"/>
      <c r="DG307" s="75"/>
      <c r="DH307" s="78"/>
      <c r="DI307" s="99"/>
      <c r="DJ307" s="98"/>
      <c r="DL307" s="40"/>
      <c r="DM307" s="36"/>
      <c r="DN307" s="36"/>
      <c r="DO307" s="36"/>
      <c r="DP307" s="36"/>
      <c r="DQ307" s="100"/>
      <c r="DR307" s="36"/>
      <c r="DS307" s="100"/>
      <c r="DT307" s="36"/>
      <c r="DU307" s="36"/>
      <c r="DV307" s="41"/>
    </row>
    <row r="308" spans="10:126">
      <c r="DL308" s="40"/>
      <c r="DM308" s="36"/>
      <c r="DN308" s="36"/>
      <c r="DO308" s="36"/>
      <c r="DP308" s="36"/>
      <c r="DQ308" s="100"/>
      <c r="DR308" s="36"/>
      <c r="DS308" s="100"/>
      <c r="DT308" s="36"/>
      <c r="DU308" s="36"/>
      <c r="DV308" s="41"/>
    </row>
  </sheetData>
  <autoFilter ref="F11:DW131" xr:uid="{00000000-0009-0000-0000-000006000000}"/>
  <pageMargins left="0.7" right="0.7" top="0.75" bottom="0.75" header="0.3" footer="0.3"/>
  <pageSetup orientation="portrait" r:id="rId1"/>
  <headerFooter>
    <oddFooter>&amp;R&amp;"Calibri"&amp;11&amp;K000000_x000D_&amp;1#&amp;"Calibri"&amp;10&amp;KFF8C00Classification :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M105"/>
  <sheetViews>
    <sheetView zoomScaleNormal="100" workbookViewId="0">
      <selection activeCell="D17" sqref="D17"/>
    </sheetView>
  </sheetViews>
  <sheetFormatPr defaultColWidth="9.140625" defaultRowHeight="12.75"/>
  <cols>
    <col min="1" max="1" width="9.140625" style="146"/>
    <col min="2" max="2" width="33.28515625" style="146" bestFit="1" customWidth="1"/>
    <col min="3" max="3" width="20.140625" style="146" bestFit="1" customWidth="1"/>
    <col min="4" max="4" width="18" style="146" bestFit="1" customWidth="1"/>
    <col min="5" max="5" width="15.5703125" style="146" bestFit="1" customWidth="1"/>
    <col min="6" max="6" width="14" style="146" bestFit="1" customWidth="1"/>
    <col min="7" max="7" width="9.140625" style="146"/>
    <col min="8" max="8" width="10" style="146" customWidth="1"/>
    <col min="9" max="9" width="44.85546875" style="146" bestFit="1" customWidth="1"/>
    <col min="10" max="10" width="9.140625" style="146"/>
    <col min="11" max="11" width="17.5703125" style="146" bestFit="1" customWidth="1"/>
    <col min="12" max="12" width="14.5703125" style="146" bestFit="1" customWidth="1"/>
    <col min="13" max="16384" width="9.140625" style="146"/>
  </cols>
  <sheetData>
    <row r="1" spans="2:13" ht="13.5" thickBot="1"/>
    <row r="2" spans="2:13" ht="13.5" thickBot="1">
      <c r="B2" s="153" t="s">
        <v>202</v>
      </c>
      <c r="C2" s="154"/>
      <c r="D2" s="154"/>
      <c r="E2" s="155">
        <f ca="1">TODAY()</f>
        <v>45863</v>
      </c>
    </row>
    <row r="3" spans="2:13">
      <c r="B3" s="156"/>
      <c r="C3" s="156"/>
      <c r="D3" s="156"/>
      <c r="E3" s="156"/>
      <c r="K3" s="178">
        <v>0.6</v>
      </c>
    </row>
    <row r="4" spans="2:13">
      <c r="B4" s="156"/>
      <c r="C4" s="156"/>
      <c r="D4" s="156"/>
      <c r="E4" s="156"/>
      <c r="K4" s="179">
        <v>0.4</v>
      </c>
    </row>
    <row r="5" spans="2:13" ht="18" customHeight="1">
      <c r="B5" s="183" t="s">
        <v>226</v>
      </c>
      <c r="C5" s="183"/>
      <c r="D5" s="183"/>
      <c r="E5" s="183"/>
      <c r="G5" s="174" t="s">
        <v>220</v>
      </c>
      <c r="J5" s="176"/>
    </row>
    <row r="6" spans="2:13" ht="39" customHeight="1">
      <c r="B6" s="157" t="s">
        <v>203</v>
      </c>
      <c r="C6" s="157" t="s">
        <v>46</v>
      </c>
      <c r="D6" s="157" t="s">
        <v>131</v>
      </c>
      <c r="E6" s="182" t="s">
        <v>204</v>
      </c>
      <c r="G6" s="157" t="s">
        <v>68</v>
      </c>
      <c r="H6" s="172" t="s">
        <v>98</v>
      </c>
      <c r="I6" s="172" t="s">
        <v>217</v>
      </c>
      <c r="J6" s="172" t="s">
        <v>218</v>
      </c>
      <c r="K6" s="173" t="s">
        <v>142</v>
      </c>
      <c r="L6" s="173" t="s">
        <v>221</v>
      </c>
      <c r="M6" s="173" t="s">
        <v>222</v>
      </c>
    </row>
    <row r="7" spans="2:13">
      <c r="B7" s="158" t="s">
        <v>105</v>
      </c>
      <c r="C7" s="159">
        <f ca="1">SUMIF(Calcs!$C$16:$I$1048576,$B7,Calcs!$I$16:$I$1048576)*10^6</f>
        <v>0</v>
      </c>
      <c r="D7" s="159">
        <f ca="1">SUMIF(Calcs!$C$16:$O$1048576,$B7,Calcs!$O$16:$O$1048576)</f>
        <v>0</v>
      </c>
      <c r="E7" s="160" t="str" cm="1">
        <f t="array" aca="1" ref="E7" ca="1">IFERROR(SUMPRODUCT(IF((Calcs!$C$16:$C$1048576=$B7),Calcs!$AN$16:$AN$1048576*(Calcs!$O$16:$O$1048576))/D7),"")</f>
        <v/>
      </c>
      <c r="F7" s="184"/>
      <c r="G7" s="154" t="e" cm="1">
        <f t="array" ref="G7">_xlfn._xlws.SORT(#REF!,1,1)</f>
        <v>#REF!</v>
      </c>
      <c r="H7" s="158" t="e" cm="1">
        <f t="array" ref="H7">IF(G7="","",_xlfn.XLOOKUP(G7,#REF!,#REF!))</f>
        <v>#REF!</v>
      </c>
      <c r="I7" s="158" t="e">
        <f>IF(G7="","",_xlfn.XLOOKUP(H7,#REF!,#REF!))</f>
        <v>#REF!</v>
      </c>
      <c r="J7" s="158" t="e">
        <f>IF(G7="","",_xlfn.XLOOKUP(H7,#REF!,#REF!))</f>
        <v>#REF!</v>
      </c>
      <c r="K7" s="166" t="e">
        <f>IF(G7="","",_xlfn.XLOOKUP(H7,#REF!,#REF!))</f>
        <v>#REF!</v>
      </c>
      <c r="L7" s="175" t="e">
        <f>IF(G7="","",_xlfn.XLOOKUP(H7,#REF!,#REF!))</f>
        <v>#REF!</v>
      </c>
      <c r="M7" s="177" t="e">
        <f>IF(H7="","",_xlfn.XLOOKUP(H7,Calcs!$B$16:$B$95,Calcs!$M$16:$M$95))</f>
        <v>#REF!</v>
      </c>
    </row>
    <row r="8" spans="2:13">
      <c r="B8" s="161" t="s">
        <v>123</v>
      </c>
      <c r="C8" s="162">
        <f ca="1">SUMIF(Calcs!$C$16:$I$1048576,$B8,Calcs!$I$16:$I$1048576)*10^6</f>
        <v>0</v>
      </c>
      <c r="D8" s="162">
        <f ca="1">SUMIF(Calcs!$C$16:$O$1048576,$B8,Calcs!$O$16:$O$1048576)</f>
        <v>0</v>
      </c>
      <c r="E8" s="163" t="e" cm="1">
        <f t="array" aca="1" ref="E8" ca="1">0+(IFERROR(SUMPRODUCT(IF((Calcs!$C$16:$C$1048576=$B8),Calcs!$AN$16:$AN$1048576*(Calcs!$O$16:$O$1048576))/D8),""))</f>
        <v>#VALUE!</v>
      </c>
      <c r="F8" s="184"/>
      <c r="G8" s="154"/>
      <c r="H8" s="158" t="str" cm="1">
        <f t="array" ref="H8">IF(G8="","",_xlfn.XLOOKUP(G8,#REF!,#REF!))</f>
        <v/>
      </c>
      <c r="I8" s="158" t="str">
        <f>IF(G8="","",_xlfn.XLOOKUP(H8,#REF!,#REF!))</f>
        <v/>
      </c>
      <c r="J8" s="158" t="str">
        <f>IF(G8="","",_xlfn.XLOOKUP(H8,#REF!,#REF!))</f>
        <v/>
      </c>
      <c r="K8" s="166" t="str">
        <f>IF(G8="","",_xlfn.XLOOKUP(H8,#REF!,#REF!))</f>
        <v/>
      </c>
      <c r="L8" s="175" t="str">
        <f>IF(G8="","",_xlfn.XLOOKUP(H8,#REF!,#REF!))</f>
        <v/>
      </c>
      <c r="M8" s="177" t="str">
        <f>IF(H8="","",_xlfn.XLOOKUP(H8,Calcs!$B$16:$B$95,Calcs!$M$16:$M$95))</f>
        <v/>
      </c>
    </row>
    <row r="9" spans="2:13">
      <c r="B9" s="158" t="s">
        <v>144</v>
      </c>
      <c r="C9" s="159">
        <f ca="1">SUM(C7:C8)</f>
        <v>0</v>
      </c>
      <c r="D9" s="159">
        <f ca="1">SUM(D7:D8)</f>
        <v>0</v>
      </c>
      <c r="E9" s="160" t="e">
        <f ca="1">SUMPRODUCT(E7:E8,D7:D8)/D9</f>
        <v>#VALUE!</v>
      </c>
      <c r="F9" s="184"/>
      <c r="G9" s="154"/>
      <c r="H9" s="158" t="str" cm="1">
        <f t="array" ref="H9">IF(G9="","",_xlfn.XLOOKUP(G9,#REF!,#REF!))</f>
        <v/>
      </c>
      <c r="I9" s="158" t="str">
        <f>IF(G9="","",_xlfn.XLOOKUP(H9,#REF!,#REF!))</f>
        <v/>
      </c>
      <c r="J9" s="158" t="str">
        <f>IF(G9="","",_xlfn.XLOOKUP(H9,#REF!,#REF!))</f>
        <v/>
      </c>
      <c r="K9" s="166" t="str">
        <f>IF(G9="","",_xlfn.XLOOKUP(H9,#REF!,#REF!))</f>
        <v/>
      </c>
      <c r="L9" s="175" t="str">
        <f>IF(G9="","",_xlfn.XLOOKUP(H9,#REF!,#REF!))</f>
        <v/>
      </c>
      <c r="M9" s="177" t="str">
        <f>IF(H9="","",_xlfn.XLOOKUP(H9,Calcs!$B$16:$B$95,Calcs!$M$16:$M$95))</f>
        <v/>
      </c>
    </row>
    <row r="10" spans="2:13">
      <c r="B10" s="158"/>
      <c r="C10" s="159"/>
      <c r="D10" s="159"/>
      <c r="E10" s="185"/>
      <c r="G10" s="154"/>
      <c r="H10" s="158" t="str" cm="1">
        <f t="array" ref="H10">IF(G10="","",_xlfn.XLOOKUP(G10,#REF!,#REF!))</f>
        <v/>
      </c>
      <c r="I10" s="158" t="str">
        <f>IF(G10="","",_xlfn.XLOOKUP(H10,#REF!,#REF!))</f>
        <v/>
      </c>
      <c r="J10" s="158" t="str">
        <f>IF(G10="","",_xlfn.XLOOKUP(H10,#REF!,#REF!))</f>
        <v/>
      </c>
      <c r="K10" s="166" t="str">
        <f>IF(G10="","",_xlfn.XLOOKUP(H10,#REF!,#REF!))</f>
        <v/>
      </c>
      <c r="L10" s="175" t="str">
        <f>IF(G10="","",_xlfn.XLOOKUP(H10,#REF!,#REF!))</f>
        <v/>
      </c>
      <c r="M10" s="177" t="str">
        <f>IF(H10="","",_xlfn.XLOOKUP(H10,Calcs!$B$16:$B$95,Calcs!$M$16:$M$95))</f>
        <v/>
      </c>
    </row>
    <row r="11" spans="2:13">
      <c r="B11" s="156"/>
      <c r="C11" s="156"/>
      <c r="D11" s="169" t="s">
        <v>209</v>
      </c>
      <c r="E11" s="159">
        <f>'Summary '!$I$4</f>
        <v>400000000</v>
      </c>
      <c r="F11" s="184"/>
      <c r="G11" s="154"/>
      <c r="H11" s="158" t="str" cm="1">
        <f t="array" ref="H11">IF(G11="","",_xlfn.XLOOKUP(G11,#REF!,#REF!))</f>
        <v/>
      </c>
      <c r="I11" s="158" t="str">
        <f>IF(G11="","",_xlfn.XLOOKUP(H11,#REF!,#REF!))</f>
        <v/>
      </c>
      <c r="J11" s="158" t="str">
        <f>IF(G11="","",_xlfn.XLOOKUP(H11,#REF!,#REF!))</f>
        <v/>
      </c>
      <c r="K11" s="166" t="str">
        <f>IF(G11="","",_xlfn.XLOOKUP(H11,#REF!,#REF!))</f>
        <v/>
      </c>
      <c r="L11" s="175" t="str">
        <f>IF(G11="","",_xlfn.XLOOKUP(H11,#REF!,#REF!))</f>
        <v/>
      </c>
      <c r="M11" s="177" t="str">
        <f>IF(H11="","",_xlfn.XLOOKUP(H11,Calcs!$B$16:$B$95,Calcs!$M$16:$M$95))</f>
        <v/>
      </c>
    </row>
    <row r="12" spans="2:13">
      <c r="D12" s="169" t="s">
        <v>30</v>
      </c>
      <c r="E12" s="188">
        <f ca="1">'Summary '!$C$17</f>
        <v>223028592.80932829</v>
      </c>
      <c r="G12" s="154"/>
      <c r="H12" s="158" t="str" cm="1">
        <f t="array" ref="H12">IF(G12="","",_xlfn.XLOOKUP(G12,#REF!,#REF!))</f>
        <v/>
      </c>
      <c r="I12" s="158" t="str">
        <f>IF(G12="","",_xlfn.XLOOKUP(H12,#REF!,#REF!))</f>
        <v/>
      </c>
      <c r="J12" s="158" t="str">
        <f>IF(G12="","",_xlfn.XLOOKUP(H12,#REF!,#REF!))</f>
        <v/>
      </c>
      <c r="K12" s="166" t="str">
        <f>IF(G12="","",_xlfn.XLOOKUP(H12,#REF!,#REF!))</f>
        <v/>
      </c>
      <c r="L12" s="175" t="str">
        <f>IF(G12="","",_xlfn.XLOOKUP(H12,#REF!,#REF!))</f>
        <v/>
      </c>
      <c r="M12" s="177" t="str">
        <f>IF(H12="","",_xlfn.XLOOKUP(H12,Calcs!$B$16:$B$95,Calcs!$M$16:$M$95))</f>
        <v/>
      </c>
    </row>
    <row r="13" spans="2:13">
      <c r="D13" s="170" t="s">
        <v>210</v>
      </c>
      <c r="E13" s="171">
        <f>-('Summary '!$C$22)</f>
        <v>-160600000</v>
      </c>
      <c r="G13" s="154"/>
      <c r="H13" s="158" t="str" cm="1">
        <f t="array" ref="H13">IF(G13="","",_xlfn.XLOOKUP(G13,#REF!,#REF!))</f>
        <v/>
      </c>
      <c r="I13" s="158" t="str">
        <f>IF(G13="","",_xlfn.XLOOKUP(H13,#REF!,#REF!))</f>
        <v/>
      </c>
      <c r="J13" s="158" t="str">
        <f>IF(G13="","",_xlfn.XLOOKUP(H13,#REF!,#REF!))</f>
        <v/>
      </c>
      <c r="K13" s="166" t="str">
        <f>IF(G13="","",_xlfn.XLOOKUP(H13,#REF!,#REF!))</f>
        <v/>
      </c>
      <c r="L13" s="175" t="str">
        <f>IF(G13="","",_xlfn.XLOOKUP(H13,#REF!,#REF!))</f>
        <v/>
      </c>
      <c r="M13" s="177" t="str">
        <f>IF(H13="","",_xlfn.XLOOKUP(H13,Calcs!$B$16:$B$95,Calcs!$M$16:$M$95))</f>
        <v/>
      </c>
    </row>
    <row r="14" spans="2:13">
      <c r="D14" s="169" t="s">
        <v>211</v>
      </c>
      <c r="E14" s="159">
        <f ca="1">SUM(E12:E13)</f>
        <v>62428592.809328288</v>
      </c>
      <c r="G14" s="154"/>
      <c r="H14" s="158" t="str" cm="1">
        <f t="array" ref="H14">IF(G14="","",_xlfn.XLOOKUP(G14,#REF!,#REF!))</f>
        <v/>
      </c>
      <c r="I14" s="158" t="str">
        <f>IF(G14="","",_xlfn.XLOOKUP(H14,#REF!,#REF!))</f>
        <v/>
      </c>
      <c r="J14" s="158" t="str">
        <f>IF(G14="","",_xlfn.XLOOKUP(H14,#REF!,#REF!))</f>
        <v/>
      </c>
      <c r="K14" s="166" t="str">
        <f>IF(G14="","",_xlfn.XLOOKUP(H14,#REF!,#REF!))</f>
        <v/>
      </c>
      <c r="L14" s="175" t="str">
        <f>IF(G14="","",_xlfn.XLOOKUP(H14,#REF!,#REF!))</f>
        <v/>
      </c>
      <c r="M14" s="177" t="str">
        <f>IF(H14="","",_xlfn.XLOOKUP(H14,Calcs!$B$16:$B$95,Calcs!$M$16:$M$95))</f>
        <v/>
      </c>
    </row>
    <row r="15" spans="2:13">
      <c r="F15" s="147"/>
      <c r="G15" s="154"/>
      <c r="H15" s="158" t="str" cm="1">
        <f t="array" ref="H15">IF(G15="","",_xlfn.XLOOKUP(G15,#REF!,#REF!))</f>
        <v/>
      </c>
      <c r="I15" s="158" t="str">
        <f>IF(G15="","",_xlfn.XLOOKUP(H15,#REF!,#REF!))</f>
        <v/>
      </c>
      <c r="J15" s="158" t="str">
        <f>IF(G15="","",_xlfn.XLOOKUP(H15,#REF!,#REF!))</f>
        <v/>
      </c>
      <c r="K15" s="166" t="str">
        <f>IF(G15="","",_xlfn.XLOOKUP(H15,#REF!,#REF!))</f>
        <v/>
      </c>
      <c r="L15" s="175" t="str">
        <f>IF(G15="","",_xlfn.XLOOKUP(H15,#REF!,#REF!))</f>
        <v/>
      </c>
      <c r="M15" s="177" t="str">
        <f>IF(H15="","",_xlfn.XLOOKUP(H15,Calcs!$B$16:$B$95,Calcs!$M$16:$M$95))</f>
        <v/>
      </c>
    </row>
    <row r="16" spans="2:13">
      <c r="B16" s="157" t="s">
        <v>205</v>
      </c>
      <c r="C16" s="157" t="s">
        <v>206</v>
      </c>
      <c r="D16" s="157" t="s">
        <v>72</v>
      </c>
      <c r="E16" s="157" t="s">
        <v>224</v>
      </c>
      <c r="F16" s="147"/>
      <c r="G16" s="154"/>
      <c r="H16" s="158" t="str" cm="1">
        <f t="array" ref="H16">IF(G16="","",_xlfn.XLOOKUP(G16,#REF!,#REF!))</f>
        <v/>
      </c>
      <c r="I16" s="158" t="str">
        <f>IF(G16="","",_xlfn.XLOOKUP(H16,#REF!,#REF!))</f>
        <v/>
      </c>
      <c r="J16" s="158" t="str">
        <f>IF(G16="","",_xlfn.XLOOKUP(H16,#REF!,#REF!))</f>
        <v/>
      </c>
      <c r="K16" s="166" t="str">
        <f>IF(G16="","",_xlfn.XLOOKUP(H16,#REF!,#REF!))</f>
        <v/>
      </c>
      <c r="L16" s="175" t="str">
        <f>IF(G16="","",_xlfn.XLOOKUP(H16,#REF!,#REF!))</f>
        <v/>
      </c>
      <c r="M16" s="177" t="str">
        <f>IF(H16="","",_xlfn.XLOOKUP(H16,Calcs!$B$16:$B$95,Calcs!$M$16:$M$95))</f>
        <v/>
      </c>
    </row>
    <row r="17" spans="1:13">
      <c r="B17" s="164" t="s">
        <v>212</v>
      </c>
      <c r="C17" s="165" t="s">
        <v>207</v>
      </c>
      <c r="D17" s="160" t="e">
        <f ca="1">CONCATENATE(TEXT(_xludf.MAXIFS('Concentration Limitations'!$Q$10:$Q$130,'Concentration Limitations'!$P$10:$P$130,10%),"0.0%")," / ",TEXT(_xludf.MAXIFS('Concentration Limitations'!$Q$10:$Q$130,'Concentration Limitations'!$P$10:$P$130,7.5%),"0.0%")," / ",TEXT(_xludf.MAXIFS('Concentration Limitations'!$Q$10:$Q$130,'Concentration Limitations'!$P$10:$P$130,5%),"0.0%"))</f>
        <v>#NAME?</v>
      </c>
      <c r="E17" s="159">
        <f>-'Concentration Limitations'!$R$9</f>
        <v>0</v>
      </c>
      <c r="F17" s="147"/>
      <c r="G17" s="154"/>
      <c r="H17" s="158" t="str" cm="1">
        <f t="array" ref="H17">IF(G17="","",_xlfn.XLOOKUP(G17,#REF!,#REF!))</f>
        <v/>
      </c>
      <c r="I17" s="158" t="str">
        <f>IF(G17="","",_xlfn.XLOOKUP(H17,#REF!,#REF!))</f>
        <v/>
      </c>
      <c r="J17" s="158" t="str">
        <f>IF(G17="","",_xlfn.XLOOKUP(H17,#REF!,#REF!))</f>
        <v/>
      </c>
      <c r="K17" s="166" t="str">
        <f>IF(G17="","",_xlfn.XLOOKUP(H17,#REF!,#REF!))</f>
        <v/>
      </c>
      <c r="L17" s="175" t="str">
        <f>IF(G17="","",_xlfn.XLOOKUP(H17,#REF!,#REF!))</f>
        <v/>
      </c>
      <c r="M17" s="177" t="str">
        <f>IF(H17="","",_xlfn.XLOOKUP(H17,Calcs!$B$16:$B$95,Calcs!$M$16:$M$95))</f>
        <v/>
      </c>
    </row>
    <row r="18" spans="1:13">
      <c r="B18" s="164" t="s">
        <v>86</v>
      </c>
      <c r="C18" s="165">
        <v>0.27500000000000002</v>
      </c>
      <c r="D18" s="160">
        <f>'Concentration Limitations'!$X$7</f>
        <v>0</v>
      </c>
      <c r="E18" s="159">
        <f>-'Concentration Limitations'!$Y$9</f>
        <v>0</v>
      </c>
      <c r="F18" s="147"/>
      <c r="G18" s="154"/>
      <c r="H18" s="158" t="str" cm="1">
        <f t="array" ref="H18">IF(G18="","",_xlfn.XLOOKUP(G18,#REF!,#REF!))</f>
        <v/>
      </c>
      <c r="I18" s="158" t="str">
        <f>IF(G18="","",_xlfn.XLOOKUP(H18,#REF!,#REF!))</f>
        <v/>
      </c>
      <c r="J18" s="158" t="str">
        <f>IF(G18="","",_xlfn.XLOOKUP(H18,#REF!,#REF!))</f>
        <v/>
      </c>
      <c r="K18" s="166" t="str">
        <f>IF(G18="","",_xlfn.XLOOKUP(H18,#REF!,#REF!))</f>
        <v/>
      </c>
      <c r="L18" s="175" t="str">
        <f>IF(G18="","",_xlfn.XLOOKUP(H18,#REF!,#REF!))</f>
        <v/>
      </c>
      <c r="M18" s="177" t="str">
        <f>IF(H18="","",_xlfn.XLOOKUP(H18,Calcs!$B$16:$B$95,Calcs!$M$16:$M$95))</f>
        <v/>
      </c>
    </row>
    <row r="19" spans="1:13">
      <c r="B19" s="164" t="s">
        <v>88</v>
      </c>
      <c r="C19" s="165">
        <v>0.25</v>
      </c>
      <c r="D19" s="160">
        <f>'Concentration Limitations'!$AB$7</f>
        <v>9.8118890657692859E-2</v>
      </c>
      <c r="E19" s="159">
        <f>-'Concentration Limitations'!$AC$9</f>
        <v>0</v>
      </c>
      <c r="F19" s="147"/>
      <c r="G19" s="154"/>
      <c r="H19" s="158" t="str" cm="1">
        <f t="array" ref="H19">IF(G19="","",_xlfn.XLOOKUP(G19,#REF!,#REF!))</f>
        <v/>
      </c>
      <c r="I19" s="158" t="str">
        <f>IF(G19="","",_xlfn.XLOOKUP(H19,#REF!,#REF!))</f>
        <v/>
      </c>
      <c r="J19" s="158" t="str">
        <f>IF(G19="","",_xlfn.XLOOKUP(H19,#REF!,#REF!))</f>
        <v/>
      </c>
      <c r="K19" s="166" t="str">
        <f>IF(G19="","",_xlfn.XLOOKUP(H19,#REF!,#REF!))</f>
        <v/>
      </c>
      <c r="L19" s="175" t="str">
        <f>IF(G19="","",_xlfn.XLOOKUP(H19,#REF!,#REF!))</f>
        <v/>
      </c>
      <c r="M19" s="177" t="str">
        <f>IF(H19="","",_xlfn.XLOOKUP(H19,Calcs!$B$16:$B$95,Calcs!$M$16:$M$95))</f>
        <v/>
      </c>
    </row>
    <row r="20" spans="1:13">
      <c r="B20" s="164" t="s">
        <v>91</v>
      </c>
      <c r="C20" s="165">
        <v>0.15</v>
      </c>
      <c r="D20" s="160">
        <f>'Concentration Limitations'!$AN$7</f>
        <v>0</v>
      </c>
      <c r="E20" s="159">
        <f>-'Concentration Limitations'!$AO$9</f>
        <v>0</v>
      </c>
      <c r="F20" s="147"/>
      <c r="G20" s="154"/>
      <c r="H20" s="158" t="str" cm="1">
        <f t="array" ref="H20">IF(G20="","",_xlfn.XLOOKUP(G20,#REF!,#REF!))</f>
        <v/>
      </c>
      <c r="I20" s="158" t="str">
        <f>IF(G20="","",_xlfn.XLOOKUP(H20,#REF!,#REF!))</f>
        <v/>
      </c>
      <c r="J20" s="158" t="str">
        <f>IF(G20="","",_xlfn.XLOOKUP(H20,#REF!,#REF!))</f>
        <v/>
      </c>
      <c r="K20" s="166" t="str">
        <f>IF(G20="","",_xlfn.XLOOKUP(H20,#REF!,#REF!))</f>
        <v/>
      </c>
      <c r="L20" s="175" t="str">
        <f>IF(G20="","",_xlfn.XLOOKUP(H20,#REF!,#REF!))</f>
        <v/>
      </c>
      <c r="M20" s="177" t="str">
        <f>IF(H20="","",_xlfn.XLOOKUP(H20,Calcs!$B$16:$B$95,Calcs!$M$16:$M$95))</f>
        <v/>
      </c>
    </row>
    <row r="21" spans="1:13">
      <c r="B21" s="164" t="s">
        <v>141</v>
      </c>
      <c r="C21" s="165">
        <v>0.15</v>
      </c>
      <c r="D21" s="160">
        <f>'Concentration Limitations'!$AR$7</f>
        <v>0</v>
      </c>
      <c r="E21" s="159">
        <f>-'Concentration Limitations'!$AS$9</f>
        <v>0</v>
      </c>
      <c r="F21" s="147"/>
      <c r="G21" s="154"/>
      <c r="H21" s="158" t="str" cm="1">
        <f t="array" ref="H21">IF(G21="","",_xlfn.XLOOKUP(G21,#REF!,#REF!))</f>
        <v/>
      </c>
      <c r="I21" s="158" t="str">
        <f>IF(G21="","",_xlfn.XLOOKUP(H21,#REF!,#REF!))</f>
        <v/>
      </c>
      <c r="J21" s="158" t="str">
        <f>IF(G21="","",_xlfn.XLOOKUP(H21,#REF!,#REF!))</f>
        <v/>
      </c>
      <c r="K21" s="166" t="str">
        <f>IF(G21="","",_xlfn.XLOOKUP(H21,#REF!,#REF!))</f>
        <v/>
      </c>
      <c r="L21" s="175" t="str">
        <f>IF(G21="","",_xlfn.XLOOKUP(H21,#REF!,#REF!))</f>
        <v/>
      </c>
      <c r="M21" s="177" t="str">
        <f>IF(H21="","",_xlfn.XLOOKUP(H21,Calcs!$B$16:$B$95,Calcs!$M$16:$M$95))</f>
        <v/>
      </c>
    </row>
    <row r="22" spans="1:13">
      <c r="B22" s="164" t="s">
        <v>94</v>
      </c>
      <c r="C22" s="165">
        <v>0.1</v>
      </c>
      <c r="D22" s="160">
        <f>'Concentration Limitations'!$AV$7</f>
        <v>7.5252506444030393E-2</v>
      </c>
      <c r="E22" s="159">
        <f>-'Concentration Limitations'!$AW$9</f>
        <v>0</v>
      </c>
      <c r="F22" s="147"/>
      <c r="G22" s="154"/>
      <c r="H22" s="158" t="str" cm="1">
        <f t="array" ref="H22">IF(G22="","",_xlfn.XLOOKUP(G22,#REF!,#REF!))</f>
        <v/>
      </c>
      <c r="I22" s="158" t="str">
        <f>IF(G22="","",_xlfn.XLOOKUP(H22,#REF!,#REF!))</f>
        <v/>
      </c>
      <c r="J22" s="158" t="str">
        <f>IF(G22="","",_xlfn.XLOOKUP(H22,#REF!,#REF!))</f>
        <v/>
      </c>
      <c r="K22" s="166" t="str">
        <f>IF(G22="","",_xlfn.XLOOKUP(H22,#REF!,#REF!))</f>
        <v/>
      </c>
      <c r="L22" s="175" t="str">
        <f>IF(G22="","",_xlfn.XLOOKUP(H22,#REF!,#REF!))</f>
        <v/>
      </c>
      <c r="M22" s="177" t="str">
        <f>IF(H22="","",_xlfn.XLOOKUP(H22,Calcs!$B$16:$B$95,Calcs!$M$16:$M$95))</f>
        <v/>
      </c>
    </row>
    <row r="23" spans="1:13">
      <c r="B23" s="164" t="s">
        <v>79</v>
      </c>
      <c r="C23" s="165">
        <v>0.05</v>
      </c>
      <c r="D23" s="160">
        <f>'Concentration Limitations'!$AZ$7</f>
        <v>1.256552514043501E-2</v>
      </c>
      <c r="E23" s="159">
        <f>-'Concentration Limitations'!$BA$9</f>
        <v>0</v>
      </c>
      <c r="F23" s="148"/>
      <c r="G23" s="154"/>
      <c r="H23" s="158" t="str" cm="1">
        <f t="array" ref="H23">IF(G23="","",_xlfn.XLOOKUP(G23,#REF!,#REF!))</f>
        <v/>
      </c>
      <c r="I23" s="158" t="str">
        <f>IF(G23="","",_xlfn.XLOOKUP(H23,#REF!,#REF!))</f>
        <v/>
      </c>
      <c r="J23" s="158" t="str">
        <f>IF(G23="","",_xlfn.XLOOKUP(H23,#REF!,#REF!))</f>
        <v/>
      </c>
      <c r="K23" s="166" t="str">
        <f>IF(G23="","",_xlfn.XLOOKUP(H23,#REF!,#REF!))</f>
        <v/>
      </c>
      <c r="L23" s="175" t="str">
        <f>IF(G23="","",_xlfn.XLOOKUP(H23,#REF!,#REF!))</f>
        <v/>
      </c>
      <c r="M23" s="177" t="str">
        <f>IF(H23="","",_xlfn.XLOOKUP(H23,Calcs!$B$16:$B$95,Calcs!$M$16:$M$95))</f>
        <v/>
      </c>
    </row>
    <row r="24" spans="1:13">
      <c r="B24" s="164" t="s">
        <v>95</v>
      </c>
      <c r="C24" s="165">
        <v>0.15</v>
      </c>
      <c r="D24" s="160">
        <f>'Concentration Limitations'!$BD$7</f>
        <v>0</v>
      </c>
      <c r="E24" s="159">
        <f>-'Concentration Limitations'!$BE$9</f>
        <v>0</v>
      </c>
      <c r="F24" s="147"/>
      <c r="G24" s="154"/>
      <c r="H24" s="158" t="str" cm="1">
        <f t="array" ref="H24">IF(G24="","",_xlfn.XLOOKUP(G24,#REF!,#REF!))</f>
        <v/>
      </c>
      <c r="I24" s="158" t="str">
        <f>IF(G24="","",_xlfn.XLOOKUP(H24,#REF!,#REF!))</f>
        <v/>
      </c>
      <c r="J24" s="158" t="str">
        <f>IF(G24="","",_xlfn.XLOOKUP(H24,#REF!,#REF!))</f>
        <v/>
      </c>
      <c r="K24" s="166" t="str">
        <f>IF(G24="","",_xlfn.XLOOKUP(H24,#REF!,#REF!))</f>
        <v/>
      </c>
      <c r="L24" s="175" t="str">
        <f>IF(G24="","",_xlfn.XLOOKUP(H24,#REF!,#REF!))</f>
        <v/>
      </c>
      <c r="M24" s="177" t="str">
        <f>IF(H24="","",_xlfn.XLOOKUP(H24,Calcs!$B$16:$B$95,Calcs!$M$16:$M$95))</f>
        <v/>
      </c>
    </row>
    <row r="25" spans="1:13">
      <c r="B25" s="164" t="s">
        <v>114</v>
      </c>
      <c r="C25" s="165">
        <v>7.4999999999999997E-2</v>
      </c>
      <c r="D25" s="160">
        <f>'Concentration Limitations'!$BH$7</f>
        <v>0</v>
      </c>
      <c r="E25" s="159">
        <f>-'Concentration Limitations'!$BI$9</f>
        <v>0</v>
      </c>
      <c r="F25" s="147"/>
      <c r="G25" s="154"/>
      <c r="H25" s="158" t="str" cm="1">
        <f t="array" ref="H25">IF(G25="","",_xlfn.XLOOKUP(G25,#REF!,#REF!))</f>
        <v/>
      </c>
      <c r="I25" s="158" t="str">
        <f>IF(G25="","",_xlfn.XLOOKUP(H25,#REF!,#REF!))</f>
        <v/>
      </c>
      <c r="J25" s="158" t="str">
        <f>IF(G25="","",_xlfn.XLOOKUP(H25,#REF!,#REF!))</f>
        <v/>
      </c>
      <c r="K25" s="166" t="str">
        <f>IF(G25="","",_xlfn.XLOOKUP(H25,#REF!,#REF!))</f>
        <v/>
      </c>
      <c r="L25" s="175" t="str">
        <f>IF(G25="","",_xlfn.XLOOKUP(H25,#REF!,#REF!))</f>
        <v/>
      </c>
      <c r="M25" s="177" t="str">
        <f>IF(H25="","",_xlfn.XLOOKUP(H25,Calcs!$B$16:$B$95,Calcs!$M$16:$M$95))</f>
        <v/>
      </c>
    </row>
    <row r="26" spans="1:13">
      <c r="B26" s="164" t="s">
        <v>138</v>
      </c>
      <c r="C26" s="165">
        <v>7.4999999999999997E-2</v>
      </c>
      <c r="D26" s="160">
        <f>'Concentration Limitations'!$BL$7</f>
        <v>0</v>
      </c>
      <c r="E26" s="159">
        <f>-'Concentration Limitations'!$BM$9</f>
        <v>0</v>
      </c>
      <c r="G26" s="154"/>
      <c r="H26" s="158" t="str" cm="1">
        <f t="array" ref="H26">IF(G26="","",_xlfn.XLOOKUP(G26,#REF!,#REF!))</f>
        <v/>
      </c>
      <c r="I26" s="158" t="str">
        <f>IF(G26="","",_xlfn.XLOOKUP(H26,#REF!,#REF!))</f>
        <v/>
      </c>
      <c r="J26" s="158" t="str">
        <f>IF(G26="","",_xlfn.XLOOKUP(H26,#REF!,#REF!))</f>
        <v/>
      </c>
      <c r="K26" s="166" t="str">
        <f>IF(G26="","",_xlfn.XLOOKUP(H26,#REF!,#REF!))</f>
        <v/>
      </c>
      <c r="L26" s="175" t="str">
        <f>IF(G26="","",_xlfn.XLOOKUP(H26,#REF!,#REF!))</f>
        <v/>
      </c>
      <c r="M26" s="177" t="str">
        <f>IF(H26="","",_xlfn.XLOOKUP(H26,Calcs!$B$16:$B$95,Calcs!$M$16:$M$95))</f>
        <v/>
      </c>
    </row>
    <row r="27" spans="1:13">
      <c r="B27" s="164" t="s">
        <v>208</v>
      </c>
      <c r="C27" s="165">
        <v>0.1</v>
      </c>
      <c r="D27" s="160">
        <f>'Concentration Limitations'!$BP$7</f>
        <v>0</v>
      </c>
      <c r="E27" s="159">
        <f>-'Concentration Limitations'!$BQ$9</f>
        <v>0</v>
      </c>
      <c r="G27" s="154"/>
      <c r="H27" s="158" t="str" cm="1">
        <f t="array" ref="H27">IF(G27="","",_xlfn.XLOOKUP(G27,#REF!,#REF!))</f>
        <v/>
      </c>
      <c r="I27" s="158" t="str">
        <f>IF(G27="","",_xlfn.XLOOKUP(H27,#REF!,#REF!))</f>
        <v/>
      </c>
      <c r="J27" s="158" t="str">
        <f>IF(G27="","",_xlfn.XLOOKUP(H27,#REF!,#REF!))</f>
        <v/>
      </c>
      <c r="K27" s="166" t="str">
        <f>IF(G27="","",_xlfn.XLOOKUP(H27,#REF!,#REF!))</f>
        <v/>
      </c>
      <c r="L27" s="175" t="str">
        <f>IF(G27="","",_xlfn.XLOOKUP(H27,#REF!,#REF!))</f>
        <v/>
      </c>
      <c r="M27" s="177" t="str">
        <f>IF(H27="","",_xlfn.XLOOKUP(H27,Calcs!$B$16:$B$95,Calcs!$M$16:$M$95))</f>
        <v/>
      </c>
    </row>
    <row r="28" spans="1:13">
      <c r="B28" s="164" t="s">
        <v>140</v>
      </c>
      <c r="C28" s="165">
        <v>0.1</v>
      </c>
      <c r="D28" s="160">
        <f>'Concentration Limitations'!$BT$7</f>
        <v>1.5678380984862322E-2</v>
      </c>
      <c r="E28" s="159">
        <f>-'Concentration Limitations'!$BU$9</f>
        <v>0</v>
      </c>
      <c r="G28" s="154"/>
      <c r="H28" s="158" t="str" cm="1">
        <f t="array" ref="H28">IF(G28="","",_xlfn.XLOOKUP(G28,#REF!,#REF!))</f>
        <v/>
      </c>
      <c r="I28" s="158" t="str">
        <f>IF(G28="","",_xlfn.XLOOKUP(H28,#REF!,#REF!))</f>
        <v/>
      </c>
      <c r="J28" s="158" t="str">
        <f>IF(G28="","",_xlfn.XLOOKUP(H28,#REF!,#REF!))</f>
        <v/>
      </c>
      <c r="K28" s="166" t="str">
        <f>IF(G28="","",_xlfn.XLOOKUP(H28,#REF!,#REF!))</f>
        <v/>
      </c>
      <c r="L28" s="175" t="str">
        <f>IF(G28="","",_xlfn.XLOOKUP(H28,#REF!,#REF!))</f>
        <v/>
      </c>
      <c r="M28" s="177" t="str">
        <f>IF(H28="","",_xlfn.XLOOKUP(H28,Calcs!$B$16:$B$95,Calcs!$M$16:$M$95))</f>
        <v/>
      </c>
    </row>
    <row r="29" spans="1:13">
      <c r="B29" s="164" t="s">
        <v>97</v>
      </c>
      <c r="C29" s="187" t="s">
        <v>227</v>
      </c>
      <c r="D29" s="160" t="str">
        <f>CONCATENATE(TEXT(_xlfn.MAXIFS('Concentration Limitations'!$DQ$10:$DQ$131,'Concentration Limitations'!$DU$10:$DU$131,25%),"0.0%")," / ",TEXT(_xlfn.MAXIFS('Concentration Limitations'!$DQ$10:$DQ$131,'Concentration Limitations'!$DU$10:$DU$131,20%),"0.0%")," / ",TEXT(_xlfn.MAXIFS('Concentration Limitations'!$DQ$10:$DQ$131,'Concentration Limitations'!$DU$10:$DU$131,12%),"0.0%"))</f>
        <v>0.0% / 10.0% / 7.9%</v>
      </c>
      <c r="E29" s="159">
        <f ca="1">-'Concentration Limitations'!DI9</f>
        <v>0</v>
      </c>
      <c r="G29" s="154"/>
      <c r="H29" s="158" t="str" cm="1">
        <f t="array" ref="H29">IF(G29="","",_xlfn.XLOOKUP(G29,#REF!,#REF!))</f>
        <v/>
      </c>
      <c r="I29" s="158" t="str">
        <f>IF(G29="","",_xlfn.XLOOKUP(H29,#REF!,#REF!))</f>
        <v/>
      </c>
      <c r="J29" s="158" t="str">
        <f>IF(G29="","",_xlfn.XLOOKUP(H29,#REF!,#REF!))</f>
        <v/>
      </c>
      <c r="K29" s="166" t="str">
        <f>IF(G29="","",_xlfn.XLOOKUP(H29,#REF!,#REF!))</f>
        <v/>
      </c>
      <c r="L29" s="175" t="str">
        <f>IF(G29="","",_xlfn.XLOOKUP(H29,#REF!,#REF!))</f>
        <v/>
      </c>
      <c r="M29" s="177" t="str">
        <f>IF(H29="","",_xlfn.XLOOKUP(H29,Calcs!$B$16:$B$95,Calcs!$M$16:$M$95))</f>
        <v/>
      </c>
    </row>
    <row r="30" spans="1:13">
      <c r="A30" s="152">
        <v>1</v>
      </c>
      <c r="B30" s="167" t="e">
        <f>CONCATENATE(A30," - ",_xlfn.XLOOKUP(A30,'Concentration Limitations'!DW:DW,'Concentration Limitations'!DL:DL))</f>
        <v>#N/A</v>
      </c>
      <c r="C30" s="168" t="e">
        <f>_xlfn.XLOOKUP(A30,'Concentration Limitations'!DW:DW,'Concentration Limitations'!DU:DU)</f>
        <v>#N/A</v>
      </c>
      <c r="D30" s="168" t="e">
        <f>_xlfn.XLOOKUP(A30,'Concentration Limitations'!DW:DW,'Concentration Limitations'!DQ:DQ)</f>
        <v>#N/A</v>
      </c>
      <c r="E30" s="181" t="e">
        <f>(C30-D30)*'Concentration Limitations'!$O$1</f>
        <v>#N/A</v>
      </c>
      <c r="G30" s="154"/>
      <c r="H30" s="158" t="str" cm="1">
        <f t="array" ref="H30">IF(G30="","",_xlfn.XLOOKUP(G30,#REF!,#REF!))</f>
        <v/>
      </c>
      <c r="I30" s="158" t="str">
        <f>IF(G30="","",_xlfn.XLOOKUP(H30,#REF!,#REF!))</f>
        <v/>
      </c>
      <c r="J30" s="158" t="str">
        <f>IF(G30="","",_xlfn.XLOOKUP(H30,#REF!,#REF!))</f>
        <v/>
      </c>
      <c r="K30" s="166" t="str">
        <f>IF(G30="","",_xlfn.XLOOKUP(H30,#REF!,#REF!))</f>
        <v/>
      </c>
      <c r="L30" s="175" t="str">
        <f>IF(G30="","",_xlfn.XLOOKUP(H30,#REF!,#REF!))</f>
        <v/>
      </c>
      <c r="M30" s="177" t="str">
        <f>IF(H30="","",_xlfn.XLOOKUP(H30,Calcs!$B$16:$B$95,Calcs!$M$16:$M$95))</f>
        <v/>
      </c>
    </row>
    <row r="31" spans="1:13">
      <c r="A31" s="152">
        <v>2</v>
      </c>
      <c r="B31" s="167" t="e">
        <f>CONCATENATE(A31," - ",_xlfn.XLOOKUP(A31,'Concentration Limitations'!DW:DW,'Concentration Limitations'!DL:DL))</f>
        <v>#N/A</v>
      </c>
      <c r="C31" s="168" t="e">
        <f>_xlfn.XLOOKUP(A31,'Concentration Limitations'!DW:DW,'Concentration Limitations'!DU:DU)</f>
        <v>#N/A</v>
      </c>
      <c r="D31" s="168" t="e">
        <f>_xlfn.XLOOKUP(A31,'Concentration Limitations'!DW:DW,'Concentration Limitations'!DQ:DQ)</f>
        <v>#N/A</v>
      </c>
      <c r="E31" s="181" t="e">
        <f>(C31-D31)*'Concentration Limitations'!$O$1</f>
        <v>#N/A</v>
      </c>
      <c r="G31" s="154"/>
      <c r="H31" s="158" t="str" cm="1">
        <f t="array" ref="H31">IF(G31="","",_xlfn.XLOOKUP(G31,#REF!,#REF!))</f>
        <v/>
      </c>
      <c r="I31" s="158" t="str">
        <f>IF(G31="","",_xlfn.XLOOKUP(H31,#REF!,#REF!))</f>
        <v/>
      </c>
      <c r="J31" s="158" t="str">
        <f>IF(G31="","",_xlfn.XLOOKUP(H31,#REF!,#REF!))</f>
        <v/>
      </c>
      <c r="K31" s="166" t="str">
        <f>IF(G31="","",_xlfn.XLOOKUP(H31,#REF!,#REF!))</f>
        <v/>
      </c>
      <c r="L31" s="175" t="str">
        <f>IF(G31="","",_xlfn.XLOOKUP(H31,#REF!,#REF!))</f>
        <v/>
      </c>
      <c r="M31" s="177" t="str">
        <f>IF(H31="","",_xlfn.XLOOKUP(H31,Calcs!$B$16:$B$95,Calcs!$M$16:$M$95))</f>
        <v/>
      </c>
    </row>
    <row r="32" spans="1:13">
      <c r="A32" s="152">
        <v>3</v>
      </c>
      <c r="B32" s="167" t="e">
        <f>CONCATENATE(A32," - ",_xlfn.XLOOKUP(A32,'Concentration Limitations'!DW:DW,'Concentration Limitations'!DL:DL))</f>
        <v>#N/A</v>
      </c>
      <c r="C32" s="168" t="e">
        <f>_xlfn.XLOOKUP(A32,'Concentration Limitations'!DW:DW,'Concentration Limitations'!DU:DU)</f>
        <v>#N/A</v>
      </c>
      <c r="D32" s="168" t="e">
        <f>_xlfn.XLOOKUP(A32,'Concentration Limitations'!DW:DW,'Concentration Limitations'!DQ:DQ)</f>
        <v>#N/A</v>
      </c>
      <c r="E32" s="181" t="e">
        <f>(C32-D32)*'Concentration Limitations'!$O$1</f>
        <v>#N/A</v>
      </c>
      <c r="G32" s="154"/>
      <c r="H32" s="158" t="str" cm="1">
        <f t="array" ref="H32">IF(G32="","",_xlfn.XLOOKUP(G32,#REF!,#REF!))</f>
        <v/>
      </c>
      <c r="I32" s="158" t="str">
        <f>IF(G32="","",_xlfn.XLOOKUP(H32,#REF!,#REF!))</f>
        <v/>
      </c>
      <c r="J32" s="158" t="str">
        <f>IF(G32="","",_xlfn.XLOOKUP(H32,#REF!,#REF!))</f>
        <v/>
      </c>
      <c r="K32" s="166" t="str">
        <f>IF(G32="","",_xlfn.XLOOKUP(H32,#REF!,#REF!))</f>
        <v/>
      </c>
      <c r="L32" s="175" t="str">
        <f>IF(G32="","",_xlfn.XLOOKUP(H32,#REF!,#REF!))</f>
        <v/>
      </c>
      <c r="M32" s="177" t="str">
        <f>IF(H32="","",_xlfn.XLOOKUP(H32,Calcs!$B$16:$B$95,Calcs!$M$16:$M$95))</f>
        <v/>
      </c>
    </row>
    <row r="33" spans="1:13">
      <c r="A33" s="152">
        <v>4</v>
      </c>
      <c r="B33" s="167" t="e">
        <f>CONCATENATE(A33," - ",_xlfn.XLOOKUP(A33,'Concentration Limitations'!DW:DW,'Concentration Limitations'!DL:DL))</f>
        <v>#N/A</v>
      </c>
      <c r="C33" s="168" t="e">
        <f>_xlfn.XLOOKUP(A33,'Concentration Limitations'!DW:DW,'Concentration Limitations'!DU:DU)</f>
        <v>#N/A</v>
      </c>
      <c r="D33" s="168" t="e">
        <f>_xlfn.XLOOKUP(A33,'Concentration Limitations'!DW:DW,'Concentration Limitations'!DQ:DQ)</f>
        <v>#N/A</v>
      </c>
      <c r="E33" s="181" t="e">
        <f>(C33-D33)*'Concentration Limitations'!$O$1</f>
        <v>#N/A</v>
      </c>
      <c r="G33" s="154"/>
      <c r="H33" s="158" t="str" cm="1">
        <f t="array" ref="H33">IF(G33="","",_xlfn.XLOOKUP(G33,#REF!,#REF!))</f>
        <v/>
      </c>
      <c r="I33" s="158" t="str">
        <f>IF(G33="","",_xlfn.XLOOKUP(H33,#REF!,#REF!))</f>
        <v/>
      </c>
      <c r="J33" s="158" t="str">
        <f>IF(G33="","",_xlfn.XLOOKUP(H33,#REF!,#REF!))</f>
        <v/>
      </c>
      <c r="K33" s="166" t="str">
        <f>IF(G33="","",_xlfn.XLOOKUP(H33,#REF!,#REF!))</f>
        <v/>
      </c>
      <c r="L33" s="175" t="str">
        <f>IF(G33="","",_xlfn.XLOOKUP(H33,#REF!,#REF!))</f>
        <v/>
      </c>
      <c r="M33" s="177" t="str">
        <f>IF(H33="","",_xlfn.XLOOKUP(H33,Calcs!$B$16:$B$95,Calcs!$M$16:$M$95))</f>
        <v/>
      </c>
    </row>
    <row r="34" spans="1:13">
      <c r="A34" s="152">
        <v>5</v>
      </c>
      <c r="B34" s="167" t="e">
        <f>CONCATENATE(A34," - ",_xlfn.XLOOKUP(A34,'Concentration Limitations'!DW:DW,'Concentration Limitations'!DL:DL))</f>
        <v>#N/A</v>
      </c>
      <c r="C34" s="168" t="e">
        <f>_xlfn.XLOOKUP(A34,'Concentration Limitations'!DW:DW,'Concentration Limitations'!DU:DU)</f>
        <v>#N/A</v>
      </c>
      <c r="D34" s="168" t="e">
        <f>_xlfn.XLOOKUP(A34,'Concentration Limitations'!DW:DW,'Concentration Limitations'!DQ:DQ)</f>
        <v>#N/A</v>
      </c>
      <c r="E34" s="181" t="e">
        <f>(C34-D34)*'Concentration Limitations'!$O$1</f>
        <v>#N/A</v>
      </c>
      <c r="G34" s="154"/>
      <c r="H34" s="158" t="str" cm="1">
        <f t="array" ref="H34">IF(G34="","",_xlfn.XLOOKUP(G34,#REF!,#REF!))</f>
        <v/>
      </c>
      <c r="I34" s="158" t="str">
        <f>IF(G34="","",_xlfn.XLOOKUP(H34,#REF!,#REF!))</f>
        <v/>
      </c>
      <c r="J34" s="158" t="str">
        <f>IF(G34="","",_xlfn.XLOOKUP(H34,#REF!,#REF!))</f>
        <v/>
      </c>
      <c r="K34" s="166" t="str">
        <f>IF(G34="","",_xlfn.XLOOKUP(H34,#REF!,#REF!))</f>
        <v/>
      </c>
      <c r="L34" s="175" t="str">
        <f>IF(G34="","",_xlfn.XLOOKUP(H34,#REF!,#REF!))</f>
        <v/>
      </c>
      <c r="M34" s="177" t="str">
        <f>IF(H34="","",_xlfn.XLOOKUP(H34,Calcs!$B$16:$B$95,Calcs!$M$16:$M$95))</f>
        <v/>
      </c>
    </row>
    <row r="35" spans="1:13">
      <c r="G35" s="154"/>
      <c r="H35" s="158" t="str" cm="1">
        <f t="array" ref="H35">IF(G35="","",_xlfn.XLOOKUP(G35,#REF!,#REF!))</f>
        <v/>
      </c>
      <c r="I35" s="158" t="str">
        <f>IF(G35="","",_xlfn.XLOOKUP(H35,#REF!,#REF!))</f>
        <v/>
      </c>
      <c r="J35" s="158" t="str">
        <f>IF(G35="","",_xlfn.XLOOKUP(H35,#REF!,#REF!))</f>
        <v/>
      </c>
      <c r="K35" s="166" t="str">
        <f>IF(G35="","",_xlfn.XLOOKUP(H35,#REF!,#REF!))</f>
        <v/>
      </c>
      <c r="L35" s="175" t="str">
        <f>IF(G35="","",_xlfn.XLOOKUP(H35,#REF!,#REF!))</f>
        <v/>
      </c>
      <c r="M35" s="177" t="str">
        <f>IF(H35="","",_xlfn.XLOOKUP(H35,Calcs!$B$16:$B$95,Calcs!$M$16:$M$95))</f>
        <v/>
      </c>
    </row>
    <row r="36" spans="1:13">
      <c r="G36" s="154"/>
      <c r="H36" s="158" t="str" cm="1">
        <f t="array" ref="H36">IF(G36="","",_xlfn.XLOOKUP(G36,#REF!,#REF!))</f>
        <v/>
      </c>
      <c r="I36" s="158" t="str">
        <f>IF(G36="","",_xlfn.XLOOKUP(H36,#REF!,#REF!))</f>
        <v/>
      </c>
      <c r="J36" s="158" t="str">
        <f>IF(G36="","",_xlfn.XLOOKUP(H36,#REF!,#REF!))</f>
        <v/>
      </c>
      <c r="K36" s="166" t="str">
        <f>IF(G36="","",_xlfn.XLOOKUP(H36,#REF!,#REF!))</f>
        <v/>
      </c>
      <c r="L36" s="175" t="str">
        <f>IF(G36="","",_xlfn.XLOOKUP(H36,#REF!,#REF!))</f>
        <v/>
      </c>
      <c r="M36" s="177" t="str">
        <f>IF(H36="","",_xlfn.XLOOKUP(H36,Calcs!$B$16:$B$95,Calcs!$M$16:$M$95))</f>
        <v/>
      </c>
    </row>
    <row r="37" spans="1:13">
      <c r="G37" s="154"/>
      <c r="H37" s="158" t="str" cm="1">
        <f t="array" ref="H37">IF(G37="","",_xlfn.XLOOKUP(G37,#REF!,#REF!))</f>
        <v/>
      </c>
      <c r="I37" s="158" t="str">
        <f>IF(G37="","",_xlfn.XLOOKUP(H37,#REF!,#REF!))</f>
        <v/>
      </c>
      <c r="J37" s="158" t="str">
        <f>IF(G37="","",_xlfn.XLOOKUP(H37,#REF!,#REF!))</f>
        <v/>
      </c>
      <c r="K37" s="166" t="str">
        <f>IF(G37="","",_xlfn.XLOOKUP(H37,#REF!,#REF!))</f>
        <v/>
      </c>
      <c r="L37" s="175" t="str">
        <f>IF(G37="","",_xlfn.XLOOKUP(H37,#REF!,#REF!))</f>
        <v/>
      </c>
      <c r="M37" s="177" t="str">
        <f>IF(H37="","",_xlfn.XLOOKUP(H37,Calcs!$B$16:$B$95,Calcs!$M$16:$M$95))</f>
        <v/>
      </c>
    </row>
    <row r="38" spans="1:13">
      <c r="G38" s="154"/>
      <c r="H38" s="158" t="str" cm="1">
        <f t="array" ref="H38">IF(G38="","",_xlfn.XLOOKUP(G38,#REF!,#REF!))</f>
        <v/>
      </c>
      <c r="I38" s="158" t="str">
        <f>IF(G38="","",_xlfn.XLOOKUP(H38,#REF!,#REF!))</f>
        <v/>
      </c>
      <c r="J38" s="158" t="str">
        <f>IF(G38="","",_xlfn.XLOOKUP(H38,#REF!,#REF!))</f>
        <v/>
      </c>
      <c r="K38" s="166" t="str">
        <f>IF(G38="","",_xlfn.XLOOKUP(H38,#REF!,#REF!))</f>
        <v/>
      </c>
      <c r="L38" s="175" t="str">
        <f>IF(G38="","",_xlfn.XLOOKUP(H38,#REF!,#REF!))</f>
        <v/>
      </c>
      <c r="M38" s="177" t="str">
        <f>IF(H38="","",_xlfn.XLOOKUP(H38,Calcs!$B$16:$B$95,Calcs!$M$16:$M$95))</f>
        <v/>
      </c>
    </row>
    <row r="39" spans="1:13">
      <c r="G39" s="154"/>
      <c r="H39" s="158" t="str" cm="1">
        <f t="array" ref="H39">IF(G39="","",_xlfn.XLOOKUP(G39,#REF!,#REF!))</f>
        <v/>
      </c>
      <c r="I39" s="158" t="str">
        <f>IF(G39="","",_xlfn.XLOOKUP(H39,#REF!,#REF!))</f>
        <v/>
      </c>
      <c r="J39" s="158" t="str">
        <f>IF(G39="","",_xlfn.XLOOKUP(H39,#REF!,#REF!))</f>
        <v/>
      </c>
      <c r="K39" s="166" t="str">
        <f>IF(G39="","",_xlfn.XLOOKUP(H39,#REF!,#REF!))</f>
        <v/>
      </c>
      <c r="L39" s="175" t="str">
        <f>IF(G39="","",_xlfn.XLOOKUP(H39,#REF!,#REF!))</f>
        <v/>
      </c>
      <c r="M39" s="177" t="str">
        <f>IF(H39="","",_xlfn.XLOOKUP(H39,Calcs!$B$16:$B$95,Calcs!$M$16:$M$95))</f>
        <v/>
      </c>
    </row>
    <row r="40" spans="1:13">
      <c r="G40" s="154"/>
      <c r="H40" s="158" t="str" cm="1">
        <f t="array" ref="H40">IF(G40="","",_xlfn.XLOOKUP(G40,#REF!,#REF!))</f>
        <v/>
      </c>
      <c r="I40" s="158" t="str">
        <f>IF(G40="","",_xlfn.XLOOKUP(H40,#REF!,#REF!))</f>
        <v/>
      </c>
      <c r="J40" s="158" t="str">
        <f>IF(G40="","",_xlfn.XLOOKUP(H40,#REF!,#REF!))</f>
        <v/>
      </c>
      <c r="K40" s="166" t="str">
        <f>IF(G40="","",_xlfn.XLOOKUP(H40,#REF!,#REF!))</f>
        <v/>
      </c>
      <c r="L40" s="175" t="str">
        <f>IF(G40="","",_xlfn.XLOOKUP(H40,#REF!,#REF!))</f>
        <v/>
      </c>
      <c r="M40" s="177" t="str">
        <f>IF(H40="","",_xlfn.XLOOKUP(H40,Calcs!$B$16:$B$95,Calcs!$M$16:$M$95))</f>
        <v/>
      </c>
    </row>
    <row r="41" spans="1:13">
      <c r="G41" s="154"/>
      <c r="H41" s="158" t="str" cm="1">
        <f t="array" ref="H41">IF(G41="","",_xlfn.XLOOKUP(G41,#REF!,#REF!))</f>
        <v/>
      </c>
      <c r="I41" s="158" t="str">
        <f>IF(G41="","",_xlfn.XLOOKUP(H41,#REF!,#REF!))</f>
        <v/>
      </c>
      <c r="J41" s="158" t="str">
        <f>IF(G41="","",_xlfn.XLOOKUP(H41,#REF!,#REF!))</f>
        <v/>
      </c>
      <c r="K41" s="166" t="str">
        <f>IF(G41="","",_xlfn.XLOOKUP(H41,#REF!,#REF!))</f>
        <v/>
      </c>
      <c r="L41" s="175" t="str">
        <f>IF(G41="","",_xlfn.XLOOKUP(H41,#REF!,#REF!))</f>
        <v/>
      </c>
      <c r="M41" s="177" t="str">
        <f>IF(H41="","",_xlfn.XLOOKUP(H41,Calcs!$B$16:$B$95,Calcs!$M$16:$M$95))</f>
        <v/>
      </c>
    </row>
    <row r="42" spans="1:13">
      <c r="G42" s="154"/>
      <c r="H42" s="158" t="str" cm="1">
        <f t="array" ref="H42">IF(G42="","",_xlfn.XLOOKUP(G42,#REF!,#REF!))</f>
        <v/>
      </c>
      <c r="I42" s="158" t="str">
        <f>IF(G42="","",_xlfn.XLOOKUP(H42,#REF!,#REF!))</f>
        <v/>
      </c>
      <c r="J42" s="158" t="str">
        <f>IF(G42="","",_xlfn.XLOOKUP(H42,#REF!,#REF!))</f>
        <v/>
      </c>
      <c r="K42" s="166" t="str">
        <f>IF(G42="","",_xlfn.XLOOKUP(H42,#REF!,#REF!))</f>
        <v/>
      </c>
      <c r="L42" s="175" t="str">
        <f>IF(G42="","",_xlfn.XLOOKUP(H42,#REF!,#REF!))</f>
        <v/>
      </c>
      <c r="M42" s="177" t="str">
        <f>IF(H42="","",_xlfn.XLOOKUP(H42,Calcs!$B$16:$B$95,Calcs!$M$16:$M$95))</f>
        <v/>
      </c>
    </row>
    <row r="43" spans="1:13">
      <c r="G43" s="154"/>
      <c r="H43" s="158" t="str" cm="1">
        <f t="array" ref="H43">IF(G43="","",_xlfn.XLOOKUP(G43,#REF!,#REF!))</f>
        <v/>
      </c>
      <c r="I43" s="158" t="str">
        <f>IF(G43="","",_xlfn.XLOOKUP(H43,#REF!,#REF!))</f>
        <v/>
      </c>
      <c r="J43" s="158" t="str">
        <f>IF(G43="","",_xlfn.XLOOKUP(H43,#REF!,#REF!))</f>
        <v/>
      </c>
      <c r="K43" s="166" t="str">
        <f>IF(G43="","",_xlfn.XLOOKUP(H43,#REF!,#REF!))</f>
        <v/>
      </c>
      <c r="L43" s="175" t="str">
        <f>IF(G43="","",_xlfn.XLOOKUP(H43,#REF!,#REF!))</f>
        <v/>
      </c>
      <c r="M43" s="177" t="str">
        <f>IF(H43="","",_xlfn.XLOOKUP(H43,Calcs!$B$16:$B$95,Calcs!$M$16:$M$95))</f>
        <v/>
      </c>
    </row>
    <row r="44" spans="1:13">
      <c r="G44" s="154"/>
      <c r="H44" s="158" t="str" cm="1">
        <f t="array" ref="H44">IF(G44="","",_xlfn.XLOOKUP(G44,#REF!,#REF!))</f>
        <v/>
      </c>
      <c r="I44" s="158" t="str">
        <f>IF(G44="","",_xlfn.XLOOKUP(H44,#REF!,#REF!))</f>
        <v/>
      </c>
      <c r="J44" s="158" t="str">
        <f>IF(G44="","",_xlfn.XLOOKUP(H44,#REF!,#REF!))</f>
        <v/>
      </c>
      <c r="K44" s="166" t="str">
        <f>IF(G44="","",_xlfn.XLOOKUP(H44,#REF!,#REF!))</f>
        <v/>
      </c>
      <c r="L44" s="175" t="str">
        <f>IF(G44="","",_xlfn.XLOOKUP(H44,#REF!,#REF!))</f>
        <v/>
      </c>
      <c r="M44" s="177" t="str">
        <f>IF(H44="","",_xlfn.XLOOKUP(H44,Calcs!$B$16:$B$95,Calcs!$M$16:$M$95))</f>
        <v/>
      </c>
    </row>
    <row r="45" spans="1:13">
      <c r="G45" s="154"/>
      <c r="H45" s="158" t="str" cm="1">
        <f t="array" ref="H45">IF(G45="","",_xlfn.XLOOKUP(G45,#REF!,#REF!))</f>
        <v/>
      </c>
      <c r="I45" s="158" t="str">
        <f>IF(G45="","",_xlfn.XLOOKUP(H45,#REF!,#REF!))</f>
        <v/>
      </c>
      <c r="J45" s="158" t="str">
        <f>IF(G45="","",_xlfn.XLOOKUP(H45,#REF!,#REF!))</f>
        <v/>
      </c>
      <c r="K45" s="166" t="str">
        <f>IF(G45="","",_xlfn.XLOOKUP(H45,#REF!,#REF!))</f>
        <v/>
      </c>
      <c r="L45" s="175" t="str">
        <f>IF(G45="","",_xlfn.XLOOKUP(H45,#REF!,#REF!))</f>
        <v/>
      </c>
      <c r="M45" s="177" t="str">
        <f>IF(H45="","",_xlfn.XLOOKUP(H45,Calcs!$B$16:$B$95,Calcs!$M$16:$M$95))</f>
        <v/>
      </c>
    </row>
    <row r="46" spans="1:13">
      <c r="G46" s="154"/>
      <c r="H46" s="158" t="str" cm="1">
        <f t="array" ref="H46">IF(G46="","",_xlfn.XLOOKUP(G46,#REF!,#REF!))</f>
        <v/>
      </c>
      <c r="I46" s="158" t="str">
        <f>IF(G46="","",_xlfn.XLOOKUP(H46,#REF!,#REF!))</f>
        <v/>
      </c>
      <c r="J46" s="158" t="str">
        <f>IF(G46="","",_xlfn.XLOOKUP(H46,#REF!,#REF!))</f>
        <v/>
      </c>
      <c r="K46" s="166" t="str">
        <f>IF(G46="","",_xlfn.XLOOKUP(H46,#REF!,#REF!))</f>
        <v/>
      </c>
      <c r="L46" s="175" t="str">
        <f>IF(G46="","",_xlfn.XLOOKUP(H46,#REF!,#REF!))</f>
        <v/>
      </c>
      <c r="M46" s="177" t="str">
        <f>IF(H46="","",_xlfn.XLOOKUP(H46,Calcs!$B$16:$B$95,Calcs!$M$16:$M$95))</f>
        <v/>
      </c>
    </row>
    <row r="47" spans="1:13">
      <c r="G47" s="154"/>
      <c r="H47" s="158" t="str" cm="1">
        <f t="array" ref="H47">IF(G47="","",_xlfn.XLOOKUP(G47,#REF!,#REF!))</f>
        <v/>
      </c>
      <c r="I47" s="158" t="str">
        <f>IF(G47="","",_xlfn.XLOOKUP(H47,#REF!,#REF!))</f>
        <v/>
      </c>
      <c r="J47" s="158" t="str">
        <f>IF(G47="","",_xlfn.XLOOKUP(H47,#REF!,#REF!))</f>
        <v/>
      </c>
      <c r="K47" s="166" t="str">
        <f>IF(G47="","",_xlfn.XLOOKUP(H47,#REF!,#REF!))</f>
        <v/>
      </c>
      <c r="L47" s="175" t="str">
        <f>IF(G47="","",_xlfn.XLOOKUP(H47,#REF!,#REF!))</f>
        <v/>
      </c>
      <c r="M47" s="177" t="str">
        <f>IF(H47="","",_xlfn.XLOOKUP(H47,Calcs!$B$16:$B$95,Calcs!$M$16:$M$95))</f>
        <v/>
      </c>
    </row>
    <row r="48" spans="1:13">
      <c r="G48" s="154"/>
      <c r="H48" s="158" t="str" cm="1">
        <f t="array" ref="H48">IF(G48="","",_xlfn.XLOOKUP(G48,#REF!,#REF!))</f>
        <v/>
      </c>
      <c r="I48" s="158" t="str">
        <f>IF(G48="","",_xlfn.XLOOKUP(H48,#REF!,#REF!))</f>
        <v/>
      </c>
      <c r="J48" s="158" t="str">
        <f>IF(G48="","",_xlfn.XLOOKUP(H48,#REF!,#REF!))</f>
        <v/>
      </c>
      <c r="K48" s="166" t="str">
        <f>IF(G48="","",_xlfn.XLOOKUP(H48,#REF!,#REF!))</f>
        <v/>
      </c>
      <c r="L48" s="175" t="str">
        <f>IF(G48="","",_xlfn.XLOOKUP(H48,#REF!,#REF!))</f>
        <v/>
      </c>
      <c r="M48" s="177" t="str">
        <f>IF(H48="","",_xlfn.XLOOKUP(H48,Calcs!$B$16:$B$95,Calcs!$M$16:$M$95))</f>
        <v/>
      </c>
    </row>
    <row r="49" spans="7:13">
      <c r="G49" s="154"/>
      <c r="H49" s="158" t="str" cm="1">
        <f t="array" ref="H49">IF(G49="","",_xlfn.XLOOKUP(G49,#REF!,#REF!))</f>
        <v/>
      </c>
      <c r="I49" s="158" t="str">
        <f>IF(G49="","",_xlfn.XLOOKUP(H49,#REF!,#REF!))</f>
        <v/>
      </c>
      <c r="J49" s="158" t="str">
        <f>IF(G49="","",_xlfn.XLOOKUP(H49,#REF!,#REF!))</f>
        <v/>
      </c>
      <c r="K49" s="166" t="str">
        <f>IF(G49="","",_xlfn.XLOOKUP(H49,#REF!,#REF!))</f>
        <v/>
      </c>
      <c r="L49" s="175" t="str">
        <f>IF(G49="","",_xlfn.XLOOKUP(H49,#REF!,#REF!))</f>
        <v/>
      </c>
      <c r="M49" s="177" t="str">
        <f>IF(H49="","",_xlfn.XLOOKUP(H49,Calcs!$B$16:$B$95,Calcs!$M$16:$M$95))</f>
        <v/>
      </c>
    </row>
    <row r="50" spans="7:13">
      <c r="G50" s="154"/>
      <c r="H50" s="158" t="str" cm="1">
        <f t="array" ref="H50">IF(G50="","",_xlfn.XLOOKUP(G50,#REF!,#REF!))</f>
        <v/>
      </c>
      <c r="I50" s="158" t="str">
        <f>IF(G50="","",_xlfn.XLOOKUP(H50,#REF!,#REF!))</f>
        <v/>
      </c>
      <c r="J50" s="158" t="str">
        <f>IF(G50="","",_xlfn.XLOOKUP(H50,#REF!,#REF!))</f>
        <v/>
      </c>
      <c r="K50" s="166" t="str">
        <f>IF(G50="","",_xlfn.XLOOKUP(H50,#REF!,#REF!))</f>
        <v/>
      </c>
      <c r="L50" s="175" t="str">
        <f>IF(G50="","",_xlfn.XLOOKUP(H50,#REF!,#REF!))</f>
        <v/>
      </c>
      <c r="M50" s="177" t="str">
        <f>IF(H50="","",_xlfn.XLOOKUP(H50,Calcs!$B$16:$B$95,Calcs!$M$16:$M$95))</f>
        <v/>
      </c>
    </row>
    <row r="51" spans="7:13">
      <c r="G51" s="154"/>
      <c r="H51" s="158" t="str" cm="1">
        <f t="array" ref="H51">IF(G51="","",_xlfn.XLOOKUP(G51,#REF!,#REF!))</f>
        <v/>
      </c>
      <c r="I51" s="158" t="str">
        <f>IF(G51="","",_xlfn.XLOOKUP(H51,#REF!,#REF!))</f>
        <v/>
      </c>
      <c r="J51" s="158" t="str">
        <f>IF(G51="","",_xlfn.XLOOKUP(H51,#REF!,#REF!))</f>
        <v/>
      </c>
      <c r="K51" s="166" t="str">
        <f>IF(G51="","",_xlfn.XLOOKUP(H51,#REF!,#REF!))</f>
        <v/>
      </c>
      <c r="L51" s="175" t="str">
        <f>IF(G51="","",_xlfn.XLOOKUP(H51,#REF!,#REF!))</f>
        <v/>
      </c>
      <c r="M51" s="177" t="str">
        <f>IF(H51="","",_xlfn.XLOOKUP(H51,Calcs!$B$16:$B$95,Calcs!$M$16:$M$95))</f>
        <v/>
      </c>
    </row>
    <row r="52" spans="7:13">
      <c r="G52" s="154"/>
      <c r="H52" s="158" t="str" cm="1">
        <f t="array" ref="H52">IF(G52="","",_xlfn.XLOOKUP(G52,#REF!,#REF!))</f>
        <v/>
      </c>
      <c r="I52" s="158" t="str">
        <f>IF(G52="","",_xlfn.XLOOKUP(H52,#REF!,#REF!))</f>
        <v/>
      </c>
      <c r="J52" s="158" t="str">
        <f>IF(G52="","",_xlfn.XLOOKUP(H52,#REF!,#REF!))</f>
        <v/>
      </c>
      <c r="K52" s="166" t="str">
        <f>IF(G52="","",_xlfn.XLOOKUP(H52,#REF!,#REF!))</f>
        <v/>
      </c>
      <c r="L52" s="175" t="str">
        <f>IF(G52="","",_xlfn.XLOOKUP(H52,#REF!,#REF!))</f>
        <v/>
      </c>
      <c r="M52" s="177" t="str">
        <f>IF(H52="","",_xlfn.XLOOKUP(H52,Calcs!$B$16:$B$95,Calcs!$M$16:$M$95))</f>
        <v/>
      </c>
    </row>
    <row r="53" spans="7:13">
      <c r="G53" s="154"/>
      <c r="H53" s="158" t="str" cm="1">
        <f t="array" ref="H53">IF(G53="","",_xlfn.XLOOKUP(G53,#REF!,#REF!))</f>
        <v/>
      </c>
      <c r="I53" s="158" t="str">
        <f>IF(G53="","",_xlfn.XLOOKUP(H53,#REF!,#REF!))</f>
        <v/>
      </c>
      <c r="J53" s="158" t="str">
        <f>IF(G53="","",_xlfn.XLOOKUP(H53,#REF!,#REF!))</f>
        <v/>
      </c>
      <c r="K53" s="166" t="str">
        <f>IF(G53="","",_xlfn.XLOOKUP(H53,#REF!,#REF!))</f>
        <v/>
      </c>
      <c r="L53" s="175" t="str">
        <f>IF(G53="","",_xlfn.XLOOKUP(H53,#REF!,#REF!))</f>
        <v/>
      </c>
      <c r="M53" s="177" t="str">
        <f>IF(H53="","",_xlfn.XLOOKUP(H53,Calcs!$B$16:$B$95,Calcs!$M$16:$M$95))</f>
        <v/>
      </c>
    </row>
    <row r="54" spans="7:13">
      <c r="G54" s="154"/>
      <c r="H54" s="158" t="str" cm="1">
        <f t="array" ref="H54">IF(G54="","",_xlfn.XLOOKUP(G54,#REF!,#REF!))</f>
        <v/>
      </c>
      <c r="I54" s="158" t="str">
        <f>IF(G54="","",_xlfn.XLOOKUP(H54,#REF!,#REF!))</f>
        <v/>
      </c>
      <c r="J54" s="158" t="str">
        <f>IF(G54="","",_xlfn.XLOOKUP(H54,#REF!,#REF!))</f>
        <v/>
      </c>
      <c r="K54" s="166" t="str">
        <f>IF(G54="","",_xlfn.XLOOKUP(H54,#REF!,#REF!))</f>
        <v/>
      </c>
      <c r="L54" s="175" t="str">
        <f>IF(G54="","",_xlfn.XLOOKUP(H54,#REF!,#REF!))</f>
        <v/>
      </c>
      <c r="M54" s="177" t="str">
        <f>IF(H54="","",_xlfn.XLOOKUP(H54,Calcs!$B$16:$B$95,Calcs!$M$16:$M$95))</f>
        <v/>
      </c>
    </row>
    <row r="55" spans="7:13">
      <c r="G55" s="154"/>
      <c r="H55" s="158" t="str" cm="1">
        <f t="array" ref="H55">IF(G55="","",_xlfn.XLOOKUP(G55,#REF!,#REF!))</f>
        <v/>
      </c>
      <c r="I55" s="158" t="str">
        <f>IF(G55="","",_xlfn.XLOOKUP(H55,#REF!,#REF!))</f>
        <v/>
      </c>
      <c r="J55" s="158" t="str">
        <f>IF(G55="","",_xlfn.XLOOKUP(H55,#REF!,#REF!))</f>
        <v/>
      </c>
      <c r="K55" s="166" t="str">
        <f>IF(G55="","",_xlfn.XLOOKUP(H55,#REF!,#REF!))</f>
        <v/>
      </c>
      <c r="L55" s="175" t="str">
        <f>IF(G55="","",_xlfn.XLOOKUP(H55,#REF!,#REF!))</f>
        <v/>
      </c>
      <c r="M55" s="177" t="str">
        <f>IF(H55="","",_xlfn.XLOOKUP(H55,Calcs!$B$16:$B$95,Calcs!$M$16:$M$95))</f>
        <v/>
      </c>
    </row>
    <row r="56" spans="7:13">
      <c r="G56" s="154"/>
      <c r="H56" s="158" t="str" cm="1">
        <f t="array" ref="H56">IF(G56="","",_xlfn.XLOOKUP(G56,#REF!,#REF!))</f>
        <v/>
      </c>
      <c r="I56" s="158" t="str">
        <f>IF(G56="","",_xlfn.XLOOKUP(H56,#REF!,#REF!))</f>
        <v/>
      </c>
      <c r="J56" s="158" t="str">
        <f>IF(G56="","",_xlfn.XLOOKUP(H56,#REF!,#REF!))</f>
        <v/>
      </c>
      <c r="K56" s="166" t="str">
        <f>IF(G56="","",_xlfn.XLOOKUP(H56,#REF!,#REF!))</f>
        <v/>
      </c>
      <c r="L56" s="175" t="str">
        <f>IF(G56="","",_xlfn.XLOOKUP(H56,#REF!,#REF!))</f>
        <v/>
      </c>
      <c r="M56" s="177" t="str">
        <f>IF(H56="","",_xlfn.XLOOKUP(H56,Calcs!$B$16:$B$95,Calcs!$M$16:$M$95))</f>
        <v/>
      </c>
    </row>
    <row r="57" spans="7:13">
      <c r="G57" s="154"/>
      <c r="H57" s="158" t="str" cm="1">
        <f t="array" ref="H57">IF(G57="","",_xlfn.XLOOKUP(G57,#REF!,#REF!))</f>
        <v/>
      </c>
      <c r="I57" s="158" t="str">
        <f>IF(G57="","",_xlfn.XLOOKUP(H57,#REF!,#REF!))</f>
        <v/>
      </c>
      <c r="J57" s="158" t="str">
        <f>IF(G57="","",_xlfn.XLOOKUP(H57,#REF!,#REF!))</f>
        <v/>
      </c>
      <c r="K57" s="166" t="str">
        <f>IF(G57="","",_xlfn.XLOOKUP(H57,#REF!,#REF!))</f>
        <v/>
      </c>
      <c r="L57" s="175" t="str">
        <f>IF(G57="","",_xlfn.XLOOKUP(H57,#REF!,#REF!))</f>
        <v/>
      </c>
      <c r="M57" s="177" t="str">
        <f>IF(H57="","",_xlfn.XLOOKUP(H57,Calcs!$B$16:$B$95,Calcs!$M$16:$M$95))</f>
        <v/>
      </c>
    </row>
    <row r="58" spans="7:13">
      <c r="G58" s="154"/>
      <c r="H58" s="158" t="str" cm="1">
        <f t="array" ref="H58">IF(G58="","",_xlfn.XLOOKUP(G58,#REF!,#REF!))</f>
        <v/>
      </c>
      <c r="I58" s="158" t="str">
        <f>IF(G58="","",_xlfn.XLOOKUP(H58,#REF!,#REF!))</f>
        <v/>
      </c>
      <c r="J58" s="158" t="str">
        <f>IF(G58="","",_xlfn.XLOOKUP(H58,#REF!,#REF!))</f>
        <v/>
      </c>
      <c r="K58" s="166" t="str">
        <f>IF(G58="","",_xlfn.XLOOKUP(H58,#REF!,#REF!))</f>
        <v/>
      </c>
      <c r="L58" s="175" t="str">
        <f>IF(G58="","",_xlfn.XLOOKUP(H58,#REF!,#REF!))</f>
        <v/>
      </c>
      <c r="M58" s="177" t="str">
        <f>IF(H58="","",_xlfn.XLOOKUP(H58,Calcs!$B$16:$B$95,Calcs!$M$16:$M$95))</f>
        <v/>
      </c>
    </row>
    <row r="59" spans="7:13">
      <c r="G59" s="154"/>
      <c r="H59" s="158" t="str" cm="1">
        <f t="array" ref="H59">IF(G59="","",_xlfn.XLOOKUP(G59,#REF!,#REF!))</f>
        <v/>
      </c>
      <c r="I59" s="158" t="str">
        <f>IF(G59="","",_xlfn.XLOOKUP(H59,#REF!,#REF!))</f>
        <v/>
      </c>
      <c r="J59" s="158" t="str">
        <f>IF(G59="","",_xlfn.XLOOKUP(H59,#REF!,#REF!))</f>
        <v/>
      </c>
      <c r="K59" s="166" t="str">
        <f>IF(G59="","",_xlfn.XLOOKUP(H59,#REF!,#REF!))</f>
        <v/>
      </c>
      <c r="L59" s="175" t="str">
        <f>IF(G59="","",_xlfn.XLOOKUP(H59,#REF!,#REF!))</f>
        <v/>
      </c>
      <c r="M59" s="177" t="str">
        <f>IF(H59="","",_xlfn.XLOOKUP(H59,Calcs!$B$16:$B$95,Calcs!$M$16:$M$95))</f>
        <v/>
      </c>
    </row>
    <row r="60" spans="7:13">
      <c r="G60" s="154"/>
      <c r="H60" s="158" t="str" cm="1">
        <f t="array" ref="H60">IF(G60="","",_xlfn.XLOOKUP(G60,#REF!,#REF!))</f>
        <v/>
      </c>
      <c r="I60" s="158" t="str">
        <f>IF(G60="","",_xlfn.XLOOKUP(H60,#REF!,#REF!))</f>
        <v/>
      </c>
      <c r="J60" s="158" t="str">
        <f>IF(G60="","",_xlfn.XLOOKUP(H60,#REF!,#REF!))</f>
        <v/>
      </c>
      <c r="K60" s="166" t="str">
        <f>IF(G60="","",_xlfn.XLOOKUP(H60,#REF!,#REF!))</f>
        <v/>
      </c>
      <c r="L60" s="175" t="str">
        <f>IF(G60="","",_xlfn.XLOOKUP(H60,#REF!,#REF!))</f>
        <v/>
      </c>
      <c r="M60" s="177" t="str">
        <f>IF(H60="","",_xlfn.XLOOKUP(H60,Calcs!$B$16:$B$95,Calcs!$M$16:$M$95))</f>
        <v/>
      </c>
    </row>
    <row r="61" spans="7:13">
      <c r="G61" s="154"/>
      <c r="H61" s="158" t="str" cm="1">
        <f t="array" ref="H61">IF(G61="","",_xlfn.XLOOKUP(G61,#REF!,#REF!))</f>
        <v/>
      </c>
      <c r="I61" s="158" t="str">
        <f>IF(G61="","",_xlfn.XLOOKUP(H61,#REF!,#REF!))</f>
        <v/>
      </c>
      <c r="J61" s="158" t="str">
        <f>IF(G61="","",_xlfn.XLOOKUP(H61,#REF!,#REF!))</f>
        <v/>
      </c>
      <c r="K61" s="166" t="str">
        <f>IF(G61="","",_xlfn.XLOOKUP(H61,#REF!,#REF!))</f>
        <v/>
      </c>
      <c r="L61" s="175" t="str">
        <f>IF(G61="","",_xlfn.XLOOKUP(H61,#REF!,#REF!))</f>
        <v/>
      </c>
      <c r="M61" s="177" t="str">
        <f>IF(H61="","",_xlfn.XLOOKUP(H61,Calcs!$B$16:$B$95,Calcs!$M$16:$M$95))</f>
        <v/>
      </c>
    </row>
    <row r="62" spans="7:13">
      <c r="G62" s="154"/>
      <c r="H62" s="158" t="str" cm="1">
        <f t="array" ref="H62">IF(G62="","",_xlfn.XLOOKUP(G62,#REF!,#REF!))</f>
        <v/>
      </c>
      <c r="I62" s="158" t="str">
        <f>IF(G62="","",_xlfn.XLOOKUP(H62,#REF!,#REF!))</f>
        <v/>
      </c>
      <c r="J62" s="158" t="str">
        <f>IF(G62="","",_xlfn.XLOOKUP(H62,#REF!,#REF!))</f>
        <v/>
      </c>
      <c r="K62" s="166" t="str">
        <f>IF(G62="","",_xlfn.XLOOKUP(H62,#REF!,#REF!))</f>
        <v/>
      </c>
      <c r="L62" s="175" t="str">
        <f>IF(G62="","",_xlfn.XLOOKUP(H62,#REF!,#REF!))</f>
        <v/>
      </c>
      <c r="M62" s="177" t="str">
        <f>IF(H62="","",_xlfn.XLOOKUP(H62,Calcs!$B$16:$B$95,Calcs!$M$16:$M$95))</f>
        <v/>
      </c>
    </row>
    <row r="63" spans="7:13">
      <c r="G63" s="154"/>
      <c r="H63" s="158" t="str" cm="1">
        <f t="array" ref="H63">IF(G63="","",_xlfn.XLOOKUP(G63,#REF!,#REF!))</f>
        <v/>
      </c>
      <c r="I63" s="158" t="str">
        <f>IF(G63="","",_xlfn.XLOOKUP(H63,#REF!,#REF!))</f>
        <v/>
      </c>
      <c r="J63" s="158" t="str">
        <f>IF(G63="","",_xlfn.XLOOKUP(H63,#REF!,#REF!))</f>
        <v/>
      </c>
      <c r="K63" s="166" t="str">
        <f>IF(G63="","",_xlfn.XLOOKUP(H63,#REF!,#REF!))</f>
        <v/>
      </c>
      <c r="L63" s="175" t="str">
        <f>IF(G63="","",_xlfn.XLOOKUP(H63,#REF!,#REF!))</f>
        <v/>
      </c>
      <c r="M63" s="177" t="str">
        <f>IF(H63="","",_xlfn.XLOOKUP(H63,Calcs!$B$16:$B$95,Calcs!$M$16:$M$95))</f>
        <v/>
      </c>
    </row>
    <row r="64" spans="7:13">
      <c r="G64" s="154"/>
      <c r="H64" s="158" t="str" cm="1">
        <f t="array" ref="H64">IF(G64="","",_xlfn.XLOOKUP(G64,#REF!,#REF!))</f>
        <v/>
      </c>
      <c r="I64" s="158" t="str">
        <f>IF(G64="","",_xlfn.XLOOKUP(H64,#REF!,#REF!))</f>
        <v/>
      </c>
      <c r="J64" s="158" t="str">
        <f>IF(G64="","",_xlfn.XLOOKUP(H64,#REF!,#REF!))</f>
        <v/>
      </c>
      <c r="K64" s="166" t="str">
        <f>IF(G64="","",_xlfn.XLOOKUP(H64,#REF!,#REF!))</f>
        <v/>
      </c>
      <c r="L64" s="175" t="str">
        <f>IF(G64="","",_xlfn.XLOOKUP(H64,#REF!,#REF!))</f>
        <v/>
      </c>
      <c r="M64" s="177" t="str">
        <f>IF(H64="","",_xlfn.XLOOKUP(H64,Calcs!$B$16:$B$95,Calcs!$M$16:$M$95))</f>
        <v/>
      </c>
    </row>
    <row r="65" spans="7:13">
      <c r="G65" s="154"/>
      <c r="H65" s="158" t="str" cm="1">
        <f t="array" ref="H65">IF(G65="","",_xlfn.XLOOKUP(G65,#REF!,#REF!))</f>
        <v/>
      </c>
      <c r="I65" s="158" t="str">
        <f>IF(G65="","",_xlfn.XLOOKUP(H65,#REF!,#REF!))</f>
        <v/>
      </c>
      <c r="J65" s="158" t="str">
        <f>IF(G65="","",_xlfn.XLOOKUP(H65,#REF!,#REF!))</f>
        <v/>
      </c>
      <c r="K65" s="166" t="str">
        <f>IF(G65="","",_xlfn.XLOOKUP(H65,#REF!,#REF!))</f>
        <v/>
      </c>
      <c r="L65" s="175" t="str">
        <f>IF(G65="","",_xlfn.XLOOKUP(H65,#REF!,#REF!))</f>
        <v/>
      </c>
      <c r="M65" s="177" t="str">
        <f>IF(H65="","",_xlfn.XLOOKUP(H65,Calcs!$B$16:$B$95,Calcs!$M$16:$M$95))</f>
        <v/>
      </c>
    </row>
    <row r="66" spans="7:13">
      <c r="G66" s="154"/>
      <c r="H66" s="158" t="str" cm="1">
        <f t="array" ref="H66">IF(G66="","",_xlfn.XLOOKUP(G66,#REF!,#REF!))</f>
        <v/>
      </c>
      <c r="I66" s="158" t="str">
        <f>IF(G66="","",_xlfn.XLOOKUP(H66,#REF!,#REF!))</f>
        <v/>
      </c>
      <c r="J66" s="158" t="str">
        <f>IF(G66="","",_xlfn.XLOOKUP(H66,#REF!,#REF!))</f>
        <v/>
      </c>
      <c r="K66" s="166" t="str">
        <f>IF(G66="","",_xlfn.XLOOKUP(H66,#REF!,#REF!))</f>
        <v/>
      </c>
      <c r="L66" s="175" t="str">
        <f>IF(G66="","",_xlfn.XLOOKUP(H66,#REF!,#REF!))</f>
        <v/>
      </c>
      <c r="M66" s="177" t="str">
        <f>IF(H66="","",_xlfn.XLOOKUP(H66,Calcs!$B$16:$B$95,Calcs!$M$16:$M$95))</f>
        <v/>
      </c>
    </row>
    <row r="67" spans="7:13">
      <c r="G67" s="154"/>
      <c r="H67" s="158" t="str" cm="1">
        <f t="array" ref="H67">IF(G67="","",_xlfn.XLOOKUP(G67,#REF!,#REF!))</f>
        <v/>
      </c>
      <c r="I67" s="158" t="str">
        <f>IF(G67="","",_xlfn.XLOOKUP(H67,#REF!,#REF!))</f>
        <v/>
      </c>
      <c r="J67" s="158" t="str">
        <f>IF(G67="","",_xlfn.XLOOKUP(H67,#REF!,#REF!))</f>
        <v/>
      </c>
      <c r="K67" s="166" t="str">
        <f>IF(G67="","",_xlfn.XLOOKUP(H67,#REF!,#REF!))</f>
        <v/>
      </c>
      <c r="L67" s="175" t="str">
        <f>IF(G67="","",_xlfn.XLOOKUP(H67,#REF!,#REF!))</f>
        <v/>
      </c>
      <c r="M67" s="177" t="str">
        <f>IF(H67="","",_xlfn.XLOOKUP(H67,Calcs!$B$16:$B$95,Calcs!$M$16:$M$95))</f>
        <v/>
      </c>
    </row>
    <row r="68" spans="7:13">
      <c r="G68" s="154"/>
      <c r="H68" s="158" t="str" cm="1">
        <f t="array" ref="H68">IF(G68="","",_xlfn.XLOOKUP(G68,#REF!,#REF!))</f>
        <v/>
      </c>
      <c r="I68" s="158" t="str">
        <f>IF(G68="","",_xlfn.XLOOKUP(H68,#REF!,#REF!))</f>
        <v/>
      </c>
      <c r="J68" s="158" t="str">
        <f>IF(G68="","",_xlfn.XLOOKUP(H68,#REF!,#REF!))</f>
        <v/>
      </c>
      <c r="K68" s="166" t="str">
        <f>IF(G68="","",_xlfn.XLOOKUP(H68,#REF!,#REF!))</f>
        <v/>
      </c>
      <c r="L68" s="175" t="str">
        <f>IF(G68="","",_xlfn.XLOOKUP(H68,#REF!,#REF!))</f>
        <v/>
      </c>
      <c r="M68" s="177" t="str">
        <f>IF(H68="","",_xlfn.XLOOKUP(H68,Calcs!$B$16:$B$95,Calcs!$M$16:$M$95))</f>
        <v/>
      </c>
    </row>
    <row r="69" spans="7:13">
      <c r="G69" s="154"/>
      <c r="H69" s="158" t="str" cm="1">
        <f t="array" ref="H69">IF(G69="","",_xlfn.XLOOKUP(G69,#REF!,#REF!))</f>
        <v/>
      </c>
      <c r="I69" s="158" t="str">
        <f>IF(G69="","",_xlfn.XLOOKUP(H69,#REF!,#REF!))</f>
        <v/>
      </c>
      <c r="J69" s="158" t="str">
        <f>IF(G69="","",_xlfn.XLOOKUP(H69,#REF!,#REF!))</f>
        <v/>
      </c>
      <c r="K69" s="166" t="str">
        <f>IF(G69="","",_xlfn.XLOOKUP(H69,#REF!,#REF!))</f>
        <v/>
      </c>
      <c r="L69" s="175" t="str">
        <f>IF(G69="","",_xlfn.XLOOKUP(H69,#REF!,#REF!))</f>
        <v/>
      </c>
      <c r="M69" s="177" t="str">
        <f>IF(H69="","",_xlfn.XLOOKUP(H69,Calcs!$B$16:$B$95,Calcs!$M$16:$M$95))</f>
        <v/>
      </c>
    </row>
    <row r="70" spans="7:13">
      <c r="G70" s="154"/>
      <c r="H70" s="158" t="str" cm="1">
        <f t="array" ref="H70">IF(G70="","",_xlfn.XLOOKUP(G70,#REF!,#REF!))</f>
        <v/>
      </c>
      <c r="I70" s="158" t="str">
        <f>IF(G70="","",_xlfn.XLOOKUP(H70,#REF!,#REF!))</f>
        <v/>
      </c>
      <c r="J70" s="158" t="str">
        <f>IF(G70="","",_xlfn.XLOOKUP(H70,#REF!,#REF!))</f>
        <v/>
      </c>
      <c r="K70" s="166" t="str">
        <f>IF(G70="","",_xlfn.XLOOKUP(H70,#REF!,#REF!))</f>
        <v/>
      </c>
      <c r="L70" s="175" t="str">
        <f>IF(G70="","",_xlfn.XLOOKUP(H70,#REF!,#REF!))</f>
        <v/>
      </c>
      <c r="M70" s="177" t="str">
        <f>IF(H70="","",_xlfn.XLOOKUP(H70,Calcs!$B$16:$B$95,Calcs!$M$16:$M$95))</f>
        <v/>
      </c>
    </row>
    <row r="71" spans="7:13">
      <c r="G71" s="154"/>
      <c r="H71" s="158" t="str" cm="1">
        <f t="array" ref="H71">IF(G71="","",_xlfn.XLOOKUP(G71,#REF!,#REF!))</f>
        <v/>
      </c>
      <c r="I71" s="158" t="str">
        <f>IF(G71="","",_xlfn.XLOOKUP(H71,#REF!,#REF!))</f>
        <v/>
      </c>
      <c r="J71" s="158" t="str">
        <f>IF(G71="","",_xlfn.XLOOKUP(H71,#REF!,#REF!))</f>
        <v/>
      </c>
      <c r="K71" s="166" t="str">
        <f>IF(G71="","",_xlfn.XLOOKUP(H71,#REF!,#REF!))</f>
        <v/>
      </c>
      <c r="L71" s="175" t="str">
        <f>IF(G71="","",_xlfn.XLOOKUP(H71,#REF!,#REF!))</f>
        <v/>
      </c>
      <c r="M71" s="177" t="str">
        <f>IF(H71="","",_xlfn.XLOOKUP(H71,Calcs!$B$16:$B$95,Calcs!$M$16:$M$95))</f>
        <v/>
      </c>
    </row>
    <row r="72" spans="7:13">
      <c r="G72" s="154"/>
      <c r="H72" s="158" t="str" cm="1">
        <f t="array" ref="H72">IF(G72="","",_xlfn.XLOOKUP(G72,#REF!,#REF!))</f>
        <v/>
      </c>
      <c r="I72" s="158" t="str">
        <f>IF(G72="","",_xlfn.XLOOKUP(H72,#REF!,#REF!))</f>
        <v/>
      </c>
      <c r="J72" s="158" t="str">
        <f>IF(G72="","",_xlfn.XLOOKUP(H72,#REF!,#REF!))</f>
        <v/>
      </c>
      <c r="K72" s="166" t="str">
        <f>IF(G72="","",_xlfn.XLOOKUP(H72,#REF!,#REF!))</f>
        <v/>
      </c>
      <c r="L72" s="175" t="str">
        <f>IF(G72="","",_xlfn.XLOOKUP(H72,#REF!,#REF!))</f>
        <v/>
      </c>
      <c r="M72" s="177" t="str">
        <f>IF(H72="","",_xlfn.XLOOKUP(H72,Calcs!$B$16:$B$95,Calcs!$M$16:$M$95))</f>
        <v/>
      </c>
    </row>
    <row r="73" spans="7:13">
      <c r="G73" s="154"/>
      <c r="H73" s="158" t="str" cm="1">
        <f t="array" ref="H73">IF(G73="","",_xlfn.XLOOKUP(G73,#REF!,#REF!))</f>
        <v/>
      </c>
      <c r="I73" s="158" t="str">
        <f>IF(G73="","",_xlfn.XLOOKUP(H73,#REF!,#REF!))</f>
        <v/>
      </c>
      <c r="J73" s="158" t="str">
        <f>IF(G73="","",_xlfn.XLOOKUP(H73,#REF!,#REF!))</f>
        <v/>
      </c>
      <c r="K73" s="166" t="str">
        <f>IF(G73="","",_xlfn.XLOOKUP(H73,#REF!,#REF!))</f>
        <v/>
      </c>
      <c r="L73" s="175" t="str">
        <f>IF(G73="","",_xlfn.XLOOKUP(H73,#REF!,#REF!))</f>
        <v/>
      </c>
      <c r="M73" s="177" t="str">
        <f>IF(H73="","",_xlfn.XLOOKUP(H73,Calcs!$B$16:$B$95,Calcs!$M$16:$M$95))</f>
        <v/>
      </c>
    </row>
    <row r="74" spans="7:13">
      <c r="G74" s="154"/>
      <c r="H74" s="158" t="str" cm="1">
        <f t="array" ref="H74">IF(G74="","",_xlfn.XLOOKUP(G74,#REF!,#REF!))</f>
        <v/>
      </c>
      <c r="I74" s="158" t="str">
        <f>IF(G74="","",_xlfn.XLOOKUP(H74,#REF!,#REF!))</f>
        <v/>
      </c>
      <c r="J74" s="158" t="str">
        <f>IF(G74="","",_xlfn.XLOOKUP(H74,#REF!,#REF!))</f>
        <v/>
      </c>
      <c r="K74" s="166" t="str">
        <f>IF(G74="","",_xlfn.XLOOKUP(H74,#REF!,#REF!))</f>
        <v/>
      </c>
      <c r="L74" s="175" t="str">
        <f>IF(G74="","",_xlfn.XLOOKUP(H74,#REF!,#REF!))</f>
        <v/>
      </c>
      <c r="M74" s="177" t="str">
        <f>IF(H74="","",_xlfn.XLOOKUP(H74,Calcs!$B$16:$B$95,Calcs!$M$16:$M$95))</f>
        <v/>
      </c>
    </row>
    <row r="75" spans="7:13">
      <c r="G75" s="154"/>
      <c r="H75" s="158" t="str" cm="1">
        <f t="array" ref="H75">IF(G75="","",_xlfn.XLOOKUP(G75,#REF!,#REF!))</f>
        <v/>
      </c>
      <c r="I75" s="158" t="str">
        <f>IF(G75="","",_xlfn.XLOOKUP(H75,#REF!,#REF!))</f>
        <v/>
      </c>
      <c r="J75" s="158" t="str">
        <f>IF(G75="","",_xlfn.XLOOKUP(H75,#REF!,#REF!))</f>
        <v/>
      </c>
      <c r="K75" s="166" t="str">
        <f>IF(G75="","",_xlfn.XLOOKUP(H75,#REF!,#REF!))</f>
        <v/>
      </c>
      <c r="L75" s="175" t="str">
        <f>IF(G75="","",_xlfn.XLOOKUP(H75,#REF!,#REF!))</f>
        <v/>
      </c>
      <c r="M75" s="177" t="str">
        <f>IF(H75="","",_xlfn.XLOOKUP(H75,Calcs!$B$16:$B$95,Calcs!$M$16:$M$95))</f>
        <v/>
      </c>
    </row>
    <row r="76" spans="7:13">
      <c r="G76" s="154"/>
      <c r="H76" s="158" t="str" cm="1">
        <f t="array" ref="H76">IF(G76="","",_xlfn.XLOOKUP(G76,#REF!,#REF!))</f>
        <v/>
      </c>
      <c r="I76" s="158" t="str">
        <f>IF(G76="","",_xlfn.XLOOKUP(H76,#REF!,#REF!))</f>
        <v/>
      </c>
      <c r="J76" s="158" t="str">
        <f>IF(G76="","",_xlfn.XLOOKUP(H76,#REF!,#REF!))</f>
        <v/>
      </c>
      <c r="K76" s="166" t="str">
        <f>IF(G76="","",_xlfn.XLOOKUP(H76,#REF!,#REF!))</f>
        <v/>
      </c>
      <c r="L76" s="175" t="str">
        <f>IF(G76="","",_xlfn.XLOOKUP(H76,#REF!,#REF!))</f>
        <v/>
      </c>
      <c r="M76" s="177" t="str">
        <f>IF(H76="","",_xlfn.XLOOKUP(H76,Calcs!$B$16:$B$95,Calcs!$M$16:$M$95))</f>
        <v/>
      </c>
    </row>
    <row r="77" spans="7:13">
      <c r="G77" s="154"/>
      <c r="H77" s="158" t="str" cm="1">
        <f t="array" ref="H77">IF(G77="","",_xlfn.XLOOKUP(G77,#REF!,#REF!))</f>
        <v/>
      </c>
      <c r="I77" s="158" t="str">
        <f>IF(G77="","",_xlfn.XLOOKUP(H77,#REF!,#REF!))</f>
        <v/>
      </c>
      <c r="J77" s="158" t="str">
        <f>IF(G77="","",_xlfn.XLOOKUP(H77,#REF!,#REF!))</f>
        <v/>
      </c>
      <c r="K77" s="166" t="str">
        <f>IF(G77="","",_xlfn.XLOOKUP(H77,#REF!,#REF!))</f>
        <v/>
      </c>
      <c r="L77" s="175" t="str">
        <f>IF(G77="","",_xlfn.XLOOKUP(H77,#REF!,#REF!))</f>
        <v/>
      </c>
      <c r="M77" s="177" t="str">
        <f>IF(H77="","",_xlfn.XLOOKUP(H77,Calcs!$B$16:$B$95,Calcs!$M$16:$M$95))</f>
        <v/>
      </c>
    </row>
    <row r="78" spans="7:13">
      <c r="G78" s="154"/>
      <c r="H78" s="158" t="str" cm="1">
        <f t="array" ref="H78">IF(G78="","",_xlfn.XLOOKUP(G78,#REF!,#REF!))</f>
        <v/>
      </c>
      <c r="I78" s="158" t="str">
        <f>IF(G78="","",_xlfn.XLOOKUP(H78,#REF!,#REF!))</f>
        <v/>
      </c>
      <c r="J78" s="158" t="str">
        <f>IF(G78="","",_xlfn.XLOOKUP(H78,#REF!,#REF!))</f>
        <v/>
      </c>
      <c r="K78" s="166" t="str">
        <f>IF(G78="","",_xlfn.XLOOKUP(H78,#REF!,#REF!))</f>
        <v/>
      </c>
      <c r="L78" s="175" t="str">
        <f>IF(G78="","",_xlfn.XLOOKUP(H78,#REF!,#REF!))</f>
        <v/>
      </c>
      <c r="M78" s="177" t="str">
        <f>IF(H78="","",_xlfn.XLOOKUP(H78,Calcs!$B$16:$B$95,Calcs!$M$16:$M$95))</f>
        <v/>
      </c>
    </row>
    <row r="79" spans="7:13">
      <c r="G79" s="154"/>
      <c r="H79" s="158" t="str" cm="1">
        <f t="array" ref="H79">IF(G79="","",_xlfn.XLOOKUP(G79,#REF!,#REF!))</f>
        <v/>
      </c>
      <c r="I79" s="158" t="str">
        <f>IF(G79="","",_xlfn.XLOOKUP(H79,#REF!,#REF!))</f>
        <v/>
      </c>
      <c r="J79" s="158" t="str">
        <f>IF(G79="","",_xlfn.XLOOKUP(H79,#REF!,#REF!))</f>
        <v/>
      </c>
      <c r="K79" s="166" t="str">
        <f>IF(G79="","",_xlfn.XLOOKUP(H79,#REF!,#REF!))</f>
        <v/>
      </c>
      <c r="L79" s="175" t="str">
        <f>IF(G79="","",_xlfn.XLOOKUP(H79,#REF!,#REF!))</f>
        <v/>
      </c>
      <c r="M79" s="177" t="str">
        <f>IF(H79="","",_xlfn.XLOOKUP(H79,Calcs!$B$16:$B$95,Calcs!$M$16:$M$95))</f>
        <v/>
      </c>
    </row>
    <row r="80" spans="7:13">
      <c r="G80" s="154"/>
      <c r="H80" s="158" t="str" cm="1">
        <f t="array" ref="H80">IF(G80="","",_xlfn.XLOOKUP(G80,#REF!,#REF!))</f>
        <v/>
      </c>
      <c r="I80" s="158" t="str">
        <f>IF(G80="","",_xlfn.XLOOKUP(H80,#REF!,#REF!))</f>
        <v/>
      </c>
      <c r="J80" s="158" t="str">
        <f>IF(G80="","",_xlfn.XLOOKUP(H80,#REF!,#REF!))</f>
        <v/>
      </c>
      <c r="K80" s="166" t="str">
        <f>IF(G80="","",_xlfn.XLOOKUP(H80,#REF!,#REF!))</f>
        <v/>
      </c>
      <c r="L80" s="175" t="str">
        <f>IF(G80="","",_xlfn.XLOOKUP(H80,#REF!,#REF!))</f>
        <v/>
      </c>
      <c r="M80" s="177" t="str">
        <f>IF(H80="","",_xlfn.XLOOKUP(H80,Calcs!$B$16:$B$95,Calcs!$M$16:$M$95))</f>
        <v/>
      </c>
    </row>
    <row r="81" spans="7:13">
      <c r="G81" s="154"/>
      <c r="H81" s="158" t="str" cm="1">
        <f t="array" ref="H81">IF(G81="","",_xlfn.XLOOKUP(G81,#REF!,#REF!))</f>
        <v/>
      </c>
      <c r="I81" s="158" t="str">
        <f>IF(G81="","",_xlfn.XLOOKUP(H81,#REF!,#REF!))</f>
        <v/>
      </c>
      <c r="J81" s="158" t="str">
        <f>IF(G81="","",_xlfn.XLOOKUP(H81,#REF!,#REF!))</f>
        <v/>
      </c>
      <c r="K81" s="166" t="str">
        <f>IF(G81="","",_xlfn.XLOOKUP(H81,#REF!,#REF!))</f>
        <v/>
      </c>
      <c r="L81" s="175" t="str">
        <f>IF(G81="","",_xlfn.XLOOKUP(H81,#REF!,#REF!))</f>
        <v/>
      </c>
      <c r="M81" s="177" t="str">
        <f>IF(H81="","",_xlfn.XLOOKUP(H81,Calcs!$B$16:$B$95,Calcs!$M$16:$M$95))</f>
        <v/>
      </c>
    </row>
    <row r="82" spans="7:13">
      <c r="G82" s="154"/>
      <c r="H82" s="158" t="str" cm="1">
        <f t="array" ref="H82">IF(G82="","",_xlfn.XLOOKUP(G82,#REF!,#REF!))</f>
        <v/>
      </c>
      <c r="I82" s="158" t="str">
        <f>IF(G82="","",_xlfn.XLOOKUP(H82,#REF!,#REF!))</f>
        <v/>
      </c>
      <c r="J82" s="158" t="str">
        <f>IF(G82="","",_xlfn.XLOOKUP(H82,#REF!,#REF!))</f>
        <v/>
      </c>
      <c r="K82" s="166" t="str">
        <f>IF(G82="","",_xlfn.XLOOKUP(H82,#REF!,#REF!))</f>
        <v/>
      </c>
      <c r="L82" s="175" t="str">
        <f>IF(G82="","",_xlfn.XLOOKUP(H82,#REF!,#REF!))</f>
        <v/>
      </c>
      <c r="M82" s="177" t="str">
        <f>IF(H82="","",_xlfn.XLOOKUP(H82,Calcs!$B$16:$B$95,Calcs!$M$16:$M$95))</f>
        <v/>
      </c>
    </row>
    <row r="83" spans="7:13">
      <c r="G83" s="154"/>
      <c r="H83" s="158" t="str" cm="1">
        <f t="array" ref="H83">IF(G83="","",_xlfn.XLOOKUP(G83,#REF!,#REF!))</f>
        <v/>
      </c>
      <c r="I83" s="158" t="str">
        <f>IF(G83="","",_xlfn.XLOOKUP(H83,#REF!,#REF!))</f>
        <v/>
      </c>
      <c r="J83" s="158" t="str">
        <f>IF(G83="","",_xlfn.XLOOKUP(H83,#REF!,#REF!))</f>
        <v/>
      </c>
      <c r="K83" s="166" t="str">
        <f>IF(G83="","",_xlfn.XLOOKUP(H83,#REF!,#REF!))</f>
        <v/>
      </c>
      <c r="L83" s="175" t="str">
        <f>IF(G83="","",_xlfn.XLOOKUP(H83,#REF!,#REF!))</f>
        <v/>
      </c>
      <c r="M83" s="177" t="str">
        <f>IF(H83="","",_xlfn.XLOOKUP(H83,Calcs!$B$16:$B$95,Calcs!$M$16:$M$95))</f>
        <v/>
      </c>
    </row>
    <row r="84" spans="7:13">
      <c r="G84" s="154"/>
      <c r="H84" s="158" t="str" cm="1">
        <f t="array" ref="H84">IF(G84="","",_xlfn.XLOOKUP(G84,#REF!,#REF!))</f>
        <v/>
      </c>
      <c r="I84" s="158" t="str">
        <f>IF(G84="","",_xlfn.XLOOKUP(H84,#REF!,#REF!))</f>
        <v/>
      </c>
      <c r="J84" s="158" t="str">
        <f>IF(G84="","",_xlfn.XLOOKUP(H84,#REF!,#REF!))</f>
        <v/>
      </c>
      <c r="K84" s="166" t="str">
        <f>IF(G84="","",_xlfn.XLOOKUP(H84,#REF!,#REF!))</f>
        <v/>
      </c>
      <c r="L84" s="175" t="str">
        <f>IF(G84="","",_xlfn.XLOOKUP(H84,#REF!,#REF!))</f>
        <v/>
      </c>
      <c r="M84" s="177" t="str">
        <f>IF(H84="","",_xlfn.XLOOKUP(H84,Calcs!$B$16:$B$95,Calcs!$M$16:$M$95))</f>
        <v/>
      </c>
    </row>
    <row r="85" spans="7:13">
      <c r="G85" s="154"/>
      <c r="H85" s="158" t="str" cm="1">
        <f t="array" ref="H85">IF(G85="","",_xlfn.XLOOKUP(G85,#REF!,#REF!))</f>
        <v/>
      </c>
      <c r="I85" s="158" t="str">
        <f>IF(G85="","",_xlfn.XLOOKUP(H85,#REF!,#REF!))</f>
        <v/>
      </c>
      <c r="J85" s="158" t="str">
        <f>IF(G85="","",_xlfn.XLOOKUP(H85,#REF!,#REF!))</f>
        <v/>
      </c>
      <c r="K85" s="166" t="str">
        <f>IF(G85="","",_xlfn.XLOOKUP(H85,#REF!,#REF!))</f>
        <v/>
      </c>
      <c r="L85" s="175" t="str">
        <f>IF(G85="","",_xlfn.XLOOKUP(H85,#REF!,#REF!))</f>
        <v/>
      </c>
      <c r="M85" s="177" t="str">
        <f>IF(H85="","",_xlfn.XLOOKUP(H85,Calcs!$B$16:$B$95,Calcs!$M$16:$M$95))</f>
        <v/>
      </c>
    </row>
    <row r="86" spans="7:13">
      <c r="G86" s="154"/>
      <c r="H86" s="158" t="str" cm="1">
        <f t="array" ref="H86">IF(G86="","",_xlfn.XLOOKUP(G86,#REF!,#REF!))</f>
        <v/>
      </c>
      <c r="I86" s="158" t="str">
        <f>IF(G86="","",_xlfn.XLOOKUP(H86,#REF!,#REF!))</f>
        <v/>
      </c>
      <c r="J86" s="158" t="str">
        <f>IF(G86="","",_xlfn.XLOOKUP(H86,#REF!,#REF!))</f>
        <v/>
      </c>
      <c r="K86" s="166" t="str">
        <f>IF(G86="","",_xlfn.XLOOKUP(H86,#REF!,#REF!))</f>
        <v/>
      </c>
      <c r="L86" s="175" t="str">
        <f>IF(G86="","",_xlfn.XLOOKUP(H86,#REF!,#REF!))</f>
        <v/>
      </c>
      <c r="M86" s="177" t="str">
        <f>IF(H86="","",_xlfn.XLOOKUP(H86,Calcs!$B$16:$B$95,Calcs!$M$16:$M$95))</f>
        <v/>
      </c>
    </row>
    <row r="87" spans="7:13">
      <c r="G87" s="154"/>
      <c r="H87" s="158" t="str" cm="1">
        <f t="array" ref="H87">IF(G87="","",_xlfn.XLOOKUP(G87,#REF!,#REF!))</f>
        <v/>
      </c>
      <c r="I87" s="158" t="str">
        <f>IF(G87="","",_xlfn.XLOOKUP(H87,#REF!,#REF!))</f>
        <v/>
      </c>
      <c r="J87" s="158" t="str">
        <f>IF(G87="","",_xlfn.XLOOKUP(H87,#REF!,#REF!))</f>
        <v/>
      </c>
      <c r="K87" s="166" t="str">
        <f>IF(G87="","",_xlfn.XLOOKUP(H87,#REF!,#REF!))</f>
        <v/>
      </c>
      <c r="L87" s="175" t="str">
        <f>IF(G87="","",_xlfn.XLOOKUP(H87,#REF!,#REF!))</f>
        <v/>
      </c>
      <c r="M87" s="177" t="str">
        <f>IF(H87="","",_xlfn.XLOOKUP(H87,Calcs!$B$16:$B$95,Calcs!$M$16:$M$95))</f>
        <v/>
      </c>
    </row>
    <row r="88" spans="7:13">
      <c r="G88" s="154"/>
      <c r="H88" s="158" t="str" cm="1">
        <f t="array" ref="H88">IF(G88="","",_xlfn.XLOOKUP(G88,#REF!,#REF!))</f>
        <v/>
      </c>
      <c r="I88" s="158" t="str">
        <f>IF(G88="","",_xlfn.XLOOKUP(H88,#REF!,#REF!))</f>
        <v/>
      </c>
      <c r="J88" s="158" t="str">
        <f>IF(G88="","",_xlfn.XLOOKUP(H88,#REF!,#REF!))</f>
        <v/>
      </c>
      <c r="K88" s="166" t="str">
        <f>IF(G88="","",_xlfn.XLOOKUP(H88,#REF!,#REF!))</f>
        <v/>
      </c>
      <c r="L88" s="175" t="str">
        <f>IF(G88="","",_xlfn.XLOOKUP(H88,#REF!,#REF!))</f>
        <v/>
      </c>
      <c r="M88" s="177" t="str">
        <f>IF(H88="","",_xlfn.XLOOKUP(H88,Calcs!$B$16:$B$95,Calcs!$M$16:$M$95))</f>
        <v/>
      </c>
    </row>
    <row r="89" spans="7:13">
      <c r="G89" s="154"/>
      <c r="H89" s="158" t="str" cm="1">
        <f t="array" ref="H89">IF(G89="","",_xlfn.XLOOKUP(G89,#REF!,#REF!))</f>
        <v/>
      </c>
      <c r="I89" s="158" t="str">
        <f>IF(G89="","",_xlfn.XLOOKUP(H89,#REF!,#REF!))</f>
        <v/>
      </c>
      <c r="J89" s="158" t="str">
        <f>IF(G89="","",_xlfn.XLOOKUP(H89,#REF!,#REF!))</f>
        <v/>
      </c>
      <c r="K89" s="166" t="str">
        <f>IF(G89="","",_xlfn.XLOOKUP(H89,#REF!,#REF!))</f>
        <v/>
      </c>
      <c r="L89" s="175" t="str">
        <f>IF(G89="","",_xlfn.XLOOKUP(H89,#REF!,#REF!))</f>
        <v/>
      </c>
      <c r="M89" s="177" t="str">
        <f>IF(H89="","",_xlfn.XLOOKUP(H89,Calcs!$B$16:$B$95,Calcs!$M$16:$M$95))</f>
        <v/>
      </c>
    </row>
    <row r="90" spans="7:13">
      <c r="G90" s="154"/>
      <c r="H90" s="158" t="str" cm="1">
        <f t="array" ref="H90">IF(G90="","",_xlfn.XLOOKUP(G90,#REF!,#REF!))</f>
        <v/>
      </c>
      <c r="I90" s="158" t="str">
        <f>IF(G90="","",_xlfn.XLOOKUP(H90,#REF!,#REF!))</f>
        <v/>
      </c>
      <c r="J90" s="158" t="str">
        <f>IF(G90="","",_xlfn.XLOOKUP(H90,#REF!,#REF!))</f>
        <v/>
      </c>
      <c r="K90" s="166" t="str">
        <f>IF(G90="","",_xlfn.XLOOKUP(H90,#REF!,#REF!))</f>
        <v/>
      </c>
      <c r="L90" s="175" t="str">
        <f>IF(G90="","",_xlfn.XLOOKUP(H90,#REF!,#REF!))</f>
        <v/>
      </c>
      <c r="M90" s="177" t="str">
        <f>IF(H90="","",_xlfn.XLOOKUP(H90,Calcs!$B$16:$B$95,Calcs!$M$16:$M$95))</f>
        <v/>
      </c>
    </row>
    <row r="91" spans="7:13">
      <c r="G91" s="154"/>
      <c r="H91" s="158" t="str" cm="1">
        <f t="array" ref="H91">IF(G91="","",_xlfn.XLOOKUP(G91,#REF!,#REF!))</f>
        <v/>
      </c>
      <c r="I91" s="158" t="str">
        <f>IF(G91="","",_xlfn.XLOOKUP(H91,#REF!,#REF!))</f>
        <v/>
      </c>
      <c r="J91" s="158" t="str">
        <f>IF(G91="","",_xlfn.XLOOKUP(H91,#REF!,#REF!))</f>
        <v/>
      </c>
      <c r="K91" s="166" t="str">
        <f>IF(G91="","",_xlfn.XLOOKUP(H91,#REF!,#REF!))</f>
        <v/>
      </c>
      <c r="L91" s="175" t="str">
        <f>IF(G91="","",_xlfn.XLOOKUP(H91,#REF!,#REF!))</f>
        <v/>
      </c>
      <c r="M91" s="177" t="str">
        <f>IF(H91="","",_xlfn.XLOOKUP(H91,Calcs!$B$16:$B$95,Calcs!$M$16:$M$95))</f>
        <v/>
      </c>
    </row>
    <row r="92" spans="7:13">
      <c r="G92" s="154"/>
      <c r="H92" s="158" t="str" cm="1">
        <f t="array" ref="H92">IF(G92="","",_xlfn.XLOOKUP(G92,#REF!,#REF!))</f>
        <v/>
      </c>
      <c r="I92" s="158" t="str">
        <f>IF(G92="","",_xlfn.XLOOKUP(H92,#REF!,#REF!))</f>
        <v/>
      </c>
      <c r="J92" s="158" t="str">
        <f>IF(G92="","",_xlfn.XLOOKUP(H92,#REF!,#REF!))</f>
        <v/>
      </c>
      <c r="K92" s="166" t="str">
        <f>IF(G92="","",_xlfn.XLOOKUP(H92,#REF!,#REF!))</f>
        <v/>
      </c>
      <c r="L92" s="175" t="str">
        <f>IF(G92="","",_xlfn.XLOOKUP(H92,#REF!,#REF!))</f>
        <v/>
      </c>
      <c r="M92" s="177" t="str">
        <f>IF(H92="","",_xlfn.XLOOKUP(H92,Calcs!$B$16:$B$95,Calcs!$M$16:$M$95))</f>
        <v/>
      </c>
    </row>
    <row r="93" spans="7:13">
      <c r="G93" s="154"/>
      <c r="H93" s="158" t="str" cm="1">
        <f t="array" ref="H93">IF(G93="","",_xlfn.XLOOKUP(G93,#REF!,#REF!))</f>
        <v/>
      </c>
      <c r="I93" s="158" t="str">
        <f>IF(G93="","",_xlfn.XLOOKUP(H93,#REF!,#REF!))</f>
        <v/>
      </c>
      <c r="J93" s="158" t="str">
        <f>IF(G93="","",_xlfn.XLOOKUP(H93,#REF!,#REF!))</f>
        <v/>
      </c>
      <c r="K93" s="166" t="str">
        <f>IF(G93="","",_xlfn.XLOOKUP(H93,#REF!,#REF!))</f>
        <v/>
      </c>
      <c r="L93" s="175" t="str">
        <f>IF(G93="","",_xlfn.XLOOKUP(H93,#REF!,#REF!))</f>
        <v/>
      </c>
      <c r="M93" s="177" t="str">
        <f>IF(H93="","",_xlfn.XLOOKUP(H93,Calcs!$B$16:$B$95,Calcs!$M$16:$M$95))</f>
        <v/>
      </c>
    </row>
    <row r="94" spans="7:13">
      <c r="G94" s="154"/>
      <c r="H94" s="158" t="str" cm="1">
        <f t="array" ref="H94">IF(G94="","",_xlfn.XLOOKUP(G94,#REF!,#REF!))</f>
        <v/>
      </c>
      <c r="I94" s="158" t="str">
        <f>IF(G94="","",_xlfn.XLOOKUP(H94,#REF!,#REF!))</f>
        <v/>
      </c>
      <c r="J94" s="158" t="str">
        <f>IF(G94="","",_xlfn.XLOOKUP(H94,#REF!,#REF!))</f>
        <v/>
      </c>
      <c r="K94" s="166" t="str">
        <f>IF(G94="","",_xlfn.XLOOKUP(H94,#REF!,#REF!))</f>
        <v/>
      </c>
      <c r="L94" s="175" t="str">
        <f>IF(G94="","",_xlfn.XLOOKUP(H94,#REF!,#REF!))</f>
        <v/>
      </c>
      <c r="M94" s="177" t="str">
        <f>IF(H94="","",_xlfn.XLOOKUP(H94,Calcs!$B$16:$B$95,Calcs!$M$16:$M$95))</f>
        <v/>
      </c>
    </row>
    <row r="95" spans="7:13">
      <c r="G95" s="154"/>
      <c r="H95" s="158" t="str" cm="1">
        <f t="array" ref="H95">IF(G95="","",_xlfn.XLOOKUP(G95,#REF!,#REF!))</f>
        <v/>
      </c>
      <c r="I95" s="158" t="str">
        <f>IF(G95="","",_xlfn.XLOOKUP(H95,#REF!,#REF!))</f>
        <v/>
      </c>
      <c r="J95" s="158" t="str">
        <f>IF(G95="","",_xlfn.XLOOKUP(H95,#REF!,#REF!))</f>
        <v/>
      </c>
      <c r="K95" s="166" t="str">
        <f>IF(G95="","",_xlfn.XLOOKUP(H95,#REF!,#REF!))</f>
        <v/>
      </c>
      <c r="L95" s="175" t="str">
        <f>IF(G95="","",_xlfn.XLOOKUP(H95,#REF!,#REF!))</f>
        <v/>
      </c>
      <c r="M95" s="177" t="str">
        <f>IF(H95="","",_xlfn.XLOOKUP(H95,Calcs!$B$16:$B$95,Calcs!$M$16:$M$95))</f>
        <v/>
      </c>
    </row>
    <row r="96" spans="7:13">
      <c r="G96" s="154"/>
      <c r="H96" s="158" t="str" cm="1">
        <f t="array" ref="H96">IF(G96="","",_xlfn.XLOOKUP(G96,#REF!,#REF!))</f>
        <v/>
      </c>
      <c r="I96" s="158" t="str">
        <f>IF(G96="","",_xlfn.XLOOKUP(H96,#REF!,#REF!))</f>
        <v/>
      </c>
      <c r="J96" s="158" t="str">
        <f>IF(G96="","",_xlfn.XLOOKUP(H96,#REF!,#REF!))</f>
        <v/>
      </c>
      <c r="K96" s="166" t="str">
        <f>IF(G96="","",_xlfn.XLOOKUP(H96,#REF!,#REF!))</f>
        <v/>
      </c>
      <c r="L96" s="175" t="str">
        <f>IF(G96="","",_xlfn.XLOOKUP(H96,#REF!,#REF!))</f>
        <v/>
      </c>
      <c r="M96" s="177" t="str">
        <f>IF(H96="","",_xlfn.XLOOKUP(H96,Calcs!$B$16:$B$95,Calcs!$M$16:$M$95))</f>
        <v/>
      </c>
    </row>
    <row r="97" spans="7:13">
      <c r="G97" s="154"/>
      <c r="H97" s="158" t="str" cm="1">
        <f t="array" ref="H97">IF(G97="","",_xlfn.XLOOKUP(G97,#REF!,#REF!))</f>
        <v/>
      </c>
      <c r="I97" s="158" t="str">
        <f>IF(G97="","",_xlfn.XLOOKUP(H97,#REF!,#REF!))</f>
        <v/>
      </c>
      <c r="J97" s="158" t="str">
        <f>IF(G97="","",_xlfn.XLOOKUP(H97,#REF!,#REF!))</f>
        <v/>
      </c>
      <c r="K97" s="166" t="str">
        <f>IF(G97="","",_xlfn.XLOOKUP(H97,#REF!,#REF!))</f>
        <v/>
      </c>
      <c r="L97" s="175" t="str">
        <f>IF(G97="","",_xlfn.XLOOKUP(H97,#REF!,#REF!))</f>
        <v/>
      </c>
      <c r="M97" s="177" t="str">
        <f>IF(H97="","",_xlfn.XLOOKUP(H97,Calcs!$B$16:$B$95,Calcs!$M$16:$M$95))</f>
        <v/>
      </c>
    </row>
    <row r="98" spans="7:13">
      <c r="H98" s="158" t="str" cm="1">
        <f t="array" ref="H98">IF(G98="","",_xlfn.XLOOKUP(G98,#REF!,#REF!))</f>
        <v/>
      </c>
      <c r="I98" s="158" t="str">
        <f>IF(G98="","",_xlfn.XLOOKUP(H98,#REF!,#REF!))</f>
        <v/>
      </c>
      <c r="J98" s="158" t="str">
        <f>IF(G98="","",_xlfn.XLOOKUP(H98,#REF!,#REF!))</f>
        <v/>
      </c>
      <c r="K98" s="166" t="str">
        <f>IF(G98="","",_xlfn.XLOOKUP(H98,#REF!,#REF!))</f>
        <v/>
      </c>
      <c r="L98" s="175" t="str">
        <f>IF(G98="","",_xlfn.XLOOKUP(H98,#REF!,#REF!))</f>
        <v/>
      </c>
      <c r="M98" s="177" t="str">
        <f>IF(H98="","",_xlfn.XLOOKUP(H98,Calcs!$B$16:$B$95,Calcs!$M$16:$M$95))</f>
        <v/>
      </c>
    </row>
    <row r="99" spans="7:13">
      <c r="H99" s="158" t="str" cm="1">
        <f t="array" ref="H99">IF(G99="","",_xlfn.XLOOKUP(G99,#REF!,#REF!))</f>
        <v/>
      </c>
      <c r="I99" s="158" t="str">
        <f>IF(G99="","",_xlfn.XLOOKUP(H99,#REF!,#REF!))</f>
        <v/>
      </c>
      <c r="J99" s="158" t="str">
        <f>IF(G99="","",_xlfn.XLOOKUP(H99,#REF!,#REF!))</f>
        <v/>
      </c>
      <c r="K99" s="166" t="str">
        <f>IF(G99="","",_xlfn.XLOOKUP(H99,#REF!,#REF!))</f>
        <v/>
      </c>
      <c r="L99" s="175" t="str">
        <f>IF(G99="","",_xlfn.XLOOKUP(H99,#REF!,#REF!))</f>
        <v/>
      </c>
      <c r="M99" s="177" t="str">
        <f>IF(H99="","",_xlfn.XLOOKUP(H99,Calcs!$B$16:$B$95,Calcs!$M$16:$M$95))</f>
        <v/>
      </c>
    </row>
    <row r="100" spans="7:13">
      <c r="H100" s="158" t="str" cm="1">
        <f t="array" ref="H100">IF(G100="","",_xlfn.XLOOKUP(G100,#REF!,#REF!))</f>
        <v/>
      </c>
      <c r="I100" s="158" t="str">
        <f>IF(G100="","",_xlfn.XLOOKUP(H100,#REF!,#REF!))</f>
        <v/>
      </c>
      <c r="J100" s="158" t="str">
        <f>IF(G100="","",_xlfn.XLOOKUP(H100,#REF!,#REF!))</f>
        <v/>
      </c>
      <c r="K100" s="166" t="str">
        <f>IF(G100="","",_xlfn.XLOOKUP(H100,#REF!,#REF!))</f>
        <v/>
      </c>
      <c r="L100" s="175" t="str">
        <f>IF(G100="","",_xlfn.XLOOKUP(H100,#REF!,#REF!))</f>
        <v/>
      </c>
      <c r="M100" s="177" t="str">
        <f>IF(H100="","",_xlfn.XLOOKUP(H100,Calcs!$B$16:$B$95,Calcs!$M$16:$M$95))</f>
        <v/>
      </c>
    </row>
    <row r="101" spans="7:13">
      <c r="H101" s="158"/>
      <c r="I101" s="158"/>
      <c r="J101" s="158"/>
      <c r="K101" s="166"/>
      <c r="L101" s="175"/>
      <c r="M101" s="177"/>
    </row>
    <row r="102" spans="7:13">
      <c r="H102" s="158" t="str" cm="1">
        <f t="array" ref="H102">IF(G102="","",_xlfn.XLOOKUP(G102,#REF!,#REF!))</f>
        <v/>
      </c>
      <c r="I102" s="158" t="str">
        <f>IF(G102="","",_xlfn.XLOOKUP(H102,#REF!,#REF!))</f>
        <v/>
      </c>
      <c r="J102" s="158" t="str">
        <f>IF(G102="","",_xlfn.XLOOKUP(H102,#REF!,#REF!))</f>
        <v/>
      </c>
      <c r="K102" s="166" t="str">
        <f>IF(G102="","",_xlfn.XLOOKUP(H102,#REF!,#REF!))</f>
        <v/>
      </c>
      <c r="L102" s="175" t="str">
        <f>IF(G102="","",_xlfn.XLOOKUP(H102,#REF!,#REF!))</f>
        <v/>
      </c>
      <c r="M102" s="177" t="str">
        <f>IF(H102="","",_xlfn.XLOOKUP(H102,Calcs!$B$16:$B$95,Calcs!$M$16:$M$95))</f>
        <v/>
      </c>
    </row>
    <row r="103" spans="7:13">
      <c r="H103" s="158" t="str" cm="1">
        <f t="array" ref="H103">IF(G103="","",_xlfn.XLOOKUP(G103,#REF!,#REF!))</f>
        <v/>
      </c>
      <c r="I103" s="158" t="str">
        <f>IF(G103="","",_xlfn.XLOOKUP(H103,#REF!,#REF!))</f>
        <v/>
      </c>
      <c r="J103" s="158" t="str">
        <f>IF(G103="","",_xlfn.XLOOKUP(H103,#REF!,#REF!))</f>
        <v/>
      </c>
      <c r="K103" s="166" t="str">
        <f>IF(G103="","",_xlfn.XLOOKUP(H103,#REF!,#REF!))</f>
        <v/>
      </c>
      <c r="L103" s="175" t="str">
        <f>IF(G103="","",_xlfn.XLOOKUP(H103,#REF!,#REF!))</f>
        <v/>
      </c>
      <c r="M103" s="177" t="str">
        <f>IF(H103="","",_xlfn.XLOOKUP(H103,Calcs!$B$16:$B$95,Calcs!$M$16:$M$95))</f>
        <v/>
      </c>
    </row>
    <row r="104" spans="7:13">
      <c r="H104" s="158" t="str" cm="1">
        <f t="array" ref="H104">IF(G104="","",_xlfn.XLOOKUP(G104,#REF!,#REF!))</f>
        <v/>
      </c>
      <c r="I104" s="158" t="str">
        <f>IF(G104="","",_xlfn.XLOOKUP(H104,#REF!,#REF!))</f>
        <v/>
      </c>
      <c r="J104" s="158" t="str">
        <f>IF(G104="","",_xlfn.XLOOKUP(H104,#REF!,#REF!))</f>
        <v/>
      </c>
      <c r="K104" s="166" t="str">
        <f>IF(G104="","",_xlfn.XLOOKUP(H104,#REF!,#REF!))</f>
        <v/>
      </c>
      <c r="L104" s="175" t="str">
        <f>IF(G104="","",_xlfn.XLOOKUP(H104,#REF!,#REF!))</f>
        <v/>
      </c>
      <c r="M104" s="177" t="str">
        <f>IF(H104="","",_xlfn.XLOOKUP(H104,Calcs!$B$16:$B$95,Calcs!$M$16:$M$95))</f>
        <v/>
      </c>
    </row>
    <row r="105" spans="7:13">
      <c r="H105" s="158" t="str" cm="1">
        <f t="array" ref="H105">IF(G105="","",_xlfn.XLOOKUP(G105,#REF!,#REF!))</f>
        <v/>
      </c>
      <c r="I105" s="158" t="str">
        <f>IF(G105="","",_xlfn.XLOOKUP(H105,#REF!,#REF!))</f>
        <v/>
      </c>
      <c r="J105" s="158" t="str">
        <f>IF(G105="","",_xlfn.XLOOKUP(H105,#REF!,#REF!))</f>
        <v/>
      </c>
      <c r="K105" s="166" t="str">
        <f>IF(G105="","",_xlfn.XLOOKUP(H105,#REF!,#REF!))</f>
        <v/>
      </c>
      <c r="L105" s="175" t="str">
        <f>IF(G105="","",_xlfn.XLOOKUP(H105,#REF!,#REF!))</f>
        <v/>
      </c>
      <c r="M105" s="177" t="str">
        <f>IF(H105="","",_xlfn.XLOOKUP(H105,Calcs!$B$16:$B$95,Calcs!$M$16:$M$95))</f>
        <v/>
      </c>
    </row>
  </sheetData>
  <conditionalFormatting sqref="E17:E29">
    <cfRule type="cellIs" dxfId="2" priority="4" operator="lessThan">
      <formula>0</formula>
    </cfRule>
  </conditionalFormatting>
  <conditionalFormatting sqref="E30:E34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  <headerFooter>
    <oddFooter>&amp;R&amp;"Calibri"&amp;11&amp;K000000_x000D_&amp;1#&amp;"Calibri"&amp;10&amp;KFF8C00Classification : Confidential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horizontalDpi="300" verticalDpi="300" r:id="rId1"/>
  <headerFooter>
    <oddFooter>&amp;R&amp;1#&amp;"Calibri"&amp;10&amp;KFF8C00Classification :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L1000"/>
  <sheetViews>
    <sheetView workbookViewId="0"/>
  </sheetViews>
  <sheetFormatPr defaultRowHeight="15"/>
  <cols>
    <col min="1" max="1" width="9.140625" style="316"/>
  </cols>
  <sheetData>
    <row r="1" spans="1:11">
      <c r="A1" s="316" t="s">
        <v>371</v>
      </c>
      <c r="B1" t="s">
        <v>649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990</v>
      </c>
    </row>
    <row r="3" spans="1:11">
      <c r="A3" s="316" t="s">
        <v>416</v>
      </c>
      <c r="B3" t="s">
        <v>417</v>
      </c>
      <c r="C3" t="s">
        <v>418</v>
      </c>
      <c r="D3" t="s">
        <v>419</v>
      </c>
      <c r="E3" t="s">
        <v>420</v>
      </c>
      <c r="F3" t="s">
        <v>421</v>
      </c>
      <c r="G3" t="s">
        <v>422</v>
      </c>
      <c r="H3" t="s">
        <v>423</v>
      </c>
      <c r="I3" t="s">
        <v>424</v>
      </c>
      <c r="J3" t="s">
        <v>425</v>
      </c>
      <c r="K3" t="s">
        <v>426</v>
      </c>
    </row>
    <row r="4" spans="1:11">
      <c r="A4" s="316" t="s">
        <v>430</v>
      </c>
      <c r="B4" t="s">
        <v>515</v>
      </c>
      <c r="C4" t="s">
        <v>516</v>
      </c>
      <c r="D4" t="s">
        <v>517</v>
      </c>
      <c r="E4" t="s">
        <v>518</v>
      </c>
      <c r="F4" t="s">
        <v>519</v>
      </c>
      <c r="G4" t="s">
        <v>520</v>
      </c>
      <c r="H4" t="s">
        <v>521</v>
      </c>
      <c r="I4" t="s">
        <v>522</v>
      </c>
      <c r="J4" t="s">
        <v>646</v>
      </c>
      <c r="K4" t="s">
        <v>523</v>
      </c>
    </row>
    <row r="5" spans="1:11">
      <c r="A5" s="316" t="s">
        <v>475</v>
      </c>
      <c r="B5" t="s">
        <v>476</v>
      </c>
      <c r="C5" t="s">
        <v>477</v>
      </c>
      <c r="D5" t="s">
        <v>478</v>
      </c>
      <c r="E5" t="s">
        <v>479</v>
      </c>
      <c r="F5" t="s">
        <v>480</v>
      </c>
      <c r="G5" t="s">
        <v>481</v>
      </c>
      <c r="H5" t="s">
        <v>482</v>
      </c>
      <c r="I5" t="s">
        <v>483</v>
      </c>
      <c r="J5" t="s">
        <v>484</v>
      </c>
      <c r="K5" t="s">
        <v>485</v>
      </c>
    </row>
    <row r="6" spans="1:11">
      <c r="A6" s="316" t="s">
        <v>486</v>
      </c>
      <c r="B6" t="s">
        <v>487</v>
      </c>
      <c r="C6" t="s">
        <v>488</v>
      </c>
      <c r="D6" t="s">
        <v>489</v>
      </c>
      <c r="E6" t="s">
        <v>490</v>
      </c>
      <c r="F6" t="s">
        <v>491</v>
      </c>
      <c r="G6" t="s">
        <v>492</v>
      </c>
      <c r="H6" t="s">
        <v>493</v>
      </c>
      <c r="I6" t="s">
        <v>494</v>
      </c>
      <c r="J6" t="s">
        <v>495</v>
      </c>
      <c r="K6" t="s">
        <v>496</v>
      </c>
    </row>
    <row r="7" spans="1:11">
      <c r="A7" s="316" t="s">
        <v>870</v>
      </c>
      <c r="B7" t="s">
        <v>878</v>
      </c>
      <c r="C7" t="s">
        <v>879</v>
      </c>
      <c r="D7" t="s">
        <v>880</v>
      </c>
      <c r="E7" t="s">
        <v>881</v>
      </c>
      <c r="F7" t="s">
        <v>882</v>
      </c>
      <c r="G7" t="s">
        <v>883</v>
      </c>
      <c r="H7" t="s">
        <v>884</v>
      </c>
      <c r="I7" t="s">
        <v>885</v>
      </c>
      <c r="J7" t="s">
        <v>886</v>
      </c>
      <c r="K7" t="s">
        <v>887</v>
      </c>
    </row>
    <row r="8" spans="1:11">
      <c r="A8" s="316" t="s">
        <v>974</v>
      </c>
      <c r="B8" t="s">
        <v>979</v>
      </c>
      <c r="C8" t="s">
        <v>980</v>
      </c>
      <c r="D8" t="s">
        <v>981</v>
      </c>
      <c r="E8" t="s">
        <v>982</v>
      </c>
      <c r="F8" t="s">
        <v>983</v>
      </c>
      <c r="G8" t="s">
        <v>984</v>
      </c>
      <c r="H8" t="s">
        <v>985</v>
      </c>
      <c r="I8" t="s">
        <v>986</v>
      </c>
      <c r="J8" t="s">
        <v>991</v>
      </c>
      <c r="K8" t="s">
        <v>992</v>
      </c>
    </row>
    <row r="1000" spans="1000:1000">
      <c r="ALL1000" t="s">
        <v>993</v>
      </c>
    </row>
  </sheetData>
  <pageMargins left="0.7" right="0.7" top="0.75" bottom="0.75" header="0.3" footer="0.3"/>
  <pageSetup orientation="portrait" horizontalDpi="300" verticalDpi="300" r:id="rId1"/>
  <headerFooter>
    <oddFooter>&amp;R&amp;1#&amp;"Calibri"&amp;10&amp;KFF8C00Classification :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A214"/>
  <sheetViews>
    <sheetView topLeftCell="R177" workbookViewId="0">
      <selection sqref="A1:AA214"/>
    </sheetView>
  </sheetViews>
  <sheetFormatPr defaultRowHeight="15"/>
  <cols>
    <col min="1" max="1" width="22.5703125" style="316" bestFit="1" customWidth="1"/>
    <col min="2" max="2" width="13.42578125" style="316" bestFit="1" customWidth="1"/>
    <col min="3" max="3" width="19.5703125" style="316" bestFit="1" customWidth="1"/>
    <col min="4" max="4" width="99" style="316" bestFit="1" customWidth="1"/>
    <col min="5" max="5" width="18.42578125" style="317" bestFit="1" customWidth="1"/>
    <col min="6" max="6" width="27.5703125" style="316" bestFit="1" customWidth="1"/>
    <col min="7" max="7" width="30.7109375" style="316" bestFit="1" customWidth="1"/>
    <col min="8" max="8" width="20.85546875" style="317" bestFit="1" customWidth="1"/>
    <col min="9" max="9" width="29.7109375" style="316" bestFit="1" customWidth="1"/>
    <col min="10" max="10" width="24" style="317" bestFit="1" customWidth="1"/>
    <col min="11" max="11" width="22.28515625" style="316" bestFit="1" customWidth="1"/>
    <col min="12" max="14" width="22.42578125" style="318" bestFit="1" customWidth="1"/>
    <col min="15" max="15" width="22.7109375" style="318" bestFit="1" customWidth="1"/>
    <col min="16" max="16" width="25.140625" style="318" bestFit="1" customWidth="1"/>
    <col min="17" max="17" width="25.5703125" style="318" bestFit="1" customWidth="1"/>
    <col min="18" max="18" width="22.5703125" style="318" bestFit="1" customWidth="1"/>
    <col min="19" max="19" width="27.28515625" style="318" bestFit="1" customWidth="1"/>
    <col min="20" max="20" width="29.7109375" style="318" bestFit="1" customWidth="1"/>
    <col min="21" max="21" width="22.85546875" style="318" bestFit="1" customWidth="1"/>
    <col min="22" max="22" width="21.85546875" style="319" bestFit="1" customWidth="1"/>
    <col min="23" max="23" width="22.140625" style="319" bestFit="1" customWidth="1"/>
    <col min="24" max="24" width="23.5703125" style="318" bestFit="1" customWidth="1"/>
    <col min="25" max="25" width="23.85546875" style="318" bestFit="1" customWidth="1"/>
    <col min="26" max="26" width="27.42578125" style="317" bestFit="1" customWidth="1"/>
    <col min="27" max="27" width="26.140625" style="316" bestFit="1" customWidth="1"/>
  </cols>
  <sheetData>
    <row r="1" spans="1:27">
      <c r="A1" s="316" t="s">
        <v>372</v>
      </c>
      <c r="B1" s="316" t="s">
        <v>427</v>
      </c>
      <c r="C1" s="316" t="s">
        <v>428</v>
      </c>
      <c r="D1" s="316" t="s">
        <v>373</v>
      </c>
      <c r="E1" s="317" t="s">
        <v>497</v>
      </c>
      <c r="F1" s="316" t="s">
        <v>498</v>
      </c>
      <c r="G1" s="316" t="s">
        <v>374</v>
      </c>
      <c r="H1" s="317" t="s">
        <v>499</v>
      </c>
      <c r="I1" s="316" t="s">
        <v>500</v>
      </c>
      <c r="J1" s="317" t="s">
        <v>429</v>
      </c>
      <c r="K1" s="316" t="s">
        <v>501</v>
      </c>
      <c r="L1" s="318" t="s">
        <v>502</v>
      </c>
      <c r="M1" s="318" t="s">
        <v>503</v>
      </c>
      <c r="N1" s="318" t="s">
        <v>504</v>
      </c>
      <c r="O1" s="318" t="s">
        <v>505</v>
      </c>
      <c r="P1" s="318" t="s">
        <v>376</v>
      </c>
      <c r="Q1" s="318" t="s">
        <v>375</v>
      </c>
      <c r="R1" s="318" t="s">
        <v>506</v>
      </c>
      <c r="S1" s="318" t="s">
        <v>507</v>
      </c>
      <c r="T1" s="318" t="s">
        <v>508</v>
      </c>
      <c r="U1" s="318" t="s">
        <v>509</v>
      </c>
      <c r="V1" s="319" t="s">
        <v>510</v>
      </c>
      <c r="W1" s="319" t="s">
        <v>511</v>
      </c>
      <c r="X1" s="318" t="s">
        <v>512</v>
      </c>
      <c r="Y1" s="318" t="s">
        <v>513</v>
      </c>
      <c r="Z1" s="317" t="s">
        <v>871</v>
      </c>
      <c r="AA1" s="316" t="s">
        <v>872</v>
      </c>
    </row>
    <row r="2" spans="1:27">
      <c r="A2" s="316" t="s">
        <v>377</v>
      </c>
      <c r="B2" s="316" t="s">
        <v>241</v>
      </c>
      <c r="C2" s="316" t="s">
        <v>92</v>
      </c>
      <c r="D2" s="316" t="s">
        <v>662</v>
      </c>
      <c r="E2" s="317">
        <v>367</v>
      </c>
      <c r="F2" s="316" t="s">
        <v>514</v>
      </c>
      <c r="G2" s="316" t="s">
        <v>241</v>
      </c>
      <c r="H2" s="317">
        <v>367</v>
      </c>
      <c r="I2" s="316" t="s">
        <v>873</v>
      </c>
      <c r="J2" s="317">
        <v>45352.861817129633</v>
      </c>
      <c r="K2" s="316" t="s">
        <v>378</v>
      </c>
      <c r="L2" s="318">
        <v>11500580.68</v>
      </c>
      <c r="M2" s="318">
        <v>17559389.75</v>
      </c>
      <c r="N2" s="318">
        <v>11468037.449999999</v>
      </c>
      <c r="O2" s="318">
        <v>17559389.75</v>
      </c>
      <c r="P2" s="318">
        <v>0</v>
      </c>
      <c r="Q2" s="318">
        <v>0</v>
      </c>
      <c r="R2" s="318">
        <v>0</v>
      </c>
      <c r="S2" s="318">
        <v>-32543.23</v>
      </c>
      <c r="T2" s="318">
        <v>0</v>
      </c>
      <c r="U2" s="318">
        <v>0</v>
      </c>
      <c r="V2" s="319">
        <v>0.65310000000000001</v>
      </c>
      <c r="W2" s="319">
        <v>1</v>
      </c>
      <c r="Z2" s="317">
        <v>367</v>
      </c>
      <c r="AA2" s="316" t="s">
        <v>241</v>
      </c>
    </row>
    <row r="3" spans="1:27">
      <c r="A3" s="316" t="s">
        <v>377</v>
      </c>
      <c r="B3" s="316" t="s">
        <v>241</v>
      </c>
      <c r="C3" s="316" t="s">
        <v>667</v>
      </c>
      <c r="D3" s="316" t="s">
        <v>668</v>
      </c>
      <c r="E3" s="317">
        <v>45351</v>
      </c>
      <c r="F3" s="316" t="s">
        <v>514</v>
      </c>
      <c r="G3" s="316" t="s">
        <v>669</v>
      </c>
      <c r="H3" s="317">
        <v>45351</v>
      </c>
      <c r="J3" s="317">
        <v>45352.861817129633</v>
      </c>
      <c r="K3" s="316" t="s">
        <v>378</v>
      </c>
      <c r="L3" s="318">
        <v>-36176.339999999997</v>
      </c>
      <c r="M3" s="318">
        <v>-55707.57</v>
      </c>
      <c r="N3" s="318">
        <v>-14564.5</v>
      </c>
      <c r="O3" s="318">
        <v>-22300.57</v>
      </c>
      <c r="P3" s="318">
        <v>107.89</v>
      </c>
      <c r="Q3" s="318">
        <v>165.19</v>
      </c>
      <c r="R3" s="318">
        <v>28.64</v>
      </c>
      <c r="S3" s="318">
        <v>-206.27</v>
      </c>
      <c r="T3" s="318">
        <v>21818.11</v>
      </c>
      <c r="U3" s="318">
        <v>43.86</v>
      </c>
      <c r="V3" s="319">
        <v>64.820175000000006</v>
      </c>
      <c r="W3" s="319">
        <v>99.25</v>
      </c>
      <c r="X3" s="318">
        <v>63.722375</v>
      </c>
      <c r="Y3" s="318">
        <v>98.125</v>
      </c>
      <c r="Z3" s="317">
        <v>45351</v>
      </c>
      <c r="AA3" s="316" t="s">
        <v>669</v>
      </c>
    </row>
    <row r="4" spans="1:27">
      <c r="A4" s="316" t="s">
        <v>377</v>
      </c>
      <c r="B4" s="316" t="s">
        <v>241</v>
      </c>
      <c r="C4" s="316" t="s">
        <v>667</v>
      </c>
      <c r="D4" s="316" t="s">
        <v>670</v>
      </c>
      <c r="E4" s="317">
        <v>45253</v>
      </c>
      <c r="F4" s="316" t="s">
        <v>514</v>
      </c>
      <c r="G4" s="316" t="s">
        <v>528</v>
      </c>
      <c r="H4" s="317">
        <v>45253</v>
      </c>
      <c r="J4" s="317">
        <v>45352.861817129633</v>
      </c>
      <c r="K4" s="316" t="s">
        <v>378</v>
      </c>
      <c r="L4" s="318">
        <v>-56009.58</v>
      </c>
      <c r="M4" s="318">
        <v>-85362.2</v>
      </c>
      <c r="N4" s="318">
        <v>0</v>
      </c>
      <c r="O4" s="318">
        <v>0</v>
      </c>
      <c r="P4" s="318">
        <v>2136.3000000000002</v>
      </c>
      <c r="Q4" s="318">
        <v>3271.01</v>
      </c>
      <c r="R4" s="318">
        <v>2697.15</v>
      </c>
      <c r="S4" s="318">
        <v>259.52999999999997</v>
      </c>
      <c r="T4" s="318">
        <v>55750.05</v>
      </c>
      <c r="U4" s="318">
        <v>4129.76</v>
      </c>
      <c r="V4" s="319">
        <v>65.31</v>
      </c>
      <c r="W4" s="319">
        <v>100</v>
      </c>
      <c r="X4" s="318">
        <v>64.602913000000001</v>
      </c>
      <c r="Y4" s="318">
        <v>98.480050919999996</v>
      </c>
      <c r="Z4" s="317">
        <v>45253</v>
      </c>
      <c r="AA4" s="316" t="s">
        <v>528</v>
      </c>
    </row>
    <row r="5" spans="1:27">
      <c r="A5" s="316" t="s">
        <v>377</v>
      </c>
      <c r="B5" s="316" t="s">
        <v>241</v>
      </c>
      <c r="C5" s="316" t="s">
        <v>750</v>
      </c>
      <c r="D5" s="316" t="s">
        <v>859</v>
      </c>
      <c r="E5" s="317">
        <v>45245</v>
      </c>
      <c r="F5" s="316" t="s">
        <v>514</v>
      </c>
      <c r="G5" s="316" t="s">
        <v>860</v>
      </c>
      <c r="H5" s="317">
        <v>46343</v>
      </c>
      <c r="I5" s="316" t="s">
        <v>888</v>
      </c>
      <c r="J5" s="317">
        <v>45352.861817129633</v>
      </c>
      <c r="K5" s="316" t="s">
        <v>378</v>
      </c>
      <c r="L5" s="318">
        <v>-19147900.899999999</v>
      </c>
      <c r="M5" s="318">
        <v>-29562916.32</v>
      </c>
      <c r="N5" s="318">
        <v>-19440581.350000001</v>
      </c>
      <c r="O5" s="318">
        <v>-29562916.32</v>
      </c>
      <c r="P5" s="318">
        <v>0</v>
      </c>
      <c r="Q5" s="318">
        <v>0</v>
      </c>
      <c r="R5" s="318">
        <v>0</v>
      </c>
      <c r="S5" s="318">
        <v>-292680.45</v>
      </c>
      <c r="T5" s="318">
        <v>0</v>
      </c>
      <c r="U5" s="318">
        <v>0</v>
      </c>
      <c r="V5" s="319">
        <v>0.65760025620772999</v>
      </c>
      <c r="W5" s="319">
        <v>1</v>
      </c>
      <c r="X5" s="318">
        <v>0</v>
      </c>
      <c r="Y5" s="318">
        <v>0</v>
      </c>
      <c r="Z5" s="317">
        <v>46343</v>
      </c>
      <c r="AA5" s="316" t="s">
        <v>859</v>
      </c>
    </row>
    <row r="6" spans="1:27">
      <c r="A6" s="316" t="s">
        <v>377</v>
      </c>
      <c r="B6" s="316" t="s">
        <v>241</v>
      </c>
      <c r="C6" s="316" t="s">
        <v>750</v>
      </c>
      <c r="D6" s="316" t="s">
        <v>859</v>
      </c>
      <c r="E6" s="317">
        <v>45345</v>
      </c>
      <c r="F6" s="316" t="s">
        <v>514</v>
      </c>
      <c r="G6" s="316" t="s">
        <v>860</v>
      </c>
      <c r="H6" s="317">
        <v>46343</v>
      </c>
      <c r="I6" s="316" t="s">
        <v>888</v>
      </c>
      <c r="J6" s="317">
        <v>45352.861817129633</v>
      </c>
      <c r="K6" s="316" t="s">
        <v>378</v>
      </c>
      <c r="L6" s="318">
        <v>-3916223.48</v>
      </c>
      <c r="M6" s="318">
        <v>-5940873</v>
      </c>
      <c r="N6" s="318">
        <v>-3906719.61</v>
      </c>
      <c r="O6" s="318">
        <v>-5940873</v>
      </c>
      <c r="P6" s="318">
        <v>0</v>
      </c>
      <c r="Q6" s="318">
        <v>0</v>
      </c>
      <c r="R6" s="318">
        <v>0</v>
      </c>
      <c r="S6" s="318">
        <v>9503.8700000000008</v>
      </c>
      <c r="T6" s="318">
        <v>0</v>
      </c>
      <c r="U6" s="318">
        <v>0</v>
      </c>
      <c r="V6" s="319">
        <v>0.65760025620772999</v>
      </c>
      <c r="W6" s="319">
        <v>1</v>
      </c>
      <c r="X6" s="318">
        <v>0</v>
      </c>
      <c r="Y6" s="318">
        <v>0</v>
      </c>
      <c r="Z6" s="317">
        <v>46343</v>
      </c>
      <c r="AA6" s="316" t="s">
        <v>859</v>
      </c>
    </row>
    <row r="7" spans="1:27">
      <c r="A7" s="316" t="s">
        <v>377</v>
      </c>
      <c r="B7" s="316" t="s">
        <v>241</v>
      </c>
      <c r="C7" s="316" t="s">
        <v>379</v>
      </c>
      <c r="D7" s="316" t="s">
        <v>837</v>
      </c>
      <c r="E7" s="317">
        <v>45351</v>
      </c>
      <c r="F7" s="316" t="s">
        <v>514</v>
      </c>
      <c r="G7" s="316" t="s">
        <v>838</v>
      </c>
      <c r="H7" s="317">
        <v>45351</v>
      </c>
      <c r="J7" s="317">
        <v>45352.861817129633</v>
      </c>
      <c r="K7" s="316" t="s">
        <v>378</v>
      </c>
      <c r="L7" s="318">
        <v>3785721.49</v>
      </c>
      <c r="M7" s="318">
        <v>5829567.5499999998</v>
      </c>
      <c r="N7" s="318">
        <v>3821783.89</v>
      </c>
      <c r="O7" s="318">
        <v>5851759.1299999999</v>
      </c>
      <c r="P7" s="318">
        <v>1131.6600000000001</v>
      </c>
      <c r="Q7" s="318">
        <v>1732.75</v>
      </c>
      <c r="R7" s="318">
        <v>56.62</v>
      </c>
      <c r="S7" s="318">
        <v>21569.08</v>
      </c>
      <c r="T7" s="318">
        <v>14493.32</v>
      </c>
      <c r="U7" s="318">
        <v>86.69</v>
      </c>
      <c r="V7" s="319">
        <v>64.330349999999896</v>
      </c>
      <c r="W7" s="319">
        <v>98.5</v>
      </c>
      <c r="X7" s="318">
        <v>63.722375</v>
      </c>
      <c r="Y7" s="318">
        <v>98.125</v>
      </c>
      <c r="Z7" s="317">
        <v>45351</v>
      </c>
      <c r="AA7" s="316" t="s">
        <v>838</v>
      </c>
    </row>
    <row r="8" spans="1:27">
      <c r="A8" s="316" t="s">
        <v>377</v>
      </c>
      <c r="B8" s="316" t="s">
        <v>241</v>
      </c>
      <c r="C8" s="316" t="s">
        <v>379</v>
      </c>
      <c r="D8" s="316" t="s">
        <v>616</v>
      </c>
      <c r="E8" s="317">
        <v>45253</v>
      </c>
      <c r="F8" s="316" t="s">
        <v>514</v>
      </c>
      <c r="G8" s="316" t="s">
        <v>380</v>
      </c>
      <c r="H8" s="317">
        <v>45253</v>
      </c>
      <c r="J8" s="317">
        <v>45352.861817129633</v>
      </c>
      <c r="K8" s="316" t="s">
        <v>378</v>
      </c>
      <c r="L8" s="318">
        <v>8649094.3900000006</v>
      </c>
      <c r="M8" s="318">
        <v>13184677.810000001</v>
      </c>
      <c r="N8" s="318">
        <v>8866546.3399999999</v>
      </c>
      <c r="O8" s="318">
        <v>13576093</v>
      </c>
      <c r="P8" s="318">
        <v>46547.93</v>
      </c>
      <c r="Q8" s="318">
        <v>71272.289999999994</v>
      </c>
      <c r="R8" s="318">
        <v>12219.56</v>
      </c>
      <c r="S8" s="318">
        <v>-38181.31</v>
      </c>
      <c r="T8" s="318">
        <v>255633.26</v>
      </c>
      <c r="U8" s="318">
        <v>18710.09</v>
      </c>
      <c r="V8" s="319">
        <v>65.31</v>
      </c>
      <c r="W8" s="319">
        <v>100</v>
      </c>
      <c r="X8" s="318">
        <v>63.618265000000001</v>
      </c>
      <c r="Y8" s="318">
        <v>96.979062540000001</v>
      </c>
      <c r="Z8" s="317">
        <v>45253</v>
      </c>
      <c r="AA8" s="316" t="s">
        <v>380</v>
      </c>
    </row>
    <row r="9" spans="1:27">
      <c r="A9" s="316" t="s">
        <v>377</v>
      </c>
      <c r="B9" s="316" t="s">
        <v>527</v>
      </c>
      <c r="C9" s="316" t="s">
        <v>92</v>
      </c>
      <c r="D9" s="316" t="s">
        <v>663</v>
      </c>
      <c r="E9" s="317">
        <v>367</v>
      </c>
      <c r="F9" s="316" t="s">
        <v>514</v>
      </c>
      <c r="G9" s="316" t="s">
        <v>527</v>
      </c>
      <c r="H9" s="317">
        <v>367</v>
      </c>
      <c r="I9" s="316" t="s">
        <v>874</v>
      </c>
      <c r="J9" s="317">
        <v>45352.861817129633</v>
      </c>
      <c r="K9" s="316" t="s">
        <v>378</v>
      </c>
      <c r="L9" s="318">
        <v>5519534.6200000001</v>
      </c>
      <c r="M9" s="318">
        <v>7469499.6900000097</v>
      </c>
      <c r="N9" s="318">
        <v>5509293.1799999997</v>
      </c>
      <c r="O9" s="318">
        <v>7469499.6900000097</v>
      </c>
      <c r="P9" s="318">
        <v>0</v>
      </c>
      <c r="Q9" s="318">
        <v>0</v>
      </c>
      <c r="R9" s="318">
        <v>0</v>
      </c>
      <c r="S9" s="318">
        <v>-10241.44</v>
      </c>
      <c r="T9" s="318">
        <v>0</v>
      </c>
      <c r="U9" s="318">
        <v>0</v>
      </c>
      <c r="V9" s="319">
        <v>0.73757191326154004</v>
      </c>
      <c r="W9" s="319">
        <v>1</v>
      </c>
      <c r="Z9" s="317">
        <v>367</v>
      </c>
      <c r="AA9" s="316" t="s">
        <v>527</v>
      </c>
    </row>
    <row r="10" spans="1:27">
      <c r="A10" s="316" t="s">
        <v>377</v>
      </c>
      <c r="B10" s="316" t="s">
        <v>527</v>
      </c>
      <c r="C10" s="316" t="s">
        <v>667</v>
      </c>
      <c r="D10" s="316" t="s">
        <v>671</v>
      </c>
      <c r="E10" s="317">
        <v>45352</v>
      </c>
      <c r="F10" s="316" t="s">
        <v>514</v>
      </c>
      <c r="G10" s="316" t="s">
        <v>672</v>
      </c>
      <c r="H10" s="317">
        <v>45352</v>
      </c>
      <c r="J10" s="317">
        <v>45352.861817129633</v>
      </c>
      <c r="K10" s="316" t="s">
        <v>378</v>
      </c>
      <c r="L10" s="318">
        <v>-61555.17</v>
      </c>
      <c r="M10" s="318">
        <v>-83456.490000000005</v>
      </c>
      <c r="N10" s="318">
        <v>-61579.27</v>
      </c>
      <c r="O10" s="318">
        <v>-83489.17</v>
      </c>
      <c r="P10" s="318">
        <v>228.07</v>
      </c>
      <c r="Q10" s="318">
        <v>309.22000000000003</v>
      </c>
      <c r="R10" s="318">
        <v>24.1</v>
      </c>
      <c r="S10" s="318">
        <v>0</v>
      </c>
      <c r="T10" s="318">
        <v>-24.1</v>
      </c>
      <c r="U10" s="318">
        <v>32.68</v>
      </c>
      <c r="V10" s="319">
        <v>73.204012391207797</v>
      </c>
      <c r="W10" s="319">
        <v>99.25</v>
      </c>
      <c r="X10" s="318">
        <v>73.204012000000006</v>
      </c>
      <c r="Y10" s="318">
        <v>99.25</v>
      </c>
      <c r="Z10" s="317">
        <v>45352</v>
      </c>
      <c r="AA10" s="316" t="s">
        <v>672</v>
      </c>
    </row>
    <row r="11" spans="1:27">
      <c r="A11" s="316" t="s">
        <v>377</v>
      </c>
      <c r="B11" s="316" t="s">
        <v>527</v>
      </c>
      <c r="C11" s="316" t="s">
        <v>667</v>
      </c>
      <c r="D11" s="316" t="s">
        <v>711</v>
      </c>
      <c r="E11" s="317">
        <v>45246</v>
      </c>
      <c r="F11" s="316" t="s">
        <v>514</v>
      </c>
      <c r="G11" s="316" t="s">
        <v>555</v>
      </c>
      <c r="H11" s="317">
        <v>45246</v>
      </c>
      <c r="J11" s="317">
        <v>45352.861817129633</v>
      </c>
      <c r="K11" s="316" t="s">
        <v>378</v>
      </c>
      <c r="L11" s="318">
        <v>0</v>
      </c>
      <c r="M11" s="318">
        <v>0</v>
      </c>
      <c r="N11" s="318">
        <v>0</v>
      </c>
      <c r="O11" s="318">
        <v>0</v>
      </c>
      <c r="P11" s="318">
        <v>13386.21</v>
      </c>
      <c r="Q11" s="318">
        <v>18149.02</v>
      </c>
      <c r="R11" s="318">
        <v>0</v>
      </c>
      <c r="S11" s="318">
        <v>0</v>
      </c>
      <c r="T11" s="318">
        <v>0</v>
      </c>
      <c r="U11" s="318">
        <v>0</v>
      </c>
      <c r="V11" s="319">
        <v>100</v>
      </c>
      <c r="W11" s="319">
        <v>100</v>
      </c>
      <c r="X11" s="318">
        <v>70.849834999999999</v>
      </c>
      <c r="Y11" s="318">
        <v>97.5</v>
      </c>
      <c r="Z11" s="317">
        <v>45246</v>
      </c>
      <c r="AA11" s="316" t="s">
        <v>555</v>
      </c>
    </row>
    <row r="12" spans="1:27">
      <c r="A12" s="316" t="s">
        <v>377</v>
      </c>
      <c r="B12" s="316" t="s">
        <v>527</v>
      </c>
      <c r="C12" s="316" t="s">
        <v>667</v>
      </c>
      <c r="D12" s="316" t="s">
        <v>673</v>
      </c>
      <c r="E12" s="317">
        <v>45180</v>
      </c>
      <c r="F12" s="316" t="s">
        <v>514</v>
      </c>
      <c r="G12" s="316" t="s">
        <v>529</v>
      </c>
      <c r="H12" s="317">
        <v>45180</v>
      </c>
      <c r="J12" s="317">
        <v>45352.861817129633</v>
      </c>
      <c r="K12" s="316" t="s">
        <v>378</v>
      </c>
      <c r="L12" s="318">
        <v>6197124.8300000001</v>
      </c>
      <c r="M12" s="318">
        <v>8366791.5199999996</v>
      </c>
      <c r="N12" s="318">
        <v>6488146.5199999996</v>
      </c>
      <c r="O12" s="318">
        <v>8796629.0500000007</v>
      </c>
      <c r="P12" s="318">
        <v>25284.39</v>
      </c>
      <c r="Q12" s="318">
        <v>34280.58</v>
      </c>
      <c r="R12" s="318">
        <v>37877.93</v>
      </c>
      <c r="S12" s="318">
        <v>-26014.400000000001</v>
      </c>
      <c r="T12" s="318">
        <v>317036.09000000003</v>
      </c>
      <c r="U12" s="318">
        <v>51354.9</v>
      </c>
      <c r="V12" s="319">
        <v>73.757191326154</v>
      </c>
      <c r="W12" s="319">
        <v>100</v>
      </c>
      <c r="X12" s="318">
        <v>72.154321999999993</v>
      </c>
      <c r="Y12" s="318">
        <v>98</v>
      </c>
      <c r="Z12" s="317">
        <v>45180</v>
      </c>
      <c r="AA12" s="316" t="s">
        <v>529</v>
      </c>
    </row>
    <row r="13" spans="1:27">
      <c r="A13" s="316" t="s">
        <v>377</v>
      </c>
      <c r="B13" s="316" t="s">
        <v>527</v>
      </c>
      <c r="C13" s="316" t="s">
        <v>750</v>
      </c>
      <c r="D13" s="316" t="s">
        <v>861</v>
      </c>
      <c r="E13" s="317">
        <v>45195</v>
      </c>
      <c r="F13" s="316" t="s">
        <v>514</v>
      </c>
      <c r="G13" s="316" t="s">
        <v>862</v>
      </c>
      <c r="H13" s="317">
        <v>46293</v>
      </c>
      <c r="I13" s="316" t="s">
        <v>889</v>
      </c>
      <c r="J13" s="317">
        <v>45352.861817129633</v>
      </c>
      <c r="K13" s="316" t="s">
        <v>378</v>
      </c>
      <c r="L13" s="318">
        <v>-643439.92000000004</v>
      </c>
      <c r="M13" s="318">
        <v>-870895.93</v>
      </c>
      <c r="N13" s="318">
        <v>-649108.37</v>
      </c>
      <c r="O13" s="318">
        <v>-870895.93</v>
      </c>
      <c r="P13" s="318">
        <v>0</v>
      </c>
      <c r="Q13" s="318">
        <v>0</v>
      </c>
      <c r="R13" s="318">
        <v>0</v>
      </c>
      <c r="S13" s="318">
        <v>-5668.45</v>
      </c>
      <c r="T13" s="318">
        <v>0</v>
      </c>
      <c r="U13" s="318">
        <v>0</v>
      </c>
      <c r="V13" s="319">
        <v>0.74533402500195001</v>
      </c>
      <c r="W13" s="319">
        <v>1</v>
      </c>
      <c r="X13" s="318">
        <v>0</v>
      </c>
      <c r="Y13" s="318">
        <v>0</v>
      </c>
      <c r="Z13" s="317">
        <v>46293</v>
      </c>
      <c r="AA13" s="316" t="s">
        <v>861</v>
      </c>
    </row>
    <row r="14" spans="1:27">
      <c r="A14" s="316" t="s">
        <v>377</v>
      </c>
      <c r="B14" s="316" t="s">
        <v>527</v>
      </c>
      <c r="C14" s="316" t="s">
        <v>750</v>
      </c>
      <c r="D14" s="316" t="s">
        <v>861</v>
      </c>
      <c r="E14" s="317">
        <v>45258</v>
      </c>
      <c r="F14" s="316" t="s">
        <v>514</v>
      </c>
      <c r="G14" s="316" t="s">
        <v>862</v>
      </c>
      <c r="H14" s="317">
        <v>46293</v>
      </c>
      <c r="I14" s="316" t="s">
        <v>889</v>
      </c>
      <c r="J14" s="317">
        <v>45352.861817129633</v>
      </c>
      <c r="K14" s="316" t="s">
        <v>378</v>
      </c>
      <c r="L14" s="318">
        <v>-637470.03</v>
      </c>
      <c r="M14" s="318">
        <v>-858850.62</v>
      </c>
      <c r="N14" s="318">
        <v>-640130.59</v>
      </c>
      <c r="O14" s="318">
        <v>-858850.62</v>
      </c>
      <c r="P14" s="318">
        <v>0</v>
      </c>
      <c r="Q14" s="318">
        <v>0</v>
      </c>
      <c r="R14" s="318">
        <v>0</v>
      </c>
      <c r="S14" s="318">
        <v>-2660.56</v>
      </c>
      <c r="T14" s="318">
        <v>0</v>
      </c>
      <c r="U14" s="318">
        <v>0</v>
      </c>
      <c r="V14" s="319">
        <v>0.74533402500195001</v>
      </c>
      <c r="W14" s="319">
        <v>1</v>
      </c>
      <c r="X14" s="318">
        <v>0</v>
      </c>
      <c r="Y14" s="318">
        <v>0</v>
      </c>
      <c r="Z14" s="317">
        <v>46293</v>
      </c>
      <c r="AA14" s="316" t="s">
        <v>861</v>
      </c>
    </row>
    <row r="15" spans="1:27">
      <c r="A15" s="316" t="s">
        <v>377</v>
      </c>
      <c r="B15" s="316" t="s">
        <v>527</v>
      </c>
      <c r="C15" s="316" t="s">
        <v>750</v>
      </c>
      <c r="D15" s="316" t="s">
        <v>861</v>
      </c>
      <c r="E15" s="317">
        <v>45310</v>
      </c>
      <c r="F15" s="316" t="s">
        <v>514</v>
      </c>
      <c r="G15" s="316" t="s">
        <v>862</v>
      </c>
      <c r="H15" s="317">
        <v>46293</v>
      </c>
      <c r="I15" s="316" t="s">
        <v>889</v>
      </c>
      <c r="J15" s="317">
        <v>45352.861817129633</v>
      </c>
      <c r="K15" s="316" t="s">
        <v>378</v>
      </c>
      <c r="L15" s="318">
        <v>-3831455.24</v>
      </c>
      <c r="M15" s="318">
        <v>-5149092.7</v>
      </c>
      <c r="N15" s="318">
        <v>-3837793.99</v>
      </c>
      <c r="O15" s="318">
        <v>-5149092.7</v>
      </c>
      <c r="P15" s="318">
        <v>0</v>
      </c>
      <c r="Q15" s="318">
        <v>0</v>
      </c>
      <c r="R15" s="318">
        <v>0</v>
      </c>
      <c r="S15" s="318">
        <v>-6338.75</v>
      </c>
      <c r="T15" s="318">
        <v>0</v>
      </c>
      <c r="U15" s="318">
        <v>0</v>
      </c>
      <c r="V15" s="319">
        <v>0.74533402500195001</v>
      </c>
      <c r="W15" s="319">
        <v>1</v>
      </c>
      <c r="X15" s="318">
        <v>0</v>
      </c>
      <c r="Y15" s="318">
        <v>0</v>
      </c>
      <c r="Z15" s="317">
        <v>46293</v>
      </c>
      <c r="AA15" s="316" t="s">
        <v>861</v>
      </c>
    </row>
    <row r="16" spans="1:27">
      <c r="A16" s="316" t="s">
        <v>377</v>
      </c>
      <c r="B16" s="316" t="s">
        <v>527</v>
      </c>
      <c r="C16" s="316" t="s">
        <v>750</v>
      </c>
      <c r="D16" s="316" t="s">
        <v>861</v>
      </c>
      <c r="E16" s="317">
        <v>45348</v>
      </c>
      <c r="F16" s="316" t="s">
        <v>514</v>
      </c>
      <c r="G16" s="316" t="s">
        <v>862</v>
      </c>
      <c r="H16" s="317">
        <v>46293</v>
      </c>
      <c r="I16" s="316" t="s">
        <v>889</v>
      </c>
      <c r="J16" s="317">
        <v>45352.861817129633</v>
      </c>
      <c r="K16" s="316" t="s">
        <v>378</v>
      </c>
      <c r="L16" s="318">
        <v>-20544450.66</v>
      </c>
      <c r="M16" s="318">
        <v>-27525455</v>
      </c>
      <c r="N16" s="318">
        <v>-20515658.170000002</v>
      </c>
      <c r="O16" s="318">
        <v>-27525455</v>
      </c>
      <c r="P16" s="318">
        <v>0</v>
      </c>
      <c r="Q16" s="318">
        <v>0</v>
      </c>
      <c r="R16" s="318">
        <v>0</v>
      </c>
      <c r="S16" s="318">
        <v>28792.49</v>
      </c>
      <c r="T16" s="318">
        <v>0</v>
      </c>
      <c r="U16" s="318">
        <v>0</v>
      </c>
      <c r="V16" s="319">
        <v>0.74533402500195001</v>
      </c>
      <c r="W16" s="319">
        <v>1</v>
      </c>
      <c r="X16" s="318">
        <v>0</v>
      </c>
      <c r="Y16" s="318">
        <v>0</v>
      </c>
      <c r="Z16" s="317">
        <v>46293</v>
      </c>
      <c r="AA16" s="316" t="s">
        <v>861</v>
      </c>
    </row>
    <row r="17" spans="1:27">
      <c r="A17" s="316" t="s">
        <v>377</v>
      </c>
      <c r="B17" s="316" t="s">
        <v>527</v>
      </c>
      <c r="C17" s="316" t="s">
        <v>750</v>
      </c>
      <c r="D17" s="316" t="s">
        <v>861</v>
      </c>
      <c r="E17" s="317">
        <v>45350</v>
      </c>
      <c r="F17" s="316" t="s">
        <v>514</v>
      </c>
      <c r="G17" s="316" t="s">
        <v>862</v>
      </c>
      <c r="H17" s="317">
        <v>46293</v>
      </c>
      <c r="I17" s="316" t="s">
        <v>889</v>
      </c>
      <c r="J17" s="317">
        <v>45352.861817129633</v>
      </c>
      <c r="K17" s="316" t="s">
        <v>378</v>
      </c>
      <c r="L17" s="318">
        <v>-1373420.45</v>
      </c>
      <c r="M17" s="318">
        <v>-1849860</v>
      </c>
      <c r="N17" s="318">
        <v>-1378763.6</v>
      </c>
      <c r="O17" s="318">
        <v>-1849860</v>
      </c>
      <c r="P17" s="318">
        <v>0</v>
      </c>
      <c r="Q17" s="318">
        <v>0</v>
      </c>
      <c r="R17" s="318">
        <v>0</v>
      </c>
      <c r="S17" s="318">
        <v>-5343.15</v>
      </c>
      <c r="T17" s="318">
        <v>0</v>
      </c>
      <c r="U17" s="318">
        <v>0</v>
      </c>
      <c r="V17" s="319">
        <v>0.74533402500195001</v>
      </c>
      <c r="W17" s="319">
        <v>1</v>
      </c>
      <c r="X17" s="318">
        <v>0</v>
      </c>
      <c r="Y17" s="318">
        <v>0</v>
      </c>
      <c r="Z17" s="317">
        <v>46293</v>
      </c>
      <c r="AA17" s="316" t="s">
        <v>861</v>
      </c>
    </row>
    <row r="18" spans="1:27">
      <c r="A18" s="316" t="s">
        <v>377</v>
      </c>
      <c r="B18" s="316" t="s">
        <v>527</v>
      </c>
      <c r="C18" s="316" t="s">
        <v>757</v>
      </c>
      <c r="D18" s="316" t="s">
        <v>758</v>
      </c>
      <c r="E18" s="317">
        <v>45352</v>
      </c>
      <c r="F18" s="316" t="s">
        <v>514</v>
      </c>
      <c r="G18" s="316" t="s">
        <v>759</v>
      </c>
      <c r="H18" s="317">
        <v>45352</v>
      </c>
      <c r="J18" s="317">
        <v>45352.861817129633</v>
      </c>
      <c r="K18" s="316" t="s">
        <v>378</v>
      </c>
      <c r="L18" s="318">
        <v>-37720.089999999997</v>
      </c>
      <c r="M18" s="318">
        <v>-51140.9</v>
      </c>
      <c r="N18" s="318">
        <v>-37734.86</v>
      </c>
      <c r="O18" s="318">
        <v>-51160.92</v>
      </c>
      <c r="P18" s="318">
        <v>34.94</v>
      </c>
      <c r="Q18" s="318">
        <v>47.37</v>
      </c>
      <c r="R18" s="318">
        <v>14.77</v>
      </c>
      <c r="S18" s="318">
        <v>0</v>
      </c>
      <c r="T18" s="318">
        <v>-14.77</v>
      </c>
      <c r="U18" s="318">
        <v>20.02</v>
      </c>
      <c r="V18" s="319">
        <v>72.650833456261594</v>
      </c>
      <c r="W18" s="319">
        <v>98.5</v>
      </c>
      <c r="X18" s="318">
        <v>72.650833000000006</v>
      </c>
      <c r="Y18" s="318">
        <v>98.5</v>
      </c>
      <c r="Z18" s="317">
        <v>45352</v>
      </c>
      <c r="AA18" s="316" t="s">
        <v>759</v>
      </c>
    </row>
    <row r="19" spans="1:27">
      <c r="A19" s="316" t="s">
        <v>377</v>
      </c>
      <c r="B19" s="316" t="s">
        <v>527</v>
      </c>
      <c r="C19" s="316" t="s">
        <v>757</v>
      </c>
      <c r="D19" s="316" t="s">
        <v>760</v>
      </c>
      <c r="E19" s="317">
        <v>45246</v>
      </c>
      <c r="F19" s="316" t="s">
        <v>514</v>
      </c>
      <c r="G19" s="316" t="s">
        <v>579</v>
      </c>
      <c r="H19" s="317">
        <v>45246</v>
      </c>
      <c r="J19" s="317">
        <v>45352.861817129633</v>
      </c>
      <c r="K19" s="316" t="s">
        <v>378</v>
      </c>
      <c r="L19" s="318">
        <v>-15.01</v>
      </c>
      <c r="M19" s="318">
        <v>-20.67</v>
      </c>
      <c r="N19" s="318">
        <v>0</v>
      </c>
      <c r="O19" s="318">
        <v>0</v>
      </c>
      <c r="P19" s="318">
        <v>0.96</v>
      </c>
      <c r="Q19" s="318">
        <v>1.3</v>
      </c>
      <c r="R19" s="318">
        <v>0.92</v>
      </c>
      <c r="S19" s="318">
        <v>-0.24</v>
      </c>
      <c r="T19" s="318">
        <v>15.25</v>
      </c>
      <c r="U19" s="318">
        <v>1.25</v>
      </c>
      <c r="V19" s="319">
        <v>73.757191326154</v>
      </c>
      <c r="W19" s="319">
        <v>100</v>
      </c>
      <c r="X19" s="318">
        <v>70.849834999999999</v>
      </c>
      <c r="Y19" s="318">
        <v>97.5</v>
      </c>
      <c r="Z19" s="317">
        <v>45246</v>
      </c>
      <c r="AA19" s="316" t="s">
        <v>579</v>
      </c>
    </row>
    <row r="20" spans="1:27">
      <c r="A20" s="316" t="s">
        <v>377</v>
      </c>
      <c r="B20" s="316" t="s">
        <v>527</v>
      </c>
      <c r="C20" s="316" t="s">
        <v>867</v>
      </c>
      <c r="D20" s="316" t="s">
        <v>868</v>
      </c>
      <c r="E20" s="317">
        <v>45167</v>
      </c>
      <c r="F20" s="316" t="s">
        <v>514</v>
      </c>
      <c r="G20" s="316" t="s">
        <v>869</v>
      </c>
      <c r="H20" s="317">
        <v>45167</v>
      </c>
      <c r="J20" s="317">
        <v>45352.861817129633</v>
      </c>
      <c r="K20" s="316" t="s">
        <v>378</v>
      </c>
      <c r="L20" s="318">
        <v>0</v>
      </c>
      <c r="M20" s="318">
        <v>0</v>
      </c>
      <c r="N20" s="318">
        <v>0</v>
      </c>
      <c r="O20" s="318">
        <v>0</v>
      </c>
      <c r="P20" s="318">
        <v>-2018.51</v>
      </c>
      <c r="Q20" s="318">
        <v>-2736.69</v>
      </c>
      <c r="R20" s="318">
        <v>0</v>
      </c>
      <c r="S20" s="318">
        <v>0</v>
      </c>
      <c r="T20" s="318">
        <v>0</v>
      </c>
      <c r="U20" s="318">
        <v>0</v>
      </c>
      <c r="V20" s="319">
        <v>100</v>
      </c>
      <c r="W20" s="319">
        <v>100</v>
      </c>
      <c r="X20" s="318">
        <v>73.724564999999998</v>
      </c>
      <c r="Y20" s="318">
        <v>100</v>
      </c>
      <c r="Z20" s="317">
        <v>45167</v>
      </c>
      <c r="AA20" s="316" t="s">
        <v>869</v>
      </c>
    </row>
    <row r="21" spans="1:27">
      <c r="A21" s="316" t="s">
        <v>377</v>
      </c>
      <c r="B21" s="316" t="s">
        <v>527</v>
      </c>
      <c r="C21" s="316" t="s">
        <v>379</v>
      </c>
      <c r="D21" s="316" t="s">
        <v>839</v>
      </c>
      <c r="E21" s="317">
        <v>45352</v>
      </c>
      <c r="F21" s="316" t="s">
        <v>514</v>
      </c>
      <c r="G21" s="316" t="s">
        <v>840</v>
      </c>
      <c r="H21" s="317">
        <v>45352</v>
      </c>
      <c r="J21" s="317">
        <v>45352.861817129633</v>
      </c>
      <c r="K21" s="316" t="s">
        <v>378</v>
      </c>
      <c r="L21" s="318">
        <v>16174918.869999999</v>
      </c>
      <c r="M21" s="318">
        <v>21929955</v>
      </c>
      <c r="N21" s="318">
        <v>16174822.460000001</v>
      </c>
      <c r="O21" s="318">
        <v>21929824.289999999</v>
      </c>
      <c r="P21" s="318">
        <v>2736.86</v>
      </c>
      <c r="Q21" s="318">
        <v>3710.63</v>
      </c>
      <c r="R21" s="318">
        <v>96.41</v>
      </c>
      <c r="S21" s="318">
        <v>0</v>
      </c>
      <c r="T21" s="318">
        <v>-96.41</v>
      </c>
      <c r="U21" s="318">
        <v>130.71</v>
      </c>
      <c r="V21" s="319">
        <v>72.650833456261594</v>
      </c>
      <c r="W21" s="319">
        <v>98.5</v>
      </c>
      <c r="X21" s="318">
        <v>72.650833000000006</v>
      </c>
      <c r="Y21" s="318">
        <v>98.5</v>
      </c>
      <c r="Z21" s="317">
        <v>45352</v>
      </c>
      <c r="AA21" s="316" t="s">
        <v>840</v>
      </c>
    </row>
    <row r="22" spans="1:27">
      <c r="A22" s="316" t="s">
        <v>377</v>
      </c>
      <c r="B22" s="316" t="s">
        <v>229</v>
      </c>
      <c r="C22" s="316" t="s">
        <v>92</v>
      </c>
      <c r="D22" s="316" t="s">
        <v>664</v>
      </c>
      <c r="E22" s="317">
        <v>367</v>
      </c>
      <c r="F22" s="316" t="s">
        <v>514</v>
      </c>
      <c r="G22" s="316" t="s">
        <v>229</v>
      </c>
      <c r="H22" s="317">
        <v>367</v>
      </c>
      <c r="I22" s="316" t="s">
        <v>875</v>
      </c>
      <c r="J22" s="317">
        <v>45352.861817129633</v>
      </c>
      <c r="K22" s="316" t="s">
        <v>378</v>
      </c>
      <c r="L22" s="318">
        <v>4955408.6899999902</v>
      </c>
      <c r="M22" s="318">
        <v>4584724.8499999996</v>
      </c>
      <c r="N22" s="318">
        <v>4970758.6799999904</v>
      </c>
      <c r="O22" s="318">
        <v>4584724.8499999996</v>
      </c>
      <c r="P22" s="318">
        <v>0</v>
      </c>
      <c r="Q22" s="318">
        <v>0</v>
      </c>
      <c r="R22" s="318">
        <v>0</v>
      </c>
      <c r="S22" s="318">
        <v>15349.99</v>
      </c>
      <c r="T22" s="318">
        <v>0</v>
      </c>
      <c r="U22" s="318">
        <v>0</v>
      </c>
      <c r="V22" s="319">
        <v>1.0842000000000001</v>
      </c>
      <c r="W22" s="319">
        <v>1</v>
      </c>
      <c r="Z22" s="317">
        <v>367</v>
      </c>
      <c r="AA22" s="316" t="s">
        <v>229</v>
      </c>
    </row>
    <row r="23" spans="1:27">
      <c r="A23" s="316" t="s">
        <v>377</v>
      </c>
      <c r="B23" s="316" t="s">
        <v>229</v>
      </c>
      <c r="C23" s="316" t="s">
        <v>667</v>
      </c>
      <c r="D23" s="316" t="s">
        <v>674</v>
      </c>
      <c r="E23" s="317">
        <v>45351</v>
      </c>
      <c r="F23" s="316" t="s">
        <v>514</v>
      </c>
      <c r="G23" s="316" t="s">
        <v>675</v>
      </c>
      <c r="H23" s="317">
        <v>45351</v>
      </c>
      <c r="J23" s="317">
        <v>45352.861817129633</v>
      </c>
      <c r="K23" s="316" t="s">
        <v>378</v>
      </c>
      <c r="L23" s="318">
        <v>-99289.83</v>
      </c>
      <c r="M23" s="318">
        <v>-91918.27</v>
      </c>
      <c r="N23" s="318">
        <v>-39894.15</v>
      </c>
      <c r="O23" s="318">
        <v>-36795.94</v>
      </c>
      <c r="P23" s="318">
        <v>295.51</v>
      </c>
      <c r="Q23" s="318">
        <v>272.56</v>
      </c>
      <c r="R23" s="318">
        <v>77.62</v>
      </c>
      <c r="S23" s="318">
        <v>-367.95</v>
      </c>
      <c r="T23" s="318">
        <v>59763.63</v>
      </c>
      <c r="U23" s="318">
        <v>71.59</v>
      </c>
      <c r="V23" s="319">
        <v>107.606849999999</v>
      </c>
      <c r="W23" s="319">
        <v>99.25</v>
      </c>
      <c r="X23" s="318">
        <v>105.994625</v>
      </c>
      <c r="Y23" s="318">
        <v>98.125</v>
      </c>
      <c r="Z23" s="317">
        <v>45351</v>
      </c>
      <c r="AA23" s="316" t="s">
        <v>675</v>
      </c>
    </row>
    <row r="24" spans="1:27">
      <c r="A24" s="316" t="s">
        <v>377</v>
      </c>
      <c r="B24" s="316" t="s">
        <v>229</v>
      </c>
      <c r="C24" s="316" t="s">
        <v>750</v>
      </c>
      <c r="D24" s="316" t="s">
        <v>863</v>
      </c>
      <c r="E24" s="317">
        <v>45345</v>
      </c>
      <c r="F24" s="316" t="s">
        <v>514</v>
      </c>
      <c r="G24" s="316" t="s">
        <v>864</v>
      </c>
      <c r="H24" s="317">
        <v>46343</v>
      </c>
      <c r="I24" s="316" t="s">
        <v>890</v>
      </c>
      <c r="J24" s="317">
        <v>45352.861817129633</v>
      </c>
      <c r="K24" s="316" t="s">
        <v>378</v>
      </c>
      <c r="L24" s="318">
        <v>-26850223.59</v>
      </c>
      <c r="M24" s="318">
        <v>-23799170</v>
      </c>
      <c r="N24" s="318">
        <v>-26873229.100000001</v>
      </c>
      <c r="O24" s="318">
        <v>-23799170</v>
      </c>
      <c r="P24" s="318">
        <v>0</v>
      </c>
      <c r="Q24" s="318">
        <v>0</v>
      </c>
      <c r="R24" s="318">
        <v>0</v>
      </c>
      <c r="S24" s="318">
        <v>-23005.51</v>
      </c>
      <c r="T24" s="318">
        <v>0</v>
      </c>
      <c r="U24" s="318">
        <v>0</v>
      </c>
      <c r="V24" s="319">
        <v>1.1291666516277601</v>
      </c>
      <c r="W24" s="319">
        <v>1</v>
      </c>
      <c r="X24" s="318">
        <v>0</v>
      </c>
      <c r="Y24" s="318">
        <v>0</v>
      </c>
      <c r="Z24" s="317">
        <v>46343</v>
      </c>
      <c r="AA24" s="316" t="s">
        <v>863</v>
      </c>
    </row>
    <row r="25" spans="1:27">
      <c r="A25" s="316" t="s">
        <v>377</v>
      </c>
      <c r="B25" s="316" t="s">
        <v>229</v>
      </c>
      <c r="C25" s="316" t="s">
        <v>867</v>
      </c>
      <c r="D25" s="316" t="s">
        <v>868</v>
      </c>
      <c r="E25" s="317">
        <v>45167</v>
      </c>
      <c r="F25" s="316" t="s">
        <v>514</v>
      </c>
      <c r="G25" s="316" t="s">
        <v>869</v>
      </c>
      <c r="H25" s="317">
        <v>45167</v>
      </c>
      <c r="J25" s="317">
        <v>45352.861817129633</v>
      </c>
      <c r="K25" s="316" t="s">
        <v>378</v>
      </c>
      <c r="L25" s="318">
        <v>0</v>
      </c>
      <c r="M25" s="318">
        <v>0</v>
      </c>
      <c r="N25" s="318">
        <v>0</v>
      </c>
      <c r="O25" s="318">
        <v>0</v>
      </c>
      <c r="P25" s="318">
        <v>-13435.35</v>
      </c>
      <c r="Q25" s="318">
        <v>-12391.95</v>
      </c>
      <c r="R25" s="318">
        <v>0</v>
      </c>
      <c r="S25" s="318">
        <v>0</v>
      </c>
      <c r="T25" s="318">
        <v>0</v>
      </c>
      <c r="U25" s="318">
        <v>0</v>
      </c>
      <c r="V25" s="319">
        <v>100</v>
      </c>
      <c r="W25" s="319">
        <v>100</v>
      </c>
      <c r="X25" s="318">
        <v>108.71</v>
      </c>
      <c r="Y25" s="318">
        <v>100</v>
      </c>
      <c r="Z25" s="317">
        <v>45167</v>
      </c>
      <c r="AA25" s="316" t="s">
        <v>869</v>
      </c>
    </row>
    <row r="26" spans="1:27">
      <c r="A26" s="316" t="s">
        <v>377</v>
      </c>
      <c r="B26" s="316" t="s">
        <v>229</v>
      </c>
      <c r="C26" s="316" t="s">
        <v>379</v>
      </c>
      <c r="D26" s="316" t="s">
        <v>841</v>
      </c>
      <c r="E26" s="317">
        <v>45351</v>
      </c>
      <c r="F26" s="316" t="s">
        <v>514</v>
      </c>
      <c r="G26" s="316" t="s">
        <v>842</v>
      </c>
      <c r="H26" s="317">
        <v>45351</v>
      </c>
      <c r="J26" s="317">
        <v>45352.861817129633</v>
      </c>
      <c r="K26" s="316" t="s">
        <v>378</v>
      </c>
      <c r="L26" s="318">
        <v>25226221.399999999</v>
      </c>
      <c r="M26" s="318">
        <v>23353286.43</v>
      </c>
      <c r="N26" s="318">
        <v>25416013.960000001</v>
      </c>
      <c r="O26" s="318">
        <v>23442182.219999999</v>
      </c>
      <c r="P26" s="318">
        <v>7525.89</v>
      </c>
      <c r="Q26" s="318">
        <v>6941.42</v>
      </c>
      <c r="R26" s="318">
        <v>380.65</v>
      </c>
      <c r="S26" s="318">
        <v>93411.74</v>
      </c>
      <c r="T26" s="318">
        <v>96380.82</v>
      </c>
      <c r="U26" s="318">
        <v>351.09</v>
      </c>
      <c r="V26" s="319">
        <v>106.7937</v>
      </c>
      <c r="W26" s="319">
        <v>98.5</v>
      </c>
      <c r="X26" s="318">
        <v>105.994625</v>
      </c>
      <c r="Y26" s="318">
        <v>98.125</v>
      </c>
      <c r="Z26" s="317">
        <v>45351</v>
      </c>
      <c r="AA26" s="316" t="s">
        <v>842</v>
      </c>
    </row>
    <row r="27" spans="1:27">
      <c r="A27" s="316" t="s">
        <v>377</v>
      </c>
      <c r="B27" s="316" t="s">
        <v>229</v>
      </c>
      <c r="C27" s="316" t="s">
        <v>379</v>
      </c>
      <c r="D27" s="316" t="s">
        <v>381</v>
      </c>
      <c r="E27" s="317">
        <v>45198</v>
      </c>
      <c r="F27" s="316" t="s">
        <v>514</v>
      </c>
      <c r="G27" s="316" t="s">
        <v>382</v>
      </c>
      <c r="H27" s="317">
        <v>45198</v>
      </c>
      <c r="J27" s="317">
        <v>45352.861817129633</v>
      </c>
      <c r="K27" s="316" t="s">
        <v>378</v>
      </c>
      <c r="L27" s="318">
        <v>33237222.359999999</v>
      </c>
      <c r="M27" s="318">
        <v>31412694.25</v>
      </c>
      <c r="N27" s="318">
        <v>33985509.07</v>
      </c>
      <c r="O27" s="318">
        <v>31346162.210000001</v>
      </c>
      <c r="P27" s="318">
        <v>321676.94</v>
      </c>
      <c r="Q27" s="318">
        <v>296695.2</v>
      </c>
      <c r="R27" s="318">
        <v>63145.84</v>
      </c>
      <c r="S27" s="318">
        <v>820420.75</v>
      </c>
      <c r="T27" s="318">
        <v>-72134.039999999994</v>
      </c>
      <c r="U27" s="318">
        <v>58241.87</v>
      </c>
      <c r="V27" s="319">
        <v>105.1674</v>
      </c>
      <c r="W27" s="319">
        <v>97</v>
      </c>
      <c r="X27" s="318">
        <v>102.6066</v>
      </c>
      <c r="Y27" s="318">
        <v>97</v>
      </c>
      <c r="Z27" s="317">
        <v>45198</v>
      </c>
      <c r="AA27" s="316" t="s">
        <v>382</v>
      </c>
    </row>
    <row r="28" spans="1:27">
      <c r="A28" s="316" t="s">
        <v>377</v>
      </c>
      <c r="B28" s="316" t="s">
        <v>228</v>
      </c>
      <c r="C28" s="316" t="s">
        <v>92</v>
      </c>
      <c r="D28" s="316" t="s">
        <v>665</v>
      </c>
      <c r="E28" s="317">
        <v>367</v>
      </c>
      <c r="F28" s="316" t="s">
        <v>514</v>
      </c>
      <c r="G28" s="316" t="s">
        <v>228</v>
      </c>
      <c r="H28" s="317">
        <v>367</v>
      </c>
      <c r="I28" s="316" t="s">
        <v>876</v>
      </c>
      <c r="J28" s="317">
        <v>45352.861817129633</v>
      </c>
      <c r="K28" s="316" t="s">
        <v>378</v>
      </c>
      <c r="L28" s="318">
        <v>99804.93</v>
      </c>
      <c r="M28" s="318">
        <v>79724.84</v>
      </c>
      <c r="N28" s="318">
        <v>100955.57</v>
      </c>
      <c r="O28" s="318">
        <v>79724.84</v>
      </c>
      <c r="P28" s="318">
        <v>0</v>
      </c>
      <c r="Q28" s="318">
        <v>0</v>
      </c>
      <c r="R28" s="318">
        <v>0</v>
      </c>
      <c r="S28" s="318">
        <v>1150.6400000000001</v>
      </c>
      <c r="T28" s="318">
        <v>0</v>
      </c>
      <c r="U28" s="318">
        <v>0</v>
      </c>
      <c r="V28" s="319">
        <v>1.2663</v>
      </c>
      <c r="W28" s="319">
        <v>1</v>
      </c>
      <c r="Z28" s="317">
        <v>367</v>
      </c>
      <c r="AA28" s="316" t="s">
        <v>228</v>
      </c>
    </row>
    <row r="29" spans="1:27">
      <c r="A29" s="316" t="s">
        <v>377</v>
      </c>
      <c r="B29" s="316" t="s">
        <v>228</v>
      </c>
      <c r="C29" s="316" t="s">
        <v>750</v>
      </c>
      <c r="D29" s="316" t="s">
        <v>865</v>
      </c>
      <c r="E29" s="317">
        <v>45231</v>
      </c>
      <c r="F29" s="316" t="s">
        <v>514</v>
      </c>
      <c r="G29" s="316" t="s">
        <v>866</v>
      </c>
      <c r="H29" s="317">
        <v>46328</v>
      </c>
      <c r="I29" s="316" t="s">
        <v>891</v>
      </c>
      <c r="J29" s="317">
        <v>45352.861817129633</v>
      </c>
      <c r="K29" s="316" t="s">
        <v>378</v>
      </c>
      <c r="L29" s="318">
        <v>-2922125</v>
      </c>
      <c r="M29" s="318">
        <v>-2410000</v>
      </c>
      <c r="N29" s="318">
        <v>-3051585.38</v>
      </c>
      <c r="O29" s="318">
        <v>-2410000</v>
      </c>
      <c r="P29" s="318">
        <v>0</v>
      </c>
      <c r="Q29" s="318">
        <v>0</v>
      </c>
      <c r="R29" s="318">
        <v>0</v>
      </c>
      <c r="S29" s="318">
        <v>-129460.38</v>
      </c>
      <c r="T29" s="318">
        <v>0</v>
      </c>
      <c r="U29" s="318">
        <v>0</v>
      </c>
      <c r="V29" s="319">
        <v>1.2662180018379401</v>
      </c>
      <c r="W29" s="319">
        <v>1</v>
      </c>
      <c r="X29" s="318">
        <v>0</v>
      </c>
      <c r="Y29" s="318">
        <v>0</v>
      </c>
      <c r="Z29" s="317">
        <v>46328</v>
      </c>
      <c r="AA29" s="316" t="s">
        <v>865</v>
      </c>
    </row>
    <row r="30" spans="1:27">
      <c r="A30" s="316" t="s">
        <v>377</v>
      </c>
      <c r="B30" s="316" t="s">
        <v>228</v>
      </c>
      <c r="C30" s="316" t="s">
        <v>379</v>
      </c>
      <c r="D30" s="316" t="s">
        <v>383</v>
      </c>
      <c r="E30" s="317">
        <v>45230</v>
      </c>
      <c r="F30" s="316" t="s">
        <v>514</v>
      </c>
      <c r="G30" s="316" t="s">
        <v>384</v>
      </c>
      <c r="H30" s="317">
        <v>45239</v>
      </c>
      <c r="J30" s="317">
        <v>45352.861817129633</v>
      </c>
      <c r="K30" s="316" t="s">
        <v>378</v>
      </c>
      <c r="L30" s="318">
        <v>2867020.94</v>
      </c>
      <c r="M30" s="318">
        <v>2359484.96</v>
      </c>
      <c r="N30" s="318">
        <v>2984634.94</v>
      </c>
      <c r="O30" s="318">
        <v>2356973.02</v>
      </c>
      <c r="P30" s="318">
        <v>59859.79</v>
      </c>
      <c r="Q30" s="318">
        <v>47271.41</v>
      </c>
      <c r="R30" s="318">
        <v>3180.87</v>
      </c>
      <c r="S30" s="318">
        <v>120794.87</v>
      </c>
      <c r="T30" s="318">
        <v>-3180.87</v>
      </c>
      <c r="U30" s="318">
        <v>2511.94</v>
      </c>
      <c r="V30" s="319">
        <v>124.097399999999</v>
      </c>
      <c r="W30" s="319">
        <v>98</v>
      </c>
      <c r="X30" s="318">
        <v>119.0749</v>
      </c>
      <c r="Y30" s="318">
        <v>98</v>
      </c>
      <c r="Z30" s="317">
        <v>45239</v>
      </c>
      <c r="AA30" s="316" t="s">
        <v>384</v>
      </c>
    </row>
    <row r="31" spans="1:27">
      <c r="A31" s="316" t="s">
        <v>377</v>
      </c>
      <c r="B31" s="316" t="s">
        <v>90</v>
      </c>
      <c r="C31" s="316" t="s">
        <v>92</v>
      </c>
      <c r="D31" s="316" t="s">
        <v>666</v>
      </c>
      <c r="E31" s="317">
        <v>367</v>
      </c>
      <c r="F31" s="316" t="s">
        <v>514</v>
      </c>
      <c r="G31" s="316" t="s">
        <v>90</v>
      </c>
      <c r="H31" s="317">
        <v>367</v>
      </c>
      <c r="I31" s="316" t="s">
        <v>877</v>
      </c>
      <c r="J31" s="317">
        <v>45352.861817129633</v>
      </c>
      <c r="K31" s="316" t="s">
        <v>378</v>
      </c>
      <c r="L31" s="318">
        <v>343411138.609999</v>
      </c>
      <c r="M31" s="318">
        <v>343411138.609999</v>
      </c>
      <c r="N31" s="318">
        <v>343411138.609999</v>
      </c>
      <c r="O31" s="318">
        <v>343411138.609999</v>
      </c>
      <c r="P31" s="318">
        <v>0</v>
      </c>
      <c r="Q31" s="318">
        <v>0</v>
      </c>
      <c r="R31" s="318">
        <v>0</v>
      </c>
      <c r="S31" s="318">
        <v>0</v>
      </c>
      <c r="T31" s="318">
        <v>0</v>
      </c>
      <c r="U31" s="318">
        <v>0</v>
      </c>
      <c r="V31" s="319">
        <v>98</v>
      </c>
      <c r="W31" s="319">
        <v>98</v>
      </c>
      <c r="Z31" s="317">
        <v>367</v>
      </c>
      <c r="AA31" s="316" t="s">
        <v>90</v>
      </c>
    </row>
    <row r="32" spans="1:27">
      <c r="A32" s="316" t="s">
        <v>377</v>
      </c>
      <c r="B32" s="316" t="s">
        <v>90</v>
      </c>
      <c r="C32" s="316" t="s">
        <v>667</v>
      </c>
      <c r="D32" s="316" t="s">
        <v>676</v>
      </c>
      <c r="E32" s="317">
        <v>45201</v>
      </c>
      <c r="F32" s="316" t="s">
        <v>514</v>
      </c>
      <c r="G32" s="316" t="s">
        <v>530</v>
      </c>
      <c r="H32" s="317">
        <v>45201</v>
      </c>
      <c r="J32" s="317">
        <v>45352.861817129633</v>
      </c>
      <c r="K32" s="316" t="s">
        <v>378</v>
      </c>
      <c r="L32" s="318">
        <v>2554457.6</v>
      </c>
      <c r="M32" s="318">
        <v>2554457.6</v>
      </c>
      <c r="N32" s="318">
        <v>2359354.42</v>
      </c>
      <c r="O32" s="318">
        <v>2359354.42</v>
      </c>
      <c r="P32" s="318">
        <v>144525.42000000001</v>
      </c>
      <c r="Q32" s="318">
        <v>144525.42000000001</v>
      </c>
      <c r="R32" s="318">
        <v>65757.509999999995</v>
      </c>
      <c r="S32" s="318">
        <v>0</v>
      </c>
      <c r="T32" s="318">
        <v>-195103.18</v>
      </c>
      <c r="U32" s="318">
        <v>65757.509999999995</v>
      </c>
      <c r="V32" s="319">
        <v>96</v>
      </c>
      <c r="W32" s="319">
        <v>96</v>
      </c>
      <c r="X32" s="318">
        <v>96.48</v>
      </c>
      <c r="Y32" s="318">
        <v>96.48</v>
      </c>
      <c r="Z32" s="317">
        <v>45201</v>
      </c>
      <c r="AA32" s="316" t="s">
        <v>530</v>
      </c>
    </row>
    <row r="33" spans="1:27">
      <c r="A33" s="316" t="s">
        <v>377</v>
      </c>
      <c r="B33" s="316" t="s">
        <v>90</v>
      </c>
      <c r="C33" s="316" t="s">
        <v>667</v>
      </c>
      <c r="D33" s="316" t="s">
        <v>677</v>
      </c>
      <c r="E33" s="317">
        <v>45259</v>
      </c>
      <c r="F33" s="316" t="s">
        <v>514</v>
      </c>
      <c r="G33" s="316" t="s">
        <v>531</v>
      </c>
      <c r="H33" s="317">
        <v>45259</v>
      </c>
      <c r="J33" s="317">
        <v>45352.861817129633</v>
      </c>
      <c r="K33" s="316" t="s">
        <v>378</v>
      </c>
      <c r="L33" s="318">
        <v>2632839.7999999998</v>
      </c>
      <c r="M33" s="318">
        <v>2632839.7999999998</v>
      </c>
      <c r="N33" s="318">
        <v>2825832.23</v>
      </c>
      <c r="O33" s="318">
        <v>2825832.23</v>
      </c>
      <c r="P33" s="318">
        <v>51712.6</v>
      </c>
      <c r="Q33" s="318">
        <v>51712.6</v>
      </c>
      <c r="R33" s="318">
        <v>16270.21</v>
      </c>
      <c r="S33" s="318">
        <v>0</v>
      </c>
      <c r="T33" s="318">
        <v>192992.43</v>
      </c>
      <c r="U33" s="318">
        <v>16270.21</v>
      </c>
      <c r="V33" s="319">
        <v>100</v>
      </c>
      <c r="W33" s="319">
        <v>100</v>
      </c>
      <c r="X33" s="318">
        <v>98.904009000000002</v>
      </c>
      <c r="Y33" s="318">
        <v>98.904008860000005</v>
      </c>
      <c r="Z33" s="317">
        <v>45259</v>
      </c>
      <c r="AA33" s="316" t="s">
        <v>531</v>
      </c>
    </row>
    <row r="34" spans="1:27">
      <c r="A34" s="316" t="s">
        <v>377</v>
      </c>
      <c r="B34" s="316" t="s">
        <v>90</v>
      </c>
      <c r="C34" s="316" t="s">
        <v>667</v>
      </c>
      <c r="D34" s="316" t="s">
        <v>678</v>
      </c>
      <c r="E34" s="317">
        <v>45237</v>
      </c>
      <c r="F34" s="316" t="s">
        <v>514</v>
      </c>
      <c r="G34" s="316" t="s">
        <v>532</v>
      </c>
      <c r="H34" s="317">
        <v>45237</v>
      </c>
      <c r="J34" s="317">
        <v>45352.861817129633</v>
      </c>
      <c r="K34" s="316" t="s">
        <v>378</v>
      </c>
      <c r="L34" s="318">
        <v>-140119.15</v>
      </c>
      <c r="M34" s="318">
        <v>-140119.15</v>
      </c>
      <c r="N34" s="318">
        <v>-295897.07</v>
      </c>
      <c r="O34" s="318">
        <v>-295897.07</v>
      </c>
      <c r="P34" s="318">
        <v>19068.919999999998</v>
      </c>
      <c r="Q34" s="318">
        <v>19068.919999999998</v>
      </c>
      <c r="R34" s="318">
        <v>7829.39</v>
      </c>
      <c r="S34" s="318">
        <v>0</v>
      </c>
      <c r="T34" s="318">
        <v>-155777.92000000001</v>
      </c>
      <c r="U34" s="318">
        <v>7829.39</v>
      </c>
      <c r="V34" s="319">
        <v>97.5</v>
      </c>
      <c r="W34" s="319">
        <v>97.5</v>
      </c>
      <c r="X34" s="318">
        <v>98.75</v>
      </c>
      <c r="Y34" s="318">
        <v>98.75</v>
      </c>
      <c r="Z34" s="317">
        <v>45237</v>
      </c>
      <c r="AA34" s="316" t="s">
        <v>532</v>
      </c>
    </row>
    <row r="35" spans="1:27">
      <c r="A35" s="316" t="s">
        <v>377</v>
      </c>
      <c r="B35" s="316" t="s">
        <v>90</v>
      </c>
      <c r="C35" s="316" t="s">
        <v>667</v>
      </c>
      <c r="D35" s="316" t="s">
        <v>679</v>
      </c>
      <c r="E35" s="317">
        <v>45247</v>
      </c>
      <c r="F35" s="316" t="s">
        <v>514</v>
      </c>
      <c r="G35" s="316" t="s">
        <v>533</v>
      </c>
      <c r="H35" s="317">
        <v>45247</v>
      </c>
      <c r="J35" s="317">
        <v>45352.861817129633</v>
      </c>
      <c r="K35" s="316" t="s">
        <v>378</v>
      </c>
      <c r="L35" s="318">
        <v>-1331145.28</v>
      </c>
      <c r="M35" s="318">
        <v>-1331145.28</v>
      </c>
      <c r="N35" s="318">
        <v>0</v>
      </c>
      <c r="O35" s="318">
        <v>0</v>
      </c>
      <c r="P35" s="318">
        <v>67727</v>
      </c>
      <c r="Q35" s="318">
        <v>67727</v>
      </c>
      <c r="R35" s="318">
        <v>225762.24</v>
      </c>
      <c r="S35" s="318">
        <v>0</v>
      </c>
      <c r="T35" s="318">
        <v>1331145.28</v>
      </c>
      <c r="U35" s="318">
        <v>225762.24</v>
      </c>
      <c r="V35" s="319">
        <v>100</v>
      </c>
      <c r="W35" s="319">
        <v>100</v>
      </c>
      <c r="X35" s="318">
        <v>96.168667999999997</v>
      </c>
      <c r="Y35" s="318">
        <v>96.168668330000003</v>
      </c>
      <c r="Z35" s="317">
        <v>45247</v>
      </c>
      <c r="AA35" s="316" t="s">
        <v>533</v>
      </c>
    </row>
    <row r="36" spans="1:27">
      <c r="A36" s="316" t="s">
        <v>377</v>
      </c>
      <c r="B36" s="316" t="s">
        <v>90</v>
      </c>
      <c r="C36" s="316" t="s">
        <v>667</v>
      </c>
      <c r="D36" s="316" t="s">
        <v>680</v>
      </c>
      <c r="E36" s="317">
        <v>45223</v>
      </c>
      <c r="F36" s="316" t="s">
        <v>514</v>
      </c>
      <c r="G36" s="316" t="s">
        <v>534</v>
      </c>
      <c r="H36" s="317">
        <v>45223</v>
      </c>
      <c r="J36" s="317">
        <v>45352.861817129633</v>
      </c>
      <c r="K36" s="316" t="s">
        <v>378</v>
      </c>
      <c r="L36" s="318">
        <v>6683465.9299999997</v>
      </c>
      <c r="M36" s="318">
        <v>6683465.9299999997</v>
      </c>
      <c r="N36" s="318">
        <v>6666194.7199999997</v>
      </c>
      <c r="O36" s="318">
        <v>6666194.7199999997</v>
      </c>
      <c r="P36" s="318">
        <v>106716.95</v>
      </c>
      <c r="Q36" s="318">
        <v>106716.95</v>
      </c>
      <c r="R36" s="318">
        <v>17065.689999999999</v>
      </c>
      <c r="S36" s="318">
        <v>0</v>
      </c>
      <c r="T36" s="318">
        <v>-17271.21</v>
      </c>
      <c r="U36" s="318">
        <v>17065.689999999999</v>
      </c>
      <c r="V36" s="319">
        <v>97.5</v>
      </c>
      <c r="W36" s="319">
        <v>97.5</v>
      </c>
      <c r="X36" s="318">
        <v>97.5</v>
      </c>
      <c r="Y36" s="318">
        <v>97.5</v>
      </c>
      <c r="Z36" s="317">
        <v>45223</v>
      </c>
      <c r="AA36" s="316" t="s">
        <v>534</v>
      </c>
    </row>
    <row r="37" spans="1:27">
      <c r="A37" s="316" t="s">
        <v>377</v>
      </c>
      <c r="B37" s="316" t="s">
        <v>90</v>
      </c>
      <c r="C37" s="316" t="s">
        <v>667</v>
      </c>
      <c r="D37" s="316" t="s">
        <v>681</v>
      </c>
      <c r="E37" s="317">
        <v>45308</v>
      </c>
      <c r="F37" s="316" t="s">
        <v>514</v>
      </c>
      <c r="G37" s="316" t="s">
        <v>682</v>
      </c>
      <c r="H37" s="317">
        <v>45308</v>
      </c>
      <c r="J37" s="317">
        <v>45352.861817129633</v>
      </c>
      <c r="K37" s="316" t="s">
        <v>378</v>
      </c>
      <c r="L37" s="318">
        <v>-97868.39</v>
      </c>
      <c r="M37" s="318">
        <v>-97868.39</v>
      </c>
      <c r="N37" s="318">
        <v>0</v>
      </c>
      <c r="O37" s="318">
        <v>0</v>
      </c>
      <c r="P37" s="318">
        <v>0</v>
      </c>
      <c r="Q37" s="318">
        <v>0</v>
      </c>
      <c r="R37" s="318">
        <v>4267.5200000000004</v>
      </c>
      <c r="S37" s="318">
        <v>0</v>
      </c>
      <c r="T37" s="318">
        <v>97868.39</v>
      </c>
      <c r="U37" s="318">
        <v>4267.5200000000004</v>
      </c>
      <c r="V37" s="319">
        <v>100</v>
      </c>
      <c r="W37" s="319">
        <v>100</v>
      </c>
      <c r="X37" s="318">
        <v>99</v>
      </c>
      <c r="Y37" s="318">
        <v>99</v>
      </c>
      <c r="Z37" s="317">
        <v>45308</v>
      </c>
      <c r="AA37" s="316" t="s">
        <v>682</v>
      </c>
    </row>
    <row r="38" spans="1:27">
      <c r="A38" s="316" t="s">
        <v>377</v>
      </c>
      <c r="B38" s="316" t="s">
        <v>90</v>
      </c>
      <c r="C38" s="316" t="s">
        <v>667</v>
      </c>
      <c r="D38" s="316" t="s">
        <v>683</v>
      </c>
      <c r="E38" s="317">
        <v>45320</v>
      </c>
      <c r="F38" s="316" t="s">
        <v>514</v>
      </c>
      <c r="G38" s="316" t="s">
        <v>684</v>
      </c>
      <c r="H38" s="317">
        <v>45320</v>
      </c>
      <c r="J38" s="317">
        <v>45352.861817129633</v>
      </c>
      <c r="K38" s="316" t="s">
        <v>378</v>
      </c>
      <c r="L38" s="318">
        <v>364015.39</v>
      </c>
      <c r="M38" s="318">
        <v>364015.39</v>
      </c>
      <c r="N38" s="318">
        <v>361453.01</v>
      </c>
      <c r="O38" s="318">
        <v>361453.01</v>
      </c>
      <c r="P38" s="318">
        <v>6345.26</v>
      </c>
      <c r="Q38" s="318">
        <v>6345.26</v>
      </c>
      <c r="R38" s="318">
        <v>536.91999999999996</v>
      </c>
      <c r="S38" s="318">
        <v>0</v>
      </c>
      <c r="T38" s="318">
        <v>-2562.38</v>
      </c>
      <c r="U38" s="318">
        <v>536.91999999999996</v>
      </c>
      <c r="V38" s="319">
        <v>99.475667000000001</v>
      </c>
      <c r="W38" s="319">
        <v>99.475667000000001</v>
      </c>
      <c r="X38" s="318">
        <v>99.5</v>
      </c>
      <c r="Y38" s="318">
        <v>99.5</v>
      </c>
      <c r="Z38" s="317">
        <v>45320</v>
      </c>
      <c r="AA38" s="316" t="s">
        <v>684</v>
      </c>
    </row>
    <row r="39" spans="1:27">
      <c r="A39" s="316" t="s">
        <v>377</v>
      </c>
      <c r="B39" s="316" t="s">
        <v>90</v>
      </c>
      <c r="C39" s="316" t="s">
        <v>667</v>
      </c>
      <c r="D39" s="316" t="s">
        <v>685</v>
      </c>
      <c r="E39" s="317">
        <v>45279</v>
      </c>
      <c r="F39" s="316" t="s">
        <v>514</v>
      </c>
      <c r="G39" s="316" t="s">
        <v>535</v>
      </c>
      <c r="H39" s="317">
        <v>45288</v>
      </c>
      <c r="J39" s="317">
        <v>45352.861817129633</v>
      </c>
      <c r="K39" s="316" t="s">
        <v>378</v>
      </c>
      <c r="L39" s="318">
        <v>-3569.32</v>
      </c>
      <c r="M39" s="318">
        <v>-3569.32</v>
      </c>
      <c r="N39" s="318">
        <v>0</v>
      </c>
      <c r="O39" s="318">
        <v>0</v>
      </c>
      <c r="P39" s="318">
        <v>681.24</v>
      </c>
      <c r="Q39" s="318">
        <v>681.24</v>
      </c>
      <c r="R39" s="318">
        <v>203.69</v>
      </c>
      <c r="S39" s="318">
        <v>0</v>
      </c>
      <c r="T39" s="318">
        <v>3569.32</v>
      </c>
      <c r="U39" s="318">
        <v>203.69</v>
      </c>
      <c r="V39" s="319">
        <v>100</v>
      </c>
      <c r="W39" s="319">
        <v>100</v>
      </c>
      <c r="X39" s="318">
        <v>99</v>
      </c>
      <c r="Y39" s="318">
        <v>99</v>
      </c>
      <c r="Z39" s="317">
        <v>45288</v>
      </c>
      <c r="AA39" s="316" t="s">
        <v>535</v>
      </c>
    </row>
    <row r="40" spans="1:27">
      <c r="A40" s="316" t="s">
        <v>377</v>
      </c>
      <c r="B40" s="316" t="s">
        <v>90</v>
      </c>
      <c r="C40" s="316" t="s">
        <v>667</v>
      </c>
      <c r="D40" s="316" t="s">
        <v>686</v>
      </c>
      <c r="E40" s="317">
        <v>45351</v>
      </c>
      <c r="F40" s="316" t="s">
        <v>514</v>
      </c>
      <c r="G40" s="316" t="s">
        <v>687</v>
      </c>
      <c r="H40" s="317">
        <v>45351</v>
      </c>
      <c r="J40" s="317">
        <v>45352.861817129633</v>
      </c>
      <c r="K40" s="316" t="s">
        <v>378</v>
      </c>
      <c r="L40" s="318">
        <v>-97488.24</v>
      </c>
      <c r="M40" s="318">
        <v>-97488.24</v>
      </c>
      <c r="N40" s="318">
        <v>-39026</v>
      </c>
      <c r="O40" s="318">
        <v>-39026</v>
      </c>
      <c r="P40" s="318">
        <v>289.08</v>
      </c>
      <c r="Q40" s="318">
        <v>289.08</v>
      </c>
      <c r="R40" s="318">
        <v>76.760000000000005</v>
      </c>
      <c r="S40" s="318">
        <v>0</v>
      </c>
      <c r="T40" s="318">
        <v>58462.239999999998</v>
      </c>
      <c r="U40" s="318">
        <v>76.760000000000005</v>
      </c>
      <c r="V40" s="319">
        <v>99.25</v>
      </c>
      <c r="W40" s="319">
        <v>99.25</v>
      </c>
      <c r="X40" s="318">
        <v>98.125</v>
      </c>
      <c r="Y40" s="318">
        <v>98.125</v>
      </c>
      <c r="Z40" s="317">
        <v>45351</v>
      </c>
      <c r="AA40" s="316" t="s">
        <v>687</v>
      </c>
    </row>
    <row r="41" spans="1:27">
      <c r="A41" s="316" t="s">
        <v>377</v>
      </c>
      <c r="B41" s="316" t="s">
        <v>90</v>
      </c>
      <c r="C41" s="316" t="s">
        <v>667</v>
      </c>
      <c r="D41" s="316" t="s">
        <v>688</v>
      </c>
      <c r="E41" s="317">
        <v>45309</v>
      </c>
      <c r="F41" s="316" t="s">
        <v>514</v>
      </c>
      <c r="G41" s="316" t="s">
        <v>536</v>
      </c>
      <c r="H41" s="317">
        <v>45309</v>
      </c>
      <c r="J41" s="317">
        <v>45352.861817129633</v>
      </c>
      <c r="K41" s="316" t="s">
        <v>378</v>
      </c>
      <c r="L41" s="318">
        <v>-248363.51999999999</v>
      </c>
      <c r="M41" s="318">
        <v>-248363.51999999999</v>
      </c>
      <c r="N41" s="318">
        <v>-253451.04</v>
      </c>
      <c r="O41" s="318">
        <v>-253451.04</v>
      </c>
      <c r="P41" s="318">
        <v>24781.88</v>
      </c>
      <c r="Q41" s="318">
        <v>24781.88</v>
      </c>
      <c r="R41" s="318">
        <v>5087.5200000000004</v>
      </c>
      <c r="S41" s="318">
        <v>0</v>
      </c>
      <c r="T41" s="318">
        <v>-5087.5200000000004</v>
      </c>
      <c r="U41" s="318">
        <v>5087.5200000000004</v>
      </c>
      <c r="V41" s="319">
        <v>98.75</v>
      </c>
      <c r="W41" s="319">
        <v>98.75</v>
      </c>
      <c r="X41" s="318">
        <v>98.75</v>
      </c>
      <c r="Y41" s="318">
        <v>98.75</v>
      </c>
      <c r="Z41" s="317">
        <v>45309</v>
      </c>
      <c r="AA41" s="316" t="s">
        <v>536</v>
      </c>
    </row>
    <row r="42" spans="1:27">
      <c r="A42" s="316" t="s">
        <v>377</v>
      </c>
      <c r="B42" s="316" t="s">
        <v>90</v>
      </c>
      <c r="C42" s="316" t="s">
        <v>667</v>
      </c>
      <c r="D42" s="316" t="s">
        <v>689</v>
      </c>
      <c r="E42" s="317">
        <v>45195</v>
      </c>
      <c r="F42" s="316" t="s">
        <v>514</v>
      </c>
      <c r="G42" s="316" t="s">
        <v>537</v>
      </c>
      <c r="H42" s="317">
        <v>45195</v>
      </c>
      <c r="J42" s="317">
        <v>45352.861817129633</v>
      </c>
      <c r="K42" s="316" t="s">
        <v>378</v>
      </c>
      <c r="L42" s="318">
        <v>5372252.8999999901</v>
      </c>
      <c r="M42" s="318">
        <v>5372252.8999999901</v>
      </c>
      <c r="N42" s="318">
        <v>5737430.8799999896</v>
      </c>
      <c r="O42" s="318">
        <v>5737430.8799999896</v>
      </c>
      <c r="P42" s="318">
        <v>107585.36</v>
      </c>
      <c r="Q42" s="318">
        <v>107585.36</v>
      </c>
      <c r="R42" s="318">
        <v>65491.62</v>
      </c>
      <c r="S42" s="318">
        <v>0</v>
      </c>
      <c r="T42" s="318">
        <v>365177.98</v>
      </c>
      <c r="U42" s="318">
        <v>65491.62</v>
      </c>
      <c r="V42" s="319">
        <v>100</v>
      </c>
      <c r="W42" s="319">
        <v>100</v>
      </c>
      <c r="X42" s="318">
        <v>98.859661000000003</v>
      </c>
      <c r="Y42" s="318">
        <v>98.859660919999996</v>
      </c>
      <c r="Z42" s="317">
        <v>45195</v>
      </c>
      <c r="AA42" s="316" t="s">
        <v>537</v>
      </c>
    </row>
    <row r="43" spans="1:27">
      <c r="A43" s="316" t="s">
        <v>377</v>
      </c>
      <c r="B43" s="316" t="s">
        <v>90</v>
      </c>
      <c r="C43" s="316" t="s">
        <v>667</v>
      </c>
      <c r="D43" s="316" t="s">
        <v>690</v>
      </c>
      <c r="E43" s="317">
        <v>45198</v>
      </c>
      <c r="F43" s="316" t="s">
        <v>514</v>
      </c>
      <c r="G43" s="316" t="s">
        <v>538</v>
      </c>
      <c r="H43" s="317">
        <v>45198</v>
      </c>
      <c r="J43" s="317">
        <v>45352.861817129633</v>
      </c>
      <c r="K43" s="316" t="s">
        <v>378</v>
      </c>
      <c r="L43" s="318">
        <v>797626</v>
      </c>
      <c r="M43" s="318">
        <v>797626</v>
      </c>
      <c r="N43" s="318">
        <v>660869.53</v>
      </c>
      <c r="O43" s="318">
        <v>660869.53</v>
      </c>
      <c r="P43" s="318">
        <v>20477.82</v>
      </c>
      <c r="Q43" s="318">
        <v>20477.82</v>
      </c>
      <c r="R43" s="318">
        <v>7809.42</v>
      </c>
      <c r="S43" s="318">
        <v>0</v>
      </c>
      <c r="T43" s="318">
        <v>-136756.47</v>
      </c>
      <c r="U43" s="318">
        <v>7809.42</v>
      </c>
      <c r="V43" s="319">
        <v>97</v>
      </c>
      <c r="W43" s="319">
        <v>97</v>
      </c>
      <c r="X43" s="318">
        <v>98.5</v>
      </c>
      <c r="Y43" s="318">
        <v>98.5</v>
      </c>
      <c r="Z43" s="317">
        <v>45198</v>
      </c>
      <c r="AA43" s="316" t="s">
        <v>538</v>
      </c>
    </row>
    <row r="44" spans="1:27">
      <c r="A44" s="316" t="s">
        <v>377</v>
      </c>
      <c r="B44" s="316" t="s">
        <v>90</v>
      </c>
      <c r="C44" s="316" t="s">
        <v>667</v>
      </c>
      <c r="D44" s="316" t="s">
        <v>691</v>
      </c>
      <c r="E44" s="317">
        <v>45317</v>
      </c>
      <c r="F44" s="316" t="s">
        <v>514</v>
      </c>
      <c r="G44" s="316" t="s">
        <v>539</v>
      </c>
      <c r="H44" s="317">
        <v>45317</v>
      </c>
      <c r="J44" s="317">
        <v>45352.861817129633</v>
      </c>
      <c r="K44" s="316" t="s">
        <v>378</v>
      </c>
      <c r="L44" s="318">
        <v>-492439.02</v>
      </c>
      <c r="M44" s="318">
        <v>-492439.02</v>
      </c>
      <c r="N44" s="318">
        <v>0</v>
      </c>
      <c r="O44" s="318">
        <v>0</v>
      </c>
      <c r="P44" s="318">
        <v>51067.75</v>
      </c>
      <c r="Q44" s="318">
        <v>51067.75</v>
      </c>
      <c r="R44" s="318">
        <v>18238.48</v>
      </c>
      <c r="S44" s="318">
        <v>0</v>
      </c>
      <c r="T44" s="318">
        <v>492439.02</v>
      </c>
      <c r="U44" s="318">
        <v>18238.48</v>
      </c>
      <c r="V44" s="319">
        <v>100</v>
      </c>
      <c r="W44" s="319">
        <v>100</v>
      </c>
      <c r="X44" s="318">
        <v>99</v>
      </c>
      <c r="Y44" s="318">
        <v>99</v>
      </c>
      <c r="Z44" s="317">
        <v>45317</v>
      </c>
      <c r="AA44" s="316" t="s">
        <v>539</v>
      </c>
    </row>
    <row r="45" spans="1:27">
      <c r="A45" s="316" t="s">
        <v>377</v>
      </c>
      <c r="B45" s="316" t="s">
        <v>90</v>
      </c>
      <c r="C45" s="316" t="s">
        <v>667</v>
      </c>
      <c r="D45" s="316" t="s">
        <v>692</v>
      </c>
      <c r="E45" s="317">
        <v>45282</v>
      </c>
      <c r="F45" s="316" t="s">
        <v>514</v>
      </c>
      <c r="G45" s="316" t="s">
        <v>540</v>
      </c>
      <c r="H45" s="317">
        <v>45282</v>
      </c>
      <c r="J45" s="317">
        <v>45352.861817129633</v>
      </c>
      <c r="K45" s="316" t="s">
        <v>378</v>
      </c>
      <c r="L45" s="318">
        <v>3779971.65</v>
      </c>
      <c r="M45" s="318">
        <v>3779971.65</v>
      </c>
      <c r="N45" s="318">
        <v>3685669.57</v>
      </c>
      <c r="O45" s="318">
        <v>3685669.57</v>
      </c>
      <c r="P45" s="318">
        <v>93473.09</v>
      </c>
      <c r="Q45" s="318">
        <v>93473.09</v>
      </c>
      <c r="R45" s="318">
        <v>9919.57</v>
      </c>
      <c r="S45" s="318">
        <v>0</v>
      </c>
      <c r="T45" s="318">
        <v>-94302.080000000002</v>
      </c>
      <c r="U45" s="318">
        <v>9919.57</v>
      </c>
      <c r="V45" s="319">
        <v>97.75</v>
      </c>
      <c r="W45" s="319">
        <v>97.75</v>
      </c>
      <c r="X45" s="318">
        <v>98.487363000000002</v>
      </c>
      <c r="Y45" s="318">
        <v>98.487362930000003</v>
      </c>
      <c r="Z45" s="317">
        <v>45282</v>
      </c>
      <c r="AA45" s="316" t="s">
        <v>540</v>
      </c>
    </row>
    <row r="46" spans="1:27">
      <c r="A46" s="316" t="s">
        <v>377</v>
      </c>
      <c r="B46" s="316" t="s">
        <v>90</v>
      </c>
      <c r="C46" s="316" t="s">
        <v>667</v>
      </c>
      <c r="D46" s="316" t="s">
        <v>693</v>
      </c>
      <c r="E46" s="317">
        <v>45230</v>
      </c>
      <c r="F46" s="316" t="s">
        <v>514</v>
      </c>
      <c r="G46" s="316" t="s">
        <v>541</v>
      </c>
      <c r="H46" s="317">
        <v>45230</v>
      </c>
      <c r="J46" s="317">
        <v>45352.861817129633</v>
      </c>
      <c r="K46" s="316" t="s">
        <v>378</v>
      </c>
      <c r="L46" s="318">
        <v>1608731.96</v>
      </c>
      <c r="M46" s="318">
        <v>1608731.96</v>
      </c>
      <c r="N46" s="318">
        <v>1536665.02</v>
      </c>
      <c r="O46" s="318">
        <v>1536665.02</v>
      </c>
      <c r="P46" s="318">
        <v>26664.639999999999</v>
      </c>
      <c r="Q46" s="318">
        <v>26664.639999999999</v>
      </c>
      <c r="R46" s="318">
        <v>3829.04</v>
      </c>
      <c r="S46" s="318">
        <v>0</v>
      </c>
      <c r="T46" s="318">
        <v>-72066.94</v>
      </c>
      <c r="U46" s="318">
        <v>3829.04</v>
      </c>
      <c r="V46" s="319">
        <v>98</v>
      </c>
      <c r="W46" s="319">
        <v>98</v>
      </c>
      <c r="X46" s="318">
        <v>99</v>
      </c>
      <c r="Y46" s="318">
        <v>99</v>
      </c>
      <c r="Z46" s="317">
        <v>45230</v>
      </c>
      <c r="AA46" s="316" t="s">
        <v>541</v>
      </c>
    </row>
    <row r="47" spans="1:27">
      <c r="A47" s="316" t="s">
        <v>377</v>
      </c>
      <c r="B47" s="316" t="s">
        <v>90</v>
      </c>
      <c r="C47" s="316" t="s">
        <v>667</v>
      </c>
      <c r="D47" s="316" t="s">
        <v>694</v>
      </c>
      <c r="E47" s="317">
        <v>45169</v>
      </c>
      <c r="F47" s="316" t="s">
        <v>514</v>
      </c>
      <c r="G47" s="316" t="s">
        <v>542</v>
      </c>
      <c r="H47" s="317">
        <v>45169</v>
      </c>
      <c r="J47" s="317">
        <v>45352.861817129633</v>
      </c>
      <c r="K47" s="316" t="s">
        <v>378</v>
      </c>
      <c r="L47" s="318">
        <v>-37596.29</v>
      </c>
      <c r="M47" s="318">
        <v>-37596.29</v>
      </c>
      <c r="N47" s="318">
        <v>0</v>
      </c>
      <c r="O47" s="318">
        <v>0</v>
      </c>
      <c r="P47" s="318">
        <v>2972.92</v>
      </c>
      <c r="Q47" s="318">
        <v>2972.92</v>
      </c>
      <c r="R47" s="318">
        <v>4210.42</v>
      </c>
      <c r="S47" s="318">
        <v>0</v>
      </c>
      <c r="T47" s="318">
        <v>37596.29</v>
      </c>
      <c r="U47" s="318">
        <v>4210.42</v>
      </c>
      <c r="V47" s="319">
        <v>100</v>
      </c>
      <c r="W47" s="319">
        <v>100</v>
      </c>
      <c r="X47" s="318">
        <v>97.5</v>
      </c>
      <c r="Y47" s="318">
        <v>97.5</v>
      </c>
      <c r="Z47" s="317">
        <v>45169</v>
      </c>
      <c r="AA47" s="316" t="s">
        <v>542</v>
      </c>
    </row>
    <row r="48" spans="1:27">
      <c r="A48" s="316" t="s">
        <v>377</v>
      </c>
      <c r="B48" s="316" t="s">
        <v>90</v>
      </c>
      <c r="C48" s="316" t="s">
        <v>667</v>
      </c>
      <c r="D48" s="316" t="s">
        <v>695</v>
      </c>
      <c r="E48" s="317">
        <v>45245</v>
      </c>
      <c r="F48" s="316" t="s">
        <v>514</v>
      </c>
      <c r="G48" s="316" t="s">
        <v>543</v>
      </c>
      <c r="H48" s="317">
        <v>45245</v>
      </c>
      <c r="J48" s="317">
        <v>45352.861817129633</v>
      </c>
      <c r="K48" s="316" t="s">
        <v>378</v>
      </c>
      <c r="L48" s="318">
        <v>-668122.55000000005</v>
      </c>
      <c r="M48" s="318">
        <v>-668122.55000000005</v>
      </c>
      <c r="N48" s="318">
        <v>0</v>
      </c>
      <c r="O48" s="318">
        <v>0</v>
      </c>
      <c r="P48" s="318">
        <v>101690.07</v>
      </c>
      <c r="Q48" s="318">
        <v>101690.07</v>
      </c>
      <c r="R48" s="318">
        <v>46885.79</v>
      </c>
      <c r="S48" s="318">
        <v>0</v>
      </c>
      <c r="T48" s="318">
        <v>668122.55000000005</v>
      </c>
      <c r="U48" s="318">
        <v>46885.79</v>
      </c>
      <c r="V48" s="319">
        <v>100</v>
      </c>
      <c r="W48" s="319">
        <v>100</v>
      </c>
      <c r="X48" s="318">
        <v>98.75</v>
      </c>
      <c r="Y48" s="318">
        <v>98.75</v>
      </c>
      <c r="Z48" s="317">
        <v>45245</v>
      </c>
      <c r="AA48" s="316" t="s">
        <v>543</v>
      </c>
    </row>
    <row r="49" spans="1:27">
      <c r="A49" s="316" t="s">
        <v>377</v>
      </c>
      <c r="B49" s="316" t="s">
        <v>90</v>
      </c>
      <c r="C49" s="316" t="s">
        <v>667</v>
      </c>
      <c r="D49" s="316" t="s">
        <v>696</v>
      </c>
      <c r="E49" s="317">
        <v>45320</v>
      </c>
      <c r="F49" s="316" t="s">
        <v>514</v>
      </c>
      <c r="G49" s="316" t="s">
        <v>697</v>
      </c>
      <c r="H49" s="317">
        <v>45320</v>
      </c>
      <c r="J49" s="317">
        <v>45352.861817129633</v>
      </c>
      <c r="K49" s="316" t="s">
        <v>378</v>
      </c>
      <c r="L49" s="318">
        <v>326989.14</v>
      </c>
      <c r="M49" s="318">
        <v>326989.14</v>
      </c>
      <c r="N49" s="318">
        <v>321538.99</v>
      </c>
      <c r="O49" s="318">
        <v>321538.99</v>
      </c>
      <c r="P49" s="318">
        <v>6936.45</v>
      </c>
      <c r="Q49" s="318">
        <v>6936.45</v>
      </c>
      <c r="R49" s="318">
        <v>1317.98</v>
      </c>
      <c r="S49" s="318">
        <v>0</v>
      </c>
      <c r="T49" s="318">
        <v>-5450.15</v>
      </c>
      <c r="U49" s="318">
        <v>1317.98</v>
      </c>
      <c r="V49" s="319">
        <v>98.952799999999897</v>
      </c>
      <c r="W49" s="319">
        <v>98.952799999999897</v>
      </c>
      <c r="X49" s="318">
        <v>99</v>
      </c>
      <c r="Y49" s="318">
        <v>99</v>
      </c>
      <c r="Z49" s="317">
        <v>45320</v>
      </c>
      <c r="AA49" s="316" t="s">
        <v>697</v>
      </c>
    </row>
    <row r="50" spans="1:27">
      <c r="A50" s="316" t="s">
        <v>377</v>
      </c>
      <c r="B50" s="316" t="s">
        <v>90</v>
      </c>
      <c r="C50" s="316" t="s">
        <v>667</v>
      </c>
      <c r="D50" s="316" t="s">
        <v>698</v>
      </c>
      <c r="E50" s="317">
        <v>45327</v>
      </c>
      <c r="F50" s="316" t="s">
        <v>514</v>
      </c>
      <c r="G50" s="316" t="s">
        <v>544</v>
      </c>
      <c r="H50" s="317">
        <v>45327</v>
      </c>
      <c r="J50" s="317">
        <v>45352.861817129633</v>
      </c>
      <c r="K50" s="316" t="s">
        <v>378</v>
      </c>
      <c r="L50" s="318">
        <v>-130913.27</v>
      </c>
      <c r="M50" s="318">
        <v>-130913.27</v>
      </c>
      <c r="N50" s="318">
        <v>0</v>
      </c>
      <c r="O50" s="318">
        <v>0</v>
      </c>
      <c r="P50" s="318">
        <v>19145.61</v>
      </c>
      <c r="Q50" s="318">
        <v>19145.61</v>
      </c>
      <c r="R50" s="318">
        <v>1633.27</v>
      </c>
      <c r="S50" s="318">
        <v>0</v>
      </c>
      <c r="T50" s="318">
        <v>130913.27</v>
      </c>
      <c r="U50" s="318">
        <v>1633.27</v>
      </c>
      <c r="V50" s="319">
        <v>100</v>
      </c>
      <c r="W50" s="319">
        <v>100</v>
      </c>
      <c r="X50" s="318">
        <v>99.5</v>
      </c>
      <c r="Y50" s="318">
        <v>99.5</v>
      </c>
      <c r="Z50" s="317">
        <v>45327</v>
      </c>
      <c r="AA50" s="316" t="s">
        <v>544</v>
      </c>
    </row>
    <row r="51" spans="1:27">
      <c r="A51" s="316" t="s">
        <v>377</v>
      </c>
      <c r="B51" s="316" t="s">
        <v>90</v>
      </c>
      <c r="C51" s="316" t="s">
        <v>667</v>
      </c>
      <c r="D51" s="316" t="s">
        <v>699</v>
      </c>
      <c r="E51" s="317">
        <v>45272</v>
      </c>
      <c r="F51" s="316" t="s">
        <v>514</v>
      </c>
      <c r="G51" s="316" t="s">
        <v>545</v>
      </c>
      <c r="H51" s="317">
        <v>45272</v>
      </c>
      <c r="J51" s="317">
        <v>45352.861817129633</v>
      </c>
      <c r="K51" s="316" t="s">
        <v>378</v>
      </c>
      <c r="L51" s="318">
        <v>-71920.3</v>
      </c>
      <c r="M51" s="318">
        <v>-71920.3</v>
      </c>
      <c r="N51" s="318">
        <v>-149359.82</v>
      </c>
      <c r="O51" s="318">
        <v>-149359.82</v>
      </c>
      <c r="P51" s="318">
        <v>10621.14</v>
      </c>
      <c r="Q51" s="318">
        <v>10621.14</v>
      </c>
      <c r="R51" s="318">
        <v>2759.61</v>
      </c>
      <c r="S51" s="318">
        <v>0</v>
      </c>
      <c r="T51" s="318">
        <v>-77439.520000000004</v>
      </c>
      <c r="U51" s="318">
        <v>2759.61</v>
      </c>
      <c r="V51" s="319">
        <v>97.5</v>
      </c>
      <c r="W51" s="319">
        <v>97.5</v>
      </c>
      <c r="X51" s="318">
        <v>98.75</v>
      </c>
      <c r="Y51" s="318">
        <v>98.75</v>
      </c>
      <c r="Z51" s="317">
        <v>45272</v>
      </c>
      <c r="AA51" s="316" t="s">
        <v>545</v>
      </c>
    </row>
    <row r="52" spans="1:27">
      <c r="A52" s="316" t="s">
        <v>377</v>
      </c>
      <c r="B52" s="316" t="s">
        <v>90</v>
      </c>
      <c r="C52" s="316" t="s">
        <v>667</v>
      </c>
      <c r="D52" s="316" t="s">
        <v>700</v>
      </c>
      <c r="E52" s="317">
        <v>45280</v>
      </c>
      <c r="F52" s="316" t="s">
        <v>514</v>
      </c>
      <c r="G52" s="316" t="s">
        <v>546</v>
      </c>
      <c r="H52" s="317">
        <v>45280</v>
      </c>
      <c r="J52" s="317">
        <v>45352.861817129633</v>
      </c>
      <c r="K52" s="316" t="s">
        <v>378</v>
      </c>
      <c r="L52" s="318">
        <v>2100211.67</v>
      </c>
      <c r="M52" s="318">
        <v>2100211.67</v>
      </c>
      <c r="N52" s="318">
        <v>2086427.16</v>
      </c>
      <c r="O52" s="318">
        <v>2086427.16</v>
      </c>
      <c r="P52" s="318">
        <v>51041.19</v>
      </c>
      <c r="Q52" s="318">
        <v>51041.19</v>
      </c>
      <c r="R52" s="318">
        <v>13784.51</v>
      </c>
      <c r="S52" s="318">
        <v>0</v>
      </c>
      <c r="T52" s="318">
        <v>-13784.51</v>
      </c>
      <c r="U52" s="318">
        <v>13784.51</v>
      </c>
      <c r="V52" s="319">
        <v>98</v>
      </c>
      <c r="W52" s="319">
        <v>98</v>
      </c>
      <c r="X52" s="318">
        <v>98</v>
      </c>
      <c r="Y52" s="318">
        <v>98</v>
      </c>
      <c r="Z52" s="317">
        <v>45280</v>
      </c>
      <c r="AA52" s="316" t="s">
        <v>546</v>
      </c>
    </row>
    <row r="53" spans="1:27">
      <c r="A53" s="316" t="s">
        <v>377</v>
      </c>
      <c r="B53" s="316" t="s">
        <v>90</v>
      </c>
      <c r="C53" s="316" t="s">
        <v>667</v>
      </c>
      <c r="D53" s="316" t="s">
        <v>701</v>
      </c>
      <c r="E53" s="317">
        <v>45247</v>
      </c>
      <c r="F53" s="316" t="s">
        <v>514</v>
      </c>
      <c r="G53" s="316" t="s">
        <v>547</v>
      </c>
      <c r="H53" s="317">
        <v>45247</v>
      </c>
      <c r="J53" s="317">
        <v>45352.861817129633</v>
      </c>
      <c r="K53" s="316" t="s">
        <v>378</v>
      </c>
      <c r="L53" s="318">
        <v>-54323.46</v>
      </c>
      <c r="M53" s="318">
        <v>-54323.46</v>
      </c>
      <c r="N53" s="318">
        <v>-114162.52</v>
      </c>
      <c r="O53" s="318">
        <v>-114162.52</v>
      </c>
      <c r="P53" s="318">
        <v>16807.259999999998</v>
      </c>
      <c r="Q53" s="318">
        <v>16807.259999999998</v>
      </c>
      <c r="R53" s="318">
        <v>2757.8</v>
      </c>
      <c r="S53" s="318">
        <v>0</v>
      </c>
      <c r="T53" s="318">
        <v>-59839.06</v>
      </c>
      <c r="U53" s="318">
        <v>2757.8</v>
      </c>
      <c r="V53" s="319">
        <v>98</v>
      </c>
      <c r="W53" s="319">
        <v>98</v>
      </c>
      <c r="X53" s="318">
        <v>99</v>
      </c>
      <c r="Y53" s="318">
        <v>99</v>
      </c>
      <c r="Z53" s="317">
        <v>45247</v>
      </c>
      <c r="AA53" s="316" t="s">
        <v>547</v>
      </c>
    </row>
    <row r="54" spans="1:27">
      <c r="A54" s="316" t="s">
        <v>377</v>
      </c>
      <c r="B54" s="316" t="s">
        <v>90</v>
      </c>
      <c r="C54" s="316" t="s">
        <v>667</v>
      </c>
      <c r="D54" s="316" t="s">
        <v>702</v>
      </c>
      <c r="E54" s="317">
        <v>45348</v>
      </c>
      <c r="F54" s="316" t="s">
        <v>514</v>
      </c>
      <c r="G54" s="316" t="s">
        <v>703</v>
      </c>
      <c r="H54" s="317">
        <v>45348</v>
      </c>
      <c r="J54" s="317">
        <v>45352.861817129633</v>
      </c>
      <c r="K54" s="316" t="s">
        <v>378</v>
      </c>
      <c r="L54" s="318">
        <v>-132683.9</v>
      </c>
      <c r="M54" s="318">
        <v>-132683.9</v>
      </c>
      <c r="N54" s="318">
        <v>-265887.52</v>
      </c>
      <c r="O54" s="318">
        <v>-265887.52</v>
      </c>
      <c r="P54" s="318">
        <v>1846.44</v>
      </c>
      <c r="Q54" s="318">
        <v>1846.44</v>
      </c>
      <c r="R54" s="318">
        <v>259.86</v>
      </c>
      <c r="S54" s="318">
        <v>0</v>
      </c>
      <c r="T54" s="318">
        <v>-133203.62</v>
      </c>
      <c r="U54" s="318">
        <v>259.86</v>
      </c>
      <c r="V54" s="319">
        <v>98</v>
      </c>
      <c r="W54" s="319">
        <v>98</v>
      </c>
      <c r="X54" s="318">
        <v>99</v>
      </c>
      <c r="Y54" s="318">
        <v>99</v>
      </c>
      <c r="Z54" s="317">
        <v>45348</v>
      </c>
      <c r="AA54" s="316" t="s">
        <v>703</v>
      </c>
    </row>
    <row r="55" spans="1:27">
      <c r="A55" s="316" t="s">
        <v>377</v>
      </c>
      <c r="B55" s="316" t="s">
        <v>90</v>
      </c>
      <c r="C55" s="316" t="s">
        <v>667</v>
      </c>
      <c r="D55" s="316" t="s">
        <v>704</v>
      </c>
      <c r="E55" s="317">
        <v>45282</v>
      </c>
      <c r="F55" s="316" t="s">
        <v>514</v>
      </c>
      <c r="G55" s="316" t="s">
        <v>548</v>
      </c>
      <c r="H55" s="317">
        <v>45282</v>
      </c>
      <c r="J55" s="317">
        <v>45352.861817129633</v>
      </c>
      <c r="K55" s="316" t="s">
        <v>378</v>
      </c>
      <c r="L55" s="318">
        <v>-44505.05</v>
      </c>
      <c r="M55" s="318">
        <v>-44505.05</v>
      </c>
      <c r="N55" s="318">
        <v>-73589.5</v>
      </c>
      <c r="O55" s="318">
        <v>-73589.5</v>
      </c>
      <c r="P55" s="318">
        <v>7256.74</v>
      </c>
      <c r="Q55" s="318">
        <v>7256.74</v>
      </c>
      <c r="R55" s="318">
        <v>1488.39</v>
      </c>
      <c r="S55" s="318">
        <v>0</v>
      </c>
      <c r="T55" s="318">
        <v>-29084.45</v>
      </c>
      <c r="U55" s="318">
        <v>1488.39</v>
      </c>
      <c r="V55" s="319">
        <v>98</v>
      </c>
      <c r="W55" s="319">
        <v>98</v>
      </c>
      <c r="X55" s="318">
        <v>98.75</v>
      </c>
      <c r="Y55" s="318">
        <v>98.75</v>
      </c>
      <c r="Z55" s="317">
        <v>45282</v>
      </c>
      <c r="AA55" s="316" t="s">
        <v>548</v>
      </c>
    </row>
    <row r="56" spans="1:27">
      <c r="A56" s="316" t="s">
        <v>377</v>
      </c>
      <c r="B56" s="316" t="s">
        <v>90</v>
      </c>
      <c r="C56" s="316" t="s">
        <v>667</v>
      </c>
      <c r="D56" s="316" t="s">
        <v>705</v>
      </c>
      <c r="E56" s="317">
        <v>45247</v>
      </c>
      <c r="F56" s="316" t="s">
        <v>514</v>
      </c>
      <c r="G56" s="316" t="s">
        <v>549</v>
      </c>
      <c r="H56" s="317">
        <v>45247</v>
      </c>
      <c r="J56" s="317">
        <v>45352.861817129633</v>
      </c>
      <c r="K56" s="316" t="s">
        <v>378</v>
      </c>
      <c r="L56" s="318">
        <v>-148063.32</v>
      </c>
      <c r="M56" s="318">
        <v>-148063.32</v>
      </c>
      <c r="N56" s="318">
        <v>-314766.45</v>
      </c>
      <c r="O56" s="318">
        <v>-314766.45</v>
      </c>
      <c r="P56" s="318">
        <v>46340.62</v>
      </c>
      <c r="Q56" s="318">
        <v>46340.62</v>
      </c>
      <c r="R56" s="318">
        <v>9319.9</v>
      </c>
      <c r="S56" s="318">
        <v>0</v>
      </c>
      <c r="T56" s="318">
        <v>-166703.13</v>
      </c>
      <c r="U56" s="318">
        <v>9319.9</v>
      </c>
      <c r="V56" s="319">
        <v>98</v>
      </c>
      <c r="W56" s="319">
        <v>98</v>
      </c>
      <c r="X56" s="318">
        <v>99</v>
      </c>
      <c r="Y56" s="318">
        <v>99</v>
      </c>
      <c r="Z56" s="317">
        <v>45247</v>
      </c>
      <c r="AA56" s="316" t="s">
        <v>549</v>
      </c>
    </row>
    <row r="57" spans="1:27">
      <c r="A57" s="316" t="s">
        <v>377</v>
      </c>
      <c r="B57" s="316" t="s">
        <v>90</v>
      </c>
      <c r="C57" s="316" t="s">
        <v>667</v>
      </c>
      <c r="D57" s="316" t="s">
        <v>706</v>
      </c>
      <c r="E57" s="317">
        <v>45247</v>
      </c>
      <c r="F57" s="316" t="s">
        <v>514</v>
      </c>
      <c r="G57" s="316" t="s">
        <v>550</v>
      </c>
      <c r="H57" s="317">
        <v>45247</v>
      </c>
      <c r="J57" s="317">
        <v>45352.861817129633</v>
      </c>
      <c r="K57" s="316" t="s">
        <v>378</v>
      </c>
      <c r="L57" s="318">
        <v>11492592.1399999</v>
      </c>
      <c r="M57" s="318">
        <v>11492592.1399999</v>
      </c>
      <c r="N57" s="318">
        <v>10923872.4699999</v>
      </c>
      <c r="O57" s="318">
        <v>10923872.4699999</v>
      </c>
      <c r="P57" s="318">
        <v>177487.25</v>
      </c>
      <c r="Q57" s="318">
        <v>177487.25</v>
      </c>
      <c r="R57" s="318">
        <v>31480.04</v>
      </c>
      <c r="S57" s="318">
        <v>0</v>
      </c>
      <c r="T57" s="318">
        <v>-568719.67000000004</v>
      </c>
      <c r="U57" s="318">
        <v>31480.04</v>
      </c>
      <c r="V57" s="319">
        <v>98</v>
      </c>
      <c r="W57" s="319">
        <v>98</v>
      </c>
      <c r="X57" s="318">
        <v>99</v>
      </c>
      <c r="Y57" s="318">
        <v>99</v>
      </c>
      <c r="Z57" s="317">
        <v>45247</v>
      </c>
      <c r="AA57" s="316" t="s">
        <v>550</v>
      </c>
    </row>
    <row r="58" spans="1:27">
      <c r="A58" s="316" t="s">
        <v>377</v>
      </c>
      <c r="B58" s="316" t="s">
        <v>90</v>
      </c>
      <c r="C58" s="316" t="s">
        <v>667</v>
      </c>
      <c r="D58" s="316" t="s">
        <v>707</v>
      </c>
      <c r="E58" s="317">
        <v>45201</v>
      </c>
      <c r="F58" s="316" t="s">
        <v>514</v>
      </c>
      <c r="G58" s="316" t="s">
        <v>551</v>
      </c>
      <c r="H58" s="317">
        <v>45201</v>
      </c>
      <c r="J58" s="317">
        <v>45352.861817129633</v>
      </c>
      <c r="K58" s="316" t="s">
        <v>378</v>
      </c>
      <c r="L58" s="318">
        <v>-45836.34</v>
      </c>
      <c r="M58" s="318">
        <v>-45836.34</v>
      </c>
      <c r="N58" s="318">
        <v>-98503.2</v>
      </c>
      <c r="O58" s="318">
        <v>-98503.2</v>
      </c>
      <c r="P58" s="318">
        <v>20795.12</v>
      </c>
      <c r="Q58" s="318">
        <v>20795.12</v>
      </c>
      <c r="R58" s="318">
        <v>3415.26</v>
      </c>
      <c r="S58" s="318">
        <v>0</v>
      </c>
      <c r="T58" s="318">
        <v>-52666.86</v>
      </c>
      <c r="U58" s="318">
        <v>3415.26</v>
      </c>
      <c r="V58" s="319">
        <v>98</v>
      </c>
      <c r="W58" s="319">
        <v>98</v>
      </c>
      <c r="X58" s="318">
        <v>99</v>
      </c>
      <c r="Y58" s="318">
        <v>99</v>
      </c>
      <c r="Z58" s="317">
        <v>45201</v>
      </c>
      <c r="AA58" s="316" t="s">
        <v>551</v>
      </c>
    </row>
    <row r="59" spans="1:27">
      <c r="A59" s="316" t="s">
        <v>377</v>
      </c>
      <c r="B59" s="316" t="s">
        <v>90</v>
      </c>
      <c r="C59" s="316" t="s">
        <v>667</v>
      </c>
      <c r="D59" s="316" t="s">
        <v>708</v>
      </c>
      <c r="E59" s="317">
        <v>45238</v>
      </c>
      <c r="F59" s="316" t="s">
        <v>514</v>
      </c>
      <c r="G59" s="316" t="s">
        <v>552</v>
      </c>
      <c r="H59" s="317">
        <v>45238</v>
      </c>
      <c r="J59" s="317">
        <v>45352.861817129633</v>
      </c>
      <c r="K59" s="316" t="s">
        <v>378</v>
      </c>
      <c r="L59" s="318">
        <v>-65975.33</v>
      </c>
      <c r="M59" s="318">
        <v>-65975.33</v>
      </c>
      <c r="N59" s="318">
        <v>-139256.54</v>
      </c>
      <c r="O59" s="318">
        <v>-139256.54</v>
      </c>
      <c r="P59" s="318">
        <v>12378.36</v>
      </c>
      <c r="Q59" s="318">
        <v>12378.36</v>
      </c>
      <c r="R59" s="318">
        <v>3652.94</v>
      </c>
      <c r="S59" s="318">
        <v>0</v>
      </c>
      <c r="T59" s="318">
        <v>-73281.210000000006</v>
      </c>
      <c r="U59" s="318">
        <v>3652.94</v>
      </c>
      <c r="V59" s="319">
        <v>98</v>
      </c>
      <c r="W59" s="319">
        <v>98</v>
      </c>
      <c r="X59" s="318">
        <v>99</v>
      </c>
      <c r="Y59" s="318">
        <v>99</v>
      </c>
      <c r="Z59" s="317">
        <v>45238</v>
      </c>
      <c r="AA59" s="316" t="s">
        <v>552</v>
      </c>
    </row>
    <row r="60" spans="1:27">
      <c r="A60" s="316" t="s">
        <v>377</v>
      </c>
      <c r="B60" s="316" t="s">
        <v>90</v>
      </c>
      <c r="C60" s="316" t="s">
        <v>667</v>
      </c>
      <c r="D60" s="316" t="s">
        <v>709</v>
      </c>
      <c r="E60" s="317">
        <v>45271</v>
      </c>
      <c r="F60" s="316" t="s">
        <v>514</v>
      </c>
      <c r="G60" s="316" t="s">
        <v>553</v>
      </c>
      <c r="H60" s="317">
        <v>45271</v>
      </c>
      <c r="J60" s="317">
        <v>45352.861817129633</v>
      </c>
      <c r="K60" s="316" t="s">
        <v>378</v>
      </c>
      <c r="L60" s="318">
        <v>2327235.1800000002</v>
      </c>
      <c r="M60" s="318">
        <v>2327235.1800000002</v>
      </c>
      <c r="N60" s="318">
        <v>2138841.9700000002</v>
      </c>
      <c r="O60" s="318">
        <v>2138841.9700000002</v>
      </c>
      <c r="P60" s="318">
        <v>73865.62</v>
      </c>
      <c r="Q60" s="318">
        <v>73865.62</v>
      </c>
      <c r="R60" s="318">
        <v>6793.42</v>
      </c>
      <c r="S60" s="318">
        <v>0</v>
      </c>
      <c r="T60" s="318">
        <v>-188393.21</v>
      </c>
      <c r="U60" s="318">
        <v>6793.42</v>
      </c>
      <c r="V60" s="319">
        <v>98</v>
      </c>
      <c r="W60" s="319">
        <v>98</v>
      </c>
      <c r="X60" s="318">
        <v>99</v>
      </c>
      <c r="Y60" s="318">
        <v>99</v>
      </c>
      <c r="Z60" s="317">
        <v>45271</v>
      </c>
      <c r="AA60" s="316" t="s">
        <v>553</v>
      </c>
    </row>
    <row r="61" spans="1:27">
      <c r="A61" s="316" t="s">
        <v>377</v>
      </c>
      <c r="B61" s="316" t="s">
        <v>90</v>
      </c>
      <c r="C61" s="316" t="s">
        <v>667</v>
      </c>
      <c r="D61" s="316" t="s">
        <v>710</v>
      </c>
      <c r="E61" s="317">
        <v>45271</v>
      </c>
      <c r="F61" s="316" t="s">
        <v>514</v>
      </c>
      <c r="G61" s="316" t="s">
        <v>554</v>
      </c>
      <c r="H61" s="317">
        <v>45271</v>
      </c>
      <c r="J61" s="317">
        <v>45352.861817129633</v>
      </c>
      <c r="K61" s="316" t="s">
        <v>378</v>
      </c>
      <c r="L61" s="318">
        <v>0</v>
      </c>
      <c r="M61" s="318">
        <v>0</v>
      </c>
      <c r="N61" s="318">
        <v>0</v>
      </c>
      <c r="O61" s="318">
        <v>0</v>
      </c>
      <c r="P61" s="318">
        <v>71340.740000000005</v>
      </c>
      <c r="Q61" s="318">
        <v>71340.740000000005</v>
      </c>
      <c r="R61" s="318">
        <v>0</v>
      </c>
      <c r="S61" s="318">
        <v>0</v>
      </c>
      <c r="T61" s="318">
        <v>0</v>
      </c>
      <c r="U61" s="318">
        <v>0</v>
      </c>
      <c r="V61" s="319">
        <v>98</v>
      </c>
      <c r="W61" s="319">
        <v>98</v>
      </c>
      <c r="X61" s="318">
        <v>99</v>
      </c>
      <c r="Y61" s="318">
        <v>99</v>
      </c>
      <c r="Z61" s="317">
        <v>45271</v>
      </c>
      <c r="AA61" s="316" t="s">
        <v>554</v>
      </c>
    </row>
    <row r="62" spans="1:27">
      <c r="A62" s="316" t="s">
        <v>377</v>
      </c>
      <c r="B62" s="316" t="s">
        <v>90</v>
      </c>
      <c r="C62" s="316" t="s">
        <v>667</v>
      </c>
      <c r="D62" s="316" t="s">
        <v>711</v>
      </c>
      <c r="E62" s="317">
        <v>45246</v>
      </c>
      <c r="F62" s="316" t="s">
        <v>514</v>
      </c>
      <c r="G62" s="316" t="s">
        <v>555</v>
      </c>
      <c r="H62" s="317">
        <v>45246</v>
      </c>
      <c r="J62" s="317">
        <v>45352.861817129633</v>
      </c>
      <c r="K62" s="316" t="s">
        <v>378</v>
      </c>
      <c r="L62" s="318">
        <v>3249182.9</v>
      </c>
      <c r="M62" s="318">
        <v>3246921.56</v>
      </c>
      <c r="N62" s="318">
        <v>3914330.25</v>
      </c>
      <c r="O62" s="318">
        <v>3866132.09</v>
      </c>
      <c r="P62" s="318">
        <v>66704.149999999994</v>
      </c>
      <c r="Q62" s="318">
        <v>66704.149999999994</v>
      </c>
      <c r="R62" s="318">
        <v>37602.46</v>
      </c>
      <c r="S62" s="318">
        <v>45936.82</v>
      </c>
      <c r="T62" s="318">
        <v>619210.53</v>
      </c>
      <c r="U62" s="318">
        <v>37602.46</v>
      </c>
      <c r="V62" s="319">
        <v>100</v>
      </c>
      <c r="W62" s="319">
        <v>100</v>
      </c>
      <c r="X62" s="318">
        <v>97.5</v>
      </c>
      <c r="Y62" s="318">
        <v>97.5</v>
      </c>
      <c r="Z62" s="317">
        <v>45246</v>
      </c>
      <c r="AA62" s="316" t="s">
        <v>555</v>
      </c>
    </row>
    <row r="63" spans="1:27">
      <c r="A63" s="316" t="s">
        <v>377</v>
      </c>
      <c r="B63" s="316" t="s">
        <v>90</v>
      </c>
      <c r="C63" s="316" t="s">
        <v>667</v>
      </c>
      <c r="D63" s="316" t="s">
        <v>712</v>
      </c>
      <c r="E63" s="317">
        <v>45282</v>
      </c>
      <c r="F63" s="316" t="s">
        <v>514</v>
      </c>
      <c r="G63" s="316" t="s">
        <v>556</v>
      </c>
      <c r="H63" s="317">
        <v>45282</v>
      </c>
      <c r="J63" s="317">
        <v>45352.861817129633</v>
      </c>
      <c r="K63" s="316" t="s">
        <v>378</v>
      </c>
      <c r="L63" s="318">
        <v>5533016.0099999998</v>
      </c>
      <c r="M63" s="318">
        <v>5533016.0099999998</v>
      </c>
      <c r="N63" s="318">
        <v>5313057.08</v>
      </c>
      <c r="O63" s="318">
        <v>5313057.08</v>
      </c>
      <c r="P63" s="318">
        <v>58390.97</v>
      </c>
      <c r="Q63" s="318">
        <v>58390.97</v>
      </c>
      <c r="R63" s="318">
        <v>16262.15</v>
      </c>
      <c r="S63" s="318">
        <v>0</v>
      </c>
      <c r="T63" s="318">
        <v>-219958.93</v>
      </c>
      <c r="U63" s="318">
        <v>16262.15</v>
      </c>
      <c r="V63" s="319">
        <v>98</v>
      </c>
      <c r="W63" s="319">
        <v>98</v>
      </c>
      <c r="X63" s="318">
        <v>98.584638999999996</v>
      </c>
      <c r="Y63" s="318">
        <v>98.584638839999997</v>
      </c>
      <c r="Z63" s="317">
        <v>45282</v>
      </c>
      <c r="AA63" s="316" t="s">
        <v>556</v>
      </c>
    </row>
    <row r="64" spans="1:27">
      <c r="A64" s="316" t="s">
        <v>377</v>
      </c>
      <c r="B64" s="316" t="s">
        <v>90</v>
      </c>
      <c r="C64" s="316" t="s">
        <v>667</v>
      </c>
      <c r="D64" s="316" t="s">
        <v>713</v>
      </c>
      <c r="E64" s="317">
        <v>45330</v>
      </c>
      <c r="F64" s="316" t="s">
        <v>514</v>
      </c>
      <c r="G64" s="316" t="s">
        <v>714</v>
      </c>
      <c r="H64" s="317">
        <v>45330</v>
      </c>
      <c r="J64" s="317">
        <v>45352.861817129633</v>
      </c>
      <c r="K64" s="316" t="s">
        <v>378</v>
      </c>
      <c r="L64" s="318">
        <v>-188530.48</v>
      </c>
      <c r="M64" s="318">
        <v>-188530.48</v>
      </c>
      <c r="N64" s="318">
        <v>-190227.62</v>
      </c>
      <c r="O64" s="318">
        <v>-190227.62</v>
      </c>
      <c r="P64" s="318">
        <v>12153.43</v>
      </c>
      <c r="Q64" s="318">
        <v>12153.43</v>
      </c>
      <c r="R64" s="318">
        <v>1697.14</v>
      </c>
      <c r="S64" s="318">
        <v>0</v>
      </c>
      <c r="T64" s="318">
        <v>-1697.14</v>
      </c>
      <c r="U64" s="318">
        <v>1697.14</v>
      </c>
      <c r="V64" s="319">
        <v>99</v>
      </c>
      <c r="W64" s="319">
        <v>99</v>
      </c>
      <c r="X64" s="318">
        <v>99</v>
      </c>
      <c r="Y64" s="318">
        <v>99</v>
      </c>
      <c r="Z64" s="317">
        <v>45330</v>
      </c>
      <c r="AA64" s="316" t="s">
        <v>714</v>
      </c>
    </row>
    <row r="65" spans="1:27">
      <c r="A65" s="316" t="s">
        <v>377</v>
      </c>
      <c r="B65" s="316" t="s">
        <v>90</v>
      </c>
      <c r="C65" s="316" t="s">
        <v>667</v>
      </c>
      <c r="D65" s="316" t="s">
        <v>715</v>
      </c>
      <c r="E65" s="317">
        <v>45286</v>
      </c>
      <c r="F65" s="316" t="s">
        <v>514</v>
      </c>
      <c r="G65" s="316" t="s">
        <v>557</v>
      </c>
      <c r="H65" s="317">
        <v>45286</v>
      </c>
      <c r="J65" s="317">
        <v>45352.861817129633</v>
      </c>
      <c r="K65" s="316" t="s">
        <v>378</v>
      </c>
      <c r="L65" s="318">
        <v>-273288.71000000002</v>
      </c>
      <c r="M65" s="318">
        <v>-273288.71000000002</v>
      </c>
      <c r="N65" s="318">
        <v>-578228.85</v>
      </c>
      <c r="O65" s="318">
        <v>-578228.85</v>
      </c>
      <c r="P65" s="318">
        <v>51398.12</v>
      </c>
      <c r="Q65" s="318">
        <v>51398.12</v>
      </c>
      <c r="R65" s="318">
        <v>15825.71</v>
      </c>
      <c r="S65" s="318">
        <v>0</v>
      </c>
      <c r="T65" s="318">
        <v>-304940.14</v>
      </c>
      <c r="U65" s="318">
        <v>15825.71</v>
      </c>
      <c r="V65" s="319">
        <v>98</v>
      </c>
      <c r="W65" s="319">
        <v>98</v>
      </c>
      <c r="X65" s="318">
        <v>99</v>
      </c>
      <c r="Y65" s="318">
        <v>99</v>
      </c>
      <c r="Z65" s="317">
        <v>45286</v>
      </c>
      <c r="AA65" s="316" t="s">
        <v>557</v>
      </c>
    </row>
    <row r="66" spans="1:27">
      <c r="A66" s="316" t="s">
        <v>377</v>
      </c>
      <c r="B66" s="316" t="s">
        <v>90</v>
      </c>
      <c r="C66" s="316" t="s">
        <v>667</v>
      </c>
      <c r="D66" s="316" t="s">
        <v>716</v>
      </c>
      <c r="E66" s="317">
        <v>45233</v>
      </c>
      <c r="F66" s="316" t="s">
        <v>514</v>
      </c>
      <c r="G66" s="316" t="s">
        <v>558</v>
      </c>
      <c r="H66" s="317">
        <v>45233</v>
      </c>
      <c r="J66" s="317">
        <v>45352.861817129633</v>
      </c>
      <c r="K66" s="316" t="s">
        <v>378</v>
      </c>
      <c r="L66" s="318">
        <v>2170385.59</v>
      </c>
      <c r="M66" s="318">
        <v>2170385.59</v>
      </c>
      <c r="N66" s="318">
        <v>2078660.73</v>
      </c>
      <c r="O66" s="318">
        <v>2078660.73</v>
      </c>
      <c r="P66" s="318">
        <v>69246.570000000007</v>
      </c>
      <c r="Q66" s="318">
        <v>69246.570000000007</v>
      </c>
      <c r="R66" s="318">
        <v>4409.8500000000004</v>
      </c>
      <c r="S66" s="318">
        <v>0</v>
      </c>
      <c r="T66" s="318">
        <v>-91724.86</v>
      </c>
      <c r="U66" s="318">
        <v>4409.8500000000004</v>
      </c>
      <c r="V66" s="319">
        <v>99</v>
      </c>
      <c r="W66" s="319">
        <v>99</v>
      </c>
      <c r="X66" s="318">
        <v>99.5</v>
      </c>
      <c r="Y66" s="318">
        <v>99.5</v>
      </c>
      <c r="Z66" s="317">
        <v>45233</v>
      </c>
      <c r="AA66" s="316" t="s">
        <v>558</v>
      </c>
    </row>
    <row r="67" spans="1:27">
      <c r="A67" s="316" t="s">
        <v>377</v>
      </c>
      <c r="B67" s="316" t="s">
        <v>90</v>
      </c>
      <c r="C67" s="316" t="s">
        <v>667</v>
      </c>
      <c r="D67" s="316" t="s">
        <v>717</v>
      </c>
      <c r="E67" s="317">
        <v>45351</v>
      </c>
      <c r="F67" s="316" t="s">
        <v>514</v>
      </c>
      <c r="G67" s="316" t="s">
        <v>718</v>
      </c>
      <c r="H67" s="317">
        <v>45351</v>
      </c>
      <c r="J67" s="317">
        <v>45352.861817129633</v>
      </c>
      <c r="K67" s="316" t="s">
        <v>378</v>
      </c>
      <c r="L67" s="318">
        <v>-61468.34</v>
      </c>
      <c r="M67" s="318">
        <v>-61468.34</v>
      </c>
      <c r="N67" s="318">
        <v>-61524.5</v>
      </c>
      <c r="O67" s="318">
        <v>-61524.5</v>
      </c>
      <c r="P67" s="318">
        <v>170.9</v>
      </c>
      <c r="Q67" s="318">
        <v>170.9</v>
      </c>
      <c r="R67" s="318">
        <v>56.16</v>
      </c>
      <c r="S67" s="318">
        <v>0</v>
      </c>
      <c r="T67" s="318">
        <v>-56.16</v>
      </c>
      <c r="U67" s="318">
        <v>56.16</v>
      </c>
      <c r="V67" s="319">
        <v>99</v>
      </c>
      <c r="W67" s="319">
        <v>99</v>
      </c>
      <c r="X67" s="318">
        <v>99</v>
      </c>
      <c r="Y67" s="318">
        <v>99</v>
      </c>
      <c r="Z67" s="317">
        <v>45351</v>
      </c>
      <c r="AA67" s="316" t="s">
        <v>718</v>
      </c>
    </row>
    <row r="68" spans="1:27">
      <c r="A68" s="316" t="s">
        <v>377</v>
      </c>
      <c r="B68" s="316" t="s">
        <v>90</v>
      </c>
      <c r="C68" s="316" t="s">
        <v>667</v>
      </c>
      <c r="D68" s="316" t="s">
        <v>719</v>
      </c>
      <c r="E68" s="317">
        <v>45188</v>
      </c>
      <c r="F68" s="316" t="s">
        <v>514</v>
      </c>
      <c r="G68" s="316" t="s">
        <v>559</v>
      </c>
      <c r="H68" s="317">
        <v>45188</v>
      </c>
      <c r="J68" s="317">
        <v>45352.861817129633</v>
      </c>
      <c r="K68" s="316" t="s">
        <v>378</v>
      </c>
      <c r="L68" s="318">
        <v>7769741.8499999996</v>
      </c>
      <c r="M68" s="318">
        <v>7769741.8499999996</v>
      </c>
      <c r="N68" s="318">
        <v>8057901.7199999997</v>
      </c>
      <c r="O68" s="318">
        <v>8057901.7199999997</v>
      </c>
      <c r="P68" s="318">
        <v>186313.1</v>
      </c>
      <c r="Q68" s="318">
        <v>186313.1</v>
      </c>
      <c r="R68" s="318">
        <v>29080.35</v>
      </c>
      <c r="S68" s="318">
        <v>0</v>
      </c>
      <c r="T68" s="318">
        <v>288159.87</v>
      </c>
      <c r="U68" s="318">
        <v>29080.35</v>
      </c>
      <c r="V68" s="319">
        <v>100</v>
      </c>
      <c r="W68" s="319">
        <v>100</v>
      </c>
      <c r="X68" s="318">
        <v>98.75</v>
      </c>
      <c r="Y68" s="318">
        <v>98.75</v>
      </c>
      <c r="Z68" s="317">
        <v>45188</v>
      </c>
      <c r="AA68" s="316" t="s">
        <v>559</v>
      </c>
    </row>
    <row r="69" spans="1:27">
      <c r="A69" s="316" t="s">
        <v>377</v>
      </c>
      <c r="B69" s="316" t="s">
        <v>90</v>
      </c>
      <c r="C69" s="316" t="s">
        <v>667</v>
      </c>
      <c r="D69" s="316" t="s">
        <v>720</v>
      </c>
      <c r="E69" s="317">
        <v>45279</v>
      </c>
      <c r="F69" s="316" t="s">
        <v>514</v>
      </c>
      <c r="G69" s="316" t="s">
        <v>560</v>
      </c>
      <c r="H69" s="317">
        <v>45279</v>
      </c>
      <c r="J69" s="317">
        <v>45352.861817129633</v>
      </c>
      <c r="K69" s="316" t="s">
        <v>378</v>
      </c>
      <c r="L69" s="318">
        <v>-30768.81</v>
      </c>
      <c r="M69" s="318">
        <v>-30768.81</v>
      </c>
      <c r="N69" s="318">
        <v>-65773.710000000006</v>
      </c>
      <c r="O69" s="318">
        <v>-65773.710000000006</v>
      </c>
      <c r="P69" s="318">
        <v>5846.55</v>
      </c>
      <c r="Q69" s="318">
        <v>5846.55</v>
      </c>
      <c r="R69" s="318">
        <v>2118.04</v>
      </c>
      <c r="S69" s="318">
        <v>0</v>
      </c>
      <c r="T69" s="318">
        <v>-35004.9</v>
      </c>
      <c r="U69" s="318">
        <v>2118.04</v>
      </c>
      <c r="V69" s="319">
        <v>99</v>
      </c>
      <c r="W69" s="319">
        <v>99</v>
      </c>
      <c r="X69" s="318">
        <v>99.5</v>
      </c>
      <c r="Y69" s="318">
        <v>99.5</v>
      </c>
      <c r="Z69" s="317">
        <v>45279</v>
      </c>
      <c r="AA69" s="316" t="s">
        <v>560</v>
      </c>
    </row>
    <row r="70" spans="1:27">
      <c r="A70" s="316" t="s">
        <v>377</v>
      </c>
      <c r="B70" s="316" t="s">
        <v>90</v>
      </c>
      <c r="C70" s="316" t="s">
        <v>667</v>
      </c>
      <c r="D70" s="316" t="s">
        <v>721</v>
      </c>
      <c r="E70" s="317">
        <v>45240</v>
      </c>
      <c r="F70" s="316" t="s">
        <v>514</v>
      </c>
      <c r="G70" s="316" t="s">
        <v>561</v>
      </c>
      <c r="H70" s="317">
        <v>45240</v>
      </c>
      <c r="J70" s="317">
        <v>45352.861817129633</v>
      </c>
      <c r="K70" s="316" t="s">
        <v>378</v>
      </c>
      <c r="L70" s="318">
        <v>5377280.25</v>
      </c>
      <c r="M70" s="318">
        <v>5377280.25</v>
      </c>
      <c r="N70" s="318">
        <v>4917589.04</v>
      </c>
      <c r="O70" s="318">
        <v>4917589.04</v>
      </c>
      <c r="P70" s="318">
        <v>173900.79999999999</v>
      </c>
      <c r="Q70" s="318">
        <v>173900.79999999999</v>
      </c>
      <c r="R70" s="318">
        <v>22545.62</v>
      </c>
      <c r="S70" s="318">
        <v>0</v>
      </c>
      <c r="T70" s="318">
        <v>-459691.21</v>
      </c>
      <c r="U70" s="318">
        <v>22545.62</v>
      </c>
      <c r="V70" s="319">
        <v>98</v>
      </c>
      <c r="W70" s="319">
        <v>98</v>
      </c>
      <c r="X70" s="318">
        <v>99</v>
      </c>
      <c r="Y70" s="318">
        <v>99</v>
      </c>
      <c r="Z70" s="317">
        <v>45240</v>
      </c>
      <c r="AA70" s="316" t="s">
        <v>561</v>
      </c>
    </row>
    <row r="71" spans="1:27">
      <c r="A71" s="316" t="s">
        <v>377</v>
      </c>
      <c r="B71" s="316" t="s">
        <v>90</v>
      </c>
      <c r="C71" s="316" t="s">
        <v>667</v>
      </c>
      <c r="D71" s="316" t="s">
        <v>722</v>
      </c>
      <c r="E71" s="317">
        <v>45238</v>
      </c>
      <c r="F71" s="316" t="s">
        <v>514</v>
      </c>
      <c r="G71" s="316" t="s">
        <v>562</v>
      </c>
      <c r="H71" s="317">
        <v>45238</v>
      </c>
      <c r="J71" s="317">
        <v>45352.861817129633</v>
      </c>
      <c r="K71" s="316" t="s">
        <v>378</v>
      </c>
      <c r="L71" s="318">
        <v>-40543.03</v>
      </c>
      <c r="M71" s="318">
        <v>-40543.03</v>
      </c>
      <c r="N71" s="318">
        <v>-84903.05</v>
      </c>
      <c r="O71" s="318">
        <v>-84903.05</v>
      </c>
      <c r="P71" s="318">
        <v>9040.6</v>
      </c>
      <c r="Q71" s="318">
        <v>9040.6</v>
      </c>
      <c r="R71" s="318">
        <v>1908.49</v>
      </c>
      <c r="S71" s="318">
        <v>0</v>
      </c>
      <c r="T71" s="318">
        <v>-44360.02</v>
      </c>
      <c r="U71" s="318">
        <v>1908.49</v>
      </c>
      <c r="V71" s="319">
        <v>98.5</v>
      </c>
      <c r="W71" s="319">
        <v>98.5</v>
      </c>
      <c r="X71" s="318">
        <v>99.25</v>
      </c>
      <c r="Y71" s="318">
        <v>99.25</v>
      </c>
      <c r="Z71" s="317">
        <v>45238</v>
      </c>
      <c r="AA71" s="316" t="s">
        <v>562</v>
      </c>
    </row>
    <row r="72" spans="1:27">
      <c r="A72" s="316" t="s">
        <v>377</v>
      </c>
      <c r="B72" s="316" t="s">
        <v>90</v>
      </c>
      <c r="C72" s="316" t="s">
        <v>667</v>
      </c>
      <c r="D72" s="316" t="s">
        <v>723</v>
      </c>
      <c r="E72" s="317">
        <v>45231</v>
      </c>
      <c r="F72" s="316" t="s">
        <v>514</v>
      </c>
      <c r="G72" s="316" t="s">
        <v>563</v>
      </c>
      <c r="H72" s="317">
        <v>45231</v>
      </c>
      <c r="J72" s="317">
        <v>45352.861817129633</v>
      </c>
      <c r="K72" s="316" t="s">
        <v>378</v>
      </c>
      <c r="L72" s="318">
        <v>-100653.25</v>
      </c>
      <c r="M72" s="318">
        <v>-100653.25</v>
      </c>
      <c r="N72" s="318">
        <v>-213170.94</v>
      </c>
      <c r="O72" s="318">
        <v>-213170.94</v>
      </c>
      <c r="P72" s="318">
        <v>36120.629999999997</v>
      </c>
      <c r="Q72" s="318">
        <v>36120.629999999997</v>
      </c>
      <c r="R72" s="318">
        <v>5932.22</v>
      </c>
      <c r="S72" s="318">
        <v>0</v>
      </c>
      <c r="T72" s="318">
        <v>-112517.69</v>
      </c>
      <c r="U72" s="318">
        <v>5932.22</v>
      </c>
      <c r="V72" s="319">
        <v>98</v>
      </c>
      <c r="W72" s="319">
        <v>98</v>
      </c>
      <c r="X72" s="318">
        <v>99</v>
      </c>
      <c r="Y72" s="318">
        <v>99</v>
      </c>
      <c r="Z72" s="317">
        <v>45231</v>
      </c>
      <c r="AA72" s="316" t="s">
        <v>563</v>
      </c>
    </row>
    <row r="73" spans="1:27">
      <c r="A73" s="316" t="s">
        <v>377</v>
      </c>
      <c r="B73" s="316" t="s">
        <v>90</v>
      </c>
      <c r="C73" s="316" t="s">
        <v>667</v>
      </c>
      <c r="D73" s="316" t="s">
        <v>724</v>
      </c>
      <c r="E73" s="317">
        <v>45352</v>
      </c>
      <c r="F73" s="316" t="s">
        <v>514</v>
      </c>
      <c r="G73" s="316" t="s">
        <v>725</v>
      </c>
      <c r="H73" s="317">
        <v>45352</v>
      </c>
      <c r="J73" s="317">
        <v>45352.861817129633</v>
      </c>
      <c r="K73" s="316" t="s">
        <v>378</v>
      </c>
      <c r="L73" s="318">
        <v>-69285.960000000006</v>
      </c>
      <c r="M73" s="318">
        <v>-69285.960000000006</v>
      </c>
      <c r="N73" s="318">
        <v>-69318.02</v>
      </c>
      <c r="O73" s="318">
        <v>-69318.02</v>
      </c>
      <c r="P73" s="318">
        <v>192.55</v>
      </c>
      <c r="Q73" s="318">
        <v>192.55</v>
      </c>
      <c r="R73" s="318">
        <v>32.06</v>
      </c>
      <c r="S73" s="318">
        <v>0</v>
      </c>
      <c r="T73" s="318">
        <v>-32.06</v>
      </c>
      <c r="U73" s="318">
        <v>32.06</v>
      </c>
      <c r="V73" s="319">
        <v>99</v>
      </c>
      <c r="W73" s="319">
        <v>99</v>
      </c>
      <c r="X73" s="318">
        <v>99</v>
      </c>
      <c r="Y73" s="318">
        <v>99</v>
      </c>
      <c r="Z73" s="317">
        <v>45352</v>
      </c>
      <c r="AA73" s="316" t="s">
        <v>725</v>
      </c>
    </row>
    <row r="74" spans="1:27">
      <c r="A74" s="316" t="s">
        <v>377</v>
      </c>
      <c r="B74" s="316" t="s">
        <v>90</v>
      </c>
      <c r="C74" s="316" t="s">
        <v>667</v>
      </c>
      <c r="D74" s="316" t="s">
        <v>726</v>
      </c>
      <c r="E74" s="317">
        <v>45323</v>
      </c>
      <c r="F74" s="316" t="s">
        <v>514</v>
      </c>
      <c r="G74" s="316" t="s">
        <v>727</v>
      </c>
      <c r="H74" s="317">
        <v>45323</v>
      </c>
      <c r="J74" s="317">
        <v>45352.861817129633</v>
      </c>
      <c r="K74" s="316" t="s">
        <v>378</v>
      </c>
      <c r="L74" s="318">
        <v>-164377.25</v>
      </c>
      <c r="M74" s="318">
        <v>-164377.25</v>
      </c>
      <c r="N74" s="318">
        <v>-249490.74</v>
      </c>
      <c r="O74" s="318">
        <v>-249490.74</v>
      </c>
      <c r="P74" s="318">
        <v>6930.3</v>
      </c>
      <c r="Q74" s="318">
        <v>6930.3</v>
      </c>
      <c r="R74" s="318">
        <v>1949.91</v>
      </c>
      <c r="S74" s="318">
        <v>0</v>
      </c>
      <c r="T74" s="318">
        <v>-85113.49</v>
      </c>
      <c r="U74" s="318">
        <v>1949.91</v>
      </c>
      <c r="V74" s="319">
        <v>98.5</v>
      </c>
      <c r="W74" s="319">
        <v>98.5</v>
      </c>
      <c r="X74" s="318">
        <v>99</v>
      </c>
      <c r="Y74" s="318">
        <v>99</v>
      </c>
      <c r="Z74" s="317">
        <v>45323</v>
      </c>
      <c r="AA74" s="316" t="s">
        <v>727</v>
      </c>
    </row>
    <row r="75" spans="1:27">
      <c r="A75" s="316" t="s">
        <v>377</v>
      </c>
      <c r="B75" s="316" t="s">
        <v>90</v>
      </c>
      <c r="C75" s="316" t="s">
        <v>667</v>
      </c>
      <c r="D75" s="316" t="s">
        <v>728</v>
      </c>
      <c r="E75" s="317">
        <v>45245</v>
      </c>
      <c r="F75" s="316" t="s">
        <v>514</v>
      </c>
      <c r="G75" s="316" t="s">
        <v>564</v>
      </c>
      <c r="H75" s="317">
        <v>45246</v>
      </c>
      <c r="J75" s="317">
        <v>45352.861817129633</v>
      </c>
      <c r="K75" s="316" t="s">
        <v>378</v>
      </c>
      <c r="L75" s="318">
        <v>-125569.07</v>
      </c>
      <c r="M75" s="318">
        <v>-125569.07</v>
      </c>
      <c r="N75" s="318">
        <v>-262110.7</v>
      </c>
      <c r="O75" s="318">
        <v>-262110.7</v>
      </c>
      <c r="P75" s="318">
        <v>23298.73</v>
      </c>
      <c r="Q75" s="318">
        <v>23298.73</v>
      </c>
      <c r="R75" s="318">
        <v>5486.28</v>
      </c>
      <c r="S75" s="318">
        <v>0</v>
      </c>
      <c r="T75" s="318">
        <v>-136541.63</v>
      </c>
      <c r="U75" s="318">
        <v>5486.28</v>
      </c>
      <c r="V75" s="319">
        <v>98</v>
      </c>
      <c r="W75" s="319">
        <v>98</v>
      </c>
      <c r="X75" s="318">
        <v>99</v>
      </c>
      <c r="Y75" s="318">
        <v>99</v>
      </c>
      <c r="Z75" s="317">
        <v>45246</v>
      </c>
      <c r="AA75" s="316" t="s">
        <v>564</v>
      </c>
    </row>
    <row r="76" spans="1:27">
      <c r="A76" s="316" t="s">
        <v>377</v>
      </c>
      <c r="B76" s="316" t="s">
        <v>90</v>
      </c>
      <c r="C76" s="316" t="s">
        <v>667</v>
      </c>
      <c r="D76" s="316" t="s">
        <v>729</v>
      </c>
      <c r="E76" s="317">
        <v>45274</v>
      </c>
      <c r="F76" s="316" t="s">
        <v>514</v>
      </c>
      <c r="G76" s="316" t="s">
        <v>565</v>
      </c>
      <c r="H76" s="317">
        <v>45274</v>
      </c>
      <c r="J76" s="317">
        <v>45352.861817129633</v>
      </c>
      <c r="K76" s="316" t="s">
        <v>378</v>
      </c>
      <c r="L76" s="318">
        <v>19608564.949999999</v>
      </c>
      <c r="M76" s="318">
        <v>19608564.949999999</v>
      </c>
      <c r="N76" s="318">
        <v>19779742.27</v>
      </c>
      <c r="O76" s="318">
        <v>19779742.27</v>
      </c>
      <c r="P76" s="318">
        <v>452201.5</v>
      </c>
      <c r="Q76" s="318">
        <v>452201.5</v>
      </c>
      <c r="R76" s="318">
        <v>26620.1</v>
      </c>
      <c r="S76" s="318">
        <v>0</v>
      </c>
      <c r="T76" s="318">
        <v>171177.32</v>
      </c>
      <c r="U76" s="318">
        <v>26620.1</v>
      </c>
      <c r="V76" s="319">
        <v>100</v>
      </c>
      <c r="W76" s="319">
        <v>100</v>
      </c>
      <c r="X76" s="318">
        <v>99</v>
      </c>
      <c r="Y76" s="318">
        <v>99</v>
      </c>
      <c r="Z76" s="317">
        <v>45274</v>
      </c>
      <c r="AA76" s="316" t="s">
        <v>565</v>
      </c>
    </row>
    <row r="77" spans="1:27">
      <c r="A77" s="316" t="s">
        <v>377</v>
      </c>
      <c r="B77" s="316" t="s">
        <v>90</v>
      </c>
      <c r="C77" s="316" t="s">
        <v>667</v>
      </c>
      <c r="D77" s="316" t="s">
        <v>730</v>
      </c>
      <c r="E77" s="317">
        <v>45198</v>
      </c>
      <c r="F77" s="316" t="s">
        <v>514</v>
      </c>
      <c r="G77" s="316" t="s">
        <v>566</v>
      </c>
      <c r="H77" s="317">
        <v>45198</v>
      </c>
      <c r="J77" s="317">
        <v>45352.861817129633</v>
      </c>
      <c r="K77" s="316" t="s">
        <v>378</v>
      </c>
      <c r="L77" s="318">
        <v>-393629.93</v>
      </c>
      <c r="M77" s="318">
        <v>-393629.93</v>
      </c>
      <c r="N77" s="318">
        <v>-876721.2</v>
      </c>
      <c r="O77" s="318">
        <v>-876721.2</v>
      </c>
      <c r="P77" s="318">
        <v>188738.59</v>
      </c>
      <c r="Q77" s="318">
        <v>188738.59</v>
      </c>
      <c r="R77" s="318">
        <v>44730.67</v>
      </c>
      <c r="S77" s="318">
        <v>0</v>
      </c>
      <c r="T77" s="318">
        <v>-483091.27</v>
      </c>
      <c r="U77" s="318">
        <v>44730.67</v>
      </c>
      <c r="V77" s="319">
        <v>98</v>
      </c>
      <c r="W77" s="319">
        <v>98</v>
      </c>
      <c r="X77" s="318">
        <v>99</v>
      </c>
      <c r="Y77" s="318">
        <v>99</v>
      </c>
      <c r="Z77" s="317">
        <v>45198</v>
      </c>
      <c r="AA77" s="316" t="s">
        <v>566</v>
      </c>
    </row>
    <row r="78" spans="1:27">
      <c r="A78" s="316" t="s">
        <v>377</v>
      </c>
      <c r="B78" s="316" t="s">
        <v>90</v>
      </c>
      <c r="C78" s="316" t="s">
        <v>667</v>
      </c>
      <c r="D78" s="316" t="s">
        <v>731</v>
      </c>
      <c r="E78" s="317">
        <v>45274</v>
      </c>
      <c r="F78" s="316" t="s">
        <v>514</v>
      </c>
      <c r="G78" s="316" t="s">
        <v>567</v>
      </c>
      <c r="H78" s="317">
        <v>45274</v>
      </c>
      <c r="J78" s="317">
        <v>45352.861817129633</v>
      </c>
      <c r="K78" s="316" t="s">
        <v>378</v>
      </c>
      <c r="L78" s="318">
        <v>6061628.3700000001</v>
      </c>
      <c r="M78" s="318">
        <v>6061628.3700000001</v>
      </c>
      <c r="N78" s="318">
        <v>6145040.4800000004</v>
      </c>
      <c r="O78" s="318">
        <v>6145040.4800000004</v>
      </c>
      <c r="P78" s="318">
        <v>102908.42</v>
      </c>
      <c r="Q78" s="318">
        <v>102908.42</v>
      </c>
      <c r="R78" s="318">
        <v>13558.76</v>
      </c>
      <c r="S78" s="318">
        <v>0</v>
      </c>
      <c r="T78" s="318">
        <v>83412.11</v>
      </c>
      <c r="U78" s="318">
        <v>13558.76</v>
      </c>
      <c r="V78" s="319">
        <v>100</v>
      </c>
      <c r="W78" s="319">
        <v>100</v>
      </c>
      <c r="X78" s="318">
        <v>99</v>
      </c>
      <c r="Y78" s="318">
        <v>99</v>
      </c>
      <c r="Z78" s="317">
        <v>45274</v>
      </c>
      <c r="AA78" s="316" t="s">
        <v>567</v>
      </c>
    </row>
    <row r="79" spans="1:27">
      <c r="A79" s="316" t="s">
        <v>377</v>
      </c>
      <c r="B79" s="316" t="s">
        <v>90</v>
      </c>
      <c r="C79" s="316" t="s">
        <v>667</v>
      </c>
      <c r="D79" s="316" t="s">
        <v>748</v>
      </c>
      <c r="E79" s="317">
        <v>45230</v>
      </c>
      <c r="F79" s="316" t="s">
        <v>514</v>
      </c>
      <c r="G79" s="316" t="s">
        <v>576</v>
      </c>
      <c r="H79" s="317">
        <v>45239</v>
      </c>
      <c r="J79" s="317">
        <v>45352.861817129633</v>
      </c>
      <c r="K79" s="316" t="s">
        <v>378</v>
      </c>
      <c r="L79" s="318">
        <v>-82703.47</v>
      </c>
      <c r="M79" s="318">
        <v>-82703.47</v>
      </c>
      <c r="N79" s="318">
        <v>-174520.7</v>
      </c>
      <c r="O79" s="318">
        <v>-174520.7</v>
      </c>
      <c r="P79" s="318">
        <v>484.78</v>
      </c>
      <c r="Q79" s="318">
        <v>484.78</v>
      </c>
      <c r="R79" s="318">
        <v>4556.88</v>
      </c>
      <c r="S79" s="318">
        <v>0</v>
      </c>
      <c r="T79" s="318">
        <v>-91817.23</v>
      </c>
      <c r="U79" s="318">
        <v>4556.88</v>
      </c>
      <c r="V79" s="319">
        <v>98</v>
      </c>
      <c r="W79" s="319">
        <v>98</v>
      </c>
      <c r="X79" s="318">
        <v>99</v>
      </c>
      <c r="Y79" s="318">
        <v>99</v>
      </c>
      <c r="Z79" s="317">
        <v>45239</v>
      </c>
      <c r="AA79" s="316" t="s">
        <v>576</v>
      </c>
    </row>
    <row r="80" spans="1:27">
      <c r="A80" s="316" t="s">
        <v>377</v>
      </c>
      <c r="B80" s="316" t="s">
        <v>90</v>
      </c>
      <c r="C80" s="316" t="s">
        <v>667</v>
      </c>
      <c r="D80" s="316" t="s">
        <v>732</v>
      </c>
      <c r="E80" s="317">
        <v>45322</v>
      </c>
      <c r="F80" s="316" t="s">
        <v>514</v>
      </c>
      <c r="G80" s="316" t="s">
        <v>733</v>
      </c>
      <c r="H80" s="317">
        <v>45322</v>
      </c>
      <c r="J80" s="317">
        <v>45352.861817129633</v>
      </c>
      <c r="K80" s="316" t="s">
        <v>378</v>
      </c>
      <c r="L80" s="318">
        <v>-50345.440000000002</v>
      </c>
      <c r="M80" s="318">
        <v>-50345.440000000002</v>
      </c>
      <c r="N80" s="318">
        <v>0</v>
      </c>
      <c r="O80" s="318">
        <v>0</v>
      </c>
      <c r="P80" s="318">
        <v>4516.67</v>
      </c>
      <c r="Q80" s="318">
        <v>4516.67</v>
      </c>
      <c r="R80" s="318">
        <v>2106.2199999999998</v>
      </c>
      <c r="S80" s="318">
        <v>0</v>
      </c>
      <c r="T80" s="318">
        <v>50345.440000000002</v>
      </c>
      <c r="U80" s="318">
        <v>2106.2199999999998</v>
      </c>
      <c r="V80" s="319">
        <v>100</v>
      </c>
      <c r="W80" s="319">
        <v>100</v>
      </c>
      <c r="X80" s="318">
        <v>99</v>
      </c>
      <c r="Y80" s="318">
        <v>99</v>
      </c>
      <c r="Z80" s="317">
        <v>45322</v>
      </c>
      <c r="AA80" s="316" t="s">
        <v>733</v>
      </c>
    </row>
    <row r="81" spans="1:27">
      <c r="A81" s="316" t="s">
        <v>377</v>
      </c>
      <c r="B81" s="316" t="s">
        <v>90</v>
      </c>
      <c r="C81" s="316" t="s">
        <v>667</v>
      </c>
      <c r="D81" s="316" t="s">
        <v>734</v>
      </c>
      <c r="E81" s="317">
        <v>45175</v>
      </c>
      <c r="F81" s="316" t="s">
        <v>514</v>
      </c>
      <c r="G81" s="316" t="s">
        <v>568</v>
      </c>
      <c r="H81" s="317">
        <v>45175</v>
      </c>
      <c r="J81" s="317">
        <v>45352.861817129633</v>
      </c>
      <c r="K81" s="316" t="s">
        <v>378</v>
      </c>
      <c r="L81" s="318">
        <v>421415.31</v>
      </c>
      <c r="M81" s="318">
        <v>421415.31</v>
      </c>
      <c r="N81" s="318">
        <v>498517.9</v>
      </c>
      <c r="O81" s="318">
        <v>498517.9</v>
      </c>
      <c r="P81" s="318">
        <v>18975.490000000002</v>
      </c>
      <c r="Q81" s="318">
        <v>18975.490000000002</v>
      </c>
      <c r="R81" s="318">
        <v>16635.47</v>
      </c>
      <c r="S81" s="318">
        <v>0</v>
      </c>
      <c r="T81" s="318">
        <v>77102.59</v>
      </c>
      <c r="U81" s="318">
        <v>16635.47</v>
      </c>
      <c r="V81" s="319">
        <v>100</v>
      </c>
      <c r="W81" s="319">
        <v>100</v>
      </c>
      <c r="X81" s="318">
        <v>97.5</v>
      </c>
      <c r="Y81" s="318">
        <v>97.5</v>
      </c>
      <c r="Z81" s="317">
        <v>45175</v>
      </c>
      <c r="AA81" s="316" t="s">
        <v>568</v>
      </c>
    </row>
    <row r="82" spans="1:27">
      <c r="A82" s="316" t="s">
        <v>377</v>
      </c>
      <c r="B82" s="316" t="s">
        <v>90</v>
      </c>
      <c r="C82" s="316" t="s">
        <v>667</v>
      </c>
      <c r="D82" s="316" t="s">
        <v>735</v>
      </c>
      <c r="E82" s="317">
        <v>45280</v>
      </c>
      <c r="F82" s="316" t="s">
        <v>514</v>
      </c>
      <c r="G82" s="316" t="s">
        <v>569</v>
      </c>
      <c r="H82" s="317">
        <v>45280</v>
      </c>
      <c r="J82" s="317">
        <v>45352.861817129633</v>
      </c>
      <c r="K82" s="316" t="s">
        <v>378</v>
      </c>
      <c r="L82" s="318">
        <v>-93064.63</v>
      </c>
      <c r="M82" s="318">
        <v>-93064.63</v>
      </c>
      <c r="N82" s="318">
        <v>-194183.46</v>
      </c>
      <c r="O82" s="318">
        <v>-194183.46</v>
      </c>
      <c r="P82" s="318">
        <v>16181.95</v>
      </c>
      <c r="Q82" s="318">
        <v>16181.95</v>
      </c>
      <c r="R82" s="318">
        <v>4027.1</v>
      </c>
      <c r="S82" s="318">
        <v>0</v>
      </c>
      <c r="T82" s="318">
        <v>-101118.83</v>
      </c>
      <c r="U82" s="318">
        <v>4027.1</v>
      </c>
      <c r="V82" s="319">
        <v>98</v>
      </c>
      <c r="W82" s="319">
        <v>98</v>
      </c>
      <c r="X82" s="318">
        <v>99</v>
      </c>
      <c r="Y82" s="318">
        <v>99</v>
      </c>
      <c r="Z82" s="317">
        <v>45280</v>
      </c>
      <c r="AA82" s="316" t="s">
        <v>569</v>
      </c>
    </row>
    <row r="83" spans="1:27">
      <c r="A83" s="316" t="s">
        <v>377</v>
      </c>
      <c r="B83" s="316" t="s">
        <v>90</v>
      </c>
      <c r="C83" s="316" t="s">
        <v>667</v>
      </c>
      <c r="D83" s="316" t="s">
        <v>749</v>
      </c>
      <c r="E83" s="317">
        <v>45201</v>
      </c>
      <c r="F83" s="316" t="s">
        <v>514</v>
      </c>
      <c r="G83" s="316" t="s">
        <v>577</v>
      </c>
      <c r="H83" s="317">
        <v>45201</v>
      </c>
      <c r="J83" s="317">
        <v>45352.861817129633</v>
      </c>
      <c r="K83" s="316" t="s">
        <v>378</v>
      </c>
      <c r="L83" s="318">
        <v>-107472.41</v>
      </c>
      <c r="M83" s="318">
        <v>-107472.41</v>
      </c>
      <c r="N83" s="318">
        <v>-228529.69</v>
      </c>
      <c r="O83" s="318">
        <v>-228529.69</v>
      </c>
      <c r="P83" s="318">
        <v>42884.58</v>
      </c>
      <c r="Q83" s="318">
        <v>42884.58</v>
      </c>
      <c r="R83" s="318">
        <v>6792.43</v>
      </c>
      <c r="S83" s="318">
        <v>0</v>
      </c>
      <c r="T83" s="318">
        <v>-121057.28</v>
      </c>
      <c r="U83" s="318">
        <v>6792.43</v>
      </c>
      <c r="V83" s="319">
        <v>97.75</v>
      </c>
      <c r="W83" s="319">
        <v>97.75</v>
      </c>
      <c r="X83" s="318">
        <v>98.875</v>
      </c>
      <c r="Y83" s="318">
        <v>98.875</v>
      </c>
      <c r="Z83" s="317">
        <v>45201</v>
      </c>
      <c r="AA83" s="316" t="s">
        <v>577</v>
      </c>
    </row>
    <row r="84" spans="1:27">
      <c r="A84" s="316" t="s">
        <v>377</v>
      </c>
      <c r="B84" s="316" t="s">
        <v>90</v>
      </c>
      <c r="C84" s="316" t="s">
        <v>667</v>
      </c>
      <c r="D84" s="316" t="s">
        <v>736</v>
      </c>
      <c r="E84" s="317">
        <v>45201</v>
      </c>
      <c r="F84" s="316" t="s">
        <v>514</v>
      </c>
      <c r="G84" s="316" t="s">
        <v>570</v>
      </c>
      <c r="H84" s="317">
        <v>45201</v>
      </c>
      <c r="J84" s="317">
        <v>45352.861817129633</v>
      </c>
      <c r="K84" s="316" t="s">
        <v>378</v>
      </c>
      <c r="L84" s="318">
        <v>-119444.59</v>
      </c>
      <c r="M84" s="318">
        <v>-119444.59</v>
      </c>
      <c r="N84" s="318">
        <v>0</v>
      </c>
      <c r="O84" s="318">
        <v>0</v>
      </c>
      <c r="P84" s="318">
        <v>24785.37</v>
      </c>
      <c r="Q84" s="318">
        <v>24785.37</v>
      </c>
      <c r="R84" s="318">
        <v>19973.13</v>
      </c>
      <c r="S84" s="318">
        <v>0</v>
      </c>
      <c r="T84" s="318">
        <v>119444.59</v>
      </c>
      <c r="U84" s="318">
        <v>19973.13</v>
      </c>
      <c r="V84" s="319">
        <v>100</v>
      </c>
      <c r="W84" s="319">
        <v>100</v>
      </c>
      <c r="X84" s="318">
        <v>99</v>
      </c>
      <c r="Y84" s="318">
        <v>99</v>
      </c>
      <c r="Z84" s="317">
        <v>45201</v>
      </c>
      <c r="AA84" s="316" t="s">
        <v>570</v>
      </c>
    </row>
    <row r="85" spans="1:27">
      <c r="A85" s="316" t="s">
        <v>377</v>
      </c>
      <c r="B85" s="316" t="s">
        <v>90</v>
      </c>
      <c r="C85" s="316" t="s">
        <v>667</v>
      </c>
      <c r="D85" s="316" t="s">
        <v>737</v>
      </c>
      <c r="E85" s="317">
        <v>45205</v>
      </c>
      <c r="F85" s="316" t="s">
        <v>514</v>
      </c>
      <c r="G85" s="316" t="s">
        <v>571</v>
      </c>
      <c r="H85" s="317">
        <v>45205</v>
      </c>
      <c r="J85" s="317">
        <v>45352.861817129633</v>
      </c>
      <c r="K85" s="316" t="s">
        <v>378</v>
      </c>
      <c r="L85" s="318">
        <v>2764474.29</v>
      </c>
      <c r="M85" s="318">
        <v>2764474.29</v>
      </c>
      <c r="N85" s="318">
        <v>2834266.5</v>
      </c>
      <c r="O85" s="318">
        <v>2834266.5</v>
      </c>
      <c r="P85" s="318">
        <v>75588.41</v>
      </c>
      <c r="Q85" s="318">
        <v>75588.41</v>
      </c>
      <c r="R85" s="318">
        <v>7431.11</v>
      </c>
      <c r="S85" s="318">
        <v>0</v>
      </c>
      <c r="T85" s="318">
        <v>69792.210000000006</v>
      </c>
      <c r="U85" s="318">
        <v>7431.11</v>
      </c>
      <c r="V85" s="319">
        <v>100</v>
      </c>
      <c r="W85" s="319">
        <v>100</v>
      </c>
      <c r="X85" s="318">
        <v>97.547832</v>
      </c>
      <c r="Y85" s="318">
        <v>97.547831630000005</v>
      </c>
      <c r="Z85" s="317">
        <v>45205</v>
      </c>
      <c r="AA85" s="316" t="s">
        <v>571</v>
      </c>
    </row>
    <row r="86" spans="1:27">
      <c r="A86" s="316" t="s">
        <v>377</v>
      </c>
      <c r="B86" s="316" t="s">
        <v>90</v>
      </c>
      <c r="C86" s="316" t="s">
        <v>667</v>
      </c>
      <c r="D86" s="316" t="s">
        <v>738</v>
      </c>
      <c r="E86" s="317">
        <v>45335</v>
      </c>
      <c r="F86" s="316" t="s">
        <v>514</v>
      </c>
      <c r="G86" s="316" t="s">
        <v>739</v>
      </c>
      <c r="H86" s="317">
        <v>45335</v>
      </c>
      <c r="J86" s="317">
        <v>45352.861817129633</v>
      </c>
      <c r="K86" s="316" t="s">
        <v>378</v>
      </c>
      <c r="L86" s="318">
        <v>-164569.67000000001</v>
      </c>
      <c r="M86" s="318">
        <v>-164569.67000000001</v>
      </c>
      <c r="N86" s="318">
        <v>-165736.37</v>
      </c>
      <c r="O86" s="318">
        <v>-165736.37</v>
      </c>
      <c r="P86" s="318">
        <v>3683.03</v>
      </c>
      <c r="Q86" s="318">
        <v>3683.03</v>
      </c>
      <c r="R86" s="318">
        <v>1166.7</v>
      </c>
      <c r="S86" s="318">
        <v>0</v>
      </c>
      <c r="T86" s="318">
        <v>-1166.7</v>
      </c>
      <c r="U86" s="318">
        <v>1166.7</v>
      </c>
      <c r="V86" s="319">
        <v>97.75</v>
      </c>
      <c r="W86" s="319">
        <v>97.75</v>
      </c>
      <c r="X86" s="318">
        <v>97.75</v>
      </c>
      <c r="Y86" s="318">
        <v>97.75</v>
      </c>
      <c r="Z86" s="317">
        <v>45335</v>
      </c>
      <c r="AA86" s="316" t="s">
        <v>739</v>
      </c>
    </row>
    <row r="87" spans="1:27">
      <c r="A87" s="316" t="s">
        <v>377</v>
      </c>
      <c r="B87" s="316" t="s">
        <v>90</v>
      </c>
      <c r="C87" s="316" t="s">
        <v>667</v>
      </c>
      <c r="D87" s="316" t="s">
        <v>740</v>
      </c>
      <c r="E87" s="317">
        <v>45238</v>
      </c>
      <c r="F87" s="316" t="s">
        <v>514</v>
      </c>
      <c r="G87" s="316" t="s">
        <v>572</v>
      </c>
      <c r="H87" s="317">
        <v>45238</v>
      </c>
      <c r="J87" s="317">
        <v>45352.861817129633</v>
      </c>
      <c r="K87" s="316" t="s">
        <v>378</v>
      </c>
      <c r="L87" s="318">
        <v>15041856.24</v>
      </c>
      <c r="M87" s="318">
        <v>15041856.24</v>
      </c>
      <c r="N87" s="318">
        <v>14597240.35</v>
      </c>
      <c r="O87" s="318">
        <v>14597240.35</v>
      </c>
      <c r="P87" s="318">
        <v>126933.65</v>
      </c>
      <c r="Q87" s="318">
        <v>126933.65</v>
      </c>
      <c r="R87" s="318">
        <v>19135.79</v>
      </c>
      <c r="S87" s="318">
        <v>0</v>
      </c>
      <c r="T87" s="318">
        <v>-444615.89</v>
      </c>
      <c r="U87" s="318">
        <v>19135.79</v>
      </c>
      <c r="V87" s="319">
        <v>97.5</v>
      </c>
      <c r="W87" s="319">
        <v>97.5</v>
      </c>
      <c r="X87" s="318">
        <v>98.75</v>
      </c>
      <c r="Y87" s="318">
        <v>98.75</v>
      </c>
      <c r="Z87" s="317">
        <v>45238</v>
      </c>
      <c r="AA87" s="316" t="s">
        <v>572</v>
      </c>
    </row>
    <row r="88" spans="1:27">
      <c r="A88" s="316" t="s">
        <v>377</v>
      </c>
      <c r="B88" s="316" t="s">
        <v>90</v>
      </c>
      <c r="C88" s="316" t="s">
        <v>667</v>
      </c>
      <c r="D88" s="316" t="s">
        <v>741</v>
      </c>
      <c r="E88" s="317">
        <v>45296</v>
      </c>
      <c r="F88" s="316" t="s">
        <v>514</v>
      </c>
      <c r="G88" s="316" t="s">
        <v>742</v>
      </c>
      <c r="H88" s="317">
        <v>45296</v>
      </c>
      <c r="J88" s="317">
        <v>45352.861817129633</v>
      </c>
      <c r="K88" s="316" t="s">
        <v>378</v>
      </c>
      <c r="L88" s="318">
        <v>-41293.120000000003</v>
      </c>
      <c r="M88" s="318">
        <v>-41293.120000000003</v>
      </c>
      <c r="N88" s="318">
        <v>0</v>
      </c>
      <c r="O88" s="318">
        <v>0</v>
      </c>
      <c r="P88" s="318">
        <v>6729.09</v>
      </c>
      <c r="Q88" s="318">
        <v>6729.09</v>
      </c>
      <c r="R88" s="318">
        <v>1206.4100000000001</v>
      </c>
      <c r="S88" s="318">
        <v>0</v>
      </c>
      <c r="T88" s="318">
        <v>41293.120000000003</v>
      </c>
      <c r="U88" s="318">
        <v>1206.4100000000001</v>
      </c>
      <c r="V88" s="319">
        <v>100</v>
      </c>
      <c r="W88" s="319">
        <v>100</v>
      </c>
      <c r="X88" s="318">
        <v>99</v>
      </c>
      <c r="Y88" s="318">
        <v>99</v>
      </c>
      <c r="Z88" s="317">
        <v>45296</v>
      </c>
      <c r="AA88" s="316" t="s">
        <v>742</v>
      </c>
    </row>
    <row r="89" spans="1:27">
      <c r="A89" s="316" t="s">
        <v>377</v>
      </c>
      <c r="B89" s="316" t="s">
        <v>90</v>
      </c>
      <c r="C89" s="316" t="s">
        <v>667</v>
      </c>
      <c r="D89" s="316" t="s">
        <v>743</v>
      </c>
      <c r="E89" s="317">
        <v>45324</v>
      </c>
      <c r="F89" s="316" t="s">
        <v>514</v>
      </c>
      <c r="G89" s="316" t="s">
        <v>744</v>
      </c>
      <c r="H89" s="317">
        <v>45324</v>
      </c>
      <c r="J89" s="317">
        <v>45352.861817129633</v>
      </c>
      <c r="K89" s="316" t="s">
        <v>378</v>
      </c>
      <c r="L89" s="318">
        <v>-122093.85</v>
      </c>
      <c r="M89" s="318">
        <v>-122093.85</v>
      </c>
      <c r="N89" s="318">
        <v>0</v>
      </c>
      <c r="O89" s="318">
        <v>0</v>
      </c>
      <c r="P89" s="318">
        <v>6632.2</v>
      </c>
      <c r="Q89" s="318">
        <v>6632.2</v>
      </c>
      <c r="R89" s="318">
        <v>1402.27</v>
      </c>
      <c r="S89" s="318">
        <v>0</v>
      </c>
      <c r="T89" s="318">
        <v>122093.85</v>
      </c>
      <c r="U89" s="318">
        <v>1402.27</v>
      </c>
      <c r="V89" s="319">
        <v>100</v>
      </c>
      <c r="W89" s="319">
        <v>100</v>
      </c>
      <c r="X89" s="318">
        <v>99.25</v>
      </c>
      <c r="Y89" s="318">
        <v>99.25</v>
      </c>
      <c r="Z89" s="317">
        <v>45324</v>
      </c>
      <c r="AA89" s="316" t="s">
        <v>744</v>
      </c>
    </row>
    <row r="90" spans="1:27">
      <c r="A90" s="316" t="s">
        <v>377</v>
      </c>
      <c r="B90" s="316" t="s">
        <v>90</v>
      </c>
      <c r="C90" s="316" t="s">
        <v>667</v>
      </c>
      <c r="D90" s="316" t="s">
        <v>745</v>
      </c>
      <c r="E90" s="317">
        <v>45237</v>
      </c>
      <c r="F90" s="316" t="s">
        <v>514</v>
      </c>
      <c r="G90" s="316" t="s">
        <v>573</v>
      </c>
      <c r="H90" s="317">
        <v>45237</v>
      </c>
      <c r="J90" s="317">
        <v>45352.861817129633</v>
      </c>
      <c r="K90" s="316" t="s">
        <v>378</v>
      </c>
      <c r="L90" s="318">
        <v>2166125.87</v>
      </c>
      <c r="M90" s="318">
        <v>2166125.87</v>
      </c>
      <c r="N90" s="318">
        <v>2252663.0299999998</v>
      </c>
      <c r="O90" s="318">
        <v>2252663.0299999998</v>
      </c>
      <c r="P90" s="318">
        <v>13496.7</v>
      </c>
      <c r="Q90" s="318">
        <v>13496.7</v>
      </c>
      <c r="R90" s="318">
        <v>9201.02</v>
      </c>
      <c r="S90" s="318">
        <v>0</v>
      </c>
      <c r="T90" s="318">
        <v>86537.16</v>
      </c>
      <c r="U90" s="318">
        <v>9201.02</v>
      </c>
      <c r="V90" s="319">
        <v>100</v>
      </c>
      <c r="W90" s="319">
        <v>100</v>
      </c>
      <c r="X90" s="318">
        <v>99</v>
      </c>
      <c r="Y90" s="318">
        <v>99</v>
      </c>
      <c r="Z90" s="317">
        <v>45237</v>
      </c>
      <c r="AA90" s="316" t="s">
        <v>573</v>
      </c>
    </row>
    <row r="91" spans="1:27">
      <c r="A91" s="316" t="s">
        <v>377</v>
      </c>
      <c r="B91" s="316" t="s">
        <v>90</v>
      </c>
      <c r="C91" s="316" t="s">
        <v>667</v>
      </c>
      <c r="D91" s="316" t="s">
        <v>746</v>
      </c>
      <c r="E91" s="317">
        <v>45219</v>
      </c>
      <c r="F91" s="316" t="s">
        <v>514</v>
      </c>
      <c r="G91" s="316" t="s">
        <v>574</v>
      </c>
      <c r="H91" s="317">
        <v>45219</v>
      </c>
      <c r="J91" s="317">
        <v>45352.861817129633</v>
      </c>
      <c r="K91" s="316" t="s">
        <v>378</v>
      </c>
      <c r="L91" s="318">
        <v>-393194.29</v>
      </c>
      <c r="M91" s="318">
        <v>-393194.29</v>
      </c>
      <c r="N91" s="318">
        <v>-856968.66</v>
      </c>
      <c r="O91" s="318">
        <v>-856968.66</v>
      </c>
      <c r="P91" s="318">
        <v>159491.39000000001</v>
      </c>
      <c r="Q91" s="318">
        <v>159491.39000000001</v>
      </c>
      <c r="R91" s="318">
        <v>35290.04</v>
      </c>
      <c r="S91" s="318">
        <v>0</v>
      </c>
      <c r="T91" s="318">
        <v>-463774.37</v>
      </c>
      <c r="U91" s="318">
        <v>35290.04</v>
      </c>
      <c r="V91" s="319">
        <v>98</v>
      </c>
      <c r="W91" s="319">
        <v>98</v>
      </c>
      <c r="X91" s="318">
        <v>99</v>
      </c>
      <c r="Y91" s="318">
        <v>99</v>
      </c>
      <c r="Z91" s="317">
        <v>45219</v>
      </c>
      <c r="AA91" s="316" t="s">
        <v>574</v>
      </c>
    </row>
    <row r="92" spans="1:27">
      <c r="A92" s="316" t="s">
        <v>377</v>
      </c>
      <c r="B92" s="316" t="s">
        <v>90</v>
      </c>
      <c r="C92" s="316" t="s">
        <v>667</v>
      </c>
      <c r="D92" s="316" t="s">
        <v>747</v>
      </c>
      <c r="E92" s="317">
        <v>45169</v>
      </c>
      <c r="F92" s="316" t="s">
        <v>514</v>
      </c>
      <c r="G92" s="316" t="s">
        <v>575</v>
      </c>
      <c r="H92" s="317">
        <v>45169</v>
      </c>
      <c r="J92" s="317">
        <v>45352.861817129633</v>
      </c>
      <c r="K92" s="316" t="s">
        <v>378</v>
      </c>
      <c r="L92" s="318">
        <v>4659258.74</v>
      </c>
      <c r="M92" s="318">
        <v>4659258.74</v>
      </c>
      <c r="N92" s="318">
        <v>4722919.76</v>
      </c>
      <c r="O92" s="318">
        <v>4722919.76</v>
      </c>
      <c r="P92" s="318">
        <v>77866.58</v>
      </c>
      <c r="Q92" s="318">
        <v>77866.58</v>
      </c>
      <c r="R92" s="318">
        <v>8140.12</v>
      </c>
      <c r="S92" s="318">
        <v>0</v>
      </c>
      <c r="T92" s="318">
        <v>63661.02</v>
      </c>
      <c r="U92" s="318">
        <v>8140.12</v>
      </c>
      <c r="V92" s="319">
        <v>100</v>
      </c>
      <c r="W92" s="319">
        <v>100</v>
      </c>
      <c r="X92" s="318">
        <v>98.875</v>
      </c>
      <c r="Y92" s="318">
        <v>98.875</v>
      </c>
      <c r="Z92" s="317">
        <v>45169</v>
      </c>
      <c r="AA92" s="316" t="s">
        <v>575</v>
      </c>
    </row>
    <row r="93" spans="1:27">
      <c r="A93" s="316" t="s">
        <v>377</v>
      </c>
      <c r="B93" s="316" t="s">
        <v>90</v>
      </c>
      <c r="C93" s="316" t="s">
        <v>750</v>
      </c>
      <c r="D93" s="316" t="s">
        <v>751</v>
      </c>
      <c r="E93" s="317">
        <v>45195</v>
      </c>
      <c r="F93" s="316" t="s">
        <v>514</v>
      </c>
      <c r="G93" s="316" t="s">
        <v>752</v>
      </c>
      <c r="H93" s="317">
        <v>46293</v>
      </c>
      <c r="I93" s="316" t="s">
        <v>892</v>
      </c>
      <c r="J93" s="317">
        <v>45352.861817129633</v>
      </c>
      <c r="K93" s="316" t="s">
        <v>378</v>
      </c>
      <c r="L93" s="318">
        <v>643439.92000000004</v>
      </c>
      <c r="M93" s="318">
        <v>643439.92000000004</v>
      </c>
      <c r="N93" s="318">
        <v>643439.92000000004</v>
      </c>
      <c r="O93" s="318">
        <v>643439.92000000004</v>
      </c>
      <c r="P93" s="318">
        <v>0</v>
      </c>
      <c r="Q93" s="318">
        <v>0</v>
      </c>
      <c r="R93" s="318">
        <v>0</v>
      </c>
      <c r="S93" s="318">
        <v>0</v>
      </c>
      <c r="T93" s="318">
        <v>0</v>
      </c>
      <c r="U93" s="318">
        <v>0</v>
      </c>
      <c r="V93" s="319">
        <v>1</v>
      </c>
      <c r="W93" s="319">
        <v>1</v>
      </c>
      <c r="X93" s="318">
        <v>0</v>
      </c>
      <c r="Y93" s="318">
        <v>0</v>
      </c>
      <c r="Z93" s="317">
        <v>46293</v>
      </c>
      <c r="AA93" s="316" t="s">
        <v>751</v>
      </c>
    </row>
    <row r="94" spans="1:27">
      <c r="A94" s="316" t="s">
        <v>377</v>
      </c>
      <c r="B94" s="316" t="s">
        <v>90</v>
      </c>
      <c r="C94" s="316" t="s">
        <v>750</v>
      </c>
      <c r="D94" s="316" t="s">
        <v>751</v>
      </c>
      <c r="E94" s="317">
        <v>45231</v>
      </c>
      <c r="F94" s="316" t="s">
        <v>514</v>
      </c>
      <c r="G94" s="316" t="s">
        <v>752</v>
      </c>
      <c r="H94" s="317">
        <v>46328</v>
      </c>
      <c r="I94" s="316" t="s">
        <v>892</v>
      </c>
      <c r="J94" s="317">
        <v>45352.861817129633</v>
      </c>
      <c r="K94" s="316" t="s">
        <v>378</v>
      </c>
      <c r="L94" s="318">
        <v>2922125</v>
      </c>
      <c r="M94" s="318">
        <v>2922125</v>
      </c>
      <c r="N94" s="318">
        <v>2922125</v>
      </c>
      <c r="O94" s="318">
        <v>2922125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9">
        <v>1</v>
      </c>
      <c r="W94" s="319">
        <v>1</v>
      </c>
      <c r="X94" s="318">
        <v>0</v>
      </c>
      <c r="Y94" s="318">
        <v>0</v>
      </c>
      <c r="Z94" s="317">
        <v>46328</v>
      </c>
      <c r="AA94" s="316" t="s">
        <v>751</v>
      </c>
    </row>
    <row r="95" spans="1:27">
      <c r="A95" s="316" t="s">
        <v>377</v>
      </c>
      <c r="B95" s="316" t="s">
        <v>90</v>
      </c>
      <c r="C95" s="316" t="s">
        <v>750</v>
      </c>
      <c r="D95" s="316" t="s">
        <v>751</v>
      </c>
      <c r="E95" s="317">
        <v>45245</v>
      </c>
      <c r="F95" s="316" t="s">
        <v>514</v>
      </c>
      <c r="G95" s="316" t="s">
        <v>752</v>
      </c>
      <c r="H95" s="317">
        <v>46343</v>
      </c>
      <c r="I95" s="316" t="s">
        <v>892</v>
      </c>
      <c r="J95" s="317">
        <v>45352.861817129633</v>
      </c>
      <c r="K95" s="316" t="s">
        <v>378</v>
      </c>
      <c r="L95" s="318">
        <v>19147900.899999999</v>
      </c>
      <c r="M95" s="318">
        <v>19147900.899999999</v>
      </c>
      <c r="N95" s="318">
        <v>19147900.899999999</v>
      </c>
      <c r="O95" s="318">
        <v>19147900.899999999</v>
      </c>
      <c r="P95" s="318">
        <v>0</v>
      </c>
      <c r="Q95" s="318">
        <v>0</v>
      </c>
      <c r="R95" s="318">
        <v>0</v>
      </c>
      <c r="S95" s="318">
        <v>0</v>
      </c>
      <c r="T95" s="318">
        <v>0</v>
      </c>
      <c r="U95" s="318">
        <v>0</v>
      </c>
      <c r="V95" s="319">
        <v>1</v>
      </c>
      <c r="W95" s="319">
        <v>1</v>
      </c>
      <c r="X95" s="318">
        <v>0</v>
      </c>
      <c r="Y95" s="318">
        <v>0</v>
      </c>
      <c r="Z95" s="317">
        <v>46343</v>
      </c>
      <c r="AA95" s="316" t="s">
        <v>751</v>
      </c>
    </row>
    <row r="96" spans="1:27">
      <c r="A96" s="316" t="s">
        <v>377</v>
      </c>
      <c r="B96" s="316" t="s">
        <v>90</v>
      </c>
      <c r="C96" s="316" t="s">
        <v>750</v>
      </c>
      <c r="D96" s="316" t="s">
        <v>751</v>
      </c>
      <c r="E96" s="317">
        <v>45258</v>
      </c>
      <c r="F96" s="316" t="s">
        <v>514</v>
      </c>
      <c r="G96" s="316" t="s">
        <v>752</v>
      </c>
      <c r="H96" s="317">
        <v>46293</v>
      </c>
      <c r="I96" s="316" t="s">
        <v>892</v>
      </c>
      <c r="J96" s="317">
        <v>45352.861817129633</v>
      </c>
      <c r="K96" s="316" t="s">
        <v>378</v>
      </c>
      <c r="L96" s="318">
        <v>637470.03</v>
      </c>
      <c r="M96" s="318">
        <v>637470.03</v>
      </c>
      <c r="N96" s="318">
        <v>637470.03</v>
      </c>
      <c r="O96" s="318">
        <v>637470.03</v>
      </c>
      <c r="P96" s="318">
        <v>0</v>
      </c>
      <c r="Q96" s="318">
        <v>0</v>
      </c>
      <c r="R96" s="318">
        <v>0</v>
      </c>
      <c r="S96" s="318">
        <v>0</v>
      </c>
      <c r="T96" s="318">
        <v>0</v>
      </c>
      <c r="U96" s="318">
        <v>0</v>
      </c>
      <c r="V96" s="319">
        <v>1</v>
      </c>
      <c r="W96" s="319">
        <v>1</v>
      </c>
      <c r="X96" s="318">
        <v>0</v>
      </c>
      <c r="Y96" s="318">
        <v>0</v>
      </c>
      <c r="Z96" s="317">
        <v>46293</v>
      </c>
      <c r="AA96" s="316" t="s">
        <v>751</v>
      </c>
    </row>
    <row r="97" spans="1:27">
      <c r="A97" s="316" t="s">
        <v>377</v>
      </c>
      <c r="B97" s="316" t="s">
        <v>90</v>
      </c>
      <c r="C97" s="316" t="s">
        <v>750</v>
      </c>
      <c r="D97" s="316" t="s">
        <v>751</v>
      </c>
      <c r="E97" s="317">
        <v>45310</v>
      </c>
      <c r="F97" s="316" t="s">
        <v>514</v>
      </c>
      <c r="G97" s="316" t="s">
        <v>752</v>
      </c>
      <c r="H97" s="317">
        <v>46293</v>
      </c>
      <c r="I97" s="316" t="s">
        <v>892</v>
      </c>
      <c r="J97" s="317">
        <v>45352.861817129633</v>
      </c>
      <c r="K97" s="316" t="s">
        <v>378</v>
      </c>
      <c r="L97" s="318">
        <v>3831455.24</v>
      </c>
      <c r="M97" s="318">
        <v>3831455.24</v>
      </c>
      <c r="N97" s="318">
        <v>3831455.24</v>
      </c>
      <c r="O97" s="318">
        <v>3831455.24</v>
      </c>
      <c r="P97" s="318">
        <v>0</v>
      </c>
      <c r="Q97" s="318">
        <v>0</v>
      </c>
      <c r="R97" s="318">
        <v>0</v>
      </c>
      <c r="S97" s="318">
        <v>0</v>
      </c>
      <c r="T97" s="318">
        <v>0</v>
      </c>
      <c r="U97" s="318">
        <v>0</v>
      </c>
      <c r="V97" s="319">
        <v>1</v>
      </c>
      <c r="W97" s="319">
        <v>1</v>
      </c>
      <c r="X97" s="318">
        <v>0</v>
      </c>
      <c r="Y97" s="318">
        <v>0</v>
      </c>
      <c r="Z97" s="317">
        <v>46293</v>
      </c>
      <c r="AA97" s="316" t="s">
        <v>751</v>
      </c>
    </row>
    <row r="98" spans="1:27">
      <c r="A98" s="316" t="s">
        <v>377</v>
      </c>
      <c r="B98" s="316" t="s">
        <v>90</v>
      </c>
      <c r="C98" s="316" t="s">
        <v>750</v>
      </c>
      <c r="D98" s="316" t="s">
        <v>751</v>
      </c>
      <c r="E98" s="317">
        <v>45345</v>
      </c>
      <c r="F98" s="316" t="s">
        <v>514</v>
      </c>
      <c r="G98" s="316" t="s">
        <v>752</v>
      </c>
      <c r="H98" s="317">
        <v>46343</v>
      </c>
      <c r="I98" s="316" t="s">
        <v>892</v>
      </c>
      <c r="J98" s="317">
        <v>45352.861817129633</v>
      </c>
      <c r="K98" s="316" t="s">
        <v>378</v>
      </c>
      <c r="L98" s="318">
        <v>30766447.07</v>
      </c>
      <c r="M98" s="318">
        <v>30766447.07</v>
      </c>
      <c r="N98" s="318">
        <v>30766447.07</v>
      </c>
      <c r="O98" s="318">
        <v>30766447.07</v>
      </c>
      <c r="P98" s="318">
        <v>0</v>
      </c>
      <c r="Q98" s="318">
        <v>0</v>
      </c>
      <c r="R98" s="318">
        <v>0</v>
      </c>
      <c r="S98" s="318">
        <v>0</v>
      </c>
      <c r="T98" s="318">
        <v>0</v>
      </c>
      <c r="U98" s="318">
        <v>0</v>
      </c>
      <c r="V98" s="319">
        <v>1</v>
      </c>
      <c r="W98" s="319">
        <v>1</v>
      </c>
      <c r="X98" s="318">
        <v>0</v>
      </c>
      <c r="Y98" s="318">
        <v>0</v>
      </c>
      <c r="Z98" s="317">
        <v>46343</v>
      </c>
      <c r="AA98" s="316" t="s">
        <v>751</v>
      </c>
    </row>
    <row r="99" spans="1:27">
      <c r="A99" s="316" t="s">
        <v>377</v>
      </c>
      <c r="B99" s="316" t="s">
        <v>90</v>
      </c>
      <c r="C99" s="316" t="s">
        <v>750</v>
      </c>
      <c r="D99" s="316" t="s">
        <v>751</v>
      </c>
      <c r="E99" s="317">
        <v>45348</v>
      </c>
      <c r="F99" s="316" t="s">
        <v>514</v>
      </c>
      <c r="G99" s="316" t="s">
        <v>752</v>
      </c>
      <c r="H99" s="317">
        <v>46293</v>
      </c>
      <c r="I99" s="316" t="s">
        <v>892</v>
      </c>
      <c r="J99" s="317">
        <v>45352.861817129633</v>
      </c>
      <c r="K99" s="316" t="s">
        <v>378</v>
      </c>
      <c r="L99" s="318">
        <v>20544450.66</v>
      </c>
      <c r="M99" s="318">
        <v>20544450.66</v>
      </c>
      <c r="N99" s="318">
        <v>20544450.66</v>
      </c>
      <c r="O99" s="318">
        <v>20544450.66</v>
      </c>
      <c r="P99" s="318">
        <v>0</v>
      </c>
      <c r="Q99" s="318">
        <v>0</v>
      </c>
      <c r="R99" s="318">
        <v>0</v>
      </c>
      <c r="S99" s="318">
        <v>0</v>
      </c>
      <c r="T99" s="318">
        <v>0</v>
      </c>
      <c r="U99" s="318">
        <v>0</v>
      </c>
      <c r="V99" s="319">
        <v>1</v>
      </c>
      <c r="W99" s="319">
        <v>1</v>
      </c>
      <c r="X99" s="318">
        <v>0</v>
      </c>
      <c r="Y99" s="318">
        <v>0</v>
      </c>
      <c r="Z99" s="317">
        <v>46293</v>
      </c>
      <c r="AA99" s="316" t="s">
        <v>751</v>
      </c>
    </row>
    <row r="100" spans="1:27">
      <c r="A100" s="316" t="s">
        <v>377</v>
      </c>
      <c r="B100" s="316" t="s">
        <v>90</v>
      </c>
      <c r="C100" s="316" t="s">
        <v>750</v>
      </c>
      <c r="D100" s="316" t="s">
        <v>751</v>
      </c>
      <c r="E100" s="317">
        <v>45350</v>
      </c>
      <c r="F100" s="316" t="s">
        <v>514</v>
      </c>
      <c r="G100" s="316" t="s">
        <v>752</v>
      </c>
      <c r="H100" s="317">
        <v>46293</v>
      </c>
      <c r="I100" s="316" t="s">
        <v>892</v>
      </c>
      <c r="J100" s="317">
        <v>45352.861817129633</v>
      </c>
      <c r="K100" s="316" t="s">
        <v>378</v>
      </c>
      <c r="L100" s="318">
        <v>1373420.45</v>
      </c>
      <c r="M100" s="318">
        <v>1373420.45</v>
      </c>
      <c r="N100" s="318">
        <v>1373420.45</v>
      </c>
      <c r="O100" s="318">
        <v>1373420.45</v>
      </c>
      <c r="P100" s="318">
        <v>0</v>
      </c>
      <c r="Q100" s="318">
        <v>0</v>
      </c>
      <c r="R100" s="318">
        <v>0</v>
      </c>
      <c r="S100" s="318">
        <v>0</v>
      </c>
      <c r="T100" s="318">
        <v>0</v>
      </c>
      <c r="U100" s="318">
        <v>0</v>
      </c>
      <c r="V100" s="319">
        <v>1</v>
      </c>
      <c r="W100" s="319">
        <v>1</v>
      </c>
      <c r="X100" s="318">
        <v>0</v>
      </c>
      <c r="Y100" s="318">
        <v>0</v>
      </c>
      <c r="Z100" s="317">
        <v>46293</v>
      </c>
      <c r="AA100" s="316" t="s">
        <v>751</v>
      </c>
    </row>
    <row r="101" spans="1:27">
      <c r="A101" s="316" t="s">
        <v>377</v>
      </c>
      <c r="B101" s="316" t="s">
        <v>90</v>
      </c>
      <c r="C101" s="316" t="s">
        <v>753</v>
      </c>
      <c r="D101" s="316" t="s">
        <v>754</v>
      </c>
      <c r="E101" s="317">
        <v>45177</v>
      </c>
      <c r="F101" s="316" t="s">
        <v>514</v>
      </c>
      <c r="G101" s="316" t="s">
        <v>754</v>
      </c>
      <c r="H101" s="317">
        <v>45177</v>
      </c>
      <c r="J101" s="317">
        <v>45352.861817129633</v>
      </c>
      <c r="K101" s="316" t="s">
        <v>378</v>
      </c>
      <c r="L101" s="318">
        <v>12949.87</v>
      </c>
      <c r="M101" s="318">
        <v>12949.87</v>
      </c>
      <c r="N101" s="318">
        <v>12949.87</v>
      </c>
      <c r="O101" s="318">
        <v>12949.87</v>
      </c>
      <c r="P101" s="318">
        <v>0</v>
      </c>
      <c r="Q101" s="318">
        <v>0</v>
      </c>
      <c r="R101" s="318">
        <v>0</v>
      </c>
      <c r="S101" s="318">
        <v>0</v>
      </c>
      <c r="T101" s="318">
        <v>0</v>
      </c>
      <c r="U101" s="318">
        <v>0</v>
      </c>
      <c r="V101" s="319">
        <v>1</v>
      </c>
      <c r="W101" s="319">
        <v>1</v>
      </c>
      <c r="X101" s="318">
        <v>1</v>
      </c>
      <c r="Y101" s="318">
        <v>1</v>
      </c>
      <c r="Z101" s="317">
        <v>45177</v>
      </c>
      <c r="AA101" s="316" t="s">
        <v>754</v>
      </c>
    </row>
    <row r="102" spans="1:27">
      <c r="A102" s="316" t="s">
        <v>377</v>
      </c>
      <c r="B102" s="316" t="s">
        <v>90</v>
      </c>
      <c r="C102" s="316" t="s">
        <v>753</v>
      </c>
      <c r="D102" s="316" t="s">
        <v>754</v>
      </c>
      <c r="E102" s="317">
        <v>45197</v>
      </c>
      <c r="F102" s="316" t="s">
        <v>514</v>
      </c>
      <c r="G102" s="316" t="s">
        <v>754</v>
      </c>
      <c r="H102" s="317">
        <v>45197</v>
      </c>
      <c r="J102" s="317">
        <v>45352.861817129633</v>
      </c>
      <c r="K102" s="316" t="s">
        <v>378</v>
      </c>
      <c r="L102" s="318">
        <v>43873.919999999998</v>
      </c>
      <c r="M102" s="318">
        <v>43873.919999999998</v>
      </c>
      <c r="N102" s="318">
        <v>43873.919999999998</v>
      </c>
      <c r="O102" s="318">
        <v>43873.919999999998</v>
      </c>
      <c r="P102" s="318">
        <v>0</v>
      </c>
      <c r="Q102" s="318">
        <v>0</v>
      </c>
      <c r="R102" s="318">
        <v>0</v>
      </c>
      <c r="S102" s="318">
        <v>0</v>
      </c>
      <c r="T102" s="318">
        <v>0</v>
      </c>
      <c r="U102" s="318">
        <v>0</v>
      </c>
      <c r="V102" s="319">
        <v>1</v>
      </c>
      <c r="W102" s="319">
        <v>1</v>
      </c>
      <c r="X102" s="318">
        <v>1</v>
      </c>
      <c r="Y102" s="318">
        <v>1</v>
      </c>
      <c r="Z102" s="317">
        <v>45197</v>
      </c>
      <c r="AA102" s="316" t="s">
        <v>754</v>
      </c>
    </row>
    <row r="103" spans="1:27">
      <c r="A103" s="316" t="s">
        <v>377</v>
      </c>
      <c r="B103" s="316" t="s">
        <v>90</v>
      </c>
      <c r="C103" s="316" t="s">
        <v>753</v>
      </c>
      <c r="D103" s="316" t="s">
        <v>754</v>
      </c>
      <c r="E103" s="317">
        <v>45223</v>
      </c>
      <c r="F103" s="316" t="s">
        <v>514</v>
      </c>
      <c r="G103" s="316" t="s">
        <v>754</v>
      </c>
      <c r="H103" s="317">
        <v>45223</v>
      </c>
      <c r="J103" s="317">
        <v>45352.861817129633</v>
      </c>
      <c r="K103" s="316" t="s">
        <v>378</v>
      </c>
      <c r="L103" s="318">
        <v>43873.919999999998</v>
      </c>
      <c r="M103" s="318">
        <v>43873.919999999998</v>
      </c>
      <c r="N103" s="318">
        <v>43873.919999999998</v>
      </c>
      <c r="O103" s="318">
        <v>43873.919999999998</v>
      </c>
      <c r="P103" s="318">
        <v>0</v>
      </c>
      <c r="Q103" s="318">
        <v>0</v>
      </c>
      <c r="R103" s="318">
        <v>0</v>
      </c>
      <c r="S103" s="318">
        <v>0</v>
      </c>
      <c r="T103" s="318">
        <v>0</v>
      </c>
      <c r="U103" s="318">
        <v>0</v>
      </c>
      <c r="V103" s="319">
        <v>1</v>
      </c>
      <c r="W103" s="319">
        <v>1</v>
      </c>
      <c r="X103" s="318">
        <v>1</v>
      </c>
      <c r="Y103" s="318">
        <v>1</v>
      </c>
      <c r="Z103" s="317">
        <v>45223</v>
      </c>
      <c r="AA103" s="316" t="s">
        <v>754</v>
      </c>
    </row>
    <row r="104" spans="1:27">
      <c r="A104" s="316" t="s">
        <v>377</v>
      </c>
      <c r="B104" s="316" t="s">
        <v>90</v>
      </c>
      <c r="C104" s="316" t="s">
        <v>753</v>
      </c>
      <c r="D104" s="316" t="s">
        <v>754</v>
      </c>
      <c r="E104" s="317">
        <v>45229</v>
      </c>
      <c r="F104" s="316" t="s">
        <v>514</v>
      </c>
      <c r="G104" s="316" t="s">
        <v>754</v>
      </c>
      <c r="H104" s="317">
        <v>45229</v>
      </c>
      <c r="J104" s="317">
        <v>45352.861817129633</v>
      </c>
      <c r="K104" s="316" t="s">
        <v>378</v>
      </c>
      <c r="L104" s="318">
        <v>92135.24</v>
      </c>
      <c r="M104" s="318">
        <v>92135.24</v>
      </c>
      <c r="N104" s="318">
        <v>92135.24</v>
      </c>
      <c r="O104" s="318">
        <v>92135.24</v>
      </c>
      <c r="P104" s="318">
        <v>0</v>
      </c>
      <c r="Q104" s="318">
        <v>0</v>
      </c>
      <c r="R104" s="318">
        <v>0</v>
      </c>
      <c r="S104" s="318">
        <v>0</v>
      </c>
      <c r="T104" s="318">
        <v>0</v>
      </c>
      <c r="U104" s="318">
        <v>0</v>
      </c>
      <c r="V104" s="319">
        <v>1</v>
      </c>
      <c r="W104" s="319">
        <v>1</v>
      </c>
      <c r="X104" s="318">
        <v>1</v>
      </c>
      <c r="Y104" s="318">
        <v>1</v>
      </c>
      <c r="Z104" s="317">
        <v>45229</v>
      </c>
      <c r="AA104" s="316" t="s">
        <v>754</v>
      </c>
    </row>
    <row r="105" spans="1:27">
      <c r="A105" s="316" t="s">
        <v>377</v>
      </c>
      <c r="B105" s="316" t="s">
        <v>90</v>
      </c>
      <c r="C105" s="316" t="s">
        <v>753</v>
      </c>
      <c r="D105" s="316" t="s">
        <v>754</v>
      </c>
      <c r="E105" s="317">
        <v>45237</v>
      </c>
      <c r="F105" s="316" t="s">
        <v>514</v>
      </c>
      <c r="G105" s="316" t="s">
        <v>754</v>
      </c>
      <c r="H105" s="317">
        <v>45237</v>
      </c>
      <c r="J105" s="317">
        <v>45352.861817129633</v>
      </c>
      <c r="K105" s="316" t="s">
        <v>378</v>
      </c>
      <c r="L105" s="318">
        <v>97532.160000000003</v>
      </c>
      <c r="M105" s="318">
        <v>97532.160000000003</v>
      </c>
      <c r="N105" s="318">
        <v>97532.160000000003</v>
      </c>
      <c r="O105" s="318">
        <v>97532.160000000003</v>
      </c>
      <c r="P105" s="318">
        <v>0</v>
      </c>
      <c r="Q105" s="318">
        <v>0</v>
      </c>
      <c r="R105" s="318">
        <v>0</v>
      </c>
      <c r="S105" s="318">
        <v>0</v>
      </c>
      <c r="T105" s="318">
        <v>0</v>
      </c>
      <c r="U105" s="318">
        <v>0</v>
      </c>
      <c r="V105" s="319">
        <v>1</v>
      </c>
      <c r="W105" s="319">
        <v>1</v>
      </c>
      <c r="X105" s="318">
        <v>1</v>
      </c>
      <c r="Y105" s="318">
        <v>1</v>
      </c>
      <c r="Z105" s="317">
        <v>45237</v>
      </c>
      <c r="AA105" s="316" t="s">
        <v>754</v>
      </c>
    </row>
    <row r="106" spans="1:27">
      <c r="A106" s="316" t="s">
        <v>377</v>
      </c>
      <c r="B106" s="316" t="s">
        <v>90</v>
      </c>
      <c r="C106" s="316" t="s">
        <v>753</v>
      </c>
      <c r="D106" s="316" t="s">
        <v>754</v>
      </c>
      <c r="E106" s="317">
        <v>45239</v>
      </c>
      <c r="F106" s="316" t="s">
        <v>514</v>
      </c>
      <c r="G106" s="316" t="s">
        <v>754</v>
      </c>
      <c r="H106" s="317">
        <v>45239</v>
      </c>
      <c r="J106" s="317">
        <v>45352.861817129633</v>
      </c>
      <c r="K106" s="316" t="s">
        <v>378</v>
      </c>
      <c r="L106" s="318">
        <v>92135.24</v>
      </c>
      <c r="M106" s="318">
        <v>92135.24</v>
      </c>
      <c r="N106" s="318">
        <v>92135.24</v>
      </c>
      <c r="O106" s="318">
        <v>92135.24</v>
      </c>
      <c r="P106" s="318">
        <v>0</v>
      </c>
      <c r="Q106" s="318">
        <v>0</v>
      </c>
      <c r="R106" s="318">
        <v>0</v>
      </c>
      <c r="S106" s="318">
        <v>0</v>
      </c>
      <c r="T106" s="318">
        <v>0</v>
      </c>
      <c r="U106" s="318">
        <v>0</v>
      </c>
      <c r="V106" s="319">
        <v>1</v>
      </c>
      <c r="W106" s="319">
        <v>1</v>
      </c>
      <c r="X106" s="318">
        <v>1</v>
      </c>
      <c r="Y106" s="318">
        <v>1</v>
      </c>
      <c r="Z106" s="317">
        <v>45239</v>
      </c>
      <c r="AA106" s="316" t="s">
        <v>754</v>
      </c>
    </row>
    <row r="107" spans="1:27">
      <c r="A107" s="316" t="s">
        <v>377</v>
      </c>
      <c r="B107" s="316" t="s">
        <v>90</v>
      </c>
      <c r="C107" s="316" t="s">
        <v>753</v>
      </c>
      <c r="D107" s="316" t="s">
        <v>754</v>
      </c>
      <c r="E107" s="317">
        <v>45258</v>
      </c>
      <c r="F107" s="316" t="s">
        <v>514</v>
      </c>
      <c r="G107" s="316" t="s">
        <v>754</v>
      </c>
      <c r="H107" s="317">
        <v>45258</v>
      </c>
      <c r="J107" s="317">
        <v>45352.861817129633</v>
      </c>
      <c r="K107" s="316" t="s">
        <v>378</v>
      </c>
      <c r="L107" s="318">
        <v>87747.85</v>
      </c>
      <c r="M107" s="318">
        <v>87747.85</v>
      </c>
      <c r="N107" s="318">
        <v>87747.85</v>
      </c>
      <c r="O107" s="318">
        <v>87747.85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9">
        <v>1</v>
      </c>
      <c r="W107" s="319">
        <v>1</v>
      </c>
      <c r="X107" s="318">
        <v>1</v>
      </c>
      <c r="Y107" s="318">
        <v>1</v>
      </c>
      <c r="Z107" s="317">
        <v>45258</v>
      </c>
      <c r="AA107" s="316" t="s">
        <v>754</v>
      </c>
    </row>
    <row r="108" spans="1:27">
      <c r="A108" s="316" t="s">
        <v>377</v>
      </c>
      <c r="B108" s="316" t="s">
        <v>90</v>
      </c>
      <c r="C108" s="316" t="s">
        <v>753</v>
      </c>
      <c r="D108" s="316" t="s">
        <v>754</v>
      </c>
      <c r="E108" s="317">
        <v>45314</v>
      </c>
      <c r="F108" s="316" t="s">
        <v>514</v>
      </c>
      <c r="G108" s="316" t="s">
        <v>754</v>
      </c>
      <c r="H108" s="317">
        <v>45314</v>
      </c>
      <c r="J108" s="317">
        <v>45352.861817129633</v>
      </c>
      <c r="K108" s="316" t="s">
        <v>378</v>
      </c>
      <c r="L108" s="318">
        <v>97532.160000000003</v>
      </c>
      <c r="M108" s="318">
        <v>97532.160000000003</v>
      </c>
      <c r="N108" s="318">
        <v>97532.160000000003</v>
      </c>
      <c r="O108" s="318">
        <v>97532.160000000003</v>
      </c>
      <c r="P108" s="318">
        <v>0</v>
      </c>
      <c r="Q108" s="318">
        <v>0</v>
      </c>
      <c r="R108" s="318">
        <v>0</v>
      </c>
      <c r="S108" s="318">
        <v>0</v>
      </c>
      <c r="T108" s="318">
        <v>0</v>
      </c>
      <c r="U108" s="318">
        <v>0</v>
      </c>
      <c r="V108" s="319">
        <v>1</v>
      </c>
      <c r="W108" s="319">
        <v>1</v>
      </c>
      <c r="X108" s="318">
        <v>1</v>
      </c>
      <c r="Y108" s="318">
        <v>1</v>
      </c>
      <c r="Z108" s="317">
        <v>45314</v>
      </c>
      <c r="AA108" s="316" t="s">
        <v>754</v>
      </c>
    </row>
    <row r="109" spans="1:27">
      <c r="A109" s="316" t="s">
        <v>377</v>
      </c>
      <c r="B109" s="316" t="s">
        <v>90</v>
      </c>
      <c r="C109" s="316" t="s">
        <v>753</v>
      </c>
      <c r="D109" s="316" t="s">
        <v>754</v>
      </c>
      <c r="E109" s="317">
        <v>45328</v>
      </c>
      <c r="F109" s="316" t="s">
        <v>514</v>
      </c>
      <c r="G109" s="316" t="s">
        <v>754</v>
      </c>
      <c r="H109" s="317">
        <v>45328</v>
      </c>
      <c r="J109" s="317">
        <v>45352.861817129633</v>
      </c>
      <c r="K109" s="316" t="s">
        <v>378</v>
      </c>
      <c r="L109" s="318">
        <v>965.74</v>
      </c>
      <c r="M109" s="318">
        <v>965.74</v>
      </c>
      <c r="N109" s="318">
        <v>965.74</v>
      </c>
      <c r="O109" s="318">
        <v>965.74</v>
      </c>
      <c r="P109" s="318">
        <v>0</v>
      </c>
      <c r="Q109" s="318">
        <v>0</v>
      </c>
      <c r="R109" s="318">
        <v>0</v>
      </c>
      <c r="S109" s="318">
        <v>0</v>
      </c>
      <c r="T109" s="318">
        <v>0</v>
      </c>
      <c r="U109" s="318">
        <v>0</v>
      </c>
      <c r="V109" s="319">
        <v>1</v>
      </c>
      <c r="W109" s="319">
        <v>1</v>
      </c>
      <c r="X109" s="318">
        <v>1</v>
      </c>
      <c r="Y109" s="318">
        <v>1</v>
      </c>
      <c r="Z109" s="317">
        <v>45328</v>
      </c>
      <c r="AA109" s="316" t="s">
        <v>754</v>
      </c>
    </row>
    <row r="110" spans="1:27">
      <c r="A110" s="316" t="s">
        <v>377</v>
      </c>
      <c r="B110" s="316" t="s">
        <v>90</v>
      </c>
      <c r="C110" s="316" t="s">
        <v>755</v>
      </c>
      <c r="D110" s="316" t="s">
        <v>756</v>
      </c>
      <c r="E110" s="317">
        <v>45169</v>
      </c>
      <c r="F110" s="316" t="s">
        <v>514</v>
      </c>
      <c r="G110" s="316" t="s">
        <v>578</v>
      </c>
      <c r="H110" s="317">
        <v>45169</v>
      </c>
      <c r="J110" s="317">
        <v>45352.861817129633</v>
      </c>
      <c r="K110" s="316" t="s">
        <v>378</v>
      </c>
      <c r="L110" s="318">
        <v>43681.2</v>
      </c>
      <c r="M110" s="318">
        <v>43681.2</v>
      </c>
      <c r="N110" s="318">
        <v>45680.08</v>
      </c>
      <c r="O110" s="318">
        <v>45680.08</v>
      </c>
      <c r="P110" s="318">
        <v>0</v>
      </c>
      <c r="Q110" s="318">
        <v>0</v>
      </c>
      <c r="R110" s="318">
        <v>0</v>
      </c>
      <c r="S110" s="318">
        <v>0</v>
      </c>
      <c r="T110" s="318">
        <v>1998.88</v>
      </c>
      <c r="U110" s="318">
        <v>0</v>
      </c>
      <c r="V110" s="319">
        <v>1.0876209999999999</v>
      </c>
      <c r="W110" s="319">
        <v>1.0876209999999999</v>
      </c>
      <c r="X110" s="318">
        <v>1</v>
      </c>
      <c r="Y110" s="318">
        <v>1</v>
      </c>
      <c r="Z110" s="317">
        <v>45169</v>
      </c>
      <c r="AA110" s="316" t="s">
        <v>578</v>
      </c>
    </row>
    <row r="111" spans="1:27">
      <c r="A111" s="316" t="s">
        <v>377</v>
      </c>
      <c r="B111" s="316" t="s">
        <v>90</v>
      </c>
      <c r="C111" s="316" t="s">
        <v>757</v>
      </c>
      <c r="D111" s="316" t="s">
        <v>761</v>
      </c>
      <c r="E111" s="317">
        <v>45201</v>
      </c>
      <c r="F111" s="316" t="s">
        <v>514</v>
      </c>
      <c r="G111" s="316" t="s">
        <v>580</v>
      </c>
      <c r="H111" s="317">
        <v>45201</v>
      </c>
      <c r="J111" s="317">
        <v>45352.861817129633</v>
      </c>
      <c r="K111" s="316" t="s">
        <v>378</v>
      </c>
      <c r="L111" s="318">
        <v>919532.67</v>
      </c>
      <c r="M111" s="318">
        <v>919532.67</v>
      </c>
      <c r="N111" s="318">
        <v>905188.2</v>
      </c>
      <c r="O111" s="318">
        <v>905188.2</v>
      </c>
      <c r="P111" s="318">
        <v>27067.51</v>
      </c>
      <c r="Q111" s="318">
        <v>27067.51</v>
      </c>
      <c r="R111" s="318">
        <v>14344.47</v>
      </c>
      <c r="S111" s="318">
        <v>0</v>
      </c>
      <c r="T111" s="318">
        <v>-14344.47</v>
      </c>
      <c r="U111" s="318">
        <v>14344.47</v>
      </c>
      <c r="V111" s="319">
        <v>96</v>
      </c>
      <c r="W111" s="319">
        <v>96</v>
      </c>
      <c r="X111" s="318">
        <v>96</v>
      </c>
      <c r="Y111" s="318">
        <v>96</v>
      </c>
      <c r="Z111" s="317">
        <v>45201</v>
      </c>
      <c r="AA111" s="316" t="s">
        <v>580</v>
      </c>
    </row>
    <row r="112" spans="1:27">
      <c r="A112" s="316" t="s">
        <v>377</v>
      </c>
      <c r="B112" s="316" t="s">
        <v>90</v>
      </c>
      <c r="C112" s="316" t="s">
        <v>757</v>
      </c>
      <c r="D112" s="316" t="s">
        <v>762</v>
      </c>
      <c r="E112" s="317">
        <v>45250</v>
      </c>
      <c r="F112" s="316" t="s">
        <v>514</v>
      </c>
      <c r="G112" s="316" t="s">
        <v>581</v>
      </c>
      <c r="H112" s="317">
        <v>45264</v>
      </c>
      <c r="I112" s="316" t="s">
        <v>893</v>
      </c>
      <c r="J112" s="317">
        <v>45352.861817129633</v>
      </c>
      <c r="K112" s="316" t="s">
        <v>378</v>
      </c>
      <c r="L112" s="318">
        <v>-16260.32</v>
      </c>
      <c r="M112" s="318">
        <v>-16260.32</v>
      </c>
      <c r="N112" s="318">
        <v>-33918.86</v>
      </c>
      <c r="O112" s="318">
        <v>-33918.86</v>
      </c>
      <c r="P112" s="318">
        <v>1732.23</v>
      </c>
      <c r="Q112" s="318">
        <v>1732.23</v>
      </c>
      <c r="R112" s="318">
        <v>699.11</v>
      </c>
      <c r="S112" s="318">
        <v>0</v>
      </c>
      <c r="T112" s="318">
        <v>-17658.54</v>
      </c>
      <c r="U112" s="318">
        <v>699.11</v>
      </c>
      <c r="V112" s="319">
        <v>98</v>
      </c>
      <c r="W112" s="319">
        <v>98</v>
      </c>
      <c r="X112" s="318">
        <v>99</v>
      </c>
      <c r="Y112" s="318">
        <v>99</v>
      </c>
      <c r="Z112" s="317">
        <v>45264</v>
      </c>
      <c r="AA112" s="316" t="s">
        <v>581</v>
      </c>
    </row>
    <row r="113" spans="1:27">
      <c r="A113" s="316" t="s">
        <v>377</v>
      </c>
      <c r="B113" s="316" t="s">
        <v>90</v>
      </c>
      <c r="C113" s="316" t="s">
        <v>757</v>
      </c>
      <c r="D113" s="316" t="s">
        <v>763</v>
      </c>
      <c r="E113" s="317">
        <v>45278</v>
      </c>
      <c r="F113" s="316" t="s">
        <v>514</v>
      </c>
      <c r="G113" s="316" t="s">
        <v>582</v>
      </c>
      <c r="H113" s="317">
        <v>45278</v>
      </c>
      <c r="J113" s="317">
        <v>45352.861817129633</v>
      </c>
      <c r="K113" s="316" t="s">
        <v>378</v>
      </c>
      <c r="L113" s="318">
        <v>856.2</v>
      </c>
      <c r="M113" s="318">
        <v>856.2</v>
      </c>
      <c r="N113" s="318">
        <v>866.04</v>
      </c>
      <c r="O113" s="318">
        <v>866.04</v>
      </c>
      <c r="P113" s="318">
        <v>8.4</v>
      </c>
      <c r="Q113" s="318">
        <v>8.4</v>
      </c>
      <c r="R113" s="318">
        <v>1.1200000000000001</v>
      </c>
      <c r="S113" s="318">
        <v>0</v>
      </c>
      <c r="T113" s="318">
        <v>9.84</v>
      </c>
      <c r="U113" s="318">
        <v>1.1200000000000001</v>
      </c>
      <c r="V113" s="319">
        <v>98.75</v>
      </c>
      <c r="W113" s="319">
        <v>98.75</v>
      </c>
      <c r="X113" s="318">
        <v>97.5</v>
      </c>
      <c r="Y113" s="318">
        <v>97.5</v>
      </c>
      <c r="Z113" s="317">
        <v>45278</v>
      </c>
      <c r="AA113" s="316" t="s">
        <v>582</v>
      </c>
    </row>
    <row r="114" spans="1:27">
      <c r="A114" s="316" t="s">
        <v>377</v>
      </c>
      <c r="B114" s="316" t="s">
        <v>90</v>
      </c>
      <c r="C114" s="316" t="s">
        <v>757</v>
      </c>
      <c r="D114" s="316" t="s">
        <v>764</v>
      </c>
      <c r="E114" s="317">
        <v>45237</v>
      </c>
      <c r="F114" s="316" t="s">
        <v>514</v>
      </c>
      <c r="G114" s="316" t="s">
        <v>583</v>
      </c>
      <c r="H114" s="317">
        <v>45237</v>
      </c>
      <c r="J114" s="317">
        <v>45352.861817129633</v>
      </c>
      <c r="K114" s="316" t="s">
        <v>378</v>
      </c>
      <c r="L114" s="318">
        <v>489042.46</v>
      </c>
      <c r="M114" s="318">
        <v>489042.46</v>
      </c>
      <c r="N114" s="318">
        <v>484719.22</v>
      </c>
      <c r="O114" s="318">
        <v>484719.22</v>
      </c>
      <c r="P114" s="318">
        <v>7259.82</v>
      </c>
      <c r="Q114" s="318">
        <v>7259.82</v>
      </c>
      <c r="R114" s="318">
        <v>4323.24</v>
      </c>
      <c r="S114" s="318">
        <v>0</v>
      </c>
      <c r="T114" s="318">
        <v>-4323.24</v>
      </c>
      <c r="U114" s="318">
        <v>4323.24</v>
      </c>
      <c r="V114" s="319">
        <v>97.5</v>
      </c>
      <c r="W114" s="319">
        <v>97.5</v>
      </c>
      <c r="X114" s="318">
        <v>97.5</v>
      </c>
      <c r="Y114" s="318">
        <v>97.5</v>
      </c>
      <c r="Z114" s="317">
        <v>45237</v>
      </c>
      <c r="AA114" s="316" t="s">
        <v>583</v>
      </c>
    </row>
    <row r="115" spans="1:27">
      <c r="A115" s="316" t="s">
        <v>377</v>
      </c>
      <c r="B115" s="316" t="s">
        <v>90</v>
      </c>
      <c r="C115" s="316" t="s">
        <v>757</v>
      </c>
      <c r="D115" s="316" t="s">
        <v>765</v>
      </c>
      <c r="E115" s="317">
        <v>45223</v>
      </c>
      <c r="F115" s="316" t="s">
        <v>514</v>
      </c>
      <c r="G115" s="316" t="s">
        <v>584</v>
      </c>
      <c r="H115" s="317">
        <v>45223</v>
      </c>
      <c r="J115" s="317">
        <v>45352.861817129633</v>
      </c>
      <c r="K115" s="316" t="s">
        <v>378</v>
      </c>
      <c r="L115" s="318">
        <v>1297096.1299999999</v>
      </c>
      <c r="M115" s="318">
        <v>1297096.1299999999</v>
      </c>
      <c r="N115" s="318">
        <v>1290460.3400000001</v>
      </c>
      <c r="O115" s="318">
        <v>1290460.3400000001</v>
      </c>
      <c r="P115" s="318">
        <v>20929.009999999998</v>
      </c>
      <c r="Q115" s="318">
        <v>20929.009999999998</v>
      </c>
      <c r="R115" s="318">
        <v>6635.79</v>
      </c>
      <c r="S115" s="318">
        <v>0</v>
      </c>
      <c r="T115" s="318">
        <v>-6635.79</v>
      </c>
      <c r="U115" s="318">
        <v>6635.79</v>
      </c>
      <c r="V115" s="319">
        <v>97.5</v>
      </c>
      <c r="W115" s="319">
        <v>97.5</v>
      </c>
      <c r="X115" s="318">
        <v>97.5</v>
      </c>
      <c r="Y115" s="318">
        <v>97.5</v>
      </c>
      <c r="Z115" s="317">
        <v>45223</v>
      </c>
      <c r="AA115" s="316" t="s">
        <v>584</v>
      </c>
    </row>
    <row r="116" spans="1:27">
      <c r="A116" s="316" t="s">
        <v>377</v>
      </c>
      <c r="B116" s="316" t="s">
        <v>90</v>
      </c>
      <c r="C116" s="316" t="s">
        <v>757</v>
      </c>
      <c r="D116" s="316" t="s">
        <v>766</v>
      </c>
      <c r="E116" s="317">
        <v>45308</v>
      </c>
      <c r="F116" s="316" t="s">
        <v>514</v>
      </c>
      <c r="G116" s="316" t="s">
        <v>767</v>
      </c>
      <c r="H116" s="317">
        <v>45308</v>
      </c>
      <c r="J116" s="317">
        <v>45352.861817129633</v>
      </c>
      <c r="K116" s="316" t="s">
        <v>378</v>
      </c>
      <c r="L116" s="318">
        <v>-16.809999999999999</v>
      </c>
      <c r="M116" s="318">
        <v>-16.809999999999999</v>
      </c>
      <c r="N116" s="318">
        <v>0</v>
      </c>
      <c r="O116" s="318">
        <v>0</v>
      </c>
      <c r="P116" s="318">
        <v>0.55000000000000004</v>
      </c>
      <c r="Q116" s="318">
        <v>0.55000000000000004</v>
      </c>
      <c r="R116" s="318">
        <v>0.73</v>
      </c>
      <c r="S116" s="318">
        <v>0</v>
      </c>
      <c r="T116" s="318">
        <v>16.809999999999999</v>
      </c>
      <c r="U116" s="318">
        <v>0.73</v>
      </c>
      <c r="V116" s="319">
        <v>100</v>
      </c>
      <c r="W116" s="319">
        <v>100</v>
      </c>
      <c r="X116" s="318">
        <v>98</v>
      </c>
      <c r="Y116" s="318">
        <v>98</v>
      </c>
      <c r="Z116" s="317">
        <v>45308</v>
      </c>
      <c r="AA116" s="316" t="s">
        <v>767</v>
      </c>
    </row>
    <row r="117" spans="1:27">
      <c r="A117" s="316" t="s">
        <v>377</v>
      </c>
      <c r="B117" s="316" t="s">
        <v>90</v>
      </c>
      <c r="C117" s="316" t="s">
        <v>757</v>
      </c>
      <c r="D117" s="316" t="s">
        <v>768</v>
      </c>
      <c r="E117" s="317">
        <v>45320</v>
      </c>
      <c r="F117" s="316" t="s">
        <v>514</v>
      </c>
      <c r="G117" s="316" t="s">
        <v>769</v>
      </c>
      <c r="H117" s="317">
        <v>45320</v>
      </c>
      <c r="J117" s="317">
        <v>45352.861817129633</v>
      </c>
      <c r="K117" s="316" t="s">
        <v>378</v>
      </c>
      <c r="L117" s="318">
        <v>-56027.37</v>
      </c>
      <c r="M117" s="318">
        <v>-56027.37</v>
      </c>
      <c r="N117" s="318">
        <v>-56737.42</v>
      </c>
      <c r="O117" s="318">
        <v>-56737.42</v>
      </c>
      <c r="P117" s="318">
        <v>2521.66</v>
      </c>
      <c r="Q117" s="318">
        <v>2521.66</v>
      </c>
      <c r="R117" s="318">
        <v>710.05</v>
      </c>
      <c r="S117" s="318">
        <v>0</v>
      </c>
      <c r="T117" s="318">
        <v>-710.05</v>
      </c>
      <c r="U117" s="318">
        <v>710.05</v>
      </c>
      <c r="V117" s="319">
        <v>99</v>
      </c>
      <c r="W117" s="319">
        <v>99</v>
      </c>
      <c r="X117" s="318">
        <v>99</v>
      </c>
      <c r="Y117" s="318">
        <v>99</v>
      </c>
      <c r="Z117" s="317">
        <v>45320</v>
      </c>
      <c r="AA117" s="316" t="s">
        <v>769</v>
      </c>
    </row>
    <row r="118" spans="1:27">
      <c r="A118" s="316" t="s">
        <v>377</v>
      </c>
      <c r="B118" s="316" t="s">
        <v>90</v>
      </c>
      <c r="C118" s="316" t="s">
        <v>757</v>
      </c>
      <c r="D118" s="316" t="s">
        <v>832</v>
      </c>
      <c r="E118" s="317">
        <v>45279</v>
      </c>
      <c r="F118" s="316" t="s">
        <v>514</v>
      </c>
      <c r="G118" s="316" t="s">
        <v>831</v>
      </c>
      <c r="H118" s="317">
        <v>45288</v>
      </c>
      <c r="I118" s="316" t="s">
        <v>894</v>
      </c>
      <c r="J118" s="317">
        <v>45352.861817129633</v>
      </c>
      <c r="K118" s="316" t="s">
        <v>378</v>
      </c>
      <c r="L118" s="318">
        <v>-19274.419999999998</v>
      </c>
      <c r="M118" s="318">
        <v>-19274.419999999998</v>
      </c>
      <c r="N118" s="318">
        <v>0</v>
      </c>
      <c r="O118" s="318">
        <v>0</v>
      </c>
      <c r="P118" s="318">
        <v>1207.3699999999999</v>
      </c>
      <c r="Q118" s="318">
        <v>1207.3699999999999</v>
      </c>
      <c r="R118" s="318">
        <v>1099.94</v>
      </c>
      <c r="S118" s="318">
        <v>0</v>
      </c>
      <c r="T118" s="318">
        <v>19274.419999999998</v>
      </c>
      <c r="U118" s="318">
        <v>1099.94</v>
      </c>
      <c r="V118" s="319">
        <v>100</v>
      </c>
      <c r="W118" s="319">
        <v>100</v>
      </c>
      <c r="X118" s="318">
        <v>98.5</v>
      </c>
      <c r="Y118" s="318">
        <v>98.5</v>
      </c>
      <c r="Z118" s="317">
        <v>45288</v>
      </c>
      <c r="AA118" s="316" t="s">
        <v>614</v>
      </c>
    </row>
    <row r="119" spans="1:27">
      <c r="A119" s="316" t="s">
        <v>377</v>
      </c>
      <c r="B119" s="316" t="s">
        <v>90</v>
      </c>
      <c r="C119" s="316" t="s">
        <v>757</v>
      </c>
      <c r="D119" s="316" t="s">
        <v>770</v>
      </c>
      <c r="E119" s="317">
        <v>45309</v>
      </c>
      <c r="F119" s="316" t="s">
        <v>514</v>
      </c>
      <c r="G119" s="316" t="s">
        <v>585</v>
      </c>
      <c r="H119" s="317">
        <v>45309</v>
      </c>
      <c r="J119" s="317">
        <v>45352.861817129633</v>
      </c>
      <c r="K119" s="316" t="s">
        <v>378</v>
      </c>
      <c r="L119" s="318">
        <v>417.02</v>
      </c>
      <c r="M119" s="318">
        <v>417.02</v>
      </c>
      <c r="N119" s="318">
        <v>416.58</v>
      </c>
      <c r="O119" s="318">
        <v>416.58</v>
      </c>
      <c r="P119" s="318">
        <v>5.25</v>
      </c>
      <c r="Q119" s="318">
        <v>5.25</v>
      </c>
      <c r="R119" s="318">
        <v>0.44</v>
      </c>
      <c r="S119" s="318">
        <v>0</v>
      </c>
      <c r="T119" s="318">
        <v>-0.44</v>
      </c>
      <c r="U119" s="318">
        <v>0.44</v>
      </c>
      <c r="V119" s="319">
        <v>97.5</v>
      </c>
      <c r="W119" s="319">
        <v>97.5</v>
      </c>
      <c r="X119" s="318">
        <v>97.5</v>
      </c>
      <c r="Y119" s="318">
        <v>97.5</v>
      </c>
      <c r="Z119" s="317">
        <v>45309</v>
      </c>
      <c r="AA119" s="316" t="s">
        <v>585</v>
      </c>
    </row>
    <row r="120" spans="1:27">
      <c r="A120" s="316" t="s">
        <v>377</v>
      </c>
      <c r="B120" s="316" t="s">
        <v>90</v>
      </c>
      <c r="C120" s="316" t="s">
        <v>757</v>
      </c>
      <c r="D120" s="316" t="s">
        <v>771</v>
      </c>
      <c r="E120" s="317">
        <v>45195</v>
      </c>
      <c r="F120" s="316" t="s">
        <v>514</v>
      </c>
      <c r="G120" s="316" t="s">
        <v>586</v>
      </c>
      <c r="H120" s="317">
        <v>45195</v>
      </c>
      <c r="I120" s="316" t="s">
        <v>895</v>
      </c>
      <c r="J120" s="317">
        <v>45352.861817129633</v>
      </c>
      <c r="K120" s="316" t="s">
        <v>378</v>
      </c>
      <c r="L120" s="318">
        <v>2062420.75</v>
      </c>
      <c r="M120" s="318">
        <v>2062420.75</v>
      </c>
      <c r="N120" s="318">
        <v>2115146.4700000002</v>
      </c>
      <c r="O120" s="318">
        <v>2115146.4700000002</v>
      </c>
      <c r="P120" s="318">
        <v>28595.73</v>
      </c>
      <c r="Q120" s="318">
        <v>28595.73</v>
      </c>
      <c r="R120" s="318">
        <v>9455.92</v>
      </c>
      <c r="S120" s="318">
        <v>0</v>
      </c>
      <c r="T120" s="318">
        <v>52725.72</v>
      </c>
      <c r="U120" s="318">
        <v>9455.92</v>
      </c>
      <c r="V120" s="319">
        <v>100</v>
      </c>
      <c r="W120" s="319">
        <v>100</v>
      </c>
      <c r="X120" s="318">
        <v>97.804929999999999</v>
      </c>
      <c r="Y120" s="318">
        <v>97.804929580000007</v>
      </c>
      <c r="Z120" s="317">
        <v>45195</v>
      </c>
      <c r="AA120" s="316" t="s">
        <v>586</v>
      </c>
    </row>
    <row r="121" spans="1:27">
      <c r="A121" s="316" t="s">
        <v>377</v>
      </c>
      <c r="B121" s="316" t="s">
        <v>90</v>
      </c>
      <c r="C121" s="316" t="s">
        <v>757</v>
      </c>
      <c r="D121" s="316" t="s">
        <v>772</v>
      </c>
      <c r="E121" s="317">
        <v>45352</v>
      </c>
      <c r="F121" s="316" t="s">
        <v>514</v>
      </c>
      <c r="G121" s="316" t="s">
        <v>773</v>
      </c>
      <c r="H121" s="317">
        <v>45352</v>
      </c>
      <c r="J121" s="317">
        <v>45352.861817129633</v>
      </c>
      <c r="K121" s="316" t="s">
        <v>378</v>
      </c>
      <c r="L121" s="318">
        <v>-84323.05</v>
      </c>
      <c r="M121" s="318">
        <v>-84323.05</v>
      </c>
      <c r="N121" s="318">
        <v>-84371.12</v>
      </c>
      <c r="O121" s="318">
        <v>-84371.12</v>
      </c>
      <c r="P121" s="318">
        <v>58.59</v>
      </c>
      <c r="Q121" s="318">
        <v>58.59</v>
      </c>
      <c r="R121" s="318">
        <v>48.07</v>
      </c>
      <c r="S121" s="318">
        <v>0</v>
      </c>
      <c r="T121" s="318">
        <v>-48.07</v>
      </c>
      <c r="U121" s="318">
        <v>48.07</v>
      </c>
      <c r="V121" s="319">
        <v>98</v>
      </c>
      <c r="W121" s="319">
        <v>98</v>
      </c>
      <c r="X121" s="318">
        <v>98</v>
      </c>
      <c r="Y121" s="318">
        <v>98</v>
      </c>
      <c r="Z121" s="317">
        <v>45352</v>
      </c>
      <c r="AA121" s="316" t="s">
        <v>773</v>
      </c>
    </row>
    <row r="122" spans="1:27">
      <c r="A122" s="316" t="s">
        <v>377</v>
      </c>
      <c r="B122" s="316" t="s">
        <v>90</v>
      </c>
      <c r="C122" s="316" t="s">
        <v>757</v>
      </c>
      <c r="D122" s="316" t="s">
        <v>774</v>
      </c>
      <c r="E122" s="317">
        <v>45217</v>
      </c>
      <c r="F122" s="316" t="s">
        <v>514</v>
      </c>
      <c r="G122" s="316" t="s">
        <v>587</v>
      </c>
      <c r="H122" s="317">
        <v>45217</v>
      </c>
      <c r="J122" s="317">
        <v>45352.861817129633</v>
      </c>
      <c r="K122" s="316" t="s">
        <v>378</v>
      </c>
      <c r="L122" s="318">
        <v>-135869.69</v>
      </c>
      <c r="M122" s="318">
        <v>-135869.69</v>
      </c>
      <c r="N122" s="318">
        <v>-144857.18</v>
      </c>
      <c r="O122" s="318">
        <v>-144857.18</v>
      </c>
      <c r="P122" s="318">
        <v>5722.75</v>
      </c>
      <c r="Q122" s="318">
        <v>5722.75</v>
      </c>
      <c r="R122" s="318">
        <v>8987.49</v>
      </c>
      <c r="S122" s="318">
        <v>0</v>
      </c>
      <c r="T122" s="318">
        <v>-8987.49</v>
      </c>
      <c r="U122" s="318">
        <v>8987.49</v>
      </c>
      <c r="V122" s="319">
        <v>97.75</v>
      </c>
      <c r="W122" s="319">
        <v>97.75</v>
      </c>
      <c r="X122" s="318">
        <v>97.75</v>
      </c>
      <c r="Y122" s="318">
        <v>97.75</v>
      </c>
      <c r="Z122" s="317">
        <v>45217</v>
      </c>
      <c r="AA122" s="316" t="s">
        <v>587</v>
      </c>
    </row>
    <row r="123" spans="1:27">
      <c r="A123" s="316" t="s">
        <v>377</v>
      </c>
      <c r="B123" s="316" t="s">
        <v>90</v>
      </c>
      <c r="C123" s="316" t="s">
        <v>757</v>
      </c>
      <c r="D123" s="316" t="s">
        <v>775</v>
      </c>
      <c r="E123" s="317">
        <v>45198</v>
      </c>
      <c r="F123" s="316" t="s">
        <v>514</v>
      </c>
      <c r="G123" s="316" t="s">
        <v>588</v>
      </c>
      <c r="H123" s="317">
        <v>45198</v>
      </c>
      <c r="J123" s="317">
        <v>45352.861817129633</v>
      </c>
      <c r="K123" s="316" t="s">
        <v>378</v>
      </c>
      <c r="L123" s="318">
        <v>-179603.85</v>
      </c>
      <c r="M123" s="318">
        <v>-179603.85</v>
      </c>
      <c r="N123" s="318">
        <v>-193256.91</v>
      </c>
      <c r="O123" s="318">
        <v>-193256.91</v>
      </c>
      <c r="P123" s="318">
        <v>5739.12</v>
      </c>
      <c r="Q123" s="318">
        <v>5739.12</v>
      </c>
      <c r="R123" s="318">
        <v>13653.06</v>
      </c>
      <c r="S123" s="318">
        <v>0</v>
      </c>
      <c r="T123" s="318">
        <v>-13653.06</v>
      </c>
      <c r="U123" s="318">
        <v>13653.06</v>
      </c>
      <c r="V123" s="319">
        <v>97</v>
      </c>
      <c r="W123" s="319">
        <v>97</v>
      </c>
      <c r="X123" s="318">
        <v>97</v>
      </c>
      <c r="Y123" s="318">
        <v>97</v>
      </c>
      <c r="Z123" s="317">
        <v>45198</v>
      </c>
      <c r="AA123" s="316" t="s">
        <v>588</v>
      </c>
    </row>
    <row r="124" spans="1:27">
      <c r="A124" s="316" t="s">
        <v>377</v>
      </c>
      <c r="B124" s="316" t="s">
        <v>90</v>
      </c>
      <c r="C124" s="316" t="s">
        <v>757</v>
      </c>
      <c r="D124" s="316" t="s">
        <v>776</v>
      </c>
      <c r="E124" s="317">
        <v>45317</v>
      </c>
      <c r="F124" s="316" t="s">
        <v>514</v>
      </c>
      <c r="G124" s="316" t="s">
        <v>589</v>
      </c>
      <c r="H124" s="317">
        <v>45317</v>
      </c>
      <c r="J124" s="317">
        <v>45352.861817129633</v>
      </c>
      <c r="K124" s="316" t="s">
        <v>378</v>
      </c>
      <c r="L124" s="318">
        <v>551.37</v>
      </c>
      <c r="M124" s="318">
        <v>551.37</v>
      </c>
      <c r="N124" s="318">
        <v>568.28</v>
      </c>
      <c r="O124" s="318">
        <v>568.28</v>
      </c>
      <c r="P124" s="318">
        <v>0.56999999999999995</v>
      </c>
      <c r="Q124" s="318">
        <v>0.56999999999999995</v>
      </c>
      <c r="R124" s="318">
        <v>0.63</v>
      </c>
      <c r="S124" s="318">
        <v>0</v>
      </c>
      <c r="T124" s="318">
        <v>16.91</v>
      </c>
      <c r="U124" s="318">
        <v>0.63</v>
      </c>
      <c r="V124" s="319">
        <v>100</v>
      </c>
      <c r="W124" s="319">
        <v>100</v>
      </c>
      <c r="X124" s="318">
        <v>98</v>
      </c>
      <c r="Y124" s="318">
        <v>98</v>
      </c>
      <c r="Z124" s="317">
        <v>45317</v>
      </c>
      <c r="AA124" s="316" t="s">
        <v>589</v>
      </c>
    </row>
    <row r="125" spans="1:27">
      <c r="A125" s="316" t="s">
        <v>377</v>
      </c>
      <c r="B125" s="316" t="s">
        <v>90</v>
      </c>
      <c r="C125" s="316" t="s">
        <v>757</v>
      </c>
      <c r="D125" s="316" t="s">
        <v>777</v>
      </c>
      <c r="E125" s="317">
        <v>45314</v>
      </c>
      <c r="F125" s="316" t="s">
        <v>514</v>
      </c>
      <c r="G125" s="316" t="s">
        <v>778</v>
      </c>
      <c r="H125" s="317">
        <v>45314</v>
      </c>
      <c r="J125" s="317">
        <v>45352.861817129633</v>
      </c>
      <c r="K125" s="316" t="s">
        <v>378</v>
      </c>
      <c r="L125" s="318">
        <v>-86659.39</v>
      </c>
      <c r="M125" s="318">
        <v>-86659.39</v>
      </c>
      <c r="N125" s="318">
        <v>0</v>
      </c>
      <c r="O125" s="318">
        <v>0</v>
      </c>
      <c r="P125" s="318">
        <v>3177.84</v>
      </c>
      <c r="Q125" s="318">
        <v>3177.84</v>
      </c>
      <c r="R125" s="318">
        <v>1342.22</v>
      </c>
      <c r="S125" s="318">
        <v>0</v>
      </c>
      <c r="T125" s="318">
        <v>86659.39</v>
      </c>
      <c r="U125" s="318">
        <v>1342.22</v>
      </c>
      <c r="V125" s="319">
        <v>100</v>
      </c>
      <c r="W125" s="319">
        <v>100</v>
      </c>
      <c r="X125" s="318">
        <v>98.5</v>
      </c>
      <c r="Y125" s="318">
        <v>98.5</v>
      </c>
      <c r="Z125" s="317">
        <v>45314</v>
      </c>
      <c r="AA125" s="316" t="s">
        <v>778</v>
      </c>
    </row>
    <row r="126" spans="1:27">
      <c r="A126" s="316" t="s">
        <v>377</v>
      </c>
      <c r="B126" s="316" t="s">
        <v>90</v>
      </c>
      <c r="C126" s="316" t="s">
        <v>757</v>
      </c>
      <c r="D126" s="316" t="s">
        <v>779</v>
      </c>
      <c r="E126" s="317">
        <v>45230</v>
      </c>
      <c r="F126" s="316" t="s">
        <v>514</v>
      </c>
      <c r="G126" s="316" t="s">
        <v>590</v>
      </c>
      <c r="H126" s="317">
        <v>45230</v>
      </c>
      <c r="J126" s="317">
        <v>45352.861817129633</v>
      </c>
      <c r="K126" s="316" t="s">
        <v>378</v>
      </c>
      <c r="L126" s="318">
        <v>-99090.55</v>
      </c>
      <c r="M126" s="318">
        <v>-99090.55</v>
      </c>
      <c r="N126" s="318">
        <v>-104981.38</v>
      </c>
      <c r="O126" s="318">
        <v>-104981.38</v>
      </c>
      <c r="P126" s="318">
        <v>0</v>
      </c>
      <c r="Q126" s="318">
        <v>0</v>
      </c>
      <c r="R126" s="318">
        <v>5890.83</v>
      </c>
      <c r="S126" s="318">
        <v>0</v>
      </c>
      <c r="T126" s="318">
        <v>-5890.83</v>
      </c>
      <c r="U126" s="318">
        <v>5890.83</v>
      </c>
      <c r="V126" s="319">
        <v>98</v>
      </c>
      <c r="W126" s="319">
        <v>98</v>
      </c>
      <c r="X126" s="318">
        <v>98</v>
      </c>
      <c r="Y126" s="318">
        <v>98</v>
      </c>
      <c r="Z126" s="317">
        <v>45230</v>
      </c>
      <c r="AA126" s="316" t="s">
        <v>590</v>
      </c>
    </row>
    <row r="127" spans="1:27">
      <c r="A127" s="316" t="s">
        <v>377</v>
      </c>
      <c r="B127" s="316" t="s">
        <v>90</v>
      </c>
      <c r="C127" s="316" t="s">
        <v>757</v>
      </c>
      <c r="D127" s="316" t="s">
        <v>780</v>
      </c>
      <c r="E127" s="317">
        <v>45330</v>
      </c>
      <c r="F127" s="316" t="s">
        <v>514</v>
      </c>
      <c r="G127" s="316" t="s">
        <v>781</v>
      </c>
      <c r="H127" s="317">
        <v>45330</v>
      </c>
      <c r="J127" s="317">
        <v>45352.861817129633</v>
      </c>
      <c r="K127" s="316" t="s">
        <v>378</v>
      </c>
      <c r="L127" s="318">
        <v>-276221.95</v>
      </c>
      <c r="M127" s="318">
        <v>-276221.95</v>
      </c>
      <c r="N127" s="318">
        <v>-279151</v>
      </c>
      <c r="O127" s="318">
        <v>-279151</v>
      </c>
      <c r="P127" s="318">
        <v>3566.93</v>
      </c>
      <c r="Q127" s="318">
        <v>3566.93</v>
      </c>
      <c r="R127" s="318">
        <v>2929.05</v>
      </c>
      <c r="S127" s="318">
        <v>0</v>
      </c>
      <c r="T127" s="318">
        <v>-2929.05</v>
      </c>
      <c r="U127" s="318">
        <v>2929.05</v>
      </c>
      <c r="V127" s="319">
        <v>97.5</v>
      </c>
      <c r="W127" s="319">
        <v>97.5</v>
      </c>
      <c r="X127" s="318">
        <v>97.5</v>
      </c>
      <c r="Y127" s="318">
        <v>97.5</v>
      </c>
      <c r="Z127" s="317">
        <v>45330</v>
      </c>
      <c r="AA127" s="316" t="s">
        <v>781</v>
      </c>
    </row>
    <row r="128" spans="1:27">
      <c r="A128" s="316" t="s">
        <v>377</v>
      </c>
      <c r="B128" s="316" t="s">
        <v>90</v>
      </c>
      <c r="C128" s="316" t="s">
        <v>757</v>
      </c>
      <c r="D128" s="316" t="s">
        <v>782</v>
      </c>
      <c r="E128" s="317">
        <v>45169</v>
      </c>
      <c r="F128" s="316" t="s">
        <v>514</v>
      </c>
      <c r="G128" s="316" t="s">
        <v>591</v>
      </c>
      <c r="H128" s="317">
        <v>45169</v>
      </c>
      <c r="J128" s="317">
        <v>45352.861817129633</v>
      </c>
      <c r="K128" s="316" t="s">
        <v>378</v>
      </c>
      <c r="L128" s="318">
        <v>-18.77</v>
      </c>
      <c r="M128" s="318">
        <v>-18.77</v>
      </c>
      <c r="N128" s="318">
        <v>0</v>
      </c>
      <c r="O128" s="318">
        <v>0</v>
      </c>
      <c r="P128" s="318">
        <v>0.02</v>
      </c>
      <c r="Q128" s="318">
        <v>0.02</v>
      </c>
      <c r="R128" s="318">
        <v>2.1</v>
      </c>
      <c r="S128" s="318">
        <v>0</v>
      </c>
      <c r="T128" s="318">
        <v>18.77</v>
      </c>
      <c r="U128" s="318">
        <v>2.1</v>
      </c>
      <c r="V128" s="319">
        <v>100</v>
      </c>
      <c r="W128" s="319">
        <v>100</v>
      </c>
      <c r="X128" s="318">
        <v>97.5</v>
      </c>
      <c r="Y128" s="318">
        <v>97.5</v>
      </c>
      <c r="Z128" s="317">
        <v>45169</v>
      </c>
      <c r="AA128" s="316" t="s">
        <v>591</v>
      </c>
    </row>
    <row r="129" spans="1:27">
      <c r="A129" s="316" t="s">
        <v>377</v>
      </c>
      <c r="B129" s="316" t="s">
        <v>90</v>
      </c>
      <c r="C129" s="316" t="s">
        <v>757</v>
      </c>
      <c r="D129" s="316" t="s">
        <v>783</v>
      </c>
      <c r="E129" s="317">
        <v>45205</v>
      </c>
      <c r="F129" s="316" t="s">
        <v>514</v>
      </c>
      <c r="G129" s="316" t="s">
        <v>592</v>
      </c>
      <c r="H129" s="317">
        <v>45205</v>
      </c>
      <c r="J129" s="317">
        <v>45352.861817129633</v>
      </c>
      <c r="K129" s="316" t="s">
        <v>378</v>
      </c>
      <c r="L129" s="318">
        <v>-18342.27</v>
      </c>
      <c r="M129" s="318">
        <v>-18342.27</v>
      </c>
      <c r="N129" s="318">
        <v>-19468.68</v>
      </c>
      <c r="O129" s="318">
        <v>-19468.68</v>
      </c>
      <c r="P129" s="318">
        <v>2000.95</v>
      </c>
      <c r="Q129" s="318">
        <v>2000.95</v>
      </c>
      <c r="R129" s="318">
        <v>1126.4100000000001</v>
      </c>
      <c r="S129" s="318">
        <v>0</v>
      </c>
      <c r="T129" s="318">
        <v>-1126.4100000000001</v>
      </c>
      <c r="U129" s="318">
        <v>1126.4100000000001</v>
      </c>
      <c r="V129" s="319">
        <v>98</v>
      </c>
      <c r="W129" s="319">
        <v>98</v>
      </c>
      <c r="X129" s="318">
        <v>98</v>
      </c>
      <c r="Y129" s="318">
        <v>98</v>
      </c>
      <c r="Z129" s="317">
        <v>45205</v>
      </c>
      <c r="AA129" s="316" t="s">
        <v>592</v>
      </c>
    </row>
    <row r="130" spans="1:27">
      <c r="A130" s="316" t="s">
        <v>377</v>
      </c>
      <c r="B130" s="316" t="s">
        <v>90</v>
      </c>
      <c r="C130" s="316" t="s">
        <v>757</v>
      </c>
      <c r="D130" s="316" t="s">
        <v>784</v>
      </c>
      <c r="E130" s="317">
        <v>45320</v>
      </c>
      <c r="F130" s="316" t="s">
        <v>514</v>
      </c>
      <c r="G130" s="316" t="s">
        <v>785</v>
      </c>
      <c r="H130" s="317">
        <v>45320</v>
      </c>
      <c r="J130" s="317">
        <v>45352.861817129633</v>
      </c>
      <c r="K130" s="316" t="s">
        <v>378</v>
      </c>
      <c r="L130" s="318">
        <v>193847.73</v>
      </c>
      <c r="M130" s="318">
        <v>193847.73</v>
      </c>
      <c r="N130" s="318">
        <v>193394.83</v>
      </c>
      <c r="O130" s="318">
        <v>193394.83</v>
      </c>
      <c r="P130" s="318">
        <v>2544.83</v>
      </c>
      <c r="Q130" s="318">
        <v>2544.83</v>
      </c>
      <c r="R130" s="318">
        <v>452.9</v>
      </c>
      <c r="S130" s="318">
        <v>0</v>
      </c>
      <c r="T130" s="318">
        <v>-452.9</v>
      </c>
      <c r="U130" s="318">
        <v>452.9</v>
      </c>
      <c r="V130" s="319">
        <v>98</v>
      </c>
      <c r="W130" s="319">
        <v>98</v>
      </c>
      <c r="X130" s="318">
        <v>98</v>
      </c>
      <c r="Y130" s="318">
        <v>98</v>
      </c>
      <c r="Z130" s="317">
        <v>45320</v>
      </c>
      <c r="AA130" s="316" t="s">
        <v>785</v>
      </c>
    </row>
    <row r="131" spans="1:27">
      <c r="A131" s="316" t="s">
        <v>377</v>
      </c>
      <c r="B131" s="316" t="s">
        <v>90</v>
      </c>
      <c r="C131" s="316" t="s">
        <v>757</v>
      </c>
      <c r="D131" s="316" t="s">
        <v>786</v>
      </c>
      <c r="E131" s="317">
        <v>45217</v>
      </c>
      <c r="F131" s="316" t="s">
        <v>514</v>
      </c>
      <c r="G131" s="316" t="s">
        <v>593</v>
      </c>
      <c r="H131" s="317">
        <v>45217</v>
      </c>
      <c r="J131" s="317">
        <v>45352.861817129633</v>
      </c>
      <c r="K131" s="316" t="s">
        <v>378</v>
      </c>
      <c r="L131" s="318">
        <v>-103445</v>
      </c>
      <c r="M131" s="318">
        <v>-103445</v>
      </c>
      <c r="N131" s="318">
        <v>-110287.67</v>
      </c>
      <c r="O131" s="318">
        <v>-110287.67</v>
      </c>
      <c r="P131" s="318">
        <v>13120.18</v>
      </c>
      <c r="Q131" s="318">
        <v>13120.18</v>
      </c>
      <c r="R131" s="318">
        <v>6842.67</v>
      </c>
      <c r="S131" s="318">
        <v>0</v>
      </c>
      <c r="T131" s="318">
        <v>-6842.67</v>
      </c>
      <c r="U131" s="318">
        <v>6842.67</v>
      </c>
      <c r="V131" s="319">
        <v>97.5</v>
      </c>
      <c r="W131" s="319">
        <v>97.5</v>
      </c>
      <c r="X131" s="318">
        <v>97.5</v>
      </c>
      <c r="Y131" s="318">
        <v>97.5</v>
      </c>
      <c r="Z131" s="317">
        <v>45217</v>
      </c>
      <c r="AA131" s="316" t="s">
        <v>593</v>
      </c>
    </row>
    <row r="132" spans="1:27">
      <c r="A132" s="316" t="s">
        <v>377</v>
      </c>
      <c r="B132" s="316" t="s">
        <v>90</v>
      </c>
      <c r="C132" s="316" t="s">
        <v>757</v>
      </c>
      <c r="D132" s="316" t="s">
        <v>787</v>
      </c>
      <c r="E132" s="317">
        <v>45280</v>
      </c>
      <c r="F132" s="316" t="s">
        <v>514</v>
      </c>
      <c r="G132" s="316" t="s">
        <v>594</v>
      </c>
      <c r="H132" s="317">
        <v>45280</v>
      </c>
      <c r="J132" s="317">
        <v>45352.861817129633</v>
      </c>
      <c r="K132" s="316" t="s">
        <v>378</v>
      </c>
      <c r="L132" s="318">
        <v>2916793.54</v>
      </c>
      <c r="M132" s="318">
        <v>2916793.54</v>
      </c>
      <c r="N132" s="318">
        <v>2914097.76</v>
      </c>
      <c r="O132" s="318">
        <v>2914097.76</v>
      </c>
      <c r="P132" s="318">
        <v>12712.77</v>
      </c>
      <c r="Q132" s="318">
        <v>12712.77</v>
      </c>
      <c r="R132" s="318">
        <v>2695.78</v>
      </c>
      <c r="S132" s="318">
        <v>0</v>
      </c>
      <c r="T132" s="318">
        <v>-2695.78</v>
      </c>
      <c r="U132" s="318">
        <v>2695.78</v>
      </c>
      <c r="V132" s="319">
        <v>98</v>
      </c>
      <c r="W132" s="319">
        <v>98</v>
      </c>
      <c r="X132" s="318">
        <v>98</v>
      </c>
      <c r="Y132" s="318">
        <v>98</v>
      </c>
      <c r="Z132" s="317">
        <v>45280</v>
      </c>
      <c r="AA132" s="316" t="s">
        <v>594</v>
      </c>
    </row>
    <row r="133" spans="1:27">
      <c r="A133" s="316" t="s">
        <v>377</v>
      </c>
      <c r="B133" s="316" t="s">
        <v>90</v>
      </c>
      <c r="C133" s="316" t="s">
        <v>757</v>
      </c>
      <c r="D133" s="316" t="s">
        <v>788</v>
      </c>
      <c r="E133" s="317">
        <v>45247</v>
      </c>
      <c r="F133" s="316" t="s">
        <v>514</v>
      </c>
      <c r="G133" s="316" t="s">
        <v>595</v>
      </c>
      <c r="H133" s="317">
        <v>45247</v>
      </c>
      <c r="J133" s="317">
        <v>45352.861817129633</v>
      </c>
      <c r="K133" s="316" t="s">
        <v>378</v>
      </c>
      <c r="L133" s="318">
        <v>76012.13</v>
      </c>
      <c r="M133" s="318">
        <v>76012.13</v>
      </c>
      <c r="N133" s="318">
        <v>72508.960000000006</v>
      </c>
      <c r="O133" s="318">
        <v>72508.960000000006</v>
      </c>
      <c r="P133" s="318">
        <v>8133.61</v>
      </c>
      <c r="Q133" s="318">
        <v>8133.61</v>
      </c>
      <c r="R133" s="318">
        <v>3503.17</v>
      </c>
      <c r="S133" s="318">
        <v>0</v>
      </c>
      <c r="T133" s="318">
        <v>-3503.17</v>
      </c>
      <c r="U133" s="318">
        <v>3503.17</v>
      </c>
      <c r="V133" s="319">
        <v>98</v>
      </c>
      <c r="W133" s="319">
        <v>98</v>
      </c>
      <c r="X133" s="318">
        <v>98</v>
      </c>
      <c r="Y133" s="318">
        <v>98</v>
      </c>
      <c r="Z133" s="317">
        <v>45247</v>
      </c>
      <c r="AA133" s="316" t="s">
        <v>595</v>
      </c>
    </row>
    <row r="134" spans="1:27">
      <c r="A134" s="316" t="s">
        <v>377</v>
      </c>
      <c r="B134" s="316" t="s">
        <v>90</v>
      </c>
      <c r="C134" s="316" t="s">
        <v>757</v>
      </c>
      <c r="D134" s="316" t="s">
        <v>789</v>
      </c>
      <c r="E134" s="317">
        <v>45348</v>
      </c>
      <c r="F134" s="316" t="s">
        <v>514</v>
      </c>
      <c r="G134" s="316" t="s">
        <v>790</v>
      </c>
      <c r="H134" s="317">
        <v>45348</v>
      </c>
      <c r="J134" s="317">
        <v>45352.861817129633</v>
      </c>
      <c r="K134" s="316" t="s">
        <v>378</v>
      </c>
      <c r="L134" s="318">
        <v>421</v>
      </c>
      <c r="M134" s="318">
        <v>421</v>
      </c>
      <c r="N134" s="318">
        <v>420.96</v>
      </c>
      <c r="O134" s="318">
        <v>420.96</v>
      </c>
      <c r="P134" s="318">
        <v>0.6</v>
      </c>
      <c r="Q134" s="318">
        <v>0.6</v>
      </c>
      <c r="R134" s="318">
        <v>0.04</v>
      </c>
      <c r="S134" s="318">
        <v>0</v>
      </c>
      <c r="T134" s="318">
        <v>-0.04</v>
      </c>
      <c r="U134" s="318">
        <v>0.04</v>
      </c>
      <c r="V134" s="319">
        <v>98</v>
      </c>
      <c r="W134" s="319">
        <v>98</v>
      </c>
      <c r="X134" s="318">
        <v>98</v>
      </c>
      <c r="Y134" s="318">
        <v>98</v>
      </c>
      <c r="Z134" s="317">
        <v>45348</v>
      </c>
      <c r="AA134" s="316" t="s">
        <v>790</v>
      </c>
    </row>
    <row r="135" spans="1:27">
      <c r="A135" s="316" t="s">
        <v>377</v>
      </c>
      <c r="B135" s="316" t="s">
        <v>90</v>
      </c>
      <c r="C135" s="316" t="s">
        <v>757</v>
      </c>
      <c r="D135" s="316" t="s">
        <v>791</v>
      </c>
      <c r="E135" s="317">
        <v>45282</v>
      </c>
      <c r="F135" s="316" t="s">
        <v>514</v>
      </c>
      <c r="G135" s="316" t="s">
        <v>596</v>
      </c>
      <c r="H135" s="317">
        <v>45282</v>
      </c>
      <c r="J135" s="317">
        <v>45352.861817129633</v>
      </c>
      <c r="K135" s="316" t="s">
        <v>378</v>
      </c>
      <c r="L135" s="318">
        <v>-108360.13</v>
      </c>
      <c r="M135" s="318">
        <v>-108360.13</v>
      </c>
      <c r="N135" s="318">
        <v>-111984.04</v>
      </c>
      <c r="O135" s="318">
        <v>-111984.04</v>
      </c>
      <c r="P135" s="318">
        <v>5521.44</v>
      </c>
      <c r="Q135" s="318">
        <v>5521.44</v>
      </c>
      <c r="R135" s="318">
        <v>3623.91</v>
      </c>
      <c r="S135" s="318">
        <v>0</v>
      </c>
      <c r="T135" s="318">
        <v>-3623.91</v>
      </c>
      <c r="U135" s="318">
        <v>3623.91</v>
      </c>
      <c r="V135" s="319">
        <v>98</v>
      </c>
      <c r="W135" s="319">
        <v>98</v>
      </c>
      <c r="X135" s="318">
        <v>98</v>
      </c>
      <c r="Y135" s="318">
        <v>98</v>
      </c>
      <c r="Z135" s="317">
        <v>45282</v>
      </c>
      <c r="AA135" s="316" t="s">
        <v>596</v>
      </c>
    </row>
    <row r="136" spans="1:27">
      <c r="A136" s="316" t="s">
        <v>377</v>
      </c>
      <c r="B136" s="316" t="s">
        <v>90</v>
      </c>
      <c r="C136" s="316" t="s">
        <v>757</v>
      </c>
      <c r="D136" s="316" t="s">
        <v>792</v>
      </c>
      <c r="E136" s="317">
        <v>45182</v>
      </c>
      <c r="F136" s="316" t="s">
        <v>514</v>
      </c>
      <c r="G136" s="316" t="s">
        <v>597</v>
      </c>
      <c r="H136" s="317">
        <v>45182</v>
      </c>
      <c r="J136" s="317">
        <v>45352.861817129633</v>
      </c>
      <c r="K136" s="316" t="s">
        <v>378</v>
      </c>
      <c r="L136" s="318">
        <v>-101355.14</v>
      </c>
      <c r="M136" s="318">
        <v>-101355.14</v>
      </c>
      <c r="N136" s="318">
        <v>-109930.96</v>
      </c>
      <c r="O136" s="318">
        <v>-109930.96</v>
      </c>
      <c r="P136" s="318">
        <v>152.68</v>
      </c>
      <c r="Q136" s="318">
        <v>152.68</v>
      </c>
      <c r="R136" s="318">
        <v>8575.82</v>
      </c>
      <c r="S136" s="318">
        <v>0</v>
      </c>
      <c r="T136" s="318">
        <v>-8575.82</v>
      </c>
      <c r="U136" s="318">
        <v>8575.82</v>
      </c>
      <c r="V136" s="319">
        <v>98</v>
      </c>
      <c r="W136" s="319">
        <v>98</v>
      </c>
      <c r="X136" s="318">
        <v>98</v>
      </c>
      <c r="Y136" s="318">
        <v>98</v>
      </c>
      <c r="Z136" s="317">
        <v>45182</v>
      </c>
      <c r="AA136" s="316" t="s">
        <v>597</v>
      </c>
    </row>
    <row r="137" spans="1:27">
      <c r="A137" s="316" t="s">
        <v>377</v>
      </c>
      <c r="B137" s="316" t="s">
        <v>90</v>
      </c>
      <c r="C137" s="316" t="s">
        <v>757</v>
      </c>
      <c r="D137" s="316" t="s">
        <v>793</v>
      </c>
      <c r="E137" s="317">
        <v>45201</v>
      </c>
      <c r="F137" s="316" t="s">
        <v>514</v>
      </c>
      <c r="G137" s="316" t="s">
        <v>598</v>
      </c>
      <c r="H137" s="317">
        <v>45201</v>
      </c>
      <c r="J137" s="317">
        <v>45352.861817129633</v>
      </c>
      <c r="K137" s="316" t="s">
        <v>378</v>
      </c>
      <c r="L137" s="318">
        <v>-62075.96</v>
      </c>
      <c r="M137" s="318">
        <v>-62075.96</v>
      </c>
      <c r="N137" s="318">
        <v>-66701.23</v>
      </c>
      <c r="O137" s="318">
        <v>-66701.23</v>
      </c>
      <c r="P137" s="318">
        <v>6268.68</v>
      </c>
      <c r="Q137" s="318">
        <v>6268.68</v>
      </c>
      <c r="R137" s="318">
        <v>4625.2700000000004</v>
      </c>
      <c r="S137" s="318">
        <v>0</v>
      </c>
      <c r="T137" s="318">
        <v>-4625.2700000000004</v>
      </c>
      <c r="U137" s="318">
        <v>4625.2700000000004</v>
      </c>
      <c r="V137" s="319">
        <v>98</v>
      </c>
      <c r="W137" s="319">
        <v>98</v>
      </c>
      <c r="X137" s="318">
        <v>98</v>
      </c>
      <c r="Y137" s="318">
        <v>98</v>
      </c>
      <c r="Z137" s="317">
        <v>45201</v>
      </c>
      <c r="AA137" s="316" t="s">
        <v>598</v>
      </c>
    </row>
    <row r="138" spans="1:27">
      <c r="A138" s="316" t="s">
        <v>377</v>
      </c>
      <c r="B138" s="316" t="s">
        <v>90</v>
      </c>
      <c r="C138" s="316" t="s">
        <v>757</v>
      </c>
      <c r="D138" s="316" t="s">
        <v>794</v>
      </c>
      <c r="E138" s="317">
        <v>45238</v>
      </c>
      <c r="F138" s="316" t="s">
        <v>514</v>
      </c>
      <c r="G138" s="316" t="s">
        <v>599</v>
      </c>
      <c r="H138" s="317">
        <v>45238</v>
      </c>
      <c r="J138" s="317">
        <v>45352.861817129633</v>
      </c>
      <c r="K138" s="316" t="s">
        <v>378</v>
      </c>
      <c r="L138" s="318">
        <v>509.58</v>
      </c>
      <c r="M138" s="318">
        <v>509.58</v>
      </c>
      <c r="N138" s="318">
        <v>508.66</v>
      </c>
      <c r="O138" s="318">
        <v>508.66</v>
      </c>
      <c r="P138" s="318">
        <v>3.43</v>
      </c>
      <c r="Q138" s="318">
        <v>3.43</v>
      </c>
      <c r="R138" s="318">
        <v>0.92</v>
      </c>
      <c r="S138" s="318">
        <v>0</v>
      </c>
      <c r="T138" s="318">
        <v>-0.92</v>
      </c>
      <c r="U138" s="318">
        <v>0.92</v>
      </c>
      <c r="V138" s="319">
        <v>98</v>
      </c>
      <c r="W138" s="319">
        <v>98</v>
      </c>
      <c r="X138" s="318">
        <v>98</v>
      </c>
      <c r="Y138" s="318">
        <v>98</v>
      </c>
      <c r="Z138" s="317">
        <v>45238</v>
      </c>
      <c r="AA138" s="316" t="s">
        <v>599</v>
      </c>
    </row>
    <row r="139" spans="1:27">
      <c r="A139" s="316" t="s">
        <v>377</v>
      </c>
      <c r="B139" s="316" t="s">
        <v>90</v>
      </c>
      <c r="C139" s="316" t="s">
        <v>757</v>
      </c>
      <c r="D139" s="316" t="s">
        <v>795</v>
      </c>
      <c r="E139" s="317">
        <v>45188</v>
      </c>
      <c r="F139" s="316" t="s">
        <v>514</v>
      </c>
      <c r="G139" s="316" t="s">
        <v>600</v>
      </c>
      <c r="H139" s="317">
        <v>45188</v>
      </c>
      <c r="J139" s="317">
        <v>45352.861817129633</v>
      </c>
      <c r="K139" s="316" t="s">
        <v>378</v>
      </c>
      <c r="L139" s="318">
        <v>-35788.9</v>
      </c>
      <c r="M139" s="318">
        <v>-35788.9</v>
      </c>
      <c r="N139" s="318">
        <v>-38702.160000000003</v>
      </c>
      <c r="O139" s="318">
        <v>-38702.160000000003</v>
      </c>
      <c r="P139" s="318">
        <v>3638.96</v>
      </c>
      <c r="Q139" s="318">
        <v>3638.96</v>
      </c>
      <c r="R139" s="318">
        <v>2913.26</v>
      </c>
      <c r="S139" s="318">
        <v>0</v>
      </c>
      <c r="T139" s="318">
        <v>-2913.26</v>
      </c>
      <c r="U139" s="318">
        <v>2913.26</v>
      </c>
      <c r="V139" s="319">
        <v>98.5</v>
      </c>
      <c r="W139" s="319">
        <v>98.5</v>
      </c>
      <c r="X139" s="318">
        <v>98.5</v>
      </c>
      <c r="Y139" s="318">
        <v>98.5</v>
      </c>
      <c r="Z139" s="317">
        <v>45188</v>
      </c>
      <c r="AA139" s="316" t="s">
        <v>600</v>
      </c>
    </row>
    <row r="140" spans="1:27">
      <c r="A140" s="316" t="s">
        <v>377</v>
      </c>
      <c r="B140" s="316" t="s">
        <v>90</v>
      </c>
      <c r="C140" s="316" t="s">
        <v>757</v>
      </c>
      <c r="D140" s="316" t="s">
        <v>796</v>
      </c>
      <c r="E140" s="317">
        <v>45317</v>
      </c>
      <c r="F140" s="316" t="s">
        <v>514</v>
      </c>
      <c r="G140" s="316" t="s">
        <v>797</v>
      </c>
      <c r="H140" s="317">
        <v>45317</v>
      </c>
      <c r="J140" s="317">
        <v>45352.861817129633</v>
      </c>
      <c r="K140" s="316" t="s">
        <v>378</v>
      </c>
      <c r="L140" s="318">
        <v>-61171.92</v>
      </c>
      <c r="M140" s="318">
        <v>-61171.92</v>
      </c>
      <c r="N140" s="318">
        <v>-62193.82</v>
      </c>
      <c r="O140" s="318">
        <v>-62193.82</v>
      </c>
      <c r="P140" s="318">
        <v>1554.85</v>
      </c>
      <c r="Q140" s="318">
        <v>1554.85</v>
      </c>
      <c r="R140" s="318">
        <v>1021.9</v>
      </c>
      <c r="S140" s="318">
        <v>0</v>
      </c>
      <c r="T140" s="318">
        <v>-1021.9</v>
      </c>
      <c r="U140" s="318">
        <v>1021.9</v>
      </c>
      <c r="V140" s="319">
        <v>98</v>
      </c>
      <c r="W140" s="319">
        <v>98</v>
      </c>
      <c r="X140" s="318">
        <v>98</v>
      </c>
      <c r="Y140" s="318">
        <v>98</v>
      </c>
      <c r="Z140" s="317">
        <v>45317</v>
      </c>
      <c r="AA140" s="316" t="s">
        <v>797</v>
      </c>
    </row>
    <row r="141" spans="1:27">
      <c r="A141" s="316" t="s">
        <v>377</v>
      </c>
      <c r="B141" s="316" t="s">
        <v>90</v>
      </c>
      <c r="C141" s="316" t="s">
        <v>757</v>
      </c>
      <c r="D141" s="316" t="s">
        <v>798</v>
      </c>
      <c r="E141" s="317">
        <v>45282</v>
      </c>
      <c r="F141" s="316" t="s">
        <v>514</v>
      </c>
      <c r="G141" s="316" t="s">
        <v>601</v>
      </c>
      <c r="H141" s="317">
        <v>45282</v>
      </c>
      <c r="J141" s="317">
        <v>45352.861817129633</v>
      </c>
      <c r="K141" s="316" t="s">
        <v>378</v>
      </c>
      <c r="L141" s="318">
        <v>-83408.13</v>
      </c>
      <c r="M141" s="318">
        <v>-83408.13</v>
      </c>
      <c r="N141" s="318">
        <v>-86229.46</v>
      </c>
      <c r="O141" s="318">
        <v>-86229.46</v>
      </c>
      <c r="P141" s="318">
        <v>4294.7</v>
      </c>
      <c r="Q141" s="318">
        <v>4294.7</v>
      </c>
      <c r="R141" s="318">
        <v>2821.33</v>
      </c>
      <c r="S141" s="318">
        <v>0</v>
      </c>
      <c r="T141" s="318">
        <v>-2821.33</v>
      </c>
      <c r="U141" s="318">
        <v>2821.33</v>
      </c>
      <c r="V141" s="319">
        <v>98.020072992701003</v>
      </c>
      <c r="W141" s="319">
        <v>98.020072992701003</v>
      </c>
      <c r="X141" s="318">
        <v>98.020072999999996</v>
      </c>
      <c r="Y141" s="318">
        <v>98.020072990000003</v>
      </c>
      <c r="Z141" s="317">
        <v>45282</v>
      </c>
      <c r="AA141" s="316" t="s">
        <v>601</v>
      </c>
    </row>
    <row r="142" spans="1:27">
      <c r="A142" s="316" t="s">
        <v>377</v>
      </c>
      <c r="B142" s="316" t="s">
        <v>90</v>
      </c>
      <c r="C142" s="316" t="s">
        <v>757</v>
      </c>
      <c r="D142" s="316" t="s">
        <v>799</v>
      </c>
      <c r="E142" s="317">
        <v>45330</v>
      </c>
      <c r="F142" s="316" t="s">
        <v>514</v>
      </c>
      <c r="G142" s="316" t="s">
        <v>800</v>
      </c>
      <c r="H142" s="317">
        <v>45330</v>
      </c>
      <c r="J142" s="317">
        <v>45352.861817129633</v>
      </c>
      <c r="K142" s="316" t="s">
        <v>378</v>
      </c>
      <c r="L142" s="318">
        <v>-125372.82</v>
      </c>
      <c r="M142" s="318">
        <v>-125372.82</v>
      </c>
      <c r="N142" s="318">
        <v>-126501.42</v>
      </c>
      <c r="O142" s="318">
        <v>-126501.42</v>
      </c>
      <c r="P142" s="318">
        <v>2020.51</v>
      </c>
      <c r="Q142" s="318">
        <v>2020.51</v>
      </c>
      <c r="R142" s="318">
        <v>1128.5999999999999</v>
      </c>
      <c r="S142" s="318">
        <v>0</v>
      </c>
      <c r="T142" s="318">
        <v>-1128.5999999999999</v>
      </c>
      <c r="U142" s="318">
        <v>1128.5999999999999</v>
      </c>
      <c r="V142" s="319">
        <v>98</v>
      </c>
      <c r="W142" s="319">
        <v>98</v>
      </c>
      <c r="X142" s="318">
        <v>98</v>
      </c>
      <c r="Y142" s="318">
        <v>98</v>
      </c>
      <c r="Z142" s="317">
        <v>45330</v>
      </c>
      <c r="AA142" s="316" t="s">
        <v>800</v>
      </c>
    </row>
    <row r="143" spans="1:27">
      <c r="A143" s="316" t="s">
        <v>377</v>
      </c>
      <c r="B143" s="316" t="s">
        <v>90</v>
      </c>
      <c r="C143" s="316" t="s">
        <v>757</v>
      </c>
      <c r="D143" s="316" t="s">
        <v>801</v>
      </c>
      <c r="E143" s="317">
        <v>45286</v>
      </c>
      <c r="F143" s="316" t="s">
        <v>514</v>
      </c>
      <c r="G143" s="316" t="s">
        <v>602</v>
      </c>
      <c r="H143" s="317">
        <v>45286</v>
      </c>
      <c r="J143" s="317">
        <v>45352.861817129633</v>
      </c>
      <c r="K143" s="316" t="s">
        <v>378</v>
      </c>
      <c r="L143" s="318">
        <v>-7835.25</v>
      </c>
      <c r="M143" s="318">
        <v>-7835.25</v>
      </c>
      <c r="N143" s="318">
        <v>-8288.98</v>
      </c>
      <c r="O143" s="318">
        <v>-8288.98</v>
      </c>
      <c r="P143" s="318">
        <v>345.37</v>
      </c>
      <c r="Q143" s="318">
        <v>345.37</v>
      </c>
      <c r="R143" s="318">
        <v>453.73</v>
      </c>
      <c r="S143" s="318">
        <v>0</v>
      </c>
      <c r="T143" s="318">
        <v>-453.73</v>
      </c>
      <c r="U143" s="318">
        <v>453.73</v>
      </c>
      <c r="V143" s="319">
        <v>98</v>
      </c>
      <c r="W143" s="319">
        <v>98</v>
      </c>
      <c r="X143" s="318">
        <v>98</v>
      </c>
      <c r="Y143" s="318">
        <v>98</v>
      </c>
      <c r="Z143" s="317">
        <v>45286</v>
      </c>
      <c r="AA143" s="316" t="s">
        <v>602</v>
      </c>
    </row>
    <row r="144" spans="1:27">
      <c r="A144" s="316" t="s">
        <v>377</v>
      </c>
      <c r="B144" s="316" t="s">
        <v>90</v>
      </c>
      <c r="C144" s="316" t="s">
        <v>757</v>
      </c>
      <c r="D144" s="316" t="s">
        <v>802</v>
      </c>
      <c r="E144" s="317">
        <v>45351</v>
      </c>
      <c r="F144" s="316" t="s">
        <v>514</v>
      </c>
      <c r="G144" s="316" t="s">
        <v>803</v>
      </c>
      <c r="H144" s="317">
        <v>45351</v>
      </c>
      <c r="J144" s="317">
        <v>45352.861817129633</v>
      </c>
      <c r="K144" s="316" t="s">
        <v>378</v>
      </c>
      <c r="L144" s="318">
        <v>-104325.22</v>
      </c>
      <c r="M144" s="318">
        <v>-104325.22</v>
      </c>
      <c r="N144" s="318">
        <v>-104420.54</v>
      </c>
      <c r="O144" s="318">
        <v>-104420.54</v>
      </c>
      <c r="P144" s="318">
        <v>72.510000000000005</v>
      </c>
      <c r="Q144" s="318">
        <v>72.510000000000005</v>
      </c>
      <c r="R144" s="318">
        <v>95.32</v>
      </c>
      <c r="S144" s="318">
        <v>0</v>
      </c>
      <c r="T144" s="318">
        <v>-95.32</v>
      </c>
      <c r="U144" s="318">
        <v>95.32</v>
      </c>
      <c r="V144" s="319">
        <v>98</v>
      </c>
      <c r="W144" s="319">
        <v>98</v>
      </c>
      <c r="X144" s="318">
        <v>98</v>
      </c>
      <c r="Y144" s="318">
        <v>98</v>
      </c>
      <c r="Z144" s="317">
        <v>45351</v>
      </c>
      <c r="AA144" s="316" t="s">
        <v>803</v>
      </c>
    </row>
    <row r="145" spans="1:27">
      <c r="A145" s="316" t="s">
        <v>377</v>
      </c>
      <c r="B145" s="316" t="s">
        <v>90</v>
      </c>
      <c r="C145" s="316" t="s">
        <v>757</v>
      </c>
      <c r="D145" s="316" t="s">
        <v>804</v>
      </c>
      <c r="E145" s="317">
        <v>45188</v>
      </c>
      <c r="F145" s="316" t="s">
        <v>514</v>
      </c>
      <c r="G145" s="316" t="s">
        <v>603</v>
      </c>
      <c r="H145" s="317">
        <v>45188</v>
      </c>
      <c r="J145" s="317">
        <v>45352.861817129633</v>
      </c>
      <c r="K145" s="316" t="s">
        <v>378</v>
      </c>
      <c r="L145" s="318">
        <v>338158.81</v>
      </c>
      <c r="M145" s="318">
        <v>338158.81</v>
      </c>
      <c r="N145" s="318">
        <v>362198</v>
      </c>
      <c r="O145" s="318">
        <v>362198</v>
      </c>
      <c r="P145" s="318">
        <v>9390.7199999999993</v>
      </c>
      <c r="Q145" s="318">
        <v>9390.7199999999993</v>
      </c>
      <c r="R145" s="318">
        <v>3125.66</v>
      </c>
      <c r="S145" s="318">
        <v>0</v>
      </c>
      <c r="T145" s="318">
        <v>24039.19</v>
      </c>
      <c r="U145" s="318">
        <v>3125.66</v>
      </c>
      <c r="V145" s="319">
        <v>100</v>
      </c>
      <c r="W145" s="319">
        <v>100</v>
      </c>
      <c r="X145" s="318">
        <v>97.5</v>
      </c>
      <c r="Y145" s="318">
        <v>97.5</v>
      </c>
      <c r="Z145" s="317">
        <v>45188</v>
      </c>
      <c r="AA145" s="316" t="s">
        <v>603</v>
      </c>
    </row>
    <row r="146" spans="1:27">
      <c r="A146" s="316" t="s">
        <v>377</v>
      </c>
      <c r="B146" s="316" t="s">
        <v>90</v>
      </c>
      <c r="C146" s="316" t="s">
        <v>757</v>
      </c>
      <c r="D146" s="316" t="s">
        <v>805</v>
      </c>
      <c r="E146" s="317">
        <v>45279</v>
      </c>
      <c r="F146" s="316" t="s">
        <v>514</v>
      </c>
      <c r="G146" s="316" t="s">
        <v>604</v>
      </c>
      <c r="H146" s="317">
        <v>45279</v>
      </c>
      <c r="I146" s="316" t="s">
        <v>896</v>
      </c>
      <c r="J146" s="317">
        <v>45352.861817129633</v>
      </c>
      <c r="K146" s="316" t="s">
        <v>378</v>
      </c>
      <c r="L146" s="318">
        <v>-6022.08</v>
      </c>
      <c r="M146" s="318">
        <v>-6022.08</v>
      </c>
      <c r="N146" s="318">
        <v>-6649.73</v>
      </c>
      <c r="O146" s="318">
        <v>-6649.73</v>
      </c>
      <c r="P146" s="318">
        <v>591.09</v>
      </c>
      <c r="Q146" s="318">
        <v>591.09</v>
      </c>
      <c r="R146" s="318">
        <v>627.65</v>
      </c>
      <c r="S146" s="318">
        <v>0</v>
      </c>
      <c r="T146" s="318">
        <v>-627.65</v>
      </c>
      <c r="U146" s="318">
        <v>627.65</v>
      </c>
      <c r="V146" s="319">
        <v>99</v>
      </c>
      <c r="W146" s="319">
        <v>99</v>
      </c>
      <c r="X146" s="318">
        <v>99</v>
      </c>
      <c r="Y146" s="318">
        <v>99</v>
      </c>
      <c r="Z146" s="317">
        <v>45279</v>
      </c>
      <c r="AA146" s="316" t="s">
        <v>604</v>
      </c>
    </row>
    <row r="147" spans="1:27">
      <c r="A147" s="316" t="s">
        <v>377</v>
      </c>
      <c r="B147" s="316" t="s">
        <v>90</v>
      </c>
      <c r="C147" s="316" t="s">
        <v>757</v>
      </c>
      <c r="D147" s="316" t="s">
        <v>806</v>
      </c>
      <c r="E147" s="317">
        <v>45240</v>
      </c>
      <c r="F147" s="316" t="s">
        <v>514</v>
      </c>
      <c r="G147" s="316" t="s">
        <v>605</v>
      </c>
      <c r="H147" s="317">
        <v>45240</v>
      </c>
      <c r="J147" s="317">
        <v>45352.861817129633</v>
      </c>
      <c r="K147" s="316" t="s">
        <v>378</v>
      </c>
      <c r="L147" s="318">
        <v>-110582.09</v>
      </c>
      <c r="M147" s="318">
        <v>-110582.09</v>
      </c>
      <c r="N147" s="318">
        <v>-116595.46</v>
      </c>
      <c r="O147" s="318">
        <v>-116595.46</v>
      </c>
      <c r="P147" s="318">
        <v>4659.78</v>
      </c>
      <c r="Q147" s="318">
        <v>4659.78</v>
      </c>
      <c r="R147" s="318">
        <v>6013.37</v>
      </c>
      <c r="S147" s="318">
        <v>0</v>
      </c>
      <c r="T147" s="318">
        <v>-6013.37</v>
      </c>
      <c r="U147" s="318">
        <v>6013.37</v>
      </c>
      <c r="V147" s="319">
        <v>98</v>
      </c>
      <c r="W147" s="319">
        <v>98</v>
      </c>
      <c r="X147" s="318">
        <v>98</v>
      </c>
      <c r="Y147" s="318">
        <v>98</v>
      </c>
      <c r="Z147" s="317">
        <v>45240</v>
      </c>
      <c r="AA147" s="316" t="s">
        <v>605</v>
      </c>
    </row>
    <row r="148" spans="1:27">
      <c r="A148" s="316" t="s">
        <v>377</v>
      </c>
      <c r="B148" s="316" t="s">
        <v>90</v>
      </c>
      <c r="C148" s="316" t="s">
        <v>757</v>
      </c>
      <c r="D148" s="316" t="s">
        <v>807</v>
      </c>
      <c r="E148" s="317">
        <v>45238</v>
      </c>
      <c r="F148" s="316" t="s">
        <v>514</v>
      </c>
      <c r="G148" s="316" t="s">
        <v>606</v>
      </c>
      <c r="H148" s="317">
        <v>45238</v>
      </c>
      <c r="J148" s="317">
        <v>45352.861817129633</v>
      </c>
      <c r="K148" s="316" t="s">
        <v>378</v>
      </c>
      <c r="L148" s="318">
        <v>-11605.43</v>
      </c>
      <c r="M148" s="318">
        <v>-11605.43</v>
      </c>
      <c r="N148" s="318">
        <v>-12247.69</v>
      </c>
      <c r="O148" s="318">
        <v>-12247.69</v>
      </c>
      <c r="P148" s="318">
        <v>725.79</v>
      </c>
      <c r="Q148" s="318">
        <v>725.79</v>
      </c>
      <c r="R148" s="318">
        <v>642.26</v>
      </c>
      <c r="S148" s="318">
        <v>0</v>
      </c>
      <c r="T148" s="318">
        <v>-642.26</v>
      </c>
      <c r="U148" s="318">
        <v>642.26</v>
      </c>
      <c r="V148" s="319">
        <v>98.5</v>
      </c>
      <c r="W148" s="319">
        <v>98.5</v>
      </c>
      <c r="X148" s="318">
        <v>98.5</v>
      </c>
      <c r="Y148" s="318">
        <v>98.5</v>
      </c>
      <c r="Z148" s="317">
        <v>45238</v>
      </c>
      <c r="AA148" s="316" t="s">
        <v>606</v>
      </c>
    </row>
    <row r="149" spans="1:27">
      <c r="A149" s="316" t="s">
        <v>377</v>
      </c>
      <c r="B149" s="316" t="s">
        <v>90</v>
      </c>
      <c r="C149" s="316" t="s">
        <v>757</v>
      </c>
      <c r="D149" s="316" t="s">
        <v>808</v>
      </c>
      <c r="E149" s="317">
        <v>45231</v>
      </c>
      <c r="F149" s="316" t="s">
        <v>514</v>
      </c>
      <c r="G149" s="316" t="s">
        <v>607</v>
      </c>
      <c r="H149" s="317">
        <v>45231</v>
      </c>
      <c r="J149" s="317">
        <v>45352.861817129633</v>
      </c>
      <c r="K149" s="316" t="s">
        <v>378</v>
      </c>
      <c r="L149" s="318">
        <v>-36454.800000000003</v>
      </c>
      <c r="M149" s="318">
        <v>-36454.800000000003</v>
      </c>
      <c r="N149" s="318">
        <v>-38603.339999999997</v>
      </c>
      <c r="O149" s="318">
        <v>-38603.339999999997</v>
      </c>
      <c r="P149" s="318">
        <v>3270.56</v>
      </c>
      <c r="Q149" s="318">
        <v>3270.56</v>
      </c>
      <c r="R149" s="318">
        <v>2148.54</v>
      </c>
      <c r="S149" s="318">
        <v>0</v>
      </c>
      <c r="T149" s="318">
        <v>-2148.54</v>
      </c>
      <c r="U149" s="318">
        <v>2148.54</v>
      </c>
      <c r="V149" s="319">
        <v>98</v>
      </c>
      <c r="W149" s="319">
        <v>98</v>
      </c>
      <c r="X149" s="318">
        <v>98</v>
      </c>
      <c r="Y149" s="318">
        <v>98</v>
      </c>
      <c r="Z149" s="317">
        <v>45231</v>
      </c>
      <c r="AA149" s="316" t="s">
        <v>607</v>
      </c>
    </row>
    <row r="150" spans="1:27">
      <c r="A150" s="316" t="s">
        <v>377</v>
      </c>
      <c r="B150" s="316" t="s">
        <v>90</v>
      </c>
      <c r="C150" s="316" t="s">
        <v>757</v>
      </c>
      <c r="D150" s="316" t="s">
        <v>809</v>
      </c>
      <c r="E150" s="317">
        <v>45205</v>
      </c>
      <c r="F150" s="316" t="s">
        <v>514</v>
      </c>
      <c r="G150" s="316" t="s">
        <v>608</v>
      </c>
      <c r="H150" s="317">
        <v>45205</v>
      </c>
      <c r="J150" s="317">
        <v>45352.861817129633</v>
      </c>
      <c r="K150" s="316" t="s">
        <v>378</v>
      </c>
      <c r="L150" s="318">
        <v>-139970.09</v>
      </c>
      <c r="M150" s="318">
        <v>-139970.09</v>
      </c>
      <c r="N150" s="318">
        <v>-150095</v>
      </c>
      <c r="O150" s="318">
        <v>-150095</v>
      </c>
      <c r="P150" s="318">
        <v>12341.14</v>
      </c>
      <c r="Q150" s="318">
        <v>12341.14</v>
      </c>
      <c r="R150" s="318">
        <v>10124.91</v>
      </c>
      <c r="S150" s="318">
        <v>0</v>
      </c>
      <c r="T150" s="318">
        <v>-10124.91</v>
      </c>
      <c r="U150" s="318">
        <v>10124.91</v>
      </c>
      <c r="V150" s="319">
        <v>97.5</v>
      </c>
      <c r="W150" s="319">
        <v>97.5</v>
      </c>
      <c r="X150" s="318">
        <v>97.5</v>
      </c>
      <c r="Y150" s="318">
        <v>97.5</v>
      </c>
      <c r="Z150" s="317">
        <v>45205</v>
      </c>
      <c r="AA150" s="316" t="s">
        <v>608</v>
      </c>
    </row>
    <row r="151" spans="1:27">
      <c r="A151" s="316" t="s">
        <v>377</v>
      </c>
      <c r="B151" s="316" t="s">
        <v>90</v>
      </c>
      <c r="C151" s="316" t="s">
        <v>757</v>
      </c>
      <c r="D151" s="316" t="s">
        <v>810</v>
      </c>
      <c r="E151" s="317">
        <v>45352</v>
      </c>
      <c r="F151" s="316" t="s">
        <v>514</v>
      </c>
      <c r="G151" s="316" t="s">
        <v>811</v>
      </c>
      <c r="H151" s="317">
        <v>45352</v>
      </c>
      <c r="J151" s="317">
        <v>45352.861817129633</v>
      </c>
      <c r="K151" s="316" t="s">
        <v>378</v>
      </c>
      <c r="L151" s="318">
        <v>-30144.65</v>
      </c>
      <c r="M151" s="318">
        <v>-30144.65</v>
      </c>
      <c r="N151" s="318">
        <v>-30158.6</v>
      </c>
      <c r="O151" s="318">
        <v>-30158.6</v>
      </c>
      <c r="P151" s="318">
        <v>20.94</v>
      </c>
      <c r="Q151" s="318">
        <v>20.94</v>
      </c>
      <c r="R151" s="318">
        <v>13.95</v>
      </c>
      <c r="S151" s="318">
        <v>0</v>
      </c>
      <c r="T151" s="318">
        <v>-13.95</v>
      </c>
      <c r="U151" s="318">
        <v>13.95</v>
      </c>
      <c r="V151" s="319">
        <v>98</v>
      </c>
      <c r="W151" s="319">
        <v>98</v>
      </c>
      <c r="X151" s="318">
        <v>98</v>
      </c>
      <c r="Y151" s="318">
        <v>98</v>
      </c>
      <c r="Z151" s="317">
        <v>45352</v>
      </c>
      <c r="AA151" s="316" t="s">
        <v>811</v>
      </c>
    </row>
    <row r="152" spans="1:27">
      <c r="A152" s="316" t="s">
        <v>377</v>
      </c>
      <c r="B152" s="316" t="s">
        <v>90</v>
      </c>
      <c r="C152" s="316" t="s">
        <v>757</v>
      </c>
      <c r="D152" s="316" t="s">
        <v>812</v>
      </c>
      <c r="E152" s="317">
        <v>45323</v>
      </c>
      <c r="F152" s="316" t="s">
        <v>514</v>
      </c>
      <c r="G152" s="316" t="s">
        <v>813</v>
      </c>
      <c r="H152" s="317">
        <v>45323</v>
      </c>
      <c r="J152" s="317">
        <v>45352.861817129633</v>
      </c>
      <c r="K152" s="316" t="s">
        <v>378</v>
      </c>
      <c r="L152" s="318">
        <v>-65472.02</v>
      </c>
      <c r="M152" s="318">
        <v>-65472.02</v>
      </c>
      <c r="N152" s="318">
        <v>-66248.679999999993</v>
      </c>
      <c r="O152" s="318">
        <v>-66248.679999999993</v>
      </c>
      <c r="P152" s="318">
        <v>1840.24</v>
      </c>
      <c r="Q152" s="318">
        <v>1840.24</v>
      </c>
      <c r="R152" s="318">
        <v>776.66</v>
      </c>
      <c r="S152" s="318">
        <v>0</v>
      </c>
      <c r="T152" s="318">
        <v>-776.66</v>
      </c>
      <c r="U152" s="318">
        <v>776.66</v>
      </c>
      <c r="V152" s="319">
        <v>98.5</v>
      </c>
      <c r="W152" s="319">
        <v>98.5</v>
      </c>
      <c r="X152" s="318">
        <v>98.5</v>
      </c>
      <c r="Y152" s="318">
        <v>98.5</v>
      </c>
      <c r="Z152" s="317">
        <v>45323</v>
      </c>
      <c r="AA152" s="316" t="s">
        <v>813</v>
      </c>
    </row>
    <row r="153" spans="1:27">
      <c r="A153" s="316" t="s">
        <v>377</v>
      </c>
      <c r="B153" s="316" t="s">
        <v>90</v>
      </c>
      <c r="C153" s="316" t="s">
        <v>757</v>
      </c>
      <c r="D153" s="316" t="s">
        <v>814</v>
      </c>
      <c r="E153" s="317">
        <v>45245</v>
      </c>
      <c r="F153" s="316" t="s">
        <v>514</v>
      </c>
      <c r="G153" s="316" t="s">
        <v>609</v>
      </c>
      <c r="H153" s="317">
        <v>45245</v>
      </c>
      <c r="J153" s="317">
        <v>45352.861817129633</v>
      </c>
      <c r="K153" s="316" t="s">
        <v>378</v>
      </c>
      <c r="L153" s="318">
        <v>-249196.49</v>
      </c>
      <c r="M153" s="318">
        <v>-249196.49</v>
      </c>
      <c r="N153" s="318">
        <v>-262110.7</v>
      </c>
      <c r="O153" s="318">
        <v>-262110.7</v>
      </c>
      <c r="P153" s="318">
        <v>11649.36</v>
      </c>
      <c r="Q153" s="318">
        <v>11649.36</v>
      </c>
      <c r="R153" s="318">
        <v>12914.21</v>
      </c>
      <c r="S153" s="318">
        <v>0</v>
      </c>
      <c r="T153" s="318">
        <v>-12914.21</v>
      </c>
      <c r="U153" s="318">
        <v>12914.21</v>
      </c>
      <c r="V153" s="319">
        <v>98</v>
      </c>
      <c r="W153" s="319">
        <v>98</v>
      </c>
      <c r="X153" s="318">
        <v>98</v>
      </c>
      <c r="Y153" s="318">
        <v>98</v>
      </c>
      <c r="Z153" s="317">
        <v>45245</v>
      </c>
      <c r="AA153" s="316" t="s">
        <v>609</v>
      </c>
    </row>
    <row r="154" spans="1:27">
      <c r="A154" s="316" t="s">
        <v>377</v>
      </c>
      <c r="B154" s="316" t="s">
        <v>90</v>
      </c>
      <c r="C154" s="316" t="s">
        <v>757</v>
      </c>
      <c r="D154" s="316" t="s">
        <v>815</v>
      </c>
      <c r="E154" s="317">
        <v>45351</v>
      </c>
      <c r="F154" s="316" t="s">
        <v>514</v>
      </c>
      <c r="G154" s="316" t="s">
        <v>816</v>
      </c>
      <c r="H154" s="317">
        <v>45351</v>
      </c>
      <c r="J154" s="317">
        <v>45352.861817129633</v>
      </c>
      <c r="K154" s="316" t="s">
        <v>378</v>
      </c>
      <c r="L154" s="318">
        <v>-169974.13</v>
      </c>
      <c r="M154" s="318">
        <v>-169974.13</v>
      </c>
      <c r="N154" s="318">
        <v>-159082.06</v>
      </c>
      <c r="O154" s="318">
        <v>-159082.06</v>
      </c>
      <c r="P154" s="318">
        <v>147.30000000000001</v>
      </c>
      <c r="Q154" s="318">
        <v>147.30000000000001</v>
      </c>
      <c r="R154" s="318">
        <v>155.30000000000001</v>
      </c>
      <c r="S154" s="318">
        <v>0</v>
      </c>
      <c r="T154" s="318">
        <v>10892.07</v>
      </c>
      <c r="U154" s="318">
        <v>155.30000000000001</v>
      </c>
      <c r="V154" s="319">
        <v>98.5</v>
      </c>
      <c r="W154" s="319">
        <v>98.5</v>
      </c>
      <c r="X154" s="318">
        <v>98.395832999999996</v>
      </c>
      <c r="Y154" s="318">
        <v>98.395833330000002</v>
      </c>
      <c r="Z154" s="317">
        <v>45351</v>
      </c>
      <c r="AA154" s="316" t="s">
        <v>816</v>
      </c>
    </row>
    <row r="155" spans="1:27">
      <c r="A155" s="316" t="s">
        <v>377</v>
      </c>
      <c r="B155" s="316" t="s">
        <v>90</v>
      </c>
      <c r="C155" s="316" t="s">
        <v>757</v>
      </c>
      <c r="D155" s="316" t="s">
        <v>817</v>
      </c>
      <c r="E155" s="317">
        <v>45337</v>
      </c>
      <c r="F155" s="316" t="s">
        <v>514</v>
      </c>
      <c r="G155" s="316" t="s">
        <v>818</v>
      </c>
      <c r="H155" s="317">
        <v>45337</v>
      </c>
      <c r="I155" s="316" t="s">
        <v>897</v>
      </c>
      <c r="J155" s="317">
        <v>45352.861817129633</v>
      </c>
      <c r="K155" s="316" t="s">
        <v>378</v>
      </c>
      <c r="L155" s="318">
        <v>706.67</v>
      </c>
      <c r="M155" s="318">
        <v>706.67</v>
      </c>
      <c r="N155" s="318">
        <v>728.08</v>
      </c>
      <c r="O155" s="318">
        <v>728.08</v>
      </c>
      <c r="P155" s="318">
        <v>1.5</v>
      </c>
      <c r="Q155" s="318">
        <v>1.5</v>
      </c>
      <c r="R155" s="318">
        <v>0.51</v>
      </c>
      <c r="S155" s="318">
        <v>0</v>
      </c>
      <c r="T155" s="318">
        <v>21.41</v>
      </c>
      <c r="U155" s="318">
        <v>0.51</v>
      </c>
      <c r="V155" s="319">
        <v>100</v>
      </c>
      <c r="W155" s="319">
        <v>100</v>
      </c>
      <c r="X155" s="318">
        <v>97.5</v>
      </c>
      <c r="Y155" s="318">
        <v>97.5</v>
      </c>
      <c r="Z155" s="317">
        <v>45337</v>
      </c>
      <c r="AA155" s="316" t="s">
        <v>818</v>
      </c>
    </row>
    <row r="156" spans="1:27">
      <c r="A156" s="316" t="s">
        <v>377</v>
      </c>
      <c r="B156" s="316" t="s">
        <v>90</v>
      </c>
      <c r="C156" s="316" t="s">
        <v>757</v>
      </c>
      <c r="D156" s="316" t="s">
        <v>833</v>
      </c>
      <c r="E156" s="317">
        <v>45230</v>
      </c>
      <c r="F156" s="316" t="s">
        <v>514</v>
      </c>
      <c r="G156" s="316" t="s">
        <v>615</v>
      </c>
      <c r="H156" s="317">
        <v>45239</v>
      </c>
      <c r="J156" s="317">
        <v>45352.861817129633</v>
      </c>
      <c r="K156" s="316" t="s">
        <v>378</v>
      </c>
      <c r="L156" s="318">
        <v>-50910.879999999997</v>
      </c>
      <c r="M156" s="318">
        <v>-50910.879999999997</v>
      </c>
      <c r="N156" s="318">
        <v>-53716.02</v>
      </c>
      <c r="O156" s="318">
        <v>-53716.02</v>
      </c>
      <c r="P156" s="318">
        <v>4768.1899999999996</v>
      </c>
      <c r="Q156" s="318">
        <v>4768.1899999999996</v>
      </c>
      <c r="R156" s="318">
        <v>2805.14</v>
      </c>
      <c r="S156" s="318">
        <v>0</v>
      </c>
      <c r="T156" s="318">
        <v>-2805.14</v>
      </c>
      <c r="U156" s="318">
        <v>2805.14</v>
      </c>
      <c r="V156" s="319">
        <v>98</v>
      </c>
      <c r="W156" s="319">
        <v>98</v>
      </c>
      <c r="X156" s="318">
        <v>98</v>
      </c>
      <c r="Y156" s="318">
        <v>98</v>
      </c>
      <c r="Z156" s="317">
        <v>45239</v>
      </c>
      <c r="AA156" s="316" t="s">
        <v>615</v>
      </c>
    </row>
    <row r="157" spans="1:27">
      <c r="A157" s="316" t="s">
        <v>377</v>
      </c>
      <c r="B157" s="316" t="s">
        <v>90</v>
      </c>
      <c r="C157" s="316" t="s">
        <v>757</v>
      </c>
      <c r="D157" s="316" t="s">
        <v>819</v>
      </c>
      <c r="E157" s="317">
        <v>45322</v>
      </c>
      <c r="F157" s="316" t="s">
        <v>514</v>
      </c>
      <c r="G157" s="316" t="s">
        <v>820</v>
      </c>
      <c r="H157" s="317">
        <v>45322</v>
      </c>
      <c r="I157" s="316" t="s">
        <v>898</v>
      </c>
      <c r="J157" s="317">
        <v>45352.861817129633</v>
      </c>
      <c r="K157" s="316" t="s">
        <v>378</v>
      </c>
      <c r="L157" s="318">
        <v>-37973.58</v>
      </c>
      <c r="M157" s="318">
        <v>-37973.58</v>
      </c>
      <c r="N157" s="318">
        <v>0</v>
      </c>
      <c r="O157" s="318">
        <v>0</v>
      </c>
      <c r="P157" s="318">
        <v>851.69</v>
      </c>
      <c r="Q157" s="318">
        <v>851.69</v>
      </c>
      <c r="R157" s="318">
        <v>1588.64</v>
      </c>
      <c r="S157" s="318">
        <v>0</v>
      </c>
      <c r="T157" s="318">
        <v>37973.58</v>
      </c>
      <c r="U157" s="318">
        <v>1588.64</v>
      </c>
      <c r="V157" s="319">
        <v>100</v>
      </c>
      <c r="W157" s="319">
        <v>100</v>
      </c>
      <c r="X157" s="318">
        <v>98</v>
      </c>
      <c r="Y157" s="318">
        <v>98</v>
      </c>
      <c r="Z157" s="317">
        <v>45322</v>
      </c>
      <c r="AA157" s="316" t="s">
        <v>820</v>
      </c>
    </row>
    <row r="158" spans="1:27">
      <c r="A158" s="316" t="s">
        <v>377</v>
      </c>
      <c r="B158" s="316" t="s">
        <v>90</v>
      </c>
      <c r="C158" s="316" t="s">
        <v>757</v>
      </c>
      <c r="D158" s="316" t="s">
        <v>821</v>
      </c>
      <c r="E158" s="317">
        <v>45201</v>
      </c>
      <c r="F158" s="316" t="s">
        <v>514</v>
      </c>
      <c r="G158" s="316" t="s">
        <v>610</v>
      </c>
      <c r="H158" s="317">
        <v>45201</v>
      </c>
      <c r="J158" s="317">
        <v>45352.861817129633</v>
      </c>
      <c r="K158" s="316" t="s">
        <v>378</v>
      </c>
      <c r="L158" s="318">
        <v>-39091.040000000001</v>
      </c>
      <c r="M158" s="318">
        <v>-39091.040000000001</v>
      </c>
      <c r="N158" s="318">
        <v>0</v>
      </c>
      <c r="O158" s="318">
        <v>0</v>
      </c>
      <c r="P158" s="318">
        <v>2027.9</v>
      </c>
      <c r="Q158" s="318">
        <v>2027.9</v>
      </c>
      <c r="R158" s="318">
        <v>6536.68</v>
      </c>
      <c r="S158" s="318">
        <v>0</v>
      </c>
      <c r="T158" s="318">
        <v>39091.040000000001</v>
      </c>
      <c r="U158" s="318">
        <v>6536.68</v>
      </c>
      <c r="V158" s="319">
        <v>100</v>
      </c>
      <c r="W158" s="319">
        <v>100</v>
      </c>
      <c r="X158" s="318">
        <v>98</v>
      </c>
      <c r="Y158" s="318">
        <v>98</v>
      </c>
      <c r="Z158" s="317">
        <v>45201</v>
      </c>
      <c r="AA158" s="316" t="s">
        <v>610</v>
      </c>
    </row>
    <row r="159" spans="1:27">
      <c r="A159" s="316" t="s">
        <v>377</v>
      </c>
      <c r="B159" s="316" t="s">
        <v>90</v>
      </c>
      <c r="C159" s="316" t="s">
        <v>757</v>
      </c>
      <c r="D159" s="316" t="s">
        <v>822</v>
      </c>
      <c r="E159" s="317">
        <v>45335</v>
      </c>
      <c r="F159" s="316" t="s">
        <v>514</v>
      </c>
      <c r="G159" s="316" t="s">
        <v>823</v>
      </c>
      <c r="H159" s="317">
        <v>45335</v>
      </c>
      <c r="J159" s="317">
        <v>45352.861817129633</v>
      </c>
      <c r="K159" s="316" t="s">
        <v>378</v>
      </c>
      <c r="L159" s="318">
        <v>81159.97</v>
      </c>
      <c r="M159" s="318">
        <v>81159.97</v>
      </c>
      <c r="N159" s="318">
        <v>79799</v>
      </c>
      <c r="O159" s="318">
        <v>79799</v>
      </c>
      <c r="P159" s="318">
        <v>3139.26</v>
      </c>
      <c r="Q159" s="318">
        <v>3139.26</v>
      </c>
      <c r="R159" s="318">
        <v>1360.97</v>
      </c>
      <c r="S159" s="318">
        <v>0</v>
      </c>
      <c r="T159" s="318">
        <v>-1360.97</v>
      </c>
      <c r="U159" s="318">
        <v>1360.97</v>
      </c>
      <c r="V159" s="319">
        <v>97.75</v>
      </c>
      <c r="W159" s="319">
        <v>97.75</v>
      </c>
      <c r="X159" s="318">
        <v>97.75</v>
      </c>
      <c r="Y159" s="318">
        <v>97.75</v>
      </c>
      <c r="Z159" s="317">
        <v>45335</v>
      </c>
      <c r="AA159" s="316" t="s">
        <v>823</v>
      </c>
    </row>
    <row r="160" spans="1:27">
      <c r="A160" s="316" t="s">
        <v>377</v>
      </c>
      <c r="B160" s="316" t="s">
        <v>90</v>
      </c>
      <c r="C160" s="316" t="s">
        <v>757</v>
      </c>
      <c r="D160" s="316" t="s">
        <v>824</v>
      </c>
      <c r="E160" s="317">
        <v>45238</v>
      </c>
      <c r="F160" s="316" t="s">
        <v>514</v>
      </c>
      <c r="G160" s="316" t="s">
        <v>611</v>
      </c>
      <c r="H160" s="317">
        <v>45238</v>
      </c>
      <c r="J160" s="317">
        <v>45352.861817129633</v>
      </c>
      <c r="K160" s="316" t="s">
        <v>378</v>
      </c>
      <c r="L160" s="318">
        <v>-85749.41</v>
      </c>
      <c r="M160" s="318">
        <v>-85749.41</v>
      </c>
      <c r="N160" s="318">
        <v>-89787.57</v>
      </c>
      <c r="O160" s="318">
        <v>-89787.57</v>
      </c>
      <c r="P160" s="318">
        <v>3192.45</v>
      </c>
      <c r="Q160" s="318">
        <v>3192.45</v>
      </c>
      <c r="R160" s="318">
        <v>4038.16</v>
      </c>
      <c r="S160" s="318">
        <v>0</v>
      </c>
      <c r="T160" s="318">
        <v>-4038.16</v>
      </c>
      <c r="U160" s="318">
        <v>4038.16</v>
      </c>
      <c r="V160" s="319">
        <v>97.5</v>
      </c>
      <c r="W160" s="319">
        <v>97.5</v>
      </c>
      <c r="X160" s="318">
        <v>97.5</v>
      </c>
      <c r="Y160" s="318">
        <v>97.5</v>
      </c>
      <c r="Z160" s="317">
        <v>45238</v>
      </c>
      <c r="AA160" s="316" t="s">
        <v>611</v>
      </c>
    </row>
    <row r="161" spans="1:27">
      <c r="A161" s="316" t="s">
        <v>377</v>
      </c>
      <c r="B161" s="316" t="s">
        <v>90</v>
      </c>
      <c r="C161" s="316" t="s">
        <v>757</v>
      </c>
      <c r="D161" s="316" t="s">
        <v>825</v>
      </c>
      <c r="E161" s="317">
        <v>45296</v>
      </c>
      <c r="F161" s="316" t="s">
        <v>514</v>
      </c>
      <c r="G161" s="316" t="s">
        <v>826</v>
      </c>
      <c r="H161" s="317">
        <v>45296</v>
      </c>
      <c r="I161" s="316" t="s">
        <v>899</v>
      </c>
      <c r="J161" s="317">
        <v>45352.861817129633</v>
      </c>
      <c r="K161" s="316" t="s">
        <v>378</v>
      </c>
      <c r="L161" s="318">
        <v>324118.57</v>
      </c>
      <c r="M161" s="318">
        <v>324118.57</v>
      </c>
      <c r="N161" s="318">
        <v>365043.3</v>
      </c>
      <c r="O161" s="318">
        <v>365043.3</v>
      </c>
      <c r="P161" s="318">
        <v>2021.67</v>
      </c>
      <c r="Q161" s="318">
        <v>2021.67</v>
      </c>
      <c r="R161" s="318">
        <v>1195.6500000000001</v>
      </c>
      <c r="S161" s="318">
        <v>0</v>
      </c>
      <c r="T161" s="318">
        <v>40924.730000000003</v>
      </c>
      <c r="U161" s="318">
        <v>1195.6500000000001</v>
      </c>
      <c r="V161" s="319">
        <v>100</v>
      </c>
      <c r="W161" s="319">
        <v>100</v>
      </c>
      <c r="X161" s="318">
        <v>98</v>
      </c>
      <c r="Y161" s="318">
        <v>98</v>
      </c>
      <c r="Z161" s="317">
        <v>45296</v>
      </c>
      <c r="AA161" s="316" t="s">
        <v>826</v>
      </c>
    </row>
    <row r="162" spans="1:27">
      <c r="A162" s="316" t="s">
        <v>377</v>
      </c>
      <c r="B162" s="316" t="s">
        <v>90</v>
      </c>
      <c r="C162" s="316" t="s">
        <v>757</v>
      </c>
      <c r="D162" s="316" t="s">
        <v>827</v>
      </c>
      <c r="E162" s="317">
        <v>45236</v>
      </c>
      <c r="F162" s="316" t="s">
        <v>514</v>
      </c>
      <c r="G162" s="316" t="s">
        <v>612</v>
      </c>
      <c r="H162" s="317">
        <v>45236</v>
      </c>
      <c r="J162" s="317">
        <v>45352.861817129633</v>
      </c>
      <c r="K162" s="316" t="s">
        <v>378</v>
      </c>
      <c r="L162" s="318">
        <v>-17571.97</v>
      </c>
      <c r="M162" s="318">
        <v>-17571.97</v>
      </c>
      <c r="N162" s="318">
        <v>-18562.78</v>
      </c>
      <c r="O162" s="318">
        <v>-18562.78</v>
      </c>
      <c r="P162" s="318">
        <v>1206.58</v>
      </c>
      <c r="Q162" s="318">
        <v>1206.58</v>
      </c>
      <c r="R162" s="318">
        <v>990.81</v>
      </c>
      <c r="S162" s="318">
        <v>0</v>
      </c>
      <c r="T162" s="318">
        <v>-990.81</v>
      </c>
      <c r="U162" s="318">
        <v>990.81</v>
      </c>
      <c r="V162" s="319">
        <v>97.5</v>
      </c>
      <c r="W162" s="319">
        <v>97.5</v>
      </c>
      <c r="X162" s="318">
        <v>97.5</v>
      </c>
      <c r="Y162" s="318">
        <v>97.5</v>
      </c>
      <c r="Z162" s="317">
        <v>45236</v>
      </c>
      <c r="AA162" s="316" t="s">
        <v>612</v>
      </c>
    </row>
    <row r="163" spans="1:27">
      <c r="A163" s="316" t="s">
        <v>377</v>
      </c>
      <c r="B163" s="316" t="s">
        <v>90</v>
      </c>
      <c r="C163" s="316" t="s">
        <v>757</v>
      </c>
      <c r="D163" s="316" t="s">
        <v>828</v>
      </c>
      <c r="E163" s="317">
        <v>45324</v>
      </c>
      <c r="F163" s="316" t="s">
        <v>514</v>
      </c>
      <c r="G163" s="316" t="s">
        <v>829</v>
      </c>
      <c r="H163" s="317">
        <v>45324</v>
      </c>
      <c r="I163" s="316" t="s">
        <v>900</v>
      </c>
      <c r="J163" s="317">
        <v>45352.861817129633</v>
      </c>
      <c r="K163" s="316" t="s">
        <v>378</v>
      </c>
      <c r="L163" s="318">
        <v>-20319.75</v>
      </c>
      <c r="M163" s="318">
        <v>-20319.75</v>
      </c>
      <c r="N163" s="318">
        <v>0</v>
      </c>
      <c r="O163" s="318">
        <v>0</v>
      </c>
      <c r="P163" s="318">
        <v>559.47</v>
      </c>
      <c r="Q163" s="318">
        <v>559.47</v>
      </c>
      <c r="R163" s="318">
        <v>449.48</v>
      </c>
      <c r="S163" s="318">
        <v>0</v>
      </c>
      <c r="T163" s="318">
        <v>20319.75</v>
      </c>
      <c r="U163" s="318">
        <v>449.48</v>
      </c>
      <c r="V163" s="319">
        <v>100</v>
      </c>
      <c r="W163" s="319">
        <v>100</v>
      </c>
      <c r="X163" s="318">
        <v>98.5</v>
      </c>
      <c r="Y163" s="318">
        <v>98.5</v>
      </c>
      <c r="Z163" s="317">
        <v>45324</v>
      </c>
      <c r="AA163" s="316" t="s">
        <v>829</v>
      </c>
    </row>
    <row r="164" spans="1:27">
      <c r="A164" s="316" t="s">
        <v>377</v>
      </c>
      <c r="B164" s="316" t="s">
        <v>90</v>
      </c>
      <c r="C164" s="316" t="s">
        <v>757</v>
      </c>
      <c r="D164" s="316" t="s">
        <v>830</v>
      </c>
      <c r="E164" s="317">
        <v>45219</v>
      </c>
      <c r="F164" s="316" t="s">
        <v>514</v>
      </c>
      <c r="G164" s="316" t="s">
        <v>613</v>
      </c>
      <c r="H164" s="317">
        <v>45219</v>
      </c>
      <c r="J164" s="317">
        <v>45352.861817129633</v>
      </c>
      <c r="K164" s="316" t="s">
        <v>378</v>
      </c>
      <c r="L164" s="318">
        <v>-18299.16</v>
      </c>
      <c r="M164" s="318">
        <v>-18299.16</v>
      </c>
      <c r="N164" s="318">
        <v>-19941.55</v>
      </c>
      <c r="O164" s="318">
        <v>-19941.55</v>
      </c>
      <c r="P164" s="318">
        <v>886.3</v>
      </c>
      <c r="Q164" s="318">
        <v>886.3</v>
      </c>
      <c r="R164" s="318">
        <v>1642.39</v>
      </c>
      <c r="S164" s="318">
        <v>0</v>
      </c>
      <c r="T164" s="318">
        <v>-1642.39</v>
      </c>
      <c r="U164" s="318">
        <v>1642.39</v>
      </c>
      <c r="V164" s="319">
        <v>98</v>
      </c>
      <c r="W164" s="319">
        <v>98</v>
      </c>
      <c r="X164" s="318">
        <v>98</v>
      </c>
      <c r="Y164" s="318">
        <v>98</v>
      </c>
      <c r="Z164" s="317">
        <v>45219</v>
      </c>
      <c r="AA164" s="316" t="s">
        <v>613</v>
      </c>
    </row>
    <row r="165" spans="1:27">
      <c r="A165" s="316" t="s">
        <v>377</v>
      </c>
      <c r="B165" s="316" t="s">
        <v>90</v>
      </c>
      <c r="C165" s="316" t="s">
        <v>834</v>
      </c>
      <c r="D165" s="316" t="s">
        <v>835</v>
      </c>
      <c r="E165" s="317">
        <v>45334</v>
      </c>
      <c r="F165" s="316" t="s">
        <v>514</v>
      </c>
      <c r="G165" s="316" t="s">
        <v>836</v>
      </c>
      <c r="H165" s="317">
        <v>45334</v>
      </c>
      <c r="J165" s="317">
        <v>45352.861817129633</v>
      </c>
      <c r="K165" s="316" t="s">
        <v>378</v>
      </c>
      <c r="L165" s="318">
        <v>81801675.260000005</v>
      </c>
      <c r="M165" s="318">
        <v>81801675.260000005</v>
      </c>
      <c r="N165" s="318">
        <v>81801675.260000005</v>
      </c>
      <c r="O165" s="318">
        <v>81801675.260000005</v>
      </c>
      <c r="P165" s="318">
        <v>0</v>
      </c>
      <c r="Q165" s="318">
        <v>0</v>
      </c>
      <c r="R165" s="318">
        <v>0</v>
      </c>
      <c r="S165" s="318">
        <v>0</v>
      </c>
      <c r="T165" s="318">
        <v>0</v>
      </c>
      <c r="U165" s="318">
        <v>0</v>
      </c>
      <c r="V165" s="319">
        <v>1</v>
      </c>
      <c r="W165" s="319">
        <v>1</v>
      </c>
      <c r="X165" s="318">
        <v>1</v>
      </c>
      <c r="Y165" s="318">
        <v>1</v>
      </c>
      <c r="Z165" s="317">
        <v>45334</v>
      </c>
      <c r="AA165" s="316" t="s">
        <v>836</v>
      </c>
    </row>
    <row r="166" spans="1:27">
      <c r="A166" s="316" t="s">
        <v>377</v>
      </c>
      <c r="B166" s="316" t="s">
        <v>90</v>
      </c>
      <c r="C166" s="316" t="s">
        <v>834</v>
      </c>
      <c r="D166" s="316" t="s">
        <v>835</v>
      </c>
      <c r="E166" s="317">
        <v>45335</v>
      </c>
      <c r="F166" s="316" t="s">
        <v>514</v>
      </c>
      <c r="G166" s="316" t="s">
        <v>836</v>
      </c>
      <c r="H166" s="317">
        <v>45335</v>
      </c>
      <c r="J166" s="317">
        <v>45352.861817129633</v>
      </c>
      <c r="K166" s="316" t="s">
        <v>378</v>
      </c>
      <c r="L166" s="318">
        <v>3321.35</v>
      </c>
      <c r="M166" s="318">
        <v>3321.35</v>
      </c>
      <c r="N166" s="318">
        <v>3321.35</v>
      </c>
      <c r="O166" s="318">
        <v>3321.35</v>
      </c>
      <c r="P166" s="318">
        <v>0</v>
      </c>
      <c r="Q166" s="318">
        <v>0</v>
      </c>
      <c r="R166" s="318">
        <v>0</v>
      </c>
      <c r="S166" s="318">
        <v>0</v>
      </c>
      <c r="T166" s="318">
        <v>0</v>
      </c>
      <c r="U166" s="318">
        <v>0</v>
      </c>
      <c r="V166" s="319">
        <v>1</v>
      </c>
      <c r="W166" s="319">
        <v>1</v>
      </c>
      <c r="X166" s="318">
        <v>1</v>
      </c>
      <c r="Y166" s="318">
        <v>1</v>
      </c>
      <c r="Z166" s="317">
        <v>45335</v>
      </c>
      <c r="AA166" s="316" t="s">
        <v>836</v>
      </c>
    </row>
    <row r="167" spans="1:27">
      <c r="A167" s="316" t="s">
        <v>377</v>
      </c>
      <c r="B167" s="316" t="s">
        <v>90</v>
      </c>
      <c r="C167" s="316" t="s">
        <v>834</v>
      </c>
      <c r="D167" s="316" t="s">
        <v>835</v>
      </c>
      <c r="E167" s="317">
        <v>45337</v>
      </c>
      <c r="F167" s="316" t="s">
        <v>514</v>
      </c>
      <c r="G167" s="316" t="s">
        <v>836</v>
      </c>
      <c r="H167" s="317">
        <v>45337</v>
      </c>
      <c r="J167" s="317">
        <v>45352.861817129633</v>
      </c>
      <c r="K167" s="316" t="s">
        <v>378</v>
      </c>
      <c r="L167" s="318">
        <v>9505726.5700000003</v>
      </c>
      <c r="M167" s="318">
        <v>9505726.5700000003</v>
      </c>
      <c r="N167" s="318">
        <v>9505726.5700000003</v>
      </c>
      <c r="O167" s="318">
        <v>9505726.5700000003</v>
      </c>
      <c r="P167" s="318">
        <v>0</v>
      </c>
      <c r="Q167" s="318">
        <v>0</v>
      </c>
      <c r="R167" s="318">
        <v>0</v>
      </c>
      <c r="S167" s="318">
        <v>0</v>
      </c>
      <c r="T167" s="318">
        <v>0</v>
      </c>
      <c r="U167" s="318">
        <v>0</v>
      </c>
      <c r="V167" s="319">
        <v>1</v>
      </c>
      <c r="W167" s="319">
        <v>1</v>
      </c>
      <c r="X167" s="318">
        <v>1</v>
      </c>
      <c r="Y167" s="318">
        <v>1</v>
      </c>
      <c r="Z167" s="317">
        <v>45337</v>
      </c>
      <c r="AA167" s="316" t="s">
        <v>836</v>
      </c>
    </row>
    <row r="168" spans="1:27">
      <c r="A168" s="316" t="s">
        <v>377</v>
      </c>
      <c r="B168" s="316" t="s">
        <v>90</v>
      </c>
      <c r="C168" s="316" t="s">
        <v>834</v>
      </c>
      <c r="D168" s="316" t="s">
        <v>835</v>
      </c>
      <c r="E168" s="317">
        <v>45342</v>
      </c>
      <c r="F168" s="316" t="s">
        <v>514</v>
      </c>
      <c r="G168" s="316" t="s">
        <v>836</v>
      </c>
      <c r="H168" s="317">
        <v>45342</v>
      </c>
      <c r="J168" s="317">
        <v>45352.861817129633</v>
      </c>
      <c r="K168" s="316" t="s">
        <v>378</v>
      </c>
      <c r="L168" s="318">
        <v>412654.62</v>
      </c>
      <c r="M168" s="318">
        <v>412654.62</v>
      </c>
      <c r="N168" s="318">
        <v>412654.62</v>
      </c>
      <c r="O168" s="318">
        <v>412654.62</v>
      </c>
      <c r="P168" s="318">
        <v>0</v>
      </c>
      <c r="Q168" s="318">
        <v>0</v>
      </c>
      <c r="R168" s="318">
        <v>0</v>
      </c>
      <c r="S168" s="318">
        <v>0</v>
      </c>
      <c r="T168" s="318">
        <v>0</v>
      </c>
      <c r="U168" s="318">
        <v>0</v>
      </c>
      <c r="V168" s="319">
        <v>1</v>
      </c>
      <c r="W168" s="319">
        <v>1</v>
      </c>
      <c r="X168" s="318">
        <v>1</v>
      </c>
      <c r="Y168" s="318">
        <v>1</v>
      </c>
      <c r="Z168" s="317">
        <v>45342</v>
      </c>
      <c r="AA168" s="316" t="s">
        <v>836</v>
      </c>
    </row>
    <row r="169" spans="1:27">
      <c r="A169" s="316" t="s">
        <v>377</v>
      </c>
      <c r="B169" s="316" t="s">
        <v>90</v>
      </c>
      <c r="C169" s="316" t="s">
        <v>834</v>
      </c>
      <c r="D169" s="316" t="s">
        <v>835</v>
      </c>
      <c r="E169" s="317">
        <v>45349</v>
      </c>
      <c r="F169" s="316" t="s">
        <v>514</v>
      </c>
      <c r="G169" s="316" t="s">
        <v>836</v>
      </c>
      <c r="H169" s="317">
        <v>45349</v>
      </c>
      <c r="J169" s="317">
        <v>45352.861817129633</v>
      </c>
      <c r="K169" s="316" t="s">
        <v>378</v>
      </c>
      <c r="L169" s="318">
        <v>164072170.78</v>
      </c>
      <c r="M169" s="318">
        <v>164072170.78</v>
      </c>
      <c r="N169" s="318">
        <v>164072170.78</v>
      </c>
      <c r="O169" s="318">
        <v>164072170.78</v>
      </c>
      <c r="P169" s="318">
        <v>0</v>
      </c>
      <c r="Q169" s="318">
        <v>0</v>
      </c>
      <c r="R169" s="318">
        <v>0</v>
      </c>
      <c r="S169" s="318">
        <v>0</v>
      </c>
      <c r="T169" s="318">
        <v>0</v>
      </c>
      <c r="U169" s="318">
        <v>0</v>
      </c>
      <c r="V169" s="319">
        <v>1</v>
      </c>
      <c r="W169" s="319">
        <v>1</v>
      </c>
      <c r="X169" s="318">
        <v>1</v>
      </c>
      <c r="Y169" s="318">
        <v>1</v>
      </c>
      <c r="Z169" s="317">
        <v>45349</v>
      </c>
      <c r="AA169" s="316" t="s">
        <v>836</v>
      </c>
    </row>
    <row r="170" spans="1:27">
      <c r="A170" s="316" t="s">
        <v>377</v>
      </c>
      <c r="B170" s="316" t="s">
        <v>90</v>
      </c>
      <c r="C170" s="316" t="s">
        <v>867</v>
      </c>
      <c r="D170" s="316" t="s">
        <v>868</v>
      </c>
      <c r="E170" s="317">
        <v>45167</v>
      </c>
      <c r="F170" s="316" t="s">
        <v>514</v>
      </c>
      <c r="G170" s="316" t="s">
        <v>869</v>
      </c>
      <c r="H170" s="317">
        <v>45167</v>
      </c>
      <c r="J170" s="317">
        <v>45352.861817129633</v>
      </c>
      <c r="K170" s="316" t="s">
        <v>378</v>
      </c>
      <c r="L170" s="318">
        <v>-2521967186.2399998</v>
      </c>
      <c r="M170" s="318">
        <v>-2521472575.8800001</v>
      </c>
      <c r="N170" s="318">
        <v>-2523211669.3600001</v>
      </c>
      <c r="O170" s="318">
        <v>-2521472575.8800001</v>
      </c>
      <c r="P170" s="318">
        <v>-2185655.48</v>
      </c>
      <c r="Q170" s="318">
        <v>-2185655.48</v>
      </c>
      <c r="R170" s="318">
        <v>0</v>
      </c>
      <c r="S170" s="318">
        <v>-1244483.1200000001</v>
      </c>
      <c r="T170" s="318">
        <v>0</v>
      </c>
      <c r="U170" s="318">
        <v>0</v>
      </c>
      <c r="V170" s="319">
        <v>100</v>
      </c>
      <c r="W170" s="319">
        <v>100</v>
      </c>
      <c r="X170" s="318">
        <v>100</v>
      </c>
      <c r="Y170" s="318">
        <v>100</v>
      </c>
      <c r="Z170" s="317">
        <v>45167</v>
      </c>
      <c r="AA170" s="316" t="s">
        <v>869</v>
      </c>
    </row>
    <row r="171" spans="1:27">
      <c r="A171" s="316" t="s">
        <v>377</v>
      </c>
      <c r="B171" s="316" t="s">
        <v>90</v>
      </c>
      <c r="C171" s="316" t="s">
        <v>379</v>
      </c>
      <c r="D171" s="316" t="s">
        <v>385</v>
      </c>
      <c r="E171" s="317">
        <v>45250</v>
      </c>
      <c r="F171" s="316" t="s">
        <v>514</v>
      </c>
      <c r="G171" s="316" t="s">
        <v>386</v>
      </c>
      <c r="H171" s="317">
        <v>45264</v>
      </c>
      <c r="I171" s="316" t="s">
        <v>524</v>
      </c>
      <c r="J171" s="317">
        <v>45352.861817129633</v>
      </c>
      <c r="K171" s="316" t="s">
        <v>378</v>
      </c>
      <c r="L171" s="318">
        <v>6826640.8700000001</v>
      </c>
      <c r="M171" s="318">
        <v>6826640.8700000001</v>
      </c>
      <c r="N171" s="318">
        <v>6754872.2300000004</v>
      </c>
      <c r="O171" s="318">
        <v>6754872.2300000004</v>
      </c>
      <c r="P171" s="318">
        <v>165551.19</v>
      </c>
      <c r="Q171" s="318">
        <v>165551.19</v>
      </c>
      <c r="R171" s="318">
        <v>2841.37</v>
      </c>
      <c r="S171" s="318">
        <v>0</v>
      </c>
      <c r="T171" s="318">
        <v>-71768.639999999999</v>
      </c>
      <c r="U171" s="318">
        <v>2841.37</v>
      </c>
      <c r="V171" s="319">
        <v>98</v>
      </c>
      <c r="W171" s="319">
        <v>98</v>
      </c>
      <c r="X171" s="318">
        <v>99</v>
      </c>
      <c r="Y171" s="318">
        <v>99</v>
      </c>
      <c r="Z171" s="317">
        <v>45264</v>
      </c>
      <c r="AA171" s="316" t="s">
        <v>386</v>
      </c>
    </row>
    <row r="172" spans="1:27">
      <c r="A172" s="316" t="s">
        <v>377</v>
      </c>
      <c r="B172" s="316" t="s">
        <v>90</v>
      </c>
      <c r="C172" s="316" t="s">
        <v>379</v>
      </c>
      <c r="D172" s="316" t="s">
        <v>387</v>
      </c>
      <c r="E172" s="317">
        <v>45250</v>
      </c>
      <c r="F172" s="316" t="s">
        <v>514</v>
      </c>
      <c r="G172" s="316" t="s">
        <v>388</v>
      </c>
      <c r="H172" s="317">
        <v>45264</v>
      </c>
      <c r="I172" s="316" t="s">
        <v>525</v>
      </c>
      <c r="J172" s="317">
        <v>45352.861817129633</v>
      </c>
      <c r="K172" s="316" t="s">
        <v>378</v>
      </c>
      <c r="L172" s="318">
        <v>392770.37</v>
      </c>
      <c r="M172" s="318">
        <v>392770.37</v>
      </c>
      <c r="N172" s="318">
        <v>388641.17</v>
      </c>
      <c r="O172" s="318">
        <v>388641.17</v>
      </c>
      <c r="P172" s="318">
        <v>15990.1</v>
      </c>
      <c r="Q172" s="318">
        <v>15990.1</v>
      </c>
      <c r="R172" s="318">
        <v>163.47999999999999</v>
      </c>
      <c r="S172" s="318">
        <v>0</v>
      </c>
      <c r="T172" s="318">
        <v>-4129.2</v>
      </c>
      <c r="U172" s="318">
        <v>163.47999999999999</v>
      </c>
      <c r="V172" s="319">
        <v>98</v>
      </c>
      <c r="W172" s="319">
        <v>98</v>
      </c>
      <c r="X172" s="318">
        <v>99</v>
      </c>
      <c r="Y172" s="318">
        <v>99</v>
      </c>
      <c r="Z172" s="317">
        <v>45264</v>
      </c>
      <c r="AA172" s="316" t="s">
        <v>388</v>
      </c>
    </row>
    <row r="173" spans="1:27">
      <c r="A173" s="316" t="s">
        <v>377</v>
      </c>
      <c r="B173" s="316" t="s">
        <v>90</v>
      </c>
      <c r="C173" s="316" t="s">
        <v>379</v>
      </c>
      <c r="D173" s="316" t="s">
        <v>389</v>
      </c>
      <c r="E173" s="317">
        <v>45257</v>
      </c>
      <c r="F173" s="316" t="s">
        <v>514</v>
      </c>
      <c r="G173" s="316" t="s">
        <v>390</v>
      </c>
      <c r="H173" s="317">
        <v>45257</v>
      </c>
      <c r="J173" s="317">
        <v>45352.861817129633</v>
      </c>
      <c r="K173" s="316" t="s">
        <v>378</v>
      </c>
      <c r="L173" s="318">
        <v>4613060</v>
      </c>
      <c r="M173" s="318">
        <v>4613060</v>
      </c>
      <c r="N173" s="318">
        <v>4613060</v>
      </c>
      <c r="O173" s="318">
        <v>4613060</v>
      </c>
      <c r="P173" s="318">
        <v>6750.72</v>
      </c>
      <c r="Q173" s="318">
        <v>6750.72</v>
      </c>
      <c r="R173" s="318">
        <v>0</v>
      </c>
      <c r="S173" s="318">
        <v>0</v>
      </c>
      <c r="T173" s="318">
        <v>0</v>
      </c>
      <c r="U173" s="318">
        <v>0</v>
      </c>
      <c r="V173" s="319">
        <v>100</v>
      </c>
      <c r="W173" s="319">
        <v>100</v>
      </c>
      <c r="X173" s="318">
        <v>100</v>
      </c>
      <c r="Y173" s="318">
        <v>100</v>
      </c>
      <c r="Z173" s="317">
        <v>45257</v>
      </c>
      <c r="AA173" s="316" t="s">
        <v>390</v>
      </c>
    </row>
    <row r="174" spans="1:27">
      <c r="A174" s="316" t="s">
        <v>377</v>
      </c>
      <c r="B174" s="316" t="s">
        <v>90</v>
      </c>
      <c r="C174" s="316" t="s">
        <v>379</v>
      </c>
      <c r="D174" s="316" t="s">
        <v>431</v>
      </c>
      <c r="E174" s="317">
        <v>45259</v>
      </c>
      <c r="F174" s="316" t="s">
        <v>514</v>
      </c>
      <c r="G174" s="316" t="s">
        <v>432</v>
      </c>
      <c r="H174" s="317">
        <v>45259</v>
      </c>
      <c r="J174" s="317">
        <v>45352.861817129633</v>
      </c>
      <c r="K174" s="316" t="s">
        <v>378</v>
      </c>
      <c r="L174" s="318">
        <v>5336620.3600000003</v>
      </c>
      <c r="M174" s="318">
        <v>5336620.3600000003</v>
      </c>
      <c r="N174" s="318">
        <v>5446729</v>
      </c>
      <c r="O174" s="318">
        <v>5446729</v>
      </c>
      <c r="P174" s="318">
        <v>90923.88</v>
      </c>
      <c r="Q174" s="318">
        <v>90923.88</v>
      </c>
      <c r="R174" s="318">
        <v>9282.7000000000007</v>
      </c>
      <c r="S174" s="318">
        <v>0</v>
      </c>
      <c r="T174" s="318">
        <v>110108.64</v>
      </c>
      <c r="U174" s="318">
        <v>9282.7000000000007</v>
      </c>
      <c r="V174" s="319">
        <v>100</v>
      </c>
      <c r="W174" s="319">
        <v>100</v>
      </c>
      <c r="X174" s="318">
        <v>97.808018000000004</v>
      </c>
      <c r="Y174" s="318">
        <v>97.808017730000003</v>
      </c>
      <c r="Z174" s="317">
        <v>45259</v>
      </c>
      <c r="AA174" s="316" t="s">
        <v>432</v>
      </c>
    </row>
    <row r="175" spans="1:27">
      <c r="A175" s="316" t="s">
        <v>377</v>
      </c>
      <c r="B175" s="316" t="s">
        <v>90</v>
      </c>
      <c r="C175" s="316" t="s">
        <v>379</v>
      </c>
      <c r="D175" s="316" t="s">
        <v>617</v>
      </c>
      <c r="E175" s="317">
        <v>45308</v>
      </c>
      <c r="F175" s="316" t="s">
        <v>514</v>
      </c>
      <c r="G175" s="316" t="s">
        <v>618</v>
      </c>
      <c r="H175" s="317">
        <v>45308</v>
      </c>
      <c r="J175" s="317">
        <v>45352.861817129633</v>
      </c>
      <c r="K175" s="316" t="s">
        <v>378</v>
      </c>
      <c r="L175" s="318">
        <v>2965472</v>
      </c>
      <c r="M175" s="318">
        <v>2965472</v>
      </c>
      <c r="N175" s="318">
        <v>3023413.74</v>
      </c>
      <c r="O175" s="318">
        <v>3023413.74</v>
      </c>
      <c r="P175" s="318">
        <v>0</v>
      </c>
      <c r="Q175" s="318">
        <v>0</v>
      </c>
      <c r="R175" s="318">
        <v>2526.5300000000002</v>
      </c>
      <c r="S175" s="318">
        <v>0</v>
      </c>
      <c r="T175" s="318">
        <v>57941.74</v>
      </c>
      <c r="U175" s="318">
        <v>2526.5300000000002</v>
      </c>
      <c r="V175" s="319">
        <v>100</v>
      </c>
      <c r="W175" s="319">
        <v>100</v>
      </c>
      <c r="X175" s="318">
        <v>98</v>
      </c>
      <c r="Y175" s="318">
        <v>98</v>
      </c>
      <c r="Z175" s="317">
        <v>45308</v>
      </c>
      <c r="AA175" s="316" t="s">
        <v>618</v>
      </c>
    </row>
    <row r="176" spans="1:27">
      <c r="A176" s="316" t="s">
        <v>377</v>
      </c>
      <c r="B176" s="316" t="s">
        <v>90</v>
      </c>
      <c r="C176" s="316" t="s">
        <v>379</v>
      </c>
      <c r="D176" s="316" t="s">
        <v>619</v>
      </c>
      <c r="E176" s="317">
        <v>45320</v>
      </c>
      <c r="F176" s="316" t="s">
        <v>514</v>
      </c>
      <c r="G176" s="316" t="s">
        <v>620</v>
      </c>
      <c r="H176" s="317">
        <v>45320</v>
      </c>
      <c r="J176" s="317">
        <v>45352.861817129633</v>
      </c>
      <c r="K176" s="316" t="s">
        <v>378</v>
      </c>
      <c r="L176" s="318">
        <v>29201408.870000001</v>
      </c>
      <c r="M176" s="318">
        <v>29201408.870000001</v>
      </c>
      <c r="N176" s="318">
        <v>29197654.84</v>
      </c>
      <c r="O176" s="318">
        <v>29197654.84</v>
      </c>
      <c r="P176" s="318">
        <v>277031.81</v>
      </c>
      <c r="Q176" s="318">
        <v>277031.81</v>
      </c>
      <c r="R176" s="318">
        <v>3754.03</v>
      </c>
      <c r="S176" s="318">
        <v>0</v>
      </c>
      <c r="T176" s="318">
        <v>-3754.03</v>
      </c>
      <c r="U176" s="318">
        <v>3754.03</v>
      </c>
      <c r="V176" s="319">
        <v>99</v>
      </c>
      <c r="W176" s="319">
        <v>99</v>
      </c>
      <c r="X176" s="318">
        <v>99</v>
      </c>
      <c r="Y176" s="318">
        <v>99</v>
      </c>
      <c r="Z176" s="317">
        <v>45320</v>
      </c>
      <c r="AA176" s="316" t="s">
        <v>620</v>
      </c>
    </row>
    <row r="177" spans="1:27">
      <c r="A177" s="316" t="s">
        <v>377</v>
      </c>
      <c r="B177" s="316" t="s">
        <v>90</v>
      </c>
      <c r="C177" s="316" t="s">
        <v>379</v>
      </c>
      <c r="D177" s="316" t="s">
        <v>621</v>
      </c>
      <c r="E177" s="317">
        <v>45279</v>
      </c>
      <c r="F177" s="316" t="s">
        <v>514</v>
      </c>
      <c r="G177" s="316" t="s">
        <v>622</v>
      </c>
      <c r="H177" s="317">
        <v>45288</v>
      </c>
      <c r="J177" s="317">
        <v>45352.861817129633</v>
      </c>
      <c r="K177" s="316" t="s">
        <v>378</v>
      </c>
      <c r="L177" s="318">
        <v>11353930.49</v>
      </c>
      <c r="M177" s="318">
        <v>11353930.49</v>
      </c>
      <c r="N177" s="318">
        <v>11462366</v>
      </c>
      <c r="O177" s="318">
        <v>11462366</v>
      </c>
      <c r="P177" s="318">
        <v>374958.67</v>
      </c>
      <c r="Q177" s="318">
        <v>374958.67</v>
      </c>
      <c r="R177" s="318">
        <v>6188.15</v>
      </c>
      <c r="S177" s="318">
        <v>0</v>
      </c>
      <c r="T177" s="318">
        <v>108435.51</v>
      </c>
      <c r="U177" s="318">
        <v>6188.15</v>
      </c>
      <c r="V177" s="319">
        <v>100</v>
      </c>
      <c r="W177" s="319">
        <v>100</v>
      </c>
      <c r="X177" s="318">
        <v>99</v>
      </c>
      <c r="Y177" s="318">
        <v>99</v>
      </c>
      <c r="Z177" s="317">
        <v>45288</v>
      </c>
      <c r="AA177" s="316" t="s">
        <v>622</v>
      </c>
    </row>
    <row r="178" spans="1:27">
      <c r="A178" s="316" t="s">
        <v>377</v>
      </c>
      <c r="B178" s="316" t="s">
        <v>90</v>
      </c>
      <c r="C178" s="316" t="s">
        <v>379</v>
      </c>
      <c r="D178" s="316" t="s">
        <v>843</v>
      </c>
      <c r="E178" s="317">
        <v>45351</v>
      </c>
      <c r="F178" s="316" t="s">
        <v>514</v>
      </c>
      <c r="G178" s="316" t="s">
        <v>844</v>
      </c>
      <c r="H178" s="317">
        <v>45351</v>
      </c>
      <c r="J178" s="317">
        <v>45352.861817129633</v>
      </c>
      <c r="K178" s="316" t="s">
        <v>378</v>
      </c>
      <c r="L178" s="318">
        <v>55436337.090000004</v>
      </c>
      <c r="M178" s="318">
        <v>55436337.090000004</v>
      </c>
      <c r="N178" s="318">
        <v>55647359.100000001</v>
      </c>
      <c r="O178" s="318">
        <v>55647359.100000001</v>
      </c>
      <c r="P178" s="318">
        <v>16477.64</v>
      </c>
      <c r="Q178" s="318">
        <v>16477.64</v>
      </c>
      <c r="R178" s="318">
        <v>833.42</v>
      </c>
      <c r="S178" s="318">
        <v>0</v>
      </c>
      <c r="T178" s="318">
        <v>211022.01</v>
      </c>
      <c r="U178" s="318">
        <v>833.42</v>
      </c>
      <c r="V178" s="319">
        <v>98.5</v>
      </c>
      <c r="W178" s="319">
        <v>98.5</v>
      </c>
      <c r="X178" s="318">
        <v>98.125</v>
      </c>
      <c r="Y178" s="318">
        <v>98.125</v>
      </c>
      <c r="Z178" s="317">
        <v>45351</v>
      </c>
      <c r="AA178" s="316" t="s">
        <v>844</v>
      </c>
    </row>
    <row r="179" spans="1:27">
      <c r="A179" s="316" t="s">
        <v>377</v>
      </c>
      <c r="B179" s="316" t="s">
        <v>90</v>
      </c>
      <c r="C179" s="316" t="s">
        <v>379</v>
      </c>
      <c r="D179" s="316" t="s">
        <v>623</v>
      </c>
      <c r="E179" s="317">
        <v>45309</v>
      </c>
      <c r="F179" s="316" t="s">
        <v>514</v>
      </c>
      <c r="G179" s="316" t="s">
        <v>624</v>
      </c>
      <c r="H179" s="317">
        <v>45309</v>
      </c>
      <c r="J179" s="317">
        <v>45352.861817129633</v>
      </c>
      <c r="K179" s="316" t="s">
        <v>378</v>
      </c>
      <c r="L179" s="318">
        <v>15729876.66</v>
      </c>
      <c r="M179" s="318">
        <v>15729876.66</v>
      </c>
      <c r="N179" s="318">
        <v>15721784.779999999</v>
      </c>
      <c r="O179" s="318">
        <v>15721784.779999999</v>
      </c>
      <c r="P179" s="318">
        <v>255825.43</v>
      </c>
      <c r="Q179" s="318">
        <v>255825.43</v>
      </c>
      <c r="R179" s="318">
        <v>8091.88</v>
      </c>
      <c r="S179" s="318">
        <v>0</v>
      </c>
      <c r="T179" s="318">
        <v>-8091.88</v>
      </c>
      <c r="U179" s="318">
        <v>8091.88</v>
      </c>
      <c r="V179" s="319">
        <v>97.5</v>
      </c>
      <c r="W179" s="319">
        <v>97.5</v>
      </c>
      <c r="X179" s="318">
        <v>97.5</v>
      </c>
      <c r="Y179" s="318">
        <v>97.5</v>
      </c>
      <c r="Z179" s="317">
        <v>45309</v>
      </c>
      <c r="AA179" s="316" t="s">
        <v>624</v>
      </c>
    </row>
    <row r="180" spans="1:27">
      <c r="A180" s="316" t="s">
        <v>377</v>
      </c>
      <c r="B180" s="316" t="s">
        <v>90</v>
      </c>
      <c r="C180" s="316" t="s">
        <v>379</v>
      </c>
      <c r="D180" s="316" t="s">
        <v>845</v>
      </c>
      <c r="E180" s="317">
        <v>45352</v>
      </c>
      <c r="F180" s="316" t="s">
        <v>514</v>
      </c>
      <c r="G180" s="316" t="s">
        <v>846</v>
      </c>
      <c r="H180" s="317">
        <v>45352</v>
      </c>
      <c r="J180" s="317">
        <v>45352.861817129633</v>
      </c>
      <c r="K180" s="316" t="s">
        <v>378</v>
      </c>
      <c r="L180" s="318">
        <v>27583929.960000001</v>
      </c>
      <c r="M180" s="318">
        <v>27583929.960000001</v>
      </c>
      <c r="N180" s="318">
        <v>27583609.199999999</v>
      </c>
      <c r="O180" s="318">
        <v>27583609.199999999</v>
      </c>
      <c r="P180" s="318">
        <v>5668.4</v>
      </c>
      <c r="Q180" s="318">
        <v>5668.4</v>
      </c>
      <c r="R180" s="318">
        <v>320.76</v>
      </c>
      <c r="S180" s="318">
        <v>0</v>
      </c>
      <c r="T180" s="318">
        <v>-320.76</v>
      </c>
      <c r="U180" s="318">
        <v>320.76</v>
      </c>
      <c r="V180" s="319">
        <v>98</v>
      </c>
      <c r="W180" s="319">
        <v>98</v>
      </c>
      <c r="X180" s="318">
        <v>98</v>
      </c>
      <c r="Y180" s="318">
        <v>98</v>
      </c>
      <c r="Z180" s="317">
        <v>45352</v>
      </c>
      <c r="AA180" s="316" t="s">
        <v>846</v>
      </c>
    </row>
    <row r="181" spans="1:27">
      <c r="A181" s="316" t="s">
        <v>377</v>
      </c>
      <c r="B181" s="316" t="s">
        <v>90</v>
      </c>
      <c r="C181" s="316" t="s">
        <v>379</v>
      </c>
      <c r="D181" s="316" t="s">
        <v>391</v>
      </c>
      <c r="E181" s="317">
        <v>45198</v>
      </c>
      <c r="F181" s="316" t="s">
        <v>514</v>
      </c>
      <c r="G181" s="316" t="s">
        <v>392</v>
      </c>
      <c r="H181" s="317">
        <v>45198</v>
      </c>
      <c r="J181" s="317">
        <v>45352.861817129633</v>
      </c>
      <c r="K181" s="316" t="s">
        <v>378</v>
      </c>
      <c r="L181" s="318">
        <v>20945678.469999999</v>
      </c>
      <c r="M181" s="318">
        <v>20945678.469999999</v>
      </c>
      <c r="N181" s="318">
        <v>20901315.559999999</v>
      </c>
      <c r="O181" s="318">
        <v>20901315.559999999</v>
      </c>
      <c r="P181" s="318">
        <v>308361.86</v>
      </c>
      <c r="Q181" s="318">
        <v>308361.86</v>
      </c>
      <c r="R181" s="318">
        <v>38835.11</v>
      </c>
      <c r="S181" s="318">
        <v>0</v>
      </c>
      <c r="T181" s="318">
        <v>-44362.91</v>
      </c>
      <c r="U181" s="318">
        <v>38835.11</v>
      </c>
      <c r="V181" s="319">
        <v>97</v>
      </c>
      <c r="W181" s="319">
        <v>97</v>
      </c>
      <c r="X181" s="318">
        <v>97</v>
      </c>
      <c r="Y181" s="318">
        <v>97</v>
      </c>
      <c r="Z181" s="317">
        <v>45198</v>
      </c>
      <c r="AA181" s="316" t="s">
        <v>392</v>
      </c>
    </row>
    <row r="182" spans="1:27">
      <c r="A182" s="316" t="s">
        <v>377</v>
      </c>
      <c r="B182" s="316" t="s">
        <v>90</v>
      </c>
      <c r="C182" s="316" t="s">
        <v>379</v>
      </c>
      <c r="D182" s="316" t="s">
        <v>625</v>
      </c>
      <c r="E182" s="317">
        <v>45314</v>
      </c>
      <c r="F182" s="316" t="s">
        <v>514</v>
      </c>
      <c r="G182" s="316" t="s">
        <v>626</v>
      </c>
      <c r="H182" s="317">
        <v>45314</v>
      </c>
      <c r="J182" s="317">
        <v>45352.861817129633</v>
      </c>
      <c r="K182" s="316" t="s">
        <v>378</v>
      </c>
      <c r="L182" s="318">
        <v>6011292.6399999997</v>
      </c>
      <c r="M182" s="318">
        <v>6011292.6399999997</v>
      </c>
      <c r="N182" s="318">
        <v>6101418</v>
      </c>
      <c r="O182" s="318">
        <v>6101418</v>
      </c>
      <c r="P182" s="318">
        <v>584388.71</v>
      </c>
      <c r="Q182" s="318">
        <v>584388.71</v>
      </c>
      <c r="R182" s="318">
        <v>1395.91</v>
      </c>
      <c r="S182" s="318">
        <v>0</v>
      </c>
      <c r="T182" s="318">
        <v>90125.36</v>
      </c>
      <c r="U182" s="318">
        <v>1395.91</v>
      </c>
      <c r="V182" s="319">
        <v>100</v>
      </c>
      <c r="W182" s="319">
        <v>100</v>
      </c>
      <c r="X182" s="318">
        <v>98.5</v>
      </c>
      <c r="Y182" s="318">
        <v>98.5</v>
      </c>
      <c r="Z182" s="317">
        <v>45314</v>
      </c>
      <c r="AA182" s="316" t="s">
        <v>626</v>
      </c>
    </row>
    <row r="183" spans="1:27">
      <c r="A183" s="316" t="s">
        <v>377</v>
      </c>
      <c r="B183" s="316" t="s">
        <v>90</v>
      </c>
      <c r="C183" s="316" t="s">
        <v>379</v>
      </c>
      <c r="D183" s="316" t="s">
        <v>393</v>
      </c>
      <c r="E183" s="317">
        <v>45205</v>
      </c>
      <c r="F183" s="316" t="s">
        <v>514</v>
      </c>
      <c r="G183" s="316" t="s">
        <v>394</v>
      </c>
      <c r="H183" s="317">
        <v>45205</v>
      </c>
      <c r="J183" s="317">
        <v>45352.861817129633</v>
      </c>
      <c r="K183" s="316" t="s">
        <v>378</v>
      </c>
      <c r="L183" s="318">
        <v>5251386.8099999996</v>
      </c>
      <c r="M183" s="318">
        <v>5251386.8099999996</v>
      </c>
      <c r="N183" s="318">
        <v>5350662.91</v>
      </c>
      <c r="O183" s="318">
        <v>5350662.91</v>
      </c>
      <c r="P183" s="318">
        <v>3292.52</v>
      </c>
      <c r="Q183" s="318">
        <v>3292.52</v>
      </c>
      <c r="R183" s="318">
        <v>7737.16</v>
      </c>
      <c r="S183" s="318">
        <v>0</v>
      </c>
      <c r="T183" s="318">
        <v>99276.1</v>
      </c>
      <c r="U183" s="318">
        <v>7737.16</v>
      </c>
      <c r="V183" s="319">
        <v>100</v>
      </c>
      <c r="W183" s="319">
        <v>100</v>
      </c>
      <c r="X183" s="318">
        <v>98</v>
      </c>
      <c r="Y183" s="318">
        <v>98</v>
      </c>
      <c r="Z183" s="317">
        <v>45205</v>
      </c>
      <c r="AA183" s="316" t="s">
        <v>394</v>
      </c>
    </row>
    <row r="184" spans="1:27">
      <c r="A184" s="316" t="s">
        <v>377</v>
      </c>
      <c r="B184" s="316" t="s">
        <v>90</v>
      </c>
      <c r="C184" s="316" t="s">
        <v>379</v>
      </c>
      <c r="D184" s="316" t="s">
        <v>471</v>
      </c>
      <c r="E184" s="317">
        <v>45330</v>
      </c>
      <c r="F184" s="316" t="s">
        <v>514</v>
      </c>
      <c r="G184" s="316" t="s">
        <v>472</v>
      </c>
      <c r="H184" s="317">
        <v>45330</v>
      </c>
      <c r="J184" s="317">
        <v>45352.861817129633</v>
      </c>
      <c r="K184" s="316" t="s">
        <v>378</v>
      </c>
      <c r="L184" s="318">
        <v>46113207.649999999</v>
      </c>
      <c r="M184" s="318">
        <v>46113207.649999999</v>
      </c>
      <c r="N184" s="318">
        <v>46102452.659999996</v>
      </c>
      <c r="O184" s="318">
        <v>46102452.659999996</v>
      </c>
      <c r="P184" s="318">
        <v>434151.26</v>
      </c>
      <c r="Q184" s="318">
        <v>434151.26</v>
      </c>
      <c r="R184" s="318">
        <v>10754.99</v>
      </c>
      <c r="S184" s="318">
        <v>0</v>
      </c>
      <c r="T184" s="318">
        <v>-10754.99</v>
      </c>
      <c r="U184" s="318">
        <v>10754.99</v>
      </c>
      <c r="V184" s="319">
        <v>97.5</v>
      </c>
      <c r="W184" s="319">
        <v>97.5</v>
      </c>
      <c r="X184" s="318">
        <v>97.5</v>
      </c>
      <c r="Y184" s="318">
        <v>97.5</v>
      </c>
      <c r="Z184" s="317">
        <v>45330</v>
      </c>
      <c r="AA184" s="316" t="s">
        <v>472</v>
      </c>
    </row>
    <row r="185" spans="1:27">
      <c r="A185" s="316" t="s">
        <v>377</v>
      </c>
      <c r="B185" s="316" t="s">
        <v>90</v>
      </c>
      <c r="C185" s="316" t="s">
        <v>379</v>
      </c>
      <c r="D185" s="316" t="s">
        <v>414</v>
      </c>
      <c r="E185" s="317">
        <v>45245</v>
      </c>
      <c r="F185" s="316" t="s">
        <v>514</v>
      </c>
      <c r="G185" s="316" t="s">
        <v>415</v>
      </c>
      <c r="H185" s="317">
        <v>45266</v>
      </c>
      <c r="J185" s="317">
        <v>45352.861817129633</v>
      </c>
      <c r="K185" s="316" t="s">
        <v>378</v>
      </c>
      <c r="L185" s="318">
        <v>8114234.1100000003</v>
      </c>
      <c r="M185" s="318">
        <v>8114234.1100000003</v>
      </c>
      <c r="N185" s="318">
        <v>8414634.7300000004</v>
      </c>
      <c r="O185" s="318">
        <v>8414634.7300000004</v>
      </c>
      <c r="P185" s="318">
        <v>61305.74</v>
      </c>
      <c r="Q185" s="318">
        <v>61305.74</v>
      </c>
      <c r="R185" s="318">
        <v>3067.43</v>
      </c>
      <c r="S185" s="318">
        <v>0</v>
      </c>
      <c r="T185" s="318">
        <v>300400.62</v>
      </c>
      <c r="U185" s="318">
        <v>3067.43</v>
      </c>
      <c r="V185" s="319">
        <v>99.072999999999894</v>
      </c>
      <c r="W185" s="319">
        <v>99.072999999999894</v>
      </c>
      <c r="X185" s="318">
        <v>95.5</v>
      </c>
      <c r="Y185" s="318">
        <v>95.5</v>
      </c>
      <c r="Z185" s="317">
        <v>45338</v>
      </c>
      <c r="AA185" s="316" t="s">
        <v>415</v>
      </c>
    </row>
    <row r="186" spans="1:27">
      <c r="A186" s="316" t="s">
        <v>377</v>
      </c>
      <c r="B186" s="316" t="s">
        <v>90</v>
      </c>
      <c r="C186" s="316" t="s">
        <v>379</v>
      </c>
      <c r="D186" s="316" t="s">
        <v>627</v>
      </c>
      <c r="E186" s="317">
        <v>45320</v>
      </c>
      <c r="F186" s="316" t="s">
        <v>514</v>
      </c>
      <c r="G186" s="316" t="s">
        <v>628</v>
      </c>
      <c r="H186" s="317">
        <v>45320</v>
      </c>
      <c r="J186" s="317">
        <v>45352.861817129633</v>
      </c>
      <c r="K186" s="316" t="s">
        <v>378</v>
      </c>
      <c r="L186" s="318">
        <v>6070939.9800000004</v>
      </c>
      <c r="M186" s="318">
        <v>6070939.9800000004</v>
      </c>
      <c r="N186" s="318">
        <v>6069075.3200000003</v>
      </c>
      <c r="O186" s="318">
        <v>6069075.3200000003</v>
      </c>
      <c r="P186" s="318">
        <v>96134.11</v>
      </c>
      <c r="Q186" s="318">
        <v>96134.11</v>
      </c>
      <c r="R186" s="318">
        <v>1864.66</v>
      </c>
      <c r="S186" s="318">
        <v>0</v>
      </c>
      <c r="T186" s="318">
        <v>-1864.66</v>
      </c>
      <c r="U186" s="318">
        <v>1864.66</v>
      </c>
      <c r="V186" s="319">
        <v>98</v>
      </c>
      <c r="W186" s="319">
        <v>98</v>
      </c>
      <c r="X186" s="318">
        <v>98</v>
      </c>
      <c r="Y186" s="318">
        <v>98</v>
      </c>
      <c r="Z186" s="317">
        <v>45320</v>
      </c>
      <c r="AA186" s="316" t="s">
        <v>628</v>
      </c>
    </row>
    <row r="187" spans="1:27">
      <c r="A187" s="316" t="s">
        <v>377</v>
      </c>
      <c r="B187" s="316" t="s">
        <v>90</v>
      </c>
      <c r="C187" s="316" t="s">
        <v>379</v>
      </c>
      <c r="D187" s="316" t="s">
        <v>629</v>
      </c>
      <c r="E187" s="317">
        <v>45327</v>
      </c>
      <c r="F187" s="316" t="s">
        <v>514</v>
      </c>
      <c r="G187" s="316" t="s">
        <v>630</v>
      </c>
      <c r="H187" s="317">
        <v>45327</v>
      </c>
      <c r="J187" s="317">
        <v>45352.861817129633</v>
      </c>
      <c r="K187" s="316" t="s">
        <v>378</v>
      </c>
      <c r="L187" s="318">
        <v>16626004.6</v>
      </c>
      <c r="M187" s="318">
        <v>16626004.6</v>
      </c>
      <c r="N187" s="318">
        <v>16791854</v>
      </c>
      <c r="O187" s="318">
        <v>16791854</v>
      </c>
      <c r="P187" s="318">
        <v>82046.570000000007</v>
      </c>
      <c r="Q187" s="318">
        <v>82046.570000000007</v>
      </c>
      <c r="R187" s="318">
        <v>2069.14</v>
      </c>
      <c r="S187" s="318">
        <v>0</v>
      </c>
      <c r="T187" s="318">
        <v>165849.4</v>
      </c>
      <c r="U187" s="318">
        <v>2069.14</v>
      </c>
      <c r="V187" s="319">
        <v>100</v>
      </c>
      <c r="W187" s="319">
        <v>100</v>
      </c>
      <c r="X187" s="318">
        <v>99</v>
      </c>
      <c r="Y187" s="318">
        <v>99</v>
      </c>
      <c r="Z187" s="317">
        <v>45327</v>
      </c>
      <c r="AA187" s="316" t="s">
        <v>630</v>
      </c>
    </row>
    <row r="188" spans="1:27">
      <c r="A188" s="316" t="s">
        <v>377</v>
      </c>
      <c r="B188" s="316" t="s">
        <v>90</v>
      </c>
      <c r="C188" s="316" t="s">
        <v>379</v>
      </c>
      <c r="D188" s="316" t="s">
        <v>433</v>
      </c>
      <c r="E188" s="317">
        <v>45272</v>
      </c>
      <c r="F188" s="316" t="s">
        <v>514</v>
      </c>
      <c r="G188" s="316" t="s">
        <v>434</v>
      </c>
      <c r="H188" s="317">
        <v>45272</v>
      </c>
      <c r="J188" s="317">
        <v>45352.861817129633</v>
      </c>
      <c r="K188" s="316" t="s">
        <v>378</v>
      </c>
      <c r="L188" s="318">
        <v>10386067.18</v>
      </c>
      <c r="M188" s="318">
        <v>10386067.18</v>
      </c>
      <c r="N188" s="318">
        <v>10376235.68</v>
      </c>
      <c r="O188" s="318">
        <v>10376235.68</v>
      </c>
      <c r="P188" s="318">
        <v>551253.93000000005</v>
      </c>
      <c r="Q188" s="318">
        <v>551253.93000000005</v>
      </c>
      <c r="R188" s="318">
        <v>9831.5</v>
      </c>
      <c r="S188" s="318">
        <v>0</v>
      </c>
      <c r="T188" s="318">
        <v>-9831.5</v>
      </c>
      <c r="U188" s="318">
        <v>9831.5</v>
      </c>
      <c r="V188" s="319">
        <v>97.5</v>
      </c>
      <c r="W188" s="319">
        <v>97.5</v>
      </c>
      <c r="X188" s="318">
        <v>97.5</v>
      </c>
      <c r="Y188" s="318">
        <v>97.5</v>
      </c>
      <c r="Z188" s="317">
        <v>45272</v>
      </c>
      <c r="AA188" s="316" t="s">
        <v>434</v>
      </c>
    </row>
    <row r="189" spans="1:27">
      <c r="A189" s="316" t="s">
        <v>377</v>
      </c>
      <c r="B189" s="316" t="s">
        <v>90</v>
      </c>
      <c r="C189" s="316" t="s">
        <v>379</v>
      </c>
      <c r="D189" s="316" t="s">
        <v>395</v>
      </c>
      <c r="E189" s="317">
        <v>45247</v>
      </c>
      <c r="F189" s="316" t="s">
        <v>514</v>
      </c>
      <c r="G189" s="316" t="s">
        <v>396</v>
      </c>
      <c r="H189" s="317">
        <v>45247</v>
      </c>
      <c r="J189" s="317">
        <v>45352.861817129633</v>
      </c>
      <c r="K189" s="316" t="s">
        <v>378</v>
      </c>
      <c r="L189" s="318">
        <v>3330078.35</v>
      </c>
      <c r="M189" s="318">
        <v>3330078.35</v>
      </c>
      <c r="N189" s="318">
        <v>3326798.16</v>
      </c>
      <c r="O189" s="318">
        <v>3326798.16</v>
      </c>
      <c r="P189" s="318">
        <v>11223.01</v>
      </c>
      <c r="Q189" s="318">
        <v>11223.01</v>
      </c>
      <c r="R189" s="318">
        <v>3280.19</v>
      </c>
      <c r="S189" s="318">
        <v>0</v>
      </c>
      <c r="T189" s="318">
        <v>-3280.19</v>
      </c>
      <c r="U189" s="318">
        <v>3280.19</v>
      </c>
      <c r="V189" s="319">
        <v>98</v>
      </c>
      <c r="W189" s="319">
        <v>98</v>
      </c>
      <c r="X189" s="318">
        <v>98</v>
      </c>
      <c r="Y189" s="318">
        <v>98</v>
      </c>
      <c r="Z189" s="317">
        <v>45247</v>
      </c>
      <c r="AA189" s="316" t="s">
        <v>396</v>
      </c>
    </row>
    <row r="190" spans="1:27">
      <c r="A190" s="316" t="s">
        <v>377</v>
      </c>
      <c r="B190" s="316" t="s">
        <v>90</v>
      </c>
      <c r="C190" s="316" t="s">
        <v>379</v>
      </c>
      <c r="D190" s="316" t="s">
        <v>847</v>
      </c>
      <c r="E190" s="317">
        <v>45348</v>
      </c>
      <c r="F190" s="316" t="s">
        <v>514</v>
      </c>
      <c r="G190" s="316" t="s">
        <v>848</v>
      </c>
      <c r="H190" s="317">
        <v>45348</v>
      </c>
      <c r="J190" s="317">
        <v>45352.861817129633</v>
      </c>
      <c r="K190" s="316" t="s">
        <v>378</v>
      </c>
      <c r="L190" s="318">
        <v>11291766.4</v>
      </c>
      <c r="M190" s="318">
        <v>11291766.4</v>
      </c>
      <c r="N190" s="318">
        <v>11291315.98</v>
      </c>
      <c r="O190" s="318">
        <v>11291315.98</v>
      </c>
      <c r="P190" s="318">
        <v>10001.52</v>
      </c>
      <c r="Q190" s="318">
        <v>10001.52</v>
      </c>
      <c r="R190" s="318">
        <v>450.42</v>
      </c>
      <c r="S190" s="318">
        <v>0</v>
      </c>
      <c r="T190" s="318">
        <v>-450.42</v>
      </c>
      <c r="U190" s="318">
        <v>450.42</v>
      </c>
      <c r="V190" s="319">
        <v>98</v>
      </c>
      <c r="W190" s="319">
        <v>98</v>
      </c>
      <c r="X190" s="318">
        <v>98</v>
      </c>
      <c r="Y190" s="318">
        <v>98</v>
      </c>
      <c r="Z190" s="317">
        <v>45348</v>
      </c>
      <c r="AA190" s="316" t="s">
        <v>848</v>
      </c>
    </row>
    <row r="191" spans="1:27">
      <c r="A191" s="316" t="s">
        <v>377</v>
      </c>
      <c r="B191" s="316" t="s">
        <v>90</v>
      </c>
      <c r="C191" s="316" t="s">
        <v>379</v>
      </c>
      <c r="D191" s="316" t="s">
        <v>631</v>
      </c>
      <c r="E191" s="317">
        <v>45282</v>
      </c>
      <c r="F191" s="316" t="s">
        <v>514</v>
      </c>
      <c r="G191" s="316" t="s">
        <v>632</v>
      </c>
      <c r="H191" s="317">
        <v>45282</v>
      </c>
      <c r="J191" s="317">
        <v>45352.861817129633</v>
      </c>
      <c r="K191" s="316" t="s">
        <v>378</v>
      </c>
      <c r="L191" s="318">
        <v>40784642.25</v>
      </c>
      <c r="M191" s="318">
        <v>40784642.25</v>
      </c>
      <c r="N191" s="318">
        <v>40757724.700000003</v>
      </c>
      <c r="O191" s="318">
        <v>40757724.700000003</v>
      </c>
      <c r="P191" s="318">
        <v>25014.38</v>
      </c>
      <c r="Q191" s="318">
        <v>25014.38</v>
      </c>
      <c r="R191" s="318">
        <v>26917.55</v>
      </c>
      <c r="S191" s="318">
        <v>0</v>
      </c>
      <c r="T191" s="318">
        <v>-26917.55</v>
      </c>
      <c r="U191" s="318">
        <v>26917.55</v>
      </c>
      <c r="V191" s="319">
        <v>98</v>
      </c>
      <c r="W191" s="319">
        <v>98</v>
      </c>
      <c r="X191" s="318">
        <v>98</v>
      </c>
      <c r="Y191" s="318">
        <v>98</v>
      </c>
      <c r="Z191" s="317">
        <v>45282</v>
      </c>
      <c r="AA191" s="316" t="s">
        <v>632</v>
      </c>
    </row>
    <row r="192" spans="1:27">
      <c r="A192" s="316" t="s">
        <v>377</v>
      </c>
      <c r="B192" s="316" t="s">
        <v>90</v>
      </c>
      <c r="C192" s="316" t="s">
        <v>379</v>
      </c>
      <c r="D192" s="316" t="s">
        <v>397</v>
      </c>
      <c r="E192" s="317">
        <v>45247</v>
      </c>
      <c r="F192" s="316" t="s">
        <v>514</v>
      </c>
      <c r="G192" s="316" t="s">
        <v>398</v>
      </c>
      <c r="H192" s="317">
        <v>45247</v>
      </c>
      <c r="J192" s="317">
        <v>45352.861817129633</v>
      </c>
      <c r="K192" s="316" t="s">
        <v>378</v>
      </c>
      <c r="L192" s="318">
        <v>11508179.76</v>
      </c>
      <c r="M192" s="318">
        <v>11508179.76</v>
      </c>
      <c r="N192" s="318">
        <v>11494288.59</v>
      </c>
      <c r="O192" s="318">
        <v>11494288.59</v>
      </c>
      <c r="P192" s="318">
        <v>453841.11</v>
      </c>
      <c r="Q192" s="318">
        <v>453841.11</v>
      </c>
      <c r="R192" s="318">
        <v>13891.17</v>
      </c>
      <c r="S192" s="318">
        <v>0</v>
      </c>
      <c r="T192" s="318">
        <v>-13891.17</v>
      </c>
      <c r="U192" s="318">
        <v>13891.17</v>
      </c>
      <c r="V192" s="319">
        <v>98</v>
      </c>
      <c r="W192" s="319">
        <v>98</v>
      </c>
      <c r="X192" s="318">
        <v>98</v>
      </c>
      <c r="Y192" s="318">
        <v>98</v>
      </c>
      <c r="Z192" s="317">
        <v>45247</v>
      </c>
      <c r="AA192" s="316" t="s">
        <v>398</v>
      </c>
    </row>
    <row r="193" spans="1:27">
      <c r="A193" s="316" t="s">
        <v>377</v>
      </c>
      <c r="B193" s="316" t="s">
        <v>90</v>
      </c>
      <c r="C193" s="316" t="s">
        <v>379</v>
      </c>
      <c r="D193" s="316" t="s">
        <v>633</v>
      </c>
      <c r="E193" s="317">
        <v>45317</v>
      </c>
      <c r="F193" s="316" t="s">
        <v>514</v>
      </c>
      <c r="G193" s="316" t="s">
        <v>634</v>
      </c>
      <c r="H193" s="317">
        <v>45317</v>
      </c>
      <c r="J193" s="317">
        <v>45352.861817129633</v>
      </c>
      <c r="K193" s="316" t="s">
        <v>378</v>
      </c>
      <c r="L193" s="318">
        <v>32450848.43</v>
      </c>
      <c r="M193" s="318">
        <v>32450848.43</v>
      </c>
      <c r="N193" s="318">
        <v>32439970.539999999</v>
      </c>
      <c r="O193" s="318">
        <v>32439970.539999999</v>
      </c>
      <c r="P193" s="318">
        <v>391265.77</v>
      </c>
      <c r="Q193" s="318">
        <v>391265.77</v>
      </c>
      <c r="R193" s="318">
        <v>10877.89</v>
      </c>
      <c r="S193" s="318">
        <v>0</v>
      </c>
      <c r="T193" s="318">
        <v>-10877.89</v>
      </c>
      <c r="U193" s="318">
        <v>10877.89</v>
      </c>
      <c r="V193" s="319">
        <v>98</v>
      </c>
      <c r="W193" s="319">
        <v>98</v>
      </c>
      <c r="X193" s="318">
        <v>98</v>
      </c>
      <c r="Y193" s="318">
        <v>98</v>
      </c>
      <c r="Z193" s="317">
        <v>45317</v>
      </c>
      <c r="AA193" s="316" t="s">
        <v>634</v>
      </c>
    </row>
    <row r="194" spans="1:27">
      <c r="A194" s="316" t="s">
        <v>377</v>
      </c>
      <c r="B194" s="316" t="s">
        <v>90</v>
      </c>
      <c r="C194" s="316" t="s">
        <v>379</v>
      </c>
      <c r="D194" s="316" t="s">
        <v>435</v>
      </c>
      <c r="E194" s="317">
        <v>45282</v>
      </c>
      <c r="F194" s="316" t="s">
        <v>514</v>
      </c>
      <c r="G194" s="316" t="s">
        <v>436</v>
      </c>
      <c r="H194" s="317">
        <v>45282</v>
      </c>
      <c r="J194" s="317">
        <v>45352.861817129633</v>
      </c>
      <c r="K194" s="316" t="s">
        <v>378</v>
      </c>
      <c r="L194" s="318">
        <v>10339587.42</v>
      </c>
      <c r="M194" s="318">
        <v>10339587.42</v>
      </c>
      <c r="N194" s="318">
        <v>10330642.560000001</v>
      </c>
      <c r="O194" s="318">
        <v>10330642.560000001</v>
      </c>
      <c r="P194" s="318">
        <v>6486.67</v>
      </c>
      <c r="Q194" s="318">
        <v>6486.67</v>
      </c>
      <c r="R194" s="318">
        <v>6828.87</v>
      </c>
      <c r="S194" s="318">
        <v>0</v>
      </c>
      <c r="T194" s="318">
        <v>-8944.86</v>
      </c>
      <c r="U194" s="318">
        <v>6828.87</v>
      </c>
      <c r="V194" s="319">
        <v>98</v>
      </c>
      <c r="W194" s="319">
        <v>98</v>
      </c>
      <c r="X194" s="318">
        <v>98.020072999999996</v>
      </c>
      <c r="Y194" s="318">
        <v>98.020072990000003</v>
      </c>
      <c r="Z194" s="317">
        <v>45282</v>
      </c>
      <c r="AA194" s="316" t="s">
        <v>436</v>
      </c>
    </row>
    <row r="195" spans="1:27">
      <c r="A195" s="316" t="s">
        <v>377</v>
      </c>
      <c r="B195" s="316" t="s">
        <v>90</v>
      </c>
      <c r="C195" s="316" t="s">
        <v>379</v>
      </c>
      <c r="D195" s="316" t="s">
        <v>635</v>
      </c>
      <c r="E195" s="317">
        <v>45330</v>
      </c>
      <c r="F195" s="316" t="s">
        <v>514</v>
      </c>
      <c r="G195" s="316" t="s">
        <v>636</v>
      </c>
      <c r="H195" s="317">
        <v>45330</v>
      </c>
      <c r="J195" s="317">
        <v>45352.861817129633</v>
      </c>
      <c r="K195" s="316" t="s">
        <v>378</v>
      </c>
      <c r="L195" s="318">
        <v>21611405.899999999</v>
      </c>
      <c r="M195" s="318">
        <v>21611405.899999999</v>
      </c>
      <c r="N195" s="318">
        <v>21607437.879999999</v>
      </c>
      <c r="O195" s="318">
        <v>21607437.879999999</v>
      </c>
      <c r="P195" s="318">
        <v>267255.26</v>
      </c>
      <c r="Q195" s="318">
        <v>267255.26</v>
      </c>
      <c r="R195" s="318">
        <v>3968.02</v>
      </c>
      <c r="S195" s="318">
        <v>0</v>
      </c>
      <c r="T195" s="318">
        <v>-3968.02</v>
      </c>
      <c r="U195" s="318">
        <v>3968.02</v>
      </c>
      <c r="V195" s="319">
        <v>98</v>
      </c>
      <c r="W195" s="319">
        <v>98</v>
      </c>
      <c r="X195" s="318">
        <v>98</v>
      </c>
      <c r="Y195" s="318">
        <v>98</v>
      </c>
      <c r="Z195" s="317">
        <v>45330</v>
      </c>
      <c r="AA195" s="316" t="s">
        <v>636</v>
      </c>
    </row>
    <row r="196" spans="1:27">
      <c r="A196" s="316" t="s">
        <v>377</v>
      </c>
      <c r="B196" s="316" t="s">
        <v>90</v>
      </c>
      <c r="C196" s="316" t="s">
        <v>379</v>
      </c>
      <c r="D196" s="316" t="s">
        <v>849</v>
      </c>
      <c r="E196" s="317">
        <v>45338</v>
      </c>
      <c r="F196" s="316" t="s">
        <v>514</v>
      </c>
      <c r="G196" s="316" t="s">
        <v>850</v>
      </c>
      <c r="H196" s="317">
        <v>45338</v>
      </c>
      <c r="J196" s="317">
        <v>45352.861817129633</v>
      </c>
      <c r="K196" s="316" t="s">
        <v>378</v>
      </c>
      <c r="L196" s="318">
        <v>25379568.949999999</v>
      </c>
      <c r="M196" s="318">
        <v>25379568.949999999</v>
      </c>
      <c r="N196" s="318">
        <v>25891898</v>
      </c>
      <c r="O196" s="318">
        <v>25891898</v>
      </c>
      <c r="P196" s="318">
        <v>140227.71</v>
      </c>
      <c r="Q196" s="318">
        <v>140227.71</v>
      </c>
      <c r="R196" s="318">
        <v>5508.91</v>
      </c>
      <c r="S196" s="318">
        <v>0</v>
      </c>
      <c r="T196" s="318">
        <v>512329.05</v>
      </c>
      <c r="U196" s="318">
        <v>5508.91</v>
      </c>
      <c r="V196" s="319">
        <v>100</v>
      </c>
      <c r="W196" s="319">
        <v>100</v>
      </c>
      <c r="X196" s="318">
        <v>98</v>
      </c>
      <c r="Y196" s="318">
        <v>98</v>
      </c>
      <c r="Z196" s="317">
        <v>45338</v>
      </c>
      <c r="AA196" s="316" t="s">
        <v>850</v>
      </c>
    </row>
    <row r="197" spans="1:27">
      <c r="A197" s="316" t="s">
        <v>377</v>
      </c>
      <c r="B197" s="316" t="s">
        <v>90</v>
      </c>
      <c r="C197" s="316" t="s">
        <v>379</v>
      </c>
      <c r="D197" s="316" t="s">
        <v>399</v>
      </c>
      <c r="E197" s="317">
        <v>45233</v>
      </c>
      <c r="F197" s="316" t="s">
        <v>514</v>
      </c>
      <c r="G197" s="316" t="s">
        <v>400</v>
      </c>
      <c r="H197" s="317">
        <v>45233</v>
      </c>
      <c r="J197" s="317">
        <v>45352.861817129633</v>
      </c>
      <c r="K197" s="316" t="s">
        <v>378</v>
      </c>
      <c r="L197" s="318">
        <v>1537701.74</v>
      </c>
      <c r="M197" s="318">
        <v>1537701.74</v>
      </c>
      <c r="N197" s="318">
        <v>1536917.68</v>
      </c>
      <c r="O197" s="318">
        <v>1536917.68</v>
      </c>
      <c r="P197" s="318">
        <v>49225.33</v>
      </c>
      <c r="Q197" s="318">
        <v>49225.33</v>
      </c>
      <c r="R197" s="318">
        <v>784.06</v>
      </c>
      <c r="S197" s="318">
        <v>0</v>
      </c>
      <c r="T197" s="318">
        <v>-784.06</v>
      </c>
      <c r="U197" s="318">
        <v>784.06</v>
      </c>
      <c r="V197" s="319">
        <v>99</v>
      </c>
      <c r="W197" s="319">
        <v>99</v>
      </c>
      <c r="X197" s="318">
        <v>99</v>
      </c>
      <c r="Y197" s="318">
        <v>99</v>
      </c>
      <c r="Z197" s="317">
        <v>45233</v>
      </c>
      <c r="AA197" s="316" t="s">
        <v>400</v>
      </c>
    </row>
    <row r="198" spans="1:27">
      <c r="A198" s="316" t="s">
        <v>377</v>
      </c>
      <c r="B198" s="316" t="s">
        <v>90</v>
      </c>
      <c r="C198" s="316" t="s">
        <v>379</v>
      </c>
      <c r="D198" s="316" t="s">
        <v>851</v>
      </c>
      <c r="E198" s="317">
        <v>45351</v>
      </c>
      <c r="F198" s="316" t="s">
        <v>514</v>
      </c>
      <c r="G198" s="316" t="s">
        <v>852</v>
      </c>
      <c r="H198" s="317">
        <v>45351</v>
      </c>
      <c r="J198" s="317">
        <v>45352.861817129633</v>
      </c>
      <c r="K198" s="316" t="s">
        <v>378</v>
      </c>
      <c r="L198" s="318">
        <v>17880142.02</v>
      </c>
      <c r="M198" s="318">
        <v>17880142.02</v>
      </c>
      <c r="N198" s="318">
        <v>17879808.940000001</v>
      </c>
      <c r="O198" s="318">
        <v>17879808.940000001</v>
      </c>
      <c r="P198" s="318">
        <v>3294.18</v>
      </c>
      <c r="Q198" s="318">
        <v>3294.18</v>
      </c>
      <c r="R198" s="318">
        <v>333.08</v>
      </c>
      <c r="S198" s="318">
        <v>0</v>
      </c>
      <c r="T198" s="318">
        <v>-333.08</v>
      </c>
      <c r="U198" s="318">
        <v>333.08</v>
      </c>
      <c r="V198" s="319">
        <v>98</v>
      </c>
      <c r="W198" s="319">
        <v>98</v>
      </c>
      <c r="X198" s="318">
        <v>98</v>
      </c>
      <c r="Y198" s="318">
        <v>98</v>
      </c>
      <c r="Z198" s="317">
        <v>45351</v>
      </c>
      <c r="AA198" s="316" t="s">
        <v>852</v>
      </c>
    </row>
    <row r="199" spans="1:27">
      <c r="A199" s="316" t="s">
        <v>377</v>
      </c>
      <c r="B199" s="316" t="s">
        <v>90</v>
      </c>
      <c r="C199" s="316" t="s">
        <v>379</v>
      </c>
      <c r="D199" s="316" t="s">
        <v>401</v>
      </c>
      <c r="E199" s="317">
        <v>45238</v>
      </c>
      <c r="F199" s="316" t="s">
        <v>514</v>
      </c>
      <c r="G199" s="316" t="s">
        <v>402</v>
      </c>
      <c r="H199" s="317">
        <v>45238</v>
      </c>
      <c r="J199" s="317">
        <v>45352.861817129633</v>
      </c>
      <c r="K199" s="316" t="s">
        <v>378</v>
      </c>
      <c r="L199" s="318">
        <v>9141877.7599999998</v>
      </c>
      <c r="M199" s="318">
        <v>9141877.7599999998</v>
      </c>
      <c r="N199" s="318">
        <v>9135675.2200000007</v>
      </c>
      <c r="O199" s="318">
        <v>9135675.2200000007</v>
      </c>
      <c r="P199" s="318">
        <v>155660.42000000001</v>
      </c>
      <c r="Q199" s="318">
        <v>155660.42000000001</v>
      </c>
      <c r="R199" s="318">
        <v>6202.54</v>
      </c>
      <c r="S199" s="318">
        <v>0</v>
      </c>
      <c r="T199" s="318">
        <v>-6202.54</v>
      </c>
      <c r="U199" s="318">
        <v>6202.54</v>
      </c>
      <c r="V199" s="319">
        <v>98.5</v>
      </c>
      <c r="W199" s="319">
        <v>98.5</v>
      </c>
      <c r="X199" s="318">
        <v>98.5</v>
      </c>
      <c r="Y199" s="318">
        <v>98.5</v>
      </c>
      <c r="Z199" s="317">
        <v>45238</v>
      </c>
      <c r="AA199" s="316" t="s">
        <v>402</v>
      </c>
    </row>
    <row r="200" spans="1:27">
      <c r="A200" s="316" t="s">
        <v>377</v>
      </c>
      <c r="B200" s="316" t="s">
        <v>90</v>
      </c>
      <c r="C200" s="316" t="s">
        <v>379</v>
      </c>
      <c r="D200" s="316" t="s">
        <v>853</v>
      </c>
      <c r="E200" s="317">
        <v>45352</v>
      </c>
      <c r="F200" s="316" t="s">
        <v>514</v>
      </c>
      <c r="G200" s="316" t="s">
        <v>661</v>
      </c>
      <c r="H200" s="317">
        <v>45352</v>
      </c>
      <c r="J200" s="317">
        <v>45352.861817129633</v>
      </c>
      <c r="K200" s="316" t="s">
        <v>378</v>
      </c>
      <c r="L200" s="318">
        <v>20379693.350000001</v>
      </c>
      <c r="M200" s="318">
        <v>20379693.350000001</v>
      </c>
      <c r="N200" s="318">
        <v>20379500.98</v>
      </c>
      <c r="O200" s="318">
        <v>20379500.98</v>
      </c>
      <c r="P200" s="318">
        <v>3899.14</v>
      </c>
      <c r="Q200" s="318">
        <v>3899.14</v>
      </c>
      <c r="R200" s="318">
        <v>192.37</v>
      </c>
      <c r="S200" s="318">
        <v>0</v>
      </c>
      <c r="T200" s="318">
        <v>-192.37</v>
      </c>
      <c r="U200" s="318">
        <v>192.37</v>
      </c>
      <c r="V200" s="319">
        <v>98</v>
      </c>
      <c r="W200" s="319">
        <v>98</v>
      </c>
      <c r="X200" s="318">
        <v>98</v>
      </c>
      <c r="Y200" s="318">
        <v>98</v>
      </c>
      <c r="Z200" s="317">
        <v>45352</v>
      </c>
      <c r="AA200" s="316" t="s">
        <v>661</v>
      </c>
    </row>
    <row r="201" spans="1:27">
      <c r="A201" s="316" t="s">
        <v>377</v>
      </c>
      <c r="B201" s="316" t="s">
        <v>90</v>
      </c>
      <c r="C201" s="316" t="s">
        <v>379</v>
      </c>
      <c r="D201" s="316" t="s">
        <v>637</v>
      </c>
      <c r="E201" s="317">
        <v>45322</v>
      </c>
      <c r="F201" s="316" t="s">
        <v>514</v>
      </c>
      <c r="G201" s="316" t="s">
        <v>638</v>
      </c>
      <c r="H201" s="317">
        <v>45322</v>
      </c>
      <c r="J201" s="317">
        <v>45352.861817129633</v>
      </c>
      <c r="K201" s="316" t="s">
        <v>378</v>
      </c>
      <c r="L201" s="318">
        <v>27082182.239999998</v>
      </c>
      <c r="M201" s="318">
        <v>27082182.239999998</v>
      </c>
      <c r="N201" s="318">
        <v>27077189.02</v>
      </c>
      <c r="O201" s="318">
        <v>27077189.02</v>
      </c>
      <c r="P201" s="318">
        <v>18398.349999999999</v>
      </c>
      <c r="Q201" s="318">
        <v>18398.349999999999</v>
      </c>
      <c r="R201" s="318">
        <v>4993.22</v>
      </c>
      <c r="S201" s="318">
        <v>0</v>
      </c>
      <c r="T201" s="318">
        <v>-4993.22</v>
      </c>
      <c r="U201" s="318">
        <v>4993.22</v>
      </c>
      <c r="V201" s="319">
        <v>98.5</v>
      </c>
      <c r="W201" s="319">
        <v>98.5</v>
      </c>
      <c r="X201" s="318">
        <v>98.5</v>
      </c>
      <c r="Y201" s="318">
        <v>98.5</v>
      </c>
      <c r="Z201" s="317">
        <v>45322</v>
      </c>
      <c r="AA201" s="316" t="s">
        <v>638</v>
      </c>
    </row>
    <row r="202" spans="1:27">
      <c r="A202" s="316" t="s">
        <v>377</v>
      </c>
      <c r="B202" s="316" t="s">
        <v>90</v>
      </c>
      <c r="C202" s="316" t="s">
        <v>379</v>
      </c>
      <c r="D202" s="316" t="s">
        <v>403</v>
      </c>
      <c r="E202" s="317">
        <v>45224</v>
      </c>
      <c r="F202" s="316" t="s">
        <v>514</v>
      </c>
      <c r="G202" s="316" t="s">
        <v>404</v>
      </c>
      <c r="H202" s="317">
        <v>45224</v>
      </c>
      <c r="J202" s="317">
        <v>45352.861817129633</v>
      </c>
      <c r="K202" s="316" t="s">
        <v>378</v>
      </c>
      <c r="L202" s="318">
        <v>4588452.3899999997</v>
      </c>
      <c r="M202" s="318">
        <v>4588452.3899999997</v>
      </c>
      <c r="N202" s="318">
        <v>4675832.91</v>
      </c>
      <c r="O202" s="318">
        <v>4675832.91</v>
      </c>
      <c r="P202" s="318">
        <v>21569.91</v>
      </c>
      <c r="Q202" s="318">
        <v>21569.91</v>
      </c>
      <c r="R202" s="318">
        <v>6136.14</v>
      </c>
      <c r="S202" s="318">
        <v>0</v>
      </c>
      <c r="T202" s="318">
        <v>87380.52</v>
      </c>
      <c r="U202" s="318">
        <v>6136.14</v>
      </c>
      <c r="V202" s="319">
        <v>100</v>
      </c>
      <c r="W202" s="319">
        <v>100</v>
      </c>
      <c r="X202" s="318">
        <v>98</v>
      </c>
      <c r="Y202" s="318">
        <v>98</v>
      </c>
      <c r="Z202" s="317">
        <v>45224</v>
      </c>
      <c r="AA202" s="316" t="s">
        <v>404</v>
      </c>
    </row>
    <row r="203" spans="1:27">
      <c r="A203" s="316" t="s">
        <v>377</v>
      </c>
      <c r="B203" s="316" t="s">
        <v>90</v>
      </c>
      <c r="C203" s="316" t="s">
        <v>379</v>
      </c>
      <c r="D203" s="316" t="s">
        <v>405</v>
      </c>
      <c r="E203" s="317">
        <v>45245</v>
      </c>
      <c r="F203" s="316" t="s">
        <v>514</v>
      </c>
      <c r="G203" s="316" t="s">
        <v>406</v>
      </c>
      <c r="H203" s="317">
        <v>45245</v>
      </c>
      <c r="J203" s="317">
        <v>45352.861817129633</v>
      </c>
      <c r="K203" s="316" t="s">
        <v>378</v>
      </c>
      <c r="L203" s="318">
        <v>14688901.310000001</v>
      </c>
      <c r="M203" s="318">
        <v>14688901.310000001</v>
      </c>
      <c r="N203" s="318">
        <v>14676250.68</v>
      </c>
      <c r="O203" s="318">
        <v>14676250.68</v>
      </c>
      <c r="P203" s="318">
        <v>96588.88</v>
      </c>
      <c r="Q203" s="318">
        <v>96588.88</v>
      </c>
      <c r="R203" s="318">
        <v>12650.63</v>
      </c>
      <c r="S203" s="318">
        <v>0</v>
      </c>
      <c r="T203" s="318">
        <v>-12650.63</v>
      </c>
      <c r="U203" s="318">
        <v>12650.63</v>
      </c>
      <c r="V203" s="319">
        <v>98</v>
      </c>
      <c r="W203" s="319">
        <v>98</v>
      </c>
      <c r="X203" s="318">
        <v>98</v>
      </c>
      <c r="Y203" s="318">
        <v>98</v>
      </c>
      <c r="Z203" s="317">
        <v>45245</v>
      </c>
      <c r="AA203" s="316" t="s">
        <v>406</v>
      </c>
    </row>
    <row r="204" spans="1:27">
      <c r="A204" s="316" t="s">
        <v>377</v>
      </c>
      <c r="B204" s="316" t="s">
        <v>90</v>
      </c>
      <c r="C204" s="316" t="s">
        <v>379</v>
      </c>
      <c r="D204" s="316" t="s">
        <v>854</v>
      </c>
      <c r="E204" s="317">
        <v>45351</v>
      </c>
      <c r="F204" s="316" t="s">
        <v>514</v>
      </c>
      <c r="G204" s="316" t="s">
        <v>855</v>
      </c>
      <c r="H204" s="317">
        <v>45351</v>
      </c>
      <c r="J204" s="317">
        <v>45352.861817129633</v>
      </c>
      <c r="K204" s="316" t="s">
        <v>378</v>
      </c>
      <c r="L204" s="318">
        <v>72383916.209999904</v>
      </c>
      <c r="M204" s="318">
        <v>72383916.209999904</v>
      </c>
      <c r="N204" s="318">
        <v>72459621.019999906</v>
      </c>
      <c r="O204" s="318">
        <v>72459621.019999906</v>
      </c>
      <c r="P204" s="318">
        <v>12771.37</v>
      </c>
      <c r="Q204" s="318">
        <v>12771.37</v>
      </c>
      <c r="R204" s="318">
        <v>923.38</v>
      </c>
      <c r="S204" s="318">
        <v>0</v>
      </c>
      <c r="T204" s="318">
        <v>75704.81</v>
      </c>
      <c r="U204" s="318">
        <v>923.38</v>
      </c>
      <c r="V204" s="319">
        <v>98.5</v>
      </c>
      <c r="W204" s="319">
        <v>98.5</v>
      </c>
      <c r="X204" s="318">
        <v>98.395832999999996</v>
      </c>
      <c r="Y204" s="318">
        <v>98.395833330000002</v>
      </c>
      <c r="Z204" s="317">
        <v>45351</v>
      </c>
      <c r="AA204" s="316" t="s">
        <v>855</v>
      </c>
    </row>
    <row r="205" spans="1:27">
      <c r="A205" s="316" t="s">
        <v>377</v>
      </c>
      <c r="B205" s="316" t="s">
        <v>90</v>
      </c>
      <c r="C205" s="316" t="s">
        <v>379</v>
      </c>
      <c r="D205" s="316" t="s">
        <v>856</v>
      </c>
      <c r="E205" s="317">
        <v>45337</v>
      </c>
      <c r="F205" s="316" t="s">
        <v>514</v>
      </c>
      <c r="G205" s="316" t="s">
        <v>857</v>
      </c>
      <c r="H205" s="317">
        <v>45337</v>
      </c>
      <c r="J205" s="317">
        <v>45352.861817129633</v>
      </c>
      <c r="K205" s="316" t="s">
        <v>378</v>
      </c>
      <c r="L205" s="318">
        <v>15632122.300000001</v>
      </c>
      <c r="M205" s="318">
        <v>15632122.300000001</v>
      </c>
      <c r="N205" s="318">
        <v>16026684</v>
      </c>
      <c r="O205" s="318">
        <v>16026684</v>
      </c>
      <c r="P205" s="318">
        <v>51641.54</v>
      </c>
      <c r="Q205" s="318">
        <v>51641.54</v>
      </c>
      <c r="R205" s="318">
        <v>6105.4</v>
      </c>
      <c r="S205" s="318">
        <v>0</v>
      </c>
      <c r="T205" s="318">
        <v>394561.7</v>
      </c>
      <c r="U205" s="318">
        <v>6105.4</v>
      </c>
      <c r="V205" s="319">
        <v>100</v>
      </c>
      <c r="W205" s="319">
        <v>100</v>
      </c>
      <c r="X205" s="318">
        <v>97.5</v>
      </c>
      <c r="Y205" s="318">
        <v>97.5</v>
      </c>
      <c r="Z205" s="317">
        <v>45337</v>
      </c>
      <c r="AA205" s="316" t="s">
        <v>857</v>
      </c>
    </row>
    <row r="206" spans="1:27">
      <c r="A206" s="316" t="s">
        <v>377</v>
      </c>
      <c r="B206" s="316" t="s">
        <v>90</v>
      </c>
      <c r="C206" s="316" t="s">
        <v>379</v>
      </c>
      <c r="D206" s="316" t="s">
        <v>412</v>
      </c>
      <c r="E206" s="317">
        <v>45230</v>
      </c>
      <c r="F206" s="316" t="s">
        <v>514</v>
      </c>
      <c r="G206" s="316" t="s">
        <v>413</v>
      </c>
      <c r="H206" s="317">
        <v>45239</v>
      </c>
      <c r="J206" s="317">
        <v>45352.861817129633</v>
      </c>
      <c r="K206" s="316" t="s">
        <v>378</v>
      </c>
      <c r="L206" s="318">
        <v>11664795.289999999</v>
      </c>
      <c r="M206" s="318">
        <v>11664795.289999999</v>
      </c>
      <c r="N206" s="318">
        <v>11652376.779999999</v>
      </c>
      <c r="O206" s="318">
        <v>11652376.779999999</v>
      </c>
      <c r="P206" s="318">
        <v>428383.32</v>
      </c>
      <c r="Q206" s="318">
        <v>428383.32</v>
      </c>
      <c r="R206" s="318">
        <v>12418.51</v>
      </c>
      <c r="S206" s="318">
        <v>0</v>
      </c>
      <c r="T206" s="318">
        <v>-12418.51</v>
      </c>
      <c r="U206" s="318">
        <v>12418.51</v>
      </c>
      <c r="V206" s="319">
        <v>98</v>
      </c>
      <c r="W206" s="319">
        <v>98</v>
      </c>
      <c r="X206" s="318">
        <v>98</v>
      </c>
      <c r="Y206" s="318">
        <v>98</v>
      </c>
      <c r="Z206" s="317">
        <v>45239</v>
      </c>
      <c r="AA206" s="316" t="s">
        <v>413</v>
      </c>
    </row>
    <row r="207" spans="1:27">
      <c r="A207" s="316" t="s">
        <v>377</v>
      </c>
      <c r="B207" s="316" t="s">
        <v>90</v>
      </c>
      <c r="C207" s="316" t="s">
        <v>379</v>
      </c>
      <c r="D207" s="316" t="s">
        <v>473</v>
      </c>
      <c r="E207" s="317">
        <v>45322</v>
      </c>
      <c r="F207" s="316" t="s">
        <v>514</v>
      </c>
      <c r="G207" s="316" t="s">
        <v>474</v>
      </c>
      <c r="H207" s="317">
        <v>45322</v>
      </c>
      <c r="J207" s="317">
        <v>45352.861817129633</v>
      </c>
      <c r="K207" s="316" t="s">
        <v>378</v>
      </c>
      <c r="L207" s="318">
        <v>13647426.050000001</v>
      </c>
      <c r="M207" s="318">
        <v>13647426.050000001</v>
      </c>
      <c r="N207" s="318">
        <v>13914542</v>
      </c>
      <c r="O207" s="318">
        <v>13914542</v>
      </c>
      <c r="P207" s="318">
        <v>8832.84</v>
      </c>
      <c r="Q207" s="318">
        <v>8832.84</v>
      </c>
      <c r="R207" s="318">
        <v>11174.89</v>
      </c>
      <c r="S207" s="318">
        <v>0</v>
      </c>
      <c r="T207" s="318">
        <v>267115.95</v>
      </c>
      <c r="U207" s="318">
        <v>11174.89</v>
      </c>
      <c r="V207" s="319">
        <v>100</v>
      </c>
      <c r="W207" s="319">
        <v>100</v>
      </c>
      <c r="X207" s="318">
        <v>98</v>
      </c>
      <c r="Y207" s="318">
        <v>98</v>
      </c>
      <c r="Z207" s="317">
        <v>45322</v>
      </c>
      <c r="AA207" s="316" t="s">
        <v>474</v>
      </c>
    </row>
    <row r="208" spans="1:27">
      <c r="A208" s="316" t="s">
        <v>377</v>
      </c>
      <c r="B208" s="316" t="s">
        <v>90</v>
      </c>
      <c r="C208" s="316" t="s">
        <v>379</v>
      </c>
      <c r="D208" s="316" t="s">
        <v>858</v>
      </c>
      <c r="E208" s="317">
        <v>45280</v>
      </c>
      <c r="F208" s="316" t="s">
        <v>514</v>
      </c>
      <c r="G208" s="316" t="s">
        <v>407</v>
      </c>
      <c r="H208" s="317">
        <v>45280</v>
      </c>
      <c r="J208" s="317">
        <v>45352.861817129633</v>
      </c>
      <c r="K208" s="316" t="s">
        <v>378</v>
      </c>
      <c r="L208" s="318">
        <v>0</v>
      </c>
      <c r="M208" s="318">
        <v>0</v>
      </c>
      <c r="N208" s="318">
        <v>0</v>
      </c>
      <c r="O208" s="318">
        <v>0</v>
      </c>
      <c r="P208" s="318">
        <v>67824.13</v>
      </c>
      <c r="Q208" s="318">
        <v>67824.13</v>
      </c>
      <c r="R208" s="318">
        <v>0</v>
      </c>
      <c r="S208" s="318">
        <v>0</v>
      </c>
      <c r="T208" s="318">
        <v>0</v>
      </c>
      <c r="U208" s="318">
        <v>0</v>
      </c>
      <c r="V208" s="319">
        <v>98</v>
      </c>
      <c r="W208" s="319">
        <v>98</v>
      </c>
      <c r="X208" s="318">
        <v>98</v>
      </c>
      <c r="Y208" s="318">
        <v>98</v>
      </c>
      <c r="Z208" s="317">
        <v>45280</v>
      </c>
      <c r="AA208" s="316" t="s">
        <v>407</v>
      </c>
    </row>
    <row r="209" spans="1:27">
      <c r="A209" s="316" t="s">
        <v>377</v>
      </c>
      <c r="B209" s="316" t="s">
        <v>90</v>
      </c>
      <c r="C209" s="316" t="s">
        <v>379</v>
      </c>
      <c r="D209" s="316" t="s">
        <v>644</v>
      </c>
      <c r="E209" s="317">
        <v>45321</v>
      </c>
      <c r="F209" s="316" t="s">
        <v>514</v>
      </c>
      <c r="G209" s="316" t="s">
        <v>643</v>
      </c>
      <c r="H209" s="317">
        <v>45329</v>
      </c>
      <c r="I209" s="316" t="s">
        <v>647</v>
      </c>
      <c r="J209" s="317">
        <v>45352.861817129633</v>
      </c>
      <c r="K209" s="316" t="s">
        <v>378</v>
      </c>
      <c r="L209" s="318">
        <v>1281214.52</v>
      </c>
      <c r="M209" s="318">
        <v>1281214.52</v>
      </c>
      <c r="N209" s="318">
        <v>1303663.0900000001</v>
      </c>
      <c r="O209" s="318">
        <v>1303663.0900000001</v>
      </c>
      <c r="P209" s="318">
        <v>9238.7999999999993</v>
      </c>
      <c r="Q209" s="318">
        <v>9238.7999999999993</v>
      </c>
      <c r="R209" s="318">
        <v>2016.96</v>
      </c>
      <c r="S209" s="318">
        <v>0</v>
      </c>
      <c r="T209" s="318">
        <v>22448.57</v>
      </c>
      <c r="U209" s="318">
        <v>2016.96</v>
      </c>
      <c r="V209" s="319">
        <v>93.25</v>
      </c>
      <c r="W209" s="319">
        <v>93.25</v>
      </c>
      <c r="X209" s="318">
        <v>91.5</v>
      </c>
      <c r="Y209" s="318">
        <v>91.5</v>
      </c>
      <c r="Z209" s="317">
        <v>45329</v>
      </c>
      <c r="AA209" s="316" t="s">
        <v>645</v>
      </c>
    </row>
    <row r="210" spans="1:27">
      <c r="A210" s="316" t="s">
        <v>377</v>
      </c>
      <c r="B210" s="316" t="s">
        <v>90</v>
      </c>
      <c r="C210" s="316" t="s">
        <v>379</v>
      </c>
      <c r="D210" s="316" t="s">
        <v>644</v>
      </c>
      <c r="E210" s="317">
        <v>45323</v>
      </c>
      <c r="F210" s="316" t="s">
        <v>514</v>
      </c>
      <c r="G210" s="316" t="s">
        <v>643</v>
      </c>
      <c r="H210" s="317">
        <v>45331</v>
      </c>
      <c r="I210" s="316" t="s">
        <v>647</v>
      </c>
      <c r="J210" s="317">
        <v>45352.861817129633</v>
      </c>
      <c r="K210" s="316" t="s">
        <v>378</v>
      </c>
      <c r="L210" s="318">
        <v>4242348.6100000003</v>
      </c>
      <c r="M210" s="318">
        <v>4242348.6100000003</v>
      </c>
      <c r="N210" s="318">
        <v>4282730.25</v>
      </c>
      <c r="O210" s="318">
        <v>4282730.25</v>
      </c>
      <c r="P210" s="318">
        <v>27821.61</v>
      </c>
      <c r="Q210" s="318">
        <v>27821.61</v>
      </c>
      <c r="R210" s="318">
        <v>5545.77</v>
      </c>
      <c r="S210" s="318">
        <v>0</v>
      </c>
      <c r="T210" s="318">
        <v>40381.64</v>
      </c>
      <c r="U210" s="318">
        <v>5545.77</v>
      </c>
      <c r="V210" s="319">
        <v>93.25</v>
      </c>
      <c r="W210" s="319">
        <v>93.25</v>
      </c>
      <c r="X210" s="318">
        <v>92.25</v>
      </c>
      <c r="Y210" s="318">
        <v>92.25</v>
      </c>
      <c r="Z210" s="317">
        <v>45331</v>
      </c>
      <c r="AA210" s="316" t="s">
        <v>645</v>
      </c>
    </row>
    <row r="211" spans="1:27">
      <c r="A211" s="316" t="s">
        <v>377</v>
      </c>
      <c r="B211" s="316" t="s">
        <v>90</v>
      </c>
      <c r="C211" s="316" t="s">
        <v>379</v>
      </c>
      <c r="D211" s="316" t="s">
        <v>639</v>
      </c>
      <c r="E211" s="317">
        <v>45335</v>
      </c>
      <c r="F211" s="316" t="s">
        <v>514</v>
      </c>
      <c r="G211" s="316" t="s">
        <v>640</v>
      </c>
      <c r="H211" s="317">
        <v>45335</v>
      </c>
      <c r="J211" s="317">
        <v>45352.861817129633</v>
      </c>
      <c r="K211" s="316" t="s">
        <v>378</v>
      </c>
      <c r="L211" s="318">
        <v>52731051.299999997</v>
      </c>
      <c r="M211" s="318">
        <v>52731051.299999997</v>
      </c>
      <c r="N211" s="318">
        <v>52722508.43</v>
      </c>
      <c r="O211" s="318">
        <v>52722508.43</v>
      </c>
      <c r="P211" s="318">
        <v>376760.1</v>
      </c>
      <c r="Q211" s="318">
        <v>376760.1</v>
      </c>
      <c r="R211" s="318">
        <v>8542.8700000000008</v>
      </c>
      <c r="S211" s="318">
        <v>0</v>
      </c>
      <c r="T211" s="318">
        <v>-8542.8700000000008</v>
      </c>
      <c r="U211" s="318">
        <v>8542.8700000000008</v>
      </c>
      <c r="V211" s="319">
        <v>97.75</v>
      </c>
      <c r="W211" s="319">
        <v>97.75</v>
      </c>
      <c r="X211" s="318">
        <v>97.75</v>
      </c>
      <c r="Y211" s="318">
        <v>97.75</v>
      </c>
      <c r="Z211" s="317">
        <v>45335</v>
      </c>
      <c r="AA211" s="316" t="s">
        <v>640</v>
      </c>
    </row>
    <row r="212" spans="1:27">
      <c r="A212" s="316" t="s">
        <v>377</v>
      </c>
      <c r="B212" s="316" t="s">
        <v>90</v>
      </c>
      <c r="C212" s="316" t="s">
        <v>379</v>
      </c>
      <c r="D212" s="316" t="s">
        <v>408</v>
      </c>
      <c r="E212" s="317">
        <v>45236</v>
      </c>
      <c r="F212" s="316" t="s">
        <v>514</v>
      </c>
      <c r="G212" s="316" t="s">
        <v>409</v>
      </c>
      <c r="H212" s="317">
        <v>45236</v>
      </c>
      <c r="I212" s="316" t="s">
        <v>526</v>
      </c>
      <c r="J212" s="317">
        <v>45352.861817129633</v>
      </c>
      <c r="K212" s="316" t="s">
        <v>378</v>
      </c>
      <c r="L212" s="318">
        <v>4147333.05</v>
      </c>
      <c r="M212" s="318">
        <v>4147333.05</v>
      </c>
      <c r="N212" s="318">
        <v>4204289.34</v>
      </c>
      <c r="O212" s="318">
        <v>4204289.34</v>
      </c>
      <c r="P212" s="318">
        <v>114518.78</v>
      </c>
      <c r="Q212" s="318">
        <v>114518.78</v>
      </c>
      <c r="R212" s="318">
        <v>6108.05</v>
      </c>
      <c r="S212" s="318">
        <v>0</v>
      </c>
      <c r="T212" s="318">
        <v>56956.29</v>
      </c>
      <c r="U212" s="318">
        <v>6108.05</v>
      </c>
      <c r="V212" s="319">
        <v>100</v>
      </c>
      <c r="W212" s="319">
        <v>100</v>
      </c>
      <c r="X212" s="318">
        <v>98.5</v>
      </c>
      <c r="Y212" s="318">
        <v>98.5</v>
      </c>
      <c r="Z212" s="317">
        <v>45236</v>
      </c>
      <c r="AA212" s="316" t="s">
        <v>409</v>
      </c>
    </row>
    <row r="213" spans="1:27">
      <c r="A213" s="316" t="s">
        <v>377</v>
      </c>
      <c r="B213" s="316" t="s">
        <v>90</v>
      </c>
      <c r="C213" s="316" t="s">
        <v>379</v>
      </c>
      <c r="D213" s="316" t="s">
        <v>641</v>
      </c>
      <c r="E213" s="317">
        <v>45236</v>
      </c>
      <c r="F213" s="316" t="s">
        <v>514</v>
      </c>
      <c r="G213" s="316" t="s">
        <v>410</v>
      </c>
      <c r="H213" s="317">
        <v>45236</v>
      </c>
      <c r="I213" s="316" t="s">
        <v>648</v>
      </c>
      <c r="J213" s="317">
        <v>45352.861817129633</v>
      </c>
      <c r="K213" s="316" t="s">
        <v>378</v>
      </c>
      <c r="L213" s="318">
        <v>1791219.06</v>
      </c>
      <c r="M213" s="318">
        <v>1791219.06</v>
      </c>
      <c r="N213" s="318">
        <v>1815818.28</v>
      </c>
      <c r="O213" s="318">
        <v>1815818.28</v>
      </c>
      <c r="P213" s="318">
        <v>48650.66</v>
      </c>
      <c r="Q213" s="318">
        <v>48650.66</v>
      </c>
      <c r="R213" s="318">
        <v>2638.05</v>
      </c>
      <c r="S213" s="318">
        <v>0</v>
      </c>
      <c r="T213" s="318">
        <v>24599.22</v>
      </c>
      <c r="U213" s="318">
        <v>2638.05</v>
      </c>
      <c r="V213" s="319">
        <v>100</v>
      </c>
      <c r="W213" s="319">
        <v>100</v>
      </c>
      <c r="X213" s="318">
        <v>98.5</v>
      </c>
      <c r="Y213" s="318">
        <v>98.5</v>
      </c>
      <c r="Z213" s="317">
        <v>45236</v>
      </c>
      <c r="AA213" s="316" t="s">
        <v>410</v>
      </c>
    </row>
    <row r="214" spans="1:27">
      <c r="A214" s="316" t="s">
        <v>377</v>
      </c>
      <c r="B214" s="316" t="s">
        <v>90</v>
      </c>
      <c r="C214" s="316" t="s">
        <v>379</v>
      </c>
      <c r="D214" s="316" t="s">
        <v>642</v>
      </c>
      <c r="E214" s="317">
        <v>45237</v>
      </c>
      <c r="F214" s="316" t="s">
        <v>514</v>
      </c>
      <c r="G214" s="316" t="s">
        <v>411</v>
      </c>
      <c r="H214" s="317">
        <v>45237</v>
      </c>
      <c r="J214" s="317">
        <v>45352.861817129633</v>
      </c>
      <c r="K214" s="316" t="s">
        <v>378</v>
      </c>
      <c r="L214" s="318">
        <v>10268703.18</v>
      </c>
      <c r="M214" s="318">
        <v>10268703.18</v>
      </c>
      <c r="N214" s="318">
        <v>10457757.26</v>
      </c>
      <c r="O214" s="318">
        <v>10457757.26</v>
      </c>
      <c r="P214" s="318">
        <v>110413.08</v>
      </c>
      <c r="Q214" s="318">
        <v>110413.08</v>
      </c>
      <c r="R214" s="318">
        <v>20101.07</v>
      </c>
      <c r="S214" s="318">
        <v>0</v>
      </c>
      <c r="T214" s="318">
        <v>189054.07999999999</v>
      </c>
      <c r="U214" s="318">
        <v>20101.07</v>
      </c>
      <c r="V214" s="319">
        <v>100</v>
      </c>
      <c r="W214" s="319">
        <v>100</v>
      </c>
      <c r="X214" s="318">
        <v>98</v>
      </c>
      <c r="Y214" s="318">
        <v>98</v>
      </c>
      <c r="Z214" s="317">
        <v>45237</v>
      </c>
      <c r="AA214" s="316" t="s">
        <v>411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14"/>
  <sheetViews>
    <sheetView workbookViewId="0">
      <selection activeCell="D33" sqref="D33"/>
    </sheetView>
  </sheetViews>
  <sheetFormatPr defaultRowHeight="15"/>
  <cols>
    <col min="1" max="1" width="22.5703125" style="316" bestFit="1" customWidth="1"/>
    <col min="2" max="2" width="13.42578125" style="316" bestFit="1" customWidth="1"/>
    <col min="3" max="3" width="19.5703125" style="316" bestFit="1" customWidth="1"/>
    <col min="4" max="4" width="99" style="316" bestFit="1" customWidth="1"/>
    <col min="5" max="5" width="18.42578125" style="317" bestFit="1" customWidth="1"/>
    <col min="6" max="6" width="27.5703125" style="316" bestFit="1" customWidth="1"/>
    <col min="7" max="7" width="30.7109375" style="316" bestFit="1" customWidth="1"/>
    <col min="8" max="8" width="20.85546875" style="317" bestFit="1" customWidth="1"/>
    <col min="9" max="9" width="28.85546875" style="316" bestFit="1" customWidth="1"/>
    <col min="10" max="10" width="24" style="317" bestFit="1" customWidth="1"/>
    <col min="11" max="11" width="22.28515625" style="316" bestFit="1" customWidth="1"/>
    <col min="12" max="14" width="22.42578125" style="318" bestFit="1" customWidth="1"/>
    <col min="15" max="15" width="22.7109375" style="318" bestFit="1" customWidth="1"/>
    <col min="16" max="16" width="25.140625" style="318" bestFit="1" customWidth="1"/>
    <col min="17" max="17" width="25.5703125" style="318" bestFit="1" customWidth="1"/>
    <col min="18" max="18" width="22.5703125" style="318" bestFit="1" customWidth="1"/>
    <col min="19" max="19" width="27.28515625" style="318" bestFit="1" customWidth="1"/>
    <col min="20" max="20" width="29.7109375" style="318" bestFit="1" customWidth="1"/>
    <col min="21" max="21" width="22.85546875" style="318" bestFit="1" customWidth="1"/>
    <col min="22" max="22" width="21.85546875" style="319" bestFit="1" customWidth="1"/>
    <col min="23" max="23" width="22.140625" style="319" bestFit="1" customWidth="1"/>
    <col min="24" max="24" width="23.5703125" style="318" bestFit="1" customWidth="1"/>
    <col min="25" max="25" width="23.85546875" style="318" bestFit="1" customWidth="1"/>
  </cols>
  <sheetData>
    <row r="1" spans="1:27">
      <c r="A1" s="316" t="s">
        <v>372</v>
      </c>
      <c r="B1" s="316" t="s">
        <v>427</v>
      </c>
      <c r="C1" s="316" t="s">
        <v>428</v>
      </c>
      <c r="D1" s="316" t="s">
        <v>373</v>
      </c>
      <c r="E1" s="317" t="s">
        <v>497</v>
      </c>
      <c r="F1" s="316" t="s">
        <v>498</v>
      </c>
      <c r="G1" s="316" t="s">
        <v>374</v>
      </c>
      <c r="H1" s="317" t="s">
        <v>499</v>
      </c>
      <c r="I1" s="316" t="s">
        <v>500</v>
      </c>
      <c r="J1" s="317" t="s">
        <v>429</v>
      </c>
      <c r="K1" s="316" t="s">
        <v>501</v>
      </c>
      <c r="L1" s="318" t="s">
        <v>502</v>
      </c>
      <c r="M1" s="318" t="s">
        <v>503</v>
      </c>
      <c r="N1" s="318" t="s">
        <v>504</v>
      </c>
      <c r="O1" s="318" t="s">
        <v>505</v>
      </c>
      <c r="P1" s="318" t="s">
        <v>376</v>
      </c>
      <c r="Q1" s="318" t="s">
        <v>375</v>
      </c>
      <c r="R1" s="318" t="s">
        <v>506</v>
      </c>
      <c r="S1" s="318" t="s">
        <v>507</v>
      </c>
      <c r="T1" s="318" t="s">
        <v>508</v>
      </c>
      <c r="U1" s="318" t="s">
        <v>509</v>
      </c>
      <c r="V1" s="319" t="s">
        <v>510</v>
      </c>
      <c r="W1" s="319" t="s">
        <v>511</v>
      </c>
      <c r="X1" s="318" t="s">
        <v>512</v>
      </c>
      <c r="Y1" s="318" t="s">
        <v>513</v>
      </c>
      <c r="Z1" s="317"/>
      <c r="AA1" s="316"/>
    </row>
    <row r="2" spans="1:27">
      <c r="A2" s="316" t="s">
        <v>377</v>
      </c>
      <c r="B2" s="316" t="s">
        <v>241</v>
      </c>
      <c r="C2" s="316" t="s">
        <v>92</v>
      </c>
      <c r="D2" s="316" t="s">
        <v>662</v>
      </c>
      <c r="E2" s="317">
        <v>367</v>
      </c>
      <c r="F2" s="316" t="s">
        <v>514</v>
      </c>
      <c r="G2" s="316" t="s">
        <v>241</v>
      </c>
      <c r="H2" s="317">
        <v>367</v>
      </c>
      <c r="I2" s="316" t="s">
        <v>873</v>
      </c>
      <c r="J2" s="317">
        <v>45352.861817129633</v>
      </c>
      <c r="K2" s="316" t="s">
        <v>378</v>
      </c>
      <c r="L2" s="318">
        <v>11500580.68</v>
      </c>
      <c r="M2" s="318">
        <v>17559389.75</v>
      </c>
      <c r="N2" s="318">
        <v>11468037.449999999</v>
      </c>
      <c r="O2" s="318">
        <v>17559389.75</v>
      </c>
      <c r="P2" s="318">
        <v>0</v>
      </c>
      <c r="Q2" s="318">
        <v>0</v>
      </c>
      <c r="R2" s="318">
        <v>0</v>
      </c>
      <c r="S2" s="318">
        <v>-32543.23</v>
      </c>
      <c r="T2" s="318">
        <v>0</v>
      </c>
      <c r="U2" s="318">
        <v>0</v>
      </c>
      <c r="V2" s="319">
        <v>0.65310000000000001</v>
      </c>
      <c r="W2" s="319">
        <v>1</v>
      </c>
      <c r="Z2" s="317"/>
      <c r="AA2" s="316"/>
    </row>
    <row r="3" spans="1:27">
      <c r="A3" s="316" t="s">
        <v>377</v>
      </c>
      <c r="B3" s="316" t="s">
        <v>241</v>
      </c>
      <c r="C3" s="316" t="s">
        <v>667</v>
      </c>
      <c r="D3" s="316" t="s">
        <v>668</v>
      </c>
      <c r="E3" s="317">
        <v>45351</v>
      </c>
      <c r="F3" s="316" t="s">
        <v>514</v>
      </c>
      <c r="G3" s="316" t="s">
        <v>669</v>
      </c>
      <c r="H3" s="317">
        <v>45351</v>
      </c>
      <c r="J3" s="317">
        <v>45352.861817129633</v>
      </c>
      <c r="K3" s="316" t="s">
        <v>378</v>
      </c>
      <c r="L3" s="318">
        <v>-36176.339999999997</v>
      </c>
      <c r="M3" s="318">
        <v>-55707.57</v>
      </c>
      <c r="N3" s="318">
        <v>-14564.5</v>
      </c>
      <c r="O3" s="318">
        <v>-22300.57</v>
      </c>
      <c r="P3" s="318">
        <v>107.89</v>
      </c>
      <c r="Q3" s="318">
        <v>165.19</v>
      </c>
      <c r="R3" s="318">
        <v>28.64</v>
      </c>
      <c r="S3" s="318">
        <v>-206.27</v>
      </c>
      <c r="T3" s="318">
        <v>21818.11</v>
      </c>
      <c r="U3" s="318">
        <v>43.86</v>
      </c>
      <c r="V3" s="319">
        <v>64.820175000000006</v>
      </c>
      <c r="W3" s="319">
        <v>99.25</v>
      </c>
      <c r="X3" s="318">
        <v>63.722375</v>
      </c>
      <c r="Y3" s="318">
        <v>98.125</v>
      </c>
      <c r="Z3" s="317"/>
      <c r="AA3" s="316"/>
    </row>
    <row r="4" spans="1:27">
      <c r="A4" s="316" t="s">
        <v>377</v>
      </c>
      <c r="B4" s="316" t="s">
        <v>241</v>
      </c>
      <c r="C4" s="316" t="s">
        <v>667</v>
      </c>
      <c r="D4" s="316" t="s">
        <v>670</v>
      </c>
      <c r="E4" s="317">
        <v>45253</v>
      </c>
      <c r="F4" s="316" t="s">
        <v>514</v>
      </c>
      <c r="G4" s="316" t="s">
        <v>528</v>
      </c>
      <c r="H4" s="317">
        <v>45253</v>
      </c>
      <c r="J4" s="317">
        <v>45352.861817129633</v>
      </c>
      <c r="K4" s="316" t="s">
        <v>378</v>
      </c>
      <c r="L4" s="318">
        <v>-56009.58</v>
      </c>
      <c r="M4" s="318">
        <v>-85362.2</v>
      </c>
      <c r="N4" s="318">
        <v>0</v>
      </c>
      <c r="O4" s="318">
        <v>0</v>
      </c>
      <c r="P4" s="318">
        <v>2136.3000000000002</v>
      </c>
      <c r="Q4" s="318">
        <v>3271.01</v>
      </c>
      <c r="R4" s="318">
        <v>2697.15</v>
      </c>
      <c r="S4" s="318">
        <v>259.52999999999997</v>
      </c>
      <c r="T4" s="318">
        <v>55750.05</v>
      </c>
      <c r="U4" s="318">
        <v>4129.76</v>
      </c>
      <c r="V4" s="319">
        <v>65.31</v>
      </c>
      <c r="W4" s="319">
        <v>100</v>
      </c>
      <c r="X4" s="318">
        <v>64.602913000000001</v>
      </c>
      <c r="Y4" s="318">
        <v>98.480050919999996</v>
      </c>
      <c r="Z4" s="317"/>
      <c r="AA4" s="316"/>
    </row>
    <row r="5" spans="1:27">
      <c r="A5" s="316" t="s">
        <v>377</v>
      </c>
      <c r="B5" s="316" t="s">
        <v>241</v>
      </c>
      <c r="C5" s="316" t="s">
        <v>750</v>
      </c>
      <c r="D5" s="316" t="s">
        <v>859</v>
      </c>
      <c r="E5" s="317">
        <v>45245</v>
      </c>
      <c r="F5" s="316" t="s">
        <v>514</v>
      </c>
      <c r="G5" s="316" t="s">
        <v>860</v>
      </c>
      <c r="H5" s="317">
        <v>46343</v>
      </c>
      <c r="I5" s="316" t="s">
        <v>888</v>
      </c>
      <c r="J5" s="317">
        <v>45352.861817129633</v>
      </c>
      <c r="K5" s="316" t="s">
        <v>378</v>
      </c>
      <c r="L5" s="318">
        <v>-19147900.899999999</v>
      </c>
      <c r="M5" s="318">
        <v>-29562916.32</v>
      </c>
      <c r="N5" s="318">
        <v>-19440581.350000001</v>
      </c>
      <c r="O5" s="318">
        <v>-29562916.32</v>
      </c>
      <c r="P5" s="318">
        <v>0</v>
      </c>
      <c r="Q5" s="318">
        <v>0</v>
      </c>
      <c r="R5" s="318">
        <v>0</v>
      </c>
      <c r="S5" s="318">
        <v>-292680.45</v>
      </c>
      <c r="T5" s="318">
        <v>0</v>
      </c>
      <c r="U5" s="318">
        <v>0</v>
      </c>
      <c r="V5" s="319">
        <v>0.65760025620772999</v>
      </c>
      <c r="W5" s="319">
        <v>1</v>
      </c>
      <c r="X5" s="318">
        <v>0</v>
      </c>
      <c r="Y5" s="318">
        <v>0</v>
      </c>
      <c r="Z5" s="317"/>
      <c r="AA5" s="316"/>
    </row>
    <row r="6" spans="1:27">
      <c r="A6" s="316" t="s">
        <v>377</v>
      </c>
      <c r="B6" s="316" t="s">
        <v>241</v>
      </c>
      <c r="C6" s="316" t="s">
        <v>750</v>
      </c>
      <c r="D6" s="316" t="s">
        <v>859</v>
      </c>
      <c r="E6" s="317">
        <v>45345</v>
      </c>
      <c r="F6" s="316" t="s">
        <v>514</v>
      </c>
      <c r="G6" s="316" t="s">
        <v>860</v>
      </c>
      <c r="H6" s="317">
        <v>46343</v>
      </c>
      <c r="I6" s="316" t="s">
        <v>888</v>
      </c>
      <c r="J6" s="317">
        <v>45352.861817129633</v>
      </c>
      <c r="K6" s="316" t="s">
        <v>378</v>
      </c>
      <c r="L6" s="318">
        <v>-3916223.48</v>
      </c>
      <c r="M6" s="318">
        <v>-5940873</v>
      </c>
      <c r="N6" s="318">
        <v>-3906719.61</v>
      </c>
      <c r="O6" s="318">
        <v>-5940873</v>
      </c>
      <c r="P6" s="318">
        <v>0</v>
      </c>
      <c r="Q6" s="318">
        <v>0</v>
      </c>
      <c r="R6" s="318">
        <v>0</v>
      </c>
      <c r="S6" s="318">
        <v>9503.8700000000008</v>
      </c>
      <c r="T6" s="318">
        <v>0</v>
      </c>
      <c r="U6" s="318">
        <v>0</v>
      </c>
      <c r="V6" s="319">
        <v>0.65760025620772999</v>
      </c>
      <c r="W6" s="319">
        <v>1</v>
      </c>
      <c r="X6" s="318">
        <v>0</v>
      </c>
      <c r="Y6" s="318">
        <v>0</v>
      </c>
      <c r="Z6" s="317"/>
      <c r="AA6" s="316"/>
    </row>
    <row r="7" spans="1:27">
      <c r="A7" s="316" t="s">
        <v>377</v>
      </c>
      <c r="B7" s="316" t="s">
        <v>241</v>
      </c>
      <c r="C7" s="316" t="s">
        <v>379</v>
      </c>
      <c r="D7" s="316" t="s">
        <v>837</v>
      </c>
      <c r="E7" s="317">
        <v>45351</v>
      </c>
      <c r="F7" s="316" t="s">
        <v>514</v>
      </c>
      <c r="G7" s="316" t="s">
        <v>838</v>
      </c>
      <c r="H7" s="317">
        <v>45351</v>
      </c>
      <c r="J7" s="317">
        <v>45352.861817129633</v>
      </c>
      <c r="K7" s="316" t="s">
        <v>378</v>
      </c>
      <c r="L7" s="318">
        <v>3785721.49</v>
      </c>
      <c r="M7" s="318">
        <v>5829567.5499999998</v>
      </c>
      <c r="N7" s="318">
        <v>3821783.89</v>
      </c>
      <c r="O7" s="318">
        <v>5851759.1299999999</v>
      </c>
      <c r="P7" s="318">
        <v>1131.6600000000001</v>
      </c>
      <c r="Q7" s="318">
        <v>1732.75</v>
      </c>
      <c r="R7" s="318">
        <v>56.62</v>
      </c>
      <c r="S7" s="318">
        <v>21569.08</v>
      </c>
      <c r="T7" s="318">
        <v>14493.32</v>
      </c>
      <c r="U7" s="318">
        <v>86.69</v>
      </c>
      <c r="V7" s="319">
        <v>64.330349999999896</v>
      </c>
      <c r="W7" s="319">
        <v>98.5</v>
      </c>
      <c r="X7" s="318">
        <v>63.722375</v>
      </c>
      <c r="Y7" s="318">
        <v>98.125</v>
      </c>
      <c r="Z7" s="317"/>
      <c r="AA7" s="316"/>
    </row>
    <row r="8" spans="1:27">
      <c r="A8" s="316" t="s">
        <v>377</v>
      </c>
      <c r="B8" s="316" t="s">
        <v>241</v>
      </c>
      <c r="C8" s="316" t="s">
        <v>379</v>
      </c>
      <c r="D8" s="316" t="s">
        <v>616</v>
      </c>
      <c r="E8" s="317">
        <v>45253</v>
      </c>
      <c r="F8" s="316" t="s">
        <v>514</v>
      </c>
      <c r="G8" s="316" t="s">
        <v>380</v>
      </c>
      <c r="H8" s="317">
        <v>45253</v>
      </c>
      <c r="J8" s="317">
        <v>45352.861817129633</v>
      </c>
      <c r="K8" s="316" t="s">
        <v>378</v>
      </c>
      <c r="L8" s="318">
        <v>8649094.3900000006</v>
      </c>
      <c r="M8" s="318">
        <v>13184677.810000001</v>
      </c>
      <c r="N8" s="318">
        <v>8866546.3399999999</v>
      </c>
      <c r="O8" s="318">
        <v>13576093</v>
      </c>
      <c r="P8" s="318">
        <v>46547.93</v>
      </c>
      <c r="Q8" s="318">
        <v>71272.289999999994</v>
      </c>
      <c r="R8" s="318">
        <v>12219.56</v>
      </c>
      <c r="S8" s="318">
        <v>-38181.31</v>
      </c>
      <c r="T8" s="318">
        <v>255633.26</v>
      </c>
      <c r="U8" s="318">
        <v>18710.09</v>
      </c>
      <c r="V8" s="319">
        <v>65.31</v>
      </c>
      <c r="W8" s="319">
        <v>100</v>
      </c>
      <c r="X8" s="318">
        <v>63.618265000000001</v>
      </c>
      <c r="Y8" s="318">
        <v>96.979062540000001</v>
      </c>
      <c r="Z8" s="317"/>
      <c r="AA8" s="316"/>
    </row>
    <row r="9" spans="1:27">
      <c r="A9" s="316" t="s">
        <v>377</v>
      </c>
      <c r="B9" s="316" t="s">
        <v>527</v>
      </c>
      <c r="C9" s="316" t="s">
        <v>92</v>
      </c>
      <c r="D9" s="316" t="s">
        <v>663</v>
      </c>
      <c r="E9" s="317">
        <v>367</v>
      </c>
      <c r="F9" s="316" t="s">
        <v>514</v>
      </c>
      <c r="G9" s="316" t="s">
        <v>527</v>
      </c>
      <c r="H9" s="317">
        <v>367</v>
      </c>
      <c r="I9" s="316" t="s">
        <v>874</v>
      </c>
      <c r="J9" s="317">
        <v>45352.861817129633</v>
      </c>
      <c r="K9" s="316" t="s">
        <v>378</v>
      </c>
      <c r="L9" s="318">
        <v>5519534.6200000001</v>
      </c>
      <c r="M9" s="318">
        <v>7469499.6900000097</v>
      </c>
      <c r="N9" s="318">
        <v>5509293.1799999997</v>
      </c>
      <c r="O9" s="318">
        <v>7469499.6900000097</v>
      </c>
      <c r="P9" s="318">
        <v>0</v>
      </c>
      <c r="Q9" s="318">
        <v>0</v>
      </c>
      <c r="R9" s="318">
        <v>0</v>
      </c>
      <c r="S9" s="318">
        <v>-10241.44</v>
      </c>
      <c r="T9" s="318">
        <v>0</v>
      </c>
      <c r="U9" s="318">
        <v>0</v>
      </c>
      <c r="V9" s="319">
        <v>0.73757191326154004</v>
      </c>
      <c r="W9" s="319">
        <v>1</v>
      </c>
      <c r="Z9" s="317"/>
      <c r="AA9" s="316"/>
    </row>
    <row r="10" spans="1:27">
      <c r="A10" s="316" t="s">
        <v>377</v>
      </c>
      <c r="B10" s="316" t="s">
        <v>527</v>
      </c>
      <c r="C10" s="316" t="s">
        <v>667</v>
      </c>
      <c r="D10" s="316" t="s">
        <v>671</v>
      </c>
      <c r="E10" s="317">
        <v>45352</v>
      </c>
      <c r="F10" s="316" t="s">
        <v>514</v>
      </c>
      <c r="G10" s="316" t="s">
        <v>672</v>
      </c>
      <c r="H10" s="317">
        <v>45352</v>
      </c>
      <c r="J10" s="317">
        <v>45352.861817129633</v>
      </c>
      <c r="K10" s="316" t="s">
        <v>378</v>
      </c>
      <c r="L10" s="318">
        <v>-61555.17</v>
      </c>
      <c r="M10" s="318">
        <v>-83456.490000000005</v>
      </c>
      <c r="N10" s="318">
        <v>-61579.27</v>
      </c>
      <c r="O10" s="318">
        <v>-83489.17</v>
      </c>
      <c r="P10" s="318">
        <v>228.07</v>
      </c>
      <c r="Q10" s="318">
        <v>309.22000000000003</v>
      </c>
      <c r="R10" s="318">
        <v>24.1</v>
      </c>
      <c r="S10" s="318">
        <v>0</v>
      </c>
      <c r="T10" s="318">
        <v>-24.1</v>
      </c>
      <c r="U10" s="318">
        <v>32.68</v>
      </c>
      <c r="V10" s="319">
        <v>73.204012391207797</v>
      </c>
      <c r="W10" s="319">
        <v>99.25</v>
      </c>
      <c r="X10" s="318">
        <v>73.204012000000006</v>
      </c>
      <c r="Y10" s="318">
        <v>99.25</v>
      </c>
      <c r="Z10" s="317"/>
      <c r="AA10" s="316"/>
    </row>
    <row r="11" spans="1:27">
      <c r="A11" s="316" t="s">
        <v>377</v>
      </c>
      <c r="B11" s="316" t="s">
        <v>527</v>
      </c>
      <c r="C11" s="316" t="s">
        <v>667</v>
      </c>
      <c r="D11" s="316" t="s">
        <v>711</v>
      </c>
      <c r="E11" s="317">
        <v>45246</v>
      </c>
      <c r="F11" s="316" t="s">
        <v>514</v>
      </c>
      <c r="G11" s="316" t="s">
        <v>555</v>
      </c>
      <c r="H11" s="317">
        <v>45246</v>
      </c>
      <c r="J11" s="317">
        <v>45352.861817129633</v>
      </c>
      <c r="K11" s="316" t="s">
        <v>378</v>
      </c>
      <c r="L11" s="318">
        <v>0</v>
      </c>
      <c r="M11" s="318">
        <v>0</v>
      </c>
      <c r="N11" s="318">
        <v>0</v>
      </c>
      <c r="O11" s="318">
        <v>0</v>
      </c>
      <c r="P11" s="318">
        <v>13386.21</v>
      </c>
      <c r="Q11" s="318">
        <v>18149.02</v>
      </c>
      <c r="R11" s="318">
        <v>0</v>
      </c>
      <c r="S11" s="318">
        <v>0</v>
      </c>
      <c r="T11" s="318">
        <v>0</v>
      </c>
      <c r="U11" s="318">
        <v>0</v>
      </c>
      <c r="V11" s="319">
        <v>100</v>
      </c>
      <c r="W11" s="319">
        <v>100</v>
      </c>
      <c r="X11" s="318">
        <v>70.849834999999999</v>
      </c>
      <c r="Y11" s="318">
        <v>97.5</v>
      </c>
      <c r="Z11" s="317"/>
      <c r="AA11" s="316"/>
    </row>
    <row r="12" spans="1:27">
      <c r="A12" s="316" t="s">
        <v>377</v>
      </c>
      <c r="B12" s="316" t="s">
        <v>527</v>
      </c>
      <c r="C12" s="316" t="s">
        <v>667</v>
      </c>
      <c r="D12" s="316" t="s">
        <v>673</v>
      </c>
      <c r="E12" s="317">
        <v>45180</v>
      </c>
      <c r="F12" s="316" t="s">
        <v>514</v>
      </c>
      <c r="G12" s="316" t="s">
        <v>529</v>
      </c>
      <c r="H12" s="317">
        <v>45180</v>
      </c>
      <c r="J12" s="317">
        <v>45352.861817129633</v>
      </c>
      <c r="K12" s="316" t="s">
        <v>378</v>
      </c>
      <c r="L12" s="318">
        <v>6197124.8300000001</v>
      </c>
      <c r="M12" s="318">
        <v>8366791.5199999996</v>
      </c>
      <c r="N12" s="318">
        <v>6488146.5199999996</v>
      </c>
      <c r="O12" s="318">
        <v>8796629.0500000007</v>
      </c>
      <c r="P12" s="318">
        <v>25284.39</v>
      </c>
      <c r="Q12" s="318">
        <v>34280.58</v>
      </c>
      <c r="R12" s="318">
        <v>37877.93</v>
      </c>
      <c r="S12" s="318">
        <v>-26014.400000000001</v>
      </c>
      <c r="T12" s="318">
        <v>317036.09000000003</v>
      </c>
      <c r="U12" s="318">
        <v>51354.9</v>
      </c>
      <c r="V12" s="319">
        <v>73.757191326154</v>
      </c>
      <c r="W12" s="319">
        <v>100</v>
      </c>
      <c r="X12" s="318">
        <v>72.154321999999993</v>
      </c>
      <c r="Y12" s="318">
        <v>98</v>
      </c>
      <c r="Z12" s="317"/>
      <c r="AA12" s="316"/>
    </row>
    <row r="13" spans="1:27">
      <c r="A13" s="316" t="s">
        <v>377</v>
      </c>
      <c r="B13" s="316" t="s">
        <v>527</v>
      </c>
      <c r="C13" s="316" t="s">
        <v>750</v>
      </c>
      <c r="D13" s="316" t="s">
        <v>861</v>
      </c>
      <c r="E13" s="317">
        <v>45195</v>
      </c>
      <c r="F13" s="316" t="s">
        <v>514</v>
      </c>
      <c r="G13" s="316" t="s">
        <v>862</v>
      </c>
      <c r="H13" s="317">
        <v>46293</v>
      </c>
      <c r="I13" s="316" t="s">
        <v>889</v>
      </c>
      <c r="J13" s="317">
        <v>45352.861817129633</v>
      </c>
      <c r="K13" s="316" t="s">
        <v>378</v>
      </c>
      <c r="L13" s="318">
        <v>-643439.92000000004</v>
      </c>
      <c r="M13" s="318">
        <v>-870895.93</v>
      </c>
      <c r="N13" s="318">
        <v>-649108.37</v>
      </c>
      <c r="O13" s="318">
        <v>-870895.93</v>
      </c>
      <c r="P13" s="318">
        <v>0</v>
      </c>
      <c r="Q13" s="318">
        <v>0</v>
      </c>
      <c r="R13" s="318">
        <v>0</v>
      </c>
      <c r="S13" s="318">
        <v>-5668.45</v>
      </c>
      <c r="T13" s="318">
        <v>0</v>
      </c>
      <c r="U13" s="318">
        <v>0</v>
      </c>
      <c r="V13" s="319">
        <v>0.74533402500195001</v>
      </c>
      <c r="W13" s="319">
        <v>1</v>
      </c>
      <c r="X13" s="318">
        <v>0</v>
      </c>
      <c r="Y13" s="318">
        <v>0</v>
      </c>
      <c r="Z13" s="317"/>
      <c r="AA13" s="316"/>
    </row>
    <row r="14" spans="1:27">
      <c r="A14" s="316" t="s">
        <v>377</v>
      </c>
      <c r="B14" s="316" t="s">
        <v>527</v>
      </c>
      <c r="C14" s="316" t="s">
        <v>750</v>
      </c>
      <c r="D14" s="316" t="s">
        <v>861</v>
      </c>
      <c r="E14" s="317">
        <v>45258</v>
      </c>
      <c r="F14" s="316" t="s">
        <v>514</v>
      </c>
      <c r="G14" s="316" t="s">
        <v>862</v>
      </c>
      <c r="H14" s="317">
        <v>46293</v>
      </c>
      <c r="I14" s="316" t="s">
        <v>889</v>
      </c>
      <c r="J14" s="317">
        <v>45352.861817129633</v>
      </c>
      <c r="K14" s="316" t="s">
        <v>378</v>
      </c>
      <c r="L14" s="318">
        <v>-637470.03</v>
      </c>
      <c r="M14" s="318">
        <v>-858850.62</v>
      </c>
      <c r="N14" s="318">
        <v>-640130.59</v>
      </c>
      <c r="O14" s="318">
        <v>-858850.62</v>
      </c>
      <c r="P14" s="318">
        <v>0</v>
      </c>
      <c r="Q14" s="318">
        <v>0</v>
      </c>
      <c r="R14" s="318">
        <v>0</v>
      </c>
      <c r="S14" s="318">
        <v>-2660.56</v>
      </c>
      <c r="T14" s="318">
        <v>0</v>
      </c>
      <c r="U14" s="318">
        <v>0</v>
      </c>
      <c r="V14" s="319">
        <v>0.74533402500195001</v>
      </c>
      <c r="W14" s="319">
        <v>1</v>
      </c>
      <c r="X14" s="318">
        <v>0</v>
      </c>
      <c r="Y14" s="318">
        <v>0</v>
      </c>
      <c r="Z14" s="317"/>
      <c r="AA14" s="316"/>
    </row>
    <row r="15" spans="1:27">
      <c r="A15" s="316" t="s">
        <v>377</v>
      </c>
      <c r="B15" s="316" t="s">
        <v>527</v>
      </c>
      <c r="C15" s="316" t="s">
        <v>750</v>
      </c>
      <c r="D15" s="316" t="s">
        <v>861</v>
      </c>
      <c r="E15" s="317">
        <v>45310</v>
      </c>
      <c r="F15" s="316" t="s">
        <v>514</v>
      </c>
      <c r="G15" s="316" t="s">
        <v>862</v>
      </c>
      <c r="H15" s="317">
        <v>46293</v>
      </c>
      <c r="I15" s="316" t="s">
        <v>889</v>
      </c>
      <c r="J15" s="317">
        <v>45352.861817129633</v>
      </c>
      <c r="K15" s="316" t="s">
        <v>378</v>
      </c>
      <c r="L15" s="318">
        <v>-3831455.24</v>
      </c>
      <c r="M15" s="318">
        <v>-5149092.7</v>
      </c>
      <c r="N15" s="318">
        <v>-3837793.99</v>
      </c>
      <c r="O15" s="318">
        <v>-5149092.7</v>
      </c>
      <c r="P15" s="318">
        <v>0</v>
      </c>
      <c r="Q15" s="318">
        <v>0</v>
      </c>
      <c r="R15" s="318">
        <v>0</v>
      </c>
      <c r="S15" s="318">
        <v>-6338.75</v>
      </c>
      <c r="T15" s="318">
        <v>0</v>
      </c>
      <c r="U15" s="318">
        <v>0</v>
      </c>
      <c r="V15" s="319">
        <v>0.74533402500195001</v>
      </c>
      <c r="W15" s="319">
        <v>1</v>
      </c>
      <c r="X15" s="318">
        <v>0</v>
      </c>
      <c r="Y15" s="318">
        <v>0</v>
      </c>
      <c r="Z15" s="317"/>
      <c r="AA15" s="316"/>
    </row>
    <row r="16" spans="1:27">
      <c r="A16" s="316" t="s">
        <v>377</v>
      </c>
      <c r="B16" s="316" t="s">
        <v>527</v>
      </c>
      <c r="C16" s="316" t="s">
        <v>750</v>
      </c>
      <c r="D16" s="316" t="s">
        <v>861</v>
      </c>
      <c r="E16" s="317">
        <v>45348</v>
      </c>
      <c r="F16" s="316" t="s">
        <v>514</v>
      </c>
      <c r="G16" s="316" t="s">
        <v>862</v>
      </c>
      <c r="H16" s="317">
        <v>46293</v>
      </c>
      <c r="I16" s="316" t="s">
        <v>889</v>
      </c>
      <c r="J16" s="317">
        <v>45352.861817129633</v>
      </c>
      <c r="K16" s="316" t="s">
        <v>378</v>
      </c>
      <c r="L16" s="318">
        <v>-20544450.66</v>
      </c>
      <c r="M16" s="318">
        <v>-27525455</v>
      </c>
      <c r="N16" s="318">
        <v>-20515658.170000002</v>
      </c>
      <c r="O16" s="318">
        <v>-27525455</v>
      </c>
      <c r="P16" s="318">
        <v>0</v>
      </c>
      <c r="Q16" s="318">
        <v>0</v>
      </c>
      <c r="R16" s="318">
        <v>0</v>
      </c>
      <c r="S16" s="318">
        <v>28792.49</v>
      </c>
      <c r="T16" s="318">
        <v>0</v>
      </c>
      <c r="U16" s="318">
        <v>0</v>
      </c>
      <c r="V16" s="319">
        <v>0.74533402500195001</v>
      </c>
      <c r="W16" s="319">
        <v>1</v>
      </c>
      <c r="X16" s="318">
        <v>0</v>
      </c>
      <c r="Y16" s="318">
        <v>0</v>
      </c>
      <c r="Z16" s="317"/>
      <c r="AA16" s="316"/>
    </row>
    <row r="17" spans="1:27">
      <c r="A17" s="316" t="s">
        <v>377</v>
      </c>
      <c r="B17" s="316" t="s">
        <v>527</v>
      </c>
      <c r="C17" s="316" t="s">
        <v>750</v>
      </c>
      <c r="D17" s="316" t="s">
        <v>861</v>
      </c>
      <c r="E17" s="317">
        <v>45350</v>
      </c>
      <c r="F17" s="316" t="s">
        <v>514</v>
      </c>
      <c r="G17" s="316" t="s">
        <v>862</v>
      </c>
      <c r="H17" s="317">
        <v>46293</v>
      </c>
      <c r="I17" s="316" t="s">
        <v>889</v>
      </c>
      <c r="J17" s="317">
        <v>45352.861817129633</v>
      </c>
      <c r="K17" s="316" t="s">
        <v>378</v>
      </c>
      <c r="L17" s="318">
        <v>-1373420.45</v>
      </c>
      <c r="M17" s="318">
        <v>-1849860</v>
      </c>
      <c r="N17" s="318">
        <v>-1378763.6</v>
      </c>
      <c r="O17" s="318">
        <v>-1849860</v>
      </c>
      <c r="P17" s="318">
        <v>0</v>
      </c>
      <c r="Q17" s="318">
        <v>0</v>
      </c>
      <c r="R17" s="318">
        <v>0</v>
      </c>
      <c r="S17" s="318">
        <v>-5343.15</v>
      </c>
      <c r="T17" s="318">
        <v>0</v>
      </c>
      <c r="U17" s="318">
        <v>0</v>
      </c>
      <c r="V17" s="319">
        <v>0.74533402500195001</v>
      </c>
      <c r="W17" s="319">
        <v>1</v>
      </c>
      <c r="X17" s="318">
        <v>0</v>
      </c>
      <c r="Y17" s="318">
        <v>0</v>
      </c>
      <c r="Z17" s="317"/>
      <c r="AA17" s="316"/>
    </row>
    <row r="18" spans="1:27">
      <c r="A18" s="316" t="s">
        <v>377</v>
      </c>
      <c r="B18" s="316" t="s">
        <v>527</v>
      </c>
      <c r="C18" s="316" t="s">
        <v>757</v>
      </c>
      <c r="D18" s="316" t="s">
        <v>758</v>
      </c>
      <c r="E18" s="317">
        <v>45352</v>
      </c>
      <c r="F18" s="316" t="s">
        <v>514</v>
      </c>
      <c r="G18" s="316" t="s">
        <v>759</v>
      </c>
      <c r="H18" s="317">
        <v>45352</v>
      </c>
      <c r="J18" s="317">
        <v>45352.861817129633</v>
      </c>
      <c r="K18" s="316" t="s">
        <v>378</v>
      </c>
      <c r="L18" s="318">
        <v>-37720.089999999997</v>
      </c>
      <c r="M18" s="318">
        <v>-51140.9</v>
      </c>
      <c r="N18" s="318">
        <v>-37734.86</v>
      </c>
      <c r="O18" s="318">
        <v>-51160.92</v>
      </c>
      <c r="P18" s="318">
        <v>34.94</v>
      </c>
      <c r="Q18" s="318">
        <v>47.37</v>
      </c>
      <c r="R18" s="318">
        <v>14.77</v>
      </c>
      <c r="S18" s="318">
        <v>0</v>
      </c>
      <c r="T18" s="318">
        <v>-14.77</v>
      </c>
      <c r="U18" s="318">
        <v>20.02</v>
      </c>
      <c r="V18" s="319">
        <v>72.650833456261594</v>
      </c>
      <c r="W18" s="319">
        <v>98.5</v>
      </c>
      <c r="X18" s="318">
        <v>72.650833000000006</v>
      </c>
      <c r="Y18" s="318">
        <v>98.5</v>
      </c>
      <c r="Z18" s="317"/>
      <c r="AA18" s="316"/>
    </row>
    <row r="19" spans="1:27">
      <c r="A19" s="316" t="s">
        <v>377</v>
      </c>
      <c r="B19" s="316" t="s">
        <v>527</v>
      </c>
      <c r="C19" s="316" t="s">
        <v>757</v>
      </c>
      <c r="D19" s="316" t="s">
        <v>760</v>
      </c>
      <c r="E19" s="317">
        <v>45246</v>
      </c>
      <c r="F19" s="316" t="s">
        <v>514</v>
      </c>
      <c r="G19" s="316" t="s">
        <v>579</v>
      </c>
      <c r="H19" s="317">
        <v>45246</v>
      </c>
      <c r="J19" s="317">
        <v>45352.861817129633</v>
      </c>
      <c r="K19" s="316" t="s">
        <v>378</v>
      </c>
      <c r="L19" s="318">
        <v>-15.01</v>
      </c>
      <c r="M19" s="318">
        <v>-20.67</v>
      </c>
      <c r="N19" s="318">
        <v>0</v>
      </c>
      <c r="O19" s="318">
        <v>0</v>
      </c>
      <c r="P19" s="318">
        <v>0.96</v>
      </c>
      <c r="Q19" s="318">
        <v>1.3</v>
      </c>
      <c r="R19" s="318">
        <v>0.92</v>
      </c>
      <c r="S19" s="318">
        <v>-0.24</v>
      </c>
      <c r="T19" s="318">
        <v>15.25</v>
      </c>
      <c r="U19" s="318">
        <v>1.25</v>
      </c>
      <c r="V19" s="319">
        <v>73.757191326154</v>
      </c>
      <c r="W19" s="319">
        <v>100</v>
      </c>
      <c r="X19" s="318">
        <v>70.849834999999999</v>
      </c>
      <c r="Y19" s="318">
        <v>97.5</v>
      </c>
      <c r="Z19" s="317"/>
      <c r="AA19" s="316"/>
    </row>
    <row r="20" spans="1:27">
      <c r="A20" s="316" t="s">
        <v>377</v>
      </c>
      <c r="B20" s="316" t="s">
        <v>527</v>
      </c>
      <c r="C20" s="316" t="s">
        <v>867</v>
      </c>
      <c r="D20" s="316" t="s">
        <v>868</v>
      </c>
      <c r="E20" s="317">
        <v>45167</v>
      </c>
      <c r="F20" s="316" t="s">
        <v>514</v>
      </c>
      <c r="G20" s="316" t="s">
        <v>869</v>
      </c>
      <c r="H20" s="317">
        <v>45167</v>
      </c>
      <c r="J20" s="317">
        <v>45352.861817129633</v>
      </c>
      <c r="K20" s="316" t="s">
        <v>378</v>
      </c>
      <c r="L20" s="318">
        <v>0</v>
      </c>
      <c r="M20" s="318">
        <v>0</v>
      </c>
      <c r="N20" s="318">
        <v>0</v>
      </c>
      <c r="O20" s="318">
        <v>0</v>
      </c>
      <c r="P20" s="318">
        <v>-2018.51</v>
      </c>
      <c r="Q20" s="318">
        <v>-2736.69</v>
      </c>
      <c r="R20" s="318">
        <v>0</v>
      </c>
      <c r="S20" s="318">
        <v>0</v>
      </c>
      <c r="T20" s="318">
        <v>0</v>
      </c>
      <c r="U20" s="318">
        <v>0</v>
      </c>
      <c r="V20" s="319">
        <v>100</v>
      </c>
      <c r="W20" s="319">
        <v>100</v>
      </c>
      <c r="X20" s="318">
        <v>73.724564999999998</v>
      </c>
      <c r="Y20" s="318">
        <v>100</v>
      </c>
      <c r="Z20" s="317"/>
      <c r="AA20" s="316"/>
    </row>
    <row r="21" spans="1:27">
      <c r="A21" s="316" t="s">
        <v>377</v>
      </c>
      <c r="B21" s="316" t="s">
        <v>527</v>
      </c>
      <c r="C21" s="316" t="s">
        <v>379</v>
      </c>
      <c r="D21" s="316" t="s">
        <v>839</v>
      </c>
      <c r="E21" s="317">
        <v>45352</v>
      </c>
      <c r="F21" s="316" t="s">
        <v>514</v>
      </c>
      <c r="G21" s="316" t="s">
        <v>840</v>
      </c>
      <c r="H21" s="317">
        <v>45352</v>
      </c>
      <c r="J21" s="317">
        <v>45352.861817129633</v>
      </c>
      <c r="K21" s="316" t="s">
        <v>378</v>
      </c>
      <c r="L21" s="318">
        <v>16174918.869999999</v>
      </c>
      <c r="M21" s="318">
        <v>21929955</v>
      </c>
      <c r="N21" s="318">
        <v>16174822.460000001</v>
      </c>
      <c r="O21" s="318">
        <v>21929824.289999999</v>
      </c>
      <c r="P21" s="318">
        <v>2736.86</v>
      </c>
      <c r="Q21" s="318">
        <v>3710.63</v>
      </c>
      <c r="R21" s="318">
        <v>96.41</v>
      </c>
      <c r="S21" s="318">
        <v>0</v>
      </c>
      <c r="T21" s="318">
        <v>-96.41</v>
      </c>
      <c r="U21" s="318">
        <v>130.71</v>
      </c>
      <c r="V21" s="319">
        <v>72.650833456261594</v>
      </c>
      <c r="W21" s="319">
        <v>98.5</v>
      </c>
      <c r="X21" s="318">
        <v>72.650833000000006</v>
      </c>
      <c r="Y21" s="318">
        <v>98.5</v>
      </c>
      <c r="Z21" s="317"/>
      <c r="AA21" s="316"/>
    </row>
    <row r="22" spans="1:27">
      <c r="A22" s="316" t="s">
        <v>377</v>
      </c>
      <c r="B22" s="316" t="s">
        <v>229</v>
      </c>
      <c r="C22" s="316" t="s">
        <v>92</v>
      </c>
      <c r="D22" s="316" t="s">
        <v>664</v>
      </c>
      <c r="E22" s="317">
        <v>367</v>
      </c>
      <c r="F22" s="316" t="s">
        <v>514</v>
      </c>
      <c r="G22" s="316" t="s">
        <v>229</v>
      </c>
      <c r="H22" s="317">
        <v>367</v>
      </c>
      <c r="I22" s="316" t="s">
        <v>875</v>
      </c>
      <c r="J22" s="317">
        <v>45352.861817129633</v>
      </c>
      <c r="K22" s="316" t="s">
        <v>378</v>
      </c>
      <c r="L22" s="318">
        <v>4955408.6899999902</v>
      </c>
      <c r="M22" s="318">
        <v>4584724.8499999996</v>
      </c>
      <c r="N22" s="318">
        <v>4970758.6799999904</v>
      </c>
      <c r="O22" s="318">
        <v>4584724.8499999996</v>
      </c>
      <c r="P22" s="318">
        <v>0</v>
      </c>
      <c r="Q22" s="318">
        <v>0</v>
      </c>
      <c r="R22" s="318">
        <v>0</v>
      </c>
      <c r="S22" s="318">
        <v>15349.99</v>
      </c>
      <c r="T22" s="318">
        <v>0</v>
      </c>
      <c r="U22" s="318">
        <v>0</v>
      </c>
      <c r="V22" s="319">
        <v>1.0842000000000001</v>
      </c>
      <c r="W22" s="319">
        <v>1</v>
      </c>
      <c r="Z22" s="317"/>
      <c r="AA22" s="316"/>
    </row>
    <row r="23" spans="1:27">
      <c r="A23" s="316" t="s">
        <v>377</v>
      </c>
      <c r="B23" s="316" t="s">
        <v>229</v>
      </c>
      <c r="C23" s="316" t="s">
        <v>667</v>
      </c>
      <c r="D23" s="316" t="s">
        <v>674</v>
      </c>
      <c r="E23" s="317">
        <v>45351</v>
      </c>
      <c r="F23" s="316" t="s">
        <v>514</v>
      </c>
      <c r="G23" s="316" t="s">
        <v>675</v>
      </c>
      <c r="H23" s="317">
        <v>45351</v>
      </c>
      <c r="J23" s="317">
        <v>45352.861817129633</v>
      </c>
      <c r="K23" s="316" t="s">
        <v>378</v>
      </c>
      <c r="L23" s="318">
        <v>-99289.83</v>
      </c>
      <c r="M23" s="318">
        <v>-91918.27</v>
      </c>
      <c r="N23" s="318">
        <v>-39894.15</v>
      </c>
      <c r="O23" s="318">
        <v>-36795.94</v>
      </c>
      <c r="P23" s="318">
        <v>295.51</v>
      </c>
      <c r="Q23" s="318">
        <v>272.56</v>
      </c>
      <c r="R23" s="318">
        <v>77.62</v>
      </c>
      <c r="S23" s="318">
        <v>-367.95</v>
      </c>
      <c r="T23" s="318">
        <v>59763.63</v>
      </c>
      <c r="U23" s="318">
        <v>71.59</v>
      </c>
      <c r="V23" s="319">
        <v>107.606849999999</v>
      </c>
      <c r="W23" s="319">
        <v>99.25</v>
      </c>
      <c r="X23" s="318">
        <v>105.994625</v>
      </c>
      <c r="Y23" s="318">
        <v>98.125</v>
      </c>
      <c r="Z23" s="317"/>
      <c r="AA23" s="316"/>
    </row>
    <row r="24" spans="1:27">
      <c r="A24" s="316" t="s">
        <v>377</v>
      </c>
      <c r="B24" s="316" t="s">
        <v>229</v>
      </c>
      <c r="C24" s="316" t="s">
        <v>750</v>
      </c>
      <c r="D24" s="316" t="s">
        <v>863</v>
      </c>
      <c r="E24" s="317">
        <v>45345</v>
      </c>
      <c r="F24" s="316" t="s">
        <v>514</v>
      </c>
      <c r="G24" s="316" t="s">
        <v>864</v>
      </c>
      <c r="H24" s="317">
        <v>46343</v>
      </c>
      <c r="I24" s="316" t="s">
        <v>890</v>
      </c>
      <c r="J24" s="317">
        <v>45352.861817129633</v>
      </c>
      <c r="K24" s="316" t="s">
        <v>378</v>
      </c>
      <c r="L24" s="318">
        <v>-26850223.59</v>
      </c>
      <c r="M24" s="318">
        <v>-23799170</v>
      </c>
      <c r="N24" s="318">
        <v>-26873229.100000001</v>
      </c>
      <c r="O24" s="318">
        <v>-23799170</v>
      </c>
      <c r="P24" s="318">
        <v>0</v>
      </c>
      <c r="Q24" s="318">
        <v>0</v>
      </c>
      <c r="R24" s="318">
        <v>0</v>
      </c>
      <c r="S24" s="318">
        <v>-23005.51</v>
      </c>
      <c r="T24" s="318">
        <v>0</v>
      </c>
      <c r="U24" s="318">
        <v>0</v>
      </c>
      <c r="V24" s="319">
        <v>1.1291666516277601</v>
      </c>
      <c r="W24" s="319">
        <v>1</v>
      </c>
      <c r="X24" s="318">
        <v>0</v>
      </c>
      <c r="Y24" s="318">
        <v>0</v>
      </c>
      <c r="Z24" s="317"/>
      <c r="AA24" s="316"/>
    </row>
    <row r="25" spans="1:27">
      <c r="A25" s="316" t="s">
        <v>377</v>
      </c>
      <c r="B25" s="316" t="s">
        <v>229</v>
      </c>
      <c r="C25" s="316" t="s">
        <v>867</v>
      </c>
      <c r="D25" s="316" t="s">
        <v>868</v>
      </c>
      <c r="E25" s="317">
        <v>45167</v>
      </c>
      <c r="F25" s="316" t="s">
        <v>514</v>
      </c>
      <c r="G25" s="316" t="s">
        <v>869</v>
      </c>
      <c r="H25" s="317">
        <v>45167</v>
      </c>
      <c r="J25" s="317">
        <v>45352.861817129633</v>
      </c>
      <c r="K25" s="316" t="s">
        <v>378</v>
      </c>
      <c r="L25" s="318">
        <v>0</v>
      </c>
      <c r="M25" s="318">
        <v>0</v>
      </c>
      <c r="N25" s="318">
        <v>0</v>
      </c>
      <c r="O25" s="318">
        <v>0</v>
      </c>
      <c r="P25" s="318">
        <v>-13435.35</v>
      </c>
      <c r="Q25" s="318">
        <v>-12391.95</v>
      </c>
      <c r="R25" s="318">
        <v>0</v>
      </c>
      <c r="S25" s="318">
        <v>0</v>
      </c>
      <c r="T25" s="318">
        <v>0</v>
      </c>
      <c r="U25" s="318">
        <v>0</v>
      </c>
      <c r="V25" s="319">
        <v>100</v>
      </c>
      <c r="W25" s="319">
        <v>100</v>
      </c>
      <c r="X25" s="318">
        <v>108.71</v>
      </c>
      <c r="Y25" s="318">
        <v>100</v>
      </c>
      <c r="Z25" s="317"/>
      <c r="AA25" s="316"/>
    </row>
    <row r="26" spans="1:27">
      <c r="A26" s="316" t="s">
        <v>377</v>
      </c>
      <c r="B26" s="316" t="s">
        <v>229</v>
      </c>
      <c r="C26" s="316" t="s">
        <v>379</v>
      </c>
      <c r="D26" s="316" t="s">
        <v>841</v>
      </c>
      <c r="E26" s="317">
        <v>45351</v>
      </c>
      <c r="F26" s="316" t="s">
        <v>514</v>
      </c>
      <c r="G26" s="316" t="s">
        <v>842</v>
      </c>
      <c r="H26" s="317">
        <v>45351</v>
      </c>
      <c r="J26" s="317">
        <v>45352.861817129633</v>
      </c>
      <c r="K26" s="316" t="s">
        <v>378</v>
      </c>
      <c r="L26" s="318">
        <v>25226221.399999999</v>
      </c>
      <c r="M26" s="318">
        <v>23353286.43</v>
      </c>
      <c r="N26" s="318">
        <v>25416013.960000001</v>
      </c>
      <c r="O26" s="318">
        <v>23442182.219999999</v>
      </c>
      <c r="P26" s="318">
        <v>7525.89</v>
      </c>
      <c r="Q26" s="318">
        <v>6941.42</v>
      </c>
      <c r="R26" s="318">
        <v>380.65</v>
      </c>
      <c r="S26" s="318">
        <v>93411.74</v>
      </c>
      <c r="T26" s="318">
        <v>96380.82</v>
      </c>
      <c r="U26" s="318">
        <v>351.09</v>
      </c>
      <c r="V26" s="319">
        <v>106.7937</v>
      </c>
      <c r="W26" s="319">
        <v>98.5</v>
      </c>
      <c r="X26" s="318">
        <v>105.994625</v>
      </c>
      <c r="Y26" s="318">
        <v>98.125</v>
      </c>
      <c r="Z26" s="317"/>
      <c r="AA26" s="316"/>
    </row>
    <row r="27" spans="1:27">
      <c r="A27" s="316" t="s">
        <v>377</v>
      </c>
      <c r="B27" s="316" t="s">
        <v>229</v>
      </c>
      <c r="C27" s="316" t="s">
        <v>379</v>
      </c>
      <c r="D27" s="316" t="s">
        <v>381</v>
      </c>
      <c r="E27" s="317">
        <v>45198</v>
      </c>
      <c r="F27" s="316" t="s">
        <v>514</v>
      </c>
      <c r="G27" s="316" t="s">
        <v>382</v>
      </c>
      <c r="H27" s="317">
        <v>45198</v>
      </c>
      <c r="J27" s="317">
        <v>45352.861817129633</v>
      </c>
      <c r="K27" s="316" t="s">
        <v>378</v>
      </c>
      <c r="L27" s="318">
        <v>33237222.359999999</v>
      </c>
      <c r="M27" s="318">
        <v>31412694.25</v>
      </c>
      <c r="N27" s="318">
        <v>33985509.07</v>
      </c>
      <c r="O27" s="318">
        <v>31346162.210000001</v>
      </c>
      <c r="P27" s="318">
        <v>321676.94</v>
      </c>
      <c r="Q27" s="318">
        <v>296695.2</v>
      </c>
      <c r="R27" s="318">
        <v>63145.84</v>
      </c>
      <c r="S27" s="318">
        <v>820420.75</v>
      </c>
      <c r="T27" s="318">
        <v>-72134.039999999994</v>
      </c>
      <c r="U27" s="318">
        <v>58241.87</v>
      </c>
      <c r="V27" s="319">
        <v>105.1674</v>
      </c>
      <c r="W27" s="319">
        <v>97</v>
      </c>
      <c r="X27" s="318">
        <v>102.6066</v>
      </c>
      <c r="Y27" s="318">
        <v>97</v>
      </c>
      <c r="Z27" s="317"/>
      <c r="AA27" s="316"/>
    </row>
    <row r="28" spans="1:27">
      <c r="A28" s="316" t="s">
        <v>377</v>
      </c>
      <c r="B28" s="316" t="s">
        <v>228</v>
      </c>
      <c r="C28" s="316" t="s">
        <v>92</v>
      </c>
      <c r="D28" s="316" t="s">
        <v>665</v>
      </c>
      <c r="E28" s="317">
        <v>367</v>
      </c>
      <c r="F28" s="316" t="s">
        <v>514</v>
      </c>
      <c r="G28" s="316" t="s">
        <v>228</v>
      </c>
      <c r="H28" s="317">
        <v>367</v>
      </c>
      <c r="I28" s="316" t="s">
        <v>876</v>
      </c>
      <c r="J28" s="317">
        <v>45352.861817129633</v>
      </c>
      <c r="K28" s="316" t="s">
        <v>378</v>
      </c>
      <c r="L28" s="318">
        <v>99804.93</v>
      </c>
      <c r="M28" s="318">
        <v>79724.84</v>
      </c>
      <c r="N28" s="318">
        <v>100955.57</v>
      </c>
      <c r="O28" s="318">
        <v>79724.84</v>
      </c>
      <c r="P28" s="318">
        <v>0</v>
      </c>
      <c r="Q28" s="318">
        <v>0</v>
      </c>
      <c r="R28" s="318">
        <v>0</v>
      </c>
      <c r="S28" s="318">
        <v>1150.6400000000001</v>
      </c>
      <c r="T28" s="318">
        <v>0</v>
      </c>
      <c r="U28" s="318">
        <v>0</v>
      </c>
      <c r="V28" s="319">
        <v>1.2663</v>
      </c>
      <c r="W28" s="319">
        <v>1</v>
      </c>
      <c r="Z28" s="317"/>
      <c r="AA28" s="316"/>
    </row>
    <row r="29" spans="1:27">
      <c r="A29" s="316" t="s">
        <v>377</v>
      </c>
      <c r="B29" s="316" t="s">
        <v>228</v>
      </c>
      <c r="C29" s="316" t="s">
        <v>750</v>
      </c>
      <c r="D29" s="316" t="s">
        <v>865</v>
      </c>
      <c r="E29" s="317">
        <v>45231</v>
      </c>
      <c r="F29" s="316" t="s">
        <v>514</v>
      </c>
      <c r="G29" s="316" t="s">
        <v>866</v>
      </c>
      <c r="H29" s="317">
        <v>46328</v>
      </c>
      <c r="I29" s="316" t="s">
        <v>891</v>
      </c>
      <c r="J29" s="317">
        <v>45352.861817129633</v>
      </c>
      <c r="K29" s="316" t="s">
        <v>378</v>
      </c>
      <c r="L29" s="318">
        <v>-2922125</v>
      </c>
      <c r="M29" s="318">
        <v>-2410000</v>
      </c>
      <c r="N29" s="318">
        <v>-3051585.38</v>
      </c>
      <c r="O29" s="318">
        <v>-2410000</v>
      </c>
      <c r="P29" s="318">
        <v>0</v>
      </c>
      <c r="Q29" s="318">
        <v>0</v>
      </c>
      <c r="R29" s="318">
        <v>0</v>
      </c>
      <c r="S29" s="318">
        <v>-129460.38</v>
      </c>
      <c r="T29" s="318">
        <v>0</v>
      </c>
      <c r="U29" s="318">
        <v>0</v>
      </c>
      <c r="V29" s="319">
        <v>1.2662180018379401</v>
      </c>
      <c r="W29" s="319">
        <v>1</v>
      </c>
      <c r="X29" s="318">
        <v>0</v>
      </c>
      <c r="Y29" s="318">
        <v>0</v>
      </c>
      <c r="Z29" s="317"/>
      <c r="AA29" s="316"/>
    </row>
    <row r="30" spans="1:27">
      <c r="A30" s="316" t="s">
        <v>377</v>
      </c>
      <c r="B30" s="316" t="s">
        <v>228</v>
      </c>
      <c r="C30" s="316" t="s">
        <v>379</v>
      </c>
      <c r="D30" s="316" t="s">
        <v>383</v>
      </c>
      <c r="E30" s="317">
        <v>45230</v>
      </c>
      <c r="F30" s="316" t="s">
        <v>514</v>
      </c>
      <c r="G30" s="316" t="s">
        <v>384</v>
      </c>
      <c r="H30" s="317">
        <v>45239</v>
      </c>
      <c r="J30" s="317">
        <v>45352.861817129633</v>
      </c>
      <c r="K30" s="316" t="s">
        <v>378</v>
      </c>
      <c r="L30" s="318">
        <v>2867020.94</v>
      </c>
      <c r="M30" s="318">
        <v>2359484.96</v>
      </c>
      <c r="N30" s="318">
        <v>2984634.94</v>
      </c>
      <c r="O30" s="318">
        <v>2356973.02</v>
      </c>
      <c r="P30" s="318">
        <v>59859.79</v>
      </c>
      <c r="Q30" s="318">
        <v>47271.41</v>
      </c>
      <c r="R30" s="318">
        <v>3180.87</v>
      </c>
      <c r="S30" s="318">
        <v>120794.87</v>
      </c>
      <c r="T30" s="318">
        <v>-3180.87</v>
      </c>
      <c r="U30" s="318">
        <v>2511.94</v>
      </c>
      <c r="V30" s="319">
        <v>124.097399999999</v>
      </c>
      <c r="W30" s="319">
        <v>98</v>
      </c>
      <c r="X30" s="318">
        <v>119.0749</v>
      </c>
      <c r="Y30" s="318">
        <v>98</v>
      </c>
      <c r="Z30" s="317"/>
      <c r="AA30" s="316"/>
    </row>
    <row r="31" spans="1:27">
      <c r="A31" s="316" t="s">
        <v>377</v>
      </c>
      <c r="B31" s="316" t="s">
        <v>90</v>
      </c>
      <c r="C31" s="316" t="s">
        <v>92</v>
      </c>
      <c r="D31" s="316" t="s">
        <v>666</v>
      </c>
      <c r="E31" s="317">
        <v>367</v>
      </c>
      <c r="F31" s="316" t="s">
        <v>514</v>
      </c>
      <c r="G31" s="316" t="s">
        <v>90</v>
      </c>
      <c r="H31" s="317">
        <v>367</v>
      </c>
      <c r="I31" s="316" t="s">
        <v>877</v>
      </c>
      <c r="J31" s="317">
        <v>45352.861817129633</v>
      </c>
      <c r="K31" s="316" t="s">
        <v>378</v>
      </c>
      <c r="L31" s="318">
        <v>343411138.609999</v>
      </c>
      <c r="M31" s="318">
        <v>343411138.609999</v>
      </c>
      <c r="N31" s="318">
        <v>343411138.609999</v>
      </c>
      <c r="O31" s="318">
        <v>343411138.609999</v>
      </c>
      <c r="P31" s="318">
        <v>0</v>
      </c>
      <c r="Q31" s="318">
        <v>0</v>
      </c>
      <c r="R31" s="318">
        <v>0</v>
      </c>
      <c r="S31" s="318">
        <v>0</v>
      </c>
      <c r="T31" s="318">
        <v>0</v>
      </c>
      <c r="U31" s="318">
        <v>0</v>
      </c>
      <c r="V31" s="319">
        <v>98</v>
      </c>
      <c r="W31" s="319">
        <v>98</v>
      </c>
      <c r="Z31" s="317"/>
      <c r="AA31" s="316"/>
    </row>
    <row r="32" spans="1:27">
      <c r="A32" s="316" t="s">
        <v>377</v>
      </c>
      <c r="B32" s="316" t="s">
        <v>90</v>
      </c>
      <c r="C32" s="316" t="s">
        <v>667</v>
      </c>
      <c r="D32" s="316" t="s">
        <v>676</v>
      </c>
      <c r="E32" s="317">
        <v>45201</v>
      </c>
      <c r="F32" s="316" t="s">
        <v>514</v>
      </c>
      <c r="G32" s="316" t="s">
        <v>530</v>
      </c>
      <c r="H32" s="317">
        <v>45201</v>
      </c>
      <c r="J32" s="317">
        <v>45352.861817129633</v>
      </c>
      <c r="K32" s="316" t="s">
        <v>378</v>
      </c>
      <c r="L32" s="318">
        <v>2554457.6</v>
      </c>
      <c r="M32" s="318">
        <v>2554457.6</v>
      </c>
      <c r="N32" s="318">
        <v>2359354.42</v>
      </c>
      <c r="O32" s="318">
        <v>2359354.42</v>
      </c>
      <c r="P32" s="318">
        <v>144525.42000000001</v>
      </c>
      <c r="Q32" s="318">
        <v>144525.42000000001</v>
      </c>
      <c r="R32" s="318">
        <v>65757.509999999995</v>
      </c>
      <c r="S32" s="318">
        <v>0</v>
      </c>
      <c r="T32" s="318">
        <v>-195103.18</v>
      </c>
      <c r="U32" s="318">
        <v>65757.509999999995</v>
      </c>
      <c r="V32" s="319">
        <v>96</v>
      </c>
      <c r="W32" s="319">
        <v>96</v>
      </c>
      <c r="X32" s="318">
        <v>96.48</v>
      </c>
      <c r="Y32" s="318">
        <v>96.48</v>
      </c>
      <c r="Z32" s="317"/>
      <c r="AA32" s="316"/>
    </row>
    <row r="33" spans="1:27">
      <c r="A33" s="316" t="s">
        <v>377</v>
      </c>
      <c r="B33" s="316" t="s">
        <v>90</v>
      </c>
      <c r="C33" s="316" t="s">
        <v>667</v>
      </c>
      <c r="D33" s="316" t="s">
        <v>677</v>
      </c>
      <c r="E33" s="317">
        <v>45259</v>
      </c>
      <c r="F33" s="316" t="s">
        <v>514</v>
      </c>
      <c r="G33" s="316" t="s">
        <v>531</v>
      </c>
      <c r="H33" s="317">
        <v>45259</v>
      </c>
      <c r="J33" s="317">
        <v>45352.861817129633</v>
      </c>
      <c r="K33" s="316" t="s">
        <v>378</v>
      </c>
      <c r="L33" s="318">
        <v>2632839.7999999998</v>
      </c>
      <c r="M33" s="318">
        <v>2632839.7999999998</v>
      </c>
      <c r="N33" s="318">
        <v>2825832.23</v>
      </c>
      <c r="O33" s="318">
        <v>2825832.23</v>
      </c>
      <c r="P33" s="318">
        <v>51712.6</v>
      </c>
      <c r="Q33" s="318">
        <v>51712.6</v>
      </c>
      <c r="R33" s="318">
        <v>16270.21</v>
      </c>
      <c r="S33" s="318">
        <v>0</v>
      </c>
      <c r="T33" s="318">
        <v>192992.43</v>
      </c>
      <c r="U33" s="318">
        <v>16270.21</v>
      </c>
      <c r="V33" s="319">
        <v>100</v>
      </c>
      <c r="W33" s="319">
        <v>100</v>
      </c>
      <c r="X33" s="318">
        <v>98.904009000000002</v>
      </c>
      <c r="Y33" s="318">
        <v>98.904008860000005</v>
      </c>
      <c r="Z33" s="317"/>
      <c r="AA33" s="316"/>
    </row>
    <row r="34" spans="1:27">
      <c r="A34" s="316" t="s">
        <v>377</v>
      </c>
      <c r="B34" s="316" t="s">
        <v>90</v>
      </c>
      <c r="C34" s="316" t="s">
        <v>667</v>
      </c>
      <c r="D34" s="316" t="s">
        <v>678</v>
      </c>
      <c r="E34" s="317">
        <v>45237</v>
      </c>
      <c r="F34" s="316" t="s">
        <v>514</v>
      </c>
      <c r="G34" s="316" t="s">
        <v>532</v>
      </c>
      <c r="H34" s="317">
        <v>45237</v>
      </c>
      <c r="J34" s="317">
        <v>45352.861817129633</v>
      </c>
      <c r="K34" s="316" t="s">
        <v>378</v>
      </c>
      <c r="L34" s="318">
        <v>-140119.15</v>
      </c>
      <c r="M34" s="318">
        <v>-140119.15</v>
      </c>
      <c r="N34" s="318">
        <v>-295897.07</v>
      </c>
      <c r="O34" s="318">
        <v>-295897.07</v>
      </c>
      <c r="P34" s="318">
        <v>19068.919999999998</v>
      </c>
      <c r="Q34" s="318">
        <v>19068.919999999998</v>
      </c>
      <c r="R34" s="318">
        <v>7829.39</v>
      </c>
      <c r="S34" s="318">
        <v>0</v>
      </c>
      <c r="T34" s="318">
        <v>-155777.92000000001</v>
      </c>
      <c r="U34" s="318">
        <v>7829.39</v>
      </c>
      <c r="V34" s="319">
        <v>97.5</v>
      </c>
      <c r="W34" s="319">
        <v>97.5</v>
      </c>
      <c r="X34" s="318">
        <v>98.75</v>
      </c>
      <c r="Y34" s="318">
        <v>98.75</v>
      </c>
      <c r="Z34" s="317"/>
      <c r="AA34" s="316"/>
    </row>
    <row r="35" spans="1:27">
      <c r="A35" s="316" t="s">
        <v>377</v>
      </c>
      <c r="B35" s="316" t="s">
        <v>90</v>
      </c>
      <c r="C35" s="316" t="s">
        <v>667</v>
      </c>
      <c r="D35" s="316" t="s">
        <v>679</v>
      </c>
      <c r="E35" s="317">
        <v>45247</v>
      </c>
      <c r="F35" s="316" t="s">
        <v>514</v>
      </c>
      <c r="G35" s="316" t="s">
        <v>533</v>
      </c>
      <c r="H35" s="317">
        <v>45247</v>
      </c>
      <c r="J35" s="317">
        <v>45352.861817129633</v>
      </c>
      <c r="K35" s="316" t="s">
        <v>378</v>
      </c>
      <c r="L35" s="318">
        <v>-1331145.28</v>
      </c>
      <c r="M35" s="318">
        <v>-1331145.28</v>
      </c>
      <c r="N35" s="318">
        <v>0</v>
      </c>
      <c r="O35" s="318">
        <v>0</v>
      </c>
      <c r="P35" s="318">
        <v>67727</v>
      </c>
      <c r="Q35" s="318">
        <v>67727</v>
      </c>
      <c r="R35" s="318">
        <v>225762.24</v>
      </c>
      <c r="S35" s="318">
        <v>0</v>
      </c>
      <c r="T35" s="318">
        <v>1331145.28</v>
      </c>
      <c r="U35" s="318">
        <v>225762.24</v>
      </c>
      <c r="V35" s="319">
        <v>100</v>
      </c>
      <c r="W35" s="319">
        <v>100</v>
      </c>
      <c r="X35" s="318">
        <v>96.168667999999997</v>
      </c>
      <c r="Y35" s="318">
        <v>96.168668330000003</v>
      </c>
      <c r="Z35" s="317"/>
      <c r="AA35" s="316"/>
    </row>
    <row r="36" spans="1:27">
      <c r="A36" s="316" t="s">
        <v>377</v>
      </c>
      <c r="B36" s="316" t="s">
        <v>90</v>
      </c>
      <c r="C36" s="316" t="s">
        <v>667</v>
      </c>
      <c r="D36" s="316" t="s">
        <v>680</v>
      </c>
      <c r="E36" s="317">
        <v>45223</v>
      </c>
      <c r="F36" s="316" t="s">
        <v>514</v>
      </c>
      <c r="G36" s="316" t="s">
        <v>534</v>
      </c>
      <c r="H36" s="317">
        <v>45223</v>
      </c>
      <c r="J36" s="317">
        <v>45352.861817129633</v>
      </c>
      <c r="K36" s="316" t="s">
        <v>378</v>
      </c>
      <c r="L36" s="318">
        <v>6683465.9299999997</v>
      </c>
      <c r="M36" s="318">
        <v>6683465.9299999997</v>
      </c>
      <c r="N36" s="318">
        <v>6666194.7199999997</v>
      </c>
      <c r="O36" s="318">
        <v>6666194.7199999997</v>
      </c>
      <c r="P36" s="318">
        <v>106716.95</v>
      </c>
      <c r="Q36" s="318">
        <v>106716.95</v>
      </c>
      <c r="R36" s="318">
        <v>17065.689999999999</v>
      </c>
      <c r="S36" s="318">
        <v>0</v>
      </c>
      <c r="T36" s="318">
        <v>-17271.21</v>
      </c>
      <c r="U36" s="318">
        <v>17065.689999999999</v>
      </c>
      <c r="V36" s="319">
        <v>97.5</v>
      </c>
      <c r="W36" s="319">
        <v>97.5</v>
      </c>
      <c r="X36" s="318">
        <v>97.5</v>
      </c>
      <c r="Y36" s="318">
        <v>97.5</v>
      </c>
      <c r="Z36" s="317"/>
      <c r="AA36" s="316"/>
    </row>
    <row r="37" spans="1:27">
      <c r="A37" s="316" t="s">
        <v>377</v>
      </c>
      <c r="B37" s="316" t="s">
        <v>90</v>
      </c>
      <c r="C37" s="316" t="s">
        <v>667</v>
      </c>
      <c r="D37" s="316" t="s">
        <v>681</v>
      </c>
      <c r="E37" s="317">
        <v>45308</v>
      </c>
      <c r="F37" s="316" t="s">
        <v>514</v>
      </c>
      <c r="G37" s="316" t="s">
        <v>682</v>
      </c>
      <c r="H37" s="317">
        <v>45308</v>
      </c>
      <c r="J37" s="317">
        <v>45352.861817129633</v>
      </c>
      <c r="K37" s="316" t="s">
        <v>378</v>
      </c>
      <c r="L37" s="318">
        <v>-97868.39</v>
      </c>
      <c r="M37" s="318">
        <v>-97868.39</v>
      </c>
      <c r="N37" s="318">
        <v>0</v>
      </c>
      <c r="O37" s="318">
        <v>0</v>
      </c>
      <c r="P37" s="318">
        <v>0</v>
      </c>
      <c r="Q37" s="318">
        <v>0</v>
      </c>
      <c r="R37" s="318">
        <v>4267.5200000000004</v>
      </c>
      <c r="S37" s="318">
        <v>0</v>
      </c>
      <c r="T37" s="318">
        <v>97868.39</v>
      </c>
      <c r="U37" s="318">
        <v>4267.5200000000004</v>
      </c>
      <c r="V37" s="319">
        <v>100</v>
      </c>
      <c r="W37" s="319">
        <v>100</v>
      </c>
      <c r="X37" s="318">
        <v>99</v>
      </c>
      <c r="Y37" s="318">
        <v>99</v>
      </c>
      <c r="Z37" s="317"/>
      <c r="AA37" s="316"/>
    </row>
    <row r="38" spans="1:27">
      <c r="A38" s="316" t="s">
        <v>377</v>
      </c>
      <c r="B38" s="316" t="s">
        <v>90</v>
      </c>
      <c r="C38" s="316" t="s">
        <v>667</v>
      </c>
      <c r="D38" s="316" t="s">
        <v>683</v>
      </c>
      <c r="E38" s="317">
        <v>45320</v>
      </c>
      <c r="F38" s="316" t="s">
        <v>514</v>
      </c>
      <c r="G38" s="316" t="s">
        <v>684</v>
      </c>
      <c r="H38" s="317">
        <v>45320</v>
      </c>
      <c r="J38" s="317">
        <v>45352.861817129633</v>
      </c>
      <c r="K38" s="316" t="s">
        <v>378</v>
      </c>
      <c r="L38" s="318">
        <v>364015.39</v>
      </c>
      <c r="M38" s="318">
        <v>364015.39</v>
      </c>
      <c r="N38" s="318">
        <v>361453.01</v>
      </c>
      <c r="O38" s="318">
        <v>361453.01</v>
      </c>
      <c r="P38" s="318">
        <v>6345.26</v>
      </c>
      <c r="Q38" s="318">
        <v>6345.26</v>
      </c>
      <c r="R38" s="318">
        <v>536.91999999999996</v>
      </c>
      <c r="S38" s="318">
        <v>0</v>
      </c>
      <c r="T38" s="318">
        <v>-2562.38</v>
      </c>
      <c r="U38" s="318">
        <v>536.91999999999996</v>
      </c>
      <c r="V38" s="319">
        <v>99.475667000000001</v>
      </c>
      <c r="W38" s="319">
        <v>99.475667000000001</v>
      </c>
      <c r="X38" s="318">
        <v>99.5</v>
      </c>
      <c r="Y38" s="318">
        <v>99.5</v>
      </c>
      <c r="Z38" s="317"/>
      <c r="AA38" s="316"/>
    </row>
    <row r="39" spans="1:27">
      <c r="A39" s="316" t="s">
        <v>377</v>
      </c>
      <c r="B39" s="316" t="s">
        <v>90</v>
      </c>
      <c r="C39" s="316" t="s">
        <v>667</v>
      </c>
      <c r="D39" s="316" t="s">
        <v>685</v>
      </c>
      <c r="E39" s="317">
        <v>45279</v>
      </c>
      <c r="F39" s="316" t="s">
        <v>514</v>
      </c>
      <c r="G39" s="316" t="s">
        <v>535</v>
      </c>
      <c r="H39" s="317">
        <v>45288</v>
      </c>
      <c r="J39" s="317">
        <v>45352.861817129633</v>
      </c>
      <c r="K39" s="316" t="s">
        <v>378</v>
      </c>
      <c r="L39" s="318">
        <v>-3569.32</v>
      </c>
      <c r="M39" s="318">
        <v>-3569.32</v>
      </c>
      <c r="N39" s="318">
        <v>0</v>
      </c>
      <c r="O39" s="318">
        <v>0</v>
      </c>
      <c r="P39" s="318">
        <v>681.24</v>
      </c>
      <c r="Q39" s="318">
        <v>681.24</v>
      </c>
      <c r="R39" s="318">
        <v>203.69</v>
      </c>
      <c r="S39" s="318">
        <v>0</v>
      </c>
      <c r="T39" s="318">
        <v>3569.32</v>
      </c>
      <c r="U39" s="318">
        <v>203.69</v>
      </c>
      <c r="V39" s="319">
        <v>100</v>
      </c>
      <c r="W39" s="319">
        <v>100</v>
      </c>
      <c r="X39" s="318">
        <v>99</v>
      </c>
      <c r="Y39" s="318">
        <v>99</v>
      </c>
      <c r="Z39" s="317"/>
      <c r="AA39" s="316"/>
    </row>
    <row r="40" spans="1:27">
      <c r="A40" s="316" t="s">
        <v>377</v>
      </c>
      <c r="B40" s="316" t="s">
        <v>90</v>
      </c>
      <c r="C40" s="316" t="s">
        <v>667</v>
      </c>
      <c r="D40" s="316" t="s">
        <v>686</v>
      </c>
      <c r="E40" s="317">
        <v>45351</v>
      </c>
      <c r="F40" s="316" t="s">
        <v>514</v>
      </c>
      <c r="G40" s="316" t="s">
        <v>687</v>
      </c>
      <c r="H40" s="317">
        <v>45351</v>
      </c>
      <c r="J40" s="317">
        <v>45352.861817129633</v>
      </c>
      <c r="K40" s="316" t="s">
        <v>378</v>
      </c>
      <c r="L40" s="318">
        <v>-97488.24</v>
      </c>
      <c r="M40" s="318">
        <v>-97488.24</v>
      </c>
      <c r="N40" s="318">
        <v>-39026</v>
      </c>
      <c r="O40" s="318">
        <v>-39026</v>
      </c>
      <c r="P40" s="318">
        <v>289.08</v>
      </c>
      <c r="Q40" s="318">
        <v>289.08</v>
      </c>
      <c r="R40" s="318">
        <v>76.760000000000005</v>
      </c>
      <c r="S40" s="318">
        <v>0</v>
      </c>
      <c r="T40" s="318">
        <v>58462.239999999998</v>
      </c>
      <c r="U40" s="318">
        <v>76.760000000000005</v>
      </c>
      <c r="V40" s="319">
        <v>99.25</v>
      </c>
      <c r="W40" s="319">
        <v>99.25</v>
      </c>
      <c r="X40" s="318">
        <v>98.125</v>
      </c>
      <c r="Y40" s="318">
        <v>98.125</v>
      </c>
      <c r="Z40" s="317"/>
      <c r="AA40" s="316"/>
    </row>
    <row r="41" spans="1:27">
      <c r="A41" s="316" t="s">
        <v>377</v>
      </c>
      <c r="B41" s="316" t="s">
        <v>90</v>
      </c>
      <c r="C41" s="316" t="s">
        <v>667</v>
      </c>
      <c r="D41" s="316" t="s">
        <v>688</v>
      </c>
      <c r="E41" s="317">
        <v>45309</v>
      </c>
      <c r="F41" s="316" t="s">
        <v>514</v>
      </c>
      <c r="G41" s="316" t="s">
        <v>536</v>
      </c>
      <c r="H41" s="317">
        <v>45309</v>
      </c>
      <c r="J41" s="317">
        <v>45352.861817129633</v>
      </c>
      <c r="K41" s="316" t="s">
        <v>378</v>
      </c>
      <c r="L41" s="318">
        <v>-248363.51999999999</v>
      </c>
      <c r="M41" s="318">
        <v>-248363.51999999999</v>
      </c>
      <c r="N41" s="318">
        <v>-253451.04</v>
      </c>
      <c r="O41" s="318">
        <v>-253451.04</v>
      </c>
      <c r="P41" s="318">
        <v>24781.88</v>
      </c>
      <c r="Q41" s="318">
        <v>24781.88</v>
      </c>
      <c r="R41" s="318">
        <v>5087.5200000000004</v>
      </c>
      <c r="S41" s="318">
        <v>0</v>
      </c>
      <c r="T41" s="318">
        <v>-5087.5200000000004</v>
      </c>
      <c r="U41" s="318">
        <v>5087.5200000000004</v>
      </c>
      <c r="V41" s="319">
        <v>98.75</v>
      </c>
      <c r="W41" s="319">
        <v>98.75</v>
      </c>
      <c r="X41" s="318">
        <v>98.75</v>
      </c>
      <c r="Y41" s="318">
        <v>98.75</v>
      </c>
      <c r="Z41" s="317"/>
      <c r="AA41" s="316"/>
    </row>
    <row r="42" spans="1:27">
      <c r="A42" s="316" t="s">
        <v>377</v>
      </c>
      <c r="B42" s="316" t="s">
        <v>90</v>
      </c>
      <c r="C42" s="316" t="s">
        <v>667</v>
      </c>
      <c r="D42" s="316" t="s">
        <v>689</v>
      </c>
      <c r="E42" s="317">
        <v>45195</v>
      </c>
      <c r="F42" s="316" t="s">
        <v>514</v>
      </c>
      <c r="G42" s="316" t="s">
        <v>537</v>
      </c>
      <c r="H42" s="317">
        <v>45195</v>
      </c>
      <c r="J42" s="317">
        <v>45352.861817129633</v>
      </c>
      <c r="K42" s="316" t="s">
        <v>378</v>
      </c>
      <c r="L42" s="318">
        <v>5372252.8999999901</v>
      </c>
      <c r="M42" s="318">
        <v>5372252.8999999901</v>
      </c>
      <c r="N42" s="318">
        <v>5737430.8799999896</v>
      </c>
      <c r="O42" s="318">
        <v>5737430.8799999896</v>
      </c>
      <c r="P42" s="318">
        <v>107585.36</v>
      </c>
      <c r="Q42" s="318">
        <v>107585.36</v>
      </c>
      <c r="R42" s="318">
        <v>65491.62</v>
      </c>
      <c r="S42" s="318">
        <v>0</v>
      </c>
      <c r="T42" s="318">
        <v>365177.98</v>
      </c>
      <c r="U42" s="318">
        <v>65491.62</v>
      </c>
      <c r="V42" s="319">
        <v>100</v>
      </c>
      <c r="W42" s="319">
        <v>100</v>
      </c>
      <c r="X42" s="318">
        <v>98.859661000000003</v>
      </c>
      <c r="Y42" s="318">
        <v>98.859660919999996</v>
      </c>
      <c r="Z42" s="317"/>
      <c r="AA42" s="316"/>
    </row>
    <row r="43" spans="1:27">
      <c r="A43" s="316" t="s">
        <v>377</v>
      </c>
      <c r="B43" s="316" t="s">
        <v>90</v>
      </c>
      <c r="C43" s="316" t="s">
        <v>667</v>
      </c>
      <c r="D43" s="316" t="s">
        <v>690</v>
      </c>
      <c r="E43" s="317">
        <v>45198</v>
      </c>
      <c r="F43" s="316" t="s">
        <v>514</v>
      </c>
      <c r="G43" s="316" t="s">
        <v>538</v>
      </c>
      <c r="H43" s="317">
        <v>45198</v>
      </c>
      <c r="J43" s="317">
        <v>45352.861817129633</v>
      </c>
      <c r="K43" s="316" t="s">
        <v>378</v>
      </c>
      <c r="L43" s="318">
        <v>797626</v>
      </c>
      <c r="M43" s="318">
        <v>797626</v>
      </c>
      <c r="N43" s="318">
        <v>660869.53</v>
      </c>
      <c r="O43" s="318">
        <v>660869.53</v>
      </c>
      <c r="P43" s="318">
        <v>20477.82</v>
      </c>
      <c r="Q43" s="318">
        <v>20477.82</v>
      </c>
      <c r="R43" s="318">
        <v>7809.42</v>
      </c>
      <c r="S43" s="318">
        <v>0</v>
      </c>
      <c r="T43" s="318">
        <v>-136756.47</v>
      </c>
      <c r="U43" s="318">
        <v>7809.42</v>
      </c>
      <c r="V43" s="319">
        <v>97</v>
      </c>
      <c r="W43" s="319">
        <v>97</v>
      </c>
      <c r="X43" s="318">
        <v>98.5</v>
      </c>
      <c r="Y43" s="318">
        <v>98.5</v>
      </c>
      <c r="Z43" s="317"/>
      <c r="AA43" s="316"/>
    </row>
    <row r="44" spans="1:27">
      <c r="A44" s="316" t="s">
        <v>377</v>
      </c>
      <c r="B44" s="316" t="s">
        <v>90</v>
      </c>
      <c r="C44" s="316" t="s">
        <v>667</v>
      </c>
      <c r="D44" s="316" t="s">
        <v>691</v>
      </c>
      <c r="E44" s="317">
        <v>45317</v>
      </c>
      <c r="F44" s="316" t="s">
        <v>514</v>
      </c>
      <c r="G44" s="316" t="s">
        <v>539</v>
      </c>
      <c r="H44" s="317">
        <v>45317</v>
      </c>
      <c r="J44" s="317">
        <v>45352.861817129633</v>
      </c>
      <c r="K44" s="316" t="s">
        <v>378</v>
      </c>
      <c r="L44" s="318">
        <v>-492439.02</v>
      </c>
      <c r="M44" s="318">
        <v>-492439.02</v>
      </c>
      <c r="N44" s="318">
        <v>0</v>
      </c>
      <c r="O44" s="318">
        <v>0</v>
      </c>
      <c r="P44" s="318">
        <v>51067.75</v>
      </c>
      <c r="Q44" s="318">
        <v>51067.75</v>
      </c>
      <c r="R44" s="318">
        <v>18238.48</v>
      </c>
      <c r="S44" s="318">
        <v>0</v>
      </c>
      <c r="T44" s="318">
        <v>492439.02</v>
      </c>
      <c r="U44" s="318">
        <v>18238.48</v>
      </c>
      <c r="V44" s="319">
        <v>100</v>
      </c>
      <c r="W44" s="319">
        <v>100</v>
      </c>
      <c r="X44" s="318">
        <v>99</v>
      </c>
      <c r="Y44" s="318">
        <v>99</v>
      </c>
      <c r="Z44" s="317"/>
      <c r="AA44" s="316"/>
    </row>
    <row r="45" spans="1:27">
      <c r="A45" s="316" t="s">
        <v>377</v>
      </c>
      <c r="B45" s="316" t="s">
        <v>90</v>
      </c>
      <c r="C45" s="316" t="s">
        <v>667</v>
      </c>
      <c r="D45" s="316" t="s">
        <v>692</v>
      </c>
      <c r="E45" s="317">
        <v>45282</v>
      </c>
      <c r="F45" s="316" t="s">
        <v>514</v>
      </c>
      <c r="G45" s="316" t="s">
        <v>540</v>
      </c>
      <c r="H45" s="317">
        <v>45282</v>
      </c>
      <c r="J45" s="317">
        <v>45352.861817129633</v>
      </c>
      <c r="K45" s="316" t="s">
        <v>378</v>
      </c>
      <c r="L45" s="318">
        <v>3779971.65</v>
      </c>
      <c r="M45" s="318">
        <v>3779971.65</v>
      </c>
      <c r="N45" s="318">
        <v>3685669.57</v>
      </c>
      <c r="O45" s="318">
        <v>3685669.57</v>
      </c>
      <c r="P45" s="318">
        <v>93473.09</v>
      </c>
      <c r="Q45" s="318">
        <v>93473.09</v>
      </c>
      <c r="R45" s="318">
        <v>9919.57</v>
      </c>
      <c r="S45" s="318">
        <v>0</v>
      </c>
      <c r="T45" s="318">
        <v>-94302.080000000002</v>
      </c>
      <c r="U45" s="318">
        <v>9919.57</v>
      </c>
      <c r="V45" s="319">
        <v>97.75</v>
      </c>
      <c r="W45" s="319">
        <v>97.75</v>
      </c>
      <c r="X45" s="318">
        <v>98.487363000000002</v>
      </c>
      <c r="Y45" s="318">
        <v>98.487362930000003</v>
      </c>
      <c r="Z45" s="317"/>
      <c r="AA45" s="316"/>
    </row>
    <row r="46" spans="1:27">
      <c r="A46" s="316" t="s">
        <v>377</v>
      </c>
      <c r="B46" s="316" t="s">
        <v>90</v>
      </c>
      <c r="C46" s="316" t="s">
        <v>667</v>
      </c>
      <c r="D46" s="316" t="s">
        <v>693</v>
      </c>
      <c r="E46" s="317">
        <v>45230</v>
      </c>
      <c r="F46" s="316" t="s">
        <v>514</v>
      </c>
      <c r="G46" s="316" t="s">
        <v>541</v>
      </c>
      <c r="H46" s="317">
        <v>45230</v>
      </c>
      <c r="J46" s="317">
        <v>45352.861817129633</v>
      </c>
      <c r="K46" s="316" t="s">
        <v>378</v>
      </c>
      <c r="L46" s="318">
        <v>1608731.96</v>
      </c>
      <c r="M46" s="318">
        <v>1608731.96</v>
      </c>
      <c r="N46" s="318">
        <v>1536665.02</v>
      </c>
      <c r="O46" s="318">
        <v>1536665.02</v>
      </c>
      <c r="P46" s="318">
        <v>26664.639999999999</v>
      </c>
      <c r="Q46" s="318">
        <v>26664.639999999999</v>
      </c>
      <c r="R46" s="318">
        <v>3829.04</v>
      </c>
      <c r="S46" s="318">
        <v>0</v>
      </c>
      <c r="T46" s="318">
        <v>-72066.94</v>
      </c>
      <c r="U46" s="318">
        <v>3829.04</v>
      </c>
      <c r="V46" s="319">
        <v>98</v>
      </c>
      <c r="W46" s="319">
        <v>98</v>
      </c>
      <c r="X46" s="318">
        <v>99</v>
      </c>
      <c r="Y46" s="318">
        <v>99</v>
      </c>
      <c r="Z46" s="317"/>
      <c r="AA46" s="316"/>
    </row>
    <row r="47" spans="1:27">
      <c r="A47" s="316" t="s">
        <v>377</v>
      </c>
      <c r="B47" s="316" t="s">
        <v>90</v>
      </c>
      <c r="C47" s="316" t="s">
        <v>667</v>
      </c>
      <c r="D47" s="316" t="s">
        <v>694</v>
      </c>
      <c r="E47" s="317">
        <v>45169</v>
      </c>
      <c r="F47" s="316" t="s">
        <v>514</v>
      </c>
      <c r="G47" s="316" t="s">
        <v>542</v>
      </c>
      <c r="H47" s="317">
        <v>45169</v>
      </c>
      <c r="J47" s="317">
        <v>45352.861817129633</v>
      </c>
      <c r="K47" s="316" t="s">
        <v>378</v>
      </c>
      <c r="L47" s="318">
        <v>-37596.29</v>
      </c>
      <c r="M47" s="318">
        <v>-37596.29</v>
      </c>
      <c r="N47" s="318">
        <v>0</v>
      </c>
      <c r="O47" s="318">
        <v>0</v>
      </c>
      <c r="P47" s="318">
        <v>2972.92</v>
      </c>
      <c r="Q47" s="318">
        <v>2972.92</v>
      </c>
      <c r="R47" s="318">
        <v>4210.42</v>
      </c>
      <c r="S47" s="318">
        <v>0</v>
      </c>
      <c r="T47" s="318">
        <v>37596.29</v>
      </c>
      <c r="U47" s="318">
        <v>4210.42</v>
      </c>
      <c r="V47" s="319">
        <v>100</v>
      </c>
      <c r="W47" s="319">
        <v>100</v>
      </c>
      <c r="X47" s="318">
        <v>97.5</v>
      </c>
      <c r="Y47" s="318">
        <v>97.5</v>
      </c>
      <c r="Z47" s="317"/>
      <c r="AA47" s="316"/>
    </row>
    <row r="48" spans="1:27">
      <c r="A48" s="316" t="s">
        <v>377</v>
      </c>
      <c r="B48" s="316" t="s">
        <v>90</v>
      </c>
      <c r="C48" s="316" t="s">
        <v>667</v>
      </c>
      <c r="D48" s="316" t="s">
        <v>695</v>
      </c>
      <c r="E48" s="317">
        <v>45245</v>
      </c>
      <c r="F48" s="316" t="s">
        <v>514</v>
      </c>
      <c r="G48" s="316" t="s">
        <v>543</v>
      </c>
      <c r="H48" s="317">
        <v>45245</v>
      </c>
      <c r="J48" s="317">
        <v>45352.861817129633</v>
      </c>
      <c r="K48" s="316" t="s">
        <v>378</v>
      </c>
      <c r="L48" s="318">
        <v>-668122.55000000005</v>
      </c>
      <c r="M48" s="318">
        <v>-668122.55000000005</v>
      </c>
      <c r="N48" s="318">
        <v>0</v>
      </c>
      <c r="O48" s="318">
        <v>0</v>
      </c>
      <c r="P48" s="318">
        <v>101690.07</v>
      </c>
      <c r="Q48" s="318">
        <v>101690.07</v>
      </c>
      <c r="R48" s="318">
        <v>46885.79</v>
      </c>
      <c r="S48" s="318">
        <v>0</v>
      </c>
      <c r="T48" s="318">
        <v>668122.55000000005</v>
      </c>
      <c r="U48" s="318">
        <v>46885.79</v>
      </c>
      <c r="V48" s="319">
        <v>100</v>
      </c>
      <c r="W48" s="319">
        <v>100</v>
      </c>
      <c r="X48" s="318">
        <v>98.75</v>
      </c>
      <c r="Y48" s="318">
        <v>98.75</v>
      </c>
      <c r="Z48" s="317"/>
      <c r="AA48" s="316"/>
    </row>
    <row r="49" spans="1:27">
      <c r="A49" s="316" t="s">
        <v>377</v>
      </c>
      <c r="B49" s="316" t="s">
        <v>90</v>
      </c>
      <c r="C49" s="316" t="s">
        <v>667</v>
      </c>
      <c r="D49" s="316" t="s">
        <v>696</v>
      </c>
      <c r="E49" s="317">
        <v>45320</v>
      </c>
      <c r="F49" s="316" t="s">
        <v>514</v>
      </c>
      <c r="G49" s="316" t="s">
        <v>697</v>
      </c>
      <c r="H49" s="317">
        <v>45320</v>
      </c>
      <c r="J49" s="317">
        <v>45352.861817129633</v>
      </c>
      <c r="K49" s="316" t="s">
        <v>378</v>
      </c>
      <c r="L49" s="318">
        <v>326989.14</v>
      </c>
      <c r="M49" s="318">
        <v>326989.14</v>
      </c>
      <c r="N49" s="318">
        <v>321538.99</v>
      </c>
      <c r="O49" s="318">
        <v>321538.99</v>
      </c>
      <c r="P49" s="318">
        <v>6936.45</v>
      </c>
      <c r="Q49" s="318">
        <v>6936.45</v>
      </c>
      <c r="R49" s="318">
        <v>1317.98</v>
      </c>
      <c r="S49" s="318">
        <v>0</v>
      </c>
      <c r="T49" s="318">
        <v>-5450.15</v>
      </c>
      <c r="U49" s="318">
        <v>1317.98</v>
      </c>
      <c r="V49" s="319">
        <v>98.952799999999897</v>
      </c>
      <c r="W49" s="319">
        <v>98.952799999999897</v>
      </c>
      <c r="X49" s="318">
        <v>99</v>
      </c>
      <c r="Y49" s="318">
        <v>99</v>
      </c>
      <c r="Z49" s="317"/>
      <c r="AA49" s="316"/>
    </row>
    <row r="50" spans="1:27">
      <c r="A50" s="316" t="s">
        <v>377</v>
      </c>
      <c r="B50" s="316" t="s">
        <v>90</v>
      </c>
      <c r="C50" s="316" t="s">
        <v>667</v>
      </c>
      <c r="D50" s="316" t="s">
        <v>698</v>
      </c>
      <c r="E50" s="317">
        <v>45327</v>
      </c>
      <c r="F50" s="316" t="s">
        <v>514</v>
      </c>
      <c r="G50" s="316" t="s">
        <v>544</v>
      </c>
      <c r="H50" s="317">
        <v>45327</v>
      </c>
      <c r="J50" s="317">
        <v>45352.861817129633</v>
      </c>
      <c r="K50" s="316" t="s">
        <v>378</v>
      </c>
      <c r="L50" s="318">
        <v>-130913.27</v>
      </c>
      <c r="M50" s="318">
        <v>-130913.27</v>
      </c>
      <c r="N50" s="318">
        <v>0</v>
      </c>
      <c r="O50" s="318">
        <v>0</v>
      </c>
      <c r="P50" s="318">
        <v>19145.61</v>
      </c>
      <c r="Q50" s="318">
        <v>19145.61</v>
      </c>
      <c r="R50" s="318">
        <v>1633.27</v>
      </c>
      <c r="S50" s="318">
        <v>0</v>
      </c>
      <c r="T50" s="318">
        <v>130913.27</v>
      </c>
      <c r="U50" s="318">
        <v>1633.27</v>
      </c>
      <c r="V50" s="319">
        <v>100</v>
      </c>
      <c r="W50" s="319">
        <v>100</v>
      </c>
      <c r="X50" s="318">
        <v>99.5</v>
      </c>
      <c r="Y50" s="318">
        <v>99.5</v>
      </c>
      <c r="Z50" s="317"/>
      <c r="AA50" s="316"/>
    </row>
    <row r="51" spans="1:27">
      <c r="A51" s="316" t="s">
        <v>377</v>
      </c>
      <c r="B51" s="316" t="s">
        <v>90</v>
      </c>
      <c r="C51" s="316" t="s">
        <v>667</v>
      </c>
      <c r="D51" s="316" t="s">
        <v>699</v>
      </c>
      <c r="E51" s="317">
        <v>45272</v>
      </c>
      <c r="F51" s="316" t="s">
        <v>514</v>
      </c>
      <c r="G51" s="316" t="s">
        <v>545</v>
      </c>
      <c r="H51" s="317">
        <v>45272</v>
      </c>
      <c r="J51" s="317">
        <v>45352.861817129633</v>
      </c>
      <c r="K51" s="316" t="s">
        <v>378</v>
      </c>
      <c r="L51" s="318">
        <v>-71920.3</v>
      </c>
      <c r="M51" s="318">
        <v>-71920.3</v>
      </c>
      <c r="N51" s="318">
        <v>-149359.82</v>
      </c>
      <c r="O51" s="318">
        <v>-149359.82</v>
      </c>
      <c r="P51" s="318">
        <v>10621.14</v>
      </c>
      <c r="Q51" s="318">
        <v>10621.14</v>
      </c>
      <c r="R51" s="318">
        <v>2759.61</v>
      </c>
      <c r="S51" s="318">
        <v>0</v>
      </c>
      <c r="T51" s="318">
        <v>-77439.520000000004</v>
      </c>
      <c r="U51" s="318">
        <v>2759.61</v>
      </c>
      <c r="V51" s="319">
        <v>97.5</v>
      </c>
      <c r="W51" s="319">
        <v>97.5</v>
      </c>
      <c r="X51" s="318">
        <v>98.75</v>
      </c>
      <c r="Y51" s="318">
        <v>98.75</v>
      </c>
      <c r="Z51" s="317"/>
      <c r="AA51" s="316"/>
    </row>
    <row r="52" spans="1:27">
      <c r="A52" s="316" t="s">
        <v>377</v>
      </c>
      <c r="B52" s="316" t="s">
        <v>90</v>
      </c>
      <c r="C52" s="316" t="s">
        <v>667</v>
      </c>
      <c r="D52" s="316" t="s">
        <v>700</v>
      </c>
      <c r="E52" s="317">
        <v>45280</v>
      </c>
      <c r="F52" s="316" t="s">
        <v>514</v>
      </c>
      <c r="G52" s="316" t="s">
        <v>546</v>
      </c>
      <c r="H52" s="317">
        <v>45280</v>
      </c>
      <c r="J52" s="317">
        <v>45352.861817129633</v>
      </c>
      <c r="K52" s="316" t="s">
        <v>378</v>
      </c>
      <c r="L52" s="318">
        <v>2100211.67</v>
      </c>
      <c r="M52" s="318">
        <v>2100211.67</v>
      </c>
      <c r="N52" s="318">
        <v>2086427.16</v>
      </c>
      <c r="O52" s="318">
        <v>2086427.16</v>
      </c>
      <c r="P52" s="318">
        <v>51041.19</v>
      </c>
      <c r="Q52" s="318">
        <v>51041.19</v>
      </c>
      <c r="R52" s="318">
        <v>13784.51</v>
      </c>
      <c r="S52" s="318">
        <v>0</v>
      </c>
      <c r="T52" s="318">
        <v>-13784.51</v>
      </c>
      <c r="U52" s="318">
        <v>13784.51</v>
      </c>
      <c r="V52" s="319">
        <v>98</v>
      </c>
      <c r="W52" s="319">
        <v>98</v>
      </c>
      <c r="X52" s="318">
        <v>98</v>
      </c>
      <c r="Y52" s="318">
        <v>98</v>
      </c>
      <c r="Z52" s="317"/>
      <c r="AA52" s="316"/>
    </row>
    <row r="53" spans="1:27">
      <c r="A53" s="316" t="s">
        <v>377</v>
      </c>
      <c r="B53" s="316" t="s">
        <v>90</v>
      </c>
      <c r="C53" s="316" t="s">
        <v>667</v>
      </c>
      <c r="D53" s="316" t="s">
        <v>701</v>
      </c>
      <c r="E53" s="317">
        <v>45247</v>
      </c>
      <c r="F53" s="316" t="s">
        <v>514</v>
      </c>
      <c r="G53" s="316" t="s">
        <v>547</v>
      </c>
      <c r="H53" s="317">
        <v>45247</v>
      </c>
      <c r="J53" s="317">
        <v>45352.861817129633</v>
      </c>
      <c r="K53" s="316" t="s">
        <v>378</v>
      </c>
      <c r="L53" s="318">
        <v>-54323.46</v>
      </c>
      <c r="M53" s="318">
        <v>-54323.46</v>
      </c>
      <c r="N53" s="318">
        <v>-114162.52</v>
      </c>
      <c r="O53" s="318">
        <v>-114162.52</v>
      </c>
      <c r="P53" s="318">
        <v>16807.259999999998</v>
      </c>
      <c r="Q53" s="318">
        <v>16807.259999999998</v>
      </c>
      <c r="R53" s="318">
        <v>2757.8</v>
      </c>
      <c r="S53" s="318">
        <v>0</v>
      </c>
      <c r="T53" s="318">
        <v>-59839.06</v>
      </c>
      <c r="U53" s="318">
        <v>2757.8</v>
      </c>
      <c r="V53" s="319">
        <v>98</v>
      </c>
      <c r="W53" s="319">
        <v>98</v>
      </c>
      <c r="X53" s="318">
        <v>99</v>
      </c>
      <c r="Y53" s="318">
        <v>99</v>
      </c>
      <c r="Z53" s="317"/>
      <c r="AA53" s="316"/>
    </row>
    <row r="54" spans="1:27">
      <c r="A54" s="316" t="s">
        <v>377</v>
      </c>
      <c r="B54" s="316" t="s">
        <v>90</v>
      </c>
      <c r="C54" s="316" t="s">
        <v>667</v>
      </c>
      <c r="D54" s="316" t="s">
        <v>702</v>
      </c>
      <c r="E54" s="317">
        <v>45348</v>
      </c>
      <c r="F54" s="316" t="s">
        <v>514</v>
      </c>
      <c r="G54" s="316" t="s">
        <v>703</v>
      </c>
      <c r="H54" s="317">
        <v>45348</v>
      </c>
      <c r="J54" s="317">
        <v>45352.861817129633</v>
      </c>
      <c r="K54" s="316" t="s">
        <v>378</v>
      </c>
      <c r="L54" s="318">
        <v>-132683.9</v>
      </c>
      <c r="M54" s="318">
        <v>-132683.9</v>
      </c>
      <c r="N54" s="318">
        <v>-265887.52</v>
      </c>
      <c r="O54" s="318">
        <v>-265887.52</v>
      </c>
      <c r="P54" s="318">
        <v>1846.44</v>
      </c>
      <c r="Q54" s="318">
        <v>1846.44</v>
      </c>
      <c r="R54" s="318">
        <v>259.86</v>
      </c>
      <c r="S54" s="318">
        <v>0</v>
      </c>
      <c r="T54" s="318">
        <v>-133203.62</v>
      </c>
      <c r="U54" s="318">
        <v>259.86</v>
      </c>
      <c r="V54" s="319">
        <v>98</v>
      </c>
      <c r="W54" s="319">
        <v>98</v>
      </c>
      <c r="X54" s="318">
        <v>99</v>
      </c>
      <c r="Y54" s="318">
        <v>99</v>
      </c>
      <c r="Z54" s="317"/>
      <c r="AA54" s="316"/>
    </row>
    <row r="55" spans="1:27">
      <c r="A55" s="316" t="s">
        <v>377</v>
      </c>
      <c r="B55" s="316" t="s">
        <v>90</v>
      </c>
      <c r="C55" s="316" t="s">
        <v>667</v>
      </c>
      <c r="D55" s="316" t="s">
        <v>704</v>
      </c>
      <c r="E55" s="317">
        <v>45282</v>
      </c>
      <c r="F55" s="316" t="s">
        <v>514</v>
      </c>
      <c r="G55" s="316" t="s">
        <v>548</v>
      </c>
      <c r="H55" s="317">
        <v>45282</v>
      </c>
      <c r="J55" s="317">
        <v>45352.861817129633</v>
      </c>
      <c r="K55" s="316" t="s">
        <v>378</v>
      </c>
      <c r="L55" s="318">
        <v>-44505.05</v>
      </c>
      <c r="M55" s="318">
        <v>-44505.05</v>
      </c>
      <c r="N55" s="318">
        <v>-73589.5</v>
      </c>
      <c r="O55" s="318">
        <v>-73589.5</v>
      </c>
      <c r="P55" s="318">
        <v>7256.74</v>
      </c>
      <c r="Q55" s="318">
        <v>7256.74</v>
      </c>
      <c r="R55" s="318">
        <v>1488.39</v>
      </c>
      <c r="S55" s="318">
        <v>0</v>
      </c>
      <c r="T55" s="318">
        <v>-29084.45</v>
      </c>
      <c r="U55" s="318">
        <v>1488.39</v>
      </c>
      <c r="V55" s="319">
        <v>98</v>
      </c>
      <c r="W55" s="319">
        <v>98</v>
      </c>
      <c r="X55" s="318">
        <v>98.75</v>
      </c>
      <c r="Y55" s="318">
        <v>98.75</v>
      </c>
      <c r="Z55" s="317"/>
      <c r="AA55" s="316"/>
    </row>
    <row r="56" spans="1:27">
      <c r="A56" s="316" t="s">
        <v>377</v>
      </c>
      <c r="B56" s="316" t="s">
        <v>90</v>
      </c>
      <c r="C56" s="316" t="s">
        <v>667</v>
      </c>
      <c r="D56" s="316" t="s">
        <v>705</v>
      </c>
      <c r="E56" s="317">
        <v>45247</v>
      </c>
      <c r="F56" s="316" t="s">
        <v>514</v>
      </c>
      <c r="G56" s="316" t="s">
        <v>549</v>
      </c>
      <c r="H56" s="317">
        <v>45247</v>
      </c>
      <c r="J56" s="317">
        <v>45352.861817129633</v>
      </c>
      <c r="K56" s="316" t="s">
        <v>378</v>
      </c>
      <c r="L56" s="318">
        <v>-148063.32</v>
      </c>
      <c r="M56" s="318">
        <v>-148063.32</v>
      </c>
      <c r="N56" s="318">
        <v>-314766.45</v>
      </c>
      <c r="O56" s="318">
        <v>-314766.45</v>
      </c>
      <c r="P56" s="318">
        <v>46340.62</v>
      </c>
      <c r="Q56" s="318">
        <v>46340.62</v>
      </c>
      <c r="R56" s="318">
        <v>9319.9</v>
      </c>
      <c r="S56" s="318">
        <v>0</v>
      </c>
      <c r="T56" s="318">
        <v>-166703.13</v>
      </c>
      <c r="U56" s="318">
        <v>9319.9</v>
      </c>
      <c r="V56" s="319">
        <v>98</v>
      </c>
      <c r="W56" s="319">
        <v>98</v>
      </c>
      <c r="X56" s="318">
        <v>99</v>
      </c>
      <c r="Y56" s="318">
        <v>99</v>
      </c>
      <c r="Z56" s="317"/>
      <c r="AA56" s="316"/>
    </row>
    <row r="57" spans="1:27">
      <c r="A57" s="316" t="s">
        <v>377</v>
      </c>
      <c r="B57" s="316" t="s">
        <v>90</v>
      </c>
      <c r="C57" s="316" t="s">
        <v>667</v>
      </c>
      <c r="D57" s="316" t="s">
        <v>706</v>
      </c>
      <c r="E57" s="317">
        <v>45247</v>
      </c>
      <c r="F57" s="316" t="s">
        <v>514</v>
      </c>
      <c r="G57" s="316" t="s">
        <v>550</v>
      </c>
      <c r="H57" s="317">
        <v>45247</v>
      </c>
      <c r="J57" s="317">
        <v>45352.861817129633</v>
      </c>
      <c r="K57" s="316" t="s">
        <v>378</v>
      </c>
      <c r="L57" s="318">
        <v>11492592.1399999</v>
      </c>
      <c r="M57" s="318">
        <v>11492592.1399999</v>
      </c>
      <c r="N57" s="318">
        <v>10923872.4699999</v>
      </c>
      <c r="O57" s="318">
        <v>10923872.4699999</v>
      </c>
      <c r="P57" s="318">
        <v>177487.25</v>
      </c>
      <c r="Q57" s="318">
        <v>177487.25</v>
      </c>
      <c r="R57" s="318">
        <v>31480.04</v>
      </c>
      <c r="S57" s="318">
        <v>0</v>
      </c>
      <c r="T57" s="318">
        <v>-568719.67000000004</v>
      </c>
      <c r="U57" s="318">
        <v>31480.04</v>
      </c>
      <c r="V57" s="319">
        <v>98</v>
      </c>
      <c r="W57" s="319">
        <v>98</v>
      </c>
      <c r="X57" s="318">
        <v>99</v>
      </c>
      <c r="Y57" s="318">
        <v>99</v>
      </c>
      <c r="Z57" s="317"/>
      <c r="AA57" s="316"/>
    </row>
    <row r="58" spans="1:27">
      <c r="A58" s="316" t="s">
        <v>377</v>
      </c>
      <c r="B58" s="316" t="s">
        <v>90</v>
      </c>
      <c r="C58" s="316" t="s">
        <v>667</v>
      </c>
      <c r="D58" s="316" t="s">
        <v>707</v>
      </c>
      <c r="E58" s="317">
        <v>45201</v>
      </c>
      <c r="F58" s="316" t="s">
        <v>514</v>
      </c>
      <c r="G58" s="316" t="s">
        <v>551</v>
      </c>
      <c r="H58" s="317">
        <v>45201</v>
      </c>
      <c r="J58" s="317">
        <v>45352.861817129633</v>
      </c>
      <c r="K58" s="316" t="s">
        <v>378</v>
      </c>
      <c r="L58" s="318">
        <v>-45836.34</v>
      </c>
      <c r="M58" s="318">
        <v>-45836.34</v>
      </c>
      <c r="N58" s="318">
        <v>-98503.2</v>
      </c>
      <c r="O58" s="318">
        <v>-98503.2</v>
      </c>
      <c r="P58" s="318">
        <v>20795.12</v>
      </c>
      <c r="Q58" s="318">
        <v>20795.12</v>
      </c>
      <c r="R58" s="318">
        <v>3415.26</v>
      </c>
      <c r="S58" s="318">
        <v>0</v>
      </c>
      <c r="T58" s="318">
        <v>-52666.86</v>
      </c>
      <c r="U58" s="318">
        <v>3415.26</v>
      </c>
      <c r="V58" s="319">
        <v>98</v>
      </c>
      <c r="W58" s="319">
        <v>98</v>
      </c>
      <c r="X58" s="318">
        <v>99</v>
      </c>
      <c r="Y58" s="318">
        <v>99</v>
      </c>
      <c r="Z58" s="317"/>
      <c r="AA58" s="316"/>
    </row>
    <row r="59" spans="1:27">
      <c r="A59" s="316" t="s">
        <v>377</v>
      </c>
      <c r="B59" s="316" t="s">
        <v>90</v>
      </c>
      <c r="C59" s="316" t="s">
        <v>667</v>
      </c>
      <c r="D59" s="316" t="s">
        <v>708</v>
      </c>
      <c r="E59" s="317">
        <v>45238</v>
      </c>
      <c r="F59" s="316" t="s">
        <v>514</v>
      </c>
      <c r="G59" s="316" t="s">
        <v>552</v>
      </c>
      <c r="H59" s="317">
        <v>45238</v>
      </c>
      <c r="J59" s="317">
        <v>45352.861817129633</v>
      </c>
      <c r="K59" s="316" t="s">
        <v>378</v>
      </c>
      <c r="L59" s="318">
        <v>-65975.33</v>
      </c>
      <c r="M59" s="318">
        <v>-65975.33</v>
      </c>
      <c r="N59" s="318">
        <v>-139256.54</v>
      </c>
      <c r="O59" s="318">
        <v>-139256.54</v>
      </c>
      <c r="P59" s="318">
        <v>12378.36</v>
      </c>
      <c r="Q59" s="318">
        <v>12378.36</v>
      </c>
      <c r="R59" s="318">
        <v>3652.94</v>
      </c>
      <c r="S59" s="318">
        <v>0</v>
      </c>
      <c r="T59" s="318">
        <v>-73281.210000000006</v>
      </c>
      <c r="U59" s="318">
        <v>3652.94</v>
      </c>
      <c r="V59" s="319">
        <v>98</v>
      </c>
      <c r="W59" s="319">
        <v>98</v>
      </c>
      <c r="X59" s="318">
        <v>99</v>
      </c>
      <c r="Y59" s="318">
        <v>99</v>
      </c>
      <c r="Z59" s="317"/>
      <c r="AA59" s="316"/>
    </row>
    <row r="60" spans="1:27">
      <c r="A60" s="316" t="s">
        <v>377</v>
      </c>
      <c r="B60" s="316" t="s">
        <v>90</v>
      </c>
      <c r="C60" s="316" t="s">
        <v>667</v>
      </c>
      <c r="D60" s="316" t="s">
        <v>709</v>
      </c>
      <c r="E60" s="317">
        <v>45271</v>
      </c>
      <c r="F60" s="316" t="s">
        <v>514</v>
      </c>
      <c r="G60" s="316" t="s">
        <v>553</v>
      </c>
      <c r="H60" s="317">
        <v>45271</v>
      </c>
      <c r="J60" s="317">
        <v>45352.861817129633</v>
      </c>
      <c r="K60" s="316" t="s">
        <v>378</v>
      </c>
      <c r="L60" s="318">
        <v>2327235.1800000002</v>
      </c>
      <c r="M60" s="318">
        <v>2327235.1800000002</v>
      </c>
      <c r="N60" s="318">
        <v>2138841.9700000002</v>
      </c>
      <c r="O60" s="318">
        <v>2138841.9700000002</v>
      </c>
      <c r="P60" s="318">
        <v>73865.62</v>
      </c>
      <c r="Q60" s="318">
        <v>73865.62</v>
      </c>
      <c r="R60" s="318">
        <v>6793.42</v>
      </c>
      <c r="S60" s="318">
        <v>0</v>
      </c>
      <c r="T60" s="318">
        <v>-188393.21</v>
      </c>
      <c r="U60" s="318">
        <v>6793.42</v>
      </c>
      <c r="V60" s="319">
        <v>98</v>
      </c>
      <c r="W60" s="319">
        <v>98</v>
      </c>
      <c r="X60" s="318">
        <v>99</v>
      </c>
      <c r="Y60" s="318">
        <v>99</v>
      </c>
      <c r="Z60" s="317"/>
      <c r="AA60" s="316"/>
    </row>
    <row r="61" spans="1:27">
      <c r="A61" s="316" t="s">
        <v>377</v>
      </c>
      <c r="B61" s="316" t="s">
        <v>90</v>
      </c>
      <c r="C61" s="316" t="s">
        <v>667</v>
      </c>
      <c r="D61" s="316" t="s">
        <v>710</v>
      </c>
      <c r="E61" s="317">
        <v>45271</v>
      </c>
      <c r="F61" s="316" t="s">
        <v>514</v>
      </c>
      <c r="G61" s="316" t="s">
        <v>554</v>
      </c>
      <c r="H61" s="317">
        <v>45271</v>
      </c>
      <c r="J61" s="317">
        <v>45352.861817129633</v>
      </c>
      <c r="K61" s="316" t="s">
        <v>378</v>
      </c>
      <c r="L61" s="318">
        <v>0</v>
      </c>
      <c r="M61" s="318">
        <v>0</v>
      </c>
      <c r="N61" s="318">
        <v>0</v>
      </c>
      <c r="O61" s="318">
        <v>0</v>
      </c>
      <c r="P61" s="318">
        <v>71340.740000000005</v>
      </c>
      <c r="Q61" s="318">
        <v>71340.740000000005</v>
      </c>
      <c r="R61" s="318">
        <v>0</v>
      </c>
      <c r="S61" s="318">
        <v>0</v>
      </c>
      <c r="T61" s="318">
        <v>0</v>
      </c>
      <c r="U61" s="318">
        <v>0</v>
      </c>
      <c r="V61" s="319">
        <v>98</v>
      </c>
      <c r="W61" s="319">
        <v>98</v>
      </c>
      <c r="X61" s="318">
        <v>99</v>
      </c>
      <c r="Y61" s="318">
        <v>99</v>
      </c>
      <c r="Z61" s="317"/>
      <c r="AA61" s="316"/>
    </row>
    <row r="62" spans="1:27">
      <c r="A62" s="316" t="s">
        <v>377</v>
      </c>
      <c r="B62" s="316" t="s">
        <v>90</v>
      </c>
      <c r="C62" s="316" t="s">
        <v>667</v>
      </c>
      <c r="D62" s="316" t="s">
        <v>711</v>
      </c>
      <c r="E62" s="317">
        <v>45246</v>
      </c>
      <c r="F62" s="316" t="s">
        <v>514</v>
      </c>
      <c r="G62" s="316" t="s">
        <v>555</v>
      </c>
      <c r="H62" s="317">
        <v>45246</v>
      </c>
      <c r="J62" s="317">
        <v>45352.861817129633</v>
      </c>
      <c r="K62" s="316" t="s">
        <v>378</v>
      </c>
      <c r="L62" s="318">
        <v>3249182.9</v>
      </c>
      <c r="M62" s="318">
        <v>3246921.56</v>
      </c>
      <c r="N62" s="318">
        <v>3914330.25</v>
      </c>
      <c r="O62" s="318">
        <v>3866132.09</v>
      </c>
      <c r="P62" s="318">
        <v>66704.149999999994</v>
      </c>
      <c r="Q62" s="318">
        <v>66704.149999999994</v>
      </c>
      <c r="R62" s="318">
        <v>37602.46</v>
      </c>
      <c r="S62" s="318">
        <v>45936.82</v>
      </c>
      <c r="T62" s="318">
        <v>619210.53</v>
      </c>
      <c r="U62" s="318">
        <v>37602.46</v>
      </c>
      <c r="V62" s="319">
        <v>100</v>
      </c>
      <c r="W62" s="319">
        <v>100</v>
      </c>
      <c r="X62" s="318">
        <v>97.5</v>
      </c>
      <c r="Y62" s="318">
        <v>97.5</v>
      </c>
      <c r="Z62" s="317"/>
      <c r="AA62" s="316"/>
    </row>
    <row r="63" spans="1:27">
      <c r="A63" s="316" t="s">
        <v>377</v>
      </c>
      <c r="B63" s="316" t="s">
        <v>90</v>
      </c>
      <c r="C63" s="316" t="s">
        <v>667</v>
      </c>
      <c r="D63" s="316" t="s">
        <v>712</v>
      </c>
      <c r="E63" s="317">
        <v>45282</v>
      </c>
      <c r="F63" s="316" t="s">
        <v>514</v>
      </c>
      <c r="G63" s="316" t="s">
        <v>556</v>
      </c>
      <c r="H63" s="317">
        <v>45282</v>
      </c>
      <c r="J63" s="317">
        <v>45352.861817129633</v>
      </c>
      <c r="K63" s="316" t="s">
        <v>378</v>
      </c>
      <c r="L63" s="318">
        <v>5533016.0099999998</v>
      </c>
      <c r="M63" s="318">
        <v>5533016.0099999998</v>
      </c>
      <c r="N63" s="318">
        <v>5313057.08</v>
      </c>
      <c r="O63" s="318">
        <v>5313057.08</v>
      </c>
      <c r="P63" s="318">
        <v>58390.97</v>
      </c>
      <c r="Q63" s="318">
        <v>58390.97</v>
      </c>
      <c r="R63" s="318">
        <v>16262.15</v>
      </c>
      <c r="S63" s="318">
        <v>0</v>
      </c>
      <c r="T63" s="318">
        <v>-219958.93</v>
      </c>
      <c r="U63" s="318">
        <v>16262.15</v>
      </c>
      <c r="V63" s="319">
        <v>98</v>
      </c>
      <c r="W63" s="319">
        <v>98</v>
      </c>
      <c r="X63" s="318">
        <v>98.584638999999996</v>
      </c>
      <c r="Y63" s="318">
        <v>98.584638839999997</v>
      </c>
      <c r="Z63" s="317"/>
      <c r="AA63" s="316"/>
    </row>
    <row r="64" spans="1:27">
      <c r="A64" s="316" t="s">
        <v>377</v>
      </c>
      <c r="B64" s="316" t="s">
        <v>90</v>
      </c>
      <c r="C64" s="316" t="s">
        <v>667</v>
      </c>
      <c r="D64" s="316" t="s">
        <v>713</v>
      </c>
      <c r="E64" s="317">
        <v>45330</v>
      </c>
      <c r="F64" s="316" t="s">
        <v>514</v>
      </c>
      <c r="G64" s="316" t="s">
        <v>714</v>
      </c>
      <c r="H64" s="317">
        <v>45330</v>
      </c>
      <c r="J64" s="317">
        <v>45352.861817129633</v>
      </c>
      <c r="K64" s="316" t="s">
        <v>378</v>
      </c>
      <c r="L64" s="318">
        <v>-188530.48</v>
      </c>
      <c r="M64" s="318">
        <v>-188530.48</v>
      </c>
      <c r="N64" s="318">
        <v>-190227.62</v>
      </c>
      <c r="O64" s="318">
        <v>-190227.62</v>
      </c>
      <c r="P64" s="318">
        <v>12153.43</v>
      </c>
      <c r="Q64" s="318">
        <v>12153.43</v>
      </c>
      <c r="R64" s="318">
        <v>1697.14</v>
      </c>
      <c r="S64" s="318">
        <v>0</v>
      </c>
      <c r="T64" s="318">
        <v>-1697.14</v>
      </c>
      <c r="U64" s="318">
        <v>1697.14</v>
      </c>
      <c r="V64" s="319">
        <v>99</v>
      </c>
      <c r="W64" s="319">
        <v>99</v>
      </c>
      <c r="X64" s="318">
        <v>99</v>
      </c>
      <c r="Y64" s="318">
        <v>99</v>
      </c>
      <c r="Z64" s="317"/>
      <c r="AA64" s="316"/>
    </row>
    <row r="65" spans="1:27">
      <c r="A65" s="316" t="s">
        <v>377</v>
      </c>
      <c r="B65" s="316" t="s">
        <v>90</v>
      </c>
      <c r="C65" s="316" t="s">
        <v>667</v>
      </c>
      <c r="D65" s="316" t="s">
        <v>715</v>
      </c>
      <c r="E65" s="317">
        <v>45286</v>
      </c>
      <c r="F65" s="316" t="s">
        <v>514</v>
      </c>
      <c r="G65" s="316" t="s">
        <v>557</v>
      </c>
      <c r="H65" s="317">
        <v>45286</v>
      </c>
      <c r="J65" s="317">
        <v>45352.861817129633</v>
      </c>
      <c r="K65" s="316" t="s">
        <v>378</v>
      </c>
      <c r="L65" s="318">
        <v>-273288.71000000002</v>
      </c>
      <c r="M65" s="318">
        <v>-273288.71000000002</v>
      </c>
      <c r="N65" s="318">
        <v>-578228.85</v>
      </c>
      <c r="O65" s="318">
        <v>-578228.85</v>
      </c>
      <c r="P65" s="318">
        <v>51398.12</v>
      </c>
      <c r="Q65" s="318">
        <v>51398.12</v>
      </c>
      <c r="R65" s="318">
        <v>15825.71</v>
      </c>
      <c r="S65" s="318">
        <v>0</v>
      </c>
      <c r="T65" s="318">
        <v>-304940.14</v>
      </c>
      <c r="U65" s="318">
        <v>15825.71</v>
      </c>
      <c r="V65" s="319">
        <v>98</v>
      </c>
      <c r="W65" s="319">
        <v>98</v>
      </c>
      <c r="X65" s="318">
        <v>99</v>
      </c>
      <c r="Y65" s="318">
        <v>99</v>
      </c>
      <c r="Z65" s="317"/>
      <c r="AA65" s="316"/>
    </row>
    <row r="66" spans="1:27">
      <c r="A66" s="316" t="s">
        <v>377</v>
      </c>
      <c r="B66" s="316" t="s">
        <v>90</v>
      </c>
      <c r="C66" s="316" t="s">
        <v>667</v>
      </c>
      <c r="D66" s="316" t="s">
        <v>716</v>
      </c>
      <c r="E66" s="317">
        <v>45233</v>
      </c>
      <c r="F66" s="316" t="s">
        <v>514</v>
      </c>
      <c r="G66" s="316" t="s">
        <v>558</v>
      </c>
      <c r="H66" s="317">
        <v>45233</v>
      </c>
      <c r="J66" s="317">
        <v>45352.861817129633</v>
      </c>
      <c r="K66" s="316" t="s">
        <v>378</v>
      </c>
      <c r="L66" s="318">
        <v>2170385.59</v>
      </c>
      <c r="M66" s="318">
        <v>2170385.59</v>
      </c>
      <c r="N66" s="318">
        <v>2078660.73</v>
      </c>
      <c r="O66" s="318">
        <v>2078660.73</v>
      </c>
      <c r="P66" s="318">
        <v>69246.570000000007</v>
      </c>
      <c r="Q66" s="318">
        <v>69246.570000000007</v>
      </c>
      <c r="R66" s="318">
        <v>4409.8500000000004</v>
      </c>
      <c r="S66" s="318">
        <v>0</v>
      </c>
      <c r="T66" s="318">
        <v>-91724.86</v>
      </c>
      <c r="U66" s="318">
        <v>4409.8500000000004</v>
      </c>
      <c r="V66" s="319">
        <v>99</v>
      </c>
      <c r="W66" s="319">
        <v>99</v>
      </c>
      <c r="X66" s="318">
        <v>99.5</v>
      </c>
      <c r="Y66" s="318">
        <v>99.5</v>
      </c>
      <c r="Z66" s="317"/>
      <c r="AA66" s="316"/>
    </row>
    <row r="67" spans="1:27">
      <c r="A67" s="316" t="s">
        <v>377</v>
      </c>
      <c r="B67" s="316" t="s">
        <v>90</v>
      </c>
      <c r="C67" s="316" t="s">
        <v>667</v>
      </c>
      <c r="D67" s="316" t="s">
        <v>717</v>
      </c>
      <c r="E67" s="317">
        <v>45351</v>
      </c>
      <c r="F67" s="316" t="s">
        <v>514</v>
      </c>
      <c r="G67" s="316" t="s">
        <v>718</v>
      </c>
      <c r="H67" s="317">
        <v>45351</v>
      </c>
      <c r="J67" s="317">
        <v>45352.861817129633</v>
      </c>
      <c r="K67" s="316" t="s">
        <v>378</v>
      </c>
      <c r="L67" s="318">
        <v>-61468.34</v>
      </c>
      <c r="M67" s="318">
        <v>-61468.34</v>
      </c>
      <c r="N67" s="318">
        <v>-61524.5</v>
      </c>
      <c r="O67" s="318">
        <v>-61524.5</v>
      </c>
      <c r="P67" s="318">
        <v>170.9</v>
      </c>
      <c r="Q67" s="318">
        <v>170.9</v>
      </c>
      <c r="R67" s="318">
        <v>56.16</v>
      </c>
      <c r="S67" s="318">
        <v>0</v>
      </c>
      <c r="T67" s="318">
        <v>-56.16</v>
      </c>
      <c r="U67" s="318">
        <v>56.16</v>
      </c>
      <c r="V67" s="319">
        <v>99</v>
      </c>
      <c r="W67" s="319">
        <v>99</v>
      </c>
      <c r="X67" s="318">
        <v>99</v>
      </c>
      <c r="Y67" s="318">
        <v>99</v>
      </c>
      <c r="Z67" s="317"/>
      <c r="AA67" s="316"/>
    </row>
    <row r="68" spans="1:27">
      <c r="A68" s="316" t="s">
        <v>377</v>
      </c>
      <c r="B68" s="316" t="s">
        <v>90</v>
      </c>
      <c r="C68" s="316" t="s">
        <v>667</v>
      </c>
      <c r="D68" s="316" t="s">
        <v>719</v>
      </c>
      <c r="E68" s="317">
        <v>45188</v>
      </c>
      <c r="F68" s="316" t="s">
        <v>514</v>
      </c>
      <c r="G68" s="316" t="s">
        <v>559</v>
      </c>
      <c r="H68" s="317">
        <v>45188</v>
      </c>
      <c r="J68" s="317">
        <v>45352.861817129633</v>
      </c>
      <c r="K68" s="316" t="s">
        <v>378</v>
      </c>
      <c r="L68" s="318">
        <v>7769741.8499999996</v>
      </c>
      <c r="M68" s="318">
        <v>7769741.8499999996</v>
      </c>
      <c r="N68" s="318">
        <v>8057901.7199999997</v>
      </c>
      <c r="O68" s="318">
        <v>8057901.7199999997</v>
      </c>
      <c r="P68" s="318">
        <v>186313.1</v>
      </c>
      <c r="Q68" s="318">
        <v>186313.1</v>
      </c>
      <c r="R68" s="318">
        <v>29080.35</v>
      </c>
      <c r="S68" s="318">
        <v>0</v>
      </c>
      <c r="T68" s="318">
        <v>288159.87</v>
      </c>
      <c r="U68" s="318">
        <v>29080.35</v>
      </c>
      <c r="V68" s="319">
        <v>100</v>
      </c>
      <c r="W68" s="319">
        <v>100</v>
      </c>
      <c r="X68" s="318">
        <v>98.75</v>
      </c>
      <c r="Y68" s="318">
        <v>98.75</v>
      </c>
      <c r="Z68" s="317"/>
      <c r="AA68" s="316"/>
    </row>
    <row r="69" spans="1:27">
      <c r="A69" s="316" t="s">
        <v>377</v>
      </c>
      <c r="B69" s="316" t="s">
        <v>90</v>
      </c>
      <c r="C69" s="316" t="s">
        <v>667</v>
      </c>
      <c r="D69" s="316" t="s">
        <v>720</v>
      </c>
      <c r="E69" s="317">
        <v>45279</v>
      </c>
      <c r="F69" s="316" t="s">
        <v>514</v>
      </c>
      <c r="G69" s="316" t="s">
        <v>560</v>
      </c>
      <c r="H69" s="317">
        <v>45279</v>
      </c>
      <c r="J69" s="317">
        <v>45352.861817129633</v>
      </c>
      <c r="K69" s="316" t="s">
        <v>378</v>
      </c>
      <c r="L69" s="318">
        <v>-30768.81</v>
      </c>
      <c r="M69" s="318">
        <v>-30768.81</v>
      </c>
      <c r="N69" s="318">
        <v>-65773.710000000006</v>
      </c>
      <c r="O69" s="318">
        <v>-65773.710000000006</v>
      </c>
      <c r="P69" s="318">
        <v>5846.55</v>
      </c>
      <c r="Q69" s="318">
        <v>5846.55</v>
      </c>
      <c r="R69" s="318">
        <v>2118.04</v>
      </c>
      <c r="S69" s="318">
        <v>0</v>
      </c>
      <c r="T69" s="318">
        <v>-35004.9</v>
      </c>
      <c r="U69" s="318">
        <v>2118.04</v>
      </c>
      <c r="V69" s="319">
        <v>99</v>
      </c>
      <c r="W69" s="319">
        <v>99</v>
      </c>
      <c r="X69" s="318">
        <v>99.5</v>
      </c>
      <c r="Y69" s="318">
        <v>99.5</v>
      </c>
      <c r="Z69" s="317"/>
      <c r="AA69" s="316"/>
    </row>
    <row r="70" spans="1:27">
      <c r="A70" s="316" t="s">
        <v>377</v>
      </c>
      <c r="B70" s="316" t="s">
        <v>90</v>
      </c>
      <c r="C70" s="316" t="s">
        <v>667</v>
      </c>
      <c r="D70" s="316" t="s">
        <v>721</v>
      </c>
      <c r="E70" s="317">
        <v>45240</v>
      </c>
      <c r="F70" s="316" t="s">
        <v>514</v>
      </c>
      <c r="G70" s="316" t="s">
        <v>561</v>
      </c>
      <c r="H70" s="317">
        <v>45240</v>
      </c>
      <c r="J70" s="317">
        <v>45352.861817129633</v>
      </c>
      <c r="K70" s="316" t="s">
        <v>378</v>
      </c>
      <c r="L70" s="318">
        <v>5377280.25</v>
      </c>
      <c r="M70" s="318">
        <v>5377280.25</v>
      </c>
      <c r="N70" s="318">
        <v>4917589.04</v>
      </c>
      <c r="O70" s="318">
        <v>4917589.04</v>
      </c>
      <c r="P70" s="318">
        <v>173900.79999999999</v>
      </c>
      <c r="Q70" s="318">
        <v>173900.79999999999</v>
      </c>
      <c r="R70" s="318">
        <v>22545.62</v>
      </c>
      <c r="S70" s="318">
        <v>0</v>
      </c>
      <c r="T70" s="318">
        <v>-459691.21</v>
      </c>
      <c r="U70" s="318">
        <v>22545.62</v>
      </c>
      <c r="V70" s="319">
        <v>98</v>
      </c>
      <c r="W70" s="319">
        <v>98</v>
      </c>
      <c r="X70" s="318">
        <v>99</v>
      </c>
      <c r="Y70" s="318">
        <v>99</v>
      </c>
      <c r="Z70" s="317"/>
      <c r="AA70" s="316"/>
    </row>
    <row r="71" spans="1:27">
      <c r="A71" s="316" t="s">
        <v>377</v>
      </c>
      <c r="B71" s="316" t="s">
        <v>90</v>
      </c>
      <c r="C71" s="316" t="s">
        <v>667</v>
      </c>
      <c r="D71" s="316" t="s">
        <v>722</v>
      </c>
      <c r="E71" s="317">
        <v>45238</v>
      </c>
      <c r="F71" s="316" t="s">
        <v>514</v>
      </c>
      <c r="G71" s="316" t="s">
        <v>562</v>
      </c>
      <c r="H71" s="317">
        <v>45238</v>
      </c>
      <c r="J71" s="317">
        <v>45352.861817129633</v>
      </c>
      <c r="K71" s="316" t="s">
        <v>378</v>
      </c>
      <c r="L71" s="318">
        <v>-40543.03</v>
      </c>
      <c r="M71" s="318">
        <v>-40543.03</v>
      </c>
      <c r="N71" s="318">
        <v>-84903.05</v>
      </c>
      <c r="O71" s="318">
        <v>-84903.05</v>
      </c>
      <c r="P71" s="318">
        <v>9040.6</v>
      </c>
      <c r="Q71" s="318">
        <v>9040.6</v>
      </c>
      <c r="R71" s="318">
        <v>1908.49</v>
      </c>
      <c r="S71" s="318">
        <v>0</v>
      </c>
      <c r="T71" s="318">
        <v>-44360.02</v>
      </c>
      <c r="U71" s="318">
        <v>1908.49</v>
      </c>
      <c r="V71" s="319">
        <v>98.5</v>
      </c>
      <c r="W71" s="319">
        <v>98.5</v>
      </c>
      <c r="X71" s="318">
        <v>99.25</v>
      </c>
      <c r="Y71" s="318">
        <v>99.25</v>
      </c>
      <c r="Z71" s="317"/>
      <c r="AA71" s="316"/>
    </row>
    <row r="72" spans="1:27">
      <c r="A72" s="316" t="s">
        <v>377</v>
      </c>
      <c r="B72" s="316" t="s">
        <v>90</v>
      </c>
      <c r="C72" s="316" t="s">
        <v>667</v>
      </c>
      <c r="D72" s="316" t="s">
        <v>723</v>
      </c>
      <c r="E72" s="317">
        <v>45231</v>
      </c>
      <c r="F72" s="316" t="s">
        <v>514</v>
      </c>
      <c r="G72" s="316" t="s">
        <v>563</v>
      </c>
      <c r="H72" s="317">
        <v>45231</v>
      </c>
      <c r="J72" s="317">
        <v>45352.861817129633</v>
      </c>
      <c r="K72" s="316" t="s">
        <v>378</v>
      </c>
      <c r="L72" s="318">
        <v>-100653.25</v>
      </c>
      <c r="M72" s="318">
        <v>-100653.25</v>
      </c>
      <c r="N72" s="318">
        <v>-213170.94</v>
      </c>
      <c r="O72" s="318">
        <v>-213170.94</v>
      </c>
      <c r="P72" s="318">
        <v>36120.629999999997</v>
      </c>
      <c r="Q72" s="318">
        <v>36120.629999999997</v>
      </c>
      <c r="R72" s="318">
        <v>5932.22</v>
      </c>
      <c r="S72" s="318">
        <v>0</v>
      </c>
      <c r="T72" s="318">
        <v>-112517.69</v>
      </c>
      <c r="U72" s="318">
        <v>5932.22</v>
      </c>
      <c r="V72" s="319">
        <v>98</v>
      </c>
      <c r="W72" s="319">
        <v>98</v>
      </c>
      <c r="X72" s="318">
        <v>99</v>
      </c>
      <c r="Y72" s="318">
        <v>99</v>
      </c>
      <c r="Z72" s="317"/>
      <c r="AA72" s="316"/>
    </row>
    <row r="73" spans="1:27">
      <c r="A73" s="316" t="s">
        <v>377</v>
      </c>
      <c r="B73" s="316" t="s">
        <v>90</v>
      </c>
      <c r="C73" s="316" t="s">
        <v>667</v>
      </c>
      <c r="D73" s="316" t="s">
        <v>724</v>
      </c>
      <c r="E73" s="317">
        <v>45352</v>
      </c>
      <c r="F73" s="316" t="s">
        <v>514</v>
      </c>
      <c r="G73" s="316" t="s">
        <v>725</v>
      </c>
      <c r="H73" s="317">
        <v>45352</v>
      </c>
      <c r="J73" s="317">
        <v>45352.861817129633</v>
      </c>
      <c r="K73" s="316" t="s">
        <v>378</v>
      </c>
      <c r="L73" s="318">
        <v>-69285.960000000006</v>
      </c>
      <c r="M73" s="318">
        <v>-69285.960000000006</v>
      </c>
      <c r="N73" s="318">
        <v>-69318.02</v>
      </c>
      <c r="O73" s="318">
        <v>-69318.02</v>
      </c>
      <c r="P73" s="318">
        <v>192.55</v>
      </c>
      <c r="Q73" s="318">
        <v>192.55</v>
      </c>
      <c r="R73" s="318">
        <v>32.06</v>
      </c>
      <c r="S73" s="318">
        <v>0</v>
      </c>
      <c r="T73" s="318">
        <v>-32.06</v>
      </c>
      <c r="U73" s="318">
        <v>32.06</v>
      </c>
      <c r="V73" s="319">
        <v>99</v>
      </c>
      <c r="W73" s="319">
        <v>99</v>
      </c>
      <c r="X73" s="318">
        <v>99</v>
      </c>
      <c r="Y73" s="318">
        <v>99</v>
      </c>
      <c r="Z73" s="317"/>
      <c r="AA73" s="316"/>
    </row>
    <row r="74" spans="1:27">
      <c r="A74" s="316" t="s">
        <v>377</v>
      </c>
      <c r="B74" s="316" t="s">
        <v>90</v>
      </c>
      <c r="C74" s="316" t="s">
        <v>667</v>
      </c>
      <c r="D74" s="316" t="s">
        <v>726</v>
      </c>
      <c r="E74" s="317">
        <v>45323</v>
      </c>
      <c r="F74" s="316" t="s">
        <v>514</v>
      </c>
      <c r="G74" s="316" t="s">
        <v>727</v>
      </c>
      <c r="H74" s="317">
        <v>45323</v>
      </c>
      <c r="J74" s="317">
        <v>45352.861817129633</v>
      </c>
      <c r="K74" s="316" t="s">
        <v>378</v>
      </c>
      <c r="L74" s="318">
        <v>-164377.25</v>
      </c>
      <c r="M74" s="318">
        <v>-164377.25</v>
      </c>
      <c r="N74" s="318">
        <v>-249490.74</v>
      </c>
      <c r="O74" s="318">
        <v>-249490.74</v>
      </c>
      <c r="P74" s="318">
        <v>6930.3</v>
      </c>
      <c r="Q74" s="318">
        <v>6930.3</v>
      </c>
      <c r="R74" s="318">
        <v>1949.91</v>
      </c>
      <c r="S74" s="318">
        <v>0</v>
      </c>
      <c r="T74" s="318">
        <v>-85113.49</v>
      </c>
      <c r="U74" s="318">
        <v>1949.91</v>
      </c>
      <c r="V74" s="319">
        <v>98.5</v>
      </c>
      <c r="W74" s="319">
        <v>98.5</v>
      </c>
      <c r="X74" s="318">
        <v>99</v>
      </c>
      <c r="Y74" s="318">
        <v>99</v>
      </c>
      <c r="Z74" s="317"/>
      <c r="AA74" s="316"/>
    </row>
    <row r="75" spans="1:27">
      <c r="A75" s="316" t="s">
        <v>377</v>
      </c>
      <c r="B75" s="316" t="s">
        <v>90</v>
      </c>
      <c r="C75" s="316" t="s">
        <v>667</v>
      </c>
      <c r="D75" s="316" t="s">
        <v>728</v>
      </c>
      <c r="E75" s="317">
        <v>45245</v>
      </c>
      <c r="F75" s="316" t="s">
        <v>514</v>
      </c>
      <c r="G75" s="316" t="s">
        <v>564</v>
      </c>
      <c r="H75" s="317">
        <v>45246</v>
      </c>
      <c r="J75" s="317">
        <v>45352.861817129633</v>
      </c>
      <c r="K75" s="316" t="s">
        <v>378</v>
      </c>
      <c r="L75" s="318">
        <v>-125569.07</v>
      </c>
      <c r="M75" s="318">
        <v>-125569.07</v>
      </c>
      <c r="N75" s="318">
        <v>-262110.7</v>
      </c>
      <c r="O75" s="318">
        <v>-262110.7</v>
      </c>
      <c r="P75" s="318">
        <v>23298.73</v>
      </c>
      <c r="Q75" s="318">
        <v>23298.73</v>
      </c>
      <c r="R75" s="318">
        <v>5486.28</v>
      </c>
      <c r="S75" s="318">
        <v>0</v>
      </c>
      <c r="T75" s="318">
        <v>-136541.63</v>
      </c>
      <c r="U75" s="318">
        <v>5486.28</v>
      </c>
      <c r="V75" s="319">
        <v>98</v>
      </c>
      <c r="W75" s="319">
        <v>98</v>
      </c>
      <c r="X75" s="318">
        <v>99</v>
      </c>
      <c r="Y75" s="318">
        <v>99</v>
      </c>
      <c r="Z75" s="317"/>
      <c r="AA75" s="316"/>
    </row>
    <row r="76" spans="1:27">
      <c r="A76" s="316" t="s">
        <v>377</v>
      </c>
      <c r="B76" s="316" t="s">
        <v>90</v>
      </c>
      <c r="C76" s="316" t="s">
        <v>667</v>
      </c>
      <c r="D76" s="316" t="s">
        <v>729</v>
      </c>
      <c r="E76" s="317">
        <v>45274</v>
      </c>
      <c r="F76" s="316" t="s">
        <v>514</v>
      </c>
      <c r="G76" s="316" t="s">
        <v>565</v>
      </c>
      <c r="H76" s="317">
        <v>45274</v>
      </c>
      <c r="J76" s="317">
        <v>45352.861817129633</v>
      </c>
      <c r="K76" s="316" t="s">
        <v>378</v>
      </c>
      <c r="L76" s="318">
        <v>19608564.949999999</v>
      </c>
      <c r="M76" s="318">
        <v>19608564.949999999</v>
      </c>
      <c r="N76" s="318">
        <v>19779742.27</v>
      </c>
      <c r="O76" s="318">
        <v>19779742.27</v>
      </c>
      <c r="P76" s="318">
        <v>452201.5</v>
      </c>
      <c r="Q76" s="318">
        <v>452201.5</v>
      </c>
      <c r="R76" s="318">
        <v>26620.1</v>
      </c>
      <c r="S76" s="318">
        <v>0</v>
      </c>
      <c r="T76" s="318">
        <v>171177.32</v>
      </c>
      <c r="U76" s="318">
        <v>26620.1</v>
      </c>
      <c r="V76" s="319">
        <v>100</v>
      </c>
      <c r="W76" s="319">
        <v>100</v>
      </c>
      <c r="X76" s="318">
        <v>99</v>
      </c>
      <c r="Y76" s="318">
        <v>99</v>
      </c>
      <c r="Z76" s="317"/>
      <c r="AA76" s="316"/>
    </row>
    <row r="77" spans="1:27">
      <c r="A77" s="316" t="s">
        <v>377</v>
      </c>
      <c r="B77" s="316" t="s">
        <v>90</v>
      </c>
      <c r="C77" s="316" t="s">
        <v>667</v>
      </c>
      <c r="D77" s="316" t="s">
        <v>730</v>
      </c>
      <c r="E77" s="317">
        <v>45198</v>
      </c>
      <c r="F77" s="316" t="s">
        <v>514</v>
      </c>
      <c r="G77" s="316" t="s">
        <v>566</v>
      </c>
      <c r="H77" s="317">
        <v>45198</v>
      </c>
      <c r="J77" s="317">
        <v>45352.861817129633</v>
      </c>
      <c r="K77" s="316" t="s">
        <v>378</v>
      </c>
      <c r="L77" s="318">
        <v>-393629.93</v>
      </c>
      <c r="M77" s="318">
        <v>-393629.93</v>
      </c>
      <c r="N77" s="318">
        <v>-876721.2</v>
      </c>
      <c r="O77" s="318">
        <v>-876721.2</v>
      </c>
      <c r="P77" s="318">
        <v>188738.59</v>
      </c>
      <c r="Q77" s="318">
        <v>188738.59</v>
      </c>
      <c r="R77" s="318">
        <v>44730.67</v>
      </c>
      <c r="S77" s="318">
        <v>0</v>
      </c>
      <c r="T77" s="318">
        <v>-483091.27</v>
      </c>
      <c r="U77" s="318">
        <v>44730.67</v>
      </c>
      <c r="V77" s="319">
        <v>98</v>
      </c>
      <c r="W77" s="319">
        <v>98</v>
      </c>
      <c r="X77" s="318">
        <v>99</v>
      </c>
      <c r="Y77" s="318">
        <v>99</v>
      </c>
      <c r="Z77" s="317"/>
      <c r="AA77" s="316"/>
    </row>
    <row r="78" spans="1:27">
      <c r="A78" s="316" t="s">
        <v>377</v>
      </c>
      <c r="B78" s="316" t="s">
        <v>90</v>
      </c>
      <c r="C78" s="316" t="s">
        <v>667</v>
      </c>
      <c r="D78" s="316" t="s">
        <v>731</v>
      </c>
      <c r="E78" s="317">
        <v>45274</v>
      </c>
      <c r="F78" s="316" t="s">
        <v>514</v>
      </c>
      <c r="G78" s="316" t="s">
        <v>567</v>
      </c>
      <c r="H78" s="317">
        <v>45274</v>
      </c>
      <c r="J78" s="317">
        <v>45352.861817129633</v>
      </c>
      <c r="K78" s="316" t="s">
        <v>378</v>
      </c>
      <c r="L78" s="318">
        <v>6061628.3700000001</v>
      </c>
      <c r="M78" s="318">
        <v>6061628.3700000001</v>
      </c>
      <c r="N78" s="318">
        <v>6145040.4800000004</v>
      </c>
      <c r="O78" s="318">
        <v>6145040.4800000004</v>
      </c>
      <c r="P78" s="318">
        <v>102908.42</v>
      </c>
      <c r="Q78" s="318">
        <v>102908.42</v>
      </c>
      <c r="R78" s="318">
        <v>13558.76</v>
      </c>
      <c r="S78" s="318">
        <v>0</v>
      </c>
      <c r="T78" s="318">
        <v>83412.11</v>
      </c>
      <c r="U78" s="318">
        <v>13558.76</v>
      </c>
      <c r="V78" s="319">
        <v>100</v>
      </c>
      <c r="W78" s="319">
        <v>100</v>
      </c>
      <c r="X78" s="318">
        <v>99</v>
      </c>
      <c r="Y78" s="318">
        <v>99</v>
      </c>
      <c r="Z78" s="317"/>
      <c r="AA78" s="316"/>
    </row>
    <row r="79" spans="1:27">
      <c r="A79" s="316" t="s">
        <v>377</v>
      </c>
      <c r="B79" s="316" t="s">
        <v>90</v>
      </c>
      <c r="C79" s="316" t="s">
        <v>667</v>
      </c>
      <c r="D79" s="316" t="s">
        <v>748</v>
      </c>
      <c r="E79" s="317">
        <v>45230</v>
      </c>
      <c r="F79" s="316" t="s">
        <v>514</v>
      </c>
      <c r="G79" s="316" t="s">
        <v>576</v>
      </c>
      <c r="H79" s="317">
        <v>45239</v>
      </c>
      <c r="J79" s="317">
        <v>45352.861817129633</v>
      </c>
      <c r="K79" s="316" t="s">
        <v>378</v>
      </c>
      <c r="L79" s="318">
        <v>-82703.47</v>
      </c>
      <c r="M79" s="318">
        <v>-82703.47</v>
      </c>
      <c r="N79" s="318">
        <v>-174520.7</v>
      </c>
      <c r="O79" s="318">
        <v>-174520.7</v>
      </c>
      <c r="P79" s="318">
        <v>484.78</v>
      </c>
      <c r="Q79" s="318">
        <v>484.78</v>
      </c>
      <c r="R79" s="318">
        <v>4556.88</v>
      </c>
      <c r="S79" s="318">
        <v>0</v>
      </c>
      <c r="T79" s="318">
        <v>-91817.23</v>
      </c>
      <c r="U79" s="318">
        <v>4556.88</v>
      </c>
      <c r="V79" s="319">
        <v>98</v>
      </c>
      <c r="W79" s="319">
        <v>98</v>
      </c>
      <c r="X79" s="318">
        <v>99</v>
      </c>
      <c r="Y79" s="318">
        <v>99</v>
      </c>
      <c r="Z79" s="317"/>
      <c r="AA79" s="316"/>
    </row>
    <row r="80" spans="1:27">
      <c r="A80" s="316" t="s">
        <v>377</v>
      </c>
      <c r="B80" s="316" t="s">
        <v>90</v>
      </c>
      <c r="C80" s="316" t="s">
        <v>667</v>
      </c>
      <c r="D80" s="316" t="s">
        <v>732</v>
      </c>
      <c r="E80" s="317">
        <v>45322</v>
      </c>
      <c r="F80" s="316" t="s">
        <v>514</v>
      </c>
      <c r="G80" s="316" t="s">
        <v>733</v>
      </c>
      <c r="H80" s="317">
        <v>45322</v>
      </c>
      <c r="J80" s="317">
        <v>45352.861817129633</v>
      </c>
      <c r="K80" s="316" t="s">
        <v>378</v>
      </c>
      <c r="L80" s="318">
        <v>-50345.440000000002</v>
      </c>
      <c r="M80" s="318">
        <v>-50345.440000000002</v>
      </c>
      <c r="N80" s="318">
        <v>0</v>
      </c>
      <c r="O80" s="318">
        <v>0</v>
      </c>
      <c r="P80" s="318">
        <v>4516.67</v>
      </c>
      <c r="Q80" s="318">
        <v>4516.67</v>
      </c>
      <c r="R80" s="318">
        <v>2106.2199999999998</v>
      </c>
      <c r="S80" s="318">
        <v>0</v>
      </c>
      <c r="T80" s="318">
        <v>50345.440000000002</v>
      </c>
      <c r="U80" s="318">
        <v>2106.2199999999998</v>
      </c>
      <c r="V80" s="319">
        <v>100</v>
      </c>
      <c r="W80" s="319">
        <v>100</v>
      </c>
      <c r="X80" s="318">
        <v>99</v>
      </c>
      <c r="Y80" s="318">
        <v>99</v>
      </c>
      <c r="Z80" s="317"/>
      <c r="AA80" s="316"/>
    </row>
    <row r="81" spans="1:27">
      <c r="A81" s="316" t="s">
        <v>377</v>
      </c>
      <c r="B81" s="316" t="s">
        <v>90</v>
      </c>
      <c r="C81" s="316" t="s">
        <v>667</v>
      </c>
      <c r="D81" s="316" t="s">
        <v>734</v>
      </c>
      <c r="E81" s="317">
        <v>45175</v>
      </c>
      <c r="F81" s="316" t="s">
        <v>514</v>
      </c>
      <c r="G81" s="316" t="s">
        <v>568</v>
      </c>
      <c r="H81" s="317">
        <v>45175</v>
      </c>
      <c r="J81" s="317">
        <v>45352.861817129633</v>
      </c>
      <c r="K81" s="316" t="s">
        <v>378</v>
      </c>
      <c r="L81" s="318">
        <v>421415.31</v>
      </c>
      <c r="M81" s="318">
        <v>421415.31</v>
      </c>
      <c r="N81" s="318">
        <v>498517.9</v>
      </c>
      <c r="O81" s="318">
        <v>498517.9</v>
      </c>
      <c r="P81" s="318">
        <v>18975.490000000002</v>
      </c>
      <c r="Q81" s="318">
        <v>18975.490000000002</v>
      </c>
      <c r="R81" s="318">
        <v>16635.47</v>
      </c>
      <c r="S81" s="318">
        <v>0</v>
      </c>
      <c r="T81" s="318">
        <v>77102.59</v>
      </c>
      <c r="U81" s="318">
        <v>16635.47</v>
      </c>
      <c r="V81" s="319">
        <v>100</v>
      </c>
      <c r="W81" s="319">
        <v>100</v>
      </c>
      <c r="X81" s="318">
        <v>97.5</v>
      </c>
      <c r="Y81" s="318">
        <v>97.5</v>
      </c>
      <c r="Z81" s="317"/>
      <c r="AA81" s="316"/>
    </row>
    <row r="82" spans="1:27">
      <c r="A82" s="316" t="s">
        <v>377</v>
      </c>
      <c r="B82" s="316" t="s">
        <v>90</v>
      </c>
      <c r="C82" s="316" t="s">
        <v>667</v>
      </c>
      <c r="D82" s="316" t="s">
        <v>735</v>
      </c>
      <c r="E82" s="317">
        <v>45280</v>
      </c>
      <c r="F82" s="316" t="s">
        <v>514</v>
      </c>
      <c r="G82" s="316" t="s">
        <v>569</v>
      </c>
      <c r="H82" s="317">
        <v>45280</v>
      </c>
      <c r="J82" s="317">
        <v>45352.861817129633</v>
      </c>
      <c r="K82" s="316" t="s">
        <v>378</v>
      </c>
      <c r="L82" s="318">
        <v>-93064.63</v>
      </c>
      <c r="M82" s="318">
        <v>-93064.63</v>
      </c>
      <c r="N82" s="318">
        <v>-194183.46</v>
      </c>
      <c r="O82" s="318">
        <v>-194183.46</v>
      </c>
      <c r="P82" s="318">
        <v>16181.95</v>
      </c>
      <c r="Q82" s="318">
        <v>16181.95</v>
      </c>
      <c r="R82" s="318">
        <v>4027.1</v>
      </c>
      <c r="S82" s="318">
        <v>0</v>
      </c>
      <c r="T82" s="318">
        <v>-101118.83</v>
      </c>
      <c r="U82" s="318">
        <v>4027.1</v>
      </c>
      <c r="V82" s="319">
        <v>98</v>
      </c>
      <c r="W82" s="319">
        <v>98</v>
      </c>
      <c r="X82" s="318">
        <v>99</v>
      </c>
      <c r="Y82" s="318">
        <v>99</v>
      </c>
      <c r="Z82" s="317"/>
      <c r="AA82" s="316"/>
    </row>
    <row r="83" spans="1:27">
      <c r="A83" s="316" t="s">
        <v>377</v>
      </c>
      <c r="B83" s="316" t="s">
        <v>90</v>
      </c>
      <c r="C83" s="316" t="s">
        <v>667</v>
      </c>
      <c r="D83" s="316" t="s">
        <v>749</v>
      </c>
      <c r="E83" s="317">
        <v>45201</v>
      </c>
      <c r="F83" s="316" t="s">
        <v>514</v>
      </c>
      <c r="G83" s="316" t="s">
        <v>577</v>
      </c>
      <c r="H83" s="317">
        <v>45201</v>
      </c>
      <c r="J83" s="317">
        <v>45352.861817129633</v>
      </c>
      <c r="K83" s="316" t="s">
        <v>378</v>
      </c>
      <c r="L83" s="318">
        <v>-107472.41</v>
      </c>
      <c r="M83" s="318">
        <v>-107472.41</v>
      </c>
      <c r="N83" s="318">
        <v>-228529.69</v>
      </c>
      <c r="O83" s="318">
        <v>-228529.69</v>
      </c>
      <c r="P83" s="318">
        <v>42884.58</v>
      </c>
      <c r="Q83" s="318">
        <v>42884.58</v>
      </c>
      <c r="R83" s="318">
        <v>6792.43</v>
      </c>
      <c r="S83" s="318">
        <v>0</v>
      </c>
      <c r="T83" s="318">
        <v>-121057.28</v>
      </c>
      <c r="U83" s="318">
        <v>6792.43</v>
      </c>
      <c r="V83" s="319">
        <v>97.75</v>
      </c>
      <c r="W83" s="319">
        <v>97.75</v>
      </c>
      <c r="X83" s="318">
        <v>98.875</v>
      </c>
      <c r="Y83" s="318">
        <v>98.875</v>
      </c>
      <c r="Z83" s="317"/>
      <c r="AA83" s="316"/>
    </row>
    <row r="84" spans="1:27">
      <c r="A84" s="316" t="s">
        <v>377</v>
      </c>
      <c r="B84" s="316" t="s">
        <v>90</v>
      </c>
      <c r="C84" s="316" t="s">
        <v>667</v>
      </c>
      <c r="D84" s="316" t="s">
        <v>736</v>
      </c>
      <c r="E84" s="317">
        <v>45201</v>
      </c>
      <c r="F84" s="316" t="s">
        <v>514</v>
      </c>
      <c r="G84" s="316" t="s">
        <v>570</v>
      </c>
      <c r="H84" s="317">
        <v>45201</v>
      </c>
      <c r="J84" s="317">
        <v>45352.861817129633</v>
      </c>
      <c r="K84" s="316" t="s">
        <v>378</v>
      </c>
      <c r="L84" s="318">
        <v>-119444.59</v>
      </c>
      <c r="M84" s="318">
        <v>-119444.59</v>
      </c>
      <c r="N84" s="318">
        <v>0</v>
      </c>
      <c r="O84" s="318">
        <v>0</v>
      </c>
      <c r="P84" s="318">
        <v>24785.37</v>
      </c>
      <c r="Q84" s="318">
        <v>24785.37</v>
      </c>
      <c r="R84" s="318">
        <v>19973.13</v>
      </c>
      <c r="S84" s="318">
        <v>0</v>
      </c>
      <c r="T84" s="318">
        <v>119444.59</v>
      </c>
      <c r="U84" s="318">
        <v>19973.13</v>
      </c>
      <c r="V84" s="319">
        <v>100</v>
      </c>
      <c r="W84" s="319">
        <v>100</v>
      </c>
      <c r="X84" s="318">
        <v>99</v>
      </c>
      <c r="Y84" s="318">
        <v>99</v>
      </c>
      <c r="Z84" s="317"/>
      <c r="AA84" s="316"/>
    </row>
    <row r="85" spans="1:27">
      <c r="A85" s="316" t="s">
        <v>377</v>
      </c>
      <c r="B85" s="316" t="s">
        <v>90</v>
      </c>
      <c r="C85" s="316" t="s">
        <v>667</v>
      </c>
      <c r="D85" s="316" t="s">
        <v>737</v>
      </c>
      <c r="E85" s="317">
        <v>45205</v>
      </c>
      <c r="F85" s="316" t="s">
        <v>514</v>
      </c>
      <c r="G85" s="316" t="s">
        <v>571</v>
      </c>
      <c r="H85" s="317">
        <v>45205</v>
      </c>
      <c r="J85" s="317">
        <v>45352.861817129633</v>
      </c>
      <c r="K85" s="316" t="s">
        <v>378</v>
      </c>
      <c r="L85" s="318">
        <v>2764474.29</v>
      </c>
      <c r="M85" s="318">
        <v>2764474.29</v>
      </c>
      <c r="N85" s="318">
        <v>2834266.5</v>
      </c>
      <c r="O85" s="318">
        <v>2834266.5</v>
      </c>
      <c r="P85" s="318">
        <v>75588.41</v>
      </c>
      <c r="Q85" s="318">
        <v>75588.41</v>
      </c>
      <c r="R85" s="318">
        <v>7431.11</v>
      </c>
      <c r="S85" s="318">
        <v>0</v>
      </c>
      <c r="T85" s="318">
        <v>69792.210000000006</v>
      </c>
      <c r="U85" s="318">
        <v>7431.11</v>
      </c>
      <c r="V85" s="319">
        <v>100</v>
      </c>
      <c r="W85" s="319">
        <v>100</v>
      </c>
      <c r="X85" s="318">
        <v>97.547832</v>
      </c>
      <c r="Y85" s="318">
        <v>97.547831630000005</v>
      </c>
      <c r="Z85" s="317"/>
      <c r="AA85" s="316"/>
    </row>
    <row r="86" spans="1:27">
      <c r="A86" s="316" t="s">
        <v>377</v>
      </c>
      <c r="B86" s="316" t="s">
        <v>90</v>
      </c>
      <c r="C86" s="316" t="s">
        <v>667</v>
      </c>
      <c r="D86" s="316" t="s">
        <v>738</v>
      </c>
      <c r="E86" s="317">
        <v>45335</v>
      </c>
      <c r="F86" s="316" t="s">
        <v>514</v>
      </c>
      <c r="G86" s="316" t="s">
        <v>739</v>
      </c>
      <c r="H86" s="317">
        <v>45335</v>
      </c>
      <c r="J86" s="317">
        <v>45352.861817129633</v>
      </c>
      <c r="K86" s="316" t="s">
        <v>378</v>
      </c>
      <c r="L86" s="318">
        <v>-164569.67000000001</v>
      </c>
      <c r="M86" s="318">
        <v>-164569.67000000001</v>
      </c>
      <c r="N86" s="318">
        <v>-165736.37</v>
      </c>
      <c r="O86" s="318">
        <v>-165736.37</v>
      </c>
      <c r="P86" s="318">
        <v>3683.03</v>
      </c>
      <c r="Q86" s="318">
        <v>3683.03</v>
      </c>
      <c r="R86" s="318">
        <v>1166.7</v>
      </c>
      <c r="S86" s="318">
        <v>0</v>
      </c>
      <c r="T86" s="318">
        <v>-1166.7</v>
      </c>
      <c r="U86" s="318">
        <v>1166.7</v>
      </c>
      <c r="V86" s="319">
        <v>97.75</v>
      </c>
      <c r="W86" s="319">
        <v>97.75</v>
      </c>
      <c r="X86" s="318">
        <v>97.75</v>
      </c>
      <c r="Y86" s="318">
        <v>97.75</v>
      </c>
      <c r="Z86" s="317"/>
      <c r="AA86" s="316"/>
    </row>
    <row r="87" spans="1:27">
      <c r="A87" s="316" t="s">
        <v>377</v>
      </c>
      <c r="B87" s="316" t="s">
        <v>90</v>
      </c>
      <c r="C87" s="316" t="s">
        <v>667</v>
      </c>
      <c r="D87" s="316" t="s">
        <v>740</v>
      </c>
      <c r="E87" s="317">
        <v>45238</v>
      </c>
      <c r="F87" s="316" t="s">
        <v>514</v>
      </c>
      <c r="G87" s="316" t="s">
        <v>572</v>
      </c>
      <c r="H87" s="317">
        <v>45238</v>
      </c>
      <c r="J87" s="317">
        <v>45352.861817129633</v>
      </c>
      <c r="K87" s="316" t="s">
        <v>378</v>
      </c>
      <c r="L87" s="318">
        <v>15041856.24</v>
      </c>
      <c r="M87" s="318">
        <v>15041856.24</v>
      </c>
      <c r="N87" s="318">
        <v>14597240.35</v>
      </c>
      <c r="O87" s="318">
        <v>14597240.35</v>
      </c>
      <c r="P87" s="318">
        <v>126933.65</v>
      </c>
      <c r="Q87" s="318">
        <v>126933.65</v>
      </c>
      <c r="R87" s="318">
        <v>19135.79</v>
      </c>
      <c r="S87" s="318">
        <v>0</v>
      </c>
      <c r="T87" s="318">
        <v>-444615.89</v>
      </c>
      <c r="U87" s="318">
        <v>19135.79</v>
      </c>
      <c r="V87" s="319">
        <v>97.5</v>
      </c>
      <c r="W87" s="319">
        <v>97.5</v>
      </c>
      <c r="X87" s="318">
        <v>98.75</v>
      </c>
      <c r="Y87" s="318">
        <v>98.75</v>
      </c>
      <c r="Z87" s="317"/>
      <c r="AA87" s="316"/>
    </row>
    <row r="88" spans="1:27">
      <c r="A88" s="316" t="s">
        <v>377</v>
      </c>
      <c r="B88" s="316" t="s">
        <v>90</v>
      </c>
      <c r="C88" s="316" t="s">
        <v>667</v>
      </c>
      <c r="D88" s="316" t="s">
        <v>741</v>
      </c>
      <c r="E88" s="317">
        <v>45296</v>
      </c>
      <c r="F88" s="316" t="s">
        <v>514</v>
      </c>
      <c r="G88" s="316" t="s">
        <v>742</v>
      </c>
      <c r="H88" s="317">
        <v>45296</v>
      </c>
      <c r="J88" s="317">
        <v>45352.861817129633</v>
      </c>
      <c r="K88" s="316" t="s">
        <v>378</v>
      </c>
      <c r="L88" s="318">
        <v>-41293.120000000003</v>
      </c>
      <c r="M88" s="318">
        <v>-41293.120000000003</v>
      </c>
      <c r="N88" s="318">
        <v>0</v>
      </c>
      <c r="O88" s="318">
        <v>0</v>
      </c>
      <c r="P88" s="318">
        <v>6729.09</v>
      </c>
      <c r="Q88" s="318">
        <v>6729.09</v>
      </c>
      <c r="R88" s="318">
        <v>1206.4100000000001</v>
      </c>
      <c r="S88" s="318">
        <v>0</v>
      </c>
      <c r="T88" s="318">
        <v>41293.120000000003</v>
      </c>
      <c r="U88" s="318">
        <v>1206.4100000000001</v>
      </c>
      <c r="V88" s="319">
        <v>100</v>
      </c>
      <c r="W88" s="319">
        <v>100</v>
      </c>
      <c r="X88" s="318">
        <v>99</v>
      </c>
      <c r="Y88" s="318">
        <v>99</v>
      </c>
      <c r="Z88" s="317"/>
      <c r="AA88" s="316"/>
    </row>
    <row r="89" spans="1:27">
      <c r="A89" s="316" t="s">
        <v>377</v>
      </c>
      <c r="B89" s="316" t="s">
        <v>90</v>
      </c>
      <c r="C89" s="316" t="s">
        <v>667</v>
      </c>
      <c r="D89" s="316" t="s">
        <v>743</v>
      </c>
      <c r="E89" s="317">
        <v>45324</v>
      </c>
      <c r="F89" s="316" t="s">
        <v>514</v>
      </c>
      <c r="G89" s="316" t="s">
        <v>744</v>
      </c>
      <c r="H89" s="317">
        <v>45324</v>
      </c>
      <c r="J89" s="317">
        <v>45352.861817129633</v>
      </c>
      <c r="K89" s="316" t="s">
        <v>378</v>
      </c>
      <c r="L89" s="318">
        <v>-122093.85</v>
      </c>
      <c r="M89" s="318">
        <v>-122093.85</v>
      </c>
      <c r="N89" s="318">
        <v>0</v>
      </c>
      <c r="O89" s="318">
        <v>0</v>
      </c>
      <c r="P89" s="318">
        <v>6632.2</v>
      </c>
      <c r="Q89" s="318">
        <v>6632.2</v>
      </c>
      <c r="R89" s="318">
        <v>1402.27</v>
      </c>
      <c r="S89" s="318">
        <v>0</v>
      </c>
      <c r="T89" s="318">
        <v>122093.85</v>
      </c>
      <c r="U89" s="318">
        <v>1402.27</v>
      </c>
      <c r="V89" s="319">
        <v>100</v>
      </c>
      <c r="W89" s="319">
        <v>100</v>
      </c>
      <c r="X89" s="318">
        <v>99.25</v>
      </c>
      <c r="Y89" s="318">
        <v>99.25</v>
      </c>
      <c r="Z89" s="317"/>
      <c r="AA89" s="316"/>
    </row>
    <row r="90" spans="1:27">
      <c r="A90" s="316" t="s">
        <v>377</v>
      </c>
      <c r="B90" s="316" t="s">
        <v>90</v>
      </c>
      <c r="C90" s="316" t="s">
        <v>667</v>
      </c>
      <c r="D90" s="316" t="s">
        <v>745</v>
      </c>
      <c r="E90" s="317">
        <v>45237</v>
      </c>
      <c r="F90" s="316" t="s">
        <v>514</v>
      </c>
      <c r="G90" s="316" t="s">
        <v>573</v>
      </c>
      <c r="H90" s="317">
        <v>45237</v>
      </c>
      <c r="J90" s="317">
        <v>45352.861817129633</v>
      </c>
      <c r="K90" s="316" t="s">
        <v>378</v>
      </c>
      <c r="L90" s="318">
        <v>2166125.87</v>
      </c>
      <c r="M90" s="318">
        <v>2166125.87</v>
      </c>
      <c r="N90" s="318">
        <v>2252663.0299999998</v>
      </c>
      <c r="O90" s="318">
        <v>2252663.0299999998</v>
      </c>
      <c r="P90" s="318">
        <v>13496.7</v>
      </c>
      <c r="Q90" s="318">
        <v>13496.7</v>
      </c>
      <c r="R90" s="318">
        <v>9201.02</v>
      </c>
      <c r="S90" s="318">
        <v>0</v>
      </c>
      <c r="T90" s="318">
        <v>86537.16</v>
      </c>
      <c r="U90" s="318">
        <v>9201.02</v>
      </c>
      <c r="V90" s="319">
        <v>100</v>
      </c>
      <c r="W90" s="319">
        <v>100</v>
      </c>
      <c r="X90" s="318">
        <v>99</v>
      </c>
      <c r="Y90" s="318">
        <v>99</v>
      </c>
      <c r="Z90" s="317"/>
      <c r="AA90" s="316"/>
    </row>
    <row r="91" spans="1:27">
      <c r="A91" s="316" t="s">
        <v>377</v>
      </c>
      <c r="B91" s="316" t="s">
        <v>90</v>
      </c>
      <c r="C91" s="316" t="s">
        <v>667</v>
      </c>
      <c r="D91" s="316" t="s">
        <v>746</v>
      </c>
      <c r="E91" s="317">
        <v>45219</v>
      </c>
      <c r="F91" s="316" t="s">
        <v>514</v>
      </c>
      <c r="G91" s="316" t="s">
        <v>574</v>
      </c>
      <c r="H91" s="317">
        <v>45219</v>
      </c>
      <c r="J91" s="317">
        <v>45352.861817129633</v>
      </c>
      <c r="K91" s="316" t="s">
        <v>378</v>
      </c>
      <c r="L91" s="318">
        <v>-393194.29</v>
      </c>
      <c r="M91" s="318">
        <v>-393194.29</v>
      </c>
      <c r="N91" s="318">
        <v>-856968.66</v>
      </c>
      <c r="O91" s="318">
        <v>-856968.66</v>
      </c>
      <c r="P91" s="318">
        <v>159491.39000000001</v>
      </c>
      <c r="Q91" s="318">
        <v>159491.39000000001</v>
      </c>
      <c r="R91" s="318">
        <v>35290.04</v>
      </c>
      <c r="S91" s="318">
        <v>0</v>
      </c>
      <c r="T91" s="318">
        <v>-463774.37</v>
      </c>
      <c r="U91" s="318">
        <v>35290.04</v>
      </c>
      <c r="V91" s="319">
        <v>98</v>
      </c>
      <c r="W91" s="319">
        <v>98</v>
      </c>
      <c r="X91" s="318">
        <v>99</v>
      </c>
      <c r="Y91" s="318">
        <v>99</v>
      </c>
      <c r="Z91" s="317"/>
      <c r="AA91" s="316"/>
    </row>
    <row r="92" spans="1:27">
      <c r="A92" s="316" t="s">
        <v>377</v>
      </c>
      <c r="B92" s="316" t="s">
        <v>90</v>
      </c>
      <c r="C92" s="316" t="s">
        <v>667</v>
      </c>
      <c r="D92" s="316" t="s">
        <v>747</v>
      </c>
      <c r="E92" s="317">
        <v>45169</v>
      </c>
      <c r="F92" s="316" t="s">
        <v>514</v>
      </c>
      <c r="G92" s="316" t="s">
        <v>575</v>
      </c>
      <c r="H92" s="317">
        <v>45169</v>
      </c>
      <c r="J92" s="317">
        <v>45352.861817129633</v>
      </c>
      <c r="K92" s="316" t="s">
        <v>378</v>
      </c>
      <c r="L92" s="318">
        <v>4659258.74</v>
      </c>
      <c r="M92" s="318">
        <v>4659258.74</v>
      </c>
      <c r="N92" s="318">
        <v>4722919.76</v>
      </c>
      <c r="O92" s="318">
        <v>4722919.76</v>
      </c>
      <c r="P92" s="318">
        <v>77866.58</v>
      </c>
      <c r="Q92" s="318">
        <v>77866.58</v>
      </c>
      <c r="R92" s="318">
        <v>8140.12</v>
      </c>
      <c r="S92" s="318">
        <v>0</v>
      </c>
      <c r="T92" s="318">
        <v>63661.02</v>
      </c>
      <c r="U92" s="318">
        <v>8140.12</v>
      </c>
      <c r="V92" s="319">
        <v>100</v>
      </c>
      <c r="W92" s="319">
        <v>100</v>
      </c>
      <c r="X92" s="318">
        <v>98.875</v>
      </c>
      <c r="Y92" s="318">
        <v>98.875</v>
      </c>
      <c r="Z92" s="317"/>
      <c r="AA92" s="316"/>
    </row>
    <row r="93" spans="1:27">
      <c r="A93" s="316" t="s">
        <v>377</v>
      </c>
      <c r="B93" s="316" t="s">
        <v>90</v>
      </c>
      <c r="C93" s="316" t="s">
        <v>750</v>
      </c>
      <c r="D93" s="316" t="s">
        <v>751</v>
      </c>
      <c r="E93" s="317">
        <v>45195</v>
      </c>
      <c r="F93" s="316" t="s">
        <v>514</v>
      </c>
      <c r="G93" s="316" t="s">
        <v>752</v>
      </c>
      <c r="H93" s="317">
        <v>46293</v>
      </c>
      <c r="I93" s="316" t="s">
        <v>892</v>
      </c>
      <c r="J93" s="317">
        <v>45352.861817129633</v>
      </c>
      <c r="K93" s="316" t="s">
        <v>378</v>
      </c>
      <c r="L93" s="318">
        <v>643439.92000000004</v>
      </c>
      <c r="M93" s="318">
        <v>643439.92000000004</v>
      </c>
      <c r="N93" s="318">
        <v>643439.92000000004</v>
      </c>
      <c r="O93" s="318">
        <v>643439.92000000004</v>
      </c>
      <c r="P93" s="318">
        <v>0</v>
      </c>
      <c r="Q93" s="318">
        <v>0</v>
      </c>
      <c r="R93" s="318">
        <v>0</v>
      </c>
      <c r="S93" s="318">
        <v>0</v>
      </c>
      <c r="T93" s="318">
        <v>0</v>
      </c>
      <c r="U93" s="318">
        <v>0</v>
      </c>
      <c r="V93" s="319">
        <v>1</v>
      </c>
      <c r="W93" s="319">
        <v>1</v>
      </c>
      <c r="X93" s="318">
        <v>0</v>
      </c>
      <c r="Y93" s="318">
        <v>0</v>
      </c>
      <c r="Z93" s="317"/>
      <c r="AA93" s="316"/>
    </row>
    <row r="94" spans="1:27">
      <c r="A94" s="316" t="s">
        <v>377</v>
      </c>
      <c r="B94" s="316" t="s">
        <v>90</v>
      </c>
      <c r="C94" s="316" t="s">
        <v>750</v>
      </c>
      <c r="D94" s="316" t="s">
        <v>751</v>
      </c>
      <c r="E94" s="317">
        <v>45231</v>
      </c>
      <c r="F94" s="316" t="s">
        <v>514</v>
      </c>
      <c r="G94" s="316" t="s">
        <v>752</v>
      </c>
      <c r="H94" s="317">
        <v>46328</v>
      </c>
      <c r="I94" s="316" t="s">
        <v>892</v>
      </c>
      <c r="J94" s="317">
        <v>45352.861817129633</v>
      </c>
      <c r="K94" s="316" t="s">
        <v>378</v>
      </c>
      <c r="L94" s="318">
        <v>2922125</v>
      </c>
      <c r="M94" s="318">
        <v>2922125</v>
      </c>
      <c r="N94" s="318">
        <v>2922125</v>
      </c>
      <c r="O94" s="318">
        <v>2922125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9">
        <v>1</v>
      </c>
      <c r="W94" s="319">
        <v>1</v>
      </c>
      <c r="X94" s="318">
        <v>0</v>
      </c>
      <c r="Y94" s="318">
        <v>0</v>
      </c>
      <c r="Z94" s="317"/>
      <c r="AA94" s="316"/>
    </row>
    <row r="95" spans="1:27">
      <c r="A95" s="316" t="s">
        <v>377</v>
      </c>
      <c r="B95" s="316" t="s">
        <v>90</v>
      </c>
      <c r="C95" s="316" t="s">
        <v>750</v>
      </c>
      <c r="D95" s="316" t="s">
        <v>751</v>
      </c>
      <c r="E95" s="317">
        <v>45245</v>
      </c>
      <c r="F95" s="316" t="s">
        <v>514</v>
      </c>
      <c r="G95" s="316" t="s">
        <v>752</v>
      </c>
      <c r="H95" s="317">
        <v>46343</v>
      </c>
      <c r="I95" s="316" t="s">
        <v>892</v>
      </c>
      <c r="J95" s="317">
        <v>45352.861817129633</v>
      </c>
      <c r="K95" s="316" t="s">
        <v>378</v>
      </c>
      <c r="L95" s="318">
        <v>19147900.899999999</v>
      </c>
      <c r="M95" s="318">
        <v>19147900.899999999</v>
      </c>
      <c r="N95" s="318">
        <v>19147900.899999999</v>
      </c>
      <c r="O95" s="318">
        <v>19147900.899999999</v>
      </c>
      <c r="P95" s="318">
        <v>0</v>
      </c>
      <c r="Q95" s="318">
        <v>0</v>
      </c>
      <c r="R95" s="318">
        <v>0</v>
      </c>
      <c r="S95" s="318">
        <v>0</v>
      </c>
      <c r="T95" s="318">
        <v>0</v>
      </c>
      <c r="U95" s="318">
        <v>0</v>
      </c>
      <c r="V95" s="319">
        <v>1</v>
      </c>
      <c r="W95" s="319">
        <v>1</v>
      </c>
      <c r="X95" s="318">
        <v>0</v>
      </c>
      <c r="Y95" s="318">
        <v>0</v>
      </c>
      <c r="Z95" s="317"/>
      <c r="AA95" s="316"/>
    </row>
    <row r="96" spans="1:27">
      <c r="A96" s="316" t="s">
        <v>377</v>
      </c>
      <c r="B96" s="316" t="s">
        <v>90</v>
      </c>
      <c r="C96" s="316" t="s">
        <v>750</v>
      </c>
      <c r="D96" s="316" t="s">
        <v>751</v>
      </c>
      <c r="E96" s="317">
        <v>45258</v>
      </c>
      <c r="F96" s="316" t="s">
        <v>514</v>
      </c>
      <c r="G96" s="316" t="s">
        <v>752</v>
      </c>
      <c r="H96" s="317">
        <v>46293</v>
      </c>
      <c r="I96" s="316" t="s">
        <v>892</v>
      </c>
      <c r="J96" s="317">
        <v>45352.861817129633</v>
      </c>
      <c r="K96" s="316" t="s">
        <v>378</v>
      </c>
      <c r="L96" s="318">
        <v>637470.03</v>
      </c>
      <c r="M96" s="318">
        <v>637470.03</v>
      </c>
      <c r="N96" s="318">
        <v>637470.03</v>
      </c>
      <c r="O96" s="318">
        <v>637470.03</v>
      </c>
      <c r="P96" s="318">
        <v>0</v>
      </c>
      <c r="Q96" s="318">
        <v>0</v>
      </c>
      <c r="R96" s="318">
        <v>0</v>
      </c>
      <c r="S96" s="318">
        <v>0</v>
      </c>
      <c r="T96" s="318">
        <v>0</v>
      </c>
      <c r="U96" s="318">
        <v>0</v>
      </c>
      <c r="V96" s="319">
        <v>1</v>
      </c>
      <c r="W96" s="319">
        <v>1</v>
      </c>
      <c r="X96" s="318">
        <v>0</v>
      </c>
      <c r="Y96" s="318">
        <v>0</v>
      </c>
      <c r="Z96" s="317"/>
      <c r="AA96" s="316"/>
    </row>
    <row r="97" spans="1:27">
      <c r="A97" s="316" t="s">
        <v>377</v>
      </c>
      <c r="B97" s="316" t="s">
        <v>90</v>
      </c>
      <c r="C97" s="316" t="s">
        <v>750</v>
      </c>
      <c r="D97" s="316" t="s">
        <v>751</v>
      </c>
      <c r="E97" s="317">
        <v>45310</v>
      </c>
      <c r="F97" s="316" t="s">
        <v>514</v>
      </c>
      <c r="G97" s="316" t="s">
        <v>752</v>
      </c>
      <c r="H97" s="317">
        <v>46293</v>
      </c>
      <c r="I97" s="316" t="s">
        <v>892</v>
      </c>
      <c r="J97" s="317">
        <v>45352.861817129633</v>
      </c>
      <c r="K97" s="316" t="s">
        <v>378</v>
      </c>
      <c r="L97" s="318">
        <v>3831455.24</v>
      </c>
      <c r="M97" s="318">
        <v>3831455.24</v>
      </c>
      <c r="N97" s="318">
        <v>3831455.24</v>
      </c>
      <c r="O97" s="318">
        <v>3831455.24</v>
      </c>
      <c r="P97" s="318">
        <v>0</v>
      </c>
      <c r="Q97" s="318">
        <v>0</v>
      </c>
      <c r="R97" s="318">
        <v>0</v>
      </c>
      <c r="S97" s="318">
        <v>0</v>
      </c>
      <c r="T97" s="318">
        <v>0</v>
      </c>
      <c r="U97" s="318">
        <v>0</v>
      </c>
      <c r="V97" s="319">
        <v>1</v>
      </c>
      <c r="W97" s="319">
        <v>1</v>
      </c>
      <c r="X97" s="318">
        <v>0</v>
      </c>
      <c r="Y97" s="318">
        <v>0</v>
      </c>
      <c r="Z97" s="317"/>
      <c r="AA97" s="316"/>
    </row>
    <row r="98" spans="1:27">
      <c r="A98" s="316" t="s">
        <v>377</v>
      </c>
      <c r="B98" s="316" t="s">
        <v>90</v>
      </c>
      <c r="C98" s="316" t="s">
        <v>750</v>
      </c>
      <c r="D98" s="316" t="s">
        <v>751</v>
      </c>
      <c r="E98" s="317">
        <v>45345</v>
      </c>
      <c r="F98" s="316" t="s">
        <v>514</v>
      </c>
      <c r="G98" s="316" t="s">
        <v>752</v>
      </c>
      <c r="H98" s="317">
        <v>46343</v>
      </c>
      <c r="I98" s="316" t="s">
        <v>892</v>
      </c>
      <c r="J98" s="317">
        <v>45352.861817129633</v>
      </c>
      <c r="K98" s="316" t="s">
        <v>378</v>
      </c>
      <c r="L98" s="318">
        <v>30766447.07</v>
      </c>
      <c r="M98" s="318">
        <v>30766447.07</v>
      </c>
      <c r="N98" s="318">
        <v>30766447.07</v>
      </c>
      <c r="O98" s="318">
        <v>30766447.07</v>
      </c>
      <c r="P98" s="318">
        <v>0</v>
      </c>
      <c r="Q98" s="318">
        <v>0</v>
      </c>
      <c r="R98" s="318">
        <v>0</v>
      </c>
      <c r="S98" s="318">
        <v>0</v>
      </c>
      <c r="T98" s="318">
        <v>0</v>
      </c>
      <c r="U98" s="318">
        <v>0</v>
      </c>
      <c r="V98" s="319">
        <v>1</v>
      </c>
      <c r="W98" s="319">
        <v>1</v>
      </c>
      <c r="X98" s="318">
        <v>0</v>
      </c>
      <c r="Y98" s="318">
        <v>0</v>
      </c>
      <c r="Z98" s="317"/>
      <c r="AA98" s="316"/>
    </row>
    <row r="99" spans="1:27">
      <c r="A99" s="316" t="s">
        <v>377</v>
      </c>
      <c r="B99" s="316" t="s">
        <v>90</v>
      </c>
      <c r="C99" s="316" t="s">
        <v>750</v>
      </c>
      <c r="D99" s="316" t="s">
        <v>751</v>
      </c>
      <c r="E99" s="317">
        <v>45348</v>
      </c>
      <c r="F99" s="316" t="s">
        <v>514</v>
      </c>
      <c r="G99" s="316" t="s">
        <v>752</v>
      </c>
      <c r="H99" s="317">
        <v>46293</v>
      </c>
      <c r="I99" s="316" t="s">
        <v>892</v>
      </c>
      <c r="J99" s="317">
        <v>45352.861817129633</v>
      </c>
      <c r="K99" s="316" t="s">
        <v>378</v>
      </c>
      <c r="L99" s="318">
        <v>20544450.66</v>
      </c>
      <c r="M99" s="318">
        <v>20544450.66</v>
      </c>
      <c r="N99" s="318">
        <v>20544450.66</v>
      </c>
      <c r="O99" s="318">
        <v>20544450.66</v>
      </c>
      <c r="P99" s="318">
        <v>0</v>
      </c>
      <c r="Q99" s="318">
        <v>0</v>
      </c>
      <c r="R99" s="318">
        <v>0</v>
      </c>
      <c r="S99" s="318">
        <v>0</v>
      </c>
      <c r="T99" s="318">
        <v>0</v>
      </c>
      <c r="U99" s="318">
        <v>0</v>
      </c>
      <c r="V99" s="319">
        <v>1</v>
      </c>
      <c r="W99" s="319">
        <v>1</v>
      </c>
      <c r="X99" s="318">
        <v>0</v>
      </c>
      <c r="Y99" s="318">
        <v>0</v>
      </c>
      <c r="Z99" s="317"/>
      <c r="AA99" s="316"/>
    </row>
    <row r="100" spans="1:27">
      <c r="A100" s="316" t="s">
        <v>377</v>
      </c>
      <c r="B100" s="316" t="s">
        <v>90</v>
      </c>
      <c r="C100" s="316" t="s">
        <v>750</v>
      </c>
      <c r="D100" s="316" t="s">
        <v>751</v>
      </c>
      <c r="E100" s="317">
        <v>45350</v>
      </c>
      <c r="F100" s="316" t="s">
        <v>514</v>
      </c>
      <c r="G100" s="316" t="s">
        <v>752</v>
      </c>
      <c r="H100" s="317">
        <v>46293</v>
      </c>
      <c r="I100" s="316" t="s">
        <v>892</v>
      </c>
      <c r="J100" s="317">
        <v>45352.861817129633</v>
      </c>
      <c r="K100" s="316" t="s">
        <v>378</v>
      </c>
      <c r="L100" s="318">
        <v>1373420.45</v>
      </c>
      <c r="M100" s="318">
        <v>1373420.45</v>
      </c>
      <c r="N100" s="318">
        <v>1373420.45</v>
      </c>
      <c r="O100" s="318">
        <v>1373420.45</v>
      </c>
      <c r="P100" s="318">
        <v>0</v>
      </c>
      <c r="Q100" s="318">
        <v>0</v>
      </c>
      <c r="R100" s="318">
        <v>0</v>
      </c>
      <c r="S100" s="318">
        <v>0</v>
      </c>
      <c r="T100" s="318">
        <v>0</v>
      </c>
      <c r="U100" s="318">
        <v>0</v>
      </c>
      <c r="V100" s="319">
        <v>1</v>
      </c>
      <c r="W100" s="319">
        <v>1</v>
      </c>
      <c r="X100" s="318">
        <v>0</v>
      </c>
      <c r="Y100" s="318">
        <v>0</v>
      </c>
      <c r="Z100" s="317"/>
      <c r="AA100" s="316"/>
    </row>
    <row r="101" spans="1:27">
      <c r="A101" s="316" t="s">
        <v>377</v>
      </c>
      <c r="B101" s="316" t="s">
        <v>90</v>
      </c>
      <c r="C101" s="316" t="s">
        <v>753</v>
      </c>
      <c r="D101" s="316" t="s">
        <v>754</v>
      </c>
      <c r="E101" s="317">
        <v>45177</v>
      </c>
      <c r="F101" s="316" t="s">
        <v>514</v>
      </c>
      <c r="G101" s="316" t="s">
        <v>754</v>
      </c>
      <c r="H101" s="317">
        <v>45177</v>
      </c>
      <c r="J101" s="317">
        <v>45352.861817129633</v>
      </c>
      <c r="K101" s="316" t="s">
        <v>378</v>
      </c>
      <c r="L101" s="318">
        <v>12949.87</v>
      </c>
      <c r="M101" s="318">
        <v>12949.87</v>
      </c>
      <c r="N101" s="318">
        <v>12949.87</v>
      </c>
      <c r="O101" s="318">
        <v>12949.87</v>
      </c>
      <c r="P101" s="318">
        <v>0</v>
      </c>
      <c r="Q101" s="318">
        <v>0</v>
      </c>
      <c r="R101" s="318">
        <v>0</v>
      </c>
      <c r="S101" s="318">
        <v>0</v>
      </c>
      <c r="T101" s="318">
        <v>0</v>
      </c>
      <c r="U101" s="318">
        <v>0</v>
      </c>
      <c r="V101" s="319">
        <v>1</v>
      </c>
      <c r="W101" s="319">
        <v>1</v>
      </c>
      <c r="X101" s="318">
        <v>1</v>
      </c>
      <c r="Y101" s="318">
        <v>1</v>
      </c>
      <c r="Z101" s="317"/>
      <c r="AA101" s="316"/>
    </row>
    <row r="102" spans="1:27">
      <c r="A102" s="316" t="s">
        <v>377</v>
      </c>
      <c r="B102" s="316" t="s">
        <v>90</v>
      </c>
      <c r="C102" s="316" t="s">
        <v>753</v>
      </c>
      <c r="D102" s="316" t="s">
        <v>754</v>
      </c>
      <c r="E102" s="317">
        <v>45197</v>
      </c>
      <c r="F102" s="316" t="s">
        <v>514</v>
      </c>
      <c r="G102" s="316" t="s">
        <v>754</v>
      </c>
      <c r="H102" s="317">
        <v>45197</v>
      </c>
      <c r="J102" s="317">
        <v>45352.861817129633</v>
      </c>
      <c r="K102" s="316" t="s">
        <v>378</v>
      </c>
      <c r="L102" s="318">
        <v>43873.919999999998</v>
      </c>
      <c r="M102" s="318">
        <v>43873.919999999998</v>
      </c>
      <c r="N102" s="318">
        <v>43873.919999999998</v>
      </c>
      <c r="O102" s="318">
        <v>43873.919999999998</v>
      </c>
      <c r="P102" s="318">
        <v>0</v>
      </c>
      <c r="Q102" s="318">
        <v>0</v>
      </c>
      <c r="R102" s="318">
        <v>0</v>
      </c>
      <c r="S102" s="318">
        <v>0</v>
      </c>
      <c r="T102" s="318">
        <v>0</v>
      </c>
      <c r="U102" s="318">
        <v>0</v>
      </c>
      <c r="V102" s="319">
        <v>1</v>
      </c>
      <c r="W102" s="319">
        <v>1</v>
      </c>
      <c r="X102" s="318">
        <v>1</v>
      </c>
      <c r="Y102" s="318">
        <v>1</v>
      </c>
      <c r="Z102" s="317"/>
      <c r="AA102" s="316"/>
    </row>
    <row r="103" spans="1:27">
      <c r="A103" s="316" t="s">
        <v>377</v>
      </c>
      <c r="B103" s="316" t="s">
        <v>90</v>
      </c>
      <c r="C103" s="316" t="s">
        <v>753</v>
      </c>
      <c r="D103" s="316" t="s">
        <v>754</v>
      </c>
      <c r="E103" s="317">
        <v>45223</v>
      </c>
      <c r="F103" s="316" t="s">
        <v>514</v>
      </c>
      <c r="G103" s="316" t="s">
        <v>754</v>
      </c>
      <c r="H103" s="317">
        <v>45223</v>
      </c>
      <c r="J103" s="317">
        <v>45352.861817129633</v>
      </c>
      <c r="K103" s="316" t="s">
        <v>378</v>
      </c>
      <c r="L103" s="318">
        <v>43873.919999999998</v>
      </c>
      <c r="M103" s="318">
        <v>43873.919999999998</v>
      </c>
      <c r="N103" s="318">
        <v>43873.919999999998</v>
      </c>
      <c r="O103" s="318">
        <v>43873.919999999998</v>
      </c>
      <c r="P103" s="318">
        <v>0</v>
      </c>
      <c r="Q103" s="318">
        <v>0</v>
      </c>
      <c r="R103" s="318">
        <v>0</v>
      </c>
      <c r="S103" s="318">
        <v>0</v>
      </c>
      <c r="T103" s="318">
        <v>0</v>
      </c>
      <c r="U103" s="318">
        <v>0</v>
      </c>
      <c r="V103" s="319">
        <v>1</v>
      </c>
      <c r="W103" s="319">
        <v>1</v>
      </c>
      <c r="X103" s="318">
        <v>1</v>
      </c>
      <c r="Y103" s="318">
        <v>1</v>
      </c>
      <c r="Z103" s="317"/>
      <c r="AA103" s="316"/>
    </row>
    <row r="104" spans="1:27">
      <c r="A104" s="316" t="s">
        <v>377</v>
      </c>
      <c r="B104" s="316" t="s">
        <v>90</v>
      </c>
      <c r="C104" s="316" t="s">
        <v>753</v>
      </c>
      <c r="D104" s="316" t="s">
        <v>754</v>
      </c>
      <c r="E104" s="317">
        <v>45229</v>
      </c>
      <c r="F104" s="316" t="s">
        <v>514</v>
      </c>
      <c r="G104" s="316" t="s">
        <v>754</v>
      </c>
      <c r="H104" s="317">
        <v>45229</v>
      </c>
      <c r="J104" s="317">
        <v>45352.861817129633</v>
      </c>
      <c r="K104" s="316" t="s">
        <v>378</v>
      </c>
      <c r="L104" s="318">
        <v>92135.24</v>
      </c>
      <c r="M104" s="318">
        <v>92135.24</v>
      </c>
      <c r="N104" s="318">
        <v>92135.24</v>
      </c>
      <c r="O104" s="318">
        <v>92135.24</v>
      </c>
      <c r="P104" s="318">
        <v>0</v>
      </c>
      <c r="Q104" s="318">
        <v>0</v>
      </c>
      <c r="R104" s="318">
        <v>0</v>
      </c>
      <c r="S104" s="318">
        <v>0</v>
      </c>
      <c r="T104" s="318">
        <v>0</v>
      </c>
      <c r="U104" s="318">
        <v>0</v>
      </c>
      <c r="V104" s="319">
        <v>1</v>
      </c>
      <c r="W104" s="319">
        <v>1</v>
      </c>
      <c r="X104" s="318">
        <v>1</v>
      </c>
      <c r="Y104" s="318">
        <v>1</v>
      </c>
      <c r="Z104" s="317"/>
      <c r="AA104" s="316"/>
    </row>
    <row r="105" spans="1:27">
      <c r="A105" s="316" t="s">
        <v>377</v>
      </c>
      <c r="B105" s="316" t="s">
        <v>90</v>
      </c>
      <c r="C105" s="316" t="s">
        <v>753</v>
      </c>
      <c r="D105" s="316" t="s">
        <v>754</v>
      </c>
      <c r="E105" s="317">
        <v>45237</v>
      </c>
      <c r="F105" s="316" t="s">
        <v>514</v>
      </c>
      <c r="G105" s="316" t="s">
        <v>754</v>
      </c>
      <c r="H105" s="317">
        <v>45237</v>
      </c>
      <c r="J105" s="317">
        <v>45352.861817129633</v>
      </c>
      <c r="K105" s="316" t="s">
        <v>378</v>
      </c>
      <c r="L105" s="318">
        <v>97532.160000000003</v>
      </c>
      <c r="M105" s="318">
        <v>97532.160000000003</v>
      </c>
      <c r="N105" s="318">
        <v>97532.160000000003</v>
      </c>
      <c r="O105" s="318">
        <v>97532.160000000003</v>
      </c>
      <c r="P105" s="318">
        <v>0</v>
      </c>
      <c r="Q105" s="318">
        <v>0</v>
      </c>
      <c r="R105" s="318">
        <v>0</v>
      </c>
      <c r="S105" s="318">
        <v>0</v>
      </c>
      <c r="T105" s="318">
        <v>0</v>
      </c>
      <c r="U105" s="318">
        <v>0</v>
      </c>
      <c r="V105" s="319">
        <v>1</v>
      </c>
      <c r="W105" s="319">
        <v>1</v>
      </c>
      <c r="X105" s="318">
        <v>1</v>
      </c>
      <c r="Y105" s="318">
        <v>1</v>
      </c>
      <c r="Z105" s="317"/>
      <c r="AA105" s="316"/>
    </row>
    <row r="106" spans="1:27">
      <c r="A106" s="316" t="s">
        <v>377</v>
      </c>
      <c r="B106" s="316" t="s">
        <v>90</v>
      </c>
      <c r="C106" s="316" t="s">
        <v>753</v>
      </c>
      <c r="D106" s="316" t="s">
        <v>754</v>
      </c>
      <c r="E106" s="317">
        <v>45239</v>
      </c>
      <c r="F106" s="316" t="s">
        <v>514</v>
      </c>
      <c r="G106" s="316" t="s">
        <v>754</v>
      </c>
      <c r="H106" s="317">
        <v>45239</v>
      </c>
      <c r="J106" s="317">
        <v>45352.861817129633</v>
      </c>
      <c r="K106" s="316" t="s">
        <v>378</v>
      </c>
      <c r="L106" s="318">
        <v>92135.24</v>
      </c>
      <c r="M106" s="318">
        <v>92135.24</v>
      </c>
      <c r="N106" s="318">
        <v>92135.24</v>
      </c>
      <c r="O106" s="318">
        <v>92135.24</v>
      </c>
      <c r="P106" s="318">
        <v>0</v>
      </c>
      <c r="Q106" s="318">
        <v>0</v>
      </c>
      <c r="R106" s="318">
        <v>0</v>
      </c>
      <c r="S106" s="318">
        <v>0</v>
      </c>
      <c r="T106" s="318">
        <v>0</v>
      </c>
      <c r="U106" s="318">
        <v>0</v>
      </c>
      <c r="V106" s="319">
        <v>1</v>
      </c>
      <c r="W106" s="319">
        <v>1</v>
      </c>
      <c r="X106" s="318">
        <v>1</v>
      </c>
      <c r="Y106" s="318">
        <v>1</v>
      </c>
      <c r="Z106" s="317"/>
      <c r="AA106" s="316"/>
    </row>
    <row r="107" spans="1:27">
      <c r="A107" s="316" t="s">
        <v>377</v>
      </c>
      <c r="B107" s="316" t="s">
        <v>90</v>
      </c>
      <c r="C107" s="316" t="s">
        <v>753</v>
      </c>
      <c r="D107" s="316" t="s">
        <v>754</v>
      </c>
      <c r="E107" s="317">
        <v>45258</v>
      </c>
      <c r="F107" s="316" t="s">
        <v>514</v>
      </c>
      <c r="G107" s="316" t="s">
        <v>754</v>
      </c>
      <c r="H107" s="317">
        <v>45258</v>
      </c>
      <c r="J107" s="317">
        <v>45352.861817129633</v>
      </c>
      <c r="K107" s="316" t="s">
        <v>378</v>
      </c>
      <c r="L107" s="318">
        <v>87747.85</v>
      </c>
      <c r="M107" s="318">
        <v>87747.85</v>
      </c>
      <c r="N107" s="318">
        <v>87747.85</v>
      </c>
      <c r="O107" s="318">
        <v>87747.85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9">
        <v>1</v>
      </c>
      <c r="W107" s="319">
        <v>1</v>
      </c>
      <c r="X107" s="318">
        <v>1</v>
      </c>
      <c r="Y107" s="318">
        <v>1</v>
      </c>
      <c r="Z107" s="317"/>
      <c r="AA107" s="316"/>
    </row>
    <row r="108" spans="1:27">
      <c r="A108" s="316" t="s">
        <v>377</v>
      </c>
      <c r="B108" s="316" t="s">
        <v>90</v>
      </c>
      <c r="C108" s="316" t="s">
        <v>753</v>
      </c>
      <c r="D108" s="316" t="s">
        <v>754</v>
      </c>
      <c r="E108" s="317">
        <v>45314</v>
      </c>
      <c r="F108" s="316" t="s">
        <v>514</v>
      </c>
      <c r="G108" s="316" t="s">
        <v>754</v>
      </c>
      <c r="H108" s="317">
        <v>45314</v>
      </c>
      <c r="J108" s="317">
        <v>45352.861817129633</v>
      </c>
      <c r="K108" s="316" t="s">
        <v>378</v>
      </c>
      <c r="L108" s="318">
        <v>97532.160000000003</v>
      </c>
      <c r="M108" s="318">
        <v>97532.160000000003</v>
      </c>
      <c r="N108" s="318">
        <v>97532.160000000003</v>
      </c>
      <c r="O108" s="318">
        <v>97532.160000000003</v>
      </c>
      <c r="P108" s="318">
        <v>0</v>
      </c>
      <c r="Q108" s="318">
        <v>0</v>
      </c>
      <c r="R108" s="318">
        <v>0</v>
      </c>
      <c r="S108" s="318">
        <v>0</v>
      </c>
      <c r="T108" s="318">
        <v>0</v>
      </c>
      <c r="U108" s="318">
        <v>0</v>
      </c>
      <c r="V108" s="319">
        <v>1</v>
      </c>
      <c r="W108" s="319">
        <v>1</v>
      </c>
      <c r="X108" s="318">
        <v>1</v>
      </c>
      <c r="Y108" s="318">
        <v>1</v>
      </c>
      <c r="Z108" s="317"/>
      <c r="AA108" s="316"/>
    </row>
    <row r="109" spans="1:27">
      <c r="A109" s="316" t="s">
        <v>377</v>
      </c>
      <c r="B109" s="316" t="s">
        <v>90</v>
      </c>
      <c r="C109" s="316" t="s">
        <v>753</v>
      </c>
      <c r="D109" s="316" t="s">
        <v>754</v>
      </c>
      <c r="E109" s="317">
        <v>45328</v>
      </c>
      <c r="F109" s="316" t="s">
        <v>514</v>
      </c>
      <c r="G109" s="316" t="s">
        <v>754</v>
      </c>
      <c r="H109" s="317">
        <v>45328</v>
      </c>
      <c r="J109" s="317">
        <v>45352.861817129633</v>
      </c>
      <c r="K109" s="316" t="s">
        <v>378</v>
      </c>
      <c r="L109" s="318">
        <v>965.74</v>
      </c>
      <c r="M109" s="318">
        <v>965.74</v>
      </c>
      <c r="N109" s="318">
        <v>965.74</v>
      </c>
      <c r="O109" s="318">
        <v>965.74</v>
      </c>
      <c r="P109" s="318">
        <v>0</v>
      </c>
      <c r="Q109" s="318">
        <v>0</v>
      </c>
      <c r="R109" s="318">
        <v>0</v>
      </c>
      <c r="S109" s="318">
        <v>0</v>
      </c>
      <c r="T109" s="318">
        <v>0</v>
      </c>
      <c r="U109" s="318">
        <v>0</v>
      </c>
      <c r="V109" s="319">
        <v>1</v>
      </c>
      <c r="W109" s="319">
        <v>1</v>
      </c>
      <c r="X109" s="318">
        <v>1</v>
      </c>
      <c r="Y109" s="318">
        <v>1</v>
      </c>
      <c r="Z109" s="317"/>
      <c r="AA109" s="316"/>
    </row>
    <row r="110" spans="1:27">
      <c r="A110" s="316" t="s">
        <v>377</v>
      </c>
      <c r="B110" s="316" t="s">
        <v>90</v>
      </c>
      <c r="C110" s="316" t="s">
        <v>755</v>
      </c>
      <c r="D110" s="316" t="s">
        <v>756</v>
      </c>
      <c r="E110" s="317">
        <v>45169</v>
      </c>
      <c r="F110" s="316" t="s">
        <v>514</v>
      </c>
      <c r="G110" s="316" t="s">
        <v>578</v>
      </c>
      <c r="H110" s="317">
        <v>45169</v>
      </c>
      <c r="J110" s="317">
        <v>45352.861817129633</v>
      </c>
      <c r="K110" s="316" t="s">
        <v>378</v>
      </c>
      <c r="L110" s="318">
        <v>43681.2</v>
      </c>
      <c r="M110" s="318">
        <v>43681.2</v>
      </c>
      <c r="N110" s="318">
        <v>45680.08</v>
      </c>
      <c r="O110" s="318">
        <v>45680.08</v>
      </c>
      <c r="P110" s="318">
        <v>0</v>
      </c>
      <c r="Q110" s="318">
        <v>0</v>
      </c>
      <c r="R110" s="318">
        <v>0</v>
      </c>
      <c r="S110" s="318">
        <v>0</v>
      </c>
      <c r="T110" s="318">
        <v>1998.88</v>
      </c>
      <c r="U110" s="318">
        <v>0</v>
      </c>
      <c r="V110" s="319">
        <v>1.0876209999999999</v>
      </c>
      <c r="W110" s="319">
        <v>1.0876209999999999</v>
      </c>
      <c r="X110" s="318">
        <v>1</v>
      </c>
      <c r="Y110" s="318">
        <v>1</v>
      </c>
      <c r="Z110" s="317"/>
      <c r="AA110" s="316"/>
    </row>
    <row r="111" spans="1:27">
      <c r="A111" s="316" t="s">
        <v>377</v>
      </c>
      <c r="B111" s="316" t="s">
        <v>90</v>
      </c>
      <c r="C111" s="316" t="s">
        <v>757</v>
      </c>
      <c r="D111" s="316" t="s">
        <v>761</v>
      </c>
      <c r="E111" s="317">
        <v>45201</v>
      </c>
      <c r="F111" s="316" t="s">
        <v>514</v>
      </c>
      <c r="G111" s="316" t="s">
        <v>580</v>
      </c>
      <c r="H111" s="317">
        <v>45201</v>
      </c>
      <c r="J111" s="317">
        <v>45352.861817129633</v>
      </c>
      <c r="K111" s="316" t="s">
        <v>378</v>
      </c>
      <c r="L111" s="318">
        <v>919532.67</v>
      </c>
      <c r="M111" s="318">
        <v>919532.67</v>
      </c>
      <c r="N111" s="318">
        <v>905188.2</v>
      </c>
      <c r="O111" s="318">
        <v>905188.2</v>
      </c>
      <c r="P111" s="318">
        <v>27067.51</v>
      </c>
      <c r="Q111" s="318">
        <v>27067.51</v>
      </c>
      <c r="R111" s="318">
        <v>14344.47</v>
      </c>
      <c r="S111" s="318">
        <v>0</v>
      </c>
      <c r="T111" s="318">
        <v>-14344.47</v>
      </c>
      <c r="U111" s="318">
        <v>14344.47</v>
      </c>
      <c r="V111" s="319">
        <v>96</v>
      </c>
      <c r="W111" s="319">
        <v>96</v>
      </c>
      <c r="X111" s="318">
        <v>96</v>
      </c>
      <c r="Y111" s="318">
        <v>96</v>
      </c>
      <c r="Z111" s="317"/>
      <c r="AA111" s="316"/>
    </row>
    <row r="112" spans="1:27">
      <c r="A112" s="316" t="s">
        <v>377</v>
      </c>
      <c r="B112" s="316" t="s">
        <v>90</v>
      </c>
      <c r="C112" s="316" t="s">
        <v>757</v>
      </c>
      <c r="D112" s="316" t="s">
        <v>762</v>
      </c>
      <c r="E112" s="317">
        <v>45250</v>
      </c>
      <c r="F112" s="316" t="s">
        <v>514</v>
      </c>
      <c r="G112" s="316" t="s">
        <v>581</v>
      </c>
      <c r="H112" s="317">
        <v>45264</v>
      </c>
      <c r="I112" s="316" t="s">
        <v>893</v>
      </c>
      <c r="J112" s="317">
        <v>45352.861817129633</v>
      </c>
      <c r="K112" s="316" t="s">
        <v>378</v>
      </c>
      <c r="L112" s="318">
        <v>-16260.32</v>
      </c>
      <c r="M112" s="318">
        <v>-16260.32</v>
      </c>
      <c r="N112" s="318">
        <v>-33918.86</v>
      </c>
      <c r="O112" s="318">
        <v>-33918.86</v>
      </c>
      <c r="P112" s="318">
        <v>1732.23</v>
      </c>
      <c r="Q112" s="318">
        <v>1732.23</v>
      </c>
      <c r="R112" s="318">
        <v>699.11</v>
      </c>
      <c r="S112" s="318">
        <v>0</v>
      </c>
      <c r="T112" s="318">
        <v>-17658.54</v>
      </c>
      <c r="U112" s="318">
        <v>699.11</v>
      </c>
      <c r="V112" s="319">
        <v>98</v>
      </c>
      <c r="W112" s="319">
        <v>98</v>
      </c>
      <c r="X112" s="318">
        <v>99</v>
      </c>
      <c r="Y112" s="318">
        <v>99</v>
      </c>
      <c r="Z112" s="317"/>
      <c r="AA112" s="316"/>
    </row>
    <row r="113" spans="1:27">
      <c r="A113" s="316" t="s">
        <v>377</v>
      </c>
      <c r="B113" s="316" t="s">
        <v>90</v>
      </c>
      <c r="C113" s="316" t="s">
        <v>757</v>
      </c>
      <c r="D113" s="316" t="s">
        <v>763</v>
      </c>
      <c r="E113" s="317">
        <v>45278</v>
      </c>
      <c r="F113" s="316" t="s">
        <v>514</v>
      </c>
      <c r="G113" s="316" t="s">
        <v>582</v>
      </c>
      <c r="H113" s="317">
        <v>45278</v>
      </c>
      <c r="J113" s="317">
        <v>45352.861817129633</v>
      </c>
      <c r="K113" s="316" t="s">
        <v>378</v>
      </c>
      <c r="L113" s="318">
        <v>856.2</v>
      </c>
      <c r="M113" s="318">
        <v>856.2</v>
      </c>
      <c r="N113" s="318">
        <v>866.04</v>
      </c>
      <c r="O113" s="318">
        <v>866.04</v>
      </c>
      <c r="P113" s="318">
        <v>8.4</v>
      </c>
      <c r="Q113" s="318">
        <v>8.4</v>
      </c>
      <c r="R113" s="318">
        <v>1.1200000000000001</v>
      </c>
      <c r="S113" s="318">
        <v>0</v>
      </c>
      <c r="T113" s="318">
        <v>9.84</v>
      </c>
      <c r="U113" s="318">
        <v>1.1200000000000001</v>
      </c>
      <c r="V113" s="319">
        <v>98.75</v>
      </c>
      <c r="W113" s="319">
        <v>98.75</v>
      </c>
      <c r="X113" s="318">
        <v>97.5</v>
      </c>
      <c r="Y113" s="318">
        <v>97.5</v>
      </c>
      <c r="Z113" s="317"/>
      <c r="AA113" s="316"/>
    </row>
    <row r="114" spans="1:27">
      <c r="A114" s="316" t="s">
        <v>377</v>
      </c>
      <c r="B114" s="316" t="s">
        <v>90</v>
      </c>
      <c r="C114" s="316" t="s">
        <v>757</v>
      </c>
      <c r="D114" s="316" t="s">
        <v>764</v>
      </c>
      <c r="E114" s="317">
        <v>45237</v>
      </c>
      <c r="F114" s="316" t="s">
        <v>514</v>
      </c>
      <c r="G114" s="316" t="s">
        <v>583</v>
      </c>
      <c r="H114" s="317">
        <v>45237</v>
      </c>
      <c r="J114" s="317">
        <v>45352.861817129633</v>
      </c>
      <c r="K114" s="316" t="s">
        <v>378</v>
      </c>
      <c r="L114" s="318">
        <v>489042.46</v>
      </c>
      <c r="M114" s="318">
        <v>489042.46</v>
      </c>
      <c r="N114" s="318">
        <v>484719.22</v>
      </c>
      <c r="O114" s="318">
        <v>484719.22</v>
      </c>
      <c r="P114" s="318">
        <v>7259.82</v>
      </c>
      <c r="Q114" s="318">
        <v>7259.82</v>
      </c>
      <c r="R114" s="318">
        <v>4323.24</v>
      </c>
      <c r="S114" s="318">
        <v>0</v>
      </c>
      <c r="T114" s="318">
        <v>-4323.24</v>
      </c>
      <c r="U114" s="318">
        <v>4323.24</v>
      </c>
      <c r="V114" s="319">
        <v>97.5</v>
      </c>
      <c r="W114" s="319">
        <v>97.5</v>
      </c>
      <c r="X114" s="318">
        <v>97.5</v>
      </c>
      <c r="Y114" s="318">
        <v>97.5</v>
      </c>
      <c r="Z114" s="317"/>
      <c r="AA114" s="316"/>
    </row>
    <row r="115" spans="1:27">
      <c r="A115" s="316" t="s">
        <v>377</v>
      </c>
      <c r="B115" s="316" t="s">
        <v>90</v>
      </c>
      <c r="C115" s="316" t="s">
        <v>757</v>
      </c>
      <c r="D115" s="316" t="s">
        <v>765</v>
      </c>
      <c r="E115" s="317">
        <v>45223</v>
      </c>
      <c r="F115" s="316" t="s">
        <v>514</v>
      </c>
      <c r="G115" s="316" t="s">
        <v>584</v>
      </c>
      <c r="H115" s="317">
        <v>45223</v>
      </c>
      <c r="J115" s="317">
        <v>45352.861817129633</v>
      </c>
      <c r="K115" s="316" t="s">
        <v>378</v>
      </c>
      <c r="L115" s="318">
        <v>1297096.1299999999</v>
      </c>
      <c r="M115" s="318">
        <v>1297096.1299999999</v>
      </c>
      <c r="N115" s="318">
        <v>1290460.3400000001</v>
      </c>
      <c r="O115" s="318">
        <v>1290460.3400000001</v>
      </c>
      <c r="P115" s="318">
        <v>20929.009999999998</v>
      </c>
      <c r="Q115" s="318">
        <v>20929.009999999998</v>
      </c>
      <c r="R115" s="318">
        <v>6635.79</v>
      </c>
      <c r="S115" s="318">
        <v>0</v>
      </c>
      <c r="T115" s="318">
        <v>-6635.79</v>
      </c>
      <c r="U115" s="318">
        <v>6635.79</v>
      </c>
      <c r="V115" s="319">
        <v>97.5</v>
      </c>
      <c r="W115" s="319">
        <v>97.5</v>
      </c>
      <c r="X115" s="318">
        <v>97.5</v>
      </c>
      <c r="Y115" s="318">
        <v>97.5</v>
      </c>
      <c r="Z115" s="317"/>
      <c r="AA115" s="316"/>
    </row>
    <row r="116" spans="1:27">
      <c r="A116" s="316" t="s">
        <v>377</v>
      </c>
      <c r="B116" s="316" t="s">
        <v>90</v>
      </c>
      <c r="C116" s="316" t="s">
        <v>757</v>
      </c>
      <c r="D116" s="316" t="s">
        <v>766</v>
      </c>
      <c r="E116" s="317">
        <v>45308</v>
      </c>
      <c r="F116" s="316" t="s">
        <v>514</v>
      </c>
      <c r="G116" s="316" t="s">
        <v>767</v>
      </c>
      <c r="H116" s="317">
        <v>45308</v>
      </c>
      <c r="J116" s="317">
        <v>45352.861817129633</v>
      </c>
      <c r="K116" s="316" t="s">
        <v>378</v>
      </c>
      <c r="L116" s="318">
        <v>-16.809999999999999</v>
      </c>
      <c r="M116" s="318">
        <v>-16.809999999999999</v>
      </c>
      <c r="N116" s="318">
        <v>0</v>
      </c>
      <c r="O116" s="318">
        <v>0</v>
      </c>
      <c r="P116" s="318">
        <v>0.55000000000000004</v>
      </c>
      <c r="Q116" s="318">
        <v>0.55000000000000004</v>
      </c>
      <c r="R116" s="318">
        <v>0.73</v>
      </c>
      <c r="S116" s="318">
        <v>0</v>
      </c>
      <c r="T116" s="318">
        <v>16.809999999999999</v>
      </c>
      <c r="U116" s="318">
        <v>0.73</v>
      </c>
      <c r="V116" s="319">
        <v>100</v>
      </c>
      <c r="W116" s="319">
        <v>100</v>
      </c>
      <c r="X116" s="318">
        <v>98</v>
      </c>
      <c r="Y116" s="318">
        <v>98</v>
      </c>
      <c r="Z116" s="317"/>
      <c r="AA116" s="316"/>
    </row>
    <row r="117" spans="1:27">
      <c r="A117" s="316" t="s">
        <v>377</v>
      </c>
      <c r="B117" s="316" t="s">
        <v>90</v>
      </c>
      <c r="C117" s="316" t="s">
        <v>757</v>
      </c>
      <c r="D117" s="316" t="s">
        <v>768</v>
      </c>
      <c r="E117" s="317">
        <v>45320</v>
      </c>
      <c r="F117" s="316" t="s">
        <v>514</v>
      </c>
      <c r="G117" s="316" t="s">
        <v>769</v>
      </c>
      <c r="H117" s="317">
        <v>45320</v>
      </c>
      <c r="J117" s="317">
        <v>45352.861817129633</v>
      </c>
      <c r="K117" s="316" t="s">
        <v>378</v>
      </c>
      <c r="L117" s="318">
        <v>-56027.37</v>
      </c>
      <c r="M117" s="318">
        <v>-56027.37</v>
      </c>
      <c r="N117" s="318">
        <v>-56737.42</v>
      </c>
      <c r="O117" s="318">
        <v>-56737.42</v>
      </c>
      <c r="P117" s="318">
        <v>2521.66</v>
      </c>
      <c r="Q117" s="318">
        <v>2521.66</v>
      </c>
      <c r="R117" s="318">
        <v>710.05</v>
      </c>
      <c r="S117" s="318">
        <v>0</v>
      </c>
      <c r="T117" s="318">
        <v>-710.05</v>
      </c>
      <c r="U117" s="318">
        <v>710.05</v>
      </c>
      <c r="V117" s="319">
        <v>99</v>
      </c>
      <c r="W117" s="319">
        <v>99</v>
      </c>
      <c r="X117" s="318">
        <v>99</v>
      </c>
      <c r="Y117" s="318">
        <v>99</v>
      </c>
      <c r="Z117" s="317"/>
      <c r="AA117" s="316"/>
    </row>
    <row r="118" spans="1:27">
      <c r="A118" s="316" t="s">
        <v>377</v>
      </c>
      <c r="B118" s="316" t="s">
        <v>90</v>
      </c>
      <c r="C118" s="316" t="s">
        <v>757</v>
      </c>
      <c r="D118" s="316" t="s">
        <v>832</v>
      </c>
      <c r="E118" s="317">
        <v>45279</v>
      </c>
      <c r="F118" s="316" t="s">
        <v>514</v>
      </c>
      <c r="G118" s="316" t="s">
        <v>831</v>
      </c>
      <c r="H118" s="317">
        <v>45288</v>
      </c>
      <c r="I118" s="316" t="s">
        <v>894</v>
      </c>
      <c r="J118" s="317">
        <v>45352.861817129633</v>
      </c>
      <c r="K118" s="316" t="s">
        <v>378</v>
      </c>
      <c r="L118" s="318">
        <v>-19274.419999999998</v>
      </c>
      <c r="M118" s="318">
        <v>-19274.419999999998</v>
      </c>
      <c r="N118" s="318">
        <v>0</v>
      </c>
      <c r="O118" s="318">
        <v>0</v>
      </c>
      <c r="P118" s="318">
        <v>1207.3699999999999</v>
      </c>
      <c r="Q118" s="318">
        <v>1207.3699999999999</v>
      </c>
      <c r="R118" s="318">
        <v>1099.94</v>
      </c>
      <c r="S118" s="318">
        <v>0</v>
      </c>
      <c r="T118" s="318">
        <v>19274.419999999998</v>
      </c>
      <c r="U118" s="318">
        <v>1099.94</v>
      </c>
      <c r="V118" s="319">
        <v>100</v>
      </c>
      <c r="W118" s="319">
        <v>100</v>
      </c>
      <c r="X118" s="318">
        <v>98.5</v>
      </c>
      <c r="Y118" s="318">
        <v>98.5</v>
      </c>
      <c r="Z118" s="317"/>
      <c r="AA118" s="316"/>
    </row>
    <row r="119" spans="1:27">
      <c r="A119" s="316" t="s">
        <v>377</v>
      </c>
      <c r="B119" s="316" t="s">
        <v>90</v>
      </c>
      <c r="C119" s="316" t="s">
        <v>757</v>
      </c>
      <c r="D119" s="316" t="s">
        <v>770</v>
      </c>
      <c r="E119" s="317">
        <v>45309</v>
      </c>
      <c r="F119" s="316" t="s">
        <v>514</v>
      </c>
      <c r="G119" s="316" t="s">
        <v>585</v>
      </c>
      <c r="H119" s="317">
        <v>45309</v>
      </c>
      <c r="J119" s="317">
        <v>45352.861817129633</v>
      </c>
      <c r="K119" s="316" t="s">
        <v>378</v>
      </c>
      <c r="L119" s="318">
        <v>417.02</v>
      </c>
      <c r="M119" s="318">
        <v>417.02</v>
      </c>
      <c r="N119" s="318">
        <v>416.58</v>
      </c>
      <c r="O119" s="318">
        <v>416.58</v>
      </c>
      <c r="P119" s="318">
        <v>5.25</v>
      </c>
      <c r="Q119" s="318">
        <v>5.25</v>
      </c>
      <c r="R119" s="318">
        <v>0.44</v>
      </c>
      <c r="S119" s="318">
        <v>0</v>
      </c>
      <c r="T119" s="318">
        <v>-0.44</v>
      </c>
      <c r="U119" s="318">
        <v>0.44</v>
      </c>
      <c r="V119" s="319">
        <v>97.5</v>
      </c>
      <c r="W119" s="319">
        <v>97.5</v>
      </c>
      <c r="X119" s="318">
        <v>97.5</v>
      </c>
      <c r="Y119" s="318">
        <v>97.5</v>
      </c>
      <c r="Z119" s="317"/>
      <c r="AA119" s="316"/>
    </row>
    <row r="120" spans="1:27">
      <c r="A120" s="316" t="s">
        <v>377</v>
      </c>
      <c r="B120" s="316" t="s">
        <v>90</v>
      </c>
      <c r="C120" s="316" t="s">
        <v>757</v>
      </c>
      <c r="D120" s="316" t="s">
        <v>771</v>
      </c>
      <c r="E120" s="317">
        <v>45195</v>
      </c>
      <c r="F120" s="316" t="s">
        <v>514</v>
      </c>
      <c r="G120" s="316" t="s">
        <v>586</v>
      </c>
      <c r="H120" s="317">
        <v>45195</v>
      </c>
      <c r="I120" s="316" t="s">
        <v>895</v>
      </c>
      <c r="J120" s="317">
        <v>45352.861817129633</v>
      </c>
      <c r="K120" s="316" t="s">
        <v>378</v>
      </c>
      <c r="L120" s="318">
        <v>2062420.75</v>
      </c>
      <c r="M120" s="318">
        <v>2062420.75</v>
      </c>
      <c r="N120" s="318">
        <v>2115146.4700000002</v>
      </c>
      <c r="O120" s="318">
        <v>2115146.4700000002</v>
      </c>
      <c r="P120" s="318">
        <v>28595.73</v>
      </c>
      <c r="Q120" s="318">
        <v>28595.73</v>
      </c>
      <c r="R120" s="318">
        <v>9455.92</v>
      </c>
      <c r="S120" s="318">
        <v>0</v>
      </c>
      <c r="T120" s="318">
        <v>52725.72</v>
      </c>
      <c r="U120" s="318">
        <v>9455.92</v>
      </c>
      <c r="V120" s="319">
        <v>100</v>
      </c>
      <c r="W120" s="319">
        <v>100</v>
      </c>
      <c r="X120" s="318">
        <v>97.804929999999999</v>
      </c>
      <c r="Y120" s="318">
        <v>97.804929580000007</v>
      </c>
      <c r="Z120" s="317"/>
      <c r="AA120" s="316"/>
    </row>
    <row r="121" spans="1:27">
      <c r="A121" s="316" t="s">
        <v>377</v>
      </c>
      <c r="B121" s="316" t="s">
        <v>90</v>
      </c>
      <c r="C121" s="316" t="s">
        <v>757</v>
      </c>
      <c r="D121" s="316" t="s">
        <v>772</v>
      </c>
      <c r="E121" s="317">
        <v>45352</v>
      </c>
      <c r="F121" s="316" t="s">
        <v>514</v>
      </c>
      <c r="G121" s="316" t="s">
        <v>773</v>
      </c>
      <c r="H121" s="317">
        <v>45352</v>
      </c>
      <c r="J121" s="317">
        <v>45352.861817129633</v>
      </c>
      <c r="K121" s="316" t="s">
        <v>378</v>
      </c>
      <c r="L121" s="318">
        <v>-84323.05</v>
      </c>
      <c r="M121" s="318">
        <v>-84323.05</v>
      </c>
      <c r="N121" s="318">
        <v>-84371.12</v>
      </c>
      <c r="O121" s="318">
        <v>-84371.12</v>
      </c>
      <c r="P121" s="318">
        <v>58.59</v>
      </c>
      <c r="Q121" s="318">
        <v>58.59</v>
      </c>
      <c r="R121" s="318">
        <v>48.07</v>
      </c>
      <c r="S121" s="318">
        <v>0</v>
      </c>
      <c r="T121" s="318">
        <v>-48.07</v>
      </c>
      <c r="U121" s="318">
        <v>48.07</v>
      </c>
      <c r="V121" s="319">
        <v>98</v>
      </c>
      <c r="W121" s="319">
        <v>98</v>
      </c>
      <c r="X121" s="318">
        <v>98</v>
      </c>
      <c r="Y121" s="318">
        <v>98</v>
      </c>
      <c r="Z121" s="317"/>
      <c r="AA121" s="316"/>
    </row>
    <row r="122" spans="1:27">
      <c r="A122" s="316" t="s">
        <v>377</v>
      </c>
      <c r="B122" s="316" t="s">
        <v>90</v>
      </c>
      <c r="C122" s="316" t="s">
        <v>757</v>
      </c>
      <c r="D122" s="316" t="s">
        <v>774</v>
      </c>
      <c r="E122" s="317">
        <v>45217</v>
      </c>
      <c r="F122" s="316" t="s">
        <v>514</v>
      </c>
      <c r="G122" s="316" t="s">
        <v>587</v>
      </c>
      <c r="H122" s="317">
        <v>45217</v>
      </c>
      <c r="J122" s="317">
        <v>45352.861817129633</v>
      </c>
      <c r="K122" s="316" t="s">
        <v>378</v>
      </c>
      <c r="L122" s="318">
        <v>-135869.69</v>
      </c>
      <c r="M122" s="318">
        <v>-135869.69</v>
      </c>
      <c r="N122" s="318">
        <v>-144857.18</v>
      </c>
      <c r="O122" s="318">
        <v>-144857.18</v>
      </c>
      <c r="P122" s="318">
        <v>5722.75</v>
      </c>
      <c r="Q122" s="318">
        <v>5722.75</v>
      </c>
      <c r="R122" s="318">
        <v>8987.49</v>
      </c>
      <c r="S122" s="318">
        <v>0</v>
      </c>
      <c r="T122" s="318">
        <v>-8987.49</v>
      </c>
      <c r="U122" s="318">
        <v>8987.49</v>
      </c>
      <c r="V122" s="319">
        <v>97.75</v>
      </c>
      <c r="W122" s="319">
        <v>97.75</v>
      </c>
      <c r="X122" s="318">
        <v>97.75</v>
      </c>
      <c r="Y122" s="318">
        <v>97.75</v>
      </c>
      <c r="Z122" s="317"/>
      <c r="AA122" s="316"/>
    </row>
    <row r="123" spans="1:27">
      <c r="A123" s="316" t="s">
        <v>377</v>
      </c>
      <c r="B123" s="316" t="s">
        <v>90</v>
      </c>
      <c r="C123" s="316" t="s">
        <v>757</v>
      </c>
      <c r="D123" s="316" t="s">
        <v>775</v>
      </c>
      <c r="E123" s="317">
        <v>45198</v>
      </c>
      <c r="F123" s="316" t="s">
        <v>514</v>
      </c>
      <c r="G123" s="316" t="s">
        <v>588</v>
      </c>
      <c r="H123" s="317">
        <v>45198</v>
      </c>
      <c r="J123" s="317">
        <v>45352.861817129633</v>
      </c>
      <c r="K123" s="316" t="s">
        <v>378</v>
      </c>
      <c r="L123" s="318">
        <v>-179603.85</v>
      </c>
      <c r="M123" s="318">
        <v>-179603.85</v>
      </c>
      <c r="N123" s="318">
        <v>-193256.91</v>
      </c>
      <c r="O123" s="318">
        <v>-193256.91</v>
      </c>
      <c r="P123" s="318">
        <v>5739.12</v>
      </c>
      <c r="Q123" s="318">
        <v>5739.12</v>
      </c>
      <c r="R123" s="318">
        <v>13653.06</v>
      </c>
      <c r="S123" s="318">
        <v>0</v>
      </c>
      <c r="T123" s="318">
        <v>-13653.06</v>
      </c>
      <c r="U123" s="318">
        <v>13653.06</v>
      </c>
      <c r="V123" s="319">
        <v>97</v>
      </c>
      <c r="W123" s="319">
        <v>97</v>
      </c>
      <c r="X123" s="318">
        <v>97</v>
      </c>
      <c r="Y123" s="318">
        <v>97</v>
      </c>
      <c r="Z123" s="317"/>
      <c r="AA123" s="316"/>
    </row>
    <row r="124" spans="1:27">
      <c r="A124" s="316" t="s">
        <v>377</v>
      </c>
      <c r="B124" s="316" t="s">
        <v>90</v>
      </c>
      <c r="C124" s="316" t="s">
        <v>757</v>
      </c>
      <c r="D124" s="316" t="s">
        <v>776</v>
      </c>
      <c r="E124" s="317">
        <v>45317</v>
      </c>
      <c r="F124" s="316" t="s">
        <v>514</v>
      </c>
      <c r="G124" s="316" t="s">
        <v>589</v>
      </c>
      <c r="H124" s="317">
        <v>45317</v>
      </c>
      <c r="J124" s="317">
        <v>45352.861817129633</v>
      </c>
      <c r="K124" s="316" t="s">
        <v>378</v>
      </c>
      <c r="L124" s="318">
        <v>551.37</v>
      </c>
      <c r="M124" s="318">
        <v>551.37</v>
      </c>
      <c r="N124" s="318">
        <v>568.28</v>
      </c>
      <c r="O124" s="318">
        <v>568.28</v>
      </c>
      <c r="P124" s="318">
        <v>0.56999999999999995</v>
      </c>
      <c r="Q124" s="318">
        <v>0.56999999999999995</v>
      </c>
      <c r="R124" s="318">
        <v>0.63</v>
      </c>
      <c r="S124" s="318">
        <v>0</v>
      </c>
      <c r="T124" s="318">
        <v>16.91</v>
      </c>
      <c r="U124" s="318">
        <v>0.63</v>
      </c>
      <c r="V124" s="319">
        <v>100</v>
      </c>
      <c r="W124" s="319">
        <v>100</v>
      </c>
      <c r="X124" s="318">
        <v>98</v>
      </c>
      <c r="Y124" s="318">
        <v>98</v>
      </c>
      <c r="Z124" s="317"/>
      <c r="AA124" s="316"/>
    </row>
    <row r="125" spans="1:27">
      <c r="A125" s="316" t="s">
        <v>377</v>
      </c>
      <c r="B125" s="316" t="s">
        <v>90</v>
      </c>
      <c r="C125" s="316" t="s">
        <v>757</v>
      </c>
      <c r="D125" s="316" t="s">
        <v>777</v>
      </c>
      <c r="E125" s="317">
        <v>45314</v>
      </c>
      <c r="F125" s="316" t="s">
        <v>514</v>
      </c>
      <c r="G125" s="316" t="s">
        <v>778</v>
      </c>
      <c r="H125" s="317">
        <v>45314</v>
      </c>
      <c r="J125" s="317">
        <v>45352.861817129633</v>
      </c>
      <c r="K125" s="316" t="s">
        <v>378</v>
      </c>
      <c r="L125" s="318">
        <v>-86659.39</v>
      </c>
      <c r="M125" s="318">
        <v>-86659.39</v>
      </c>
      <c r="N125" s="318">
        <v>0</v>
      </c>
      <c r="O125" s="318">
        <v>0</v>
      </c>
      <c r="P125" s="318">
        <v>3177.84</v>
      </c>
      <c r="Q125" s="318">
        <v>3177.84</v>
      </c>
      <c r="R125" s="318">
        <v>1342.22</v>
      </c>
      <c r="S125" s="318">
        <v>0</v>
      </c>
      <c r="T125" s="318">
        <v>86659.39</v>
      </c>
      <c r="U125" s="318">
        <v>1342.22</v>
      </c>
      <c r="V125" s="319">
        <v>100</v>
      </c>
      <c r="W125" s="319">
        <v>100</v>
      </c>
      <c r="X125" s="318">
        <v>98.5</v>
      </c>
      <c r="Y125" s="318">
        <v>98.5</v>
      </c>
      <c r="Z125" s="317"/>
      <c r="AA125" s="316"/>
    </row>
    <row r="126" spans="1:27">
      <c r="A126" s="316" t="s">
        <v>377</v>
      </c>
      <c r="B126" s="316" t="s">
        <v>90</v>
      </c>
      <c r="C126" s="316" t="s">
        <v>757</v>
      </c>
      <c r="D126" s="316" t="s">
        <v>779</v>
      </c>
      <c r="E126" s="317">
        <v>45230</v>
      </c>
      <c r="F126" s="316" t="s">
        <v>514</v>
      </c>
      <c r="G126" s="316" t="s">
        <v>590</v>
      </c>
      <c r="H126" s="317">
        <v>45230</v>
      </c>
      <c r="J126" s="317">
        <v>45352.861817129633</v>
      </c>
      <c r="K126" s="316" t="s">
        <v>378</v>
      </c>
      <c r="L126" s="318">
        <v>-99090.55</v>
      </c>
      <c r="M126" s="318">
        <v>-99090.55</v>
      </c>
      <c r="N126" s="318">
        <v>-104981.38</v>
      </c>
      <c r="O126" s="318">
        <v>-104981.38</v>
      </c>
      <c r="P126" s="318">
        <v>0</v>
      </c>
      <c r="Q126" s="318">
        <v>0</v>
      </c>
      <c r="R126" s="318">
        <v>5890.83</v>
      </c>
      <c r="S126" s="318">
        <v>0</v>
      </c>
      <c r="T126" s="318">
        <v>-5890.83</v>
      </c>
      <c r="U126" s="318">
        <v>5890.83</v>
      </c>
      <c r="V126" s="319">
        <v>98</v>
      </c>
      <c r="W126" s="319">
        <v>98</v>
      </c>
      <c r="X126" s="318">
        <v>98</v>
      </c>
      <c r="Y126" s="318">
        <v>98</v>
      </c>
      <c r="Z126" s="317"/>
      <c r="AA126" s="316"/>
    </row>
    <row r="127" spans="1:27">
      <c r="A127" s="316" t="s">
        <v>377</v>
      </c>
      <c r="B127" s="316" t="s">
        <v>90</v>
      </c>
      <c r="C127" s="316" t="s">
        <v>757</v>
      </c>
      <c r="D127" s="316" t="s">
        <v>780</v>
      </c>
      <c r="E127" s="317">
        <v>45330</v>
      </c>
      <c r="F127" s="316" t="s">
        <v>514</v>
      </c>
      <c r="G127" s="316" t="s">
        <v>781</v>
      </c>
      <c r="H127" s="317">
        <v>45330</v>
      </c>
      <c r="J127" s="317">
        <v>45352.861817129633</v>
      </c>
      <c r="K127" s="316" t="s">
        <v>378</v>
      </c>
      <c r="L127" s="318">
        <v>-276221.95</v>
      </c>
      <c r="M127" s="318">
        <v>-276221.95</v>
      </c>
      <c r="N127" s="318">
        <v>-279151</v>
      </c>
      <c r="O127" s="318">
        <v>-279151</v>
      </c>
      <c r="P127" s="318">
        <v>3566.93</v>
      </c>
      <c r="Q127" s="318">
        <v>3566.93</v>
      </c>
      <c r="R127" s="318">
        <v>2929.05</v>
      </c>
      <c r="S127" s="318">
        <v>0</v>
      </c>
      <c r="T127" s="318">
        <v>-2929.05</v>
      </c>
      <c r="U127" s="318">
        <v>2929.05</v>
      </c>
      <c r="V127" s="319">
        <v>97.5</v>
      </c>
      <c r="W127" s="319">
        <v>97.5</v>
      </c>
      <c r="X127" s="318">
        <v>97.5</v>
      </c>
      <c r="Y127" s="318">
        <v>97.5</v>
      </c>
      <c r="Z127" s="317"/>
      <c r="AA127" s="316"/>
    </row>
    <row r="128" spans="1:27">
      <c r="A128" s="316" t="s">
        <v>377</v>
      </c>
      <c r="B128" s="316" t="s">
        <v>90</v>
      </c>
      <c r="C128" s="316" t="s">
        <v>757</v>
      </c>
      <c r="D128" s="316" t="s">
        <v>782</v>
      </c>
      <c r="E128" s="317">
        <v>45169</v>
      </c>
      <c r="F128" s="316" t="s">
        <v>514</v>
      </c>
      <c r="G128" s="316" t="s">
        <v>591</v>
      </c>
      <c r="H128" s="317">
        <v>45169</v>
      </c>
      <c r="J128" s="317">
        <v>45352.861817129633</v>
      </c>
      <c r="K128" s="316" t="s">
        <v>378</v>
      </c>
      <c r="L128" s="318">
        <v>-18.77</v>
      </c>
      <c r="M128" s="318">
        <v>-18.77</v>
      </c>
      <c r="N128" s="318">
        <v>0</v>
      </c>
      <c r="O128" s="318">
        <v>0</v>
      </c>
      <c r="P128" s="318">
        <v>0.02</v>
      </c>
      <c r="Q128" s="318">
        <v>0.02</v>
      </c>
      <c r="R128" s="318">
        <v>2.1</v>
      </c>
      <c r="S128" s="318">
        <v>0</v>
      </c>
      <c r="T128" s="318">
        <v>18.77</v>
      </c>
      <c r="U128" s="318">
        <v>2.1</v>
      </c>
      <c r="V128" s="319">
        <v>100</v>
      </c>
      <c r="W128" s="319">
        <v>100</v>
      </c>
      <c r="X128" s="318">
        <v>97.5</v>
      </c>
      <c r="Y128" s="318">
        <v>97.5</v>
      </c>
      <c r="Z128" s="317"/>
      <c r="AA128" s="316"/>
    </row>
    <row r="129" spans="1:27">
      <c r="A129" s="316" t="s">
        <v>377</v>
      </c>
      <c r="B129" s="316" t="s">
        <v>90</v>
      </c>
      <c r="C129" s="316" t="s">
        <v>757</v>
      </c>
      <c r="D129" s="316" t="s">
        <v>783</v>
      </c>
      <c r="E129" s="317">
        <v>45205</v>
      </c>
      <c r="F129" s="316" t="s">
        <v>514</v>
      </c>
      <c r="G129" s="316" t="s">
        <v>592</v>
      </c>
      <c r="H129" s="317">
        <v>45205</v>
      </c>
      <c r="J129" s="317">
        <v>45352.861817129633</v>
      </c>
      <c r="K129" s="316" t="s">
        <v>378</v>
      </c>
      <c r="L129" s="318">
        <v>-18342.27</v>
      </c>
      <c r="M129" s="318">
        <v>-18342.27</v>
      </c>
      <c r="N129" s="318">
        <v>-19468.68</v>
      </c>
      <c r="O129" s="318">
        <v>-19468.68</v>
      </c>
      <c r="P129" s="318">
        <v>2000.95</v>
      </c>
      <c r="Q129" s="318">
        <v>2000.95</v>
      </c>
      <c r="R129" s="318">
        <v>1126.4100000000001</v>
      </c>
      <c r="S129" s="318">
        <v>0</v>
      </c>
      <c r="T129" s="318">
        <v>-1126.4100000000001</v>
      </c>
      <c r="U129" s="318">
        <v>1126.4100000000001</v>
      </c>
      <c r="V129" s="319">
        <v>98</v>
      </c>
      <c r="W129" s="319">
        <v>98</v>
      </c>
      <c r="X129" s="318">
        <v>98</v>
      </c>
      <c r="Y129" s="318">
        <v>98</v>
      </c>
      <c r="Z129" s="317"/>
      <c r="AA129" s="316"/>
    </row>
    <row r="130" spans="1:27">
      <c r="A130" s="316" t="s">
        <v>377</v>
      </c>
      <c r="B130" s="316" t="s">
        <v>90</v>
      </c>
      <c r="C130" s="316" t="s">
        <v>757</v>
      </c>
      <c r="D130" s="316" t="s">
        <v>784</v>
      </c>
      <c r="E130" s="317">
        <v>45320</v>
      </c>
      <c r="F130" s="316" t="s">
        <v>514</v>
      </c>
      <c r="G130" s="316" t="s">
        <v>785</v>
      </c>
      <c r="H130" s="317">
        <v>45320</v>
      </c>
      <c r="J130" s="317">
        <v>45352.861817129633</v>
      </c>
      <c r="K130" s="316" t="s">
        <v>378</v>
      </c>
      <c r="L130" s="318">
        <v>193847.73</v>
      </c>
      <c r="M130" s="318">
        <v>193847.73</v>
      </c>
      <c r="N130" s="318">
        <v>193394.83</v>
      </c>
      <c r="O130" s="318">
        <v>193394.83</v>
      </c>
      <c r="P130" s="318">
        <v>2544.83</v>
      </c>
      <c r="Q130" s="318">
        <v>2544.83</v>
      </c>
      <c r="R130" s="318">
        <v>452.9</v>
      </c>
      <c r="S130" s="318">
        <v>0</v>
      </c>
      <c r="T130" s="318">
        <v>-452.9</v>
      </c>
      <c r="U130" s="318">
        <v>452.9</v>
      </c>
      <c r="V130" s="319">
        <v>98</v>
      </c>
      <c r="W130" s="319">
        <v>98</v>
      </c>
      <c r="X130" s="318">
        <v>98</v>
      </c>
      <c r="Y130" s="318">
        <v>98</v>
      </c>
      <c r="Z130" s="317"/>
      <c r="AA130" s="316"/>
    </row>
    <row r="131" spans="1:27">
      <c r="A131" s="316" t="s">
        <v>377</v>
      </c>
      <c r="B131" s="316" t="s">
        <v>90</v>
      </c>
      <c r="C131" s="316" t="s">
        <v>757</v>
      </c>
      <c r="D131" s="316" t="s">
        <v>786</v>
      </c>
      <c r="E131" s="317">
        <v>45217</v>
      </c>
      <c r="F131" s="316" t="s">
        <v>514</v>
      </c>
      <c r="G131" s="316" t="s">
        <v>593</v>
      </c>
      <c r="H131" s="317">
        <v>45217</v>
      </c>
      <c r="J131" s="317">
        <v>45352.861817129633</v>
      </c>
      <c r="K131" s="316" t="s">
        <v>378</v>
      </c>
      <c r="L131" s="318">
        <v>-103445</v>
      </c>
      <c r="M131" s="318">
        <v>-103445</v>
      </c>
      <c r="N131" s="318">
        <v>-110287.67</v>
      </c>
      <c r="O131" s="318">
        <v>-110287.67</v>
      </c>
      <c r="P131" s="318">
        <v>13120.18</v>
      </c>
      <c r="Q131" s="318">
        <v>13120.18</v>
      </c>
      <c r="R131" s="318">
        <v>6842.67</v>
      </c>
      <c r="S131" s="318">
        <v>0</v>
      </c>
      <c r="T131" s="318">
        <v>-6842.67</v>
      </c>
      <c r="U131" s="318">
        <v>6842.67</v>
      </c>
      <c r="V131" s="319">
        <v>97.5</v>
      </c>
      <c r="W131" s="319">
        <v>97.5</v>
      </c>
      <c r="X131" s="318">
        <v>97.5</v>
      </c>
      <c r="Y131" s="318">
        <v>97.5</v>
      </c>
      <c r="Z131" s="317"/>
      <c r="AA131" s="316"/>
    </row>
    <row r="132" spans="1:27">
      <c r="A132" s="316" t="s">
        <v>377</v>
      </c>
      <c r="B132" s="316" t="s">
        <v>90</v>
      </c>
      <c r="C132" s="316" t="s">
        <v>757</v>
      </c>
      <c r="D132" s="316" t="s">
        <v>787</v>
      </c>
      <c r="E132" s="317">
        <v>45280</v>
      </c>
      <c r="F132" s="316" t="s">
        <v>514</v>
      </c>
      <c r="G132" s="316" t="s">
        <v>594</v>
      </c>
      <c r="H132" s="317">
        <v>45280</v>
      </c>
      <c r="J132" s="317">
        <v>45352.861817129633</v>
      </c>
      <c r="K132" s="316" t="s">
        <v>378</v>
      </c>
      <c r="L132" s="318">
        <v>2916793.54</v>
      </c>
      <c r="M132" s="318">
        <v>2916793.54</v>
      </c>
      <c r="N132" s="318">
        <v>2914097.76</v>
      </c>
      <c r="O132" s="318">
        <v>2914097.76</v>
      </c>
      <c r="P132" s="318">
        <v>12712.77</v>
      </c>
      <c r="Q132" s="318">
        <v>12712.77</v>
      </c>
      <c r="R132" s="318">
        <v>2695.78</v>
      </c>
      <c r="S132" s="318">
        <v>0</v>
      </c>
      <c r="T132" s="318">
        <v>-2695.78</v>
      </c>
      <c r="U132" s="318">
        <v>2695.78</v>
      </c>
      <c r="V132" s="319">
        <v>98</v>
      </c>
      <c r="W132" s="319">
        <v>98</v>
      </c>
      <c r="X132" s="318">
        <v>98</v>
      </c>
      <c r="Y132" s="318">
        <v>98</v>
      </c>
      <c r="Z132" s="317"/>
      <c r="AA132" s="316"/>
    </row>
    <row r="133" spans="1:27">
      <c r="A133" s="316" t="s">
        <v>377</v>
      </c>
      <c r="B133" s="316" t="s">
        <v>90</v>
      </c>
      <c r="C133" s="316" t="s">
        <v>757</v>
      </c>
      <c r="D133" s="316" t="s">
        <v>788</v>
      </c>
      <c r="E133" s="317">
        <v>45247</v>
      </c>
      <c r="F133" s="316" t="s">
        <v>514</v>
      </c>
      <c r="G133" s="316" t="s">
        <v>595</v>
      </c>
      <c r="H133" s="317">
        <v>45247</v>
      </c>
      <c r="J133" s="317">
        <v>45352.861817129633</v>
      </c>
      <c r="K133" s="316" t="s">
        <v>378</v>
      </c>
      <c r="L133" s="318">
        <v>76012.13</v>
      </c>
      <c r="M133" s="318">
        <v>76012.13</v>
      </c>
      <c r="N133" s="318">
        <v>72508.960000000006</v>
      </c>
      <c r="O133" s="318">
        <v>72508.960000000006</v>
      </c>
      <c r="P133" s="318">
        <v>8133.61</v>
      </c>
      <c r="Q133" s="318">
        <v>8133.61</v>
      </c>
      <c r="R133" s="318">
        <v>3503.17</v>
      </c>
      <c r="S133" s="318">
        <v>0</v>
      </c>
      <c r="T133" s="318">
        <v>-3503.17</v>
      </c>
      <c r="U133" s="318">
        <v>3503.17</v>
      </c>
      <c r="V133" s="319">
        <v>98</v>
      </c>
      <c r="W133" s="319">
        <v>98</v>
      </c>
      <c r="X133" s="318">
        <v>98</v>
      </c>
      <c r="Y133" s="318">
        <v>98</v>
      </c>
      <c r="Z133" s="317"/>
      <c r="AA133" s="316"/>
    </row>
    <row r="134" spans="1:27">
      <c r="A134" s="316" t="s">
        <v>377</v>
      </c>
      <c r="B134" s="316" t="s">
        <v>90</v>
      </c>
      <c r="C134" s="316" t="s">
        <v>757</v>
      </c>
      <c r="D134" s="316" t="s">
        <v>789</v>
      </c>
      <c r="E134" s="317">
        <v>45348</v>
      </c>
      <c r="F134" s="316" t="s">
        <v>514</v>
      </c>
      <c r="G134" s="316" t="s">
        <v>790</v>
      </c>
      <c r="H134" s="317">
        <v>45348</v>
      </c>
      <c r="J134" s="317">
        <v>45352.861817129633</v>
      </c>
      <c r="K134" s="316" t="s">
        <v>378</v>
      </c>
      <c r="L134" s="318">
        <v>421</v>
      </c>
      <c r="M134" s="318">
        <v>421</v>
      </c>
      <c r="N134" s="318">
        <v>420.96</v>
      </c>
      <c r="O134" s="318">
        <v>420.96</v>
      </c>
      <c r="P134" s="318">
        <v>0.6</v>
      </c>
      <c r="Q134" s="318">
        <v>0.6</v>
      </c>
      <c r="R134" s="318">
        <v>0.04</v>
      </c>
      <c r="S134" s="318">
        <v>0</v>
      </c>
      <c r="T134" s="318">
        <v>-0.04</v>
      </c>
      <c r="U134" s="318">
        <v>0.04</v>
      </c>
      <c r="V134" s="319">
        <v>98</v>
      </c>
      <c r="W134" s="319">
        <v>98</v>
      </c>
      <c r="X134" s="318">
        <v>98</v>
      </c>
      <c r="Y134" s="318">
        <v>98</v>
      </c>
      <c r="Z134" s="317"/>
      <c r="AA134" s="316"/>
    </row>
    <row r="135" spans="1:27">
      <c r="A135" s="316" t="s">
        <v>377</v>
      </c>
      <c r="B135" s="316" t="s">
        <v>90</v>
      </c>
      <c r="C135" s="316" t="s">
        <v>757</v>
      </c>
      <c r="D135" s="316" t="s">
        <v>791</v>
      </c>
      <c r="E135" s="317">
        <v>45282</v>
      </c>
      <c r="F135" s="316" t="s">
        <v>514</v>
      </c>
      <c r="G135" s="316" t="s">
        <v>596</v>
      </c>
      <c r="H135" s="317">
        <v>45282</v>
      </c>
      <c r="J135" s="317">
        <v>45352.861817129633</v>
      </c>
      <c r="K135" s="316" t="s">
        <v>378</v>
      </c>
      <c r="L135" s="318">
        <v>-108360.13</v>
      </c>
      <c r="M135" s="318">
        <v>-108360.13</v>
      </c>
      <c r="N135" s="318">
        <v>-111984.04</v>
      </c>
      <c r="O135" s="318">
        <v>-111984.04</v>
      </c>
      <c r="P135" s="318">
        <v>5521.44</v>
      </c>
      <c r="Q135" s="318">
        <v>5521.44</v>
      </c>
      <c r="R135" s="318">
        <v>3623.91</v>
      </c>
      <c r="S135" s="318">
        <v>0</v>
      </c>
      <c r="T135" s="318">
        <v>-3623.91</v>
      </c>
      <c r="U135" s="318">
        <v>3623.91</v>
      </c>
      <c r="V135" s="319">
        <v>98</v>
      </c>
      <c r="W135" s="319">
        <v>98</v>
      </c>
      <c r="X135" s="318">
        <v>98</v>
      </c>
      <c r="Y135" s="318">
        <v>98</v>
      </c>
      <c r="Z135" s="317"/>
      <c r="AA135" s="316"/>
    </row>
    <row r="136" spans="1:27">
      <c r="A136" s="316" t="s">
        <v>377</v>
      </c>
      <c r="B136" s="316" t="s">
        <v>90</v>
      </c>
      <c r="C136" s="316" t="s">
        <v>757</v>
      </c>
      <c r="D136" s="316" t="s">
        <v>792</v>
      </c>
      <c r="E136" s="317">
        <v>45182</v>
      </c>
      <c r="F136" s="316" t="s">
        <v>514</v>
      </c>
      <c r="G136" s="316" t="s">
        <v>597</v>
      </c>
      <c r="H136" s="317">
        <v>45182</v>
      </c>
      <c r="J136" s="317">
        <v>45352.861817129633</v>
      </c>
      <c r="K136" s="316" t="s">
        <v>378</v>
      </c>
      <c r="L136" s="318">
        <v>-101355.14</v>
      </c>
      <c r="M136" s="318">
        <v>-101355.14</v>
      </c>
      <c r="N136" s="318">
        <v>-109930.96</v>
      </c>
      <c r="O136" s="318">
        <v>-109930.96</v>
      </c>
      <c r="P136" s="318">
        <v>152.68</v>
      </c>
      <c r="Q136" s="318">
        <v>152.68</v>
      </c>
      <c r="R136" s="318">
        <v>8575.82</v>
      </c>
      <c r="S136" s="318">
        <v>0</v>
      </c>
      <c r="T136" s="318">
        <v>-8575.82</v>
      </c>
      <c r="U136" s="318">
        <v>8575.82</v>
      </c>
      <c r="V136" s="319">
        <v>98</v>
      </c>
      <c r="W136" s="319">
        <v>98</v>
      </c>
      <c r="X136" s="318">
        <v>98</v>
      </c>
      <c r="Y136" s="318">
        <v>98</v>
      </c>
      <c r="Z136" s="317"/>
      <c r="AA136" s="316"/>
    </row>
    <row r="137" spans="1:27">
      <c r="A137" s="316" t="s">
        <v>377</v>
      </c>
      <c r="B137" s="316" t="s">
        <v>90</v>
      </c>
      <c r="C137" s="316" t="s">
        <v>757</v>
      </c>
      <c r="D137" s="316" t="s">
        <v>793</v>
      </c>
      <c r="E137" s="317">
        <v>45201</v>
      </c>
      <c r="F137" s="316" t="s">
        <v>514</v>
      </c>
      <c r="G137" s="316" t="s">
        <v>598</v>
      </c>
      <c r="H137" s="317">
        <v>45201</v>
      </c>
      <c r="J137" s="317">
        <v>45352.861817129633</v>
      </c>
      <c r="K137" s="316" t="s">
        <v>378</v>
      </c>
      <c r="L137" s="318">
        <v>-62075.96</v>
      </c>
      <c r="M137" s="318">
        <v>-62075.96</v>
      </c>
      <c r="N137" s="318">
        <v>-66701.23</v>
      </c>
      <c r="O137" s="318">
        <v>-66701.23</v>
      </c>
      <c r="P137" s="318">
        <v>6268.68</v>
      </c>
      <c r="Q137" s="318">
        <v>6268.68</v>
      </c>
      <c r="R137" s="318">
        <v>4625.2700000000004</v>
      </c>
      <c r="S137" s="318">
        <v>0</v>
      </c>
      <c r="T137" s="318">
        <v>-4625.2700000000004</v>
      </c>
      <c r="U137" s="318">
        <v>4625.2700000000004</v>
      </c>
      <c r="V137" s="319">
        <v>98</v>
      </c>
      <c r="W137" s="319">
        <v>98</v>
      </c>
      <c r="X137" s="318">
        <v>98</v>
      </c>
      <c r="Y137" s="318">
        <v>98</v>
      </c>
      <c r="Z137" s="317"/>
      <c r="AA137" s="316"/>
    </row>
    <row r="138" spans="1:27">
      <c r="A138" s="316" t="s">
        <v>377</v>
      </c>
      <c r="B138" s="316" t="s">
        <v>90</v>
      </c>
      <c r="C138" s="316" t="s">
        <v>757</v>
      </c>
      <c r="D138" s="316" t="s">
        <v>794</v>
      </c>
      <c r="E138" s="317">
        <v>45238</v>
      </c>
      <c r="F138" s="316" t="s">
        <v>514</v>
      </c>
      <c r="G138" s="316" t="s">
        <v>599</v>
      </c>
      <c r="H138" s="317">
        <v>45238</v>
      </c>
      <c r="J138" s="317">
        <v>45352.861817129633</v>
      </c>
      <c r="K138" s="316" t="s">
        <v>378</v>
      </c>
      <c r="L138" s="318">
        <v>509.58</v>
      </c>
      <c r="M138" s="318">
        <v>509.58</v>
      </c>
      <c r="N138" s="318">
        <v>508.66</v>
      </c>
      <c r="O138" s="318">
        <v>508.66</v>
      </c>
      <c r="P138" s="318">
        <v>3.43</v>
      </c>
      <c r="Q138" s="318">
        <v>3.43</v>
      </c>
      <c r="R138" s="318">
        <v>0.92</v>
      </c>
      <c r="S138" s="318">
        <v>0</v>
      </c>
      <c r="T138" s="318">
        <v>-0.92</v>
      </c>
      <c r="U138" s="318">
        <v>0.92</v>
      </c>
      <c r="V138" s="319">
        <v>98</v>
      </c>
      <c r="W138" s="319">
        <v>98</v>
      </c>
      <c r="X138" s="318">
        <v>98</v>
      </c>
      <c r="Y138" s="318">
        <v>98</v>
      </c>
      <c r="Z138" s="317"/>
      <c r="AA138" s="316"/>
    </row>
    <row r="139" spans="1:27">
      <c r="A139" s="316" t="s">
        <v>377</v>
      </c>
      <c r="B139" s="316" t="s">
        <v>90</v>
      </c>
      <c r="C139" s="316" t="s">
        <v>757</v>
      </c>
      <c r="D139" s="316" t="s">
        <v>795</v>
      </c>
      <c r="E139" s="317">
        <v>45188</v>
      </c>
      <c r="F139" s="316" t="s">
        <v>514</v>
      </c>
      <c r="G139" s="316" t="s">
        <v>600</v>
      </c>
      <c r="H139" s="317">
        <v>45188</v>
      </c>
      <c r="J139" s="317">
        <v>45352.861817129633</v>
      </c>
      <c r="K139" s="316" t="s">
        <v>378</v>
      </c>
      <c r="L139" s="318">
        <v>-35788.9</v>
      </c>
      <c r="M139" s="318">
        <v>-35788.9</v>
      </c>
      <c r="N139" s="318">
        <v>-38702.160000000003</v>
      </c>
      <c r="O139" s="318">
        <v>-38702.160000000003</v>
      </c>
      <c r="P139" s="318">
        <v>3638.96</v>
      </c>
      <c r="Q139" s="318">
        <v>3638.96</v>
      </c>
      <c r="R139" s="318">
        <v>2913.26</v>
      </c>
      <c r="S139" s="318">
        <v>0</v>
      </c>
      <c r="T139" s="318">
        <v>-2913.26</v>
      </c>
      <c r="U139" s="318">
        <v>2913.26</v>
      </c>
      <c r="V139" s="319">
        <v>98.5</v>
      </c>
      <c r="W139" s="319">
        <v>98.5</v>
      </c>
      <c r="X139" s="318">
        <v>98.5</v>
      </c>
      <c r="Y139" s="318">
        <v>98.5</v>
      </c>
      <c r="Z139" s="317"/>
      <c r="AA139" s="316"/>
    </row>
    <row r="140" spans="1:27">
      <c r="A140" s="316" t="s">
        <v>377</v>
      </c>
      <c r="B140" s="316" t="s">
        <v>90</v>
      </c>
      <c r="C140" s="316" t="s">
        <v>757</v>
      </c>
      <c r="D140" s="316" t="s">
        <v>796</v>
      </c>
      <c r="E140" s="317">
        <v>45317</v>
      </c>
      <c r="F140" s="316" t="s">
        <v>514</v>
      </c>
      <c r="G140" s="316" t="s">
        <v>797</v>
      </c>
      <c r="H140" s="317">
        <v>45317</v>
      </c>
      <c r="J140" s="317">
        <v>45352.861817129633</v>
      </c>
      <c r="K140" s="316" t="s">
        <v>378</v>
      </c>
      <c r="L140" s="318">
        <v>-61171.92</v>
      </c>
      <c r="M140" s="318">
        <v>-61171.92</v>
      </c>
      <c r="N140" s="318">
        <v>-62193.82</v>
      </c>
      <c r="O140" s="318">
        <v>-62193.82</v>
      </c>
      <c r="P140" s="318">
        <v>1554.85</v>
      </c>
      <c r="Q140" s="318">
        <v>1554.85</v>
      </c>
      <c r="R140" s="318">
        <v>1021.9</v>
      </c>
      <c r="S140" s="318">
        <v>0</v>
      </c>
      <c r="T140" s="318">
        <v>-1021.9</v>
      </c>
      <c r="U140" s="318">
        <v>1021.9</v>
      </c>
      <c r="V140" s="319">
        <v>98</v>
      </c>
      <c r="W140" s="319">
        <v>98</v>
      </c>
      <c r="X140" s="318">
        <v>98</v>
      </c>
      <c r="Y140" s="318">
        <v>98</v>
      </c>
      <c r="Z140" s="317"/>
      <c r="AA140" s="316"/>
    </row>
    <row r="141" spans="1:27">
      <c r="A141" s="316" t="s">
        <v>377</v>
      </c>
      <c r="B141" s="316" t="s">
        <v>90</v>
      </c>
      <c r="C141" s="316" t="s">
        <v>757</v>
      </c>
      <c r="D141" s="316" t="s">
        <v>798</v>
      </c>
      <c r="E141" s="317">
        <v>45282</v>
      </c>
      <c r="F141" s="316" t="s">
        <v>514</v>
      </c>
      <c r="G141" s="316" t="s">
        <v>601</v>
      </c>
      <c r="H141" s="317">
        <v>45282</v>
      </c>
      <c r="J141" s="317">
        <v>45352.861817129633</v>
      </c>
      <c r="K141" s="316" t="s">
        <v>378</v>
      </c>
      <c r="L141" s="318">
        <v>-83408.13</v>
      </c>
      <c r="M141" s="318">
        <v>-83408.13</v>
      </c>
      <c r="N141" s="318">
        <v>-86229.46</v>
      </c>
      <c r="O141" s="318">
        <v>-86229.46</v>
      </c>
      <c r="P141" s="318">
        <v>4294.7</v>
      </c>
      <c r="Q141" s="318">
        <v>4294.7</v>
      </c>
      <c r="R141" s="318">
        <v>2821.33</v>
      </c>
      <c r="S141" s="318">
        <v>0</v>
      </c>
      <c r="T141" s="318">
        <v>-2821.33</v>
      </c>
      <c r="U141" s="318">
        <v>2821.33</v>
      </c>
      <c r="V141" s="319">
        <v>98.020072992701003</v>
      </c>
      <c r="W141" s="319">
        <v>98.020072992701003</v>
      </c>
      <c r="X141" s="318">
        <v>98.020072999999996</v>
      </c>
      <c r="Y141" s="318">
        <v>98.020072990000003</v>
      </c>
      <c r="Z141" s="317"/>
      <c r="AA141" s="316"/>
    </row>
    <row r="142" spans="1:27">
      <c r="A142" s="316" t="s">
        <v>377</v>
      </c>
      <c r="B142" s="316" t="s">
        <v>90</v>
      </c>
      <c r="C142" s="316" t="s">
        <v>757</v>
      </c>
      <c r="D142" s="316" t="s">
        <v>799</v>
      </c>
      <c r="E142" s="317">
        <v>45330</v>
      </c>
      <c r="F142" s="316" t="s">
        <v>514</v>
      </c>
      <c r="G142" s="316" t="s">
        <v>800</v>
      </c>
      <c r="H142" s="317">
        <v>45330</v>
      </c>
      <c r="J142" s="317">
        <v>45352.861817129633</v>
      </c>
      <c r="K142" s="316" t="s">
        <v>378</v>
      </c>
      <c r="L142" s="318">
        <v>-125372.82</v>
      </c>
      <c r="M142" s="318">
        <v>-125372.82</v>
      </c>
      <c r="N142" s="318">
        <v>-126501.42</v>
      </c>
      <c r="O142" s="318">
        <v>-126501.42</v>
      </c>
      <c r="P142" s="318">
        <v>2020.51</v>
      </c>
      <c r="Q142" s="318">
        <v>2020.51</v>
      </c>
      <c r="R142" s="318">
        <v>1128.5999999999999</v>
      </c>
      <c r="S142" s="318">
        <v>0</v>
      </c>
      <c r="T142" s="318">
        <v>-1128.5999999999999</v>
      </c>
      <c r="U142" s="318">
        <v>1128.5999999999999</v>
      </c>
      <c r="V142" s="319">
        <v>98</v>
      </c>
      <c r="W142" s="319">
        <v>98</v>
      </c>
      <c r="X142" s="318">
        <v>98</v>
      </c>
      <c r="Y142" s="318">
        <v>98</v>
      </c>
      <c r="Z142" s="317"/>
      <c r="AA142" s="316"/>
    </row>
    <row r="143" spans="1:27">
      <c r="A143" s="316" t="s">
        <v>377</v>
      </c>
      <c r="B143" s="316" t="s">
        <v>90</v>
      </c>
      <c r="C143" s="316" t="s">
        <v>757</v>
      </c>
      <c r="D143" s="316" t="s">
        <v>801</v>
      </c>
      <c r="E143" s="317">
        <v>45286</v>
      </c>
      <c r="F143" s="316" t="s">
        <v>514</v>
      </c>
      <c r="G143" s="316" t="s">
        <v>602</v>
      </c>
      <c r="H143" s="317">
        <v>45286</v>
      </c>
      <c r="J143" s="317">
        <v>45352.861817129633</v>
      </c>
      <c r="K143" s="316" t="s">
        <v>378</v>
      </c>
      <c r="L143" s="318">
        <v>-7835.25</v>
      </c>
      <c r="M143" s="318">
        <v>-7835.25</v>
      </c>
      <c r="N143" s="318">
        <v>-8288.98</v>
      </c>
      <c r="O143" s="318">
        <v>-8288.98</v>
      </c>
      <c r="P143" s="318">
        <v>345.37</v>
      </c>
      <c r="Q143" s="318">
        <v>345.37</v>
      </c>
      <c r="R143" s="318">
        <v>453.73</v>
      </c>
      <c r="S143" s="318">
        <v>0</v>
      </c>
      <c r="T143" s="318">
        <v>-453.73</v>
      </c>
      <c r="U143" s="318">
        <v>453.73</v>
      </c>
      <c r="V143" s="319">
        <v>98</v>
      </c>
      <c r="W143" s="319">
        <v>98</v>
      </c>
      <c r="X143" s="318">
        <v>98</v>
      </c>
      <c r="Y143" s="318">
        <v>98</v>
      </c>
      <c r="Z143" s="317"/>
      <c r="AA143" s="316"/>
    </row>
    <row r="144" spans="1:27">
      <c r="A144" s="316" t="s">
        <v>377</v>
      </c>
      <c r="B144" s="316" t="s">
        <v>90</v>
      </c>
      <c r="C144" s="316" t="s">
        <v>757</v>
      </c>
      <c r="D144" s="316" t="s">
        <v>802</v>
      </c>
      <c r="E144" s="317">
        <v>45351</v>
      </c>
      <c r="F144" s="316" t="s">
        <v>514</v>
      </c>
      <c r="G144" s="316" t="s">
        <v>803</v>
      </c>
      <c r="H144" s="317">
        <v>45351</v>
      </c>
      <c r="J144" s="317">
        <v>45352.861817129633</v>
      </c>
      <c r="K144" s="316" t="s">
        <v>378</v>
      </c>
      <c r="L144" s="318">
        <v>-104325.22</v>
      </c>
      <c r="M144" s="318">
        <v>-104325.22</v>
      </c>
      <c r="N144" s="318">
        <v>-104420.54</v>
      </c>
      <c r="O144" s="318">
        <v>-104420.54</v>
      </c>
      <c r="P144" s="318">
        <v>72.510000000000005</v>
      </c>
      <c r="Q144" s="318">
        <v>72.510000000000005</v>
      </c>
      <c r="R144" s="318">
        <v>95.32</v>
      </c>
      <c r="S144" s="318">
        <v>0</v>
      </c>
      <c r="T144" s="318">
        <v>-95.32</v>
      </c>
      <c r="U144" s="318">
        <v>95.32</v>
      </c>
      <c r="V144" s="319">
        <v>98</v>
      </c>
      <c r="W144" s="319">
        <v>98</v>
      </c>
      <c r="X144" s="318">
        <v>98</v>
      </c>
      <c r="Y144" s="318">
        <v>98</v>
      </c>
      <c r="Z144" s="317"/>
      <c r="AA144" s="316"/>
    </row>
    <row r="145" spans="1:27">
      <c r="A145" s="316" t="s">
        <v>377</v>
      </c>
      <c r="B145" s="316" t="s">
        <v>90</v>
      </c>
      <c r="C145" s="316" t="s">
        <v>757</v>
      </c>
      <c r="D145" s="316" t="s">
        <v>804</v>
      </c>
      <c r="E145" s="317">
        <v>45188</v>
      </c>
      <c r="F145" s="316" t="s">
        <v>514</v>
      </c>
      <c r="G145" s="316" t="s">
        <v>603</v>
      </c>
      <c r="H145" s="317">
        <v>45188</v>
      </c>
      <c r="J145" s="317">
        <v>45352.861817129633</v>
      </c>
      <c r="K145" s="316" t="s">
        <v>378</v>
      </c>
      <c r="L145" s="318">
        <v>338158.81</v>
      </c>
      <c r="M145" s="318">
        <v>338158.81</v>
      </c>
      <c r="N145" s="318">
        <v>362198</v>
      </c>
      <c r="O145" s="318">
        <v>362198</v>
      </c>
      <c r="P145" s="318">
        <v>9390.7199999999993</v>
      </c>
      <c r="Q145" s="318">
        <v>9390.7199999999993</v>
      </c>
      <c r="R145" s="318">
        <v>3125.66</v>
      </c>
      <c r="S145" s="318">
        <v>0</v>
      </c>
      <c r="T145" s="318">
        <v>24039.19</v>
      </c>
      <c r="U145" s="318">
        <v>3125.66</v>
      </c>
      <c r="V145" s="319">
        <v>100</v>
      </c>
      <c r="W145" s="319">
        <v>100</v>
      </c>
      <c r="X145" s="318">
        <v>97.5</v>
      </c>
      <c r="Y145" s="318">
        <v>97.5</v>
      </c>
      <c r="Z145" s="317"/>
      <c r="AA145" s="316"/>
    </row>
    <row r="146" spans="1:27">
      <c r="A146" s="316" t="s">
        <v>377</v>
      </c>
      <c r="B146" s="316" t="s">
        <v>90</v>
      </c>
      <c r="C146" s="316" t="s">
        <v>757</v>
      </c>
      <c r="D146" s="316" t="s">
        <v>805</v>
      </c>
      <c r="E146" s="317">
        <v>45279</v>
      </c>
      <c r="F146" s="316" t="s">
        <v>514</v>
      </c>
      <c r="G146" s="316" t="s">
        <v>604</v>
      </c>
      <c r="H146" s="317">
        <v>45279</v>
      </c>
      <c r="I146" s="316" t="s">
        <v>896</v>
      </c>
      <c r="J146" s="317">
        <v>45352.861817129633</v>
      </c>
      <c r="K146" s="316" t="s">
        <v>378</v>
      </c>
      <c r="L146" s="318">
        <v>-6022.08</v>
      </c>
      <c r="M146" s="318">
        <v>-6022.08</v>
      </c>
      <c r="N146" s="318">
        <v>-6649.73</v>
      </c>
      <c r="O146" s="318">
        <v>-6649.73</v>
      </c>
      <c r="P146" s="318">
        <v>591.09</v>
      </c>
      <c r="Q146" s="318">
        <v>591.09</v>
      </c>
      <c r="R146" s="318">
        <v>627.65</v>
      </c>
      <c r="S146" s="318">
        <v>0</v>
      </c>
      <c r="T146" s="318">
        <v>-627.65</v>
      </c>
      <c r="U146" s="318">
        <v>627.65</v>
      </c>
      <c r="V146" s="319">
        <v>99</v>
      </c>
      <c r="W146" s="319">
        <v>99</v>
      </c>
      <c r="X146" s="318">
        <v>99</v>
      </c>
      <c r="Y146" s="318">
        <v>99</v>
      </c>
      <c r="Z146" s="317"/>
      <c r="AA146" s="316"/>
    </row>
    <row r="147" spans="1:27">
      <c r="A147" s="316" t="s">
        <v>377</v>
      </c>
      <c r="B147" s="316" t="s">
        <v>90</v>
      </c>
      <c r="C147" s="316" t="s">
        <v>757</v>
      </c>
      <c r="D147" s="316" t="s">
        <v>806</v>
      </c>
      <c r="E147" s="317">
        <v>45240</v>
      </c>
      <c r="F147" s="316" t="s">
        <v>514</v>
      </c>
      <c r="G147" s="316" t="s">
        <v>605</v>
      </c>
      <c r="H147" s="317">
        <v>45240</v>
      </c>
      <c r="J147" s="317">
        <v>45352.861817129633</v>
      </c>
      <c r="K147" s="316" t="s">
        <v>378</v>
      </c>
      <c r="L147" s="318">
        <v>-110582.09</v>
      </c>
      <c r="M147" s="318">
        <v>-110582.09</v>
      </c>
      <c r="N147" s="318">
        <v>-116595.46</v>
      </c>
      <c r="O147" s="318">
        <v>-116595.46</v>
      </c>
      <c r="P147" s="318">
        <v>4659.78</v>
      </c>
      <c r="Q147" s="318">
        <v>4659.78</v>
      </c>
      <c r="R147" s="318">
        <v>6013.37</v>
      </c>
      <c r="S147" s="318">
        <v>0</v>
      </c>
      <c r="T147" s="318">
        <v>-6013.37</v>
      </c>
      <c r="U147" s="318">
        <v>6013.37</v>
      </c>
      <c r="V147" s="319">
        <v>98</v>
      </c>
      <c r="W147" s="319">
        <v>98</v>
      </c>
      <c r="X147" s="318">
        <v>98</v>
      </c>
      <c r="Y147" s="318">
        <v>98</v>
      </c>
      <c r="Z147" s="317"/>
      <c r="AA147" s="316"/>
    </row>
    <row r="148" spans="1:27">
      <c r="A148" s="316" t="s">
        <v>377</v>
      </c>
      <c r="B148" s="316" t="s">
        <v>90</v>
      </c>
      <c r="C148" s="316" t="s">
        <v>757</v>
      </c>
      <c r="D148" s="316" t="s">
        <v>807</v>
      </c>
      <c r="E148" s="317">
        <v>45238</v>
      </c>
      <c r="F148" s="316" t="s">
        <v>514</v>
      </c>
      <c r="G148" s="316" t="s">
        <v>606</v>
      </c>
      <c r="H148" s="317">
        <v>45238</v>
      </c>
      <c r="J148" s="317">
        <v>45352.861817129633</v>
      </c>
      <c r="K148" s="316" t="s">
        <v>378</v>
      </c>
      <c r="L148" s="318">
        <v>-11605.43</v>
      </c>
      <c r="M148" s="318">
        <v>-11605.43</v>
      </c>
      <c r="N148" s="318">
        <v>-12247.69</v>
      </c>
      <c r="O148" s="318">
        <v>-12247.69</v>
      </c>
      <c r="P148" s="318">
        <v>725.79</v>
      </c>
      <c r="Q148" s="318">
        <v>725.79</v>
      </c>
      <c r="R148" s="318">
        <v>642.26</v>
      </c>
      <c r="S148" s="318">
        <v>0</v>
      </c>
      <c r="T148" s="318">
        <v>-642.26</v>
      </c>
      <c r="U148" s="318">
        <v>642.26</v>
      </c>
      <c r="V148" s="319">
        <v>98.5</v>
      </c>
      <c r="W148" s="319">
        <v>98.5</v>
      </c>
      <c r="X148" s="318">
        <v>98.5</v>
      </c>
      <c r="Y148" s="318">
        <v>98.5</v>
      </c>
      <c r="Z148" s="317"/>
      <c r="AA148" s="316"/>
    </row>
    <row r="149" spans="1:27">
      <c r="A149" s="316" t="s">
        <v>377</v>
      </c>
      <c r="B149" s="316" t="s">
        <v>90</v>
      </c>
      <c r="C149" s="316" t="s">
        <v>757</v>
      </c>
      <c r="D149" s="316" t="s">
        <v>808</v>
      </c>
      <c r="E149" s="317">
        <v>45231</v>
      </c>
      <c r="F149" s="316" t="s">
        <v>514</v>
      </c>
      <c r="G149" s="316" t="s">
        <v>607</v>
      </c>
      <c r="H149" s="317">
        <v>45231</v>
      </c>
      <c r="J149" s="317">
        <v>45352.861817129633</v>
      </c>
      <c r="K149" s="316" t="s">
        <v>378</v>
      </c>
      <c r="L149" s="318">
        <v>-36454.800000000003</v>
      </c>
      <c r="M149" s="318">
        <v>-36454.800000000003</v>
      </c>
      <c r="N149" s="318">
        <v>-38603.339999999997</v>
      </c>
      <c r="O149" s="318">
        <v>-38603.339999999997</v>
      </c>
      <c r="P149" s="318">
        <v>3270.56</v>
      </c>
      <c r="Q149" s="318">
        <v>3270.56</v>
      </c>
      <c r="R149" s="318">
        <v>2148.54</v>
      </c>
      <c r="S149" s="318">
        <v>0</v>
      </c>
      <c r="T149" s="318">
        <v>-2148.54</v>
      </c>
      <c r="U149" s="318">
        <v>2148.54</v>
      </c>
      <c r="V149" s="319">
        <v>98</v>
      </c>
      <c r="W149" s="319">
        <v>98</v>
      </c>
      <c r="X149" s="318">
        <v>98</v>
      </c>
      <c r="Y149" s="318">
        <v>98</v>
      </c>
      <c r="Z149" s="317"/>
      <c r="AA149" s="316"/>
    </row>
    <row r="150" spans="1:27">
      <c r="A150" s="316" t="s">
        <v>377</v>
      </c>
      <c r="B150" s="316" t="s">
        <v>90</v>
      </c>
      <c r="C150" s="316" t="s">
        <v>757</v>
      </c>
      <c r="D150" s="316" t="s">
        <v>809</v>
      </c>
      <c r="E150" s="317">
        <v>45205</v>
      </c>
      <c r="F150" s="316" t="s">
        <v>514</v>
      </c>
      <c r="G150" s="316" t="s">
        <v>608</v>
      </c>
      <c r="H150" s="317">
        <v>45205</v>
      </c>
      <c r="J150" s="317">
        <v>45352.861817129633</v>
      </c>
      <c r="K150" s="316" t="s">
        <v>378</v>
      </c>
      <c r="L150" s="318">
        <v>-139970.09</v>
      </c>
      <c r="M150" s="318">
        <v>-139970.09</v>
      </c>
      <c r="N150" s="318">
        <v>-150095</v>
      </c>
      <c r="O150" s="318">
        <v>-150095</v>
      </c>
      <c r="P150" s="318">
        <v>12341.14</v>
      </c>
      <c r="Q150" s="318">
        <v>12341.14</v>
      </c>
      <c r="R150" s="318">
        <v>10124.91</v>
      </c>
      <c r="S150" s="318">
        <v>0</v>
      </c>
      <c r="T150" s="318">
        <v>-10124.91</v>
      </c>
      <c r="U150" s="318">
        <v>10124.91</v>
      </c>
      <c r="V150" s="319">
        <v>97.5</v>
      </c>
      <c r="W150" s="319">
        <v>97.5</v>
      </c>
      <c r="X150" s="318">
        <v>97.5</v>
      </c>
      <c r="Y150" s="318">
        <v>97.5</v>
      </c>
      <c r="Z150" s="317"/>
      <c r="AA150" s="316"/>
    </row>
    <row r="151" spans="1:27">
      <c r="A151" s="316" t="s">
        <v>377</v>
      </c>
      <c r="B151" s="316" t="s">
        <v>90</v>
      </c>
      <c r="C151" s="316" t="s">
        <v>757</v>
      </c>
      <c r="D151" s="316" t="s">
        <v>810</v>
      </c>
      <c r="E151" s="317">
        <v>45352</v>
      </c>
      <c r="F151" s="316" t="s">
        <v>514</v>
      </c>
      <c r="G151" s="316" t="s">
        <v>811</v>
      </c>
      <c r="H151" s="317">
        <v>45352</v>
      </c>
      <c r="J151" s="317">
        <v>45352.861817129633</v>
      </c>
      <c r="K151" s="316" t="s">
        <v>378</v>
      </c>
      <c r="L151" s="318">
        <v>-30144.65</v>
      </c>
      <c r="M151" s="318">
        <v>-30144.65</v>
      </c>
      <c r="N151" s="318">
        <v>-30158.6</v>
      </c>
      <c r="O151" s="318">
        <v>-30158.6</v>
      </c>
      <c r="P151" s="318">
        <v>20.94</v>
      </c>
      <c r="Q151" s="318">
        <v>20.94</v>
      </c>
      <c r="R151" s="318">
        <v>13.95</v>
      </c>
      <c r="S151" s="318">
        <v>0</v>
      </c>
      <c r="T151" s="318">
        <v>-13.95</v>
      </c>
      <c r="U151" s="318">
        <v>13.95</v>
      </c>
      <c r="V151" s="319">
        <v>98</v>
      </c>
      <c r="W151" s="319">
        <v>98</v>
      </c>
      <c r="X151" s="318">
        <v>98</v>
      </c>
      <c r="Y151" s="318">
        <v>98</v>
      </c>
      <c r="Z151" s="317"/>
      <c r="AA151" s="316"/>
    </row>
    <row r="152" spans="1:27">
      <c r="A152" s="316" t="s">
        <v>377</v>
      </c>
      <c r="B152" s="316" t="s">
        <v>90</v>
      </c>
      <c r="C152" s="316" t="s">
        <v>757</v>
      </c>
      <c r="D152" s="316" t="s">
        <v>812</v>
      </c>
      <c r="E152" s="317">
        <v>45323</v>
      </c>
      <c r="F152" s="316" t="s">
        <v>514</v>
      </c>
      <c r="G152" s="316" t="s">
        <v>813</v>
      </c>
      <c r="H152" s="317">
        <v>45323</v>
      </c>
      <c r="J152" s="317">
        <v>45352.861817129633</v>
      </c>
      <c r="K152" s="316" t="s">
        <v>378</v>
      </c>
      <c r="L152" s="318">
        <v>-65472.02</v>
      </c>
      <c r="M152" s="318">
        <v>-65472.02</v>
      </c>
      <c r="N152" s="318">
        <v>-66248.679999999993</v>
      </c>
      <c r="O152" s="318">
        <v>-66248.679999999993</v>
      </c>
      <c r="P152" s="318">
        <v>1840.24</v>
      </c>
      <c r="Q152" s="318">
        <v>1840.24</v>
      </c>
      <c r="R152" s="318">
        <v>776.66</v>
      </c>
      <c r="S152" s="318">
        <v>0</v>
      </c>
      <c r="T152" s="318">
        <v>-776.66</v>
      </c>
      <c r="U152" s="318">
        <v>776.66</v>
      </c>
      <c r="V152" s="319">
        <v>98.5</v>
      </c>
      <c r="W152" s="319">
        <v>98.5</v>
      </c>
      <c r="X152" s="318">
        <v>98.5</v>
      </c>
      <c r="Y152" s="318">
        <v>98.5</v>
      </c>
      <c r="Z152" s="317"/>
      <c r="AA152" s="316"/>
    </row>
    <row r="153" spans="1:27">
      <c r="A153" s="316" t="s">
        <v>377</v>
      </c>
      <c r="B153" s="316" t="s">
        <v>90</v>
      </c>
      <c r="C153" s="316" t="s">
        <v>757</v>
      </c>
      <c r="D153" s="316" t="s">
        <v>814</v>
      </c>
      <c r="E153" s="317">
        <v>45245</v>
      </c>
      <c r="F153" s="316" t="s">
        <v>514</v>
      </c>
      <c r="G153" s="316" t="s">
        <v>609</v>
      </c>
      <c r="H153" s="317">
        <v>45245</v>
      </c>
      <c r="J153" s="317">
        <v>45352.861817129633</v>
      </c>
      <c r="K153" s="316" t="s">
        <v>378</v>
      </c>
      <c r="L153" s="318">
        <v>-249196.49</v>
      </c>
      <c r="M153" s="318">
        <v>-249196.49</v>
      </c>
      <c r="N153" s="318">
        <v>-262110.7</v>
      </c>
      <c r="O153" s="318">
        <v>-262110.7</v>
      </c>
      <c r="P153" s="318">
        <v>11649.36</v>
      </c>
      <c r="Q153" s="318">
        <v>11649.36</v>
      </c>
      <c r="R153" s="318">
        <v>12914.21</v>
      </c>
      <c r="S153" s="318">
        <v>0</v>
      </c>
      <c r="T153" s="318">
        <v>-12914.21</v>
      </c>
      <c r="U153" s="318">
        <v>12914.21</v>
      </c>
      <c r="V153" s="319">
        <v>98</v>
      </c>
      <c r="W153" s="319">
        <v>98</v>
      </c>
      <c r="X153" s="318">
        <v>98</v>
      </c>
      <c r="Y153" s="318">
        <v>98</v>
      </c>
      <c r="Z153" s="317"/>
      <c r="AA153" s="316"/>
    </row>
    <row r="154" spans="1:27">
      <c r="A154" s="316" t="s">
        <v>377</v>
      </c>
      <c r="B154" s="316" t="s">
        <v>90</v>
      </c>
      <c r="C154" s="316" t="s">
        <v>757</v>
      </c>
      <c r="D154" s="316" t="s">
        <v>815</v>
      </c>
      <c r="E154" s="317">
        <v>45351</v>
      </c>
      <c r="F154" s="316" t="s">
        <v>514</v>
      </c>
      <c r="G154" s="316" t="s">
        <v>816</v>
      </c>
      <c r="H154" s="317">
        <v>45351</v>
      </c>
      <c r="J154" s="317">
        <v>45352.861817129633</v>
      </c>
      <c r="K154" s="316" t="s">
        <v>378</v>
      </c>
      <c r="L154" s="318">
        <v>-169974.13</v>
      </c>
      <c r="M154" s="318">
        <v>-169974.13</v>
      </c>
      <c r="N154" s="318">
        <v>-159082.06</v>
      </c>
      <c r="O154" s="318">
        <v>-159082.06</v>
      </c>
      <c r="P154" s="318">
        <v>147.30000000000001</v>
      </c>
      <c r="Q154" s="318">
        <v>147.30000000000001</v>
      </c>
      <c r="R154" s="318">
        <v>155.30000000000001</v>
      </c>
      <c r="S154" s="318">
        <v>0</v>
      </c>
      <c r="T154" s="318">
        <v>10892.07</v>
      </c>
      <c r="U154" s="318">
        <v>155.30000000000001</v>
      </c>
      <c r="V154" s="319">
        <v>98.5</v>
      </c>
      <c r="W154" s="319">
        <v>98.5</v>
      </c>
      <c r="X154" s="318">
        <v>98.395832999999996</v>
      </c>
      <c r="Y154" s="318">
        <v>98.395833330000002</v>
      </c>
      <c r="Z154" s="317"/>
      <c r="AA154" s="316"/>
    </row>
    <row r="155" spans="1:27">
      <c r="A155" s="316" t="s">
        <v>377</v>
      </c>
      <c r="B155" s="316" t="s">
        <v>90</v>
      </c>
      <c r="C155" s="316" t="s">
        <v>757</v>
      </c>
      <c r="D155" s="316" t="s">
        <v>817</v>
      </c>
      <c r="E155" s="317">
        <v>45337</v>
      </c>
      <c r="F155" s="316" t="s">
        <v>514</v>
      </c>
      <c r="G155" s="316" t="s">
        <v>818</v>
      </c>
      <c r="H155" s="317">
        <v>45337</v>
      </c>
      <c r="I155" s="316" t="s">
        <v>897</v>
      </c>
      <c r="J155" s="317">
        <v>45352.861817129633</v>
      </c>
      <c r="K155" s="316" t="s">
        <v>378</v>
      </c>
      <c r="L155" s="318">
        <v>706.67</v>
      </c>
      <c r="M155" s="318">
        <v>706.67</v>
      </c>
      <c r="N155" s="318">
        <v>728.08</v>
      </c>
      <c r="O155" s="318">
        <v>728.08</v>
      </c>
      <c r="P155" s="318">
        <v>1.5</v>
      </c>
      <c r="Q155" s="318">
        <v>1.5</v>
      </c>
      <c r="R155" s="318">
        <v>0.51</v>
      </c>
      <c r="S155" s="318">
        <v>0</v>
      </c>
      <c r="T155" s="318">
        <v>21.41</v>
      </c>
      <c r="U155" s="318">
        <v>0.51</v>
      </c>
      <c r="V155" s="319">
        <v>100</v>
      </c>
      <c r="W155" s="319">
        <v>100</v>
      </c>
      <c r="X155" s="318">
        <v>97.5</v>
      </c>
      <c r="Y155" s="318">
        <v>97.5</v>
      </c>
      <c r="Z155" s="317"/>
      <c r="AA155" s="316"/>
    </row>
    <row r="156" spans="1:27">
      <c r="A156" s="316" t="s">
        <v>377</v>
      </c>
      <c r="B156" s="316" t="s">
        <v>90</v>
      </c>
      <c r="C156" s="316" t="s">
        <v>757</v>
      </c>
      <c r="D156" s="316" t="s">
        <v>833</v>
      </c>
      <c r="E156" s="317">
        <v>45230</v>
      </c>
      <c r="F156" s="316" t="s">
        <v>514</v>
      </c>
      <c r="G156" s="316" t="s">
        <v>615</v>
      </c>
      <c r="H156" s="317">
        <v>45239</v>
      </c>
      <c r="J156" s="317">
        <v>45352.861817129633</v>
      </c>
      <c r="K156" s="316" t="s">
        <v>378</v>
      </c>
      <c r="L156" s="318">
        <v>-50910.879999999997</v>
      </c>
      <c r="M156" s="318">
        <v>-50910.879999999997</v>
      </c>
      <c r="N156" s="318">
        <v>-53716.02</v>
      </c>
      <c r="O156" s="318">
        <v>-53716.02</v>
      </c>
      <c r="P156" s="318">
        <v>4768.1899999999996</v>
      </c>
      <c r="Q156" s="318">
        <v>4768.1899999999996</v>
      </c>
      <c r="R156" s="318">
        <v>2805.14</v>
      </c>
      <c r="S156" s="318">
        <v>0</v>
      </c>
      <c r="T156" s="318">
        <v>-2805.14</v>
      </c>
      <c r="U156" s="318">
        <v>2805.14</v>
      </c>
      <c r="V156" s="319">
        <v>98</v>
      </c>
      <c r="W156" s="319">
        <v>98</v>
      </c>
      <c r="X156" s="318">
        <v>98</v>
      </c>
      <c r="Y156" s="318">
        <v>98</v>
      </c>
      <c r="Z156" s="317"/>
      <c r="AA156" s="316"/>
    </row>
    <row r="157" spans="1:27">
      <c r="A157" s="316" t="s">
        <v>377</v>
      </c>
      <c r="B157" s="316" t="s">
        <v>90</v>
      </c>
      <c r="C157" s="316" t="s">
        <v>757</v>
      </c>
      <c r="D157" s="316" t="s">
        <v>819</v>
      </c>
      <c r="E157" s="317">
        <v>45322</v>
      </c>
      <c r="F157" s="316" t="s">
        <v>514</v>
      </c>
      <c r="G157" s="316" t="s">
        <v>820</v>
      </c>
      <c r="H157" s="317">
        <v>45322</v>
      </c>
      <c r="I157" s="316" t="s">
        <v>898</v>
      </c>
      <c r="J157" s="317">
        <v>45352.861817129633</v>
      </c>
      <c r="K157" s="316" t="s">
        <v>378</v>
      </c>
      <c r="L157" s="318">
        <v>-37973.58</v>
      </c>
      <c r="M157" s="318">
        <v>-37973.58</v>
      </c>
      <c r="N157" s="318">
        <v>0</v>
      </c>
      <c r="O157" s="318">
        <v>0</v>
      </c>
      <c r="P157" s="318">
        <v>851.69</v>
      </c>
      <c r="Q157" s="318">
        <v>851.69</v>
      </c>
      <c r="R157" s="318">
        <v>1588.64</v>
      </c>
      <c r="S157" s="318">
        <v>0</v>
      </c>
      <c r="T157" s="318">
        <v>37973.58</v>
      </c>
      <c r="U157" s="318">
        <v>1588.64</v>
      </c>
      <c r="V157" s="319">
        <v>100</v>
      </c>
      <c r="W157" s="319">
        <v>100</v>
      </c>
      <c r="X157" s="318">
        <v>98</v>
      </c>
      <c r="Y157" s="318">
        <v>98</v>
      </c>
      <c r="Z157" s="317"/>
      <c r="AA157" s="316"/>
    </row>
    <row r="158" spans="1:27">
      <c r="A158" s="316" t="s">
        <v>377</v>
      </c>
      <c r="B158" s="316" t="s">
        <v>90</v>
      </c>
      <c r="C158" s="316" t="s">
        <v>757</v>
      </c>
      <c r="D158" s="316" t="s">
        <v>821</v>
      </c>
      <c r="E158" s="317">
        <v>45201</v>
      </c>
      <c r="F158" s="316" t="s">
        <v>514</v>
      </c>
      <c r="G158" s="316" t="s">
        <v>610</v>
      </c>
      <c r="H158" s="317">
        <v>45201</v>
      </c>
      <c r="J158" s="317">
        <v>45352.861817129633</v>
      </c>
      <c r="K158" s="316" t="s">
        <v>378</v>
      </c>
      <c r="L158" s="318">
        <v>-39091.040000000001</v>
      </c>
      <c r="M158" s="318">
        <v>-39091.040000000001</v>
      </c>
      <c r="N158" s="318">
        <v>0</v>
      </c>
      <c r="O158" s="318">
        <v>0</v>
      </c>
      <c r="P158" s="318">
        <v>2027.9</v>
      </c>
      <c r="Q158" s="318">
        <v>2027.9</v>
      </c>
      <c r="R158" s="318">
        <v>6536.68</v>
      </c>
      <c r="S158" s="318">
        <v>0</v>
      </c>
      <c r="T158" s="318">
        <v>39091.040000000001</v>
      </c>
      <c r="U158" s="318">
        <v>6536.68</v>
      </c>
      <c r="V158" s="319">
        <v>100</v>
      </c>
      <c r="W158" s="319">
        <v>100</v>
      </c>
      <c r="X158" s="318">
        <v>98</v>
      </c>
      <c r="Y158" s="318">
        <v>98</v>
      </c>
      <c r="Z158" s="317"/>
      <c r="AA158" s="316"/>
    </row>
    <row r="159" spans="1:27">
      <c r="A159" s="316" t="s">
        <v>377</v>
      </c>
      <c r="B159" s="316" t="s">
        <v>90</v>
      </c>
      <c r="C159" s="316" t="s">
        <v>757</v>
      </c>
      <c r="D159" s="316" t="s">
        <v>822</v>
      </c>
      <c r="E159" s="317">
        <v>45335</v>
      </c>
      <c r="F159" s="316" t="s">
        <v>514</v>
      </c>
      <c r="G159" s="316" t="s">
        <v>823</v>
      </c>
      <c r="H159" s="317">
        <v>45335</v>
      </c>
      <c r="J159" s="317">
        <v>45352.861817129633</v>
      </c>
      <c r="K159" s="316" t="s">
        <v>378</v>
      </c>
      <c r="L159" s="318">
        <v>81159.97</v>
      </c>
      <c r="M159" s="318">
        <v>81159.97</v>
      </c>
      <c r="N159" s="318">
        <v>79799</v>
      </c>
      <c r="O159" s="318">
        <v>79799</v>
      </c>
      <c r="P159" s="318">
        <v>3139.26</v>
      </c>
      <c r="Q159" s="318">
        <v>3139.26</v>
      </c>
      <c r="R159" s="318">
        <v>1360.97</v>
      </c>
      <c r="S159" s="318">
        <v>0</v>
      </c>
      <c r="T159" s="318">
        <v>-1360.97</v>
      </c>
      <c r="U159" s="318">
        <v>1360.97</v>
      </c>
      <c r="V159" s="319">
        <v>97.75</v>
      </c>
      <c r="W159" s="319">
        <v>97.75</v>
      </c>
      <c r="X159" s="318">
        <v>97.75</v>
      </c>
      <c r="Y159" s="318">
        <v>97.75</v>
      </c>
      <c r="Z159" s="317"/>
      <c r="AA159" s="316"/>
    </row>
    <row r="160" spans="1:27">
      <c r="A160" s="316" t="s">
        <v>377</v>
      </c>
      <c r="B160" s="316" t="s">
        <v>90</v>
      </c>
      <c r="C160" s="316" t="s">
        <v>757</v>
      </c>
      <c r="D160" s="316" t="s">
        <v>824</v>
      </c>
      <c r="E160" s="317">
        <v>45238</v>
      </c>
      <c r="F160" s="316" t="s">
        <v>514</v>
      </c>
      <c r="G160" s="316" t="s">
        <v>611</v>
      </c>
      <c r="H160" s="317">
        <v>45238</v>
      </c>
      <c r="J160" s="317">
        <v>45352.861817129633</v>
      </c>
      <c r="K160" s="316" t="s">
        <v>378</v>
      </c>
      <c r="L160" s="318">
        <v>-85749.41</v>
      </c>
      <c r="M160" s="318">
        <v>-85749.41</v>
      </c>
      <c r="N160" s="318">
        <v>-89787.57</v>
      </c>
      <c r="O160" s="318">
        <v>-89787.57</v>
      </c>
      <c r="P160" s="318">
        <v>3192.45</v>
      </c>
      <c r="Q160" s="318">
        <v>3192.45</v>
      </c>
      <c r="R160" s="318">
        <v>4038.16</v>
      </c>
      <c r="S160" s="318">
        <v>0</v>
      </c>
      <c r="T160" s="318">
        <v>-4038.16</v>
      </c>
      <c r="U160" s="318">
        <v>4038.16</v>
      </c>
      <c r="V160" s="319">
        <v>97.5</v>
      </c>
      <c r="W160" s="319">
        <v>97.5</v>
      </c>
      <c r="X160" s="318">
        <v>97.5</v>
      </c>
      <c r="Y160" s="318">
        <v>97.5</v>
      </c>
      <c r="Z160" s="317"/>
      <c r="AA160" s="316"/>
    </row>
    <row r="161" spans="1:27">
      <c r="A161" s="316" t="s">
        <v>377</v>
      </c>
      <c r="B161" s="316" t="s">
        <v>90</v>
      </c>
      <c r="C161" s="316" t="s">
        <v>757</v>
      </c>
      <c r="D161" s="316" t="s">
        <v>825</v>
      </c>
      <c r="E161" s="317">
        <v>45296</v>
      </c>
      <c r="F161" s="316" t="s">
        <v>514</v>
      </c>
      <c r="G161" s="316" t="s">
        <v>826</v>
      </c>
      <c r="H161" s="317">
        <v>45296</v>
      </c>
      <c r="I161" s="316" t="s">
        <v>899</v>
      </c>
      <c r="J161" s="317">
        <v>45352.861817129633</v>
      </c>
      <c r="K161" s="316" t="s">
        <v>378</v>
      </c>
      <c r="L161" s="318">
        <v>324118.57</v>
      </c>
      <c r="M161" s="318">
        <v>324118.57</v>
      </c>
      <c r="N161" s="318">
        <v>365043.3</v>
      </c>
      <c r="O161" s="318">
        <v>365043.3</v>
      </c>
      <c r="P161" s="318">
        <v>2021.67</v>
      </c>
      <c r="Q161" s="318">
        <v>2021.67</v>
      </c>
      <c r="R161" s="318">
        <v>1195.6500000000001</v>
      </c>
      <c r="S161" s="318">
        <v>0</v>
      </c>
      <c r="T161" s="318">
        <v>40924.730000000003</v>
      </c>
      <c r="U161" s="318">
        <v>1195.6500000000001</v>
      </c>
      <c r="V161" s="319">
        <v>100</v>
      </c>
      <c r="W161" s="319">
        <v>100</v>
      </c>
      <c r="X161" s="318">
        <v>98</v>
      </c>
      <c r="Y161" s="318">
        <v>98</v>
      </c>
      <c r="Z161" s="317"/>
      <c r="AA161" s="316"/>
    </row>
    <row r="162" spans="1:27">
      <c r="A162" s="316" t="s">
        <v>377</v>
      </c>
      <c r="B162" s="316" t="s">
        <v>90</v>
      </c>
      <c r="C162" s="316" t="s">
        <v>757</v>
      </c>
      <c r="D162" s="316" t="s">
        <v>827</v>
      </c>
      <c r="E162" s="317">
        <v>45236</v>
      </c>
      <c r="F162" s="316" t="s">
        <v>514</v>
      </c>
      <c r="G162" s="316" t="s">
        <v>612</v>
      </c>
      <c r="H162" s="317">
        <v>45236</v>
      </c>
      <c r="J162" s="317">
        <v>45352.861817129633</v>
      </c>
      <c r="K162" s="316" t="s">
        <v>378</v>
      </c>
      <c r="L162" s="318">
        <v>-17571.97</v>
      </c>
      <c r="M162" s="318">
        <v>-17571.97</v>
      </c>
      <c r="N162" s="318">
        <v>-18562.78</v>
      </c>
      <c r="O162" s="318">
        <v>-18562.78</v>
      </c>
      <c r="P162" s="318">
        <v>1206.58</v>
      </c>
      <c r="Q162" s="318">
        <v>1206.58</v>
      </c>
      <c r="R162" s="318">
        <v>990.81</v>
      </c>
      <c r="S162" s="318">
        <v>0</v>
      </c>
      <c r="T162" s="318">
        <v>-990.81</v>
      </c>
      <c r="U162" s="318">
        <v>990.81</v>
      </c>
      <c r="V162" s="319">
        <v>97.5</v>
      </c>
      <c r="W162" s="319">
        <v>97.5</v>
      </c>
      <c r="X162" s="318">
        <v>97.5</v>
      </c>
      <c r="Y162" s="318">
        <v>97.5</v>
      </c>
      <c r="Z162" s="317"/>
      <c r="AA162" s="316"/>
    </row>
    <row r="163" spans="1:27">
      <c r="A163" s="316" t="s">
        <v>377</v>
      </c>
      <c r="B163" s="316" t="s">
        <v>90</v>
      </c>
      <c r="C163" s="316" t="s">
        <v>757</v>
      </c>
      <c r="D163" s="316" t="s">
        <v>828</v>
      </c>
      <c r="E163" s="317">
        <v>45324</v>
      </c>
      <c r="F163" s="316" t="s">
        <v>514</v>
      </c>
      <c r="G163" s="316" t="s">
        <v>829</v>
      </c>
      <c r="H163" s="317">
        <v>45324</v>
      </c>
      <c r="I163" s="316" t="s">
        <v>900</v>
      </c>
      <c r="J163" s="317">
        <v>45352.861817129633</v>
      </c>
      <c r="K163" s="316" t="s">
        <v>378</v>
      </c>
      <c r="L163" s="318">
        <v>-20319.75</v>
      </c>
      <c r="M163" s="318">
        <v>-20319.75</v>
      </c>
      <c r="N163" s="318">
        <v>0</v>
      </c>
      <c r="O163" s="318">
        <v>0</v>
      </c>
      <c r="P163" s="318">
        <v>559.47</v>
      </c>
      <c r="Q163" s="318">
        <v>559.47</v>
      </c>
      <c r="R163" s="318">
        <v>449.48</v>
      </c>
      <c r="S163" s="318">
        <v>0</v>
      </c>
      <c r="T163" s="318">
        <v>20319.75</v>
      </c>
      <c r="U163" s="318">
        <v>449.48</v>
      </c>
      <c r="V163" s="319">
        <v>100</v>
      </c>
      <c r="W163" s="319">
        <v>100</v>
      </c>
      <c r="X163" s="318">
        <v>98.5</v>
      </c>
      <c r="Y163" s="318">
        <v>98.5</v>
      </c>
      <c r="Z163" s="317"/>
      <c r="AA163" s="316"/>
    </row>
    <row r="164" spans="1:27">
      <c r="A164" s="316" t="s">
        <v>377</v>
      </c>
      <c r="B164" s="316" t="s">
        <v>90</v>
      </c>
      <c r="C164" s="316" t="s">
        <v>757</v>
      </c>
      <c r="D164" s="316" t="s">
        <v>830</v>
      </c>
      <c r="E164" s="317">
        <v>45219</v>
      </c>
      <c r="F164" s="316" t="s">
        <v>514</v>
      </c>
      <c r="G164" s="316" t="s">
        <v>613</v>
      </c>
      <c r="H164" s="317">
        <v>45219</v>
      </c>
      <c r="J164" s="317">
        <v>45352.861817129633</v>
      </c>
      <c r="K164" s="316" t="s">
        <v>378</v>
      </c>
      <c r="L164" s="318">
        <v>-18299.16</v>
      </c>
      <c r="M164" s="318">
        <v>-18299.16</v>
      </c>
      <c r="N164" s="318">
        <v>-19941.55</v>
      </c>
      <c r="O164" s="318">
        <v>-19941.55</v>
      </c>
      <c r="P164" s="318">
        <v>886.3</v>
      </c>
      <c r="Q164" s="318">
        <v>886.3</v>
      </c>
      <c r="R164" s="318">
        <v>1642.39</v>
      </c>
      <c r="S164" s="318">
        <v>0</v>
      </c>
      <c r="T164" s="318">
        <v>-1642.39</v>
      </c>
      <c r="U164" s="318">
        <v>1642.39</v>
      </c>
      <c r="V164" s="319">
        <v>98</v>
      </c>
      <c r="W164" s="319">
        <v>98</v>
      </c>
      <c r="X164" s="318">
        <v>98</v>
      </c>
      <c r="Y164" s="318">
        <v>98</v>
      </c>
      <c r="Z164" s="317"/>
      <c r="AA164" s="316"/>
    </row>
    <row r="165" spans="1:27">
      <c r="A165" s="316" t="s">
        <v>377</v>
      </c>
      <c r="B165" s="316" t="s">
        <v>90</v>
      </c>
      <c r="C165" s="316" t="s">
        <v>834</v>
      </c>
      <c r="D165" s="316" t="s">
        <v>835</v>
      </c>
      <c r="E165" s="317">
        <v>45334</v>
      </c>
      <c r="F165" s="316" t="s">
        <v>514</v>
      </c>
      <c r="G165" s="316" t="s">
        <v>836</v>
      </c>
      <c r="H165" s="317">
        <v>45334</v>
      </c>
      <c r="J165" s="317">
        <v>45352.861817129633</v>
      </c>
      <c r="K165" s="316" t="s">
        <v>378</v>
      </c>
      <c r="L165" s="318">
        <v>81801675.260000005</v>
      </c>
      <c r="M165" s="318">
        <v>81801675.260000005</v>
      </c>
      <c r="N165" s="318">
        <v>81801675.260000005</v>
      </c>
      <c r="O165" s="318">
        <v>81801675.260000005</v>
      </c>
      <c r="P165" s="318">
        <v>0</v>
      </c>
      <c r="Q165" s="318">
        <v>0</v>
      </c>
      <c r="R165" s="318">
        <v>0</v>
      </c>
      <c r="S165" s="318">
        <v>0</v>
      </c>
      <c r="T165" s="318">
        <v>0</v>
      </c>
      <c r="U165" s="318">
        <v>0</v>
      </c>
      <c r="V165" s="319">
        <v>1</v>
      </c>
      <c r="W165" s="319">
        <v>1</v>
      </c>
      <c r="X165" s="318">
        <v>1</v>
      </c>
      <c r="Y165" s="318">
        <v>1</v>
      </c>
      <c r="Z165" s="317"/>
      <c r="AA165" s="316"/>
    </row>
    <row r="166" spans="1:27">
      <c r="A166" s="316" t="s">
        <v>377</v>
      </c>
      <c r="B166" s="316" t="s">
        <v>90</v>
      </c>
      <c r="C166" s="316" t="s">
        <v>834</v>
      </c>
      <c r="D166" s="316" t="s">
        <v>835</v>
      </c>
      <c r="E166" s="317">
        <v>45335</v>
      </c>
      <c r="F166" s="316" t="s">
        <v>514</v>
      </c>
      <c r="G166" s="316" t="s">
        <v>836</v>
      </c>
      <c r="H166" s="317">
        <v>45335</v>
      </c>
      <c r="J166" s="317">
        <v>45352.861817129633</v>
      </c>
      <c r="K166" s="316" t="s">
        <v>378</v>
      </c>
      <c r="L166" s="318">
        <v>3321.35</v>
      </c>
      <c r="M166" s="318">
        <v>3321.35</v>
      </c>
      <c r="N166" s="318">
        <v>3321.35</v>
      </c>
      <c r="O166" s="318">
        <v>3321.35</v>
      </c>
      <c r="P166" s="318">
        <v>0</v>
      </c>
      <c r="Q166" s="318">
        <v>0</v>
      </c>
      <c r="R166" s="318">
        <v>0</v>
      </c>
      <c r="S166" s="318">
        <v>0</v>
      </c>
      <c r="T166" s="318">
        <v>0</v>
      </c>
      <c r="U166" s="318">
        <v>0</v>
      </c>
      <c r="V166" s="319">
        <v>1</v>
      </c>
      <c r="W166" s="319">
        <v>1</v>
      </c>
      <c r="X166" s="318">
        <v>1</v>
      </c>
      <c r="Y166" s="318">
        <v>1</v>
      </c>
      <c r="Z166" s="317"/>
      <c r="AA166" s="316"/>
    </row>
    <row r="167" spans="1:27">
      <c r="A167" s="316" t="s">
        <v>377</v>
      </c>
      <c r="B167" s="316" t="s">
        <v>90</v>
      </c>
      <c r="C167" s="316" t="s">
        <v>834</v>
      </c>
      <c r="D167" s="316" t="s">
        <v>835</v>
      </c>
      <c r="E167" s="317">
        <v>45337</v>
      </c>
      <c r="F167" s="316" t="s">
        <v>514</v>
      </c>
      <c r="G167" s="316" t="s">
        <v>836</v>
      </c>
      <c r="H167" s="317">
        <v>45337</v>
      </c>
      <c r="J167" s="317">
        <v>45352.861817129633</v>
      </c>
      <c r="K167" s="316" t="s">
        <v>378</v>
      </c>
      <c r="L167" s="318">
        <v>9505726.5700000003</v>
      </c>
      <c r="M167" s="318">
        <v>9505726.5700000003</v>
      </c>
      <c r="N167" s="318">
        <v>9505726.5700000003</v>
      </c>
      <c r="O167" s="318">
        <v>9505726.5700000003</v>
      </c>
      <c r="P167" s="318">
        <v>0</v>
      </c>
      <c r="Q167" s="318">
        <v>0</v>
      </c>
      <c r="R167" s="318">
        <v>0</v>
      </c>
      <c r="S167" s="318">
        <v>0</v>
      </c>
      <c r="T167" s="318">
        <v>0</v>
      </c>
      <c r="U167" s="318">
        <v>0</v>
      </c>
      <c r="V167" s="319">
        <v>1</v>
      </c>
      <c r="W167" s="319">
        <v>1</v>
      </c>
      <c r="X167" s="318">
        <v>1</v>
      </c>
      <c r="Y167" s="318">
        <v>1</v>
      </c>
      <c r="Z167" s="317"/>
      <c r="AA167" s="316"/>
    </row>
    <row r="168" spans="1:27">
      <c r="A168" s="316" t="s">
        <v>377</v>
      </c>
      <c r="B168" s="316" t="s">
        <v>90</v>
      </c>
      <c r="C168" s="316" t="s">
        <v>834</v>
      </c>
      <c r="D168" s="316" t="s">
        <v>835</v>
      </c>
      <c r="E168" s="317">
        <v>45342</v>
      </c>
      <c r="F168" s="316" t="s">
        <v>514</v>
      </c>
      <c r="G168" s="316" t="s">
        <v>836</v>
      </c>
      <c r="H168" s="317">
        <v>45342</v>
      </c>
      <c r="J168" s="317">
        <v>45352.861817129633</v>
      </c>
      <c r="K168" s="316" t="s">
        <v>378</v>
      </c>
      <c r="L168" s="318">
        <v>412654.62</v>
      </c>
      <c r="M168" s="318">
        <v>412654.62</v>
      </c>
      <c r="N168" s="318">
        <v>412654.62</v>
      </c>
      <c r="O168" s="318">
        <v>412654.62</v>
      </c>
      <c r="P168" s="318">
        <v>0</v>
      </c>
      <c r="Q168" s="318">
        <v>0</v>
      </c>
      <c r="R168" s="318">
        <v>0</v>
      </c>
      <c r="S168" s="318">
        <v>0</v>
      </c>
      <c r="T168" s="318">
        <v>0</v>
      </c>
      <c r="U168" s="318">
        <v>0</v>
      </c>
      <c r="V168" s="319">
        <v>1</v>
      </c>
      <c r="W168" s="319">
        <v>1</v>
      </c>
      <c r="X168" s="318">
        <v>1</v>
      </c>
      <c r="Y168" s="318">
        <v>1</v>
      </c>
      <c r="Z168" s="317"/>
      <c r="AA168" s="316"/>
    </row>
    <row r="169" spans="1:27">
      <c r="A169" s="316" t="s">
        <v>377</v>
      </c>
      <c r="B169" s="316" t="s">
        <v>90</v>
      </c>
      <c r="C169" s="316" t="s">
        <v>834</v>
      </c>
      <c r="D169" s="316" t="s">
        <v>835</v>
      </c>
      <c r="E169" s="317">
        <v>45349</v>
      </c>
      <c r="F169" s="316" t="s">
        <v>514</v>
      </c>
      <c r="G169" s="316" t="s">
        <v>836</v>
      </c>
      <c r="H169" s="317">
        <v>45349</v>
      </c>
      <c r="J169" s="317">
        <v>45352.861817129633</v>
      </c>
      <c r="K169" s="316" t="s">
        <v>378</v>
      </c>
      <c r="L169" s="318">
        <v>164072170.78</v>
      </c>
      <c r="M169" s="318">
        <v>164072170.78</v>
      </c>
      <c r="N169" s="318">
        <v>164072170.78</v>
      </c>
      <c r="O169" s="318">
        <v>164072170.78</v>
      </c>
      <c r="P169" s="318">
        <v>0</v>
      </c>
      <c r="Q169" s="318">
        <v>0</v>
      </c>
      <c r="R169" s="318">
        <v>0</v>
      </c>
      <c r="S169" s="318">
        <v>0</v>
      </c>
      <c r="T169" s="318">
        <v>0</v>
      </c>
      <c r="U169" s="318">
        <v>0</v>
      </c>
      <c r="V169" s="319">
        <v>1</v>
      </c>
      <c r="W169" s="319">
        <v>1</v>
      </c>
      <c r="X169" s="318">
        <v>1</v>
      </c>
      <c r="Y169" s="318">
        <v>1</v>
      </c>
      <c r="Z169" s="317"/>
      <c r="AA169" s="316"/>
    </row>
    <row r="170" spans="1:27">
      <c r="A170" s="316" t="s">
        <v>377</v>
      </c>
      <c r="B170" s="316" t="s">
        <v>90</v>
      </c>
      <c r="C170" s="316" t="s">
        <v>867</v>
      </c>
      <c r="D170" s="316" t="s">
        <v>868</v>
      </c>
      <c r="E170" s="317">
        <v>45167</v>
      </c>
      <c r="F170" s="316" t="s">
        <v>514</v>
      </c>
      <c r="G170" s="316" t="s">
        <v>869</v>
      </c>
      <c r="H170" s="317">
        <v>45167</v>
      </c>
      <c r="J170" s="317">
        <v>45352.861817129633</v>
      </c>
      <c r="K170" s="316" t="s">
        <v>378</v>
      </c>
      <c r="L170" s="318">
        <v>-2521967186.2399998</v>
      </c>
      <c r="M170" s="318">
        <v>-2521472575.8800001</v>
      </c>
      <c r="N170" s="318">
        <v>-2523211669.3600001</v>
      </c>
      <c r="O170" s="318">
        <v>-2521472575.8800001</v>
      </c>
      <c r="P170" s="318">
        <v>-2185655.48</v>
      </c>
      <c r="Q170" s="318">
        <v>-2185655.48</v>
      </c>
      <c r="R170" s="318">
        <v>0</v>
      </c>
      <c r="S170" s="318">
        <v>-1244483.1200000001</v>
      </c>
      <c r="T170" s="318">
        <v>0</v>
      </c>
      <c r="U170" s="318">
        <v>0</v>
      </c>
      <c r="V170" s="319">
        <v>100</v>
      </c>
      <c r="W170" s="319">
        <v>100</v>
      </c>
      <c r="X170" s="318">
        <v>100</v>
      </c>
      <c r="Y170" s="318">
        <v>100</v>
      </c>
      <c r="Z170" s="317"/>
      <c r="AA170" s="316"/>
    </row>
    <row r="171" spans="1:27">
      <c r="A171" s="316" t="s">
        <v>377</v>
      </c>
      <c r="B171" s="316" t="s">
        <v>90</v>
      </c>
      <c r="C171" s="316" t="s">
        <v>379</v>
      </c>
      <c r="D171" s="316" t="s">
        <v>385</v>
      </c>
      <c r="E171" s="317">
        <v>45250</v>
      </c>
      <c r="F171" s="316" t="s">
        <v>514</v>
      </c>
      <c r="G171" s="316" t="s">
        <v>386</v>
      </c>
      <c r="H171" s="317">
        <v>45264</v>
      </c>
      <c r="I171" s="316" t="s">
        <v>524</v>
      </c>
      <c r="J171" s="317">
        <v>45352.861817129633</v>
      </c>
      <c r="K171" s="316" t="s">
        <v>378</v>
      </c>
      <c r="L171" s="318">
        <v>6826640.8700000001</v>
      </c>
      <c r="M171" s="318">
        <v>6826640.8700000001</v>
      </c>
      <c r="N171" s="318">
        <v>6754872.2300000004</v>
      </c>
      <c r="O171" s="318">
        <v>6754872.2300000004</v>
      </c>
      <c r="P171" s="318">
        <v>165551.19</v>
      </c>
      <c r="Q171" s="318">
        <v>165551.19</v>
      </c>
      <c r="R171" s="318">
        <v>2841.37</v>
      </c>
      <c r="S171" s="318">
        <v>0</v>
      </c>
      <c r="T171" s="318">
        <v>-71768.639999999999</v>
      </c>
      <c r="U171" s="318">
        <v>2841.37</v>
      </c>
      <c r="V171" s="319">
        <v>98</v>
      </c>
      <c r="W171" s="319">
        <v>98</v>
      </c>
      <c r="X171" s="318">
        <v>99</v>
      </c>
      <c r="Y171" s="318">
        <v>99</v>
      </c>
      <c r="Z171" s="317"/>
      <c r="AA171" s="316"/>
    </row>
    <row r="172" spans="1:27">
      <c r="A172" s="316" t="s">
        <v>377</v>
      </c>
      <c r="B172" s="316" t="s">
        <v>90</v>
      </c>
      <c r="C172" s="316" t="s">
        <v>379</v>
      </c>
      <c r="D172" s="316" t="s">
        <v>387</v>
      </c>
      <c r="E172" s="317">
        <v>45250</v>
      </c>
      <c r="F172" s="316" t="s">
        <v>514</v>
      </c>
      <c r="G172" s="316" t="s">
        <v>388</v>
      </c>
      <c r="H172" s="317">
        <v>45264</v>
      </c>
      <c r="I172" s="316" t="s">
        <v>525</v>
      </c>
      <c r="J172" s="317">
        <v>45352.861817129633</v>
      </c>
      <c r="K172" s="316" t="s">
        <v>378</v>
      </c>
      <c r="L172" s="318">
        <v>392770.37</v>
      </c>
      <c r="M172" s="318">
        <v>392770.37</v>
      </c>
      <c r="N172" s="318">
        <v>388641.17</v>
      </c>
      <c r="O172" s="318">
        <v>388641.17</v>
      </c>
      <c r="P172" s="318">
        <v>15990.1</v>
      </c>
      <c r="Q172" s="318">
        <v>15990.1</v>
      </c>
      <c r="R172" s="318">
        <v>163.47999999999999</v>
      </c>
      <c r="S172" s="318">
        <v>0</v>
      </c>
      <c r="T172" s="318">
        <v>-4129.2</v>
      </c>
      <c r="U172" s="318">
        <v>163.47999999999999</v>
      </c>
      <c r="V172" s="319">
        <v>98</v>
      </c>
      <c r="W172" s="319">
        <v>98</v>
      </c>
      <c r="X172" s="318">
        <v>99</v>
      </c>
      <c r="Y172" s="318">
        <v>99</v>
      </c>
      <c r="Z172" s="317"/>
      <c r="AA172" s="316"/>
    </row>
    <row r="173" spans="1:27">
      <c r="A173" s="316" t="s">
        <v>377</v>
      </c>
      <c r="B173" s="316" t="s">
        <v>90</v>
      </c>
      <c r="C173" s="316" t="s">
        <v>379</v>
      </c>
      <c r="D173" s="316" t="s">
        <v>389</v>
      </c>
      <c r="E173" s="317">
        <v>45257</v>
      </c>
      <c r="F173" s="316" t="s">
        <v>514</v>
      </c>
      <c r="G173" s="316" t="s">
        <v>390</v>
      </c>
      <c r="H173" s="317">
        <v>45257</v>
      </c>
      <c r="J173" s="317">
        <v>45352.861817129633</v>
      </c>
      <c r="K173" s="316" t="s">
        <v>378</v>
      </c>
      <c r="L173" s="318">
        <v>4613060</v>
      </c>
      <c r="M173" s="318">
        <v>4613060</v>
      </c>
      <c r="N173" s="318">
        <v>4613060</v>
      </c>
      <c r="O173" s="318">
        <v>4613060</v>
      </c>
      <c r="P173" s="318">
        <v>6750.72</v>
      </c>
      <c r="Q173" s="318">
        <v>6750.72</v>
      </c>
      <c r="R173" s="318">
        <v>0</v>
      </c>
      <c r="S173" s="318">
        <v>0</v>
      </c>
      <c r="T173" s="318">
        <v>0</v>
      </c>
      <c r="U173" s="318">
        <v>0</v>
      </c>
      <c r="V173" s="319">
        <v>100</v>
      </c>
      <c r="W173" s="319">
        <v>100</v>
      </c>
      <c r="X173" s="318">
        <v>100</v>
      </c>
      <c r="Y173" s="318">
        <v>100</v>
      </c>
      <c r="Z173" s="317"/>
      <c r="AA173" s="316"/>
    </row>
    <row r="174" spans="1:27">
      <c r="A174" s="316" t="s">
        <v>377</v>
      </c>
      <c r="B174" s="316" t="s">
        <v>90</v>
      </c>
      <c r="C174" s="316" t="s">
        <v>379</v>
      </c>
      <c r="D174" s="316" t="s">
        <v>431</v>
      </c>
      <c r="E174" s="317">
        <v>45259</v>
      </c>
      <c r="F174" s="316" t="s">
        <v>514</v>
      </c>
      <c r="G174" s="316" t="s">
        <v>432</v>
      </c>
      <c r="H174" s="317">
        <v>45259</v>
      </c>
      <c r="J174" s="317">
        <v>45352.861817129633</v>
      </c>
      <c r="K174" s="316" t="s">
        <v>378</v>
      </c>
      <c r="L174" s="318">
        <v>5336620.3600000003</v>
      </c>
      <c r="M174" s="318">
        <v>5336620.3600000003</v>
      </c>
      <c r="N174" s="318">
        <v>5446729</v>
      </c>
      <c r="O174" s="318">
        <v>5446729</v>
      </c>
      <c r="P174" s="318">
        <v>90923.88</v>
      </c>
      <c r="Q174" s="318">
        <v>90923.88</v>
      </c>
      <c r="R174" s="318">
        <v>9282.7000000000007</v>
      </c>
      <c r="S174" s="318">
        <v>0</v>
      </c>
      <c r="T174" s="318">
        <v>110108.64</v>
      </c>
      <c r="U174" s="318">
        <v>9282.7000000000007</v>
      </c>
      <c r="V174" s="319">
        <v>100</v>
      </c>
      <c r="W174" s="319">
        <v>100</v>
      </c>
      <c r="X174" s="318">
        <v>97.808018000000004</v>
      </c>
      <c r="Y174" s="318">
        <v>97.808017730000003</v>
      </c>
      <c r="Z174" s="317"/>
      <c r="AA174" s="316"/>
    </row>
    <row r="175" spans="1:27">
      <c r="A175" s="316" t="s">
        <v>377</v>
      </c>
      <c r="B175" s="316" t="s">
        <v>90</v>
      </c>
      <c r="C175" s="316" t="s">
        <v>379</v>
      </c>
      <c r="D175" s="316" t="s">
        <v>617</v>
      </c>
      <c r="E175" s="317">
        <v>45308</v>
      </c>
      <c r="F175" s="316" t="s">
        <v>514</v>
      </c>
      <c r="G175" s="316" t="s">
        <v>618</v>
      </c>
      <c r="H175" s="317">
        <v>45308</v>
      </c>
      <c r="J175" s="317">
        <v>45352.861817129633</v>
      </c>
      <c r="K175" s="316" t="s">
        <v>378</v>
      </c>
      <c r="L175" s="318">
        <v>2965472</v>
      </c>
      <c r="M175" s="318">
        <v>2965472</v>
      </c>
      <c r="N175" s="318">
        <v>3023413.74</v>
      </c>
      <c r="O175" s="318">
        <v>3023413.74</v>
      </c>
      <c r="P175" s="318">
        <v>0</v>
      </c>
      <c r="Q175" s="318">
        <v>0</v>
      </c>
      <c r="R175" s="318">
        <v>2526.5300000000002</v>
      </c>
      <c r="S175" s="318">
        <v>0</v>
      </c>
      <c r="T175" s="318">
        <v>57941.74</v>
      </c>
      <c r="U175" s="318">
        <v>2526.5300000000002</v>
      </c>
      <c r="V175" s="319">
        <v>100</v>
      </c>
      <c r="W175" s="319">
        <v>100</v>
      </c>
      <c r="X175" s="318">
        <v>98</v>
      </c>
      <c r="Y175" s="318">
        <v>98</v>
      </c>
      <c r="Z175" s="317"/>
      <c r="AA175" s="316"/>
    </row>
    <row r="176" spans="1:27">
      <c r="A176" s="316" t="s">
        <v>377</v>
      </c>
      <c r="B176" s="316" t="s">
        <v>90</v>
      </c>
      <c r="C176" s="316" t="s">
        <v>379</v>
      </c>
      <c r="D176" s="316" t="s">
        <v>619</v>
      </c>
      <c r="E176" s="317">
        <v>45320</v>
      </c>
      <c r="F176" s="316" t="s">
        <v>514</v>
      </c>
      <c r="G176" s="316" t="s">
        <v>620</v>
      </c>
      <c r="H176" s="317">
        <v>45320</v>
      </c>
      <c r="J176" s="317">
        <v>45352.861817129633</v>
      </c>
      <c r="K176" s="316" t="s">
        <v>378</v>
      </c>
      <c r="L176" s="318">
        <v>29201408.870000001</v>
      </c>
      <c r="M176" s="318">
        <v>29201408.870000001</v>
      </c>
      <c r="N176" s="318">
        <v>29197654.84</v>
      </c>
      <c r="O176" s="318">
        <v>29197654.84</v>
      </c>
      <c r="P176" s="318">
        <v>277031.81</v>
      </c>
      <c r="Q176" s="318">
        <v>277031.81</v>
      </c>
      <c r="R176" s="318">
        <v>3754.03</v>
      </c>
      <c r="S176" s="318">
        <v>0</v>
      </c>
      <c r="T176" s="318">
        <v>-3754.03</v>
      </c>
      <c r="U176" s="318">
        <v>3754.03</v>
      </c>
      <c r="V176" s="319">
        <v>99</v>
      </c>
      <c r="W176" s="319">
        <v>99</v>
      </c>
      <c r="X176" s="318">
        <v>99</v>
      </c>
      <c r="Y176" s="318">
        <v>99</v>
      </c>
      <c r="Z176" s="317"/>
      <c r="AA176" s="316"/>
    </row>
    <row r="177" spans="1:27">
      <c r="A177" s="316" t="s">
        <v>377</v>
      </c>
      <c r="B177" s="316" t="s">
        <v>90</v>
      </c>
      <c r="C177" s="316" t="s">
        <v>379</v>
      </c>
      <c r="D177" s="316" t="s">
        <v>621</v>
      </c>
      <c r="E177" s="317">
        <v>45279</v>
      </c>
      <c r="F177" s="316" t="s">
        <v>514</v>
      </c>
      <c r="G177" s="316" t="s">
        <v>622</v>
      </c>
      <c r="H177" s="317">
        <v>45288</v>
      </c>
      <c r="J177" s="317">
        <v>45352.861817129633</v>
      </c>
      <c r="K177" s="316" t="s">
        <v>378</v>
      </c>
      <c r="L177" s="318">
        <v>11353930.49</v>
      </c>
      <c r="M177" s="318">
        <v>11353930.49</v>
      </c>
      <c r="N177" s="318">
        <v>11462366</v>
      </c>
      <c r="O177" s="318">
        <v>11462366</v>
      </c>
      <c r="P177" s="318">
        <v>374958.67</v>
      </c>
      <c r="Q177" s="318">
        <v>374958.67</v>
      </c>
      <c r="R177" s="318">
        <v>6188.15</v>
      </c>
      <c r="S177" s="318">
        <v>0</v>
      </c>
      <c r="T177" s="318">
        <v>108435.51</v>
      </c>
      <c r="U177" s="318">
        <v>6188.15</v>
      </c>
      <c r="V177" s="319">
        <v>100</v>
      </c>
      <c r="W177" s="319">
        <v>100</v>
      </c>
      <c r="X177" s="318">
        <v>99</v>
      </c>
      <c r="Y177" s="318">
        <v>99</v>
      </c>
      <c r="Z177" s="317"/>
      <c r="AA177" s="316"/>
    </row>
    <row r="178" spans="1:27">
      <c r="A178" s="316" t="s">
        <v>377</v>
      </c>
      <c r="B178" s="316" t="s">
        <v>90</v>
      </c>
      <c r="C178" s="316" t="s">
        <v>379</v>
      </c>
      <c r="D178" s="316" t="s">
        <v>843</v>
      </c>
      <c r="E178" s="317">
        <v>45351</v>
      </c>
      <c r="F178" s="316" t="s">
        <v>514</v>
      </c>
      <c r="G178" s="316" t="s">
        <v>844</v>
      </c>
      <c r="H178" s="317">
        <v>45351</v>
      </c>
      <c r="J178" s="317">
        <v>45352.861817129633</v>
      </c>
      <c r="K178" s="316" t="s">
        <v>378</v>
      </c>
      <c r="L178" s="318">
        <v>55436337.090000004</v>
      </c>
      <c r="M178" s="318">
        <v>55436337.090000004</v>
      </c>
      <c r="N178" s="318">
        <v>55647359.100000001</v>
      </c>
      <c r="O178" s="318">
        <v>55647359.100000001</v>
      </c>
      <c r="P178" s="318">
        <v>16477.64</v>
      </c>
      <c r="Q178" s="318">
        <v>16477.64</v>
      </c>
      <c r="R178" s="318">
        <v>833.42</v>
      </c>
      <c r="S178" s="318">
        <v>0</v>
      </c>
      <c r="T178" s="318">
        <v>211022.01</v>
      </c>
      <c r="U178" s="318">
        <v>833.42</v>
      </c>
      <c r="V178" s="319">
        <v>98.5</v>
      </c>
      <c r="W178" s="319">
        <v>98.5</v>
      </c>
      <c r="X178" s="318">
        <v>98.125</v>
      </c>
      <c r="Y178" s="318">
        <v>98.125</v>
      </c>
      <c r="Z178" s="317"/>
      <c r="AA178" s="316"/>
    </row>
    <row r="179" spans="1:27">
      <c r="A179" s="316" t="s">
        <v>377</v>
      </c>
      <c r="B179" s="316" t="s">
        <v>90</v>
      </c>
      <c r="C179" s="316" t="s">
        <v>379</v>
      </c>
      <c r="D179" s="316" t="s">
        <v>623</v>
      </c>
      <c r="E179" s="317">
        <v>45309</v>
      </c>
      <c r="F179" s="316" t="s">
        <v>514</v>
      </c>
      <c r="G179" s="316" t="s">
        <v>624</v>
      </c>
      <c r="H179" s="317">
        <v>45309</v>
      </c>
      <c r="J179" s="317">
        <v>45352.861817129633</v>
      </c>
      <c r="K179" s="316" t="s">
        <v>378</v>
      </c>
      <c r="L179" s="318">
        <v>15729876.66</v>
      </c>
      <c r="M179" s="318">
        <v>15729876.66</v>
      </c>
      <c r="N179" s="318">
        <v>15721784.779999999</v>
      </c>
      <c r="O179" s="318">
        <v>15721784.779999999</v>
      </c>
      <c r="P179" s="318">
        <v>255825.43</v>
      </c>
      <c r="Q179" s="318">
        <v>255825.43</v>
      </c>
      <c r="R179" s="318">
        <v>8091.88</v>
      </c>
      <c r="S179" s="318">
        <v>0</v>
      </c>
      <c r="T179" s="318">
        <v>-8091.88</v>
      </c>
      <c r="U179" s="318">
        <v>8091.88</v>
      </c>
      <c r="V179" s="319">
        <v>97.5</v>
      </c>
      <c r="W179" s="319">
        <v>97.5</v>
      </c>
      <c r="X179" s="318">
        <v>97.5</v>
      </c>
      <c r="Y179" s="318">
        <v>97.5</v>
      </c>
      <c r="Z179" s="317"/>
      <c r="AA179" s="316"/>
    </row>
    <row r="180" spans="1:27">
      <c r="A180" s="316" t="s">
        <v>377</v>
      </c>
      <c r="B180" s="316" t="s">
        <v>90</v>
      </c>
      <c r="C180" s="316" t="s">
        <v>379</v>
      </c>
      <c r="D180" s="316" t="s">
        <v>845</v>
      </c>
      <c r="E180" s="317">
        <v>45352</v>
      </c>
      <c r="F180" s="316" t="s">
        <v>514</v>
      </c>
      <c r="G180" s="316" t="s">
        <v>846</v>
      </c>
      <c r="H180" s="317">
        <v>45352</v>
      </c>
      <c r="J180" s="317">
        <v>45352.861817129633</v>
      </c>
      <c r="K180" s="316" t="s">
        <v>378</v>
      </c>
      <c r="L180" s="318">
        <v>27583929.960000001</v>
      </c>
      <c r="M180" s="318">
        <v>27583929.960000001</v>
      </c>
      <c r="N180" s="318">
        <v>27583609.199999999</v>
      </c>
      <c r="O180" s="318">
        <v>27583609.199999999</v>
      </c>
      <c r="P180" s="318">
        <v>5668.4</v>
      </c>
      <c r="Q180" s="318">
        <v>5668.4</v>
      </c>
      <c r="R180" s="318">
        <v>320.76</v>
      </c>
      <c r="S180" s="318">
        <v>0</v>
      </c>
      <c r="T180" s="318">
        <v>-320.76</v>
      </c>
      <c r="U180" s="318">
        <v>320.76</v>
      </c>
      <c r="V180" s="319">
        <v>98</v>
      </c>
      <c r="W180" s="319">
        <v>98</v>
      </c>
      <c r="X180" s="318">
        <v>98</v>
      </c>
      <c r="Y180" s="318">
        <v>98</v>
      </c>
      <c r="Z180" s="317"/>
      <c r="AA180" s="316"/>
    </row>
    <row r="181" spans="1:27">
      <c r="A181" s="316" t="s">
        <v>377</v>
      </c>
      <c r="B181" s="316" t="s">
        <v>90</v>
      </c>
      <c r="C181" s="316" t="s">
        <v>379</v>
      </c>
      <c r="D181" s="316" t="s">
        <v>391</v>
      </c>
      <c r="E181" s="317">
        <v>45198</v>
      </c>
      <c r="F181" s="316" t="s">
        <v>514</v>
      </c>
      <c r="G181" s="316" t="s">
        <v>392</v>
      </c>
      <c r="H181" s="317">
        <v>45198</v>
      </c>
      <c r="J181" s="317">
        <v>45352.861817129633</v>
      </c>
      <c r="K181" s="316" t="s">
        <v>378</v>
      </c>
      <c r="L181" s="318">
        <v>20945678.469999999</v>
      </c>
      <c r="M181" s="318">
        <v>20945678.469999999</v>
      </c>
      <c r="N181" s="318">
        <v>20901315.559999999</v>
      </c>
      <c r="O181" s="318">
        <v>20901315.559999999</v>
      </c>
      <c r="P181" s="318">
        <v>308361.86</v>
      </c>
      <c r="Q181" s="318">
        <v>308361.86</v>
      </c>
      <c r="R181" s="318">
        <v>38835.11</v>
      </c>
      <c r="S181" s="318">
        <v>0</v>
      </c>
      <c r="T181" s="318">
        <v>-44362.91</v>
      </c>
      <c r="U181" s="318">
        <v>38835.11</v>
      </c>
      <c r="V181" s="319">
        <v>97</v>
      </c>
      <c r="W181" s="319">
        <v>97</v>
      </c>
      <c r="X181" s="318">
        <v>97</v>
      </c>
      <c r="Y181" s="318">
        <v>97</v>
      </c>
      <c r="Z181" s="317"/>
      <c r="AA181" s="316"/>
    </row>
    <row r="182" spans="1:27">
      <c r="A182" s="316" t="s">
        <v>377</v>
      </c>
      <c r="B182" s="316" t="s">
        <v>90</v>
      </c>
      <c r="C182" s="316" t="s">
        <v>379</v>
      </c>
      <c r="D182" s="316" t="s">
        <v>625</v>
      </c>
      <c r="E182" s="317">
        <v>45314</v>
      </c>
      <c r="F182" s="316" t="s">
        <v>514</v>
      </c>
      <c r="G182" s="316" t="s">
        <v>626</v>
      </c>
      <c r="H182" s="317">
        <v>45314</v>
      </c>
      <c r="J182" s="317">
        <v>45352.861817129633</v>
      </c>
      <c r="K182" s="316" t="s">
        <v>378</v>
      </c>
      <c r="L182" s="318">
        <v>6011292.6399999997</v>
      </c>
      <c r="M182" s="318">
        <v>6011292.6399999997</v>
      </c>
      <c r="N182" s="318">
        <v>6101418</v>
      </c>
      <c r="O182" s="318">
        <v>6101418</v>
      </c>
      <c r="P182" s="318">
        <v>584388.71</v>
      </c>
      <c r="Q182" s="318">
        <v>584388.71</v>
      </c>
      <c r="R182" s="318">
        <v>1395.91</v>
      </c>
      <c r="S182" s="318">
        <v>0</v>
      </c>
      <c r="T182" s="318">
        <v>90125.36</v>
      </c>
      <c r="U182" s="318">
        <v>1395.91</v>
      </c>
      <c r="V182" s="319">
        <v>100</v>
      </c>
      <c r="W182" s="319">
        <v>100</v>
      </c>
      <c r="X182" s="318">
        <v>98.5</v>
      </c>
      <c r="Y182" s="318">
        <v>98.5</v>
      </c>
      <c r="Z182" s="317"/>
      <c r="AA182" s="316"/>
    </row>
    <row r="183" spans="1:27">
      <c r="A183" s="316" t="s">
        <v>377</v>
      </c>
      <c r="B183" s="316" t="s">
        <v>90</v>
      </c>
      <c r="C183" s="316" t="s">
        <v>379</v>
      </c>
      <c r="D183" s="316" t="s">
        <v>393</v>
      </c>
      <c r="E183" s="317">
        <v>45205</v>
      </c>
      <c r="F183" s="316" t="s">
        <v>514</v>
      </c>
      <c r="G183" s="316" t="s">
        <v>394</v>
      </c>
      <c r="H183" s="317">
        <v>45205</v>
      </c>
      <c r="J183" s="317">
        <v>45352.861817129633</v>
      </c>
      <c r="K183" s="316" t="s">
        <v>378</v>
      </c>
      <c r="L183" s="318">
        <v>5251386.8099999996</v>
      </c>
      <c r="M183" s="318">
        <v>5251386.8099999996</v>
      </c>
      <c r="N183" s="318">
        <v>5350662.91</v>
      </c>
      <c r="O183" s="318">
        <v>5350662.91</v>
      </c>
      <c r="P183" s="318">
        <v>3292.52</v>
      </c>
      <c r="Q183" s="318">
        <v>3292.52</v>
      </c>
      <c r="R183" s="318">
        <v>7737.16</v>
      </c>
      <c r="S183" s="318">
        <v>0</v>
      </c>
      <c r="T183" s="318">
        <v>99276.1</v>
      </c>
      <c r="U183" s="318">
        <v>7737.16</v>
      </c>
      <c r="V183" s="319">
        <v>100</v>
      </c>
      <c r="W183" s="319">
        <v>100</v>
      </c>
      <c r="X183" s="318">
        <v>98</v>
      </c>
      <c r="Y183" s="318">
        <v>98</v>
      </c>
      <c r="Z183" s="317"/>
      <c r="AA183" s="316"/>
    </row>
    <row r="184" spans="1:27">
      <c r="A184" s="316" t="s">
        <v>377</v>
      </c>
      <c r="B184" s="316" t="s">
        <v>90</v>
      </c>
      <c r="C184" s="316" t="s">
        <v>379</v>
      </c>
      <c r="D184" s="316" t="s">
        <v>471</v>
      </c>
      <c r="E184" s="317">
        <v>45330</v>
      </c>
      <c r="F184" s="316" t="s">
        <v>514</v>
      </c>
      <c r="G184" s="316" t="s">
        <v>472</v>
      </c>
      <c r="H184" s="317">
        <v>45330</v>
      </c>
      <c r="J184" s="317">
        <v>45352.861817129633</v>
      </c>
      <c r="K184" s="316" t="s">
        <v>378</v>
      </c>
      <c r="L184" s="318">
        <v>46113207.649999999</v>
      </c>
      <c r="M184" s="318">
        <v>46113207.649999999</v>
      </c>
      <c r="N184" s="318">
        <v>46102452.659999996</v>
      </c>
      <c r="O184" s="318">
        <v>46102452.659999996</v>
      </c>
      <c r="P184" s="318">
        <v>434151.26</v>
      </c>
      <c r="Q184" s="318">
        <v>434151.26</v>
      </c>
      <c r="R184" s="318">
        <v>10754.99</v>
      </c>
      <c r="S184" s="318">
        <v>0</v>
      </c>
      <c r="T184" s="318">
        <v>-10754.99</v>
      </c>
      <c r="U184" s="318">
        <v>10754.99</v>
      </c>
      <c r="V184" s="319">
        <v>97.5</v>
      </c>
      <c r="W184" s="319">
        <v>97.5</v>
      </c>
      <c r="X184" s="318">
        <v>97.5</v>
      </c>
      <c r="Y184" s="318">
        <v>97.5</v>
      </c>
      <c r="Z184" s="317"/>
      <c r="AA184" s="316"/>
    </row>
    <row r="185" spans="1:27">
      <c r="A185" s="316" t="s">
        <v>377</v>
      </c>
      <c r="B185" s="316" t="s">
        <v>90</v>
      </c>
      <c r="C185" s="316" t="s">
        <v>379</v>
      </c>
      <c r="D185" s="316" t="s">
        <v>414</v>
      </c>
      <c r="E185" s="317">
        <v>45245</v>
      </c>
      <c r="F185" s="316" t="s">
        <v>514</v>
      </c>
      <c r="G185" s="316" t="s">
        <v>415</v>
      </c>
      <c r="H185" s="317">
        <v>45266</v>
      </c>
      <c r="J185" s="317">
        <v>45352.861817129633</v>
      </c>
      <c r="K185" s="316" t="s">
        <v>378</v>
      </c>
      <c r="L185" s="318">
        <v>8114234.1100000003</v>
      </c>
      <c r="M185" s="318">
        <v>8114234.1100000003</v>
      </c>
      <c r="N185" s="318">
        <v>8414634.7300000004</v>
      </c>
      <c r="O185" s="318">
        <v>8414634.7300000004</v>
      </c>
      <c r="P185" s="318">
        <v>61305.74</v>
      </c>
      <c r="Q185" s="318">
        <v>61305.74</v>
      </c>
      <c r="R185" s="318">
        <v>3067.43</v>
      </c>
      <c r="S185" s="318">
        <v>0</v>
      </c>
      <c r="T185" s="318">
        <v>300400.62</v>
      </c>
      <c r="U185" s="318">
        <v>3067.43</v>
      </c>
      <c r="V185" s="319">
        <v>99.072999999999894</v>
      </c>
      <c r="W185" s="319">
        <v>99.072999999999894</v>
      </c>
      <c r="X185" s="318">
        <v>95.5</v>
      </c>
      <c r="Y185" s="318">
        <v>95.5</v>
      </c>
      <c r="Z185" s="317"/>
      <c r="AA185" s="316"/>
    </row>
    <row r="186" spans="1:27">
      <c r="A186" s="316" t="s">
        <v>377</v>
      </c>
      <c r="B186" s="316" t="s">
        <v>90</v>
      </c>
      <c r="C186" s="316" t="s">
        <v>379</v>
      </c>
      <c r="D186" s="316" t="s">
        <v>627</v>
      </c>
      <c r="E186" s="317">
        <v>45320</v>
      </c>
      <c r="F186" s="316" t="s">
        <v>514</v>
      </c>
      <c r="G186" s="316" t="s">
        <v>628</v>
      </c>
      <c r="H186" s="317">
        <v>45320</v>
      </c>
      <c r="J186" s="317">
        <v>45352.861817129633</v>
      </c>
      <c r="K186" s="316" t="s">
        <v>378</v>
      </c>
      <c r="L186" s="318">
        <v>6070939.9800000004</v>
      </c>
      <c r="M186" s="318">
        <v>6070939.9800000004</v>
      </c>
      <c r="N186" s="318">
        <v>6069075.3200000003</v>
      </c>
      <c r="O186" s="318">
        <v>6069075.3200000003</v>
      </c>
      <c r="P186" s="318">
        <v>96134.11</v>
      </c>
      <c r="Q186" s="318">
        <v>96134.11</v>
      </c>
      <c r="R186" s="318">
        <v>1864.66</v>
      </c>
      <c r="S186" s="318">
        <v>0</v>
      </c>
      <c r="T186" s="318">
        <v>-1864.66</v>
      </c>
      <c r="U186" s="318">
        <v>1864.66</v>
      </c>
      <c r="V186" s="319">
        <v>98</v>
      </c>
      <c r="W186" s="319">
        <v>98</v>
      </c>
      <c r="X186" s="318">
        <v>98</v>
      </c>
      <c r="Y186" s="318">
        <v>98</v>
      </c>
      <c r="Z186" s="317"/>
      <c r="AA186" s="316"/>
    </row>
    <row r="187" spans="1:27">
      <c r="A187" s="316" t="s">
        <v>377</v>
      </c>
      <c r="B187" s="316" t="s">
        <v>90</v>
      </c>
      <c r="C187" s="316" t="s">
        <v>379</v>
      </c>
      <c r="D187" s="316" t="s">
        <v>629</v>
      </c>
      <c r="E187" s="317">
        <v>45327</v>
      </c>
      <c r="F187" s="316" t="s">
        <v>514</v>
      </c>
      <c r="G187" s="316" t="s">
        <v>630</v>
      </c>
      <c r="H187" s="317">
        <v>45327</v>
      </c>
      <c r="J187" s="317">
        <v>45352.861817129633</v>
      </c>
      <c r="K187" s="316" t="s">
        <v>378</v>
      </c>
      <c r="L187" s="318">
        <v>16626004.6</v>
      </c>
      <c r="M187" s="318">
        <v>16626004.6</v>
      </c>
      <c r="N187" s="318">
        <v>16791854</v>
      </c>
      <c r="O187" s="318">
        <v>16791854</v>
      </c>
      <c r="P187" s="318">
        <v>82046.570000000007</v>
      </c>
      <c r="Q187" s="318">
        <v>82046.570000000007</v>
      </c>
      <c r="R187" s="318">
        <v>2069.14</v>
      </c>
      <c r="S187" s="318">
        <v>0</v>
      </c>
      <c r="T187" s="318">
        <v>165849.4</v>
      </c>
      <c r="U187" s="318">
        <v>2069.14</v>
      </c>
      <c r="V187" s="319">
        <v>100</v>
      </c>
      <c r="W187" s="319">
        <v>100</v>
      </c>
      <c r="X187" s="318">
        <v>99</v>
      </c>
      <c r="Y187" s="318">
        <v>99</v>
      </c>
      <c r="Z187" s="317"/>
      <c r="AA187" s="316"/>
    </row>
    <row r="188" spans="1:27">
      <c r="A188" s="316" t="s">
        <v>377</v>
      </c>
      <c r="B188" s="316" t="s">
        <v>90</v>
      </c>
      <c r="C188" s="316" t="s">
        <v>379</v>
      </c>
      <c r="D188" s="316" t="s">
        <v>433</v>
      </c>
      <c r="E188" s="317">
        <v>45272</v>
      </c>
      <c r="F188" s="316" t="s">
        <v>514</v>
      </c>
      <c r="G188" s="316" t="s">
        <v>434</v>
      </c>
      <c r="H188" s="317">
        <v>45272</v>
      </c>
      <c r="J188" s="317">
        <v>45352.861817129633</v>
      </c>
      <c r="K188" s="316" t="s">
        <v>378</v>
      </c>
      <c r="L188" s="318">
        <v>10386067.18</v>
      </c>
      <c r="M188" s="318">
        <v>10386067.18</v>
      </c>
      <c r="N188" s="318">
        <v>10376235.68</v>
      </c>
      <c r="O188" s="318">
        <v>10376235.68</v>
      </c>
      <c r="P188" s="318">
        <v>551253.93000000005</v>
      </c>
      <c r="Q188" s="318">
        <v>551253.93000000005</v>
      </c>
      <c r="R188" s="318">
        <v>9831.5</v>
      </c>
      <c r="S188" s="318">
        <v>0</v>
      </c>
      <c r="T188" s="318">
        <v>-9831.5</v>
      </c>
      <c r="U188" s="318">
        <v>9831.5</v>
      </c>
      <c r="V188" s="319">
        <v>97.5</v>
      </c>
      <c r="W188" s="319">
        <v>97.5</v>
      </c>
      <c r="X188" s="318">
        <v>97.5</v>
      </c>
      <c r="Y188" s="318">
        <v>97.5</v>
      </c>
      <c r="Z188" s="317"/>
      <c r="AA188" s="316"/>
    </row>
    <row r="189" spans="1:27">
      <c r="A189" s="316" t="s">
        <v>377</v>
      </c>
      <c r="B189" s="316" t="s">
        <v>90</v>
      </c>
      <c r="C189" s="316" t="s">
        <v>379</v>
      </c>
      <c r="D189" s="316" t="s">
        <v>395</v>
      </c>
      <c r="E189" s="317">
        <v>45247</v>
      </c>
      <c r="F189" s="316" t="s">
        <v>514</v>
      </c>
      <c r="G189" s="316" t="s">
        <v>396</v>
      </c>
      <c r="H189" s="317">
        <v>45247</v>
      </c>
      <c r="J189" s="317">
        <v>45352.861817129633</v>
      </c>
      <c r="K189" s="316" t="s">
        <v>378</v>
      </c>
      <c r="L189" s="318">
        <v>3330078.35</v>
      </c>
      <c r="M189" s="318">
        <v>3330078.35</v>
      </c>
      <c r="N189" s="318">
        <v>3326798.16</v>
      </c>
      <c r="O189" s="318">
        <v>3326798.16</v>
      </c>
      <c r="P189" s="318">
        <v>11223.01</v>
      </c>
      <c r="Q189" s="318">
        <v>11223.01</v>
      </c>
      <c r="R189" s="318">
        <v>3280.19</v>
      </c>
      <c r="S189" s="318">
        <v>0</v>
      </c>
      <c r="T189" s="318">
        <v>-3280.19</v>
      </c>
      <c r="U189" s="318">
        <v>3280.19</v>
      </c>
      <c r="V189" s="319">
        <v>98</v>
      </c>
      <c r="W189" s="319">
        <v>98</v>
      </c>
      <c r="X189" s="318">
        <v>98</v>
      </c>
      <c r="Y189" s="318">
        <v>98</v>
      </c>
      <c r="Z189" s="317"/>
      <c r="AA189" s="316"/>
    </row>
    <row r="190" spans="1:27">
      <c r="A190" s="316" t="s">
        <v>377</v>
      </c>
      <c r="B190" s="316" t="s">
        <v>90</v>
      </c>
      <c r="C190" s="316" t="s">
        <v>379</v>
      </c>
      <c r="D190" s="316" t="s">
        <v>847</v>
      </c>
      <c r="E190" s="317">
        <v>45348</v>
      </c>
      <c r="F190" s="316" t="s">
        <v>514</v>
      </c>
      <c r="G190" s="316" t="s">
        <v>848</v>
      </c>
      <c r="H190" s="317">
        <v>45348</v>
      </c>
      <c r="J190" s="317">
        <v>45352.861817129633</v>
      </c>
      <c r="K190" s="316" t="s">
        <v>378</v>
      </c>
      <c r="L190" s="318">
        <v>11291766.4</v>
      </c>
      <c r="M190" s="318">
        <v>11291766.4</v>
      </c>
      <c r="N190" s="318">
        <v>11291315.98</v>
      </c>
      <c r="O190" s="318">
        <v>11291315.98</v>
      </c>
      <c r="P190" s="318">
        <v>10001.52</v>
      </c>
      <c r="Q190" s="318">
        <v>10001.52</v>
      </c>
      <c r="R190" s="318">
        <v>450.42</v>
      </c>
      <c r="S190" s="318">
        <v>0</v>
      </c>
      <c r="T190" s="318">
        <v>-450.42</v>
      </c>
      <c r="U190" s="318">
        <v>450.42</v>
      </c>
      <c r="V190" s="319">
        <v>98</v>
      </c>
      <c r="W190" s="319">
        <v>98</v>
      </c>
      <c r="X190" s="318">
        <v>98</v>
      </c>
      <c r="Y190" s="318">
        <v>98</v>
      </c>
      <c r="Z190" s="317"/>
      <c r="AA190" s="316"/>
    </row>
    <row r="191" spans="1:27">
      <c r="A191" s="316" t="s">
        <v>377</v>
      </c>
      <c r="B191" s="316" t="s">
        <v>90</v>
      </c>
      <c r="C191" s="316" t="s">
        <v>379</v>
      </c>
      <c r="D191" s="316" t="s">
        <v>631</v>
      </c>
      <c r="E191" s="317">
        <v>45282</v>
      </c>
      <c r="F191" s="316" t="s">
        <v>514</v>
      </c>
      <c r="G191" s="316" t="s">
        <v>632</v>
      </c>
      <c r="H191" s="317">
        <v>45282</v>
      </c>
      <c r="J191" s="317">
        <v>45352.861817129633</v>
      </c>
      <c r="K191" s="316" t="s">
        <v>378</v>
      </c>
      <c r="L191" s="318">
        <v>40784642.25</v>
      </c>
      <c r="M191" s="318">
        <v>40784642.25</v>
      </c>
      <c r="N191" s="318">
        <v>40757724.700000003</v>
      </c>
      <c r="O191" s="318">
        <v>40757724.700000003</v>
      </c>
      <c r="P191" s="318">
        <v>25014.38</v>
      </c>
      <c r="Q191" s="318">
        <v>25014.38</v>
      </c>
      <c r="R191" s="318">
        <v>26917.55</v>
      </c>
      <c r="S191" s="318">
        <v>0</v>
      </c>
      <c r="T191" s="318">
        <v>-26917.55</v>
      </c>
      <c r="U191" s="318">
        <v>26917.55</v>
      </c>
      <c r="V191" s="319">
        <v>98</v>
      </c>
      <c r="W191" s="319">
        <v>98</v>
      </c>
      <c r="X191" s="318">
        <v>98</v>
      </c>
      <c r="Y191" s="318">
        <v>98</v>
      </c>
      <c r="Z191" s="317"/>
      <c r="AA191" s="316"/>
    </row>
    <row r="192" spans="1:27">
      <c r="A192" s="316" t="s">
        <v>377</v>
      </c>
      <c r="B192" s="316" t="s">
        <v>90</v>
      </c>
      <c r="C192" s="316" t="s">
        <v>379</v>
      </c>
      <c r="D192" s="316" t="s">
        <v>397</v>
      </c>
      <c r="E192" s="317">
        <v>45247</v>
      </c>
      <c r="F192" s="316" t="s">
        <v>514</v>
      </c>
      <c r="G192" s="316" t="s">
        <v>398</v>
      </c>
      <c r="H192" s="317">
        <v>45247</v>
      </c>
      <c r="J192" s="317">
        <v>45352.861817129633</v>
      </c>
      <c r="K192" s="316" t="s">
        <v>378</v>
      </c>
      <c r="L192" s="318">
        <v>11508179.76</v>
      </c>
      <c r="M192" s="318">
        <v>11508179.76</v>
      </c>
      <c r="N192" s="318">
        <v>11494288.59</v>
      </c>
      <c r="O192" s="318">
        <v>11494288.59</v>
      </c>
      <c r="P192" s="318">
        <v>453841.11</v>
      </c>
      <c r="Q192" s="318">
        <v>453841.11</v>
      </c>
      <c r="R192" s="318">
        <v>13891.17</v>
      </c>
      <c r="S192" s="318">
        <v>0</v>
      </c>
      <c r="T192" s="318">
        <v>-13891.17</v>
      </c>
      <c r="U192" s="318">
        <v>13891.17</v>
      </c>
      <c r="V192" s="319">
        <v>98</v>
      </c>
      <c r="W192" s="319">
        <v>98</v>
      </c>
      <c r="X192" s="318">
        <v>98</v>
      </c>
      <c r="Y192" s="318">
        <v>98</v>
      </c>
      <c r="Z192" s="317"/>
      <c r="AA192" s="316"/>
    </row>
    <row r="193" spans="1:27">
      <c r="A193" s="316" t="s">
        <v>377</v>
      </c>
      <c r="B193" s="316" t="s">
        <v>90</v>
      </c>
      <c r="C193" s="316" t="s">
        <v>379</v>
      </c>
      <c r="D193" s="316" t="s">
        <v>633</v>
      </c>
      <c r="E193" s="317">
        <v>45317</v>
      </c>
      <c r="F193" s="316" t="s">
        <v>514</v>
      </c>
      <c r="G193" s="316" t="s">
        <v>634</v>
      </c>
      <c r="H193" s="317">
        <v>45317</v>
      </c>
      <c r="J193" s="317">
        <v>45352.861817129633</v>
      </c>
      <c r="K193" s="316" t="s">
        <v>378</v>
      </c>
      <c r="L193" s="318">
        <v>32450848.43</v>
      </c>
      <c r="M193" s="318">
        <v>32450848.43</v>
      </c>
      <c r="N193" s="318">
        <v>32439970.539999999</v>
      </c>
      <c r="O193" s="318">
        <v>32439970.539999999</v>
      </c>
      <c r="P193" s="318">
        <v>391265.77</v>
      </c>
      <c r="Q193" s="318">
        <v>391265.77</v>
      </c>
      <c r="R193" s="318">
        <v>10877.89</v>
      </c>
      <c r="S193" s="318">
        <v>0</v>
      </c>
      <c r="T193" s="318">
        <v>-10877.89</v>
      </c>
      <c r="U193" s="318">
        <v>10877.89</v>
      </c>
      <c r="V193" s="319">
        <v>98</v>
      </c>
      <c r="W193" s="319">
        <v>98</v>
      </c>
      <c r="X193" s="318">
        <v>98</v>
      </c>
      <c r="Y193" s="318">
        <v>98</v>
      </c>
      <c r="Z193" s="317"/>
      <c r="AA193" s="316"/>
    </row>
    <row r="194" spans="1:27">
      <c r="A194" s="316" t="s">
        <v>377</v>
      </c>
      <c r="B194" s="316" t="s">
        <v>90</v>
      </c>
      <c r="C194" s="316" t="s">
        <v>379</v>
      </c>
      <c r="D194" s="316" t="s">
        <v>435</v>
      </c>
      <c r="E194" s="317">
        <v>45282</v>
      </c>
      <c r="F194" s="316" t="s">
        <v>514</v>
      </c>
      <c r="G194" s="316" t="s">
        <v>436</v>
      </c>
      <c r="H194" s="317">
        <v>45282</v>
      </c>
      <c r="J194" s="317">
        <v>45352.861817129633</v>
      </c>
      <c r="K194" s="316" t="s">
        <v>378</v>
      </c>
      <c r="L194" s="318">
        <v>10339587.42</v>
      </c>
      <c r="M194" s="318">
        <v>10339587.42</v>
      </c>
      <c r="N194" s="318">
        <v>10330642.560000001</v>
      </c>
      <c r="O194" s="318">
        <v>10330642.560000001</v>
      </c>
      <c r="P194" s="318">
        <v>6486.67</v>
      </c>
      <c r="Q194" s="318">
        <v>6486.67</v>
      </c>
      <c r="R194" s="318">
        <v>6828.87</v>
      </c>
      <c r="S194" s="318">
        <v>0</v>
      </c>
      <c r="T194" s="318">
        <v>-8944.86</v>
      </c>
      <c r="U194" s="318">
        <v>6828.87</v>
      </c>
      <c r="V194" s="319">
        <v>98</v>
      </c>
      <c r="W194" s="319">
        <v>98</v>
      </c>
      <c r="X194" s="318">
        <v>98.020072999999996</v>
      </c>
      <c r="Y194" s="318">
        <v>98.020072990000003</v>
      </c>
      <c r="Z194" s="317"/>
      <c r="AA194" s="316"/>
    </row>
    <row r="195" spans="1:27">
      <c r="A195" s="316" t="s">
        <v>377</v>
      </c>
      <c r="B195" s="316" t="s">
        <v>90</v>
      </c>
      <c r="C195" s="316" t="s">
        <v>379</v>
      </c>
      <c r="D195" s="316" t="s">
        <v>635</v>
      </c>
      <c r="E195" s="317">
        <v>45330</v>
      </c>
      <c r="F195" s="316" t="s">
        <v>514</v>
      </c>
      <c r="G195" s="316" t="s">
        <v>636</v>
      </c>
      <c r="H195" s="317">
        <v>45330</v>
      </c>
      <c r="J195" s="317">
        <v>45352.861817129633</v>
      </c>
      <c r="K195" s="316" t="s">
        <v>378</v>
      </c>
      <c r="L195" s="318">
        <v>21611405.899999999</v>
      </c>
      <c r="M195" s="318">
        <v>21611405.899999999</v>
      </c>
      <c r="N195" s="318">
        <v>21607437.879999999</v>
      </c>
      <c r="O195" s="318">
        <v>21607437.879999999</v>
      </c>
      <c r="P195" s="318">
        <v>267255.26</v>
      </c>
      <c r="Q195" s="318">
        <v>267255.26</v>
      </c>
      <c r="R195" s="318">
        <v>3968.02</v>
      </c>
      <c r="S195" s="318">
        <v>0</v>
      </c>
      <c r="T195" s="318">
        <v>-3968.02</v>
      </c>
      <c r="U195" s="318">
        <v>3968.02</v>
      </c>
      <c r="V195" s="319">
        <v>98</v>
      </c>
      <c r="W195" s="319">
        <v>98</v>
      </c>
      <c r="X195" s="318">
        <v>98</v>
      </c>
      <c r="Y195" s="318">
        <v>98</v>
      </c>
      <c r="Z195" s="317"/>
      <c r="AA195" s="316"/>
    </row>
    <row r="196" spans="1:27">
      <c r="A196" s="316" t="s">
        <v>377</v>
      </c>
      <c r="B196" s="316" t="s">
        <v>90</v>
      </c>
      <c r="C196" s="316" t="s">
        <v>379</v>
      </c>
      <c r="D196" s="316" t="s">
        <v>849</v>
      </c>
      <c r="E196" s="317">
        <v>45338</v>
      </c>
      <c r="F196" s="316" t="s">
        <v>514</v>
      </c>
      <c r="G196" s="316" t="s">
        <v>850</v>
      </c>
      <c r="H196" s="317">
        <v>45338</v>
      </c>
      <c r="J196" s="317">
        <v>45352.861817129633</v>
      </c>
      <c r="K196" s="316" t="s">
        <v>378</v>
      </c>
      <c r="L196" s="318">
        <v>25379568.949999999</v>
      </c>
      <c r="M196" s="318">
        <v>25379568.949999999</v>
      </c>
      <c r="N196" s="318">
        <v>25891898</v>
      </c>
      <c r="O196" s="318">
        <v>25891898</v>
      </c>
      <c r="P196" s="318">
        <v>140227.71</v>
      </c>
      <c r="Q196" s="318">
        <v>140227.71</v>
      </c>
      <c r="R196" s="318">
        <v>5508.91</v>
      </c>
      <c r="S196" s="318">
        <v>0</v>
      </c>
      <c r="T196" s="318">
        <v>512329.05</v>
      </c>
      <c r="U196" s="318">
        <v>5508.91</v>
      </c>
      <c r="V196" s="319">
        <v>100</v>
      </c>
      <c r="W196" s="319">
        <v>100</v>
      </c>
      <c r="X196" s="318">
        <v>98</v>
      </c>
      <c r="Y196" s="318">
        <v>98</v>
      </c>
      <c r="Z196" s="317"/>
      <c r="AA196" s="316"/>
    </row>
    <row r="197" spans="1:27">
      <c r="A197" s="316" t="s">
        <v>377</v>
      </c>
      <c r="B197" s="316" t="s">
        <v>90</v>
      </c>
      <c r="C197" s="316" t="s">
        <v>379</v>
      </c>
      <c r="D197" s="316" t="s">
        <v>399</v>
      </c>
      <c r="E197" s="317">
        <v>45233</v>
      </c>
      <c r="F197" s="316" t="s">
        <v>514</v>
      </c>
      <c r="G197" s="316" t="s">
        <v>400</v>
      </c>
      <c r="H197" s="317">
        <v>45233</v>
      </c>
      <c r="J197" s="317">
        <v>45352.861817129633</v>
      </c>
      <c r="K197" s="316" t="s">
        <v>378</v>
      </c>
      <c r="L197" s="318">
        <v>1537701.74</v>
      </c>
      <c r="M197" s="318">
        <v>1537701.74</v>
      </c>
      <c r="N197" s="318">
        <v>1536917.68</v>
      </c>
      <c r="O197" s="318">
        <v>1536917.68</v>
      </c>
      <c r="P197" s="318">
        <v>49225.33</v>
      </c>
      <c r="Q197" s="318">
        <v>49225.33</v>
      </c>
      <c r="R197" s="318">
        <v>784.06</v>
      </c>
      <c r="S197" s="318">
        <v>0</v>
      </c>
      <c r="T197" s="318">
        <v>-784.06</v>
      </c>
      <c r="U197" s="318">
        <v>784.06</v>
      </c>
      <c r="V197" s="319">
        <v>99</v>
      </c>
      <c r="W197" s="319">
        <v>99</v>
      </c>
      <c r="X197" s="318">
        <v>99</v>
      </c>
      <c r="Y197" s="318">
        <v>99</v>
      </c>
      <c r="Z197" s="317"/>
      <c r="AA197" s="316"/>
    </row>
    <row r="198" spans="1:27">
      <c r="A198" s="316" t="s">
        <v>377</v>
      </c>
      <c r="B198" s="316" t="s">
        <v>90</v>
      </c>
      <c r="C198" s="316" t="s">
        <v>379</v>
      </c>
      <c r="D198" s="316" t="s">
        <v>851</v>
      </c>
      <c r="E198" s="317">
        <v>45351</v>
      </c>
      <c r="F198" s="316" t="s">
        <v>514</v>
      </c>
      <c r="G198" s="316" t="s">
        <v>852</v>
      </c>
      <c r="H198" s="317">
        <v>45351</v>
      </c>
      <c r="J198" s="317">
        <v>45352.861817129633</v>
      </c>
      <c r="K198" s="316" t="s">
        <v>378</v>
      </c>
      <c r="L198" s="318">
        <v>17880142.02</v>
      </c>
      <c r="M198" s="318">
        <v>17880142.02</v>
      </c>
      <c r="N198" s="318">
        <v>17879808.940000001</v>
      </c>
      <c r="O198" s="318">
        <v>17879808.940000001</v>
      </c>
      <c r="P198" s="318">
        <v>3294.18</v>
      </c>
      <c r="Q198" s="318">
        <v>3294.18</v>
      </c>
      <c r="R198" s="318">
        <v>333.08</v>
      </c>
      <c r="S198" s="318">
        <v>0</v>
      </c>
      <c r="T198" s="318">
        <v>-333.08</v>
      </c>
      <c r="U198" s="318">
        <v>333.08</v>
      </c>
      <c r="V198" s="319">
        <v>98</v>
      </c>
      <c r="W198" s="319">
        <v>98</v>
      </c>
      <c r="X198" s="318">
        <v>98</v>
      </c>
      <c r="Y198" s="318">
        <v>98</v>
      </c>
      <c r="Z198" s="317"/>
      <c r="AA198" s="316"/>
    </row>
    <row r="199" spans="1:27">
      <c r="A199" s="316" t="s">
        <v>377</v>
      </c>
      <c r="B199" s="316" t="s">
        <v>90</v>
      </c>
      <c r="C199" s="316" t="s">
        <v>379</v>
      </c>
      <c r="D199" s="316" t="s">
        <v>401</v>
      </c>
      <c r="E199" s="317">
        <v>45238</v>
      </c>
      <c r="F199" s="316" t="s">
        <v>514</v>
      </c>
      <c r="G199" s="316" t="s">
        <v>402</v>
      </c>
      <c r="H199" s="317">
        <v>45238</v>
      </c>
      <c r="J199" s="317">
        <v>45352.861817129633</v>
      </c>
      <c r="K199" s="316" t="s">
        <v>378</v>
      </c>
      <c r="L199" s="318">
        <v>9141877.7599999998</v>
      </c>
      <c r="M199" s="318">
        <v>9141877.7599999998</v>
      </c>
      <c r="N199" s="318">
        <v>9135675.2200000007</v>
      </c>
      <c r="O199" s="318">
        <v>9135675.2200000007</v>
      </c>
      <c r="P199" s="318">
        <v>155660.42000000001</v>
      </c>
      <c r="Q199" s="318">
        <v>155660.42000000001</v>
      </c>
      <c r="R199" s="318">
        <v>6202.54</v>
      </c>
      <c r="S199" s="318">
        <v>0</v>
      </c>
      <c r="T199" s="318">
        <v>-6202.54</v>
      </c>
      <c r="U199" s="318">
        <v>6202.54</v>
      </c>
      <c r="V199" s="319">
        <v>98.5</v>
      </c>
      <c r="W199" s="319">
        <v>98.5</v>
      </c>
      <c r="X199" s="318">
        <v>98.5</v>
      </c>
      <c r="Y199" s="318">
        <v>98.5</v>
      </c>
      <c r="Z199" s="317"/>
      <c r="AA199" s="316"/>
    </row>
    <row r="200" spans="1:27">
      <c r="A200" s="316" t="s">
        <v>377</v>
      </c>
      <c r="B200" s="316" t="s">
        <v>90</v>
      </c>
      <c r="C200" s="316" t="s">
        <v>379</v>
      </c>
      <c r="D200" s="316" t="s">
        <v>853</v>
      </c>
      <c r="E200" s="317">
        <v>45352</v>
      </c>
      <c r="F200" s="316" t="s">
        <v>514</v>
      </c>
      <c r="G200" s="316" t="s">
        <v>661</v>
      </c>
      <c r="H200" s="317">
        <v>45352</v>
      </c>
      <c r="J200" s="317">
        <v>45352.861817129633</v>
      </c>
      <c r="K200" s="316" t="s">
        <v>378</v>
      </c>
      <c r="L200" s="318">
        <v>20379693.350000001</v>
      </c>
      <c r="M200" s="318">
        <v>20379693.350000001</v>
      </c>
      <c r="N200" s="318">
        <v>20379500.98</v>
      </c>
      <c r="O200" s="318">
        <v>20379500.98</v>
      </c>
      <c r="P200" s="318">
        <v>3899.14</v>
      </c>
      <c r="Q200" s="318">
        <v>3899.14</v>
      </c>
      <c r="R200" s="318">
        <v>192.37</v>
      </c>
      <c r="S200" s="318">
        <v>0</v>
      </c>
      <c r="T200" s="318">
        <v>-192.37</v>
      </c>
      <c r="U200" s="318">
        <v>192.37</v>
      </c>
      <c r="V200" s="319">
        <v>98</v>
      </c>
      <c r="W200" s="319">
        <v>98</v>
      </c>
      <c r="X200" s="318">
        <v>98</v>
      </c>
      <c r="Y200" s="318">
        <v>98</v>
      </c>
      <c r="Z200" s="317"/>
      <c r="AA200" s="316"/>
    </row>
    <row r="201" spans="1:27">
      <c r="A201" s="316" t="s">
        <v>377</v>
      </c>
      <c r="B201" s="316" t="s">
        <v>90</v>
      </c>
      <c r="C201" s="316" t="s">
        <v>379</v>
      </c>
      <c r="D201" s="316" t="s">
        <v>637</v>
      </c>
      <c r="E201" s="317">
        <v>45322</v>
      </c>
      <c r="F201" s="316" t="s">
        <v>514</v>
      </c>
      <c r="G201" s="316" t="s">
        <v>638</v>
      </c>
      <c r="H201" s="317">
        <v>45322</v>
      </c>
      <c r="J201" s="317">
        <v>45352.861817129633</v>
      </c>
      <c r="K201" s="316" t="s">
        <v>378</v>
      </c>
      <c r="L201" s="318">
        <v>27082182.239999998</v>
      </c>
      <c r="M201" s="318">
        <v>27082182.239999998</v>
      </c>
      <c r="N201" s="318">
        <v>27077189.02</v>
      </c>
      <c r="O201" s="318">
        <v>27077189.02</v>
      </c>
      <c r="P201" s="318">
        <v>18398.349999999999</v>
      </c>
      <c r="Q201" s="318">
        <v>18398.349999999999</v>
      </c>
      <c r="R201" s="318">
        <v>4993.22</v>
      </c>
      <c r="S201" s="318">
        <v>0</v>
      </c>
      <c r="T201" s="318">
        <v>-4993.22</v>
      </c>
      <c r="U201" s="318">
        <v>4993.22</v>
      </c>
      <c r="V201" s="319">
        <v>98.5</v>
      </c>
      <c r="W201" s="319">
        <v>98.5</v>
      </c>
      <c r="X201" s="318">
        <v>98.5</v>
      </c>
      <c r="Y201" s="318">
        <v>98.5</v>
      </c>
      <c r="Z201" s="317"/>
      <c r="AA201" s="316"/>
    </row>
    <row r="202" spans="1:27">
      <c r="A202" s="316" t="s">
        <v>377</v>
      </c>
      <c r="B202" s="316" t="s">
        <v>90</v>
      </c>
      <c r="C202" s="316" t="s">
        <v>379</v>
      </c>
      <c r="D202" s="316" t="s">
        <v>403</v>
      </c>
      <c r="E202" s="317">
        <v>45224</v>
      </c>
      <c r="F202" s="316" t="s">
        <v>514</v>
      </c>
      <c r="G202" s="316" t="s">
        <v>404</v>
      </c>
      <c r="H202" s="317">
        <v>45224</v>
      </c>
      <c r="J202" s="317">
        <v>45352.861817129633</v>
      </c>
      <c r="K202" s="316" t="s">
        <v>378</v>
      </c>
      <c r="L202" s="318">
        <v>4588452.3899999997</v>
      </c>
      <c r="M202" s="318">
        <v>4588452.3899999997</v>
      </c>
      <c r="N202" s="318">
        <v>4675832.91</v>
      </c>
      <c r="O202" s="318">
        <v>4675832.91</v>
      </c>
      <c r="P202" s="318">
        <v>21569.91</v>
      </c>
      <c r="Q202" s="318">
        <v>21569.91</v>
      </c>
      <c r="R202" s="318">
        <v>6136.14</v>
      </c>
      <c r="S202" s="318">
        <v>0</v>
      </c>
      <c r="T202" s="318">
        <v>87380.52</v>
      </c>
      <c r="U202" s="318">
        <v>6136.14</v>
      </c>
      <c r="V202" s="319">
        <v>100</v>
      </c>
      <c r="W202" s="319">
        <v>100</v>
      </c>
      <c r="X202" s="318">
        <v>98</v>
      </c>
      <c r="Y202" s="318">
        <v>98</v>
      </c>
      <c r="Z202" s="317"/>
      <c r="AA202" s="316"/>
    </row>
    <row r="203" spans="1:27">
      <c r="A203" s="316" t="s">
        <v>377</v>
      </c>
      <c r="B203" s="316" t="s">
        <v>90</v>
      </c>
      <c r="C203" s="316" t="s">
        <v>379</v>
      </c>
      <c r="D203" s="316" t="s">
        <v>405</v>
      </c>
      <c r="E203" s="317">
        <v>45245</v>
      </c>
      <c r="F203" s="316" t="s">
        <v>514</v>
      </c>
      <c r="G203" s="316" t="s">
        <v>406</v>
      </c>
      <c r="H203" s="317">
        <v>45245</v>
      </c>
      <c r="J203" s="317">
        <v>45352.861817129633</v>
      </c>
      <c r="K203" s="316" t="s">
        <v>378</v>
      </c>
      <c r="L203" s="318">
        <v>14688901.310000001</v>
      </c>
      <c r="M203" s="318">
        <v>14688901.310000001</v>
      </c>
      <c r="N203" s="318">
        <v>14676250.68</v>
      </c>
      <c r="O203" s="318">
        <v>14676250.68</v>
      </c>
      <c r="P203" s="318">
        <v>96588.88</v>
      </c>
      <c r="Q203" s="318">
        <v>96588.88</v>
      </c>
      <c r="R203" s="318">
        <v>12650.63</v>
      </c>
      <c r="S203" s="318">
        <v>0</v>
      </c>
      <c r="T203" s="318">
        <v>-12650.63</v>
      </c>
      <c r="U203" s="318">
        <v>12650.63</v>
      </c>
      <c r="V203" s="319">
        <v>98</v>
      </c>
      <c r="W203" s="319">
        <v>98</v>
      </c>
      <c r="X203" s="318">
        <v>98</v>
      </c>
      <c r="Y203" s="318">
        <v>98</v>
      </c>
      <c r="Z203" s="317"/>
      <c r="AA203" s="316"/>
    </row>
    <row r="204" spans="1:27">
      <c r="A204" s="316" t="s">
        <v>377</v>
      </c>
      <c r="B204" s="316" t="s">
        <v>90</v>
      </c>
      <c r="C204" s="316" t="s">
        <v>379</v>
      </c>
      <c r="D204" s="316" t="s">
        <v>854</v>
      </c>
      <c r="E204" s="317">
        <v>45351</v>
      </c>
      <c r="F204" s="316" t="s">
        <v>514</v>
      </c>
      <c r="G204" s="316" t="s">
        <v>855</v>
      </c>
      <c r="H204" s="317">
        <v>45351</v>
      </c>
      <c r="J204" s="317">
        <v>45352.861817129633</v>
      </c>
      <c r="K204" s="316" t="s">
        <v>378</v>
      </c>
      <c r="L204" s="318">
        <v>72383916.209999904</v>
      </c>
      <c r="M204" s="318">
        <v>72383916.209999904</v>
      </c>
      <c r="N204" s="318">
        <v>72459621.019999906</v>
      </c>
      <c r="O204" s="318">
        <v>72459621.019999906</v>
      </c>
      <c r="P204" s="318">
        <v>12771.37</v>
      </c>
      <c r="Q204" s="318">
        <v>12771.37</v>
      </c>
      <c r="R204" s="318">
        <v>923.38</v>
      </c>
      <c r="S204" s="318">
        <v>0</v>
      </c>
      <c r="T204" s="318">
        <v>75704.81</v>
      </c>
      <c r="U204" s="318">
        <v>923.38</v>
      </c>
      <c r="V204" s="319">
        <v>98.5</v>
      </c>
      <c r="W204" s="319">
        <v>98.5</v>
      </c>
      <c r="X204" s="318">
        <v>98.395832999999996</v>
      </c>
      <c r="Y204" s="318">
        <v>98.395833330000002</v>
      </c>
      <c r="Z204" s="317"/>
      <c r="AA204" s="316"/>
    </row>
    <row r="205" spans="1:27">
      <c r="A205" s="316" t="s">
        <v>377</v>
      </c>
      <c r="B205" s="316" t="s">
        <v>90</v>
      </c>
      <c r="C205" s="316" t="s">
        <v>379</v>
      </c>
      <c r="D205" s="316" t="s">
        <v>856</v>
      </c>
      <c r="E205" s="317">
        <v>45337</v>
      </c>
      <c r="F205" s="316" t="s">
        <v>514</v>
      </c>
      <c r="G205" s="316" t="s">
        <v>857</v>
      </c>
      <c r="H205" s="317">
        <v>45337</v>
      </c>
      <c r="J205" s="317">
        <v>45352.861817129633</v>
      </c>
      <c r="K205" s="316" t="s">
        <v>378</v>
      </c>
      <c r="L205" s="318">
        <v>15632122.300000001</v>
      </c>
      <c r="M205" s="318">
        <v>15632122.300000001</v>
      </c>
      <c r="N205" s="318">
        <v>16026684</v>
      </c>
      <c r="O205" s="318">
        <v>16026684</v>
      </c>
      <c r="P205" s="318">
        <v>51641.54</v>
      </c>
      <c r="Q205" s="318">
        <v>51641.54</v>
      </c>
      <c r="R205" s="318">
        <v>6105.4</v>
      </c>
      <c r="S205" s="318">
        <v>0</v>
      </c>
      <c r="T205" s="318">
        <v>394561.7</v>
      </c>
      <c r="U205" s="318">
        <v>6105.4</v>
      </c>
      <c r="V205" s="319">
        <v>100</v>
      </c>
      <c r="W205" s="319">
        <v>100</v>
      </c>
      <c r="X205" s="318">
        <v>97.5</v>
      </c>
      <c r="Y205" s="318">
        <v>97.5</v>
      </c>
      <c r="Z205" s="317"/>
      <c r="AA205" s="316"/>
    </row>
    <row r="206" spans="1:27">
      <c r="A206" s="316" t="s">
        <v>377</v>
      </c>
      <c r="B206" s="316" t="s">
        <v>90</v>
      </c>
      <c r="C206" s="316" t="s">
        <v>379</v>
      </c>
      <c r="D206" s="316" t="s">
        <v>412</v>
      </c>
      <c r="E206" s="317">
        <v>45230</v>
      </c>
      <c r="F206" s="316" t="s">
        <v>514</v>
      </c>
      <c r="G206" s="316" t="s">
        <v>413</v>
      </c>
      <c r="H206" s="317">
        <v>45239</v>
      </c>
      <c r="J206" s="317">
        <v>45352.861817129633</v>
      </c>
      <c r="K206" s="316" t="s">
        <v>378</v>
      </c>
      <c r="L206" s="318">
        <v>11664795.289999999</v>
      </c>
      <c r="M206" s="318">
        <v>11664795.289999999</v>
      </c>
      <c r="N206" s="318">
        <v>11652376.779999999</v>
      </c>
      <c r="O206" s="318">
        <v>11652376.779999999</v>
      </c>
      <c r="P206" s="318">
        <v>428383.32</v>
      </c>
      <c r="Q206" s="318">
        <v>428383.32</v>
      </c>
      <c r="R206" s="318">
        <v>12418.51</v>
      </c>
      <c r="S206" s="318">
        <v>0</v>
      </c>
      <c r="T206" s="318">
        <v>-12418.51</v>
      </c>
      <c r="U206" s="318">
        <v>12418.51</v>
      </c>
      <c r="V206" s="319">
        <v>98</v>
      </c>
      <c r="W206" s="319">
        <v>98</v>
      </c>
      <c r="X206" s="318">
        <v>98</v>
      </c>
      <c r="Y206" s="318">
        <v>98</v>
      </c>
      <c r="Z206" s="317"/>
      <c r="AA206" s="316"/>
    </row>
    <row r="207" spans="1:27">
      <c r="A207" s="316" t="s">
        <v>377</v>
      </c>
      <c r="B207" s="316" t="s">
        <v>90</v>
      </c>
      <c r="C207" s="316" t="s">
        <v>379</v>
      </c>
      <c r="D207" s="316" t="s">
        <v>473</v>
      </c>
      <c r="E207" s="317">
        <v>45322</v>
      </c>
      <c r="F207" s="316" t="s">
        <v>514</v>
      </c>
      <c r="G207" s="316" t="s">
        <v>474</v>
      </c>
      <c r="H207" s="317">
        <v>45322</v>
      </c>
      <c r="J207" s="317">
        <v>45352.861817129633</v>
      </c>
      <c r="K207" s="316" t="s">
        <v>378</v>
      </c>
      <c r="L207" s="318">
        <v>13647426.050000001</v>
      </c>
      <c r="M207" s="318">
        <v>13647426.050000001</v>
      </c>
      <c r="N207" s="318">
        <v>13914542</v>
      </c>
      <c r="O207" s="318">
        <v>13914542</v>
      </c>
      <c r="P207" s="318">
        <v>8832.84</v>
      </c>
      <c r="Q207" s="318">
        <v>8832.84</v>
      </c>
      <c r="R207" s="318">
        <v>11174.89</v>
      </c>
      <c r="S207" s="318">
        <v>0</v>
      </c>
      <c r="T207" s="318">
        <v>267115.95</v>
      </c>
      <c r="U207" s="318">
        <v>11174.89</v>
      </c>
      <c r="V207" s="319">
        <v>100</v>
      </c>
      <c r="W207" s="319">
        <v>100</v>
      </c>
      <c r="X207" s="318">
        <v>98</v>
      </c>
      <c r="Y207" s="318">
        <v>98</v>
      </c>
      <c r="Z207" s="317"/>
      <c r="AA207" s="316"/>
    </row>
    <row r="208" spans="1:27">
      <c r="A208" s="316" t="s">
        <v>377</v>
      </c>
      <c r="B208" s="316" t="s">
        <v>90</v>
      </c>
      <c r="C208" s="316" t="s">
        <v>379</v>
      </c>
      <c r="D208" s="316" t="s">
        <v>858</v>
      </c>
      <c r="E208" s="317">
        <v>45280</v>
      </c>
      <c r="F208" s="316" t="s">
        <v>514</v>
      </c>
      <c r="G208" s="316" t="s">
        <v>407</v>
      </c>
      <c r="H208" s="317">
        <v>45280</v>
      </c>
      <c r="J208" s="317">
        <v>45352.861817129633</v>
      </c>
      <c r="K208" s="316" t="s">
        <v>378</v>
      </c>
      <c r="L208" s="318">
        <v>0</v>
      </c>
      <c r="M208" s="318">
        <v>0</v>
      </c>
      <c r="N208" s="318">
        <v>0</v>
      </c>
      <c r="O208" s="318">
        <v>0</v>
      </c>
      <c r="P208" s="318">
        <v>67824.13</v>
      </c>
      <c r="Q208" s="318">
        <v>67824.13</v>
      </c>
      <c r="R208" s="318">
        <v>0</v>
      </c>
      <c r="S208" s="318">
        <v>0</v>
      </c>
      <c r="T208" s="318">
        <v>0</v>
      </c>
      <c r="U208" s="318">
        <v>0</v>
      </c>
      <c r="V208" s="319">
        <v>98</v>
      </c>
      <c r="W208" s="319">
        <v>98</v>
      </c>
      <c r="X208" s="318">
        <v>98</v>
      </c>
      <c r="Y208" s="318">
        <v>98</v>
      </c>
      <c r="Z208" s="317"/>
      <c r="AA208" s="316"/>
    </row>
    <row r="209" spans="1:27">
      <c r="A209" s="316" t="s">
        <v>377</v>
      </c>
      <c r="B209" s="316" t="s">
        <v>90</v>
      </c>
      <c r="C209" s="316" t="s">
        <v>379</v>
      </c>
      <c r="D209" s="316" t="s">
        <v>644</v>
      </c>
      <c r="E209" s="317">
        <v>45321</v>
      </c>
      <c r="F209" s="316" t="s">
        <v>514</v>
      </c>
      <c r="G209" s="316" t="s">
        <v>643</v>
      </c>
      <c r="H209" s="317">
        <v>45329</v>
      </c>
      <c r="I209" s="316" t="s">
        <v>647</v>
      </c>
      <c r="J209" s="317">
        <v>45352.861817129633</v>
      </c>
      <c r="K209" s="316" t="s">
        <v>378</v>
      </c>
      <c r="L209" s="318">
        <v>1281214.52</v>
      </c>
      <c r="M209" s="318">
        <v>1281214.52</v>
      </c>
      <c r="N209" s="318">
        <v>1303663.0900000001</v>
      </c>
      <c r="O209" s="318">
        <v>1303663.0900000001</v>
      </c>
      <c r="P209" s="318">
        <v>9238.7999999999993</v>
      </c>
      <c r="Q209" s="318">
        <v>9238.7999999999993</v>
      </c>
      <c r="R209" s="318">
        <v>2016.96</v>
      </c>
      <c r="S209" s="318">
        <v>0</v>
      </c>
      <c r="T209" s="318">
        <v>22448.57</v>
      </c>
      <c r="U209" s="318">
        <v>2016.96</v>
      </c>
      <c r="V209" s="319">
        <v>93.25</v>
      </c>
      <c r="W209" s="319">
        <v>93.25</v>
      </c>
      <c r="X209" s="318">
        <v>91.5</v>
      </c>
      <c r="Y209" s="318">
        <v>91.5</v>
      </c>
      <c r="Z209" s="317"/>
      <c r="AA209" s="316"/>
    </row>
    <row r="210" spans="1:27">
      <c r="A210" s="316" t="s">
        <v>377</v>
      </c>
      <c r="B210" s="316" t="s">
        <v>90</v>
      </c>
      <c r="C210" s="316" t="s">
        <v>379</v>
      </c>
      <c r="D210" s="316" t="s">
        <v>644</v>
      </c>
      <c r="E210" s="317">
        <v>45323</v>
      </c>
      <c r="F210" s="316" t="s">
        <v>514</v>
      </c>
      <c r="G210" s="316" t="s">
        <v>643</v>
      </c>
      <c r="H210" s="317">
        <v>45331</v>
      </c>
      <c r="I210" s="316" t="s">
        <v>647</v>
      </c>
      <c r="J210" s="317">
        <v>45352.861817129633</v>
      </c>
      <c r="K210" s="316" t="s">
        <v>378</v>
      </c>
      <c r="L210" s="318">
        <v>4242348.6100000003</v>
      </c>
      <c r="M210" s="318">
        <v>4242348.6100000003</v>
      </c>
      <c r="N210" s="318">
        <v>4282730.25</v>
      </c>
      <c r="O210" s="318">
        <v>4282730.25</v>
      </c>
      <c r="P210" s="318">
        <v>27821.61</v>
      </c>
      <c r="Q210" s="318">
        <v>27821.61</v>
      </c>
      <c r="R210" s="318">
        <v>5545.77</v>
      </c>
      <c r="S210" s="318">
        <v>0</v>
      </c>
      <c r="T210" s="318">
        <v>40381.64</v>
      </c>
      <c r="U210" s="318">
        <v>5545.77</v>
      </c>
      <c r="V210" s="319">
        <v>93.25</v>
      </c>
      <c r="W210" s="319">
        <v>93.25</v>
      </c>
      <c r="X210" s="318">
        <v>92.25</v>
      </c>
      <c r="Y210" s="318">
        <v>92.25</v>
      </c>
      <c r="Z210" s="317"/>
      <c r="AA210" s="316"/>
    </row>
    <row r="211" spans="1:27">
      <c r="A211" s="316" t="s">
        <v>377</v>
      </c>
      <c r="B211" s="316" t="s">
        <v>90</v>
      </c>
      <c r="C211" s="316" t="s">
        <v>379</v>
      </c>
      <c r="D211" s="316" t="s">
        <v>639</v>
      </c>
      <c r="E211" s="317">
        <v>45335</v>
      </c>
      <c r="F211" s="316" t="s">
        <v>514</v>
      </c>
      <c r="G211" s="316" t="s">
        <v>640</v>
      </c>
      <c r="H211" s="317">
        <v>45335</v>
      </c>
      <c r="J211" s="317">
        <v>45352.861817129633</v>
      </c>
      <c r="K211" s="316" t="s">
        <v>378</v>
      </c>
      <c r="L211" s="318">
        <v>52731051.299999997</v>
      </c>
      <c r="M211" s="318">
        <v>52731051.299999997</v>
      </c>
      <c r="N211" s="318">
        <v>52722508.43</v>
      </c>
      <c r="O211" s="318">
        <v>52722508.43</v>
      </c>
      <c r="P211" s="318">
        <v>376760.1</v>
      </c>
      <c r="Q211" s="318">
        <v>376760.1</v>
      </c>
      <c r="R211" s="318">
        <v>8542.8700000000008</v>
      </c>
      <c r="S211" s="318">
        <v>0</v>
      </c>
      <c r="T211" s="318">
        <v>-8542.8700000000008</v>
      </c>
      <c r="U211" s="318">
        <v>8542.8700000000008</v>
      </c>
      <c r="V211" s="319">
        <v>97.75</v>
      </c>
      <c r="W211" s="319">
        <v>97.75</v>
      </c>
      <c r="X211" s="318">
        <v>97.75</v>
      </c>
      <c r="Y211" s="318">
        <v>97.75</v>
      </c>
      <c r="Z211" s="317"/>
      <c r="AA211" s="316"/>
    </row>
    <row r="212" spans="1:27">
      <c r="A212" s="316" t="s">
        <v>377</v>
      </c>
      <c r="B212" s="316" t="s">
        <v>90</v>
      </c>
      <c r="C212" s="316" t="s">
        <v>379</v>
      </c>
      <c r="D212" s="316" t="s">
        <v>408</v>
      </c>
      <c r="E212" s="317">
        <v>45236</v>
      </c>
      <c r="F212" s="316" t="s">
        <v>514</v>
      </c>
      <c r="G212" s="316" t="s">
        <v>409</v>
      </c>
      <c r="H212" s="317">
        <v>45236</v>
      </c>
      <c r="I212" s="316" t="s">
        <v>526</v>
      </c>
      <c r="J212" s="317">
        <v>45352.861817129633</v>
      </c>
      <c r="K212" s="316" t="s">
        <v>378</v>
      </c>
      <c r="L212" s="318">
        <v>4147333.05</v>
      </c>
      <c r="M212" s="318">
        <v>4147333.05</v>
      </c>
      <c r="N212" s="318">
        <v>4204289.34</v>
      </c>
      <c r="O212" s="318">
        <v>4204289.34</v>
      </c>
      <c r="P212" s="318">
        <v>114518.78</v>
      </c>
      <c r="Q212" s="318">
        <v>114518.78</v>
      </c>
      <c r="R212" s="318">
        <v>6108.05</v>
      </c>
      <c r="S212" s="318">
        <v>0</v>
      </c>
      <c r="T212" s="318">
        <v>56956.29</v>
      </c>
      <c r="U212" s="318">
        <v>6108.05</v>
      </c>
      <c r="V212" s="319">
        <v>100</v>
      </c>
      <c r="W212" s="319">
        <v>100</v>
      </c>
      <c r="X212" s="318">
        <v>98.5</v>
      </c>
      <c r="Y212" s="318">
        <v>98.5</v>
      </c>
      <c r="Z212" s="317"/>
      <c r="AA212" s="316"/>
    </row>
    <row r="213" spans="1:27">
      <c r="A213" s="316" t="s">
        <v>377</v>
      </c>
      <c r="B213" s="316" t="s">
        <v>90</v>
      </c>
      <c r="C213" s="316" t="s">
        <v>379</v>
      </c>
      <c r="D213" s="316" t="s">
        <v>641</v>
      </c>
      <c r="E213" s="317">
        <v>45236</v>
      </c>
      <c r="F213" s="316" t="s">
        <v>514</v>
      </c>
      <c r="G213" s="316" t="s">
        <v>410</v>
      </c>
      <c r="H213" s="317">
        <v>45236</v>
      </c>
      <c r="I213" s="316" t="s">
        <v>648</v>
      </c>
      <c r="J213" s="317">
        <v>45352.861817129633</v>
      </c>
      <c r="K213" s="316" t="s">
        <v>378</v>
      </c>
      <c r="L213" s="318">
        <v>1791219.06</v>
      </c>
      <c r="M213" s="318">
        <v>1791219.06</v>
      </c>
      <c r="N213" s="318">
        <v>1815818.28</v>
      </c>
      <c r="O213" s="318">
        <v>1815818.28</v>
      </c>
      <c r="P213" s="318">
        <v>48650.66</v>
      </c>
      <c r="Q213" s="318">
        <v>48650.66</v>
      </c>
      <c r="R213" s="318">
        <v>2638.05</v>
      </c>
      <c r="S213" s="318">
        <v>0</v>
      </c>
      <c r="T213" s="318">
        <v>24599.22</v>
      </c>
      <c r="U213" s="318">
        <v>2638.05</v>
      </c>
      <c r="V213" s="319">
        <v>100</v>
      </c>
      <c r="W213" s="319">
        <v>100</v>
      </c>
      <c r="X213" s="318">
        <v>98.5</v>
      </c>
      <c r="Y213" s="318">
        <v>98.5</v>
      </c>
      <c r="Z213" s="317"/>
      <c r="AA213" s="316"/>
    </row>
    <row r="214" spans="1:27">
      <c r="A214" s="316" t="s">
        <v>377</v>
      </c>
      <c r="B214" s="316" t="s">
        <v>90</v>
      </c>
      <c r="C214" s="316" t="s">
        <v>379</v>
      </c>
      <c r="D214" s="316" t="s">
        <v>642</v>
      </c>
      <c r="E214" s="317">
        <v>45237</v>
      </c>
      <c r="F214" s="316" t="s">
        <v>514</v>
      </c>
      <c r="G214" s="316" t="s">
        <v>411</v>
      </c>
      <c r="H214" s="317">
        <v>45237</v>
      </c>
      <c r="J214" s="317">
        <v>45352.861817129633</v>
      </c>
      <c r="K214" s="316" t="s">
        <v>378</v>
      </c>
      <c r="L214" s="318">
        <v>10268703.18</v>
      </c>
      <c r="M214" s="318">
        <v>10268703.18</v>
      </c>
      <c r="N214" s="318">
        <v>10457757.26</v>
      </c>
      <c r="O214" s="318">
        <v>10457757.26</v>
      </c>
      <c r="P214" s="318">
        <v>110413.08</v>
      </c>
      <c r="Q214" s="318">
        <v>110413.08</v>
      </c>
      <c r="R214" s="318">
        <v>20101.07</v>
      </c>
      <c r="S214" s="318">
        <v>0</v>
      </c>
      <c r="T214" s="318">
        <v>189054.07999999999</v>
      </c>
      <c r="U214" s="318">
        <v>20101.07</v>
      </c>
      <c r="V214" s="319">
        <v>100</v>
      </c>
      <c r="W214" s="319">
        <v>100</v>
      </c>
      <c r="X214" s="318">
        <v>98</v>
      </c>
      <c r="Y214" s="318">
        <v>98</v>
      </c>
      <c r="Z214" s="317"/>
      <c r="AA214" s="316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7"/>
  <sheetViews>
    <sheetView workbookViewId="0">
      <selection activeCell="A6" sqref="A6"/>
    </sheetView>
  </sheetViews>
  <sheetFormatPr defaultRowHeight="15"/>
  <cols>
    <col min="1" max="1" width="33.28515625" bestFit="1" customWidth="1"/>
    <col min="2" max="2" width="28.7109375" bestFit="1" customWidth="1"/>
  </cols>
  <sheetData>
    <row r="3" spans="1:2">
      <c r="A3" s="480" t="s">
        <v>987</v>
      </c>
      <c r="B3" t="s">
        <v>989</v>
      </c>
    </row>
    <row r="4" spans="1:2">
      <c r="A4" s="58" t="s">
        <v>976</v>
      </c>
      <c r="B4" s="10">
        <v>14539.586499999999</v>
      </c>
    </row>
    <row r="5" spans="1:2">
      <c r="A5" s="58" t="s">
        <v>977</v>
      </c>
      <c r="B5" s="10">
        <v>14697.7709</v>
      </c>
    </row>
    <row r="6" spans="1:2">
      <c r="A6" s="58" t="s">
        <v>978</v>
      </c>
      <c r="B6" s="10">
        <v>193377.21489999999</v>
      </c>
    </row>
    <row r="7" spans="1:2">
      <c r="A7" s="58" t="s">
        <v>988</v>
      </c>
      <c r="B7" s="10">
        <v>222614.5723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F76EB82BB3D4EAD492A544BEA3C90" ma:contentTypeVersion="12" ma:contentTypeDescription="Create a new document." ma:contentTypeScope="" ma:versionID="de417b87adb57f53ce46cb9a7a930040">
  <xsd:schema xmlns:xsd="http://www.w3.org/2001/XMLSchema" xmlns:xs="http://www.w3.org/2001/XMLSchema" xmlns:p="http://schemas.microsoft.com/office/2006/metadata/properties" xmlns:ns2="c7558469-0e13-4646-9fe4-f104b139796f" xmlns:ns3="faabdded-4650-4402-8809-1bd22b1e9efb" targetNamespace="http://schemas.microsoft.com/office/2006/metadata/properties" ma:root="true" ma:fieldsID="1d68260385e1363e60aefeee27085c25" ns2:_="" ns3:_="">
    <xsd:import namespace="c7558469-0e13-4646-9fe4-f104b139796f"/>
    <xsd:import namespace="faabdded-4650-4402-8809-1bd22b1e9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58469-0e13-4646-9fe4-f104b1397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ae8970-fd70-4ed7-b8ef-2523a1a83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bdded-4650-4402-8809-1bd22b1e9e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d5ee17-5b4d-48ad-b3cf-e6650f89b2d6}" ma:internalName="TaxCatchAll" ma:showField="CatchAllData" ma:web="faabdded-4650-4402-8809-1bd22b1e9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abdded-4650-4402-8809-1bd22b1e9efb" xsi:nil="true"/>
    <lcf76f155ced4ddcb4097134ff3c332f xmlns="c7558469-0e13-4646-9fe4-f104b13979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1DCCD0-0FF6-4664-AA47-4976D4A60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58469-0e13-4646-9fe4-f104b139796f"/>
    <ds:schemaRef ds:uri="faabdded-4650-4402-8809-1bd22b1e9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5CCF94-C44E-4011-8817-2E152CBD9189}">
  <ds:schemaRefs>
    <ds:schemaRef ds:uri="faabdded-4650-4402-8809-1bd22b1e9efb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c7558469-0e13-4646-9fe4-f104b139796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290241B-93C2-425D-A8CA-4A942FC190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aresinput</vt:lpstr>
      <vt:lpstr>Summary </vt:lpstr>
      <vt:lpstr>Calcs</vt:lpstr>
      <vt:lpstr>Loan List </vt:lpstr>
      <vt:lpstr>Diversity Score</vt:lpstr>
      <vt:lpstr>Loan Tape Consolidated</vt:lpstr>
      <vt:lpstr>Concentration Limitations</vt:lpstr>
      <vt:lpstr>Facility Summary</vt:lpstr>
      <vt:lpstr>VariableSheet_Pol</vt:lpstr>
      <vt:lpstr>VariableSheet</vt:lpstr>
      <vt:lpstr>Core Tax Lot Appraisal_SFERS</vt:lpstr>
      <vt:lpstr>Core Tax Lot Appraisal_lmahakal</vt:lpstr>
      <vt:lpstr>Sheet1</vt:lpstr>
      <vt:lpstr>percentage_unused</vt:lpstr>
      <vt:lpstr>Calcs!Print_Area</vt:lpstr>
      <vt:lpstr>'Loan Tape Consolidated'!Print_Area</vt:lpstr>
      <vt:lpstr>'Summary '!Print_Area</vt:lpstr>
      <vt:lpstr>'Loan Tape Consolidated'!Print_Titles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LaGreca</dc:creator>
  <cp:keywords>Classification=Confidential</cp:keywords>
  <cp:lastModifiedBy>Matthew Foreman</cp:lastModifiedBy>
  <cp:lastPrinted>2025-05-20T16:28:10Z</cp:lastPrinted>
  <dcterms:created xsi:type="dcterms:W3CDTF">2018-03-29T17:30:34Z</dcterms:created>
  <dcterms:modified xsi:type="dcterms:W3CDTF">2025-07-25T15:41:17Z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98b6b059-bb31-4cde-9088-54d1b87ccd09</vt:lpwstr>
  </property>
  <property fmtid="{D5CDD505-2E9C-101B-9397-08002B2CF9AE}" pid="3" name="Classification">
    <vt:lpwstr>Confidential</vt:lpwstr>
  </property>
  <property fmtid="{D5CDD505-2E9C-101B-9397-08002B2CF9AE}" pid="4" name="ApplyVisualMarking">
    <vt:lpwstr>None</vt:lpwstr>
  </property>
  <property fmtid="{D5CDD505-2E9C-101B-9397-08002B2CF9AE}" pid="5" name="MSIP_Label_a6b9b49c-3903-4fd4-a343-18d82815dc85_Enabled">
    <vt:lpwstr>true</vt:lpwstr>
  </property>
  <property fmtid="{D5CDD505-2E9C-101B-9397-08002B2CF9AE}" pid="6" name="MSIP_Label_a6b9b49c-3903-4fd4-a343-18d82815dc85_SetDate">
    <vt:lpwstr>2024-02-02T00:22:52Z</vt:lpwstr>
  </property>
  <property fmtid="{D5CDD505-2E9C-101B-9397-08002B2CF9AE}" pid="7" name="MSIP_Label_a6b9b49c-3903-4fd4-a343-18d82815dc85_Method">
    <vt:lpwstr>Privileged</vt:lpwstr>
  </property>
  <property fmtid="{D5CDD505-2E9C-101B-9397-08002B2CF9AE}" pid="8" name="MSIP_Label_a6b9b49c-3903-4fd4-a343-18d82815dc85_Name">
    <vt:lpwstr>Intra and extragroup use</vt:lpwstr>
  </property>
  <property fmtid="{D5CDD505-2E9C-101B-9397-08002B2CF9AE}" pid="9" name="MSIP_Label_a6b9b49c-3903-4fd4-a343-18d82815dc85_SiteId">
    <vt:lpwstr>614f9c25-bffa-42c7-86d8-964101f55fa2</vt:lpwstr>
  </property>
  <property fmtid="{D5CDD505-2E9C-101B-9397-08002B2CF9AE}" pid="10" name="MSIP_Label_a6b9b49c-3903-4fd4-a343-18d82815dc85_ActionId">
    <vt:lpwstr>9f607f7a-5325-4b83-84be-c275bb8edb78</vt:lpwstr>
  </property>
  <property fmtid="{D5CDD505-2E9C-101B-9397-08002B2CF9AE}" pid="11" name="MSIP_Label_a6b9b49c-3903-4fd4-a343-18d82815dc85_ContentBits">
    <vt:lpwstr>2</vt:lpwstr>
  </property>
  <property fmtid="{D5CDD505-2E9C-101B-9397-08002B2CF9AE}" pid="12" name="MediaServiceImageTags">
    <vt:lpwstr/>
  </property>
  <property fmtid="{D5CDD505-2E9C-101B-9397-08002B2CF9AE}" pid="13" name="ContentTypeId">
    <vt:lpwstr>0x010100127F76EB82BB3D4EAD492A544BEA3C90</vt:lpwstr>
  </property>
</Properties>
</file>